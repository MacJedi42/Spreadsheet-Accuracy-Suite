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7280" windowHeight="9975"/>
  </bookViews>
  <sheets>
    <sheet name="Comparisons" sheetId="6" r:id="rId1"/>
    <sheet name="Option 1" sheetId="3" r:id="rId2"/>
    <sheet name="Option 2" sheetId="2" r:id="rId3"/>
    <sheet name="Option 3" sheetId="4" r:id="rId4"/>
    <sheet name="Option 4" sheetId="1" r:id="rId5"/>
    <sheet name="Option 5" sheetId="5" r:id="rId6"/>
  </sheets>
  <externalReferences>
    <externalReference r:id="rId7"/>
    <externalReference r:id="rId8"/>
  </externalReferences>
  <definedNames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2" hidden="1">'Option 2'!$A$88:$N$346</definedName>
    <definedName name="_xlnm._FilterDatabase" localSheetId="3" hidden="1">'Option 3'!$A$88:$P$346</definedName>
    <definedName name="_xlnm._FilterDatabase" localSheetId="4" hidden="1">'Option 4'!$A$88:$N$347</definedName>
    <definedName name="_xlnm._FilterDatabase" localSheetId="5" hidden="1">'Option 5'!$A$88:$P$347</definedName>
    <definedName name="_Order1" hidden="1">255</definedName>
    <definedName name="_Order2" hidden="1">255</definedName>
    <definedName name="MATCHINST" localSheetId="1">#REF!</definedName>
    <definedName name="MATCHINST" localSheetId="2">#REF!</definedName>
    <definedName name="MATCHINST" localSheetId="3">#REF!</definedName>
    <definedName name="MATCHINST" localSheetId="4">#REF!</definedName>
    <definedName name="MATCHINST" localSheetId="5">#REF!</definedName>
    <definedName name="MATCHINST">#REF!</definedName>
    <definedName name="_xlnm.Print_Area" localSheetId="1">'Option 1'!$A$1:$H$1</definedName>
    <definedName name="_xlnm.Print_Area" localSheetId="2">'Option 2'!$A$1:$H$1</definedName>
    <definedName name="_xlnm.Print_Area" localSheetId="3">'Option 3'!$A$1:$J$1</definedName>
    <definedName name="_xlnm.Print_Area" localSheetId="4">'Option 4'!$A$1:$H$1</definedName>
    <definedName name="_xlnm.Print_Area" localSheetId="5">'Option 5'!$A$1:$J$1</definedName>
    <definedName name="solver_adj2" localSheetId="1" hidden="1">#REF!</definedName>
    <definedName name="solver_adj2" localSheetId="2" hidden="1">#REF!</definedName>
    <definedName name="solver_adj2" localSheetId="3" hidden="1">#REF!</definedName>
    <definedName name="solver_adj2" localSheetId="4" hidden="1">#REF!</definedName>
    <definedName name="solver_adj2" localSheetId="5" hidden="1">#REF!</definedName>
    <definedName name="solver_adj2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1" hidden="1">[1]Infrastructure!#REF!</definedName>
    <definedName name="solver_opt" localSheetId="2" hidden="1">[1]Infrastructure!#REF!</definedName>
    <definedName name="solver_opt" localSheetId="3" hidden="1">[1]Infrastructure!#REF!</definedName>
    <definedName name="solver_opt" localSheetId="4" hidden="1">[1]Infrastructure!#REF!</definedName>
    <definedName name="solver_opt" localSheetId="5" hidden="1">[1]Infrastructure!#REF!</definedName>
    <definedName name="solver_opt" hidden="1">[2]Infrastructure!#REF!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Z_175A74B9_04D8_4168_BE0E_B9F6D216804E_.wvu.Cols" localSheetId="1" hidden="1">#REF!</definedName>
    <definedName name="Z_175A74B9_04D8_4168_BE0E_B9F6D216804E_.wvu.Cols" localSheetId="2" hidden="1">#REF!</definedName>
    <definedName name="Z_175A74B9_04D8_4168_BE0E_B9F6D216804E_.wvu.Cols" localSheetId="3" hidden="1">#REF!</definedName>
    <definedName name="Z_175A74B9_04D8_4168_BE0E_B9F6D216804E_.wvu.Cols" localSheetId="4" hidden="1">#REF!</definedName>
    <definedName name="Z_175A74B9_04D8_4168_BE0E_B9F6D216804E_.wvu.Cols" localSheetId="5" hidden="1">#REF!</definedName>
    <definedName name="Z_175A74B9_04D8_4168_BE0E_B9F6D216804E_.wvu.Cols" hidden="1">#REF!</definedName>
    <definedName name="Z_175A74B9_04D8_4168_BE0E_B9F6D216804E_.wvu.PrintTitles" localSheetId="1" hidden="1">[1]Infrastructure!$B:$K,[1]Infrastructure!$3:$3</definedName>
    <definedName name="Z_175A74B9_04D8_4168_BE0E_B9F6D216804E_.wvu.PrintTitles" localSheetId="2" hidden="1">[1]Infrastructure!$B:$K,[1]Infrastructure!$3:$3</definedName>
    <definedName name="Z_175A74B9_04D8_4168_BE0E_B9F6D216804E_.wvu.PrintTitles" localSheetId="3" hidden="1">[1]Infrastructure!$B:$K,[1]Infrastructure!$3:$3</definedName>
    <definedName name="Z_175A74B9_04D8_4168_BE0E_B9F6D216804E_.wvu.PrintTitles" localSheetId="4" hidden="1">[1]Infrastructure!$B:$K,[1]Infrastructure!$3:$3</definedName>
    <definedName name="Z_175A74B9_04D8_4168_BE0E_B9F6D216804E_.wvu.PrintTitles" localSheetId="5" hidden="1">[1]Infrastructure!$B:$K,[1]Infrastructure!$3:$3</definedName>
    <definedName name="Z_175A74B9_04D8_4168_BE0E_B9F6D216804E_.wvu.PrintTitles" hidden="1">[2]Infrastructure!$B:$K,[2]Infrastructure!$3:$3</definedName>
    <definedName name="Z_3B4A1CD3_71A7_41D8_BB20_2C00DD672F4C_.wvu.Cols" localSheetId="1" hidden="1">#REF!</definedName>
    <definedName name="Z_3B4A1CD3_71A7_41D8_BB20_2C00DD672F4C_.wvu.Cols" localSheetId="2" hidden="1">#REF!</definedName>
    <definedName name="Z_3B4A1CD3_71A7_41D8_BB20_2C00DD672F4C_.wvu.Cols" localSheetId="3" hidden="1">#REF!</definedName>
    <definedName name="Z_3B4A1CD3_71A7_41D8_BB20_2C00DD672F4C_.wvu.Cols" localSheetId="4" hidden="1">#REF!</definedName>
    <definedName name="Z_3B4A1CD3_71A7_41D8_BB20_2C00DD672F4C_.wvu.Cols" localSheetId="5" hidden="1">#REF!</definedName>
    <definedName name="Z_3B4A1CD3_71A7_41D8_BB20_2C00DD672F4C_.wvu.Cols" hidden="1">#REF!</definedName>
    <definedName name="Z_3B4A1CD3_71A7_41D8_BB20_2C00DD672F4C_.wvu.PrintTitles" localSheetId="1" hidden="1">[1]Infrastructure!$B:$K,[1]Infrastructure!$3:$3</definedName>
    <definedName name="Z_3B4A1CD3_71A7_41D8_BB20_2C00DD672F4C_.wvu.PrintTitles" localSheetId="2" hidden="1">[1]Infrastructure!$B:$K,[1]Infrastructure!$3:$3</definedName>
    <definedName name="Z_3B4A1CD3_71A7_41D8_BB20_2C00DD672F4C_.wvu.PrintTitles" localSheetId="3" hidden="1">[1]Infrastructure!$B:$K,[1]Infrastructure!$3:$3</definedName>
    <definedName name="Z_3B4A1CD3_71A7_41D8_BB20_2C00DD672F4C_.wvu.PrintTitles" localSheetId="4" hidden="1">[1]Infrastructure!$B:$K,[1]Infrastructure!$3:$3</definedName>
    <definedName name="Z_3B4A1CD3_71A7_41D8_BB20_2C00DD672F4C_.wvu.PrintTitles" localSheetId="5" hidden="1">[1]Infrastructure!$B:$K,[1]Infrastructure!$3:$3</definedName>
    <definedName name="Z_3B4A1CD3_71A7_41D8_BB20_2C00DD672F4C_.wvu.PrintTitles" hidden="1">[2]Infrastructure!$B:$K,[2]Infrastructure!$3:$3</definedName>
    <definedName name="Z_5F15871F_1F9D_454B_B820_06244E250857_.wvu.Cols" localSheetId="1" hidden="1">#REF!</definedName>
    <definedName name="Z_5F15871F_1F9D_454B_B820_06244E250857_.wvu.Cols" localSheetId="2" hidden="1">#REF!</definedName>
    <definedName name="Z_5F15871F_1F9D_454B_B820_06244E250857_.wvu.Cols" localSheetId="3" hidden="1">#REF!</definedName>
    <definedName name="Z_5F15871F_1F9D_454B_B820_06244E250857_.wvu.Cols" localSheetId="4" hidden="1">#REF!</definedName>
    <definedName name="Z_5F15871F_1F9D_454B_B820_06244E250857_.wvu.Cols" localSheetId="5" hidden="1">#REF!</definedName>
    <definedName name="Z_5F15871F_1F9D_454B_B820_06244E250857_.wvu.Cols" hidden="1">#REF!</definedName>
    <definedName name="Z_5F15871F_1F9D_454B_B820_06244E250857_.wvu.PrintTitles" localSheetId="1" hidden="1">[1]Infrastructure!$B:$K,[1]Infrastructure!$3:$3</definedName>
    <definedName name="Z_5F15871F_1F9D_454B_B820_06244E250857_.wvu.PrintTitles" localSheetId="2" hidden="1">[1]Infrastructure!$B:$K,[1]Infrastructure!$3:$3</definedName>
    <definedName name="Z_5F15871F_1F9D_454B_B820_06244E250857_.wvu.PrintTitles" localSheetId="3" hidden="1">[1]Infrastructure!$B:$K,[1]Infrastructure!$3:$3</definedName>
    <definedName name="Z_5F15871F_1F9D_454B_B820_06244E250857_.wvu.PrintTitles" localSheetId="4" hidden="1">[1]Infrastructure!$B:$K,[1]Infrastructure!$3:$3</definedName>
    <definedName name="Z_5F15871F_1F9D_454B_B820_06244E250857_.wvu.PrintTitles" localSheetId="5" hidden="1">[1]Infrastructure!$B:$K,[1]Infrastructure!$3:$3</definedName>
    <definedName name="Z_5F15871F_1F9D_454B_B820_06244E250857_.wvu.PrintTitles" hidden="1">[2]Infrastructure!$B:$K,[2]Infrastructure!$3:$3</definedName>
    <definedName name="Z_82D93351_CB79_47D8_8AE8_2B10EACDB89E_.wvu.Cols" localSheetId="1" hidden="1">#REF!</definedName>
    <definedName name="Z_82D93351_CB79_47D8_8AE8_2B10EACDB89E_.wvu.Cols" localSheetId="2" hidden="1">#REF!</definedName>
    <definedName name="Z_82D93351_CB79_47D8_8AE8_2B10EACDB89E_.wvu.Cols" localSheetId="3" hidden="1">#REF!</definedName>
    <definedName name="Z_82D93351_CB79_47D8_8AE8_2B10EACDB89E_.wvu.Cols" localSheetId="4" hidden="1">#REF!</definedName>
    <definedName name="Z_82D93351_CB79_47D8_8AE8_2B10EACDB89E_.wvu.Cols" localSheetId="5" hidden="1">#REF!</definedName>
    <definedName name="Z_82D93351_CB79_47D8_8AE8_2B10EACDB89E_.wvu.Cols" hidden="1">#REF!</definedName>
    <definedName name="Z_82D93351_CB79_47D8_8AE8_2B10EACDB89E_.wvu.PrintTitles" localSheetId="1" hidden="1">[1]Infrastructure!$B:$K,[1]Infrastructure!$3:$3</definedName>
    <definedName name="Z_82D93351_CB79_47D8_8AE8_2B10EACDB89E_.wvu.PrintTitles" localSheetId="2" hidden="1">[1]Infrastructure!$B:$K,[1]Infrastructure!$3:$3</definedName>
    <definedName name="Z_82D93351_CB79_47D8_8AE8_2B10EACDB89E_.wvu.PrintTitles" localSheetId="3" hidden="1">[1]Infrastructure!$B:$K,[1]Infrastructure!$3:$3</definedName>
    <definedName name="Z_82D93351_CB79_47D8_8AE8_2B10EACDB89E_.wvu.PrintTitles" localSheetId="4" hidden="1">[1]Infrastructure!$B:$K,[1]Infrastructure!$3:$3</definedName>
    <definedName name="Z_82D93351_CB79_47D8_8AE8_2B10EACDB89E_.wvu.PrintTitles" localSheetId="5" hidden="1">[1]Infrastructure!$B:$K,[1]Infrastructure!$3:$3</definedName>
    <definedName name="Z_82D93351_CB79_47D8_8AE8_2B10EACDB89E_.wvu.PrintTitles" hidden="1">[2]Infrastructure!$B:$K,[2]Infrastructure!$3:$3</definedName>
  </definedNames>
  <calcPr calcId="145621"/>
</workbook>
</file>

<file path=xl/calcChain.xml><?xml version="1.0" encoding="utf-8"?>
<calcChain xmlns="http://schemas.openxmlformats.org/spreadsheetml/2006/main">
  <c r="J41" i="6" l="1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N42" i="6" l="1"/>
  <c r="N41" i="6"/>
  <c r="O41" i="6" s="1"/>
  <c r="P41" i="6" s="1"/>
  <c r="N40" i="6"/>
  <c r="O40" i="6" s="1"/>
  <c r="P40" i="6" s="1"/>
  <c r="N39" i="6"/>
  <c r="O39" i="6" s="1"/>
  <c r="P39" i="6" s="1"/>
  <c r="N38" i="6"/>
  <c r="O38" i="6" s="1"/>
  <c r="P38" i="6" s="1"/>
  <c r="N37" i="6"/>
  <c r="O37" i="6" s="1"/>
  <c r="P37" i="6" s="1"/>
  <c r="N36" i="6"/>
  <c r="O36" i="6" s="1"/>
  <c r="P36" i="6" s="1"/>
  <c r="N35" i="6"/>
  <c r="O35" i="6" s="1"/>
  <c r="P35" i="6" s="1"/>
  <c r="N34" i="6"/>
  <c r="O34" i="6" s="1"/>
  <c r="P34" i="6" s="1"/>
  <c r="N33" i="6"/>
  <c r="O33" i="6" s="1"/>
  <c r="P33" i="6" s="1"/>
  <c r="N32" i="6"/>
  <c r="O32" i="6" s="1"/>
  <c r="P32" i="6" s="1"/>
  <c r="N31" i="6"/>
  <c r="O31" i="6" s="1"/>
  <c r="P31" i="6" s="1"/>
  <c r="N30" i="6"/>
  <c r="O30" i="6" s="1"/>
  <c r="P30" i="6" s="1"/>
  <c r="N29" i="6"/>
  <c r="O29" i="6" s="1"/>
  <c r="P29" i="6" s="1"/>
  <c r="N28" i="6"/>
  <c r="O28" i="6" s="1"/>
  <c r="P28" i="6" s="1"/>
  <c r="N27" i="6"/>
  <c r="O27" i="6" s="1"/>
  <c r="P27" i="6" s="1"/>
  <c r="N26" i="6"/>
  <c r="O26" i="6" s="1"/>
  <c r="P26" i="6" s="1"/>
  <c r="N25" i="6"/>
  <c r="O25" i="6" s="1"/>
  <c r="P25" i="6" s="1"/>
  <c r="N24" i="6"/>
  <c r="O24" i="6" s="1"/>
  <c r="P24" i="6" s="1"/>
  <c r="N23" i="6"/>
  <c r="O23" i="6" s="1"/>
  <c r="P23" i="6" s="1"/>
  <c r="N22" i="6"/>
  <c r="O22" i="6" s="1"/>
  <c r="P22" i="6" s="1"/>
  <c r="N21" i="6"/>
  <c r="O21" i="6" s="1"/>
  <c r="P21" i="6" s="1"/>
  <c r="N20" i="6"/>
  <c r="O20" i="6" s="1"/>
  <c r="P20" i="6" s="1"/>
  <c r="N19" i="6"/>
  <c r="O19" i="6" s="1"/>
  <c r="P19" i="6" s="1"/>
  <c r="N18" i="6"/>
  <c r="O18" i="6" s="1"/>
  <c r="P18" i="6" s="1"/>
  <c r="N17" i="6"/>
  <c r="O17" i="6" s="1"/>
  <c r="P17" i="6" s="1"/>
  <c r="N16" i="6"/>
  <c r="O16" i="6" s="1"/>
  <c r="P16" i="6" s="1"/>
  <c r="N15" i="6"/>
  <c r="O15" i="6" s="1"/>
  <c r="P15" i="6" s="1"/>
  <c r="N14" i="6"/>
  <c r="O14" i="6" s="1"/>
  <c r="P14" i="6" s="1"/>
  <c r="N13" i="6"/>
  <c r="O13" i="6" s="1"/>
  <c r="P13" i="6" s="1"/>
  <c r="N12" i="6"/>
  <c r="O12" i="6" s="1"/>
  <c r="P12" i="6" s="1"/>
  <c r="N11" i="6"/>
  <c r="O11" i="6" s="1"/>
  <c r="P11" i="6" s="1"/>
  <c r="N10" i="6"/>
  <c r="O10" i="6" s="1"/>
  <c r="P10" i="6" s="1"/>
  <c r="N9" i="6"/>
  <c r="O9" i="6" s="1"/>
  <c r="P9" i="6" s="1"/>
  <c r="N8" i="6"/>
  <c r="O8" i="6" s="1"/>
  <c r="P8" i="6" s="1"/>
  <c r="N7" i="6"/>
  <c r="O7" i="6" s="1"/>
  <c r="P7" i="6" s="1"/>
  <c r="N6" i="6"/>
  <c r="O6" i="6" s="1"/>
  <c r="P6" i="6" s="1"/>
  <c r="N5" i="6"/>
  <c r="O5" i="6" s="1"/>
  <c r="P5" i="6" s="1"/>
  <c r="N4" i="6"/>
  <c r="O4" i="6" s="1"/>
  <c r="P4" i="6" s="1"/>
  <c r="D42" i="6"/>
  <c r="C42" i="6"/>
  <c r="C44" i="4"/>
  <c r="C44" i="2"/>
  <c r="C44" i="5"/>
  <c r="C44" i="1"/>
  <c r="O42" i="6" l="1"/>
  <c r="P44" i="6"/>
  <c r="P42" i="6"/>
  <c r="M100" i="2"/>
  <c r="L100" i="2"/>
  <c r="K100" i="2"/>
  <c r="J100" i="2"/>
  <c r="I100" i="2"/>
  <c r="H100" i="2"/>
  <c r="G100" i="2"/>
  <c r="F100" i="2"/>
  <c r="E100" i="2"/>
  <c r="D100" i="2"/>
  <c r="M127" i="2"/>
  <c r="L127" i="2"/>
  <c r="K127" i="2"/>
  <c r="J127" i="2"/>
  <c r="I127" i="2"/>
  <c r="H127" i="2"/>
  <c r="G127" i="2"/>
  <c r="F127" i="2"/>
  <c r="E127" i="2"/>
  <c r="D127" i="2"/>
  <c r="M126" i="2"/>
  <c r="L126" i="2"/>
  <c r="K126" i="2"/>
  <c r="J126" i="2"/>
  <c r="I126" i="2"/>
  <c r="H126" i="2"/>
  <c r="G126" i="2"/>
  <c r="F126" i="2"/>
  <c r="E126" i="2"/>
  <c r="D126" i="2"/>
  <c r="M125" i="2"/>
  <c r="L125" i="2"/>
  <c r="K125" i="2"/>
  <c r="J125" i="2"/>
  <c r="I125" i="2"/>
  <c r="H125" i="2"/>
  <c r="G125" i="2"/>
  <c r="F125" i="2"/>
  <c r="E125" i="2"/>
  <c r="D125" i="2"/>
  <c r="M124" i="2"/>
  <c r="L124" i="2"/>
  <c r="K124" i="2"/>
  <c r="J124" i="2"/>
  <c r="I124" i="2"/>
  <c r="H124" i="2"/>
  <c r="G124" i="2"/>
  <c r="F124" i="2"/>
  <c r="E124" i="2"/>
  <c r="D124" i="2"/>
  <c r="M123" i="2"/>
  <c r="L123" i="2"/>
  <c r="K123" i="2"/>
  <c r="J123" i="2"/>
  <c r="I123" i="2"/>
  <c r="H123" i="2"/>
  <c r="G123" i="2"/>
  <c r="F123" i="2"/>
  <c r="E123" i="2"/>
  <c r="D123" i="2"/>
  <c r="M122" i="2"/>
  <c r="L122" i="2"/>
  <c r="K122" i="2"/>
  <c r="J122" i="2"/>
  <c r="I122" i="2"/>
  <c r="H122" i="2"/>
  <c r="G122" i="2"/>
  <c r="F122" i="2"/>
  <c r="E122" i="2"/>
  <c r="D122" i="2"/>
  <c r="M121" i="2"/>
  <c r="L121" i="2"/>
  <c r="K121" i="2"/>
  <c r="J121" i="2"/>
  <c r="I121" i="2"/>
  <c r="H121" i="2"/>
  <c r="G121" i="2"/>
  <c r="F121" i="2"/>
  <c r="E121" i="2"/>
  <c r="D121" i="2"/>
  <c r="M120" i="2"/>
  <c r="L120" i="2"/>
  <c r="K120" i="2"/>
  <c r="J120" i="2"/>
  <c r="I120" i="2"/>
  <c r="H120" i="2"/>
  <c r="G120" i="2"/>
  <c r="F120" i="2"/>
  <c r="E120" i="2"/>
  <c r="D120" i="2"/>
  <c r="M119" i="2"/>
  <c r="L119" i="2"/>
  <c r="K119" i="2"/>
  <c r="J119" i="2"/>
  <c r="I119" i="2"/>
  <c r="H119" i="2"/>
  <c r="G119" i="2"/>
  <c r="F119" i="2"/>
  <c r="E119" i="2"/>
  <c r="D119" i="2"/>
  <c r="M118" i="2"/>
  <c r="L118" i="2"/>
  <c r="K118" i="2"/>
  <c r="J118" i="2"/>
  <c r="I118" i="2"/>
  <c r="H118" i="2"/>
  <c r="G118" i="2"/>
  <c r="F118" i="2"/>
  <c r="E118" i="2"/>
  <c r="D118" i="2"/>
  <c r="M117" i="2"/>
  <c r="L117" i="2"/>
  <c r="K117" i="2"/>
  <c r="J117" i="2"/>
  <c r="I117" i="2"/>
  <c r="H117" i="2"/>
  <c r="G117" i="2"/>
  <c r="F117" i="2"/>
  <c r="E117" i="2"/>
  <c r="D117" i="2"/>
  <c r="M116" i="2"/>
  <c r="L116" i="2"/>
  <c r="K116" i="2"/>
  <c r="J116" i="2"/>
  <c r="I116" i="2"/>
  <c r="H116" i="2"/>
  <c r="G116" i="2"/>
  <c r="F116" i="2"/>
  <c r="E116" i="2"/>
  <c r="D116" i="2"/>
  <c r="M115" i="2"/>
  <c r="L115" i="2"/>
  <c r="K115" i="2"/>
  <c r="J115" i="2"/>
  <c r="I115" i="2"/>
  <c r="H115" i="2"/>
  <c r="G115" i="2"/>
  <c r="F115" i="2"/>
  <c r="E115" i="2"/>
  <c r="D115" i="2"/>
  <c r="M114" i="2"/>
  <c r="L114" i="2"/>
  <c r="K114" i="2"/>
  <c r="J114" i="2"/>
  <c r="I114" i="2"/>
  <c r="H114" i="2"/>
  <c r="G114" i="2"/>
  <c r="F114" i="2"/>
  <c r="E114" i="2"/>
  <c r="D114" i="2"/>
  <c r="M113" i="2"/>
  <c r="L113" i="2"/>
  <c r="K113" i="2"/>
  <c r="J113" i="2"/>
  <c r="I113" i="2"/>
  <c r="H113" i="2"/>
  <c r="G113" i="2"/>
  <c r="F113" i="2"/>
  <c r="E113" i="2"/>
  <c r="D113" i="2"/>
  <c r="M112" i="2"/>
  <c r="L112" i="2"/>
  <c r="K112" i="2"/>
  <c r="J112" i="2"/>
  <c r="I112" i="2"/>
  <c r="H112" i="2"/>
  <c r="G112" i="2"/>
  <c r="F112" i="2"/>
  <c r="E112" i="2"/>
  <c r="D112" i="2"/>
  <c r="M111" i="2"/>
  <c r="L111" i="2"/>
  <c r="K111" i="2"/>
  <c r="J111" i="2"/>
  <c r="I111" i="2"/>
  <c r="H111" i="2"/>
  <c r="G111" i="2"/>
  <c r="F111" i="2"/>
  <c r="E111" i="2"/>
  <c r="D111" i="2"/>
  <c r="M110" i="2"/>
  <c r="L110" i="2"/>
  <c r="K110" i="2"/>
  <c r="J110" i="2"/>
  <c r="I110" i="2"/>
  <c r="H110" i="2"/>
  <c r="G110" i="2"/>
  <c r="F110" i="2"/>
  <c r="E110" i="2"/>
  <c r="D110" i="2"/>
  <c r="M109" i="2"/>
  <c r="L109" i="2"/>
  <c r="K109" i="2"/>
  <c r="J109" i="2"/>
  <c r="I109" i="2"/>
  <c r="H109" i="2"/>
  <c r="G109" i="2"/>
  <c r="F109" i="2"/>
  <c r="E109" i="2"/>
  <c r="D109" i="2"/>
  <c r="M108" i="2"/>
  <c r="L108" i="2"/>
  <c r="K108" i="2"/>
  <c r="J108" i="2"/>
  <c r="I108" i="2"/>
  <c r="H108" i="2"/>
  <c r="G108" i="2"/>
  <c r="F108" i="2"/>
  <c r="E108" i="2"/>
  <c r="D108" i="2"/>
  <c r="M107" i="2"/>
  <c r="L107" i="2"/>
  <c r="K107" i="2"/>
  <c r="J107" i="2"/>
  <c r="I107" i="2"/>
  <c r="H107" i="2"/>
  <c r="G107" i="2"/>
  <c r="F107" i="2"/>
  <c r="E107" i="2"/>
  <c r="D107" i="2"/>
  <c r="M106" i="2"/>
  <c r="L106" i="2"/>
  <c r="K106" i="2"/>
  <c r="J106" i="2"/>
  <c r="I106" i="2"/>
  <c r="H106" i="2"/>
  <c r="G106" i="2"/>
  <c r="F106" i="2"/>
  <c r="E106" i="2"/>
  <c r="D106" i="2"/>
  <c r="M105" i="2"/>
  <c r="L105" i="2"/>
  <c r="K105" i="2"/>
  <c r="J105" i="2"/>
  <c r="I105" i="2"/>
  <c r="H105" i="2"/>
  <c r="G105" i="2"/>
  <c r="F105" i="2"/>
  <c r="E105" i="2"/>
  <c r="D105" i="2"/>
  <c r="M104" i="2"/>
  <c r="L104" i="2"/>
  <c r="K104" i="2"/>
  <c r="J104" i="2"/>
  <c r="I104" i="2"/>
  <c r="H104" i="2"/>
  <c r="G104" i="2"/>
  <c r="F104" i="2"/>
  <c r="E104" i="2"/>
  <c r="D104" i="2"/>
  <c r="M103" i="2"/>
  <c r="L103" i="2"/>
  <c r="K103" i="2"/>
  <c r="J103" i="2"/>
  <c r="I103" i="2"/>
  <c r="H103" i="2"/>
  <c r="G103" i="2"/>
  <c r="F103" i="2"/>
  <c r="E103" i="2"/>
  <c r="D103" i="2"/>
  <c r="M102" i="2"/>
  <c r="L102" i="2"/>
  <c r="K102" i="2"/>
  <c r="J102" i="2"/>
  <c r="I102" i="2"/>
  <c r="H102" i="2"/>
  <c r="G102" i="2"/>
  <c r="F102" i="2"/>
  <c r="E102" i="2"/>
  <c r="D102" i="2"/>
  <c r="M101" i="2"/>
  <c r="L101" i="2"/>
  <c r="K101" i="2"/>
  <c r="J101" i="2"/>
  <c r="I101" i="2"/>
  <c r="H101" i="2"/>
  <c r="G101" i="2"/>
  <c r="F101" i="2"/>
  <c r="E101" i="2"/>
  <c r="D101" i="2"/>
  <c r="M99" i="2"/>
  <c r="L99" i="2"/>
  <c r="K99" i="2"/>
  <c r="J99" i="2"/>
  <c r="I99" i="2"/>
  <c r="H99" i="2"/>
  <c r="G99" i="2"/>
  <c r="F99" i="2"/>
  <c r="E99" i="2"/>
  <c r="D99" i="2"/>
  <c r="M98" i="2"/>
  <c r="L98" i="2"/>
  <c r="K98" i="2"/>
  <c r="J98" i="2"/>
  <c r="I98" i="2"/>
  <c r="H98" i="2"/>
  <c r="G98" i="2"/>
  <c r="F98" i="2"/>
  <c r="E98" i="2"/>
  <c r="D98" i="2"/>
  <c r="M97" i="2"/>
  <c r="L97" i="2"/>
  <c r="K97" i="2"/>
  <c r="J97" i="2"/>
  <c r="I97" i="2"/>
  <c r="H97" i="2"/>
  <c r="G97" i="2"/>
  <c r="F97" i="2"/>
  <c r="E97" i="2"/>
  <c r="D97" i="2"/>
  <c r="M96" i="2"/>
  <c r="L96" i="2"/>
  <c r="K96" i="2"/>
  <c r="J96" i="2"/>
  <c r="I96" i="2"/>
  <c r="H96" i="2"/>
  <c r="G96" i="2"/>
  <c r="F96" i="2"/>
  <c r="E96" i="2"/>
  <c r="D96" i="2"/>
  <c r="M95" i="2"/>
  <c r="L95" i="2"/>
  <c r="K95" i="2"/>
  <c r="J95" i="2"/>
  <c r="I95" i="2"/>
  <c r="H95" i="2"/>
  <c r="G95" i="2"/>
  <c r="F95" i="2"/>
  <c r="E95" i="2"/>
  <c r="D95" i="2"/>
  <c r="M94" i="2"/>
  <c r="L94" i="2"/>
  <c r="K94" i="2"/>
  <c r="J94" i="2"/>
  <c r="I94" i="2"/>
  <c r="H94" i="2"/>
  <c r="G94" i="2"/>
  <c r="F94" i="2"/>
  <c r="E94" i="2"/>
  <c r="D94" i="2"/>
  <c r="M93" i="2"/>
  <c r="L93" i="2"/>
  <c r="K93" i="2"/>
  <c r="J93" i="2"/>
  <c r="I93" i="2"/>
  <c r="H93" i="2"/>
  <c r="G93" i="2"/>
  <c r="F93" i="2"/>
  <c r="E93" i="2"/>
  <c r="D93" i="2"/>
  <c r="M92" i="2"/>
  <c r="L92" i="2"/>
  <c r="K92" i="2"/>
  <c r="J92" i="2"/>
  <c r="I92" i="2"/>
  <c r="H92" i="2"/>
  <c r="G92" i="2"/>
  <c r="F92" i="2"/>
  <c r="E92" i="2"/>
  <c r="D92" i="2"/>
  <c r="M91" i="2"/>
  <c r="L91" i="2"/>
  <c r="K91" i="2"/>
  <c r="J91" i="2"/>
  <c r="I91" i="2"/>
  <c r="H91" i="2"/>
  <c r="G91" i="2"/>
  <c r="F91" i="2"/>
  <c r="E91" i="2"/>
  <c r="D91" i="2"/>
  <c r="M90" i="2"/>
  <c r="L90" i="2"/>
  <c r="K90" i="2"/>
  <c r="J90" i="2"/>
  <c r="I90" i="2"/>
  <c r="H90" i="2"/>
  <c r="G90" i="2"/>
  <c r="F90" i="2"/>
  <c r="E90" i="2"/>
  <c r="D90" i="2"/>
  <c r="O100" i="4"/>
  <c r="N100" i="4"/>
  <c r="M100" i="4"/>
  <c r="I100" i="4"/>
  <c r="H100" i="4"/>
  <c r="F100" i="4"/>
  <c r="E100" i="4"/>
  <c r="D100" i="4"/>
  <c r="O127" i="4"/>
  <c r="N127" i="4"/>
  <c r="M127" i="4"/>
  <c r="I127" i="4"/>
  <c r="H127" i="4"/>
  <c r="F127" i="4"/>
  <c r="E127" i="4"/>
  <c r="D127" i="4"/>
  <c r="O126" i="4"/>
  <c r="N126" i="4"/>
  <c r="M126" i="4"/>
  <c r="I126" i="4"/>
  <c r="H126" i="4"/>
  <c r="F126" i="4"/>
  <c r="E126" i="4"/>
  <c r="D126" i="4"/>
  <c r="O125" i="4"/>
  <c r="N125" i="4"/>
  <c r="M125" i="4"/>
  <c r="I125" i="4"/>
  <c r="H125" i="4"/>
  <c r="F125" i="4"/>
  <c r="E125" i="4"/>
  <c r="D125" i="4"/>
  <c r="O124" i="4"/>
  <c r="N124" i="4"/>
  <c r="M124" i="4"/>
  <c r="I124" i="4"/>
  <c r="H124" i="4"/>
  <c r="F124" i="4"/>
  <c r="E124" i="4"/>
  <c r="D124" i="4"/>
  <c r="O123" i="4"/>
  <c r="N123" i="4"/>
  <c r="M123" i="4"/>
  <c r="I123" i="4"/>
  <c r="H123" i="4"/>
  <c r="F123" i="4"/>
  <c r="E123" i="4"/>
  <c r="D123" i="4"/>
  <c r="O122" i="4"/>
  <c r="N122" i="4"/>
  <c r="M122" i="4"/>
  <c r="I122" i="4"/>
  <c r="H122" i="4"/>
  <c r="F122" i="4"/>
  <c r="E122" i="4"/>
  <c r="D122" i="4"/>
  <c r="O121" i="4"/>
  <c r="N121" i="4"/>
  <c r="M121" i="4"/>
  <c r="I121" i="4"/>
  <c r="H121" i="4"/>
  <c r="F121" i="4"/>
  <c r="E121" i="4"/>
  <c r="D121" i="4"/>
  <c r="O120" i="4"/>
  <c r="N120" i="4"/>
  <c r="M120" i="4"/>
  <c r="I120" i="4"/>
  <c r="H120" i="4"/>
  <c r="F120" i="4"/>
  <c r="E120" i="4"/>
  <c r="D120" i="4"/>
  <c r="O119" i="4"/>
  <c r="N119" i="4"/>
  <c r="M119" i="4"/>
  <c r="I119" i="4"/>
  <c r="H119" i="4"/>
  <c r="F119" i="4"/>
  <c r="E119" i="4"/>
  <c r="D119" i="4"/>
  <c r="O118" i="4"/>
  <c r="N118" i="4"/>
  <c r="M118" i="4"/>
  <c r="I118" i="4"/>
  <c r="H118" i="4"/>
  <c r="F118" i="4"/>
  <c r="E118" i="4"/>
  <c r="D118" i="4"/>
  <c r="O117" i="4"/>
  <c r="N117" i="4"/>
  <c r="M117" i="4"/>
  <c r="I117" i="4"/>
  <c r="H117" i="4"/>
  <c r="F117" i="4"/>
  <c r="E117" i="4"/>
  <c r="D117" i="4"/>
  <c r="O116" i="4"/>
  <c r="N116" i="4"/>
  <c r="M116" i="4"/>
  <c r="I116" i="4"/>
  <c r="H116" i="4"/>
  <c r="F116" i="4"/>
  <c r="E116" i="4"/>
  <c r="D116" i="4"/>
  <c r="O115" i="4"/>
  <c r="N115" i="4"/>
  <c r="M115" i="4"/>
  <c r="I115" i="4"/>
  <c r="H115" i="4"/>
  <c r="F115" i="4"/>
  <c r="E115" i="4"/>
  <c r="D115" i="4"/>
  <c r="O114" i="4"/>
  <c r="N114" i="4"/>
  <c r="M114" i="4"/>
  <c r="I114" i="4"/>
  <c r="H114" i="4"/>
  <c r="F114" i="4"/>
  <c r="E114" i="4"/>
  <c r="D114" i="4"/>
  <c r="O113" i="4"/>
  <c r="N113" i="4"/>
  <c r="M113" i="4"/>
  <c r="I113" i="4"/>
  <c r="H113" i="4"/>
  <c r="F113" i="4"/>
  <c r="E113" i="4"/>
  <c r="D113" i="4"/>
  <c r="O112" i="4"/>
  <c r="N112" i="4"/>
  <c r="M112" i="4"/>
  <c r="I112" i="4"/>
  <c r="H112" i="4"/>
  <c r="F112" i="4"/>
  <c r="E112" i="4"/>
  <c r="D112" i="4"/>
  <c r="O111" i="4"/>
  <c r="N111" i="4"/>
  <c r="M111" i="4"/>
  <c r="I111" i="4"/>
  <c r="H111" i="4"/>
  <c r="F111" i="4"/>
  <c r="E111" i="4"/>
  <c r="D111" i="4"/>
  <c r="O110" i="4"/>
  <c r="N110" i="4"/>
  <c r="M110" i="4"/>
  <c r="I110" i="4"/>
  <c r="H110" i="4"/>
  <c r="F110" i="4"/>
  <c r="E110" i="4"/>
  <c r="D110" i="4"/>
  <c r="O109" i="4"/>
  <c r="N109" i="4"/>
  <c r="M109" i="4"/>
  <c r="I109" i="4"/>
  <c r="H109" i="4"/>
  <c r="F109" i="4"/>
  <c r="E109" i="4"/>
  <c r="D109" i="4"/>
  <c r="O108" i="4"/>
  <c r="N108" i="4"/>
  <c r="M108" i="4"/>
  <c r="I108" i="4"/>
  <c r="H108" i="4"/>
  <c r="F108" i="4"/>
  <c r="E108" i="4"/>
  <c r="D108" i="4"/>
  <c r="O107" i="4"/>
  <c r="N107" i="4"/>
  <c r="M107" i="4"/>
  <c r="I107" i="4"/>
  <c r="H107" i="4"/>
  <c r="F107" i="4"/>
  <c r="E107" i="4"/>
  <c r="D107" i="4"/>
  <c r="O106" i="4"/>
  <c r="N106" i="4"/>
  <c r="M106" i="4"/>
  <c r="I106" i="4"/>
  <c r="H106" i="4"/>
  <c r="F106" i="4"/>
  <c r="E106" i="4"/>
  <c r="D106" i="4"/>
  <c r="O105" i="4"/>
  <c r="N105" i="4"/>
  <c r="M105" i="4"/>
  <c r="I105" i="4"/>
  <c r="H105" i="4"/>
  <c r="F105" i="4"/>
  <c r="E105" i="4"/>
  <c r="D105" i="4"/>
  <c r="O104" i="4"/>
  <c r="N104" i="4"/>
  <c r="M104" i="4"/>
  <c r="I104" i="4"/>
  <c r="H104" i="4"/>
  <c r="F104" i="4"/>
  <c r="E104" i="4"/>
  <c r="D104" i="4"/>
  <c r="O103" i="4"/>
  <c r="N103" i="4"/>
  <c r="M103" i="4"/>
  <c r="I103" i="4"/>
  <c r="H103" i="4"/>
  <c r="F103" i="4"/>
  <c r="E103" i="4"/>
  <c r="D103" i="4"/>
  <c r="O102" i="4"/>
  <c r="N102" i="4"/>
  <c r="M102" i="4"/>
  <c r="I102" i="4"/>
  <c r="H102" i="4"/>
  <c r="F102" i="4"/>
  <c r="E102" i="4"/>
  <c r="D102" i="4"/>
  <c r="O101" i="4"/>
  <c r="N101" i="4"/>
  <c r="M101" i="4"/>
  <c r="I101" i="4"/>
  <c r="H101" i="4"/>
  <c r="F101" i="4"/>
  <c r="E101" i="4"/>
  <c r="D101" i="4"/>
  <c r="O99" i="4"/>
  <c r="N99" i="4"/>
  <c r="M99" i="4"/>
  <c r="I99" i="4"/>
  <c r="H99" i="4"/>
  <c r="F99" i="4"/>
  <c r="E99" i="4"/>
  <c r="D99" i="4"/>
  <c r="O98" i="4"/>
  <c r="N98" i="4"/>
  <c r="M98" i="4"/>
  <c r="I98" i="4"/>
  <c r="H98" i="4"/>
  <c r="F98" i="4"/>
  <c r="E98" i="4"/>
  <c r="D98" i="4"/>
  <c r="O97" i="4"/>
  <c r="N97" i="4"/>
  <c r="M97" i="4"/>
  <c r="I97" i="4"/>
  <c r="H97" i="4"/>
  <c r="F97" i="4"/>
  <c r="E97" i="4"/>
  <c r="D97" i="4"/>
  <c r="O96" i="4"/>
  <c r="N96" i="4"/>
  <c r="M96" i="4"/>
  <c r="I96" i="4"/>
  <c r="H96" i="4"/>
  <c r="F96" i="4"/>
  <c r="E96" i="4"/>
  <c r="D96" i="4"/>
  <c r="O95" i="4"/>
  <c r="N95" i="4"/>
  <c r="M95" i="4"/>
  <c r="I95" i="4"/>
  <c r="H95" i="4"/>
  <c r="F95" i="4"/>
  <c r="E95" i="4"/>
  <c r="D95" i="4"/>
  <c r="O94" i="4"/>
  <c r="N94" i="4"/>
  <c r="M94" i="4"/>
  <c r="I94" i="4"/>
  <c r="H94" i="4"/>
  <c r="F94" i="4"/>
  <c r="E94" i="4"/>
  <c r="D94" i="4"/>
  <c r="O93" i="4"/>
  <c r="N93" i="4"/>
  <c r="M93" i="4"/>
  <c r="I93" i="4"/>
  <c r="H93" i="4"/>
  <c r="F93" i="4"/>
  <c r="E93" i="4"/>
  <c r="D93" i="4"/>
  <c r="O92" i="4"/>
  <c r="N92" i="4"/>
  <c r="M92" i="4"/>
  <c r="I92" i="4"/>
  <c r="H92" i="4"/>
  <c r="F92" i="4"/>
  <c r="E92" i="4"/>
  <c r="D92" i="4"/>
  <c r="O91" i="4"/>
  <c r="N91" i="4"/>
  <c r="M91" i="4"/>
  <c r="I91" i="4"/>
  <c r="H91" i="4"/>
  <c r="F91" i="4"/>
  <c r="E91" i="4"/>
  <c r="D91" i="4"/>
  <c r="O90" i="4"/>
  <c r="N90" i="4"/>
  <c r="M90" i="4"/>
  <c r="I90" i="4"/>
  <c r="H90" i="4"/>
  <c r="F90" i="4"/>
  <c r="E90" i="4"/>
  <c r="D90" i="4"/>
  <c r="L135" i="4"/>
  <c r="K135" i="4"/>
  <c r="J135" i="4"/>
  <c r="G135" i="4"/>
  <c r="C135" i="4"/>
  <c r="L134" i="4"/>
  <c r="K134" i="4"/>
  <c r="J134" i="4"/>
  <c r="G134" i="4"/>
  <c r="C134" i="4"/>
  <c r="L133" i="4"/>
  <c r="L94" i="4" s="1"/>
  <c r="K133" i="4"/>
  <c r="J133" i="4"/>
  <c r="J94" i="4" s="1"/>
  <c r="G133" i="4"/>
  <c r="C133" i="4"/>
  <c r="L132" i="4"/>
  <c r="K132" i="4"/>
  <c r="J132" i="4"/>
  <c r="G132" i="4"/>
  <c r="C132" i="4"/>
  <c r="L131" i="4"/>
  <c r="L99" i="4" s="1"/>
  <c r="K131" i="4"/>
  <c r="K99" i="4" s="1"/>
  <c r="J131" i="4"/>
  <c r="J99" i="4" s="1"/>
  <c r="G131" i="4"/>
  <c r="G99" i="4" s="1"/>
  <c r="C131" i="4"/>
  <c r="M100" i="1"/>
  <c r="L100" i="1"/>
  <c r="K100" i="1"/>
  <c r="J100" i="1"/>
  <c r="I100" i="1"/>
  <c r="H100" i="1"/>
  <c r="G100" i="1"/>
  <c r="F100" i="1"/>
  <c r="E100" i="1"/>
  <c r="D100" i="1"/>
  <c r="M127" i="1"/>
  <c r="L127" i="1"/>
  <c r="K127" i="1"/>
  <c r="J127" i="1"/>
  <c r="I127" i="1"/>
  <c r="H127" i="1"/>
  <c r="G127" i="1"/>
  <c r="F127" i="1"/>
  <c r="E127" i="1"/>
  <c r="D127" i="1"/>
  <c r="M126" i="1"/>
  <c r="L126" i="1"/>
  <c r="K126" i="1"/>
  <c r="J126" i="1"/>
  <c r="I126" i="1"/>
  <c r="H126" i="1"/>
  <c r="G126" i="1"/>
  <c r="F126" i="1"/>
  <c r="E126" i="1"/>
  <c r="D126" i="1"/>
  <c r="M125" i="1"/>
  <c r="L125" i="1"/>
  <c r="K125" i="1"/>
  <c r="J125" i="1"/>
  <c r="I125" i="1"/>
  <c r="H125" i="1"/>
  <c r="G125" i="1"/>
  <c r="F125" i="1"/>
  <c r="E125" i="1"/>
  <c r="D125" i="1"/>
  <c r="M124" i="1"/>
  <c r="L124" i="1"/>
  <c r="K124" i="1"/>
  <c r="J124" i="1"/>
  <c r="I124" i="1"/>
  <c r="H124" i="1"/>
  <c r="G124" i="1"/>
  <c r="F124" i="1"/>
  <c r="E124" i="1"/>
  <c r="D124" i="1"/>
  <c r="M123" i="1"/>
  <c r="L123" i="1"/>
  <c r="K123" i="1"/>
  <c r="J123" i="1"/>
  <c r="I123" i="1"/>
  <c r="H123" i="1"/>
  <c r="G123" i="1"/>
  <c r="F123" i="1"/>
  <c r="E123" i="1"/>
  <c r="D123" i="1"/>
  <c r="M122" i="1"/>
  <c r="L122" i="1"/>
  <c r="K122" i="1"/>
  <c r="J122" i="1"/>
  <c r="I122" i="1"/>
  <c r="H122" i="1"/>
  <c r="G122" i="1"/>
  <c r="F122" i="1"/>
  <c r="E122" i="1"/>
  <c r="D122" i="1"/>
  <c r="M121" i="1"/>
  <c r="L121" i="1"/>
  <c r="K121" i="1"/>
  <c r="J121" i="1"/>
  <c r="I121" i="1"/>
  <c r="H121" i="1"/>
  <c r="G121" i="1"/>
  <c r="F121" i="1"/>
  <c r="E121" i="1"/>
  <c r="D121" i="1"/>
  <c r="M120" i="1"/>
  <c r="L120" i="1"/>
  <c r="K120" i="1"/>
  <c r="J120" i="1"/>
  <c r="I120" i="1"/>
  <c r="H120" i="1"/>
  <c r="G120" i="1"/>
  <c r="F120" i="1"/>
  <c r="E120" i="1"/>
  <c r="D120" i="1"/>
  <c r="M119" i="1"/>
  <c r="L119" i="1"/>
  <c r="K119" i="1"/>
  <c r="J119" i="1"/>
  <c r="I119" i="1"/>
  <c r="H119" i="1"/>
  <c r="G119" i="1"/>
  <c r="F119" i="1"/>
  <c r="E119" i="1"/>
  <c r="D119" i="1"/>
  <c r="M118" i="1"/>
  <c r="L118" i="1"/>
  <c r="K118" i="1"/>
  <c r="J118" i="1"/>
  <c r="I118" i="1"/>
  <c r="H118" i="1"/>
  <c r="G118" i="1"/>
  <c r="F118" i="1"/>
  <c r="E118" i="1"/>
  <c r="D118" i="1"/>
  <c r="M117" i="1"/>
  <c r="L117" i="1"/>
  <c r="K117" i="1"/>
  <c r="J117" i="1"/>
  <c r="I117" i="1"/>
  <c r="H117" i="1"/>
  <c r="G117" i="1"/>
  <c r="F117" i="1"/>
  <c r="E117" i="1"/>
  <c r="D117" i="1"/>
  <c r="M116" i="1"/>
  <c r="L116" i="1"/>
  <c r="K116" i="1"/>
  <c r="J116" i="1"/>
  <c r="I116" i="1"/>
  <c r="H116" i="1"/>
  <c r="G116" i="1"/>
  <c r="F116" i="1"/>
  <c r="E116" i="1"/>
  <c r="D116" i="1"/>
  <c r="M115" i="1"/>
  <c r="L115" i="1"/>
  <c r="K115" i="1"/>
  <c r="J115" i="1"/>
  <c r="I115" i="1"/>
  <c r="H115" i="1"/>
  <c r="G115" i="1"/>
  <c r="F115" i="1"/>
  <c r="E115" i="1"/>
  <c r="D115" i="1"/>
  <c r="M114" i="1"/>
  <c r="L114" i="1"/>
  <c r="K114" i="1"/>
  <c r="J114" i="1"/>
  <c r="I114" i="1"/>
  <c r="H114" i="1"/>
  <c r="G114" i="1"/>
  <c r="F114" i="1"/>
  <c r="E114" i="1"/>
  <c r="D114" i="1"/>
  <c r="M113" i="1"/>
  <c r="L113" i="1"/>
  <c r="K113" i="1"/>
  <c r="J113" i="1"/>
  <c r="I113" i="1"/>
  <c r="H113" i="1"/>
  <c r="G113" i="1"/>
  <c r="F113" i="1"/>
  <c r="E113" i="1"/>
  <c r="D113" i="1"/>
  <c r="M112" i="1"/>
  <c r="L112" i="1"/>
  <c r="K112" i="1"/>
  <c r="J112" i="1"/>
  <c r="I112" i="1"/>
  <c r="H112" i="1"/>
  <c r="G112" i="1"/>
  <c r="F112" i="1"/>
  <c r="E112" i="1"/>
  <c r="D112" i="1"/>
  <c r="M111" i="1"/>
  <c r="L111" i="1"/>
  <c r="K111" i="1"/>
  <c r="J111" i="1"/>
  <c r="I111" i="1"/>
  <c r="H111" i="1"/>
  <c r="G111" i="1"/>
  <c r="F111" i="1"/>
  <c r="E111" i="1"/>
  <c r="D111" i="1"/>
  <c r="M110" i="1"/>
  <c r="L110" i="1"/>
  <c r="K110" i="1"/>
  <c r="J110" i="1"/>
  <c r="I110" i="1"/>
  <c r="H110" i="1"/>
  <c r="G110" i="1"/>
  <c r="F110" i="1"/>
  <c r="E110" i="1"/>
  <c r="D110" i="1"/>
  <c r="M109" i="1"/>
  <c r="L109" i="1"/>
  <c r="K109" i="1"/>
  <c r="J109" i="1"/>
  <c r="I109" i="1"/>
  <c r="H109" i="1"/>
  <c r="G109" i="1"/>
  <c r="F109" i="1"/>
  <c r="E109" i="1"/>
  <c r="D109" i="1"/>
  <c r="M108" i="1"/>
  <c r="L108" i="1"/>
  <c r="K108" i="1"/>
  <c r="J108" i="1"/>
  <c r="I108" i="1"/>
  <c r="H108" i="1"/>
  <c r="G108" i="1"/>
  <c r="F108" i="1"/>
  <c r="E108" i="1"/>
  <c r="D108" i="1"/>
  <c r="M107" i="1"/>
  <c r="L107" i="1"/>
  <c r="K107" i="1"/>
  <c r="J107" i="1"/>
  <c r="I107" i="1"/>
  <c r="H107" i="1"/>
  <c r="G107" i="1"/>
  <c r="F107" i="1"/>
  <c r="E107" i="1"/>
  <c r="D107" i="1"/>
  <c r="M106" i="1"/>
  <c r="L106" i="1"/>
  <c r="K106" i="1"/>
  <c r="J106" i="1"/>
  <c r="I106" i="1"/>
  <c r="H106" i="1"/>
  <c r="G106" i="1"/>
  <c r="F106" i="1"/>
  <c r="E106" i="1"/>
  <c r="D106" i="1"/>
  <c r="M105" i="1"/>
  <c r="L105" i="1"/>
  <c r="K105" i="1"/>
  <c r="J105" i="1"/>
  <c r="I105" i="1"/>
  <c r="H105" i="1"/>
  <c r="G105" i="1"/>
  <c r="F105" i="1"/>
  <c r="E105" i="1"/>
  <c r="D105" i="1"/>
  <c r="M104" i="1"/>
  <c r="L104" i="1"/>
  <c r="K104" i="1"/>
  <c r="J104" i="1"/>
  <c r="I104" i="1"/>
  <c r="H104" i="1"/>
  <c r="G104" i="1"/>
  <c r="F104" i="1"/>
  <c r="E104" i="1"/>
  <c r="D104" i="1"/>
  <c r="M103" i="1"/>
  <c r="L103" i="1"/>
  <c r="K103" i="1"/>
  <c r="J103" i="1"/>
  <c r="I103" i="1"/>
  <c r="H103" i="1"/>
  <c r="G103" i="1"/>
  <c r="F103" i="1"/>
  <c r="E103" i="1"/>
  <c r="D103" i="1"/>
  <c r="M102" i="1"/>
  <c r="L102" i="1"/>
  <c r="K102" i="1"/>
  <c r="J102" i="1"/>
  <c r="I102" i="1"/>
  <c r="H102" i="1"/>
  <c r="G102" i="1"/>
  <c r="F102" i="1"/>
  <c r="E102" i="1"/>
  <c r="D102" i="1"/>
  <c r="M101" i="1"/>
  <c r="L101" i="1"/>
  <c r="K101" i="1"/>
  <c r="J101" i="1"/>
  <c r="I101" i="1"/>
  <c r="H101" i="1"/>
  <c r="G101" i="1"/>
  <c r="F101" i="1"/>
  <c r="E101" i="1"/>
  <c r="D101" i="1"/>
  <c r="M99" i="1"/>
  <c r="L99" i="1"/>
  <c r="K99" i="1"/>
  <c r="J99" i="1"/>
  <c r="I99" i="1"/>
  <c r="H99" i="1"/>
  <c r="G99" i="1"/>
  <c r="F99" i="1"/>
  <c r="E99" i="1"/>
  <c r="D99" i="1"/>
  <c r="M98" i="1"/>
  <c r="L98" i="1"/>
  <c r="K98" i="1"/>
  <c r="J98" i="1"/>
  <c r="I98" i="1"/>
  <c r="H98" i="1"/>
  <c r="G98" i="1"/>
  <c r="F98" i="1"/>
  <c r="E98" i="1"/>
  <c r="D98" i="1"/>
  <c r="M97" i="1"/>
  <c r="L97" i="1"/>
  <c r="K97" i="1"/>
  <c r="J97" i="1"/>
  <c r="I97" i="1"/>
  <c r="H97" i="1"/>
  <c r="G97" i="1"/>
  <c r="F97" i="1"/>
  <c r="E97" i="1"/>
  <c r="D97" i="1"/>
  <c r="M96" i="1"/>
  <c r="L96" i="1"/>
  <c r="K96" i="1"/>
  <c r="J96" i="1"/>
  <c r="I96" i="1"/>
  <c r="H96" i="1"/>
  <c r="G96" i="1"/>
  <c r="F96" i="1"/>
  <c r="E96" i="1"/>
  <c r="D96" i="1"/>
  <c r="M95" i="1"/>
  <c r="L95" i="1"/>
  <c r="K95" i="1"/>
  <c r="J95" i="1"/>
  <c r="I95" i="1"/>
  <c r="H95" i="1"/>
  <c r="G95" i="1"/>
  <c r="F95" i="1"/>
  <c r="E95" i="1"/>
  <c r="D95" i="1"/>
  <c r="M94" i="1"/>
  <c r="L94" i="1"/>
  <c r="K94" i="1"/>
  <c r="J94" i="1"/>
  <c r="I94" i="1"/>
  <c r="H94" i="1"/>
  <c r="G94" i="1"/>
  <c r="F94" i="1"/>
  <c r="E94" i="1"/>
  <c r="D94" i="1"/>
  <c r="M93" i="1"/>
  <c r="L93" i="1"/>
  <c r="K93" i="1"/>
  <c r="J93" i="1"/>
  <c r="I93" i="1"/>
  <c r="H93" i="1"/>
  <c r="G93" i="1"/>
  <c r="F93" i="1"/>
  <c r="E93" i="1"/>
  <c r="D93" i="1"/>
  <c r="M92" i="1"/>
  <c r="L92" i="1"/>
  <c r="K92" i="1"/>
  <c r="J92" i="1"/>
  <c r="I92" i="1"/>
  <c r="H92" i="1"/>
  <c r="G92" i="1"/>
  <c r="F92" i="1"/>
  <c r="E92" i="1"/>
  <c r="D92" i="1"/>
  <c r="M91" i="1"/>
  <c r="L91" i="1"/>
  <c r="K91" i="1"/>
  <c r="J91" i="1"/>
  <c r="I91" i="1"/>
  <c r="H91" i="1"/>
  <c r="G91" i="1"/>
  <c r="F91" i="1"/>
  <c r="E91" i="1"/>
  <c r="D91" i="1"/>
  <c r="M90" i="1"/>
  <c r="L90" i="1"/>
  <c r="K90" i="1"/>
  <c r="J90" i="1"/>
  <c r="I90" i="1"/>
  <c r="H90" i="1"/>
  <c r="G90" i="1"/>
  <c r="F90" i="1"/>
  <c r="E90" i="1"/>
  <c r="D90" i="1"/>
  <c r="O100" i="5"/>
  <c r="N100" i="5"/>
  <c r="M100" i="5"/>
  <c r="I100" i="5"/>
  <c r="H100" i="5"/>
  <c r="F100" i="5"/>
  <c r="E100" i="5"/>
  <c r="D100" i="5"/>
  <c r="O127" i="5"/>
  <c r="N127" i="5"/>
  <c r="M127" i="5"/>
  <c r="I127" i="5"/>
  <c r="H127" i="5"/>
  <c r="F127" i="5"/>
  <c r="E127" i="5"/>
  <c r="D127" i="5"/>
  <c r="O126" i="5"/>
  <c r="N126" i="5"/>
  <c r="M126" i="5"/>
  <c r="I126" i="5"/>
  <c r="H126" i="5"/>
  <c r="F126" i="5"/>
  <c r="E126" i="5"/>
  <c r="D126" i="5"/>
  <c r="O125" i="5"/>
  <c r="N125" i="5"/>
  <c r="M125" i="5"/>
  <c r="I125" i="5"/>
  <c r="H125" i="5"/>
  <c r="F125" i="5"/>
  <c r="E125" i="5"/>
  <c r="D125" i="5"/>
  <c r="O124" i="5"/>
  <c r="N124" i="5"/>
  <c r="M124" i="5"/>
  <c r="I124" i="5"/>
  <c r="H124" i="5"/>
  <c r="F124" i="5"/>
  <c r="E124" i="5"/>
  <c r="D124" i="5"/>
  <c r="O123" i="5"/>
  <c r="N123" i="5"/>
  <c r="M123" i="5"/>
  <c r="I123" i="5"/>
  <c r="H123" i="5"/>
  <c r="F123" i="5"/>
  <c r="E123" i="5"/>
  <c r="D123" i="5"/>
  <c r="O122" i="5"/>
  <c r="N122" i="5"/>
  <c r="M122" i="5"/>
  <c r="I122" i="5"/>
  <c r="H122" i="5"/>
  <c r="F122" i="5"/>
  <c r="E122" i="5"/>
  <c r="D122" i="5"/>
  <c r="O121" i="5"/>
  <c r="N121" i="5"/>
  <c r="M121" i="5"/>
  <c r="I121" i="5"/>
  <c r="H121" i="5"/>
  <c r="F121" i="5"/>
  <c r="E121" i="5"/>
  <c r="D121" i="5"/>
  <c r="O120" i="5"/>
  <c r="N120" i="5"/>
  <c r="M120" i="5"/>
  <c r="I120" i="5"/>
  <c r="H120" i="5"/>
  <c r="F120" i="5"/>
  <c r="E120" i="5"/>
  <c r="D120" i="5"/>
  <c r="O119" i="5"/>
  <c r="N119" i="5"/>
  <c r="M119" i="5"/>
  <c r="I119" i="5"/>
  <c r="H119" i="5"/>
  <c r="F119" i="5"/>
  <c r="E119" i="5"/>
  <c r="D119" i="5"/>
  <c r="O118" i="5"/>
  <c r="N118" i="5"/>
  <c r="M118" i="5"/>
  <c r="I118" i="5"/>
  <c r="H118" i="5"/>
  <c r="F118" i="5"/>
  <c r="E118" i="5"/>
  <c r="D118" i="5"/>
  <c r="O117" i="5"/>
  <c r="N117" i="5"/>
  <c r="M117" i="5"/>
  <c r="I117" i="5"/>
  <c r="H117" i="5"/>
  <c r="F117" i="5"/>
  <c r="E117" i="5"/>
  <c r="D117" i="5"/>
  <c r="O116" i="5"/>
  <c r="N116" i="5"/>
  <c r="M116" i="5"/>
  <c r="I116" i="5"/>
  <c r="H116" i="5"/>
  <c r="F116" i="5"/>
  <c r="E116" i="5"/>
  <c r="D116" i="5"/>
  <c r="O115" i="5"/>
  <c r="N115" i="5"/>
  <c r="M115" i="5"/>
  <c r="I115" i="5"/>
  <c r="H115" i="5"/>
  <c r="F115" i="5"/>
  <c r="E115" i="5"/>
  <c r="D115" i="5"/>
  <c r="O114" i="5"/>
  <c r="N114" i="5"/>
  <c r="M114" i="5"/>
  <c r="I114" i="5"/>
  <c r="H114" i="5"/>
  <c r="F114" i="5"/>
  <c r="E114" i="5"/>
  <c r="D114" i="5"/>
  <c r="O113" i="5"/>
  <c r="N113" i="5"/>
  <c r="M113" i="5"/>
  <c r="I113" i="5"/>
  <c r="H113" i="5"/>
  <c r="F113" i="5"/>
  <c r="E113" i="5"/>
  <c r="D113" i="5"/>
  <c r="O112" i="5"/>
  <c r="N112" i="5"/>
  <c r="M112" i="5"/>
  <c r="I112" i="5"/>
  <c r="H112" i="5"/>
  <c r="F112" i="5"/>
  <c r="E112" i="5"/>
  <c r="D112" i="5"/>
  <c r="O111" i="5"/>
  <c r="N111" i="5"/>
  <c r="M111" i="5"/>
  <c r="I111" i="5"/>
  <c r="H111" i="5"/>
  <c r="F111" i="5"/>
  <c r="E111" i="5"/>
  <c r="D111" i="5"/>
  <c r="O110" i="5"/>
  <c r="N110" i="5"/>
  <c r="M110" i="5"/>
  <c r="I110" i="5"/>
  <c r="H110" i="5"/>
  <c r="F110" i="5"/>
  <c r="E110" i="5"/>
  <c r="D110" i="5"/>
  <c r="O109" i="5"/>
  <c r="N109" i="5"/>
  <c r="M109" i="5"/>
  <c r="I109" i="5"/>
  <c r="H109" i="5"/>
  <c r="F109" i="5"/>
  <c r="E109" i="5"/>
  <c r="D109" i="5"/>
  <c r="O108" i="5"/>
  <c r="N108" i="5"/>
  <c r="M108" i="5"/>
  <c r="I108" i="5"/>
  <c r="H108" i="5"/>
  <c r="F108" i="5"/>
  <c r="E108" i="5"/>
  <c r="D108" i="5"/>
  <c r="O107" i="5"/>
  <c r="N107" i="5"/>
  <c r="M107" i="5"/>
  <c r="I107" i="5"/>
  <c r="H107" i="5"/>
  <c r="F107" i="5"/>
  <c r="E107" i="5"/>
  <c r="D107" i="5"/>
  <c r="O106" i="5"/>
  <c r="N106" i="5"/>
  <c r="M106" i="5"/>
  <c r="I106" i="5"/>
  <c r="H106" i="5"/>
  <c r="F106" i="5"/>
  <c r="E106" i="5"/>
  <c r="D106" i="5"/>
  <c r="O105" i="5"/>
  <c r="N105" i="5"/>
  <c r="M105" i="5"/>
  <c r="I105" i="5"/>
  <c r="H105" i="5"/>
  <c r="F105" i="5"/>
  <c r="E105" i="5"/>
  <c r="D105" i="5"/>
  <c r="O104" i="5"/>
  <c r="N104" i="5"/>
  <c r="M104" i="5"/>
  <c r="I104" i="5"/>
  <c r="H104" i="5"/>
  <c r="F104" i="5"/>
  <c r="E104" i="5"/>
  <c r="D104" i="5"/>
  <c r="O103" i="5"/>
  <c r="N103" i="5"/>
  <c r="M103" i="5"/>
  <c r="I103" i="5"/>
  <c r="H103" i="5"/>
  <c r="F103" i="5"/>
  <c r="E103" i="5"/>
  <c r="D103" i="5"/>
  <c r="O102" i="5"/>
  <c r="N102" i="5"/>
  <c r="M102" i="5"/>
  <c r="I102" i="5"/>
  <c r="H102" i="5"/>
  <c r="F102" i="5"/>
  <c r="E102" i="5"/>
  <c r="D102" i="5"/>
  <c r="O101" i="5"/>
  <c r="N101" i="5"/>
  <c r="M101" i="5"/>
  <c r="I101" i="5"/>
  <c r="H101" i="5"/>
  <c r="F101" i="5"/>
  <c r="E101" i="5"/>
  <c r="D101" i="5"/>
  <c r="O99" i="5"/>
  <c r="N99" i="5"/>
  <c r="M99" i="5"/>
  <c r="I99" i="5"/>
  <c r="H99" i="5"/>
  <c r="F99" i="5"/>
  <c r="E99" i="5"/>
  <c r="D99" i="5"/>
  <c r="O98" i="5"/>
  <c r="N98" i="5"/>
  <c r="M98" i="5"/>
  <c r="I98" i="5"/>
  <c r="H98" i="5"/>
  <c r="F98" i="5"/>
  <c r="E98" i="5"/>
  <c r="D98" i="5"/>
  <c r="O97" i="5"/>
  <c r="N97" i="5"/>
  <c r="M97" i="5"/>
  <c r="I97" i="5"/>
  <c r="H97" i="5"/>
  <c r="F97" i="5"/>
  <c r="E97" i="5"/>
  <c r="D97" i="5"/>
  <c r="O96" i="5"/>
  <c r="N96" i="5"/>
  <c r="M96" i="5"/>
  <c r="I96" i="5"/>
  <c r="H96" i="5"/>
  <c r="F96" i="5"/>
  <c r="E96" i="5"/>
  <c r="D96" i="5"/>
  <c r="O95" i="5"/>
  <c r="N95" i="5"/>
  <c r="M95" i="5"/>
  <c r="I95" i="5"/>
  <c r="H95" i="5"/>
  <c r="F95" i="5"/>
  <c r="E95" i="5"/>
  <c r="D95" i="5"/>
  <c r="O94" i="5"/>
  <c r="N94" i="5"/>
  <c r="M94" i="5"/>
  <c r="I94" i="5"/>
  <c r="H94" i="5"/>
  <c r="F94" i="5"/>
  <c r="E94" i="5"/>
  <c r="D94" i="5"/>
  <c r="O93" i="5"/>
  <c r="N93" i="5"/>
  <c r="M93" i="5"/>
  <c r="I93" i="5"/>
  <c r="H93" i="5"/>
  <c r="F93" i="5"/>
  <c r="E93" i="5"/>
  <c r="D93" i="5"/>
  <c r="O92" i="5"/>
  <c r="N92" i="5"/>
  <c r="M92" i="5"/>
  <c r="I92" i="5"/>
  <c r="H92" i="5"/>
  <c r="F92" i="5"/>
  <c r="E92" i="5"/>
  <c r="D92" i="5"/>
  <c r="O91" i="5"/>
  <c r="N91" i="5"/>
  <c r="M91" i="5"/>
  <c r="I91" i="5"/>
  <c r="H91" i="5"/>
  <c r="F91" i="5"/>
  <c r="E91" i="5"/>
  <c r="D91" i="5"/>
  <c r="O90" i="5"/>
  <c r="N90" i="5"/>
  <c r="M90" i="5"/>
  <c r="I90" i="5"/>
  <c r="H90" i="5"/>
  <c r="F90" i="5"/>
  <c r="E90" i="5"/>
  <c r="D90" i="5"/>
  <c r="L136" i="5"/>
  <c r="L100" i="5" s="1"/>
  <c r="K136" i="5"/>
  <c r="K100" i="5" s="1"/>
  <c r="J136" i="5"/>
  <c r="J100" i="5" s="1"/>
  <c r="G136" i="5"/>
  <c r="G100" i="5" s="1"/>
  <c r="C136" i="5"/>
  <c r="L135" i="5"/>
  <c r="L127" i="5" s="1"/>
  <c r="K135" i="5"/>
  <c r="K127" i="5" s="1"/>
  <c r="J135" i="5"/>
  <c r="J127" i="5" s="1"/>
  <c r="G135" i="5"/>
  <c r="G127" i="5" s="1"/>
  <c r="C135" i="5"/>
  <c r="L134" i="5"/>
  <c r="L114" i="5" s="1"/>
  <c r="K134" i="5"/>
  <c r="K114" i="5" s="1"/>
  <c r="J134" i="5"/>
  <c r="J114" i="5" s="1"/>
  <c r="G134" i="5"/>
  <c r="G114" i="5" s="1"/>
  <c r="C134" i="5"/>
  <c r="L133" i="5"/>
  <c r="L126" i="5" s="1"/>
  <c r="K133" i="5"/>
  <c r="K126" i="5" s="1"/>
  <c r="J133" i="5"/>
  <c r="J126" i="5" s="1"/>
  <c r="G133" i="5"/>
  <c r="G126" i="5" s="1"/>
  <c r="C133" i="5"/>
  <c r="L132" i="5"/>
  <c r="L122" i="5" s="1"/>
  <c r="K132" i="5"/>
  <c r="K122" i="5" s="1"/>
  <c r="J132" i="5"/>
  <c r="J122" i="5" s="1"/>
  <c r="G132" i="5"/>
  <c r="G122" i="5" s="1"/>
  <c r="C132" i="5"/>
  <c r="L131" i="5"/>
  <c r="L120" i="5" s="1"/>
  <c r="K131" i="5"/>
  <c r="K120" i="5" s="1"/>
  <c r="J131" i="5"/>
  <c r="J120" i="5" s="1"/>
  <c r="G131" i="5"/>
  <c r="G120" i="5" s="1"/>
  <c r="C131" i="5"/>
  <c r="I346" i="4"/>
  <c r="H346" i="4"/>
  <c r="I306" i="4"/>
  <c r="H306" i="4"/>
  <c r="I304" i="4"/>
  <c r="H304" i="4"/>
  <c r="I264" i="4"/>
  <c r="H264" i="4"/>
  <c r="I262" i="4"/>
  <c r="H262" i="4"/>
  <c r="I222" i="4"/>
  <c r="H222" i="4"/>
  <c r="I219" i="4"/>
  <c r="H219" i="4"/>
  <c r="I218" i="4"/>
  <c r="H218" i="4"/>
  <c r="I217" i="4"/>
  <c r="H217" i="4"/>
  <c r="I216" i="4"/>
  <c r="H216" i="4"/>
  <c r="I215" i="4"/>
  <c r="H215" i="4"/>
  <c r="I214" i="4"/>
  <c r="H214" i="4"/>
  <c r="I213" i="4"/>
  <c r="H213" i="4"/>
  <c r="I212" i="4"/>
  <c r="H212" i="4"/>
  <c r="I211" i="4"/>
  <c r="H211" i="4"/>
  <c r="I210" i="4"/>
  <c r="H210" i="4"/>
  <c r="I209" i="4"/>
  <c r="H209" i="4"/>
  <c r="I208" i="4"/>
  <c r="H208" i="4"/>
  <c r="I207" i="4"/>
  <c r="H207" i="4"/>
  <c r="I206" i="4"/>
  <c r="H206" i="4"/>
  <c r="I205" i="4"/>
  <c r="H205" i="4"/>
  <c r="I204" i="4"/>
  <c r="H204" i="4"/>
  <c r="I203" i="4"/>
  <c r="H203" i="4"/>
  <c r="I202" i="4"/>
  <c r="H202" i="4"/>
  <c r="I201" i="4"/>
  <c r="H201" i="4"/>
  <c r="I200" i="4"/>
  <c r="H200" i="4"/>
  <c r="I199" i="4"/>
  <c r="H199" i="4"/>
  <c r="I198" i="4"/>
  <c r="H198" i="4"/>
  <c r="I197" i="4"/>
  <c r="H197" i="4"/>
  <c r="I196" i="4"/>
  <c r="H196" i="4"/>
  <c r="I195" i="4"/>
  <c r="H195" i="4"/>
  <c r="I194" i="4"/>
  <c r="H194" i="4"/>
  <c r="I193" i="4"/>
  <c r="H193" i="4"/>
  <c r="I192" i="4"/>
  <c r="H192" i="4"/>
  <c r="I191" i="4"/>
  <c r="H191" i="4"/>
  <c r="I190" i="4"/>
  <c r="H190" i="4"/>
  <c r="I189" i="4"/>
  <c r="H189" i="4"/>
  <c r="I188" i="4"/>
  <c r="H188" i="4"/>
  <c r="I187" i="4"/>
  <c r="H187" i="4"/>
  <c r="I186" i="4"/>
  <c r="H186" i="4"/>
  <c r="I185" i="4"/>
  <c r="H185" i="4"/>
  <c r="I184" i="4"/>
  <c r="H184" i="4"/>
  <c r="I183" i="4"/>
  <c r="H183" i="4"/>
  <c r="I182" i="4"/>
  <c r="I220" i="4" s="1"/>
  <c r="H182" i="4"/>
  <c r="H220" i="4" s="1"/>
  <c r="I180" i="4"/>
  <c r="H180" i="4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I178" i="4" s="1"/>
  <c r="H140" i="4"/>
  <c r="H178" i="4" s="1"/>
  <c r="I137" i="4"/>
  <c r="H137" i="4"/>
  <c r="I88" i="4"/>
  <c r="H88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I86" i="4" s="1"/>
  <c r="H48" i="4"/>
  <c r="H86" i="4" s="1"/>
  <c r="I46" i="4"/>
  <c r="H46" i="4"/>
  <c r="L93" i="5" l="1"/>
  <c r="J93" i="5"/>
  <c r="J90" i="5"/>
  <c r="J91" i="5"/>
  <c r="J92" i="5"/>
  <c r="G90" i="5"/>
  <c r="K90" i="5"/>
  <c r="G91" i="5"/>
  <c r="K91" i="5"/>
  <c r="G92" i="5"/>
  <c r="K92" i="5"/>
  <c r="G93" i="5"/>
  <c r="K93" i="5"/>
  <c r="G94" i="5"/>
  <c r="K94" i="5"/>
  <c r="G95" i="5"/>
  <c r="K95" i="5"/>
  <c r="G96" i="5"/>
  <c r="K96" i="5"/>
  <c r="G97" i="5"/>
  <c r="K97" i="5"/>
  <c r="G98" i="5"/>
  <c r="K98" i="5"/>
  <c r="G99" i="5"/>
  <c r="K99" i="5"/>
  <c r="G101" i="5"/>
  <c r="K101" i="5"/>
  <c r="G102" i="5"/>
  <c r="K102" i="5"/>
  <c r="G103" i="5"/>
  <c r="K103" i="5"/>
  <c r="G104" i="5"/>
  <c r="K104" i="5"/>
  <c r="G105" i="5"/>
  <c r="K105" i="5"/>
  <c r="G106" i="5"/>
  <c r="K106" i="5"/>
  <c r="G107" i="5"/>
  <c r="K107" i="5"/>
  <c r="G108" i="5"/>
  <c r="K108" i="5"/>
  <c r="G109" i="5"/>
  <c r="K109" i="5"/>
  <c r="G110" i="5"/>
  <c r="K110" i="5"/>
  <c r="G111" i="5"/>
  <c r="K111" i="5"/>
  <c r="G112" i="5"/>
  <c r="K112" i="5"/>
  <c r="G113" i="5"/>
  <c r="K113" i="5"/>
  <c r="G115" i="5"/>
  <c r="K115" i="5"/>
  <c r="G116" i="5"/>
  <c r="K116" i="5"/>
  <c r="G117" i="5"/>
  <c r="K117" i="5"/>
  <c r="G118" i="5"/>
  <c r="K118" i="5"/>
  <c r="G119" i="5"/>
  <c r="K119" i="5"/>
  <c r="G121" i="5"/>
  <c r="K121" i="5"/>
  <c r="G123" i="5"/>
  <c r="K123" i="5"/>
  <c r="G124" i="5"/>
  <c r="K124" i="5"/>
  <c r="G125" i="5"/>
  <c r="K125" i="5"/>
  <c r="L90" i="5"/>
  <c r="L91" i="5"/>
  <c r="L92" i="5"/>
  <c r="J94" i="5"/>
  <c r="L94" i="5"/>
  <c r="J95" i="5"/>
  <c r="L95" i="5"/>
  <c r="J96" i="5"/>
  <c r="L96" i="5"/>
  <c r="J97" i="5"/>
  <c r="L97" i="5"/>
  <c r="J98" i="5"/>
  <c r="L98" i="5"/>
  <c r="J99" i="5"/>
  <c r="L99" i="5"/>
  <c r="J101" i="5"/>
  <c r="L101" i="5"/>
  <c r="J102" i="5"/>
  <c r="L102" i="5"/>
  <c r="J103" i="5"/>
  <c r="L103" i="5"/>
  <c r="J104" i="5"/>
  <c r="L104" i="5"/>
  <c r="J105" i="5"/>
  <c r="L105" i="5"/>
  <c r="J106" i="5"/>
  <c r="L106" i="5"/>
  <c r="J107" i="5"/>
  <c r="L107" i="5"/>
  <c r="J108" i="5"/>
  <c r="L108" i="5"/>
  <c r="J109" i="5"/>
  <c r="L109" i="5"/>
  <c r="J110" i="5"/>
  <c r="L110" i="5"/>
  <c r="J111" i="5"/>
  <c r="L111" i="5"/>
  <c r="J112" i="5"/>
  <c r="L112" i="5"/>
  <c r="J113" i="5"/>
  <c r="L113" i="5"/>
  <c r="J115" i="5"/>
  <c r="L115" i="5"/>
  <c r="J116" i="5"/>
  <c r="L116" i="5"/>
  <c r="J117" i="5"/>
  <c r="L117" i="5"/>
  <c r="J118" i="5"/>
  <c r="L118" i="5"/>
  <c r="J119" i="5"/>
  <c r="L119" i="5"/>
  <c r="J121" i="5"/>
  <c r="L121" i="5"/>
  <c r="J123" i="5"/>
  <c r="L123" i="5"/>
  <c r="J124" i="5"/>
  <c r="L124" i="5"/>
  <c r="J125" i="5"/>
  <c r="L125" i="5"/>
  <c r="J125" i="4"/>
  <c r="J120" i="4"/>
  <c r="J116" i="4"/>
  <c r="J111" i="4"/>
  <c r="J97" i="4"/>
  <c r="L125" i="4"/>
  <c r="L120" i="4"/>
  <c r="L116" i="4"/>
  <c r="L111" i="4"/>
  <c r="L97" i="4"/>
  <c r="G124" i="4"/>
  <c r="G122" i="4"/>
  <c r="G119" i="4"/>
  <c r="G109" i="4"/>
  <c r="G105" i="4"/>
  <c r="G104" i="4"/>
  <c r="K124" i="4"/>
  <c r="K122" i="4"/>
  <c r="K119" i="4"/>
  <c r="K109" i="4"/>
  <c r="K105" i="4"/>
  <c r="K104" i="4"/>
  <c r="J123" i="4"/>
  <c r="J118" i="4"/>
  <c r="J108" i="4"/>
  <c r="J107" i="4"/>
  <c r="J102" i="4"/>
  <c r="J101" i="4"/>
  <c r="L123" i="4"/>
  <c r="L118" i="4"/>
  <c r="L108" i="4"/>
  <c r="L107" i="4"/>
  <c r="L102" i="4"/>
  <c r="L101" i="4"/>
  <c r="G100" i="4"/>
  <c r="G127" i="4"/>
  <c r="G126" i="4"/>
  <c r="G121" i="4"/>
  <c r="G117" i="4"/>
  <c r="G115" i="4"/>
  <c r="G114" i="4"/>
  <c r="G113" i="4"/>
  <c r="G112" i="4"/>
  <c r="G110" i="4"/>
  <c r="G106" i="4"/>
  <c r="G103" i="4"/>
  <c r="G98" i="4"/>
  <c r="G96" i="4"/>
  <c r="K100" i="4"/>
  <c r="K127" i="4"/>
  <c r="K126" i="4"/>
  <c r="K121" i="4"/>
  <c r="K117" i="4"/>
  <c r="K115" i="4"/>
  <c r="K114" i="4"/>
  <c r="K113" i="4"/>
  <c r="K112" i="4"/>
  <c r="K110" i="4"/>
  <c r="K106" i="4"/>
  <c r="K103" i="4"/>
  <c r="K98" i="4"/>
  <c r="K96" i="4"/>
  <c r="J90" i="4"/>
  <c r="L90" i="4"/>
  <c r="J91" i="4"/>
  <c r="L91" i="4"/>
  <c r="J92" i="4"/>
  <c r="L92" i="4"/>
  <c r="J93" i="4"/>
  <c r="L93" i="4"/>
  <c r="K95" i="4"/>
  <c r="G125" i="4"/>
  <c r="G120" i="4"/>
  <c r="G116" i="4"/>
  <c r="G111" i="4"/>
  <c r="G97" i="4"/>
  <c r="K125" i="4"/>
  <c r="K120" i="4"/>
  <c r="K116" i="4"/>
  <c r="K111" i="4"/>
  <c r="K97" i="4"/>
  <c r="J124" i="4"/>
  <c r="J122" i="4"/>
  <c r="J119" i="4"/>
  <c r="J109" i="4"/>
  <c r="J105" i="4"/>
  <c r="J104" i="4"/>
  <c r="L124" i="4"/>
  <c r="L122" i="4"/>
  <c r="L119" i="4"/>
  <c r="L109" i="4"/>
  <c r="L105" i="4"/>
  <c r="L104" i="4"/>
  <c r="G123" i="4"/>
  <c r="G118" i="4"/>
  <c r="G108" i="4"/>
  <c r="G107" i="4"/>
  <c r="G102" i="4"/>
  <c r="G101" i="4"/>
  <c r="K123" i="4"/>
  <c r="K118" i="4"/>
  <c r="K108" i="4"/>
  <c r="K107" i="4"/>
  <c r="K102" i="4"/>
  <c r="K101" i="4"/>
  <c r="J100" i="4"/>
  <c r="J127" i="4"/>
  <c r="J126" i="4"/>
  <c r="J121" i="4"/>
  <c r="J117" i="4"/>
  <c r="J115" i="4"/>
  <c r="J114" i="4"/>
  <c r="J113" i="4"/>
  <c r="J112" i="4"/>
  <c r="J110" i="4"/>
  <c r="J106" i="4"/>
  <c r="J103" i="4"/>
  <c r="J98" i="4"/>
  <c r="J96" i="4"/>
  <c r="J95" i="4"/>
  <c r="L100" i="4"/>
  <c r="L127" i="4"/>
  <c r="L126" i="4"/>
  <c r="L121" i="4"/>
  <c r="L117" i="4"/>
  <c r="L115" i="4"/>
  <c r="L114" i="4"/>
  <c r="L113" i="4"/>
  <c r="L112" i="4"/>
  <c r="L110" i="4"/>
  <c r="L106" i="4"/>
  <c r="L103" i="4"/>
  <c r="L98" i="4"/>
  <c r="L96" i="4"/>
  <c r="L95" i="4"/>
  <c r="G90" i="4"/>
  <c r="K90" i="4"/>
  <c r="G91" i="4"/>
  <c r="K91" i="4"/>
  <c r="G92" i="4"/>
  <c r="K92" i="4"/>
  <c r="G93" i="4"/>
  <c r="K93" i="4"/>
  <c r="G94" i="4"/>
  <c r="K94" i="4"/>
  <c r="G95" i="4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99" i="1"/>
  <c r="C98" i="1"/>
  <c r="C97" i="1"/>
  <c r="C96" i="1"/>
  <c r="C95" i="1"/>
  <c r="C94" i="1"/>
  <c r="C93" i="1"/>
  <c r="C92" i="1"/>
  <c r="C91" i="1"/>
  <c r="C90" i="1"/>
  <c r="C120" i="5"/>
  <c r="C116" i="5"/>
  <c r="C111" i="5"/>
  <c r="C99" i="5"/>
  <c r="C92" i="5"/>
  <c r="C91" i="5"/>
  <c r="C90" i="5"/>
  <c r="H347" i="5"/>
  <c r="H307" i="5"/>
  <c r="H305" i="5"/>
  <c r="H265" i="5"/>
  <c r="H263" i="5"/>
  <c r="H223" i="5"/>
  <c r="H220" i="5"/>
  <c r="H178" i="5" s="1"/>
  <c r="H219" i="5"/>
  <c r="H177" i="5" s="1"/>
  <c r="H218" i="5"/>
  <c r="H176" i="5" s="1"/>
  <c r="H217" i="5"/>
  <c r="H175" i="5" s="1"/>
  <c r="H216" i="5"/>
  <c r="H174" i="5" s="1"/>
  <c r="H215" i="5"/>
  <c r="H173" i="5" s="1"/>
  <c r="H214" i="5"/>
  <c r="H213" i="5"/>
  <c r="H171" i="5" s="1"/>
  <c r="H212" i="5"/>
  <c r="H170" i="5" s="1"/>
  <c r="H211" i="5"/>
  <c r="H169" i="5" s="1"/>
  <c r="H210" i="5"/>
  <c r="H168" i="5" s="1"/>
  <c r="H209" i="5"/>
  <c r="H167" i="5" s="1"/>
  <c r="H208" i="5"/>
  <c r="H166" i="5" s="1"/>
  <c r="H207" i="5"/>
  <c r="H165" i="5" s="1"/>
  <c r="H206" i="5"/>
  <c r="H164" i="5" s="1"/>
  <c r="H205" i="5"/>
  <c r="H163" i="5" s="1"/>
  <c r="H204" i="5"/>
  <c r="H162" i="5" s="1"/>
  <c r="H203" i="5"/>
  <c r="H161" i="5" s="1"/>
  <c r="H202" i="5"/>
  <c r="H160" i="5" s="1"/>
  <c r="H201" i="5"/>
  <c r="H159" i="5" s="1"/>
  <c r="H200" i="5"/>
  <c r="H158" i="5" s="1"/>
  <c r="H199" i="5"/>
  <c r="H198" i="5"/>
  <c r="H156" i="5" s="1"/>
  <c r="H197" i="5"/>
  <c r="H155" i="5" s="1"/>
  <c r="H196" i="5"/>
  <c r="H154" i="5" s="1"/>
  <c r="H195" i="5"/>
  <c r="H153" i="5" s="1"/>
  <c r="H194" i="5"/>
  <c r="H152" i="5" s="1"/>
  <c r="H193" i="5"/>
  <c r="H151" i="5" s="1"/>
  <c r="H192" i="5"/>
  <c r="H150" i="5" s="1"/>
  <c r="H191" i="5"/>
  <c r="H149" i="5" s="1"/>
  <c r="H190" i="5"/>
  <c r="H148" i="5" s="1"/>
  <c r="H189" i="5"/>
  <c r="H147" i="5" s="1"/>
  <c r="H188" i="5"/>
  <c r="H146" i="5" s="1"/>
  <c r="H187" i="5"/>
  <c r="H145" i="5" s="1"/>
  <c r="H186" i="5"/>
  <c r="H144" i="5" s="1"/>
  <c r="H185" i="5"/>
  <c r="H143" i="5" s="1"/>
  <c r="H184" i="5"/>
  <c r="H142" i="5" s="1"/>
  <c r="H183" i="5"/>
  <c r="H181" i="5"/>
  <c r="H172" i="5"/>
  <c r="H157" i="5"/>
  <c r="H141" i="5"/>
  <c r="H138" i="5"/>
  <c r="H88" i="5"/>
  <c r="H46" i="5"/>
  <c r="I307" i="5"/>
  <c r="I265" i="5"/>
  <c r="I223" i="5"/>
  <c r="I181" i="5"/>
  <c r="I138" i="5"/>
  <c r="I88" i="5"/>
  <c r="I46" i="5"/>
  <c r="I347" i="5"/>
  <c r="I305" i="5"/>
  <c r="I263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48" i="5" s="1"/>
  <c r="C100" i="1" l="1"/>
  <c r="I179" i="5"/>
  <c r="H221" i="5"/>
  <c r="I221" i="5"/>
  <c r="H179" i="5"/>
  <c r="O347" i="5" l="1"/>
  <c r="N347" i="5"/>
  <c r="M347" i="5"/>
  <c r="L347" i="5"/>
  <c r="K347" i="5"/>
  <c r="J347" i="5"/>
  <c r="G347" i="5"/>
  <c r="D347" i="5"/>
  <c r="F335" i="5"/>
  <c r="F347" i="5" s="1"/>
  <c r="O305" i="5"/>
  <c r="N305" i="5"/>
  <c r="M305" i="5"/>
  <c r="L305" i="5"/>
  <c r="K305" i="5"/>
  <c r="J305" i="5"/>
  <c r="G305" i="5"/>
  <c r="F305" i="5"/>
  <c r="D305" i="5"/>
  <c r="O263" i="5"/>
  <c r="N263" i="5"/>
  <c r="M263" i="5"/>
  <c r="L263" i="5"/>
  <c r="K263" i="5"/>
  <c r="J263" i="5"/>
  <c r="G263" i="5"/>
  <c r="F263" i="5"/>
  <c r="D263" i="5"/>
  <c r="E252" i="5"/>
  <c r="E210" i="5" s="1"/>
  <c r="E241" i="5"/>
  <c r="E199" i="5" s="1"/>
  <c r="E238" i="5"/>
  <c r="O220" i="5"/>
  <c r="O178" i="5" s="1"/>
  <c r="N220" i="5"/>
  <c r="N178" i="5" s="1"/>
  <c r="M220" i="5"/>
  <c r="L220" i="5"/>
  <c r="L178" i="5" s="1"/>
  <c r="K220" i="5"/>
  <c r="K178" i="5" s="1"/>
  <c r="J220" i="5"/>
  <c r="J178" i="5" s="1"/>
  <c r="G220" i="5"/>
  <c r="G178" i="5" s="1"/>
  <c r="F220" i="5"/>
  <c r="E220" i="5"/>
  <c r="D220" i="5"/>
  <c r="O219" i="5"/>
  <c r="N219" i="5"/>
  <c r="N177" i="5" s="1"/>
  <c r="N84" i="5" s="1"/>
  <c r="M219" i="5"/>
  <c r="M177" i="5" s="1"/>
  <c r="L219" i="5"/>
  <c r="L177" i="5" s="1"/>
  <c r="K219" i="5"/>
  <c r="J219" i="5"/>
  <c r="J177" i="5" s="1"/>
  <c r="G219" i="5"/>
  <c r="G177" i="5" s="1"/>
  <c r="F219" i="5"/>
  <c r="E219" i="5"/>
  <c r="D219" i="5"/>
  <c r="D177" i="5" s="1"/>
  <c r="D84" i="5" s="1"/>
  <c r="O218" i="5"/>
  <c r="O176" i="5" s="1"/>
  <c r="N218" i="5"/>
  <c r="N176" i="5" s="1"/>
  <c r="M218" i="5"/>
  <c r="M176" i="5" s="1"/>
  <c r="M83" i="5" s="1"/>
  <c r="L218" i="5"/>
  <c r="L176" i="5" s="1"/>
  <c r="K218" i="5"/>
  <c r="K176" i="5" s="1"/>
  <c r="J218" i="5"/>
  <c r="J176" i="5" s="1"/>
  <c r="G218" i="5"/>
  <c r="G176" i="5" s="1"/>
  <c r="F218" i="5"/>
  <c r="E218" i="5"/>
  <c r="D218" i="5"/>
  <c r="O217" i="5"/>
  <c r="O175" i="5" s="1"/>
  <c r="N217" i="5"/>
  <c r="M217" i="5"/>
  <c r="M175" i="5" s="1"/>
  <c r="M82" i="5" s="1"/>
  <c r="L217" i="5"/>
  <c r="K217" i="5"/>
  <c r="K175" i="5" s="1"/>
  <c r="J217" i="5"/>
  <c r="G217" i="5"/>
  <c r="G175" i="5" s="1"/>
  <c r="F217" i="5"/>
  <c r="E217" i="5"/>
  <c r="D217" i="5"/>
  <c r="O216" i="5"/>
  <c r="O174" i="5" s="1"/>
  <c r="N216" i="5"/>
  <c r="N174" i="5" s="1"/>
  <c r="N81" i="5" s="1"/>
  <c r="M216" i="5"/>
  <c r="L216" i="5"/>
  <c r="L174" i="5" s="1"/>
  <c r="K216" i="5"/>
  <c r="K174" i="5" s="1"/>
  <c r="J216" i="5"/>
  <c r="J174" i="5" s="1"/>
  <c r="G216" i="5"/>
  <c r="F216" i="5"/>
  <c r="E216" i="5"/>
  <c r="D216" i="5"/>
  <c r="O215" i="5"/>
  <c r="O173" i="5" s="1"/>
  <c r="N215" i="5"/>
  <c r="N173" i="5" s="1"/>
  <c r="M215" i="5"/>
  <c r="M173" i="5" s="1"/>
  <c r="M80" i="5" s="1"/>
  <c r="L215" i="5"/>
  <c r="L173" i="5" s="1"/>
  <c r="K215" i="5"/>
  <c r="K173" i="5" s="1"/>
  <c r="J215" i="5"/>
  <c r="J173" i="5" s="1"/>
  <c r="G215" i="5"/>
  <c r="G173" i="5" s="1"/>
  <c r="F215" i="5"/>
  <c r="E215" i="5"/>
  <c r="D215" i="5"/>
  <c r="D173" i="5" s="1"/>
  <c r="O214" i="5"/>
  <c r="N214" i="5"/>
  <c r="N172" i="5" s="1"/>
  <c r="M214" i="5"/>
  <c r="M172" i="5" s="1"/>
  <c r="M79" i="5" s="1"/>
  <c r="L214" i="5"/>
  <c r="L172" i="5" s="1"/>
  <c r="K214" i="5"/>
  <c r="J214" i="5"/>
  <c r="J172" i="5" s="1"/>
  <c r="G214" i="5"/>
  <c r="G172" i="5" s="1"/>
  <c r="F214" i="5"/>
  <c r="E214" i="5"/>
  <c r="D214" i="5"/>
  <c r="O213" i="5"/>
  <c r="O171" i="5" s="1"/>
  <c r="N213" i="5"/>
  <c r="N171" i="5" s="1"/>
  <c r="M213" i="5"/>
  <c r="M171" i="5" s="1"/>
  <c r="L213" i="5"/>
  <c r="K213" i="5"/>
  <c r="K171" i="5" s="1"/>
  <c r="J213" i="5"/>
  <c r="J171" i="5" s="1"/>
  <c r="G213" i="5"/>
  <c r="G171" i="5" s="1"/>
  <c r="F213" i="5"/>
  <c r="E213" i="5"/>
  <c r="D213" i="5"/>
  <c r="F171" i="5" s="1"/>
  <c r="F78" i="5" s="1"/>
  <c r="O212" i="5"/>
  <c r="O170" i="5" s="1"/>
  <c r="N212" i="5"/>
  <c r="N170" i="5" s="1"/>
  <c r="M212" i="5"/>
  <c r="M170" i="5" s="1"/>
  <c r="M77" i="5" s="1"/>
  <c r="L212" i="5"/>
  <c r="L170" i="5" s="1"/>
  <c r="K212" i="5"/>
  <c r="K170" i="5" s="1"/>
  <c r="J212" i="5"/>
  <c r="J170" i="5" s="1"/>
  <c r="G212" i="5"/>
  <c r="G170" i="5" s="1"/>
  <c r="F212" i="5"/>
  <c r="E212" i="5"/>
  <c r="D212" i="5"/>
  <c r="O211" i="5"/>
  <c r="N211" i="5"/>
  <c r="N169" i="5" s="1"/>
  <c r="M211" i="5"/>
  <c r="M169" i="5" s="1"/>
  <c r="L211" i="5"/>
  <c r="L169" i="5" s="1"/>
  <c r="K211" i="5"/>
  <c r="J211" i="5"/>
  <c r="J169" i="5" s="1"/>
  <c r="G211" i="5"/>
  <c r="G169" i="5" s="1"/>
  <c r="F211" i="5"/>
  <c r="E211" i="5"/>
  <c r="D211" i="5"/>
  <c r="O210" i="5"/>
  <c r="O168" i="5" s="1"/>
  <c r="N210" i="5"/>
  <c r="N168" i="5" s="1"/>
  <c r="M210" i="5"/>
  <c r="M168" i="5" s="1"/>
  <c r="M75" i="5" s="1"/>
  <c r="L210" i="5"/>
  <c r="L168" i="5" s="1"/>
  <c r="K210" i="5"/>
  <c r="K168" i="5" s="1"/>
  <c r="J210" i="5"/>
  <c r="J168" i="5" s="1"/>
  <c r="G210" i="5"/>
  <c r="G168" i="5" s="1"/>
  <c r="F210" i="5"/>
  <c r="D210" i="5"/>
  <c r="O209" i="5"/>
  <c r="N209" i="5"/>
  <c r="N167" i="5" s="1"/>
  <c r="N74" i="5" s="1"/>
  <c r="M209" i="5"/>
  <c r="L209" i="5"/>
  <c r="L167" i="5" s="1"/>
  <c r="K209" i="5"/>
  <c r="J209" i="5"/>
  <c r="J167" i="5" s="1"/>
  <c r="G209" i="5"/>
  <c r="F209" i="5"/>
  <c r="E209" i="5"/>
  <c r="D209" i="5"/>
  <c r="F167" i="5" s="1"/>
  <c r="F74" i="5" s="1"/>
  <c r="O208" i="5"/>
  <c r="O166" i="5" s="1"/>
  <c r="N208" i="5"/>
  <c r="N166" i="5" s="1"/>
  <c r="M208" i="5"/>
  <c r="M166" i="5" s="1"/>
  <c r="M73" i="5" s="1"/>
  <c r="L208" i="5"/>
  <c r="L166" i="5" s="1"/>
  <c r="K208" i="5"/>
  <c r="K166" i="5" s="1"/>
  <c r="J208" i="5"/>
  <c r="J166" i="5" s="1"/>
  <c r="G208" i="5"/>
  <c r="G166" i="5" s="1"/>
  <c r="F208" i="5"/>
  <c r="E208" i="5"/>
  <c r="D208" i="5"/>
  <c r="O207" i="5"/>
  <c r="O165" i="5" s="1"/>
  <c r="N207" i="5"/>
  <c r="N165" i="5" s="1"/>
  <c r="M207" i="5"/>
  <c r="M165" i="5" s="1"/>
  <c r="M72" i="5" s="1"/>
  <c r="L207" i="5"/>
  <c r="L165" i="5" s="1"/>
  <c r="K207" i="5"/>
  <c r="K165" i="5" s="1"/>
  <c r="J207" i="5"/>
  <c r="J165" i="5" s="1"/>
  <c r="G207" i="5"/>
  <c r="F207" i="5"/>
  <c r="E207" i="5"/>
  <c r="D207" i="5"/>
  <c r="D165" i="5" s="1"/>
  <c r="O206" i="5"/>
  <c r="O164" i="5" s="1"/>
  <c r="N206" i="5"/>
  <c r="N164" i="5" s="1"/>
  <c r="M206" i="5"/>
  <c r="M164" i="5" s="1"/>
  <c r="M71" i="5" s="1"/>
  <c r="L206" i="5"/>
  <c r="K206" i="5"/>
  <c r="K164" i="5" s="1"/>
  <c r="J206" i="5"/>
  <c r="G206" i="5"/>
  <c r="G164" i="5" s="1"/>
  <c r="F206" i="5"/>
  <c r="E206" i="5"/>
  <c r="D206" i="5"/>
  <c r="O205" i="5"/>
  <c r="O163" i="5" s="1"/>
  <c r="O70" i="5" s="1"/>
  <c r="N205" i="5"/>
  <c r="N163" i="5" s="1"/>
  <c r="M205" i="5"/>
  <c r="M163" i="5" s="1"/>
  <c r="M70" i="5" s="1"/>
  <c r="L205" i="5"/>
  <c r="L163" i="5" s="1"/>
  <c r="K205" i="5"/>
  <c r="K163" i="5" s="1"/>
  <c r="J205" i="5"/>
  <c r="J163" i="5" s="1"/>
  <c r="G205" i="5"/>
  <c r="G163" i="5" s="1"/>
  <c r="F205" i="5"/>
  <c r="E205" i="5"/>
  <c r="D205" i="5"/>
  <c r="O204" i="5"/>
  <c r="O162" i="5" s="1"/>
  <c r="N204" i="5"/>
  <c r="N162" i="5" s="1"/>
  <c r="M204" i="5"/>
  <c r="L204" i="5"/>
  <c r="L162" i="5" s="1"/>
  <c r="K204" i="5"/>
  <c r="K162" i="5" s="1"/>
  <c r="J204" i="5"/>
  <c r="J162" i="5" s="1"/>
  <c r="G204" i="5"/>
  <c r="G162" i="5" s="1"/>
  <c r="F204" i="5"/>
  <c r="E204" i="5"/>
  <c r="D204" i="5"/>
  <c r="O203" i="5"/>
  <c r="O161" i="5" s="1"/>
  <c r="N203" i="5"/>
  <c r="N161" i="5" s="1"/>
  <c r="M203" i="5"/>
  <c r="M161" i="5" s="1"/>
  <c r="M68" i="5" s="1"/>
  <c r="L203" i="5"/>
  <c r="L161" i="5" s="1"/>
  <c r="K203" i="5"/>
  <c r="K161" i="5" s="1"/>
  <c r="J203" i="5"/>
  <c r="J161" i="5" s="1"/>
  <c r="G203" i="5"/>
  <c r="G161" i="5" s="1"/>
  <c r="F203" i="5"/>
  <c r="E203" i="5"/>
  <c r="D203" i="5"/>
  <c r="O202" i="5"/>
  <c r="O160" i="5" s="1"/>
  <c r="O67" i="5" s="1"/>
  <c r="N202" i="5"/>
  <c r="N160" i="5" s="1"/>
  <c r="M202" i="5"/>
  <c r="M160" i="5" s="1"/>
  <c r="M67" i="5" s="1"/>
  <c r="L202" i="5"/>
  <c r="L160" i="5" s="1"/>
  <c r="K202" i="5"/>
  <c r="K160" i="5" s="1"/>
  <c r="J202" i="5"/>
  <c r="J160" i="5" s="1"/>
  <c r="G202" i="5"/>
  <c r="G160" i="5" s="1"/>
  <c r="F202" i="5"/>
  <c r="E202" i="5"/>
  <c r="D202" i="5"/>
  <c r="O201" i="5"/>
  <c r="O159" i="5" s="1"/>
  <c r="O66" i="5" s="1"/>
  <c r="N201" i="5"/>
  <c r="M201" i="5"/>
  <c r="M159" i="5" s="1"/>
  <c r="M66" i="5" s="1"/>
  <c r="L201" i="5"/>
  <c r="K201" i="5"/>
  <c r="K159" i="5" s="1"/>
  <c r="J201" i="5"/>
  <c r="G201" i="5"/>
  <c r="G159" i="5" s="1"/>
  <c r="F201" i="5"/>
  <c r="E201" i="5"/>
  <c r="D201" i="5"/>
  <c r="O200" i="5"/>
  <c r="O158" i="5" s="1"/>
  <c r="N200" i="5"/>
  <c r="N158" i="5" s="1"/>
  <c r="M200" i="5"/>
  <c r="M158" i="5" s="1"/>
  <c r="M65" i="5" s="1"/>
  <c r="L200" i="5"/>
  <c r="L158" i="5" s="1"/>
  <c r="K200" i="5"/>
  <c r="K158" i="5" s="1"/>
  <c r="J200" i="5"/>
  <c r="J158" i="5" s="1"/>
  <c r="G200" i="5"/>
  <c r="G158" i="5" s="1"/>
  <c r="F200" i="5"/>
  <c r="E200" i="5"/>
  <c r="D200" i="5"/>
  <c r="O199" i="5"/>
  <c r="O157" i="5" s="1"/>
  <c r="N199" i="5"/>
  <c r="N157" i="5" s="1"/>
  <c r="M199" i="5"/>
  <c r="M157" i="5" s="1"/>
  <c r="M64" i="5" s="1"/>
  <c r="L199" i="5"/>
  <c r="L157" i="5" s="1"/>
  <c r="K199" i="5"/>
  <c r="K157" i="5" s="1"/>
  <c r="J199" i="5"/>
  <c r="J157" i="5" s="1"/>
  <c r="G199" i="5"/>
  <c r="G157" i="5" s="1"/>
  <c r="F199" i="5"/>
  <c r="D199" i="5"/>
  <c r="D157" i="5" s="1"/>
  <c r="D64" i="5" s="1"/>
  <c r="O198" i="5"/>
  <c r="O156" i="5" s="1"/>
  <c r="O63" i="5" s="1"/>
  <c r="N198" i="5"/>
  <c r="N156" i="5" s="1"/>
  <c r="M198" i="5"/>
  <c r="M156" i="5" s="1"/>
  <c r="M63" i="5" s="1"/>
  <c r="L198" i="5"/>
  <c r="L156" i="5" s="1"/>
  <c r="K198" i="5"/>
  <c r="J198" i="5"/>
  <c r="J156" i="5" s="1"/>
  <c r="G198" i="5"/>
  <c r="G156" i="5" s="1"/>
  <c r="F198" i="5"/>
  <c r="E198" i="5"/>
  <c r="D198" i="5"/>
  <c r="O197" i="5"/>
  <c r="O155" i="5" s="1"/>
  <c r="O62" i="5" s="1"/>
  <c r="N197" i="5"/>
  <c r="N155" i="5" s="1"/>
  <c r="M197" i="5"/>
  <c r="M155" i="5" s="1"/>
  <c r="M62" i="5" s="1"/>
  <c r="L197" i="5"/>
  <c r="L155" i="5" s="1"/>
  <c r="K197" i="5"/>
  <c r="K155" i="5" s="1"/>
  <c r="J197" i="5"/>
  <c r="J155" i="5" s="1"/>
  <c r="G197" i="5"/>
  <c r="G155" i="5" s="1"/>
  <c r="F197" i="5"/>
  <c r="E197" i="5"/>
  <c r="D197" i="5"/>
  <c r="O196" i="5"/>
  <c r="O154" i="5" s="1"/>
  <c r="N196" i="5"/>
  <c r="N154" i="5" s="1"/>
  <c r="M196" i="5"/>
  <c r="M154" i="5" s="1"/>
  <c r="M61" i="5" s="1"/>
  <c r="L196" i="5"/>
  <c r="L154" i="5" s="1"/>
  <c r="K196" i="5"/>
  <c r="K154" i="5" s="1"/>
  <c r="J196" i="5"/>
  <c r="J154" i="5" s="1"/>
  <c r="G196" i="5"/>
  <c r="G154" i="5" s="1"/>
  <c r="F196" i="5"/>
  <c r="E196" i="5"/>
  <c r="D196" i="5"/>
  <c r="F154" i="5" s="1"/>
  <c r="O195" i="5"/>
  <c r="O153" i="5" s="1"/>
  <c r="O60" i="5" s="1"/>
  <c r="N195" i="5"/>
  <c r="M195" i="5"/>
  <c r="M153" i="5" s="1"/>
  <c r="M60" i="5" s="1"/>
  <c r="L195" i="5"/>
  <c r="K195" i="5"/>
  <c r="K153" i="5" s="1"/>
  <c r="J195" i="5"/>
  <c r="G195" i="5"/>
  <c r="G153" i="5" s="1"/>
  <c r="F195" i="5"/>
  <c r="E195" i="5"/>
  <c r="D195" i="5"/>
  <c r="O194" i="5"/>
  <c r="O152" i="5" s="1"/>
  <c r="O59" i="5" s="1"/>
  <c r="N194" i="5"/>
  <c r="N152" i="5" s="1"/>
  <c r="M194" i="5"/>
  <c r="M152" i="5" s="1"/>
  <c r="M59" i="5" s="1"/>
  <c r="L194" i="5"/>
  <c r="L152" i="5" s="1"/>
  <c r="K194" i="5"/>
  <c r="K152" i="5" s="1"/>
  <c r="J194" i="5"/>
  <c r="J152" i="5" s="1"/>
  <c r="G194" i="5"/>
  <c r="G152" i="5" s="1"/>
  <c r="F194" i="5"/>
  <c r="E194" i="5"/>
  <c r="D194" i="5"/>
  <c r="O193" i="5"/>
  <c r="O151" i="5" s="1"/>
  <c r="N193" i="5"/>
  <c r="N151" i="5" s="1"/>
  <c r="M193" i="5"/>
  <c r="L193" i="5"/>
  <c r="L151" i="5" s="1"/>
  <c r="K193" i="5"/>
  <c r="K151" i="5" s="1"/>
  <c r="J193" i="5"/>
  <c r="J151" i="5" s="1"/>
  <c r="G193" i="5"/>
  <c r="G151" i="5" s="1"/>
  <c r="F193" i="5"/>
  <c r="E193" i="5"/>
  <c r="D193" i="5"/>
  <c r="O192" i="5"/>
  <c r="O150" i="5" s="1"/>
  <c r="O57" i="5" s="1"/>
  <c r="N192" i="5"/>
  <c r="N150" i="5" s="1"/>
  <c r="M192" i="5"/>
  <c r="M150" i="5" s="1"/>
  <c r="M57" i="5" s="1"/>
  <c r="L192" i="5"/>
  <c r="L150" i="5" s="1"/>
  <c r="K192" i="5"/>
  <c r="K150" i="5" s="1"/>
  <c r="J192" i="5"/>
  <c r="J150" i="5" s="1"/>
  <c r="G192" i="5"/>
  <c r="G150" i="5" s="1"/>
  <c r="F192" i="5"/>
  <c r="E192" i="5"/>
  <c r="D192" i="5"/>
  <c r="F150" i="5" s="1"/>
  <c r="O191" i="5"/>
  <c r="O149" i="5" s="1"/>
  <c r="O56" i="5" s="1"/>
  <c r="N191" i="5"/>
  <c r="N149" i="5" s="1"/>
  <c r="M191" i="5"/>
  <c r="M149" i="5" s="1"/>
  <c r="M56" i="5" s="1"/>
  <c r="L191" i="5"/>
  <c r="L149" i="5" s="1"/>
  <c r="K191" i="5"/>
  <c r="K149" i="5" s="1"/>
  <c r="J191" i="5"/>
  <c r="J149" i="5" s="1"/>
  <c r="G191" i="5"/>
  <c r="G149" i="5" s="1"/>
  <c r="F191" i="5"/>
  <c r="E191" i="5"/>
  <c r="D191" i="5"/>
  <c r="O190" i="5"/>
  <c r="O148" i="5" s="1"/>
  <c r="O55" i="5" s="1"/>
  <c r="N190" i="5"/>
  <c r="N148" i="5" s="1"/>
  <c r="M190" i="5"/>
  <c r="M148" i="5" s="1"/>
  <c r="M55" i="5" s="1"/>
  <c r="L190" i="5"/>
  <c r="L148" i="5" s="1"/>
  <c r="K190" i="5"/>
  <c r="K148" i="5" s="1"/>
  <c r="J190" i="5"/>
  <c r="J148" i="5" s="1"/>
  <c r="G190" i="5"/>
  <c r="G148" i="5" s="1"/>
  <c r="F190" i="5"/>
  <c r="E190" i="5"/>
  <c r="D190" i="5"/>
  <c r="O189" i="5"/>
  <c r="O147" i="5" s="1"/>
  <c r="N189" i="5"/>
  <c r="N147" i="5" s="1"/>
  <c r="M189" i="5"/>
  <c r="M147" i="5" s="1"/>
  <c r="M54" i="5" s="1"/>
  <c r="L189" i="5"/>
  <c r="L147" i="5" s="1"/>
  <c r="K189" i="5"/>
  <c r="K147" i="5" s="1"/>
  <c r="J189" i="5"/>
  <c r="J147" i="5" s="1"/>
  <c r="G189" i="5"/>
  <c r="G147" i="5" s="1"/>
  <c r="F189" i="5"/>
  <c r="E189" i="5"/>
  <c r="D189" i="5"/>
  <c r="O188" i="5"/>
  <c r="O146" i="5" s="1"/>
  <c r="O53" i="5" s="1"/>
  <c r="N188" i="5"/>
  <c r="N146" i="5" s="1"/>
  <c r="M188" i="5"/>
  <c r="M146" i="5" s="1"/>
  <c r="M53" i="5" s="1"/>
  <c r="L188" i="5"/>
  <c r="L146" i="5" s="1"/>
  <c r="K188" i="5"/>
  <c r="K146" i="5" s="1"/>
  <c r="J188" i="5"/>
  <c r="J146" i="5" s="1"/>
  <c r="G188" i="5"/>
  <c r="F188" i="5"/>
  <c r="E188" i="5"/>
  <c r="D188" i="5"/>
  <c r="F146" i="5" s="1"/>
  <c r="O187" i="5"/>
  <c r="O145" i="5" s="1"/>
  <c r="O52" i="5" s="1"/>
  <c r="N187" i="5"/>
  <c r="M187" i="5"/>
  <c r="M145" i="5" s="1"/>
  <c r="L187" i="5"/>
  <c r="K187" i="5"/>
  <c r="K145" i="5" s="1"/>
  <c r="J187" i="5"/>
  <c r="G187" i="5"/>
  <c r="G145" i="5" s="1"/>
  <c r="F187" i="5"/>
  <c r="E187" i="5"/>
  <c r="D187" i="5"/>
  <c r="O186" i="5"/>
  <c r="O144" i="5" s="1"/>
  <c r="O51" i="5" s="1"/>
  <c r="N186" i="5"/>
  <c r="N144" i="5" s="1"/>
  <c r="M186" i="5"/>
  <c r="M144" i="5" s="1"/>
  <c r="M51" i="5" s="1"/>
  <c r="L186" i="5"/>
  <c r="L144" i="5" s="1"/>
  <c r="K186" i="5"/>
  <c r="K144" i="5" s="1"/>
  <c r="J186" i="5"/>
  <c r="J144" i="5" s="1"/>
  <c r="G186" i="5"/>
  <c r="G144" i="5" s="1"/>
  <c r="F186" i="5"/>
  <c r="E186" i="5"/>
  <c r="D186" i="5"/>
  <c r="O185" i="5"/>
  <c r="O143" i="5" s="1"/>
  <c r="O50" i="5" s="1"/>
  <c r="N185" i="5"/>
  <c r="N143" i="5" s="1"/>
  <c r="M185" i="5"/>
  <c r="M143" i="5" s="1"/>
  <c r="L185" i="5"/>
  <c r="L143" i="5" s="1"/>
  <c r="K185" i="5"/>
  <c r="K143" i="5" s="1"/>
  <c r="J185" i="5"/>
  <c r="J143" i="5" s="1"/>
  <c r="G185" i="5"/>
  <c r="G143" i="5" s="1"/>
  <c r="F185" i="5"/>
  <c r="E185" i="5"/>
  <c r="E143" i="5" s="1"/>
  <c r="E50" i="5" s="1"/>
  <c r="D185" i="5"/>
  <c r="O184" i="5"/>
  <c r="O142" i="5" s="1"/>
  <c r="O49" i="5" s="1"/>
  <c r="N184" i="5"/>
  <c r="N142" i="5" s="1"/>
  <c r="M184" i="5"/>
  <c r="M142" i="5" s="1"/>
  <c r="M49" i="5" s="1"/>
  <c r="L184" i="5"/>
  <c r="L142" i="5" s="1"/>
  <c r="K184" i="5"/>
  <c r="K142" i="5" s="1"/>
  <c r="J184" i="5"/>
  <c r="J142" i="5" s="1"/>
  <c r="G184" i="5"/>
  <c r="G142" i="5" s="1"/>
  <c r="F184" i="5"/>
  <c r="E184" i="5"/>
  <c r="D184" i="5"/>
  <c r="F142" i="5" s="1"/>
  <c r="F49" i="5" s="1"/>
  <c r="O183" i="5"/>
  <c r="O141" i="5" s="1"/>
  <c r="O48" i="5" s="1"/>
  <c r="N183" i="5"/>
  <c r="N141" i="5" s="1"/>
  <c r="M183" i="5"/>
  <c r="L183" i="5"/>
  <c r="L141" i="5" s="1"/>
  <c r="K183" i="5"/>
  <c r="K141" i="5" s="1"/>
  <c r="J183" i="5"/>
  <c r="J141" i="5" s="1"/>
  <c r="G183" i="5"/>
  <c r="G141" i="5" s="1"/>
  <c r="F183" i="5"/>
  <c r="E183" i="5"/>
  <c r="D183" i="5"/>
  <c r="M178" i="5"/>
  <c r="M85" i="5" s="1"/>
  <c r="B178" i="5"/>
  <c r="B220" i="5" s="1"/>
  <c r="B262" i="5" s="1"/>
  <c r="B304" i="5" s="1"/>
  <c r="B346" i="5" s="1"/>
  <c r="A178" i="5"/>
  <c r="A220" i="5" s="1"/>
  <c r="A262" i="5" s="1"/>
  <c r="A304" i="5" s="1"/>
  <c r="A346" i="5" s="1"/>
  <c r="O177" i="5"/>
  <c r="K177" i="5"/>
  <c r="B177" i="5"/>
  <c r="B219" i="5" s="1"/>
  <c r="B261" i="5" s="1"/>
  <c r="B303" i="5" s="1"/>
  <c r="B345" i="5" s="1"/>
  <c r="A177" i="5"/>
  <c r="A219" i="5" s="1"/>
  <c r="A261" i="5" s="1"/>
  <c r="A303" i="5" s="1"/>
  <c r="A345" i="5" s="1"/>
  <c r="B176" i="5"/>
  <c r="B218" i="5" s="1"/>
  <c r="B260" i="5" s="1"/>
  <c r="B302" i="5" s="1"/>
  <c r="B344" i="5" s="1"/>
  <c r="A176" i="5"/>
  <c r="A218" i="5" s="1"/>
  <c r="A260" i="5" s="1"/>
  <c r="A302" i="5" s="1"/>
  <c r="A344" i="5" s="1"/>
  <c r="N175" i="5"/>
  <c r="L175" i="5"/>
  <c r="J175" i="5"/>
  <c r="F175" i="5"/>
  <c r="F82" i="5" s="1"/>
  <c r="B175" i="5"/>
  <c r="B217" i="5" s="1"/>
  <c r="B259" i="5" s="1"/>
  <c r="B301" i="5" s="1"/>
  <c r="B343" i="5" s="1"/>
  <c r="A175" i="5"/>
  <c r="A217" i="5" s="1"/>
  <c r="A259" i="5" s="1"/>
  <c r="A301" i="5" s="1"/>
  <c r="A343" i="5" s="1"/>
  <c r="M174" i="5"/>
  <c r="G174" i="5"/>
  <c r="B174" i="5"/>
  <c r="B216" i="5" s="1"/>
  <c r="B258" i="5" s="1"/>
  <c r="B300" i="5" s="1"/>
  <c r="B342" i="5" s="1"/>
  <c r="A174" i="5"/>
  <c r="A216" i="5" s="1"/>
  <c r="A258" i="5" s="1"/>
  <c r="A300" i="5" s="1"/>
  <c r="A342" i="5" s="1"/>
  <c r="B173" i="5"/>
  <c r="B215" i="5" s="1"/>
  <c r="B257" i="5" s="1"/>
  <c r="B299" i="5" s="1"/>
  <c r="B341" i="5" s="1"/>
  <c r="A173" i="5"/>
  <c r="A215" i="5" s="1"/>
  <c r="A257" i="5" s="1"/>
  <c r="A299" i="5" s="1"/>
  <c r="A341" i="5" s="1"/>
  <c r="O172" i="5"/>
  <c r="K172" i="5"/>
  <c r="B172" i="5"/>
  <c r="B214" i="5" s="1"/>
  <c r="B256" i="5" s="1"/>
  <c r="B298" i="5" s="1"/>
  <c r="B340" i="5" s="1"/>
  <c r="A172" i="5"/>
  <c r="A214" i="5" s="1"/>
  <c r="A256" i="5" s="1"/>
  <c r="A298" i="5" s="1"/>
  <c r="A340" i="5" s="1"/>
  <c r="L171" i="5"/>
  <c r="B171" i="5"/>
  <c r="B213" i="5" s="1"/>
  <c r="B255" i="5" s="1"/>
  <c r="B297" i="5" s="1"/>
  <c r="B339" i="5" s="1"/>
  <c r="A171" i="5"/>
  <c r="A213" i="5" s="1"/>
  <c r="A255" i="5" s="1"/>
  <c r="A297" i="5" s="1"/>
  <c r="A339" i="5" s="1"/>
  <c r="B170" i="5"/>
  <c r="B212" i="5" s="1"/>
  <c r="B254" i="5" s="1"/>
  <c r="B296" i="5" s="1"/>
  <c r="B338" i="5" s="1"/>
  <c r="A170" i="5"/>
  <c r="A212" i="5" s="1"/>
  <c r="A254" i="5" s="1"/>
  <c r="A296" i="5" s="1"/>
  <c r="A338" i="5" s="1"/>
  <c r="O169" i="5"/>
  <c r="O76" i="5" s="1"/>
  <c r="K169" i="5"/>
  <c r="B169" i="5"/>
  <c r="B211" i="5" s="1"/>
  <c r="B253" i="5" s="1"/>
  <c r="B295" i="5" s="1"/>
  <c r="B337" i="5" s="1"/>
  <c r="A169" i="5"/>
  <c r="A211" i="5" s="1"/>
  <c r="A253" i="5" s="1"/>
  <c r="A295" i="5" s="1"/>
  <c r="A337" i="5" s="1"/>
  <c r="B168" i="5"/>
  <c r="B210" i="5" s="1"/>
  <c r="B252" i="5" s="1"/>
  <c r="B294" i="5" s="1"/>
  <c r="B336" i="5" s="1"/>
  <c r="A168" i="5"/>
  <c r="A210" i="5" s="1"/>
  <c r="A252" i="5" s="1"/>
  <c r="A294" i="5" s="1"/>
  <c r="A336" i="5" s="1"/>
  <c r="O167" i="5"/>
  <c r="M167" i="5"/>
  <c r="M74" i="5" s="1"/>
  <c r="K167" i="5"/>
  <c r="G167" i="5"/>
  <c r="B167" i="5"/>
  <c r="B209" i="5" s="1"/>
  <c r="B251" i="5" s="1"/>
  <c r="B293" i="5" s="1"/>
  <c r="B335" i="5" s="1"/>
  <c r="A167" i="5"/>
  <c r="A209" i="5" s="1"/>
  <c r="A251" i="5" s="1"/>
  <c r="A293" i="5" s="1"/>
  <c r="A335" i="5" s="1"/>
  <c r="B166" i="5"/>
  <c r="B208" i="5" s="1"/>
  <c r="B250" i="5" s="1"/>
  <c r="B292" i="5" s="1"/>
  <c r="B334" i="5" s="1"/>
  <c r="A166" i="5"/>
  <c r="A208" i="5" s="1"/>
  <c r="A250" i="5" s="1"/>
  <c r="A292" i="5" s="1"/>
  <c r="A334" i="5" s="1"/>
  <c r="G165" i="5"/>
  <c r="B165" i="5"/>
  <c r="B207" i="5" s="1"/>
  <c r="B249" i="5" s="1"/>
  <c r="B291" i="5" s="1"/>
  <c r="B333" i="5" s="1"/>
  <c r="A165" i="5"/>
  <c r="A207" i="5" s="1"/>
  <c r="A249" i="5" s="1"/>
  <c r="A291" i="5" s="1"/>
  <c r="A333" i="5" s="1"/>
  <c r="L164" i="5"/>
  <c r="J164" i="5"/>
  <c r="F164" i="5"/>
  <c r="F71" i="5" s="1"/>
  <c r="B164" i="5"/>
  <c r="B206" i="5" s="1"/>
  <c r="B248" i="5" s="1"/>
  <c r="B290" i="5" s="1"/>
  <c r="B332" i="5" s="1"/>
  <c r="A164" i="5"/>
  <c r="A206" i="5" s="1"/>
  <c r="A248" i="5" s="1"/>
  <c r="A290" i="5" s="1"/>
  <c r="A332" i="5" s="1"/>
  <c r="B163" i="5"/>
  <c r="B205" i="5" s="1"/>
  <c r="B247" i="5" s="1"/>
  <c r="B289" i="5" s="1"/>
  <c r="B331" i="5" s="1"/>
  <c r="A163" i="5"/>
  <c r="A205" i="5" s="1"/>
  <c r="A247" i="5" s="1"/>
  <c r="A289" i="5" s="1"/>
  <c r="A331" i="5" s="1"/>
  <c r="M162" i="5"/>
  <c r="M69" i="5" s="1"/>
  <c r="B162" i="5"/>
  <c r="B204" i="5" s="1"/>
  <c r="B246" i="5" s="1"/>
  <c r="B288" i="5" s="1"/>
  <c r="B330" i="5" s="1"/>
  <c r="A162" i="5"/>
  <c r="A204" i="5" s="1"/>
  <c r="A246" i="5" s="1"/>
  <c r="A288" i="5" s="1"/>
  <c r="A330" i="5" s="1"/>
  <c r="B161" i="5"/>
  <c r="B203" i="5" s="1"/>
  <c r="B245" i="5" s="1"/>
  <c r="B287" i="5" s="1"/>
  <c r="B329" i="5" s="1"/>
  <c r="A161" i="5"/>
  <c r="A203" i="5" s="1"/>
  <c r="A245" i="5" s="1"/>
  <c r="A287" i="5" s="1"/>
  <c r="A329" i="5" s="1"/>
  <c r="D160" i="5"/>
  <c r="D67" i="5" s="1"/>
  <c r="B160" i="5"/>
  <c r="B202" i="5" s="1"/>
  <c r="B244" i="5" s="1"/>
  <c r="B286" i="5" s="1"/>
  <c r="B328" i="5" s="1"/>
  <c r="A160" i="5"/>
  <c r="A202" i="5" s="1"/>
  <c r="A244" i="5" s="1"/>
  <c r="A286" i="5" s="1"/>
  <c r="A328" i="5" s="1"/>
  <c r="N159" i="5"/>
  <c r="L159" i="5"/>
  <c r="J159" i="5"/>
  <c r="F159" i="5"/>
  <c r="F66" i="5" s="1"/>
  <c r="B159" i="5"/>
  <c r="B201" i="5" s="1"/>
  <c r="B243" i="5" s="1"/>
  <c r="B285" i="5" s="1"/>
  <c r="B327" i="5" s="1"/>
  <c r="A159" i="5"/>
  <c r="A201" i="5" s="1"/>
  <c r="A243" i="5" s="1"/>
  <c r="A285" i="5" s="1"/>
  <c r="A327" i="5" s="1"/>
  <c r="B158" i="5"/>
  <c r="B200" i="5" s="1"/>
  <c r="B242" i="5" s="1"/>
  <c r="B284" i="5" s="1"/>
  <c r="B326" i="5" s="1"/>
  <c r="A158" i="5"/>
  <c r="A200" i="5" s="1"/>
  <c r="A242" i="5" s="1"/>
  <c r="A284" i="5" s="1"/>
  <c r="A326" i="5" s="1"/>
  <c r="B157" i="5"/>
  <c r="B199" i="5" s="1"/>
  <c r="B241" i="5" s="1"/>
  <c r="B283" i="5" s="1"/>
  <c r="B325" i="5" s="1"/>
  <c r="A157" i="5"/>
  <c r="A199" i="5" s="1"/>
  <c r="A241" i="5" s="1"/>
  <c r="A283" i="5" s="1"/>
  <c r="A325" i="5" s="1"/>
  <c r="K156" i="5"/>
  <c r="B156" i="5"/>
  <c r="B198" i="5" s="1"/>
  <c r="B240" i="5" s="1"/>
  <c r="B282" i="5" s="1"/>
  <c r="B324" i="5" s="1"/>
  <c r="A156" i="5"/>
  <c r="A198" i="5" s="1"/>
  <c r="A240" i="5" s="1"/>
  <c r="A282" i="5" s="1"/>
  <c r="A324" i="5" s="1"/>
  <c r="B155" i="5"/>
  <c r="B197" i="5" s="1"/>
  <c r="B239" i="5" s="1"/>
  <c r="B281" i="5" s="1"/>
  <c r="B323" i="5" s="1"/>
  <c r="A155" i="5"/>
  <c r="A197" i="5" s="1"/>
  <c r="A239" i="5" s="1"/>
  <c r="A281" i="5" s="1"/>
  <c r="A323" i="5" s="1"/>
  <c r="B154" i="5"/>
  <c r="B196" i="5" s="1"/>
  <c r="B238" i="5" s="1"/>
  <c r="B280" i="5" s="1"/>
  <c r="B322" i="5" s="1"/>
  <c r="A154" i="5"/>
  <c r="A196" i="5" s="1"/>
  <c r="A238" i="5" s="1"/>
  <c r="A280" i="5" s="1"/>
  <c r="A322" i="5" s="1"/>
  <c r="N153" i="5"/>
  <c r="L153" i="5"/>
  <c r="J153" i="5"/>
  <c r="F153" i="5"/>
  <c r="F60" i="5" s="1"/>
  <c r="B153" i="5"/>
  <c r="B195" i="5" s="1"/>
  <c r="B237" i="5" s="1"/>
  <c r="B279" i="5" s="1"/>
  <c r="B321" i="5" s="1"/>
  <c r="A153" i="5"/>
  <c r="A195" i="5" s="1"/>
  <c r="A237" i="5" s="1"/>
  <c r="A279" i="5" s="1"/>
  <c r="A321" i="5" s="1"/>
  <c r="B152" i="5"/>
  <c r="B194" i="5" s="1"/>
  <c r="B236" i="5" s="1"/>
  <c r="B278" i="5" s="1"/>
  <c r="B320" i="5" s="1"/>
  <c r="A152" i="5"/>
  <c r="A194" i="5" s="1"/>
  <c r="A236" i="5" s="1"/>
  <c r="A278" i="5" s="1"/>
  <c r="A320" i="5" s="1"/>
  <c r="M151" i="5"/>
  <c r="M58" i="5" s="1"/>
  <c r="B151" i="5"/>
  <c r="B193" i="5" s="1"/>
  <c r="B235" i="5" s="1"/>
  <c r="B277" i="5" s="1"/>
  <c r="B319" i="5" s="1"/>
  <c r="A151" i="5"/>
  <c r="A193" i="5" s="1"/>
  <c r="A235" i="5" s="1"/>
  <c r="A277" i="5" s="1"/>
  <c r="A319" i="5" s="1"/>
  <c r="B150" i="5"/>
  <c r="B192" i="5" s="1"/>
  <c r="B234" i="5" s="1"/>
  <c r="B276" i="5" s="1"/>
  <c r="B318" i="5" s="1"/>
  <c r="A150" i="5"/>
  <c r="A192" i="5" s="1"/>
  <c r="A234" i="5" s="1"/>
  <c r="A276" i="5" s="1"/>
  <c r="A318" i="5" s="1"/>
  <c r="D149" i="5"/>
  <c r="D56" i="5" s="1"/>
  <c r="B149" i="5"/>
  <c r="B191" i="5" s="1"/>
  <c r="B233" i="5" s="1"/>
  <c r="B275" i="5" s="1"/>
  <c r="B317" i="5" s="1"/>
  <c r="A149" i="5"/>
  <c r="A191" i="5" s="1"/>
  <c r="A233" i="5" s="1"/>
  <c r="A275" i="5" s="1"/>
  <c r="A317" i="5" s="1"/>
  <c r="B148" i="5"/>
  <c r="B190" i="5" s="1"/>
  <c r="B232" i="5" s="1"/>
  <c r="B274" i="5" s="1"/>
  <c r="B316" i="5" s="1"/>
  <c r="A148" i="5"/>
  <c r="A190" i="5" s="1"/>
  <c r="A232" i="5" s="1"/>
  <c r="A274" i="5" s="1"/>
  <c r="A316" i="5" s="1"/>
  <c r="B147" i="5"/>
  <c r="B189" i="5" s="1"/>
  <c r="B231" i="5" s="1"/>
  <c r="B273" i="5" s="1"/>
  <c r="B315" i="5" s="1"/>
  <c r="A147" i="5"/>
  <c r="A189" i="5" s="1"/>
  <c r="A231" i="5" s="1"/>
  <c r="A273" i="5" s="1"/>
  <c r="A315" i="5" s="1"/>
  <c r="G146" i="5"/>
  <c r="B146" i="5"/>
  <c r="B188" i="5" s="1"/>
  <c r="B230" i="5" s="1"/>
  <c r="B272" i="5" s="1"/>
  <c r="B314" i="5" s="1"/>
  <c r="A146" i="5"/>
  <c r="A188" i="5" s="1"/>
  <c r="A230" i="5" s="1"/>
  <c r="A272" i="5" s="1"/>
  <c r="A314" i="5" s="1"/>
  <c r="N145" i="5"/>
  <c r="L145" i="5"/>
  <c r="J145" i="5"/>
  <c r="F145" i="5"/>
  <c r="F52" i="5" s="1"/>
  <c r="B145" i="5"/>
  <c r="B187" i="5" s="1"/>
  <c r="B229" i="5" s="1"/>
  <c r="B271" i="5" s="1"/>
  <c r="B313" i="5" s="1"/>
  <c r="A145" i="5"/>
  <c r="A187" i="5" s="1"/>
  <c r="A229" i="5" s="1"/>
  <c r="A271" i="5" s="1"/>
  <c r="A313" i="5" s="1"/>
  <c r="B144" i="5"/>
  <c r="B186" i="5" s="1"/>
  <c r="B228" i="5" s="1"/>
  <c r="B270" i="5" s="1"/>
  <c r="B312" i="5" s="1"/>
  <c r="A144" i="5"/>
  <c r="A186" i="5" s="1"/>
  <c r="A228" i="5" s="1"/>
  <c r="A270" i="5" s="1"/>
  <c r="A312" i="5" s="1"/>
  <c r="B143" i="5"/>
  <c r="B185" i="5" s="1"/>
  <c r="B227" i="5" s="1"/>
  <c r="B269" i="5" s="1"/>
  <c r="B311" i="5" s="1"/>
  <c r="A143" i="5"/>
  <c r="A185" i="5" s="1"/>
  <c r="A227" i="5" s="1"/>
  <c r="A269" i="5" s="1"/>
  <c r="A311" i="5" s="1"/>
  <c r="B142" i="5"/>
  <c r="B184" i="5" s="1"/>
  <c r="B226" i="5" s="1"/>
  <c r="B268" i="5" s="1"/>
  <c r="B310" i="5" s="1"/>
  <c r="A142" i="5"/>
  <c r="A184" i="5" s="1"/>
  <c r="A226" i="5" s="1"/>
  <c r="A268" i="5" s="1"/>
  <c r="A310" i="5" s="1"/>
  <c r="M141" i="5"/>
  <c r="M48" i="5" s="1"/>
  <c r="D141" i="5"/>
  <c r="D48" i="5" s="1"/>
  <c r="B141" i="5"/>
  <c r="B183" i="5" s="1"/>
  <c r="B225" i="5" s="1"/>
  <c r="B267" i="5" s="1"/>
  <c r="B309" i="5" s="1"/>
  <c r="A141" i="5"/>
  <c r="A183" i="5" s="1"/>
  <c r="A225" i="5" s="1"/>
  <c r="A267" i="5" s="1"/>
  <c r="A309" i="5" s="1"/>
  <c r="L85" i="5"/>
  <c r="J85" i="5"/>
  <c r="B127" i="5"/>
  <c r="H85" i="5" s="1"/>
  <c r="A127" i="5"/>
  <c r="L84" i="5"/>
  <c r="G84" i="5"/>
  <c r="B126" i="5"/>
  <c r="H84" i="5" s="1"/>
  <c r="A126" i="5"/>
  <c r="L83" i="5"/>
  <c r="J83" i="5"/>
  <c r="B125" i="5"/>
  <c r="H83" i="5" s="1"/>
  <c r="A125" i="5"/>
  <c r="L82" i="5"/>
  <c r="J82" i="5"/>
  <c r="B124" i="5"/>
  <c r="H82" i="5" s="1"/>
  <c r="A124" i="5"/>
  <c r="L81" i="5"/>
  <c r="J81" i="5"/>
  <c r="B123" i="5"/>
  <c r="H81" i="5" s="1"/>
  <c r="A123" i="5"/>
  <c r="J80" i="5"/>
  <c r="B122" i="5"/>
  <c r="H80" i="5" s="1"/>
  <c r="A122" i="5"/>
  <c r="L79" i="5"/>
  <c r="K79" i="5"/>
  <c r="B121" i="5"/>
  <c r="H79" i="5" s="1"/>
  <c r="A121" i="5"/>
  <c r="N78" i="5"/>
  <c r="K78" i="5"/>
  <c r="G78" i="5"/>
  <c r="B120" i="5"/>
  <c r="H78" i="5" s="1"/>
  <c r="A120" i="5"/>
  <c r="G77" i="5"/>
  <c r="B119" i="5"/>
  <c r="H77" i="5" s="1"/>
  <c r="A119" i="5"/>
  <c r="K76" i="5"/>
  <c r="G76" i="5"/>
  <c r="B118" i="5"/>
  <c r="H76" i="5" s="1"/>
  <c r="A118" i="5"/>
  <c r="L75" i="5"/>
  <c r="K75" i="5"/>
  <c r="J75" i="5"/>
  <c r="B117" i="5"/>
  <c r="H75" i="5" s="1"/>
  <c r="A117" i="5"/>
  <c r="K74" i="5"/>
  <c r="G74" i="5"/>
  <c r="B116" i="5"/>
  <c r="H74" i="5" s="1"/>
  <c r="A116" i="5"/>
  <c r="B115" i="5"/>
  <c r="H73" i="5" s="1"/>
  <c r="A115" i="5"/>
  <c r="O72" i="5"/>
  <c r="L72" i="5"/>
  <c r="K72" i="5"/>
  <c r="J72" i="5"/>
  <c r="B114" i="5"/>
  <c r="H72" i="5" s="1"/>
  <c r="A114" i="5"/>
  <c r="J71" i="5"/>
  <c r="B113" i="5"/>
  <c r="H71" i="5" s="1"/>
  <c r="A113" i="5"/>
  <c r="B112" i="5"/>
  <c r="H70" i="5" s="1"/>
  <c r="A112" i="5"/>
  <c r="N69" i="5"/>
  <c r="B111" i="5"/>
  <c r="H69" i="5" s="1"/>
  <c r="A111" i="5"/>
  <c r="K68" i="5"/>
  <c r="G68" i="5"/>
  <c r="B110" i="5"/>
  <c r="H68" i="5" s="1"/>
  <c r="A110" i="5"/>
  <c r="B109" i="5"/>
  <c r="H67" i="5" s="1"/>
  <c r="A109" i="5"/>
  <c r="B108" i="5"/>
  <c r="H66" i="5" s="1"/>
  <c r="A108" i="5"/>
  <c r="J65" i="5"/>
  <c r="B107" i="5"/>
  <c r="H65" i="5" s="1"/>
  <c r="A107" i="5"/>
  <c r="L64" i="5"/>
  <c r="B106" i="5"/>
  <c r="H64" i="5" s="1"/>
  <c r="A106" i="5"/>
  <c r="B105" i="5"/>
  <c r="H63" i="5" s="1"/>
  <c r="A105" i="5"/>
  <c r="B104" i="5"/>
  <c r="H62" i="5" s="1"/>
  <c r="A104" i="5"/>
  <c r="B103" i="5"/>
  <c r="H61" i="5" s="1"/>
  <c r="A103" i="5"/>
  <c r="B102" i="5"/>
  <c r="H60" i="5" s="1"/>
  <c r="A102" i="5"/>
  <c r="B101" i="5"/>
  <c r="H59" i="5" s="1"/>
  <c r="A101" i="5"/>
  <c r="N58" i="5"/>
  <c r="B100" i="5"/>
  <c r="H58" i="5" s="1"/>
  <c r="A100" i="5"/>
  <c r="L57" i="5"/>
  <c r="J57" i="5"/>
  <c r="B99" i="5"/>
  <c r="H57" i="5" s="1"/>
  <c r="A99" i="5"/>
  <c r="B98" i="5"/>
  <c r="H56" i="5" s="1"/>
  <c r="A98" i="5"/>
  <c r="L55" i="5"/>
  <c r="J55" i="5"/>
  <c r="B97" i="5"/>
  <c r="H55" i="5" s="1"/>
  <c r="A97" i="5"/>
  <c r="O54" i="5"/>
  <c r="L54" i="5"/>
  <c r="K54" i="5"/>
  <c r="J54" i="5"/>
  <c r="B96" i="5"/>
  <c r="H54" i="5" s="1"/>
  <c r="A96" i="5"/>
  <c r="L53" i="5"/>
  <c r="J53" i="5"/>
  <c r="B95" i="5"/>
  <c r="H53" i="5" s="1"/>
  <c r="A95" i="5"/>
  <c r="B94" i="5"/>
  <c r="H52" i="5" s="1"/>
  <c r="A94" i="5"/>
  <c r="L51" i="5"/>
  <c r="J51" i="5"/>
  <c r="B93" i="5"/>
  <c r="H51" i="5" s="1"/>
  <c r="A93" i="5"/>
  <c r="L50" i="5"/>
  <c r="J50" i="5"/>
  <c r="B92" i="5"/>
  <c r="H50" i="5" s="1"/>
  <c r="A92" i="5"/>
  <c r="L49" i="5"/>
  <c r="J49" i="5"/>
  <c r="B91" i="5"/>
  <c r="H49" i="5" s="1"/>
  <c r="A91" i="5"/>
  <c r="B90" i="5"/>
  <c r="H48" i="5" s="1"/>
  <c r="A90" i="5"/>
  <c r="N85" i="5"/>
  <c r="B85" i="5"/>
  <c r="A85" i="5"/>
  <c r="O84" i="5"/>
  <c r="M84" i="5"/>
  <c r="J84" i="5"/>
  <c r="B84" i="5"/>
  <c r="A84" i="5"/>
  <c r="B83" i="5"/>
  <c r="A83" i="5"/>
  <c r="O82" i="5"/>
  <c r="B82" i="5"/>
  <c r="A82" i="5"/>
  <c r="M81" i="5"/>
  <c r="B81" i="5"/>
  <c r="A81" i="5"/>
  <c r="O80" i="5"/>
  <c r="N80" i="5"/>
  <c r="L80" i="5"/>
  <c r="D80" i="5"/>
  <c r="B80" i="5"/>
  <c r="A80" i="5"/>
  <c r="J79" i="5"/>
  <c r="B79" i="5"/>
  <c r="A79" i="5"/>
  <c r="O78" i="5"/>
  <c r="M78" i="5"/>
  <c r="B78" i="5"/>
  <c r="A78" i="5"/>
  <c r="L77" i="5"/>
  <c r="J77" i="5"/>
  <c r="B77" i="5"/>
  <c r="A77" i="5"/>
  <c r="M76" i="5"/>
  <c r="L76" i="5"/>
  <c r="B76" i="5"/>
  <c r="A76" i="5"/>
  <c r="B75" i="5"/>
  <c r="A75" i="5"/>
  <c r="O74" i="5"/>
  <c r="B74" i="5"/>
  <c r="A74" i="5"/>
  <c r="J73" i="5"/>
  <c r="B73" i="5"/>
  <c r="A73" i="5"/>
  <c r="D72" i="5"/>
  <c r="B72" i="5"/>
  <c r="A72" i="5"/>
  <c r="B71" i="5"/>
  <c r="A71" i="5"/>
  <c r="B70" i="5"/>
  <c r="A70" i="5"/>
  <c r="J69" i="5"/>
  <c r="B69" i="5"/>
  <c r="A69" i="5"/>
  <c r="L68" i="5"/>
  <c r="J68" i="5"/>
  <c r="B68" i="5"/>
  <c r="A68" i="5"/>
  <c r="B67" i="5"/>
  <c r="A67" i="5"/>
  <c r="J66" i="5"/>
  <c r="B66" i="5"/>
  <c r="A66" i="5"/>
  <c r="B65" i="5"/>
  <c r="A65" i="5"/>
  <c r="J64" i="5"/>
  <c r="B64" i="5"/>
  <c r="A64" i="5"/>
  <c r="J63" i="5"/>
  <c r="B63" i="5"/>
  <c r="A63" i="5"/>
  <c r="L62" i="5"/>
  <c r="J62" i="5"/>
  <c r="B62" i="5"/>
  <c r="A62" i="5"/>
  <c r="L61" i="5"/>
  <c r="F61" i="5"/>
  <c r="B61" i="5"/>
  <c r="A61" i="5"/>
  <c r="J60" i="5"/>
  <c r="B60" i="5"/>
  <c r="A60" i="5"/>
  <c r="N59" i="5"/>
  <c r="J59" i="5"/>
  <c r="B59" i="5"/>
  <c r="A59" i="5"/>
  <c r="B58" i="5"/>
  <c r="A58" i="5"/>
  <c r="N57" i="5"/>
  <c r="F57" i="5"/>
  <c r="B57" i="5"/>
  <c r="A57" i="5"/>
  <c r="B56" i="5"/>
  <c r="A56" i="5"/>
  <c r="N55" i="5"/>
  <c r="B55" i="5"/>
  <c r="A55" i="5"/>
  <c r="N54" i="5"/>
  <c r="B54" i="5"/>
  <c r="A54" i="5"/>
  <c r="N53" i="5"/>
  <c r="F53" i="5"/>
  <c r="B53" i="5"/>
  <c r="A53" i="5"/>
  <c r="M52" i="5"/>
  <c r="J52" i="5"/>
  <c r="B52" i="5"/>
  <c r="A52" i="5"/>
  <c r="N51" i="5"/>
  <c r="B51" i="5"/>
  <c r="A51" i="5"/>
  <c r="N50" i="5"/>
  <c r="M50" i="5"/>
  <c r="B50" i="5"/>
  <c r="A50" i="5"/>
  <c r="N49" i="5"/>
  <c r="B49" i="5"/>
  <c r="A49" i="5"/>
  <c r="B48" i="5"/>
  <c r="A48" i="5"/>
  <c r="O346" i="4"/>
  <c r="N346" i="4"/>
  <c r="M346" i="4"/>
  <c r="L346" i="4"/>
  <c r="K346" i="4"/>
  <c r="J346" i="4"/>
  <c r="G346" i="4"/>
  <c r="D346" i="4"/>
  <c r="F334" i="4"/>
  <c r="F346" i="4" s="1"/>
  <c r="O304" i="4"/>
  <c r="N304" i="4"/>
  <c r="M304" i="4"/>
  <c r="L304" i="4"/>
  <c r="K304" i="4"/>
  <c r="J304" i="4"/>
  <c r="G304" i="4"/>
  <c r="F304" i="4"/>
  <c r="D304" i="4"/>
  <c r="O262" i="4"/>
  <c r="N262" i="4"/>
  <c r="M262" i="4"/>
  <c r="L262" i="4"/>
  <c r="K262" i="4"/>
  <c r="J262" i="4"/>
  <c r="G262" i="4"/>
  <c r="F262" i="4"/>
  <c r="D262" i="4"/>
  <c r="E251" i="4"/>
  <c r="E240" i="4"/>
  <c r="E237" i="4"/>
  <c r="O219" i="4"/>
  <c r="O177" i="4" s="1"/>
  <c r="N219" i="4"/>
  <c r="M219" i="4"/>
  <c r="M177" i="4" s="1"/>
  <c r="L219" i="4"/>
  <c r="K219" i="4"/>
  <c r="K177" i="4" s="1"/>
  <c r="J219" i="4"/>
  <c r="G219" i="4"/>
  <c r="G177" i="4" s="1"/>
  <c r="F219" i="4"/>
  <c r="E219" i="4"/>
  <c r="E177" i="4" s="1"/>
  <c r="E85" i="4" s="1"/>
  <c r="D219" i="4"/>
  <c r="O218" i="4"/>
  <c r="N218" i="4"/>
  <c r="M218" i="4"/>
  <c r="L218" i="4"/>
  <c r="K218" i="4"/>
  <c r="J218" i="4"/>
  <c r="G218" i="4"/>
  <c r="F218" i="4"/>
  <c r="E218" i="4"/>
  <c r="D218" i="4"/>
  <c r="O217" i="4"/>
  <c r="O175" i="4" s="1"/>
  <c r="N217" i="4"/>
  <c r="M217" i="4"/>
  <c r="M175" i="4" s="1"/>
  <c r="M83" i="4" s="1"/>
  <c r="L217" i="4"/>
  <c r="K217" i="4"/>
  <c r="K175" i="4" s="1"/>
  <c r="J217" i="4"/>
  <c r="G217" i="4"/>
  <c r="G175" i="4" s="1"/>
  <c r="F217" i="4"/>
  <c r="E217" i="4"/>
  <c r="E175" i="4" s="1"/>
  <c r="D217" i="4"/>
  <c r="O216" i="4"/>
  <c r="N216" i="4"/>
  <c r="M216" i="4"/>
  <c r="L216" i="4"/>
  <c r="K216" i="4"/>
  <c r="J216" i="4"/>
  <c r="G216" i="4"/>
  <c r="F216" i="4"/>
  <c r="E216" i="4"/>
  <c r="D216" i="4"/>
  <c r="O215" i="4"/>
  <c r="O173" i="4" s="1"/>
  <c r="N215" i="4"/>
  <c r="M215" i="4"/>
  <c r="M173" i="4" s="1"/>
  <c r="L215" i="4"/>
  <c r="K215" i="4"/>
  <c r="K173" i="4" s="1"/>
  <c r="J215" i="4"/>
  <c r="G215" i="4"/>
  <c r="G173" i="4" s="1"/>
  <c r="F215" i="4"/>
  <c r="E215" i="4"/>
  <c r="E173" i="4" s="1"/>
  <c r="E81" i="4" s="1"/>
  <c r="D215" i="4"/>
  <c r="O214" i="4"/>
  <c r="N214" i="4"/>
  <c r="M214" i="4"/>
  <c r="L214" i="4"/>
  <c r="K214" i="4"/>
  <c r="J214" i="4"/>
  <c r="G214" i="4"/>
  <c r="F214" i="4"/>
  <c r="E214" i="4"/>
  <c r="D214" i="4"/>
  <c r="O213" i="4"/>
  <c r="O171" i="4" s="1"/>
  <c r="N213" i="4"/>
  <c r="M213" i="4"/>
  <c r="M171" i="4" s="1"/>
  <c r="M79" i="4" s="1"/>
  <c r="L213" i="4"/>
  <c r="K213" i="4"/>
  <c r="K171" i="4" s="1"/>
  <c r="J213" i="4"/>
  <c r="G213" i="4"/>
  <c r="G171" i="4" s="1"/>
  <c r="F213" i="4"/>
  <c r="E213" i="4"/>
  <c r="E171" i="4" s="1"/>
  <c r="D213" i="4"/>
  <c r="O212" i="4"/>
  <c r="N212" i="4"/>
  <c r="M212" i="4"/>
  <c r="L212" i="4"/>
  <c r="K212" i="4"/>
  <c r="J212" i="4"/>
  <c r="G212" i="4"/>
  <c r="F212" i="4"/>
  <c r="E212" i="4"/>
  <c r="D212" i="4"/>
  <c r="O211" i="4"/>
  <c r="O169" i="4" s="1"/>
  <c r="N211" i="4"/>
  <c r="M211" i="4"/>
  <c r="M169" i="4" s="1"/>
  <c r="L211" i="4"/>
  <c r="K211" i="4"/>
  <c r="K169" i="4" s="1"/>
  <c r="J211" i="4"/>
  <c r="G211" i="4"/>
  <c r="G169" i="4" s="1"/>
  <c r="F211" i="4"/>
  <c r="E211" i="4"/>
  <c r="E169" i="4" s="1"/>
  <c r="E77" i="4" s="1"/>
  <c r="D211" i="4"/>
  <c r="O210" i="4"/>
  <c r="N210" i="4"/>
  <c r="M210" i="4"/>
  <c r="L210" i="4"/>
  <c r="K210" i="4"/>
  <c r="J210" i="4"/>
  <c r="G210" i="4"/>
  <c r="F210" i="4"/>
  <c r="E210" i="4"/>
  <c r="D210" i="4"/>
  <c r="O209" i="4"/>
  <c r="O167" i="4" s="1"/>
  <c r="N209" i="4"/>
  <c r="M209" i="4"/>
  <c r="M167" i="4" s="1"/>
  <c r="M75" i="4" s="1"/>
  <c r="L209" i="4"/>
  <c r="K209" i="4"/>
  <c r="K167" i="4" s="1"/>
  <c r="J209" i="4"/>
  <c r="G209" i="4"/>
  <c r="G167" i="4" s="1"/>
  <c r="F209" i="4"/>
  <c r="E209" i="4"/>
  <c r="E167" i="4" s="1"/>
  <c r="D209" i="4"/>
  <c r="O208" i="4"/>
  <c r="N208" i="4"/>
  <c r="M208" i="4"/>
  <c r="L208" i="4"/>
  <c r="K208" i="4"/>
  <c r="J208" i="4"/>
  <c r="G208" i="4"/>
  <c r="F208" i="4"/>
  <c r="E208" i="4"/>
  <c r="D208" i="4"/>
  <c r="O207" i="4"/>
  <c r="O165" i="4" s="1"/>
  <c r="N207" i="4"/>
  <c r="M207" i="4"/>
  <c r="M165" i="4" s="1"/>
  <c r="L207" i="4"/>
  <c r="K207" i="4"/>
  <c r="K165" i="4" s="1"/>
  <c r="J207" i="4"/>
  <c r="G207" i="4"/>
  <c r="G165" i="4" s="1"/>
  <c r="F207" i="4"/>
  <c r="E207" i="4"/>
  <c r="E165" i="4" s="1"/>
  <c r="E73" i="4" s="1"/>
  <c r="D207" i="4"/>
  <c r="O206" i="4"/>
  <c r="N206" i="4"/>
  <c r="M206" i="4"/>
  <c r="L206" i="4"/>
  <c r="K206" i="4"/>
  <c r="J206" i="4"/>
  <c r="G206" i="4"/>
  <c r="F206" i="4"/>
  <c r="E206" i="4"/>
  <c r="D206" i="4"/>
  <c r="O205" i="4"/>
  <c r="O163" i="4" s="1"/>
  <c r="N205" i="4"/>
  <c r="M205" i="4"/>
  <c r="M163" i="4" s="1"/>
  <c r="M71" i="4" s="1"/>
  <c r="L205" i="4"/>
  <c r="K205" i="4"/>
  <c r="K163" i="4" s="1"/>
  <c r="J205" i="4"/>
  <c r="G205" i="4"/>
  <c r="G163" i="4" s="1"/>
  <c r="F205" i="4"/>
  <c r="E205" i="4"/>
  <c r="E163" i="4" s="1"/>
  <c r="D205" i="4"/>
  <c r="O204" i="4"/>
  <c r="N204" i="4"/>
  <c r="M204" i="4"/>
  <c r="L204" i="4"/>
  <c r="K204" i="4"/>
  <c r="J204" i="4"/>
  <c r="G204" i="4"/>
  <c r="F204" i="4"/>
  <c r="E204" i="4"/>
  <c r="D204" i="4"/>
  <c r="O203" i="4"/>
  <c r="O161" i="4" s="1"/>
  <c r="N203" i="4"/>
  <c r="M203" i="4"/>
  <c r="M161" i="4" s="1"/>
  <c r="L203" i="4"/>
  <c r="K203" i="4"/>
  <c r="K161" i="4" s="1"/>
  <c r="J203" i="4"/>
  <c r="G203" i="4"/>
  <c r="G161" i="4" s="1"/>
  <c r="F203" i="4"/>
  <c r="E203" i="4"/>
  <c r="E161" i="4" s="1"/>
  <c r="D203" i="4"/>
  <c r="O202" i="4"/>
  <c r="N202" i="4"/>
  <c r="M202" i="4"/>
  <c r="L202" i="4"/>
  <c r="K202" i="4"/>
  <c r="J202" i="4"/>
  <c r="G202" i="4"/>
  <c r="F202" i="4"/>
  <c r="E202" i="4"/>
  <c r="D202" i="4"/>
  <c r="O201" i="4"/>
  <c r="O159" i="4" s="1"/>
  <c r="N201" i="4"/>
  <c r="M201" i="4"/>
  <c r="M159" i="4" s="1"/>
  <c r="L201" i="4"/>
  <c r="K201" i="4"/>
  <c r="K159" i="4" s="1"/>
  <c r="J201" i="4"/>
  <c r="G201" i="4"/>
  <c r="G159" i="4" s="1"/>
  <c r="F201" i="4"/>
  <c r="E201" i="4"/>
  <c r="E159" i="4" s="1"/>
  <c r="D201" i="4"/>
  <c r="O200" i="4"/>
  <c r="N200" i="4"/>
  <c r="M200" i="4"/>
  <c r="L200" i="4"/>
  <c r="K200" i="4"/>
  <c r="J200" i="4"/>
  <c r="G200" i="4"/>
  <c r="F200" i="4"/>
  <c r="E200" i="4"/>
  <c r="D200" i="4"/>
  <c r="O199" i="4"/>
  <c r="O157" i="4" s="1"/>
  <c r="N199" i="4"/>
  <c r="M199" i="4"/>
  <c r="M157" i="4" s="1"/>
  <c r="M65" i="4" s="1"/>
  <c r="L199" i="4"/>
  <c r="K199" i="4"/>
  <c r="K157" i="4" s="1"/>
  <c r="J199" i="4"/>
  <c r="G199" i="4"/>
  <c r="G157" i="4" s="1"/>
  <c r="F199" i="4"/>
  <c r="E199" i="4"/>
  <c r="E157" i="4" s="1"/>
  <c r="D199" i="4"/>
  <c r="O198" i="4"/>
  <c r="N198" i="4"/>
  <c r="M198" i="4"/>
  <c r="L198" i="4"/>
  <c r="K198" i="4"/>
  <c r="J198" i="4"/>
  <c r="G198" i="4"/>
  <c r="F198" i="4"/>
  <c r="E198" i="4"/>
  <c r="D198" i="4"/>
  <c r="O197" i="4"/>
  <c r="O155" i="4" s="1"/>
  <c r="N197" i="4"/>
  <c r="M197" i="4"/>
  <c r="M155" i="4" s="1"/>
  <c r="L197" i="4"/>
  <c r="K197" i="4"/>
  <c r="K155" i="4" s="1"/>
  <c r="J197" i="4"/>
  <c r="G197" i="4"/>
  <c r="G155" i="4" s="1"/>
  <c r="F197" i="4"/>
  <c r="E197" i="4"/>
  <c r="E155" i="4" s="1"/>
  <c r="D197" i="4"/>
  <c r="O196" i="4"/>
  <c r="N196" i="4"/>
  <c r="M196" i="4"/>
  <c r="L196" i="4"/>
  <c r="K196" i="4"/>
  <c r="J196" i="4"/>
  <c r="G196" i="4"/>
  <c r="F196" i="4"/>
  <c r="E196" i="4"/>
  <c r="D196" i="4"/>
  <c r="O195" i="4"/>
  <c r="O153" i="4" s="1"/>
  <c r="N195" i="4"/>
  <c r="M195" i="4"/>
  <c r="M153" i="4" s="1"/>
  <c r="M61" i="4" s="1"/>
  <c r="L195" i="4"/>
  <c r="K195" i="4"/>
  <c r="K153" i="4" s="1"/>
  <c r="J195" i="4"/>
  <c r="G195" i="4"/>
  <c r="G153" i="4" s="1"/>
  <c r="F195" i="4"/>
  <c r="E195" i="4"/>
  <c r="E153" i="4" s="1"/>
  <c r="D195" i="4"/>
  <c r="O194" i="4"/>
  <c r="N194" i="4"/>
  <c r="M194" i="4"/>
  <c r="L194" i="4"/>
  <c r="K194" i="4"/>
  <c r="J194" i="4"/>
  <c r="G194" i="4"/>
  <c r="F194" i="4"/>
  <c r="E194" i="4"/>
  <c r="D194" i="4"/>
  <c r="O193" i="4"/>
  <c r="O151" i="4" s="1"/>
  <c r="N193" i="4"/>
  <c r="M193" i="4"/>
  <c r="M151" i="4" s="1"/>
  <c r="L193" i="4"/>
  <c r="K193" i="4"/>
  <c r="K151" i="4" s="1"/>
  <c r="J193" i="4"/>
  <c r="G193" i="4"/>
  <c r="G151" i="4" s="1"/>
  <c r="F193" i="4"/>
  <c r="E193" i="4"/>
  <c r="E151" i="4" s="1"/>
  <c r="D193" i="4"/>
  <c r="O192" i="4"/>
  <c r="N192" i="4"/>
  <c r="M192" i="4"/>
  <c r="L192" i="4"/>
  <c r="K192" i="4"/>
  <c r="J192" i="4"/>
  <c r="G192" i="4"/>
  <c r="F192" i="4"/>
  <c r="E192" i="4"/>
  <c r="D192" i="4"/>
  <c r="O191" i="4"/>
  <c r="O149" i="4" s="1"/>
  <c r="N191" i="4"/>
  <c r="M191" i="4"/>
  <c r="M149" i="4" s="1"/>
  <c r="L191" i="4"/>
  <c r="K191" i="4"/>
  <c r="K149" i="4" s="1"/>
  <c r="J191" i="4"/>
  <c r="G191" i="4"/>
  <c r="G149" i="4" s="1"/>
  <c r="F191" i="4"/>
  <c r="E191" i="4"/>
  <c r="E149" i="4" s="1"/>
  <c r="E57" i="4" s="1"/>
  <c r="D191" i="4"/>
  <c r="O190" i="4"/>
  <c r="N190" i="4"/>
  <c r="M190" i="4"/>
  <c r="L190" i="4"/>
  <c r="K190" i="4"/>
  <c r="J190" i="4"/>
  <c r="G190" i="4"/>
  <c r="F190" i="4"/>
  <c r="E190" i="4"/>
  <c r="D190" i="4"/>
  <c r="O189" i="4"/>
  <c r="O147" i="4" s="1"/>
  <c r="N189" i="4"/>
  <c r="M189" i="4"/>
  <c r="M147" i="4" s="1"/>
  <c r="L189" i="4"/>
  <c r="K189" i="4"/>
  <c r="K147" i="4" s="1"/>
  <c r="J189" i="4"/>
  <c r="G189" i="4"/>
  <c r="G147" i="4" s="1"/>
  <c r="F189" i="4"/>
  <c r="E189" i="4"/>
  <c r="E147" i="4" s="1"/>
  <c r="D189" i="4"/>
  <c r="O188" i="4"/>
  <c r="N188" i="4"/>
  <c r="M188" i="4"/>
  <c r="L188" i="4"/>
  <c r="K188" i="4"/>
  <c r="J188" i="4"/>
  <c r="G188" i="4"/>
  <c r="F188" i="4"/>
  <c r="E188" i="4"/>
  <c r="D188" i="4"/>
  <c r="O187" i="4"/>
  <c r="O145" i="4" s="1"/>
  <c r="N187" i="4"/>
  <c r="M187" i="4"/>
  <c r="M145" i="4" s="1"/>
  <c r="L187" i="4"/>
  <c r="K187" i="4"/>
  <c r="K145" i="4" s="1"/>
  <c r="J187" i="4"/>
  <c r="G187" i="4"/>
  <c r="G145" i="4" s="1"/>
  <c r="F187" i="4"/>
  <c r="E187" i="4"/>
  <c r="E145" i="4" s="1"/>
  <c r="E53" i="4" s="1"/>
  <c r="D187" i="4"/>
  <c r="O186" i="4"/>
  <c r="N186" i="4"/>
  <c r="M186" i="4"/>
  <c r="L186" i="4"/>
  <c r="K186" i="4"/>
  <c r="J186" i="4"/>
  <c r="G186" i="4"/>
  <c r="F186" i="4"/>
  <c r="E186" i="4"/>
  <c r="D186" i="4"/>
  <c r="O185" i="4"/>
  <c r="O143" i="4" s="1"/>
  <c r="N185" i="4"/>
  <c r="M185" i="4"/>
  <c r="M143" i="4" s="1"/>
  <c r="L185" i="4"/>
  <c r="K185" i="4"/>
  <c r="K143" i="4" s="1"/>
  <c r="J185" i="4"/>
  <c r="G185" i="4"/>
  <c r="G143" i="4" s="1"/>
  <c r="F185" i="4"/>
  <c r="E185" i="4"/>
  <c r="E143" i="4" s="1"/>
  <c r="D185" i="4"/>
  <c r="O184" i="4"/>
  <c r="N184" i="4"/>
  <c r="M184" i="4"/>
  <c r="L184" i="4"/>
  <c r="K184" i="4"/>
  <c r="J184" i="4"/>
  <c r="G184" i="4"/>
  <c r="F184" i="4"/>
  <c r="E184" i="4"/>
  <c r="D184" i="4"/>
  <c r="O183" i="4"/>
  <c r="O141" i="4" s="1"/>
  <c r="N183" i="4"/>
  <c r="M183" i="4"/>
  <c r="M141" i="4" s="1"/>
  <c r="L183" i="4"/>
  <c r="K183" i="4"/>
  <c r="K141" i="4" s="1"/>
  <c r="J183" i="4"/>
  <c r="G183" i="4"/>
  <c r="G141" i="4" s="1"/>
  <c r="F183" i="4"/>
  <c r="E183" i="4"/>
  <c r="E141" i="4" s="1"/>
  <c r="E49" i="4" s="1"/>
  <c r="D183" i="4"/>
  <c r="O182" i="4"/>
  <c r="N182" i="4"/>
  <c r="N220" i="4" s="1"/>
  <c r="M182" i="4"/>
  <c r="L182" i="4"/>
  <c r="L220" i="4" s="1"/>
  <c r="K182" i="4"/>
  <c r="J182" i="4"/>
  <c r="J220" i="4" s="1"/>
  <c r="G182" i="4"/>
  <c r="F182" i="4"/>
  <c r="F220" i="4" s="1"/>
  <c r="E182" i="4"/>
  <c r="D182" i="4"/>
  <c r="D220" i="4" s="1"/>
  <c r="N177" i="4"/>
  <c r="L177" i="4"/>
  <c r="J177" i="4"/>
  <c r="F177" i="4"/>
  <c r="D177" i="4"/>
  <c r="B177" i="4"/>
  <c r="B219" i="4" s="1"/>
  <c r="B261" i="4" s="1"/>
  <c r="B303" i="4" s="1"/>
  <c r="B345" i="4" s="1"/>
  <c r="A177" i="4"/>
  <c r="A219" i="4" s="1"/>
  <c r="A261" i="4" s="1"/>
  <c r="A303" i="4" s="1"/>
  <c r="A345" i="4" s="1"/>
  <c r="O176" i="4"/>
  <c r="N176" i="4"/>
  <c r="M176" i="4"/>
  <c r="L176" i="4"/>
  <c r="K176" i="4"/>
  <c r="J176" i="4"/>
  <c r="G176" i="4"/>
  <c r="F176" i="4"/>
  <c r="E176" i="4"/>
  <c r="D176" i="4"/>
  <c r="C176" i="4" s="1"/>
  <c r="B176" i="4"/>
  <c r="B218" i="4" s="1"/>
  <c r="B260" i="4" s="1"/>
  <c r="B302" i="4" s="1"/>
  <c r="B344" i="4" s="1"/>
  <c r="A176" i="4"/>
  <c r="A218" i="4" s="1"/>
  <c r="A260" i="4" s="1"/>
  <c r="A302" i="4" s="1"/>
  <c r="A344" i="4" s="1"/>
  <c r="N175" i="4"/>
  <c r="L175" i="4"/>
  <c r="J175" i="4"/>
  <c r="F175" i="4"/>
  <c r="D175" i="4"/>
  <c r="B175" i="4"/>
  <c r="B217" i="4" s="1"/>
  <c r="B259" i="4" s="1"/>
  <c r="B301" i="4" s="1"/>
  <c r="B343" i="4" s="1"/>
  <c r="A175" i="4"/>
  <c r="A217" i="4" s="1"/>
  <c r="A259" i="4" s="1"/>
  <c r="A301" i="4" s="1"/>
  <c r="A343" i="4" s="1"/>
  <c r="O174" i="4"/>
  <c r="N174" i="4"/>
  <c r="M174" i="4"/>
  <c r="L174" i="4"/>
  <c r="K174" i="4"/>
  <c r="J174" i="4"/>
  <c r="G174" i="4"/>
  <c r="F174" i="4"/>
  <c r="E174" i="4"/>
  <c r="D174" i="4"/>
  <c r="B174" i="4"/>
  <c r="B216" i="4" s="1"/>
  <c r="B258" i="4" s="1"/>
  <c r="B300" i="4" s="1"/>
  <c r="B342" i="4" s="1"/>
  <c r="A174" i="4"/>
  <c r="A216" i="4" s="1"/>
  <c r="A258" i="4" s="1"/>
  <c r="A300" i="4" s="1"/>
  <c r="A342" i="4" s="1"/>
  <c r="N173" i="4"/>
  <c r="L173" i="4"/>
  <c r="J173" i="4"/>
  <c r="F173" i="4"/>
  <c r="D173" i="4"/>
  <c r="B173" i="4"/>
  <c r="B215" i="4" s="1"/>
  <c r="B257" i="4" s="1"/>
  <c r="B299" i="4" s="1"/>
  <c r="B341" i="4" s="1"/>
  <c r="A173" i="4"/>
  <c r="A215" i="4" s="1"/>
  <c r="A257" i="4" s="1"/>
  <c r="A299" i="4" s="1"/>
  <c r="A341" i="4" s="1"/>
  <c r="O172" i="4"/>
  <c r="N172" i="4"/>
  <c r="M172" i="4"/>
  <c r="L172" i="4"/>
  <c r="K172" i="4"/>
  <c r="J172" i="4"/>
  <c r="G172" i="4"/>
  <c r="F172" i="4"/>
  <c r="E172" i="4"/>
  <c r="D172" i="4"/>
  <c r="C172" i="4" s="1"/>
  <c r="B172" i="4"/>
  <c r="B214" i="4" s="1"/>
  <c r="B256" i="4" s="1"/>
  <c r="B298" i="4" s="1"/>
  <c r="B340" i="4" s="1"/>
  <c r="A172" i="4"/>
  <c r="A214" i="4" s="1"/>
  <c r="A256" i="4" s="1"/>
  <c r="A298" i="4" s="1"/>
  <c r="A340" i="4" s="1"/>
  <c r="N171" i="4"/>
  <c r="L171" i="4"/>
  <c r="J171" i="4"/>
  <c r="F171" i="4"/>
  <c r="D171" i="4"/>
  <c r="B171" i="4"/>
  <c r="B213" i="4" s="1"/>
  <c r="B255" i="4" s="1"/>
  <c r="B297" i="4" s="1"/>
  <c r="B339" i="4" s="1"/>
  <c r="A171" i="4"/>
  <c r="A213" i="4" s="1"/>
  <c r="A255" i="4" s="1"/>
  <c r="A297" i="4" s="1"/>
  <c r="A339" i="4" s="1"/>
  <c r="O170" i="4"/>
  <c r="N170" i="4"/>
  <c r="M170" i="4"/>
  <c r="L170" i="4"/>
  <c r="K170" i="4"/>
  <c r="J170" i="4"/>
  <c r="G170" i="4"/>
  <c r="F170" i="4"/>
  <c r="E170" i="4"/>
  <c r="D170" i="4"/>
  <c r="B170" i="4"/>
  <c r="B212" i="4" s="1"/>
  <c r="B254" i="4" s="1"/>
  <c r="B296" i="4" s="1"/>
  <c r="B338" i="4" s="1"/>
  <c r="A170" i="4"/>
  <c r="A212" i="4" s="1"/>
  <c r="A254" i="4" s="1"/>
  <c r="A296" i="4" s="1"/>
  <c r="A338" i="4" s="1"/>
  <c r="N169" i="4"/>
  <c r="L169" i="4"/>
  <c r="J169" i="4"/>
  <c r="F169" i="4"/>
  <c r="D169" i="4"/>
  <c r="B169" i="4"/>
  <c r="B211" i="4" s="1"/>
  <c r="B253" i="4" s="1"/>
  <c r="B295" i="4" s="1"/>
  <c r="B337" i="4" s="1"/>
  <c r="A169" i="4"/>
  <c r="A211" i="4" s="1"/>
  <c r="A253" i="4" s="1"/>
  <c r="A295" i="4" s="1"/>
  <c r="A337" i="4" s="1"/>
  <c r="O168" i="4"/>
  <c r="N168" i="4"/>
  <c r="M168" i="4"/>
  <c r="L168" i="4"/>
  <c r="K168" i="4"/>
  <c r="J168" i="4"/>
  <c r="G168" i="4"/>
  <c r="F168" i="4"/>
  <c r="E168" i="4"/>
  <c r="D168" i="4"/>
  <c r="C168" i="4" s="1"/>
  <c r="B168" i="4"/>
  <c r="B210" i="4" s="1"/>
  <c r="B252" i="4" s="1"/>
  <c r="B294" i="4" s="1"/>
  <c r="B336" i="4" s="1"/>
  <c r="A168" i="4"/>
  <c r="A210" i="4" s="1"/>
  <c r="A252" i="4" s="1"/>
  <c r="A294" i="4" s="1"/>
  <c r="A336" i="4" s="1"/>
  <c r="N167" i="4"/>
  <c r="L167" i="4"/>
  <c r="J167" i="4"/>
  <c r="F167" i="4"/>
  <c r="D167" i="4"/>
  <c r="B167" i="4"/>
  <c r="B209" i="4" s="1"/>
  <c r="B251" i="4" s="1"/>
  <c r="B293" i="4" s="1"/>
  <c r="B335" i="4" s="1"/>
  <c r="A167" i="4"/>
  <c r="A209" i="4" s="1"/>
  <c r="A251" i="4" s="1"/>
  <c r="A293" i="4" s="1"/>
  <c r="A335" i="4" s="1"/>
  <c r="O166" i="4"/>
  <c r="N166" i="4"/>
  <c r="M166" i="4"/>
  <c r="L166" i="4"/>
  <c r="K166" i="4"/>
  <c r="J166" i="4"/>
  <c r="G166" i="4"/>
  <c r="F166" i="4"/>
  <c r="E166" i="4"/>
  <c r="D166" i="4"/>
  <c r="B166" i="4"/>
  <c r="B208" i="4" s="1"/>
  <c r="B250" i="4" s="1"/>
  <c r="B292" i="4" s="1"/>
  <c r="B334" i="4" s="1"/>
  <c r="A166" i="4"/>
  <c r="A208" i="4" s="1"/>
  <c r="A250" i="4" s="1"/>
  <c r="A292" i="4" s="1"/>
  <c r="A334" i="4" s="1"/>
  <c r="N165" i="4"/>
  <c r="L165" i="4"/>
  <c r="J165" i="4"/>
  <c r="F165" i="4"/>
  <c r="D165" i="4"/>
  <c r="B165" i="4"/>
  <c r="B207" i="4" s="1"/>
  <c r="B249" i="4" s="1"/>
  <c r="B291" i="4" s="1"/>
  <c r="B333" i="4" s="1"/>
  <c r="A165" i="4"/>
  <c r="A207" i="4" s="1"/>
  <c r="A249" i="4" s="1"/>
  <c r="A291" i="4" s="1"/>
  <c r="A333" i="4" s="1"/>
  <c r="O164" i="4"/>
  <c r="N164" i="4"/>
  <c r="M164" i="4"/>
  <c r="L164" i="4"/>
  <c r="K164" i="4"/>
  <c r="J164" i="4"/>
  <c r="G164" i="4"/>
  <c r="F164" i="4"/>
  <c r="E164" i="4"/>
  <c r="D164" i="4"/>
  <c r="C164" i="4" s="1"/>
  <c r="B164" i="4"/>
  <c r="B206" i="4" s="1"/>
  <c r="B248" i="4" s="1"/>
  <c r="B290" i="4" s="1"/>
  <c r="B332" i="4" s="1"/>
  <c r="A164" i="4"/>
  <c r="A206" i="4" s="1"/>
  <c r="A248" i="4" s="1"/>
  <c r="A290" i="4" s="1"/>
  <c r="A332" i="4" s="1"/>
  <c r="N163" i="4"/>
  <c r="L163" i="4"/>
  <c r="J163" i="4"/>
  <c r="F163" i="4"/>
  <c r="D163" i="4"/>
  <c r="B163" i="4"/>
  <c r="B205" i="4" s="1"/>
  <c r="B247" i="4" s="1"/>
  <c r="B289" i="4" s="1"/>
  <c r="B331" i="4" s="1"/>
  <c r="A163" i="4"/>
  <c r="A205" i="4" s="1"/>
  <c r="A247" i="4" s="1"/>
  <c r="A289" i="4" s="1"/>
  <c r="A331" i="4" s="1"/>
  <c r="O162" i="4"/>
  <c r="N162" i="4"/>
  <c r="M162" i="4"/>
  <c r="L162" i="4"/>
  <c r="K162" i="4"/>
  <c r="J162" i="4"/>
  <c r="G162" i="4"/>
  <c r="F162" i="4"/>
  <c r="E162" i="4"/>
  <c r="D162" i="4"/>
  <c r="B162" i="4"/>
  <c r="B204" i="4" s="1"/>
  <c r="B246" i="4" s="1"/>
  <c r="B288" i="4" s="1"/>
  <c r="B330" i="4" s="1"/>
  <c r="A162" i="4"/>
  <c r="A204" i="4" s="1"/>
  <c r="A246" i="4" s="1"/>
  <c r="A288" i="4" s="1"/>
  <c r="A330" i="4" s="1"/>
  <c r="N161" i="4"/>
  <c r="L161" i="4"/>
  <c r="J161" i="4"/>
  <c r="F161" i="4"/>
  <c r="F69" i="4" s="1"/>
  <c r="D161" i="4"/>
  <c r="B161" i="4"/>
  <c r="B203" i="4" s="1"/>
  <c r="B245" i="4" s="1"/>
  <c r="B287" i="4" s="1"/>
  <c r="B329" i="4" s="1"/>
  <c r="A161" i="4"/>
  <c r="A203" i="4" s="1"/>
  <c r="A245" i="4" s="1"/>
  <c r="A287" i="4" s="1"/>
  <c r="A329" i="4" s="1"/>
  <c r="O160" i="4"/>
  <c r="N160" i="4"/>
  <c r="M160" i="4"/>
  <c r="L160" i="4"/>
  <c r="K160" i="4"/>
  <c r="J160" i="4"/>
  <c r="G160" i="4"/>
  <c r="F160" i="4"/>
  <c r="E160" i="4"/>
  <c r="D160" i="4"/>
  <c r="C160" i="4" s="1"/>
  <c r="B160" i="4"/>
  <c r="B202" i="4" s="1"/>
  <c r="B244" i="4" s="1"/>
  <c r="B286" i="4" s="1"/>
  <c r="B328" i="4" s="1"/>
  <c r="A160" i="4"/>
  <c r="A202" i="4" s="1"/>
  <c r="A244" i="4" s="1"/>
  <c r="A286" i="4" s="1"/>
  <c r="A328" i="4" s="1"/>
  <c r="N159" i="4"/>
  <c r="L159" i="4"/>
  <c r="J159" i="4"/>
  <c r="F159" i="4"/>
  <c r="F67" i="4" s="1"/>
  <c r="D159" i="4"/>
  <c r="B159" i="4"/>
  <c r="B201" i="4" s="1"/>
  <c r="B243" i="4" s="1"/>
  <c r="B285" i="4" s="1"/>
  <c r="B327" i="4" s="1"/>
  <c r="A159" i="4"/>
  <c r="A201" i="4" s="1"/>
  <c r="A243" i="4" s="1"/>
  <c r="A285" i="4" s="1"/>
  <c r="A327" i="4" s="1"/>
  <c r="O158" i="4"/>
  <c r="N158" i="4"/>
  <c r="M158" i="4"/>
  <c r="L158" i="4"/>
  <c r="K158" i="4"/>
  <c r="J158" i="4"/>
  <c r="G158" i="4"/>
  <c r="F158" i="4"/>
  <c r="E158" i="4"/>
  <c r="D158" i="4"/>
  <c r="B158" i="4"/>
  <c r="B200" i="4" s="1"/>
  <c r="B242" i="4" s="1"/>
  <c r="B284" i="4" s="1"/>
  <c r="B326" i="4" s="1"/>
  <c r="A158" i="4"/>
  <c r="A200" i="4" s="1"/>
  <c r="A242" i="4" s="1"/>
  <c r="A284" i="4" s="1"/>
  <c r="A326" i="4" s="1"/>
  <c r="N157" i="4"/>
  <c r="L157" i="4"/>
  <c r="J157" i="4"/>
  <c r="F157" i="4"/>
  <c r="F65" i="4" s="1"/>
  <c r="D157" i="4"/>
  <c r="B157" i="4"/>
  <c r="B199" i="4" s="1"/>
  <c r="B241" i="4" s="1"/>
  <c r="B283" i="4" s="1"/>
  <c r="B325" i="4" s="1"/>
  <c r="A157" i="4"/>
  <c r="A199" i="4" s="1"/>
  <c r="A241" i="4" s="1"/>
  <c r="A283" i="4" s="1"/>
  <c r="A325" i="4" s="1"/>
  <c r="O156" i="4"/>
  <c r="N156" i="4"/>
  <c r="M156" i="4"/>
  <c r="L156" i="4"/>
  <c r="K156" i="4"/>
  <c r="J156" i="4"/>
  <c r="G156" i="4"/>
  <c r="F156" i="4"/>
  <c r="E156" i="4"/>
  <c r="D156" i="4"/>
  <c r="C156" i="4" s="1"/>
  <c r="B156" i="4"/>
  <c r="B198" i="4" s="1"/>
  <c r="B240" i="4" s="1"/>
  <c r="B282" i="4" s="1"/>
  <c r="B324" i="4" s="1"/>
  <c r="A156" i="4"/>
  <c r="A198" i="4" s="1"/>
  <c r="A240" i="4" s="1"/>
  <c r="A282" i="4" s="1"/>
  <c r="A324" i="4" s="1"/>
  <c r="N155" i="4"/>
  <c r="L155" i="4"/>
  <c r="J155" i="4"/>
  <c r="F155" i="4"/>
  <c r="F63" i="4" s="1"/>
  <c r="D155" i="4"/>
  <c r="B155" i="4"/>
  <c r="B197" i="4" s="1"/>
  <c r="B239" i="4" s="1"/>
  <c r="B281" i="4" s="1"/>
  <c r="B323" i="4" s="1"/>
  <c r="A155" i="4"/>
  <c r="A197" i="4" s="1"/>
  <c r="A239" i="4" s="1"/>
  <c r="A281" i="4" s="1"/>
  <c r="A323" i="4" s="1"/>
  <c r="O154" i="4"/>
  <c r="N154" i="4"/>
  <c r="M154" i="4"/>
  <c r="L154" i="4"/>
  <c r="K154" i="4"/>
  <c r="J154" i="4"/>
  <c r="G154" i="4"/>
  <c r="F154" i="4"/>
  <c r="E154" i="4"/>
  <c r="D154" i="4"/>
  <c r="B154" i="4"/>
  <c r="B196" i="4" s="1"/>
  <c r="B238" i="4" s="1"/>
  <c r="B280" i="4" s="1"/>
  <c r="B322" i="4" s="1"/>
  <c r="A154" i="4"/>
  <c r="A196" i="4" s="1"/>
  <c r="A238" i="4" s="1"/>
  <c r="A280" i="4" s="1"/>
  <c r="A322" i="4" s="1"/>
  <c r="N153" i="4"/>
  <c r="L153" i="4"/>
  <c r="J153" i="4"/>
  <c r="F153" i="4"/>
  <c r="F61" i="4" s="1"/>
  <c r="D153" i="4"/>
  <c r="B153" i="4"/>
  <c r="B195" i="4" s="1"/>
  <c r="B237" i="4" s="1"/>
  <c r="B279" i="4" s="1"/>
  <c r="B321" i="4" s="1"/>
  <c r="A153" i="4"/>
  <c r="A195" i="4" s="1"/>
  <c r="A237" i="4" s="1"/>
  <c r="A279" i="4" s="1"/>
  <c r="A321" i="4" s="1"/>
  <c r="O152" i="4"/>
  <c r="N152" i="4"/>
  <c r="M152" i="4"/>
  <c r="L152" i="4"/>
  <c r="K152" i="4"/>
  <c r="J152" i="4"/>
  <c r="G152" i="4"/>
  <c r="F152" i="4"/>
  <c r="E152" i="4"/>
  <c r="D152" i="4"/>
  <c r="C152" i="4" s="1"/>
  <c r="B152" i="4"/>
  <c r="B194" i="4" s="1"/>
  <c r="B236" i="4" s="1"/>
  <c r="B278" i="4" s="1"/>
  <c r="B320" i="4" s="1"/>
  <c r="A152" i="4"/>
  <c r="A194" i="4" s="1"/>
  <c r="A236" i="4" s="1"/>
  <c r="A278" i="4" s="1"/>
  <c r="A320" i="4" s="1"/>
  <c r="N151" i="4"/>
  <c r="L151" i="4"/>
  <c r="J151" i="4"/>
  <c r="F151" i="4"/>
  <c r="F59" i="4" s="1"/>
  <c r="D151" i="4"/>
  <c r="B151" i="4"/>
  <c r="B193" i="4" s="1"/>
  <c r="B235" i="4" s="1"/>
  <c r="B277" i="4" s="1"/>
  <c r="B319" i="4" s="1"/>
  <c r="A151" i="4"/>
  <c r="A193" i="4" s="1"/>
  <c r="A235" i="4" s="1"/>
  <c r="A277" i="4" s="1"/>
  <c r="A319" i="4" s="1"/>
  <c r="O150" i="4"/>
  <c r="N150" i="4"/>
  <c r="M150" i="4"/>
  <c r="L150" i="4"/>
  <c r="K150" i="4"/>
  <c r="J150" i="4"/>
  <c r="G150" i="4"/>
  <c r="F150" i="4"/>
  <c r="E150" i="4"/>
  <c r="D150" i="4"/>
  <c r="B150" i="4"/>
  <c r="B192" i="4" s="1"/>
  <c r="B234" i="4" s="1"/>
  <c r="B276" i="4" s="1"/>
  <c r="B318" i="4" s="1"/>
  <c r="A150" i="4"/>
  <c r="A192" i="4" s="1"/>
  <c r="A234" i="4" s="1"/>
  <c r="A276" i="4" s="1"/>
  <c r="A318" i="4" s="1"/>
  <c r="N149" i="4"/>
  <c r="L149" i="4"/>
  <c r="J149" i="4"/>
  <c r="F149" i="4"/>
  <c r="F57" i="4" s="1"/>
  <c r="D149" i="4"/>
  <c r="B149" i="4"/>
  <c r="B191" i="4" s="1"/>
  <c r="B233" i="4" s="1"/>
  <c r="B275" i="4" s="1"/>
  <c r="B317" i="4" s="1"/>
  <c r="A149" i="4"/>
  <c r="A191" i="4" s="1"/>
  <c r="A233" i="4" s="1"/>
  <c r="A275" i="4" s="1"/>
  <c r="A317" i="4" s="1"/>
  <c r="O148" i="4"/>
  <c r="N148" i="4"/>
  <c r="M148" i="4"/>
  <c r="L148" i="4"/>
  <c r="K148" i="4"/>
  <c r="J148" i="4"/>
  <c r="G148" i="4"/>
  <c r="F148" i="4"/>
  <c r="E148" i="4"/>
  <c r="D148" i="4"/>
  <c r="C148" i="4" s="1"/>
  <c r="B148" i="4"/>
  <c r="B190" i="4" s="1"/>
  <c r="B232" i="4" s="1"/>
  <c r="B274" i="4" s="1"/>
  <c r="B316" i="4" s="1"/>
  <c r="A148" i="4"/>
  <c r="A190" i="4" s="1"/>
  <c r="A232" i="4" s="1"/>
  <c r="A274" i="4" s="1"/>
  <c r="A316" i="4" s="1"/>
  <c r="N147" i="4"/>
  <c r="L147" i="4"/>
  <c r="J147" i="4"/>
  <c r="F147" i="4"/>
  <c r="F55" i="4" s="1"/>
  <c r="D147" i="4"/>
  <c r="B147" i="4"/>
  <c r="B189" i="4" s="1"/>
  <c r="B231" i="4" s="1"/>
  <c r="B273" i="4" s="1"/>
  <c r="B315" i="4" s="1"/>
  <c r="A147" i="4"/>
  <c r="A189" i="4" s="1"/>
  <c r="A231" i="4" s="1"/>
  <c r="A273" i="4" s="1"/>
  <c r="A315" i="4" s="1"/>
  <c r="O146" i="4"/>
  <c r="N146" i="4"/>
  <c r="M146" i="4"/>
  <c r="L146" i="4"/>
  <c r="K146" i="4"/>
  <c r="J146" i="4"/>
  <c r="G146" i="4"/>
  <c r="F146" i="4"/>
  <c r="E146" i="4"/>
  <c r="D146" i="4"/>
  <c r="B146" i="4"/>
  <c r="B188" i="4" s="1"/>
  <c r="B230" i="4" s="1"/>
  <c r="B272" i="4" s="1"/>
  <c r="B314" i="4" s="1"/>
  <c r="A146" i="4"/>
  <c r="A188" i="4" s="1"/>
  <c r="A230" i="4" s="1"/>
  <c r="A272" i="4" s="1"/>
  <c r="A314" i="4" s="1"/>
  <c r="N145" i="4"/>
  <c r="L145" i="4"/>
  <c r="J145" i="4"/>
  <c r="F145" i="4"/>
  <c r="F53" i="4" s="1"/>
  <c r="D145" i="4"/>
  <c r="B145" i="4"/>
  <c r="B187" i="4" s="1"/>
  <c r="B229" i="4" s="1"/>
  <c r="B271" i="4" s="1"/>
  <c r="B313" i="4" s="1"/>
  <c r="A145" i="4"/>
  <c r="A187" i="4" s="1"/>
  <c r="A229" i="4" s="1"/>
  <c r="A271" i="4" s="1"/>
  <c r="A313" i="4" s="1"/>
  <c r="O144" i="4"/>
  <c r="N144" i="4"/>
  <c r="M144" i="4"/>
  <c r="L144" i="4"/>
  <c r="K144" i="4"/>
  <c r="J144" i="4"/>
  <c r="G144" i="4"/>
  <c r="F144" i="4"/>
  <c r="E144" i="4"/>
  <c r="D144" i="4"/>
  <c r="C144" i="4" s="1"/>
  <c r="B144" i="4"/>
  <c r="B186" i="4" s="1"/>
  <c r="B228" i="4" s="1"/>
  <c r="B270" i="4" s="1"/>
  <c r="B312" i="4" s="1"/>
  <c r="A144" i="4"/>
  <c r="A186" i="4" s="1"/>
  <c r="A228" i="4" s="1"/>
  <c r="A270" i="4" s="1"/>
  <c r="A312" i="4" s="1"/>
  <c r="N143" i="4"/>
  <c r="L143" i="4"/>
  <c r="J143" i="4"/>
  <c r="F143" i="4"/>
  <c r="F51" i="4" s="1"/>
  <c r="D143" i="4"/>
  <c r="B143" i="4"/>
  <c r="B185" i="4" s="1"/>
  <c r="B227" i="4" s="1"/>
  <c r="B269" i="4" s="1"/>
  <c r="B311" i="4" s="1"/>
  <c r="A143" i="4"/>
  <c r="A185" i="4" s="1"/>
  <c r="A227" i="4" s="1"/>
  <c r="A269" i="4" s="1"/>
  <c r="A311" i="4" s="1"/>
  <c r="O142" i="4"/>
  <c r="N142" i="4"/>
  <c r="M142" i="4"/>
  <c r="L142" i="4"/>
  <c r="K142" i="4"/>
  <c r="J142" i="4"/>
  <c r="G142" i="4"/>
  <c r="F142" i="4"/>
  <c r="E142" i="4"/>
  <c r="D142" i="4"/>
  <c r="B142" i="4"/>
  <c r="B184" i="4" s="1"/>
  <c r="B226" i="4" s="1"/>
  <c r="B268" i="4" s="1"/>
  <c r="B310" i="4" s="1"/>
  <c r="A142" i="4"/>
  <c r="A184" i="4" s="1"/>
  <c r="A226" i="4" s="1"/>
  <c r="A268" i="4" s="1"/>
  <c r="A310" i="4" s="1"/>
  <c r="N141" i="4"/>
  <c r="L141" i="4"/>
  <c r="J141" i="4"/>
  <c r="F141" i="4"/>
  <c r="F49" i="4" s="1"/>
  <c r="D141" i="4"/>
  <c r="B141" i="4"/>
  <c r="B183" i="4" s="1"/>
  <c r="B225" i="4" s="1"/>
  <c r="B267" i="4" s="1"/>
  <c r="B309" i="4" s="1"/>
  <c r="A141" i="4"/>
  <c r="A183" i="4" s="1"/>
  <c r="A225" i="4" s="1"/>
  <c r="A267" i="4" s="1"/>
  <c r="A309" i="4" s="1"/>
  <c r="O140" i="4"/>
  <c r="N140" i="4"/>
  <c r="M140" i="4"/>
  <c r="L140" i="4"/>
  <c r="K140" i="4"/>
  <c r="J140" i="4"/>
  <c r="G140" i="4"/>
  <c r="F140" i="4"/>
  <c r="E140" i="4"/>
  <c r="D140" i="4"/>
  <c r="C140" i="4" s="1"/>
  <c r="B140" i="4"/>
  <c r="B182" i="4" s="1"/>
  <c r="B224" i="4" s="1"/>
  <c r="B266" i="4" s="1"/>
  <c r="B308" i="4" s="1"/>
  <c r="A140" i="4"/>
  <c r="A182" i="4" s="1"/>
  <c r="A224" i="4" s="1"/>
  <c r="A266" i="4" s="1"/>
  <c r="A308" i="4" s="1"/>
  <c r="B127" i="4"/>
  <c r="A127" i="4"/>
  <c r="L84" i="4"/>
  <c r="J84" i="4"/>
  <c r="B126" i="4"/>
  <c r="A126" i="4"/>
  <c r="B125" i="4"/>
  <c r="A125" i="4"/>
  <c r="L82" i="4"/>
  <c r="J82" i="4"/>
  <c r="B124" i="4"/>
  <c r="A124" i="4"/>
  <c r="B123" i="4"/>
  <c r="A123" i="4"/>
  <c r="L80" i="4"/>
  <c r="J80" i="4"/>
  <c r="B122" i="4"/>
  <c r="A122" i="4"/>
  <c r="B121" i="4"/>
  <c r="A121" i="4"/>
  <c r="L78" i="4"/>
  <c r="J78" i="4"/>
  <c r="B120" i="4"/>
  <c r="A120" i="4"/>
  <c r="B119" i="4"/>
  <c r="A119" i="4"/>
  <c r="L76" i="4"/>
  <c r="J76" i="4"/>
  <c r="B118" i="4"/>
  <c r="A118" i="4"/>
  <c r="B117" i="4"/>
  <c r="A117" i="4"/>
  <c r="L74" i="4"/>
  <c r="J74" i="4"/>
  <c r="B116" i="4"/>
  <c r="A116" i="4"/>
  <c r="B115" i="4"/>
  <c r="A115" i="4"/>
  <c r="L72" i="4"/>
  <c r="J72" i="4"/>
  <c r="B114" i="4"/>
  <c r="A114" i="4"/>
  <c r="B113" i="4"/>
  <c r="A113" i="4"/>
  <c r="L70" i="4"/>
  <c r="J70" i="4"/>
  <c r="B112" i="4"/>
  <c r="A112" i="4"/>
  <c r="B111" i="4"/>
  <c r="A111" i="4"/>
  <c r="L68" i="4"/>
  <c r="J68" i="4"/>
  <c r="B110" i="4"/>
  <c r="A110" i="4"/>
  <c r="B109" i="4"/>
  <c r="A109" i="4"/>
  <c r="L66" i="4"/>
  <c r="J66" i="4"/>
  <c r="B108" i="4"/>
  <c r="A108" i="4"/>
  <c r="B107" i="4"/>
  <c r="A107" i="4"/>
  <c r="L64" i="4"/>
  <c r="J64" i="4"/>
  <c r="B106" i="4"/>
  <c r="A106" i="4"/>
  <c r="B105" i="4"/>
  <c r="A105" i="4"/>
  <c r="L62" i="4"/>
  <c r="J62" i="4"/>
  <c r="B104" i="4"/>
  <c r="A104" i="4"/>
  <c r="B103" i="4"/>
  <c r="A103" i="4"/>
  <c r="L60" i="4"/>
  <c r="J60" i="4"/>
  <c r="B102" i="4"/>
  <c r="A102" i="4"/>
  <c r="B101" i="4"/>
  <c r="A101" i="4"/>
  <c r="L58" i="4"/>
  <c r="B100" i="4"/>
  <c r="A100" i="4"/>
  <c r="K57" i="4"/>
  <c r="B99" i="4"/>
  <c r="A99" i="4"/>
  <c r="O56" i="4"/>
  <c r="L56" i="4"/>
  <c r="J56" i="4"/>
  <c r="B98" i="4"/>
  <c r="A98" i="4"/>
  <c r="G55" i="4"/>
  <c r="B97" i="4"/>
  <c r="A97" i="4"/>
  <c r="L54" i="4"/>
  <c r="J54" i="4"/>
  <c r="B96" i="4"/>
  <c r="A96" i="4"/>
  <c r="K53" i="4"/>
  <c r="B95" i="4"/>
  <c r="A95" i="4"/>
  <c r="O52" i="4"/>
  <c r="L52" i="4"/>
  <c r="J52" i="4"/>
  <c r="B94" i="4"/>
  <c r="A94" i="4"/>
  <c r="G51" i="4"/>
  <c r="B93" i="4"/>
  <c r="A93" i="4"/>
  <c r="L50" i="4"/>
  <c r="J50" i="4"/>
  <c r="B92" i="4"/>
  <c r="A92" i="4"/>
  <c r="K49" i="4"/>
  <c r="B91" i="4"/>
  <c r="A91" i="4"/>
  <c r="O48" i="4"/>
  <c r="L48" i="4"/>
  <c r="J48" i="4"/>
  <c r="B90" i="4"/>
  <c r="A90" i="4"/>
  <c r="M85" i="4"/>
  <c r="L85" i="4"/>
  <c r="K85" i="4"/>
  <c r="F85" i="4"/>
  <c r="B85" i="4"/>
  <c r="A85" i="4"/>
  <c r="O84" i="4"/>
  <c r="N84" i="4"/>
  <c r="M84" i="4"/>
  <c r="K84" i="4"/>
  <c r="G84" i="4"/>
  <c r="F84" i="4"/>
  <c r="E84" i="4"/>
  <c r="D84" i="4"/>
  <c r="B84" i="4"/>
  <c r="A84" i="4"/>
  <c r="O83" i="4"/>
  <c r="L83" i="4"/>
  <c r="G83" i="4"/>
  <c r="F83" i="4"/>
  <c r="E83" i="4"/>
  <c r="B83" i="4"/>
  <c r="A83" i="4"/>
  <c r="O82" i="4"/>
  <c r="N82" i="4"/>
  <c r="M82" i="4"/>
  <c r="K82" i="4"/>
  <c r="G82" i="4"/>
  <c r="F82" i="4"/>
  <c r="E82" i="4"/>
  <c r="D82" i="4"/>
  <c r="C82" i="4" s="1"/>
  <c r="R82" i="4" s="1"/>
  <c r="B82" i="4"/>
  <c r="A82" i="4"/>
  <c r="M81" i="4"/>
  <c r="L81" i="4"/>
  <c r="K81" i="4"/>
  <c r="F81" i="4"/>
  <c r="B81" i="4"/>
  <c r="A81" i="4"/>
  <c r="O80" i="4"/>
  <c r="N80" i="4"/>
  <c r="M80" i="4"/>
  <c r="K80" i="4"/>
  <c r="G80" i="4"/>
  <c r="F80" i="4"/>
  <c r="E80" i="4"/>
  <c r="D80" i="4"/>
  <c r="B80" i="4"/>
  <c r="A80" i="4"/>
  <c r="O79" i="4"/>
  <c r="L79" i="4"/>
  <c r="G79" i="4"/>
  <c r="F79" i="4"/>
  <c r="E79" i="4"/>
  <c r="B79" i="4"/>
  <c r="A79" i="4"/>
  <c r="O78" i="4"/>
  <c r="N78" i="4"/>
  <c r="M78" i="4"/>
  <c r="K78" i="4"/>
  <c r="G78" i="4"/>
  <c r="F78" i="4"/>
  <c r="E78" i="4"/>
  <c r="D78" i="4"/>
  <c r="B78" i="4"/>
  <c r="A78" i="4"/>
  <c r="M77" i="4"/>
  <c r="L77" i="4"/>
  <c r="K77" i="4"/>
  <c r="F77" i="4"/>
  <c r="B77" i="4"/>
  <c r="A77" i="4"/>
  <c r="O76" i="4"/>
  <c r="N76" i="4"/>
  <c r="M76" i="4"/>
  <c r="K76" i="4"/>
  <c r="G76" i="4"/>
  <c r="F76" i="4"/>
  <c r="E76" i="4"/>
  <c r="D76" i="4"/>
  <c r="B76" i="4"/>
  <c r="A76" i="4"/>
  <c r="O75" i="4"/>
  <c r="L75" i="4"/>
  <c r="G75" i="4"/>
  <c r="F75" i="4"/>
  <c r="E75" i="4"/>
  <c r="B75" i="4"/>
  <c r="A75" i="4"/>
  <c r="O74" i="4"/>
  <c r="N74" i="4"/>
  <c r="M74" i="4"/>
  <c r="K74" i="4"/>
  <c r="G74" i="4"/>
  <c r="F74" i="4"/>
  <c r="E74" i="4"/>
  <c r="D74" i="4"/>
  <c r="C74" i="4" s="1"/>
  <c r="R74" i="4" s="1"/>
  <c r="B74" i="4"/>
  <c r="A74" i="4"/>
  <c r="M73" i="4"/>
  <c r="L73" i="4"/>
  <c r="K73" i="4"/>
  <c r="F73" i="4"/>
  <c r="B73" i="4"/>
  <c r="A73" i="4"/>
  <c r="O72" i="4"/>
  <c r="N72" i="4"/>
  <c r="M72" i="4"/>
  <c r="K72" i="4"/>
  <c r="G72" i="4"/>
  <c r="F72" i="4"/>
  <c r="E72" i="4"/>
  <c r="D72" i="4"/>
  <c r="B72" i="4"/>
  <c r="A72" i="4"/>
  <c r="O71" i="4"/>
  <c r="L71" i="4"/>
  <c r="G71" i="4"/>
  <c r="F71" i="4"/>
  <c r="E71" i="4"/>
  <c r="B71" i="4"/>
  <c r="A71" i="4"/>
  <c r="O70" i="4"/>
  <c r="N70" i="4"/>
  <c r="M70" i="4"/>
  <c r="K70" i="4"/>
  <c r="G70" i="4"/>
  <c r="F70" i="4"/>
  <c r="E70" i="4"/>
  <c r="D70" i="4"/>
  <c r="B70" i="4"/>
  <c r="A70" i="4"/>
  <c r="M69" i="4"/>
  <c r="L69" i="4"/>
  <c r="K69" i="4"/>
  <c r="E69" i="4"/>
  <c r="B69" i="4"/>
  <c r="A69" i="4"/>
  <c r="O68" i="4"/>
  <c r="N68" i="4"/>
  <c r="M68" i="4"/>
  <c r="K68" i="4"/>
  <c r="G68" i="4"/>
  <c r="F68" i="4"/>
  <c r="E68" i="4"/>
  <c r="D68" i="4"/>
  <c r="B68" i="4"/>
  <c r="A68" i="4"/>
  <c r="O67" i="4"/>
  <c r="M67" i="4"/>
  <c r="K67" i="4"/>
  <c r="G67" i="4"/>
  <c r="E67" i="4"/>
  <c r="B67" i="4"/>
  <c r="A67" i="4"/>
  <c r="O66" i="4"/>
  <c r="N66" i="4"/>
  <c r="M66" i="4"/>
  <c r="K66" i="4"/>
  <c r="G66" i="4"/>
  <c r="F66" i="4"/>
  <c r="E66" i="4"/>
  <c r="D66" i="4"/>
  <c r="B66" i="4"/>
  <c r="A66" i="4"/>
  <c r="O65" i="4"/>
  <c r="K65" i="4"/>
  <c r="E65" i="4"/>
  <c r="B65" i="4"/>
  <c r="A65" i="4"/>
  <c r="O64" i="4"/>
  <c r="N64" i="4"/>
  <c r="M64" i="4"/>
  <c r="K64" i="4"/>
  <c r="G64" i="4"/>
  <c r="F64" i="4"/>
  <c r="E64" i="4"/>
  <c r="D64" i="4"/>
  <c r="C64" i="4"/>
  <c r="R64" i="4" s="1"/>
  <c r="B64" i="4"/>
  <c r="A64" i="4"/>
  <c r="O63" i="4"/>
  <c r="M63" i="4"/>
  <c r="K63" i="4"/>
  <c r="G63" i="4"/>
  <c r="E63" i="4"/>
  <c r="B63" i="4"/>
  <c r="A63" i="4"/>
  <c r="O62" i="4"/>
  <c r="N62" i="4"/>
  <c r="M62" i="4"/>
  <c r="K62" i="4"/>
  <c r="G62" i="4"/>
  <c r="F62" i="4"/>
  <c r="E62" i="4"/>
  <c r="D62" i="4"/>
  <c r="B62" i="4"/>
  <c r="A62" i="4"/>
  <c r="O61" i="4"/>
  <c r="K61" i="4"/>
  <c r="E61" i="4"/>
  <c r="B61" i="4"/>
  <c r="A61" i="4"/>
  <c r="O60" i="4"/>
  <c r="N60" i="4"/>
  <c r="M60" i="4"/>
  <c r="K60" i="4"/>
  <c r="G60" i="4"/>
  <c r="F60" i="4"/>
  <c r="E60" i="4"/>
  <c r="D60" i="4"/>
  <c r="C60" i="4" s="1"/>
  <c r="R60" i="4" s="1"/>
  <c r="B60" i="4"/>
  <c r="A60" i="4"/>
  <c r="O59" i="4"/>
  <c r="M59" i="4"/>
  <c r="K59" i="4"/>
  <c r="G59" i="4"/>
  <c r="E59" i="4"/>
  <c r="B59" i="4"/>
  <c r="A59" i="4"/>
  <c r="M58" i="4"/>
  <c r="G58" i="4"/>
  <c r="F58" i="4"/>
  <c r="E58" i="4"/>
  <c r="D58" i="4"/>
  <c r="B58" i="4"/>
  <c r="A58" i="4"/>
  <c r="M57" i="4"/>
  <c r="G57" i="4"/>
  <c r="B57" i="4"/>
  <c r="A57" i="4"/>
  <c r="N56" i="4"/>
  <c r="M56" i="4"/>
  <c r="K56" i="4"/>
  <c r="G56" i="4"/>
  <c r="F56" i="4"/>
  <c r="E56" i="4"/>
  <c r="D56" i="4"/>
  <c r="B56" i="4"/>
  <c r="A56" i="4"/>
  <c r="O55" i="4"/>
  <c r="M55" i="4"/>
  <c r="K55" i="4"/>
  <c r="E55" i="4"/>
  <c r="B55" i="4"/>
  <c r="A55" i="4"/>
  <c r="O54" i="4"/>
  <c r="N54" i="4"/>
  <c r="M54" i="4"/>
  <c r="K54" i="4"/>
  <c r="G54" i="4"/>
  <c r="F54" i="4"/>
  <c r="E54" i="4"/>
  <c r="D54" i="4"/>
  <c r="B54" i="4"/>
  <c r="A54" i="4"/>
  <c r="M53" i="4"/>
  <c r="G53" i="4"/>
  <c r="B53" i="4"/>
  <c r="A53" i="4"/>
  <c r="N52" i="4"/>
  <c r="M52" i="4"/>
  <c r="K52" i="4"/>
  <c r="G52" i="4"/>
  <c r="F52" i="4"/>
  <c r="E52" i="4"/>
  <c r="D52" i="4"/>
  <c r="B52" i="4"/>
  <c r="A52" i="4"/>
  <c r="O51" i="4"/>
  <c r="M51" i="4"/>
  <c r="K51" i="4"/>
  <c r="E51" i="4"/>
  <c r="B51" i="4"/>
  <c r="A51" i="4"/>
  <c r="O50" i="4"/>
  <c r="N50" i="4"/>
  <c r="M50" i="4"/>
  <c r="K50" i="4"/>
  <c r="G50" i="4"/>
  <c r="F50" i="4"/>
  <c r="E50" i="4"/>
  <c r="D50" i="4"/>
  <c r="B50" i="4"/>
  <c r="A50" i="4"/>
  <c r="M49" i="4"/>
  <c r="G49" i="4"/>
  <c r="B49" i="4"/>
  <c r="A49" i="4"/>
  <c r="N48" i="4"/>
  <c r="M48" i="4"/>
  <c r="K48" i="4"/>
  <c r="G48" i="4"/>
  <c r="F48" i="4"/>
  <c r="E48" i="4"/>
  <c r="D48" i="4"/>
  <c r="B48" i="4"/>
  <c r="A48" i="4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91" i="3"/>
  <c r="B91" i="3"/>
  <c r="D91" i="3"/>
  <c r="E91" i="3"/>
  <c r="F91" i="3"/>
  <c r="G91" i="3"/>
  <c r="G49" i="3" s="1"/>
  <c r="H91" i="3"/>
  <c r="H49" i="3" s="1"/>
  <c r="I91" i="3"/>
  <c r="I49" i="3" s="1"/>
  <c r="J91" i="3"/>
  <c r="J49" i="3" s="1"/>
  <c r="K91" i="3"/>
  <c r="K49" i="3" s="1"/>
  <c r="L91" i="3"/>
  <c r="L49" i="3" s="1"/>
  <c r="M91" i="3"/>
  <c r="M49" i="3" s="1"/>
  <c r="A92" i="3"/>
  <c r="B92" i="3"/>
  <c r="D92" i="3"/>
  <c r="E92" i="3"/>
  <c r="F92" i="3"/>
  <c r="G92" i="3"/>
  <c r="G50" i="3" s="1"/>
  <c r="H92" i="3"/>
  <c r="H50" i="3" s="1"/>
  <c r="I92" i="3"/>
  <c r="I50" i="3" s="1"/>
  <c r="J92" i="3"/>
  <c r="J50" i="3" s="1"/>
  <c r="K92" i="3"/>
  <c r="K50" i="3" s="1"/>
  <c r="L92" i="3"/>
  <c r="L50" i="3" s="1"/>
  <c r="M92" i="3"/>
  <c r="M50" i="3" s="1"/>
  <c r="A93" i="3"/>
  <c r="B93" i="3"/>
  <c r="D93" i="3"/>
  <c r="E93" i="3"/>
  <c r="F93" i="3"/>
  <c r="G93" i="3"/>
  <c r="G51" i="3" s="1"/>
  <c r="H93" i="3"/>
  <c r="H51" i="3" s="1"/>
  <c r="I93" i="3"/>
  <c r="I51" i="3" s="1"/>
  <c r="J93" i="3"/>
  <c r="J51" i="3" s="1"/>
  <c r="K93" i="3"/>
  <c r="K51" i="3" s="1"/>
  <c r="L93" i="3"/>
  <c r="L51" i="3" s="1"/>
  <c r="M93" i="3"/>
  <c r="M51" i="3" s="1"/>
  <c r="A94" i="3"/>
  <c r="B94" i="3"/>
  <c r="D94" i="3"/>
  <c r="E94" i="3"/>
  <c r="F94" i="3"/>
  <c r="G94" i="3"/>
  <c r="G52" i="3" s="1"/>
  <c r="H94" i="3"/>
  <c r="H52" i="3" s="1"/>
  <c r="I94" i="3"/>
  <c r="I52" i="3" s="1"/>
  <c r="J94" i="3"/>
  <c r="J52" i="3" s="1"/>
  <c r="K94" i="3"/>
  <c r="K52" i="3" s="1"/>
  <c r="L94" i="3"/>
  <c r="L52" i="3" s="1"/>
  <c r="M94" i="3"/>
  <c r="M52" i="3" s="1"/>
  <c r="A95" i="3"/>
  <c r="B95" i="3"/>
  <c r="D95" i="3"/>
  <c r="E95" i="3"/>
  <c r="F95" i="3"/>
  <c r="G95" i="3"/>
  <c r="G53" i="3" s="1"/>
  <c r="H95" i="3"/>
  <c r="H53" i="3" s="1"/>
  <c r="I95" i="3"/>
  <c r="I53" i="3" s="1"/>
  <c r="J95" i="3"/>
  <c r="J53" i="3" s="1"/>
  <c r="K95" i="3"/>
  <c r="K53" i="3" s="1"/>
  <c r="L95" i="3"/>
  <c r="L53" i="3" s="1"/>
  <c r="M95" i="3"/>
  <c r="M53" i="3" s="1"/>
  <c r="A96" i="3"/>
  <c r="B96" i="3"/>
  <c r="D96" i="3"/>
  <c r="E96" i="3"/>
  <c r="F96" i="3"/>
  <c r="G96" i="3"/>
  <c r="G54" i="3" s="1"/>
  <c r="H96" i="3"/>
  <c r="H54" i="3" s="1"/>
  <c r="I96" i="3"/>
  <c r="I54" i="3" s="1"/>
  <c r="J96" i="3"/>
  <c r="J54" i="3" s="1"/>
  <c r="K96" i="3"/>
  <c r="K54" i="3" s="1"/>
  <c r="L96" i="3"/>
  <c r="L54" i="3" s="1"/>
  <c r="M96" i="3"/>
  <c r="M54" i="3" s="1"/>
  <c r="A97" i="3"/>
  <c r="B97" i="3"/>
  <c r="D97" i="3"/>
  <c r="E97" i="3"/>
  <c r="F97" i="3"/>
  <c r="G97" i="3"/>
  <c r="G55" i="3" s="1"/>
  <c r="H97" i="3"/>
  <c r="H55" i="3" s="1"/>
  <c r="I97" i="3"/>
  <c r="I55" i="3" s="1"/>
  <c r="J97" i="3"/>
  <c r="J55" i="3" s="1"/>
  <c r="K97" i="3"/>
  <c r="K55" i="3" s="1"/>
  <c r="L97" i="3"/>
  <c r="L55" i="3" s="1"/>
  <c r="M97" i="3"/>
  <c r="M55" i="3" s="1"/>
  <c r="A98" i="3"/>
  <c r="B98" i="3"/>
  <c r="D98" i="3"/>
  <c r="E98" i="3"/>
  <c r="F98" i="3"/>
  <c r="G98" i="3"/>
  <c r="G56" i="3" s="1"/>
  <c r="H98" i="3"/>
  <c r="H56" i="3" s="1"/>
  <c r="I98" i="3"/>
  <c r="I56" i="3" s="1"/>
  <c r="J98" i="3"/>
  <c r="J56" i="3" s="1"/>
  <c r="K98" i="3"/>
  <c r="K56" i="3" s="1"/>
  <c r="L98" i="3"/>
  <c r="L56" i="3" s="1"/>
  <c r="M98" i="3"/>
  <c r="M56" i="3" s="1"/>
  <c r="A99" i="3"/>
  <c r="B99" i="3"/>
  <c r="D99" i="3"/>
  <c r="E99" i="3"/>
  <c r="F99" i="3"/>
  <c r="G99" i="3"/>
  <c r="G57" i="3" s="1"/>
  <c r="H99" i="3"/>
  <c r="H57" i="3" s="1"/>
  <c r="I99" i="3"/>
  <c r="I57" i="3" s="1"/>
  <c r="J99" i="3"/>
  <c r="J57" i="3" s="1"/>
  <c r="K99" i="3"/>
  <c r="K57" i="3" s="1"/>
  <c r="L99" i="3"/>
  <c r="L57" i="3" s="1"/>
  <c r="M99" i="3"/>
  <c r="M57" i="3" s="1"/>
  <c r="A100" i="3"/>
  <c r="B100" i="3"/>
  <c r="D100" i="3"/>
  <c r="E100" i="3"/>
  <c r="F100" i="3"/>
  <c r="G100" i="3"/>
  <c r="G58" i="3" s="1"/>
  <c r="H100" i="3"/>
  <c r="H58" i="3" s="1"/>
  <c r="I100" i="3"/>
  <c r="I58" i="3" s="1"/>
  <c r="J100" i="3"/>
  <c r="J58" i="3" s="1"/>
  <c r="K100" i="3"/>
  <c r="K58" i="3" s="1"/>
  <c r="L100" i="3"/>
  <c r="L58" i="3" s="1"/>
  <c r="M100" i="3"/>
  <c r="M58" i="3" s="1"/>
  <c r="A101" i="3"/>
  <c r="B101" i="3"/>
  <c r="D101" i="3"/>
  <c r="E101" i="3"/>
  <c r="F101" i="3"/>
  <c r="G101" i="3"/>
  <c r="G59" i="3" s="1"/>
  <c r="H101" i="3"/>
  <c r="H59" i="3" s="1"/>
  <c r="I101" i="3"/>
  <c r="I59" i="3" s="1"/>
  <c r="J101" i="3"/>
  <c r="J59" i="3" s="1"/>
  <c r="K101" i="3"/>
  <c r="K59" i="3" s="1"/>
  <c r="L101" i="3"/>
  <c r="L59" i="3" s="1"/>
  <c r="M101" i="3"/>
  <c r="M59" i="3" s="1"/>
  <c r="A102" i="3"/>
  <c r="B102" i="3"/>
  <c r="D102" i="3"/>
  <c r="E102" i="3"/>
  <c r="F102" i="3"/>
  <c r="G102" i="3"/>
  <c r="G60" i="3" s="1"/>
  <c r="H102" i="3"/>
  <c r="H60" i="3" s="1"/>
  <c r="I102" i="3"/>
  <c r="I60" i="3" s="1"/>
  <c r="J102" i="3"/>
  <c r="J60" i="3" s="1"/>
  <c r="K102" i="3"/>
  <c r="K60" i="3" s="1"/>
  <c r="L102" i="3"/>
  <c r="L60" i="3" s="1"/>
  <c r="M102" i="3"/>
  <c r="M60" i="3" s="1"/>
  <c r="A103" i="3"/>
  <c r="B103" i="3"/>
  <c r="D103" i="3"/>
  <c r="E103" i="3"/>
  <c r="F103" i="3"/>
  <c r="G103" i="3"/>
  <c r="G61" i="3" s="1"/>
  <c r="H103" i="3"/>
  <c r="H61" i="3" s="1"/>
  <c r="I103" i="3"/>
  <c r="I61" i="3" s="1"/>
  <c r="J103" i="3"/>
  <c r="J61" i="3" s="1"/>
  <c r="K103" i="3"/>
  <c r="K61" i="3" s="1"/>
  <c r="L103" i="3"/>
  <c r="L61" i="3" s="1"/>
  <c r="M103" i="3"/>
  <c r="M61" i="3" s="1"/>
  <c r="A104" i="3"/>
  <c r="B104" i="3"/>
  <c r="D104" i="3"/>
  <c r="F104" i="3"/>
  <c r="G104" i="3"/>
  <c r="G62" i="3" s="1"/>
  <c r="H104" i="3"/>
  <c r="H62" i="3" s="1"/>
  <c r="I104" i="3"/>
  <c r="I62" i="3" s="1"/>
  <c r="J104" i="3"/>
  <c r="J62" i="3" s="1"/>
  <c r="K104" i="3"/>
  <c r="K62" i="3" s="1"/>
  <c r="L104" i="3"/>
  <c r="L62" i="3" s="1"/>
  <c r="M104" i="3"/>
  <c r="M62" i="3" s="1"/>
  <c r="A105" i="3"/>
  <c r="B105" i="3"/>
  <c r="D105" i="3"/>
  <c r="E105" i="3"/>
  <c r="F105" i="3"/>
  <c r="G105" i="3"/>
  <c r="G63" i="3" s="1"/>
  <c r="H105" i="3"/>
  <c r="H63" i="3" s="1"/>
  <c r="I105" i="3"/>
  <c r="I63" i="3" s="1"/>
  <c r="J105" i="3"/>
  <c r="J63" i="3" s="1"/>
  <c r="K105" i="3"/>
  <c r="K63" i="3" s="1"/>
  <c r="L105" i="3"/>
  <c r="L63" i="3" s="1"/>
  <c r="M105" i="3"/>
  <c r="M63" i="3" s="1"/>
  <c r="A106" i="3"/>
  <c r="B106" i="3"/>
  <c r="D106" i="3"/>
  <c r="E106" i="3"/>
  <c r="F106" i="3"/>
  <c r="G106" i="3"/>
  <c r="G64" i="3" s="1"/>
  <c r="H106" i="3"/>
  <c r="H64" i="3" s="1"/>
  <c r="I106" i="3"/>
  <c r="I64" i="3" s="1"/>
  <c r="J106" i="3"/>
  <c r="J64" i="3" s="1"/>
  <c r="K106" i="3"/>
  <c r="K64" i="3" s="1"/>
  <c r="L106" i="3"/>
  <c r="L64" i="3" s="1"/>
  <c r="M106" i="3"/>
  <c r="M64" i="3" s="1"/>
  <c r="A107" i="3"/>
  <c r="B107" i="3"/>
  <c r="D107" i="3"/>
  <c r="F107" i="3"/>
  <c r="G107" i="3"/>
  <c r="G65" i="3" s="1"/>
  <c r="H107" i="3"/>
  <c r="H65" i="3" s="1"/>
  <c r="I107" i="3"/>
  <c r="I65" i="3" s="1"/>
  <c r="J107" i="3"/>
  <c r="J65" i="3" s="1"/>
  <c r="K107" i="3"/>
  <c r="K65" i="3" s="1"/>
  <c r="L107" i="3"/>
  <c r="L65" i="3" s="1"/>
  <c r="M107" i="3"/>
  <c r="M65" i="3" s="1"/>
  <c r="A108" i="3"/>
  <c r="B108" i="3"/>
  <c r="D108" i="3"/>
  <c r="E108" i="3"/>
  <c r="F108" i="3"/>
  <c r="G108" i="3"/>
  <c r="G66" i="3" s="1"/>
  <c r="H108" i="3"/>
  <c r="H66" i="3" s="1"/>
  <c r="I108" i="3"/>
  <c r="I66" i="3" s="1"/>
  <c r="J108" i="3"/>
  <c r="J66" i="3" s="1"/>
  <c r="K108" i="3"/>
  <c r="K66" i="3" s="1"/>
  <c r="L108" i="3"/>
  <c r="L66" i="3" s="1"/>
  <c r="M108" i="3"/>
  <c r="M66" i="3" s="1"/>
  <c r="A109" i="3"/>
  <c r="B109" i="3"/>
  <c r="D109" i="3"/>
  <c r="E109" i="3"/>
  <c r="F109" i="3"/>
  <c r="G109" i="3"/>
  <c r="G67" i="3" s="1"/>
  <c r="H109" i="3"/>
  <c r="H67" i="3" s="1"/>
  <c r="I109" i="3"/>
  <c r="I67" i="3" s="1"/>
  <c r="J109" i="3"/>
  <c r="J67" i="3" s="1"/>
  <c r="K109" i="3"/>
  <c r="K67" i="3" s="1"/>
  <c r="L109" i="3"/>
  <c r="L67" i="3" s="1"/>
  <c r="M109" i="3"/>
  <c r="M67" i="3" s="1"/>
  <c r="A110" i="3"/>
  <c r="B110" i="3"/>
  <c r="D110" i="3"/>
  <c r="E110" i="3"/>
  <c r="F110" i="3"/>
  <c r="G110" i="3"/>
  <c r="G68" i="3" s="1"/>
  <c r="H110" i="3"/>
  <c r="H68" i="3" s="1"/>
  <c r="I110" i="3"/>
  <c r="I68" i="3" s="1"/>
  <c r="J110" i="3"/>
  <c r="J68" i="3" s="1"/>
  <c r="K110" i="3"/>
  <c r="K68" i="3" s="1"/>
  <c r="L110" i="3"/>
  <c r="L68" i="3" s="1"/>
  <c r="M110" i="3"/>
  <c r="M68" i="3" s="1"/>
  <c r="A111" i="3"/>
  <c r="B111" i="3"/>
  <c r="D111" i="3"/>
  <c r="E111" i="3"/>
  <c r="F111" i="3"/>
  <c r="G111" i="3"/>
  <c r="G69" i="3" s="1"/>
  <c r="H111" i="3"/>
  <c r="H69" i="3" s="1"/>
  <c r="I111" i="3"/>
  <c r="I69" i="3" s="1"/>
  <c r="J111" i="3"/>
  <c r="J69" i="3" s="1"/>
  <c r="K111" i="3"/>
  <c r="K69" i="3" s="1"/>
  <c r="L111" i="3"/>
  <c r="L69" i="3" s="1"/>
  <c r="M111" i="3"/>
  <c r="M69" i="3" s="1"/>
  <c r="A112" i="3"/>
  <c r="B112" i="3"/>
  <c r="D112" i="3"/>
  <c r="E112" i="3"/>
  <c r="F112" i="3"/>
  <c r="G112" i="3"/>
  <c r="G70" i="3" s="1"/>
  <c r="H112" i="3"/>
  <c r="H70" i="3" s="1"/>
  <c r="I112" i="3"/>
  <c r="I70" i="3" s="1"/>
  <c r="J112" i="3"/>
  <c r="J70" i="3" s="1"/>
  <c r="K112" i="3"/>
  <c r="K70" i="3" s="1"/>
  <c r="L112" i="3"/>
  <c r="L70" i="3" s="1"/>
  <c r="M112" i="3"/>
  <c r="M70" i="3" s="1"/>
  <c r="A113" i="3"/>
  <c r="B113" i="3"/>
  <c r="D113" i="3"/>
  <c r="E113" i="3"/>
  <c r="F113" i="3"/>
  <c r="G113" i="3"/>
  <c r="G71" i="3" s="1"/>
  <c r="H113" i="3"/>
  <c r="H71" i="3" s="1"/>
  <c r="I113" i="3"/>
  <c r="I71" i="3" s="1"/>
  <c r="J113" i="3"/>
  <c r="J71" i="3" s="1"/>
  <c r="K113" i="3"/>
  <c r="K71" i="3" s="1"/>
  <c r="L113" i="3"/>
  <c r="L71" i="3" s="1"/>
  <c r="M113" i="3"/>
  <c r="M71" i="3" s="1"/>
  <c r="A114" i="3"/>
  <c r="B114" i="3"/>
  <c r="D114" i="3"/>
  <c r="E114" i="3"/>
  <c r="F114" i="3"/>
  <c r="G114" i="3"/>
  <c r="G72" i="3" s="1"/>
  <c r="H114" i="3"/>
  <c r="H72" i="3" s="1"/>
  <c r="I114" i="3"/>
  <c r="I72" i="3" s="1"/>
  <c r="J114" i="3"/>
  <c r="J72" i="3" s="1"/>
  <c r="K114" i="3"/>
  <c r="K72" i="3" s="1"/>
  <c r="L114" i="3"/>
  <c r="L72" i="3" s="1"/>
  <c r="M114" i="3"/>
  <c r="M72" i="3" s="1"/>
  <c r="A115" i="3"/>
  <c r="B115" i="3"/>
  <c r="D115" i="3"/>
  <c r="E115" i="3"/>
  <c r="F115" i="3"/>
  <c r="G115" i="3"/>
  <c r="G73" i="3" s="1"/>
  <c r="H115" i="3"/>
  <c r="H73" i="3" s="1"/>
  <c r="I115" i="3"/>
  <c r="I73" i="3" s="1"/>
  <c r="J115" i="3"/>
  <c r="J73" i="3" s="1"/>
  <c r="K115" i="3"/>
  <c r="K73" i="3" s="1"/>
  <c r="L115" i="3"/>
  <c r="L73" i="3" s="1"/>
  <c r="M115" i="3"/>
  <c r="M73" i="3" s="1"/>
  <c r="A116" i="3"/>
  <c r="B116" i="3"/>
  <c r="D116" i="3"/>
  <c r="E116" i="3"/>
  <c r="F116" i="3"/>
  <c r="G116" i="3"/>
  <c r="G74" i="3" s="1"/>
  <c r="H116" i="3"/>
  <c r="H74" i="3" s="1"/>
  <c r="I116" i="3"/>
  <c r="I74" i="3" s="1"/>
  <c r="J116" i="3"/>
  <c r="J74" i="3" s="1"/>
  <c r="K116" i="3"/>
  <c r="K74" i="3" s="1"/>
  <c r="L116" i="3"/>
  <c r="L74" i="3" s="1"/>
  <c r="M116" i="3"/>
  <c r="M74" i="3" s="1"/>
  <c r="A117" i="3"/>
  <c r="B117" i="3"/>
  <c r="D117" i="3"/>
  <c r="E117" i="3"/>
  <c r="G117" i="3"/>
  <c r="G75" i="3" s="1"/>
  <c r="H117" i="3"/>
  <c r="H75" i="3" s="1"/>
  <c r="I117" i="3"/>
  <c r="I75" i="3" s="1"/>
  <c r="J117" i="3"/>
  <c r="J75" i="3" s="1"/>
  <c r="K117" i="3"/>
  <c r="K75" i="3" s="1"/>
  <c r="L117" i="3"/>
  <c r="L75" i="3" s="1"/>
  <c r="M117" i="3"/>
  <c r="M75" i="3" s="1"/>
  <c r="A118" i="3"/>
  <c r="B118" i="3"/>
  <c r="D118" i="3"/>
  <c r="F118" i="3"/>
  <c r="G118" i="3"/>
  <c r="G76" i="3" s="1"/>
  <c r="H118" i="3"/>
  <c r="H76" i="3" s="1"/>
  <c r="I118" i="3"/>
  <c r="I76" i="3" s="1"/>
  <c r="J118" i="3"/>
  <c r="J76" i="3" s="1"/>
  <c r="K118" i="3"/>
  <c r="K76" i="3" s="1"/>
  <c r="L118" i="3"/>
  <c r="L76" i="3" s="1"/>
  <c r="M118" i="3"/>
  <c r="M76" i="3" s="1"/>
  <c r="A119" i="3"/>
  <c r="B119" i="3"/>
  <c r="D119" i="3"/>
  <c r="E119" i="3"/>
  <c r="F119" i="3"/>
  <c r="G119" i="3"/>
  <c r="G77" i="3" s="1"/>
  <c r="H119" i="3"/>
  <c r="H77" i="3" s="1"/>
  <c r="I119" i="3"/>
  <c r="I77" i="3" s="1"/>
  <c r="J119" i="3"/>
  <c r="J77" i="3" s="1"/>
  <c r="K119" i="3"/>
  <c r="K77" i="3" s="1"/>
  <c r="L119" i="3"/>
  <c r="L77" i="3" s="1"/>
  <c r="M119" i="3"/>
  <c r="M77" i="3" s="1"/>
  <c r="A120" i="3"/>
  <c r="B120" i="3"/>
  <c r="D120" i="3"/>
  <c r="E120" i="3"/>
  <c r="F120" i="3"/>
  <c r="G120" i="3"/>
  <c r="G78" i="3" s="1"/>
  <c r="H120" i="3"/>
  <c r="H78" i="3" s="1"/>
  <c r="I120" i="3"/>
  <c r="I78" i="3" s="1"/>
  <c r="J120" i="3"/>
  <c r="J78" i="3" s="1"/>
  <c r="K120" i="3"/>
  <c r="K78" i="3" s="1"/>
  <c r="L120" i="3"/>
  <c r="L78" i="3" s="1"/>
  <c r="M120" i="3"/>
  <c r="M78" i="3" s="1"/>
  <c r="A121" i="3"/>
  <c r="B121" i="3"/>
  <c r="D121" i="3"/>
  <c r="E121" i="3"/>
  <c r="F121" i="3"/>
  <c r="G121" i="3"/>
  <c r="G79" i="3" s="1"/>
  <c r="H121" i="3"/>
  <c r="H79" i="3" s="1"/>
  <c r="I121" i="3"/>
  <c r="I79" i="3" s="1"/>
  <c r="J121" i="3"/>
  <c r="J79" i="3" s="1"/>
  <c r="K121" i="3"/>
  <c r="K79" i="3" s="1"/>
  <c r="L121" i="3"/>
  <c r="L79" i="3" s="1"/>
  <c r="M121" i="3"/>
  <c r="M79" i="3" s="1"/>
  <c r="A122" i="3"/>
  <c r="B122" i="3"/>
  <c r="D122" i="3"/>
  <c r="E122" i="3"/>
  <c r="F122" i="3"/>
  <c r="G122" i="3"/>
  <c r="G80" i="3" s="1"/>
  <c r="H122" i="3"/>
  <c r="H80" i="3" s="1"/>
  <c r="I122" i="3"/>
  <c r="I80" i="3" s="1"/>
  <c r="J122" i="3"/>
  <c r="J80" i="3" s="1"/>
  <c r="K122" i="3"/>
  <c r="K80" i="3" s="1"/>
  <c r="L122" i="3"/>
  <c r="L80" i="3" s="1"/>
  <c r="M122" i="3"/>
  <c r="M80" i="3" s="1"/>
  <c r="A123" i="3"/>
  <c r="B123" i="3"/>
  <c r="D123" i="3"/>
  <c r="E123" i="3"/>
  <c r="F123" i="3"/>
  <c r="G123" i="3"/>
  <c r="G81" i="3" s="1"/>
  <c r="H123" i="3"/>
  <c r="H81" i="3" s="1"/>
  <c r="I123" i="3"/>
  <c r="I81" i="3" s="1"/>
  <c r="J123" i="3"/>
  <c r="J81" i="3" s="1"/>
  <c r="K123" i="3"/>
  <c r="K81" i="3" s="1"/>
  <c r="L123" i="3"/>
  <c r="L81" i="3" s="1"/>
  <c r="M123" i="3"/>
  <c r="M81" i="3" s="1"/>
  <c r="A124" i="3"/>
  <c r="B124" i="3"/>
  <c r="D124" i="3"/>
  <c r="E124" i="3"/>
  <c r="F124" i="3"/>
  <c r="G124" i="3"/>
  <c r="G82" i="3" s="1"/>
  <c r="H124" i="3"/>
  <c r="H82" i="3" s="1"/>
  <c r="I124" i="3"/>
  <c r="I82" i="3" s="1"/>
  <c r="J124" i="3"/>
  <c r="J82" i="3" s="1"/>
  <c r="K124" i="3"/>
  <c r="K82" i="3" s="1"/>
  <c r="L124" i="3"/>
  <c r="L82" i="3" s="1"/>
  <c r="M124" i="3"/>
  <c r="M82" i="3" s="1"/>
  <c r="A125" i="3"/>
  <c r="B125" i="3"/>
  <c r="D125" i="3"/>
  <c r="E125" i="3"/>
  <c r="F125" i="3"/>
  <c r="G125" i="3"/>
  <c r="G83" i="3" s="1"/>
  <c r="H125" i="3"/>
  <c r="H83" i="3" s="1"/>
  <c r="I125" i="3"/>
  <c r="I83" i="3" s="1"/>
  <c r="J125" i="3"/>
  <c r="J83" i="3" s="1"/>
  <c r="K125" i="3"/>
  <c r="K83" i="3" s="1"/>
  <c r="L125" i="3"/>
  <c r="L83" i="3" s="1"/>
  <c r="M125" i="3"/>
  <c r="M83" i="3" s="1"/>
  <c r="A126" i="3"/>
  <c r="B126" i="3"/>
  <c r="D126" i="3"/>
  <c r="E126" i="3"/>
  <c r="F126" i="3"/>
  <c r="G126" i="3"/>
  <c r="G84" i="3" s="1"/>
  <c r="H126" i="3"/>
  <c r="H84" i="3" s="1"/>
  <c r="I126" i="3"/>
  <c r="I84" i="3" s="1"/>
  <c r="J126" i="3"/>
  <c r="J84" i="3" s="1"/>
  <c r="K126" i="3"/>
  <c r="K84" i="3" s="1"/>
  <c r="L126" i="3"/>
  <c r="L84" i="3" s="1"/>
  <c r="M126" i="3"/>
  <c r="M84" i="3" s="1"/>
  <c r="A127" i="3"/>
  <c r="B127" i="3"/>
  <c r="D127" i="3"/>
  <c r="E127" i="3"/>
  <c r="F127" i="3"/>
  <c r="G127" i="3"/>
  <c r="G85" i="3" s="1"/>
  <c r="H127" i="3"/>
  <c r="H85" i="3" s="1"/>
  <c r="I127" i="3"/>
  <c r="I85" i="3" s="1"/>
  <c r="J127" i="3"/>
  <c r="J85" i="3" s="1"/>
  <c r="K127" i="3"/>
  <c r="K85" i="3" s="1"/>
  <c r="L127" i="3"/>
  <c r="L85" i="3" s="1"/>
  <c r="M127" i="3"/>
  <c r="M85" i="3" s="1"/>
  <c r="A128" i="3"/>
  <c r="B128" i="3"/>
  <c r="D128" i="3"/>
  <c r="E128" i="3"/>
  <c r="F128" i="3"/>
  <c r="G128" i="3"/>
  <c r="G86" i="3" s="1"/>
  <c r="H128" i="3"/>
  <c r="H86" i="3" s="1"/>
  <c r="I128" i="3"/>
  <c r="I86" i="3" s="1"/>
  <c r="J128" i="3"/>
  <c r="J86" i="3" s="1"/>
  <c r="K128" i="3"/>
  <c r="K86" i="3" s="1"/>
  <c r="L128" i="3"/>
  <c r="L86" i="3" s="1"/>
  <c r="M128" i="3"/>
  <c r="M86" i="3" s="1"/>
  <c r="D129" i="3"/>
  <c r="H129" i="3"/>
  <c r="J129" i="3"/>
  <c r="L129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E146" i="3"/>
  <c r="E104" i="3" s="1"/>
  <c r="A147" i="3"/>
  <c r="B147" i="3"/>
  <c r="A148" i="3"/>
  <c r="B148" i="3"/>
  <c r="A149" i="3"/>
  <c r="B149" i="3"/>
  <c r="E149" i="3"/>
  <c r="E107" i="3" s="1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E160" i="3"/>
  <c r="E118" i="3" s="1"/>
  <c r="A161" i="3"/>
  <c r="A203" i="3" s="1"/>
  <c r="A245" i="3" s="1"/>
  <c r="B161" i="3"/>
  <c r="A162" i="3"/>
  <c r="B162" i="3"/>
  <c r="A163" i="3"/>
  <c r="B163" i="3"/>
  <c r="A164" i="3"/>
  <c r="B164" i="3"/>
  <c r="A165" i="3"/>
  <c r="B165" i="3"/>
  <c r="A166" i="3"/>
  <c r="B166" i="3"/>
  <c r="A167" i="3"/>
  <c r="B167" i="3"/>
  <c r="A168" i="3"/>
  <c r="B168" i="3"/>
  <c r="A169" i="3"/>
  <c r="B169" i="3"/>
  <c r="A170" i="3"/>
  <c r="B170" i="3"/>
  <c r="D171" i="3"/>
  <c r="F171" i="3"/>
  <c r="G171" i="3"/>
  <c r="H171" i="3"/>
  <c r="I171" i="3"/>
  <c r="J171" i="3"/>
  <c r="K171" i="3"/>
  <c r="L171" i="3"/>
  <c r="M171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B252" i="3" s="1"/>
  <c r="A211" i="3"/>
  <c r="B211" i="3"/>
  <c r="A212" i="3"/>
  <c r="B212" i="3"/>
  <c r="D213" i="3"/>
  <c r="F213" i="3"/>
  <c r="G213" i="3"/>
  <c r="H213" i="3"/>
  <c r="I213" i="3"/>
  <c r="J213" i="3"/>
  <c r="K213" i="3"/>
  <c r="L213" i="3"/>
  <c r="M213" i="3"/>
  <c r="A217" i="3"/>
  <c r="B217" i="3"/>
  <c r="A218" i="3"/>
  <c r="B218" i="3"/>
  <c r="A219" i="3"/>
  <c r="B219" i="3"/>
  <c r="A220" i="3"/>
  <c r="B220" i="3"/>
  <c r="A221" i="3"/>
  <c r="B221" i="3"/>
  <c r="A222" i="3"/>
  <c r="B222" i="3"/>
  <c r="A223" i="3"/>
  <c r="B223" i="3"/>
  <c r="A224" i="3"/>
  <c r="B224" i="3"/>
  <c r="A225" i="3"/>
  <c r="B225" i="3"/>
  <c r="A226" i="3"/>
  <c r="B226" i="3"/>
  <c r="A227" i="3"/>
  <c r="B227" i="3"/>
  <c r="A228" i="3"/>
  <c r="B228" i="3"/>
  <c r="A229" i="3"/>
  <c r="B229" i="3"/>
  <c r="A230" i="3"/>
  <c r="B230" i="3"/>
  <c r="A231" i="3"/>
  <c r="B231" i="3"/>
  <c r="A232" i="3"/>
  <c r="B232" i="3"/>
  <c r="A233" i="3"/>
  <c r="B233" i="3"/>
  <c r="A234" i="3"/>
  <c r="B234" i="3"/>
  <c r="A235" i="3"/>
  <c r="B235" i="3"/>
  <c r="A236" i="3"/>
  <c r="B236" i="3"/>
  <c r="A237" i="3"/>
  <c r="B237" i="3"/>
  <c r="A238" i="3"/>
  <c r="B238" i="3"/>
  <c r="A239" i="3"/>
  <c r="B239" i="3"/>
  <c r="A240" i="3"/>
  <c r="B240" i="3"/>
  <c r="A241" i="3"/>
  <c r="B241" i="3"/>
  <c r="A242" i="3"/>
  <c r="B242" i="3"/>
  <c r="A243" i="3"/>
  <c r="B243" i="3"/>
  <c r="F243" i="3"/>
  <c r="F117" i="3" s="1"/>
  <c r="F129" i="3" s="1"/>
  <c r="A244" i="3"/>
  <c r="B244" i="3"/>
  <c r="B245" i="3"/>
  <c r="A246" i="3"/>
  <c r="B246" i="3"/>
  <c r="A247" i="3"/>
  <c r="B247" i="3"/>
  <c r="A248" i="3"/>
  <c r="B248" i="3"/>
  <c r="A249" i="3"/>
  <c r="B249" i="3"/>
  <c r="A250" i="3"/>
  <c r="B250" i="3"/>
  <c r="A251" i="3"/>
  <c r="B251" i="3"/>
  <c r="A252" i="3"/>
  <c r="A253" i="3"/>
  <c r="B253" i="3"/>
  <c r="A254" i="3"/>
  <c r="B254" i="3"/>
  <c r="D255" i="3"/>
  <c r="F255" i="3"/>
  <c r="G255" i="3"/>
  <c r="H255" i="3"/>
  <c r="I255" i="3"/>
  <c r="J255" i="3"/>
  <c r="K255" i="3"/>
  <c r="L255" i="3"/>
  <c r="M255" i="3"/>
  <c r="E172" i="5" l="1"/>
  <c r="E79" i="5" s="1"/>
  <c r="E154" i="5"/>
  <c r="E61" i="5" s="1"/>
  <c r="C54" i="4"/>
  <c r="R54" i="4" s="1"/>
  <c r="E178" i="4"/>
  <c r="K178" i="4"/>
  <c r="O178" i="4"/>
  <c r="C142" i="4"/>
  <c r="C146" i="4"/>
  <c r="C150" i="4"/>
  <c r="C154" i="4"/>
  <c r="C158" i="4"/>
  <c r="C162" i="4"/>
  <c r="C166" i="4"/>
  <c r="C170" i="4"/>
  <c r="C174" i="4"/>
  <c r="J49" i="4"/>
  <c r="J57" i="4"/>
  <c r="O49" i="4"/>
  <c r="O57" i="4"/>
  <c r="C50" i="4"/>
  <c r="R50" i="4" s="1"/>
  <c r="C70" i="4"/>
  <c r="R70" i="4" s="1"/>
  <c r="C78" i="4"/>
  <c r="R78" i="4" s="1"/>
  <c r="C90" i="4"/>
  <c r="N49" i="4"/>
  <c r="C91" i="4"/>
  <c r="N57" i="4"/>
  <c r="C99" i="4"/>
  <c r="K58" i="4"/>
  <c r="C126" i="4"/>
  <c r="C127" i="4"/>
  <c r="N58" i="4"/>
  <c r="J51" i="4"/>
  <c r="J53" i="4"/>
  <c r="J55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O53" i="4"/>
  <c r="G61" i="4"/>
  <c r="G69" i="4"/>
  <c r="O69" i="4"/>
  <c r="K71" i="4"/>
  <c r="G73" i="4"/>
  <c r="O73" i="4"/>
  <c r="K75" i="4"/>
  <c r="G77" i="4"/>
  <c r="O77" i="4"/>
  <c r="K79" i="4"/>
  <c r="G81" i="4"/>
  <c r="O81" i="4"/>
  <c r="K83" i="4"/>
  <c r="G85" i="4"/>
  <c r="O85" i="4"/>
  <c r="C68" i="4"/>
  <c r="R68" i="4" s="1"/>
  <c r="C92" i="4"/>
  <c r="N51" i="4"/>
  <c r="C93" i="4"/>
  <c r="C94" i="4"/>
  <c r="N53" i="4"/>
  <c r="C95" i="4"/>
  <c r="C96" i="4"/>
  <c r="N55" i="4"/>
  <c r="C97" i="4"/>
  <c r="C98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L49" i="4"/>
  <c r="L51" i="4"/>
  <c r="L53" i="4"/>
  <c r="L55" i="4"/>
  <c r="L57" i="4"/>
  <c r="L59" i="4"/>
  <c r="L61" i="4"/>
  <c r="L63" i="4"/>
  <c r="L65" i="4"/>
  <c r="L67" i="4"/>
  <c r="G65" i="4"/>
  <c r="C66" i="4"/>
  <c r="R66" i="4" s="1"/>
  <c r="C72" i="4"/>
  <c r="R72" i="4" s="1"/>
  <c r="C76" i="4"/>
  <c r="R76" i="4" s="1"/>
  <c r="C52" i="4"/>
  <c r="R52" i="4" s="1"/>
  <c r="C56" i="4"/>
  <c r="R56" i="4" s="1"/>
  <c r="F86" i="4"/>
  <c r="K86" i="4"/>
  <c r="C62" i="4"/>
  <c r="R62" i="4" s="1"/>
  <c r="L74" i="5"/>
  <c r="G50" i="5"/>
  <c r="G72" i="5"/>
  <c r="J74" i="5"/>
  <c r="K84" i="5"/>
  <c r="G73" i="5"/>
  <c r="J76" i="5"/>
  <c r="J78" i="5"/>
  <c r="G85" i="5"/>
  <c r="G81" i="5"/>
  <c r="N72" i="5"/>
  <c r="O68" i="5"/>
  <c r="G48" i="5"/>
  <c r="K48" i="5"/>
  <c r="G52" i="5"/>
  <c r="K52" i="5"/>
  <c r="G56" i="5"/>
  <c r="K56" i="5"/>
  <c r="G60" i="5"/>
  <c r="K60" i="5"/>
  <c r="G62" i="5"/>
  <c r="K62" i="5"/>
  <c r="L52" i="5"/>
  <c r="O58" i="5"/>
  <c r="G64" i="5"/>
  <c r="K64" i="5"/>
  <c r="G66" i="5"/>
  <c r="K66" i="5"/>
  <c r="G70" i="5"/>
  <c r="K70" i="5"/>
  <c r="G80" i="5"/>
  <c r="K80" i="5"/>
  <c r="G82" i="5"/>
  <c r="K82" i="5"/>
  <c r="K83" i="5"/>
  <c r="E146" i="5"/>
  <c r="E53" i="5" s="1"/>
  <c r="E151" i="5"/>
  <c r="E58" i="5" s="1"/>
  <c r="E162" i="5"/>
  <c r="E69" i="5" s="1"/>
  <c r="E166" i="5"/>
  <c r="E73" i="5" s="1"/>
  <c r="E174" i="5"/>
  <c r="E81" i="5" s="1"/>
  <c r="E168" i="5"/>
  <c r="E75" i="5" s="1"/>
  <c r="C100" i="5"/>
  <c r="C112" i="5"/>
  <c r="C114" i="5"/>
  <c r="C122" i="5"/>
  <c r="C123" i="5"/>
  <c r="C126" i="5"/>
  <c r="C127" i="5"/>
  <c r="E145" i="5"/>
  <c r="E52" i="5" s="1"/>
  <c r="E149" i="5"/>
  <c r="E56" i="5" s="1"/>
  <c r="E153" i="5"/>
  <c r="E60" i="5" s="1"/>
  <c r="F157" i="5"/>
  <c r="F64" i="5" s="1"/>
  <c r="E160" i="5"/>
  <c r="E67" i="5" s="1"/>
  <c r="E164" i="5"/>
  <c r="E71" i="5" s="1"/>
  <c r="E169" i="5"/>
  <c r="E76" i="5" s="1"/>
  <c r="E170" i="5"/>
  <c r="E77" i="5" s="1"/>
  <c r="E171" i="5"/>
  <c r="E78" i="5" s="1"/>
  <c r="E176" i="5"/>
  <c r="E83" i="5" s="1"/>
  <c r="E177" i="5"/>
  <c r="E84" i="5" s="1"/>
  <c r="E178" i="5"/>
  <c r="E85" i="5" s="1"/>
  <c r="N71" i="5"/>
  <c r="C113" i="5"/>
  <c r="N73" i="5"/>
  <c r="C115" i="5"/>
  <c r="N79" i="5"/>
  <c r="C121" i="5"/>
  <c r="N82" i="5"/>
  <c r="C124" i="5"/>
  <c r="N83" i="5"/>
  <c r="C125" i="5"/>
  <c r="C93" i="5"/>
  <c r="C94" i="5"/>
  <c r="C95" i="5"/>
  <c r="C96" i="5"/>
  <c r="C97" i="5"/>
  <c r="C98" i="5"/>
  <c r="C101" i="5"/>
  <c r="N60" i="5"/>
  <c r="C102" i="5"/>
  <c r="N61" i="5"/>
  <c r="C103" i="5"/>
  <c r="N62" i="5"/>
  <c r="C104" i="5"/>
  <c r="N63" i="5"/>
  <c r="C105" i="5"/>
  <c r="N64" i="5"/>
  <c r="C106" i="5"/>
  <c r="N65" i="5"/>
  <c r="C107" i="5"/>
  <c r="N66" i="5"/>
  <c r="C108" i="5"/>
  <c r="N67" i="5"/>
  <c r="C109" i="5"/>
  <c r="N68" i="5"/>
  <c r="C110" i="5"/>
  <c r="N75" i="5"/>
  <c r="C117" i="5"/>
  <c r="N76" i="5"/>
  <c r="C118" i="5"/>
  <c r="N77" i="5"/>
  <c r="C119" i="5"/>
  <c r="O64" i="5"/>
  <c r="J179" i="5"/>
  <c r="L179" i="5"/>
  <c r="J67" i="5"/>
  <c r="J70" i="5"/>
  <c r="L70" i="5"/>
  <c r="L60" i="5"/>
  <c r="L66" i="5"/>
  <c r="L78" i="5"/>
  <c r="N179" i="5"/>
  <c r="N48" i="5"/>
  <c r="J48" i="5"/>
  <c r="L48" i="5"/>
  <c r="J56" i="5"/>
  <c r="L56" i="5"/>
  <c r="N70" i="5"/>
  <c r="D221" i="5"/>
  <c r="E141" i="5"/>
  <c r="E48" i="5" s="1"/>
  <c r="F143" i="5"/>
  <c r="F50" i="5" s="1"/>
  <c r="D143" i="5"/>
  <c r="D50" i="5" s="1"/>
  <c r="F144" i="5"/>
  <c r="F51" i="5" s="1"/>
  <c r="E144" i="5"/>
  <c r="E51" i="5" s="1"/>
  <c r="F147" i="5"/>
  <c r="F54" i="5" s="1"/>
  <c r="D147" i="5"/>
  <c r="D54" i="5" s="1"/>
  <c r="F148" i="5"/>
  <c r="F55" i="5" s="1"/>
  <c r="E148" i="5"/>
  <c r="E55" i="5" s="1"/>
  <c r="F151" i="5"/>
  <c r="F58" i="5" s="1"/>
  <c r="D151" i="5"/>
  <c r="D58" i="5" s="1"/>
  <c r="F152" i="5"/>
  <c r="F59" i="5" s="1"/>
  <c r="E152" i="5"/>
  <c r="E59" i="5" s="1"/>
  <c r="F155" i="5"/>
  <c r="F62" i="5" s="1"/>
  <c r="D155" i="5"/>
  <c r="D62" i="5" s="1"/>
  <c r="F156" i="5"/>
  <c r="F63" i="5" s="1"/>
  <c r="E156" i="5"/>
  <c r="E63" i="5" s="1"/>
  <c r="F158" i="5"/>
  <c r="F65" i="5" s="1"/>
  <c r="D158" i="5"/>
  <c r="D65" i="5" s="1"/>
  <c r="E159" i="5"/>
  <c r="E66" i="5" s="1"/>
  <c r="D159" i="5"/>
  <c r="D66" i="5" s="1"/>
  <c r="E161" i="5"/>
  <c r="E68" i="5" s="1"/>
  <c r="F161" i="5"/>
  <c r="F68" i="5" s="1"/>
  <c r="F162" i="5"/>
  <c r="F69" i="5" s="1"/>
  <c r="D162" i="5"/>
  <c r="D69" i="5" s="1"/>
  <c r="E163" i="5"/>
  <c r="E70" i="5" s="1"/>
  <c r="D163" i="5"/>
  <c r="D70" i="5" s="1"/>
  <c r="K50" i="5"/>
  <c r="N52" i="5"/>
  <c r="G54" i="5"/>
  <c r="N56" i="5"/>
  <c r="J58" i="5"/>
  <c r="L59" i="5"/>
  <c r="J61" i="5"/>
  <c r="O61" i="5"/>
  <c r="L63" i="5"/>
  <c r="F141" i="5"/>
  <c r="F48" i="5" s="1"/>
  <c r="E142" i="5"/>
  <c r="E49" i="5" s="1"/>
  <c r="D145" i="5"/>
  <c r="D52" i="5" s="1"/>
  <c r="E147" i="5"/>
  <c r="E54" i="5" s="1"/>
  <c r="F149" i="5"/>
  <c r="F56" i="5" s="1"/>
  <c r="E150" i="5"/>
  <c r="E57" i="5" s="1"/>
  <c r="D153" i="5"/>
  <c r="E155" i="5"/>
  <c r="E62" i="5" s="1"/>
  <c r="E158" i="5"/>
  <c r="E65" i="5" s="1"/>
  <c r="F160" i="5"/>
  <c r="F67" i="5" s="1"/>
  <c r="D161" i="5"/>
  <c r="F163" i="5"/>
  <c r="F70" i="5" s="1"/>
  <c r="D164" i="5"/>
  <c r="D169" i="5"/>
  <c r="D76" i="5" s="1"/>
  <c r="L65" i="5"/>
  <c r="O65" i="5"/>
  <c r="L67" i="5"/>
  <c r="L69" i="5"/>
  <c r="O69" i="5"/>
  <c r="L71" i="5"/>
  <c r="O71" i="5"/>
  <c r="L73" i="5"/>
  <c r="O73" i="5"/>
  <c r="O75" i="5"/>
  <c r="O77" i="5"/>
  <c r="O79" i="5"/>
  <c r="O81" i="5"/>
  <c r="O83" i="5"/>
  <c r="O85" i="5"/>
  <c r="G221" i="5"/>
  <c r="K221" i="5"/>
  <c r="M221" i="5"/>
  <c r="O221" i="5"/>
  <c r="C159" i="5"/>
  <c r="C163" i="5"/>
  <c r="J86" i="5"/>
  <c r="O86" i="5"/>
  <c r="G49" i="5"/>
  <c r="K51" i="5"/>
  <c r="G53" i="5"/>
  <c r="K55" i="5"/>
  <c r="G57" i="5"/>
  <c r="K59" i="5"/>
  <c r="G61" i="5"/>
  <c r="C155" i="5"/>
  <c r="K63" i="5"/>
  <c r="G65" i="5"/>
  <c r="K65" i="5"/>
  <c r="G67" i="5"/>
  <c r="K67" i="5"/>
  <c r="G69" i="5"/>
  <c r="K69" i="5"/>
  <c r="G71" i="5"/>
  <c r="K71" i="5"/>
  <c r="K77" i="5"/>
  <c r="G79" i="5"/>
  <c r="K85" i="5"/>
  <c r="E165" i="5"/>
  <c r="E72" i="5" s="1"/>
  <c r="E167" i="5"/>
  <c r="E74" i="5" s="1"/>
  <c r="E173" i="5"/>
  <c r="E80" i="5" s="1"/>
  <c r="E175" i="5"/>
  <c r="E82" i="5" s="1"/>
  <c r="M86" i="5"/>
  <c r="K49" i="5"/>
  <c r="G51" i="5"/>
  <c r="K53" i="5"/>
  <c r="G55" i="5"/>
  <c r="K57" i="5"/>
  <c r="G59" i="5"/>
  <c r="K61" i="5"/>
  <c r="G63" i="5"/>
  <c r="K73" i="5"/>
  <c r="G75" i="5"/>
  <c r="K81" i="5"/>
  <c r="G83" i="5"/>
  <c r="E157" i="5"/>
  <c r="E64" i="5" s="1"/>
  <c r="C147" i="5"/>
  <c r="H86" i="5"/>
  <c r="C149" i="5"/>
  <c r="C143" i="5"/>
  <c r="C151" i="5"/>
  <c r="N86" i="5"/>
  <c r="C145" i="5"/>
  <c r="C48" i="5"/>
  <c r="R48" i="5" s="1"/>
  <c r="K58" i="5"/>
  <c r="G58" i="5"/>
  <c r="L58" i="5"/>
  <c r="L86" i="5" s="1"/>
  <c r="C141" i="5"/>
  <c r="E179" i="5"/>
  <c r="G179" i="5"/>
  <c r="K179" i="5"/>
  <c r="M179" i="5"/>
  <c r="O179" i="5"/>
  <c r="D142" i="5"/>
  <c r="D144" i="5"/>
  <c r="D146" i="5"/>
  <c r="D148" i="5"/>
  <c r="D150" i="5"/>
  <c r="D152" i="5"/>
  <c r="D154" i="5"/>
  <c r="D156" i="5"/>
  <c r="F165" i="5"/>
  <c r="F72" i="5" s="1"/>
  <c r="D167" i="5"/>
  <c r="F169" i="5"/>
  <c r="F76" i="5" s="1"/>
  <c r="D171" i="5"/>
  <c r="F173" i="5"/>
  <c r="F80" i="5" s="1"/>
  <c r="D175" i="5"/>
  <c r="F177" i="5"/>
  <c r="F84" i="5" s="1"/>
  <c r="F221" i="5"/>
  <c r="J221" i="5"/>
  <c r="L221" i="5"/>
  <c r="N221" i="5"/>
  <c r="F166" i="5"/>
  <c r="F73" i="5" s="1"/>
  <c r="D166" i="5"/>
  <c r="F168" i="5"/>
  <c r="F75" i="5" s="1"/>
  <c r="D168" i="5"/>
  <c r="F170" i="5"/>
  <c r="F77" i="5" s="1"/>
  <c r="D170" i="5"/>
  <c r="F172" i="5"/>
  <c r="F79" i="5" s="1"/>
  <c r="D172" i="5"/>
  <c r="F174" i="5"/>
  <c r="F81" i="5" s="1"/>
  <c r="D174" i="5"/>
  <c r="F176" i="5"/>
  <c r="F83" i="5" s="1"/>
  <c r="D176" i="5"/>
  <c r="F178" i="5"/>
  <c r="F85" i="5" s="1"/>
  <c r="D178" i="5"/>
  <c r="C165" i="5"/>
  <c r="C169" i="5"/>
  <c r="C173" i="5"/>
  <c r="C177" i="5"/>
  <c r="E86" i="4"/>
  <c r="G86" i="4"/>
  <c r="M86" i="4"/>
  <c r="C141" i="4"/>
  <c r="D49" i="4"/>
  <c r="C143" i="4"/>
  <c r="D51" i="4"/>
  <c r="C145" i="4"/>
  <c r="D53" i="4"/>
  <c r="C147" i="4"/>
  <c r="D55" i="4"/>
  <c r="C149" i="4"/>
  <c r="D57" i="4"/>
  <c r="C151" i="4"/>
  <c r="D59" i="4"/>
  <c r="C153" i="4"/>
  <c r="D61" i="4"/>
  <c r="C155" i="4"/>
  <c r="D63" i="4"/>
  <c r="C157" i="4"/>
  <c r="D65" i="4"/>
  <c r="C159" i="4"/>
  <c r="D67" i="4"/>
  <c r="C161" i="4"/>
  <c r="D69" i="4"/>
  <c r="C163" i="4"/>
  <c r="D71" i="4"/>
  <c r="C165" i="4"/>
  <c r="D73" i="4"/>
  <c r="C167" i="4"/>
  <c r="D75" i="4"/>
  <c r="C169" i="4"/>
  <c r="D77" i="4"/>
  <c r="C171" i="4"/>
  <c r="D79" i="4"/>
  <c r="C173" i="4"/>
  <c r="D81" i="4"/>
  <c r="C175" i="4"/>
  <c r="D83" i="4"/>
  <c r="C177" i="4"/>
  <c r="D85" i="4"/>
  <c r="C48" i="4"/>
  <c r="C80" i="4"/>
  <c r="R80" i="4" s="1"/>
  <c r="C84" i="4"/>
  <c r="R84" i="4" s="1"/>
  <c r="O58" i="4"/>
  <c r="O86" i="4" s="1"/>
  <c r="N59" i="4"/>
  <c r="N61" i="4"/>
  <c r="N63" i="4"/>
  <c r="N65" i="4"/>
  <c r="N67" i="4"/>
  <c r="N69" i="4"/>
  <c r="N71" i="4"/>
  <c r="N73" i="4"/>
  <c r="N75" i="4"/>
  <c r="N77" i="4"/>
  <c r="N79" i="4"/>
  <c r="N81" i="4"/>
  <c r="N83" i="4"/>
  <c r="N85" i="4"/>
  <c r="C178" i="4"/>
  <c r="G178" i="4"/>
  <c r="M178" i="4"/>
  <c r="J58" i="4"/>
  <c r="D178" i="4"/>
  <c r="F178" i="4"/>
  <c r="J178" i="4"/>
  <c r="L178" i="4"/>
  <c r="N178" i="4"/>
  <c r="G220" i="4"/>
  <c r="K220" i="4"/>
  <c r="M220" i="4"/>
  <c r="O220" i="4"/>
  <c r="M129" i="3"/>
  <c r="K129" i="3"/>
  <c r="I129" i="3"/>
  <c r="G129" i="3"/>
  <c r="E86" i="3"/>
  <c r="D86" i="3"/>
  <c r="F86" i="3"/>
  <c r="D85" i="3"/>
  <c r="F85" i="3"/>
  <c r="E85" i="3"/>
  <c r="E84" i="3"/>
  <c r="D84" i="3"/>
  <c r="F84" i="3"/>
  <c r="D83" i="3"/>
  <c r="F83" i="3"/>
  <c r="E83" i="3"/>
  <c r="E82" i="3"/>
  <c r="D82" i="3"/>
  <c r="F82" i="3"/>
  <c r="D81" i="3"/>
  <c r="F81" i="3"/>
  <c r="E81" i="3"/>
  <c r="E80" i="3"/>
  <c r="D80" i="3"/>
  <c r="F80" i="3"/>
  <c r="D79" i="3"/>
  <c r="F79" i="3"/>
  <c r="E79" i="3"/>
  <c r="E78" i="3"/>
  <c r="D78" i="3"/>
  <c r="F78" i="3"/>
  <c r="D77" i="3"/>
  <c r="F77" i="3"/>
  <c r="E77" i="3"/>
  <c r="E76" i="3"/>
  <c r="D76" i="3"/>
  <c r="F76" i="3"/>
  <c r="D75" i="3"/>
  <c r="F75" i="3"/>
  <c r="E75" i="3"/>
  <c r="E74" i="3"/>
  <c r="D74" i="3"/>
  <c r="F74" i="3"/>
  <c r="D73" i="3"/>
  <c r="F73" i="3"/>
  <c r="E73" i="3"/>
  <c r="E72" i="3"/>
  <c r="D72" i="3"/>
  <c r="F72" i="3"/>
  <c r="D71" i="3"/>
  <c r="F71" i="3"/>
  <c r="E71" i="3"/>
  <c r="E70" i="3"/>
  <c r="D70" i="3"/>
  <c r="F70" i="3"/>
  <c r="D69" i="3"/>
  <c r="F69" i="3"/>
  <c r="E69" i="3"/>
  <c r="M87" i="3"/>
  <c r="K87" i="3"/>
  <c r="I87" i="3"/>
  <c r="G87" i="3"/>
  <c r="E68" i="3"/>
  <c r="D68" i="3"/>
  <c r="F68" i="3"/>
  <c r="D67" i="3"/>
  <c r="F67" i="3"/>
  <c r="E67" i="3"/>
  <c r="E66" i="3"/>
  <c r="D66" i="3"/>
  <c r="F66" i="3"/>
  <c r="D65" i="3"/>
  <c r="F65" i="3"/>
  <c r="E65" i="3"/>
  <c r="E64" i="3"/>
  <c r="D64" i="3"/>
  <c r="F64" i="3"/>
  <c r="D63" i="3"/>
  <c r="F63" i="3"/>
  <c r="E63" i="3"/>
  <c r="E62" i="3"/>
  <c r="D62" i="3"/>
  <c r="F62" i="3"/>
  <c r="D61" i="3"/>
  <c r="F61" i="3"/>
  <c r="E61" i="3"/>
  <c r="E60" i="3"/>
  <c r="D60" i="3"/>
  <c r="F60" i="3"/>
  <c r="D59" i="3"/>
  <c r="F59" i="3"/>
  <c r="E59" i="3"/>
  <c r="E58" i="3"/>
  <c r="D58" i="3"/>
  <c r="F58" i="3"/>
  <c r="D57" i="3"/>
  <c r="F57" i="3"/>
  <c r="E57" i="3"/>
  <c r="E56" i="3"/>
  <c r="D56" i="3"/>
  <c r="F56" i="3"/>
  <c r="D55" i="3"/>
  <c r="F55" i="3"/>
  <c r="E55" i="3"/>
  <c r="E54" i="3"/>
  <c r="D54" i="3"/>
  <c r="F54" i="3"/>
  <c r="D53" i="3"/>
  <c r="F53" i="3"/>
  <c r="E53" i="3"/>
  <c r="E52" i="3"/>
  <c r="D52" i="3"/>
  <c r="F52" i="3"/>
  <c r="D51" i="3"/>
  <c r="F51" i="3"/>
  <c r="E51" i="3"/>
  <c r="E50" i="3"/>
  <c r="D50" i="3"/>
  <c r="F50" i="3"/>
  <c r="D49" i="3"/>
  <c r="F49" i="3"/>
  <c r="E49" i="3"/>
  <c r="L87" i="3"/>
  <c r="J87" i="3"/>
  <c r="H87" i="3"/>
  <c r="L86" i="4" l="1"/>
  <c r="C100" i="4"/>
  <c r="C157" i="5"/>
  <c r="C162" i="5"/>
  <c r="C158" i="5"/>
  <c r="E86" i="5"/>
  <c r="C164" i="5"/>
  <c r="D71" i="5"/>
  <c r="C161" i="5"/>
  <c r="D68" i="5"/>
  <c r="C153" i="5"/>
  <c r="D60" i="5"/>
  <c r="C160" i="5"/>
  <c r="G86" i="5"/>
  <c r="K86" i="5"/>
  <c r="D179" i="5"/>
  <c r="C175" i="5"/>
  <c r="D82" i="5"/>
  <c r="C171" i="5"/>
  <c r="D78" i="5"/>
  <c r="C167" i="5"/>
  <c r="D74" i="5"/>
  <c r="D63" i="5"/>
  <c r="C156" i="5"/>
  <c r="D59" i="5"/>
  <c r="C152" i="5"/>
  <c r="C148" i="5"/>
  <c r="D55" i="5"/>
  <c r="C144" i="5"/>
  <c r="D51" i="5"/>
  <c r="F179" i="5"/>
  <c r="C178" i="5"/>
  <c r="D85" i="5"/>
  <c r="C176" i="5"/>
  <c r="D83" i="5"/>
  <c r="C174" i="5"/>
  <c r="D81" i="5"/>
  <c r="C172" i="5"/>
  <c r="D79" i="5"/>
  <c r="C170" i="5"/>
  <c r="D77" i="5"/>
  <c r="C168" i="5"/>
  <c r="D75" i="5"/>
  <c r="C166" i="5"/>
  <c r="D73" i="5"/>
  <c r="C154" i="5"/>
  <c r="D61" i="5"/>
  <c r="D57" i="5"/>
  <c r="C150" i="5"/>
  <c r="D53" i="5"/>
  <c r="C146" i="5"/>
  <c r="D49" i="5"/>
  <c r="C142" i="5"/>
  <c r="F86" i="5"/>
  <c r="N86" i="4"/>
  <c r="C58" i="4"/>
  <c r="R58" i="4" s="1"/>
  <c r="R48" i="4"/>
  <c r="C85" i="4"/>
  <c r="R85" i="4" s="1"/>
  <c r="C83" i="4"/>
  <c r="R83" i="4" s="1"/>
  <c r="C81" i="4"/>
  <c r="R81" i="4" s="1"/>
  <c r="C79" i="4"/>
  <c r="R79" i="4" s="1"/>
  <c r="C77" i="4"/>
  <c r="R77" i="4" s="1"/>
  <c r="C75" i="4"/>
  <c r="R75" i="4" s="1"/>
  <c r="C73" i="4"/>
  <c r="R73" i="4" s="1"/>
  <c r="C71" i="4"/>
  <c r="R71" i="4" s="1"/>
  <c r="C69" i="4"/>
  <c r="R69" i="4" s="1"/>
  <c r="C67" i="4"/>
  <c r="R67" i="4" s="1"/>
  <c r="C65" i="4"/>
  <c r="R65" i="4" s="1"/>
  <c r="C63" i="4"/>
  <c r="R63" i="4" s="1"/>
  <c r="C61" i="4"/>
  <c r="R61" i="4" s="1"/>
  <c r="C59" i="4"/>
  <c r="R59" i="4" s="1"/>
  <c r="C57" i="4"/>
  <c r="R57" i="4" s="1"/>
  <c r="C55" i="4"/>
  <c r="R55" i="4" s="1"/>
  <c r="C53" i="4"/>
  <c r="R53" i="4" s="1"/>
  <c r="C51" i="4"/>
  <c r="R51" i="4" s="1"/>
  <c r="C49" i="4"/>
  <c r="R49" i="4" s="1"/>
  <c r="J86" i="4"/>
  <c r="D86" i="4"/>
  <c r="E87" i="3"/>
  <c r="C53" i="3"/>
  <c r="C55" i="3"/>
  <c r="C57" i="3"/>
  <c r="C59" i="3"/>
  <c r="C61" i="3"/>
  <c r="C63" i="3"/>
  <c r="C65" i="3"/>
  <c r="C67" i="3"/>
  <c r="C69" i="3"/>
  <c r="C71" i="3"/>
  <c r="C73" i="3"/>
  <c r="C75" i="3"/>
  <c r="C77" i="3"/>
  <c r="C79" i="3"/>
  <c r="C81" i="3"/>
  <c r="C83" i="3"/>
  <c r="C85" i="3"/>
  <c r="C49" i="3"/>
  <c r="D87" i="3"/>
  <c r="C51" i="3"/>
  <c r="F87" i="3"/>
  <c r="C50" i="3"/>
  <c r="C52" i="3"/>
  <c r="C54" i="3"/>
  <c r="C56" i="3"/>
  <c r="C58" i="3"/>
  <c r="C60" i="3"/>
  <c r="C62" i="3"/>
  <c r="C64" i="3"/>
  <c r="C66" i="3"/>
  <c r="C68" i="3"/>
  <c r="C70" i="3"/>
  <c r="C72" i="3"/>
  <c r="C74" i="3"/>
  <c r="C76" i="3"/>
  <c r="C78" i="3"/>
  <c r="C80" i="3"/>
  <c r="C82" i="3"/>
  <c r="C84" i="3"/>
  <c r="C86" i="3"/>
  <c r="C123" i="2"/>
  <c r="C96" i="2"/>
  <c r="C103" i="2"/>
  <c r="C110" i="2"/>
  <c r="C113" i="2"/>
  <c r="C115" i="2"/>
  <c r="C121" i="2"/>
  <c r="B121" i="2"/>
  <c r="C126" i="2"/>
  <c r="C125" i="2"/>
  <c r="C116" i="2"/>
  <c r="C97" i="2"/>
  <c r="C90" i="2"/>
  <c r="M346" i="2"/>
  <c r="L346" i="2"/>
  <c r="K346" i="2"/>
  <c r="J346" i="2"/>
  <c r="I346" i="2"/>
  <c r="H346" i="2"/>
  <c r="G346" i="2"/>
  <c r="D346" i="2"/>
  <c r="F334" i="2"/>
  <c r="F346" i="2" s="1"/>
  <c r="M304" i="2"/>
  <c r="L304" i="2"/>
  <c r="K304" i="2"/>
  <c r="J304" i="2"/>
  <c r="I304" i="2"/>
  <c r="H304" i="2"/>
  <c r="G304" i="2"/>
  <c r="F304" i="2"/>
  <c r="D304" i="2"/>
  <c r="M262" i="2"/>
  <c r="L262" i="2"/>
  <c r="K262" i="2"/>
  <c r="J262" i="2"/>
  <c r="I262" i="2"/>
  <c r="H262" i="2"/>
  <c r="G262" i="2"/>
  <c r="F262" i="2"/>
  <c r="D262" i="2"/>
  <c r="E251" i="2"/>
  <c r="E240" i="2"/>
  <c r="E237" i="2"/>
  <c r="M219" i="2"/>
  <c r="L219" i="2"/>
  <c r="K219" i="2"/>
  <c r="J219" i="2"/>
  <c r="I219" i="2"/>
  <c r="H219" i="2"/>
  <c r="G219" i="2"/>
  <c r="F219" i="2"/>
  <c r="E219" i="2"/>
  <c r="D219" i="2"/>
  <c r="M218" i="2"/>
  <c r="L218" i="2"/>
  <c r="K218" i="2"/>
  <c r="J218" i="2"/>
  <c r="I218" i="2"/>
  <c r="H218" i="2"/>
  <c r="G218" i="2"/>
  <c r="F218" i="2"/>
  <c r="E218" i="2"/>
  <c r="D218" i="2"/>
  <c r="M217" i="2"/>
  <c r="L217" i="2"/>
  <c r="K217" i="2"/>
  <c r="J217" i="2"/>
  <c r="I217" i="2"/>
  <c r="H217" i="2"/>
  <c r="G217" i="2"/>
  <c r="F217" i="2"/>
  <c r="E217" i="2"/>
  <c r="D217" i="2"/>
  <c r="M216" i="2"/>
  <c r="L216" i="2"/>
  <c r="K216" i="2"/>
  <c r="J216" i="2"/>
  <c r="I216" i="2"/>
  <c r="H216" i="2"/>
  <c r="G216" i="2"/>
  <c r="F216" i="2"/>
  <c r="E216" i="2"/>
  <c r="D216" i="2"/>
  <c r="M215" i="2"/>
  <c r="L215" i="2"/>
  <c r="K215" i="2"/>
  <c r="J215" i="2"/>
  <c r="I215" i="2"/>
  <c r="H215" i="2"/>
  <c r="G215" i="2"/>
  <c r="F215" i="2"/>
  <c r="E215" i="2"/>
  <c r="D215" i="2"/>
  <c r="M214" i="2"/>
  <c r="L214" i="2"/>
  <c r="K214" i="2"/>
  <c r="J214" i="2"/>
  <c r="I214" i="2"/>
  <c r="H214" i="2"/>
  <c r="G214" i="2"/>
  <c r="F214" i="2"/>
  <c r="E214" i="2"/>
  <c r="D214" i="2"/>
  <c r="M213" i="2"/>
  <c r="L213" i="2"/>
  <c r="K213" i="2"/>
  <c r="J213" i="2"/>
  <c r="I213" i="2"/>
  <c r="H213" i="2"/>
  <c r="G213" i="2"/>
  <c r="F213" i="2"/>
  <c r="E213" i="2"/>
  <c r="D213" i="2"/>
  <c r="M212" i="2"/>
  <c r="L212" i="2"/>
  <c r="K212" i="2"/>
  <c r="J212" i="2"/>
  <c r="I212" i="2"/>
  <c r="H212" i="2"/>
  <c r="G212" i="2"/>
  <c r="F212" i="2"/>
  <c r="E212" i="2"/>
  <c r="D212" i="2"/>
  <c r="M211" i="2"/>
  <c r="L211" i="2"/>
  <c r="K211" i="2"/>
  <c r="J211" i="2"/>
  <c r="I211" i="2"/>
  <c r="H211" i="2"/>
  <c r="G211" i="2"/>
  <c r="F211" i="2"/>
  <c r="E211" i="2"/>
  <c r="D211" i="2"/>
  <c r="M210" i="2"/>
  <c r="L210" i="2"/>
  <c r="K210" i="2"/>
  <c r="J210" i="2"/>
  <c r="I210" i="2"/>
  <c r="H210" i="2"/>
  <c r="G210" i="2"/>
  <c r="F210" i="2"/>
  <c r="E210" i="2"/>
  <c r="D210" i="2"/>
  <c r="M209" i="2"/>
  <c r="L209" i="2"/>
  <c r="K209" i="2"/>
  <c r="J209" i="2"/>
  <c r="I209" i="2"/>
  <c r="H209" i="2"/>
  <c r="G209" i="2"/>
  <c r="F209" i="2"/>
  <c r="E209" i="2"/>
  <c r="D209" i="2"/>
  <c r="M208" i="2"/>
  <c r="L208" i="2"/>
  <c r="K208" i="2"/>
  <c r="J208" i="2"/>
  <c r="I208" i="2"/>
  <c r="H208" i="2"/>
  <c r="G208" i="2"/>
  <c r="F208" i="2"/>
  <c r="E208" i="2"/>
  <c r="D208" i="2"/>
  <c r="M207" i="2"/>
  <c r="L207" i="2"/>
  <c r="K207" i="2"/>
  <c r="J207" i="2"/>
  <c r="I207" i="2"/>
  <c r="H207" i="2"/>
  <c r="G207" i="2"/>
  <c r="F207" i="2"/>
  <c r="E207" i="2"/>
  <c r="D207" i="2"/>
  <c r="M206" i="2"/>
  <c r="L206" i="2"/>
  <c r="K206" i="2"/>
  <c r="J206" i="2"/>
  <c r="I206" i="2"/>
  <c r="H206" i="2"/>
  <c r="G206" i="2"/>
  <c r="F206" i="2"/>
  <c r="E206" i="2"/>
  <c r="D206" i="2"/>
  <c r="M205" i="2"/>
  <c r="L205" i="2"/>
  <c r="K205" i="2"/>
  <c r="J205" i="2"/>
  <c r="I205" i="2"/>
  <c r="H205" i="2"/>
  <c r="G205" i="2"/>
  <c r="F205" i="2"/>
  <c r="E205" i="2"/>
  <c r="D205" i="2"/>
  <c r="M204" i="2"/>
  <c r="L204" i="2"/>
  <c r="K204" i="2"/>
  <c r="J204" i="2"/>
  <c r="I204" i="2"/>
  <c r="H204" i="2"/>
  <c r="G204" i="2"/>
  <c r="F204" i="2"/>
  <c r="E204" i="2"/>
  <c r="D204" i="2"/>
  <c r="M203" i="2"/>
  <c r="L203" i="2"/>
  <c r="K203" i="2"/>
  <c r="J203" i="2"/>
  <c r="I203" i="2"/>
  <c r="H203" i="2"/>
  <c r="G203" i="2"/>
  <c r="F203" i="2"/>
  <c r="E203" i="2"/>
  <c r="D203" i="2"/>
  <c r="M202" i="2"/>
  <c r="L202" i="2"/>
  <c r="K202" i="2"/>
  <c r="J202" i="2"/>
  <c r="I202" i="2"/>
  <c r="H202" i="2"/>
  <c r="G202" i="2"/>
  <c r="F202" i="2"/>
  <c r="E202" i="2"/>
  <c r="D202" i="2"/>
  <c r="M201" i="2"/>
  <c r="L201" i="2"/>
  <c r="K201" i="2"/>
  <c r="J201" i="2"/>
  <c r="I201" i="2"/>
  <c r="H201" i="2"/>
  <c r="G201" i="2"/>
  <c r="F201" i="2"/>
  <c r="E201" i="2"/>
  <c r="D201" i="2"/>
  <c r="M200" i="2"/>
  <c r="L200" i="2"/>
  <c r="K200" i="2"/>
  <c r="J200" i="2"/>
  <c r="I200" i="2"/>
  <c r="H200" i="2"/>
  <c r="G200" i="2"/>
  <c r="F200" i="2"/>
  <c r="E200" i="2"/>
  <c r="D200" i="2"/>
  <c r="M199" i="2"/>
  <c r="L199" i="2"/>
  <c r="K199" i="2"/>
  <c r="J199" i="2"/>
  <c r="I199" i="2"/>
  <c r="H199" i="2"/>
  <c r="G199" i="2"/>
  <c r="F199" i="2"/>
  <c r="E199" i="2"/>
  <c r="D199" i="2"/>
  <c r="M198" i="2"/>
  <c r="L198" i="2"/>
  <c r="K198" i="2"/>
  <c r="J198" i="2"/>
  <c r="I198" i="2"/>
  <c r="H198" i="2"/>
  <c r="G198" i="2"/>
  <c r="F198" i="2"/>
  <c r="E198" i="2"/>
  <c r="D198" i="2"/>
  <c r="M197" i="2"/>
  <c r="L197" i="2"/>
  <c r="K197" i="2"/>
  <c r="J197" i="2"/>
  <c r="I197" i="2"/>
  <c r="H197" i="2"/>
  <c r="G197" i="2"/>
  <c r="F197" i="2"/>
  <c r="E197" i="2"/>
  <c r="D197" i="2"/>
  <c r="M196" i="2"/>
  <c r="L196" i="2"/>
  <c r="K196" i="2"/>
  <c r="J196" i="2"/>
  <c r="I196" i="2"/>
  <c r="H196" i="2"/>
  <c r="G196" i="2"/>
  <c r="F196" i="2"/>
  <c r="E196" i="2"/>
  <c r="D196" i="2"/>
  <c r="M195" i="2"/>
  <c r="L195" i="2"/>
  <c r="K195" i="2"/>
  <c r="J195" i="2"/>
  <c r="I195" i="2"/>
  <c r="H195" i="2"/>
  <c r="G195" i="2"/>
  <c r="F195" i="2"/>
  <c r="E195" i="2"/>
  <c r="D195" i="2"/>
  <c r="M194" i="2"/>
  <c r="L194" i="2"/>
  <c r="K194" i="2"/>
  <c r="J194" i="2"/>
  <c r="I194" i="2"/>
  <c r="H194" i="2"/>
  <c r="G194" i="2"/>
  <c r="F194" i="2"/>
  <c r="E194" i="2"/>
  <c r="D194" i="2"/>
  <c r="M193" i="2"/>
  <c r="L193" i="2"/>
  <c r="K193" i="2"/>
  <c r="J193" i="2"/>
  <c r="I193" i="2"/>
  <c r="H193" i="2"/>
  <c r="G193" i="2"/>
  <c r="F193" i="2"/>
  <c r="E193" i="2"/>
  <c r="D193" i="2"/>
  <c r="M192" i="2"/>
  <c r="L192" i="2"/>
  <c r="K192" i="2"/>
  <c r="J192" i="2"/>
  <c r="I192" i="2"/>
  <c r="H192" i="2"/>
  <c r="G192" i="2"/>
  <c r="F192" i="2"/>
  <c r="E192" i="2"/>
  <c r="D192" i="2"/>
  <c r="M191" i="2"/>
  <c r="L191" i="2"/>
  <c r="K191" i="2"/>
  <c r="J191" i="2"/>
  <c r="I191" i="2"/>
  <c r="H191" i="2"/>
  <c r="G191" i="2"/>
  <c r="F191" i="2"/>
  <c r="E191" i="2"/>
  <c r="D191" i="2"/>
  <c r="M190" i="2"/>
  <c r="L190" i="2"/>
  <c r="K190" i="2"/>
  <c r="J190" i="2"/>
  <c r="I190" i="2"/>
  <c r="H190" i="2"/>
  <c r="G190" i="2"/>
  <c r="F190" i="2"/>
  <c r="E190" i="2"/>
  <c r="D190" i="2"/>
  <c r="M189" i="2"/>
  <c r="L189" i="2"/>
  <c r="K189" i="2"/>
  <c r="J189" i="2"/>
  <c r="I189" i="2"/>
  <c r="H189" i="2"/>
  <c r="G189" i="2"/>
  <c r="F189" i="2"/>
  <c r="E189" i="2"/>
  <c r="D189" i="2"/>
  <c r="M188" i="2"/>
  <c r="L188" i="2"/>
  <c r="K188" i="2"/>
  <c r="J188" i="2"/>
  <c r="I188" i="2"/>
  <c r="H188" i="2"/>
  <c r="G188" i="2"/>
  <c r="F188" i="2"/>
  <c r="E188" i="2"/>
  <c r="D188" i="2"/>
  <c r="M187" i="2"/>
  <c r="L187" i="2"/>
  <c r="K187" i="2"/>
  <c r="J187" i="2"/>
  <c r="I187" i="2"/>
  <c r="H187" i="2"/>
  <c r="G187" i="2"/>
  <c r="F187" i="2"/>
  <c r="E187" i="2"/>
  <c r="D187" i="2"/>
  <c r="M186" i="2"/>
  <c r="L186" i="2"/>
  <c r="K186" i="2"/>
  <c r="J186" i="2"/>
  <c r="I186" i="2"/>
  <c r="H186" i="2"/>
  <c r="G186" i="2"/>
  <c r="F186" i="2"/>
  <c r="E186" i="2"/>
  <c r="D186" i="2"/>
  <c r="M185" i="2"/>
  <c r="L185" i="2"/>
  <c r="K185" i="2"/>
  <c r="J185" i="2"/>
  <c r="I185" i="2"/>
  <c r="H185" i="2"/>
  <c r="G185" i="2"/>
  <c r="F185" i="2"/>
  <c r="E185" i="2"/>
  <c r="D185" i="2"/>
  <c r="M184" i="2"/>
  <c r="L184" i="2"/>
  <c r="K184" i="2"/>
  <c r="J184" i="2"/>
  <c r="I184" i="2"/>
  <c r="H184" i="2"/>
  <c r="G184" i="2"/>
  <c r="F184" i="2"/>
  <c r="E184" i="2"/>
  <c r="D184" i="2"/>
  <c r="M183" i="2"/>
  <c r="L183" i="2"/>
  <c r="K183" i="2"/>
  <c r="J183" i="2"/>
  <c r="I183" i="2"/>
  <c r="H183" i="2"/>
  <c r="G183" i="2"/>
  <c r="F183" i="2"/>
  <c r="E183" i="2"/>
  <c r="D183" i="2"/>
  <c r="M182" i="2"/>
  <c r="M220" i="2" s="1"/>
  <c r="L182" i="2"/>
  <c r="L220" i="2" s="1"/>
  <c r="K182" i="2"/>
  <c r="K220" i="2" s="1"/>
  <c r="J182" i="2"/>
  <c r="J220" i="2" s="1"/>
  <c r="I182" i="2"/>
  <c r="I220" i="2" s="1"/>
  <c r="H182" i="2"/>
  <c r="H220" i="2" s="1"/>
  <c r="G182" i="2"/>
  <c r="G220" i="2" s="1"/>
  <c r="F182" i="2"/>
  <c r="F220" i="2" s="1"/>
  <c r="E182" i="2"/>
  <c r="D182" i="2"/>
  <c r="D220" i="2" s="1"/>
  <c r="M177" i="2"/>
  <c r="L177" i="2"/>
  <c r="K177" i="2"/>
  <c r="J177" i="2"/>
  <c r="I177" i="2"/>
  <c r="H177" i="2"/>
  <c r="G177" i="2"/>
  <c r="F177" i="2"/>
  <c r="E177" i="2"/>
  <c r="D177" i="2"/>
  <c r="B177" i="2"/>
  <c r="B219" i="2" s="1"/>
  <c r="B261" i="2" s="1"/>
  <c r="B303" i="2" s="1"/>
  <c r="B345" i="2" s="1"/>
  <c r="A177" i="2"/>
  <c r="A219" i="2" s="1"/>
  <c r="A261" i="2" s="1"/>
  <c r="A303" i="2" s="1"/>
  <c r="A345" i="2" s="1"/>
  <c r="M176" i="2"/>
  <c r="L176" i="2"/>
  <c r="K176" i="2"/>
  <c r="J176" i="2"/>
  <c r="I176" i="2"/>
  <c r="H176" i="2"/>
  <c r="G176" i="2"/>
  <c r="F176" i="2"/>
  <c r="E176" i="2"/>
  <c r="D176" i="2"/>
  <c r="B176" i="2"/>
  <c r="B218" i="2" s="1"/>
  <c r="B260" i="2" s="1"/>
  <c r="B302" i="2" s="1"/>
  <c r="B344" i="2" s="1"/>
  <c r="A176" i="2"/>
  <c r="A218" i="2" s="1"/>
  <c r="A260" i="2" s="1"/>
  <c r="A302" i="2" s="1"/>
  <c r="A344" i="2" s="1"/>
  <c r="M175" i="2"/>
  <c r="L175" i="2"/>
  <c r="K175" i="2"/>
  <c r="J175" i="2"/>
  <c r="I175" i="2"/>
  <c r="H175" i="2"/>
  <c r="G175" i="2"/>
  <c r="F175" i="2"/>
  <c r="E175" i="2"/>
  <c r="D175" i="2"/>
  <c r="B175" i="2"/>
  <c r="B217" i="2" s="1"/>
  <c r="B259" i="2" s="1"/>
  <c r="B301" i="2" s="1"/>
  <c r="B343" i="2" s="1"/>
  <c r="A175" i="2"/>
  <c r="A217" i="2" s="1"/>
  <c r="A259" i="2" s="1"/>
  <c r="A301" i="2" s="1"/>
  <c r="A343" i="2" s="1"/>
  <c r="M174" i="2"/>
  <c r="L174" i="2"/>
  <c r="K174" i="2"/>
  <c r="J174" i="2"/>
  <c r="I174" i="2"/>
  <c r="H174" i="2"/>
  <c r="G174" i="2"/>
  <c r="F174" i="2"/>
  <c r="E174" i="2"/>
  <c r="D174" i="2"/>
  <c r="B174" i="2"/>
  <c r="B216" i="2" s="1"/>
  <c r="B258" i="2" s="1"/>
  <c r="B300" i="2" s="1"/>
  <c r="B342" i="2" s="1"/>
  <c r="A174" i="2"/>
  <c r="A216" i="2" s="1"/>
  <c r="A258" i="2" s="1"/>
  <c r="A300" i="2" s="1"/>
  <c r="A342" i="2" s="1"/>
  <c r="M173" i="2"/>
  <c r="L173" i="2"/>
  <c r="K173" i="2"/>
  <c r="J173" i="2"/>
  <c r="I173" i="2"/>
  <c r="H173" i="2"/>
  <c r="G173" i="2"/>
  <c r="F173" i="2"/>
  <c r="E173" i="2"/>
  <c r="D173" i="2"/>
  <c r="B173" i="2"/>
  <c r="B215" i="2" s="1"/>
  <c r="B257" i="2" s="1"/>
  <c r="B299" i="2" s="1"/>
  <c r="B341" i="2" s="1"/>
  <c r="A173" i="2"/>
  <c r="A215" i="2" s="1"/>
  <c r="A257" i="2" s="1"/>
  <c r="A299" i="2" s="1"/>
  <c r="A341" i="2" s="1"/>
  <c r="M172" i="2"/>
  <c r="L172" i="2"/>
  <c r="K172" i="2"/>
  <c r="J172" i="2"/>
  <c r="I172" i="2"/>
  <c r="H172" i="2"/>
  <c r="G172" i="2"/>
  <c r="F172" i="2"/>
  <c r="E172" i="2"/>
  <c r="D172" i="2"/>
  <c r="B172" i="2"/>
  <c r="B214" i="2" s="1"/>
  <c r="B256" i="2" s="1"/>
  <c r="B298" i="2" s="1"/>
  <c r="B340" i="2" s="1"/>
  <c r="A172" i="2"/>
  <c r="A214" i="2" s="1"/>
  <c r="A256" i="2" s="1"/>
  <c r="A298" i="2" s="1"/>
  <c r="A340" i="2" s="1"/>
  <c r="M171" i="2"/>
  <c r="L171" i="2"/>
  <c r="K171" i="2"/>
  <c r="J171" i="2"/>
  <c r="I171" i="2"/>
  <c r="H171" i="2"/>
  <c r="G171" i="2"/>
  <c r="F171" i="2"/>
  <c r="E171" i="2"/>
  <c r="D171" i="2"/>
  <c r="B171" i="2"/>
  <c r="B213" i="2" s="1"/>
  <c r="B255" i="2" s="1"/>
  <c r="B297" i="2" s="1"/>
  <c r="B339" i="2" s="1"/>
  <c r="A171" i="2"/>
  <c r="A213" i="2" s="1"/>
  <c r="A255" i="2" s="1"/>
  <c r="A297" i="2" s="1"/>
  <c r="A339" i="2" s="1"/>
  <c r="M170" i="2"/>
  <c r="L170" i="2"/>
  <c r="K170" i="2"/>
  <c r="J170" i="2"/>
  <c r="I170" i="2"/>
  <c r="H170" i="2"/>
  <c r="G170" i="2"/>
  <c r="F170" i="2"/>
  <c r="E170" i="2"/>
  <c r="D170" i="2"/>
  <c r="B170" i="2"/>
  <c r="B212" i="2" s="1"/>
  <c r="B254" i="2" s="1"/>
  <c r="B296" i="2" s="1"/>
  <c r="B338" i="2" s="1"/>
  <c r="A170" i="2"/>
  <c r="A212" i="2" s="1"/>
  <c r="A254" i="2" s="1"/>
  <c r="A296" i="2" s="1"/>
  <c r="A338" i="2" s="1"/>
  <c r="M169" i="2"/>
  <c r="L169" i="2"/>
  <c r="K169" i="2"/>
  <c r="J169" i="2"/>
  <c r="I169" i="2"/>
  <c r="H169" i="2"/>
  <c r="G169" i="2"/>
  <c r="F169" i="2"/>
  <c r="E169" i="2"/>
  <c r="D169" i="2"/>
  <c r="B169" i="2"/>
  <c r="B211" i="2" s="1"/>
  <c r="B253" i="2" s="1"/>
  <c r="B295" i="2" s="1"/>
  <c r="B337" i="2" s="1"/>
  <c r="A169" i="2"/>
  <c r="A211" i="2" s="1"/>
  <c r="A253" i="2" s="1"/>
  <c r="A295" i="2" s="1"/>
  <c r="A337" i="2" s="1"/>
  <c r="M168" i="2"/>
  <c r="L168" i="2"/>
  <c r="K168" i="2"/>
  <c r="J168" i="2"/>
  <c r="I168" i="2"/>
  <c r="H168" i="2"/>
  <c r="G168" i="2"/>
  <c r="F168" i="2"/>
  <c r="E168" i="2"/>
  <c r="D168" i="2"/>
  <c r="B168" i="2"/>
  <c r="B210" i="2" s="1"/>
  <c r="B252" i="2" s="1"/>
  <c r="B294" i="2" s="1"/>
  <c r="B336" i="2" s="1"/>
  <c r="A168" i="2"/>
  <c r="A210" i="2" s="1"/>
  <c r="A252" i="2" s="1"/>
  <c r="A294" i="2" s="1"/>
  <c r="A336" i="2" s="1"/>
  <c r="M167" i="2"/>
  <c r="L167" i="2"/>
  <c r="K167" i="2"/>
  <c r="J167" i="2"/>
  <c r="I167" i="2"/>
  <c r="H167" i="2"/>
  <c r="G167" i="2"/>
  <c r="F167" i="2"/>
  <c r="E167" i="2"/>
  <c r="D167" i="2"/>
  <c r="B167" i="2"/>
  <c r="B209" i="2" s="1"/>
  <c r="B251" i="2" s="1"/>
  <c r="B293" i="2" s="1"/>
  <c r="B335" i="2" s="1"/>
  <c r="A167" i="2"/>
  <c r="A209" i="2" s="1"/>
  <c r="A251" i="2" s="1"/>
  <c r="A293" i="2" s="1"/>
  <c r="A335" i="2" s="1"/>
  <c r="M166" i="2"/>
  <c r="L166" i="2"/>
  <c r="K166" i="2"/>
  <c r="J166" i="2"/>
  <c r="I166" i="2"/>
  <c r="H166" i="2"/>
  <c r="G166" i="2"/>
  <c r="F166" i="2"/>
  <c r="E166" i="2"/>
  <c r="D166" i="2"/>
  <c r="B166" i="2"/>
  <c r="B208" i="2" s="1"/>
  <c r="B250" i="2" s="1"/>
  <c r="B292" i="2" s="1"/>
  <c r="B334" i="2" s="1"/>
  <c r="A166" i="2"/>
  <c r="A208" i="2" s="1"/>
  <c r="A250" i="2" s="1"/>
  <c r="A292" i="2" s="1"/>
  <c r="A334" i="2" s="1"/>
  <c r="M165" i="2"/>
  <c r="L165" i="2"/>
  <c r="K165" i="2"/>
  <c r="J165" i="2"/>
  <c r="I165" i="2"/>
  <c r="H165" i="2"/>
  <c r="G165" i="2"/>
  <c r="F165" i="2"/>
  <c r="E165" i="2"/>
  <c r="D165" i="2"/>
  <c r="B165" i="2"/>
  <c r="B207" i="2" s="1"/>
  <c r="B249" i="2" s="1"/>
  <c r="B291" i="2" s="1"/>
  <c r="B333" i="2" s="1"/>
  <c r="A165" i="2"/>
  <c r="A207" i="2" s="1"/>
  <c r="A249" i="2" s="1"/>
  <c r="A291" i="2" s="1"/>
  <c r="A333" i="2" s="1"/>
  <c r="M164" i="2"/>
  <c r="L164" i="2"/>
  <c r="K164" i="2"/>
  <c r="J164" i="2"/>
  <c r="I164" i="2"/>
  <c r="H164" i="2"/>
  <c r="G164" i="2"/>
  <c r="F164" i="2"/>
  <c r="E164" i="2"/>
  <c r="D164" i="2"/>
  <c r="B164" i="2"/>
  <c r="B206" i="2" s="1"/>
  <c r="B248" i="2" s="1"/>
  <c r="B290" i="2" s="1"/>
  <c r="B332" i="2" s="1"/>
  <c r="A164" i="2"/>
  <c r="A206" i="2" s="1"/>
  <c r="A248" i="2" s="1"/>
  <c r="A290" i="2" s="1"/>
  <c r="A332" i="2" s="1"/>
  <c r="M163" i="2"/>
  <c r="L163" i="2"/>
  <c r="K163" i="2"/>
  <c r="J163" i="2"/>
  <c r="I163" i="2"/>
  <c r="H163" i="2"/>
  <c r="G163" i="2"/>
  <c r="F163" i="2"/>
  <c r="E163" i="2"/>
  <c r="D163" i="2"/>
  <c r="B163" i="2"/>
  <c r="B205" i="2" s="1"/>
  <c r="B247" i="2" s="1"/>
  <c r="B289" i="2" s="1"/>
  <c r="B331" i="2" s="1"/>
  <c r="A163" i="2"/>
  <c r="A205" i="2" s="1"/>
  <c r="A247" i="2" s="1"/>
  <c r="A289" i="2" s="1"/>
  <c r="A331" i="2" s="1"/>
  <c r="M162" i="2"/>
  <c r="L162" i="2"/>
  <c r="K162" i="2"/>
  <c r="J162" i="2"/>
  <c r="I162" i="2"/>
  <c r="H162" i="2"/>
  <c r="G162" i="2"/>
  <c r="F162" i="2"/>
  <c r="E162" i="2"/>
  <c r="D162" i="2"/>
  <c r="B162" i="2"/>
  <c r="B204" i="2" s="1"/>
  <c r="B246" i="2" s="1"/>
  <c r="B288" i="2" s="1"/>
  <c r="B330" i="2" s="1"/>
  <c r="A162" i="2"/>
  <c r="A204" i="2" s="1"/>
  <c r="A246" i="2" s="1"/>
  <c r="A288" i="2" s="1"/>
  <c r="A330" i="2" s="1"/>
  <c r="M161" i="2"/>
  <c r="L161" i="2"/>
  <c r="K161" i="2"/>
  <c r="J161" i="2"/>
  <c r="I161" i="2"/>
  <c r="H161" i="2"/>
  <c r="G161" i="2"/>
  <c r="F161" i="2"/>
  <c r="E161" i="2"/>
  <c r="D161" i="2"/>
  <c r="B161" i="2"/>
  <c r="B203" i="2" s="1"/>
  <c r="B245" i="2" s="1"/>
  <c r="B287" i="2" s="1"/>
  <c r="B329" i="2" s="1"/>
  <c r="A161" i="2"/>
  <c r="A203" i="2" s="1"/>
  <c r="A245" i="2" s="1"/>
  <c r="A287" i="2" s="1"/>
  <c r="A329" i="2" s="1"/>
  <c r="M160" i="2"/>
  <c r="L160" i="2"/>
  <c r="K160" i="2"/>
  <c r="J160" i="2"/>
  <c r="I160" i="2"/>
  <c r="H160" i="2"/>
  <c r="G160" i="2"/>
  <c r="F160" i="2"/>
  <c r="E160" i="2"/>
  <c r="D160" i="2"/>
  <c r="B160" i="2"/>
  <c r="B202" i="2" s="1"/>
  <c r="B244" i="2" s="1"/>
  <c r="B286" i="2" s="1"/>
  <c r="B328" i="2" s="1"/>
  <c r="A160" i="2"/>
  <c r="A202" i="2" s="1"/>
  <c r="A244" i="2" s="1"/>
  <c r="A286" i="2" s="1"/>
  <c r="A328" i="2" s="1"/>
  <c r="M159" i="2"/>
  <c r="L159" i="2"/>
  <c r="K159" i="2"/>
  <c r="J159" i="2"/>
  <c r="I159" i="2"/>
  <c r="H159" i="2"/>
  <c r="G159" i="2"/>
  <c r="F159" i="2"/>
  <c r="E159" i="2"/>
  <c r="D159" i="2"/>
  <c r="B159" i="2"/>
  <c r="B201" i="2" s="1"/>
  <c r="B243" i="2" s="1"/>
  <c r="B285" i="2" s="1"/>
  <c r="B327" i="2" s="1"/>
  <c r="A159" i="2"/>
  <c r="A201" i="2" s="1"/>
  <c r="A243" i="2" s="1"/>
  <c r="A285" i="2" s="1"/>
  <c r="A327" i="2" s="1"/>
  <c r="M158" i="2"/>
  <c r="L158" i="2"/>
  <c r="K158" i="2"/>
  <c r="J158" i="2"/>
  <c r="I158" i="2"/>
  <c r="H158" i="2"/>
  <c r="G158" i="2"/>
  <c r="F158" i="2"/>
  <c r="E158" i="2"/>
  <c r="D158" i="2"/>
  <c r="B158" i="2"/>
  <c r="B200" i="2" s="1"/>
  <c r="B242" i="2" s="1"/>
  <c r="B284" i="2" s="1"/>
  <c r="B326" i="2" s="1"/>
  <c r="A158" i="2"/>
  <c r="A200" i="2" s="1"/>
  <c r="A242" i="2" s="1"/>
  <c r="A284" i="2" s="1"/>
  <c r="A326" i="2" s="1"/>
  <c r="M157" i="2"/>
  <c r="L157" i="2"/>
  <c r="K157" i="2"/>
  <c r="J157" i="2"/>
  <c r="I157" i="2"/>
  <c r="H157" i="2"/>
  <c r="G157" i="2"/>
  <c r="F157" i="2"/>
  <c r="E157" i="2"/>
  <c r="D157" i="2"/>
  <c r="B157" i="2"/>
  <c r="B199" i="2" s="1"/>
  <c r="B241" i="2" s="1"/>
  <c r="B283" i="2" s="1"/>
  <c r="B325" i="2" s="1"/>
  <c r="A157" i="2"/>
  <c r="A199" i="2" s="1"/>
  <c r="A241" i="2" s="1"/>
  <c r="A283" i="2" s="1"/>
  <c r="A325" i="2" s="1"/>
  <c r="M156" i="2"/>
  <c r="L156" i="2"/>
  <c r="K156" i="2"/>
  <c r="J156" i="2"/>
  <c r="I156" i="2"/>
  <c r="H156" i="2"/>
  <c r="G156" i="2"/>
  <c r="F156" i="2"/>
  <c r="E156" i="2"/>
  <c r="D156" i="2"/>
  <c r="B156" i="2"/>
  <c r="B198" i="2" s="1"/>
  <c r="B240" i="2" s="1"/>
  <c r="B282" i="2" s="1"/>
  <c r="B324" i="2" s="1"/>
  <c r="A156" i="2"/>
  <c r="A198" i="2" s="1"/>
  <c r="A240" i="2" s="1"/>
  <c r="A282" i="2" s="1"/>
  <c r="A324" i="2" s="1"/>
  <c r="M155" i="2"/>
  <c r="L155" i="2"/>
  <c r="K155" i="2"/>
  <c r="J155" i="2"/>
  <c r="I155" i="2"/>
  <c r="H155" i="2"/>
  <c r="G155" i="2"/>
  <c r="F155" i="2"/>
  <c r="E155" i="2"/>
  <c r="D155" i="2"/>
  <c r="C155" i="2"/>
  <c r="B155" i="2"/>
  <c r="B197" i="2" s="1"/>
  <c r="B239" i="2" s="1"/>
  <c r="B281" i="2" s="1"/>
  <c r="B323" i="2" s="1"/>
  <c r="A155" i="2"/>
  <c r="A197" i="2" s="1"/>
  <c r="A239" i="2" s="1"/>
  <c r="A281" i="2" s="1"/>
  <c r="A323" i="2" s="1"/>
  <c r="M154" i="2"/>
  <c r="L154" i="2"/>
  <c r="K154" i="2"/>
  <c r="J154" i="2"/>
  <c r="I154" i="2"/>
  <c r="H154" i="2"/>
  <c r="G154" i="2"/>
  <c r="F154" i="2"/>
  <c r="E154" i="2"/>
  <c r="D154" i="2"/>
  <c r="B154" i="2"/>
  <c r="B196" i="2" s="1"/>
  <c r="B238" i="2" s="1"/>
  <c r="B280" i="2" s="1"/>
  <c r="B322" i="2" s="1"/>
  <c r="A154" i="2"/>
  <c r="A196" i="2" s="1"/>
  <c r="A238" i="2" s="1"/>
  <c r="A280" i="2" s="1"/>
  <c r="A322" i="2" s="1"/>
  <c r="M153" i="2"/>
  <c r="L153" i="2"/>
  <c r="K153" i="2"/>
  <c r="J153" i="2"/>
  <c r="I153" i="2"/>
  <c r="H153" i="2"/>
  <c r="G153" i="2"/>
  <c r="F153" i="2"/>
  <c r="E153" i="2"/>
  <c r="D153" i="2"/>
  <c r="B153" i="2"/>
  <c r="B195" i="2" s="1"/>
  <c r="B237" i="2" s="1"/>
  <c r="B279" i="2" s="1"/>
  <c r="B321" i="2" s="1"/>
  <c r="A153" i="2"/>
  <c r="A195" i="2" s="1"/>
  <c r="A237" i="2" s="1"/>
  <c r="A279" i="2" s="1"/>
  <c r="A321" i="2" s="1"/>
  <c r="M152" i="2"/>
  <c r="L152" i="2"/>
  <c r="K152" i="2"/>
  <c r="J152" i="2"/>
  <c r="I152" i="2"/>
  <c r="H152" i="2"/>
  <c r="G152" i="2"/>
  <c r="F152" i="2"/>
  <c r="E152" i="2"/>
  <c r="D152" i="2"/>
  <c r="B152" i="2"/>
  <c r="B194" i="2" s="1"/>
  <c r="B236" i="2" s="1"/>
  <c r="B278" i="2" s="1"/>
  <c r="B320" i="2" s="1"/>
  <c r="A152" i="2"/>
  <c r="A194" i="2" s="1"/>
  <c r="A236" i="2" s="1"/>
  <c r="A278" i="2" s="1"/>
  <c r="A320" i="2" s="1"/>
  <c r="M151" i="2"/>
  <c r="L151" i="2"/>
  <c r="K151" i="2"/>
  <c r="J151" i="2"/>
  <c r="I151" i="2"/>
  <c r="H151" i="2"/>
  <c r="G151" i="2"/>
  <c r="F151" i="2"/>
  <c r="E151" i="2"/>
  <c r="D151" i="2"/>
  <c r="B151" i="2"/>
  <c r="B193" i="2" s="1"/>
  <c r="B235" i="2" s="1"/>
  <c r="B277" i="2" s="1"/>
  <c r="B319" i="2" s="1"/>
  <c r="A151" i="2"/>
  <c r="A193" i="2" s="1"/>
  <c r="A235" i="2" s="1"/>
  <c r="A277" i="2" s="1"/>
  <c r="A319" i="2" s="1"/>
  <c r="M150" i="2"/>
  <c r="L150" i="2"/>
  <c r="K150" i="2"/>
  <c r="J150" i="2"/>
  <c r="I150" i="2"/>
  <c r="H150" i="2"/>
  <c r="G150" i="2"/>
  <c r="F150" i="2"/>
  <c r="E150" i="2"/>
  <c r="D150" i="2"/>
  <c r="B150" i="2"/>
  <c r="B192" i="2" s="1"/>
  <c r="B234" i="2" s="1"/>
  <c r="B276" i="2" s="1"/>
  <c r="B318" i="2" s="1"/>
  <c r="A150" i="2"/>
  <c r="A192" i="2" s="1"/>
  <c r="A234" i="2" s="1"/>
  <c r="A276" i="2" s="1"/>
  <c r="A318" i="2" s="1"/>
  <c r="M149" i="2"/>
  <c r="L149" i="2"/>
  <c r="K149" i="2"/>
  <c r="J149" i="2"/>
  <c r="I149" i="2"/>
  <c r="H149" i="2"/>
  <c r="G149" i="2"/>
  <c r="F149" i="2"/>
  <c r="E149" i="2"/>
  <c r="D149" i="2"/>
  <c r="B149" i="2"/>
  <c r="B191" i="2" s="1"/>
  <c r="B233" i="2" s="1"/>
  <c r="B275" i="2" s="1"/>
  <c r="B317" i="2" s="1"/>
  <c r="A149" i="2"/>
  <c r="A191" i="2" s="1"/>
  <c r="A233" i="2" s="1"/>
  <c r="A275" i="2" s="1"/>
  <c r="A317" i="2" s="1"/>
  <c r="M148" i="2"/>
  <c r="L148" i="2"/>
  <c r="K148" i="2"/>
  <c r="J148" i="2"/>
  <c r="I148" i="2"/>
  <c r="H148" i="2"/>
  <c r="G148" i="2"/>
  <c r="F148" i="2"/>
  <c r="E148" i="2"/>
  <c r="D148" i="2"/>
  <c r="B148" i="2"/>
  <c r="B190" i="2" s="1"/>
  <c r="B232" i="2" s="1"/>
  <c r="B274" i="2" s="1"/>
  <c r="B316" i="2" s="1"/>
  <c r="A148" i="2"/>
  <c r="A190" i="2" s="1"/>
  <c r="A232" i="2" s="1"/>
  <c r="A274" i="2" s="1"/>
  <c r="A316" i="2" s="1"/>
  <c r="M147" i="2"/>
  <c r="L147" i="2"/>
  <c r="K147" i="2"/>
  <c r="J147" i="2"/>
  <c r="I147" i="2"/>
  <c r="H147" i="2"/>
  <c r="G147" i="2"/>
  <c r="F147" i="2"/>
  <c r="E147" i="2"/>
  <c r="D147" i="2"/>
  <c r="B147" i="2"/>
  <c r="B189" i="2" s="1"/>
  <c r="B231" i="2" s="1"/>
  <c r="B273" i="2" s="1"/>
  <c r="B315" i="2" s="1"/>
  <c r="A147" i="2"/>
  <c r="A189" i="2" s="1"/>
  <c r="A231" i="2" s="1"/>
  <c r="A273" i="2" s="1"/>
  <c r="A315" i="2" s="1"/>
  <c r="M146" i="2"/>
  <c r="L146" i="2"/>
  <c r="K146" i="2"/>
  <c r="J146" i="2"/>
  <c r="I146" i="2"/>
  <c r="H146" i="2"/>
  <c r="G146" i="2"/>
  <c r="F146" i="2"/>
  <c r="E146" i="2"/>
  <c r="D146" i="2"/>
  <c r="B146" i="2"/>
  <c r="B188" i="2" s="1"/>
  <c r="B230" i="2" s="1"/>
  <c r="B272" i="2" s="1"/>
  <c r="B314" i="2" s="1"/>
  <c r="A146" i="2"/>
  <c r="A188" i="2" s="1"/>
  <c r="A230" i="2" s="1"/>
  <c r="A272" i="2" s="1"/>
  <c r="A314" i="2" s="1"/>
  <c r="M145" i="2"/>
  <c r="L145" i="2"/>
  <c r="K145" i="2"/>
  <c r="J145" i="2"/>
  <c r="I145" i="2"/>
  <c r="H145" i="2"/>
  <c r="G145" i="2"/>
  <c r="F145" i="2"/>
  <c r="E145" i="2"/>
  <c r="D145" i="2"/>
  <c r="B145" i="2"/>
  <c r="B187" i="2" s="1"/>
  <c r="B229" i="2" s="1"/>
  <c r="B271" i="2" s="1"/>
  <c r="B313" i="2" s="1"/>
  <c r="A145" i="2"/>
  <c r="A187" i="2" s="1"/>
  <c r="A229" i="2" s="1"/>
  <c r="A271" i="2" s="1"/>
  <c r="A313" i="2" s="1"/>
  <c r="M144" i="2"/>
  <c r="L144" i="2"/>
  <c r="K144" i="2"/>
  <c r="J144" i="2"/>
  <c r="I144" i="2"/>
  <c r="H144" i="2"/>
  <c r="G144" i="2"/>
  <c r="F144" i="2"/>
  <c r="E144" i="2"/>
  <c r="D144" i="2"/>
  <c r="B144" i="2"/>
  <c r="B186" i="2" s="1"/>
  <c r="B228" i="2" s="1"/>
  <c r="B270" i="2" s="1"/>
  <c r="B312" i="2" s="1"/>
  <c r="A144" i="2"/>
  <c r="A186" i="2" s="1"/>
  <c r="A228" i="2" s="1"/>
  <c r="A270" i="2" s="1"/>
  <c r="A312" i="2" s="1"/>
  <c r="M143" i="2"/>
  <c r="L143" i="2"/>
  <c r="K143" i="2"/>
  <c r="J143" i="2"/>
  <c r="I143" i="2"/>
  <c r="H143" i="2"/>
  <c r="G143" i="2"/>
  <c r="F143" i="2"/>
  <c r="E143" i="2"/>
  <c r="D143" i="2"/>
  <c r="B143" i="2"/>
  <c r="B185" i="2" s="1"/>
  <c r="B227" i="2" s="1"/>
  <c r="B269" i="2" s="1"/>
  <c r="B311" i="2" s="1"/>
  <c r="A143" i="2"/>
  <c r="A185" i="2" s="1"/>
  <c r="A227" i="2" s="1"/>
  <c r="A269" i="2" s="1"/>
  <c r="A311" i="2" s="1"/>
  <c r="M142" i="2"/>
  <c r="L142" i="2"/>
  <c r="K142" i="2"/>
  <c r="J142" i="2"/>
  <c r="I142" i="2"/>
  <c r="H142" i="2"/>
  <c r="G142" i="2"/>
  <c r="F142" i="2"/>
  <c r="E142" i="2"/>
  <c r="D142" i="2"/>
  <c r="C142" i="2" s="1"/>
  <c r="B142" i="2"/>
  <c r="B184" i="2" s="1"/>
  <c r="B226" i="2" s="1"/>
  <c r="B268" i="2" s="1"/>
  <c r="B310" i="2" s="1"/>
  <c r="A142" i="2"/>
  <c r="A184" i="2" s="1"/>
  <c r="A226" i="2" s="1"/>
  <c r="A268" i="2" s="1"/>
  <c r="A310" i="2" s="1"/>
  <c r="M141" i="2"/>
  <c r="L141" i="2"/>
  <c r="K141" i="2"/>
  <c r="J141" i="2"/>
  <c r="I141" i="2"/>
  <c r="H141" i="2"/>
  <c r="G141" i="2"/>
  <c r="F141" i="2"/>
  <c r="E141" i="2"/>
  <c r="D141" i="2"/>
  <c r="B141" i="2"/>
  <c r="B183" i="2" s="1"/>
  <c r="B225" i="2" s="1"/>
  <c r="B267" i="2" s="1"/>
  <c r="B309" i="2" s="1"/>
  <c r="A141" i="2"/>
  <c r="A183" i="2" s="1"/>
  <c r="A225" i="2" s="1"/>
  <c r="A267" i="2" s="1"/>
  <c r="A309" i="2" s="1"/>
  <c r="M140" i="2"/>
  <c r="M178" i="2" s="1"/>
  <c r="L140" i="2"/>
  <c r="L178" i="2" s="1"/>
  <c r="K140" i="2"/>
  <c r="K178" i="2" s="1"/>
  <c r="J140" i="2"/>
  <c r="J178" i="2" s="1"/>
  <c r="I140" i="2"/>
  <c r="I178" i="2" s="1"/>
  <c r="H140" i="2"/>
  <c r="H178" i="2" s="1"/>
  <c r="G140" i="2"/>
  <c r="G178" i="2" s="1"/>
  <c r="F140" i="2"/>
  <c r="F178" i="2" s="1"/>
  <c r="E140" i="2"/>
  <c r="E178" i="2" s="1"/>
  <c r="D140" i="2"/>
  <c r="D178" i="2" s="1"/>
  <c r="B140" i="2"/>
  <c r="B182" i="2" s="1"/>
  <c r="B224" i="2" s="1"/>
  <c r="B266" i="2" s="1"/>
  <c r="B308" i="2" s="1"/>
  <c r="A140" i="2"/>
  <c r="A182" i="2" s="1"/>
  <c r="A224" i="2" s="1"/>
  <c r="A266" i="2" s="1"/>
  <c r="A308" i="2" s="1"/>
  <c r="B127" i="2"/>
  <c r="A127" i="2"/>
  <c r="B126" i="2"/>
  <c r="A126" i="2"/>
  <c r="B125" i="2"/>
  <c r="A125" i="2"/>
  <c r="B124" i="2"/>
  <c r="A124" i="2"/>
  <c r="B123" i="2"/>
  <c r="A123" i="2"/>
  <c r="B122" i="2"/>
  <c r="A122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M85" i="2"/>
  <c r="L85" i="2"/>
  <c r="K85" i="2"/>
  <c r="J85" i="2"/>
  <c r="I85" i="2"/>
  <c r="H85" i="2"/>
  <c r="G85" i="2"/>
  <c r="F85" i="2"/>
  <c r="E85" i="2"/>
  <c r="D85" i="2"/>
  <c r="B85" i="2"/>
  <c r="A85" i="2"/>
  <c r="M84" i="2"/>
  <c r="L84" i="2"/>
  <c r="K84" i="2"/>
  <c r="J84" i="2"/>
  <c r="I84" i="2"/>
  <c r="H84" i="2"/>
  <c r="G84" i="2"/>
  <c r="F84" i="2"/>
  <c r="E84" i="2"/>
  <c r="D84" i="2"/>
  <c r="B84" i="2"/>
  <c r="A84" i="2"/>
  <c r="M83" i="2"/>
  <c r="L83" i="2"/>
  <c r="K83" i="2"/>
  <c r="J83" i="2"/>
  <c r="I83" i="2"/>
  <c r="H83" i="2"/>
  <c r="G83" i="2"/>
  <c r="F83" i="2"/>
  <c r="E83" i="2"/>
  <c r="D83" i="2"/>
  <c r="B83" i="2"/>
  <c r="A83" i="2"/>
  <c r="M82" i="2"/>
  <c r="L82" i="2"/>
  <c r="K82" i="2"/>
  <c r="J82" i="2"/>
  <c r="I82" i="2"/>
  <c r="H82" i="2"/>
  <c r="G82" i="2"/>
  <c r="F82" i="2"/>
  <c r="E82" i="2"/>
  <c r="D82" i="2"/>
  <c r="B82" i="2"/>
  <c r="A82" i="2"/>
  <c r="M81" i="2"/>
  <c r="L81" i="2"/>
  <c r="K81" i="2"/>
  <c r="J81" i="2"/>
  <c r="I81" i="2"/>
  <c r="H81" i="2"/>
  <c r="G81" i="2"/>
  <c r="F81" i="2"/>
  <c r="E81" i="2"/>
  <c r="D81" i="2"/>
  <c r="B81" i="2"/>
  <c r="A81" i="2"/>
  <c r="M80" i="2"/>
  <c r="L80" i="2"/>
  <c r="K80" i="2"/>
  <c r="J80" i="2"/>
  <c r="I80" i="2"/>
  <c r="H80" i="2"/>
  <c r="G80" i="2"/>
  <c r="F80" i="2"/>
  <c r="E80" i="2"/>
  <c r="D80" i="2"/>
  <c r="B80" i="2"/>
  <c r="A80" i="2"/>
  <c r="M79" i="2"/>
  <c r="L79" i="2"/>
  <c r="K79" i="2"/>
  <c r="J79" i="2"/>
  <c r="I79" i="2"/>
  <c r="H79" i="2"/>
  <c r="G79" i="2"/>
  <c r="F79" i="2"/>
  <c r="E79" i="2"/>
  <c r="D79" i="2"/>
  <c r="B79" i="2"/>
  <c r="A79" i="2"/>
  <c r="M78" i="2"/>
  <c r="L78" i="2"/>
  <c r="K78" i="2"/>
  <c r="J78" i="2"/>
  <c r="I78" i="2"/>
  <c r="H78" i="2"/>
  <c r="G78" i="2"/>
  <c r="F78" i="2"/>
  <c r="E78" i="2"/>
  <c r="D78" i="2"/>
  <c r="B78" i="2"/>
  <c r="A78" i="2"/>
  <c r="M77" i="2"/>
  <c r="L77" i="2"/>
  <c r="K77" i="2"/>
  <c r="J77" i="2"/>
  <c r="I77" i="2"/>
  <c r="H77" i="2"/>
  <c r="G77" i="2"/>
  <c r="F77" i="2"/>
  <c r="E77" i="2"/>
  <c r="D77" i="2"/>
  <c r="B77" i="2"/>
  <c r="A77" i="2"/>
  <c r="M76" i="2"/>
  <c r="L76" i="2"/>
  <c r="K76" i="2"/>
  <c r="J76" i="2"/>
  <c r="I76" i="2"/>
  <c r="H76" i="2"/>
  <c r="G76" i="2"/>
  <c r="F76" i="2"/>
  <c r="E76" i="2"/>
  <c r="D76" i="2"/>
  <c r="B76" i="2"/>
  <c r="A76" i="2"/>
  <c r="M75" i="2"/>
  <c r="L75" i="2"/>
  <c r="K75" i="2"/>
  <c r="J75" i="2"/>
  <c r="I75" i="2"/>
  <c r="H75" i="2"/>
  <c r="G75" i="2"/>
  <c r="F75" i="2"/>
  <c r="E75" i="2"/>
  <c r="D75" i="2"/>
  <c r="B75" i="2"/>
  <c r="A75" i="2"/>
  <c r="M74" i="2"/>
  <c r="K74" i="2"/>
  <c r="J74" i="2"/>
  <c r="I74" i="2"/>
  <c r="H74" i="2"/>
  <c r="G74" i="2"/>
  <c r="F74" i="2"/>
  <c r="E74" i="2"/>
  <c r="D74" i="2"/>
  <c r="B74" i="2"/>
  <c r="A74" i="2"/>
  <c r="M73" i="2"/>
  <c r="L73" i="2"/>
  <c r="K73" i="2"/>
  <c r="J73" i="2"/>
  <c r="I73" i="2"/>
  <c r="H73" i="2"/>
  <c r="G73" i="2"/>
  <c r="F73" i="2"/>
  <c r="E73" i="2"/>
  <c r="D73" i="2"/>
  <c r="B73" i="2"/>
  <c r="A73" i="2"/>
  <c r="M72" i="2"/>
  <c r="L72" i="2"/>
  <c r="K72" i="2"/>
  <c r="J72" i="2"/>
  <c r="I72" i="2"/>
  <c r="H72" i="2"/>
  <c r="G72" i="2"/>
  <c r="F72" i="2"/>
  <c r="E72" i="2"/>
  <c r="D72" i="2"/>
  <c r="B72" i="2"/>
  <c r="A72" i="2"/>
  <c r="M71" i="2"/>
  <c r="L71" i="2"/>
  <c r="K71" i="2"/>
  <c r="J71" i="2"/>
  <c r="I71" i="2"/>
  <c r="H71" i="2"/>
  <c r="G71" i="2"/>
  <c r="F71" i="2"/>
  <c r="E71" i="2"/>
  <c r="D71" i="2"/>
  <c r="B71" i="2"/>
  <c r="A71" i="2"/>
  <c r="M70" i="2"/>
  <c r="L70" i="2"/>
  <c r="K70" i="2"/>
  <c r="J70" i="2"/>
  <c r="I70" i="2"/>
  <c r="H70" i="2"/>
  <c r="G70" i="2"/>
  <c r="F70" i="2"/>
  <c r="E70" i="2"/>
  <c r="D70" i="2"/>
  <c r="B70" i="2"/>
  <c r="A70" i="2"/>
  <c r="M69" i="2"/>
  <c r="L69" i="2"/>
  <c r="K69" i="2"/>
  <c r="J69" i="2"/>
  <c r="I69" i="2"/>
  <c r="H69" i="2"/>
  <c r="G69" i="2"/>
  <c r="F69" i="2"/>
  <c r="E69" i="2"/>
  <c r="D69" i="2"/>
  <c r="B69" i="2"/>
  <c r="A69" i="2"/>
  <c r="M68" i="2"/>
  <c r="L68" i="2"/>
  <c r="K68" i="2"/>
  <c r="J68" i="2"/>
  <c r="I68" i="2"/>
  <c r="H68" i="2"/>
  <c r="G68" i="2"/>
  <c r="F68" i="2"/>
  <c r="E68" i="2"/>
  <c r="D68" i="2"/>
  <c r="B68" i="2"/>
  <c r="A68" i="2"/>
  <c r="M67" i="2"/>
  <c r="L67" i="2"/>
  <c r="K67" i="2"/>
  <c r="J67" i="2"/>
  <c r="I67" i="2"/>
  <c r="H67" i="2"/>
  <c r="G67" i="2"/>
  <c r="F67" i="2"/>
  <c r="E67" i="2"/>
  <c r="D67" i="2"/>
  <c r="B67" i="2"/>
  <c r="A67" i="2"/>
  <c r="M66" i="2"/>
  <c r="L66" i="2"/>
  <c r="K66" i="2"/>
  <c r="J66" i="2"/>
  <c r="I66" i="2"/>
  <c r="H66" i="2"/>
  <c r="G66" i="2"/>
  <c r="F66" i="2"/>
  <c r="E66" i="2"/>
  <c r="D66" i="2"/>
  <c r="B66" i="2"/>
  <c r="A66" i="2"/>
  <c r="M65" i="2"/>
  <c r="L65" i="2"/>
  <c r="K65" i="2"/>
  <c r="J65" i="2"/>
  <c r="I65" i="2"/>
  <c r="H65" i="2"/>
  <c r="G65" i="2"/>
  <c r="F65" i="2"/>
  <c r="E65" i="2"/>
  <c r="D65" i="2"/>
  <c r="B65" i="2"/>
  <c r="A65" i="2"/>
  <c r="M64" i="2"/>
  <c r="L64" i="2"/>
  <c r="K64" i="2"/>
  <c r="J64" i="2"/>
  <c r="I64" i="2"/>
  <c r="H64" i="2"/>
  <c r="G64" i="2"/>
  <c r="F64" i="2"/>
  <c r="E64" i="2"/>
  <c r="D64" i="2"/>
  <c r="B64" i="2"/>
  <c r="A64" i="2"/>
  <c r="M63" i="2"/>
  <c r="L63" i="2"/>
  <c r="K63" i="2"/>
  <c r="J63" i="2"/>
  <c r="I63" i="2"/>
  <c r="H63" i="2"/>
  <c r="G63" i="2"/>
  <c r="F63" i="2"/>
  <c r="E63" i="2"/>
  <c r="D63" i="2"/>
  <c r="B63" i="2"/>
  <c r="A63" i="2"/>
  <c r="M62" i="2"/>
  <c r="L62" i="2"/>
  <c r="K62" i="2"/>
  <c r="J62" i="2"/>
  <c r="I62" i="2"/>
  <c r="H62" i="2"/>
  <c r="G62" i="2"/>
  <c r="F62" i="2"/>
  <c r="E62" i="2"/>
  <c r="D62" i="2"/>
  <c r="B62" i="2"/>
  <c r="A62" i="2"/>
  <c r="M61" i="2"/>
  <c r="L61" i="2"/>
  <c r="K61" i="2"/>
  <c r="J61" i="2"/>
  <c r="I61" i="2"/>
  <c r="H61" i="2"/>
  <c r="G61" i="2"/>
  <c r="F61" i="2"/>
  <c r="E61" i="2"/>
  <c r="D61" i="2"/>
  <c r="B61" i="2"/>
  <c r="A61" i="2"/>
  <c r="M60" i="2"/>
  <c r="L60" i="2"/>
  <c r="K60" i="2"/>
  <c r="J60" i="2"/>
  <c r="I60" i="2"/>
  <c r="H60" i="2"/>
  <c r="G60" i="2"/>
  <c r="F60" i="2"/>
  <c r="E60" i="2"/>
  <c r="D60" i="2"/>
  <c r="B60" i="2"/>
  <c r="A60" i="2"/>
  <c r="M59" i="2"/>
  <c r="L59" i="2"/>
  <c r="K59" i="2"/>
  <c r="J59" i="2"/>
  <c r="I59" i="2"/>
  <c r="H59" i="2"/>
  <c r="G59" i="2"/>
  <c r="F59" i="2"/>
  <c r="E59" i="2"/>
  <c r="D59" i="2"/>
  <c r="B59" i="2"/>
  <c r="A59" i="2"/>
  <c r="K58" i="2"/>
  <c r="F58" i="2"/>
  <c r="E58" i="2"/>
  <c r="D58" i="2"/>
  <c r="B58" i="2"/>
  <c r="A58" i="2"/>
  <c r="M57" i="2"/>
  <c r="L57" i="2"/>
  <c r="K57" i="2"/>
  <c r="J57" i="2"/>
  <c r="I57" i="2"/>
  <c r="H57" i="2"/>
  <c r="G57" i="2"/>
  <c r="F57" i="2"/>
  <c r="E57" i="2"/>
  <c r="D57" i="2"/>
  <c r="B57" i="2"/>
  <c r="A57" i="2"/>
  <c r="M56" i="2"/>
  <c r="L56" i="2"/>
  <c r="K56" i="2"/>
  <c r="J56" i="2"/>
  <c r="I56" i="2"/>
  <c r="H56" i="2"/>
  <c r="G56" i="2"/>
  <c r="F56" i="2"/>
  <c r="E56" i="2"/>
  <c r="D56" i="2"/>
  <c r="B56" i="2"/>
  <c r="A56" i="2"/>
  <c r="M55" i="2"/>
  <c r="L55" i="2"/>
  <c r="K55" i="2"/>
  <c r="J55" i="2"/>
  <c r="I55" i="2"/>
  <c r="H55" i="2"/>
  <c r="G55" i="2"/>
  <c r="F55" i="2"/>
  <c r="E55" i="2"/>
  <c r="D55" i="2"/>
  <c r="B55" i="2"/>
  <c r="A55" i="2"/>
  <c r="M54" i="2"/>
  <c r="L54" i="2"/>
  <c r="K54" i="2"/>
  <c r="J54" i="2"/>
  <c r="I54" i="2"/>
  <c r="H54" i="2"/>
  <c r="G54" i="2"/>
  <c r="F54" i="2"/>
  <c r="E54" i="2"/>
  <c r="D54" i="2"/>
  <c r="B54" i="2"/>
  <c r="A54" i="2"/>
  <c r="M53" i="2"/>
  <c r="L53" i="2"/>
  <c r="K53" i="2"/>
  <c r="J53" i="2"/>
  <c r="I53" i="2"/>
  <c r="H53" i="2"/>
  <c r="G53" i="2"/>
  <c r="F53" i="2"/>
  <c r="E53" i="2"/>
  <c r="D53" i="2"/>
  <c r="B53" i="2"/>
  <c r="A53" i="2"/>
  <c r="M52" i="2"/>
  <c r="L52" i="2"/>
  <c r="K52" i="2"/>
  <c r="J52" i="2"/>
  <c r="I52" i="2"/>
  <c r="H52" i="2"/>
  <c r="G52" i="2"/>
  <c r="F52" i="2"/>
  <c r="E52" i="2"/>
  <c r="D52" i="2"/>
  <c r="B52" i="2"/>
  <c r="A52" i="2"/>
  <c r="M51" i="2"/>
  <c r="L51" i="2"/>
  <c r="K51" i="2"/>
  <c r="J51" i="2"/>
  <c r="I51" i="2"/>
  <c r="H51" i="2"/>
  <c r="G51" i="2"/>
  <c r="F51" i="2"/>
  <c r="E51" i="2"/>
  <c r="D51" i="2"/>
  <c r="B51" i="2"/>
  <c r="A51" i="2"/>
  <c r="M50" i="2"/>
  <c r="L50" i="2"/>
  <c r="K50" i="2"/>
  <c r="J50" i="2"/>
  <c r="I50" i="2"/>
  <c r="H50" i="2"/>
  <c r="G50" i="2"/>
  <c r="F50" i="2"/>
  <c r="E50" i="2"/>
  <c r="D50" i="2"/>
  <c r="B50" i="2"/>
  <c r="A50" i="2"/>
  <c r="M49" i="2"/>
  <c r="L49" i="2"/>
  <c r="K49" i="2"/>
  <c r="J49" i="2"/>
  <c r="I49" i="2"/>
  <c r="H49" i="2"/>
  <c r="G49" i="2"/>
  <c r="F49" i="2"/>
  <c r="E49" i="2"/>
  <c r="D49" i="2"/>
  <c r="B49" i="2"/>
  <c r="A49" i="2"/>
  <c r="M48" i="2"/>
  <c r="L48" i="2"/>
  <c r="K48" i="2"/>
  <c r="K86" i="2" s="1"/>
  <c r="J48" i="2"/>
  <c r="I48" i="2"/>
  <c r="H48" i="2"/>
  <c r="G48" i="2"/>
  <c r="F48" i="2"/>
  <c r="E48" i="2"/>
  <c r="E86" i="2" s="1"/>
  <c r="D48" i="2"/>
  <c r="B48" i="2"/>
  <c r="A48" i="2"/>
  <c r="F86" i="2" l="1"/>
  <c r="C91" i="2"/>
  <c r="C99" i="2"/>
  <c r="C146" i="2"/>
  <c r="C143" i="2"/>
  <c r="C145" i="2"/>
  <c r="C147" i="2"/>
  <c r="C148" i="2"/>
  <c r="C149" i="2"/>
  <c r="C150" i="2"/>
  <c r="C151" i="2"/>
  <c r="C152" i="2"/>
  <c r="C153" i="2"/>
  <c r="C107" i="2"/>
  <c r="C101" i="2"/>
  <c r="C104" i="2"/>
  <c r="C108" i="2"/>
  <c r="C119" i="2"/>
  <c r="C124" i="2"/>
  <c r="C93" i="2"/>
  <c r="C141" i="2"/>
  <c r="C156" i="2"/>
  <c r="C158" i="2"/>
  <c r="C159" i="2"/>
  <c r="C160" i="2"/>
  <c r="C161" i="2"/>
  <c r="C162" i="2"/>
  <c r="C163" i="2"/>
  <c r="C165" i="2"/>
  <c r="C168" i="2"/>
  <c r="C170" i="2"/>
  <c r="C171" i="2"/>
  <c r="C174" i="2"/>
  <c r="C176" i="2"/>
  <c r="C92" i="2"/>
  <c r="C117" i="2"/>
  <c r="C112" i="2"/>
  <c r="C111" i="2"/>
  <c r="C120" i="2"/>
  <c r="C127" i="2"/>
  <c r="C114" i="2"/>
  <c r="C106" i="2"/>
  <c r="C98" i="2"/>
  <c r="C95" i="2"/>
  <c r="C118" i="2"/>
  <c r="C102" i="2"/>
  <c r="C94" i="2"/>
  <c r="C105" i="2"/>
  <c r="C109" i="2"/>
  <c r="C122" i="2"/>
  <c r="C179" i="5"/>
  <c r="D86" i="5"/>
  <c r="C86" i="4"/>
  <c r="R86" i="4"/>
  <c r="C87" i="3"/>
  <c r="C140" i="2"/>
  <c r="C154" i="2"/>
  <c r="C172" i="2"/>
  <c r="C157" i="2"/>
  <c r="C75" i="2"/>
  <c r="P75" i="2" s="1"/>
  <c r="C76" i="2"/>
  <c r="P76" i="2" s="1"/>
  <c r="C77" i="2"/>
  <c r="P77" i="2" s="1"/>
  <c r="C78" i="2"/>
  <c r="P78" i="2" s="1"/>
  <c r="C79" i="2"/>
  <c r="P79" i="2" s="1"/>
  <c r="C80" i="2"/>
  <c r="P80" i="2" s="1"/>
  <c r="C81" i="2"/>
  <c r="P81" i="2" s="1"/>
  <c r="C82" i="2"/>
  <c r="P82" i="2" s="1"/>
  <c r="C83" i="2"/>
  <c r="P83" i="2" s="1"/>
  <c r="C84" i="2"/>
  <c r="P84" i="2" s="1"/>
  <c r="C85" i="2"/>
  <c r="P85" i="2" s="1"/>
  <c r="C166" i="2"/>
  <c r="C173" i="2"/>
  <c r="C49" i="2"/>
  <c r="P49" i="2" s="1"/>
  <c r="C50" i="2"/>
  <c r="P50" i="2" s="1"/>
  <c r="C51" i="2"/>
  <c r="P51" i="2" s="1"/>
  <c r="C52" i="2"/>
  <c r="P52" i="2" s="1"/>
  <c r="C53" i="2"/>
  <c r="P53" i="2" s="1"/>
  <c r="C54" i="2"/>
  <c r="P54" i="2" s="1"/>
  <c r="C55" i="2"/>
  <c r="P55" i="2" s="1"/>
  <c r="C56" i="2"/>
  <c r="P56" i="2" s="1"/>
  <c r="C57" i="2"/>
  <c r="P57" i="2" s="1"/>
  <c r="C59" i="2"/>
  <c r="P59" i="2" s="1"/>
  <c r="C60" i="2"/>
  <c r="P60" i="2" s="1"/>
  <c r="C61" i="2"/>
  <c r="P61" i="2" s="1"/>
  <c r="C177" i="2"/>
  <c r="C144" i="2"/>
  <c r="C167" i="2"/>
  <c r="C175" i="2"/>
  <c r="L74" i="2"/>
  <c r="I58" i="2"/>
  <c r="M58" i="2"/>
  <c r="C62" i="2"/>
  <c r="P62" i="2" s="1"/>
  <c r="C63" i="2"/>
  <c r="P63" i="2" s="1"/>
  <c r="C64" i="2"/>
  <c r="P64" i="2" s="1"/>
  <c r="C65" i="2"/>
  <c r="P65" i="2" s="1"/>
  <c r="C66" i="2"/>
  <c r="P66" i="2" s="1"/>
  <c r="C67" i="2"/>
  <c r="P67" i="2" s="1"/>
  <c r="C68" i="2"/>
  <c r="P68" i="2" s="1"/>
  <c r="C69" i="2"/>
  <c r="P69" i="2" s="1"/>
  <c r="C70" i="2"/>
  <c r="P70" i="2" s="1"/>
  <c r="C71" i="2"/>
  <c r="P71" i="2" s="1"/>
  <c r="C72" i="2"/>
  <c r="P72" i="2" s="1"/>
  <c r="C73" i="2"/>
  <c r="P73" i="2" s="1"/>
  <c r="C164" i="2"/>
  <c r="C169" i="2"/>
  <c r="G58" i="2"/>
  <c r="C100" i="2"/>
  <c r="I86" i="2"/>
  <c r="C74" i="2"/>
  <c r="P74" i="2" s="1"/>
  <c r="C48" i="2"/>
  <c r="P48" i="2" s="1"/>
  <c r="M86" i="2"/>
  <c r="D86" i="2"/>
  <c r="H58" i="2"/>
  <c r="J58" i="2"/>
  <c r="L58" i="2"/>
  <c r="H42" i="4" l="1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L41" i="4"/>
  <c r="F41" i="4"/>
  <c r="L39" i="4"/>
  <c r="F39" i="4"/>
  <c r="L37" i="4"/>
  <c r="F37" i="4"/>
  <c r="K35" i="4"/>
  <c r="O33" i="4"/>
  <c r="M33" i="4"/>
  <c r="G33" i="4"/>
  <c r="E33" i="4"/>
  <c r="K31" i="4"/>
  <c r="O29" i="4"/>
  <c r="M29" i="4"/>
  <c r="G29" i="4"/>
  <c r="E29" i="4"/>
  <c r="K27" i="4"/>
  <c r="K25" i="4"/>
  <c r="O24" i="4"/>
  <c r="K24" i="4"/>
  <c r="E24" i="4"/>
  <c r="O23" i="4"/>
  <c r="M23" i="4"/>
  <c r="G23" i="4"/>
  <c r="E23" i="4"/>
  <c r="K21" i="4"/>
  <c r="O20" i="4"/>
  <c r="K20" i="4"/>
  <c r="E20" i="4"/>
  <c r="O19" i="4"/>
  <c r="M19" i="4"/>
  <c r="G19" i="4"/>
  <c r="E19" i="4"/>
  <c r="K17" i="4"/>
  <c r="O16" i="4"/>
  <c r="K16" i="4"/>
  <c r="E16" i="4"/>
  <c r="K15" i="4"/>
  <c r="M13" i="4"/>
  <c r="G13" i="4"/>
  <c r="E13" i="4"/>
  <c r="M12" i="4"/>
  <c r="K11" i="4"/>
  <c r="M9" i="4"/>
  <c r="G9" i="4"/>
  <c r="E9" i="4"/>
  <c r="M8" i="4"/>
  <c r="K7" i="4"/>
  <c r="M5" i="4"/>
  <c r="G5" i="4"/>
  <c r="E5" i="4"/>
  <c r="L42" i="4"/>
  <c r="F42" i="4"/>
  <c r="N41" i="4"/>
  <c r="J41" i="4"/>
  <c r="D41" i="4"/>
  <c r="L40" i="4"/>
  <c r="F40" i="4"/>
  <c r="N39" i="4"/>
  <c r="J39" i="4"/>
  <c r="D39" i="4"/>
  <c r="L38" i="4"/>
  <c r="F38" i="4"/>
  <c r="N37" i="4"/>
  <c r="J37" i="4"/>
  <c r="D37" i="4"/>
  <c r="L36" i="4"/>
  <c r="F36" i="4"/>
  <c r="N35" i="4"/>
  <c r="L35" i="4"/>
  <c r="J35" i="4"/>
  <c r="F35" i="4"/>
  <c r="D35" i="4"/>
  <c r="L34" i="4"/>
  <c r="J34" i="4"/>
  <c r="F34" i="4"/>
  <c r="N33" i="4"/>
  <c r="L33" i="4"/>
  <c r="J33" i="4"/>
  <c r="F33" i="4"/>
  <c r="D33" i="4"/>
  <c r="L32" i="4"/>
  <c r="J32" i="4"/>
  <c r="F32" i="4"/>
  <c r="N31" i="4"/>
  <c r="L31" i="4"/>
  <c r="J31" i="4"/>
  <c r="F31" i="4"/>
  <c r="D31" i="4"/>
  <c r="L30" i="4"/>
  <c r="J30" i="4"/>
  <c r="F30" i="4"/>
  <c r="N29" i="4"/>
  <c r="L29" i="4"/>
  <c r="J29" i="4"/>
  <c r="F29" i="4"/>
  <c r="D29" i="4"/>
  <c r="L28" i="4"/>
  <c r="J28" i="4"/>
  <c r="F28" i="4"/>
  <c r="N27" i="4"/>
  <c r="L27" i="4"/>
  <c r="J27" i="4"/>
  <c r="F27" i="4"/>
  <c r="D27" i="4"/>
  <c r="L26" i="4"/>
  <c r="J26" i="4"/>
  <c r="F26" i="4"/>
  <c r="N25" i="4"/>
  <c r="L25" i="4"/>
  <c r="J25" i="4"/>
  <c r="F25" i="4"/>
  <c r="D25" i="4"/>
  <c r="L24" i="4"/>
  <c r="J24" i="4"/>
  <c r="F24" i="4"/>
  <c r="N23" i="4"/>
  <c r="L23" i="4"/>
  <c r="J23" i="4"/>
  <c r="F23" i="4"/>
  <c r="D23" i="4"/>
  <c r="L22" i="4"/>
  <c r="J22" i="4"/>
  <c r="F22" i="4"/>
  <c r="N21" i="4"/>
  <c r="L21" i="4"/>
  <c r="J21" i="4"/>
  <c r="F21" i="4"/>
  <c r="D21" i="4"/>
  <c r="L20" i="4"/>
  <c r="J20" i="4"/>
  <c r="F20" i="4"/>
  <c r="N19" i="4"/>
  <c r="L19" i="4"/>
  <c r="J19" i="4"/>
  <c r="F19" i="4"/>
  <c r="D19" i="4"/>
  <c r="L18" i="4"/>
  <c r="J18" i="4"/>
  <c r="F18" i="4"/>
  <c r="N17" i="4"/>
  <c r="L17" i="4"/>
  <c r="J17" i="4"/>
  <c r="F17" i="4"/>
  <c r="D17" i="4"/>
  <c r="L16" i="4"/>
  <c r="J16" i="4"/>
  <c r="F16" i="4"/>
  <c r="N15" i="4"/>
  <c r="L15" i="4"/>
  <c r="F15" i="4"/>
  <c r="D15" i="4"/>
  <c r="N14" i="4"/>
  <c r="L14" i="4"/>
  <c r="J14" i="4"/>
  <c r="F14" i="4"/>
  <c r="N13" i="4"/>
  <c r="L13" i="4"/>
  <c r="J13" i="4"/>
  <c r="F13" i="4"/>
  <c r="D13" i="4"/>
  <c r="N12" i="4"/>
  <c r="L12" i="4"/>
  <c r="J12" i="4"/>
  <c r="F12" i="4"/>
  <c r="N11" i="4"/>
  <c r="L11" i="4"/>
  <c r="J11" i="4"/>
  <c r="F11" i="4"/>
  <c r="D11" i="4"/>
  <c r="N10" i="4"/>
  <c r="L10" i="4"/>
  <c r="J10" i="4"/>
  <c r="F10" i="4"/>
  <c r="N9" i="4"/>
  <c r="L9" i="4"/>
  <c r="J9" i="4"/>
  <c r="F9" i="4"/>
  <c r="D9" i="4"/>
  <c r="N8" i="4"/>
  <c r="L8" i="4"/>
  <c r="J8" i="4"/>
  <c r="F8" i="4"/>
  <c r="N7" i="4"/>
  <c r="L7" i="4"/>
  <c r="J7" i="4"/>
  <c r="F7" i="4"/>
  <c r="D7" i="4"/>
  <c r="N6" i="4"/>
  <c r="L6" i="4"/>
  <c r="J6" i="4"/>
  <c r="F6" i="4"/>
  <c r="N5" i="4"/>
  <c r="L5" i="4"/>
  <c r="J5" i="4"/>
  <c r="F5" i="4"/>
  <c r="F43" i="4" s="1"/>
  <c r="D5" i="4"/>
  <c r="M6" i="4"/>
  <c r="K9" i="4"/>
  <c r="E12" i="4"/>
  <c r="M14" i="4"/>
  <c r="G15" i="4"/>
  <c r="G16" i="4"/>
  <c r="E17" i="4"/>
  <c r="M17" i="4"/>
  <c r="K18" i="4"/>
  <c r="O22" i="4"/>
  <c r="M24" i="4"/>
  <c r="G25" i="4"/>
  <c r="O25" i="4"/>
  <c r="M26" i="4"/>
  <c r="G28" i="4"/>
  <c r="K30" i="4"/>
  <c r="E32" i="4"/>
  <c r="O32" i="4"/>
  <c r="M34" i="4"/>
  <c r="J38" i="4"/>
  <c r="J42" i="4"/>
  <c r="O6" i="4"/>
  <c r="O14" i="4"/>
  <c r="M22" i="4"/>
  <c r="G6" i="4"/>
  <c r="G7" i="4"/>
  <c r="O7" i="4"/>
  <c r="O8" i="4"/>
  <c r="E11" i="4"/>
  <c r="M11" i="4"/>
  <c r="K12" i="4"/>
  <c r="G14" i="4"/>
  <c r="O18" i="4"/>
  <c r="M20" i="4"/>
  <c r="G21" i="4"/>
  <c r="O21" i="4"/>
  <c r="E26" i="4"/>
  <c r="G27" i="4"/>
  <c r="O27" i="4"/>
  <c r="G31" i="4"/>
  <c r="O31" i="4"/>
  <c r="G35" i="4"/>
  <c r="O35" i="4"/>
  <c r="O5" i="4"/>
  <c r="G8" i="4"/>
  <c r="K10" i="4"/>
  <c r="O13" i="4"/>
  <c r="E10" i="4"/>
  <c r="G18" i="4"/>
  <c r="G26" i="4"/>
  <c r="K28" i="4"/>
  <c r="E30" i="4"/>
  <c r="O30" i="4"/>
  <c r="M32" i="4"/>
  <c r="G34" i="4"/>
  <c r="K36" i="4"/>
  <c r="E38" i="4"/>
  <c r="O38" i="4"/>
  <c r="M40" i="4"/>
  <c r="G42" i="4"/>
  <c r="E36" i="4"/>
  <c r="O36" i="4"/>
  <c r="K38" i="4"/>
  <c r="E39" i="4"/>
  <c r="M39" i="4"/>
  <c r="E40" i="4"/>
  <c r="O40" i="4"/>
  <c r="K42" i="4"/>
  <c r="K19" i="4"/>
  <c r="K29" i="4"/>
  <c r="E37" i="4"/>
  <c r="M37" i="4"/>
  <c r="K39" i="4"/>
  <c r="E41" i="4"/>
  <c r="M41" i="4"/>
  <c r="E8" i="4"/>
  <c r="M10" i="4"/>
  <c r="K13" i="4"/>
  <c r="E15" i="4"/>
  <c r="M15" i="4"/>
  <c r="M16" i="4"/>
  <c r="G17" i="4"/>
  <c r="O17" i="4"/>
  <c r="E22" i="4"/>
  <c r="G24" i="4"/>
  <c r="E25" i="4"/>
  <c r="M25" i="4"/>
  <c r="K26" i="4"/>
  <c r="E28" i="4"/>
  <c r="O28" i="4"/>
  <c r="M30" i="4"/>
  <c r="G32" i="4"/>
  <c r="K34" i="4"/>
  <c r="J36" i="4"/>
  <c r="J40" i="4"/>
  <c r="E6" i="4"/>
  <c r="E14" i="4"/>
  <c r="G22" i="4"/>
  <c r="E7" i="4"/>
  <c r="M7" i="4"/>
  <c r="K8" i="4"/>
  <c r="G10" i="4"/>
  <c r="G11" i="4"/>
  <c r="O11" i="4"/>
  <c r="O12" i="4"/>
  <c r="E18" i="4"/>
  <c r="G20" i="4"/>
  <c r="E21" i="4"/>
  <c r="M21" i="4"/>
  <c r="K22" i="4"/>
  <c r="E27" i="4"/>
  <c r="M27" i="4"/>
  <c r="E31" i="4"/>
  <c r="M31" i="4"/>
  <c r="E35" i="4"/>
  <c r="M35" i="4"/>
  <c r="K6" i="4"/>
  <c r="O9" i="4"/>
  <c r="G12" i="4"/>
  <c r="K14" i="4"/>
  <c r="O10" i="4"/>
  <c r="M18" i="4"/>
  <c r="O26" i="4"/>
  <c r="M28" i="4"/>
  <c r="G30" i="4"/>
  <c r="K32" i="4"/>
  <c r="E34" i="4"/>
  <c r="O34" i="4"/>
  <c r="M36" i="4"/>
  <c r="G38" i="4"/>
  <c r="K40" i="4"/>
  <c r="E42" i="4"/>
  <c r="O42" i="4"/>
  <c r="G36" i="4"/>
  <c r="K37" i="4"/>
  <c r="M38" i="4"/>
  <c r="G39" i="4"/>
  <c r="O39" i="4"/>
  <c r="G40" i="4"/>
  <c r="K41" i="4"/>
  <c r="M42" i="4"/>
  <c r="K5" i="4"/>
  <c r="K23" i="4"/>
  <c r="K33" i="4"/>
  <c r="G37" i="4"/>
  <c r="O37" i="4"/>
  <c r="G41" i="4"/>
  <c r="O41" i="4"/>
  <c r="N40" i="4"/>
  <c r="N32" i="4"/>
  <c r="N24" i="4"/>
  <c r="N16" i="4"/>
  <c r="N42" i="4"/>
  <c r="N34" i="4"/>
  <c r="N26" i="4"/>
  <c r="N18" i="4"/>
  <c r="D42" i="4"/>
  <c r="C42" i="4" s="1"/>
  <c r="D38" i="4"/>
  <c r="N36" i="4"/>
  <c r="N28" i="4"/>
  <c r="N20" i="4"/>
  <c r="J15" i="4"/>
  <c r="N38" i="4"/>
  <c r="N30" i="4"/>
  <c r="N22" i="4"/>
  <c r="O15" i="4"/>
  <c r="D40" i="4"/>
  <c r="C40" i="4" s="1"/>
  <c r="D36" i="4"/>
  <c r="D34" i="4"/>
  <c r="C34" i="4" s="1"/>
  <c r="D32" i="4"/>
  <c r="D30" i="4"/>
  <c r="C30" i="4" s="1"/>
  <c r="D28" i="4"/>
  <c r="D26" i="4"/>
  <c r="C26" i="4" s="1"/>
  <c r="D24" i="4"/>
  <c r="D22" i="4"/>
  <c r="C22" i="4" s="1"/>
  <c r="D20" i="4"/>
  <c r="D18" i="4"/>
  <c r="C18" i="4" s="1"/>
  <c r="D16" i="4"/>
  <c r="D14" i="4"/>
  <c r="C14" i="4" s="1"/>
  <c r="D12" i="4"/>
  <c r="D10" i="4"/>
  <c r="C10" i="4" s="1"/>
  <c r="D8" i="4"/>
  <c r="D6" i="4"/>
  <c r="C6" i="4" s="1"/>
  <c r="C178" i="2"/>
  <c r="G86" i="2"/>
  <c r="C58" i="2"/>
  <c r="J86" i="2"/>
  <c r="L86" i="2"/>
  <c r="H86" i="2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L43" i="4" l="1"/>
  <c r="I43" i="4"/>
  <c r="H43" i="4"/>
  <c r="C7" i="4"/>
  <c r="C11" i="4"/>
  <c r="C15" i="4"/>
  <c r="C37" i="4"/>
  <c r="C41" i="4"/>
  <c r="G43" i="4"/>
  <c r="C8" i="4"/>
  <c r="C12" i="4"/>
  <c r="C16" i="4"/>
  <c r="C20" i="4"/>
  <c r="C24" i="4"/>
  <c r="C28" i="4"/>
  <c r="C32" i="4"/>
  <c r="C36" i="4"/>
  <c r="C38" i="4"/>
  <c r="K43" i="4"/>
  <c r="O43" i="4"/>
  <c r="C5" i="4"/>
  <c r="D43" i="4"/>
  <c r="J43" i="4"/>
  <c r="N43" i="4"/>
  <c r="C9" i="4"/>
  <c r="C13" i="4"/>
  <c r="C17" i="4"/>
  <c r="C19" i="4"/>
  <c r="C21" i="4"/>
  <c r="C23" i="4"/>
  <c r="C25" i="4"/>
  <c r="C27" i="4"/>
  <c r="C29" i="4"/>
  <c r="C31" i="4"/>
  <c r="C33" i="4"/>
  <c r="C35" i="4"/>
  <c r="C39" i="4"/>
  <c r="E43" i="4"/>
  <c r="M43" i="4"/>
  <c r="P58" i="2"/>
  <c r="P86" i="2" s="1"/>
  <c r="C86" i="2"/>
  <c r="C43" i="4" l="1"/>
  <c r="L42" i="2"/>
  <c r="J42" i="2"/>
  <c r="H42" i="2"/>
  <c r="F42" i="2"/>
  <c r="D42" i="2"/>
  <c r="M41" i="2"/>
  <c r="K41" i="2"/>
  <c r="I41" i="2"/>
  <c r="G41" i="2"/>
  <c r="E41" i="2"/>
  <c r="L40" i="2"/>
  <c r="J40" i="2"/>
  <c r="H40" i="2"/>
  <c r="F40" i="2"/>
  <c r="D40" i="2"/>
  <c r="M39" i="2"/>
  <c r="K39" i="2"/>
  <c r="I39" i="2"/>
  <c r="G39" i="2"/>
  <c r="E39" i="2"/>
  <c r="L38" i="2"/>
  <c r="J38" i="2"/>
  <c r="H38" i="2"/>
  <c r="F38" i="2"/>
  <c r="D38" i="2"/>
  <c r="M37" i="2"/>
  <c r="K37" i="2"/>
  <c r="I37" i="2"/>
  <c r="G37" i="2"/>
  <c r="E37" i="2"/>
  <c r="L36" i="2"/>
  <c r="J36" i="2"/>
  <c r="H36" i="2"/>
  <c r="F36" i="2"/>
  <c r="D36" i="2"/>
  <c r="M35" i="2"/>
  <c r="K35" i="2"/>
  <c r="I35" i="2"/>
  <c r="G35" i="2"/>
  <c r="E35" i="2"/>
  <c r="L34" i="2"/>
  <c r="J34" i="2"/>
  <c r="H34" i="2"/>
  <c r="F34" i="2"/>
  <c r="D34" i="2"/>
  <c r="M33" i="2"/>
  <c r="K33" i="2"/>
  <c r="I33" i="2"/>
  <c r="G33" i="2"/>
  <c r="E33" i="2"/>
  <c r="L32" i="2"/>
  <c r="J32" i="2"/>
  <c r="H32" i="2"/>
  <c r="F32" i="2"/>
  <c r="D32" i="2"/>
  <c r="M31" i="2"/>
  <c r="K31" i="2"/>
  <c r="I31" i="2"/>
  <c r="G31" i="2"/>
  <c r="E31" i="2"/>
  <c r="L30" i="2"/>
  <c r="J30" i="2"/>
  <c r="H30" i="2"/>
  <c r="F30" i="2"/>
  <c r="D30" i="2"/>
  <c r="M29" i="2"/>
  <c r="K29" i="2"/>
  <c r="I29" i="2"/>
  <c r="G29" i="2"/>
  <c r="E29" i="2"/>
  <c r="L28" i="2"/>
  <c r="J28" i="2"/>
  <c r="H28" i="2"/>
  <c r="F28" i="2"/>
  <c r="D28" i="2"/>
  <c r="M27" i="2"/>
  <c r="K27" i="2"/>
  <c r="M42" i="2"/>
  <c r="K42" i="2"/>
  <c r="I42" i="2"/>
  <c r="G42" i="2"/>
  <c r="E42" i="2"/>
  <c r="L41" i="2"/>
  <c r="J41" i="2"/>
  <c r="H41" i="2"/>
  <c r="F41" i="2"/>
  <c r="D41" i="2"/>
  <c r="M40" i="2"/>
  <c r="K40" i="2"/>
  <c r="I40" i="2"/>
  <c r="G40" i="2"/>
  <c r="E40" i="2"/>
  <c r="L39" i="2"/>
  <c r="J39" i="2"/>
  <c r="H39" i="2"/>
  <c r="F39" i="2"/>
  <c r="D39" i="2"/>
  <c r="M38" i="2"/>
  <c r="K38" i="2"/>
  <c r="I38" i="2"/>
  <c r="G38" i="2"/>
  <c r="E38" i="2"/>
  <c r="L37" i="2"/>
  <c r="J37" i="2"/>
  <c r="H37" i="2"/>
  <c r="F37" i="2"/>
  <c r="D37" i="2"/>
  <c r="M36" i="2"/>
  <c r="K36" i="2"/>
  <c r="I36" i="2"/>
  <c r="G36" i="2"/>
  <c r="E36" i="2"/>
  <c r="L35" i="2"/>
  <c r="J35" i="2"/>
  <c r="H35" i="2"/>
  <c r="F35" i="2"/>
  <c r="D35" i="2"/>
  <c r="M34" i="2"/>
  <c r="K34" i="2"/>
  <c r="I34" i="2"/>
  <c r="G34" i="2"/>
  <c r="E34" i="2"/>
  <c r="L33" i="2"/>
  <c r="J33" i="2"/>
  <c r="H33" i="2"/>
  <c r="F33" i="2"/>
  <c r="D33" i="2"/>
  <c r="M32" i="2"/>
  <c r="K32" i="2"/>
  <c r="I32" i="2"/>
  <c r="G32" i="2"/>
  <c r="E32" i="2"/>
  <c r="L31" i="2"/>
  <c r="J31" i="2"/>
  <c r="H31" i="2"/>
  <c r="F31" i="2"/>
  <c r="D31" i="2"/>
  <c r="K30" i="2"/>
  <c r="G30" i="2"/>
  <c r="L29" i="2"/>
  <c r="H29" i="2"/>
  <c r="D29" i="2"/>
  <c r="K28" i="2"/>
  <c r="G28" i="2"/>
  <c r="L27" i="2"/>
  <c r="I27" i="2"/>
  <c r="G27" i="2"/>
  <c r="E27" i="2"/>
  <c r="L26" i="2"/>
  <c r="J26" i="2"/>
  <c r="H26" i="2"/>
  <c r="F26" i="2"/>
  <c r="D26" i="2"/>
  <c r="M25" i="2"/>
  <c r="K25" i="2"/>
  <c r="I25" i="2"/>
  <c r="G25" i="2"/>
  <c r="E25" i="2"/>
  <c r="L24" i="2"/>
  <c r="J24" i="2"/>
  <c r="H24" i="2"/>
  <c r="F24" i="2"/>
  <c r="D24" i="2"/>
  <c r="M23" i="2"/>
  <c r="K23" i="2"/>
  <c r="I23" i="2"/>
  <c r="G23" i="2"/>
  <c r="E23" i="2"/>
  <c r="L22" i="2"/>
  <c r="J22" i="2"/>
  <c r="H22" i="2"/>
  <c r="F22" i="2"/>
  <c r="D22" i="2"/>
  <c r="M21" i="2"/>
  <c r="K21" i="2"/>
  <c r="I21" i="2"/>
  <c r="G21" i="2"/>
  <c r="E21" i="2"/>
  <c r="L20" i="2"/>
  <c r="J20" i="2"/>
  <c r="H20" i="2"/>
  <c r="F20" i="2"/>
  <c r="D20" i="2"/>
  <c r="M19" i="2"/>
  <c r="K19" i="2"/>
  <c r="I19" i="2"/>
  <c r="G19" i="2"/>
  <c r="E19" i="2"/>
  <c r="L18" i="2"/>
  <c r="J18" i="2"/>
  <c r="H18" i="2"/>
  <c r="F18" i="2"/>
  <c r="D18" i="2"/>
  <c r="M17" i="2"/>
  <c r="K17" i="2"/>
  <c r="I17" i="2"/>
  <c r="G17" i="2"/>
  <c r="E17" i="2"/>
  <c r="L16" i="2"/>
  <c r="J16" i="2"/>
  <c r="H16" i="2"/>
  <c r="F16" i="2"/>
  <c r="D16" i="2"/>
  <c r="K15" i="2"/>
  <c r="I15" i="2"/>
  <c r="E15" i="2"/>
  <c r="L14" i="2"/>
  <c r="J14" i="2"/>
  <c r="H14" i="2"/>
  <c r="F14" i="2"/>
  <c r="D14" i="2"/>
  <c r="M13" i="2"/>
  <c r="K13" i="2"/>
  <c r="I13" i="2"/>
  <c r="G13" i="2"/>
  <c r="E13" i="2"/>
  <c r="L12" i="2"/>
  <c r="J12" i="2"/>
  <c r="H12" i="2"/>
  <c r="F12" i="2"/>
  <c r="D12" i="2"/>
  <c r="M11" i="2"/>
  <c r="K11" i="2"/>
  <c r="I11" i="2"/>
  <c r="G11" i="2"/>
  <c r="E11" i="2"/>
  <c r="L10" i="2"/>
  <c r="J10" i="2"/>
  <c r="H10" i="2"/>
  <c r="F10" i="2"/>
  <c r="D10" i="2"/>
  <c r="M9" i="2"/>
  <c r="K9" i="2"/>
  <c r="I9" i="2"/>
  <c r="G9" i="2"/>
  <c r="E9" i="2"/>
  <c r="L8" i="2"/>
  <c r="J8" i="2"/>
  <c r="H8" i="2"/>
  <c r="F8" i="2"/>
  <c r="D8" i="2"/>
  <c r="M7" i="2"/>
  <c r="K7" i="2"/>
  <c r="I7" i="2"/>
  <c r="G7" i="2"/>
  <c r="E7" i="2"/>
  <c r="L6" i="2"/>
  <c r="J6" i="2"/>
  <c r="H6" i="2"/>
  <c r="F6" i="2"/>
  <c r="D6" i="2"/>
  <c r="M5" i="2"/>
  <c r="K5" i="2"/>
  <c r="I5" i="2"/>
  <c r="G5" i="2"/>
  <c r="E5" i="2"/>
  <c r="M30" i="2"/>
  <c r="E30" i="2"/>
  <c r="J29" i="2"/>
  <c r="M28" i="2"/>
  <c r="E28" i="2"/>
  <c r="J27" i="2"/>
  <c r="F27" i="2"/>
  <c r="M26" i="2"/>
  <c r="I26" i="2"/>
  <c r="E26" i="2"/>
  <c r="J25" i="2"/>
  <c r="F25" i="2"/>
  <c r="M24" i="2"/>
  <c r="I24" i="2"/>
  <c r="E24" i="2"/>
  <c r="J23" i="2"/>
  <c r="F23" i="2"/>
  <c r="M22" i="2"/>
  <c r="I22" i="2"/>
  <c r="E22" i="2"/>
  <c r="J21" i="2"/>
  <c r="F21" i="2"/>
  <c r="M20" i="2"/>
  <c r="I20" i="2"/>
  <c r="E20" i="2"/>
  <c r="J19" i="2"/>
  <c r="F19" i="2"/>
  <c r="M18" i="2"/>
  <c r="I18" i="2"/>
  <c r="E18" i="2"/>
  <c r="J17" i="2"/>
  <c r="F17" i="2"/>
  <c r="M16" i="2"/>
  <c r="I16" i="2"/>
  <c r="E16" i="2"/>
  <c r="F15" i="2"/>
  <c r="M14" i="2"/>
  <c r="I14" i="2"/>
  <c r="E14" i="2"/>
  <c r="J13" i="2"/>
  <c r="F13" i="2"/>
  <c r="M12" i="2"/>
  <c r="I12" i="2"/>
  <c r="E12" i="2"/>
  <c r="J11" i="2"/>
  <c r="F11" i="2"/>
  <c r="M10" i="2"/>
  <c r="I10" i="2"/>
  <c r="E10" i="2"/>
  <c r="J9" i="2"/>
  <c r="F9" i="2"/>
  <c r="M8" i="2"/>
  <c r="I8" i="2"/>
  <c r="E8" i="2"/>
  <c r="J7" i="2"/>
  <c r="F7" i="2"/>
  <c r="M6" i="2"/>
  <c r="I6" i="2"/>
  <c r="J5" i="2"/>
  <c r="I30" i="2"/>
  <c r="F29" i="2"/>
  <c r="I28" i="2"/>
  <c r="H27" i="2"/>
  <c r="D27" i="2"/>
  <c r="K26" i="2"/>
  <c r="G26" i="2"/>
  <c r="L25" i="2"/>
  <c r="H25" i="2"/>
  <c r="D25" i="2"/>
  <c r="K24" i="2"/>
  <c r="G24" i="2"/>
  <c r="L23" i="2"/>
  <c r="H23" i="2"/>
  <c r="D23" i="2"/>
  <c r="K22" i="2"/>
  <c r="G22" i="2"/>
  <c r="L21" i="2"/>
  <c r="H21" i="2"/>
  <c r="D21" i="2"/>
  <c r="K20" i="2"/>
  <c r="G20" i="2"/>
  <c r="L19" i="2"/>
  <c r="H19" i="2"/>
  <c r="D19" i="2"/>
  <c r="K18" i="2"/>
  <c r="G18" i="2"/>
  <c r="L17" i="2"/>
  <c r="H17" i="2"/>
  <c r="D17" i="2"/>
  <c r="K16" i="2"/>
  <c r="G16" i="2"/>
  <c r="D15" i="2"/>
  <c r="K14" i="2"/>
  <c r="G14" i="2"/>
  <c r="L13" i="2"/>
  <c r="H13" i="2"/>
  <c r="D13" i="2"/>
  <c r="K12" i="2"/>
  <c r="G12" i="2"/>
  <c r="L11" i="2"/>
  <c r="H11" i="2"/>
  <c r="D11" i="2"/>
  <c r="K10" i="2"/>
  <c r="G10" i="2"/>
  <c r="L9" i="2"/>
  <c r="H9" i="2"/>
  <c r="D9" i="2"/>
  <c r="K8" i="2"/>
  <c r="G8" i="2"/>
  <c r="L7" i="2"/>
  <c r="H7" i="2"/>
  <c r="D7" i="2"/>
  <c r="K6" i="2"/>
  <c r="G6" i="2"/>
  <c r="L5" i="2"/>
  <c r="H5" i="2"/>
  <c r="D5" i="2"/>
  <c r="E6" i="2"/>
  <c r="F5" i="2"/>
  <c r="F43" i="2" s="1"/>
  <c r="M15" i="2"/>
  <c r="G15" i="2"/>
  <c r="L15" i="2"/>
  <c r="J15" i="2"/>
  <c r="H15" i="2"/>
  <c r="R30" i="6" l="1"/>
  <c r="S30" i="6" s="1"/>
  <c r="T30" i="6" s="1"/>
  <c r="R10" i="6"/>
  <c r="S10" i="6" s="1"/>
  <c r="T10" i="6" s="1"/>
  <c r="R11" i="6"/>
  <c r="S11" i="6" s="1"/>
  <c r="T11" i="6" s="1"/>
  <c r="R27" i="6"/>
  <c r="S27" i="6" s="1"/>
  <c r="T27" i="6" s="1"/>
  <c r="R4" i="6"/>
  <c r="S4" i="6" s="1"/>
  <c r="R16" i="6"/>
  <c r="S16" i="6" s="1"/>
  <c r="T16" i="6" s="1"/>
  <c r="R24" i="6"/>
  <c r="S24" i="6" s="1"/>
  <c r="T24" i="6" s="1"/>
  <c r="R32" i="6"/>
  <c r="S32" i="6" s="1"/>
  <c r="T32" i="6" s="1"/>
  <c r="R6" i="6"/>
  <c r="S6" i="6" s="1"/>
  <c r="T6" i="6" s="1"/>
  <c r="R40" i="6"/>
  <c r="S40" i="6" s="1"/>
  <c r="T40" i="6" s="1"/>
  <c r="R15" i="6"/>
  <c r="S15" i="6" s="1"/>
  <c r="T15" i="6" s="1"/>
  <c r="R31" i="6"/>
  <c r="S31" i="6" s="1"/>
  <c r="T31" i="6" s="1"/>
  <c r="R12" i="6"/>
  <c r="S12" i="6" s="1"/>
  <c r="T12" i="6" s="1"/>
  <c r="R22" i="6"/>
  <c r="S22" i="6" s="1"/>
  <c r="T22" i="6" s="1"/>
  <c r="R9" i="6"/>
  <c r="S9" i="6" s="1"/>
  <c r="T9" i="6" s="1"/>
  <c r="R25" i="6"/>
  <c r="S25" i="6" s="1"/>
  <c r="T25" i="6" s="1"/>
  <c r="R39" i="6"/>
  <c r="S39" i="6" s="1"/>
  <c r="T39" i="6" s="1"/>
  <c r="R5" i="6"/>
  <c r="S5" i="6" s="1"/>
  <c r="T5" i="6" s="1"/>
  <c r="R21" i="6"/>
  <c r="S21" i="6" s="1"/>
  <c r="T21" i="6" s="1"/>
  <c r="R17" i="6"/>
  <c r="S17" i="6" s="1"/>
  <c r="T17" i="6" s="1"/>
  <c r="R29" i="6"/>
  <c r="S29" i="6" s="1"/>
  <c r="T29" i="6" s="1"/>
  <c r="R41" i="6"/>
  <c r="S41" i="6" s="1"/>
  <c r="T41" i="6" s="1"/>
  <c r="R13" i="6"/>
  <c r="S13" i="6" s="1"/>
  <c r="T13" i="6" s="1"/>
  <c r="R33" i="6"/>
  <c r="S33" i="6" s="1"/>
  <c r="T33" i="6" s="1"/>
  <c r="R36" i="6"/>
  <c r="S36" i="6" s="1"/>
  <c r="T36" i="6" s="1"/>
  <c r="R19" i="6"/>
  <c r="S19" i="6" s="1"/>
  <c r="T19" i="6" s="1"/>
  <c r="R35" i="6"/>
  <c r="S35" i="6" s="1"/>
  <c r="T35" i="6" s="1"/>
  <c r="R8" i="6"/>
  <c r="S8" i="6" s="1"/>
  <c r="T8" i="6" s="1"/>
  <c r="R20" i="6"/>
  <c r="S20" i="6" s="1"/>
  <c r="T20" i="6" s="1"/>
  <c r="R28" i="6"/>
  <c r="S28" i="6" s="1"/>
  <c r="T28" i="6" s="1"/>
  <c r="R38" i="6"/>
  <c r="S38" i="6" s="1"/>
  <c r="T38" i="6" s="1"/>
  <c r="R14" i="6"/>
  <c r="S14" i="6" s="1"/>
  <c r="T14" i="6" s="1"/>
  <c r="R7" i="6"/>
  <c r="S7" i="6" s="1"/>
  <c r="T7" i="6" s="1"/>
  <c r="R23" i="6"/>
  <c r="S23" i="6" s="1"/>
  <c r="T23" i="6" s="1"/>
  <c r="R37" i="6"/>
  <c r="S37" i="6" s="1"/>
  <c r="T37" i="6" s="1"/>
  <c r="R18" i="6"/>
  <c r="S18" i="6" s="1"/>
  <c r="T18" i="6" s="1"/>
  <c r="R26" i="6"/>
  <c r="S26" i="6" s="1"/>
  <c r="T26" i="6" s="1"/>
  <c r="R34" i="6"/>
  <c r="S34" i="6" s="1"/>
  <c r="T34" i="6" s="1"/>
  <c r="C7" i="2"/>
  <c r="C11" i="2"/>
  <c r="C19" i="2"/>
  <c r="C23" i="2"/>
  <c r="C27" i="2"/>
  <c r="H43" i="2"/>
  <c r="C15" i="2"/>
  <c r="E43" i="2"/>
  <c r="I43" i="2"/>
  <c r="M43" i="2"/>
  <c r="C29" i="2"/>
  <c r="D43" i="2"/>
  <c r="C5" i="2"/>
  <c r="L43" i="2"/>
  <c r="C9" i="2"/>
  <c r="C13" i="2"/>
  <c r="C17" i="2"/>
  <c r="C21" i="2"/>
  <c r="C25" i="2"/>
  <c r="J43" i="2"/>
  <c r="G43" i="2"/>
  <c r="K43" i="2"/>
  <c r="C6" i="2"/>
  <c r="C8" i="2"/>
  <c r="C10" i="2"/>
  <c r="C12" i="2"/>
  <c r="C14" i="2"/>
  <c r="C16" i="2"/>
  <c r="C18" i="2"/>
  <c r="C20" i="2"/>
  <c r="C22" i="2"/>
  <c r="C24" i="2"/>
  <c r="C26" i="2"/>
  <c r="C31" i="2"/>
  <c r="C33" i="2"/>
  <c r="C35" i="2"/>
  <c r="C37" i="2"/>
  <c r="C39" i="2"/>
  <c r="C41" i="2"/>
  <c r="C28" i="2"/>
  <c r="C30" i="2"/>
  <c r="C32" i="2"/>
  <c r="C34" i="2"/>
  <c r="C36" i="2"/>
  <c r="C38" i="2"/>
  <c r="C40" i="2"/>
  <c r="C42" i="2"/>
  <c r="R42" i="6" l="1"/>
  <c r="S42" i="6" s="1"/>
  <c r="T4" i="6"/>
  <c r="C43" i="2"/>
  <c r="C43" i="3" l="1"/>
  <c r="S44" i="6"/>
  <c r="T42" i="6"/>
  <c r="K6" i="6"/>
  <c r="L6" i="6" s="1"/>
  <c r="K28" i="6"/>
  <c r="L28" i="6" s="1"/>
  <c r="K24" i="6"/>
  <c r="L24" i="6" s="1"/>
  <c r="K9" i="6"/>
  <c r="L9" i="6" s="1"/>
  <c r="K17" i="6"/>
  <c r="L17" i="6" s="1"/>
  <c r="K25" i="6"/>
  <c r="L25" i="6" s="1"/>
  <c r="K36" i="6"/>
  <c r="L36" i="6" s="1"/>
  <c r="K29" i="6"/>
  <c r="L29" i="6" s="1"/>
  <c r="K37" i="6"/>
  <c r="L37" i="6" s="1"/>
  <c r="K10" i="6"/>
  <c r="L10" i="6" s="1"/>
  <c r="K12" i="6"/>
  <c r="L12" i="6" s="1"/>
  <c r="K7" i="6"/>
  <c r="L7" i="6" s="1"/>
  <c r="K15" i="6"/>
  <c r="L15" i="6" s="1"/>
  <c r="K23" i="6"/>
  <c r="L23" i="6" s="1"/>
  <c r="K34" i="6"/>
  <c r="L34" i="6" s="1"/>
  <c r="K27" i="6"/>
  <c r="L27" i="6" s="1"/>
  <c r="K35" i="6"/>
  <c r="L35" i="6" s="1"/>
  <c r="C42" i="3"/>
  <c r="F41" i="6" s="1"/>
  <c r="C18" i="3"/>
  <c r="F17" i="6" s="1"/>
  <c r="C7" i="3"/>
  <c r="F6" i="6" s="1"/>
  <c r="C31" i="3"/>
  <c r="F30" i="6" s="1"/>
  <c r="C23" i="3"/>
  <c r="F22" i="6" s="1"/>
  <c r="C15" i="3"/>
  <c r="F14" i="6" s="1"/>
  <c r="C21" i="3"/>
  <c r="F20" i="6" s="1"/>
  <c r="C26" i="3"/>
  <c r="F25" i="6" s="1"/>
  <c r="C10" i="3"/>
  <c r="F9" i="6" s="1"/>
  <c r="C35" i="3"/>
  <c r="F34" i="6" s="1"/>
  <c r="C27" i="3"/>
  <c r="F26" i="6" s="1"/>
  <c r="C19" i="3"/>
  <c r="F18" i="6" s="1"/>
  <c r="C11" i="3"/>
  <c r="F10" i="6" s="1"/>
  <c r="C36" i="3"/>
  <c r="F35" i="6" s="1"/>
  <c r="C13" i="3"/>
  <c r="F12" i="6" s="1"/>
  <c r="C37" i="3"/>
  <c r="F36" i="6" s="1"/>
  <c r="C6" i="3"/>
  <c r="F5" i="6" s="1"/>
  <c r="C22" i="3"/>
  <c r="F21" i="6" s="1"/>
  <c r="C38" i="3"/>
  <c r="F37" i="6" s="1"/>
  <c r="C17" i="3"/>
  <c r="F16" i="6" s="1"/>
  <c r="C33" i="3"/>
  <c r="F32" i="6" s="1"/>
  <c r="C5" i="3"/>
  <c r="F4" i="6" s="1"/>
  <c r="G4" i="6" s="1"/>
  <c r="C20" i="3"/>
  <c r="F19" i="6" s="1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L23" i="3"/>
  <c r="C34" i="3"/>
  <c r="F33" i="6" s="1"/>
  <c r="C29" i="3"/>
  <c r="F28" i="6" s="1"/>
  <c r="C39" i="3"/>
  <c r="F38" i="6" s="1"/>
  <c r="C14" i="3"/>
  <c r="F13" i="6" s="1"/>
  <c r="C30" i="3"/>
  <c r="F29" i="6" s="1"/>
  <c r="C9" i="3"/>
  <c r="F8" i="6" s="1"/>
  <c r="C25" i="3"/>
  <c r="F24" i="6" s="1"/>
  <c r="C41" i="3"/>
  <c r="F40" i="6" s="1"/>
  <c r="C12" i="3"/>
  <c r="F11" i="6" s="1"/>
  <c r="C28" i="3"/>
  <c r="F27" i="6" s="1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H24" i="3"/>
  <c r="H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J11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J41" i="3"/>
  <c r="J39" i="3"/>
  <c r="J37" i="3"/>
  <c r="J35" i="3"/>
  <c r="J33" i="3"/>
  <c r="J31" i="3"/>
  <c r="J29" i="3"/>
  <c r="J27" i="3"/>
  <c r="J25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J23" i="3"/>
  <c r="J21" i="3"/>
  <c r="J19" i="3"/>
  <c r="J17" i="3"/>
  <c r="J15" i="3"/>
  <c r="J13" i="3"/>
  <c r="J10" i="3"/>
  <c r="J8" i="3"/>
  <c r="J6" i="3"/>
  <c r="E5" i="3"/>
  <c r="D9" i="3"/>
  <c r="E12" i="3"/>
  <c r="F14" i="3"/>
  <c r="E16" i="3"/>
  <c r="F18" i="3"/>
  <c r="E20" i="3"/>
  <c r="F22" i="3"/>
  <c r="E24" i="3"/>
  <c r="F26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J42" i="3"/>
  <c r="J40" i="3"/>
  <c r="J38" i="3"/>
  <c r="J36" i="3"/>
  <c r="J34" i="3"/>
  <c r="J32" i="3"/>
  <c r="J30" i="3"/>
  <c r="J28" i="3"/>
  <c r="J26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J24" i="3"/>
  <c r="J22" i="3"/>
  <c r="J20" i="3"/>
  <c r="J18" i="3"/>
  <c r="J16" i="3"/>
  <c r="J14" i="3"/>
  <c r="J12" i="3"/>
  <c r="J9" i="3"/>
  <c r="J7" i="3"/>
  <c r="J5" i="3"/>
  <c r="E6" i="3"/>
  <c r="E10" i="3"/>
  <c r="D13" i="3"/>
  <c r="E15" i="3"/>
  <c r="D17" i="3"/>
  <c r="E19" i="3"/>
  <c r="D21" i="3"/>
  <c r="E23" i="3"/>
  <c r="D25" i="3"/>
  <c r="E27" i="3"/>
  <c r="E28" i="3"/>
  <c r="F30" i="3"/>
  <c r="E32" i="3"/>
  <c r="F34" i="3"/>
  <c r="E36" i="3"/>
  <c r="F38" i="3"/>
  <c r="E40" i="3"/>
  <c r="F42" i="3"/>
  <c r="E7" i="3"/>
  <c r="E11" i="3"/>
  <c r="F9" i="3"/>
  <c r="F13" i="3"/>
  <c r="F17" i="3"/>
  <c r="F21" i="3"/>
  <c r="F25" i="3"/>
  <c r="F29" i="3"/>
  <c r="F33" i="3"/>
  <c r="F37" i="3"/>
  <c r="F41" i="3"/>
  <c r="D11" i="3"/>
  <c r="E13" i="3"/>
  <c r="D15" i="3"/>
  <c r="E17" i="3"/>
  <c r="D19" i="3"/>
  <c r="E21" i="3"/>
  <c r="D23" i="3"/>
  <c r="E25" i="3"/>
  <c r="D27" i="3"/>
  <c r="E29" i="3"/>
  <c r="D31" i="3"/>
  <c r="E33" i="3"/>
  <c r="D35" i="3"/>
  <c r="E37" i="3"/>
  <c r="D39" i="3"/>
  <c r="E41" i="3"/>
  <c r="F6" i="3"/>
  <c r="F8" i="3"/>
  <c r="F5" i="3"/>
  <c r="F7" i="3"/>
  <c r="F11" i="3"/>
  <c r="F15" i="3"/>
  <c r="F19" i="3"/>
  <c r="F23" i="3"/>
  <c r="F27" i="3"/>
  <c r="F31" i="3"/>
  <c r="F35" i="3"/>
  <c r="F39" i="3"/>
  <c r="C8" i="3"/>
  <c r="F7" i="6" s="1"/>
  <c r="C24" i="3"/>
  <c r="F23" i="6" s="1"/>
  <c r="C40" i="3"/>
  <c r="F39" i="6" s="1"/>
  <c r="D29" i="3"/>
  <c r="E31" i="3"/>
  <c r="D33" i="3"/>
  <c r="E35" i="3"/>
  <c r="D37" i="3"/>
  <c r="E39" i="3"/>
  <c r="D41" i="3"/>
  <c r="D5" i="3"/>
  <c r="E9" i="3"/>
  <c r="D8" i="3"/>
  <c r="D12" i="3"/>
  <c r="D16" i="3"/>
  <c r="D20" i="3"/>
  <c r="D24" i="3"/>
  <c r="D28" i="3"/>
  <c r="D32" i="3"/>
  <c r="D36" i="3"/>
  <c r="D40" i="3"/>
  <c r="E8" i="3"/>
  <c r="F12" i="3"/>
  <c r="E14" i="3"/>
  <c r="F16" i="3"/>
  <c r="E18" i="3"/>
  <c r="F20" i="3"/>
  <c r="E22" i="3"/>
  <c r="F24" i="3"/>
  <c r="E26" i="3"/>
  <c r="F28" i="3"/>
  <c r="E30" i="3"/>
  <c r="F32" i="3"/>
  <c r="E34" i="3"/>
  <c r="F36" i="3"/>
  <c r="E38" i="3"/>
  <c r="F40" i="3"/>
  <c r="E42" i="3"/>
  <c r="D7" i="3"/>
  <c r="F10" i="3"/>
  <c r="D6" i="3"/>
  <c r="D10" i="3"/>
  <c r="D14" i="3"/>
  <c r="D18" i="3"/>
  <c r="D22" i="3"/>
  <c r="D26" i="3"/>
  <c r="D30" i="3"/>
  <c r="D34" i="3"/>
  <c r="D38" i="3"/>
  <c r="D42" i="3"/>
  <c r="C16" i="3"/>
  <c r="F15" i="6" s="1"/>
  <c r="C32" i="3"/>
  <c r="F31" i="6" s="1"/>
  <c r="K26" i="6"/>
  <c r="L26" i="6" s="1"/>
  <c r="K8" i="6"/>
  <c r="L8" i="6" s="1"/>
  <c r="K18" i="6"/>
  <c r="L18" i="6" s="1"/>
  <c r="K14" i="6"/>
  <c r="L14" i="6" s="1"/>
  <c r="K16" i="6"/>
  <c r="L16" i="6" s="1"/>
  <c r="K5" i="6"/>
  <c r="L5" i="6" s="1"/>
  <c r="K13" i="6"/>
  <c r="L13" i="6" s="1"/>
  <c r="K21" i="6"/>
  <c r="L21" i="6" s="1"/>
  <c r="K32" i="6"/>
  <c r="L32" i="6" s="1"/>
  <c r="K40" i="6"/>
  <c r="L40" i="6" s="1"/>
  <c r="K33" i="6"/>
  <c r="L33" i="6" s="1"/>
  <c r="K41" i="6"/>
  <c r="L41" i="6" s="1"/>
  <c r="K22" i="6"/>
  <c r="L22" i="6" s="1"/>
  <c r="K20" i="6"/>
  <c r="L20" i="6" s="1"/>
  <c r="K11" i="6"/>
  <c r="L11" i="6" s="1"/>
  <c r="K19" i="6"/>
  <c r="L19" i="6" s="1"/>
  <c r="K30" i="6"/>
  <c r="L30" i="6" s="1"/>
  <c r="K38" i="6"/>
  <c r="L38" i="6" s="1"/>
  <c r="K31" i="6"/>
  <c r="L31" i="6" s="1"/>
  <c r="K39" i="6"/>
  <c r="L39" i="6" s="1"/>
  <c r="A141" i="1"/>
  <c r="A183" i="1" s="1"/>
  <c r="A225" i="1" s="1"/>
  <c r="A267" i="1" s="1"/>
  <c r="A309" i="1" s="1"/>
  <c r="B141" i="1"/>
  <c r="A142" i="1"/>
  <c r="A184" i="1" s="1"/>
  <c r="A226" i="1" s="1"/>
  <c r="A268" i="1" s="1"/>
  <c r="A310" i="1" s="1"/>
  <c r="B142" i="1"/>
  <c r="A143" i="1"/>
  <c r="A185" i="1" s="1"/>
  <c r="A227" i="1" s="1"/>
  <c r="A269" i="1" s="1"/>
  <c r="A311" i="1" s="1"/>
  <c r="B143" i="1"/>
  <c r="A144" i="1"/>
  <c r="A186" i="1" s="1"/>
  <c r="A228" i="1" s="1"/>
  <c r="A270" i="1" s="1"/>
  <c r="A312" i="1" s="1"/>
  <c r="B144" i="1"/>
  <c r="A145" i="1"/>
  <c r="A187" i="1" s="1"/>
  <c r="A229" i="1" s="1"/>
  <c r="A271" i="1" s="1"/>
  <c r="A313" i="1" s="1"/>
  <c r="B145" i="1"/>
  <c r="A146" i="1"/>
  <c r="A188" i="1" s="1"/>
  <c r="A230" i="1" s="1"/>
  <c r="A272" i="1" s="1"/>
  <c r="A314" i="1" s="1"/>
  <c r="B146" i="1"/>
  <c r="A147" i="1"/>
  <c r="A189" i="1" s="1"/>
  <c r="A231" i="1" s="1"/>
  <c r="A273" i="1" s="1"/>
  <c r="A315" i="1" s="1"/>
  <c r="B147" i="1"/>
  <c r="A148" i="1"/>
  <c r="A190" i="1" s="1"/>
  <c r="A232" i="1" s="1"/>
  <c r="A274" i="1" s="1"/>
  <c r="A316" i="1" s="1"/>
  <c r="B148" i="1"/>
  <c r="B190" i="1" s="1"/>
  <c r="B232" i="1" s="1"/>
  <c r="B274" i="1" s="1"/>
  <c r="B316" i="1" s="1"/>
  <c r="A149" i="1"/>
  <c r="A191" i="1" s="1"/>
  <c r="A233" i="1" s="1"/>
  <c r="A275" i="1" s="1"/>
  <c r="A317" i="1" s="1"/>
  <c r="B149" i="1"/>
  <c r="A150" i="1"/>
  <c r="A192" i="1" s="1"/>
  <c r="A234" i="1" s="1"/>
  <c r="A276" i="1" s="1"/>
  <c r="A318" i="1" s="1"/>
  <c r="B150" i="1"/>
  <c r="A151" i="1"/>
  <c r="A193" i="1" s="1"/>
  <c r="A235" i="1" s="1"/>
  <c r="A277" i="1" s="1"/>
  <c r="A319" i="1" s="1"/>
  <c r="B151" i="1"/>
  <c r="A152" i="1"/>
  <c r="A194" i="1" s="1"/>
  <c r="A236" i="1" s="1"/>
  <c r="A278" i="1" s="1"/>
  <c r="A320" i="1" s="1"/>
  <c r="B152" i="1"/>
  <c r="A153" i="1"/>
  <c r="A195" i="1" s="1"/>
  <c r="A237" i="1" s="1"/>
  <c r="A279" i="1" s="1"/>
  <c r="A321" i="1" s="1"/>
  <c r="B153" i="1"/>
  <c r="A154" i="1"/>
  <c r="B154" i="1"/>
  <c r="A155" i="1"/>
  <c r="A197" i="1" s="1"/>
  <c r="A239" i="1" s="1"/>
  <c r="A281" i="1" s="1"/>
  <c r="A323" i="1" s="1"/>
  <c r="B155" i="1"/>
  <c r="A156" i="1"/>
  <c r="B156" i="1"/>
  <c r="A157" i="1"/>
  <c r="A199" i="1" s="1"/>
  <c r="A241" i="1" s="1"/>
  <c r="A283" i="1" s="1"/>
  <c r="A325" i="1" s="1"/>
  <c r="B157" i="1"/>
  <c r="A158" i="1"/>
  <c r="B158" i="1"/>
  <c r="A159" i="1"/>
  <c r="A201" i="1" s="1"/>
  <c r="A243" i="1" s="1"/>
  <c r="A285" i="1" s="1"/>
  <c r="A327" i="1" s="1"/>
  <c r="B159" i="1"/>
  <c r="A160" i="1"/>
  <c r="A202" i="1" s="1"/>
  <c r="A244" i="1" s="1"/>
  <c r="A286" i="1" s="1"/>
  <c r="A328" i="1" s="1"/>
  <c r="B160" i="1"/>
  <c r="A161" i="1"/>
  <c r="A203" i="1" s="1"/>
  <c r="A245" i="1" s="1"/>
  <c r="A287" i="1" s="1"/>
  <c r="A329" i="1" s="1"/>
  <c r="B161" i="1"/>
  <c r="A162" i="1"/>
  <c r="A204" i="1" s="1"/>
  <c r="A246" i="1" s="1"/>
  <c r="A288" i="1" s="1"/>
  <c r="A330" i="1" s="1"/>
  <c r="B162" i="1"/>
  <c r="A163" i="1"/>
  <c r="A205" i="1" s="1"/>
  <c r="A247" i="1" s="1"/>
  <c r="A289" i="1" s="1"/>
  <c r="A331" i="1" s="1"/>
  <c r="B163" i="1"/>
  <c r="A164" i="1"/>
  <c r="A206" i="1" s="1"/>
  <c r="A248" i="1" s="1"/>
  <c r="A290" i="1" s="1"/>
  <c r="A332" i="1" s="1"/>
  <c r="B164" i="1"/>
  <c r="A165" i="1"/>
  <c r="A207" i="1" s="1"/>
  <c r="B165" i="1"/>
  <c r="A166" i="1"/>
  <c r="B166" i="1"/>
  <c r="A167" i="1"/>
  <c r="A209" i="1" s="1"/>
  <c r="A251" i="1" s="1"/>
  <c r="A293" i="1" s="1"/>
  <c r="A335" i="1" s="1"/>
  <c r="B167" i="1"/>
  <c r="A168" i="1"/>
  <c r="B168" i="1"/>
  <c r="A169" i="1"/>
  <c r="A211" i="1" s="1"/>
  <c r="A253" i="1" s="1"/>
  <c r="A295" i="1" s="1"/>
  <c r="A337" i="1" s="1"/>
  <c r="B169" i="1"/>
  <c r="A170" i="1"/>
  <c r="B170" i="1"/>
  <c r="B212" i="1" s="1"/>
  <c r="B254" i="1" s="1"/>
  <c r="B296" i="1" s="1"/>
  <c r="B338" i="1" s="1"/>
  <c r="A171" i="1"/>
  <c r="A213" i="1" s="1"/>
  <c r="A255" i="1" s="1"/>
  <c r="A297" i="1" s="1"/>
  <c r="A339" i="1" s="1"/>
  <c r="B171" i="1"/>
  <c r="A172" i="1"/>
  <c r="B172" i="1"/>
  <c r="A173" i="1"/>
  <c r="A215" i="1" s="1"/>
  <c r="A257" i="1" s="1"/>
  <c r="A299" i="1" s="1"/>
  <c r="A341" i="1" s="1"/>
  <c r="B173" i="1"/>
  <c r="A174" i="1"/>
  <c r="A216" i="1" s="1"/>
  <c r="A258" i="1" s="1"/>
  <c r="A300" i="1" s="1"/>
  <c r="A342" i="1" s="1"/>
  <c r="B174" i="1"/>
  <c r="B216" i="1" s="1"/>
  <c r="B258" i="1" s="1"/>
  <c r="B300" i="1" s="1"/>
  <c r="B342" i="1" s="1"/>
  <c r="A175" i="1"/>
  <c r="A217" i="1" s="1"/>
  <c r="A259" i="1" s="1"/>
  <c r="A301" i="1" s="1"/>
  <c r="A343" i="1" s="1"/>
  <c r="B175" i="1"/>
  <c r="A176" i="1"/>
  <c r="A218" i="1" s="1"/>
  <c r="A260" i="1" s="1"/>
  <c r="A302" i="1" s="1"/>
  <c r="A344" i="1" s="1"/>
  <c r="B176" i="1"/>
  <c r="A177" i="1"/>
  <c r="A219" i="1" s="1"/>
  <c r="A261" i="1" s="1"/>
  <c r="A303" i="1" s="1"/>
  <c r="A345" i="1" s="1"/>
  <c r="B177" i="1"/>
  <c r="A178" i="1"/>
  <c r="B178" i="1"/>
  <c r="B220" i="1" s="1"/>
  <c r="B262" i="1" s="1"/>
  <c r="B304" i="1" s="1"/>
  <c r="B346" i="1" s="1"/>
  <c r="B183" i="1"/>
  <c r="B225" i="1" s="1"/>
  <c r="B267" i="1" s="1"/>
  <c r="B309" i="1" s="1"/>
  <c r="D183" i="1"/>
  <c r="E183" i="1"/>
  <c r="F183" i="1"/>
  <c r="G183" i="1"/>
  <c r="H183" i="1"/>
  <c r="I183" i="1"/>
  <c r="J183" i="1"/>
  <c r="K183" i="1"/>
  <c r="L183" i="1"/>
  <c r="M183" i="1"/>
  <c r="B184" i="1"/>
  <c r="B226" i="1" s="1"/>
  <c r="B268" i="1" s="1"/>
  <c r="B310" i="1" s="1"/>
  <c r="D184" i="1"/>
  <c r="E184" i="1"/>
  <c r="F184" i="1"/>
  <c r="G184" i="1"/>
  <c r="H184" i="1"/>
  <c r="I184" i="1"/>
  <c r="J184" i="1"/>
  <c r="K184" i="1"/>
  <c r="L184" i="1"/>
  <c r="M184" i="1"/>
  <c r="B185" i="1"/>
  <c r="B227" i="1" s="1"/>
  <c r="B269" i="1" s="1"/>
  <c r="B311" i="1" s="1"/>
  <c r="D185" i="1"/>
  <c r="E185" i="1"/>
  <c r="F185" i="1"/>
  <c r="G185" i="1"/>
  <c r="H185" i="1"/>
  <c r="I185" i="1"/>
  <c r="J185" i="1"/>
  <c r="K185" i="1"/>
  <c r="L185" i="1"/>
  <c r="M185" i="1"/>
  <c r="B186" i="1"/>
  <c r="B228" i="1" s="1"/>
  <c r="B270" i="1" s="1"/>
  <c r="B312" i="1" s="1"/>
  <c r="D186" i="1"/>
  <c r="E186" i="1"/>
  <c r="F186" i="1"/>
  <c r="G186" i="1"/>
  <c r="H186" i="1"/>
  <c r="I186" i="1"/>
  <c r="J186" i="1"/>
  <c r="K186" i="1"/>
  <c r="L186" i="1"/>
  <c r="M186" i="1"/>
  <c r="B187" i="1"/>
  <c r="B229" i="1" s="1"/>
  <c r="B271" i="1" s="1"/>
  <c r="B313" i="1" s="1"/>
  <c r="D187" i="1"/>
  <c r="E187" i="1"/>
  <c r="F187" i="1"/>
  <c r="G187" i="1"/>
  <c r="H187" i="1"/>
  <c r="I187" i="1"/>
  <c r="J187" i="1"/>
  <c r="K187" i="1"/>
  <c r="L187" i="1"/>
  <c r="M187" i="1"/>
  <c r="B188" i="1"/>
  <c r="B230" i="1" s="1"/>
  <c r="B272" i="1" s="1"/>
  <c r="D188" i="1"/>
  <c r="E188" i="1"/>
  <c r="F188" i="1"/>
  <c r="G188" i="1"/>
  <c r="H188" i="1"/>
  <c r="I188" i="1"/>
  <c r="J188" i="1"/>
  <c r="K188" i="1"/>
  <c r="L188" i="1"/>
  <c r="M188" i="1"/>
  <c r="B189" i="1"/>
  <c r="B231" i="1" s="1"/>
  <c r="B273" i="1" s="1"/>
  <c r="B315" i="1" s="1"/>
  <c r="D189" i="1"/>
  <c r="E189" i="1"/>
  <c r="F189" i="1"/>
  <c r="G189" i="1"/>
  <c r="H189" i="1"/>
  <c r="I189" i="1"/>
  <c r="J189" i="1"/>
  <c r="K189" i="1"/>
  <c r="L189" i="1"/>
  <c r="M189" i="1"/>
  <c r="D190" i="1"/>
  <c r="E190" i="1"/>
  <c r="F190" i="1"/>
  <c r="G190" i="1"/>
  <c r="H190" i="1"/>
  <c r="I190" i="1"/>
  <c r="J190" i="1"/>
  <c r="K190" i="1"/>
  <c r="L190" i="1"/>
  <c r="M190" i="1"/>
  <c r="B191" i="1"/>
  <c r="B233" i="1" s="1"/>
  <c r="B275" i="1" s="1"/>
  <c r="B317" i="1" s="1"/>
  <c r="D191" i="1"/>
  <c r="E191" i="1"/>
  <c r="F191" i="1"/>
  <c r="G191" i="1"/>
  <c r="H191" i="1"/>
  <c r="I191" i="1"/>
  <c r="J191" i="1"/>
  <c r="K191" i="1"/>
  <c r="L191" i="1"/>
  <c r="M191" i="1"/>
  <c r="B192" i="1"/>
  <c r="B234" i="1" s="1"/>
  <c r="B276" i="1" s="1"/>
  <c r="B318" i="1" s="1"/>
  <c r="D192" i="1"/>
  <c r="E192" i="1"/>
  <c r="F192" i="1"/>
  <c r="G192" i="1"/>
  <c r="H192" i="1"/>
  <c r="I192" i="1"/>
  <c r="J192" i="1"/>
  <c r="K192" i="1"/>
  <c r="L192" i="1"/>
  <c r="M192" i="1"/>
  <c r="B193" i="1"/>
  <c r="B235" i="1" s="1"/>
  <c r="B277" i="1" s="1"/>
  <c r="B319" i="1" s="1"/>
  <c r="D193" i="1"/>
  <c r="E193" i="1"/>
  <c r="F193" i="1"/>
  <c r="G193" i="1"/>
  <c r="H193" i="1"/>
  <c r="I193" i="1"/>
  <c r="J193" i="1"/>
  <c r="K193" i="1"/>
  <c r="L193" i="1"/>
  <c r="M193" i="1"/>
  <c r="B194" i="1"/>
  <c r="B236" i="1" s="1"/>
  <c r="B278" i="1" s="1"/>
  <c r="B320" i="1" s="1"/>
  <c r="D194" i="1"/>
  <c r="E194" i="1"/>
  <c r="F194" i="1"/>
  <c r="G194" i="1"/>
  <c r="H194" i="1"/>
  <c r="I194" i="1"/>
  <c r="J194" i="1"/>
  <c r="K194" i="1"/>
  <c r="L194" i="1"/>
  <c r="M194" i="1"/>
  <c r="B195" i="1"/>
  <c r="B237" i="1" s="1"/>
  <c r="B279" i="1" s="1"/>
  <c r="B321" i="1" s="1"/>
  <c r="D195" i="1"/>
  <c r="E195" i="1"/>
  <c r="F195" i="1"/>
  <c r="G195" i="1"/>
  <c r="H195" i="1"/>
  <c r="I195" i="1"/>
  <c r="J195" i="1"/>
  <c r="K195" i="1"/>
  <c r="L195" i="1"/>
  <c r="M195" i="1"/>
  <c r="A196" i="1"/>
  <c r="A238" i="1" s="1"/>
  <c r="A280" i="1" s="1"/>
  <c r="A322" i="1" s="1"/>
  <c r="B196" i="1"/>
  <c r="B238" i="1" s="1"/>
  <c r="B280" i="1" s="1"/>
  <c r="B322" i="1" s="1"/>
  <c r="D196" i="1"/>
  <c r="F196" i="1"/>
  <c r="G196" i="1"/>
  <c r="H196" i="1"/>
  <c r="I196" i="1"/>
  <c r="J196" i="1"/>
  <c r="K196" i="1"/>
  <c r="L196" i="1"/>
  <c r="M196" i="1"/>
  <c r="B197" i="1"/>
  <c r="D197" i="1"/>
  <c r="E197" i="1"/>
  <c r="F197" i="1"/>
  <c r="G197" i="1"/>
  <c r="H197" i="1"/>
  <c r="I197" i="1"/>
  <c r="J197" i="1"/>
  <c r="K197" i="1"/>
  <c r="L197" i="1"/>
  <c r="M197" i="1"/>
  <c r="A198" i="1"/>
  <c r="B198" i="1"/>
  <c r="D198" i="1"/>
  <c r="E198" i="1"/>
  <c r="F198" i="1"/>
  <c r="G198" i="1"/>
  <c r="H198" i="1"/>
  <c r="I198" i="1"/>
  <c r="J198" i="1"/>
  <c r="K198" i="1"/>
  <c r="L198" i="1"/>
  <c r="M198" i="1"/>
  <c r="B199" i="1"/>
  <c r="B241" i="1" s="1"/>
  <c r="B283" i="1" s="1"/>
  <c r="B325" i="1" s="1"/>
  <c r="D199" i="1"/>
  <c r="F199" i="1"/>
  <c r="G199" i="1"/>
  <c r="H199" i="1"/>
  <c r="I199" i="1"/>
  <c r="J199" i="1"/>
  <c r="K199" i="1"/>
  <c r="L199" i="1"/>
  <c r="M199" i="1"/>
  <c r="A200" i="1"/>
  <c r="A242" i="1" s="1"/>
  <c r="A284" i="1" s="1"/>
  <c r="A326" i="1" s="1"/>
  <c r="B200" i="1"/>
  <c r="B242" i="1" s="1"/>
  <c r="B284" i="1" s="1"/>
  <c r="B326" i="1" s="1"/>
  <c r="D200" i="1"/>
  <c r="E200" i="1"/>
  <c r="F200" i="1"/>
  <c r="G200" i="1"/>
  <c r="H200" i="1"/>
  <c r="I200" i="1"/>
  <c r="J200" i="1"/>
  <c r="K200" i="1"/>
  <c r="L200" i="1"/>
  <c r="M200" i="1"/>
  <c r="B201" i="1"/>
  <c r="B243" i="1" s="1"/>
  <c r="B285" i="1" s="1"/>
  <c r="B327" i="1" s="1"/>
  <c r="D201" i="1"/>
  <c r="E201" i="1"/>
  <c r="F201" i="1"/>
  <c r="G201" i="1"/>
  <c r="H201" i="1"/>
  <c r="I201" i="1"/>
  <c r="J201" i="1"/>
  <c r="K201" i="1"/>
  <c r="L201" i="1"/>
  <c r="M201" i="1"/>
  <c r="B202" i="1"/>
  <c r="B244" i="1" s="1"/>
  <c r="B286" i="1" s="1"/>
  <c r="B328" i="1" s="1"/>
  <c r="D202" i="1"/>
  <c r="E202" i="1"/>
  <c r="F202" i="1"/>
  <c r="G202" i="1"/>
  <c r="H202" i="1"/>
  <c r="I202" i="1"/>
  <c r="J202" i="1"/>
  <c r="K202" i="1"/>
  <c r="L202" i="1"/>
  <c r="M202" i="1"/>
  <c r="B203" i="1"/>
  <c r="B245" i="1" s="1"/>
  <c r="B287" i="1" s="1"/>
  <c r="B329" i="1" s="1"/>
  <c r="D203" i="1"/>
  <c r="E203" i="1"/>
  <c r="F203" i="1"/>
  <c r="G203" i="1"/>
  <c r="H203" i="1"/>
  <c r="I203" i="1"/>
  <c r="J203" i="1"/>
  <c r="K203" i="1"/>
  <c r="L203" i="1"/>
  <c r="M203" i="1"/>
  <c r="B204" i="1"/>
  <c r="B246" i="1" s="1"/>
  <c r="B288" i="1" s="1"/>
  <c r="B330" i="1" s="1"/>
  <c r="D204" i="1"/>
  <c r="E204" i="1"/>
  <c r="F204" i="1"/>
  <c r="G204" i="1"/>
  <c r="H204" i="1"/>
  <c r="I204" i="1"/>
  <c r="J204" i="1"/>
  <c r="K204" i="1"/>
  <c r="L204" i="1"/>
  <c r="M204" i="1"/>
  <c r="B205" i="1"/>
  <c r="B247" i="1" s="1"/>
  <c r="B289" i="1" s="1"/>
  <c r="B331" i="1" s="1"/>
  <c r="D205" i="1"/>
  <c r="E205" i="1"/>
  <c r="F205" i="1"/>
  <c r="G205" i="1"/>
  <c r="H205" i="1"/>
  <c r="I205" i="1"/>
  <c r="J205" i="1"/>
  <c r="K205" i="1"/>
  <c r="L205" i="1"/>
  <c r="M205" i="1"/>
  <c r="B206" i="1"/>
  <c r="B248" i="1" s="1"/>
  <c r="B290" i="1" s="1"/>
  <c r="B332" i="1" s="1"/>
  <c r="D206" i="1"/>
  <c r="E206" i="1"/>
  <c r="F206" i="1"/>
  <c r="G206" i="1"/>
  <c r="H206" i="1"/>
  <c r="I206" i="1"/>
  <c r="J206" i="1"/>
  <c r="K206" i="1"/>
  <c r="L206" i="1"/>
  <c r="M206" i="1"/>
  <c r="B207" i="1"/>
  <c r="B249" i="1" s="1"/>
  <c r="B291" i="1" s="1"/>
  <c r="B333" i="1" s="1"/>
  <c r="D207" i="1"/>
  <c r="E207" i="1"/>
  <c r="F207" i="1"/>
  <c r="G207" i="1"/>
  <c r="H207" i="1"/>
  <c r="I207" i="1"/>
  <c r="J207" i="1"/>
  <c r="K207" i="1"/>
  <c r="L207" i="1"/>
  <c r="M207" i="1"/>
  <c r="A208" i="1"/>
  <c r="A250" i="1" s="1"/>
  <c r="A292" i="1" s="1"/>
  <c r="A334" i="1" s="1"/>
  <c r="B208" i="1"/>
  <c r="B250" i="1" s="1"/>
  <c r="B292" i="1" s="1"/>
  <c r="B334" i="1" s="1"/>
  <c r="D208" i="1"/>
  <c r="E208" i="1"/>
  <c r="F208" i="1"/>
  <c r="G208" i="1"/>
  <c r="H208" i="1"/>
  <c r="I208" i="1"/>
  <c r="J208" i="1"/>
  <c r="K208" i="1"/>
  <c r="L208" i="1"/>
  <c r="M208" i="1"/>
  <c r="B209" i="1"/>
  <c r="B251" i="1" s="1"/>
  <c r="B293" i="1" s="1"/>
  <c r="B335" i="1" s="1"/>
  <c r="D209" i="1"/>
  <c r="E209" i="1"/>
  <c r="G209" i="1"/>
  <c r="H209" i="1"/>
  <c r="I209" i="1"/>
  <c r="J209" i="1"/>
  <c r="K209" i="1"/>
  <c r="L209" i="1"/>
  <c r="M209" i="1"/>
  <c r="A210" i="1"/>
  <c r="A252" i="1" s="1"/>
  <c r="A294" i="1" s="1"/>
  <c r="A336" i="1" s="1"/>
  <c r="B210" i="1"/>
  <c r="B252" i="1" s="1"/>
  <c r="B294" i="1" s="1"/>
  <c r="B336" i="1" s="1"/>
  <c r="D210" i="1"/>
  <c r="F210" i="1"/>
  <c r="G210" i="1"/>
  <c r="H210" i="1"/>
  <c r="I210" i="1"/>
  <c r="J210" i="1"/>
  <c r="K210" i="1"/>
  <c r="L210" i="1"/>
  <c r="M210" i="1"/>
  <c r="B211" i="1"/>
  <c r="B253" i="1" s="1"/>
  <c r="B295" i="1" s="1"/>
  <c r="B337" i="1" s="1"/>
  <c r="D211" i="1"/>
  <c r="E211" i="1"/>
  <c r="F211" i="1"/>
  <c r="G211" i="1"/>
  <c r="H211" i="1"/>
  <c r="I211" i="1"/>
  <c r="J211" i="1"/>
  <c r="K211" i="1"/>
  <c r="L211" i="1"/>
  <c r="M211" i="1"/>
  <c r="A212" i="1"/>
  <c r="A254" i="1" s="1"/>
  <c r="A296" i="1" s="1"/>
  <c r="A338" i="1" s="1"/>
  <c r="D212" i="1"/>
  <c r="E212" i="1"/>
  <c r="F212" i="1"/>
  <c r="G212" i="1"/>
  <c r="H212" i="1"/>
  <c r="I212" i="1"/>
  <c r="J212" i="1"/>
  <c r="K212" i="1"/>
  <c r="L212" i="1"/>
  <c r="M212" i="1"/>
  <c r="B213" i="1"/>
  <c r="D213" i="1"/>
  <c r="E213" i="1"/>
  <c r="F213" i="1"/>
  <c r="G213" i="1"/>
  <c r="H213" i="1"/>
  <c r="I213" i="1"/>
  <c r="J213" i="1"/>
  <c r="K213" i="1"/>
  <c r="L213" i="1"/>
  <c r="M213" i="1"/>
  <c r="A214" i="1"/>
  <c r="A256" i="1" s="1"/>
  <c r="A298" i="1" s="1"/>
  <c r="A340" i="1" s="1"/>
  <c r="B214" i="1"/>
  <c r="B256" i="1" s="1"/>
  <c r="B298" i="1" s="1"/>
  <c r="B340" i="1" s="1"/>
  <c r="D214" i="1"/>
  <c r="E214" i="1"/>
  <c r="F214" i="1"/>
  <c r="G214" i="1"/>
  <c r="H214" i="1"/>
  <c r="I214" i="1"/>
  <c r="J214" i="1"/>
  <c r="K214" i="1"/>
  <c r="L214" i="1"/>
  <c r="M214" i="1"/>
  <c r="B215" i="1"/>
  <c r="B257" i="1" s="1"/>
  <c r="B299" i="1" s="1"/>
  <c r="B341" i="1" s="1"/>
  <c r="D215" i="1"/>
  <c r="E215" i="1"/>
  <c r="F215" i="1"/>
  <c r="G215" i="1"/>
  <c r="H215" i="1"/>
  <c r="I215" i="1"/>
  <c r="J215" i="1"/>
  <c r="K215" i="1"/>
  <c r="L215" i="1"/>
  <c r="M215" i="1"/>
  <c r="D216" i="1"/>
  <c r="E216" i="1"/>
  <c r="F216" i="1"/>
  <c r="G216" i="1"/>
  <c r="H216" i="1"/>
  <c r="I216" i="1"/>
  <c r="J216" i="1"/>
  <c r="K216" i="1"/>
  <c r="L216" i="1"/>
  <c r="M216" i="1"/>
  <c r="B217" i="1"/>
  <c r="D217" i="1"/>
  <c r="E217" i="1"/>
  <c r="F217" i="1"/>
  <c r="G217" i="1"/>
  <c r="H217" i="1"/>
  <c r="I217" i="1"/>
  <c r="J217" i="1"/>
  <c r="K217" i="1"/>
  <c r="L217" i="1"/>
  <c r="M217" i="1"/>
  <c r="B218" i="1"/>
  <c r="B260" i="1" s="1"/>
  <c r="B302" i="1" s="1"/>
  <c r="B344" i="1" s="1"/>
  <c r="D218" i="1"/>
  <c r="E218" i="1"/>
  <c r="F218" i="1"/>
  <c r="G218" i="1"/>
  <c r="H218" i="1"/>
  <c r="I218" i="1"/>
  <c r="J218" i="1"/>
  <c r="K218" i="1"/>
  <c r="L218" i="1"/>
  <c r="M218" i="1"/>
  <c r="B219" i="1"/>
  <c r="B261" i="1" s="1"/>
  <c r="B303" i="1" s="1"/>
  <c r="B345" i="1" s="1"/>
  <c r="D219" i="1"/>
  <c r="E219" i="1"/>
  <c r="F219" i="1"/>
  <c r="G219" i="1"/>
  <c r="H219" i="1"/>
  <c r="I219" i="1"/>
  <c r="J219" i="1"/>
  <c r="K219" i="1"/>
  <c r="L219" i="1"/>
  <c r="M219" i="1"/>
  <c r="A220" i="1"/>
  <c r="A262" i="1" s="1"/>
  <c r="A304" i="1" s="1"/>
  <c r="A346" i="1" s="1"/>
  <c r="D220" i="1"/>
  <c r="E220" i="1"/>
  <c r="F220" i="1"/>
  <c r="G220" i="1"/>
  <c r="H220" i="1"/>
  <c r="I220" i="1"/>
  <c r="J220" i="1"/>
  <c r="K220" i="1"/>
  <c r="L220" i="1"/>
  <c r="M220" i="1"/>
  <c r="E238" i="1"/>
  <c r="E196" i="1" s="1"/>
  <c r="B239" i="1"/>
  <c r="B281" i="1" s="1"/>
  <c r="B323" i="1" s="1"/>
  <c r="A240" i="1"/>
  <c r="A282" i="1" s="1"/>
  <c r="A324" i="1" s="1"/>
  <c r="B240" i="1"/>
  <c r="B282" i="1" s="1"/>
  <c r="B324" i="1" s="1"/>
  <c r="E241" i="1"/>
  <c r="E199" i="1" s="1"/>
  <c r="A249" i="1"/>
  <c r="A291" i="1" s="1"/>
  <c r="A333" i="1" s="1"/>
  <c r="E252" i="1"/>
  <c r="E210" i="1" s="1"/>
  <c r="B255" i="1"/>
  <c r="B297" i="1" s="1"/>
  <c r="B339" i="1" s="1"/>
  <c r="B259" i="1"/>
  <c r="B301" i="1" s="1"/>
  <c r="B343" i="1" s="1"/>
  <c r="D263" i="1"/>
  <c r="F263" i="1"/>
  <c r="G263" i="1"/>
  <c r="H263" i="1"/>
  <c r="I263" i="1"/>
  <c r="J263" i="1"/>
  <c r="K263" i="1"/>
  <c r="L263" i="1"/>
  <c r="M263" i="1"/>
  <c r="D305" i="1"/>
  <c r="F305" i="1"/>
  <c r="G305" i="1"/>
  <c r="H305" i="1"/>
  <c r="I305" i="1"/>
  <c r="J305" i="1"/>
  <c r="K305" i="1"/>
  <c r="L305" i="1"/>
  <c r="M305" i="1"/>
  <c r="B314" i="1"/>
  <c r="F335" i="1"/>
  <c r="F209" i="1" s="1"/>
  <c r="D347" i="1"/>
  <c r="G347" i="1"/>
  <c r="H347" i="1"/>
  <c r="I347" i="1"/>
  <c r="J347" i="1"/>
  <c r="K347" i="1"/>
  <c r="L347" i="1"/>
  <c r="M347" i="1"/>
  <c r="G31" i="6" l="1"/>
  <c r="H31" i="6" s="1"/>
  <c r="G23" i="6"/>
  <c r="H23" i="6" s="1"/>
  <c r="G11" i="6"/>
  <c r="H11" i="6" s="1"/>
  <c r="G24" i="6"/>
  <c r="H24" i="6" s="1"/>
  <c r="G29" i="6"/>
  <c r="H29" i="6" s="1"/>
  <c r="G38" i="6"/>
  <c r="H38" i="6" s="1"/>
  <c r="G33" i="6"/>
  <c r="H33" i="6" s="1"/>
  <c r="H16" i="6"/>
  <c r="G16" i="6"/>
  <c r="H21" i="6"/>
  <c r="G21" i="6"/>
  <c r="H36" i="6"/>
  <c r="G36" i="6"/>
  <c r="H35" i="6"/>
  <c r="G35" i="6"/>
  <c r="H18" i="6"/>
  <c r="G18" i="6"/>
  <c r="H34" i="6"/>
  <c r="G34" i="6"/>
  <c r="H25" i="6"/>
  <c r="G25" i="6"/>
  <c r="H14" i="6"/>
  <c r="G14" i="6"/>
  <c r="H30" i="6"/>
  <c r="G30" i="6"/>
  <c r="H17" i="6"/>
  <c r="G17" i="6"/>
  <c r="H15" i="6"/>
  <c r="G15" i="6"/>
  <c r="H39" i="6"/>
  <c r="G39" i="6"/>
  <c r="H7" i="6"/>
  <c r="G7" i="6"/>
  <c r="H27" i="6"/>
  <c r="G27" i="6"/>
  <c r="H40" i="6"/>
  <c r="G40" i="6"/>
  <c r="H8" i="6"/>
  <c r="G8" i="6"/>
  <c r="H13" i="6"/>
  <c r="G13" i="6"/>
  <c r="H28" i="6"/>
  <c r="G28" i="6"/>
  <c r="H19" i="6"/>
  <c r="G19" i="6"/>
  <c r="H32" i="6"/>
  <c r="G32" i="6"/>
  <c r="H37" i="6"/>
  <c r="G37" i="6"/>
  <c r="H5" i="6"/>
  <c r="G5" i="6"/>
  <c r="H12" i="6"/>
  <c r="G12" i="6"/>
  <c r="H10" i="6"/>
  <c r="G10" i="6"/>
  <c r="H26" i="6"/>
  <c r="G26" i="6"/>
  <c r="H9" i="6"/>
  <c r="G9" i="6"/>
  <c r="H20" i="6"/>
  <c r="G20" i="6"/>
  <c r="H22" i="6"/>
  <c r="G22" i="6"/>
  <c r="H6" i="6"/>
  <c r="G6" i="6"/>
  <c r="H41" i="6"/>
  <c r="G41" i="6"/>
  <c r="H43" i="3"/>
  <c r="K4" i="6"/>
  <c r="L4" i="6" s="1"/>
  <c r="J42" i="6"/>
  <c r="K42" i="6" s="1"/>
  <c r="D43" i="3"/>
  <c r="F43" i="3"/>
  <c r="J43" i="3"/>
  <c r="M43" i="3"/>
  <c r="E43" i="3"/>
  <c r="I43" i="3"/>
  <c r="L43" i="3"/>
  <c r="K43" i="3"/>
  <c r="G43" i="3"/>
  <c r="H4" i="6"/>
  <c r="F42" i="6"/>
  <c r="G42" i="6" s="1"/>
  <c r="E157" i="1"/>
  <c r="E64" i="1" s="1"/>
  <c r="F347" i="1"/>
  <c r="F221" i="1"/>
  <c r="D221" i="1"/>
  <c r="J221" i="1"/>
  <c r="E171" i="1"/>
  <c r="E78" i="1" s="1"/>
  <c r="E165" i="1"/>
  <c r="E72" i="1" s="1"/>
  <c r="E161" i="1"/>
  <c r="E68" i="1" s="1"/>
  <c r="E153" i="1"/>
  <c r="E60" i="1" s="1"/>
  <c r="E143" i="1"/>
  <c r="E50" i="1" s="1"/>
  <c r="E149" i="1"/>
  <c r="E56" i="1" s="1"/>
  <c r="F178" i="1"/>
  <c r="F85" i="1" s="1"/>
  <c r="F176" i="1"/>
  <c r="F83" i="1" s="1"/>
  <c r="F170" i="1"/>
  <c r="F77" i="1" s="1"/>
  <c r="F164" i="1"/>
  <c r="F71" i="1" s="1"/>
  <c r="F160" i="1"/>
  <c r="F67" i="1" s="1"/>
  <c r="F152" i="1"/>
  <c r="F59" i="1" s="1"/>
  <c r="F148" i="1"/>
  <c r="F55" i="1" s="1"/>
  <c r="F144" i="1"/>
  <c r="F51" i="1" s="1"/>
  <c r="F156" i="1"/>
  <c r="F63" i="1" s="1"/>
  <c r="L221" i="1"/>
  <c r="H221" i="1"/>
  <c r="M178" i="1"/>
  <c r="M85" i="1" s="1"/>
  <c r="K178" i="1"/>
  <c r="K85" i="1" s="1"/>
  <c r="I178" i="1"/>
  <c r="I85" i="1" s="1"/>
  <c r="G178" i="1"/>
  <c r="G85" i="1" s="1"/>
  <c r="L177" i="1"/>
  <c r="L84" i="1" s="1"/>
  <c r="J177" i="1"/>
  <c r="J84" i="1" s="1"/>
  <c r="H177" i="1"/>
  <c r="H84" i="1" s="1"/>
  <c r="D177" i="1"/>
  <c r="D84" i="1" s="1"/>
  <c r="M176" i="1"/>
  <c r="M83" i="1" s="1"/>
  <c r="K176" i="1"/>
  <c r="K83" i="1" s="1"/>
  <c r="I176" i="1"/>
  <c r="I83" i="1" s="1"/>
  <c r="G176" i="1"/>
  <c r="G83" i="1" s="1"/>
  <c r="M175" i="1"/>
  <c r="M82" i="1" s="1"/>
  <c r="K175" i="1"/>
  <c r="K82" i="1" s="1"/>
  <c r="I175" i="1"/>
  <c r="I82" i="1" s="1"/>
  <c r="G175" i="1"/>
  <c r="G82" i="1" s="1"/>
  <c r="E175" i="1"/>
  <c r="E82" i="1" s="1"/>
  <c r="E174" i="1"/>
  <c r="E81" i="1" s="1"/>
  <c r="K173" i="1"/>
  <c r="K80" i="1" s="1"/>
  <c r="G173" i="1"/>
  <c r="G80" i="1" s="1"/>
  <c r="L171" i="1"/>
  <c r="L78" i="1" s="1"/>
  <c r="J171" i="1"/>
  <c r="J78" i="1" s="1"/>
  <c r="H171" i="1"/>
  <c r="H78" i="1" s="1"/>
  <c r="D171" i="1"/>
  <c r="D78" i="1" s="1"/>
  <c r="M170" i="1"/>
  <c r="M77" i="1" s="1"/>
  <c r="K170" i="1"/>
  <c r="K77" i="1" s="1"/>
  <c r="I170" i="1"/>
  <c r="I77" i="1" s="1"/>
  <c r="G170" i="1"/>
  <c r="G77" i="1" s="1"/>
  <c r="L169" i="1"/>
  <c r="L76" i="1" s="1"/>
  <c r="J169" i="1"/>
  <c r="J76" i="1" s="1"/>
  <c r="H169" i="1"/>
  <c r="H76" i="1" s="1"/>
  <c r="D169" i="1"/>
  <c r="D76" i="1" s="1"/>
  <c r="M168" i="1"/>
  <c r="M75" i="1" s="1"/>
  <c r="K168" i="1"/>
  <c r="K75" i="1" s="1"/>
  <c r="I168" i="1"/>
  <c r="I75" i="1" s="1"/>
  <c r="G168" i="1"/>
  <c r="G75" i="1" s="1"/>
  <c r="L167" i="1"/>
  <c r="L74" i="1" s="1"/>
  <c r="J167" i="1"/>
  <c r="J74" i="1" s="1"/>
  <c r="H167" i="1"/>
  <c r="H74" i="1" s="1"/>
  <c r="E167" i="1"/>
  <c r="E74" i="1" s="1"/>
  <c r="L165" i="1"/>
  <c r="L72" i="1" s="1"/>
  <c r="J165" i="1"/>
  <c r="J72" i="1" s="1"/>
  <c r="H165" i="1"/>
  <c r="H72" i="1" s="1"/>
  <c r="D165" i="1"/>
  <c r="D72" i="1" s="1"/>
  <c r="M164" i="1"/>
  <c r="M71" i="1" s="1"/>
  <c r="K164" i="1"/>
  <c r="K71" i="1" s="1"/>
  <c r="I164" i="1"/>
  <c r="I71" i="1" s="1"/>
  <c r="G164" i="1"/>
  <c r="G71" i="1" s="1"/>
  <c r="M163" i="1"/>
  <c r="M70" i="1" s="1"/>
  <c r="I163" i="1"/>
  <c r="I70" i="1" s="1"/>
  <c r="E163" i="1"/>
  <c r="E70" i="1" s="1"/>
  <c r="L161" i="1"/>
  <c r="L68" i="1" s="1"/>
  <c r="J161" i="1"/>
  <c r="J68" i="1" s="1"/>
  <c r="H161" i="1"/>
  <c r="H68" i="1" s="1"/>
  <c r="D161" i="1"/>
  <c r="D68" i="1" s="1"/>
  <c r="M160" i="1"/>
  <c r="M67" i="1" s="1"/>
  <c r="K160" i="1"/>
  <c r="K67" i="1" s="1"/>
  <c r="I160" i="1"/>
  <c r="I67" i="1" s="1"/>
  <c r="G160" i="1"/>
  <c r="G67" i="1" s="1"/>
  <c r="M159" i="1"/>
  <c r="M66" i="1" s="1"/>
  <c r="I159" i="1"/>
  <c r="I66" i="1" s="1"/>
  <c r="E159" i="1"/>
  <c r="E66" i="1" s="1"/>
  <c r="L157" i="1"/>
  <c r="L64" i="1" s="1"/>
  <c r="J157" i="1"/>
  <c r="J64" i="1" s="1"/>
  <c r="H157" i="1"/>
  <c r="H64" i="1" s="1"/>
  <c r="D157" i="1"/>
  <c r="D64" i="1" s="1"/>
  <c r="M156" i="1"/>
  <c r="M63" i="1" s="1"/>
  <c r="K156" i="1"/>
  <c r="K63" i="1" s="1"/>
  <c r="I156" i="1"/>
  <c r="I63" i="1" s="1"/>
  <c r="G156" i="1"/>
  <c r="G63" i="1" s="1"/>
  <c r="M155" i="1"/>
  <c r="M62" i="1" s="1"/>
  <c r="I155" i="1"/>
  <c r="I62" i="1" s="1"/>
  <c r="E155" i="1"/>
  <c r="E62" i="1" s="1"/>
  <c r="L153" i="1"/>
  <c r="L60" i="1" s="1"/>
  <c r="J153" i="1"/>
  <c r="J60" i="1" s="1"/>
  <c r="H153" i="1"/>
  <c r="H60" i="1" s="1"/>
  <c r="D153" i="1"/>
  <c r="D60" i="1" s="1"/>
  <c r="M152" i="1"/>
  <c r="M59" i="1" s="1"/>
  <c r="K152" i="1"/>
  <c r="K59" i="1" s="1"/>
  <c r="I152" i="1"/>
  <c r="I59" i="1" s="1"/>
  <c r="G152" i="1"/>
  <c r="G59" i="1" s="1"/>
  <c r="M151" i="1"/>
  <c r="M58" i="1" s="1"/>
  <c r="I151" i="1"/>
  <c r="I58" i="1" s="1"/>
  <c r="E151" i="1"/>
  <c r="E58" i="1" s="1"/>
  <c r="L149" i="1"/>
  <c r="L56" i="1" s="1"/>
  <c r="J149" i="1"/>
  <c r="J56" i="1" s="1"/>
  <c r="H149" i="1"/>
  <c r="H56" i="1" s="1"/>
  <c r="D149" i="1"/>
  <c r="D56" i="1" s="1"/>
  <c r="M148" i="1"/>
  <c r="M55" i="1" s="1"/>
  <c r="K148" i="1"/>
  <c r="K55" i="1" s="1"/>
  <c r="I148" i="1"/>
  <c r="I55" i="1" s="1"/>
  <c r="G148" i="1"/>
  <c r="G55" i="1" s="1"/>
  <c r="L147" i="1"/>
  <c r="L54" i="1" s="1"/>
  <c r="J147" i="1"/>
  <c r="J54" i="1" s="1"/>
  <c r="H147" i="1"/>
  <c r="H54" i="1" s="1"/>
  <c r="J146" i="1"/>
  <c r="J53" i="1" s="1"/>
  <c r="L145" i="1"/>
  <c r="L52" i="1" s="1"/>
  <c r="J145" i="1"/>
  <c r="J52" i="1" s="1"/>
  <c r="H145" i="1"/>
  <c r="H52" i="1" s="1"/>
  <c r="M144" i="1"/>
  <c r="M51" i="1" s="1"/>
  <c r="K144" i="1"/>
  <c r="K51" i="1" s="1"/>
  <c r="I144" i="1"/>
  <c r="I51" i="1" s="1"/>
  <c r="G144" i="1"/>
  <c r="G51" i="1" s="1"/>
  <c r="M143" i="1"/>
  <c r="M50" i="1" s="1"/>
  <c r="K143" i="1"/>
  <c r="K50" i="1" s="1"/>
  <c r="I143" i="1"/>
  <c r="I50" i="1" s="1"/>
  <c r="G143" i="1"/>
  <c r="G50" i="1" s="1"/>
  <c r="M142" i="1"/>
  <c r="M49" i="1" s="1"/>
  <c r="K142" i="1"/>
  <c r="K49" i="1" s="1"/>
  <c r="I142" i="1"/>
  <c r="I49" i="1" s="1"/>
  <c r="G142" i="1"/>
  <c r="G49" i="1" s="1"/>
  <c r="J178" i="1"/>
  <c r="J85" i="1" s="1"/>
  <c r="M177" i="1"/>
  <c r="M84" i="1" s="1"/>
  <c r="E177" i="1"/>
  <c r="E84" i="1" s="1"/>
  <c r="J176" i="1"/>
  <c r="J83" i="1" s="1"/>
  <c r="L174" i="1"/>
  <c r="L81" i="1" s="1"/>
  <c r="H174" i="1"/>
  <c r="H81" i="1" s="1"/>
  <c r="D174" i="1"/>
  <c r="D81" i="1" s="1"/>
  <c r="I173" i="1"/>
  <c r="I80" i="1" s="1"/>
  <c r="L172" i="1"/>
  <c r="L79" i="1" s="1"/>
  <c r="H172" i="1"/>
  <c r="H79" i="1" s="1"/>
  <c r="D172" i="1"/>
  <c r="D79" i="1" s="1"/>
  <c r="J170" i="1"/>
  <c r="J77" i="1" s="1"/>
  <c r="M169" i="1"/>
  <c r="M76" i="1" s="1"/>
  <c r="E169" i="1"/>
  <c r="E76" i="1" s="1"/>
  <c r="J168" i="1"/>
  <c r="J75" i="1" s="1"/>
  <c r="F168" i="1"/>
  <c r="F75" i="1" s="1"/>
  <c r="L166" i="1"/>
  <c r="L73" i="1" s="1"/>
  <c r="H166" i="1"/>
  <c r="H73" i="1" s="1"/>
  <c r="D166" i="1"/>
  <c r="D73" i="1" s="1"/>
  <c r="J164" i="1"/>
  <c r="J71" i="1" s="1"/>
  <c r="K163" i="1"/>
  <c r="K70" i="1" s="1"/>
  <c r="L162" i="1"/>
  <c r="L69" i="1" s="1"/>
  <c r="H162" i="1"/>
  <c r="H69" i="1" s="1"/>
  <c r="D162" i="1"/>
  <c r="D69" i="1" s="1"/>
  <c r="J160" i="1"/>
  <c r="J67" i="1" s="1"/>
  <c r="K159" i="1"/>
  <c r="K66" i="1" s="1"/>
  <c r="L158" i="1"/>
  <c r="L65" i="1" s="1"/>
  <c r="H158" i="1"/>
  <c r="H65" i="1" s="1"/>
  <c r="D158" i="1"/>
  <c r="D65" i="1" s="1"/>
  <c r="J156" i="1"/>
  <c r="J63" i="1" s="1"/>
  <c r="K155" i="1"/>
  <c r="K62" i="1" s="1"/>
  <c r="L154" i="1"/>
  <c r="L61" i="1" s="1"/>
  <c r="H154" i="1"/>
  <c r="H61" i="1" s="1"/>
  <c r="D154" i="1"/>
  <c r="D61" i="1" s="1"/>
  <c r="J152" i="1"/>
  <c r="J59" i="1" s="1"/>
  <c r="K151" i="1"/>
  <c r="K58" i="1" s="1"/>
  <c r="L150" i="1"/>
  <c r="L57" i="1" s="1"/>
  <c r="H150" i="1"/>
  <c r="H57" i="1" s="1"/>
  <c r="D150" i="1"/>
  <c r="D57" i="1" s="1"/>
  <c r="J148" i="1"/>
  <c r="J55" i="1" s="1"/>
  <c r="E147" i="1"/>
  <c r="E54" i="1" s="1"/>
  <c r="H146" i="1"/>
  <c r="H53" i="1" s="1"/>
  <c r="K145" i="1"/>
  <c r="K52" i="1" s="1"/>
  <c r="H142" i="1"/>
  <c r="H49" i="1" s="1"/>
  <c r="E178" i="1"/>
  <c r="E85" i="1" s="1"/>
  <c r="K177" i="1"/>
  <c r="K84" i="1" s="1"/>
  <c r="G177" i="1"/>
  <c r="G84" i="1" s="1"/>
  <c r="L175" i="1"/>
  <c r="L82" i="1" s="1"/>
  <c r="J175" i="1"/>
  <c r="J82" i="1" s="1"/>
  <c r="H175" i="1"/>
  <c r="H82" i="1" s="1"/>
  <c r="D175" i="1"/>
  <c r="D82" i="1" s="1"/>
  <c r="M174" i="1"/>
  <c r="M81" i="1" s="1"/>
  <c r="K174" i="1"/>
  <c r="K81" i="1" s="1"/>
  <c r="I174" i="1"/>
  <c r="I81" i="1" s="1"/>
  <c r="G174" i="1"/>
  <c r="G81" i="1" s="1"/>
  <c r="L173" i="1"/>
  <c r="L80" i="1" s="1"/>
  <c r="J173" i="1"/>
  <c r="J80" i="1" s="1"/>
  <c r="H173" i="1"/>
  <c r="H80" i="1" s="1"/>
  <c r="D173" i="1"/>
  <c r="D80" i="1" s="1"/>
  <c r="M172" i="1"/>
  <c r="M79" i="1" s="1"/>
  <c r="K172" i="1"/>
  <c r="K79" i="1" s="1"/>
  <c r="I172" i="1"/>
  <c r="I79" i="1" s="1"/>
  <c r="G172" i="1"/>
  <c r="G79" i="1" s="1"/>
  <c r="M171" i="1"/>
  <c r="M78" i="1" s="1"/>
  <c r="K171" i="1"/>
  <c r="K78" i="1" s="1"/>
  <c r="I171" i="1"/>
  <c r="I78" i="1" s="1"/>
  <c r="G171" i="1"/>
  <c r="G78" i="1" s="1"/>
  <c r="E170" i="1"/>
  <c r="E77" i="1" s="1"/>
  <c r="K169" i="1"/>
  <c r="K76" i="1" s="1"/>
  <c r="G169" i="1"/>
  <c r="G76" i="1" s="1"/>
  <c r="M167" i="1"/>
  <c r="M74" i="1" s="1"/>
  <c r="K167" i="1"/>
  <c r="K74" i="1" s="1"/>
  <c r="I167" i="1"/>
  <c r="I74" i="1" s="1"/>
  <c r="G167" i="1"/>
  <c r="G74" i="1" s="1"/>
  <c r="D167" i="1"/>
  <c r="D74" i="1" s="1"/>
  <c r="M166" i="1"/>
  <c r="M73" i="1" s="1"/>
  <c r="K166" i="1"/>
  <c r="K73" i="1" s="1"/>
  <c r="I166" i="1"/>
  <c r="I73" i="1" s="1"/>
  <c r="G166" i="1"/>
  <c r="G73" i="1" s="1"/>
  <c r="M165" i="1"/>
  <c r="M72" i="1" s="1"/>
  <c r="K165" i="1"/>
  <c r="K72" i="1" s="1"/>
  <c r="I165" i="1"/>
  <c r="I72" i="1" s="1"/>
  <c r="G165" i="1"/>
  <c r="G72" i="1" s="1"/>
  <c r="E164" i="1"/>
  <c r="E71" i="1" s="1"/>
  <c r="L163" i="1"/>
  <c r="L70" i="1" s="1"/>
  <c r="J163" i="1"/>
  <c r="J70" i="1" s="1"/>
  <c r="H163" i="1"/>
  <c r="H70" i="1" s="1"/>
  <c r="D163" i="1"/>
  <c r="D70" i="1" s="1"/>
  <c r="M162" i="1"/>
  <c r="M69" i="1" s="1"/>
  <c r="K162" i="1"/>
  <c r="K69" i="1" s="1"/>
  <c r="I162" i="1"/>
  <c r="I69" i="1" s="1"/>
  <c r="G162" i="1"/>
  <c r="G69" i="1" s="1"/>
  <c r="M161" i="1"/>
  <c r="M68" i="1" s="1"/>
  <c r="K161" i="1"/>
  <c r="K68" i="1" s="1"/>
  <c r="I161" i="1"/>
  <c r="I68" i="1" s="1"/>
  <c r="G161" i="1"/>
  <c r="G68" i="1" s="1"/>
  <c r="E160" i="1"/>
  <c r="E67" i="1" s="1"/>
  <c r="L159" i="1"/>
  <c r="L66" i="1" s="1"/>
  <c r="J159" i="1"/>
  <c r="J66" i="1" s="1"/>
  <c r="H159" i="1"/>
  <c r="H66" i="1" s="1"/>
  <c r="D159" i="1"/>
  <c r="D66" i="1" s="1"/>
  <c r="M158" i="1"/>
  <c r="M65" i="1" s="1"/>
  <c r="K158" i="1"/>
  <c r="K65" i="1" s="1"/>
  <c r="I158" i="1"/>
  <c r="I65" i="1" s="1"/>
  <c r="G158" i="1"/>
  <c r="G65" i="1" s="1"/>
  <c r="M157" i="1"/>
  <c r="M64" i="1" s="1"/>
  <c r="K157" i="1"/>
  <c r="K64" i="1" s="1"/>
  <c r="I157" i="1"/>
  <c r="I64" i="1" s="1"/>
  <c r="G157" i="1"/>
  <c r="G64" i="1" s="1"/>
  <c r="E156" i="1"/>
  <c r="E63" i="1" s="1"/>
  <c r="L155" i="1"/>
  <c r="L62" i="1" s="1"/>
  <c r="J155" i="1"/>
  <c r="J62" i="1" s="1"/>
  <c r="H155" i="1"/>
  <c r="H62" i="1" s="1"/>
  <c r="D155" i="1"/>
  <c r="D62" i="1" s="1"/>
  <c r="M154" i="1"/>
  <c r="M61" i="1" s="1"/>
  <c r="K154" i="1"/>
  <c r="K61" i="1" s="1"/>
  <c r="I154" i="1"/>
  <c r="I61" i="1" s="1"/>
  <c r="G154" i="1"/>
  <c r="G61" i="1" s="1"/>
  <c r="M153" i="1"/>
  <c r="M60" i="1" s="1"/>
  <c r="K153" i="1"/>
  <c r="K60" i="1" s="1"/>
  <c r="I153" i="1"/>
  <c r="I60" i="1" s="1"/>
  <c r="G153" i="1"/>
  <c r="G60" i="1" s="1"/>
  <c r="E152" i="1"/>
  <c r="E59" i="1" s="1"/>
  <c r="L151" i="1"/>
  <c r="L58" i="1" s="1"/>
  <c r="J151" i="1"/>
  <c r="J58" i="1" s="1"/>
  <c r="H151" i="1"/>
  <c r="H58" i="1" s="1"/>
  <c r="D151" i="1"/>
  <c r="D58" i="1" s="1"/>
  <c r="M150" i="1"/>
  <c r="M57" i="1" s="1"/>
  <c r="K150" i="1"/>
  <c r="K57" i="1" s="1"/>
  <c r="I150" i="1"/>
  <c r="I57" i="1" s="1"/>
  <c r="G150" i="1"/>
  <c r="G57" i="1" s="1"/>
  <c r="M149" i="1"/>
  <c r="M56" i="1" s="1"/>
  <c r="K149" i="1"/>
  <c r="K56" i="1" s="1"/>
  <c r="I149" i="1"/>
  <c r="I56" i="1" s="1"/>
  <c r="G149" i="1"/>
  <c r="G56" i="1" s="1"/>
  <c r="K147" i="1"/>
  <c r="K54" i="1" s="1"/>
  <c r="I147" i="1"/>
  <c r="I54" i="1" s="1"/>
  <c r="G147" i="1"/>
  <c r="G54" i="1" s="1"/>
  <c r="M146" i="1"/>
  <c r="M53" i="1" s="1"/>
  <c r="K146" i="1"/>
  <c r="K53" i="1" s="1"/>
  <c r="I146" i="1"/>
  <c r="I53" i="1" s="1"/>
  <c r="G146" i="1"/>
  <c r="G53" i="1" s="1"/>
  <c r="M145" i="1"/>
  <c r="M52" i="1" s="1"/>
  <c r="I145" i="1"/>
  <c r="I52" i="1" s="1"/>
  <c r="G145" i="1"/>
  <c r="G52" i="1" s="1"/>
  <c r="L144" i="1"/>
  <c r="L51" i="1" s="1"/>
  <c r="H144" i="1"/>
  <c r="H51" i="1" s="1"/>
  <c r="L143" i="1"/>
  <c r="L50" i="1" s="1"/>
  <c r="J143" i="1"/>
  <c r="J50" i="1" s="1"/>
  <c r="H143" i="1"/>
  <c r="H50" i="1" s="1"/>
  <c r="J142" i="1"/>
  <c r="J49" i="1" s="1"/>
  <c r="L141" i="1"/>
  <c r="L48" i="1" s="1"/>
  <c r="J141" i="1"/>
  <c r="J48" i="1" s="1"/>
  <c r="H141" i="1"/>
  <c r="H48" i="1" s="1"/>
  <c r="L178" i="1"/>
  <c r="L85" i="1" s="1"/>
  <c r="H178" i="1"/>
  <c r="H85" i="1" s="1"/>
  <c r="D178" i="1"/>
  <c r="D85" i="1" s="1"/>
  <c r="I177" i="1"/>
  <c r="I84" i="1" s="1"/>
  <c r="L176" i="1"/>
  <c r="L83" i="1" s="1"/>
  <c r="H176" i="1"/>
  <c r="H83" i="1" s="1"/>
  <c r="D176" i="1"/>
  <c r="D83" i="1" s="1"/>
  <c r="J174" i="1"/>
  <c r="J81" i="1" s="1"/>
  <c r="F174" i="1"/>
  <c r="F81" i="1" s="1"/>
  <c r="M173" i="1"/>
  <c r="M80" i="1" s="1"/>
  <c r="E173" i="1"/>
  <c r="E80" i="1" s="1"/>
  <c r="J172" i="1"/>
  <c r="J79" i="1" s="1"/>
  <c r="F172" i="1"/>
  <c r="F79" i="1" s="1"/>
  <c r="L170" i="1"/>
  <c r="L77" i="1" s="1"/>
  <c r="H170" i="1"/>
  <c r="H77" i="1" s="1"/>
  <c r="D170" i="1"/>
  <c r="D77" i="1" s="1"/>
  <c r="I169" i="1"/>
  <c r="I76" i="1" s="1"/>
  <c r="L168" i="1"/>
  <c r="L75" i="1" s="1"/>
  <c r="H168" i="1"/>
  <c r="H75" i="1" s="1"/>
  <c r="D168" i="1"/>
  <c r="D75" i="1" s="1"/>
  <c r="J166" i="1"/>
  <c r="J73" i="1" s="1"/>
  <c r="F166" i="1"/>
  <c r="F73" i="1" s="1"/>
  <c r="L164" i="1"/>
  <c r="L71" i="1" s="1"/>
  <c r="H164" i="1"/>
  <c r="H71" i="1" s="1"/>
  <c r="D164" i="1"/>
  <c r="D71" i="1" s="1"/>
  <c r="G163" i="1"/>
  <c r="G70" i="1" s="1"/>
  <c r="J162" i="1"/>
  <c r="J69" i="1" s="1"/>
  <c r="F162" i="1"/>
  <c r="F69" i="1" s="1"/>
  <c r="L160" i="1"/>
  <c r="L67" i="1" s="1"/>
  <c r="H160" i="1"/>
  <c r="H67" i="1" s="1"/>
  <c r="D160" i="1"/>
  <c r="D67" i="1" s="1"/>
  <c r="G159" i="1"/>
  <c r="G66" i="1" s="1"/>
  <c r="J158" i="1"/>
  <c r="J65" i="1" s="1"/>
  <c r="F158" i="1"/>
  <c r="F65" i="1" s="1"/>
  <c r="L156" i="1"/>
  <c r="L63" i="1" s="1"/>
  <c r="H156" i="1"/>
  <c r="H63" i="1" s="1"/>
  <c r="D156" i="1"/>
  <c r="D63" i="1" s="1"/>
  <c r="G155" i="1"/>
  <c r="G62" i="1" s="1"/>
  <c r="J154" i="1"/>
  <c r="J61" i="1" s="1"/>
  <c r="F154" i="1"/>
  <c r="F61" i="1" s="1"/>
  <c r="L152" i="1"/>
  <c r="L59" i="1" s="1"/>
  <c r="H152" i="1"/>
  <c r="H59" i="1" s="1"/>
  <c r="D152" i="1"/>
  <c r="D59" i="1" s="1"/>
  <c r="G151" i="1"/>
  <c r="G58" i="1" s="1"/>
  <c r="J150" i="1"/>
  <c r="J57" i="1" s="1"/>
  <c r="F150" i="1"/>
  <c r="F57" i="1" s="1"/>
  <c r="L148" i="1"/>
  <c r="L55" i="1" s="1"/>
  <c r="H148" i="1"/>
  <c r="H55" i="1" s="1"/>
  <c r="M147" i="1"/>
  <c r="M54" i="1" s="1"/>
  <c r="L146" i="1"/>
  <c r="L53" i="1" s="1"/>
  <c r="D146" i="1"/>
  <c r="D53" i="1" s="1"/>
  <c r="J144" i="1"/>
  <c r="J51" i="1" s="1"/>
  <c r="L142" i="1"/>
  <c r="L49" i="1" s="1"/>
  <c r="D142" i="1"/>
  <c r="D49" i="1" s="1"/>
  <c r="M141" i="1"/>
  <c r="M48" i="1" s="1"/>
  <c r="M221" i="1"/>
  <c r="K221" i="1"/>
  <c r="I141" i="1"/>
  <c r="I48" i="1" s="1"/>
  <c r="I221" i="1"/>
  <c r="G221" i="1"/>
  <c r="G141" i="1"/>
  <c r="G48" i="1" s="1"/>
  <c r="E176" i="1"/>
  <c r="E83" i="1" s="1"/>
  <c r="E172" i="1"/>
  <c r="E79" i="1" s="1"/>
  <c r="E168" i="1"/>
  <c r="E75" i="1" s="1"/>
  <c r="E166" i="1"/>
  <c r="E73" i="1" s="1"/>
  <c r="E162" i="1"/>
  <c r="E69" i="1" s="1"/>
  <c r="E158" i="1"/>
  <c r="E65" i="1" s="1"/>
  <c r="E154" i="1"/>
  <c r="E61" i="1" s="1"/>
  <c r="E150" i="1"/>
  <c r="E57" i="1" s="1"/>
  <c r="K141" i="1"/>
  <c r="K48" i="1" s="1"/>
  <c r="E148" i="1"/>
  <c r="E55" i="1" s="1"/>
  <c r="D147" i="1"/>
  <c r="D54" i="1" s="1"/>
  <c r="F147" i="1"/>
  <c r="F54" i="1" s="1"/>
  <c r="E146" i="1"/>
  <c r="E53" i="1" s="1"/>
  <c r="D145" i="1"/>
  <c r="D52" i="1" s="1"/>
  <c r="F145" i="1"/>
  <c r="F52" i="1" s="1"/>
  <c r="E144" i="1"/>
  <c r="E51" i="1" s="1"/>
  <c r="D143" i="1"/>
  <c r="D50" i="1" s="1"/>
  <c r="F143" i="1"/>
  <c r="F50" i="1" s="1"/>
  <c r="E142" i="1"/>
  <c r="E49" i="1" s="1"/>
  <c r="D141" i="1"/>
  <c r="D48" i="1" s="1"/>
  <c r="F141" i="1"/>
  <c r="F48" i="1" s="1"/>
  <c r="F177" i="1"/>
  <c r="F84" i="1" s="1"/>
  <c r="F175" i="1"/>
  <c r="F82" i="1" s="1"/>
  <c r="F173" i="1"/>
  <c r="F80" i="1" s="1"/>
  <c r="F171" i="1"/>
  <c r="F78" i="1" s="1"/>
  <c r="F169" i="1"/>
  <c r="F76" i="1" s="1"/>
  <c r="F167" i="1"/>
  <c r="F74" i="1" s="1"/>
  <c r="F165" i="1"/>
  <c r="F72" i="1" s="1"/>
  <c r="F163" i="1"/>
  <c r="F70" i="1" s="1"/>
  <c r="F161" i="1"/>
  <c r="F68" i="1" s="1"/>
  <c r="F159" i="1"/>
  <c r="F66" i="1" s="1"/>
  <c r="F157" i="1"/>
  <c r="F64" i="1" s="1"/>
  <c r="F155" i="1"/>
  <c r="F62" i="1" s="1"/>
  <c r="F153" i="1"/>
  <c r="F60" i="1" s="1"/>
  <c r="F151" i="1"/>
  <c r="F58" i="1" s="1"/>
  <c r="F149" i="1"/>
  <c r="F56" i="1" s="1"/>
  <c r="D148" i="1"/>
  <c r="D55" i="1" s="1"/>
  <c r="F146" i="1"/>
  <c r="F53" i="1" s="1"/>
  <c r="E145" i="1"/>
  <c r="E52" i="1" s="1"/>
  <c r="D144" i="1"/>
  <c r="D51" i="1" s="1"/>
  <c r="F142" i="1"/>
  <c r="F49" i="1" s="1"/>
  <c r="E141" i="1"/>
  <c r="E48" i="1" s="1"/>
  <c r="H42" i="6" l="1"/>
  <c r="G44" i="6"/>
  <c r="K44" i="6"/>
  <c r="L42" i="6"/>
  <c r="C48" i="1"/>
  <c r="P48" i="1" s="1"/>
  <c r="C178" i="1"/>
  <c r="C152" i="1"/>
  <c r="K86" i="1"/>
  <c r="I86" i="1"/>
  <c r="C170" i="1"/>
  <c r="C160" i="1"/>
  <c r="C167" i="1"/>
  <c r="C175" i="1"/>
  <c r="J179" i="1"/>
  <c r="C166" i="1"/>
  <c r="H86" i="1"/>
  <c r="J86" i="1"/>
  <c r="L86" i="1"/>
  <c r="C155" i="1"/>
  <c r="C159" i="1"/>
  <c r="H179" i="1"/>
  <c r="L179" i="1"/>
  <c r="C174" i="1"/>
  <c r="C150" i="1"/>
  <c r="C158" i="1"/>
  <c r="C172" i="1"/>
  <c r="G86" i="1"/>
  <c r="C156" i="1"/>
  <c r="C164" i="1"/>
  <c r="M86" i="1"/>
  <c r="E179" i="1"/>
  <c r="C144" i="1"/>
  <c r="C165" i="1"/>
  <c r="C173" i="1"/>
  <c r="C177" i="1"/>
  <c r="F179" i="1"/>
  <c r="C146" i="1"/>
  <c r="C157" i="1"/>
  <c r="I179" i="1"/>
  <c r="C148" i="1"/>
  <c r="C163" i="1"/>
  <c r="C171" i="1"/>
  <c r="D179" i="1"/>
  <c r="C141" i="1"/>
  <c r="C143" i="1"/>
  <c r="C145" i="1"/>
  <c r="C147" i="1"/>
  <c r="K179" i="1"/>
  <c r="C149" i="1"/>
  <c r="C153" i="1"/>
  <c r="C161" i="1"/>
  <c r="C169" i="1"/>
  <c r="C154" i="1"/>
  <c r="C162" i="1"/>
  <c r="C142" i="1"/>
  <c r="C151" i="1"/>
  <c r="G179" i="1"/>
  <c r="C168" i="1"/>
  <c r="C176" i="1"/>
  <c r="M179" i="1"/>
  <c r="C85" i="1" l="1"/>
  <c r="P85" i="1" s="1"/>
  <c r="C77" i="1"/>
  <c r="P77" i="1" s="1"/>
  <c r="C66" i="1"/>
  <c r="P66" i="1" s="1"/>
  <c r="C78" i="1"/>
  <c r="P78" i="1" s="1"/>
  <c r="C76" i="1"/>
  <c r="P76" i="1" s="1"/>
  <c r="C84" i="1"/>
  <c r="P84" i="1" s="1"/>
  <c r="C72" i="1"/>
  <c r="P72" i="1" s="1"/>
  <c r="C68" i="1"/>
  <c r="P68" i="1" s="1"/>
  <c r="C60" i="1"/>
  <c r="P60" i="1" s="1"/>
  <c r="C56" i="1"/>
  <c r="P56" i="1" s="1"/>
  <c r="C55" i="1"/>
  <c r="P55" i="1" s="1"/>
  <c r="C54" i="1"/>
  <c r="P54" i="1" s="1"/>
  <c r="C73" i="1"/>
  <c r="P73" i="1" s="1"/>
  <c r="C69" i="1"/>
  <c r="P69" i="1" s="1"/>
  <c r="C65" i="1"/>
  <c r="P65" i="1" s="1"/>
  <c r="C70" i="1"/>
  <c r="P70" i="1" s="1"/>
  <c r="C83" i="1"/>
  <c r="P83" i="1" s="1"/>
  <c r="C81" i="1"/>
  <c r="P81" i="1" s="1"/>
  <c r="C75" i="1"/>
  <c r="P75" i="1" s="1"/>
  <c r="C67" i="1"/>
  <c r="P67" i="1" s="1"/>
  <c r="C63" i="1"/>
  <c r="P63" i="1" s="1"/>
  <c r="C79" i="1"/>
  <c r="P79" i="1" s="1"/>
  <c r="C82" i="1"/>
  <c r="P82" i="1" s="1"/>
  <c r="C80" i="1"/>
  <c r="P80" i="1" s="1"/>
  <c r="C74" i="1"/>
  <c r="P74" i="1" s="1"/>
  <c r="C58" i="1"/>
  <c r="P58" i="1" s="1"/>
  <c r="C64" i="1"/>
  <c r="P64" i="1" s="1"/>
  <c r="C53" i="1"/>
  <c r="P53" i="1" s="1"/>
  <c r="E86" i="1"/>
  <c r="F86" i="1"/>
  <c r="C50" i="1"/>
  <c r="P50" i="1" s="1"/>
  <c r="C51" i="1"/>
  <c r="P51" i="1" s="1"/>
  <c r="C52" i="1"/>
  <c r="P52" i="1" s="1"/>
  <c r="C61" i="1"/>
  <c r="P61" i="1" s="1"/>
  <c r="C57" i="1"/>
  <c r="P57" i="1" s="1"/>
  <c r="C62" i="1"/>
  <c r="P62" i="1" s="1"/>
  <c r="C71" i="1"/>
  <c r="P71" i="1" s="1"/>
  <c r="C59" i="1"/>
  <c r="P59" i="1" s="1"/>
  <c r="C49" i="1"/>
  <c r="P49" i="1" s="1"/>
  <c r="D86" i="1"/>
  <c r="C179" i="1"/>
  <c r="P86" i="1" l="1"/>
  <c r="H40" i="1" s="1"/>
  <c r="C86" i="1"/>
  <c r="G42" i="1" l="1"/>
  <c r="L30" i="1"/>
  <c r="J21" i="1"/>
  <c r="K30" i="1"/>
  <c r="I10" i="1"/>
  <c r="G32" i="1"/>
  <c r="J10" i="1"/>
  <c r="J39" i="1"/>
  <c r="G21" i="1"/>
  <c r="L12" i="1"/>
  <c r="H34" i="1"/>
  <c r="F8" i="1"/>
  <c r="D5" i="1"/>
  <c r="J41" i="1"/>
  <c r="J31" i="1"/>
  <c r="E25" i="1"/>
  <c r="G37" i="1"/>
  <c r="L25" i="1"/>
  <c r="I16" i="1"/>
  <c r="J42" i="1"/>
  <c r="H18" i="1"/>
  <c r="K36" i="1"/>
  <c r="M25" i="1"/>
  <c r="J15" i="1"/>
  <c r="D42" i="1"/>
  <c r="D24" i="1"/>
  <c r="E22" i="1"/>
  <c r="F13" i="1"/>
  <c r="E7" i="1"/>
  <c r="J35" i="1"/>
  <c r="H25" i="1"/>
  <c r="J13" i="1"/>
  <c r="D38" i="1"/>
  <c r="G38" i="1"/>
  <c r="G20" i="1"/>
  <c r="I8" i="1"/>
  <c r="H26" i="1"/>
  <c r="K22" i="1"/>
  <c r="D14" i="1"/>
  <c r="M31" i="1"/>
  <c r="J6" i="1"/>
  <c r="H27" i="1"/>
  <c r="M17" i="1"/>
  <c r="J14" i="1"/>
  <c r="G13" i="1"/>
  <c r="F36" i="1"/>
  <c r="F10" i="1"/>
  <c r="L24" i="1"/>
  <c r="E30" i="1"/>
  <c r="L33" i="1"/>
  <c r="F41" i="1"/>
  <c r="F16" i="1"/>
  <c r="I23" i="1"/>
  <c r="M39" i="1"/>
  <c r="M28" i="1"/>
  <c r="D17" i="1"/>
  <c r="L11" i="1"/>
  <c r="K6" i="1"/>
  <c r="F32" i="1"/>
  <c r="L18" i="1"/>
  <c r="L39" i="1"/>
  <c r="M35" i="1"/>
  <c r="M29" i="1"/>
  <c r="G25" i="1"/>
  <c r="M14" i="1"/>
  <c r="J19" i="1"/>
  <c r="I9" i="1"/>
  <c r="E21" i="1"/>
  <c r="L32" i="1"/>
  <c r="M37" i="1"/>
  <c r="H42" i="1"/>
  <c r="L7" i="1"/>
  <c r="K10" i="1"/>
  <c r="M13" i="1"/>
  <c r="L15" i="1"/>
  <c r="K18" i="1"/>
  <c r="I21" i="1"/>
  <c r="H23" i="1"/>
  <c r="G26" i="1"/>
  <c r="E28" i="1"/>
  <c r="M30" i="1"/>
  <c r="E34" i="1"/>
  <c r="M36" i="1"/>
  <c r="M38" i="1"/>
  <c r="H6" i="1"/>
  <c r="K15" i="1"/>
  <c r="H22" i="1"/>
  <c r="J28" i="1"/>
  <c r="J34" i="1"/>
  <c r="J40" i="1"/>
  <c r="K7" i="1"/>
  <c r="L9" i="1"/>
  <c r="M12" i="1"/>
  <c r="G16" i="1"/>
  <c r="E19" i="1"/>
  <c r="H21" i="1"/>
  <c r="K24" i="1"/>
  <c r="M27" i="1"/>
  <c r="L29" i="1"/>
  <c r="M32" i="1"/>
  <c r="M34" i="1"/>
  <c r="E39" i="1"/>
  <c r="M40" i="1"/>
  <c r="M42" i="1"/>
  <c r="F40" i="1"/>
  <c r="E5" i="1"/>
  <c r="F17" i="1"/>
  <c r="F33" i="1"/>
  <c r="E8" i="1"/>
  <c r="E14" i="1"/>
  <c r="G5" i="1"/>
  <c r="M11" i="1"/>
  <c r="L16" i="1"/>
  <c r="J22" i="1"/>
  <c r="D28" i="1"/>
  <c r="I33" i="1"/>
  <c r="F38" i="1"/>
  <c r="L42" i="1"/>
  <c r="H8" i="1"/>
  <c r="M10" i="1"/>
  <c r="G14" i="1"/>
  <c r="E16" i="1"/>
  <c r="M18" i="1"/>
  <c r="K21" i="1"/>
  <c r="J23" i="1"/>
  <c r="I26" i="1"/>
  <c r="G29" i="1"/>
  <c r="D31" i="1"/>
  <c r="G35" i="1"/>
  <c r="D37" i="1"/>
  <c r="D39" i="1"/>
  <c r="K9" i="1"/>
  <c r="J16" i="1"/>
  <c r="L22" i="1"/>
  <c r="D30" i="1"/>
  <c r="D36" i="1"/>
  <c r="E41" i="1"/>
  <c r="I7" i="1"/>
  <c r="J9" i="1"/>
  <c r="K12" i="1"/>
  <c r="M15" i="1"/>
  <c r="L17" i="1"/>
  <c r="D21" i="1"/>
  <c r="I24" i="1"/>
  <c r="I27" i="1"/>
  <c r="J29" i="1"/>
  <c r="K32" i="1"/>
  <c r="K34" i="1"/>
  <c r="E38" i="1"/>
  <c r="K40" i="1"/>
  <c r="K42" i="1"/>
  <c r="F34" i="1"/>
  <c r="E35" i="1"/>
  <c r="F24" i="1"/>
  <c r="G40" i="1"/>
  <c r="G34" i="1"/>
  <c r="D29" i="1"/>
  <c r="M24" i="1"/>
  <c r="I19" i="1"/>
  <c r="D13" i="1"/>
  <c r="M7" i="1"/>
  <c r="L36" i="1"/>
  <c r="J24" i="1"/>
  <c r="E11" i="1"/>
  <c r="K38" i="1"/>
  <c r="K33" i="1"/>
  <c r="L27" i="1"/>
  <c r="D23" i="1"/>
  <c r="I18" i="1"/>
  <c r="K13" i="1"/>
  <c r="J7" i="1"/>
  <c r="E37" i="1"/>
  <c r="L28" i="1"/>
  <c r="J18" i="1"/>
  <c r="M5" i="1"/>
  <c r="D9" i="1"/>
  <c r="F29" i="1"/>
  <c r="E29" i="1"/>
  <c r="H33" i="1"/>
  <c r="F12" i="1"/>
  <c r="K39" i="1"/>
  <c r="J33" i="1"/>
  <c r="K28" i="1"/>
  <c r="E23" i="1"/>
  <c r="M16" i="1"/>
  <c r="J11" i="1"/>
  <c r="I6" i="1"/>
  <c r="J32" i="1"/>
  <c r="K19" i="1"/>
  <c r="G41" i="1"/>
  <c r="G36" i="1"/>
  <c r="G30" i="1"/>
  <c r="I25" i="1"/>
  <c r="L19" i="1"/>
  <c r="D15" i="1"/>
  <c r="M9" i="1"/>
  <c r="L40" i="1"/>
  <c r="J30" i="1"/>
  <c r="D20" i="1"/>
  <c r="L6" i="1"/>
  <c r="F11" i="1"/>
  <c r="F25" i="1"/>
  <c r="E17" i="1"/>
  <c r="L41" i="1"/>
  <c r="L35" i="1"/>
  <c r="L31" i="1"/>
  <c r="J25" i="1"/>
  <c r="I20" i="1"/>
  <c r="L13" i="1"/>
  <c r="K8" i="1"/>
  <c r="I37" i="1"/>
  <c r="D26" i="1"/>
  <c r="J12" i="1"/>
  <c r="L37" i="1"/>
  <c r="K31" i="1"/>
  <c r="D27" i="1"/>
  <c r="I22" i="1"/>
  <c r="K17" i="1"/>
  <c r="K11" i="1"/>
  <c r="L5" i="1"/>
  <c r="L34" i="1"/>
  <c r="F30" i="1"/>
  <c r="G6" i="1"/>
  <c r="F26" i="1"/>
  <c r="G23" i="1"/>
  <c r="H20" i="1"/>
  <c r="F18" i="1"/>
  <c r="G15" i="1"/>
  <c r="H12" i="1"/>
  <c r="J8" i="1"/>
  <c r="I5" i="1"/>
  <c r="E32" i="1"/>
  <c r="E18" i="1"/>
  <c r="D11" i="1"/>
  <c r="F9" i="1"/>
  <c r="E6" i="1"/>
  <c r="F39" i="1"/>
  <c r="F31" i="1"/>
  <c r="F23" i="1"/>
  <c r="F15" i="1"/>
  <c r="E9" i="1"/>
  <c r="F20" i="1"/>
  <c r="F42" i="1"/>
  <c r="D41" i="1"/>
  <c r="G39" i="1"/>
  <c r="D35" i="1"/>
  <c r="D33" i="1"/>
  <c r="E31" i="1"/>
  <c r="G28" i="1"/>
  <c r="M23" i="1"/>
  <c r="K20" i="1"/>
  <c r="H17" i="1"/>
  <c r="E15" i="1"/>
  <c r="G12" i="1"/>
  <c r="M8" i="1"/>
  <c r="M6" i="1"/>
  <c r="L38" i="1"/>
  <c r="M33" i="1"/>
  <c r="K27" i="1"/>
  <c r="D22" i="1"/>
  <c r="L14" i="1"/>
  <c r="E42" i="1"/>
  <c r="K35" i="1"/>
  <c r="K29" i="1"/>
  <c r="J37" i="1"/>
  <c r="I31" i="1"/>
  <c r="M26" i="1"/>
  <c r="E24" i="1"/>
  <c r="G22" i="1"/>
  <c r="H19" i="1"/>
  <c r="I17" i="1"/>
  <c r="K14" i="1"/>
  <c r="I11" i="1"/>
  <c r="G9" i="1"/>
  <c r="J5" i="1"/>
  <c r="D40" i="1"/>
  <c r="H32" i="1"/>
  <c r="J26" i="1"/>
  <c r="D16" i="1"/>
  <c r="E36" i="1"/>
  <c r="F7" i="1"/>
  <c r="F21" i="1"/>
  <c r="E13" i="1"/>
  <c r="H41" i="1"/>
  <c r="L20" i="1"/>
  <c r="D10" i="1"/>
  <c r="E12" i="1"/>
  <c r="F37" i="1"/>
  <c r="D8" i="1"/>
  <c r="F28" i="1"/>
  <c r="I39" i="1"/>
  <c r="H35" i="1"/>
  <c r="I42" i="1"/>
  <c r="I40" i="1"/>
  <c r="K37" i="1"/>
  <c r="I32" i="1"/>
  <c r="I34" i="1"/>
  <c r="H29" i="1"/>
  <c r="H31" i="1"/>
  <c r="E27" i="1"/>
  <c r="I28" i="1"/>
  <c r="D25" i="1"/>
  <c r="G24" i="1"/>
  <c r="L21" i="1"/>
  <c r="M20" i="1"/>
  <c r="J17" i="1"/>
  <c r="I15" i="1"/>
  <c r="M19" i="1"/>
  <c r="K16" i="1"/>
  <c r="H13" i="1"/>
  <c r="I12" i="1"/>
  <c r="H9" i="1"/>
  <c r="H11" i="1"/>
  <c r="G8" i="1"/>
  <c r="M41" i="1"/>
  <c r="G7" i="1"/>
  <c r="H36" i="1"/>
  <c r="H30" i="1"/>
  <c r="H38" i="1"/>
  <c r="E33" i="1"/>
  <c r="L26" i="1"/>
  <c r="K23" i="1"/>
  <c r="J20" i="1"/>
  <c r="H14" i="1"/>
  <c r="I38" i="1"/>
  <c r="D18" i="1"/>
  <c r="H10" i="1"/>
  <c r="G31" i="1"/>
  <c r="K41" i="1"/>
  <c r="I36" i="1"/>
  <c r="K26" i="1"/>
  <c r="H39" i="1"/>
  <c r="H37" i="1"/>
  <c r="I35" i="1"/>
  <c r="I29" i="1"/>
  <c r="M22" i="1"/>
  <c r="G33" i="1"/>
  <c r="I30" i="1"/>
  <c r="J27" i="1"/>
  <c r="K25" i="1"/>
  <c r="G18" i="1"/>
  <c r="L23" i="1"/>
  <c r="E20" i="1"/>
  <c r="I14" i="1"/>
  <c r="M21" i="1"/>
  <c r="D19" i="1"/>
  <c r="G17" i="1"/>
  <c r="L8" i="1"/>
  <c r="H15" i="1"/>
  <c r="G11" i="1"/>
  <c r="H5" i="1"/>
  <c r="D34" i="1"/>
  <c r="I13" i="1"/>
  <c r="G10" i="1"/>
  <c r="H7" i="1"/>
  <c r="J38" i="1"/>
  <c r="H28" i="1"/>
  <c r="I41" i="1"/>
  <c r="J36" i="1"/>
  <c r="D32" i="1"/>
  <c r="H24" i="1"/>
  <c r="G27" i="1"/>
  <c r="G19" i="1"/>
  <c r="D6" i="1"/>
  <c r="F22" i="1"/>
  <c r="F14" i="1"/>
  <c r="E26" i="1"/>
  <c r="H16" i="1"/>
  <c r="L10" i="1"/>
  <c r="E40" i="1"/>
  <c r="K5" i="1"/>
  <c r="E10" i="1"/>
  <c r="D7" i="1"/>
  <c r="F5" i="1"/>
  <c r="F35" i="1"/>
  <c r="F19" i="1"/>
  <c r="F27" i="1"/>
  <c r="F6" i="1"/>
  <c r="C6" i="1" s="1"/>
  <c r="D12" i="1"/>
  <c r="C32" i="1"/>
  <c r="M43" i="1"/>
  <c r="C23" i="1" l="1"/>
  <c r="C17" i="1"/>
  <c r="C34" i="1"/>
  <c r="C25" i="1"/>
  <c r="C30" i="1"/>
  <c r="C40" i="1"/>
  <c r="C18" i="1"/>
  <c r="F43" i="1"/>
  <c r="C14" i="1"/>
  <c r="C15" i="1"/>
  <c r="C11" i="1"/>
  <c r="K43" i="1"/>
  <c r="C9" i="1"/>
  <c r="C37" i="1"/>
  <c r="C16" i="1"/>
  <c r="C12" i="1"/>
  <c r="C35" i="1"/>
  <c r="L43" i="1"/>
  <c r="C26" i="1"/>
  <c r="C22" i="1"/>
  <c r="C24" i="1"/>
  <c r="C36" i="1"/>
  <c r="C28" i="1"/>
  <c r="C13" i="1"/>
  <c r="C21" i="1"/>
  <c r="C20" i="1"/>
  <c r="C33" i="1"/>
  <c r="C29" i="1"/>
  <c r="C42" i="1"/>
  <c r="C10" i="1"/>
  <c r="C31" i="1"/>
  <c r="C41" i="1"/>
  <c r="J43" i="1"/>
  <c r="C38" i="1"/>
  <c r="I43" i="1"/>
  <c r="C39" i="1"/>
  <c r="C8" i="1"/>
  <c r="C27" i="1"/>
  <c r="C7" i="1"/>
  <c r="C19" i="1"/>
  <c r="C5" i="1"/>
  <c r="E43" i="1"/>
  <c r="G43" i="1"/>
  <c r="D43" i="1"/>
  <c r="H43" i="1"/>
  <c r="C43" i="1" l="1"/>
  <c r="V22" i="6" l="1"/>
  <c r="W22" i="6" s="1"/>
  <c r="X22" i="6" s="1"/>
  <c r="V13" i="6"/>
  <c r="W13" i="6" s="1"/>
  <c r="X13" i="6" s="1"/>
  <c r="V34" i="6"/>
  <c r="W34" i="6" s="1"/>
  <c r="X34" i="6" s="1"/>
  <c r="V20" i="6"/>
  <c r="W20" i="6" s="1"/>
  <c r="X20" i="6" s="1"/>
  <c r="V7" i="6"/>
  <c r="W7" i="6" s="1"/>
  <c r="X7" i="6" s="1"/>
  <c r="V24" i="6"/>
  <c r="W24" i="6" s="1"/>
  <c r="X24" i="6" s="1"/>
  <c r="V11" i="6"/>
  <c r="W11" i="6" s="1"/>
  <c r="X11" i="6" s="1"/>
  <c r="V19" i="6"/>
  <c r="W19" i="6" s="1"/>
  <c r="X19" i="6" s="1"/>
  <c r="V37" i="6"/>
  <c r="W37" i="6" s="1"/>
  <c r="X37" i="6" s="1"/>
  <c r="V29" i="6"/>
  <c r="W29" i="6" s="1"/>
  <c r="X29" i="6" s="1"/>
  <c r="V8" i="6"/>
  <c r="W8" i="6" s="1"/>
  <c r="X8" i="6" s="1"/>
  <c r="V23" i="6"/>
  <c r="W23" i="6" s="1"/>
  <c r="X23" i="6" s="1"/>
  <c r="V41" i="6"/>
  <c r="W41" i="6" s="1"/>
  <c r="X41" i="6" s="1"/>
  <c r="V4" i="6"/>
  <c r="W4" i="6" s="1"/>
  <c r="X4" i="6" s="1"/>
  <c r="V14" i="6"/>
  <c r="W14" i="6" s="1"/>
  <c r="X14" i="6" s="1"/>
  <c r="V35" i="6"/>
  <c r="W35" i="6" s="1"/>
  <c r="X35" i="6" s="1"/>
  <c r="V9" i="6"/>
  <c r="W9" i="6" s="1"/>
  <c r="X9" i="6" s="1"/>
  <c r="V26" i="6"/>
  <c r="W26" i="6" s="1"/>
  <c r="X26" i="6" s="1"/>
  <c r="V31" i="6"/>
  <c r="W31" i="6" s="1"/>
  <c r="X31" i="6" s="1"/>
  <c r="V5" i="6"/>
  <c r="W5" i="6" s="1"/>
  <c r="X5" i="6" s="1"/>
  <c r="V33" i="6"/>
  <c r="W33" i="6" s="1"/>
  <c r="X33" i="6" s="1"/>
  <c r="V17" i="6"/>
  <c r="W17" i="6" s="1"/>
  <c r="X17" i="6" s="1"/>
  <c r="V10" i="6"/>
  <c r="W10" i="6" s="1"/>
  <c r="X10" i="6" s="1"/>
  <c r="V15" i="6"/>
  <c r="W15" i="6" s="1"/>
  <c r="X15" i="6" s="1"/>
  <c r="V25" i="6"/>
  <c r="W25" i="6" s="1"/>
  <c r="X25" i="6" s="1"/>
  <c r="V27" i="6"/>
  <c r="W27" i="6" s="1"/>
  <c r="X27" i="6" s="1"/>
  <c r="V32" i="6"/>
  <c r="W32" i="6" s="1"/>
  <c r="X32" i="6" s="1"/>
  <c r="V30" i="6"/>
  <c r="W30" i="6" s="1"/>
  <c r="X30" i="6" s="1"/>
  <c r="V6" i="6"/>
  <c r="W6" i="6" s="1"/>
  <c r="X6" i="6" s="1"/>
  <c r="V16" i="6"/>
  <c r="W16" i="6" s="1"/>
  <c r="X16" i="6" s="1"/>
  <c r="V39" i="6"/>
  <c r="W39" i="6" s="1"/>
  <c r="X39" i="6" s="1"/>
  <c r="V36" i="6"/>
  <c r="W36" i="6" s="1"/>
  <c r="X36" i="6" s="1"/>
  <c r="V21" i="6"/>
  <c r="W21" i="6" s="1"/>
  <c r="X21" i="6" s="1"/>
  <c r="V12" i="6"/>
  <c r="W12" i="6" s="1"/>
  <c r="X12" i="6" s="1"/>
  <c r="V28" i="6"/>
  <c r="W28" i="6" s="1"/>
  <c r="X28" i="6" s="1"/>
  <c r="V40" i="6"/>
  <c r="W40" i="6" s="1"/>
  <c r="X40" i="6" s="1"/>
  <c r="V38" i="6"/>
  <c r="W38" i="6" s="1"/>
  <c r="X38" i="6" s="1"/>
  <c r="V18" i="6"/>
  <c r="W18" i="6" s="1"/>
  <c r="X18" i="6" s="1"/>
  <c r="X42" i="6" l="1"/>
  <c r="W44" i="6"/>
  <c r="V42" i="6"/>
  <c r="W42" i="6" s="1"/>
  <c r="I49" i="5"/>
  <c r="C49" i="5" s="1"/>
  <c r="R49" i="5" s="1"/>
  <c r="I50" i="5" l="1"/>
  <c r="C50" i="5" l="1"/>
  <c r="R50" i="5" s="1"/>
  <c r="I57" i="5" l="1"/>
  <c r="C57" i="5" s="1"/>
  <c r="R57" i="5" s="1"/>
  <c r="I69" i="5" l="1"/>
  <c r="C69" i="5" s="1"/>
  <c r="R69" i="5" s="1"/>
  <c r="I74" i="5" l="1"/>
  <c r="C74" i="5" l="1"/>
  <c r="R74" i="5" s="1"/>
  <c r="I78" i="5"/>
  <c r="C78" i="5" l="1"/>
  <c r="R78" i="5" s="1"/>
  <c r="I51" i="5"/>
  <c r="C51" i="5" s="1"/>
  <c r="R51" i="5" s="1"/>
  <c r="I55" i="5" l="1"/>
  <c r="I80" i="5"/>
  <c r="C80" i="5" l="1"/>
  <c r="R80" i="5" s="1"/>
  <c r="C55" i="5"/>
  <c r="R55" i="5" s="1"/>
  <c r="I52" i="5"/>
  <c r="C52" i="5" s="1"/>
  <c r="R52" i="5" s="1"/>
  <c r="I53" i="5" l="1"/>
  <c r="C53" i="5" s="1"/>
  <c r="R53" i="5" s="1"/>
  <c r="I54" i="5" l="1"/>
  <c r="C54" i="5" s="1"/>
  <c r="R54" i="5" s="1"/>
  <c r="I56" i="5" l="1"/>
  <c r="C56" i="5" s="1"/>
  <c r="R56" i="5" s="1"/>
  <c r="I59" i="5" l="1"/>
  <c r="C59" i="5" l="1"/>
  <c r="R59" i="5" s="1"/>
  <c r="I60" i="5"/>
  <c r="C60" i="5" s="1"/>
  <c r="R60" i="5" s="1"/>
  <c r="I62" i="5" l="1"/>
  <c r="C62" i="5" l="1"/>
  <c r="R62" i="5" s="1"/>
  <c r="I63" i="5"/>
  <c r="C63" i="5" l="1"/>
  <c r="R63" i="5" s="1"/>
  <c r="I65" i="5"/>
  <c r="C65" i="5" l="1"/>
  <c r="R65" i="5" s="1"/>
  <c r="I66" i="5"/>
  <c r="I67" i="5"/>
  <c r="I70" i="5"/>
  <c r="C67" i="5" l="1"/>
  <c r="R67" i="5" s="1"/>
  <c r="C66" i="5"/>
  <c r="R66" i="5" s="1"/>
  <c r="C70" i="5"/>
  <c r="R70" i="5" s="1"/>
  <c r="I73" i="5"/>
  <c r="C73" i="5" l="1"/>
  <c r="R73" i="5" s="1"/>
  <c r="I76" i="5"/>
  <c r="C76" i="5" l="1"/>
  <c r="R76" i="5" s="1"/>
  <c r="I77" i="5"/>
  <c r="I79" i="5"/>
  <c r="C79" i="5" s="1"/>
  <c r="R79" i="5" s="1"/>
  <c r="I81" i="5"/>
  <c r="I82" i="5"/>
  <c r="C81" i="5" l="1"/>
  <c r="R81" i="5" s="1"/>
  <c r="C77" i="5"/>
  <c r="R77" i="5" s="1"/>
  <c r="C82" i="5"/>
  <c r="R82" i="5" s="1"/>
  <c r="I83" i="5"/>
  <c r="C83" i="5" s="1"/>
  <c r="R83" i="5" s="1"/>
  <c r="I84" i="5" l="1"/>
  <c r="C84" i="5" s="1"/>
  <c r="R84" i="5" s="1"/>
  <c r="I61" i="5" l="1"/>
  <c r="C61" i="5" l="1"/>
  <c r="R61" i="5" s="1"/>
  <c r="I68" i="5"/>
  <c r="I72" i="5"/>
  <c r="C68" i="5" l="1"/>
  <c r="R68" i="5" s="1"/>
  <c r="C72" i="5"/>
  <c r="R72" i="5" s="1"/>
  <c r="I64" i="5"/>
  <c r="C64" i="5" s="1"/>
  <c r="R64" i="5" s="1"/>
  <c r="I71" i="5" l="1"/>
  <c r="C71" i="5" s="1"/>
  <c r="R71" i="5" s="1"/>
  <c r="I85" i="5"/>
  <c r="C85" i="5" s="1"/>
  <c r="R85" i="5" s="1"/>
  <c r="I75" i="5" l="1"/>
  <c r="C75" i="5" s="1"/>
  <c r="R75" i="5" s="1"/>
  <c r="I58" i="5"/>
  <c r="C58" i="5" s="1"/>
  <c r="R58" i="5" s="1"/>
  <c r="R86" i="5" l="1"/>
  <c r="C86" i="5"/>
  <c r="I86" i="5"/>
  <c r="I15" i="5" l="1"/>
  <c r="D5" i="5"/>
  <c r="M12" i="5"/>
  <c r="N19" i="5"/>
  <c r="K38" i="5"/>
  <c r="N29" i="5"/>
  <c r="F25" i="5"/>
  <c r="J8" i="5"/>
  <c r="N6" i="5"/>
  <c r="K34" i="5"/>
  <c r="L37" i="5"/>
  <c r="E19" i="5"/>
  <c r="H36" i="5"/>
  <c r="H14" i="5"/>
  <c r="M42" i="5"/>
  <c r="H32" i="5"/>
  <c r="F39" i="5"/>
  <c r="K27" i="5"/>
  <c r="G26" i="5"/>
  <c r="E32" i="5"/>
  <c r="H11" i="5"/>
  <c r="J40" i="5"/>
  <c r="J37" i="5"/>
  <c r="O27" i="5"/>
  <c r="H25" i="5"/>
  <c r="L23" i="5"/>
  <c r="K18" i="5"/>
  <c r="H22" i="5"/>
  <c r="K20" i="5"/>
  <c r="H7" i="5"/>
  <c r="N42" i="5"/>
  <c r="O37" i="5"/>
  <c r="L19" i="5"/>
  <c r="N8" i="5"/>
  <c r="L42" i="5"/>
  <c r="I6" i="5"/>
  <c r="H28" i="5"/>
  <c r="L25" i="5"/>
  <c r="N18" i="5"/>
  <c r="H13" i="5"/>
  <c r="F27" i="5"/>
  <c r="F38" i="5"/>
  <c r="H15" i="5"/>
  <c r="L13" i="5"/>
  <c r="O25" i="5"/>
  <c r="M16" i="5"/>
  <c r="H40" i="5"/>
  <c r="F12" i="5"/>
  <c r="N36" i="5"/>
  <c r="L38" i="5"/>
  <c r="I9" i="5"/>
  <c r="K6" i="5"/>
  <c r="N14" i="5"/>
  <c r="N24" i="5"/>
  <c r="O28" i="5"/>
  <c r="K39" i="5"/>
  <c r="H12" i="5"/>
  <c r="G25" i="5"/>
  <c r="O7" i="5"/>
  <c r="E39" i="5"/>
  <c r="H39" i="5"/>
  <c r="H24" i="5"/>
  <c r="E29" i="5"/>
  <c r="G13" i="5"/>
  <c r="O29" i="5"/>
  <c r="H42" i="5"/>
  <c r="E38" i="5"/>
  <c r="J28" i="5"/>
  <c r="K32" i="5"/>
  <c r="G40" i="5"/>
  <c r="H20" i="5"/>
  <c r="M34" i="5"/>
  <c r="G31" i="5"/>
  <c r="E27" i="5"/>
  <c r="M39" i="5"/>
  <c r="H38" i="5"/>
  <c r="G20" i="5"/>
  <c r="O21" i="5"/>
  <c r="M9" i="5"/>
  <c r="O30" i="5"/>
  <c r="L35" i="5"/>
  <c r="K14" i="5"/>
  <c r="O11" i="5"/>
  <c r="F41" i="5"/>
  <c r="K33" i="5"/>
  <c r="M36" i="5"/>
  <c r="H26" i="5"/>
  <c r="M26" i="5"/>
  <c r="K31" i="5"/>
  <c r="G42" i="5"/>
  <c r="F9" i="5"/>
  <c r="K41" i="5"/>
  <c r="O35" i="5"/>
  <c r="J39" i="5"/>
  <c r="N38" i="5"/>
  <c r="J35" i="5"/>
  <c r="J20" i="5"/>
  <c r="K12" i="5"/>
  <c r="F42" i="5"/>
  <c r="N39" i="5"/>
  <c r="O41" i="5"/>
  <c r="G38" i="5"/>
  <c r="N17" i="5"/>
  <c r="J38" i="5"/>
  <c r="L33" i="5"/>
  <c r="L6" i="5"/>
  <c r="H21" i="5"/>
  <c r="M23" i="5"/>
  <c r="O6" i="5"/>
  <c r="J18" i="5"/>
  <c r="O42" i="5"/>
  <c r="E35" i="5"/>
  <c r="E10" i="5"/>
  <c r="E28" i="5"/>
  <c r="E41" i="5"/>
  <c r="F37" i="5"/>
  <c r="M20" i="5"/>
  <c r="H27" i="5"/>
  <c r="M31" i="5"/>
  <c r="E24" i="5"/>
  <c r="G7" i="5"/>
  <c r="L39" i="5"/>
  <c r="O17" i="5"/>
  <c r="K16" i="5"/>
  <c r="O16" i="5"/>
  <c r="K19" i="5"/>
  <c r="J25" i="5"/>
  <c r="O40" i="5"/>
  <c r="L26" i="5"/>
  <c r="K9" i="5"/>
  <c r="E11" i="5"/>
  <c r="O36" i="5"/>
  <c r="N22" i="5"/>
  <c r="M30" i="5"/>
  <c r="K40" i="5"/>
  <c r="K30" i="5"/>
  <c r="O26" i="5"/>
  <c r="K37" i="5"/>
  <c r="G36" i="5"/>
  <c r="E42" i="5"/>
  <c r="M41" i="5"/>
  <c r="G23" i="5"/>
  <c r="L29" i="5"/>
  <c r="N26" i="5"/>
  <c r="O39" i="5"/>
  <c r="H9" i="5"/>
  <c r="K24" i="5"/>
  <c r="G37" i="5"/>
  <c r="J31" i="5"/>
  <c r="N33" i="5"/>
  <c r="M38" i="5"/>
  <c r="H17" i="5"/>
  <c r="L22" i="5"/>
  <c r="J6" i="5"/>
  <c r="E6" i="5"/>
  <c r="N23" i="5"/>
  <c r="M37" i="5"/>
  <c r="O23" i="5"/>
  <c r="M27" i="5"/>
  <c r="K26" i="5"/>
  <c r="K7" i="5"/>
  <c r="E17" i="5"/>
  <c r="J23" i="5"/>
  <c r="M21" i="5"/>
  <c r="G24" i="5"/>
  <c r="M22" i="5"/>
  <c r="O14" i="5"/>
  <c r="L36" i="5"/>
  <c r="F19" i="5"/>
  <c r="N13" i="5"/>
  <c r="K36" i="5"/>
  <c r="F7" i="5"/>
  <c r="E23" i="5"/>
  <c r="N35" i="5"/>
  <c r="M29" i="5"/>
  <c r="M6" i="5"/>
  <c r="J11" i="5"/>
  <c r="G29" i="5"/>
  <c r="G10" i="5"/>
  <c r="M7" i="5"/>
  <c r="G14" i="5"/>
  <c r="J26" i="5"/>
  <c r="F35" i="5"/>
  <c r="F10" i="5"/>
  <c r="F18" i="5"/>
  <c r="L18" i="5"/>
  <c r="J22" i="5"/>
  <c r="E13" i="5"/>
  <c r="O31" i="5"/>
  <c r="I19" i="5"/>
  <c r="L12" i="5"/>
  <c r="K29" i="5"/>
  <c r="L31" i="5"/>
  <c r="E33" i="5"/>
  <c r="G19" i="5"/>
  <c r="L9" i="5"/>
  <c r="F13" i="5"/>
  <c r="J27" i="5"/>
  <c r="N25" i="5"/>
  <c r="O8" i="5"/>
  <c r="I12" i="5"/>
  <c r="J29" i="5"/>
  <c r="J42" i="5"/>
  <c r="K23" i="5"/>
  <c r="L41" i="5"/>
  <c r="L14" i="5"/>
  <c r="I11" i="5"/>
  <c r="M40" i="5"/>
  <c r="N9" i="5"/>
  <c r="K22" i="5"/>
  <c r="H10" i="5"/>
  <c r="F33" i="5"/>
  <c r="M19" i="5"/>
  <c r="G11" i="5"/>
  <c r="J33" i="5"/>
  <c r="G41" i="5"/>
  <c r="O18" i="5"/>
  <c r="J41" i="5"/>
  <c r="F28" i="5"/>
  <c r="G39" i="5"/>
  <c r="K42" i="5"/>
  <c r="E36" i="5"/>
  <c r="O38" i="5"/>
  <c r="N40" i="5"/>
  <c r="F8" i="5"/>
  <c r="M13" i="5"/>
  <c r="G30" i="5"/>
  <c r="E18" i="5"/>
  <c r="L34" i="5"/>
  <c r="H30" i="5"/>
  <c r="E34" i="5"/>
  <c r="M24" i="5"/>
  <c r="I20" i="5"/>
  <c r="L16" i="5"/>
  <c r="E22" i="5"/>
  <c r="L28" i="5"/>
  <c r="M32" i="5"/>
  <c r="N21" i="5"/>
  <c r="N12" i="5"/>
  <c r="L30" i="5"/>
  <c r="K11" i="5"/>
  <c r="N7" i="5"/>
  <c r="G12" i="5"/>
  <c r="N41" i="5"/>
  <c r="F6" i="5"/>
  <c r="N31" i="5"/>
  <c r="J30" i="5"/>
  <c r="I7" i="5"/>
  <c r="O13" i="5"/>
  <c r="O19" i="5"/>
  <c r="G28" i="5"/>
  <c r="L27" i="5"/>
  <c r="H33" i="5"/>
  <c r="L20" i="5"/>
  <c r="G17" i="5"/>
  <c r="M17" i="5"/>
  <c r="J9" i="5"/>
  <c r="O10" i="5"/>
  <c r="F34" i="5"/>
  <c r="J10" i="5"/>
  <c r="F21" i="5"/>
  <c r="F20" i="5"/>
  <c r="E31" i="5"/>
  <c r="O34" i="5"/>
  <c r="O9" i="5"/>
  <c r="M15" i="5"/>
  <c r="I14" i="5"/>
  <c r="E40" i="5"/>
  <c r="M28" i="5"/>
  <c r="J34" i="5"/>
  <c r="H16" i="5"/>
  <c r="I13" i="5"/>
  <c r="J19" i="5"/>
  <c r="N37" i="5"/>
  <c r="L32" i="5"/>
  <c r="L17" i="5"/>
  <c r="M35" i="5"/>
  <c r="E12" i="5"/>
  <c r="M14" i="5"/>
  <c r="F22" i="5"/>
  <c r="N16" i="5"/>
  <c r="G33" i="5"/>
  <c r="E7" i="5"/>
  <c r="J14" i="5"/>
  <c r="F16" i="5"/>
  <c r="E16" i="5"/>
  <c r="N10" i="5"/>
  <c r="J24" i="5"/>
  <c r="N27" i="5"/>
  <c r="N28" i="5"/>
  <c r="N11" i="5"/>
  <c r="K10" i="5"/>
  <c r="N20" i="5"/>
  <c r="O33" i="5"/>
  <c r="E25" i="5"/>
  <c r="E37" i="5"/>
  <c r="E14" i="5"/>
  <c r="F31" i="5"/>
  <c r="O24" i="5"/>
  <c r="G18" i="5"/>
  <c r="G34" i="5"/>
  <c r="K21" i="5"/>
  <c r="E21" i="5"/>
  <c r="F17" i="5"/>
  <c r="F40" i="5"/>
  <c r="E20" i="5"/>
  <c r="L40" i="5"/>
  <c r="G21" i="5"/>
  <c r="N15" i="5"/>
  <c r="H6" i="5"/>
  <c r="I25" i="5"/>
  <c r="F23" i="5"/>
  <c r="H18" i="5"/>
  <c r="H8" i="5"/>
  <c r="H34" i="5"/>
  <c r="F24" i="5"/>
  <c r="J36" i="5"/>
  <c r="M25" i="5"/>
  <c r="G6" i="5"/>
  <c r="G8" i="5"/>
  <c r="M8" i="5"/>
  <c r="H41" i="5"/>
  <c r="L7" i="5"/>
  <c r="I31" i="5"/>
  <c r="O32" i="5"/>
  <c r="F36" i="5"/>
  <c r="E15" i="5"/>
  <c r="G27" i="5"/>
  <c r="J12" i="5"/>
  <c r="F15" i="5"/>
  <c r="I8" i="5"/>
  <c r="G15" i="5"/>
  <c r="I40" i="5"/>
  <c r="K17" i="5"/>
  <c r="F32" i="5"/>
  <c r="L8" i="5"/>
  <c r="I30" i="5"/>
  <c r="N30" i="5"/>
  <c r="E8" i="5"/>
  <c r="K35" i="5"/>
  <c r="I36" i="5"/>
  <c r="H31" i="5"/>
  <c r="E26" i="5"/>
  <c r="H37" i="5"/>
  <c r="I42" i="5"/>
  <c r="I16" i="5"/>
  <c r="G22" i="5"/>
  <c r="E30" i="5"/>
  <c r="L11" i="5"/>
  <c r="I24" i="5"/>
  <c r="O12" i="5"/>
  <c r="G35" i="5"/>
  <c r="O22" i="5"/>
  <c r="L21" i="5"/>
  <c r="I41" i="5"/>
  <c r="H35" i="5"/>
  <c r="I26" i="5"/>
  <c r="J7" i="5"/>
  <c r="I21" i="5"/>
  <c r="N32" i="5"/>
  <c r="G9" i="5"/>
  <c r="I18" i="5"/>
  <c r="K15" i="5"/>
  <c r="I23" i="5"/>
  <c r="J21" i="5"/>
  <c r="J32" i="5"/>
  <c r="I22" i="5"/>
  <c r="L10" i="5"/>
  <c r="O20" i="5"/>
  <c r="K13" i="5"/>
  <c r="I32" i="5"/>
  <c r="D29" i="5"/>
  <c r="D26" i="5"/>
  <c r="D15" i="5"/>
  <c r="D8" i="5"/>
  <c r="D9" i="5"/>
  <c r="D40" i="5"/>
  <c r="D21" i="5"/>
  <c r="D30" i="5"/>
  <c r="D39" i="5"/>
  <c r="D7" i="5"/>
  <c r="D20" i="5"/>
  <c r="D6" i="5"/>
  <c r="D33" i="5"/>
  <c r="D19" i="5"/>
  <c r="D17" i="5"/>
  <c r="D12" i="5"/>
  <c r="D13" i="5"/>
  <c r="D11" i="5"/>
  <c r="F26" i="5"/>
  <c r="H23" i="5"/>
  <c r="M18" i="5"/>
  <c r="M11" i="5"/>
  <c r="J13" i="5"/>
  <c r="J17" i="5"/>
  <c r="I29" i="5"/>
  <c r="J16" i="5"/>
  <c r="K25" i="5"/>
  <c r="F11" i="5"/>
  <c r="F30" i="5"/>
  <c r="I27" i="5"/>
  <c r="F29" i="5"/>
  <c r="E9" i="5"/>
  <c r="L15" i="5"/>
  <c r="I34" i="5"/>
  <c r="H29" i="5"/>
  <c r="J15" i="5"/>
  <c r="I37" i="5"/>
  <c r="I10" i="5"/>
  <c r="G32" i="5"/>
  <c r="I33" i="5"/>
  <c r="K28" i="5"/>
  <c r="F14" i="5"/>
  <c r="M33" i="5"/>
  <c r="I39" i="5"/>
  <c r="K8" i="5"/>
  <c r="G16" i="5"/>
  <c r="O15" i="5"/>
  <c r="I28" i="5"/>
  <c r="I17" i="5"/>
  <c r="I35" i="5"/>
  <c r="I38" i="5"/>
  <c r="L24" i="5"/>
  <c r="H19" i="5"/>
  <c r="M10" i="5"/>
  <c r="N34" i="5"/>
  <c r="M5" i="5"/>
  <c r="G5" i="5"/>
  <c r="N5" i="5"/>
  <c r="E5" i="5"/>
  <c r="O5" i="5"/>
  <c r="K5" i="5"/>
  <c r="F5" i="5"/>
  <c r="I5" i="5"/>
  <c r="H5" i="5"/>
  <c r="L5" i="5"/>
  <c r="J5" i="5"/>
  <c r="D38" i="5"/>
  <c r="C38" i="5" s="1"/>
  <c r="D25" i="5"/>
  <c r="D10" i="5"/>
  <c r="D16" i="5"/>
  <c r="D28" i="5"/>
  <c r="D35" i="5"/>
  <c r="D24" i="5"/>
  <c r="D14" i="5"/>
  <c r="D22" i="5"/>
  <c r="C22" i="5" s="1"/>
  <c r="D36" i="5"/>
  <c r="D37" i="5"/>
  <c r="D41" i="5"/>
  <c r="D18" i="5"/>
  <c r="D23" i="5"/>
  <c r="D27" i="5"/>
  <c r="D31" i="5"/>
  <c r="D42" i="5"/>
  <c r="C42" i="5" s="1"/>
  <c r="D34" i="5"/>
  <c r="D32" i="5"/>
  <c r="C31" i="5" l="1"/>
  <c r="C23" i="5"/>
  <c r="C41" i="5"/>
  <c r="C36" i="5"/>
  <c r="C14" i="5"/>
  <c r="C35" i="5"/>
  <c r="C16" i="5"/>
  <c r="C5" i="5"/>
  <c r="C20" i="5"/>
  <c r="C34" i="5"/>
  <c r="C25" i="5"/>
  <c r="J43" i="5"/>
  <c r="F43" i="5"/>
  <c r="C12" i="5"/>
  <c r="C6" i="5"/>
  <c r="C7" i="5"/>
  <c r="C40" i="5"/>
  <c r="C32" i="5"/>
  <c r="C27" i="5"/>
  <c r="C18" i="5"/>
  <c r="C37" i="5"/>
  <c r="C24" i="5"/>
  <c r="C28" i="5"/>
  <c r="C10" i="5"/>
  <c r="L43" i="5"/>
  <c r="I43" i="5"/>
  <c r="K43" i="5"/>
  <c r="E43" i="5"/>
  <c r="C21" i="5"/>
  <c r="G43" i="5"/>
  <c r="H43" i="5"/>
  <c r="O43" i="5"/>
  <c r="N43" i="5"/>
  <c r="M43" i="5"/>
  <c r="C11" i="5"/>
  <c r="C19" i="5"/>
  <c r="C30" i="5"/>
  <c r="C8" i="5"/>
  <c r="C26" i="5"/>
  <c r="D43" i="5"/>
  <c r="C13" i="5"/>
  <c r="C17" i="5"/>
  <c r="C33" i="5"/>
  <c r="C39" i="5"/>
  <c r="C9" i="5"/>
  <c r="C15" i="5"/>
  <c r="C29" i="5"/>
  <c r="C43" i="5" l="1"/>
  <c r="Z41" i="6" l="1"/>
  <c r="AA41" i="6" s="1"/>
  <c r="AB41" i="6" s="1"/>
  <c r="Z37" i="6"/>
  <c r="AA37" i="6" s="1"/>
  <c r="AB37" i="6" s="1"/>
  <c r="Z21" i="6"/>
  <c r="AA21" i="6" s="1"/>
  <c r="AB21" i="6" s="1"/>
  <c r="Z4" i="6"/>
  <c r="Z11" i="6"/>
  <c r="AA11" i="6" s="1"/>
  <c r="AB11" i="6" s="1"/>
  <c r="Z31" i="6"/>
  <c r="AA31" i="6" s="1"/>
  <c r="AB31" i="6" s="1"/>
  <c r="Z23" i="6"/>
  <c r="AA23" i="6" s="1"/>
  <c r="AB23" i="6" s="1"/>
  <c r="Z18" i="6"/>
  <c r="AA18" i="6" s="1"/>
  <c r="AB18" i="6" s="1"/>
  <c r="Z16" i="6"/>
  <c r="AA16" i="6" s="1"/>
  <c r="AB16" i="6" s="1"/>
  <c r="Z14" i="6"/>
  <c r="AA14" i="6" s="1"/>
  <c r="AB14" i="6" s="1"/>
  <c r="Z40" i="6"/>
  <c r="AA40" i="6" s="1"/>
  <c r="AB40" i="6" s="1"/>
  <c r="Z15" i="6"/>
  <c r="AA15" i="6" s="1"/>
  <c r="AB15" i="6" s="1"/>
  <c r="Z24" i="6"/>
  <c r="AA24" i="6" s="1"/>
  <c r="AB24" i="6" s="1"/>
  <c r="Z39" i="6"/>
  <c r="AA39" i="6" s="1"/>
  <c r="AB39" i="6" s="1"/>
  <c r="Z36" i="6"/>
  <c r="AA36" i="6" s="1"/>
  <c r="AB36" i="6" s="1"/>
  <c r="Z20" i="6"/>
  <c r="AA20" i="6" s="1"/>
  <c r="AB20" i="6" s="1"/>
  <c r="Z29" i="6"/>
  <c r="AA29" i="6" s="1"/>
  <c r="AB29" i="6" s="1"/>
  <c r="Z12" i="6"/>
  <c r="AA12" i="6" s="1"/>
  <c r="AB12" i="6" s="1"/>
  <c r="Z8" i="6"/>
  <c r="AA8" i="6" s="1"/>
  <c r="AB8" i="6" s="1"/>
  <c r="Z35" i="6"/>
  <c r="AA35" i="6" s="1"/>
  <c r="AB35" i="6" s="1"/>
  <c r="Z22" i="6"/>
  <c r="AA22" i="6" s="1"/>
  <c r="AB22" i="6" s="1"/>
  <c r="Z34" i="6"/>
  <c r="AA34" i="6" s="1"/>
  <c r="AB34" i="6" s="1"/>
  <c r="Z33" i="6"/>
  <c r="AA33" i="6" s="1"/>
  <c r="AB33" i="6" s="1"/>
  <c r="Z6" i="6"/>
  <c r="AA6" i="6" s="1"/>
  <c r="AB6" i="6" s="1"/>
  <c r="Z17" i="6"/>
  <c r="AA17" i="6" s="1"/>
  <c r="AB17" i="6" s="1"/>
  <c r="Z9" i="6"/>
  <c r="AA9" i="6" s="1"/>
  <c r="AB9" i="6" s="1"/>
  <c r="Z7" i="6"/>
  <c r="AA7" i="6" s="1"/>
  <c r="AB7" i="6" s="1"/>
  <c r="Z38" i="6"/>
  <c r="AA38" i="6" s="1"/>
  <c r="AB38" i="6" s="1"/>
  <c r="Z30" i="6"/>
  <c r="AA30" i="6" s="1"/>
  <c r="AB30" i="6" s="1"/>
  <c r="Z13" i="6"/>
  <c r="AA13" i="6" s="1"/>
  <c r="AB13" i="6" s="1"/>
  <c r="Z19" i="6"/>
  <c r="AA19" i="6" s="1"/>
  <c r="AB19" i="6" s="1"/>
  <c r="Z5" i="6"/>
  <c r="AA5" i="6" s="1"/>
  <c r="AB5" i="6" s="1"/>
  <c r="Z26" i="6"/>
  <c r="AA26" i="6" s="1"/>
  <c r="AB26" i="6" s="1"/>
  <c r="Z27" i="6"/>
  <c r="AA27" i="6" s="1"/>
  <c r="AB27" i="6" s="1"/>
  <c r="Z10" i="6"/>
  <c r="AA10" i="6" s="1"/>
  <c r="AB10" i="6" s="1"/>
  <c r="Z25" i="6"/>
  <c r="AA25" i="6" s="1"/>
  <c r="AB25" i="6" s="1"/>
  <c r="Z32" i="6"/>
  <c r="AA32" i="6" s="1"/>
  <c r="AB32" i="6" s="1"/>
  <c r="Z28" i="6"/>
  <c r="AA28" i="6" s="1"/>
  <c r="AB28" i="6" s="1"/>
  <c r="AA4" i="6" l="1"/>
  <c r="AB4" i="6" s="1"/>
  <c r="Z42" i="6"/>
  <c r="AA42" i="6" s="1"/>
  <c r="AA44" i="6" l="1"/>
  <c r="AB42" i="6"/>
</calcChain>
</file>

<file path=xl/sharedStrings.xml><?xml version="1.0" encoding="utf-8"?>
<sst xmlns="http://schemas.openxmlformats.org/spreadsheetml/2006/main" count="1077" uniqueCount="118">
  <si>
    <t>Hours Completed - CBM002 or CBM00S</t>
  </si>
  <si>
    <t>At-Risk Degrees - CBM009 meeting criteria in statute for At-Risk</t>
  </si>
  <si>
    <t>Science Teaching Certificates - Certification website</t>
  </si>
  <si>
    <t>Undergraduate Critical Fields - CTGs critical fields CBM009</t>
  </si>
  <si>
    <t>Cost Weighted Degrees - Fiscal Year Upper-Level weight per degree</t>
  </si>
  <si>
    <t>Undergraduate FTSE - CBM004 PREP fall of fiscal year state-funded hours divided by 15</t>
  </si>
  <si>
    <t>6-Yr/3-Yr Graduation Rates - CBM001/CBM009 Reports</t>
  </si>
  <si>
    <t>Undergraduate Degrees - CBM009 Report</t>
  </si>
  <si>
    <t>Sources</t>
  </si>
  <si>
    <t xml:space="preserve">Texas A&amp;M Galveston is given an additional weight of 1.5 to all metrics for ship operation similar to the instructions and operations formula. </t>
  </si>
  <si>
    <t>Graduation Rates for UNTD, TAMUSA, and TAMUCT are assumed to be the same as their parent institutions. 3-Year Graduation Rate used for Upper-Level institutions.</t>
  </si>
  <si>
    <t>Total</t>
  </si>
  <si>
    <t>90 Hours</t>
  </si>
  <si>
    <t>60 Hours</t>
  </si>
  <si>
    <t>30 Hours</t>
  </si>
  <si>
    <t>Hours Completed</t>
  </si>
  <si>
    <t>At-Risk Degrees</t>
  </si>
  <si>
    <t>Math and Science Teaching Certificates</t>
  </si>
  <si>
    <t>Undergraduate Critical Field Degrees</t>
  </si>
  <si>
    <t>Cost Weighted Degrees</t>
  </si>
  <si>
    <t>Undergraduate FTSE</t>
  </si>
  <si>
    <t>6-Year Graduation Rate</t>
  </si>
  <si>
    <t>Undergraduate Degrees</t>
  </si>
  <si>
    <t>Name</t>
  </si>
  <si>
    <t>FICE</t>
  </si>
  <si>
    <t>Fiscal Year 2010</t>
  </si>
  <si>
    <t>Fiscal Year 2011</t>
  </si>
  <si>
    <t>Fiscal Year 2012</t>
  </si>
  <si>
    <t>Total Undergraduate Degrees</t>
  </si>
  <si>
    <t>Three-Year Average</t>
  </si>
  <si>
    <t>Weights</t>
  </si>
  <si>
    <t>Cost Weighted</t>
  </si>
  <si>
    <t>per 100 FTSE</t>
  </si>
  <si>
    <t>Adjusted by 6-Year Graduation Rate</t>
  </si>
  <si>
    <t>Retention Metrics</t>
  </si>
  <si>
    <t xml:space="preserve">Total Undergraduate Degrees </t>
  </si>
  <si>
    <t>Total Points</t>
  </si>
  <si>
    <t>SRRG</t>
  </si>
  <si>
    <t>SRSU</t>
  </si>
  <si>
    <t>SHSU</t>
  </si>
  <si>
    <t>Lamar</t>
  </si>
  <si>
    <t>TWU</t>
  </si>
  <si>
    <t>Angelo</t>
  </si>
  <si>
    <t>TTU</t>
  </si>
  <si>
    <t>TSU</t>
  </si>
  <si>
    <t>SFA</t>
  </si>
  <si>
    <t>UNTD</t>
  </si>
  <si>
    <t>UNT</t>
  </si>
  <si>
    <t>Midwestern</t>
  </si>
  <si>
    <t>UHV</t>
  </si>
  <si>
    <t>UHD</t>
  </si>
  <si>
    <t>UHCL</t>
  </si>
  <si>
    <t>UH</t>
  </si>
  <si>
    <t>TAMUT</t>
  </si>
  <si>
    <t>TAMUC</t>
  </si>
  <si>
    <t>WTAMU</t>
  </si>
  <si>
    <t>TAMI</t>
  </si>
  <si>
    <t>TAMUSA</t>
  </si>
  <si>
    <t>TAMUK</t>
  </si>
  <si>
    <t>TAMUCC</t>
  </si>
  <si>
    <t>TAMUCT</t>
  </si>
  <si>
    <t>Tarleton</t>
  </si>
  <si>
    <t>Prairie View</t>
  </si>
  <si>
    <t>TAMUG</t>
  </si>
  <si>
    <t>TAMU</t>
  </si>
  <si>
    <t>UTT</t>
  </si>
  <si>
    <t>UTSA</t>
  </si>
  <si>
    <t>UTPB</t>
  </si>
  <si>
    <t>UTB</t>
  </si>
  <si>
    <t>UTPA</t>
  </si>
  <si>
    <t>UTEP</t>
  </si>
  <si>
    <t>UTD</t>
  </si>
  <si>
    <t>UT</t>
  </si>
  <si>
    <t>UTA</t>
  </si>
  <si>
    <t>Funding</t>
  </si>
  <si>
    <t>Points Three-Year Average - Scaled</t>
  </si>
  <si>
    <t>Points Three-Year Average - Scaled and Weighted</t>
  </si>
  <si>
    <t>Total Weights</t>
  </si>
  <si>
    <t>NR</t>
  </si>
  <si>
    <t>Scale</t>
  </si>
  <si>
    <t>Percent Funded</t>
  </si>
  <si>
    <t>Difference  (Millions)</t>
  </si>
  <si>
    <t>Research</t>
  </si>
  <si>
    <t>Emerging</t>
  </si>
  <si>
    <t>Doctoral</t>
  </si>
  <si>
    <t>Master's</t>
  </si>
  <si>
    <t>Comprehensive</t>
  </si>
  <si>
    <t>Points Weighted Three-Year Average</t>
  </si>
  <si>
    <t>Percent of Undergraduate Funding</t>
  </si>
  <si>
    <t>Doctoral and Professional Practice</t>
  </si>
  <si>
    <t>Weights by Group</t>
  </si>
  <si>
    <t>2014-2015 Proposed Model</t>
  </si>
  <si>
    <t>2014-2015 Instruction and Operations Percent of Total</t>
  </si>
  <si>
    <t>Percent Difference From 2014-2015 I&amp;O</t>
  </si>
  <si>
    <t>Total Losses</t>
  </si>
  <si>
    <t>Option 1 Scaled, Weighted, and Monetized by SREB Carnegie Classification Percent of Total</t>
  </si>
  <si>
    <r>
      <t xml:space="preserve">Option 1 - Outcomes Based Funding (FY 2010 - FY 2012 Averaged) </t>
    </r>
    <r>
      <rPr>
        <sz val="10"/>
        <rFont val="Tahoma"/>
        <family val="2"/>
      </rPr>
      <t>with Total Degrees adjusted by Six-Year Graduation Rate (3-Year Rate for Upper-Levels), Total Degrees per 100 FTSE, Critical Field Degrees (weighted 2), At-Risk Degrees, Retention Metrics of 30, 60, and 90 hours, and Total Degrees adjusted by Cost Based Weights.  Funded at 10 percent of undergraduate formula funding.</t>
    </r>
  </si>
  <si>
    <t>Option 2 - Option 1 Weighted by Accountability Group</t>
  </si>
  <si>
    <t>Option 2 with Graduate Degrees 
Percent of Total</t>
  </si>
  <si>
    <t>Option 3 - Option 2 with Graduate Degrees</t>
  </si>
  <si>
    <t>Option 4 - Option 1 Weighted by Carnegie Classification</t>
  </si>
  <si>
    <t>Option 5 - Option 4 with Graduate Degrees</t>
  </si>
  <si>
    <t>Outcomes-Based Funding Comparisons to Instruction and Operations Distribution</t>
  </si>
  <si>
    <t>Option 1 Scaled, Weighted, and Monetized by Accountability Group 
Percent of Total</t>
  </si>
  <si>
    <t>Option 4  with Graduate Degrees 
Percent of Total</t>
  </si>
  <si>
    <t>TXST</t>
  </si>
  <si>
    <t>SREB Carnegie 2011-12 Classification</t>
  </si>
  <si>
    <t>Texas SREB Carnegie Salaries 2011-2012</t>
  </si>
  <si>
    <t>Texas SREB Carnegie Salary Times Total Points</t>
  </si>
  <si>
    <t>Accountability Group</t>
  </si>
  <si>
    <r>
      <t xml:space="preserve">Option 2 - Outcomes Based Funding (FY 2010 - FY 2012 Averaged) </t>
    </r>
    <r>
      <rPr>
        <sz val="10"/>
        <rFont val="Tahoma"/>
        <family val="2"/>
      </rPr>
      <t xml:space="preserve">with Total Degrees adjusted by Six-Year Graduation Rate (3-Year Rate for Upper-Levels), Total Degrees per 100 FTSE, Critical Field Degrees (weighted 2), At-Risk Degrees, Retention Metrics of 30, 60, and 90 hours, and Total Degrees adjusted by Cost Based Weights. Metrics </t>
    </r>
    <r>
      <rPr>
        <b/>
        <sz val="10"/>
        <rFont val="Tahoma"/>
        <family val="2"/>
      </rPr>
      <t>scaled</t>
    </r>
    <r>
      <rPr>
        <sz val="10"/>
        <rFont val="Tahoma"/>
        <family val="2"/>
      </rPr>
      <t xml:space="preserve"> for mathematical comparability, </t>
    </r>
    <r>
      <rPr>
        <b/>
        <sz val="10"/>
        <rFont val="Tahoma"/>
        <family val="2"/>
      </rPr>
      <t>weighted</t>
    </r>
    <r>
      <rPr>
        <sz val="10"/>
        <rFont val="Tahoma"/>
        <family val="2"/>
      </rPr>
      <t xml:space="preserve"> by </t>
    </r>
    <r>
      <rPr>
        <b/>
        <sz val="10"/>
        <rFont val="Tahoma"/>
        <family val="2"/>
      </rPr>
      <t>accountability group</t>
    </r>
    <r>
      <rPr>
        <sz val="10"/>
        <rFont val="Tahoma"/>
        <family val="2"/>
      </rPr>
      <t xml:space="preserve">, and </t>
    </r>
    <r>
      <rPr>
        <b/>
        <sz val="10"/>
        <rFont val="Tahoma"/>
        <family val="2"/>
      </rPr>
      <t>monetized</t>
    </r>
    <r>
      <rPr>
        <sz val="10"/>
        <rFont val="Tahoma"/>
        <family val="2"/>
      </rPr>
      <t xml:space="preserve"> using SREB salaries by Carnegie classifications. Funded at 10 percent of undergraduate formula funding.</t>
    </r>
  </si>
  <si>
    <r>
      <rPr>
        <b/>
        <sz val="10"/>
        <rFont val="Tahoma"/>
        <family val="2"/>
      </rPr>
      <t>Option 3 - Outcomes Based Funding (FY 2010 - FY 2012 Averaged)</t>
    </r>
    <r>
      <rPr>
        <sz val="10"/>
        <rFont val="Tahoma"/>
        <family val="2"/>
      </rPr>
      <t xml:space="preserve"> with Total Degrees adjusted by Six-Year Graduation Rate (3-Year Rate for Upper-Levels), Total Degrees per 100 FTSE, Critical Field Degrees (weighted 2), At-Risk Degrees, Retention Metrics of 30, 60, and 90 hours, Total Degrees adjusted by Cost Based Weights, and</t>
    </r>
    <r>
      <rPr>
        <b/>
        <sz val="10"/>
        <rFont val="Tahoma"/>
        <family val="2"/>
      </rPr>
      <t xml:space="preserve"> Total Graduate Degrees</t>
    </r>
    <r>
      <rPr>
        <sz val="10"/>
        <rFont val="Tahoma"/>
        <family val="2"/>
      </rPr>
      <t xml:space="preserve">. Metrics </t>
    </r>
    <r>
      <rPr>
        <b/>
        <sz val="10"/>
        <rFont val="Tahoma"/>
        <family val="2"/>
      </rPr>
      <t>scaled</t>
    </r>
    <r>
      <rPr>
        <sz val="10"/>
        <rFont val="Tahoma"/>
        <family val="2"/>
      </rPr>
      <t xml:space="preserve"> for mathematical comparability, </t>
    </r>
    <r>
      <rPr>
        <b/>
        <sz val="10"/>
        <rFont val="Tahoma"/>
        <family val="2"/>
      </rPr>
      <t>weighted</t>
    </r>
    <r>
      <rPr>
        <sz val="10"/>
        <rFont val="Tahoma"/>
        <family val="2"/>
      </rPr>
      <t xml:space="preserve"> by </t>
    </r>
    <r>
      <rPr>
        <b/>
        <sz val="10"/>
        <rFont val="Tahoma"/>
        <family val="2"/>
      </rPr>
      <t>accountability</t>
    </r>
    <r>
      <rPr>
        <sz val="10"/>
        <rFont val="Tahoma"/>
        <family val="2"/>
      </rPr>
      <t xml:space="preserve"> </t>
    </r>
    <r>
      <rPr>
        <b/>
        <sz val="10"/>
        <rFont val="Tahoma"/>
        <family val="2"/>
      </rPr>
      <t>group</t>
    </r>
    <r>
      <rPr>
        <sz val="10"/>
        <rFont val="Tahoma"/>
        <family val="2"/>
      </rPr>
      <t xml:space="preserve">, and </t>
    </r>
    <r>
      <rPr>
        <b/>
        <sz val="10"/>
        <rFont val="Tahoma"/>
        <family val="2"/>
      </rPr>
      <t>monetized</t>
    </r>
    <r>
      <rPr>
        <sz val="10"/>
        <rFont val="Tahoma"/>
        <family val="2"/>
      </rPr>
      <t xml:space="preserve"> using SREB salaries by Carnegie classifications. Funded at 10 percent of undergraduate formula funding.</t>
    </r>
  </si>
  <si>
    <r>
      <t xml:space="preserve">Option 4 - Outcomes Based Funding (FY 2010 - FY 2012 Averaged) </t>
    </r>
    <r>
      <rPr>
        <sz val="10"/>
        <rFont val="Tahoma"/>
        <family val="2"/>
      </rPr>
      <t xml:space="preserve">with Total Degrees adjusted by Six-Year Graduation Rate (3-Year Rate for Upper-Levels), Total Degrees per 100 FTSE, Critical Field Degrees (weighted 2), At-Risk Degrees, Retention Metrics of 30, 60, and 90 hours, and Total Degrees adjusted by Cost Based Weights. Metrics </t>
    </r>
    <r>
      <rPr>
        <b/>
        <sz val="10"/>
        <rFont val="Tahoma"/>
        <family val="2"/>
      </rPr>
      <t>scaled</t>
    </r>
    <r>
      <rPr>
        <sz val="10"/>
        <rFont val="Tahoma"/>
        <family val="2"/>
      </rPr>
      <t xml:space="preserve"> for mathematical comparability, </t>
    </r>
    <r>
      <rPr>
        <b/>
        <sz val="10"/>
        <rFont val="Tahoma"/>
        <family val="2"/>
      </rPr>
      <t>weighted</t>
    </r>
    <r>
      <rPr>
        <sz val="10"/>
        <rFont val="Tahoma"/>
        <family val="2"/>
      </rPr>
      <t xml:space="preserve"> by </t>
    </r>
    <r>
      <rPr>
        <b/>
        <sz val="10"/>
        <rFont val="Tahoma"/>
        <family val="2"/>
      </rPr>
      <t>Carnegie</t>
    </r>
    <r>
      <rPr>
        <sz val="10"/>
        <rFont val="Tahoma"/>
        <family val="2"/>
      </rPr>
      <t xml:space="preserve"> classifications, and </t>
    </r>
    <r>
      <rPr>
        <b/>
        <sz val="10"/>
        <rFont val="Tahoma"/>
        <family val="2"/>
      </rPr>
      <t>monetized</t>
    </r>
    <r>
      <rPr>
        <sz val="10"/>
        <rFont val="Tahoma"/>
        <family val="2"/>
      </rPr>
      <t xml:space="preserve"> using SREB salaries by Carnegie classifications. Funded at 10 percent of undergraduate formula funding.</t>
    </r>
  </si>
  <si>
    <r>
      <rPr>
        <b/>
        <sz val="10"/>
        <rFont val="Tahoma"/>
        <family val="2"/>
      </rPr>
      <t>Option 3 - Outcomes Based Funding (FY 2010 - FY 2012 Averaged)</t>
    </r>
    <r>
      <rPr>
        <sz val="10"/>
        <rFont val="Tahoma"/>
        <family val="2"/>
      </rPr>
      <t xml:space="preserve"> with Total Degrees adjusted by Six-Year Graduation Rate (3-Year Rate for Upper-Levels), Total Degrees per 100 FTSE, Critical Field Degrees (weighted 2), At-Risk Degrees, Retention Metrics of 30, 60, and 90 hours, Total Degrees adjusted by Cost Based Weights, and </t>
    </r>
    <r>
      <rPr>
        <b/>
        <sz val="10"/>
        <rFont val="Tahoma"/>
        <family val="2"/>
      </rPr>
      <t>Total Graduate Degrees</t>
    </r>
    <r>
      <rPr>
        <sz val="10"/>
        <rFont val="Tahoma"/>
        <family val="2"/>
      </rPr>
      <t xml:space="preserve">. Metrics </t>
    </r>
    <r>
      <rPr>
        <b/>
        <sz val="10"/>
        <rFont val="Tahoma"/>
        <family val="2"/>
      </rPr>
      <t>scaled</t>
    </r>
    <r>
      <rPr>
        <sz val="10"/>
        <rFont val="Tahoma"/>
        <family val="2"/>
      </rPr>
      <t xml:space="preserve"> for mathematical comparability, </t>
    </r>
    <r>
      <rPr>
        <b/>
        <sz val="10"/>
        <rFont val="Tahoma"/>
        <family val="2"/>
      </rPr>
      <t>weighted</t>
    </r>
    <r>
      <rPr>
        <sz val="10"/>
        <rFont val="Tahoma"/>
        <family val="2"/>
      </rPr>
      <t xml:space="preserve"> by </t>
    </r>
    <r>
      <rPr>
        <b/>
        <sz val="10"/>
        <rFont val="Tahoma"/>
        <family val="2"/>
      </rPr>
      <t>Carnegie classifications</t>
    </r>
    <r>
      <rPr>
        <sz val="10"/>
        <rFont val="Tahoma"/>
        <family val="2"/>
      </rPr>
      <t xml:space="preserve">, and </t>
    </r>
    <r>
      <rPr>
        <b/>
        <sz val="10"/>
        <rFont val="Tahoma"/>
        <family val="2"/>
      </rPr>
      <t>monetized</t>
    </r>
    <r>
      <rPr>
        <sz val="10"/>
        <rFont val="Tahoma"/>
        <family val="2"/>
      </rPr>
      <t xml:space="preserve"> using SREB salaries by Carnegie classifications. Funded at 10 percent of undergraduate formula funding.</t>
    </r>
  </si>
  <si>
    <t>Percent Difference From 2014-2015 Undergraduate I&amp;O</t>
  </si>
  <si>
    <t>Option 1 - As proposed for 2014-2015 Compared to Undergraduate I&amp;O</t>
  </si>
  <si>
    <t>Option 1 - As proposed for 2014-2015 Compared to Total I&amp;O</t>
  </si>
  <si>
    <t>2014-2015 Undergraduate Instruction and Operations Percent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</si>
</sst>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00000"/>
    <numFmt numFmtId="166" formatCode="_(&quot;$&quot;* #,##0_);_(&quot;$&quot;* \(#,##0\);_(&quot;$&quot;* &quot;-&quot;??_);_(@_)"/>
    <numFmt numFmtId="167" formatCode="0.0%"/>
    <numFmt numFmtId="168" formatCode="_(&quot;$&quot;* #,##0.0_);_(&quot;$&quot;* \(#,##0.0\);_(&quot;$&quot;* &quot;-&quot;??_);_(@_)"/>
    <numFmt numFmtId="169" formatCode="_(* #,##0.0_);_(* \(#,##0.0\);_(* &quot;-&quot;??_);_(@_)"/>
  </numFmts>
  <fonts count="13" x14ac:knownFonts="1"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sz val="10"/>
      <name val="System"/>
      <family val="2"/>
    </font>
    <font>
      <sz val="10"/>
      <name val="Tahoma"/>
      <family val="2"/>
    </font>
    <font>
      <i/>
      <sz val="10"/>
      <name val="System"/>
      <family val="2"/>
    </font>
    <font>
      <b/>
      <sz val="10"/>
      <name val="Tahoma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2"/>
      <name val="Arial"/>
      <family val="2"/>
    </font>
    <font>
      <sz val="10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 style="medium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 style="medium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medium">
        <color theme="0"/>
      </right>
      <top style="medium">
        <color indexed="64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/>
      <top/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indexed="64"/>
      </left>
      <right style="medium">
        <color theme="0"/>
      </right>
      <top/>
      <bottom style="medium">
        <color indexed="64"/>
      </bottom>
      <diagonal/>
    </border>
  </borders>
  <cellStyleXfs count="61">
    <xf numFmtId="0" fontId="0" fillId="0" borderId="0"/>
    <xf numFmtId="9" fontId="7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3" fontId="7" fillId="0" borderId="0"/>
    <xf numFmtId="3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10" fillId="0" borderId="0"/>
    <xf numFmtId="0" fontId="7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19">
    <xf numFmtId="0" fontId="0" fillId="0" borderId="0" xfId="0"/>
    <xf numFmtId="0" fontId="4" fillId="0" borderId="0" xfId="2" applyFont="1"/>
    <xf numFmtId="0" fontId="4" fillId="0" borderId="0" xfId="2" applyNumberFormat="1" applyFont="1"/>
    <xf numFmtId="164" fontId="4" fillId="0" borderId="1" xfId="2" applyNumberFormat="1" applyFont="1" applyBorder="1"/>
    <xf numFmtId="164" fontId="4" fillId="0" borderId="2" xfId="2" applyNumberFormat="1" applyFont="1" applyBorder="1"/>
    <xf numFmtId="164" fontId="4" fillId="0" borderId="3" xfId="2" applyNumberFormat="1" applyFont="1" applyBorder="1"/>
    <xf numFmtId="164" fontId="4" fillId="0" borderId="4" xfId="2" applyNumberFormat="1" applyFont="1" applyBorder="1"/>
    <xf numFmtId="164" fontId="4" fillId="0" borderId="2" xfId="3" applyNumberFormat="1" applyFont="1" applyBorder="1"/>
    <xf numFmtId="9" fontId="4" fillId="0" borderId="2" xfId="4" applyFont="1" applyBorder="1"/>
    <xf numFmtId="164" fontId="4" fillId="0" borderId="3" xfId="3" applyNumberFormat="1" applyFont="1" applyBorder="1"/>
    <xf numFmtId="164" fontId="4" fillId="0" borderId="5" xfId="2" applyNumberFormat="1" applyFont="1" applyBorder="1" applyAlignment="1">
      <alignment horizontal="right"/>
    </xf>
    <xf numFmtId="0" fontId="4" fillId="0" borderId="1" xfId="2" applyFont="1" applyBorder="1" applyAlignment="1">
      <alignment horizontal="right"/>
    </xf>
    <xf numFmtId="0" fontId="4" fillId="0" borderId="3" xfId="2" applyFont="1" applyBorder="1"/>
    <xf numFmtId="164" fontId="4" fillId="0" borderId="6" xfId="3" applyNumberFormat="1" applyFont="1" applyBorder="1"/>
    <xf numFmtId="164" fontId="4" fillId="0" borderId="7" xfId="3" applyNumberFormat="1" applyFont="1" applyBorder="1"/>
    <xf numFmtId="164" fontId="4" fillId="0" borderId="8" xfId="3" applyNumberFormat="1" applyFont="1" applyBorder="1"/>
    <xf numFmtId="164" fontId="4" fillId="0" borderId="9" xfId="3" applyNumberFormat="1" applyFont="1" applyBorder="1"/>
    <xf numFmtId="9" fontId="6" fillId="0" borderId="7" xfId="4" applyFont="1" applyBorder="1"/>
    <xf numFmtId="164" fontId="4" fillId="0" borderId="10" xfId="2" applyNumberFormat="1" applyFont="1" applyBorder="1"/>
    <xf numFmtId="0" fontId="4" fillId="0" borderId="6" xfId="2" applyFont="1" applyBorder="1"/>
    <xf numFmtId="165" fontId="4" fillId="0" borderId="8" xfId="2" applyNumberFormat="1" applyFont="1" applyBorder="1"/>
    <xf numFmtId="9" fontId="4" fillId="0" borderId="7" xfId="4" applyFont="1" applyBorder="1"/>
    <xf numFmtId="164" fontId="4" fillId="2" borderId="6" xfId="3" applyNumberFormat="1" applyFont="1" applyFill="1" applyBorder="1"/>
    <xf numFmtId="164" fontId="4" fillId="2" borderId="7" xfId="3" applyNumberFormat="1" applyFont="1" applyFill="1" applyBorder="1"/>
    <xf numFmtId="164" fontId="4" fillId="2" borderId="8" xfId="3" applyNumberFormat="1" applyFont="1" applyFill="1" applyBorder="1"/>
    <xf numFmtId="164" fontId="4" fillId="2" borderId="9" xfId="3" applyNumberFormat="1" applyFont="1" applyFill="1" applyBorder="1"/>
    <xf numFmtId="9" fontId="4" fillId="2" borderId="7" xfId="4" applyFont="1" applyFill="1" applyBorder="1"/>
    <xf numFmtId="165" fontId="4" fillId="0" borderId="8" xfId="2" quotePrefix="1" applyNumberFormat="1" applyFont="1" applyBorder="1"/>
    <xf numFmtId="164" fontId="4" fillId="0" borderId="6" xfId="3" applyNumberFormat="1" applyFont="1" applyFill="1" applyBorder="1"/>
    <xf numFmtId="164" fontId="4" fillId="0" borderId="7" xfId="3" applyNumberFormat="1" applyFont="1" applyFill="1" applyBorder="1"/>
    <xf numFmtId="164" fontId="4" fillId="0" borderId="8" xfId="3" applyNumberFormat="1" applyFont="1" applyFill="1" applyBorder="1"/>
    <xf numFmtId="164" fontId="4" fillId="0" borderId="11" xfId="3" applyNumberFormat="1" applyFont="1" applyBorder="1"/>
    <xf numFmtId="164" fontId="4" fillId="0" borderId="12" xfId="3" applyNumberFormat="1" applyFont="1" applyBorder="1"/>
    <xf numFmtId="164" fontId="4" fillId="0" borderId="13" xfId="3" applyNumberFormat="1" applyFont="1" applyBorder="1"/>
    <xf numFmtId="164" fontId="4" fillId="0" borderId="14" xfId="3" applyNumberFormat="1" applyFont="1" applyBorder="1"/>
    <xf numFmtId="164" fontId="4" fillId="0" borderId="15" xfId="3" applyNumberFormat="1" applyFont="1" applyBorder="1"/>
    <xf numFmtId="164" fontId="4" fillId="0" borderId="16" xfId="3" applyNumberFormat="1" applyFont="1" applyBorder="1"/>
    <xf numFmtId="9" fontId="4" fillId="0" borderId="12" xfId="4" applyFont="1" applyBorder="1"/>
    <xf numFmtId="164" fontId="4" fillId="0" borderId="17" xfId="2" applyNumberFormat="1" applyFont="1" applyBorder="1"/>
    <xf numFmtId="0" fontId="4" fillId="0" borderId="15" xfId="2" applyFont="1" applyBorder="1"/>
    <xf numFmtId="165" fontId="4" fillId="0" borderId="16" xfId="2" applyNumberFormat="1" applyFont="1" applyBorder="1"/>
    <xf numFmtId="0" fontId="4" fillId="0" borderId="0" xfId="2" applyFont="1" applyAlignment="1">
      <alignment horizontal="center"/>
    </xf>
    <xf numFmtId="164" fontId="2" fillId="3" borderId="18" xfId="3" applyNumberFormat="1" applyFont="1" applyFill="1" applyBorder="1" applyAlignment="1">
      <alignment horizontal="center" wrapText="1"/>
    </xf>
    <xf numFmtId="164" fontId="2" fillId="3" borderId="19" xfId="3" applyNumberFormat="1" applyFont="1" applyFill="1" applyBorder="1" applyAlignment="1">
      <alignment horizontal="center" wrapText="1"/>
    </xf>
    <xf numFmtId="164" fontId="2" fillId="3" borderId="20" xfId="3" applyNumberFormat="1" applyFont="1" applyFill="1" applyBorder="1" applyAlignment="1">
      <alignment horizontal="center" wrapText="1"/>
    </xf>
    <xf numFmtId="0" fontId="6" fillId="0" borderId="0" xfId="2" applyFont="1"/>
    <xf numFmtId="164" fontId="4" fillId="0" borderId="9" xfId="3" applyNumberFormat="1" applyFont="1" applyFill="1" applyBorder="1"/>
    <xf numFmtId="9" fontId="4" fillId="0" borderId="7" xfId="4" applyFont="1" applyFill="1" applyBorder="1"/>
    <xf numFmtId="164" fontId="4" fillId="4" borderId="6" xfId="3" applyNumberFormat="1" applyFont="1" applyFill="1" applyBorder="1"/>
    <xf numFmtId="164" fontId="4" fillId="4" borderId="7" xfId="3" applyNumberFormat="1" applyFont="1" applyFill="1" applyBorder="1"/>
    <xf numFmtId="164" fontId="4" fillId="4" borderId="8" xfId="3" applyNumberFormat="1" applyFont="1" applyFill="1" applyBorder="1"/>
    <xf numFmtId="164" fontId="4" fillId="0" borderId="11" xfId="3" applyNumberFormat="1" applyFont="1" applyFill="1" applyBorder="1"/>
    <xf numFmtId="164" fontId="4" fillId="0" borderId="12" xfId="3" applyNumberFormat="1" applyFont="1" applyFill="1" applyBorder="1"/>
    <xf numFmtId="164" fontId="4" fillId="0" borderId="13" xfId="3" applyNumberFormat="1" applyFont="1" applyFill="1" applyBorder="1"/>
    <xf numFmtId="3" fontId="6" fillId="0" borderId="0" xfId="2" applyNumberFormat="1" applyFont="1"/>
    <xf numFmtId="9" fontId="4" fillId="0" borderId="0" xfId="1" applyFont="1"/>
    <xf numFmtId="0" fontId="1" fillId="0" borderId="0" xfId="2" applyFont="1" applyBorder="1" applyAlignment="1">
      <alignment horizontal="center" vertical="center"/>
    </xf>
    <xf numFmtId="164" fontId="4" fillId="0" borderId="39" xfId="2" applyNumberFormat="1" applyFont="1" applyBorder="1" applyAlignment="1">
      <alignment horizontal="right"/>
    </xf>
    <xf numFmtId="164" fontId="4" fillId="0" borderId="40" xfId="2" applyNumberFormat="1" applyFont="1" applyBorder="1"/>
    <xf numFmtId="164" fontId="4" fillId="0" borderId="41" xfId="3" applyNumberFormat="1" applyFont="1" applyBorder="1"/>
    <xf numFmtId="0" fontId="6" fillId="0" borderId="11" xfId="3" applyNumberFormat="1" applyFont="1" applyBorder="1" applyAlignment="1">
      <alignment horizontal="center"/>
    </xf>
    <xf numFmtId="0" fontId="6" fillId="0" borderId="12" xfId="3" applyNumberFormat="1" applyFont="1" applyBorder="1" applyAlignment="1">
      <alignment horizontal="center"/>
    </xf>
    <xf numFmtId="0" fontId="6" fillId="0" borderId="13" xfId="3" applyNumberFormat="1" applyFont="1" applyBorder="1" applyAlignment="1">
      <alignment horizontal="center"/>
    </xf>
    <xf numFmtId="0" fontId="6" fillId="0" borderId="42" xfId="3" applyNumberFormat="1" applyFont="1" applyBorder="1" applyAlignment="1">
      <alignment horizontal="center"/>
    </xf>
    <xf numFmtId="0" fontId="6" fillId="0" borderId="15" xfId="3" applyNumberFormat="1" applyFont="1" applyBorder="1" applyAlignment="1">
      <alignment horizontal="center"/>
    </xf>
    <xf numFmtId="0" fontId="6" fillId="0" borderId="16" xfId="3" applyNumberFormat="1" applyFont="1" applyBorder="1" applyAlignment="1">
      <alignment horizontal="center"/>
    </xf>
    <xf numFmtId="164" fontId="2" fillId="3" borderId="22" xfId="3" applyNumberFormat="1" applyFont="1" applyFill="1" applyBorder="1" applyAlignment="1">
      <alignment horizontal="center" wrapText="1"/>
    </xf>
    <xf numFmtId="0" fontId="2" fillId="3" borderId="19" xfId="2" applyFont="1" applyFill="1" applyBorder="1" applyAlignment="1">
      <alignment horizontal="center" wrapText="1"/>
    </xf>
    <xf numFmtId="0" fontId="2" fillId="3" borderId="45" xfId="2" applyFont="1" applyFill="1" applyBorder="1" applyAlignment="1">
      <alignment wrapText="1"/>
    </xf>
    <xf numFmtId="0" fontId="6" fillId="0" borderId="0" xfId="2" applyFont="1" applyAlignment="1"/>
    <xf numFmtId="166" fontId="4" fillId="0" borderId="0" xfId="5" applyNumberFormat="1" applyFont="1" applyBorder="1"/>
    <xf numFmtId="0" fontId="4" fillId="0" borderId="0" xfId="2" applyFont="1" applyAlignment="1">
      <alignment horizontal="left"/>
    </xf>
    <xf numFmtId="0" fontId="4" fillId="0" borderId="0" xfId="2" applyFont="1" applyBorder="1"/>
    <xf numFmtId="166" fontId="4" fillId="0" borderId="1" xfId="5" applyNumberFormat="1" applyFont="1" applyBorder="1"/>
    <xf numFmtId="166" fontId="4" fillId="0" borderId="2" xfId="5" applyNumberFormat="1" applyFont="1" applyBorder="1"/>
    <xf numFmtId="166" fontId="4" fillId="0" borderId="3" xfId="5" applyNumberFormat="1" applyFont="1" applyBorder="1"/>
    <xf numFmtId="166" fontId="4" fillId="0" borderId="4" xfId="5" applyNumberFormat="1" applyFont="1" applyBorder="1"/>
    <xf numFmtId="164" fontId="4" fillId="0" borderId="9" xfId="2" applyNumberFormat="1" applyFont="1" applyBorder="1"/>
    <xf numFmtId="0" fontId="4" fillId="0" borderId="8" xfId="2" quotePrefix="1" applyFont="1" applyBorder="1"/>
    <xf numFmtId="166" fontId="4" fillId="0" borderId="15" xfId="5" applyNumberFormat="1" applyFont="1" applyBorder="1"/>
    <xf numFmtId="166" fontId="4" fillId="0" borderId="41" xfId="5" applyNumberFormat="1" applyFont="1" applyBorder="1"/>
    <xf numFmtId="166" fontId="4" fillId="0" borderId="16" xfId="5" applyNumberFormat="1" applyFont="1" applyBorder="1"/>
    <xf numFmtId="166" fontId="4" fillId="0" borderId="14" xfId="5" applyNumberFormat="1" applyFont="1" applyBorder="1"/>
    <xf numFmtId="166" fontId="4" fillId="0" borderId="43" xfId="5" applyNumberFormat="1" applyFont="1" applyBorder="1"/>
    <xf numFmtId="0" fontId="2" fillId="3" borderId="50" xfId="2" applyFont="1" applyFill="1" applyBorder="1" applyAlignment="1">
      <alignment wrapText="1"/>
    </xf>
    <xf numFmtId="0" fontId="4" fillId="0" borderId="50" xfId="2" applyFont="1" applyBorder="1"/>
    <xf numFmtId="0" fontId="6" fillId="0" borderId="50" xfId="2" applyFont="1" applyBorder="1"/>
    <xf numFmtId="0" fontId="4" fillId="0" borderId="8" xfId="3" applyNumberFormat="1" applyFont="1" applyBorder="1" applyAlignment="1">
      <alignment horizontal="center"/>
    </xf>
    <xf numFmtId="0" fontId="4" fillId="0" borderId="13" xfId="5" applyNumberFormat="1" applyFont="1" applyFill="1" applyBorder="1" applyAlignment="1">
      <alignment horizontal="center"/>
    </xf>
    <xf numFmtId="0" fontId="4" fillId="0" borderId="8" xfId="3" applyNumberFormat="1" applyFont="1" applyFill="1" applyBorder="1" applyAlignment="1">
      <alignment horizontal="center"/>
    </xf>
    <xf numFmtId="167" fontId="4" fillId="0" borderId="40" xfId="1" applyNumberFormat="1" applyFont="1" applyBorder="1"/>
    <xf numFmtId="167" fontId="4" fillId="0" borderId="8" xfId="1" applyNumberFormat="1" applyFont="1" applyBorder="1"/>
    <xf numFmtId="167" fontId="4" fillId="0" borderId="7" xfId="1" applyNumberFormat="1" applyFont="1" applyBorder="1"/>
    <xf numFmtId="167" fontId="4" fillId="0" borderId="6" xfId="1" applyNumberFormat="1" applyFont="1" applyBorder="1"/>
    <xf numFmtId="167" fontId="4" fillId="0" borderId="16" xfId="1" applyNumberFormat="1" applyFont="1" applyBorder="1"/>
    <xf numFmtId="167" fontId="4" fillId="0" borderId="15" xfId="1" applyNumberFormat="1" applyFont="1" applyBorder="1"/>
    <xf numFmtId="167" fontId="4" fillId="0" borderId="14" xfId="1" applyNumberFormat="1" applyFont="1" applyBorder="1"/>
    <xf numFmtId="167" fontId="4" fillId="0" borderId="41" xfId="1" applyNumberFormat="1" applyFont="1" applyBorder="1"/>
    <xf numFmtId="167" fontId="4" fillId="0" borderId="9" xfId="1" applyNumberFormat="1" applyFont="1" applyBorder="1"/>
    <xf numFmtId="0" fontId="4" fillId="0" borderId="13" xfId="5" applyNumberFormat="1" applyFont="1" applyBorder="1" applyAlignment="1">
      <alignment horizontal="center"/>
    </xf>
    <xf numFmtId="166" fontId="4" fillId="0" borderId="11" xfId="5" applyNumberFormat="1" applyFont="1" applyBorder="1"/>
    <xf numFmtId="0" fontId="4" fillId="0" borderId="53" xfId="2" applyFont="1" applyBorder="1"/>
    <xf numFmtId="0" fontId="4" fillId="0" borderId="59" xfId="2" applyFont="1" applyBorder="1"/>
    <xf numFmtId="166" fontId="4" fillId="0" borderId="13" xfId="5" applyNumberFormat="1" applyFont="1" applyBorder="1"/>
    <xf numFmtId="10" fontId="4" fillId="5" borderId="49" xfId="4" applyNumberFormat="1" applyFont="1" applyFill="1" applyBorder="1"/>
    <xf numFmtId="0" fontId="2" fillId="6" borderId="12" xfId="2" applyFont="1" applyFill="1" applyBorder="1" applyAlignment="1">
      <alignment horizontal="center" wrapText="1"/>
    </xf>
    <xf numFmtId="10" fontId="4" fillId="0" borderId="7" xfId="2" applyNumberFormat="1" applyFont="1" applyBorder="1"/>
    <xf numFmtId="10" fontId="4" fillId="0" borderId="2" xfId="2" applyNumberFormat="1" applyFont="1" applyBorder="1"/>
    <xf numFmtId="0" fontId="2" fillId="6" borderId="13" xfId="2" applyFont="1" applyFill="1" applyBorder="1" applyAlignment="1">
      <alignment horizontal="center" wrapText="1"/>
    </xf>
    <xf numFmtId="167" fontId="4" fillId="0" borderId="3" xfId="1" applyNumberFormat="1" applyFont="1" applyBorder="1"/>
    <xf numFmtId="0" fontId="2" fillId="6" borderId="11" xfId="2" applyFont="1" applyFill="1" applyBorder="1" applyAlignment="1">
      <alignment horizontal="center" wrapText="1"/>
    </xf>
    <xf numFmtId="168" fontId="4" fillId="0" borderId="6" xfId="59" applyNumberFormat="1" applyFont="1" applyBorder="1"/>
    <xf numFmtId="169" fontId="4" fillId="0" borderId="6" xfId="58" applyNumberFormat="1" applyFont="1" applyBorder="1"/>
    <xf numFmtId="169" fontId="4" fillId="0" borderId="1" xfId="58" applyNumberFormat="1" applyFont="1" applyBorder="1"/>
    <xf numFmtId="164" fontId="2" fillId="3" borderId="22" xfId="3" applyNumberFormat="1" applyFont="1" applyFill="1" applyBorder="1" applyAlignment="1">
      <alignment horizontal="center" wrapText="1"/>
    </xf>
    <xf numFmtId="164" fontId="2" fillId="3" borderId="22" xfId="3" applyNumberFormat="1" applyFont="1" applyFill="1" applyBorder="1" applyAlignment="1">
      <alignment horizontal="center" wrapText="1"/>
    </xf>
    <xf numFmtId="9" fontId="4" fillId="5" borderId="49" xfId="4" applyFont="1" applyFill="1" applyBorder="1"/>
    <xf numFmtId="166" fontId="4" fillId="0" borderId="4" xfId="5" applyNumberFormat="1" applyFont="1" applyFill="1" applyBorder="1" applyAlignment="1">
      <alignment horizontal="right"/>
    </xf>
    <xf numFmtId="165" fontId="4" fillId="0" borderId="0" xfId="2" applyNumberFormat="1" applyFont="1" applyBorder="1"/>
    <xf numFmtId="167" fontId="4" fillId="0" borderId="0" xfId="1" applyNumberFormat="1" applyFont="1" applyBorder="1"/>
    <xf numFmtId="0" fontId="4" fillId="0" borderId="0" xfId="3" applyNumberFormat="1" applyFont="1" applyFill="1" applyBorder="1" applyAlignment="1">
      <alignment horizontal="center"/>
    </xf>
    <xf numFmtId="165" fontId="6" fillId="0" borderId="0" xfId="2" applyNumberFormat="1" applyFont="1" applyBorder="1"/>
    <xf numFmtId="167" fontId="4" fillId="0" borderId="40" xfId="53" applyNumberFormat="1" applyFont="1" applyBorder="1"/>
    <xf numFmtId="167" fontId="4" fillId="7" borderId="8" xfId="53" applyNumberFormat="1" applyFont="1" applyFill="1" applyBorder="1"/>
    <xf numFmtId="167" fontId="4" fillId="8" borderId="7" xfId="53" applyNumberFormat="1" applyFont="1" applyFill="1" applyBorder="1"/>
    <xf numFmtId="167" fontId="4" fillId="9" borderId="7" xfId="53" applyNumberFormat="1" applyFont="1" applyFill="1" applyBorder="1"/>
    <xf numFmtId="167" fontId="4" fillId="7" borderId="6" xfId="53" applyNumberFormat="1" applyFont="1" applyFill="1" applyBorder="1"/>
    <xf numFmtId="167" fontId="4" fillId="7" borderId="16" xfId="53" applyNumberFormat="1" applyFont="1" applyFill="1" applyBorder="1"/>
    <xf numFmtId="167" fontId="4" fillId="9" borderId="16" xfId="53" applyNumberFormat="1" applyFont="1" applyFill="1" applyBorder="1"/>
    <xf numFmtId="167" fontId="4" fillId="7" borderId="15" xfId="53" applyNumberFormat="1" applyFont="1" applyFill="1" applyBorder="1"/>
    <xf numFmtId="167" fontId="4" fillId="7" borderId="14" xfId="53" applyNumberFormat="1" applyFont="1" applyFill="1" applyBorder="1"/>
    <xf numFmtId="167" fontId="4" fillId="7" borderId="41" xfId="53" applyNumberFormat="1" applyFont="1" applyFill="1" applyBorder="1"/>
    <xf numFmtId="167" fontId="4" fillId="10" borderId="8" xfId="53" applyNumberFormat="1" applyFont="1" applyFill="1" applyBorder="1"/>
    <xf numFmtId="167" fontId="4" fillId="10" borderId="7" xfId="53" applyNumberFormat="1" applyFont="1" applyFill="1" applyBorder="1"/>
    <xf numFmtId="167" fontId="4" fillId="10" borderId="6" xfId="53" applyNumberFormat="1" applyFont="1" applyFill="1" applyBorder="1"/>
    <xf numFmtId="167" fontId="4" fillId="10" borderId="16" xfId="53" applyNumberFormat="1" applyFont="1" applyFill="1" applyBorder="1"/>
    <xf numFmtId="167" fontId="4" fillId="10" borderId="15" xfId="53" applyNumberFormat="1" applyFont="1" applyFill="1" applyBorder="1"/>
    <xf numFmtId="167" fontId="4" fillId="10" borderId="14" xfId="53" applyNumberFormat="1" applyFont="1" applyFill="1" applyBorder="1"/>
    <xf numFmtId="167" fontId="4" fillId="7" borderId="7" xfId="53" applyNumberFormat="1" applyFont="1" applyFill="1" applyBorder="1"/>
    <xf numFmtId="167" fontId="4" fillId="9" borderId="8" xfId="53" applyNumberFormat="1" applyFont="1" applyFill="1" applyBorder="1"/>
    <xf numFmtId="167" fontId="4" fillId="10" borderId="9" xfId="53" applyNumberFormat="1" applyFont="1" applyFill="1" applyBorder="1"/>
    <xf numFmtId="167" fontId="4" fillId="9" borderId="6" xfId="53" applyNumberFormat="1" applyFont="1" applyFill="1" applyBorder="1"/>
    <xf numFmtId="167" fontId="4" fillId="9" borderId="9" xfId="53" applyNumberFormat="1" applyFont="1" applyFill="1" applyBorder="1"/>
    <xf numFmtId="167" fontId="4" fillId="0" borderId="40" xfId="60" applyNumberFormat="1" applyFont="1" applyBorder="1"/>
    <xf numFmtId="167" fontId="4" fillId="7" borderId="8" xfId="60" applyNumberFormat="1" applyFont="1" applyFill="1" applyBorder="1"/>
    <xf numFmtId="167" fontId="4" fillId="8" borderId="7" xfId="60" applyNumberFormat="1" applyFont="1" applyFill="1" applyBorder="1"/>
    <xf numFmtId="167" fontId="4" fillId="7" borderId="6" xfId="60" applyNumberFormat="1" applyFont="1" applyFill="1" applyBorder="1"/>
    <xf numFmtId="167" fontId="4" fillId="7" borderId="16" xfId="60" applyNumberFormat="1" applyFont="1" applyFill="1" applyBorder="1"/>
    <xf numFmtId="167" fontId="4" fillId="7" borderId="15" xfId="60" applyNumberFormat="1" applyFont="1" applyFill="1" applyBorder="1"/>
    <xf numFmtId="167" fontId="4" fillId="7" borderId="14" xfId="60" applyNumberFormat="1" applyFont="1" applyFill="1" applyBorder="1"/>
    <xf numFmtId="167" fontId="4" fillId="7" borderId="41" xfId="60" applyNumberFormat="1" applyFont="1" applyFill="1" applyBorder="1"/>
    <xf numFmtId="167" fontId="4" fillId="10" borderId="8" xfId="60" applyNumberFormat="1" applyFont="1" applyFill="1" applyBorder="1"/>
    <xf numFmtId="167" fontId="4" fillId="9" borderId="7" xfId="60" applyNumberFormat="1" applyFont="1" applyFill="1" applyBorder="1"/>
    <xf numFmtId="167" fontId="4" fillId="10" borderId="6" xfId="60" applyNumberFormat="1" applyFont="1" applyFill="1" applyBorder="1"/>
    <xf numFmtId="167" fontId="4" fillId="10" borderId="9" xfId="60" applyNumberFormat="1" applyFont="1" applyFill="1" applyBorder="1"/>
    <xf numFmtId="167" fontId="4" fillId="7" borderId="7" xfId="60" applyNumberFormat="1" applyFont="1" applyFill="1" applyBorder="1"/>
    <xf numFmtId="167" fontId="4" fillId="10" borderId="7" xfId="60" applyNumberFormat="1" applyFont="1" applyFill="1" applyBorder="1"/>
    <xf numFmtId="167" fontId="4" fillId="9" borderId="8" xfId="60" applyNumberFormat="1" applyFont="1" applyFill="1" applyBorder="1"/>
    <xf numFmtId="167" fontId="4" fillId="9" borderId="6" xfId="60" applyNumberFormat="1" applyFont="1" applyFill="1" applyBorder="1"/>
    <xf numFmtId="167" fontId="4" fillId="9" borderId="9" xfId="60" applyNumberFormat="1" applyFont="1" applyFill="1" applyBorder="1"/>
    <xf numFmtId="167" fontId="4" fillId="0" borderId="43" xfId="1" applyNumberFormat="1" applyFont="1" applyBorder="1"/>
    <xf numFmtId="0" fontId="2" fillId="6" borderId="38" xfId="2" applyFont="1" applyFill="1" applyBorder="1" applyAlignment="1">
      <alignment horizontal="center" wrapText="1"/>
    </xf>
    <xf numFmtId="0" fontId="2" fillId="6" borderId="34" xfId="2" applyFont="1" applyFill="1" applyBorder="1" applyAlignment="1">
      <alignment horizontal="center" wrapText="1"/>
    </xf>
    <xf numFmtId="0" fontId="2" fillId="6" borderId="60" xfId="2" applyFont="1" applyFill="1" applyBorder="1" applyAlignment="1">
      <alignment horizontal="center" wrapText="1"/>
    </xf>
    <xf numFmtId="0" fontId="2" fillId="0" borderId="0" xfId="2" applyFont="1" applyFill="1" applyBorder="1" applyAlignment="1">
      <alignment horizontal="center" wrapText="1"/>
    </xf>
    <xf numFmtId="167" fontId="4" fillId="0" borderId="0" xfId="1" applyNumberFormat="1" applyFont="1" applyFill="1" applyBorder="1"/>
    <xf numFmtId="167" fontId="4" fillId="0" borderId="61" xfId="1" applyNumberFormat="1" applyFont="1" applyFill="1" applyBorder="1"/>
    <xf numFmtId="166" fontId="4" fillId="0" borderId="61" xfId="5" applyNumberFormat="1" applyFont="1" applyFill="1" applyBorder="1" applyAlignment="1">
      <alignment horizontal="right"/>
    </xf>
    <xf numFmtId="0" fontId="0" fillId="0" borderId="0" xfId="0" applyFill="1" applyBorder="1"/>
    <xf numFmtId="167" fontId="4" fillId="0" borderId="4" xfId="1" applyNumberFormat="1" applyFont="1" applyFill="1" applyBorder="1" applyAlignment="1">
      <alignment horizontal="right"/>
    </xf>
    <xf numFmtId="168" fontId="0" fillId="0" borderId="0" xfId="59" applyNumberFormat="1" applyFont="1"/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0" xfId="2" applyFont="1" applyAlignment="1">
      <alignment vertical="top"/>
    </xf>
    <xf numFmtId="0" fontId="6" fillId="0" borderId="0" xfId="2" applyFont="1" applyFill="1" applyBorder="1" applyAlignment="1">
      <alignment horizontal="left"/>
    </xf>
    <xf numFmtId="167" fontId="4" fillId="0" borderId="0" xfId="1" applyNumberFormat="1" applyFont="1"/>
    <xf numFmtId="0" fontId="1" fillId="0" borderId="50" xfId="0" applyFont="1" applyBorder="1" applyAlignment="1">
      <alignment horizontal="left" wrapText="1"/>
    </xf>
    <xf numFmtId="0" fontId="2" fillId="3" borderId="38" xfId="2" applyFont="1" applyFill="1" applyBorder="1" applyAlignment="1">
      <alignment horizontal="center" wrapText="1"/>
    </xf>
    <xf numFmtId="0" fontId="2" fillId="3" borderId="28" xfId="2" applyFont="1" applyFill="1" applyBorder="1" applyAlignment="1">
      <alignment horizontal="center" wrapText="1"/>
    </xf>
    <xf numFmtId="0" fontId="2" fillId="3" borderId="35" xfId="2" applyFont="1" applyFill="1" applyBorder="1" applyAlignment="1">
      <alignment horizontal="center" wrapText="1"/>
    </xf>
    <xf numFmtId="0" fontId="2" fillId="3" borderId="25" xfId="2" applyFont="1" applyFill="1" applyBorder="1" applyAlignment="1">
      <alignment horizontal="center" wrapText="1"/>
    </xf>
    <xf numFmtId="0" fontId="2" fillId="3" borderId="34" xfId="2" applyFont="1" applyFill="1" applyBorder="1" applyAlignment="1">
      <alignment horizontal="center" wrapText="1"/>
    </xf>
    <xf numFmtId="0" fontId="2" fillId="3" borderId="24" xfId="2" applyFont="1" applyFill="1" applyBorder="1" applyAlignment="1">
      <alignment horizontal="center" wrapText="1"/>
    </xf>
    <xf numFmtId="0" fontId="2" fillId="3" borderId="48" xfId="2" applyFont="1" applyFill="1" applyBorder="1" applyAlignment="1">
      <alignment horizontal="center" vertical="center" wrapText="1"/>
    </xf>
    <xf numFmtId="0" fontId="2" fillId="3" borderId="47" xfId="2" applyFont="1" applyFill="1" applyBorder="1" applyAlignment="1">
      <alignment horizontal="center" vertical="center" wrapText="1"/>
    </xf>
    <xf numFmtId="0" fontId="2" fillId="3" borderId="46" xfId="2" applyFont="1" applyFill="1" applyBorder="1" applyAlignment="1">
      <alignment horizontal="center" vertical="center" wrapText="1"/>
    </xf>
    <xf numFmtId="164" fontId="2" fillId="3" borderId="33" xfId="3" applyNumberFormat="1" applyFont="1" applyFill="1" applyBorder="1" applyAlignment="1">
      <alignment horizontal="center" wrapText="1"/>
    </xf>
    <xf numFmtId="164" fontId="2" fillId="3" borderId="23" xfId="3" applyNumberFormat="1" applyFont="1" applyFill="1" applyBorder="1" applyAlignment="1">
      <alignment horizontal="center" wrapText="1"/>
    </xf>
    <xf numFmtId="0" fontId="6" fillId="0" borderId="0" xfId="2" applyFont="1" applyAlignment="1">
      <alignment horizontal="left" vertical="top" wrapText="1"/>
    </xf>
    <xf numFmtId="0" fontId="2" fillId="3" borderId="56" xfId="2" applyFont="1" applyFill="1" applyBorder="1" applyAlignment="1">
      <alignment horizontal="center" wrapText="1"/>
    </xf>
    <xf numFmtId="0" fontId="2" fillId="3" borderId="53" xfId="2" applyFont="1" applyFill="1" applyBorder="1" applyAlignment="1">
      <alignment horizontal="center" wrapText="1"/>
    </xf>
    <xf numFmtId="0" fontId="2" fillId="3" borderId="55" xfId="2" applyFont="1" applyFill="1" applyBorder="1" applyAlignment="1">
      <alignment horizontal="center" wrapText="1"/>
    </xf>
    <xf numFmtId="0" fontId="2" fillId="3" borderId="52" xfId="2" applyFont="1" applyFill="1" applyBorder="1" applyAlignment="1">
      <alignment horizontal="center" wrapText="1"/>
    </xf>
    <xf numFmtId="0" fontId="2" fillId="3" borderId="54" xfId="2" applyFont="1" applyFill="1" applyBorder="1" applyAlignment="1">
      <alignment horizontal="center" wrapText="1"/>
    </xf>
    <xf numFmtId="0" fontId="2" fillId="3" borderId="51" xfId="2" applyFont="1" applyFill="1" applyBorder="1" applyAlignment="1">
      <alignment horizontal="center" wrapText="1"/>
    </xf>
    <xf numFmtId="164" fontId="2" fillId="3" borderId="32" xfId="3" applyNumberFormat="1" applyFont="1" applyFill="1" applyBorder="1" applyAlignment="1">
      <alignment horizontal="center" wrapText="1"/>
    </xf>
    <xf numFmtId="164" fontId="2" fillId="3" borderId="22" xfId="3" applyNumberFormat="1" applyFont="1" applyFill="1" applyBorder="1" applyAlignment="1">
      <alignment horizontal="center" wrapText="1"/>
    </xf>
    <xf numFmtId="164" fontId="2" fillId="3" borderId="31" xfId="3" applyNumberFormat="1" applyFont="1" applyFill="1" applyBorder="1" applyAlignment="1">
      <alignment horizontal="center" wrapText="1"/>
    </xf>
    <xf numFmtId="164" fontId="2" fillId="3" borderId="21" xfId="3" applyNumberFormat="1" applyFont="1" applyFill="1" applyBorder="1" applyAlignment="1">
      <alignment horizontal="center" wrapText="1"/>
    </xf>
    <xf numFmtId="164" fontId="2" fillId="3" borderId="30" xfId="3" applyNumberFormat="1" applyFont="1" applyFill="1" applyBorder="1" applyAlignment="1">
      <alignment horizontal="center" vertical="center" wrapText="1"/>
    </xf>
    <xf numFmtId="164" fontId="2" fillId="3" borderId="29" xfId="3" applyNumberFormat="1" applyFont="1" applyFill="1" applyBorder="1" applyAlignment="1">
      <alignment horizontal="center" vertical="center" wrapText="1"/>
    </xf>
    <xf numFmtId="164" fontId="2" fillId="3" borderId="34" xfId="3" applyNumberFormat="1" applyFont="1" applyFill="1" applyBorder="1" applyAlignment="1">
      <alignment horizontal="center" wrapText="1"/>
    </xf>
    <xf numFmtId="164" fontId="2" fillId="3" borderId="24" xfId="3" applyNumberFormat="1" applyFont="1" applyFill="1" applyBorder="1" applyAlignment="1">
      <alignment horizontal="center" wrapText="1"/>
    </xf>
    <xf numFmtId="164" fontId="2" fillId="3" borderId="33" xfId="3" applyNumberFormat="1" applyFont="1" applyFill="1" applyBorder="1" applyAlignment="1">
      <alignment horizontal="center" vertical="center" wrapText="1"/>
    </xf>
    <xf numFmtId="164" fontId="2" fillId="3" borderId="23" xfId="3" applyNumberFormat="1" applyFont="1" applyFill="1" applyBorder="1" applyAlignment="1">
      <alignment horizontal="center" vertical="center" wrapText="1"/>
    </xf>
    <xf numFmtId="164" fontId="2" fillId="3" borderId="36" xfId="3" applyNumberFormat="1" applyFont="1" applyFill="1" applyBorder="1" applyAlignment="1">
      <alignment horizontal="center" wrapText="1"/>
    </xf>
    <xf numFmtId="164" fontId="2" fillId="3" borderId="26" xfId="3" applyNumberFormat="1" applyFont="1" applyFill="1" applyBorder="1" applyAlignment="1">
      <alignment horizontal="center" wrapText="1"/>
    </xf>
    <xf numFmtId="0" fontId="6" fillId="0" borderId="42" xfId="2" applyFont="1" applyBorder="1" applyAlignment="1">
      <alignment horizontal="right"/>
    </xf>
    <xf numFmtId="0" fontId="6" fillId="0" borderId="44" xfId="2" applyFont="1" applyBorder="1" applyAlignment="1">
      <alignment horizontal="right"/>
    </xf>
    <xf numFmtId="0" fontId="6" fillId="0" borderId="43" xfId="2" applyFont="1" applyBorder="1" applyAlignment="1">
      <alignment horizontal="right"/>
    </xf>
    <xf numFmtId="0" fontId="2" fillId="3" borderId="37" xfId="2" applyFont="1" applyFill="1" applyBorder="1" applyAlignment="1">
      <alignment horizontal="center" wrapText="1"/>
    </xf>
    <xf numFmtId="0" fontId="2" fillId="3" borderId="27" xfId="2" applyFont="1" applyFill="1" applyBorder="1" applyAlignment="1">
      <alignment horizontal="center" wrapText="1"/>
    </xf>
    <xf numFmtId="0" fontId="2" fillId="3" borderId="33" xfId="2" applyFont="1" applyFill="1" applyBorder="1" applyAlignment="1">
      <alignment horizontal="center" wrapText="1"/>
    </xf>
    <xf numFmtId="0" fontId="2" fillId="3" borderId="23" xfId="2" applyFont="1" applyFill="1" applyBorder="1" applyAlignment="1">
      <alignment horizontal="center" wrapText="1"/>
    </xf>
    <xf numFmtId="0" fontId="2" fillId="3" borderId="57" xfId="2" applyFont="1" applyFill="1" applyBorder="1" applyAlignment="1">
      <alignment horizontal="center" wrapText="1"/>
    </xf>
    <xf numFmtId="0" fontId="2" fillId="3" borderId="58" xfId="2" applyFont="1" applyFill="1" applyBorder="1" applyAlignment="1">
      <alignment horizontal="center" wrapText="1"/>
    </xf>
    <xf numFmtId="0" fontId="4" fillId="0" borderId="0" xfId="2" applyFont="1" applyAlignment="1">
      <alignment horizontal="left" vertical="top" wrapText="1"/>
    </xf>
    <xf numFmtId="0" fontId="2" fillId="3" borderId="62" xfId="2" applyFont="1" applyFill="1" applyBorder="1" applyAlignment="1">
      <alignment horizontal="center" wrapText="1"/>
    </xf>
    <xf numFmtId="0" fontId="2" fillId="3" borderId="63" xfId="2" applyFont="1" applyFill="1" applyBorder="1" applyAlignment="1">
      <alignment horizontal="center" wrapText="1"/>
    </xf>
  </cellXfs>
  <cellStyles count="61">
    <cellStyle name="Comma" xfId="58" builtinId="3"/>
    <cellStyle name="Comma 2" xfId="6"/>
    <cellStyle name="Comma 2 2" xfId="7"/>
    <cellStyle name="Comma 3" xfId="8"/>
    <cellStyle name="Comma 3 2" xfId="9"/>
    <cellStyle name="Comma 4" xfId="10"/>
    <cellStyle name="Comma 4 2" xfId="11"/>
    <cellStyle name="Comma 5" xfId="3"/>
    <cellStyle name="Comma 6" xfId="12"/>
    <cellStyle name="Comma 6 2" xfId="13"/>
    <cellStyle name="Comma 7" xfId="14"/>
    <cellStyle name="Comma0" xfId="15"/>
    <cellStyle name="Comma0 2" xfId="16"/>
    <cellStyle name="Currency" xfId="59" builtinId="4"/>
    <cellStyle name="Currency 2" xfId="17"/>
    <cellStyle name="Currency 2 2" xfId="18"/>
    <cellStyle name="Currency 3" xfId="19"/>
    <cellStyle name="Currency 3 2" xfId="20"/>
    <cellStyle name="Currency 4" xfId="5"/>
    <cellStyle name="Currency 5" xfId="21"/>
    <cellStyle name="Normal" xfId="0" builtinId="0"/>
    <cellStyle name="Normal 10" xfId="22"/>
    <cellStyle name="Normal 10 2" xfId="23"/>
    <cellStyle name="Normal 11" xfId="2"/>
    <cellStyle name="Normal 12" xfId="24"/>
    <cellStyle name="Normal 12 2" xfId="25"/>
    <cellStyle name="Normal 13" xfId="26"/>
    <cellStyle name="Normal 13 2" xfId="27"/>
    <cellStyle name="Normal 2" xfId="28"/>
    <cellStyle name="Normal 2 10" xfId="29"/>
    <cellStyle name="Normal 2 11" xfId="30"/>
    <cellStyle name="Normal 2 12" xfId="31"/>
    <cellStyle name="Normal 2 13" xfId="32"/>
    <cellStyle name="Normal 2 2" xfId="33"/>
    <cellStyle name="Normal 2 3" xfId="34"/>
    <cellStyle name="Normal 2 4" xfId="35"/>
    <cellStyle name="Normal 2 5" xfId="36"/>
    <cellStyle name="Normal 2 6" xfId="37"/>
    <cellStyle name="Normal 2 7" xfId="38"/>
    <cellStyle name="Normal 2 8" xfId="39"/>
    <cellStyle name="Normal 2 9" xfId="40"/>
    <cellStyle name="Normal 3" xfId="41"/>
    <cellStyle name="Normal 3 2" xfId="42"/>
    <cellStyle name="Normal 3 3" xfId="43"/>
    <cellStyle name="Normal 4" xfId="44"/>
    <cellStyle name="Normal 4 2" xfId="45"/>
    <cellStyle name="Normal 5" xfId="46"/>
    <cellStyle name="Normal 6" xfId="47"/>
    <cellStyle name="Normal 7" xfId="48"/>
    <cellStyle name="Normal 8" xfId="49"/>
    <cellStyle name="Normal 9" xfId="50"/>
    <cellStyle name="Percent" xfId="1" builtinId="5"/>
    <cellStyle name="Percent 2" xfId="51"/>
    <cellStyle name="Percent 2 2" xfId="52"/>
    <cellStyle name="Percent 3" xfId="53"/>
    <cellStyle name="Percent 3 2" xfId="54"/>
    <cellStyle name="Percent 4" xfId="55"/>
    <cellStyle name="Percent 4 2" xfId="56"/>
    <cellStyle name="Percent 5" xfId="4"/>
    <cellStyle name="Percent 6" xfId="57"/>
    <cellStyle name="Percent 7" xfId="6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Comparisons!$F$4:$F$41</c:f>
              <c:numCache>
                <c:formatCode>0.0%</c:formatCode>
                <c:ptCount val="38"/>
                <c:pt idx="0">
                  <c:v>5.7433120163359379E-2</c:v>
                </c:pt>
                <c:pt idx="1">
                  <c:v>0.10744380093616079</c:v>
                </c:pt>
                <c:pt idx="2">
                  <c:v>2.7960930235282688E-2</c:v>
                </c:pt>
                <c:pt idx="3">
                  <c:v>3.7801700479809269E-2</c:v>
                </c:pt>
                <c:pt idx="4">
                  <c:v>3.3414305369230984E-2</c:v>
                </c:pt>
                <c:pt idx="5">
                  <c:v>1.1024062138423319E-2</c:v>
                </c:pt>
                <c:pt idx="6">
                  <c:v>5.8857015876078826E-3</c:v>
                </c:pt>
                <c:pt idx="7">
                  <c:v>5.0267953461106338E-2</c:v>
                </c:pt>
                <c:pt idx="8">
                  <c:v>1.3484385717409827E-2</c:v>
                </c:pt>
                <c:pt idx="9">
                  <c:v>0.10868949948252503</c:v>
                </c:pt>
                <c:pt idx="10">
                  <c:v>5.9921021213003465E-3</c:v>
                </c:pt>
                <c:pt idx="11">
                  <c:v>1.3402905414046658E-2</c:v>
                </c:pt>
                <c:pt idx="12">
                  <c:v>1.7920735745562244E-2</c:v>
                </c:pt>
                <c:pt idx="13">
                  <c:v>4.1734647327134767E-3</c:v>
                </c:pt>
                <c:pt idx="14">
                  <c:v>1.7156008232642638E-2</c:v>
                </c:pt>
                <c:pt idx="15">
                  <c:v>1.046021612641905E-2</c:v>
                </c:pt>
                <c:pt idx="16">
                  <c:v>5.0072576238691935E-3</c:v>
                </c:pt>
                <c:pt idx="17">
                  <c:v>1.0193360022486849E-2</c:v>
                </c:pt>
                <c:pt idx="18">
                  <c:v>1.4734289295521816E-2</c:v>
                </c:pt>
                <c:pt idx="19">
                  <c:v>1.4422878735686519E-2</c:v>
                </c:pt>
                <c:pt idx="20">
                  <c:v>3.3848629449298724E-3</c:v>
                </c:pt>
                <c:pt idx="21">
                  <c:v>6.2490444003614753E-2</c:v>
                </c:pt>
                <c:pt idx="22">
                  <c:v>1.1775733899144679E-2</c:v>
                </c:pt>
                <c:pt idx="23">
                  <c:v>2.2895667000131407E-2</c:v>
                </c:pt>
                <c:pt idx="24">
                  <c:v>5.6779350210933461E-3</c:v>
                </c:pt>
                <c:pt idx="25">
                  <c:v>1.2529718990393214E-2</c:v>
                </c:pt>
                <c:pt idx="26">
                  <c:v>6.6143060042658672E-2</c:v>
                </c:pt>
                <c:pt idx="27">
                  <c:v>3.5582298188174665E-3</c:v>
                </c:pt>
                <c:pt idx="28">
                  <c:v>2.3454029022344738E-2</c:v>
                </c:pt>
                <c:pt idx="29">
                  <c:v>1.0822736863908104E-2</c:v>
                </c:pt>
                <c:pt idx="30">
                  <c:v>5.9825636011374535E-2</c:v>
                </c:pt>
                <c:pt idx="31">
                  <c:v>1.2285369199892692E-2</c:v>
                </c:pt>
                <c:pt idx="32">
                  <c:v>2.0037775548750074E-2</c:v>
                </c:pt>
                <c:pt idx="33">
                  <c:v>1.685957119302281E-2</c:v>
                </c:pt>
                <c:pt idx="34">
                  <c:v>3.4422006361569238E-2</c:v>
                </c:pt>
                <c:pt idx="35">
                  <c:v>6.3053755580008239E-2</c:v>
                </c:pt>
                <c:pt idx="36">
                  <c:v>2.3156395548747004E-3</c:v>
                </c:pt>
                <c:pt idx="37">
                  <c:v>1.5991513223075099E-3</c:v>
                </c:pt>
              </c:numCache>
            </c:numRef>
          </c:xVal>
          <c:yVal>
            <c:numRef>
              <c:f>Comparisons!$D$4:$D$41</c:f>
              <c:numCache>
                <c:formatCode>0.0%</c:formatCode>
                <c:ptCount val="38"/>
                <c:pt idx="0">
                  <c:v>5.3941374102444546E-2</c:v>
                </c:pt>
                <c:pt idx="1">
                  <c:v>9.7535367886092073E-2</c:v>
                </c:pt>
                <c:pt idx="2">
                  <c:v>3.0845130992374833E-2</c:v>
                </c:pt>
                <c:pt idx="3">
                  <c:v>3.8067899960727944E-2</c:v>
                </c:pt>
                <c:pt idx="4">
                  <c:v>3.6041180893975448E-2</c:v>
                </c:pt>
                <c:pt idx="5">
                  <c:v>1.3127311227878089E-2</c:v>
                </c:pt>
                <c:pt idx="6">
                  <c:v>6.658597974462911E-3</c:v>
                </c:pt>
                <c:pt idx="7">
                  <c:v>5.1993931386758195E-2</c:v>
                </c:pt>
                <c:pt idx="8">
                  <c:v>1.2069401585431769E-2</c:v>
                </c:pt>
                <c:pt idx="9">
                  <c:v>0.10514316433214833</c:v>
                </c:pt>
                <c:pt idx="10">
                  <c:v>7.0859752523080169E-3</c:v>
                </c:pt>
                <c:pt idx="11">
                  <c:v>1.5279410782616385E-2</c:v>
                </c:pt>
                <c:pt idx="12">
                  <c:v>1.9985241623354359E-2</c:v>
                </c:pt>
                <c:pt idx="13">
                  <c:v>3.4527219750504121E-3</c:v>
                </c:pt>
                <c:pt idx="14">
                  <c:v>1.9224284187157891E-2</c:v>
                </c:pt>
                <c:pt idx="15">
                  <c:v>1.296528221607569E-2</c:v>
                </c:pt>
                <c:pt idx="16">
                  <c:v>5.939285915308113E-3</c:v>
                </c:pt>
                <c:pt idx="17">
                  <c:v>1.0886031395541047E-2</c:v>
                </c:pt>
                <c:pt idx="18">
                  <c:v>1.5183466872892367E-2</c:v>
                </c:pt>
                <c:pt idx="19">
                  <c:v>1.411122580581306E-2</c:v>
                </c:pt>
                <c:pt idx="20">
                  <c:v>2.885126155730112E-3</c:v>
                </c:pt>
                <c:pt idx="21">
                  <c:v>6.680079885949769E-2</c:v>
                </c:pt>
                <c:pt idx="22">
                  <c:v>1.0972897764284933E-2</c:v>
                </c:pt>
                <c:pt idx="23">
                  <c:v>2.262163232206927E-2</c:v>
                </c:pt>
                <c:pt idx="24">
                  <c:v>5.6229417841748381E-3</c:v>
                </c:pt>
                <c:pt idx="25">
                  <c:v>1.0364568727977754E-2</c:v>
                </c:pt>
                <c:pt idx="26">
                  <c:v>5.9972196847224775E-2</c:v>
                </c:pt>
                <c:pt idx="27">
                  <c:v>2.8602942419239919E-3</c:v>
                </c:pt>
                <c:pt idx="28">
                  <c:v>2.3435865298122357E-2</c:v>
                </c:pt>
                <c:pt idx="29">
                  <c:v>1.3524899052819646E-2</c:v>
                </c:pt>
                <c:pt idx="30">
                  <c:v>6.3345925146063756E-2</c:v>
                </c:pt>
                <c:pt idx="31">
                  <c:v>1.2561069385453944E-2</c:v>
                </c:pt>
                <c:pt idx="32">
                  <c:v>1.8983457031793705E-2</c:v>
                </c:pt>
                <c:pt idx="33">
                  <c:v>1.8519296567582645E-2</c:v>
                </c:pt>
                <c:pt idx="34">
                  <c:v>3.2554270941238916E-2</c:v>
                </c:pt>
                <c:pt idx="35">
                  <c:v>6.1387457427191858E-2</c:v>
                </c:pt>
                <c:pt idx="36">
                  <c:v>2.5717361648878246E-3</c:v>
                </c:pt>
                <c:pt idx="37">
                  <c:v>1.4792799135503695E-3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49728"/>
        <c:axId val="161650304"/>
      </c:scatterChart>
      <c:valAx>
        <c:axId val="161649728"/>
        <c:scaling>
          <c:orientation val="minMax"/>
          <c:max val="0.1500000000000000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Outcomes-Based</a:t>
                </a:r>
                <a:r>
                  <a:rPr lang="en-US" baseline="0"/>
                  <a:t> Funding Percent of Total</a:t>
                </a:r>
                <a:endParaRPr 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1650304"/>
        <c:crosses val="autoZero"/>
        <c:crossBetween val="midCat"/>
      </c:valAx>
      <c:valAx>
        <c:axId val="161650304"/>
        <c:scaling>
          <c:orientation val="minMax"/>
          <c:max val="0.1500000000000000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Instruction</a:t>
                </a:r>
                <a:r>
                  <a:rPr lang="en-US" baseline="0"/>
                  <a:t> and Operations Percent of Total</a:t>
                </a:r>
                <a:endParaRPr 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16497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Comparisons!$J$4:$J$41</c:f>
              <c:numCache>
                <c:formatCode>0.0%</c:formatCode>
                <c:ptCount val="38"/>
                <c:pt idx="0">
                  <c:v>5.7433120163359379E-2</c:v>
                </c:pt>
                <c:pt idx="1">
                  <c:v>0.10744380093616079</c:v>
                </c:pt>
                <c:pt idx="2">
                  <c:v>2.7960930235282688E-2</c:v>
                </c:pt>
                <c:pt idx="3">
                  <c:v>3.7801700479809269E-2</c:v>
                </c:pt>
                <c:pt idx="4">
                  <c:v>3.3414305369230984E-2</c:v>
                </c:pt>
                <c:pt idx="5">
                  <c:v>1.1024062138423319E-2</c:v>
                </c:pt>
                <c:pt idx="6">
                  <c:v>5.8857015876078826E-3</c:v>
                </c:pt>
                <c:pt idx="7">
                  <c:v>5.0267953461106338E-2</c:v>
                </c:pt>
                <c:pt idx="8">
                  <c:v>1.3484385717409827E-2</c:v>
                </c:pt>
                <c:pt idx="9">
                  <c:v>0.10868949948252503</c:v>
                </c:pt>
                <c:pt idx="10">
                  <c:v>5.9921021213003465E-3</c:v>
                </c:pt>
                <c:pt idx="11">
                  <c:v>1.3402905414046658E-2</c:v>
                </c:pt>
                <c:pt idx="12">
                  <c:v>1.7920735745562244E-2</c:v>
                </c:pt>
                <c:pt idx="13">
                  <c:v>4.1734647327134767E-3</c:v>
                </c:pt>
                <c:pt idx="14">
                  <c:v>1.7156008232642638E-2</c:v>
                </c:pt>
                <c:pt idx="15">
                  <c:v>1.046021612641905E-2</c:v>
                </c:pt>
                <c:pt idx="16">
                  <c:v>5.0072576238691935E-3</c:v>
                </c:pt>
                <c:pt idx="17">
                  <c:v>1.0193360022486849E-2</c:v>
                </c:pt>
                <c:pt idx="18">
                  <c:v>1.4734289295521816E-2</c:v>
                </c:pt>
                <c:pt idx="19">
                  <c:v>1.4422878735686519E-2</c:v>
                </c:pt>
                <c:pt idx="20">
                  <c:v>3.3848629449298724E-3</c:v>
                </c:pt>
                <c:pt idx="21">
                  <c:v>6.2490444003614753E-2</c:v>
                </c:pt>
                <c:pt idx="22">
                  <c:v>1.1775733899144679E-2</c:v>
                </c:pt>
                <c:pt idx="23">
                  <c:v>2.2895667000131407E-2</c:v>
                </c:pt>
                <c:pt idx="24">
                  <c:v>5.6779350210933461E-3</c:v>
                </c:pt>
                <c:pt idx="25">
                  <c:v>1.2529718990393214E-2</c:v>
                </c:pt>
                <c:pt idx="26">
                  <c:v>6.6143060042658672E-2</c:v>
                </c:pt>
                <c:pt idx="27">
                  <c:v>3.5582298188174665E-3</c:v>
                </c:pt>
                <c:pt idx="28">
                  <c:v>2.3454029022344738E-2</c:v>
                </c:pt>
                <c:pt idx="29">
                  <c:v>1.0822736863908104E-2</c:v>
                </c:pt>
                <c:pt idx="30">
                  <c:v>5.9825636011374535E-2</c:v>
                </c:pt>
                <c:pt idx="31">
                  <c:v>1.2285369199892692E-2</c:v>
                </c:pt>
                <c:pt idx="32">
                  <c:v>2.0037775548750074E-2</c:v>
                </c:pt>
                <c:pt idx="33">
                  <c:v>1.685957119302281E-2</c:v>
                </c:pt>
                <c:pt idx="34">
                  <c:v>3.4422006361569238E-2</c:v>
                </c:pt>
                <c:pt idx="35">
                  <c:v>6.3053755580008239E-2</c:v>
                </c:pt>
                <c:pt idx="36">
                  <c:v>2.3156395548747004E-3</c:v>
                </c:pt>
                <c:pt idx="37">
                  <c:v>1.5991513223075099E-3</c:v>
                </c:pt>
              </c:numCache>
            </c:numRef>
          </c:xVal>
          <c:yVal>
            <c:numRef>
              <c:f>Comparisons!$D$4:$D$41</c:f>
              <c:numCache>
                <c:formatCode>0.0%</c:formatCode>
                <c:ptCount val="38"/>
                <c:pt idx="0">
                  <c:v>5.3941374102444546E-2</c:v>
                </c:pt>
                <c:pt idx="1">
                  <c:v>9.7535367886092073E-2</c:v>
                </c:pt>
                <c:pt idx="2">
                  <c:v>3.0845130992374833E-2</c:v>
                </c:pt>
                <c:pt idx="3">
                  <c:v>3.8067899960727944E-2</c:v>
                </c:pt>
                <c:pt idx="4">
                  <c:v>3.6041180893975448E-2</c:v>
                </c:pt>
                <c:pt idx="5">
                  <c:v>1.3127311227878089E-2</c:v>
                </c:pt>
                <c:pt idx="6">
                  <c:v>6.658597974462911E-3</c:v>
                </c:pt>
                <c:pt idx="7">
                  <c:v>5.1993931386758195E-2</c:v>
                </c:pt>
                <c:pt idx="8">
                  <c:v>1.2069401585431769E-2</c:v>
                </c:pt>
                <c:pt idx="9">
                  <c:v>0.10514316433214833</c:v>
                </c:pt>
                <c:pt idx="10">
                  <c:v>7.0859752523080169E-3</c:v>
                </c:pt>
                <c:pt idx="11">
                  <c:v>1.5279410782616385E-2</c:v>
                </c:pt>
                <c:pt idx="12">
                  <c:v>1.9985241623354359E-2</c:v>
                </c:pt>
                <c:pt idx="13">
                  <c:v>3.4527219750504121E-3</c:v>
                </c:pt>
                <c:pt idx="14">
                  <c:v>1.9224284187157891E-2</c:v>
                </c:pt>
                <c:pt idx="15">
                  <c:v>1.296528221607569E-2</c:v>
                </c:pt>
                <c:pt idx="16">
                  <c:v>5.939285915308113E-3</c:v>
                </c:pt>
                <c:pt idx="17">
                  <c:v>1.0886031395541047E-2</c:v>
                </c:pt>
                <c:pt idx="18">
                  <c:v>1.5183466872892367E-2</c:v>
                </c:pt>
                <c:pt idx="19">
                  <c:v>1.411122580581306E-2</c:v>
                </c:pt>
                <c:pt idx="20">
                  <c:v>2.885126155730112E-3</c:v>
                </c:pt>
                <c:pt idx="21">
                  <c:v>6.680079885949769E-2</c:v>
                </c:pt>
                <c:pt idx="22">
                  <c:v>1.0972897764284933E-2</c:v>
                </c:pt>
                <c:pt idx="23">
                  <c:v>2.262163232206927E-2</c:v>
                </c:pt>
                <c:pt idx="24">
                  <c:v>5.6229417841748381E-3</c:v>
                </c:pt>
                <c:pt idx="25">
                  <c:v>1.0364568727977754E-2</c:v>
                </c:pt>
                <c:pt idx="26">
                  <c:v>5.9972196847224775E-2</c:v>
                </c:pt>
                <c:pt idx="27">
                  <c:v>2.8602942419239919E-3</c:v>
                </c:pt>
                <c:pt idx="28">
                  <c:v>2.3435865298122357E-2</c:v>
                </c:pt>
                <c:pt idx="29">
                  <c:v>1.3524899052819646E-2</c:v>
                </c:pt>
                <c:pt idx="30">
                  <c:v>6.3345925146063756E-2</c:v>
                </c:pt>
                <c:pt idx="31">
                  <c:v>1.2561069385453944E-2</c:v>
                </c:pt>
                <c:pt idx="32">
                  <c:v>1.8983457031793705E-2</c:v>
                </c:pt>
                <c:pt idx="33">
                  <c:v>1.8519296567582645E-2</c:v>
                </c:pt>
                <c:pt idx="34">
                  <c:v>3.2554270941238916E-2</c:v>
                </c:pt>
                <c:pt idx="35">
                  <c:v>6.1387457427191858E-2</c:v>
                </c:pt>
                <c:pt idx="36">
                  <c:v>2.5717361648878246E-3</c:v>
                </c:pt>
                <c:pt idx="37">
                  <c:v>1.4792799135503695E-3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52032"/>
        <c:axId val="127016960"/>
      </c:scatterChart>
      <c:valAx>
        <c:axId val="161652032"/>
        <c:scaling>
          <c:orientation val="minMax"/>
          <c:max val="0.1500000000000000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Outcomes-Based</a:t>
                </a:r>
                <a:r>
                  <a:rPr lang="en-US" baseline="0"/>
                  <a:t> Funding Percent of Total</a:t>
                </a:r>
                <a:endParaRPr 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27016960"/>
        <c:crosses val="autoZero"/>
        <c:crossBetween val="midCat"/>
      </c:valAx>
      <c:valAx>
        <c:axId val="127016960"/>
        <c:scaling>
          <c:orientation val="minMax"/>
          <c:max val="0.1500000000000000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Instruction</a:t>
                </a:r>
                <a:r>
                  <a:rPr lang="en-US" baseline="0"/>
                  <a:t> and Operations Percent of Total</a:t>
                </a:r>
                <a:endParaRPr 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16520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Comparisons!$R$4:$R$41</c:f>
              <c:numCache>
                <c:formatCode>0.0%</c:formatCode>
                <c:ptCount val="38"/>
                <c:pt idx="0">
                  <c:v>6.9265607244782507E-2</c:v>
                </c:pt>
                <c:pt idx="1">
                  <c:v>0.11732625664057786</c:v>
                </c:pt>
                <c:pt idx="2">
                  <c:v>4.0582547730281443E-2</c:v>
                </c:pt>
                <c:pt idx="3">
                  <c:v>3.0961007339416802E-2</c:v>
                </c:pt>
                <c:pt idx="4">
                  <c:v>2.4458088330999547E-2</c:v>
                </c:pt>
                <c:pt idx="5">
                  <c:v>9.8077039172005595E-3</c:v>
                </c:pt>
                <c:pt idx="6">
                  <c:v>5.5169266845988578E-3</c:v>
                </c:pt>
                <c:pt idx="7">
                  <c:v>3.857631083497038E-2</c:v>
                </c:pt>
                <c:pt idx="8">
                  <c:v>1.2123755936254853E-2</c:v>
                </c:pt>
                <c:pt idx="9">
                  <c:v>0.10194244969838354</c:v>
                </c:pt>
                <c:pt idx="10">
                  <c:v>7.2996991545734797E-3</c:v>
                </c:pt>
                <c:pt idx="11">
                  <c:v>1.133247293847273E-2</c:v>
                </c:pt>
                <c:pt idx="12">
                  <c:v>1.4502870804688489E-2</c:v>
                </c:pt>
                <c:pt idx="13">
                  <c:v>7.0872887433065584E-3</c:v>
                </c:pt>
                <c:pt idx="14">
                  <c:v>1.3925441422278743E-2</c:v>
                </c:pt>
                <c:pt idx="15">
                  <c:v>9.1179358521362181E-3</c:v>
                </c:pt>
                <c:pt idx="16">
                  <c:v>5.8438272615906417E-3</c:v>
                </c:pt>
                <c:pt idx="17">
                  <c:v>8.2227728647617012E-3</c:v>
                </c:pt>
                <c:pt idx="18">
                  <c:v>1.21391342083783E-2</c:v>
                </c:pt>
                <c:pt idx="19">
                  <c:v>1.5165961398687018E-2</c:v>
                </c:pt>
                <c:pt idx="20">
                  <c:v>4.9856076112978868E-3</c:v>
                </c:pt>
                <c:pt idx="21">
                  <c:v>7.9747758986749753E-2</c:v>
                </c:pt>
                <c:pt idx="22">
                  <c:v>1.456802556550456E-2</c:v>
                </c:pt>
                <c:pt idx="23">
                  <c:v>1.7574626595474704E-2</c:v>
                </c:pt>
                <c:pt idx="24">
                  <c:v>8.1464931005882663E-3</c:v>
                </c:pt>
                <c:pt idx="25">
                  <c:v>1.0309357577812409E-2</c:v>
                </c:pt>
                <c:pt idx="26">
                  <c:v>7.3738390667250103E-2</c:v>
                </c:pt>
                <c:pt idx="27">
                  <c:v>3.8284749040832719E-3</c:v>
                </c:pt>
                <c:pt idx="28">
                  <c:v>1.8186978358179669E-2</c:v>
                </c:pt>
                <c:pt idx="29">
                  <c:v>1.1734481684366443E-2</c:v>
                </c:pt>
                <c:pt idx="30">
                  <c:v>6.9758232990023483E-2</c:v>
                </c:pt>
                <c:pt idx="31">
                  <c:v>9.9801165531463662E-3</c:v>
                </c:pt>
                <c:pt idx="32">
                  <c:v>2.4348448756242216E-2</c:v>
                </c:pt>
                <c:pt idx="33">
                  <c:v>1.9929103371943226E-2</c:v>
                </c:pt>
                <c:pt idx="34">
                  <c:v>2.706011177425725E-2</c:v>
                </c:pt>
                <c:pt idx="35">
                  <c:v>4.5414912849813638E-2</c:v>
                </c:pt>
                <c:pt idx="36">
                  <c:v>2.912187287565995E-3</c:v>
                </c:pt>
                <c:pt idx="37">
                  <c:v>2.5786323593606831E-3</c:v>
                </c:pt>
              </c:numCache>
            </c:numRef>
          </c:xVal>
          <c:yVal>
            <c:numRef>
              <c:f>Comparisons!$D$4:$D$41</c:f>
              <c:numCache>
                <c:formatCode>0.0%</c:formatCode>
                <c:ptCount val="38"/>
                <c:pt idx="0">
                  <c:v>5.3941374102444546E-2</c:v>
                </c:pt>
                <c:pt idx="1">
                  <c:v>9.7535367886092073E-2</c:v>
                </c:pt>
                <c:pt idx="2">
                  <c:v>3.0845130992374833E-2</c:v>
                </c:pt>
                <c:pt idx="3">
                  <c:v>3.8067899960727944E-2</c:v>
                </c:pt>
                <c:pt idx="4">
                  <c:v>3.6041180893975448E-2</c:v>
                </c:pt>
                <c:pt idx="5">
                  <c:v>1.3127311227878089E-2</c:v>
                </c:pt>
                <c:pt idx="6">
                  <c:v>6.658597974462911E-3</c:v>
                </c:pt>
                <c:pt idx="7">
                  <c:v>5.1993931386758195E-2</c:v>
                </c:pt>
                <c:pt idx="8">
                  <c:v>1.2069401585431769E-2</c:v>
                </c:pt>
                <c:pt idx="9">
                  <c:v>0.10514316433214833</c:v>
                </c:pt>
                <c:pt idx="10">
                  <c:v>7.0859752523080169E-3</c:v>
                </c:pt>
                <c:pt idx="11">
                  <c:v>1.5279410782616385E-2</c:v>
                </c:pt>
                <c:pt idx="12">
                  <c:v>1.9985241623354359E-2</c:v>
                </c:pt>
                <c:pt idx="13">
                  <c:v>3.4527219750504121E-3</c:v>
                </c:pt>
                <c:pt idx="14">
                  <c:v>1.9224284187157891E-2</c:v>
                </c:pt>
                <c:pt idx="15">
                  <c:v>1.296528221607569E-2</c:v>
                </c:pt>
                <c:pt idx="16">
                  <c:v>5.939285915308113E-3</c:v>
                </c:pt>
                <c:pt idx="17">
                  <c:v>1.0886031395541047E-2</c:v>
                </c:pt>
                <c:pt idx="18">
                  <c:v>1.5183466872892367E-2</c:v>
                </c:pt>
                <c:pt idx="19">
                  <c:v>1.411122580581306E-2</c:v>
                </c:pt>
                <c:pt idx="20">
                  <c:v>2.885126155730112E-3</c:v>
                </c:pt>
                <c:pt idx="21">
                  <c:v>6.680079885949769E-2</c:v>
                </c:pt>
                <c:pt idx="22">
                  <c:v>1.0972897764284933E-2</c:v>
                </c:pt>
                <c:pt idx="23">
                  <c:v>2.262163232206927E-2</c:v>
                </c:pt>
                <c:pt idx="24">
                  <c:v>5.6229417841748381E-3</c:v>
                </c:pt>
                <c:pt idx="25">
                  <c:v>1.0364568727977754E-2</c:v>
                </c:pt>
                <c:pt idx="26">
                  <c:v>5.9972196847224775E-2</c:v>
                </c:pt>
                <c:pt idx="27">
                  <c:v>2.8602942419239919E-3</c:v>
                </c:pt>
                <c:pt idx="28">
                  <c:v>2.3435865298122357E-2</c:v>
                </c:pt>
                <c:pt idx="29">
                  <c:v>1.3524899052819646E-2</c:v>
                </c:pt>
                <c:pt idx="30">
                  <c:v>6.3345925146063756E-2</c:v>
                </c:pt>
                <c:pt idx="31">
                  <c:v>1.2561069385453944E-2</c:v>
                </c:pt>
                <c:pt idx="32">
                  <c:v>1.8983457031793705E-2</c:v>
                </c:pt>
                <c:pt idx="33">
                  <c:v>1.8519296567582645E-2</c:v>
                </c:pt>
                <c:pt idx="34">
                  <c:v>3.2554270941238916E-2</c:v>
                </c:pt>
                <c:pt idx="35">
                  <c:v>6.1387457427191858E-2</c:v>
                </c:pt>
                <c:pt idx="36">
                  <c:v>2.5717361648878246E-3</c:v>
                </c:pt>
                <c:pt idx="37">
                  <c:v>1.4792799135503695E-3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18688"/>
        <c:axId val="127019264"/>
      </c:scatterChart>
      <c:valAx>
        <c:axId val="127018688"/>
        <c:scaling>
          <c:orientation val="minMax"/>
          <c:max val="0.1500000000000000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Outcomes-Based</a:t>
                </a:r>
                <a:r>
                  <a:rPr lang="en-US" baseline="0"/>
                  <a:t> Funding Percent of Total</a:t>
                </a:r>
                <a:endParaRPr 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27019264"/>
        <c:crosses val="autoZero"/>
        <c:crossBetween val="midCat"/>
      </c:valAx>
      <c:valAx>
        <c:axId val="127019264"/>
        <c:scaling>
          <c:orientation val="minMax"/>
          <c:max val="0.1500000000000000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Instruction</a:t>
                </a:r>
                <a:r>
                  <a:rPr lang="en-US" baseline="0"/>
                  <a:t> and Operations Percent of Total</a:t>
                </a:r>
                <a:endParaRPr 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270186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Comparisons!$V$4:$V$41</c:f>
              <c:numCache>
                <c:formatCode>0.0%</c:formatCode>
                <c:ptCount val="38"/>
                <c:pt idx="0">
                  <c:v>5.7353129758429697E-2</c:v>
                </c:pt>
                <c:pt idx="1">
                  <c:v>0.11095471845651329</c:v>
                </c:pt>
                <c:pt idx="2">
                  <c:v>3.0295853660845352E-2</c:v>
                </c:pt>
                <c:pt idx="3">
                  <c:v>3.5365373221106389E-2</c:v>
                </c:pt>
                <c:pt idx="4">
                  <c:v>2.9532596427304238E-2</c:v>
                </c:pt>
                <c:pt idx="5">
                  <c:v>1.1805607564621096E-2</c:v>
                </c:pt>
                <c:pt idx="6">
                  <c:v>6.4113406793600133E-3</c:v>
                </c:pt>
                <c:pt idx="7">
                  <c:v>4.5901053587011825E-2</c:v>
                </c:pt>
                <c:pt idx="8">
                  <c:v>1.3594700398376479E-2</c:v>
                </c:pt>
                <c:pt idx="9">
                  <c:v>0.11165101122150961</c:v>
                </c:pt>
                <c:pt idx="10">
                  <c:v>1.0508201243796311E-2</c:v>
                </c:pt>
                <c:pt idx="11">
                  <c:v>1.2276241816594202E-2</c:v>
                </c:pt>
                <c:pt idx="12">
                  <c:v>1.7224040224618858E-2</c:v>
                </c:pt>
                <c:pt idx="13">
                  <c:v>8.5379289583635345E-3</c:v>
                </c:pt>
                <c:pt idx="14">
                  <c:v>1.6102394930272462E-2</c:v>
                </c:pt>
                <c:pt idx="15">
                  <c:v>1.0068643830535448E-2</c:v>
                </c:pt>
                <c:pt idx="16">
                  <c:v>6.9110367172612944E-3</c:v>
                </c:pt>
                <c:pt idx="17">
                  <c:v>9.5081545601023408E-3</c:v>
                </c:pt>
                <c:pt idx="18">
                  <c:v>1.4273274134083138E-2</c:v>
                </c:pt>
                <c:pt idx="19">
                  <c:v>1.4243668386154882E-2</c:v>
                </c:pt>
                <c:pt idx="20">
                  <c:v>5.8198375559748057E-3</c:v>
                </c:pt>
                <c:pt idx="21">
                  <c:v>6.0106622794066526E-2</c:v>
                </c:pt>
                <c:pt idx="22">
                  <c:v>1.2955253053221628E-2</c:v>
                </c:pt>
                <c:pt idx="23">
                  <c:v>2.2511320353858617E-2</c:v>
                </c:pt>
                <c:pt idx="24">
                  <c:v>8.3211402656913763E-3</c:v>
                </c:pt>
                <c:pt idx="25">
                  <c:v>1.2246733665052892E-2</c:v>
                </c:pt>
                <c:pt idx="26">
                  <c:v>6.5617093535176654E-2</c:v>
                </c:pt>
                <c:pt idx="27">
                  <c:v>6.0111109158447022E-3</c:v>
                </c:pt>
                <c:pt idx="28">
                  <c:v>2.1481575119407566E-2</c:v>
                </c:pt>
                <c:pt idx="29">
                  <c:v>9.5929008023304136E-3</c:v>
                </c:pt>
                <c:pt idx="30">
                  <c:v>5.9530872654467971E-2</c:v>
                </c:pt>
                <c:pt idx="31">
                  <c:v>1.1825195046694421E-2</c:v>
                </c:pt>
                <c:pt idx="32">
                  <c:v>2.0798080834942546E-2</c:v>
                </c:pt>
                <c:pt idx="33">
                  <c:v>1.5625454052911839E-2</c:v>
                </c:pt>
                <c:pt idx="34">
                  <c:v>3.1916339481614368E-2</c:v>
                </c:pt>
                <c:pt idx="35">
                  <c:v>5.68853476248957E-2</c:v>
                </c:pt>
                <c:pt idx="36">
                  <c:v>2.8512353397576497E-3</c:v>
                </c:pt>
                <c:pt idx="37">
                  <c:v>3.3849171272297765E-3</c:v>
                </c:pt>
              </c:numCache>
            </c:numRef>
          </c:xVal>
          <c:yVal>
            <c:numRef>
              <c:f>Comparisons!$D$4:$D$41</c:f>
              <c:numCache>
                <c:formatCode>0.0%</c:formatCode>
                <c:ptCount val="38"/>
                <c:pt idx="0">
                  <c:v>5.3941374102444546E-2</c:v>
                </c:pt>
                <c:pt idx="1">
                  <c:v>9.7535367886092073E-2</c:v>
                </c:pt>
                <c:pt idx="2">
                  <c:v>3.0845130992374833E-2</c:v>
                </c:pt>
                <c:pt idx="3">
                  <c:v>3.8067899960727944E-2</c:v>
                </c:pt>
                <c:pt idx="4">
                  <c:v>3.6041180893975448E-2</c:v>
                </c:pt>
                <c:pt idx="5">
                  <c:v>1.3127311227878089E-2</c:v>
                </c:pt>
                <c:pt idx="6">
                  <c:v>6.658597974462911E-3</c:v>
                </c:pt>
                <c:pt idx="7">
                  <c:v>5.1993931386758195E-2</c:v>
                </c:pt>
                <c:pt idx="8">
                  <c:v>1.2069401585431769E-2</c:v>
                </c:pt>
                <c:pt idx="9">
                  <c:v>0.10514316433214833</c:v>
                </c:pt>
                <c:pt idx="10">
                  <c:v>7.0859752523080169E-3</c:v>
                </c:pt>
                <c:pt idx="11">
                  <c:v>1.5279410782616385E-2</c:v>
                </c:pt>
                <c:pt idx="12">
                  <c:v>1.9985241623354359E-2</c:v>
                </c:pt>
                <c:pt idx="13">
                  <c:v>3.4527219750504121E-3</c:v>
                </c:pt>
                <c:pt idx="14">
                  <c:v>1.9224284187157891E-2</c:v>
                </c:pt>
                <c:pt idx="15">
                  <c:v>1.296528221607569E-2</c:v>
                </c:pt>
                <c:pt idx="16">
                  <c:v>5.939285915308113E-3</c:v>
                </c:pt>
                <c:pt idx="17">
                  <c:v>1.0886031395541047E-2</c:v>
                </c:pt>
                <c:pt idx="18">
                  <c:v>1.5183466872892367E-2</c:v>
                </c:pt>
                <c:pt idx="19">
                  <c:v>1.411122580581306E-2</c:v>
                </c:pt>
                <c:pt idx="20">
                  <c:v>2.885126155730112E-3</c:v>
                </c:pt>
                <c:pt idx="21">
                  <c:v>6.680079885949769E-2</c:v>
                </c:pt>
                <c:pt idx="22">
                  <c:v>1.0972897764284933E-2</c:v>
                </c:pt>
                <c:pt idx="23">
                  <c:v>2.262163232206927E-2</c:v>
                </c:pt>
                <c:pt idx="24">
                  <c:v>5.6229417841748381E-3</c:v>
                </c:pt>
                <c:pt idx="25">
                  <c:v>1.0364568727977754E-2</c:v>
                </c:pt>
                <c:pt idx="26">
                  <c:v>5.9972196847224775E-2</c:v>
                </c:pt>
                <c:pt idx="27">
                  <c:v>2.8602942419239919E-3</c:v>
                </c:pt>
                <c:pt idx="28">
                  <c:v>2.3435865298122357E-2</c:v>
                </c:pt>
                <c:pt idx="29">
                  <c:v>1.3524899052819646E-2</c:v>
                </c:pt>
                <c:pt idx="30">
                  <c:v>6.3345925146063756E-2</c:v>
                </c:pt>
                <c:pt idx="31">
                  <c:v>1.2561069385453944E-2</c:v>
                </c:pt>
                <c:pt idx="32">
                  <c:v>1.8983457031793705E-2</c:v>
                </c:pt>
                <c:pt idx="33">
                  <c:v>1.8519296567582645E-2</c:v>
                </c:pt>
                <c:pt idx="34">
                  <c:v>3.2554270941238916E-2</c:v>
                </c:pt>
                <c:pt idx="35">
                  <c:v>6.1387457427191858E-2</c:v>
                </c:pt>
                <c:pt idx="36">
                  <c:v>2.5717361648878246E-3</c:v>
                </c:pt>
                <c:pt idx="37">
                  <c:v>1.4792799135503695E-3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20992"/>
        <c:axId val="127021568"/>
      </c:scatterChart>
      <c:valAx>
        <c:axId val="127020992"/>
        <c:scaling>
          <c:orientation val="minMax"/>
          <c:max val="0.1500000000000000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Outcomes-Based</a:t>
                </a:r>
                <a:r>
                  <a:rPr lang="en-US" baseline="0"/>
                  <a:t> Funding Percent of Total</a:t>
                </a:r>
                <a:endParaRPr 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27021568"/>
        <c:crosses val="autoZero"/>
        <c:crossBetween val="midCat"/>
      </c:valAx>
      <c:valAx>
        <c:axId val="127021568"/>
        <c:scaling>
          <c:orientation val="minMax"/>
          <c:max val="0.1500000000000000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Instruction</a:t>
                </a:r>
                <a:r>
                  <a:rPr lang="en-US" baseline="0"/>
                  <a:t> and Operations Percent of Total</a:t>
                </a:r>
                <a:endParaRPr 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270209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Comparisons!$Z$4:$Z$41</c:f>
              <c:numCache>
                <c:formatCode>0.0%</c:formatCode>
                <c:ptCount val="38"/>
                <c:pt idx="0">
                  <c:v>5.8402527359122214E-2</c:v>
                </c:pt>
                <c:pt idx="1">
                  <c:v>0.12592857088200121</c:v>
                </c:pt>
                <c:pt idx="2">
                  <c:v>3.670421915868239E-2</c:v>
                </c:pt>
                <c:pt idx="3">
                  <c:v>3.3231056022386227E-2</c:v>
                </c:pt>
                <c:pt idx="4">
                  <c:v>2.6251345591497371E-2</c:v>
                </c:pt>
                <c:pt idx="5">
                  <c:v>1.0051137385035229E-2</c:v>
                </c:pt>
                <c:pt idx="6">
                  <c:v>5.5276513980918335E-3</c:v>
                </c:pt>
                <c:pt idx="7">
                  <c:v>4.1404710526386661E-2</c:v>
                </c:pt>
                <c:pt idx="8">
                  <c:v>1.2257064251437688E-2</c:v>
                </c:pt>
                <c:pt idx="9">
                  <c:v>0.10941682936373368</c:v>
                </c:pt>
                <c:pt idx="10">
                  <c:v>9.1573235805484481E-3</c:v>
                </c:pt>
                <c:pt idx="11">
                  <c:v>1.177701196545697E-2</c:v>
                </c:pt>
                <c:pt idx="12">
                  <c:v>1.5063149698071763E-2</c:v>
                </c:pt>
                <c:pt idx="13">
                  <c:v>7.3076852071041519E-3</c:v>
                </c:pt>
                <c:pt idx="14">
                  <c:v>1.4946449221342405E-2</c:v>
                </c:pt>
                <c:pt idx="15">
                  <c:v>9.7864592643635215E-3</c:v>
                </c:pt>
                <c:pt idx="16">
                  <c:v>6.2722943406247882E-3</c:v>
                </c:pt>
                <c:pt idx="17">
                  <c:v>8.4675349809502833E-3</c:v>
                </c:pt>
                <c:pt idx="18">
                  <c:v>1.2557286845559023E-2</c:v>
                </c:pt>
                <c:pt idx="19">
                  <c:v>1.6277923626583413E-2</c:v>
                </c:pt>
                <c:pt idx="20">
                  <c:v>5.1238380850402998E-3</c:v>
                </c:pt>
                <c:pt idx="21">
                  <c:v>7.0009482242783194E-2</c:v>
                </c:pt>
                <c:pt idx="22">
                  <c:v>1.4118812372060403E-2</c:v>
                </c:pt>
                <c:pt idx="23">
                  <c:v>1.8863191192852836E-2</c:v>
                </c:pt>
                <c:pt idx="24">
                  <c:v>8.1840399837791733E-3</c:v>
                </c:pt>
                <c:pt idx="25">
                  <c:v>1.0398676224479987E-2</c:v>
                </c:pt>
                <c:pt idx="26">
                  <c:v>6.2607703419844812E-2</c:v>
                </c:pt>
                <c:pt idx="27">
                  <c:v>5.2010657603468102E-3</c:v>
                </c:pt>
                <c:pt idx="28">
                  <c:v>1.8803010745510905E-2</c:v>
                </c:pt>
                <c:pt idx="29">
                  <c:v>1.2594849191175952E-2</c:v>
                </c:pt>
                <c:pt idx="30">
                  <c:v>6.0649910095344553E-2</c:v>
                </c:pt>
                <c:pt idx="31">
                  <c:v>1.0147997111584447E-2</c:v>
                </c:pt>
                <c:pt idx="32">
                  <c:v>2.6087408817825446E-2</c:v>
                </c:pt>
                <c:pt idx="33">
                  <c:v>2.1008220429809151E-2</c:v>
                </c:pt>
                <c:pt idx="34">
                  <c:v>2.9044148353582429E-2</c:v>
                </c:pt>
                <c:pt idx="35">
                  <c:v>5.0775945956065674E-2</c:v>
                </c:pt>
                <c:pt idx="36">
                  <c:v>2.8257726956684619E-3</c:v>
                </c:pt>
                <c:pt idx="37">
                  <c:v>2.7676966532661582E-3</c:v>
                </c:pt>
              </c:numCache>
            </c:numRef>
          </c:xVal>
          <c:yVal>
            <c:numRef>
              <c:f>Comparisons!$D$4:$D$41</c:f>
              <c:numCache>
                <c:formatCode>0.0%</c:formatCode>
                <c:ptCount val="38"/>
                <c:pt idx="0">
                  <c:v>5.3941374102444546E-2</c:v>
                </c:pt>
                <c:pt idx="1">
                  <c:v>9.7535367886092073E-2</c:v>
                </c:pt>
                <c:pt idx="2">
                  <c:v>3.0845130992374833E-2</c:v>
                </c:pt>
                <c:pt idx="3">
                  <c:v>3.8067899960727944E-2</c:v>
                </c:pt>
                <c:pt idx="4">
                  <c:v>3.6041180893975448E-2</c:v>
                </c:pt>
                <c:pt idx="5">
                  <c:v>1.3127311227878089E-2</c:v>
                </c:pt>
                <c:pt idx="6">
                  <c:v>6.658597974462911E-3</c:v>
                </c:pt>
                <c:pt idx="7">
                  <c:v>5.1993931386758195E-2</c:v>
                </c:pt>
                <c:pt idx="8">
                  <c:v>1.2069401585431769E-2</c:v>
                </c:pt>
                <c:pt idx="9">
                  <c:v>0.10514316433214833</c:v>
                </c:pt>
                <c:pt idx="10">
                  <c:v>7.0859752523080169E-3</c:v>
                </c:pt>
                <c:pt idx="11">
                  <c:v>1.5279410782616385E-2</c:v>
                </c:pt>
                <c:pt idx="12">
                  <c:v>1.9985241623354359E-2</c:v>
                </c:pt>
                <c:pt idx="13">
                  <c:v>3.4527219750504121E-3</c:v>
                </c:pt>
                <c:pt idx="14">
                  <c:v>1.9224284187157891E-2</c:v>
                </c:pt>
                <c:pt idx="15">
                  <c:v>1.296528221607569E-2</c:v>
                </c:pt>
                <c:pt idx="16">
                  <c:v>5.939285915308113E-3</c:v>
                </c:pt>
                <c:pt idx="17">
                  <c:v>1.0886031395541047E-2</c:v>
                </c:pt>
                <c:pt idx="18">
                  <c:v>1.5183466872892367E-2</c:v>
                </c:pt>
                <c:pt idx="19">
                  <c:v>1.411122580581306E-2</c:v>
                </c:pt>
                <c:pt idx="20">
                  <c:v>2.885126155730112E-3</c:v>
                </c:pt>
                <c:pt idx="21">
                  <c:v>6.680079885949769E-2</c:v>
                </c:pt>
                <c:pt idx="22">
                  <c:v>1.0972897764284933E-2</c:v>
                </c:pt>
                <c:pt idx="23">
                  <c:v>2.262163232206927E-2</c:v>
                </c:pt>
                <c:pt idx="24">
                  <c:v>5.6229417841748381E-3</c:v>
                </c:pt>
                <c:pt idx="25">
                  <c:v>1.0364568727977754E-2</c:v>
                </c:pt>
                <c:pt idx="26">
                  <c:v>5.9972196847224775E-2</c:v>
                </c:pt>
                <c:pt idx="27">
                  <c:v>2.8602942419239919E-3</c:v>
                </c:pt>
                <c:pt idx="28">
                  <c:v>2.3435865298122357E-2</c:v>
                </c:pt>
                <c:pt idx="29">
                  <c:v>1.3524899052819646E-2</c:v>
                </c:pt>
                <c:pt idx="30">
                  <c:v>6.3345925146063756E-2</c:v>
                </c:pt>
                <c:pt idx="31">
                  <c:v>1.2561069385453944E-2</c:v>
                </c:pt>
                <c:pt idx="32">
                  <c:v>1.8983457031793705E-2</c:v>
                </c:pt>
                <c:pt idx="33">
                  <c:v>1.8519296567582645E-2</c:v>
                </c:pt>
                <c:pt idx="34">
                  <c:v>3.2554270941238916E-2</c:v>
                </c:pt>
                <c:pt idx="35">
                  <c:v>6.1387457427191858E-2</c:v>
                </c:pt>
                <c:pt idx="36">
                  <c:v>2.5717361648878246E-3</c:v>
                </c:pt>
                <c:pt idx="37">
                  <c:v>1.4792799135503695E-3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23296"/>
        <c:axId val="127023872"/>
      </c:scatterChart>
      <c:valAx>
        <c:axId val="127023296"/>
        <c:scaling>
          <c:orientation val="minMax"/>
          <c:max val="0.1500000000000000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Outcomes-Based</a:t>
                </a:r>
                <a:r>
                  <a:rPr lang="en-US" baseline="0"/>
                  <a:t> Funding Percent of Total</a:t>
                </a:r>
                <a:endParaRPr 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27023872"/>
        <c:crosses val="autoZero"/>
        <c:crossBetween val="midCat"/>
      </c:valAx>
      <c:valAx>
        <c:axId val="127023872"/>
        <c:scaling>
          <c:orientation val="minMax"/>
          <c:max val="0.1500000000000000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Instruction</a:t>
                </a:r>
                <a:r>
                  <a:rPr lang="en-US" baseline="0"/>
                  <a:t> and Operations Percent of Total</a:t>
                </a:r>
                <a:endParaRPr 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27023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176893</xdr:colOff>
      <xdr:row>4</xdr:row>
      <xdr:rowOff>13607</xdr:rowOff>
    </xdr:from>
    <xdr:to>
      <xdr:col>26</xdr:col>
      <xdr:colOff>589870</xdr:colOff>
      <xdr:row>41</xdr:row>
      <xdr:rowOff>112938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742950</xdr:colOff>
      <xdr:row>4</xdr:row>
      <xdr:rowOff>77561</xdr:rowOff>
    </xdr:from>
    <xdr:to>
      <xdr:col>31</xdr:col>
      <xdr:colOff>80963</xdr:colOff>
      <xdr:row>42</xdr:row>
      <xdr:rowOff>13607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742950</xdr:colOff>
      <xdr:row>3</xdr:row>
      <xdr:rowOff>676275</xdr:rowOff>
    </xdr:from>
    <xdr:to>
      <xdr:col>33</xdr:col>
      <xdr:colOff>80963</xdr:colOff>
      <xdr:row>41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309562</xdr:colOff>
      <xdr:row>4</xdr:row>
      <xdr:rowOff>66675</xdr:rowOff>
    </xdr:from>
    <xdr:to>
      <xdr:col>31</xdr:col>
      <xdr:colOff>485775</xdr:colOff>
      <xdr:row>42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227919</xdr:colOff>
      <xdr:row>4</xdr:row>
      <xdr:rowOff>148318</xdr:rowOff>
    </xdr:from>
    <xdr:to>
      <xdr:col>31</xdr:col>
      <xdr:colOff>172811</xdr:colOff>
      <xdr:row>42</xdr:row>
      <xdr:rowOff>91167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PP\PA\Resource\FinanceFiles\Appropriations\Biennium20122013\GAI\GAI%20Formulas%20Model%20Proo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P/PA/Resource/FinanceFiles/Formula/LBB%20Request/2014-2015/GAI/Final/GAI%20Formulas%20Model%20Final%20Run%20-%20Certified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NACUBO"/>
      <sheetName val="I and O"/>
      <sheetName val="SCH"/>
      <sheetName val="Cost Study"/>
      <sheetName val="CBM"/>
      <sheetName val="Infrastructure"/>
      <sheetName val="Utilities"/>
      <sheetName val="TAMUG"/>
      <sheetName val="SIS"/>
      <sheetName val="Comparison"/>
      <sheetName val="Law VM Tuition"/>
      <sheetName val="Enroll Projs"/>
      <sheetName val="CPI"/>
      <sheetName val="Funding Level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Report For  BY 2010 (Spring 2011 Uncertified, but Error Free)</v>
          </cell>
        </row>
      </sheetData>
      <sheetData sheetId="6">
        <row r="3">
          <cell r="A3" t="str">
            <v>Insitution</v>
          </cell>
          <cell r="C3" t="str">
            <v>FY 2012 - FY 2013 Total</v>
          </cell>
          <cell r="D3" t="str">
            <v>FY 2012</v>
          </cell>
          <cell r="E3" t="str">
            <v>O&amp;M 
Funding</v>
          </cell>
          <cell r="F3" t="str">
            <v>Utility 
Funding</v>
          </cell>
          <cell r="G3" t="str">
            <v>FY 2013</v>
          </cell>
          <cell r="H3" t="str">
            <v>O&amp;M 
Funding</v>
          </cell>
          <cell r="I3" t="str">
            <v>Utility 
Funding</v>
          </cell>
          <cell r="J3" t="str">
            <v>Utility Rate Adjustment</v>
          </cell>
          <cell r="K3" t="str">
            <v>Adjusted Utility Square Feet</v>
          </cell>
          <cell r="L3" t="str">
            <v xml:space="preserve">Predicted
Square Feet1 </v>
          </cell>
        </row>
        <row r="4">
          <cell r="B4" t="str">
            <v>UT-Arlington</v>
          </cell>
          <cell r="C4">
            <v>28774178.886879198</v>
          </cell>
          <cell r="D4">
            <v>14387089.443439599</v>
          </cell>
          <cell r="E4">
            <v>6484606.4534401596</v>
          </cell>
          <cell r="F4">
            <v>7902482.9899994386</v>
          </cell>
          <cell r="G4">
            <v>14387089.443439599</v>
          </cell>
          <cell r="H4">
            <v>6484606.4534401596</v>
          </cell>
          <cell r="I4">
            <v>7902482.9899994386</v>
          </cell>
          <cell r="J4">
            <v>1.1249101600000002</v>
          </cell>
          <cell r="K4">
            <v>3067812.0451473487</v>
          </cell>
        </row>
        <row r="5">
          <cell r="B5" t="str">
            <v>UT-Austin</v>
          </cell>
          <cell r="C5">
            <v>109717007.32797512</v>
          </cell>
          <cell r="D5">
            <v>54858503.663987562</v>
          </cell>
          <cell r="E5">
            <v>24252915.909404933</v>
          </cell>
          <cell r="F5">
            <v>30605587.754582632</v>
          </cell>
          <cell r="G5">
            <v>54858503.663987562</v>
          </cell>
          <cell r="H5">
            <v>24252915.909404933</v>
          </cell>
          <cell r="I5">
            <v>30605587.754582632</v>
          </cell>
          <cell r="J5">
            <v>1.16486248</v>
          </cell>
          <cell r="K5">
            <v>11881353.09891119</v>
          </cell>
        </row>
        <row r="6">
          <cell r="B6" t="str">
            <v>UT-Dallas</v>
          </cell>
          <cell r="C6">
            <v>21603008.275112055</v>
          </cell>
          <cell r="D6">
            <v>10801504.137556028</v>
          </cell>
          <cell r="E6">
            <v>4856728.9344045622</v>
          </cell>
          <cell r="F6">
            <v>5944775.2031514645</v>
          </cell>
          <cell r="G6">
            <v>10801504.137556028</v>
          </cell>
          <cell r="H6">
            <v>4856728.9344045622</v>
          </cell>
          <cell r="I6">
            <v>5944775.2031514645</v>
          </cell>
          <cell r="J6">
            <v>1.1298725699999999</v>
          </cell>
          <cell r="K6">
            <v>2307812.9996610894</v>
          </cell>
        </row>
        <row r="7">
          <cell r="B7" t="str">
            <v>UT-El Paso</v>
          </cell>
          <cell r="C7">
            <v>21377315.272495672</v>
          </cell>
          <cell r="D7">
            <v>10688657.636247836</v>
          </cell>
          <cell r="E7">
            <v>5084957.7670230521</v>
          </cell>
          <cell r="F7">
            <v>5603699.869224783</v>
          </cell>
          <cell r="G7">
            <v>10688657.636247836</v>
          </cell>
          <cell r="H7">
            <v>5084957.7670230521</v>
          </cell>
          <cell r="I7">
            <v>5603699.869224783</v>
          </cell>
          <cell r="J7">
            <v>1.0172446399999999</v>
          </cell>
          <cell r="K7">
            <v>2175404.6137085874</v>
          </cell>
        </row>
        <row r="8">
          <cell r="B8" t="str">
            <v>UT-Pan American</v>
          </cell>
          <cell r="C8">
            <v>17150931.092331886</v>
          </cell>
          <cell r="D8">
            <v>8575465.5461659431</v>
          </cell>
          <cell r="E8">
            <v>3779016.3034145022</v>
          </cell>
          <cell r="F8">
            <v>4796449.2427514419</v>
          </cell>
          <cell r="G8">
            <v>8575465.5461659431</v>
          </cell>
          <cell r="H8">
            <v>3779016.3034145022</v>
          </cell>
          <cell r="I8">
            <v>4796449.2427514419</v>
          </cell>
          <cell r="J8">
            <v>1.17159897</v>
          </cell>
          <cell r="K8">
            <v>1862022.9590461666</v>
          </cell>
        </row>
        <row r="9">
          <cell r="B9" t="str">
            <v>UT-Brownsville</v>
          </cell>
          <cell r="C9">
            <v>5708323.8307687752</v>
          </cell>
          <cell r="D9">
            <v>2854161.9153843876</v>
          </cell>
          <cell r="E9">
            <v>1350414.5493757755</v>
          </cell>
          <cell r="F9">
            <v>1503747.3660086119</v>
          </cell>
          <cell r="G9">
            <v>2854161.9153843876</v>
          </cell>
          <cell r="H9">
            <v>1350414.5493757755</v>
          </cell>
          <cell r="I9">
            <v>1503747.3660086119</v>
          </cell>
          <cell r="J9">
            <v>1.02788769</v>
          </cell>
          <cell r="K9">
            <v>583767.69531017309</v>
          </cell>
        </row>
        <row r="10">
          <cell r="B10" t="str">
            <v>UT-Permian Basin</v>
          </cell>
          <cell r="C10">
            <v>3505882.1620279774</v>
          </cell>
          <cell r="D10">
            <v>1752941.0810139887</v>
          </cell>
          <cell r="E10">
            <v>811960.06125595619</v>
          </cell>
          <cell r="F10">
            <v>940981.01975803252</v>
          </cell>
          <cell r="G10">
            <v>1752941.0810139887</v>
          </cell>
          <cell r="H10">
            <v>811960.06125595619</v>
          </cell>
          <cell r="I10">
            <v>940981.01975803252</v>
          </cell>
          <cell r="J10">
            <v>1.06975442</v>
          </cell>
          <cell r="K10">
            <v>365296.9465827262</v>
          </cell>
        </row>
        <row r="11">
          <cell r="B11" t="str">
            <v>UT-San Antonio</v>
          </cell>
          <cell r="C11">
            <v>26841057.186713859</v>
          </cell>
          <cell r="D11">
            <v>13420528.59335693</v>
          </cell>
          <cell r="E11">
            <v>6379266.6327061672</v>
          </cell>
          <cell r="F11">
            <v>7041261.9606507635</v>
          </cell>
          <cell r="G11">
            <v>13420528.59335693</v>
          </cell>
          <cell r="H11">
            <v>6379266.6327061672</v>
          </cell>
          <cell r="I11">
            <v>7041261.9606507635</v>
          </cell>
          <cell r="J11">
            <v>1.0188673399999999</v>
          </cell>
          <cell r="K11">
            <v>2733478.6146656144</v>
          </cell>
        </row>
        <row r="12">
          <cell r="B12" t="str">
            <v>UT-Tyler</v>
          </cell>
          <cell r="C12">
            <v>5345126.0377391949</v>
          </cell>
          <cell r="D12">
            <v>2672563.0188695975</v>
          </cell>
          <cell r="E12">
            <v>1309536.8476707058</v>
          </cell>
          <cell r="F12">
            <v>1363026.1711988915</v>
          </cell>
          <cell r="G12">
            <v>2672563.0188695975</v>
          </cell>
          <cell r="H12">
            <v>1309536.8476707058</v>
          </cell>
          <cell r="I12">
            <v>1363026.1711988915</v>
          </cell>
          <cell r="J12">
            <v>0.96078090999999999</v>
          </cell>
          <cell r="K12">
            <v>529138.51395146479</v>
          </cell>
        </row>
        <row r="13">
          <cell r="B13" t="str">
            <v>TAMU</v>
          </cell>
          <cell r="C13">
            <v>63350127.415048331</v>
          </cell>
          <cell r="D13">
            <v>31675063.707524166</v>
          </cell>
          <cell r="E13">
            <v>15189251.231589444</v>
          </cell>
          <cell r="F13">
            <v>16485812.47593472</v>
          </cell>
          <cell r="G13">
            <v>31675063.707524166</v>
          </cell>
          <cell r="H13">
            <v>15189251.231589444</v>
          </cell>
          <cell r="I13">
            <v>16485812.47593472</v>
          </cell>
          <cell r="J13">
            <v>1.00187118</v>
          </cell>
          <cell r="K13">
            <v>6399934.5714145675</v>
          </cell>
        </row>
        <row r="14">
          <cell r="B14" t="str">
            <v>TAMU-Galveston</v>
          </cell>
          <cell r="C14">
            <v>5708922.5033713952</v>
          </cell>
          <cell r="D14">
            <v>2854461.2516856976</v>
          </cell>
          <cell r="E14">
            <v>606099.93905371206</v>
          </cell>
          <cell r="F14">
            <v>846687.31263198529</v>
          </cell>
          <cell r="G14">
            <v>2854461.2516856976</v>
          </cell>
          <cell r="H14">
            <v>606099.93905371206</v>
          </cell>
          <cell r="I14">
            <v>846687.31263198529</v>
          </cell>
          <cell r="J14">
            <v>1.2894862200000001</v>
          </cell>
          <cell r="K14">
            <v>328691.31631829403</v>
          </cell>
        </row>
        <row r="15">
          <cell r="B15" t="str">
            <v>Prairie View</v>
          </cell>
          <cell r="C15">
            <v>9611279.485257756</v>
          </cell>
          <cell r="D15">
            <v>4805639.742628878</v>
          </cell>
          <cell r="E15">
            <v>2273204.4331299271</v>
          </cell>
          <cell r="F15">
            <v>2532435.3094989508</v>
          </cell>
          <cell r="G15">
            <v>4805639.742628878</v>
          </cell>
          <cell r="H15">
            <v>2273204.4331299271</v>
          </cell>
          <cell r="I15">
            <v>2532435.3094989508</v>
          </cell>
          <cell r="J15">
            <v>1.0283424400000001</v>
          </cell>
          <cell r="K15">
            <v>983113.22604161489</v>
          </cell>
        </row>
        <row r="16">
          <cell r="B16" t="str">
            <v>Tarleton</v>
          </cell>
          <cell r="C16">
            <v>9609466.2331559155</v>
          </cell>
          <cell r="D16">
            <v>4804733.1165779578</v>
          </cell>
          <cell r="E16">
            <v>1914013.7363242113</v>
          </cell>
          <cell r="F16">
            <v>2890719.3802537462</v>
          </cell>
          <cell r="G16">
            <v>4804733.1165779578</v>
          </cell>
          <cell r="H16">
            <v>1914013.7363242113</v>
          </cell>
          <cell r="I16">
            <v>2890719.3802537462</v>
          </cell>
          <cell r="J16">
            <v>1.3941155700000001</v>
          </cell>
          <cell r="K16">
            <v>1122202.1920333107</v>
          </cell>
        </row>
        <row r="17">
          <cell r="B17" t="str">
            <v>TAMU-Central</v>
          </cell>
          <cell r="C17">
            <v>1797006.9086982145</v>
          </cell>
          <cell r="D17">
            <v>898503.45434910723</v>
          </cell>
          <cell r="E17">
            <v>326045.03580438928</v>
          </cell>
          <cell r="F17">
            <v>572458.41854471795</v>
          </cell>
          <cell r="G17">
            <v>898503.45434910723</v>
          </cell>
          <cell r="H17">
            <v>326045.03580438928</v>
          </cell>
          <cell r="I17">
            <v>572458.41854471795</v>
          </cell>
          <cell r="J17">
            <v>1.62070603</v>
          </cell>
          <cell r="K17">
            <v>222233.29477329415</v>
          </cell>
        </row>
        <row r="18">
          <cell r="B18" t="str">
            <v>TAMU-CC</v>
          </cell>
          <cell r="C18">
            <v>12043764.227252744</v>
          </cell>
          <cell r="D18">
            <v>6021882.1136263721</v>
          </cell>
          <cell r="E18">
            <v>2323965.2866370226</v>
          </cell>
          <cell r="F18">
            <v>3697916.8269893494</v>
          </cell>
          <cell r="G18">
            <v>6021882.1136263721</v>
          </cell>
          <cell r="H18">
            <v>2323965.2866370226</v>
          </cell>
          <cell r="I18">
            <v>3697916.8269893494</v>
          </cell>
          <cell r="J18">
            <v>1.4688092399999999</v>
          </cell>
          <cell r="K18">
            <v>1435563.2018629371</v>
          </cell>
        </row>
        <row r="19">
          <cell r="B19" t="str">
            <v>TAMU-Kingsville</v>
          </cell>
          <cell r="C19">
            <v>7954019.8083173521</v>
          </cell>
          <cell r="D19">
            <v>3977009.904158676</v>
          </cell>
          <cell r="E19">
            <v>1750407.8817218563</v>
          </cell>
          <cell r="F19">
            <v>2226602.0224368195</v>
          </cell>
          <cell r="G19">
            <v>3977009.904158676</v>
          </cell>
          <cell r="H19">
            <v>1750407.8817218563</v>
          </cell>
          <cell r="I19">
            <v>2226602.0224368195</v>
          </cell>
          <cell r="J19">
            <v>1.17419772</v>
          </cell>
          <cell r="K19">
            <v>864386.106597821</v>
          </cell>
        </row>
        <row r="20">
          <cell r="B20" t="str">
            <v>TAMU-San Antonio</v>
          </cell>
          <cell r="C20">
            <v>2685226.6436393689</v>
          </cell>
          <cell r="D20">
            <v>1342613.3218196845</v>
          </cell>
          <cell r="E20">
            <v>481089.34481997567</v>
          </cell>
          <cell r="F20">
            <v>861523.97699970868</v>
          </cell>
          <cell r="G20">
            <v>1342613.3218196845</v>
          </cell>
          <cell r="H20">
            <v>481089.34481997567</v>
          </cell>
          <cell r="I20">
            <v>861523.97699970868</v>
          </cell>
          <cell r="J20">
            <v>1.65302539</v>
          </cell>
          <cell r="K20">
            <v>334451.03737238684</v>
          </cell>
        </row>
        <row r="21">
          <cell r="B21" t="str">
            <v>TAMI</v>
          </cell>
          <cell r="C21">
            <v>5715745.6222505905</v>
          </cell>
          <cell r="D21">
            <v>2857872.8111252952</v>
          </cell>
          <cell r="E21">
            <v>1273094.8913852083</v>
          </cell>
          <cell r="F21">
            <v>1584777.9197400869</v>
          </cell>
          <cell r="G21">
            <v>2857872.8111252952</v>
          </cell>
          <cell r="H21">
            <v>1273094.8913852083</v>
          </cell>
          <cell r="I21">
            <v>1584777.9197400869</v>
          </cell>
          <cell r="J21">
            <v>1.1490674700000001</v>
          </cell>
          <cell r="K21">
            <v>615224.45504973398</v>
          </cell>
        </row>
        <row r="22">
          <cell r="B22" t="str">
            <v>WTAMU</v>
          </cell>
          <cell r="C22">
            <v>7607077.45645996</v>
          </cell>
          <cell r="D22">
            <v>3803538.72822998</v>
          </cell>
          <cell r="E22">
            <v>1735120.6584092684</v>
          </cell>
          <cell r="F22">
            <v>2068418.0698207114</v>
          </cell>
          <cell r="G22">
            <v>3803538.72822998</v>
          </cell>
          <cell r="H22">
            <v>1735120.6584092684</v>
          </cell>
          <cell r="I22">
            <v>2068418.0698207114</v>
          </cell>
          <cell r="J22">
            <v>1.1003897499999999</v>
          </cell>
          <cell r="K22">
            <v>802977.73206555913</v>
          </cell>
        </row>
        <row r="23">
          <cell r="B23" t="str">
            <v>TAMU-Commerce</v>
          </cell>
          <cell r="C23">
            <v>8643081.9792225324</v>
          </cell>
          <cell r="D23">
            <v>4321540.9896112662</v>
          </cell>
          <cell r="E23">
            <v>1811610.5784128527</v>
          </cell>
          <cell r="F23">
            <v>2509930.411198413</v>
          </cell>
          <cell r="G23">
            <v>4321540.9896112662</v>
          </cell>
          <cell r="H23">
            <v>1811610.5784128527</v>
          </cell>
          <cell r="I23">
            <v>2509930.411198413</v>
          </cell>
          <cell r="J23">
            <v>1.2788945199999997</v>
          </cell>
          <cell r="K23">
            <v>974376.63044646126</v>
          </cell>
        </row>
        <row r="24">
          <cell r="B24" t="str">
            <v>TAMU-Texarkana</v>
          </cell>
          <cell r="C24">
            <v>1382117.053959361</v>
          </cell>
          <cell r="D24">
            <v>691058.52697968052</v>
          </cell>
          <cell r="E24">
            <v>350453.18994757952</v>
          </cell>
          <cell r="F24">
            <v>340605.337032101</v>
          </cell>
          <cell r="G24">
            <v>691058.52697968052</v>
          </cell>
          <cell r="H24">
            <v>350453.18994757952</v>
          </cell>
          <cell r="I24">
            <v>340605.337032101</v>
          </cell>
          <cell r="J24">
            <v>0.89713815000000008</v>
          </cell>
          <cell r="K24">
            <v>132225.9291049263</v>
          </cell>
        </row>
        <row r="25">
          <cell r="B25" t="str">
            <v>UH</v>
          </cell>
          <cell r="C25">
            <v>45773712.23842638</v>
          </cell>
          <cell r="D25">
            <v>22886856.11921319</v>
          </cell>
          <cell r="E25">
            <v>10217163.724556096</v>
          </cell>
          <cell r="F25">
            <v>12669692.394657094</v>
          </cell>
          <cell r="G25">
            <v>22886856.11921319</v>
          </cell>
          <cell r="H25">
            <v>10217163.724556096</v>
          </cell>
          <cell r="I25">
            <v>12669692.394657094</v>
          </cell>
          <cell r="J25">
            <v>1.14465237</v>
          </cell>
          <cell r="K25">
            <v>4918483.8468907038</v>
          </cell>
        </row>
        <row r="26">
          <cell r="B26" t="str">
            <v>UH-Clear Lake</v>
          </cell>
          <cell r="C26">
            <v>5911588.8945033699</v>
          </cell>
          <cell r="D26">
            <v>2955794.447251685</v>
          </cell>
          <cell r="E26">
            <v>1397624.4579013574</v>
          </cell>
          <cell r="F26">
            <v>1558169.9893503275</v>
          </cell>
          <cell r="G26">
            <v>2955794.447251685</v>
          </cell>
          <cell r="H26">
            <v>1397624.4579013574</v>
          </cell>
          <cell r="I26">
            <v>1558169.9893503275</v>
          </cell>
          <cell r="J26">
            <v>1.0291110400000001</v>
          </cell>
          <cell r="K26">
            <v>604895.02701433725</v>
          </cell>
        </row>
        <row r="27">
          <cell r="B27" t="str">
            <v>UH-Downtown</v>
          </cell>
          <cell r="C27">
            <v>9157106.3765570503</v>
          </cell>
          <cell r="D27">
            <v>4578553.1882785251</v>
          </cell>
          <cell r="E27">
            <v>2014554.6209960473</v>
          </cell>
          <cell r="F27">
            <v>2563998.5672824779</v>
          </cell>
          <cell r="G27">
            <v>4578553.1882785251</v>
          </cell>
          <cell r="H27">
            <v>2014554.6209960473</v>
          </cell>
          <cell r="I27">
            <v>2563998.5672824779</v>
          </cell>
          <cell r="J27">
            <v>1.17483432</v>
          </cell>
          <cell r="K27">
            <v>995366.35490439564</v>
          </cell>
        </row>
        <row r="28">
          <cell r="B28" t="str">
            <v>UH-Victoria</v>
          </cell>
          <cell r="C28">
            <v>2868700.3190174019</v>
          </cell>
          <cell r="D28">
            <v>1434350.1595087009</v>
          </cell>
          <cell r="E28">
            <v>611365.63215490454</v>
          </cell>
          <cell r="F28">
            <v>822984.52735379653</v>
          </cell>
          <cell r="G28">
            <v>1434350.1595087009</v>
          </cell>
          <cell r="H28">
            <v>611365.63215490454</v>
          </cell>
          <cell r="I28">
            <v>822984.52735379653</v>
          </cell>
          <cell r="J28">
            <v>1.2425919700000001</v>
          </cell>
          <cell r="K28">
            <v>319489.69066823059</v>
          </cell>
        </row>
        <row r="29">
          <cell r="B29" t="str">
            <v>Midwestern</v>
          </cell>
          <cell r="C29">
            <v>5865451.8499927111</v>
          </cell>
          <cell r="D29">
            <v>2932725.9249963555</v>
          </cell>
          <cell r="E29">
            <v>1273536.957313509</v>
          </cell>
          <cell r="F29">
            <v>1659188.9676828468</v>
          </cell>
          <cell r="G29">
            <v>2932725.9249963555</v>
          </cell>
          <cell r="H29">
            <v>1273536.957313509</v>
          </cell>
          <cell r="I29">
            <v>1659188.9676828468</v>
          </cell>
          <cell r="J29">
            <v>1.2026027500000001</v>
          </cell>
          <cell r="K29">
            <v>644111.46555766196</v>
          </cell>
        </row>
        <row r="30">
          <cell r="B30" t="str">
            <v>UNT</v>
          </cell>
          <cell r="C30">
            <v>33713749.249093249</v>
          </cell>
          <cell r="D30">
            <v>16856874.624546625</v>
          </cell>
          <cell r="E30">
            <v>7742527.8684881162</v>
          </cell>
          <cell r="F30">
            <v>9114346.7560585067</v>
          </cell>
          <cell r="G30">
            <v>16856874.624546625</v>
          </cell>
          <cell r="H30">
            <v>7742527.8684881162</v>
          </cell>
          <cell r="I30">
            <v>9114346.7560585067</v>
          </cell>
          <cell r="J30">
            <v>1.0866274300000001</v>
          </cell>
          <cell r="K30">
            <v>3538268.0098483749</v>
          </cell>
        </row>
        <row r="31">
          <cell r="B31" t="str">
            <v>UNT-Dallas</v>
          </cell>
          <cell r="C31">
            <v>2276582.6287558633</v>
          </cell>
          <cell r="D31">
            <v>1138291.3143779316</v>
          </cell>
          <cell r="E31">
            <v>468293.31934790034</v>
          </cell>
          <cell r="F31">
            <v>669997.99503003131</v>
          </cell>
          <cell r="G31">
            <v>1138291.3143779316</v>
          </cell>
          <cell r="H31">
            <v>468293.31934790034</v>
          </cell>
          <cell r="I31">
            <v>669997.99503003131</v>
          </cell>
          <cell r="J31">
            <v>1.32066733</v>
          </cell>
          <cell r="K31">
            <v>260098.99951430957</v>
          </cell>
        </row>
        <row r="32">
          <cell r="B32" t="str">
            <v>SFA</v>
          </cell>
          <cell r="C32">
            <v>13050096.803484164</v>
          </cell>
          <cell r="D32">
            <v>6525048.4017420821</v>
          </cell>
          <cell r="E32">
            <v>2828098.2453449587</v>
          </cell>
          <cell r="F32">
            <v>3696950.1563971238</v>
          </cell>
          <cell r="G32">
            <v>6525048.4017420821</v>
          </cell>
          <cell r="H32">
            <v>2828098.2453449587</v>
          </cell>
          <cell r="I32">
            <v>3696950.1563971238</v>
          </cell>
          <cell r="J32">
            <v>1.20666578</v>
          </cell>
          <cell r="K32">
            <v>1435187.932002784</v>
          </cell>
        </row>
        <row r="33">
          <cell r="B33" t="str">
            <v>TSU</v>
          </cell>
          <cell r="C33">
            <v>12606709.993801983</v>
          </cell>
          <cell r="D33">
            <v>6303354.9969009915</v>
          </cell>
          <cell r="E33">
            <v>2691966.9804682774</v>
          </cell>
          <cell r="F33">
            <v>3611388.0164327142</v>
          </cell>
          <cell r="G33">
            <v>6303354.9969009915</v>
          </cell>
          <cell r="H33">
            <v>2691966.9804682774</v>
          </cell>
          <cell r="I33">
            <v>3611388.0164327142</v>
          </cell>
          <cell r="J33">
            <v>1.2383468899999999</v>
          </cell>
          <cell r="K33">
            <v>1401971.9714086798</v>
          </cell>
        </row>
        <row r="34">
          <cell r="B34" t="str">
            <v>TTU</v>
          </cell>
          <cell r="C34">
            <v>37219579.077593289</v>
          </cell>
          <cell r="D34">
            <v>18609789.538796645</v>
          </cell>
          <cell r="E34">
            <v>9063945.8867170513</v>
          </cell>
          <cell r="F34">
            <v>9545843.6520795934</v>
          </cell>
          <cell r="G34">
            <v>18609789.538796645</v>
          </cell>
          <cell r="H34">
            <v>9063945.8867170513</v>
          </cell>
          <cell r="I34">
            <v>9545843.6520795934</v>
          </cell>
          <cell r="J34">
            <v>0.97215363999999993</v>
          </cell>
          <cell r="K34">
            <v>3705778.8259719131</v>
          </cell>
        </row>
        <row r="35">
          <cell r="B35" t="str">
            <v>Angelo</v>
          </cell>
          <cell r="C35">
            <v>6818350.2517482918</v>
          </cell>
          <cell r="D35">
            <v>3409175.1258741459</v>
          </cell>
          <cell r="E35">
            <v>1459207.53512762</v>
          </cell>
          <cell r="F35">
            <v>1949967.5907465261</v>
          </cell>
          <cell r="G35">
            <v>3409175.1258741459</v>
          </cell>
          <cell r="H35">
            <v>1459207.53512762</v>
          </cell>
          <cell r="I35">
            <v>1949967.5907465261</v>
          </cell>
          <cell r="J35">
            <v>1.2335257599999998</v>
          </cell>
          <cell r="K35">
            <v>756994.23461075663</v>
          </cell>
        </row>
        <row r="36">
          <cell r="B36" t="str">
            <v>TWU</v>
          </cell>
          <cell r="C36">
            <v>11476034.973522253</v>
          </cell>
          <cell r="D36">
            <v>5738017.4867611267</v>
          </cell>
          <cell r="E36">
            <v>2683554.5877049631</v>
          </cell>
          <cell r="F36">
            <v>3054462.8990561636</v>
          </cell>
          <cell r="G36">
            <v>5738017.4867611267</v>
          </cell>
          <cell r="H36">
            <v>2683554.5877049631</v>
          </cell>
          <cell r="I36">
            <v>3054462.8990561636</v>
          </cell>
          <cell r="J36">
            <v>1.0506602800000002</v>
          </cell>
          <cell r="K36">
            <v>1185768.8381029789</v>
          </cell>
        </row>
        <row r="37">
          <cell r="B37" t="str">
            <v>Lamar</v>
          </cell>
          <cell r="C37">
            <v>10567161.268997066</v>
          </cell>
          <cell r="D37">
            <v>5283580.6344985329</v>
          </cell>
          <cell r="E37">
            <v>2648234.3619206231</v>
          </cell>
          <cell r="F37">
            <v>2635346.2725779093</v>
          </cell>
          <cell r="G37">
            <v>5283580.6344985329</v>
          </cell>
          <cell r="H37">
            <v>2648234.3619206231</v>
          </cell>
          <cell r="I37">
            <v>2635346.2725779093</v>
          </cell>
          <cell r="J37">
            <v>0.91858460999999991</v>
          </cell>
          <cell r="K37">
            <v>1023064.1493793651</v>
          </cell>
        </row>
        <row r="38">
          <cell r="B38" t="str">
            <v>Sam Houston</v>
          </cell>
          <cell r="C38">
            <v>15181113.590270456</v>
          </cell>
          <cell r="D38">
            <v>7590556.795135228</v>
          </cell>
          <cell r="E38">
            <v>3562081.3122848826</v>
          </cell>
          <cell r="F38">
            <v>4028475.4828503453</v>
          </cell>
          <cell r="G38">
            <v>7590556.795135228</v>
          </cell>
          <cell r="H38">
            <v>3562081.3122848826</v>
          </cell>
          <cell r="I38">
            <v>4028475.4828503453</v>
          </cell>
          <cell r="J38">
            <v>1.0439381999999999</v>
          </cell>
          <cell r="K38">
            <v>1563888.9226979467</v>
          </cell>
        </row>
        <row r="39">
          <cell r="B39" t="str">
            <v>TxStU-SM</v>
          </cell>
          <cell r="C39">
            <v>29555589.025835741</v>
          </cell>
          <cell r="D39">
            <v>14777794.512917871</v>
          </cell>
          <cell r="E39">
            <v>6649786.6955529982</v>
          </cell>
          <cell r="F39">
            <v>8128007.8173648724</v>
          </cell>
          <cell r="G39">
            <v>14777794.512917871</v>
          </cell>
          <cell r="H39">
            <v>6649786.6955529982</v>
          </cell>
          <cell r="I39">
            <v>8128007.8173648724</v>
          </cell>
          <cell r="J39">
            <v>1.1282732500000001</v>
          </cell>
          <cell r="K39">
            <v>3155362.7279829853</v>
          </cell>
        </row>
        <row r="40">
          <cell r="B40" t="str">
            <v>Sul Ross</v>
          </cell>
          <cell r="C40">
            <v>3359581.6448495379</v>
          </cell>
          <cell r="D40">
            <v>1679790.8224247689</v>
          </cell>
          <cell r="E40">
            <v>601522.76901936834</v>
          </cell>
          <cell r="F40">
            <v>1078268.0534054006</v>
          </cell>
          <cell r="G40">
            <v>1679790.8224247689</v>
          </cell>
          <cell r="H40">
            <v>601522.76901936834</v>
          </cell>
          <cell r="I40">
            <v>1078268.0534054006</v>
          </cell>
          <cell r="J40">
            <v>1.6546744499999999</v>
          </cell>
          <cell r="K40">
            <v>418592.95696312626</v>
          </cell>
        </row>
        <row r="41">
          <cell r="B41" t="str">
            <v>Sul Ross - RG</v>
          </cell>
          <cell r="C41">
            <v>344152.88510861818</v>
          </cell>
          <cell r="D41">
            <v>172076.44255430909</v>
          </cell>
          <cell r="E41">
            <v>172076.44255430909</v>
          </cell>
          <cell r="F41">
            <v>0</v>
          </cell>
          <cell r="G41">
            <v>172076.44255430909</v>
          </cell>
          <cell r="H41">
            <v>172076.44255430909</v>
          </cell>
          <cell r="I41">
            <v>0</v>
          </cell>
          <cell r="J41">
            <v>0</v>
          </cell>
          <cell r="K41">
            <v>0</v>
          </cell>
        </row>
        <row r="42">
          <cell r="B42" t="str">
            <v>TAMU-CVM</v>
          </cell>
          <cell r="C42">
            <v>6459323.375</v>
          </cell>
          <cell r="D42">
            <v>3229661.6875</v>
          </cell>
          <cell r="E42">
            <v>3229661.6875</v>
          </cell>
          <cell r="G42">
            <v>3229661.6875</v>
          </cell>
          <cell r="H42">
            <v>3229661.6875</v>
          </cell>
        </row>
        <row r="43">
          <cell r="B43" t="str">
            <v>Total Universities</v>
          </cell>
          <cell r="C43">
            <v>628335249.85523474</v>
          </cell>
          <cell r="D43">
            <v>314167624.92761737</v>
          </cell>
          <cell r="E43">
            <v>143658962.75088418</v>
          </cell>
          <cell r="F43">
            <v>169106988.17673308</v>
          </cell>
          <cell r="G43">
            <v>314167624.92761737</v>
          </cell>
          <cell r="H43">
            <v>143658962.75088418</v>
          </cell>
          <cell r="I43">
            <v>169106988.17673308</v>
          </cell>
          <cell r="K43">
            <v>65648791.133583836</v>
          </cell>
        </row>
        <row r="44">
          <cell r="B44" t="str">
            <v>TSTC-Harlingen</v>
          </cell>
          <cell r="C44">
            <v>5280450.5362915322</v>
          </cell>
          <cell r="D44">
            <v>2640225.2681457661</v>
          </cell>
          <cell r="E44">
            <v>1040611.9281960414</v>
          </cell>
          <cell r="F44">
            <v>1599613.339949725</v>
          </cell>
          <cell r="G44">
            <v>2640225.2681457661</v>
          </cell>
          <cell r="H44">
            <v>1040611.9281960414</v>
          </cell>
          <cell r="I44">
            <v>1599613.339949725</v>
          </cell>
          <cell r="J44">
            <v>1.4189402599999998</v>
          </cell>
          <cell r="K44">
            <v>620983.69311092887</v>
          </cell>
        </row>
        <row r="45">
          <cell r="B45" t="str">
            <v>TSTC-West Texas</v>
          </cell>
          <cell r="C45">
            <v>2266189.1170991128</v>
          </cell>
          <cell r="D45">
            <v>1133094.5585495564</v>
          </cell>
          <cell r="E45">
            <v>342316.13109345734</v>
          </cell>
          <cell r="F45">
            <v>790778.42745609919</v>
          </cell>
          <cell r="G45">
            <v>1133094.5585495564</v>
          </cell>
          <cell r="H45">
            <v>342316.13109345734</v>
          </cell>
          <cell r="I45">
            <v>790778.42745609919</v>
          </cell>
          <cell r="J45">
            <v>2.13238364</v>
          </cell>
          <cell r="K45">
            <v>306987.00495306886</v>
          </cell>
        </row>
        <row r="46">
          <cell r="B46" t="str">
            <v>TSTC-Marshall</v>
          </cell>
          <cell r="C46">
            <v>788621.28418724553</v>
          </cell>
          <cell r="D46">
            <v>394310.64209362277</v>
          </cell>
          <cell r="E46">
            <v>198982.20301786024</v>
          </cell>
          <cell r="F46">
            <v>195328.43907576252</v>
          </cell>
          <cell r="G46">
            <v>394310.64209362277</v>
          </cell>
          <cell r="H46">
            <v>198982.20301786024</v>
          </cell>
          <cell r="I46">
            <v>195328.43907576252</v>
          </cell>
          <cell r="J46">
            <v>0.90612714000000005</v>
          </cell>
          <cell r="K46">
            <v>75828.184497806418</v>
          </cell>
        </row>
        <row r="47">
          <cell r="B47" t="str">
            <v>TSTC-Waco</v>
          </cell>
          <cell r="C47">
            <v>7258481.7088005599</v>
          </cell>
          <cell r="D47">
            <v>3629240.8544002799</v>
          </cell>
          <cell r="E47">
            <v>1474938.368955266</v>
          </cell>
          <cell r="F47">
            <v>2154302.4854450142</v>
          </cell>
          <cell r="G47">
            <v>3629240.8544002799</v>
          </cell>
          <cell r="H47">
            <v>1474938.368955266</v>
          </cell>
          <cell r="I47">
            <v>2154302.4854450142</v>
          </cell>
          <cell r="J47">
            <v>1.3482508500000001</v>
          </cell>
          <cell r="K47">
            <v>836318.80285003362</v>
          </cell>
        </row>
        <row r="48">
          <cell r="B48" t="str">
            <v>Lamar-IOT</v>
          </cell>
          <cell r="C48">
            <v>2177034.3285536775</v>
          </cell>
          <cell r="D48">
            <v>1088517.1642768388</v>
          </cell>
          <cell r="E48">
            <v>596659.48082407913</v>
          </cell>
          <cell r="F48">
            <v>491857.68345275958</v>
          </cell>
          <cell r="G48">
            <v>1088517.1642768388</v>
          </cell>
          <cell r="H48">
            <v>596659.48082407913</v>
          </cell>
          <cell r="I48">
            <v>491857.68345275958</v>
          </cell>
          <cell r="J48">
            <v>0.76094068999999998</v>
          </cell>
          <cell r="K48">
            <v>190943.39433620911</v>
          </cell>
        </row>
        <row r="49">
          <cell r="B49" t="str">
            <v>Lamar-Orange</v>
          </cell>
          <cell r="C49">
            <v>1896543.1267362759</v>
          </cell>
          <cell r="D49">
            <v>948271.56336813793</v>
          </cell>
          <cell r="E49">
            <v>443748.56014510535</v>
          </cell>
          <cell r="F49">
            <v>504523.00322303263</v>
          </cell>
          <cell r="G49">
            <v>948271.56336813793</v>
          </cell>
          <cell r="H49">
            <v>443748.56014510535</v>
          </cell>
          <cell r="I49">
            <v>504523.00322303263</v>
          </cell>
          <cell r="J49">
            <v>1.0494987099999999</v>
          </cell>
          <cell r="K49">
            <v>195860.18069260585</v>
          </cell>
        </row>
        <row r="50">
          <cell r="B50" t="str">
            <v>Lamar-Port Arthur</v>
          </cell>
          <cell r="C50">
            <v>2209188.043096737</v>
          </cell>
          <cell r="D50">
            <v>1104594.0215483685</v>
          </cell>
          <cell r="E50">
            <v>523516.20297679433</v>
          </cell>
          <cell r="F50">
            <v>581077.81857157417</v>
          </cell>
          <cell r="G50">
            <v>1104594.0215483685</v>
          </cell>
          <cell r="H50">
            <v>523516.20297679433</v>
          </cell>
          <cell r="I50">
            <v>581077.81857157417</v>
          </cell>
          <cell r="J50">
            <v>1.0245710100000001</v>
          </cell>
          <cell r="K50">
            <v>225579.42019460743</v>
          </cell>
        </row>
        <row r="51">
          <cell r="B51" t="str">
            <v>Total TSTC and Lamar</v>
          </cell>
          <cell r="C51">
            <v>21876508.144765139</v>
          </cell>
          <cell r="D51">
            <v>10938254.072382569</v>
          </cell>
          <cell r="E51">
            <v>4620772.8752086032</v>
          </cell>
          <cell r="F51">
            <v>6317481.197173967</v>
          </cell>
          <cell r="G51">
            <v>10938254.072382569</v>
          </cell>
          <cell r="H51">
            <v>4620772.8752086032</v>
          </cell>
          <cell r="I51">
            <v>6317481.197173967</v>
          </cell>
          <cell r="K51">
            <v>2452500.68063526</v>
          </cell>
        </row>
        <row r="52">
          <cell r="B52" t="str">
            <v>Formula Total</v>
          </cell>
          <cell r="C52">
            <v>650211758</v>
          </cell>
          <cell r="D52">
            <v>325105879</v>
          </cell>
          <cell r="E52">
            <v>148279735.62609279</v>
          </cell>
          <cell r="F52">
            <v>175424469.37390703</v>
          </cell>
          <cell r="G52">
            <v>325105879</v>
          </cell>
          <cell r="H52">
            <v>148279735.62609279</v>
          </cell>
          <cell r="I52">
            <v>175424469.37390703</v>
          </cell>
          <cell r="K52">
            <v>68101291.814219102</v>
          </cell>
        </row>
        <row r="54">
          <cell r="B54" t="str">
            <v>Small Institution Set-Aside</v>
          </cell>
          <cell r="C54">
            <v>26628150</v>
          </cell>
          <cell r="D54" t="str">
            <v>Not included in Table Above</v>
          </cell>
        </row>
        <row r="55">
          <cell r="B55" t="str">
            <v>TAMUG Set-Aside</v>
          </cell>
          <cell r="C55">
            <v>2803348</v>
          </cell>
          <cell r="D55" t="str">
            <v>Added to TAMUG's Annual amount in table above</v>
          </cell>
        </row>
        <row r="56">
          <cell r="B56" t="str">
            <v>Total Appropriation</v>
          </cell>
          <cell r="C56">
            <v>676839908</v>
          </cell>
        </row>
        <row r="57">
          <cell r="B57" t="str">
            <v/>
          </cell>
          <cell r="C57" t="str">
            <v>Rates</v>
          </cell>
          <cell r="D57">
            <v>4.9537202571176158</v>
          </cell>
          <cell r="E57">
            <v>2.3777857234164554</v>
          </cell>
          <cell r="F57">
            <v>2.5759345337011603</v>
          </cell>
          <cell r="G57">
            <v>4.9537202571176158</v>
          </cell>
          <cell r="H57">
            <v>2.3777857234164554</v>
          </cell>
          <cell r="I57">
            <v>2.5759345337011603</v>
          </cell>
          <cell r="J57" t="str">
            <v>HRI Rate3</v>
          </cell>
          <cell r="K57">
            <v>6.25</v>
          </cell>
        </row>
        <row r="58">
          <cell r="C58" t="str">
            <v>Percentages2</v>
          </cell>
          <cell r="D58">
            <v>1</v>
          </cell>
          <cell r="E58">
            <v>0.48</v>
          </cell>
          <cell r="F58">
            <v>0.52</v>
          </cell>
          <cell r="G58">
            <v>1</v>
          </cell>
          <cell r="H58">
            <v>0.52</v>
          </cell>
          <cell r="I58">
            <v>0.48</v>
          </cell>
        </row>
        <row r="59">
          <cell r="D59">
            <v>5.8541475290984097</v>
          </cell>
          <cell r="E59">
            <v>0.90042727198079398</v>
          </cell>
        </row>
        <row r="68">
          <cell r="C68" t="str">
            <v>FY 2012 - FY 2013 Total</v>
          </cell>
          <cell r="D68" t="str">
            <v>FY 2012</v>
          </cell>
          <cell r="E68" t="str">
            <v>O&amp;M 
Funding</v>
          </cell>
          <cell r="F68" t="str">
            <v>Utility 
Funding</v>
          </cell>
          <cell r="G68" t="str">
            <v>FY 2013</v>
          </cell>
          <cell r="H68" t="str">
            <v>O&amp;M 
Funding</v>
          </cell>
          <cell r="I68" t="str">
            <v>Utility 
Funding</v>
          </cell>
          <cell r="J68" t="str">
            <v>Utility Rate Adjustment</v>
          </cell>
          <cell r="K68" t="str">
            <v>Adjusted Utility Square Feet</v>
          </cell>
        </row>
        <row r="69">
          <cell r="B69" t="str">
            <v>Texas Engineering Experiment Station (TEES)</v>
          </cell>
          <cell r="C69">
            <v>7933803.3100056592</v>
          </cell>
          <cell r="D69">
            <v>3966901.6550028296</v>
          </cell>
          <cell r="E69">
            <v>1902261.8677332923</v>
          </cell>
          <cell r="F69">
            <v>2064639.7872695373</v>
          </cell>
          <cell r="G69">
            <v>3966901.6550028296</v>
          </cell>
          <cell r="H69">
            <v>1902261.8677332923</v>
          </cell>
          <cell r="I69">
            <v>2064639.7872695373</v>
          </cell>
          <cell r="J69">
            <v>1.00187118</v>
          </cell>
          <cell r="K69">
            <v>801510.97019651998</v>
          </cell>
        </row>
        <row r="70">
          <cell r="B70" t="str">
            <v>Texas Engineering Extension Service (TEEX)</v>
          </cell>
          <cell r="C70">
            <v>2895728.0293867262</v>
          </cell>
          <cell r="D70">
            <v>1447864.0146933631</v>
          </cell>
          <cell r="E70">
            <v>694299.16452326451</v>
          </cell>
          <cell r="F70">
            <v>753564.85017009871</v>
          </cell>
          <cell r="G70">
            <v>1447864.0146933631</v>
          </cell>
          <cell r="H70">
            <v>694299.16452326451</v>
          </cell>
          <cell r="I70">
            <v>753564.85017009871</v>
          </cell>
          <cell r="J70">
            <v>1.00187118</v>
          </cell>
          <cell r="K70">
            <v>292540.37333292002</v>
          </cell>
        </row>
        <row r="71">
          <cell r="B71" t="str">
            <v>Texas Transportation Institute (TTI)</v>
          </cell>
          <cell r="C71">
            <v>3351318.7116268617</v>
          </cell>
          <cell r="D71">
            <v>1675659.3558134309</v>
          </cell>
          <cell r="E71">
            <v>803534.64065701643</v>
          </cell>
          <cell r="F71">
            <v>872124.71515641443</v>
          </cell>
          <cell r="G71">
            <v>1675659.3558134309</v>
          </cell>
          <cell r="H71">
            <v>803534.64065701643</v>
          </cell>
          <cell r="I71">
            <v>872124.71515641443</v>
          </cell>
          <cell r="J71">
            <v>1.00187118</v>
          </cell>
          <cell r="K71">
            <v>338566.33534211997</v>
          </cell>
        </row>
        <row r="72">
          <cell r="B72" t="str">
            <v>Texas AgriLife Research (TAES)</v>
          </cell>
          <cell r="C72">
            <v>10000274.977654513</v>
          </cell>
          <cell r="D72">
            <v>5000137.4888272565</v>
          </cell>
          <cell r="E72">
            <v>2397732.9678501962</v>
          </cell>
          <cell r="F72">
            <v>2602404.5209770598</v>
          </cell>
          <cell r="G72">
            <v>5000137.4888272565</v>
          </cell>
          <cell r="H72">
            <v>2397732.9678501962</v>
          </cell>
          <cell r="I72">
            <v>2602404.5209770598</v>
          </cell>
          <cell r="J72">
            <v>1.00187118</v>
          </cell>
          <cell r="K72">
            <v>1010275.8773290199</v>
          </cell>
        </row>
        <row r="73">
          <cell r="B73" t="str">
            <v>Texas AgriLife Extension Service (TAEX)</v>
          </cell>
          <cell r="C73">
            <v>1285997.4253262866</v>
          </cell>
          <cell r="D73">
            <v>642998.71266314329</v>
          </cell>
          <cell r="E73">
            <v>308339.36368402885</v>
          </cell>
          <cell r="F73">
            <v>334659.34897911444</v>
          </cell>
          <cell r="G73">
            <v>642998.71266314329</v>
          </cell>
          <cell r="H73">
            <v>308339.36368402885</v>
          </cell>
          <cell r="I73">
            <v>334659.34897911444</v>
          </cell>
          <cell r="J73">
            <v>1.00187118</v>
          </cell>
          <cell r="K73">
            <v>129917.6452665</v>
          </cell>
        </row>
        <row r="74">
          <cell r="B74" t="str">
            <v>Texas Vet. Med. Diagnostic Lab. (TVMDL)4</v>
          </cell>
          <cell r="C74">
            <v>984567.76083588763</v>
          </cell>
          <cell r="D74">
            <v>492283.88041794382</v>
          </cell>
          <cell r="E74">
            <v>236066.56662078568</v>
          </cell>
          <cell r="F74">
            <v>256217.31379715813</v>
          </cell>
          <cell r="G74">
            <v>492283.88041794382</v>
          </cell>
          <cell r="H74">
            <v>236066.56662078568</v>
          </cell>
          <cell r="I74">
            <v>256217.31379715813</v>
          </cell>
          <cell r="J74">
            <v>1.00187118</v>
          </cell>
          <cell r="K74">
            <v>99465.770750399999</v>
          </cell>
        </row>
        <row r="75">
          <cell r="B75" t="str">
            <v>Texas Forest Service (TFS)</v>
          </cell>
          <cell r="C75">
            <v>210995.80660298493</v>
          </cell>
          <cell r="D75">
            <v>105497.90330149246</v>
          </cell>
          <cell r="E75">
            <v>50589.769051408504</v>
          </cell>
          <cell r="F75">
            <v>54908.13425008396</v>
          </cell>
          <cell r="G75">
            <v>105497.90330149246</v>
          </cell>
          <cell r="H75">
            <v>50589.769051408504</v>
          </cell>
          <cell r="I75">
            <v>54908.13425008396</v>
          </cell>
          <cell r="J75">
            <v>1.00187118</v>
          </cell>
          <cell r="K75">
            <v>21315.811225679998</v>
          </cell>
        </row>
        <row r="76">
          <cell r="B76" t="str">
            <v>Total</v>
          </cell>
          <cell r="C76">
            <v>26662686.021438919</v>
          </cell>
          <cell r="D76">
            <v>13331343.01071946</v>
          </cell>
          <cell r="E76">
            <v>6392824.3401199915</v>
          </cell>
          <cell r="F76">
            <v>6938518.6705994671</v>
          </cell>
          <cell r="G76">
            <v>13331343.01071946</v>
          </cell>
          <cell r="H76">
            <v>6392824.3401199915</v>
          </cell>
          <cell r="I76">
            <v>6938518.6705994671</v>
          </cell>
          <cell r="K76">
            <v>2693592.7834431599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NACUBO"/>
      <sheetName val="Funding Levels"/>
      <sheetName val="I and O"/>
      <sheetName val="OBF"/>
      <sheetName val="SCH"/>
      <sheetName val="Cost Study"/>
      <sheetName val="Infrastructure"/>
      <sheetName val="Utilities"/>
      <sheetName val="TAMUG"/>
      <sheetName val="SIS"/>
      <sheetName val="Comparison"/>
      <sheetName val="Law VM Tuition"/>
      <sheetName val="Growth"/>
      <sheetName val="CP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 t="str">
            <v>Institution</v>
          </cell>
          <cell r="C3" t="str">
            <v>FY 2014 - FY 2015 Total</v>
          </cell>
          <cell r="D3" t="str">
            <v>FY 2014</v>
          </cell>
          <cell r="E3" t="str">
            <v>O&amp;M 
Funding</v>
          </cell>
          <cell r="F3" t="str">
            <v>Utility 
Funding</v>
          </cell>
          <cell r="G3" t="str">
            <v>FY 2015</v>
          </cell>
          <cell r="H3" t="str">
            <v>O&amp;M 
Funding</v>
          </cell>
          <cell r="I3" t="str">
            <v>Utility 
Funding</v>
          </cell>
          <cell r="J3" t="str">
            <v>Utility Rate Adjustment</v>
          </cell>
          <cell r="K3" t="str">
            <v>Adjusted Utility Square Feet</v>
          </cell>
          <cell r="L3" t="str">
            <v xml:space="preserve">Predicted
Square Feet1 </v>
          </cell>
        </row>
        <row r="4">
          <cell r="B4" t="str">
            <v>UT-Arlington</v>
          </cell>
          <cell r="C4">
            <v>31807080.209555022</v>
          </cell>
          <cell r="D4">
            <v>15903540.104777511</v>
          </cell>
          <cell r="E4">
            <v>8447924.4938445706</v>
          </cell>
          <cell r="F4">
            <v>7455615.6109329397</v>
          </cell>
          <cell r="G4">
            <v>15903540.104777511</v>
          </cell>
          <cell r="H4">
            <v>8447924.4938445706</v>
          </cell>
          <cell r="I4">
            <v>7455615.6109329397</v>
          </cell>
          <cell r="J4">
            <v>0.97647769000000006</v>
          </cell>
          <cell r="K4">
            <v>2746908.8837075103</v>
          </cell>
        </row>
        <row r="5">
          <cell r="B5" t="str">
            <v>UT-Austin</v>
          </cell>
          <cell r="C5">
            <v>118011935.5017083</v>
          </cell>
          <cell r="D5">
            <v>59005967.750854149</v>
          </cell>
          <cell r="E5">
            <v>30423926.699605692</v>
          </cell>
          <cell r="F5">
            <v>28582041.051248457</v>
          </cell>
          <cell r="G5">
            <v>59005967.750854149</v>
          </cell>
          <cell r="H5">
            <v>30423926.699605692</v>
          </cell>
          <cell r="I5">
            <v>28582041.051248457</v>
          </cell>
          <cell r="J5">
            <v>1.0394576799999999</v>
          </cell>
          <cell r="K5">
            <v>10530621.021158399</v>
          </cell>
        </row>
        <row r="6">
          <cell r="B6" t="str">
            <v>UT-Dallas</v>
          </cell>
          <cell r="C6">
            <v>25853817.889887951</v>
          </cell>
          <cell r="D6">
            <v>12926908.944943976</v>
          </cell>
          <cell r="E6">
            <v>6945551.5160211297</v>
          </cell>
          <cell r="F6">
            <v>5981357.428922846</v>
          </cell>
          <cell r="G6">
            <v>12926908.944943976</v>
          </cell>
          <cell r="H6">
            <v>6945551.5160211297</v>
          </cell>
          <cell r="I6">
            <v>5981357.428922846</v>
          </cell>
          <cell r="J6">
            <v>0.95284411999999996</v>
          </cell>
          <cell r="K6">
            <v>2203740.7392683597</v>
          </cell>
        </row>
        <row r="7">
          <cell r="B7" t="str">
            <v>UT-El Paso</v>
          </cell>
          <cell r="C7">
            <v>24665595.778528862</v>
          </cell>
          <cell r="D7">
            <v>12332797.889264431</v>
          </cell>
          <cell r="E7">
            <v>6677420.7815366331</v>
          </cell>
          <cell r="F7">
            <v>5655377.1077277968</v>
          </cell>
          <cell r="G7">
            <v>12332797.889264431</v>
          </cell>
          <cell r="H7">
            <v>6677420.7815366331</v>
          </cell>
          <cell r="I7">
            <v>5655377.1077277968</v>
          </cell>
          <cell r="J7">
            <v>0.93709078000000001</v>
          </cell>
          <cell r="K7">
            <v>2083638.21696404</v>
          </cell>
        </row>
        <row r="8">
          <cell r="B8" t="str">
            <v>UT-Pan American</v>
          </cell>
          <cell r="C8">
            <v>17906809.314481311</v>
          </cell>
          <cell r="D8">
            <v>8953404.6572406553</v>
          </cell>
          <cell r="E8">
            <v>4705523.96494467</v>
          </cell>
          <cell r="F8">
            <v>4247880.6922959853</v>
          </cell>
          <cell r="G8">
            <v>8953404.6572406553</v>
          </cell>
          <cell r="H8">
            <v>4705523.96494467</v>
          </cell>
          <cell r="I8">
            <v>4247880.6922959853</v>
          </cell>
          <cell r="J8">
            <v>0.99883363999999997</v>
          </cell>
          <cell r="K8">
            <v>1565067.4363477998</v>
          </cell>
        </row>
        <row r="9">
          <cell r="B9" t="str">
            <v>UT-Brownsville</v>
          </cell>
          <cell r="C9">
            <v>7272866.8572981711</v>
          </cell>
          <cell r="D9">
            <v>3636433.4286490856</v>
          </cell>
          <cell r="E9">
            <v>2069536.2248945273</v>
          </cell>
          <cell r="F9">
            <v>1566897.203754558</v>
          </cell>
          <cell r="G9">
            <v>3636433.4286490856</v>
          </cell>
          <cell r="H9">
            <v>2069536.2248945273</v>
          </cell>
          <cell r="I9">
            <v>1566897.203754558</v>
          </cell>
          <cell r="J9">
            <v>0.83771503999999997</v>
          </cell>
          <cell r="K9">
            <v>577299.59180544002</v>
          </cell>
        </row>
        <row r="10">
          <cell r="B10" t="str">
            <v>UT-Permian Basin</v>
          </cell>
          <cell r="C10">
            <v>3544603.8918381473</v>
          </cell>
          <cell r="D10">
            <v>1772301.9459190737</v>
          </cell>
          <cell r="E10">
            <v>921470.60200433829</v>
          </cell>
          <cell r="F10">
            <v>850831.34391473536</v>
          </cell>
          <cell r="G10">
            <v>1772301.9459190737</v>
          </cell>
          <cell r="H10">
            <v>921470.60200433829</v>
          </cell>
          <cell r="I10">
            <v>850831.34391473536</v>
          </cell>
          <cell r="J10">
            <v>1.0216234100000001</v>
          </cell>
          <cell r="K10">
            <v>313475.94874781003</v>
          </cell>
        </row>
        <row r="11">
          <cell r="B11" t="str">
            <v>UT-San Antonio</v>
          </cell>
          <cell r="C11">
            <v>30837556.348135367</v>
          </cell>
          <cell r="D11">
            <v>15418778.174067684</v>
          </cell>
          <cell r="E11">
            <v>8248041.9429507628</v>
          </cell>
          <cell r="F11">
            <v>7170736.2311169207</v>
          </cell>
          <cell r="G11">
            <v>15418778.174067684</v>
          </cell>
          <cell r="H11">
            <v>8248041.9429507628</v>
          </cell>
          <cell r="I11">
            <v>7170736.2311169207</v>
          </cell>
          <cell r="J11">
            <v>0.9619261400000001</v>
          </cell>
          <cell r="K11">
            <v>2641949.3820328005</v>
          </cell>
        </row>
        <row r="12">
          <cell r="B12" t="str">
            <v>UT-Tyler</v>
          </cell>
          <cell r="C12">
            <v>6501496.805446472</v>
          </cell>
          <cell r="D12">
            <v>3250748.402723236</v>
          </cell>
          <cell r="E12">
            <v>1762218.1918236145</v>
          </cell>
          <cell r="F12">
            <v>1488530.2108996217</v>
          </cell>
          <cell r="G12">
            <v>3250748.402723236</v>
          </cell>
          <cell r="H12">
            <v>1762218.1918236145</v>
          </cell>
          <cell r="I12">
            <v>1488530.2108996217</v>
          </cell>
          <cell r="J12">
            <v>0.93460222999999998</v>
          </cell>
          <cell r="K12">
            <v>548426.45776846004</v>
          </cell>
        </row>
        <row r="13">
          <cell r="B13" t="str">
            <v>TAMU</v>
          </cell>
          <cell r="C13">
            <v>73035527.867271066</v>
          </cell>
          <cell r="D13">
            <v>36517763.933635533</v>
          </cell>
          <cell r="E13">
            <v>19260411.605443515</v>
          </cell>
          <cell r="F13">
            <v>17257352.328192022</v>
          </cell>
          <cell r="G13">
            <v>36517763.933635533</v>
          </cell>
          <cell r="H13">
            <v>19260411.605443515</v>
          </cell>
          <cell r="I13">
            <v>17257352.328192022</v>
          </cell>
          <cell r="J13">
            <v>0.99137381000000002</v>
          </cell>
          <cell r="K13">
            <v>6358210.6285183504</v>
          </cell>
        </row>
        <row r="14">
          <cell r="B14" t="str">
            <v>TAMU-Galveston</v>
          </cell>
          <cell r="C14">
            <v>5014329.727057917</v>
          </cell>
          <cell r="D14">
            <v>2507164.8635289585</v>
          </cell>
          <cell r="E14">
            <v>1252051.7518960969</v>
          </cell>
          <cell r="F14">
            <v>1255113.1116328614</v>
          </cell>
          <cell r="G14">
            <v>2507164.8635289585</v>
          </cell>
          <cell r="H14">
            <v>1252051.7518960969</v>
          </cell>
          <cell r="I14">
            <v>1255113.1116328614</v>
          </cell>
          <cell r="J14">
            <v>1.1091478100000001</v>
          </cell>
          <cell r="K14">
            <v>462427.45553383837</v>
          </cell>
        </row>
        <row r="15">
          <cell r="B15" t="str">
            <v>Prairie View</v>
          </cell>
          <cell r="C15">
            <v>10018161.925815467</v>
          </cell>
          <cell r="D15">
            <v>5009080.9629077334</v>
          </cell>
          <cell r="E15">
            <v>2697151.6384568824</v>
          </cell>
          <cell r="F15">
            <v>2311929.3244508514</v>
          </cell>
          <cell r="G15">
            <v>5009080.9629077334</v>
          </cell>
          <cell r="H15">
            <v>2697151.6384568824</v>
          </cell>
          <cell r="I15">
            <v>2311929.3244508514</v>
          </cell>
          <cell r="J15">
            <v>0.94841416000000001</v>
          </cell>
          <cell r="K15">
            <v>851795.41586416005</v>
          </cell>
        </row>
        <row r="16">
          <cell r="B16" t="str">
            <v>Tarleton</v>
          </cell>
          <cell r="C16">
            <v>10206654.77763319</v>
          </cell>
          <cell r="D16">
            <v>5103327.3888165951</v>
          </cell>
          <cell r="E16">
            <v>2575730.7742951852</v>
          </cell>
          <cell r="F16">
            <v>2527596.6145214094</v>
          </cell>
          <cell r="G16">
            <v>5103327.3888165951</v>
          </cell>
          <cell r="H16">
            <v>2575730.7742951852</v>
          </cell>
          <cell r="I16">
            <v>2527596.6145214094</v>
          </cell>
          <cell r="J16">
            <v>1.08576575</v>
          </cell>
          <cell r="K16">
            <v>931254.76918049995</v>
          </cell>
        </row>
        <row r="17">
          <cell r="B17" t="str">
            <v>TAMU-Central</v>
          </cell>
          <cell r="C17">
            <v>1709348.3130202568</v>
          </cell>
          <cell r="D17">
            <v>854674.15651012841</v>
          </cell>
          <cell r="E17">
            <v>448637.3599832881</v>
          </cell>
          <cell r="F17">
            <v>406036.79652684031</v>
          </cell>
          <cell r="G17">
            <v>854674.15651012841</v>
          </cell>
          <cell r="H17">
            <v>448637.3599832881</v>
          </cell>
          <cell r="I17">
            <v>406036.79652684031</v>
          </cell>
          <cell r="J17">
            <v>1.00137973</v>
          </cell>
          <cell r="K17">
            <v>149598.12062416002</v>
          </cell>
        </row>
        <row r="18">
          <cell r="B18" t="str">
            <v>TAMU-CC</v>
          </cell>
          <cell r="C18">
            <v>12273085.966621902</v>
          </cell>
          <cell r="D18">
            <v>6136542.9833109509</v>
          </cell>
          <cell r="E18">
            <v>2895163.2653703592</v>
          </cell>
          <cell r="F18">
            <v>3241379.7179405917</v>
          </cell>
          <cell r="G18">
            <v>6136542.9833109509</v>
          </cell>
          <cell r="H18">
            <v>2895163.2653703592</v>
          </cell>
          <cell r="I18">
            <v>3241379.7179405917</v>
          </cell>
          <cell r="J18">
            <v>1.23875577</v>
          </cell>
          <cell r="K18">
            <v>1194237.36513774</v>
          </cell>
        </row>
        <row r="19">
          <cell r="B19" t="str">
            <v>TAMU-Kingsville</v>
          </cell>
          <cell r="C19">
            <v>9757393.959249109</v>
          </cell>
          <cell r="D19">
            <v>4878696.9796245545</v>
          </cell>
          <cell r="E19">
            <v>2316759.4589760327</v>
          </cell>
          <cell r="F19">
            <v>2561937.5206485218</v>
          </cell>
          <cell r="G19">
            <v>4878696.9796245545</v>
          </cell>
          <cell r="H19">
            <v>2316759.4589760327</v>
          </cell>
          <cell r="I19">
            <v>2561937.5206485218</v>
          </cell>
          <cell r="J19">
            <v>1.2235350899999999</v>
          </cell>
          <cell r="K19">
            <v>943907.15699630999</v>
          </cell>
        </row>
        <row r="20">
          <cell r="B20" t="str">
            <v>TAMU-San Antonio</v>
          </cell>
          <cell r="C20">
            <v>3290461.7972570127</v>
          </cell>
          <cell r="D20">
            <v>1645230.8986285063</v>
          </cell>
          <cell r="E20">
            <v>762294.91235191911</v>
          </cell>
          <cell r="F20">
            <v>882935.98627658735</v>
          </cell>
          <cell r="G20">
            <v>1645230.8986285063</v>
          </cell>
          <cell r="H20">
            <v>762294.91235191911</v>
          </cell>
          <cell r="I20">
            <v>882935.98627658735</v>
          </cell>
          <cell r="J20">
            <v>1.2815484700000002</v>
          </cell>
          <cell r="K20">
            <v>325304.41897939006</v>
          </cell>
        </row>
        <row r="21">
          <cell r="B21" t="str">
            <v>TAMI</v>
          </cell>
          <cell r="C21">
            <v>6776232.8558748756</v>
          </cell>
          <cell r="D21">
            <v>3388116.4279374378</v>
          </cell>
          <cell r="E21">
            <v>1642698.2825247573</v>
          </cell>
          <cell r="F21">
            <v>1745418.1454126807</v>
          </cell>
          <cell r="G21">
            <v>3388116.4279374378</v>
          </cell>
          <cell r="H21">
            <v>1642698.2825247573</v>
          </cell>
          <cell r="I21">
            <v>1745418.1454126807</v>
          </cell>
          <cell r="J21">
            <v>1.17562963</v>
          </cell>
          <cell r="K21">
            <v>643072.93449888995</v>
          </cell>
        </row>
        <row r="22">
          <cell r="B22" t="str">
            <v>WTAMU</v>
          </cell>
          <cell r="C22">
            <v>7179148.812675735</v>
          </cell>
          <cell r="D22">
            <v>3589574.4063378675</v>
          </cell>
          <cell r="E22">
            <v>2159061.2887430722</v>
          </cell>
          <cell r="F22">
            <v>1430513.1175947953</v>
          </cell>
          <cell r="G22">
            <v>3589574.4063378675</v>
          </cell>
          <cell r="H22">
            <v>2159061.2887430722</v>
          </cell>
          <cell r="I22">
            <v>1430513.1175947953</v>
          </cell>
          <cell r="J22">
            <v>0.73308732999999993</v>
          </cell>
          <cell r="K22">
            <v>527050.93664150999</v>
          </cell>
        </row>
        <row r="23">
          <cell r="B23" t="str">
            <v>TAMU-Commerce</v>
          </cell>
          <cell r="C23">
            <v>9707455.9245321043</v>
          </cell>
          <cell r="D23">
            <v>4853727.9622660521</v>
          </cell>
          <cell r="E23">
            <v>2365235.3095225827</v>
          </cell>
          <cell r="F23">
            <v>2488492.6527434699</v>
          </cell>
          <cell r="G23">
            <v>4853727.9622660521</v>
          </cell>
          <cell r="H23">
            <v>2365235.3095225827</v>
          </cell>
          <cell r="I23">
            <v>2488492.6527434699</v>
          </cell>
          <cell r="J23">
            <v>1.1641014999999999</v>
          </cell>
          <cell r="K23">
            <v>916847.50550149987</v>
          </cell>
        </row>
        <row r="24">
          <cell r="B24" t="str">
            <v>TAMU-Texarkana</v>
          </cell>
          <cell r="C24">
            <v>1858593.730301199</v>
          </cell>
          <cell r="D24">
            <v>929296.86515059951</v>
          </cell>
          <cell r="E24">
            <v>492917.89624328585</v>
          </cell>
          <cell r="F24">
            <v>436378.9689073136</v>
          </cell>
          <cell r="G24">
            <v>929296.86515059951</v>
          </cell>
          <cell r="H24">
            <v>492917.89624328585</v>
          </cell>
          <cell r="I24">
            <v>436378.9689073136</v>
          </cell>
          <cell r="J24">
            <v>0.97953073000000013</v>
          </cell>
          <cell r="K24">
            <v>160777.23543001001</v>
          </cell>
        </row>
        <row r="25">
          <cell r="B25" t="str">
            <v>UH</v>
          </cell>
          <cell r="C25">
            <v>50660951.07582137</v>
          </cell>
          <cell r="D25">
            <v>25330475.537910685</v>
          </cell>
          <cell r="E25">
            <v>13048658.697361207</v>
          </cell>
          <cell r="F25">
            <v>12281816.840549476</v>
          </cell>
          <cell r="G25">
            <v>25330475.537910685</v>
          </cell>
          <cell r="H25">
            <v>13048658.697361207</v>
          </cell>
          <cell r="I25">
            <v>12281816.840549476</v>
          </cell>
          <cell r="J25">
            <v>1.0414192099999999</v>
          </cell>
          <cell r="K25">
            <v>4525049.7809867999</v>
          </cell>
        </row>
        <row r="26">
          <cell r="B26" t="str">
            <v>UH-Clear Lake</v>
          </cell>
          <cell r="C26">
            <v>6982764.9199850224</v>
          </cell>
          <cell r="D26">
            <v>3491382.4599925112</v>
          </cell>
          <cell r="E26">
            <v>1779930.4063276136</v>
          </cell>
          <cell r="F26">
            <v>1711452.0536648978</v>
          </cell>
          <cell r="G26">
            <v>3491382.4599925112</v>
          </cell>
          <cell r="H26">
            <v>1779930.4063276136</v>
          </cell>
          <cell r="I26">
            <v>1711452.0536648978</v>
          </cell>
          <cell r="J26">
            <v>1.06387488</v>
          </cell>
          <cell r="K26">
            <v>630558.64137600001</v>
          </cell>
        </row>
        <row r="27">
          <cell r="B27" t="str">
            <v>UH-Downtown</v>
          </cell>
          <cell r="C27">
            <v>12038967.521617878</v>
          </cell>
          <cell r="D27">
            <v>6019483.7608089391</v>
          </cell>
          <cell r="E27">
            <v>2704950.6586445537</v>
          </cell>
          <cell r="F27">
            <v>3314533.1021643854</v>
          </cell>
          <cell r="G27">
            <v>6019483.7608089391</v>
          </cell>
          <cell r="H27">
            <v>2704950.6586445537</v>
          </cell>
          <cell r="I27">
            <v>3314533.1021643854</v>
          </cell>
          <cell r="J27">
            <v>1.35578821</v>
          </cell>
          <cell r="K27">
            <v>1221189.6238758301</v>
          </cell>
        </row>
        <row r="28">
          <cell r="B28" t="str">
            <v>UH-Victoria</v>
          </cell>
          <cell r="C28">
            <v>3404580.2988143298</v>
          </cell>
          <cell r="D28">
            <v>1702290.1494071649</v>
          </cell>
          <cell r="E28">
            <v>838795.58245617023</v>
          </cell>
          <cell r="F28">
            <v>863494.56695099466</v>
          </cell>
          <cell r="G28">
            <v>1702290.1494071649</v>
          </cell>
          <cell r="H28">
            <v>838795.58245617023</v>
          </cell>
          <cell r="I28">
            <v>863494.56695099466</v>
          </cell>
          <cell r="J28">
            <v>1.1390225299999999</v>
          </cell>
          <cell r="K28">
            <v>318141.52187682997</v>
          </cell>
        </row>
        <row r="29">
          <cell r="B29" t="str">
            <v>Midwestern</v>
          </cell>
          <cell r="C29">
            <v>5587638.8098004386</v>
          </cell>
          <cell r="D29">
            <v>2793819.4049002193</v>
          </cell>
          <cell r="E29">
            <v>1472059.8050185293</v>
          </cell>
          <cell r="F29">
            <v>1321759.5998816902</v>
          </cell>
          <cell r="G29">
            <v>2793819.4049002193</v>
          </cell>
          <cell r="H29">
            <v>1472059.8050185293</v>
          </cell>
          <cell r="I29">
            <v>1321759.5998816902</v>
          </cell>
          <cell r="J29">
            <v>0.99347252000000008</v>
          </cell>
          <cell r="K29">
            <v>486982.34679864004</v>
          </cell>
        </row>
        <row r="30">
          <cell r="B30" t="str">
            <v>UNT</v>
          </cell>
          <cell r="C30">
            <v>36686554.013207778</v>
          </cell>
          <cell r="D30">
            <v>18343277.006603889</v>
          </cell>
          <cell r="E30">
            <v>9574671.1932413913</v>
          </cell>
          <cell r="F30">
            <v>8768605.8133624978</v>
          </cell>
          <cell r="G30">
            <v>18343277.006603889</v>
          </cell>
          <cell r="H30">
            <v>9574671.1932413913</v>
          </cell>
          <cell r="I30">
            <v>8768605.8133624978</v>
          </cell>
          <cell r="J30">
            <v>1.0132941100000001</v>
          </cell>
          <cell r="K30">
            <v>3230660.2785602505</v>
          </cell>
        </row>
        <row r="31">
          <cell r="B31" t="str">
            <v>UNT-Dallas</v>
          </cell>
          <cell r="C31">
            <v>1911047.1053005573</v>
          </cell>
          <cell r="D31">
            <v>955523.55265027867</v>
          </cell>
          <cell r="E31">
            <v>425720.79354042321</v>
          </cell>
          <cell r="F31">
            <v>529802.7591098554</v>
          </cell>
          <cell r="G31">
            <v>955523.55265027867</v>
          </cell>
          <cell r="H31">
            <v>425720.79354042321</v>
          </cell>
          <cell r="I31">
            <v>529802.7591098554</v>
          </cell>
          <cell r="J31">
            <v>1.3769500699999999</v>
          </cell>
          <cell r="K31">
            <v>195197.81887326998</v>
          </cell>
        </row>
        <row r="32">
          <cell r="B32" t="str">
            <v>SFA</v>
          </cell>
          <cell r="C32">
            <v>13644367.631960317</v>
          </cell>
          <cell r="D32">
            <v>6822183.8159801587</v>
          </cell>
          <cell r="E32">
            <v>3525736.7208598829</v>
          </cell>
          <cell r="F32">
            <v>3296447.0951202754</v>
          </cell>
          <cell r="G32">
            <v>6822183.8159801587</v>
          </cell>
          <cell r="H32">
            <v>3525736.7208598829</v>
          </cell>
          <cell r="I32">
            <v>3296447.0951202754</v>
          </cell>
          <cell r="J32">
            <v>1.0344870799999999</v>
          </cell>
          <cell r="K32">
            <v>1214526.10794196</v>
          </cell>
        </row>
        <row r="33">
          <cell r="B33" t="str">
            <v>TSU</v>
          </cell>
          <cell r="C33">
            <v>14915514.181661531</v>
          </cell>
          <cell r="D33">
            <v>7457757.0908307657</v>
          </cell>
          <cell r="E33">
            <v>3345587.4628629517</v>
          </cell>
          <cell r="F33">
            <v>4112169.6279678144</v>
          </cell>
          <cell r="G33">
            <v>7457757.0908307657</v>
          </cell>
          <cell r="H33">
            <v>3345587.4628629517</v>
          </cell>
          <cell r="I33">
            <v>4112169.6279678144</v>
          </cell>
          <cell r="J33">
            <v>1.3599641899999999</v>
          </cell>
          <cell r="K33">
            <v>1515066.7459053099</v>
          </cell>
        </row>
        <row r="34">
          <cell r="B34" t="str">
            <v>TTU</v>
          </cell>
          <cell r="C34">
            <v>44505620.760491803</v>
          </cell>
          <cell r="D34">
            <v>22252810.380245902</v>
          </cell>
          <cell r="E34">
            <v>11994025.156134026</v>
          </cell>
          <cell r="F34">
            <v>10258785.224111876</v>
          </cell>
          <cell r="G34">
            <v>22252810.380245902</v>
          </cell>
          <cell r="H34">
            <v>11994025.156134026</v>
          </cell>
          <cell r="I34">
            <v>10258785.224111876</v>
          </cell>
          <cell r="J34">
            <v>0.94636750999999997</v>
          </cell>
          <cell r="K34">
            <v>3779694.3590864697</v>
          </cell>
        </row>
        <row r="35">
          <cell r="B35" t="str">
            <v>Angelo</v>
          </cell>
          <cell r="C35">
            <v>7977428.4714653566</v>
          </cell>
          <cell r="D35">
            <v>3988714.2357326783</v>
          </cell>
          <cell r="E35">
            <v>1878575.8491942401</v>
          </cell>
          <cell r="F35">
            <v>2110138.3865384385</v>
          </cell>
          <cell r="G35">
            <v>3988714.2357326783</v>
          </cell>
          <cell r="H35">
            <v>1878575.8491942401</v>
          </cell>
          <cell r="I35">
            <v>2110138.3865384385</v>
          </cell>
          <cell r="J35">
            <v>1.2428280399999998</v>
          </cell>
          <cell r="K35">
            <v>777448.59476591984</v>
          </cell>
        </row>
        <row r="36">
          <cell r="B36" t="str">
            <v>TWU</v>
          </cell>
          <cell r="C36">
            <v>13535961.528345382</v>
          </cell>
          <cell r="D36">
            <v>6767980.7641726909</v>
          </cell>
          <cell r="E36">
            <v>3562038.0516371531</v>
          </cell>
          <cell r="F36">
            <v>3205942.7125355378</v>
          </cell>
          <cell r="G36">
            <v>6767980.7641726909</v>
          </cell>
          <cell r="H36">
            <v>3562038.0516371531</v>
          </cell>
          <cell r="I36">
            <v>3205942.7125355378</v>
          </cell>
          <cell r="J36">
            <v>0.99583191999999998</v>
          </cell>
          <cell r="K36">
            <v>1181181.1361100001</v>
          </cell>
        </row>
        <row r="37">
          <cell r="B37" t="str">
            <v>Lamar</v>
          </cell>
          <cell r="C37">
            <v>11751022.335271161</v>
          </cell>
          <cell r="D37">
            <v>5875511.1676355805</v>
          </cell>
          <cell r="E37">
            <v>3194165.7470744401</v>
          </cell>
          <cell r="F37">
            <v>2681345.4205611404</v>
          </cell>
          <cell r="G37">
            <v>5875511.1676355805</v>
          </cell>
          <cell r="H37">
            <v>3194165.7470744401</v>
          </cell>
          <cell r="I37">
            <v>2681345.4205611404</v>
          </cell>
          <cell r="J37">
            <v>0.92880417000000004</v>
          </cell>
          <cell r="K37">
            <v>987901.19292459008</v>
          </cell>
        </row>
        <row r="38">
          <cell r="B38" t="str">
            <v>Sam Houston</v>
          </cell>
          <cell r="C38">
            <v>16563980.382816639</v>
          </cell>
          <cell r="D38">
            <v>8281990.1914083194</v>
          </cell>
          <cell r="E38">
            <v>4532738.2793390257</v>
          </cell>
          <cell r="F38">
            <v>3749251.9120692937</v>
          </cell>
          <cell r="G38">
            <v>8281990.1914083194</v>
          </cell>
          <cell r="H38">
            <v>4532738.2793390257</v>
          </cell>
          <cell r="I38">
            <v>3749251.9120692937</v>
          </cell>
          <cell r="J38">
            <v>0.91519327000000006</v>
          </cell>
          <cell r="K38">
            <v>1381355.1988139302</v>
          </cell>
        </row>
        <row r="39">
          <cell r="B39" t="str">
            <v>TxStU-SM</v>
          </cell>
          <cell r="C39">
            <v>34868567.855581619</v>
          </cell>
          <cell r="D39">
            <v>17434283.927790809</v>
          </cell>
          <cell r="E39">
            <v>8958749.8053281661</v>
          </cell>
          <cell r="F39">
            <v>8475534.1224626433</v>
          </cell>
          <cell r="G39">
            <v>17434283.927790809</v>
          </cell>
          <cell r="H39">
            <v>8958749.8053281661</v>
          </cell>
          <cell r="I39">
            <v>8475534.1224626433</v>
          </cell>
          <cell r="J39">
            <v>1.04676335</v>
          </cell>
          <cell r="K39">
            <v>3122682.4436896499</v>
          </cell>
        </row>
        <row r="40">
          <cell r="B40" t="str">
            <v>Sul Ross</v>
          </cell>
          <cell r="C40">
            <v>3179224.3256634502</v>
          </cell>
          <cell r="D40">
            <v>1589612.1628317251</v>
          </cell>
          <cell r="E40">
            <v>681968.30781598017</v>
          </cell>
          <cell r="F40">
            <v>907643.85501574492</v>
          </cell>
          <cell r="G40">
            <v>1589612.1628317251</v>
          </cell>
          <cell r="H40">
            <v>681968.30781598017</v>
          </cell>
          <cell r="I40">
            <v>907643.85501574492</v>
          </cell>
          <cell r="J40">
            <v>1.4725841399999999</v>
          </cell>
          <cell r="K40">
            <v>334407.65976845997</v>
          </cell>
        </row>
        <row r="41">
          <cell r="B41" t="str">
            <v>Sul Ross - RG</v>
          </cell>
          <cell r="C41">
            <v>384100.99347075151</v>
          </cell>
          <cell r="D41">
            <v>192050.49673537575</v>
          </cell>
          <cell r="E41">
            <v>192050.49673537575</v>
          </cell>
          <cell r="F41">
            <v>0</v>
          </cell>
          <cell r="G41">
            <v>192050.49673537575</v>
          </cell>
          <cell r="H41">
            <v>192050.49673537575</v>
          </cell>
          <cell r="I41">
            <v>0</v>
          </cell>
          <cell r="J41">
            <v>0</v>
          </cell>
          <cell r="K41">
            <v>0</v>
          </cell>
        </row>
        <row r="42">
          <cell r="B42" t="str">
            <v>TAMU-CVM</v>
          </cell>
          <cell r="C42">
            <v>7019558.5456138942</v>
          </cell>
          <cell r="D42">
            <v>3509779.2728069471</v>
          </cell>
          <cell r="E42">
            <v>3509779.2728069471</v>
          </cell>
          <cell r="G42">
            <v>3509779.2728069471</v>
          </cell>
          <cell r="H42">
            <v>3509779.2728069471</v>
          </cell>
        </row>
        <row r="43">
          <cell r="B43" t="str">
            <v>Total Universities</v>
          </cell>
          <cell r="C43">
            <v>702846009.01107872</v>
          </cell>
          <cell r="D43">
            <v>351423004.50553936</v>
          </cell>
          <cell r="E43">
            <v>184289930.24781096</v>
          </cell>
          <cell r="F43">
            <v>167133074.25772837</v>
          </cell>
          <cell r="G43">
            <v>351423004.50553936</v>
          </cell>
          <cell r="H43">
            <v>184289930.24781096</v>
          </cell>
          <cell r="I43">
            <v>167133074.25772837</v>
          </cell>
          <cell r="K43">
            <v>61577655.07206089</v>
          </cell>
        </row>
        <row r="44">
          <cell r="B44" t="str">
            <v>TSTC-Harlingen</v>
          </cell>
          <cell r="C44">
            <v>5493476.5050561968</v>
          </cell>
          <cell r="D44">
            <v>2746738.2525280984</v>
          </cell>
          <cell r="E44">
            <v>1200196.2318381239</v>
          </cell>
          <cell r="F44">
            <v>1546542.0206899743</v>
          </cell>
          <cell r="G44">
            <v>2746738.2525280984</v>
          </cell>
          <cell r="H44">
            <v>1200196.2318381239</v>
          </cell>
          <cell r="I44">
            <v>1546542.0206899743</v>
          </cell>
          <cell r="J44">
            <v>1.4257333400000001</v>
          </cell>
          <cell r="K44">
            <v>569800.03226435999</v>
          </cell>
        </row>
        <row r="45">
          <cell r="B45" t="str">
            <v>TSTC-West Texas</v>
          </cell>
          <cell r="C45">
            <v>1398056.3898776458</v>
          </cell>
          <cell r="D45">
            <v>699028.19493882288</v>
          </cell>
          <cell r="E45">
            <v>317411.41268229648</v>
          </cell>
          <cell r="F45">
            <v>381616.78225652641</v>
          </cell>
          <cell r="G45">
            <v>699028.19493882288</v>
          </cell>
          <cell r="H45">
            <v>317411.41268229648</v>
          </cell>
          <cell r="I45">
            <v>381616.78225652641</v>
          </cell>
          <cell r="J45">
            <v>1.33025153</v>
          </cell>
          <cell r="K45">
            <v>140600.93546335</v>
          </cell>
        </row>
        <row r="46">
          <cell r="B46" t="str">
            <v>TSTC-Marshall</v>
          </cell>
          <cell r="C46">
            <v>750876.4426783009</v>
          </cell>
          <cell r="D46">
            <v>375438.22133915045</v>
          </cell>
          <cell r="E46">
            <v>210159.11888849793</v>
          </cell>
          <cell r="F46">
            <v>165279.10245065248</v>
          </cell>
          <cell r="G46">
            <v>375438.22133915045</v>
          </cell>
          <cell r="H46">
            <v>210159.11888849793</v>
          </cell>
          <cell r="I46">
            <v>165279.10245065248</v>
          </cell>
          <cell r="J46">
            <v>0.87015885999999987</v>
          </cell>
          <cell r="K46">
            <v>60894.58718165999</v>
          </cell>
        </row>
        <row r="47">
          <cell r="B47" t="str">
            <v>TSTC-Waco</v>
          </cell>
          <cell r="C47">
            <v>5862939.8830377636</v>
          </cell>
          <cell r="D47">
            <v>2931469.9415188818</v>
          </cell>
          <cell r="E47">
            <v>1528109.4441339308</v>
          </cell>
          <cell r="F47">
            <v>1403360.497384951</v>
          </cell>
          <cell r="G47">
            <v>2931469.9415188818</v>
          </cell>
          <cell r="H47">
            <v>1528109.4441339308</v>
          </cell>
          <cell r="I47">
            <v>1403360.497384951</v>
          </cell>
          <cell r="J47">
            <v>1.0161167899999999</v>
          </cell>
          <cell r="K47">
            <v>517046.96412433992</v>
          </cell>
        </row>
        <row r="48">
          <cell r="B48" t="str">
            <v>Lamar-IOT</v>
          </cell>
          <cell r="C48">
            <v>2406849.7238945272</v>
          </cell>
          <cell r="D48">
            <v>1203424.8619472636</v>
          </cell>
          <cell r="E48">
            <v>676010.18072613038</v>
          </cell>
          <cell r="F48">
            <v>527414.68122113333</v>
          </cell>
          <cell r="G48">
            <v>1203424.8619472636</v>
          </cell>
          <cell r="H48">
            <v>676010.18072613038</v>
          </cell>
          <cell r="I48">
            <v>527414.68122113333</v>
          </cell>
          <cell r="J48">
            <v>0.86323256999999998</v>
          </cell>
          <cell r="K48">
            <v>194317.96766984998</v>
          </cell>
        </row>
        <row r="49">
          <cell r="B49" t="str">
            <v>Lamar-Orange</v>
          </cell>
          <cell r="C49">
            <v>1894104.0594405392</v>
          </cell>
          <cell r="D49">
            <v>947052.02972026961</v>
          </cell>
          <cell r="E49">
            <v>514492.08223798394</v>
          </cell>
          <cell r="F49">
            <v>432559.94748228561</v>
          </cell>
          <cell r="G49">
            <v>947052.02972026961</v>
          </cell>
          <cell r="H49">
            <v>514492.08223798394</v>
          </cell>
          <cell r="I49">
            <v>432559.94748228561</v>
          </cell>
          <cell r="J49">
            <v>0.93024308</v>
          </cell>
          <cell r="K49">
            <v>159370.17470867999</v>
          </cell>
        </row>
        <row r="50">
          <cell r="B50" t="str">
            <v>Lamar-Port Arthur</v>
          </cell>
          <cell r="C50">
            <v>2602585.9662741926</v>
          </cell>
          <cell r="D50">
            <v>1301292.9831370963</v>
          </cell>
          <cell r="E50">
            <v>667967.9103901335</v>
          </cell>
          <cell r="F50">
            <v>633325.07274696277</v>
          </cell>
          <cell r="G50">
            <v>1301292.9831370963</v>
          </cell>
          <cell r="H50">
            <v>667967.9103901335</v>
          </cell>
          <cell r="I50">
            <v>633325.07274696277</v>
          </cell>
          <cell r="J50">
            <v>1.0490590199999998</v>
          </cell>
          <cell r="K50">
            <v>233339.05064153997</v>
          </cell>
        </row>
        <row r="51">
          <cell r="B51" t="str">
            <v>Total TSTC and Lamar</v>
          </cell>
          <cell r="C51">
            <v>20408888.970259167</v>
          </cell>
          <cell r="D51">
            <v>10204444.485129584</v>
          </cell>
          <cell r="E51">
            <v>5114346.3808970973</v>
          </cell>
          <cell r="F51">
            <v>5090098.1042324863</v>
          </cell>
          <cell r="G51">
            <v>10204444.485129584</v>
          </cell>
          <cell r="H51">
            <v>5114346.3808970973</v>
          </cell>
          <cell r="I51">
            <v>5090098.1042324863</v>
          </cell>
          <cell r="K51">
            <v>1875369.71205378</v>
          </cell>
        </row>
        <row r="52">
          <cell r="B52" t="str">
            <v>Formula Total</v>
          </cell>
          <cell r="C52">
            <v>723254897.9813379</v>
          </cell>
          <cell r="D52">
            <v>361627448.99066895</v>
          </cell>
          <cell r="E52">
            <v>189404276.62870806</v>
          </cell>
          <cell r="F52">
            <v>172223172.36196086</v>
          </cell>
          <cell r="G52">
            <v>361627448.99066895</v>
          </cell>
          <cell r="H52">
            <v>189404276.62870806</v>
          </cell>
          <cell r="I52">
            <v>172223172.36196086</v>
          </cell>
          <cell r="K52">
            <v>63453024.784114674</v>
          </cell>
        </row>
        <row r="53">
          <cell r="B53" t="str">
            <v>Small Institution Set-Aside</v>
          </cell>
          <cell r="C53">
            <v>25898550</v>
          </cell>
          <cell r="D53" t="str">
            <v>Not included in Table Above</v>
          </cell>
        </row>
        <row r="54">
          <cell r="B54" t="str">
            <v>TAMUG Set-Aside</v>
          </cell>
          <cell r="C54">
            <v>1770769.4872156784</v>
          </cell>
          <cell r="D54" t="str">
            <v>Added to TAMUG's predicted square feet in table above and included in amounts</v>
          </cell>
        </row>
        <row r="55">
          <cell r="B55" t="str">
            <v>Total</v>
          </cell>
          <cell r="C55">
            <v>749153447.9813379</v>
          </cell>
        </row>
        <row r="57">
          <cell r="C57">
            <v>676839030.74790382</v>
          </cell>
          <cell r="D57" t="str">
            <v>FY 2012-2013 Appropriated</v>
          </cell>
        </row>
        <row r="58">
          <cell r="C58">
            <v>47746743.216482833</v>
          </cell>
          <cell r="D58" t="str">
            <v>7.1% Biennial Rate Increase</v>
          </cell>
        </row>
        <row r="59">
          <cell r="C59">
            <v>24567674.016951248</v>
          </cell>
          <cell r="D59" t="str">
            <v>3.4% Predicted Square Foot Growth</v>
          </cell>
        </row>
        <row r="60">
          <cell r="C60">
            <v>749153447.9813379</v>
          </cell>
          <cell r="D60" t="str">
            <v>FY 2014-2015 Recommended Funding</v>
          </cell>
        </row>
        <row r="61">
          <cell r="C61" t="str">
            <v>Rates</v>
          </cell>
          <cell r="D61">
            <v>5.7172720577392653</v>
          </cell>
          <cell r="E61">
            <v>3.0030882509323664</v>
          </cell>
          <cell r="F61">
            <v>2.7141838068068989</v>
          </cell>
          <cell r="G61">
            <v>5.7172720577392653</v>
          </cell>
          <cell r="H61">
            <v>3.0030882509323664</v>
          </cell>
          <cell r="I61">
            <v>2.7141838068068989</v>
          </cell>
          <cell r="J61" t="str">
            <v>HRI Rate3</v>
          </cell>
          <cell r="K61">
            <v>6.5546870319349999</v>
          </cell>
        </row>
        <row r="62">
          <cell r="C62" t="str">
            <v>Percentages2</v>
          </cell>
          <cell r="D62">
            <v>1</v>
          </cell>
          <cell r="E62">
            <v>0.52526593462824533</v>
          </cell>
          <cell r="F62">
            <v>0.47473406537175467</v>
          </cell>
          <cell r="G62">
            <v>1</v>
          </cell>
          <cell r="H62">
            <v>0.52526593462824533</v>
          </cell>
          <cell r="I62">
            <v>0.47473406537175467</v>
          </cell>
        </row>
        <row r="70">
          <cell r="C70" t="str">
            <v>FY 2014 - FY 2015 Total</v>
          </cell>
          <cell r="D70" t="str">
            <v>FY 2014</v>
          </cell>
          <cell r="E70" t="str">
            <v>O&amp;M 
Funding</v>
          </cell>
          <cell r="F70" t="str">
            <v>Utility 
Funding</v>
          </cell>
          <cell r="G70" t="str">
            <v>FY 2015</v>
          </cell>
          <cell r="H70" t="str">
            <v>O&amp;M 
Funding</v>
          </cell>
          <cell r="I70" t="str">
            <v>Utility 
Funding</v>
          </cell>
          <cell r="J70" t="str">
            <v>Utility Rate Adjustment</v>
          </cell>
          <cell r="K70" t="str">
            <v>Adjusted Utility Square Feet</v>
          </cell>
        </row>
        <row r="71">
          <cell r="B71" t="str">
            <v>Texas Engineering Experiment Station (TEES)</v>
          </cell>
          <cell r="C71">
            <v>11288371.533352043</v>
          </cell>
          <cell r="D71">
            <v>5644185.7666760217</v>
          </cell>
          <cell r="E71">
            <v>2976889.3090312323</v>
          </cell>
          <cell r="F71">
            <v>2667296.4576447895</v>
          </cell>
          <cell r="G71">
            <v>5644185.7666760217</v>
          </cell>
          <cell r="H71">
            <v>2976889.3090312323</v>
          </cell>
          <cell r="I71">
            <v>2667296.4576447895</v>
          </cell>
          <cell r="J71">
            <v>0.99137381000000002</v>
          </cell>
          <cell r="K71">
            <v>982725.06488156004</v>
          </cell>
        </row>
        <row r="72">
          <cell r="B72" t="str">
            <v>Texas Engineering Extension Service (TEEX)</v>
          </cell>
          <cell r="C72">
            <v>3264152.7077998081</v>
          </cell>
          <cell r="D72">
            <v>1632076.3538999041</v>
          </cell>
          <cell r="E72">
            <v>860799.21007075161</v>
          </cell>
          <cell r="F72">
            <v>771277.14382915257</v>
          </cell>
          <cell r="G72">
            <v>1632076.3538999041</v>
          </cell>
          <cell r="H72">
            <v>860799.21007075161</v>
          </cell>
          <cell r="I72">
            <v>771277.14382915257</v>
          </cell>
          <cell r="J72">
            <v>0.99137381000000002</v>
          </cell>
          <cell r="K72">
            <v>284165.40615077998</v>
          </cell>
        </row>
        <row r="73">
          <cell r="B73" t="str">
            <v>Texas Transportation Institute (TTI)</v>
          </cell>
          <cell r="C73">
            <v>4507611.7977417726</v>
          </cell>
          <cell r="D73">
            <v>2253805.8988708863</v>
          </cell>
          <cell r="E73">
            <v>1188715.4254548096</v>
          </cell>
          <cell r="F73">
            <v>1065090.4734160765</v>
          </cell>
          <cell r="G73">
            <v>2253805.8988708863</v>
          </cell>
          <cell r="H73">
            <v>1188715.4254548096</v>
          </cell>
          <cell r="I73">
            <v>1065090.4734160765</v>
          </cell>
          <cell r="J73">
            <v>0.99137381000000002</v>
          </cell>
          <cell r="K73">
            <v>392416.48658611003</v>
          </cell>
        </row>
        <row r="74">
          <cell r="B74" t="str">
            <v>Texas AgriLife Research (TALR)</v>
          </cell>
          <cell r="C74">
            <v>11424500.314145375</v>
          </cell>
          <cell r="D74">
            <v>5712250.1570726875</v>
          </cell>
          <cell r="E74">
            <v>3012788.2259828779</v>
          </cell>
          <cell r="F74">
            <v>2699461.9310898092</v>
          </cell>
          <cell r="G74">
            <v>5712250.1570726875</v>
          </cell>
          <cell r="H74">
            <v>3012788.2259828779</v>
          </cell>
          <cell r="I74">
            <v>2699461.9310898092</v>
          </cell>
          <cell r="J74">
            <v>0.99137381000000002</v>
          </cell>
          <cell r="K74">
            <v>994575.94740629999</v>
          </cell>
        </row>
        <row r="75">
          <cell r="B75" t="str">
            <v>Texas AgriLife Extension Service (TALX)</v>
          </cell>
          <cell r="C75">
            <v>1271347.6112873596</v>
          </cell>
          <cell r="D75">
            <v>635673.80564367981</v>
          </cell>
          <cell r="E75">
            <v>335270.77851059125</v>
          </cell>
          <cell r="F75">
            <v>300403.02713308862</v>
          </cell>
          <cell r="G75">
            <v>635673.80564367981</v>
          </cell>
          <cell r="H75">
            <v>335270.77851059125</v>
          </cell>
          <cell r="I75">
            <v>300403.02713308862</v>
          </cell>
          <cell r="J75">
            <v>0.99137381000000002</v>
          </cell>
          <cell r="K75">
            <v>110678.95489602</v>
          </cell>
        </row>
        <row r="76">
          <cell r="B76" t="str">
            <v>Texas Vet. Med. Diagnostic Lab. (TVMDL)4</v>
          </cell>
          <cell r="C76">
            <v>1076116.5741516</v>
          </cell>
          <cell r="D76">
            <v>538058.28707580001</v>
          </cell>
          <cell r="E76">
            <v>283785.83353660675</v>
          </cell>
          <cell r="F76">
            <v>254272.45353919323</v>
          </cell>
          <cell r="G76">
            <v>538058.28707580001</v>
          </cell>
          <cell r="H76">
            <v>283785.83353660675</v>
          </cell>
          <cell r="I76">
            <v>254272.45353919323</v>
          </cell>
          <cell r="J76">
            <v>0.99137381000000002</v>
          </cell>
          <cell r="K76">
            <v>93682.842297380004</v>
          </cell>
        </row>
        <row r="77">
          <cell r="B77" t="str">
            <v>Texas Forest Service (TFS)</v>
          </cell>
          <cell r="C77">
            <v>235589.10967478994</v>
          </cell>
          <cell r="D77">
            <v>117794.55483739497</v>
          </cell>
          <cell r="E77">
            <v>62127.889735288794</v>
          </cell>
          <cell r="F77">
            <v>55666.66510210617</v>
          </cell>
          <cell r="G77">
            <v>117794.55483739497</v>
          </cell>
          <cell r="H77">
            <v>62127.889735288794</v>
          </cell>
          <cell r="I77">
            <v>55666.66510210617</v>
          </cell>
          <cell r="J77">
            <v>0.99137381000000002</v>
          </cell>
          <cell r="K77">
            <v>20509.54138128</v>
          </cell>
        </row>
        <row r="78">
          <cell r="B78" t="str">
            <v>Total</v>
          </cell>
          <cell r="C78">
            <v>33067689.64815275</v>
          </cell>
          <cell r="D78">
            <v>16533844.824076375</v>
          </cell>
          <cell r="E78">
            <v>8720376.6723221578</v>
          </cell>
          <cell r="F78">
            <v>7813468.1517542163</v>
          </cell>
          <cell r="G78">
            <v>16533844.824076375</v>
          </cell>
          <cell r="H78">
            <v>8720376.6723221578</v>
          </cell>
          <cell r="I78">
            <v>7813468.1517542163</v>
          </cell>
          <cell r="K78">
            <v>2878754.2435994297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4"/>
  <sheetViews>
    <sheetView showGridLines="0" tabSelected="1" zoomScale="70" zoomScaleNormal="70" workbookViewId="0">
      <pane xSplit="2" ySplit="3" topLeftCell="C4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RowHeight="12.75" x14ac:dyDescent="0.2"/>
  <cols>
    <col min="1" max="1" width="0" hidden="1" customWidth="1"/>
    <col min="2" max="2" width="12.5703125" bestFit="1" customWidth="1"/>
    <col min="3" max="3" width="13.5703125" customWidth="1"/>
    <col min="4" max="4" width="14" style="168" customWidth="1"/>
    <col min="5" max="5" width="1.7109375" customWidth="1"/>
    <col min="6" max="6" width="13" customWidth="1"/>
    <col min="7" max="7" width="10.140625" bestFit="1" customWidth="1"/>
    <col min="8" max="8" width="10.28515625" style="168" customWidth="1"/>
    <col min="9" max="9" width="1.7109375" customWidth="1"/>
    <col min="10" max="10" width="13" customWidth="1"/>
    <col min="11" max="11" width="14.140625" customWidth="1"/>
    <col min="12" max="12" width="10.28515625" style="168" customWidth="1"/>
    <col min="13" max="13" width="1.7109375" customWidth="1"/>
    <col min="14" max="14" width="13" customWidth="1"/>
    <col min="15" max="15" width="11" customWidth="1"/>
    <col min="16" max="16" width="10.28515625" style="168" customWidth="1"/>
    <col min="17" max="17" width="1.7109375" customWidth="1"/>
    <col min="18" max="18" width="13" customWidth="1"/>
    <col min="19" max="19" width="11" customWidth="1"/>
    <col min="20" max="20" width="10.28515625" style="168" customWidth="1"/>
    <col min="21" max="21" width="1.7109375" customWidth="1"/>
    <col min="22" max="22" width="16.85546875" customWidth="1"/>
    <col min="23" max="23" width="11" customWidth="1"/>
    <col min="24" max="24" width="10.28515625" customWidth="1"/>
    <col min="25" max="25" width="1.7109375" customWidth="1"/>
    <col min="26" max="26" width="13" customWidth="1"/>
    <col min="27" max="27" width="11" customWidth="1"/>
    <col min="28" max="28" width="10.28515625" customWidth="1"/>
  </cols>
  <sheetData>
    <row r="1" spans="1:28" ht="12.75" customHeight="1" x14ac:dyDescent="0.2">
      <c r="B1" s="173" t="s">
        <v>102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28" s="171" customFormat="1" ht="44.25" customHeight="1" thickBot="1" x14ac:dyDescent="0.25">
      <c r="E2" s="172"/>
      <c r="F2" s="176" t="s">
        <v>116</v>
      </c>
      <c r="G2" s="176"/>
      <c r="H2" s="176"/>
      <c r="I2" s="172"/>
      <c r="J2" s="176" t="s">
        <v>115</v>
      </c>
      <c r="K2" s="176"/>
      <c r="L2" s="176"/>
      <c r="M2" s="172"/>
      <c r="N2" s="176" t="s">
        <v>97</v>
      </c>
      <c r="O2" s="176"/>
      <c r="P2" s="176"/>
      <c r="Q2" s="172"/>
      <c r="R2" s="176" t="s">
        <v>99</v>
      </c>
      <c r="S2" s="176"/>
      <c r="T2" s="176"/>
      <c r="U2" s="172"/>
      <c r="V2" s="176" t="s">
        <v>100</v>
      </c>
      <c r="W2" s="176"/>
      <c r="X2" s="176"/>
      <c r="Y2" s="172"/>
      <c r="Z2" s="176" t="s">
        <v>101</v>
      </c>
      <c r="AA2" s="176"/>
      <c r="AB2" s="176"/>
    </row>
    <row r="3" spans="1:28" ht="88.5" customHeight="1" x14ac:dyDescent="0.2">
      <c r="A3" s="161" t="s">
        <v>24</v>
      </c>
      <c r="B3" s="162"/>
      <c r="C3" s="163" t="s">
        <v>92</v>
      </c>
      <c r="D3" s="163" t="s">
        <v>117</v>
      </c>
      <c r="E3" s="164"/>
      <c r="F3" s="108" t="s">
        <v>91</v>
      </c>
      <c r="G3" s="105" t="s">
        <v>93</v>
      </c>
      <c r="H3" s="110" t="s">
        <v>81</v>
      </c>
      <c r="I3" s="164"/>
      <c r="J3" s="108" t="s">
        <v>91</v>
      </c>
      <c r="K3" s="105" t="s">
        <v>114</v>
      </c>
      <c r="L3" s="110" t="s">
        <v>81</v>
      </c>
      <c r="M3" s="164"/>
      <c r="N3" s="108" t="s">
        <v>103</v>
      </c>
      <c r="O3" s="105" t="s">
        <v>93</v>
      </c>
      <c r="P3" s="110" t="s">
        <v>81</v>
      </c>
      <c r="Q3" s="164"/>
      <c r="R3" s="108" t="s">
        <v>98</v>
      </c>
      <c r="S3" s="105" t="s">
        <v>93</v>
      </c>
      <c r="T3" s="110" t="s">
        <v>81</v>
      </c>
      <c r="U3" s="164"/>
      <c r="V3" s="108" t="s">
        <v>95</v>
      </c>
      <c r="W3" s="105" t="s">
        <v>93</v>
      </c>
      <c r="X3" s="110" t="s">
        <v>81</v>
      </c>
      <c r="Y3" s="164"/>
      <c r="Z3" s="108" t="s">
        <v>104</v>
      </c>
      <c r="AA3" s="105" t="s">
        <v>93</v>
      </c>
      <c r="AB3" s="110" t="s">
        <v>81</v>
      </c>
    </row>
    <row r="4" spans="1:28" x14ac:dyDescent="0.2">
      <c r="A4" s="40">
        <v>3656</v>
      </c>
      <c r="B4" s="39" t="s">
        <v>73</v>
      </c>
      <c r="C4" s="160">
        <v>5.5594621010562707E-2</v>
      </c>
      <c r="D4" s="160">
        <v>5.3941374102444546E-2</v>
      </c>
      <c r="E4" s="165"/>
      <c r="F4" s="91">
        <f>'Option 1'!C5/'Option 1'!$C$43</f>
        <v>5.7433120163359379E-2</v>
      </c>
      <c r="G4" s="106">
        <f>F4-$C4</f>
        <v>1.8384991527966715E-3</v>
      </c>
      <c r="H4" s="111">
        <f>G4*'Option 1'!$C$43/1000000</f>
        <v>0.43204730090721777</v>
      </c>
      <c r="I4" s="165"/>
      <c r="J4" s="91">
        <f>F4</f>
        <v>5.7433120163359379E-2</v>
      </c>
      <c r="K4" s="106">
        <f t="shared" ref="K4:K42" si="0">J4-$D4</f>
        <v>3.4917460609148326E-3</v>
      </c>
      <c r="L4" s="111">
        <f>K4*'Option 2'!$C$43/1000000</f>
        <v>0.82056032431498571</v>
      </c>
      <c r="M4" s="165"/>
      <c r="N4" s="91">
        <f>'Option 2'!C5/'Option 2'!$C$43</f>
        <v>6.8730704393980352E-2</v>
      </c>
      <c r="O4" s="106">
        <f>N4-$D4</f>
        <v>1.4789330291535806E-2</v>
      </c>
      <c r="P4" s="111">
        <f>O4*'Option 2'!$C$43/1000000</f>
        <v>3.4754926185109145</v>
      </c>
      <c r="Q4" s="165"/>
      <c r="R4" s="91">
        <f>'Option 3'!C5/'Option 3'!$C$43</f>
        <v>6.9265607244782507E-2</v>
      </c>
      <c r="S4" s="106">
        <f t="shared" ref="S4:S42" si="1">R4-$D4</f>
        <v>1.532423314233796E-2</v>
      </c>
      <c r="T4" s="111">
        <f>S4*'Option 3'!$C$43/1000000</f>
        <v>3.6011947884494195</v>
      </c>
      <c r="U4" s="165"/>
      <c r="V4" s="91">
        <f>'Option 4'!C5/'Option 4'!$C$43</f>
        <v>5.7353129758429697E-2</v>
      </c>
      <c r="W4" s="106">
        <f t="shared" ref="W4:W42" si="2">V4-$D4</f>
        <v>3.4117556559851506E-3</v>
      </c>
      <c r="X4" s="111">
        <f>W4*'Option 4'!$C$43/1000000</f>
        <v>0.80176257915651039</v>
      </c>
      <c r="Y4" s="165"/>
      <c r="Z4" s="91">
        <f>'Option 5'!C5/'Option 5'!$C$43</f>
        <v>5.8402527359122214E-2</v>
      </c>
      <c r="AA4" s="106">
        <f>Z4-$D4</f>
        <v>4.4611532566776677E-3</v>
      </c>
      <c r="AB4" s="111">
        <f>AA4*'Option 5'!$C$43/1000000</f>
        <v>1.048371015319252</v>
      </c>
    </row>
    <row r="5" spans="1:28" x14ac:dyDescent="0.2">
      <c r="A5" s="20">
        <v>3658</v>
      </c>
      <c r="B5" s="19" t="s">
        <v>72</v>
      </c>
      <c r="C5" s="90">
        <v>0.1201911042261023</v>
      </c>
      <c r="D5" s="90">
        <v>9.7535367886092073E-2</v>
      </c>
      <c r="E5" s="165"/>
      <c r="F5" s="91">
        <f>'Option 1'!C6/'Option 1'!$C$43</f>
        <v>0.10744380093616079</v>
      </c>
      <c r="G5" s="106">
        <f t="shared" ref="G5:G41" si="3">F5-$C5</f>
        <v>-1.2747303289941503E-2</v>
      </c>
      <c r="H5" s="112">
        <f>G5*'Option 1'!$C$43/1000000</f>
        <v>-2.9956162731362528</v>
      </c>
      <c r="I5" s="165"/>
      <c r="J5" s="91">
        <f t="shared" ref="J5:J41" si="4">F5</f>
        <v>0.10744380093616079</v>
      </c>
      <c r="K5" s="106">
        <f t="shared" si="0"/>
        <v>9.9084330500687212E-3</v>
      </c>
      <c r="L5" s="112">
        <f>K5*'Option 2'!$C$43/1000000</f>
        <v>2.3284817667661497</v>
      </c>
      <c r="M5" s="165"/>
      <c r="N5" s="91">
        <f>'Option 2'!C6/'Option 2'!$C$43</f>
        <v>0.10417328591660341</v>
      </c>
      <c r="O5" s="106">
        <f t="shared" ref="O5:O42" si="5">N5-$D5</f>
        <v>6.6379180305113361E-3</v>
      </c>
      <c r="P5" s="112">
        <f>O5*'Option 2'!$C$43/1000000</f>
        <v>1.5599107371701639</v>
      </c>
      <c r="Q5" s="165"/>
      <c r="R5" s="91">
        <f>'Option 3'!C6/'Option 3'!$C$43</f>
        <v>0.11732625664057786</v>
      </c>
      <c r="S5" s="106">
        <f t="shared" si="1"/>
        <v>1.9790888754485786E-2</v>
      </c>
      <c r="T5" s="112">
        <f>S5*'Option 3'!$C$43/1000000</f>
        <v>4.6508588573041587</v>
      </c>
      <c r="U5" s="165"/>
      <c r="V5" s="91">
        <f>'Option 4'!C6/'Option 4'!$C$43</f>
        <v>0.11095471845651329</v>
      </c>
      <c r="W5" s="106">
        <f t="shared" si="2"/>
        <v>1.3419350570421221E-2</v>
      </c>
      <c r="X5" s="112">
        <f>W5*'Option 4'!$C$43/1000000</f>
        <v>3.1535473840489869</v>
      </c>
      <c r="Y5" s="165"/>
      <c r="Z5" s="91">
        <f>'Option 5'!C6/'Option 5'!$C$43</f>
        <v>0.12592857088200121</v>
      </c>
      <c r="AA5" s="106">
        <f t="shared" ref="AA5:AA42" si="6">Z5-$D5</f>
        <v>2.8393202995909139E-2</v>
      </c>
      <c r="AB5" s="112">
        <f>AA5*'Option 5'!$C$43/1000000</f>
        <v>6.6724027040386487</v>
      </c>
    </row>
    <row r="6" spans="1:28" x14ac:dyDescent="0.2">
      <c r="A6" s="20">
        <v>9741</v>
      </c>
      <c r="B6" s="19" t="s">
        <v>71</v>
      </c>
      <c r="C6" s="90">
        <v>4.4714439852189161E-2</v>
      </c>
      <c r="D6" s="90">
        <v>3.0845130992374833E-2</v>
      </c>
      <c r="E6" s="165"/>
      <c r="F6" s="91">
        <f>'Option 1'!C7/'Option 1'!$C$43</f>
        <v>2.7960930235282688E-2</v>
      </c>
      <c r="G6" s="106">
        <f t="shared" si="3"/>
        <v>-1.6753509616906474E-2</v>
      </c>
      <c r="H6" s="112">
        <f>G6*'Option 1'!$C$43/1000000</f>
        <v>-3.9370747599730214</v>
      </c>
      <c r="I6" s="165"/>
      <c r="J6" s="91">
        <f t="shared" si="4"/>
        <v>2.7960930235282688E-2</v>
      </c>
      <c r="K6" s="106">
        <f t="shared" si="0"/>
        <v>-2.8842007570921459E-3</v>
      </c>
      <c r="L6" s="112">
        <f>K6*'Option 2'!$C$43/1000000</f>
        <v>-0.67778717791665422</v>
      </c>
      <c r="M6" s="165"/>
      <c r="N6" s="91">
        <f>'Option 2'!C7/'Option 2'!$C$43</f>
        <v>3.4842871020430044E-2</v>
      </c>
      <c r="O6" s="106">
        <f t="shared" si="5"/>
        <v>3.9977400280552106E-3</v>
      </c>
      <c r="P6" s="112">
        <f>O6*'Option 2'!$C$43/1000000</f>
        <v>0.93946890659297444</v>
      </c>
      <c r="Q6" s="165"/>
      <c r="R6" s="91">
        <f>'Option 3'!C7/'Option 3'!$C$43</f>
        <v>4.0582547730281443E-2</v>
      </c>
      <c r="S6" s="106">
        <f t="shared" si="1"/>
        <v>9.7374167379066096E-3</v>
      </c>
      <c r="T6" s="112">
        <f>S6*'Option 3'!$C$43/1000000</f>
        <v>2.2882929334080528</v>
      </c>
      <c r="U6" s="165"/>
      <c r="V6" s="91">
        <f>'Option 4'!C7/'Option 4'!$C$43</f>
        <v>3.0295853660845352E-2</v>
      </c>
      <c r="W6" s="106">
        <f t="shared" si="2"/>
        <v>-5.4927733152948174E-4</v>
      </c>
      <c r="X6" s="112">
        <f>W6*'Option 4'!$C$43/1000000</f>
        <v>-0.12908017290942819</v>
      </c>
      <c r="Y6" s="165"/>
      <c r="Z6" s="91">
        <f>'Option 5'!C7/'Option 5'!$C$43</f>
        <v>3.670421915868239E-2</v>
      </c>
      <c r="AA6" s="106">
        <f t="shared" si="6"/>
        <v>5.8590881663075564E-3</v>
      </c>
      <c r="AB6" s="112">
        <f>AA6*'Option 5'!$C$43/1000000</f>
        <v>1.3768857190822759</v>
      </c>
    </row>
    <row r="7" spans="1:28" x14ac:dyDescent="0.2">
      <c r="A7" s="20">
        <v>3661</v>
      </c>
      <c r="B7" s="19" t="s">
        <v>70</v>
      </c>
      <c r="C7" s="90">
        <v>3.314312548267765E-2</v>
      </c>
      <c r="D7" s="90">
        <v>3.8067899960727944E-2</v>
      </c>
      <c r="E7" s="165"/>
      <c r="F7" s="91">
        <f>'Option 1'!C8/'Option 1'!$C$43</f>
        <v>3.7801700479809269E-2</v>
      </c>
      <c r="G7" s="106">
        <f t="shared" si="3"/>
        <v>4.658574997131619E-3</v>
      </c>
      <c r="H7" s="112">
        <f>G7*'Option 1'!$C$43/1000000</f>
        <v>1.0947651243259304</v>
      </c>
      <c r="I7" s="165"/>
      <c r="J7" s="91">
        <f t="shared" si="4"/>
        <v>3.7801700479809269E-2</v>
      </c>
      <c r="K7" s="106">
        <f t="shared" si="0"/>
        <v>-2.6619948091867462E-4</v>
      </c>
      <c r="L7" s="112">
        <f>K7*'Option 2'!$C$43/1000000</f>
        <v>-6.2556878015888537E-2</v>
      </c>
      <c r="M7" s="165"/>
      <c r="N7" s="91">
        <f>'Option 2'!C8/'Option 2'!$C$43</f>
        <v>3.3203879811146864E-2</v>
      </c>
      <c r="O7" s="106">
        <f t="shared" si="5"/>
        <v>-4.8640201495810803E-3</v>
      </c>
      <c r="P7" s="112">
        <f>O7*'Option 2'!$C$43/1000000</f>
        <v>-1.1430447351515538</v>
      </c>
      <c r="Q7" s="165"/>
      <c r="R7" s="91">
        <f>'Option 3'!C8/'Option 3'!$C$43</f>
        <v>3.0961007339416802E-2</v>
      </c>
      <c r="S7" s="106">
        <f t="shared" si="1"/>
        <v>-7.1068926213111415E-3</v>
      </c>
      <c r="T7" s="112">
        <f>S7*'Option 3'!$C$43/1000000</f>
        <v>-1.670119766008118</v>
      </c>
      <c r="U7" s="165"/>
      <c r="V7" s="91">
        <f>'Option 4'!C8/'Option 4'!$C$43</f>
        <v>3.5365373221106389E-2</v>
      </c>
      <c r="W7" s="106">
        <f t="shared" si="2"/>
        <v>-2.7025267396215552E-3</v>
      </c>
      <c r="X7" s="112">
        <f>W7*'Option 4'!$C$43/1000000</f>
        <v>-0.63509378381106552</v>
      </c>
      <c r="Y7" s="165"/>
      <c r="Z7" s="91">
        <f>'Option 5'!C8/'Option 5'!$C$43</f>
        <v>3.3231056022386227E-2</v>
      </c>
      <c r="AA7" s="106">
        <f t="shared" si="6"/>
        <v>-4.8368439383417172E-3</v>
      </c>
      <c r="AB7" s="112">
        <f>AA7*'Option 5'!$C$43/1000000</f>
        <v>-1.1366583255103038</v>
      </c>
    </row>
    <row r="8" spans="1:28" x14ac:dyDescent="0.2">
      <c r="A8" s="20">
        <v>3599</v>
      </c>
      <c r="B8" s="19" t="s">
        <v>69</v>
      </c>
      <c r="C8" s="90">
        <v>2.740784788825534E-2</v>
      </c>
      <c r="D8" s="90">
        <v>3.6041180893975448E-2</v>
      </c>
      <c r="E8" s="165"/>
      <c r="F8" s="91">
        <f>'Option 1'!C9/'Option 1'!$C$43</f>
        <v>3.3414305369230984E-2</v>
      </c>
      <c r="G8" s="106">
        <f t="shared" si="3"/>
        <v>6.0064574809756445E-3</v>
      </c>
      <c r="H8" s="112">
        <f>G8*'Option 1'!$C$43/1000000</f>
        <v>1.4115175080292766</v>
      </c>
      <c r="I8" s="165"/>
      <c r="J8" s="91">
        <f t="shared" si="4"/>
        <v>3.3414305369230984E-2</v>
      </c>
      <c r="K8" s="106">
        <f t="shared" si="0"/>
        <v>-2.6268755247444639E-3</v>
      </c>
      <c r="L8" s="112">
        <f>K8*'Option 2'!$C$43/1000000</f>
        <v>-0.61731574831494895</v>
      </c>
      <c r="M8" s="165"/>
      <c r="N8" s="91">
        <f>'Option 2'!C9/'Option 2'!$C$43</f>
        <v>2.7727596034476051E-2</v>
      </c>
      <c r="O8" s="106">
        <f t="shared" si="5"/>
        <v>-8.3135848594993976E-3</v>
      </c>
      <c r="P8" s="112">
        <f>O8*'Option 2'!$C$43/1000000</f>
        <v>-1.9536924419823585</v>
      </c>
      <c r="Q8" s="165"/>
      <c r="R8" s="91">
        <f>'Option 3'!C9/'Option 3'!$C$43</f>
        <v>2.4458088330999547E-2</v>
      </c>
      <c r="S8" s="106">
        <f t="shared" si="1"/>
        <v>-1.1583092562975902E-2</v>
      </c>
      <c r="T8" s="112">
        <f>S8*'Option 3'!$C$43/1000000</f>
        <v>-2.7220267522993362</v>
      </c>
      <c r="U8" s="165"/>
      <c r="V8" s="91">
        <f>'Option 4'!C9/'Option 4'!$C$43</f>
        <v>2.9532596427304238E-2</v>
      </c>
      <c r="W8" s="106">
        <f t="shared" si="2"/>
        <v>-6.5085844666712099E-3</v>
      </c>
      <c r="X8" s="112">
        <f>W8*'Option 4'!$C$43/1000000</f>
        <v>-1.5295173496677343</v>
      </c>
      <c r="Y8" s="165"/>
      <c r="Z8" s="91">
        <f>'Option 5'!C9/'Option 5'!$C$43</f>
        <v>2.6251345591497371E-2</v>
      </c>
      <c r="AA8" s="106">
        <f t="shared" si="6"/>
        <v>-9.7898353024780775E-3</v>
      </c>
      <c r="AB8" s="112">
        <f>AA8*'Option 5'!$C$43/1000000</f>
        <v>-2.3006112960823484</v>
      </c>
    </row>
    <row r="9" spans="1:28" x14ac:dyDescent="0.2">
      <c r="A9" s="20">
        <v>30646</v>
      </c>
      <c r="B9" s="19" t="s">
        <v>68</v>
      </c>
      <c r="C9" s="90">
        <v>9.8207332846613673E-3</v>
      </c>
      <c r="D9" s="90">
        <v>1.3127311227878089E-2</v>
      </c>
      <c r="E9" s="165"/>
      <c r="F9" s="91">
        <f>'Option 1'!C10/'Option 1'!$C$43</f>
        <v>1.1024062138423319E-2</v>
      </c>
      <c r="G9" s="106">
        <f t="shared" si="3"/>
        <v>1.2033288537619518E-3</v>
      </c>
      <c r="H9" s="112">
        <f>G9*'Option 1'!$C$43/1000000</f>
        <v>0.28278228063405869</v>
      </c>
      <c r="I9" s="165"/>
      <c r="J9" s="91">
        <f t="shared" si="4"/>
        <v>1.1024062138423319E-2</v>
      </c>
      <c r="K9" s="106">
        <f t="shared" si="0"/>
        <v>-2.1032490894547697E-3</v>
      </c>
      <c r="L9" s="112">
        <f>K9*'Option 2'!$C$43/1000000</f>
        <v>-0.4942635360218709</v>
      </c>
      <c r="M9" s="165"/>
      <c r="N9" s="91">
        <f>'Option 2'!C10/'Option 2'!$C$43</f>
        <v>1.1084061582568019E-2</v>
      </c>
      <c r="O9" s="106">
        <f t="shared" si="5"/>
        <v>-2.0432496453100697E-3</v>
      </c>
      <c r="P9" s="112">
        <f>O9*'Option 2'!$C$43/1000000</f>
        <v>-0.48016366664786636</v>
      </c>
      <c r="Q9" s="165"/>
      <c r="R9" s="91">
        <f>'Option 3'!C10/'Option 3'!$C$43</f>
        <v>9.8077039172005595E-3</v>
      </c>
      <c r="S9" s="106">
        <f t="shared" si="1"/>
        <v>-3.3196073106775293E-3</v>
      </c>
      <c r="T9" s="112">
        <f>S9*'Option 3'!$C$43/1000000</f>
        <v>-0.78010771800921919</v>
      </c>
      <c r="U9" s="165"/>
      <c r="V9" s="91">
        <f>'Option 4'!C10/'Option 4'!$C$43</f>
        <v>1.1805607564621096E-2</v>
      </c>
      <c r="W9" s="106">
        <f t="shared" si="2"/>
        <v>-1.3217036632569932E-3</v>
      </c>
      <c r="X9" s="112">
        <f>W9*'Option 4'!$C$43/1000000</f>
        <v>-0.31060036086539344</v>
      </c>
      <c r="Y9" s="165"/>
      <c r="Z9" s="91">
        <f>'Option 5'!C10/'Option 5'!$C$43</f>
        <v>1.0051137385035229E-2</v>
      </c>
      <c r="AA9" s="106">
        <f t="shared" si="6"/>
        <v>-3.0761738428428595E-3</v>
      </c>
      <c r="AB9" s="112">
        <f>AA9*'Option 5'!$C$43/1000000</f>
        <v>-0.72290085306807217</v>
      </c>
    </row>
    <row r="10" spans="1:28" x14ac:dyDescent="0.2">
      <c r="A10" s="20">
        <v>9930</v>
      </c>
      <c r="B10" s="19" t="s">
        <v>67</v>
      </c>
      <c r="C10" s="90">
        <v>5.0772740655610771E-3</v>
      </c>
      <c r="D10" s="90">
        <v>6.658597974462911E-3</v>
      </c>
      <c r="E10" s="165"/>
      <c r="F10" s="91">
        <f>'Option 1'!C11/'Option 1'!$C$43</f>
        <v>5.8857015876078826E-3</v>
      </c>
      <c r="G10" s="106">
        <f t="shared" si="3"/>
        <v>8.0842752204680554E-4</v>
      </c>
      <c r="H10" s="112">
        <f>G10*'Option 1'!$C$43/1000000</f>
        <v>0.1899804676809993</v>
      </c>
      <c r="I10" s="165"/>
      <c r="J10" s="91">
        <f t="shared" si="4"/>
        <v>5.8857015876078826E-3</v>
      </c>
      <c r="K10" s="106">
        <f t="shared" si="0"/>
        <v>-7.7289638685502839E-4</v>
      </c>
      <c r="L10" s="112">
        <f>K10*'Option 2'!$C$43/1000000</f>
        <v>-0.18163065091093167</v>
      </c>
      <c r="M10" s="165"/>
      <c r="N10" s="91">
        <f>'Option 2'!C11/'Option 2'!$C$43</f>
        <v>6.0194864625021677E-3</v>
      </c>
      <c r="O10" s="106">
        <f t="shared" si="5"/>
        <v>-6.3911151196074326E-4</v>
      </c>
      <c r="P10" s="112">
        <f>O10*'Option 2'!$C$43/1000000</f>
        <v>-0.15019120531077468</v>
      </c>
      <c r="Q10" s="165"/>
      <c r="R10" s="91">
        <f>'Option 3'!C11/'Option 3'!$C$43</f>
        <v>5.5169266845988578E-3</v>
      </c>
      <c r="S10" s="106">
        <f t="shared" si="1"/>
        <v>-1.1416712898640533E-3</v>
      </c>
      <c r="T10" s="112">
        <f>S10*'Option 3'!$C$43/1000000</f>
        <v>-0.26829275311805245</v>
      </c>
      <c r="U10" s="165"/>
      <c r="V10" s="91">
        <f>'Option 4'!C11/'Option 4'!$C$43</f>
        <v>6.4113406793600133E-3</v>
      </c>
      <c r="W10" s="106">
        <f t="shared" si="2"/>
        <v>-2.4725729510289771E-4</v>
      </c>
      <c r="X10" s="112">
        <f>W10*'Option 4'!$C$43/1000000</f>
        <v>-5.8105464349180964E-2</v>
      </c>
      <c r="Y10" s="165"/>
      <c r="Z10" s="91">
        <f>'Option 5'!C11/'Option 5'!$C$43</f>
        <v>5.5276513980918335E-3</v>
      </c>
      <c r="AA10" s="106">
        <f t="shared" si="6"/>
        <v>-1.1309465763710775E-3</v>
      </c>
      <c r="AB10" s="112">
        <f>AA10*'Option 5'!$C$43/1000000</f>
        <v>-0.26577244544720324</v>
      </c>
    </row>
    <row r="11" spans="1:28" x14ac:dyDescent="0.2">
      <c r="A11" s="20">
        <v>10115</v>
      </c>
      <c r="B11" s="19" t="s">
        <v>66</v>
      </c>
      <c r="C11" s="90">
        <v>4.4912894198228713E-2</v>
      </c>
      <c r="D11" s="90">
        <v>5.1993931386758195E-2</v>
      </c>
      <c r="E11" s="165"/>
      <c r="F11" s="91">
        <f>'Option 1'!C12/'Option 1'!$C$43</f>
        <v>5.0267953461106338E-2</v>
      </c>
      <c r="G11" s="106">
        <f t="shared" si="3"/>
        <v>5.3550592628776247E-3</v>
      </c>
      <c r="H11" s="112">
        <f>G11*'Option 1'!$C$43/1000000</f>
        <v>1.2584389267762417</v>
      </c>
      <c r="I11" s="165"/>
      <c r="J11" s="91">
        <f t="shared" si="4"/>
        <v>5.0267953461106338E-2</v>
      </c>
      <c r="K11" s="106">
        <f t="shared" si="0"/>
        <v>-1.7259779256518573E-3</v>
      </c>
      <c r="L11" s="112">
        <f>K11*'Option 2'!$C$43/1000000</f>
        <v>-0.40560481252818648</v>
      </c>
      <c r="M11" s="165"/>
      <c r="N11" s="91">
        <f>'Option 2'!C12/'Option 2'!$C$43</f>
        <v>4.309563077362235E-2</v>
      </c>
      <c r="O11" s="106">
        <f t="shared" si="5"/>
        <v>-8.8983006131358455E-3</v>
      </c>
      <c r="P11" s="112">
        <f>O11*'Option 2'!$C$43/1000000</f>
        <v>-2.0911006440869238</v>
      </c>
      <c r="Q11" s="165"/>
      <c r="R11" s="91">
        <f>'Option 3'!C12/'Option 3'!$C$43</f>
        <v>3.857631083497038E-2</v>
      </c>
      <c r="S11" s="106">
        <f t="shared" si="1"/>
        <v>-1.3417620551787815E-2</v>
      </c>
      <c r="T11" s="112">
        <f>S11*'Option 3'!$C$43/1000000</f>
        <v>-3.1531408296701358</v>
      </c>
      <c r="U11" s="165"/>
      <c r="V11" s="91">
        <f>'Option 4'!C12/'Option 4'!$C$43</f>
        <v>4.5901053587011825E-2</v>
      </c>
      <c r="W11" s="106">
        <f t="shared" si="2"/>
        <v>-6.0928777997463698E-3</v>
      </c>
      <c r="X11" s="112">
        <f>W11*'Option 4'!$C$43/1000000</f>
        <v>-1.4318262829403967</v>
      </c>
      <c r="Y11" s="165"/>
      <c r="Z11" s="91">
        <f>'Option 5'!C12/'Option 5'!$C$43</f>
        <v>4.1404710526386661E-2</v>
      </c>
      <c r="AA11" s="106">
        <f t="shared" si="6"/>
        <v>-1.0589220860371534E-2</v>
      </c>
      <c r="AB11" s="112">
        <f>AA11*'Option 5'!$C$43/1000000</f>
        <v>-2.4884669021873109</v>
      </c>
    </row>
    <row r="12" spans="1:28" x14ac:dyDescent="0.2">
      <c r="A12" s="20">
        <v>11163</v>
      </c>
      <c r="B12" s="19" t="s">
        <v>65</v>
      </c>
      <c r="C12" s="90">
        <v>1.0834467699729631E-2</v>
      </c>
      <c r="D12" s="90">
        <v>1.2069401585431769E-2</v>
      </c>
      <c r="E12" s="165"/>
      <c r="F12" s="91">
        <f>'Option 1'!C13/'Option 1'!$C$43</f>
        <v>1.3484385717409827E-2</v>
      </c>
      <c r="G12" s="106">
        <f t="shared" si="3"/>
        <v>2.649918017680197E-3</v>
      </c>
      <c r="H12" s="112">
        <f>G12*'Option 1'!$C$43/1000000</f>
        <v>0.62273073415484625</v>
      </c>
      <c r="I12" s="165"/>
      <c r="J12" s="91">
        <f t="shared" si="4"/>
        <v>1.3484385717409827E-2</v>
      </c>
      <c r="K12" s="106">
        <f t="shared" si="0"/>
        <v>1.414984131978058E-3</v>
      </c>
      <c r="L12" s="112">
        <f>K12*'Option 2'!$C$43/1000000</f>
        <v>0.33252127101484363</v>
      </c>
      <c r="M12" s="165"/>
      <c r="N12" s="91">
        <f>'Option 2'!C13/'Option 2'!$C$43</f>
        <v>1.2763806994884053E-2</v>
      </c>
      <c r="O12" s="106">
        <f t="shared" si="5"/>
        <v>6.9440540945228321E-4</v>
      </c>
      <c r="P12" s="112">
        <f>O12*'Option 2'!$C$43/1000000</f>
        <v>0.16318527122128657</v>
      </c>
      <c r="Q12" s="165"/>
      <c r="R12" s="91">
        <f>'Option 3'!C13/'Option 3'!$C$43</f>
        <v>1.2123755936254853E-2</v>
      </c>
      <c r="S12" s="106">
        <f t="shared" si="1"/>
        <v>5.4354350823083639E-5</v>
      </c>
      <c r="T12" s="112">
        <f>S12*'Option 3'!$C$43/1000000</f>
        <v>1.2773272443424652E-2</v>
      </c>
      <c r="U12" s="165"/>
      <c r="V12" s="91">
        <f>'Option 4'!C13/'Option 4'!$C$43</f>
        <v>1.3594700398376479E-2</v>
      </c>
      <c r="W12" s="106">
        <f t="shared" si="2"/>
        <v>1.5252988129447094E-3</v>
      </c>
      <c r="X12" s="112">
        <f>W12*'Option 4'!$C$43/1000000</f>
        <v>0.35844522104200666</v>
      </c>
      <c r="Y12" s="165"/>
      <c r="Z12" s="91">
        <f>'Option 5'!C13/'Option 5'!$C$43</f>
        <v>1.2257064251437688E-2</v>
      </c>
      <c r="AA12" s="106">
        <f t="shared" si="6"/>
        <v>1.8766266600591872E-4</v>
      </c>
      <c r="AB12" s="112">
        <f>AA12*'Option 5'!$C$43/1000000</f>
        <v>4.4100726511390902E-2</v>
      </c>
    </row>
    <row r="13" spans="1:28" x14ac:dyDescent="0.2">
      <c r="A13" s="20">
        <v>3632</v>
      </c>
      <c r="B13" s="19" t="s">
        <v>64</v>
      </c>
      <c r="C13" s="90">
        <v>0.12924677670621101</v>
      </c>
      <c r="D13" s="90">
        <v>0.10514316433214833</v>
      </c>
      <c r="E13" s="165"/>
      <c r="F13" s="91">
        <f>'Option 1'!C14/'Option 1'!$C$43</f>
        <v>0.10868949948252503</v>
      </c>
      <c r="G13" s="106">
        <f t="shared" si="3"/>
        <v>-2.0557277223685985E-2</v>
      </c>
      <c r="H13" s="112">
        <f>G13*'Option 1'!$C$43/1000000</f>
        <v>-4.8309601475662065</v>
      </c>
      <c r="I13" s="165"/>
      <c r="J13" s="91">
        <f t="shared" si="4"/>
        <v>0.10868949948252503</v>
      </c>
      <c r="K13" s="106">
        <f t="shared" si="0"/>
        <v>3.5463351503766949E-3</v>
      </c>
      <c r="L13" s="112">
        <f>K13*'Option 2'!$C$43/1000000</f>
        <v>0.83338876033852327</v>
      </c>
      <c r="M13" s="165"/>
      <c r="N13" s="91">
        <f>'Option 2'!C14/'Option 2'!$C$43</f>
        <v>0.10482702201993149</v>
      </c>
      <c r="O13" s="106">
        <f t="shared" si="5"/>
        <v>-3.1614231221684108E-4</v>
      </c>
      <c r="P13" s="112">
        <f>O13*'Option 2'!$C$43/1000000</f>
        <v>-7.4293443370957654E-2</v>
      </c>
      <c r="Q13" s="165"/>
      <c r="R13" s="91">
        <f>'Option 3'!C14/'Option 3'!$C$43</f>
        <v>0.10194244969838354</v>
      </c>
      <c r="S13" s="106">
        <f t="shared" si="1"/>
        <v>-3.2007146337647979E-3</v>
      </c>
      <c r="T13" s="112">
        <f>S13*'Option 3'!$C$43/1000000</f>
        <v>-0.75216793893472733</v>
      </c>
      <c r="U13" s="165"/>
      <c r="V13" s="91">
        <f>'Option 4'!C14/'Option 4'!$C$43</f>
        <v>0.11165101122150961</v>
      </c>
      <c r="W13" s="106">
        <f t="shared" si="2"/>
        <v>6.5078468893612768E-3</v>
      </c>
      <c r="X13" s="112">
        <f>W13*'Option 4'!$C$43/1000000</f>
        <v>1.5293440189998999</v>
      </c>
      <c r="Y13" s="165"/>
      <c r="Z13" s="91">
        <f>'Option 5'!C14/'Option 5'!$C$43</f>
        <v>0.10941682936373368</v>
      </c>
      <c r="AA13" s="106">
        <f t="shared" si="6"/>
        <v>4.2736650315853414E-3</v>
      </c>
      <c r="AB13" s="112">
        <f>AA13*'Option 5'!$C$43/1000000</f>
        <v>1.0043112824225553</v>
      </c>
    </row>
    <row r="14" spans="1:28" x14ac:dyDescent="0.2">
      <c r="A14" s="20">
        <v>10298</v>
      </c>
      <c r="B14" s="19" t="s">
        <v>63</v>
      </c>
      <c r="C14" s="90">
        <v>5.1146603377348384E-3</v>
      </c>
      <c r="D14" s="90">
        <v>7.0859752523080169E-3</v>
      </c>
      <c r="E14" s="165"/>
      <c r="F14" s="91">
        <f>'Option 1'!C15/'Option 1'!$C$43</f>
        <v>5.9921021213003465E-3</v>
      </c>
      <c r="G14" s="106">
        <f t="shared" si="3"/>
        <v>8.7744178356550812E-4</v>
      </c>
      <c r="H14" s="112">
        <f>G14*'Option 1'!$C$43/1000000</f>
        <v>0.2061988191378944</v>
      </c>
      <c r="I14" s="165"/>
      <c r="J14" s="91">
        <f t="shared" si="4"/>
        <v>5.9921021213003465E-3</v>
      </c>
      <c r="K14" s="106">
        <f t="shared" si="0"/>
        <v>-1.0938731310076704E-3</v>
      </c>
      <c r="L14" s="112">
        <f>K14*'Option 2'!$C$43/1000000</f>
        <v>-0.25706018578680256</v>
      </c>
      <c r="M14" s="165"/>
      <c r="N14" s="91">
        <f>'Option 2'!C15/'Option 2'!$C$43</f>
        <v>9.0231320143286144E-3</v>
      </c>
      <c r="O14" s="106">
        <f t="shared" si="5"/>
        <v>1.9371567620205974E-3</v>
      </c>
      <c r="P14" s="112">
        <f>O14*'Option 2'!$C$43/1000000</f>
        <v>0.45523183907484044</v>
      </c>
      <c r="Q14" s="165"/>
      <c r="R14" s="91">
        <f>'Option 3'!C15/'Option 3'!$C$43</f>
        <v>7.2996991545734797E-3</v>
      </c>
      <c r="S14" s="106">
        <f t="shared" si="1"/>
        <v>2.1372390226546273E-4</v>
      </c>
      <c r="T14" s="112">
        <f>S14*'Option 3'!$C$43/1000000</f>
        <v>5.0225117032383727E-2</v>
      </c>
      <c r="U14" s="165"/>
      <c r="V14" s="91">
        <f>'Option 4'!C15/'Option 4'!$C$43</f>
        <v>1.0508201243796311E-2</v>
      </c>
      <c r="W14" s="106">
        <f t="shared" si="2"/>
        <v>3.4222259914882943E-3</v>
      </c>
      <c r="X14" s="112">
        <f>W14*'Option 4'!$C$43/1000000</f>
        <v>0.80422310799974916</v>
      </c>
      <c r="Y14" s="165"/>
      <c r="Z14" s="91">
        <f>'Option 5'!C15/'Option 5'!$C$43</f>
        <v>9.1573235805484481E-3</v>
      </c>
      <c r="AA14" s="106">
        <f t="shared" si="6"/>
        <v>2.0713483282404311E-3</v>
      </c>
      <c r="AB14" s="112">
        <f>AA14*'Option 5'!$C$43/1000000</f>
        <v>0.48676685713650136</v>
      </c>
    </row>
    <row r="15" spans="1:28" x14ac:dyDescent="0.2">
      <c r="A15" s="20">
        <v>3630</v>
      </c>
      <c r="B15" s="19" t="s">
        <v>62</v>
      </c>
      <c r="C15" s="90">
        <v>1.2996728525737848E-2</v>
      </c>
      <c r="D15" s="90">
        <v>1.5279410782616385E-2</v>
      </c>
      <c r="E15" s="165"/>
      <c r="F15" s="91">
        <f>'Option 1'!C16/'Option 1'!$C$43</f>
        <v>1.3402905414046658E-2</v>
      </c>
      <c r="G15" s="106">
        <f t="shared" si="3"/>
        <v>4.061768883088096E-4</v>
      </c>
      <c r="H15" s="112">
        <f>G15*'Option 1'!$C$43/1000000</f>
        <v>9.5451568752570257E-2</v>
      </c>
      <c r="I15" s="165"/>
      <c r="J15" s="91">
        <f t="shared" si="4"/>
        <v>1.3402905414046658E-2</v>
      </c>
      <c r="K15" s="106">
        <f t="shared" si="0"/>
        <v>-1.8765053685697274E-3</v>
      </c>
      <c r="L15" s="112">
        <f>K15*'Option 2'!$C$43/1000000</f>
        <v>-0.44097876161388594</v>
      </c>
      <c r="M15" s="165"/>
      <c r="N15" s="91">
        <f>'Option 2'!C16/'Option 2'!$C$43</f>
        <v>1.1525931177434832E-2</v>
      </c>
      <c r="O15" s="106">
        <f t="shared" si="5"/>
        <v>-3.753479605181553E-3</v>
      </c>
      <c r="P15" s="112">
        <f>O15*'Option 2'!$C$43/1000000</f>
        <v>-0.88206770721766492</v>
      </c>
      <c r="Q15" s="165"/>
      <c r="R15" s="91">
        <f>'Option 3'!C16/'Option 3'!$C$43</f>
        <v>1.133247293847273E-2</v>
      </c>
      <c r="S15" s="106">
        <f t="shared" si="1"/>
        <v>-3.9469378441436553E-3</v>
      </c>
      <c r="T15" s="112">
        <f>S15*'Option 3'!$C$43/1000000</f>
        <v>-0.92753039337375875</v>
      </c>
      <c r="U15" s="165"/>
      <c r="V15" s="91">
        <f>'Option 4'!C16/'Option 4'!$C$43</f>
        <v>1.2276241816594202E-2</v>
      </c>
      <c r="W15" s="106">
        <f t="shared" si="2"/>
        <v>-3.0031689660221829E-3</v>
      </c>
      <c r="X15" s="112">
        <f>W15*'Option 4'!$C$43/1000000</f>
        <v>-0.70574470701521297</v>
      </c>
      <c r="Y15" s="165"/>
      <c r="Z15" s="91">
        <f>'Option 5'!C16/'Option 5'!$C$43</f>
        <v>1.177701196545697E-2</v>
      </c>
      <c r="AA15" s="106">
        <f t="shared" si="6"/>
        <v>-3.5023988171594151E-3</v>
      </c>
      <c r="AB15" s="112">
        <f>AA15*'Option 5'!$C$43/1000000</f>
        <v>-0.82306372203246259</v>
      </c>
    </row>
    <row r="16" spans="1:28" x14ac:dyDescent="0.2">
      <c r="A16" s="20">
        <v>3631</v>
      </c>
      <c r="B16" s="19" t="s">
        <v>61</v>
      </c>
      <c r="C16" s="90">
        <v>1.4845490262134067E-2</v>
      </c>
      <c r="D16" s="90">
        <v>1.9985241623354359E-2</v>
      </c>
      <c r="E16" s="165"/>
      <c r="F16" s="91">
        <f>'Option 1'!C17/'Option 1'!$C$43</f>
        <v>1.7920735745562244E-2</v>
      </c>
      <c r="G16" s="106">
        <f t="shared" si="3"/>
        <v>3.0752454834281767E-3</v>
      </c>
      <c r="H16" s="112">
        <f>G16*'Option 1'!$C$43/1000000</f>
        <v>0.72268268860562157</v>
      </c>
      <c r="I16" s="165"/>
      <c r="J16" s="91">
        <f t="shared" si="4"/>
        <v>1.7920735745562244E-2</v>
      </c>
      <c r="K16" s="106">
        <f t="shared" si="0"/>
        <v>-2.0645058777921145E-3</v>
      </c>
      <c r="L16" s="112">
        <f>K16*'Option 2'!$C$43/1000000</f>
        <v>-0.48515888128114687</v>
      </c>
      <c r="M16" s="165"/>
      <c r="N16" s="91">
        <f>'Option 2'!C17/'Option 2'!$C$43</f>
        <v>1.6171325491322264E-2</v>
      </c>
      <c r="O16" s="106">
        <f t="shared" si="5"/>
        <v>-3.8139161320320941E-3</v>
      </c>
      <c r="P16" s="112">
        <f>O16*'Option 2'!$C$43/1000000</f>
        <v>-0.89627029102754208</v>
      </c>
      <c r="Q16" s="165"/>
      <c r="R16" s="91">
        <f>'Option 3'!C17/'Option 3'!$C$43</f>
        <v>1.4502870804688489E-2</v>
      </c>
      <c r="S16" s="106">
        <f t="shared" si="1"/>
        <v>-5.4823708186658698E-3</v>
      </c>
      <c r="T16" s="112">
        <f>S16*'Option 3'!$C$43/1000000</f>
        <v>-1.288357142386479</v>
      </c>
      <c r="U16" s="165"/>
      <c r="V16" s="91">
        <f>'Option 4'!C17/'Option 4'!$C$43</f>
        <v>1.7224040224618858E-2</v>
      </c>
      <c r="W16" s="106">
        <f t="shared" si="2"/>
        <v>-2.7612013987355008E-3</v>
      </c>
      <c r="X16" s="112">
        <f>W16*'Option 4'!$C$43/1000000</f>
        <v>-0.64888232870284268</v>
      </c>
      <c r="Y16" s="165"/>
      <c r="Z16" s="91">
        <f>'Option 5'!C17/'Option 5'!$C$43</f>
        <v>1.5063149698071763E-2</v>
      </c>
      <c r="AA16" s="106">
        <f t="shared" si="6"/>
        <v>-4.9220919252825953E-3</v>
      </c>
      <c r="AB16" s="112">
        <f>AA16*'Option 5'!$C$43/1000000</f>
        <v>-1.15669160244141</v>
      </c>
    </row>
    <row r="17" spans="1:28" x14ac:dyDescent="0.2">
      <c r="A17" s="78">
        <v>103631</v>
      </c>
      <c r="B17" s="19" t="s">
        <v>60</v>
      </c>
      <c r="C17" s="90">
        <v>3.4103033962739377E-3</v>
      </c>
      <c r="D17" s="90">
        <v>3.4527219750504121E-3</v>
      </c>
      <c r="E17" s="165"/>
      <c r="F17" s="91">
        <f>'Option 1'!C18/'Option 1'!$C$43</f>
        <v>4.1734647327134767E-3</v>
      </c>
      <c r="G17" s="106">
        <f t="shared" si="3"/>
        <v>7.6316133643953904E-4</v>
      </c>
      <c r="H17" s="112">
        <f>G17*'Option 1'!$C$43/1000000</f>
        <v>0.17934291406329167</v>
      </c>
      <c r="I17" s="165"/>
      <c r="J17" s="91">
        <f t="shared" si="4"/>
        <v>4.1734647327134767E-3</v>
      </c>
      <c r="K17" s="106">
        <f t="shared" si="0"/>
        <v>7.2074275766306458E-4</v>
      </c>
      <c r="L17" s="112">
        <f>K17*'Option 2'!$C$43/1000000</f>
        <v>0.1693745480508202</v>
      </c>
      <c r="M17" s="165"/>
      <c r="N17" s="91">
        <f>'Option 2'!C18/'Option 2'!$C$43</f>
        <v>8.0160999630119051E-3</v>
      </c>
      <c r="O17" s="106">
        <f t="shared" si="5"/>
        <v>4.5633779879614925E-3</v>
      </c>
      <c r="P17" s="112">
        <f>O17*'Option 2'!$C$43/1000000</f>
        <v>1.0723938271709508</v>
      </c>
      <c r="Q17" s="165"/>
      <c r="R17" s="91">
        <f>'Option 3'!C18/'Option 3'!$C$43</f>
        <v>7.0872887433065584E-3</v>
      </c>
      <c r="S17" s="106">
        <f t="shared" si="1"/>
        <v>3.6345667682561463E-3</v>
      </c>
      <c r="T17" s="112">
        <f>S17*'Option 3'!$C$43/1000000</f>
        <v>0.85412319054019414</v>
      </c>
      <c r="U17" s="165"/>
      <c r="V17" s="91">
        <f>'Option 4'!C18/'Option 4'!$C$43</f>
        <v>8.5379289583635345E-3</v>
      </c>
      <c r="W17" s="106">
        <f t="shared" si="2"/>
        <v>5.085206983313122E-3</v>
      </c>
      <c r="X17" s="112">
        <f>W17*'Option 4'!$C$43/1000000</f>
        <v>1.1950236410785837</v>
      </c>
      <c r="Y17" s="165"/>
      <c r="Z17" s="91">
        <f>'Option 5'!C18/'Option 5'!$C$43</f>
        <v>7.3076852071041519E-3</v>
      </c>
      <c r="AA17" s="106">
        <f t="shared" si="6"/>
        <v>3.8549632320537398E-3</v>
      </c>
      <c r="AB17" s="112">
        <f>AA17*'Option 5'!$C$43/1000000</f>
        <v>0.90591635953262906</v>
      </c>
    </row>
    <row r="18" spans="1:28" x14ac:dyDescent="0.2">
      <c r="A18" s="20">
        <v>11161</v>
      </c>
      <c r="B18" s="19" t="s">
        <v>59</v>
      </c>
      <c r="C18" s="90">
        <v>1.5853575399942782E-2</v>
      </c>
      <c r="D18" s="90">
        <v>1.9224284187157891E-2</v>
      </c>
      <c r="E18" s="165"/>
      <c r="F18" s="91">
        <f>'Option 1'!C19/'Option 1'!$C$43</f>
        <v>1.7156008232642638E-2</v>
      </c>
      <c r="G18" s="106">
        <f t="shared" si="3"/>
        <v>1.3024328326998562E-3</v>
      </c>
      <c r="H18" s="112">
        <f>G18*'Option 1'!$C$43/1000000</f>
        <v>0.30607171568446617</v>
      </c>
      <c r="I18" s="165"/>
      <c r="J18" s="91">
        <f t="shared" si="4"/>
        <v>1.7156008232642638E-2</v>
      </c>
      <c r="K18" s="106">
        <f t="shared" si="0"/>
        <v>-2.0682759545152529E-3</v>
      </c>
      <c r="L18" s="112">
        <f>K18*'Option 2'!$C$43/1000000</f>
        <v>-0.48604484931108444</v>
      </c>
      <c r="M18" s="165"/>
      <c r="N18" s="91">
        <f>'Option 2'!C19/'Option 2'!$C$43</f>
        <v>1.5118233945776542E-2</v>
      </c>
      <c r="O18" s="106">
        <f t="shared" si="5"/>
        <v>-4.1060502413813489E-3</v>
      </c>
      <c r="P18" s="112">
        <f>O18*'Option 2'!$C$43/1000000</f>
        <v>-0.96492180672461703</v>
      </c>
      <c r="Q18" s="165"/>
      <c r="R18" s="91">
        <f>'Option 3'!C19/'Option 3'!$C$43</f>
        <v>1.3925441422278743E-2</v>
      </c>
      <c r="S18" s="106">
        <f t="shared" si="1"/>
        <v>-5.2988427648791477E-3</v>
      </c>
      <c r="T18" s="112">
        <f>S18*'Option 3'!$C$43/1000000</f>
        <v>-1.2452280497465993</v>
      </c>
      <c r="U18" s="165"/>
      <c r="V18" s="91">
        <f>'Option 4'!C19/'Option 4'!$C$43</f>
        <v>1.6102394930272462E-2</v>
      </c>
      <c r="W18" s="106">
        <f t="shared" si="2"/>
        <v>-3.1218892568854288E-3</v>
      </c>
      <c r="X18" s="112">
        <f>W18*'Option 4'!$C$43/1000000</f>
        <v>-0.7336439753680758</v>
      </c>
      <c r="Y18" s="165"/>
      <c r="Z18" s="91">
        <f>'Option 5'!C19/'Option 5'!$C$43</f>
        <v>1.4946449221342405E-2</v>
      </c>
      <c r="AA18" s="106">
        <f t="shared" si="6"/>
        <v>-4.2778349658154861E-3</v>
      </c>
      <c r="AB18" s="112">
        <f>AA18*'Option 5'!$C$43/1000000</f>
        <v>-1.0052912169666395</v>
      </c>
    </row>
    <row r="19" spans="1:28" x14ac:dyDescent="0.2">
      <c r="A19" s="20">
        <v>3639</v>
      </c>
      <c r="B19" s="19" t="s">
        <v>58</v>
      </c>
      <c r="C19" s="90">
        <v>1.2218846702224728E-2</v>
      </c>
      <c r="D19" s="90">
        <v>1.296528221607569E-2</v>
      </c>
      <c r="E19" s="165"/>
      <c r="F19" s="91">
        <f>'Option 1'!C20/'Option 1'!$C$43</f>
        <v>1.046021612641905E-2</v>
      </c>
      <c r="G19" s="106">
        <f t="shared" si="3"/>
        <v>-1.7586305758056781E-3</v>
      </c>
      <c r="H19" s="112">
        <f>G19*'Option 1'!$C$43/1000000</f>
        <v>-0.41327818531433436</v>
      </c>
      <c r="I19" s="165"/>
      <c r="J19" s="91">
        <f t="shared" si="4"/>
        <v>1.046021612641905E-2</v>
      </c>
      <c r="K19" s="106">
        <f t="shared" si="0"/>
        <v>-2.50506608965664E-3</v>
      </c>
      <c r="L19" s="112">
        <f>K19*'Option 2'!$C$43/1000000</f>
        <v>-0.58869053106931035</v>
      </c>
      <c r="M19" s="165"/>
      <c r="N19" s="91">
        <f>'Option 2'!C20/'Option 2'!$C$43</f>
        <v>9.4532591956592218E-3</v>
      </c>
      <c r="O19" s="106">
        <f t="shared" si="5"/>
        <v>-3.5120230204164684E-3</v>
      </c>
      <c r="P19" s="112">
        <f>O19*'Option 2'!$C$43/1000000</f>
        <v>-0.82532540979787006</v>
      </c>
      <c r="Q19" s="165"/>
      <c r="R19" s="91">
        <f>'Option 3'!C20/'Option 3'!$C$43</f>
        <v>9.1179358521362181E-3</v>
      </c>
      <c r="S19" s="106">
        <f t="shared" si="1"/>
        <v>-3.8473463639394721E-3</v>
      </c>
      <c r="T19" s="112">
        <f>S19*'Option 3'!$C$43/1000000</f>
        <v>-0.90412639552577578</v>
      </c>
      <c r="U19" s="165"/>
      <c r="V19" s="91">
        <f>'Option 4'!C20/'Option 4'!$C$43</f>
        <v>1.0068643830535448E-2</v>
      </c>
      <c r="W19" s="106">
        <f t="shared" si="2"/>
        <v>-2.8966383855402421E-3</v>
      </c>
      <c r="X19" s="112">
        <f>W19*'Option 4'!$C$43/1000000</f>
        <v>-0.68071002060195684</v>
      </c>
      <c r="Y19" s="165"/>
      <c r="Z19" s="91">
        <f>'Option 5'!C20/'Option 5'!$C$43</f>
        <v>9.7864592643635215E-3</v>
      </c>
      <c r="AA19" s="106">
        <f t="shared" si="6"/>
        <v>-3.1788229517121687E-3</v>
      </c>
      <c r="AB19" s="112">
        <f>AA19*'Option 5'!$C$43/1000000</f>
        <v>-0.7470233936523597</v>
      </c>
    </row>
    <row r="20" spans="1:28" x14ac:dyDescent="0.2">
      <c r="A20" s="78">
        <v>103639</v>
      </c>
      <c r="B20" s="19" t="s">
        <v>57</v>
      </c>
      <c r="C20" s="90">
        <v>5.3182825130643008E-3</v>
      </c>
      <c r="D20" s="90">
        <v>5.939285915308113E-3</v>
      </c>
      <c r="E20" s="165"/>
      <c r="F20" s="91">
        <f>'Option 1'!C21/'Option 1'!$C$43</f>
        <v>5.0072576238691935E-3</v>
      </c>
      <c r="G20" s="106">
        <f t="shared" si="3"/>
        <v>-3.1102488919510732E-4</v>
      </c>
      <c r="H20" s="112">
        <f>G20*'Option 1'!$C$43/1000000</f>
        <v>-7.3090848960850233E-2</v>
      </c>
      <c r="I20" s="165"/>
      <c r="J20" s="91">
        <f t="shared" si="4"/>
        <v>5.0072576238691935E-3</v>
      </c>
      <c r="K20" s="106">
        <f t="shared" si="0"/>
        <v>-9.3202829143891955E-4</v>
      </c>
      <c r="L20" s="112">
        <f>K20*'Option 2'!$C$43/1000000</f>
        <v>-0.2190266484881461</v>
      </c>
      <c r="M20" s="165"/>
      <c r="N20" s="91">
        <f>'Option 2'!C21/'Option 2'!$C$43</f>
        <v>6.488641618333472E-3</v>
      </c>
      <c r="O20" s="106">
        <f t="shared" si="5"/>
        <v>5.4935570302535892E-4</v>
      </c>
      <c r="P20" s="112">
        <f>O20*'Option 2'!$C$43/1000000</f>
        <v>0.12909859021095935</v>
      </c>
      <c r="Q20" s="165"/>
      <c r="R20" s="91">
        <f>'Option 3'!C21/'Option 3'!$C$43</f>
        <v>5.8438272615906417E-3</v>
      </c>
      <c r="S20" s="106">
        <f t="shared" si="1"/>
        <v>-9.5458653717471302E-5</v>
      </c>
      <c r="T20" s="112">
        <f>S20*'Option 3'!$C$43/1000000</f>
        <v>-2.2432783623605752E-2</v>
      </c>
      <c r="U20" s="165"/>
      <c r="V20" s="91">
        <f>'Option 4'!C21/'Option 4'!$C$43</f>
        <v>6.9110367172612944E-3</v>
      </c>
      <c r="W20" s="106">
        <f t="shared" si="2"/>
        <v>9.7175080195318134E-4</v>
      </c>
      <c r="X20" s="112">
        <f>W20*'Option 4'!$C$43/1000000</f>
        <v>0.22836143845899762</v>
      </c>
      <c r="Y20" s="165"/>
      <c r="Z20" s="91">
        <f>'Option 5'!C21/'Option 5'!$C$43</f>
        <v>6.2722943406247882E-3</v>
      </c>
      <c r="AA20" s="106">
        <f t="shared" si="6"/>
        <v>3.330084253166752E-4</v>
      </c>
      <c r="AB20" s="112">
        <f>AA20*'Option 5'!$C$43/1000000</f>
        <v>7.8256979949418687E-2</v>
      </c>
    </row>
    <row r="21" spans="1:28" x14ac:dyDescent="0.2">
      <c r="A21" s="20">
        <v>9651</v>
      </c>
      <c r="B21" s="19" t="s">
        <v>56</v>
      </c>
      <c r="C21" s="90">
        <v>7.9499704462435775E-3</v>
      </c>
      <c r="D21" s="90">
        <v>1.0886031395541047E-2</v>
      </c>
      <c r="E21" s="165"/>
      <c r="F21" s="91">
        <f>'Option 1'!C22/'Option 1'!$C$43</f>
        <v>1.0193360022486849E-2</v>
      </c>
      <c r="G21" s="106">
        <f t="shared" si="3"/>
        <v>2.243389576243272E-3</v>
      </c>
      <c r="H21" s="112">
        <f>G21*'Option 1'!$C$43/1000000</f>
        <v>0.52719655041716884</v>
      </c>
      <c r="I21" s="165"/>
      <c r="J21" s="91">
        <f t="shared" si="4"/>
        <v>1.0193360022486849E-2</v>
      </c>
      <c r="K21" s="106">
        <f t="shared" si="0"/>
        <v>-6.9267137305419751E-4</v>
      </c>
      <c r="L21" s="112">
        <f>K21*'Option 2'!$C$43/1000000</f>
        <v>-0.16277777266773644</v>
      </c>
      <c r="M21" s="165"/>
      <c r="N21" s="91">
        <f>'Option 2'!C22/'Option 2'!$C$43</f>
        <v>8.9270264240002076E-3</v>
      </c>
      <c r="O21" s="106">
        <f t="shared" si="5"/>
        <v>-1.9590049715408394E-3</v>
      </c>
      <c r="P21" s="112">
        <f>O21*'Option 2'!$C$43/1000000</f>
        <v>-0.46036616831209726</v>
      </c>
      <c r="Q21" s="165"/>
      <c r="R21" s="91">
        <f>'Option 3'!C22/'Option 3'!$C$43</f>
        <v>8.2227728647617012E-3</v>
      </c>
      <c r="S21" s="106">
        <f t="shared" si="1"/>
        <v>-2.6632585307793458E-3</v>
      </c>
      <c r="T21" s="112">
        <f>S21*'Option 3'!$C$43/1000000</f>
        <v>-0.6258657547331461</v>
      </c>
      <c r="U21" s="165"/>
      <c r="V21" s="91">
        <f>'Option 4'!C22/'Option 4'!$C$43</f>
        <v>9.5081545601023408E-3</v>
      </c>
      <c r="W21" s="106">
        <f t="shared" si="2"/>
        <v>-1.3778768354387062E-3</v>
      </c>
      <c r="X21" s="112">
        <f>W21*'Option 4'!$C$43/1000000</f>
        <v>-0.32380105632809597</v>
      </c>
      <c r="Y21" s="165"/>
      <c r="Z21" s="91">
        <f>'Option 5'!C22/'Option 5'!$C$43</f>
        <v>8.4675349809502833E-3</v>
      </c>
      <c r="AA21" s="106">
        <f t="shared" si="6"/>
        <v>-2.4184964145907636E-3</v>
      </c>
      <c r="AB21" s="112">
        <f>AA21*'Option 5'!$C$43/1000000</f>
        <v>-0.56834665742882962</v>
      </c>
    </row>
    <row r="22" spans="1:28" x14ac:dyDescent="0.2">
      <c r="A22" s="20">
        <v>3665</v>
      </c>
      <c r="B22" s="19" t="s">
        <v>55</v>
      </c>
      <c r="C22" s="90">
        <v>1.1662894609296296E-2</v>
      </c>
      <c r="D22" s="90">
        <v>1.5183466872892367E-2</v>
      </c>
      <c r="E22" s="165"/>
      <c r="F22" s="91">
        <f>'Option 1'!C23/'Option 1'!$C$43</f>
        <v>1.4734289295521816E-2</v>
      </c>
      <c r="G22" s="106">
        <f t="shared" si="3"/>
        <v>3.0713946862255207E-3</v>
      </c>
      <c r="H22" s="112">
        <f>G22*'Option 1'!$C$43/1000000</f>
        <v>0.72177775126299737</v>
      </c>
      <c r="I22" s="165"/>
      <c r="J22" s="91">
        <f t="shared" si="4"/>
        <v>1.4734289295521816E-2</v>
      </c>
      <c r="K22" s="106">
        <f t="shared" si="0"/>
        <v>-4.4917757737055093E-4</v>
      </c>
      <c r="L22" s="112">
        <f>K22*'Option 2'!$C$43/1000000</f>
        <v>-0.10555673068207946</v>
      </c>
      <c r="M22" s="165"/>
      <c r="N22" s="91">
        <f>'Option 2'!C23/'Option 2'!$C$43</f>
        <v>1.3400907036852736E-2</v>
      </c>
      <c r="O22" s="106">
        <f t="shared" si="5"/>
        <v>-1.7825598360396312E-3</v>
      </c>
      <c r="P22" s="112">
        <f>O22*'Option 2'!$C$43/1000000</f>
        <v>-0.41890156146931334</v>
      </c>
      <c r="Q22" s="165"/>
      <c r="R22" s="91">
        <f>'Option 3'!C23/'Option 3'!$C$43</f>
        <v>1.21391342083783E-2</v>
      </c>
      <c r="S22" s="106">
        <f t="shared" si="1"/>
        <v>-3.0443326645140673E-3</v>
      </c>
      <c r="T22" s="112">
        <f>S22*'Option 3'!$C$43/1000000</f>
        <v>-0.71541817616080561</v>
      </c>
      <c r="U22" s="165"/>
      <c r="V22" s="91">
        <f>'Option 4'!C23/'Option 4'!$C$43</f>
        <v>1.4273274134083138E-2</v>
      </c>
      <c r="W22" s="106">
        <f t="shared" si="2"/>
        <v>-9.1019273880922971E-4</v>
      </c>
      <c r="X22" s="112">
        <f>W22*'Option 4'!$C$43/1000000</f>
        <v>-0.21389529362016899</v>
      </c>
      <c r="Y22" s="165"/>
      <c r="Z22" s="91">
        <f>'Option 5'!C23/'Option 5'!$C$43</f>
        <v>1.2557286845559023E-2</v>
      </c>
      <c r="AA22" s="106">
        <f t="shared" si="6"/>
        <v>-2.6261800273333444E-3</v>
      </c>
      <c r="AB22" s="112">
        <f>AA22*'Option 5'!$C$43/1000000</f>
        <v>-0.61715230642333607</v>
      </c>
    </row>
    <row r="23" spans="1:28" x14ac:dyDescent="0.2">
      <c r="A23" s="20">
        <v>3565</v>
      </c>
      <c r="B23" s="19" t="s">
        <v>54</v>
      </c>
      <c r="C23" s="90">
        <v>1.9162440349698294E-2</v>
      </c>
      <c r="D23" s="90">
        <v>1.411122580581306E-2</v>
      </c>
      <c r="E23" s="165"/>
      <c r="F23" s="91">
        <f>'Option 1'!C24/'Option 1'!$C$43</f>
        <v>1.4422878735686519E-2</v>
      </c>
      <c r="G23" s="106">
        <f t="shared" si="3"/>
        <v>-4.7395616140117752E-3</v>
      </c>
      <c r="H23" s="112">
        <f>G23*'Option 1'!$C$43/1000000</f>
        <v>-1.1137969792927671</v>
      </c>
      <c r="I23" s="165"/>
      <c r="J23" s="91">
        <f t="shared" si="4"/>
        <v>1.4422878735686519E-2</v>
      </c>
      <c r="K23" s="106">
        <f t="shared" si="0"/>
        <v>3.1165292987345855E-4</v>
      </c>
      <c r="L23" s="112">
        <f>K23*'Option 2'!$C$43/1000000</f>
        <v>7.3238438520262766E-2</v>
      </c>
      <c r="M23" s="165"/>
      <c r="N23" s="91">
        <f>'Option 2'!C24/'Option 2'!$C$43</f>
        <v>1.3373110760258031E-2</v>
      </c>
      <c r="O23" s="106">
        <f t="shared" si="5"/>
        <v>-7.3811504555502949E-4</v>
      </c>
      <c r="P23" s="112">
        <f>O23*'Option 2'!$C$43/1000000</f>
        <v>-0.17345703570543192</v>
      </c>
      <c r="Q23" s="165"/>
      <c r="R23" s="91">
        <f>'Option 3'!C24/'Option 3'!$C$43</f>
        <v>1.5165961398687018E-2</v>
      </c>
      <c r="S23" s="106">
        <f t="shared" si="1"/>
        <v>1.0547355928739576E-3</v>
      </c>
      <c r="T23" s="112">
        <f>S23*'Option 3'!$C$43/1000000</f>
        <v>0.24786286432537999</v>
      </c>
      <c r="U23" s="165"/>
      <c r="V23" s="91">
        <f>'Option 4'!C24/'Option 4'!$C$43</f>
        <v>1.4243668386154882E-2</v>
      </c>
      <c r="W23" s="106">
        <f t="shared" si="2"/>
        <v>1.3244258034182145E-4</v>
      </c>
      <c r="X23" s="112">
        <f>W23*'Option 4'!$C$43/1000000</f>
        <v>3.1124006380328039E-2</v>
      </c>
      <c r="Y23" s="165"/>
      <c r="Z23" s="91">
        <f>'Option 5'!C24/'Option 5'!$C$43</f>
        <v>1.6277923626583413E-2</v>
      </c>
      <c r="AA23" s="106">
        <f t="shared" si="6"/>
        <v>2.1666978207703531E-3</v>
      </c>
      <c r="AB23" s="112">
        <f>AA23*'Option 5'!$C$43/1000000</f>
        <v>0.50917398788103307</v>
      </c>
    </row>
    <row r="24" spans="1:28" x14ac:dyDescent="0.2">
      <c r="A24" s="20">
        <v>29269</v>
      </c>
      <c r="B24" s="19" t="s">
        <v>53</v>
      </c>
      <c r="C24" s="90">
        <v>2.4542258746219742E-3</v>
      </c>
      <c r="D24" s="90">
        <v>2.885126155730112E-3</v>
      </c>
      <c r="E24" s="165"/>
      <c r="F24" s="91">
        <f>'Option 1'!C25/'Option 1'!$C$43</f>
        <v>3.3848629449298724E-3</v>
      </c>
      <c r="G24" s="106">
        <f t="shared" si="3"/>
        <v>9.3063707030789818E-4</v>
      </c>
      <c r="H24" s="112">
        <f>G24*'Option 1'!$C$43/1000000</f>
        <v>0.21869971152235609</v>
      </c>
      <c r="I24" s="165"/>
      <c r="J24" s="91">
        <f t="shared" si="4"/>
        <v>3.3848629449298724E-3</v>
      </c>
      <c r="K24" s="106">
        <f t="shared" si="0"/>
        <v>4.9973678919976042E-4</v>
      </c>
      <c r="L24" s="112">
        <f>K24*'Option 2'!$C$43/1000000</f>
        <v>0.1174381454619437</v>
      </c>
      <c r="M24" s="165"/>
      <c r="N24" s="91">
        <f>'Option 2'!C25/'Option 2'!$C$43</f>
        <v>5.4641353710826361E-3</v>
      </c>
      <c r="O24" s="106">
        <f t="shared" si="5"/>
        <v>2.5790092153525242E-3</v>
      </c>
      <c r="P24" s="112">
        <f>O24*'Option 2'!$C$43/1000000</f>
        <v>0.60606716560784324</v>
      </c>
      <c r="Q24" s="165"/>
      <c r="R24" s="91">
        <f>'Option 3'!C25/'Option 3'!$C$43</f>
        <v>4.9856076112978868E-3</v>
      </c>
      <c r="S24" s="106">
        <f t="shared" si="1"/>
        <v>2.1004814555677749E-3</v>
      </c>
      <c r="T24" s="112">
        <f>S24*'Option 3'!$C$43/1000000</f>
        <v>0.49361314205842699</v>
      </c>
      <c r="U24" s="165"/>
      <c r="V24" s="91">
        <f>'Option 4'!C25/'Option 4'!$C$43</f>
        <v>5.8198375559748057E-3</v>
      </c>
      <c r="W24" s="106">
        <f t="shared" si="2"/>
        <v>2.9347114002446937E-3</v>
      </c>
      <c r="X24" s="112">
        <f>W24*'Option 4'!$C$43/1000000</f>
        <v>0.68965717905750301</v>
      </c>
      <c r="Y24" s="165"/>
      <c r="Z24" s="91">
        <f>'Option 5'!C25/'Option 5'!$C$43</f>
        <v>5.1238380850402998E-3</v>
      </c>
      <c r="AA24" s="106">
        <f t="shared" si="6"/>
        <v>2.2387119293101878E-3</v>
      </c>
      <c r="AB24" s="112">
        <f>AA24*'Option 5'!$C$43/1000000</f>
        <v>0.52609730338789418</v>
      </c>
    </row>
    <row r="25" spans="1:28" x14ac:dyDescent="0.2">
      <c r="A25" s="20">
        <v>3652</v>
      </c>
      <c r="B25" s="19" t="s">
        <v>52</v>
      </c>
      <c r="C25" s="90">
        <v>7.5244280429578134E-2</v>
      </c>
      <c r="D25" s="90">
        <v>6.680079885949769E-2</v>
      </c>
      <c r="E25" s="165"/>
      <c r="F25" s="91">
        <f>'Option 1'!C26/'Option 1'!$C$43</f>
        <v>6.2490444003614753E-2</v>
      </c>
      <c r="G25" s="106">
        <f t="shared" si="3"/>
        <v>-1.275383642596338E-2</v>
      </c>
      <c r="H25" s="112">
        <f>G25*'Option 1'!$C$43/1000000</f>
        <v>-2.9971515601013947</v>
      </c>
      <c r="I25" s="165"/>
      <c r="J25" s="91">
        <f t="shared" si="4"/>
        <v>6.2490444003614753E-2</v>
      </c>
      <c r="K25" s="106">
        <f t="shared" si="0"/>
        <v>-4.3103548558829363E-3</v>
      </c>
      <c r="L25" s="112">
        <f>K25*'Option 2'!$C$43/1000000</f>
        <v>-1.01293339113249</v>
      </c>
      <c r="M25" s="165"/>
      <c r="N25" s="91">
        <f>'Option 2'!C26/'Option 2'!$C$43</f>
        <v>7.098330964466168E-2</v>
      </c>
      <c r="O25" s="106">
        <f t="shared" si="5"/>
        <v>4.1825107851639898E-3</v>
      </c>
      <c r="P25" s="112">
        <f>O25*'Option 2'!$C$43/1000000</f>
        <v>0.98289003451353751</v>
      </c>
      <c r="Q25" s="165"/>
      <c r="R25" s="91">
        <f>'Option 3'!C26/'Option 3'!$C$43</f>
        <v>7.9747758986749753E-2</v>
      </c>
      <c r="S25" s="106">
        <f t="shared" si="1"/>
        <v>1.2946960127252063E-2</v>
      </c>
      <c r="T25" s="112">
        <f>S25*'Option 3'!$C$43/1000000</f>
        <v>3.0425356299042341</v>
      </c>
      <c r="U25" s="165"/>
      <c r="V25" s="91">
        <f>'Option 4'!C26/'Option 4'!$C$43</f>
        <v>6.0106622794066526E-2</v>
      </c>
      <c r="W25" s="106">
        <f t="shared" si="2"/>
        <v>-6.6941760654311636E-3</v>
      </c>
      <c r="X25" s="112">
        <f>W25*'Option 4'!$C$43/1000000</f>
        <v>-1.5731313753763234</v>
      </c>
      <c r="Y25" s="165"/>
      <c r="Z25" s="91">
        <f>'Option 5'!C26/'Option 5'!$C$43</f>
        <v>7.0009482242783194E-2</v>
      </c>
      <c r="AA25" s="106">
        <f t="shared" si="6"/>
        <v>3.2086833832855044E-3</v>
      </c>
      <c r="AB25" s="112">
        <f>AA25*'Option 5'!$C$43/1000000</f>
        <v>0.75404059507209364</v>
      </c>
    </row>
    <row r="26" spans="1:28" x14ac:dyDescent="0.2">
      <c r="A26" s="20">
        <v>11711</v>
      </c>
      <c r="B26" s="19" t="s">
        <v>51</v>
      </c>
      <c r="C26" s="90">
        <v>1.3930357361501937E-2</v>
      </c>
      <c r="D26" s="90">
        <v>1.0972897764284933E-2</v>
      </c>
      <c r="E26" s="165"/>
      <c r="F26" s="91">
        <f>'Option 1'!C27/'Option 1'!$C$43</f>
        <v>1.1775733899144679E-2</v>
      </c>
      <c r="G26" s="106">
        <f t="shared" si="3"/>
        <v>-2.154623462357258E-3</v>
      </c>
      <c r="H26" s="112">
        <f>G26*'Option 1'!$C$43/1000000</f>
        <v>-0.5063365136539556</v>
      </c>
      <c r="I26" s="165"/>
      <c r="J26" s="91">
        <f t="shared" si="4"/>
        <v>1.1775733899144679E-2</v>
      </c>
      <c r="K26" s="106">
        <f t="shared" si="0"/>
        <v>8.0283613485974611E-4</v>
      </c>
      <c r="L26" s="112">
        <f>K26*'Option 2'!$C$43/1000000</f>
        <v>0.18866649169204036</v>
      </c>
      <c r="M26" s="165"/>
      <c r="N26" s="91">
        <f>'Option 2'!C27/'Option 2'!$C$43</f>
        <v>1.2163441980740585E-2</v>
      </c>
      <c r="O26" s="106">
        <f t="shared" si="5"/>
        <v>1.190544216455652E-3</v>
      </c>
      <c r="P26" s="112">
        <f>O26*'Option 2'!$C$43/1000000</f>
        <v>0.27977789086707822</v>
      </c>
      <c r="Q26" s="165"/>
      <c r="R26" s="91">
        <f>'Option 3'!C27/'Option 3'!$C$43</f>
        <v>1.456802556550456E-2</v>
      </c>
      <c r="S26" s="106">
        <f t="shared" si="1"/>
        <v>3.5951278012196271E-3</v>
      </c>
      <c r="T26" s="112">
        <f>S26*'Option 3'!$C$43/1000000</f>
        <v>0.84485503328661216</v>
      </c>
      <c r="U26" s="165"/>
      <c r="V26" s="91">
        <f>'Option 4'!C27/'Option 4'!$C$43</f>
        <v>1.2955253053221628E-2</v>
      </c>
      <c r="W26" s="106">
        <f t="shared" si="2"/>
        <v>1.9823552889366956E-3</v>
      </c>
      <c r="X26" s="112">
        <f>W26*'Option 4'!$C$43/1000000</f>
        <v>0.46585349290012346</v>
      </c>
      <c r="Y26" s="165"/>
      <c r="Z26" s="91">
        <f>'Option 5'!C27/'Option 5'!$C$43</f>
        <v>1.4118812372060403E-2</v>
      </c>
      <c r="AA26" s="106">
        <f t="shared" si="6"/>
        <v>3.1459146077754702E-3</v>
      </c>
      <c r="AB26" s="112">
        <f>AA26*'Option 5'!$C$43/1000000</f>
        <v>0.73928993282723554</v>
      </c>
    </row>
    <row r="27" spans="1:28" x14ac:dyDescent="0.2">
      <c r="A27" s="20">
        <v>12826</v>
      </c>
      <c r="B27" s="19" t="s">
        <v>50</v>
      </c>
      <c r="C27" s="90">
        <v>1.4249439962911156E-2</v>
      </c>
      <c r="D27" s="90">
        <v>2.262163232206927E-2</v>
      </c>
      <c r="E27" s="165"/>
      <c r="F27" s="91">
        <f>'Option 1'!C28/'Option 1'!$C$43</f>
        <v>2.2895667000131407E-2</v>
      </c>
      <c r="G27" s="106">
        <f t="shared" si="3"/>
        <v>8.6462270372202506E-3</v>
      </c>
      <c r="H27" s="112">
        <f>G27*'Option 1'!$C$43/1000000</f>
        <v>2.031863353746759</v>
      </c>
      <c r="I27" s="165"/>
      <c r="J27" s="91">
        <f t="shared" si="4"/>
        <v>2.2895667000131407E-2</v>
      </c>
      <c r="K27" s="106">
        <f t="shared" si="0"/>
        <v>2.7403467806213708E-4</v>
      </c>
      <c r="L27" s="112">
        <f>K27*'Option 2'!$C$43/1000000</f>
        <v>6.439814934460221E-2</v>
      </c>
      <c r="M27" s="165"/>
      <c r="N27" s="91">
        <f>'Option 2'!C28/'Option 2'!$C$43</f>
        <v>2.1135452770328821E-2</v>
      </c>
      <c r="O27" s="106">
        <f t="shared" si="5"/>
        <v>-1.4861795517404491E-3</v>
      </c>
      <c r="P27" s="112">
        <f>O27*'Option 2'!$C$43/1000000</f>
        <v>-0.34925219465900553</v>
      </c>
      <c r="Q27" s="165"/>
      <c r="R27" s="91">
        <f>'Option 3'!C28/'Option 3'!$C$43</f>
        <v>1.7574626595474704E-2</v>
      </c>
      <c r="S27" s="106">
        <f t="shared" si="1"/>
        <v>-5.047005726594566E-3</v>
      </c>
      <c r="T27" s="112">
        <f>S27*'Option 3'!$C$43/1000000</f>
        <v>-1.1860463457497228</v>
      </c>
      <c r="U27" s="165"/>
      <c r="V27" s="91">
        <f>'Option 4'!C28/'Option 4'!$C$43</f>
        <v>2.2511320353858617E-2</v>
      </c>
      <c r="W27" s="106">
        <f t="shared" si="2"/>
        <v>-1.1031196821065237E-4</v>
      </c>
      <c r="X27" s="112">
        <f>W27*'Option 4'!$C$43/1000000</f>
        <v>-2.5923312529503306E-2</v>
      </c>
      <c r="Y27" s="165"/>
      <c r="Z27" s="91">
        <f>'Option 5'!C28/'Option 5'!$C$43</f>
        <v>1.8863191192852836E-2</v>
      </c>
      <c r="AA27" s="106">
        <f t="shared" si="6"/>
        <v>-3.7584411292164339E-3</v>
      </c>
      <c r="AB27" s="112">
        <f>AA27*'Option 5'!$C$43/1000000</f>
        <v>-0.88323366536586212</v>
      </c>
    </row>
    <row r="28" spans="1:28" x14ac:dyDescent="0.2">
      <c r="A28" s="20">
        <v>13231</v>
      </c>
      <c r="B28" s="19" t="s">
        <v>49</v>
      </c>
      <c r="C28" s="90">
        <v>6.0148641883659495E-3</v>
      </c>
      <c r="D28" s="90">
        <v>5.6229417841748381E-3</v>
      </c>
      <c r="E28" s="165"/>
      <c r="F28" s="91">
        <f>'Option 1'!C29/'Option 1'!$C$43</f>
        <v>5.6779350210933461E-3</v>
      </c>
      <c r="G28" s="106">
        <f t="shared" si="3"/>
        <v>-3.3692916727260346E-4</v>
      </c>
      <c r="H28" s="112">
        <f>G28*'Option 1'!$C$43/1000000</f>
        <v>-7.9178354309061824E-2</v>
      </c>
      <c r="I28" s="165"/>
      <c r="J28" s="91">
        <f t="shared" si="4"/>
        <v>5.6779350210933461E-3</v>
      </c>
      <c r="K28" s="106">
        <f t="shared" si="0"/>
        <v>5.4993236918507958E-5</v>
      </c>
      <c r="L28" s="112">
        <f>K28*'Option 2'!$C$43/1000000</f>
        <v>1.2923410675849371E-2</v>
      </c>
      <c r="M28" s="165"/>
      <c r="N28" s="91">
        <f>'Option 2'!C29/'Option 2'!$C$43</f>
        <v>7.8125611610629416E-3</v>
      </c>
      <c r="O28" s="106">
        <f t="shared" si="5"/>
        <v>2.1896193768881035E-3</v>
      </c>
      <c r="P28" s="112">
        <f>O28*'Option 2'!$C$43/1000000</f>
        <v>0.51456055356870434</v>
      </c>
      <c r="Q28" s="165"/>
      <c r="R28" s="91">
        <f>'Option 3'!C29/'Option 3'!$C$43</f>
        <v>8.1464931005882663E-3</v>
      </c>
      <c r="S28" s="106">
        <f t="shared" si="1"/>
        <v>2.5235513164134282E-3</v>
      </c>
      <c r="T28" s="112">
        <f>S28*'Option 3'!$C$43/1000000</f>
        <v>0.59303455935715543</v>
      </c>
      <c r="U28" s="165"/>
      <c r="V28" s="91">
        <f>'Option 4'!C29/'Option 4'!$C$43</f>
        <v>8.3211402656913763E-3</v>
      </c>
      <c r="W28" s="106">
        <f t="shared" si="2"/>
        <v>2.6981984815165382E-3</v>
      </c>
      <c r="X28" s="112">
        <f>W28*'Option 4'!$C$43/1000000</f>
        <v>0.63407664315638645</v>
      </c>
      <c r="Y28" s="165"/>
      <c r="Z28" s="91">
        <f>'Option 5'!C29/'Option 5'!$C$43</f>
        <v>8.1840399837791733E-3</v>
      </c>
      <c r="AA28" s="106">
        <f t="shared" si="6"/>
        <v>2.5610981996043352E-3</v>
      </c>
      <c r="AB28" s="112">
        <f>AA28*'Option 5'!$C$43/1000000</f>
        <v>0.60185807690701887</v>
      </c>
    </row>
    <row r="29" spans="1:28" x14ac:dyDescent="0.2">
      <c r="A29" s="20">
        <v>3592</v>
      </c>
      <c r="B29" s="19" t="s">
        <v>48</v>
      </c>
      <c r="C29" s="90">
        <v>7.2327718695926546E-3</v>
      </c>
      <c r="D29" s="90">
        <v>1.0364568727977754E-2</v>
      </c>
      <c r="E29" s="165"/>
      <c r="F29" s="91">
        <f>'Option 1'!C30/'Option 1'!$C$43</f>
        <v>1.2529718990393214E-2</v>
      </c>
      <c r="G29" s="106">
        <f t="shared" si="3"/>
        <v>5.2969471208005594E-3</v>
      </c>
      <c r="H29" s="112">
        <f>G29*'Option 1'!$C$43/1000000</f>
        <v>1.2447825733881315</v>
      </c>
      <c r="I29" s="165"/>
      <c r="J29" s="91">
        <f t="shared" si="4"/>
        <v>1.2529718990393214E-2</v>
      </c>
      <c r="K29" s="106">
        <f t="shared" si="0"/>
        <v>2.1651502624154603E-3</v>
      </c>
      <c r="L29" s="112">
        <f>K29*'Option 2'!$C$43/1000000</f>
        <v>0.50881031166763313</v>
      </c>
      <c r="M29" s="165"/>
      <c r="N29" s="91">
        <f>'Option 2'!C30/'Option 2'!$C$43</f>
        <v>1.1498226532241328E-2</v>
      </c>
      <c r="O29" s="106">
        <f t="shared" si="5"/>
        <v>1.1336578042635739E-3</v>
      </c>
      <c r="P29" s="112">
        <f>O29*'Option 2'!$C$43/1000000</f>
        <v>0.26640958400193987</v>
      </c>
      <c r="Q29" s="165"/>
      <c r="R29" s="91">
        <f>'Option 3'!C30/'Option 3'!$C$43</f>
        <v>1.0309357577812409E-2</v>
      </c>
      <c r="S29" s="106">
        <f t="shared" si="1"/>
        <v>-5.5211150165344891E-5</v>
      </c>
      <c r="T29" s="112">
        <f>S29*'Option 3'!$C$43/1000000</f>
        <v>-1.2974620288856046E-2</v>
      </c>
      <c r="U29" s="165"/>
      <c r="V29" s="91">
        <f>'Option 4'!C30/'Option 4'!$C$43</f>
        <v>1.2246733665052892E-2</v>
      </c>
      <c r="W29" s="106">
        <f t="shared" si="2"/>
        <v>1.8821649370751384E-3</v>
      </c>
      <c r="X29" s="112">
        <f>W29*'Option 4'!$C$43/1000000</f>
        <v>0.44230876021265753</v>
      </c>
      <c r="Y29" s="165"/>
      <c r="Z29" s="91">
        <f>'Option 5'!C30/'Option 5'!$C$43</f>
        <v>1.0398676224479987E-2</v>
      </c>
      <c r="AA29" s="106">
        <f t="shared" si="6"/>
        <v>3.4107496502233658E-5</v>
      </c>
      <c r="AB29" s="112">
        <f>AA29*'Option 5'!$C$43/1000000</f>
        <v>8.0152616780249115E-3</v>
      </c>
    </row>
    <row r="30" spans="1:28" x14ac:dyDescent="0.2">
      <c r="A30" s="20">
        <v>3594</v>
      </c>
      <c r="B30" s="19" t="s">
        <v>47</v>
      </c>
      <c r="C30" s="90">
        <v>5.5760590073661319E-2</v>
      </c>
      <c r="D30" s="90">
        <v>5.9972196847224775E-2</v>
      </c>
      <c r="E30" s="165"/>
      <c r="F30" s="91">
        <f>'Option 1'!C31/'Option 1'!$C$43</f>
        <v>6.6143060042658672E-2</v>
      </c>
      <c r="G30" s="106">
        <f t="shared" si="3"/>
        <v>1.0382469968997353E-2</v>
      </c>
      <c r="H30" s="112">
        <f>G30*'Option 1'!$C$43/1000000</f>
        <v>2.4398804427143777</v>
      </c>
      <c r="I30" s="165"/>
      <c r="J30" s="91">
        <f t="shared" si="4"/>
        <v>6.6143060042658672E-2</v>
      </c>
      <c r="K30" s="106">
        <f t="shared" si="0"/>
        <v>6.1708631954338969E-3</v>
      </c>
      <c r="L30" s="112">
        <f>K30*'Option 2'!$C$43/1000000</f>
        <v>1.4501528509269657</v>
      </c>
      <c r="M30" s="165"/>
      <c r="N30" s="91">
        <f>'Option 2'!C31/'Option 2'!$C$43</f>
        <v>7.7045583637840392E-2</v>
      </c>
      <c r="O30" s="106">
        <f t="shared" si="5"/>
        <v>1.7073386790615618E-2</v>
      </c>
      <c r="P30" s="112">
        <f>O30*'Option 2'!$C$43/1000000</f>
        <v>4.0122458957946705</v>
      </c>
      <c r="Q30" s="165"/>
      <c r="R30" s="91">
        <f>'Option 3'!C31/'Option 3'!$C$43</f>
        <v>7.3738390667250103E-2</v>
      </c>
      <c r="S30" s="106">
        <f t="shared" si="1"/>
        <v>1.3766193820025328E-2</v>
      </c>
      <c r="T30" s="112">
        <f>S30*'Option 3'!$C$43/1000000</f>
        <v>3.2350555477059513</v>
      </c>
      <c r="U30" s="165"/>
      <c r="V30" s="91">
        <f>'Option 4'!C31/'Option 4'!$C$43</f>
        <v>6.5617093535176654E-2</v>
      </c>
      <c r="W30" s="106">
        <f t="shared" si="2"/>
        <v>5.6448966879518794E-3</v>
      </c>
      <c r="X30" s="112">
        <f>W30*'Option 4'!$C$43/1000000</f>
        <v>1.3265507216686916</v>
      </c>
      <c r="Y30" s="165"/>
      <c r="Z30" s="91">
        <f>'Option 5'!C31/'Option 5'!$C$43</f>
        <v>6.2607703419844812E-2</v>
      </c>
      <c r="AA30" s="106">
        <f t="shared" si="6"/>
        <v>2.6355065726200375E-3</v>
      </c>
      <c r="AB30" s="112">
        <f>AA30*'Option 5'!$C$43/1000000</f>
        <v>0.6193440445657088</v>
      </c>
    </row>
    <row r="31" spans="1:28" x14ac:dyDescent="0.2">
      <c r="A31" s="78">
        <v>113594</v>
      </c>
      <c r="B31" s="19" t="s">
        <v>46</v>
      </c>
      <c r="C31" s="90">
        <v>2.1483213132707842E-3</v>
      </c>
      <c r="D31" s="90">
        <v>2.8602942419239919E-3</v>
      </c>
      <c r="E31" s="165"/>
      <c r="F31" s="91">
        <f>'Option 1'!C32/'Option 1'!$C$43</f>
        <v>3.5582298188174665E-3</v>
      </c>
      <c r="G31" s="106">
        <f t="shared" si="3"/>
        <v>1.4099085055466823E-3</v>
      </c>
      <c r="H31" s="112">
        <f>G31*'Option 1'!$C$43/1000000</f>
        <v>0.33132849880347032</v>
      </c>
      <c r="I31" s="165"/>
      <c r="J31" s="91">
        <f t="shared" si="4"/>
        <v>3.5582298188174665E-3</v>
      </c>
      <c r="K31" s="106">
        <f t="shared" si="0"/>
        <v>6.9793557689347462E-4</v>
      </c>
      <c r="L31" s="112">
        <f>K31*'Option 2'!$C$43/1000000</f>
        <v>0.16401486056996656</v>
      </c>
      <c r="M31" s="165"/>
      <c r="N31" s="91">
        <f>'Option 2'!C32/'Option 2'!$C$43</f>
        <v>5.0801053023291484E-3</v>
      </c>
      <c r="O31" s="106">
        <f t="shared" si="5"/>
        <v>2.2198110604051565E-3</v>
      </c>
      <c r="P31" s="112">
        <f>O31*'Option 2'!$C$43/1000000</f>
        <v>0.52165559919521176</v>
      </c>
      <c r="Q31" s="165"/>
      <c r="R31" s="91">
        <f>'Option 3'!C32/'Option 3'!$C$43</f>
        <v>3.8284749040832719E-3</v>
      </c>
      <c r="S31" s="106">
        <f t="shared" si="1"/>
        <v>9.6818066215928001E-4</v>
      </c>
      <c r="T31" s="112">
        <f>S31*'Option 3'!$C$43/1000000</f>
        <v>0.22752245560743076</v>
      </c>
      <c r="U31" s="165"/>
      <c r="V31" s="91">
        <f>'Option 4'!C32/'Option 4'!$C$43</f>
        <v>6.0111109158447022E-3</v>
      </c>
      <c r="W31" s="106">
        <f t="shared" si="2"/>
        <v>3.1508166739207103E-3</v>
      </c>
      <c r="X31" s="112">
        <f>W31*'Option 4'!$C$43/1000000</f>
        <v>0.74044191837136697</v>
      </c>
      <c r="Y31" s="165"/>
      <c r="Z31" s="91">
        <f>'Option 5'!C32/'Option 5'!$C$43</f>
        <v>5.2010657603468102E-3</v>
      </c>
      <c r="AA31" s="106">
        <f t="shared" si="6"/>
        <v>2.3407715184228183E-3</v>
      </c>
      <c r="AB31" s="112">
        <f>AA31*'Option 5'!$C$43/1000000</f>
        <v>0.5500813068293624</v>
      </c>
    </row>
    <row r="32" spans="1:28" x14ac:dyDescent="0.2">
      <c r="A32" s="20">
        <v>3624</v>
      </c>
      <c r="B32" s="19" t="s">
        <v>45</v>
      </c>
      <c r="C32" s="90">
        <v>1.754250809670805E-2</v>
      </c>
      <c r="D32" s="90">
        <v>2.3435865298122357E-2</v>
      </c>
      <c r="E32" s="165"/>
      <c r="F32" s="91">
        <f>'Option 1'!C33/'Option 1'!$C$43</f>
        <v>2.3454029022344738E-2</v>
      </c>
      <c r="G32" s="106">
        <f t="shared" si="3"/>
        <v>5.9115209256366888E-3</v>
      </c>
      <c r="H32" s="112">
        <f>G32*'Option 1'!$C$43/1000000</f>
        <v>1.3892074175246218</v>
      </c>
      <c r="I32" s="165"/>
      <c r="J32" s="91">
        <f t="shared" si="4"/>
        <v>2.3454029022344738E-2</v>
      </c>
      <c r="K32" s="106">
        <f t="shared" si="0"/>
        <v>1.8163724222381578E-5</v>
      </c>
      <c r="L32" s="112">
        <f>K32*'Option 2'!$C$43/1000000</f>
        <v>4.2684751922596707E-3</v>
      </c>
      <c r="M32" s="165"/>
      <c r="N32" s="91">
        <f>'Option 2'!C33/'Option 2'!$C$43</f>
        <v>2.0168644452287145E-2</v>
      </c>
      <c r="O32" s="106">
        <f t="shared" si="5"/>
        <v>-3.2672208458352121E-3</v>
      </c>
      <c r="P32" s="112">
        <f>O32*'Option 2'!$C$43/1000000</f>
        <v>-0.76779689877127488</v>
      </c>
      <c r="Q32" s="165"/>
      <c r="R32" s="91">
        <f>'Option 3'!C33/'Option 3'!$C$43</f>
        <v>1.8186978358179669E-2</v>
      </c>
      <c r="S32" s="106">
        <f t="shared" si="1"/>
        <v>-5.2488869399426874E-3</v>
      </c>
      <c r="T32" s="112">
        <f>S32*'Option 3'!$C$43/1000000</f>
        <v>-1.2334884308865313</v>
      </c>
      <c r="U32" s="165"/>
      <c r="V32" s="91">
        <f>'Option 4'!C33/'Option 4'!$C$43</f>
        <v>2.1481575119407566E-2</v>
      </c>
      <c r="W32" s="106">
        <f t="shared" si="2"/>
        <v>-1.9542901787147904E-3</v>
      </c>
      <c r="X32" s="112">
        <f>W32*'Option 4'!$C$43/1000000</f>
        <v>-0.45925819199797574</v>
      </c>
      <c r="Y32" s="165"/>
      <c r="Z32" s="91">
        <f>'Option 5'!C33/'Option 5'!$C$43</f>
        <v>1.8803010745510905E-2</v>
      </c>
      <c r="AA32" s="106">
        <f t="shared" si="6"/>
        <v>-4.6328545526114519E-3</v>
      </c>
      <c r="AB32" s="112">
        <f>AA32*'Option 5'!$C$43/1000000</f>
        <v>-1.0887208198636913</v>
      </c>
    </row>
    <row r="33" spans="1:28" x14ac:dyDescent="0.2">
      <c r="A33" s="20">
        <v>3642</v>
      </c>
      <c r="B33" s="19" t="s">
        <v>44</v>
      </c>
      <c r="C33" s="90">
        <v>1.6527250796395665E-2</v>
      </c>
      <c r="D33" s="90">
        <v>1.3524899052819646E-2</v>
      </c>
      <c r="E33" s="165"/>
      <c r="F33" s="91">
        <f>'Option 1'!C34/'Option 1'!$C$43</f>
        <v>1.0822736863908104E-2</v>
      </c>
      <c r="G33" s="106">
        <f t="shared" si="3"/>
        <v>-5.7045139324875607E-3</v>
      </c>
      <c r="H33" s="112">
        <f>G33*'Option 1'!$C$43/1000000</f>
        <v>-1.3405607741345769</v>
      </c>
      <c r="I33" s="165"/>
      <c r="J33" s="91">
        <f t="shared" si="4"/>
        <v>1.0822736863908104E-2</v>
      </c>
      <c r="K33" s="106">
        <f t="shared" si="0"/>
        <v>-2.7021621889115419E-3</v>
      </c>
      <c r="L33" s="112">
        <f>K33*'Option 2'!$C$43/1000000</f>
        <v>-0.63500811439421234</v>
      </c>
      <c r="M33" s="165"/>
      <c r="N33" s="91">
        <f>'Option 2'!C34/'Option 2'!$C$43</f>
        <v>9.0065930674453239E-3</v>
      </c>
      <c r="O33" s="106">
        <f t="shared" si="5"/>
        <v>-4.5183059853743223E-3</v>
      </c>
      <c r="P33" s="112">
        <f>O33*'Option 2'!$C$43/1000000</f>
        <v>-1.0618019065629658</v>
      </c>
      <c r="Q33" s="165"/>
      <c r="R33" s="91">
        <f>'Option 3'!C34/'Option 3'!$C$43</f>
        <v>1.1734481684366443E-2</v>
      </c>
      <c r="S33" s="106">
        <f t="shared" si="1"/>
        <v>-1.7904173684532027E-3</v>
      </c>
      <c r="T33" s="112">
        <f>S33*'Option 3'!$C$43/1000000</f>
        <v>-0.42074808158650256</v>
      </c>
      <c r="U33" s="165"/>
      <c r="V33" s="91">
        <f>'Option 4'!C34/'Option 4'!$C$43</f>
        <v>9.5929008023304136E-3</v>
      </c>
      <c r="W33" s="106">
        <f t="shared" si="2"/>
        <v>-3.9319982504892326E-3</v>
      </c>
      <c r="X33" s="112">
        <f>W33*'Option 4'!$C$43/1000000</f>
        <v>-0.92401958886496971</v>
      </c>
      <c r="Y33" s="165"/>
      <c r="Z33" s="91">
        <f>'Option 5'!C34/'Option 5'!$C$43</f>
        <v>1.2594849191175952E-2</v>
      </c>
      <c r="AA33" s="106">
        <f t="shared" si="6"/>
        <v>-9.3004986164369439E-4</v>
      </c>
      <c r="AB33" s="112">
        <f>AA33*'Option 5'!$C$43/1000000</f>
        <v>-0.21856171748626821</v>
      </c>
    </row>
    <row r="34" spans="1:28" x14ac:dyDescent="0.2">
      <c r="A34" s="20">
        <v>3644</v>
      </c>
      <c r="B34" s="19" t="s">
        <v>43</v>
      </c>
      <c r="C34" s="90">
        <v>6.7439593434002146E-2</v>
      </c>
      <c r="D34" s="90">
        <v>6.3345925146063756E-2</v>
      </c>
      <c r="E34" s="165"/>
      <c r="F34" s="91">
        <f>'Option 1'!C35/'Option 1'!$C$43</f>
        <v>5.9825636011374535E-2</v>
      </c>
      <c r="G34" s="106">
        <f t="shared" si="3"/>
        <v>-7.613957422627611E-3</v>
      </c>
      <c r="H34" s="112">
        <f>G34*'Option 1'!$C$43/1000000</f>
        <v>-1.7892799943174884</v>
      </c>
      <c r="I34" s="165"/>
      <c r="J34" s="91">
        <f t="shared" si="4"/>
        <v>5.9825636011374535E-2</v>
      </c>
      <c r="K34" s="106">
        <f t="shared" si="0"/>
        <v>-3.5202891346892209E-3</v>
      </c>
      <c r="L34" s="112">
        <f>K34*'Option 2'!$C$43/1000000</f>
        <v>-0.8272679466519669</v>
      </c>
      <c r="M34" s="165"/>
      <c r="N34" s="91">
        <f>'Option 2'!C35/'Option 2'!$C$43</f>
        <v>6.917084162506229E-2</v>
      </c>
      <c r="O34" s="106">
        <f t="shared" si="5"/>
        <v>5.8249164789985347E-3</v>
      </c>
      <c r="P34" s="112">
        <f>O34*'Option 2'!$C$43/1000000</f>
        <v>1.3688553725646557</v>
      </c>
      <c r="Q34" s="165"/>
      <c r="R34" s="91">
        <f>'Option 3'!C35/'Option 3'!$C$43</f>
        <v>6.9758232990023483E-2</v>
      </c>
      <c r="S34" s="106">
        <f t="shared" si="1"/>
        <v>6.4123078439597275E-3</v>
      </c>
      <c r="T34" s="112">
        <f>S34*'Option 3'!$C$43/1000000</f>
        <v>1.5068923433305357</v>
      </c>
      <c r="U34" s="165"/>
      <c r="V34" s="91">
        <f>'Option 4'!C35/'Option 4'!$C$43</f>
        <v>5.9530872654467971E-2</v>
      </c>
      <c r="W34" s="106">
        <f t="shared" si="2"/>
        <v>-3.8150524915957842E-3</v>
      </c>
      <c r="X34" s="112">
        <f>W34*'Option 4'!$C$43/1000000</f>
        <v>-0.89653733552500936</v>
      </c>
      <c r="Y34" s="165"/>
      <c r="Z34" s="91">
        <f>'Option 5'!C35/'Option 5'!$C$43</f>
        <v>6.0649910095344553E-2</v>
      </c>
      <c r="AA34" s="106">
        <f t="shared" si="6"/>
        <v>-2.6960150507192027E-3</v>
      </c>
      <c r="AB34" s="112">
        <f>AA34*'Option 5'!$C$43/1000000</f>
        <v>-0.63356353691901268</v>
      </c>
    </row>
    <row r="35" spans="1:28" x14ac:dyDescent="0.2">
      <c r="A35" s="20">
        <v>3541</v>
      </c>
      <c r="B35" s="19" t="s">
        <v>42</v>
      </c>
      <c r="C35" s="90">
        <v>9.4185548193114043E-3</v>
      </c>
      <c r="D35" s="90">
        <v>1.2561069385453944E-2</v>
      </c>
      <c r="E35" s="165"/>
      <c r="F35" s="91">
        <f>'Option 1'!C36/'Option 1'!$C$43</f>
        <v>1.2285369199892692E-2</v>
      </c>
      <c r="G35" s="106">
        <f t="shared" si="3"/>
        <v>2.8668143805812875E-3</v>
      </c>
      <c r="H35" s="112">
        <f>G35*'Option 1'!$C$43/1000000</f>
        <v>0.67370137943660258</v>
      </c>
      <c r="I35" s="165"/>
      <c r="J35" s="91">
        <f t="shared" si="4"/>
        <v>1.2285369199892692E-2</v>
      </c>
      <c r="K35" s="106">
        <f t="shared" si="0"/>
        <v>-2.7570018556125238E-4</v>
      </c>
      <c r="L35" s="112">
        <f>K35*'Option 2'!$C$43/1000000</f>
        <v>-6.4789543606894304E-2</v>
      </c>
      <c r="M35" s="165"/>
      <c r="N35" s="91">
        <f>'Option 2'!C36/'Option 2'!$C$43</f>
        <v>1.1102451898895218E-2</v>
      </c>
      <c r="O35" s="106">
        <f t="shared" si="5"/>
        <v>-1.4586174865587262E-3</v>
      </c>
      <c r="P35" s="112">
        <f>O35*'Option 2'!$C$43/1000000</f>
        <v>-0.34277510934130068</v>
      </c>
      <c r="Q35" s="165"/>
      <c r="R35" s="91">
        <f>'Option 3'!C36/'Option 3'!$C$43</f>
        <v>9.9801165531463662E-3</v>
      </c>
      <c r="S35" s="106">
        <f t="shared" si="1"/>
        <v>-2.580952832307578E-3</v>
      </c>
      <c r="T35" s="112">
        <f>S35*'Option 3'!$C$43/1000000</f>
        <v>-0.60652391559228069</v>
      </c>
      <c r="U35" s="165"/>
      <c r="V35" s="91">
        <f>'Option 4'!C36/'Option 4'!$C$43</f>
        <v>1.1825195046694421E-2</v>
      </c>
      <c r="W35" s="106">
        <f t="shared" si="2"/>
        <v>-7.3587433875952311E-4</v>
      </c>
      <c r="X35" s="112">
        <f>W35*'Option 4'!$C$43/1000000</f>
        <v>-0.17293046960848793</v>
      </c>
      <c r="Y35" s="165"/>
      <c r="Z35" s="91">
        <f>'Option 5'!C36/'Option 5'!$C$43</f>
        <v>1.0147997111584447E-2</v>
      </c>
      <c r="AA35" s="106">
        <f t="shared" si="6"/>
        <v>-2.413072273869497E-3</v>
      </c>
      <c r="AB35" s="112">
        <f>AA35*'Option 5'!$C$43/1000000</f>
        <v>-0.56707198435933193</v>
      </c>
    </row>
    <row r="36" spans="1:28" x14ac:dyDescent="0.2">
      <c r="A36" s="20">
        <v>3646</v>
      </c>
      <c r="B36" s="19" t="s">
        <v>41</v>
      </c>
      <c r="C36" s="90">
        <v>2.3931524233576335E-2</v>
      </c>
      <c r="D36" s="90">
        <v>1.8983457031793705E-2</v>
      </c>
      <c r="E36" s="165"/>
      <c r="F36" s="91">
        <f>'Option 1'!C37/'Option 1'!$C$43</f>
        <v>2.0037775548750074E-2</v>
      </c>
      <c r="G36" s="106">
        <f t="shared" si="3"/>
        <v>-3.8937486848262606E-3</v>
      </c>
      <c r="H36" s="112">
        <f>G36*'Option 1'!$C$43/1000000</f>
        <v>-0.91503094093417126</v>
      </c>
      <c r="I36" s="165"/>
      <c r="J36" s="91">
        <f t="shared" si="4"/>
        <v>2.0037775548750074E-2</v>
      </c>
      <c r="K36" s="106">
        <f t="shared" si="0"/>
        <v>1.0543185169563686E-3</v>
      </c>
      <c r="L36" s="112">
        <f>K36*'Option 2'!$C$43/1000000</f>
        <v>0.24776485148474661</v>
      </c>
      <c r="M36" s="165"/>
      <c r="N36" s="91">
        <f>'Option 2'!C37/'Option 2'!$C$43</f>
        <v>1.9683549411552842E-2</v>
      </c>
      <c r="O36" s="106">
        <f t="shared" si="5"/>
        <v>7.0009237975913671E-4</v>
      </c>
      <c r="P36" s="112">
        <f>O36*'Option 2'!$C$43/1000000</f>
        <v>0.16452170924339715</v>
      </c>
      <c r="Q36" s="165"/>
      <c r="R36" s="91">
        <f>'Option 3'!C37/'Option 3'!$C$43</f>
        <v>2.4348448756242216E-2</v>
      </c>
      <c r="S36" s="106">
        <f t="shared" si="1"/>
        <v>5.3649917244485111E-3</v>
      </c>
      <c r="T36" s="112">
        <f>S36*'Option 3'!$C$43/1000000</f>
        <v>1.2607730552453997</v>
      </c>
      <c r="U36" s="165"/>
      <c r="V36" s="91">
        <f>'Option 4'!C37/'Option 4'!$C$43</f>
        <v>2.0798080834942546E-2</v>
      </c>
      <c r="W36" s="106">
        <f t="shared" si="2"/>
        <v>1.8146238031488404E-3</v>
      </c>
      <c r="X36" s="112">
        <f>W36*'Option 4'!$C$43/1000000</f>
        <v>0.4264365937399775</v>
      </c>
      <c r="Y36" s="165"/>
      <c r="Z36" s="91">
        <f>'Option 5'!C37/'Option 5'!$C$43</f>
        <v>2.6087408817825446E-2</v>
      </c>
      <c r="AA36" s="106">
        <f t="shared" si="6"/>
        <v>7.1039517860317404E-3</v>
      </c>
      <c r="AB36" s="112">
        <f>AA36*'Option 5'!$C$43/1000000</f>
        <v>1.6694286697174592</v>
      </c>
    </row>
    <row r="37" spans="1:28" x14ac:dyDescent="0.2">
      <c r="A37" s="20">
        <v>3581</v>
      </c>
      <c r="B37" s="19" t="s">
        <v>40</v>
      </c>
      <c r="C37" s="90">
        <v>2.1731724072893421E-2</v>
      </c>
      <c r="D37" s="90">
        <v>1.8519296567582645E-2</v>
      </c>
      <c r="E37" s="165"/>
      <c r="F37" s="91">
        <f>'Option 1'!C38/'Option 1'!$C$43</f>
        <v>1.685957119302281E-2</v>
      </c>
      <c r="G37" s="106">
        <f t="shared" si="3"/>
        <v>-4.8721528798706115E-3</v>
      </c>
      <c r="H37" s="112">
        <f>G37*'Option 1'!$C$43/1000000</f>
        <v>-1.1449559267695937</v>
      </c>
      <c r="I37" s="165"/>
      <c r="J37" s="91">
        <f t="shared" si="4"/>
        <v>1.685957119302281E-2</v>
      </c>
      <c r="K37" s="106">
        <f t="shared" si="0"/>
        <v>-1.6597253745598353E-3</v>
      </c>
      <c r="L37" s="112">
        <f>K37*'Option 2'!$C$43/1000000</f>
        <v>-0.39003546302156133</v>
      </c>
      <c r="M37" s="165"/>
      <c r="N37" s="91">
        <f>'Option 2'!C38/'Option 2'!$C$43</f>
        <v>1.4670443179653546E-2</v>
      </c>
      <c r="O37" s="106">
        <f t="shared" si="5"/>
        <v>-3.8488533879290996E-3</v>
      </c>
      <c r="P37" s="112">
        <f>O37*'Option 2'!$C$43/1000000</f>
        <v>-0.90448054616333839</v>
      </c>
      <c r="Q37" s="165"/>
      <c r="R37" s="91">
        <f>'Option 3'!C38/'Option 3'!$C$43</f>
        <v>1.9929103371943226E-2</v>
      </c>
      <c r="S37" s="106">
        <f t="shared" si="1"/>
        <v>1.4098068043605812E-3</v>
      </c>
      <c r="T37" s="112">
        <f>S37*'Option 3'!$C$43/1000000</f>
        <v>0.33130459902473652</v>
      </c>
      <c r="U37" s="165"/>
      <c r="V37" s="91">
        <f>'Option 4'!C38/'Option 4'!$C$43</f>
        <v>1.5625454052911839E-2</v>
      </c>
      <c r="W37" s="106">
        <f t="shared" si="2"/>
        <v>-2.8938425146708066E-3</v>
      </c>
      <c r="X37" s="112">
        <f>W37*'Option 4'!$C$43/1000000</f>
        <v>-0.6800529909476396</v>
      </c>
      <c r="Y37" s="165"/>
      <c r="Z37" s="91">
        <f>'Option 5'!C38/'Option 5'!$C$43</f>
        <v>2.1008220429809151E-2</v>
      </c>
      <c r="AA37" s="106">
        <f t="shared" si="6"/>
        <v>2.488923862226506E-3</v>
      </c>
      <c r="AB37" s="112">
        <f>AA37*'Option 5'!$C$43/1000000</f>
        <v>0.584897107623229</v>
      </c>
    </row>
    <row r="38" spans="1:28" x14ac:dyDescent="0.2">
      <c r="A38" s="20">
        <v>3606</v>
      </c>
      <c r="B38" s="19" t="s">
        <v>39</v>
      </c>
      <c r="C38" s="90">
        <v>2.5762064127734085E-2</v>
      </c>
      <c r="D38" s="90">
        <v>3.2554270941238916E-2</v>
      </c>
      <c r="E38" s="165"/>
      <c r="F38" s="91">
        <f>'Option 1'!C39/'Option 1'!$C$43</f>
        <v>3.4422006361569238E-2</v>
      </c>
      <c r="G38" s="106">
        <f t="shared" si="3"/>
        <v>8.659942233835153E-3</v>
      </c>
      <c r="H38" s="112">
        <f>G38*'Option 1'!$C$43/1000000</f>
        <v>2.035086424951261</v>
      </c>
      <c r="I38" s="165"/>
      <c r="J38" s="91">
        <f t="shared" si="4"/>
        <v>3.4422006361569238E-2</v>
      </c>
      <c r="K38" s="106">
        <f t="shared" si="0"/>
        <v>1.8677354203303215E-3</v>
      </c>
      <c r="L38" s="112">
        <f>K38*'Option 2'!$C$43/1000000</f>
        <v>0.43891782377762556</v>
      </c>
      <c r="M38" s="165"/>
      <c r="N38" s="91">
        <f>'Option 2'!C39/'Option 2'!$C$43</f>
        <v>2.9965647288201617E-2</v>
      </c>
      <c r="O38" s="106">
        <f t="shared" si="5"/>
        <v>-2.5886236530372995E-3</v>
      </c>
      <c r="P38" s="112">
        <f>O38*'Option 2'!$C$43/1000000</f>
        <v>-0.60832655846376538</v>
      </c>
      <c r="Q38" s="165"/>
      <c r="R38" s="91">
        <f>'Option 3'!C39/'Option 3'!$C$43</f>
        <v>2.706011177425725E-2</v>
      </c>
      <c r="S38" s="106">
        <f t="shared" si="1"/>
        <v>-5.4941591669816665E-3</v>
      </c>
      <c r="T38" s="112">
        <f>S38*'Option 3'!$C$43/1000000</f>
        <v>-1.2911274042406913</v>
      </c>
      <c r="U38" s="165"/>
      <c r="V38" s="91">
        <f>'Option 4'!C39/'Option 4'!$C$43</f>
        <v>3.1916339481614368E-2</v>
      </c>
      <c r="W38" s="106">
        <f t="shared" si="2"/>
        <v>-6.3793145962454806E-4</v>
      </c>
      <c r="X38" s="112">
        <f>W38*'Option 4'!$C$43/1000000</f>
        <v>-0.14991389301176877</v>
      </c>
      <c r="Y38" s="165"/>
      <c r="Z38" s="91">
        <f>'Option 5'!C39/'Option 5'!$C$43</f>
        <v>2.9044148353582429E-2</v>
      </c>
      <c r="AA38" s="106">
        <f t="shared" si="6"/>
        <v>-3.5101225876564869E-3</v>
      </c>
      <c r="AB38" s="112">
        <f>AA38*'Option 5'!$C$43/1000000</f>
        <v>-0.8248788080992745</v>
      </c>
    </row>
    <row r="39" spans="1:28" x14ac:dyDescent="0.2">
      <c r="A39" s="20">
        <v>3615</v>
      </c>
      <c r="B39" s="19" t="s">
        <v>105</v>
      </c>
      <c r="C39" s="90">
        <v>4.7432561907783659E-2</v>
      </c>
      <c r="D39" s="90">
        <v>6.1387457427191858E-2</v>
      </c>
      <c r="E39" s="165"/>
      <c r="F39" s="91">
        <f>'Option 1'!C40/'Option 1'!$C$43</f>
        <v>6.3053755580008239E-2</v>
      </c>
      <c r="G39" s="106">
        <f t="shared" si="3"/>
        <v>1.562119367222458E-2</v>
      </c>
      <c r="H39" s="112">
        <f>G39*'Option 1'!$C$43/1000000</f>
        <v>3.6709805129727764</v>
      </c>
      <c r="I39" s="165"/>
      <c r="J39" s="91">
        <f t="shared" si="4"/>
        <v>6.3053755580008239E-2</v>
      </c>
      <c r="K39" s="106">
        <f t="shared" si="0"/>
        <v>1.6662981528163812E-3</v>
      </c>
      <c r="L39" s="112">
        <f>K39*'Option 2'!$C$43/1000000</f>
        <v>0.39158006591184957</v>
      </c>
      <c r="M39" s="165"/>
      <c r="N39" s="91">
        <f>'Option 2'!C40/'Option 2'!$C$43</f>
        <v>5.1227994475058401E-2</v>
      </c>
      <c r="O39" s="106">
        <f t="shared" si="5"/>
        <v>-1.0159462952133456E-2</v>
      </c>
      <c r="P39" s="112">
        <f>O39*'Option 2'!$C$43/1000000</f>
        <v>-2.3874737937513624</v>
      </c>
      <c r="Q39" s="165"/>
      <c r="R39" s="91">
        <f>'Option 3'!C40/'Option 3'!$C$43</f>
        <v>4.5414912849813638E-2</v>
      </c>
      <c r="S39" s="106">
        <f t="shared" si="1"/>
        <v>-1.597254457737822E-2</v>
      </c>
      <c r="T39" s="112">
        <f>S39*'Option 3'!$C$43/1000000</f>
        <v>-3.7535479756838805</v>
      </c>
      <c r="U39" s="165"/>
      <c r="V39" s="91">
        <f>'Option 4'!C40/'Option 4'!$C$43</f>
        <v>5.68853476248957E-2</v>
      </c>
      <c r="W39" s="106">
        <f t="shared" si="2"/>
        <v>-4.5021098022961573E-3</v>
      </c>
      <c r="X39" s="112">
        <f>W39*'Option 4'!$C$43/1000000</f>
        <v>-1.0579958035395969</v>
      </c>
      <c r="Y39" s="165"/>
      <c r="Z39" s="91">
        <f>'Option 5'!C40/'Option 5'!$C$43</f>
        <v>5.0775945956065674E-2</v>
      </c>
      <c r="AA39" s="106">
        <f t="shared" si="6"/>
        <v>-1.0611511471126184E-2</v>
      </c>
      <c r="AB39" s="112">
        <f>AA39*'Option 5'!$C$43/1000000</f>
        <v>-2.4937051957146537</v>
      </c>
    </row>
    <row r="40" spans="1:28" x14ac:dyDescent="0.2">
      <c r="A40" s="20">
        <v>3625</v>
      </c>
      <c r="B40" s="19" t="s">
        <v>38</v>
      </c>
      <c r="C40" s="90">
        <v>2.5842716961047645E-3</v>
      </c>
      <c r="D40" s="90">
        <v>2.5717361648878246E-3</v>
      </c>
      <c r="E40" s="165"/>
      <c r="F40" s="91">
        <f>'Option 1'!C41/'Option 1'!$C$43</f>
        <v>2.3156395548747004E-3</v>
      </c>
      <c r="G40" s="106">
        <f t="shared" si="3"/>
        <v>-2.6863214123006409E-4</v>
      </c>
      <c r="H40" s="112">
        <f>G40*'Option 1'!$C$43/1000000</f>
        <v>-6.3128553189065059E-2</v>
      </c>
      <c r="I40" s="165"/>
      <c r="J40" s="91">
        <f t="shared" si="4"/>
        <v>2.3156395548747004E-3</v>
      </c>
      <c r="K40" s="106">
        <f t="shared" si="0"/>
        <v>-2.5609661001312414E-4</v>
      </c>
      <c r="L40" s="112">
        <f>K40*'Option 2'!$C$43/1000000</f>
        <v>-6.018270335308417E-2</v>
      </c>
      <c r="M40" s="165"/>
      <c r="N40" s="91">
        <f>'Option 2'!C41/'Option 2'!$C$43</f>
        <v>2.6769709156669185E-3</v>
      </c>
      <c r="O40" s="106">
        <f t="shared" si="5"/>
        <v>1.052347507790939E-4</v>
      </c>
      <c r="P40" s="112">
        <f>O40*'Option 2'!$C$43/1000000</f>
        <v>2.4730166433087068E-2</v>
      </c>
      <c r="Q40" s="165"/>
      <c r="R40" s="91">
        <f>'Option 3'!C41/'Option 3'!$C$43</f>
        <v>2.912187287565995E-3</v>
      </c>
      <c r="S40" s="106">
        <f t="shared" si="1"/>
        <v>3.4045112267817043E-4</v>
      </c>
      <c r="T40" s="112">
        <f>S40*'Option 3'!$C$43/1000000</f>
        <v>8.0006013829370032E-2</v>
      </c>
      <c r="U40" s="165"/>
      <c r="V40" s="91">
        <f>'Option 4'!C41/'Option 4'!$C$43</f>
        <v>2.8512353397576497E-3</v>
      </c>
      <c r="W40" s="106">
        <f t="shared" si="2"/>
        <v>2.7949917486982511E-4</v>
      </c>
      <c r="X40" s="112">
        <f>W40*'Option 4'!$C$43/1000000</f>
        <v>6.5682306094408893E-2</v>
      </c>
      <c r="Y40" s="165"/>
      <c r="Z40" s="91">
        <f>'Option 5'!C41/'Option 5'!$C$43</f>
        <v>2.8257726956684619E-3</v>
      </c>
      <c r="AA40" s="106">
        <f t="shared" si="6"/>
        <v>2.5403653078063734E-4</v>
      </c>
      <c r="AB40" s="112">
        <f>AA40*'Option 5'!$C$43/1000000</f>
        <v>5.9698584733449779E-2</v>
      </c>
    </row>
    <row r="41" spans="1:28" x14ac:dyDescent="0.2">
      <c r="A41" s="20">
        <v>20</v>
      </c>
      <c r="B41" s="19" t="s">
        <v>37</v>
      </c>
      <c r="C41" s="98">
        <v>1.1186187854569788E-3</v>
      </c>
      <c r="D41" s="98">
        <v>1.4792799135503695E-3</v>
      </c>
      <c r="E41" s="166"/>
      <c r="F41" s="91">
        <f>'Option 1'!C42/'Option 1'!$C$43</f>
        <v>1.5991513223075099E-3</v>
      </c>
      <c r="G41" s="106">
        <f t="shared" si="3"/>
        <v>4.8053253685053114E-4</v>
      </c>
      <c r="H41" s="112">
        <f>G41*'Option 1'!$C$43/1000000</f>
        <v>0.11292514615987481</v>
      </c>
      <c r="I41" s="166"/>
      <c r="J41" s="91">
        <f t="shared" si="4"/>
        <v>1.5991513223075099E-3</v>
      </c>
      <c r="K41" s="106">
        <f t="shared" si="0"/>
        <v>1.1987140875714046E-4</v>
      </c>
      <c r="L41" s="112">
        <f>K41*'Option 2'!$C$43/1000000</f>
        <v>2.8169781057928008E-2</v>
      </c>
      <c r="M41" s="166"/>
      <c r="N41" s="91">
        <f>'Option 2'!C42/'Option 2'!$C$43</f>
        <v>3.1780346487663581E-3</v>
      </c>
      <c r="O41" s="106">
        <f t="shared" si="5"/>
        <v>1.6987547352159886E-3</v>
      </c>
      <c r="P41" s="112">
        <f>O41*'Option 2'!$C$43/1000000</f>
        <v>0.3992073627757573</v>
      </c>
      <c r="Q41" s="166"/>
      <c r="R41" s="91">
        <f>'Option 3'!C42/'Option 3'!$C$43</f>
        <v>2.5786323593606831E-3</v>
      </c>
      <c r="S41" s="106">
        <f t="shared" si="1"/>
        <v>1.0993524458103136E-3</v>
      </c>
      <c r="T41" s="112">
        <f>S41*'Option 3'!$C$43/1000000</f>
        <v>0.25834782476542362</v>
      </c>
      <c r="U41" s="166"/>
      <c r="V41" s="91">
        <f>'Option 4'!C42/'Option 4'!$C$43</f>
        <v>3.3849171272297765E-3</v>
      </c>
      <c r="W41" s="106">
        <f t="shared" si="2"/>
        <v>1.905637213679407E-3</v>
      </c>
      <c r="X41" s="112">
        <f>W41*'Option 4'!$C$43/1000000</f>
        <v>0.44782474521466065</v>
      </c>
      <c r="Y41" s="166"/>
      <c r="Z41" s="91">
        <f>'Option 5'!C42/'Option 5'!$C$43</f>
        <v>2.7676966532661582E-3</v>
      </c>
      <c r="AA41" s="106">
        <f t="shared" si="6"/>
        <v>1.2884167397157887E-3</v>
      </c>
      <c r="AB41" s="112">
        <f>AA41*'Option 5'!$C$43/1000000</f>
        <v>0.30277793383321039</v>
      </c>
    </row>
    <row r="42" spans="1:28" ht="13.5" thickBot="1" x14ac:dyDescent="0.25">
      <c r="A42" s="12"/>
      <c r="B42" s="11" t="s">
        <v>11</v>
      </c>
      <c r="C42" s="169">
        <f>SUM(C4:C41)</f>
        <v>1.0000000000000002</v>
      </c>
      <c r="D42" s="169">
        <f>SUM(D4:D41)</f>
        <v>1.0000000000000002</v>
      </c>
      <c r="E42" s="167"/>
      <c r="F42" s="109">
        <f>SUM(F4:F41)</f>
        <v>1.0000000000000004</v>
      </c>
      <c r="G42" s="107">
        <f>F42-$C42</f>
        <v>0</v>
      </c>
      <c r="H42" s="113">
        <f>SUM(H4:H41)</f>
        <v>7.0402017549042739E-14</v>
      </c>
      <c r="I42" s="167"/>
      <c r="J42" s="109">
        <f>SUM(J4:J41)</f>
        <v>1.0000000000000004</v>
      </c>
      <c r="K42" s="107">
        <f t="shared" si="0"/>
        <v>0</v>
      </c>
      <c r="L42" s="113">
        <f>SUM(L4:L41)</f>
        <v>1.1370071550942384E-13</v>
      </c>
      <c r="M42" s="167"/>
      <c r="N42" s="109">
        <f>'Option 2'!C43/'Option 2'!$C$43</f>
        <v>1</v>
      </c>
      <c r="O42" s="107">
        <f t="shared" si="5"/>
        <v>0</v>
      </c>
      <c r="P42" s="113">
        <f>SUM(P4:P41)</f>
        <v>-1.1934897514720433E-14</v>
      </c>
      <c r="Q42" s="167"/>
      <c r="R42" s="109">
        <f>SUM(R4:R41)</f>
        <v>0.99999999999999978</v>
      </c>
      <c r="S42" s="107">
        <f t="shared" si="1"/>
        <v>0</v>
      </c>
      <c r="T42" s="113">
        <f>SUM(T4:T41)</f>
        <v>6.7834626804597065E-14</v>
      </c>
      <c r="U42" s="167"/>
      <c r="V42" s="109">
        <f>SUM(V4:V41)</f>
        <v>0.99999999999999989</v>
      </c>
      <c r="W42" s="107">
        <f t="shared" si="2"/>
        <v>0</v>
      </c>
      <c r="X42" s="113">
        <f>SUM(X4:X41)</f>
        <v>1.1712852909795402E-14</v>
      </c>
      <c r="Y42" s="167"/>
      <c r="Z42" s="109">
        <f>SUM(Z4:Z41)</f>
        <v>0.99999999999999989</v>
      </c>
      <c r="AA42" s="107">
        <f t="shared" si="6"/>
        <v>0</v>
      </c>
      <c r="AB42" s="113">
        <f>SUM(AB4:AB41)</f>
        <v>2.2537527399890678E-14</v>
      </c>
    </row>
    <row r="43" spans="1:28" x14ac:dyDescent="0.2">
      <c r="P43"/>
      <c r="Q43" s="168"/>
      <c r="X43" s="168"/>
    </row>
    <row r="44" spans="1:28" x14ac:dyDescent="0.2">
      <c r="B44" s="174" t="s">
        <v>94</v>
      </c>
      <c r="G44" s="170">
        <f>SUMIF(H4:H41,"&lt;0")</f>
        <v>-22.199439811652738</v>
      </c>
      <c r="K44" s="170">
        <f>SUMIF(L4:L41,"&lt;0")</f>
        <v>-8.1746703267688794</v>
      </c>
      <c r="P44" s="170">
        <f>SUMIF(P4:P41,"&lt;0")</f>
        <v>-16.935703124517982</v>
      </c>
      <c r="Q44" s="168"/>
      <c r="S44" s="170">
        <f>SUMIF(T4:T41,"&lt;0")</f>
        <v>-23.579271227618221</v>
      </c>
      <c r="W44" s="170">
        <f>SUMIF(X4:X41,"&lt;0")</f>
        <v>-13.340663757580829</v>
      </c>
      <c r="X44" s="168"/>
      <c r="AA44" s="170">
        <f>SUMIF(AB4:AB41,"&lt;0")</f>
        <v>-18.541714449048371</v>
      </c>
    </row>
  </sheetData>
  <mergeCells count="6">
    <mergeCell ref="V2:X2"/>
    <mergeCell ref="Z2:AB2"/>
    <mergeCell ref="F2:H2"/>
    <mergeCell ref="J2:L2"/>
    <mergeCell ref="R2:T2"/>
    <mergeCell ref="N2:P2"/>
  </mergeCells>
  <conditionalFormatting sqref="K4:K39">
    <cfRule type="top10" dxfId="11" priority="23" bottom="1" rank="5"/>
    <cfRule type="top10" dxfId="10" priority="24" rank="5"/>
  </conditionalFormatting>
  <conditionalFormatting sqref="G4:G39">
    <cfRule type="top10" dxfId="9" priority="19" bottom="1" rank="5"/>
    <cfRule type="top10" dxfId="8" priority="20" rank="5"/>
  </conditionalFormatting>
  <conditionalFormatting sqref="S4:S39">
    <cfRule type="top10" dxfId="7" priority="17" bottom="1" rank="5"/>
    <cfRule type="top10" dxfId="6" priority="18" rank="5"/>
  </conditionalFormatting>
  <conditionalFormatting sqref="W4:W39">
    <cfRule type="top10" dxfId="5" priority="15" bottom="1" rank="5"/>
    <cfRule type="top10" dxfId="4" priority="16" rank="5"/>
  </conditionalFormatting>
  <conditionalFormatting sqref="AA4:AA39">
    <cfRule type="top10" dxfId="3" priority="13" bottom="1" rank="5"/>
    <cfRule type="top10" dxfId="2" priority="14" rank="5"/>
  </conditionalFormatting>
  <conditionalFormatting sqref="O4:O39">
    <cfRule type="top10" dxfId="1" priority="1" bottom="1" rank="5"/>
    <cfRule type="top10" dxfId="0" priority="2" rank="5"/>
  </conditionalFormatting>
  <pageMargins left="0.25" right="0.25" top="0.75" bottom="0.75" header="0.3" footer="0.3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A1:O268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outlineLevelRow="1" x14ac:dyDescent="0.2"/>
  <cols>
    <col min="1" max="1" width="7.28515625" style="1" customWidth="1"/>
    <col min="2" max="2" width="10.85546875" style="1" bestFit="1" customWidth="1"/>
    <col min="3" max="3" width="13.7109375" style="1" bestFit="1" customWidth="1"/>
    <col min="4" max="4" width="13.140625" style="1" customWidth="1"/>
    <col min="5" max="5" width="12.5703125" style="1" customWidth="1"/>
    <col min="6" max="6" width="13" style="1" customWidth="1"/>
    <col min="7" max="7" width="12.42578125" style="1" customWidth="1"/>
    <col min="8" max="8" width="12.85546875" style="1" customWidth="1"/>
    <col min="9" max="9" width="12.28515625" style="1" customWidth="1"/>
    <col min="10" max="10" width="12.42578125" style="1" customWidth="1"/>
    <col min="11" max="13" width="12.5703125" style="1" bestFit="1" customWidth="1"/>
    <col min="14" max="14" width="10.85546875" style="1" customWidth="1"/>
    <col min="15" max="16384" width="9.140625" style="1"/>
  </cols>
  <sheetData>
    <row r="1" spans="1:13" ht="41.25" customHeight="1" x14ac:dyDescent="0.2">
      <c r="A1" s="188" t="s">
        <v>96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</row>
    <row r="2" spans="1:13" ht="13.5" thickBot="1" x14ac:dyDescent="0.25">
      <c r="A2" s="86"/>
      <c r="B2" s="85"/>
      <c r="C2" s="85"/>
      <c r="D2" s="85"/>
      <c r="E2" s="85"/>
      <c r="F2" s="85"/>
      <c r="G2" s="85"/>
      <c r="H2" s="85"/>
    </row>
    <row r="3" spans="1:13" ht="12.75" customHeight="1" x14ac:dyDescent="0.2">
      <c r="A3" s="189" t="s">
        <v>24</v>
      </c>
      <c r="B3" s="191" t="s">
        <v>23</v>
      </c>
      <c r="C3" s="193" t="s">
        <v>74</v>
      </c>
      <c r="D3" s="184" t="s">
        <v>35</v>
      </c>
      <c r="E3" s="184"/>
      <c r="F3" s="184"/>
      <c r="G3" s="184"/>
      <c r="H3" s="186" t="s">
        <v>18</v>
      </c>
      <c r="I3" s="195" t="s">
        <v>17</v>
      </c>
      <c r="J3" s="197" t="s">
        <v>16</v>
      </c>
      <c r="K3" s="199" t="s">
        <v>34</v>
      </c>
      <c r="L3" s="200"/>
      <c r="M3" s="200"/>
    </row>
    <row r="4" spans="1:13" ht="54" customHeight="1" thickBot="1" x14ac:dyDescent="0.25">
      <c r="A4" s="190"/>
      <c r="B4" s="192"/>
      <c r="C4" s="194"/>
      <c r="D4" s="84"/>
      <c r="E4" s="67" t="s">
        <v>33</v>
      </c>
      <c r="F4" s="67" t="s">
        <v>32</v>
      </c>
      <c r="G4" s="42" t="s">
        <v>31</v>
      </c>
      <c r="H4" s="187"/>
      <c r="I4" s="196"/>
      <c r="J4" s="198"/>
      <c r="K4" s="44" t="s">
        <v>14</v>
      </c>
      <c r="L4" s="43" t="s">
        <v>13</v>
      </c>
      <c r="M4" s="42" t="s">
        <v>12</v>
      </c>
    </row>
    <row r="5" spans="1:13" x14ac:dyDescent="0.2">
      <c r="A5" s="40">
        <v>3656</v>
      </c>
      <c r="B5" s="39" t="s">
        <v>73</v>
      </c>
      <c r="C5" s="83">
        <f t="shared" ref="C5:M5" si="0">C49/$C$87*$C$43</f>
        <v>13496783.238389455</v>
      </c>
      <c r="D5" s="81">
        <f t="shared" si="0"/>
        <v>1841931.0029057092</v>
      </c>
      <c r="E5" s="80">
        <f t="shared" si="0"/>
        <v>954734.23650612601</v>
      </c>
      <c r="F5" s="80">
        <f t="shared" si="0"/>
        <v>10866.507658986398</v>
      </c>
      <c r="G5" s="79">
        <f t="shared" si="0"/>
        <v>3824283.8561365819</v>
      </c>
      <c r="H5" s="81">
        <f t="shared" si="0"/>
        <v>1124197.0276801949</v>
      </c>
      <c r="I5" s="79">
        <f t="shared" si="0"/>
        <v>25694.533719290484</v>
      </c>
      <c r="J5" s="82">
        <f t="shared" si="0"/>
        <v>1143773.8152758451</v>
      </c>
      <c r="K5" s="81">
        <f t="shared" si="0"/>
        <v>2509377.1049948973</v>
      </c>
      <c r="L5" s="80">
        <f t="shared" si="0"/>
        <v>1407203.9633598088</v>
      </c>
      <c r="M5" s="79">
        <f t="shared" si="0"/>
        <v>654721.190152016</v>
      </c>
    </row>
    <row r="6" spans="1:13" x14ac:dyDescent="0.2">
      <c r="A6" s="20">
        <v>3658</v>
      </c>
      <c r="B6" s="19" t="s">
        <v>72</v>
      </c>
      <c r="C6" s="58">
        <f t="shared" ref="C6:M6" si="1">C50/$C$87*$C$43</f>
        <v>25249293.219997786</v>
      </c>
      <c r="D6" s="15">
        <f t="shared" si="1"/>
        <v>3283883.7642477965</v>
      </c>
      <c r="E6" s="14">
        <f t="shared" si="1"/>
        <v>2722339.6405614237</v>
      </c>
      <c r="F6" s="14">
        <f t="shared" si="1"/>
        <v>9726.3691735420525</v>
      </c>
      <c r="G6" s="13">
        <f t="shared" si="1"/>
        <v>7120450.8310515983</v>
      </c>
      <c r="H6" s="15">
        <f t="shared" si="1"/>
        <v>1377471.7171989155</v>
      </c>
      <c r="I6" s="13">
        <f t="shared" si="1"/>
        <v>48452.549299233484</v>
      </c>
      <c r="J6" s="16">
        <f t="shared" si="1"/>
        <v>1273837.0978644439</v>
      </c>
      <c r="K6" s="15">
        <f t="shared" si="1"/>
        <v>3523209.9926046166</v>
      </c>
      <c r="L6" s="14">
        <f t="shared" si="1"/>
        <v>3305662.9404479568</v>
      </c>
      <c r="M6" s="13">
        <f t="shared" si="1"/>
        <v>2584258.3175482582</v>
      </c>
    </row>
    <row r="7" spans="1:13" x14ac:dyDescent="0.2">
      <c r="A7" s="20">
        <v>9741</v>
      </c>
      <c r="B7" s="19" t="s">
        <v>71</v>
      </c>
      <c r="C7" s="58">
        <f t="shared" ref="C7:M7" si="2">C51/$C$87*$C$43</f>
        <v>6570818.6052914318</v>
      </c>
      <c r="D7" s="15">
        <f t="shared" si="2"/>
        <v>878385.98843231611</v>
      </c>
      <c r="E7" s="14">
        <f t="shared" si="2"/>
        <v>617505.34986791818</v>
      </c>
      <c r="F7" s="14">
        <f t="shared" si="2"/>
        <v>9848.2598039321474</v>
      </c>
      <c r="G7" s="13">
        <f t="shared" si="2"/>
        <v>1872472.0151041867</v>
      </c>
      <c r="H7" s="15">
        <f t="shared" si="2"/>
        <v>309557.95385621395</v>
      </c>
      <c r="I7" s="13">
        <f t="shared" si="2"/>
        <v>23492.145114779869</v>
      </c>
      <c r="J7" s="16">
        <f t="shared" si="2"/>
        <v>484403.13806986198</v>
      </c>
      <c r="K7" s="15">
        <f t="shared" si="2"/>
        <v>1216819.7039921137</v>
      </c>
      <c r="L7" s="14">
        <f t="shared" si="2"/>
        <v>783438.56859341415</v>
      </c>
      <c r="M7" s="13">
        <f t="shared" si="2"/>
        <v>374895.48245669546</v>
      </c>
    </row>
    <row r="8" spans="1:13" x14ac:dyDescent="0.2">
      <c r="A8" s="20">
        <v>3661</v>
      </c>
      <c r="B8" s="19" t="s">
        <v>70</v>
      </c>
      <c r="C8" s="58">
        <f t="shared" ref="C8:M8" si="3">C52/$C$87*$C$43</f>
        <v>8883399.6127551775</v>
      </c>
      <c r="D8" s="15">
        <f t="shared" si="3"/>
        <v>1122116.9939981573</v>
      </c>
      <c r="E8" s="14">
        <f t="shared" si="3"/>
        <v>437625.62765928125</v>
      </c>
      <c r="F8" s="14">
        <f t="shared" si="3"/>
        <v>8395.0995835169742</v>
      </c>
      <c r="G8" s="13">
        <f t="shared" si="3"/>
        <v>2311802.0468335291</v>
      </c>
      <c r="H8" s="15">
        <f t="shared" si="3"/>
        <v>480854.84531815047</v>
      </c>
      <c r="I8" s="13">
        <f t="shared" si="3"/>
        <v>66071.658135318386</v>
      </c>
      <c r="J8" s="16">
        <f t="shared" si="3"/>
        <v>904569.9418414979</v>
      </c>
      <c r="K8" s="15">
        <f t="shared" si="3"/>
        <v>1601381.2253241614</v>
      </c>
      <c r="L8" s="14">
        <f t="shared" si="3"/>
        <v>1232603.4889911064</v>
      </c>
      <c r="M8" s="13">
        <f t="shared" si="3"/>
        <v>717978.68507045985</v>
      </c>
    </row>
    <row r="9" spans="1:13" x14ac:dyDescent="0.2">
      <c r="A9" s="20">
        <v>3599</v>
      </c>
      <c r="B9" s="19" t="s">
        <v>69</v>
      </c>
      <c r="C9" s="58">
        <f t="shared" ref="C9:M9" si="4">C53/$C$87*$C$43</f>
        <v>7852361.7617692817</v>
      </c>
      <c r="D9" s="15">
        <f t="shared" si="4"/>
        <v>947027.09993956354</v>
      </c>
      <c r="E9" s="14">
        <f t="shared" si="4"/>
        <v>408168.68007395189</v>
      </c>
      <c r="F9" s="14">
        <f t="shared" si="4"/>
        <v>7522.0712590226722</v>
      </c>
      <c r="G9" s="13">
        <f t="shared" si="4"/>
        <v>1884571.6933875256</v>
      </c>
      <c r="H9" s="15">
        <f t="shared" si="4"/>
        <v>381992.06796011853</v>
      </c>
      <c r="I9" s="13">
        <f t="shared" si="4"/>
        <v>20555.626975432384</v>
      </c>
      <c r="J9" s="16">
        <f t="shared" si="4"/>
        <v>858319.781146775</v>
      </c>
      <c r="K9" s="15">
        <f t="shared" si="4"/>
        <v>1495911.2821525973</v>
      </c>
      <c r="L9" s="14">
        <f t="shared" si="4"/>
        <v>1136432.5199274763</v>
      </c>
      <c r="M9" s="13">
        <f t="shared" si="4"/>
        <v>711860.93894681917</v>
      </c>
    </row>
    <row r="10" spans="1:13" x14ac:dyDescent="0.2">
      <c r="A10" s="20">
        <v>30646</v>
      </c>
      <c r="B10" s="19" t="s">
        <v>68</v>
      </c>
      <c r="C10" s="58">
        <f t="shared" ref="C10:M10" si="5">C54/$C$87*$C$43</f>
        <v>2590654.6025294801</v>
      </c>
      <c r="D10" s="15">
        <f t="shared" si="5"/>
        <v>400834.72602093156</v>
      </c>
      <c r="E10" s="14">
        <f t="shared" si="5"/>
        <v>230579.41430539527</v>
      </c>
      <c r="F10" s="14">
        <f t="shared" si="5"/>
        <v>12649.50571264204</v>
      </c>
      <c r="G10" s="13">
        <f t="shared" si="5"/>
        <v>770026.02199195256</v>
      </c>
      <c r="H10" s="15">
        <f t="shared" si="5"/>
        <v>91276.772164717608</v>
      </c>
      <c r="I10" s="13">
        <f t="shared" si="5"/>
        <v>13459.041472009299</v>
      </c>
      <c r="J10" s="16">
        <f t="shared" si="5"/>
        <v>343817.33214860118</v>
      </c>
      <c r="K10" s="15">
        <f t="shared" si="5"/>
        <v>486850.23651931825</v>
      </c>
      <c r="L10" s="14">
        <f t="shared" si="5"/>
        <v>204210.36560712295</v>
      </c>
      <c r="M10" s="13">
        <f t="shared" si="5"/>
        <v>36951.186586789176</v>
      </c>
    </row>
    <row r="11" spans="1:13" x14ac:dyDescent="0.2">
      <c r="A11" s="20">
        <v>9930</v>
      </c>
      <c r="B11" s="19" t="s">
        <v>67</v>
      </c>
      <c r="C11" s="58">
        <f t="shared" ref="C11:M11" si="6">C55/$C$87*$C$43</f>
        <v>1383139.8730878525</v>
      </c>
      <c r="D11" s="15">
        <f t="shared" si="6"/>
        <v>195767.87595649893</v>
      </c>
      <c r="E11" s="14">
        <f t="shared" si="6"/>
        <v>86920.93692468552</v>
      </c>
      <c r="F11" s="14">
        <f t="shared" si="6"/>
        <v>8488.4368519337986</v>
      </c>
      <c r="G11" s="13">
        <f t="shared" si="6"/>
        <v>367621.48231568816</v>
      </c>
      <c r="H11" s="15">
        <f t="shared" si="6"/>
        <v>30344.020773257336</v>
      </c>
      <c r="I11" s="13">
        <f t="shared" si="6"/>
        <v>7341.2953483687088</v>
      </c>
      <c r="J11" s="16">
        <f t="shared" si="6"/>
        <v>146458.84219995575</v>
      </c>
      <c r="K11" s="15">
        <f t="shared" si="6"/>
        <v>288390.55226841744</v>
      </c>
      <c r="L11" s="14">
        <f t="shared" si="6"/>
        <v>180473.51064739746</v>
      </c>
      <c r="M11" s="13">
        <f t="shared" si="6"/>
        <v>71332.919801649288</v>
      </c>
    </row>
    <row r="12" spans="1:13" x14ac:dyDescent="0.2">
      <c r="A12" s="20">
        <v>10115</v>
      </c>
      <c r="B12" s="19" t="s">
        <v>66</v>
      </c>
      <c r="C12" s="58">
        <f t="shared" ref="C12:M12" si="7">C56/$C$87*$C$43</f>
        <v>11812969.063359989</v>
      </c>
      <c r="D12" s="15">
        <f t="shared" si="7"/>
        <v>1512184.4868414814</v>
      </c>
      <c r="E12" s="14">
        <f t="shared" si="7"/>
        <v>637637.79195149138</v>
      </c>
      <c r="F12" s="14">
        <f t="shared" si="7"/>
        <v>7429.7704747274138</v>
      </c>
      <c r="G12" s="13">
        <f t="shared" si="7"/>
        <v>3088561.2602090584</v>
      </c>
      <c r="H12" s="15">
        <f t="shared" si="7"/>
        <v>287778.77765605343</v>
      </c>
      <c r="I12" s="13">
        <f t="shared" si="7"/>
        <v>36461.76689689792</v>
      </c>
      <c r="J12" s="16">
        <f t="shared" si="7"/>
        <v>1146587.9784927194</v>
      </c>
      <c r="K12" s="15">
        <f t="shared" si="7"/>
        <v>2499588.7111970726</v>
      </c>
      <c r="L12" s="14">
        <f t="shared" si="7"/>
        <v>1636619.442996331</v>
      </c>
      <c r="M12" s="13">
        <f t="shared" si="7"/>
        <v>960119.07664415438</v>
      </c>
    </row>
    <row r="13" spans="1:13" x14ac:dyDescent="0.2">
      <c r="A13" s="20">
        <v>11163</v>
      </c>
      <c r="B13" s="19" t="s">
        <v>65</v>
      </c>
      <c r="C13" s="58">
        <f t="shared" ref="C13:M13" si="8">C57/$C$87*$C$43</f>
        <v>3168830.6435913094</v>
      </c>
      <c r="D13" s="15">
        <f t="shared" si="8"/>
        <v>436807.07322793821</v>
      </c>
      <c r="E13" s="14">
        <f t="shared" si="8"/>
        <v>225246.84742787352</v>
      </c>
      <c r="F13" s="14">
        <f t="shared" si="8"/>
        <v>10738.75158858246</v>
      </c>
      <c r="G13" s="13">
        <f t="shared" si="8"/>
        <v>867249.24338884454</v>
      </c>
      <c r="H13" s="15">
        <f t="shared" si="8"/>
        <v>276522.12478855473</v>
      </c>
      <c r="I13" s="13">
        <f t="shared" si="8"/>
        <v>10277.813487716192</v>
      </c>
      <c r="J13" s="16">
        <f t="shared" si="8"/>
        <v>345897.36583063903</v>
      </c>
      <c r="K13" s="15">
        <f t="shared" si="8"/>
        <v>527227.36093534611</v>
      </c>
      <c r="L13" s="14">
        <f t="shared" si="8"/>
        <v>326687.64300240757</v>
      </c>
      <c r="M13" s="13">
        <f t="shared" si="8"/>
        <v>142176.41991340733</v>
      </c>
    </row>
    <row r="14" spans="1:13" x14ac:dyDescent="0.2">
      <c r="A14" s="20">
        <v>3632</v>
      </c>
      <c r="B14" s="19" t="s">
        <v>64</v>
      </c>
      <c r="C14" s="58">
        <f t="shared" ref="C14:M14" si="9">C58/$C$87*$C$43</f>
        <v>25542032.378393382</v>
      </c>
      <c r="D14" s="15">
        <f t="shared" si="9"/>
        <v>3208023.7123146527</v>
      </c>
      <c r="E14" s="14">
        <f t="shared" si="9"/>
        <v>2696878.6008191844</v>
      </c>
      <c r="F14" s="14">
        <f t="shared" si="9"/>
        <v>9265.4072233288989</v>
      </c>
      <c r="G14" s="13">
        <f t="shared" si="9"/>
        <v>7379769.8537403336</v>
      </c>
      <c r="H14" s="15">
        <f t="shared" si="9"/>
        <v>1294270.3699174034</v>
      </c>
      <c r="I14" s="13">
        <f t="shared" si="9"/>
        <v>92500.321389445744</v>
      </c>
      <c r="J14" s="16">
        <f t="shared" si="9"/>
        <v>1366949.1938662538</v>
      </c>
      <c r="K14" s="15">
        <f t="shared" si="9"/>
        <v>3692916.2700744062</v>
      </c>
      <c r="L14" s="14">
        <f t="shared" si="9"/>
        <v>3269568.2383184778</v>
      </c>
      <c r="M14" s="13">
        <f t="shared" si="9"/>
        <v>2531890.4107298949</v>
      </c>
    </row>
    <row r="15" spans="1:13" x14ac:dyDescent="0.2">
      <c r="A15" s="20">
        <v>10298</v>
      </c>
      <c r="B15" s="19" t="s">
        <v>63</v>
      </c>
      <c r="C15" s="58">
        <f t="shared" ref="C15:M15" si="10">C59/$C$87*$C$43</f>
        <v>1408143.9985055814</v>
      </c>
      <c r="D15" s="15">
        <f t="shared" si="10"/>
        <v>151597.74894381387</v>
      </c>
      <c r="E15" s="14">
        <f t="shared" si="10"/>
        <v>95102.321170752548</v>
      </c>
      <c r="F15" s="14">
        <f t="shared" si="10"/>
        <v>9029.4084901413898</v>
      </c>
      <c r="G15" s="13">
        <f t="shared" si="10"/>
        <v>387635.07698456343</v>
      </c>
      <c r="H15" s="15">
        <f t="shared" si="10"/>
        <v>41111.253950864768</v>
      </c>
      <c r="I15" s="13">
        <f t="shared" si="10"/>
        <v>0</v>
      </c>
      <c r="J15" s="16">
        <f t="shared" si="10"/>
        <v>86994.349878169203</v>
      </c>
      <c r="K15" s="15">
        <f t="shared" si="10"/>
        <v>326137.04585127992</v>
      </c>
      <c r="L15" s="14">
        <f t="shared" si="10"/>
        <v>175089.89405859372</v>
      </c>
      <c r="M15" s="13">
        <f t="shared" si="10"/>
        <v>135446.89917740267</v>
      </c>
    </row>
    <row r="16" spans="1:13" x14ac:dyDescent="0.2">
      <c r="A16" s="20">
        <v>3630</v>
      </c>
      <c r="B16" s="19" t="s">
        <v>62</v>
      </c>
      <c r="C16" s="58">
        <f t="shared" ref="C16:M16" si="11">C60/$C$87*$C$43</f>
        <v>3149682.7723009647</v>
      </c>
      <c r="D16" s="15">
        <f t="shared" si="11"/>
        <v>343694.97722612845</v>
      </c>
      <c r="E16" s="14">
        <f t="shared" si="11"/>
        <v>127739.96653571105</v>
      </c>
      <c r="F16" s="14">
        <f t="shared" si="11"/>
        <v>5808.3183647074793</v>
      </c>
      <c r="G16" s="13">
        <f t="shared" si="11"/>
        <v>760888.55638167821</v>
      </c>
      <c r="H16" s="15">
        <f t="shared" si="11"/>
        <v>231740.22316350561</v>
      </c>
      <c r="I16" s="13">
        <f t="shared" si="11"/>
        <v>7096.5855034230854</v>
      </c>
      <c r="J16" s="16">
        <f t="shared" si="11"/>
        <v>294630.65331453085</v>
      </c>
      <c r="K16" s="15">
        <f t="shared" si="11"/>
        <v>612264.03205395036</v>
      </c>
      <c r="L16" s="14">
        <f t="shared" si="11"/>
        <v>433503.49032117228</v>
      </c>
      <c r="M16" s="13">
        <f t="shared" si="11"/>
        <v>332315.96943615691</v>
      </c>
    </row>
    <row r="17" spans="1:13" x14ac:dyDescent="0.2">
      <c r="A17" s="20">
        <v>3631</v>
      </c>
      <c r="B17" s="19" t="s">
        <v>61</v>
      </c>
      <c r="C17" s="58">
        <f t="shared" ref="C17:M17" si="12">C61/$C$87*$C$43</f>
        <v>4211372.9002071274</v>
      </c>
      <c r="D17" s="15">
        <f t="shared" si="12"/>
        <v>567237.42058395559</v>
      </c>
      <c r="E17" s="14">
        <f t="shared" si="12"/>
        <v>271139.48703913082</v>
      </c>
      <c r="F17" s="14">
        <f t="shared" si="12"/>
        <v>9015.0254378582085</v>
      </c>
      <c r="G17" s="13">
        <f t="shared" si="12"/>
        <v>1146175.6424039959</v>
      </c>
      <c r="H17" s="15">
        <f t="shared" si="12"/>
        <v>149028.29557188478</v>
      </c>
      <c r="I17" s="13">
        <f t="shared" si="12"/>
        <v>34993.507827224174</v>
      </c>
      <c r="J17" s="16">
        <f t="shared" si="12"/>
        <v>438642.39706503035</v>
      </c>
      <c r="K17" s="15">
        <f t="shared" si="12"/>
        <v>790779.86394178285</v>
      </c>
      <c r="L17" s="14">
        <f t="shared" si="12"/>
        <v>487706.72097662796</v>
      </c>
      <c r="M17" s="13">
        <f t="shared" si="12"/>
        <v>316654.53935963695</v>
      </c>
    </row>
    <row r="18" spans="1:13" x14ac:dyDescent="0.2">
      <c r="A18" s="78">
        <v>103631</v>
      </c>
      <c r="B18" s="19" t="s">
        <v>60</v>
      </c>
      <c r="C18" s="58">
        <f t="shared" ref="C18:M18" si="13">C62/$C$87*$C$43</f>
        <v>980764.21218766703</v>
      </c>
      <c r="D18" s="15">
        <f t="shared" si="13"/>
        <v>168972.1479349531</v>
      </c>
      <c r="E18" s="14">
        <f t="shared" si="13"/>
        <v>80768.686712907598</v>
      </c>
      <c r="F18" s="14">
        <f t="shared" si="13"/>
        <v>24809.118265107805</v>
      </c>
      <c r="G18" s="13">
        <f t="shared" si="13"/>
        <v>313332.60321449983</v>
      </c>
      <c r="H18" s="15">
        <f t="shared" si="13"/>
        <v>29854.601083366084</v>
      </c>
      <c r="I18" s="13">
        <f t="shared" si="13"/>
        <v>0</v>
      </c>
      <c r="J18" s="16">
        <f t="shared" si="13"/>
        <v>120030.17894582839</v>
      </c>
      <c r="K18" s="15">
        <f t="shared" si="13"/>
        <v>181697.05987212554</v>
      </c>
      <c r="L18" s="14">
        <f t="shared" si="13"/>
        <v>48819.614066651913</v>
      </c>
      <c r="M18" s="13">
        <f t="shared" si="13"/>
        <v>12480.202092226806</v>
      </c>
    </row>
    <row r="19" spans="1:13" x14ac:dyDescent="0.2">
      <c r="A19" s="20">
        <v>11161</v>
      </c>
      <c r="B19" s="19" t="s">
        <v>59</v>
      </c>
      <c r="C19" s="58">
        <f t="shared" ref="C19:M19" si="14">C63/$C$87*$C$43</f>
        <v>4031661.9346710201</v>
      </c>
      <c r="D19" s="15">
        <f t="shared" si="14"/>
        <v>509608.25209926121</v>
      </c>
      <c r="E19" s="14">
        <f t="shared" si="14"/>
        <v>258880.99206642472</v>
      </c>
      <c r="F19" s="14">
        <f t="shared" si="14"/>
        <v>7846.5651626862227</v>
      </c>
      <c r="G19" s="13">
        <f t="shared" si="14"/>
        <v>1029323.0207947817</v>
      </c>
      <c r="H19" s="15">
        <f t="shared" si="14"/>
        <v>195523.16611155326</v>
      </c>
      <c r="I19" s="13">
        <f t="shared" si="14"/>
        <v>18842.658060813021</v>
      </c>
      <c r="J19" s="16">
        <f t="shared" si="14"/>
        <v>396429.94881191029</v>
      </c>
      <c r="K19" s="15">
        <f t="shared" si="14"/>
        <v>753951.03227746638</v>
      </c>
      <c r="L19" s="14">
        <f t="shared" si="14"/>
        <v>538851.07857026323</v>
      </c>
      <c r="M19" s="13">
        <f t="shared" si="14"/>
        <v>322405.22071585915</v>
      </c>
    </row>
    <row r="20" spans="1:13" x14ac:dyDescent="0.2">
      <c r="A20" s="20">
        <v>3639</v>
      </c>
      <c r="B20" s="19" t="s">
        <v>58</v>
      </c>
      <c r="C20" s="58">
        <f t="shared" ref="C20:M20" si="15">C64/$C$87*$C$43</f>
        <v>2458150.789708477</v>
      </c>
      <c r="D20" s="15">
        <f t="shared" si="15"/>
        <v>279580.99785037502</v>
      </c>
      <c r="E20" s="14">
        <f t="shared" si="15"/>
        <v>112484.7548018009</v>
      </c>
      <c r="F20" s="14">
        <f t="shared" si="15"/>
        <v>6562.9342218397887</v>
      </c>
      <c r="G20" s="13">
        <f t="shared" si="15"/>
        <v>647301.58765326708</v>
      </c>
      <c r="H20" s="15">
        <f t="shared" si="15"/>
        <v>190873.67905758644</v>
      </c>
      <c r="I20" s="13">
        <f t="shared" si="15"/>
        <v>12235.492247281183</v>
      </c>
      <c r="J20" s="16">
        <f t="shared" si="15"/>
        <v>237980.32420961902</v>
      </c>
      <c r="K20" s="15">
        <f t="shared" si="15"/>
        <v>450510.82454489311</v>
      </c>
      <c r="L20" s="14">
        <f t="shared" si="15"/>
        <v>315553.34505738167</v>
      </c>
      <c r="M20" s="13">
        <f t="shared" si="15"/>
        <v>205066.85006443263</v>
      </c>
    </row>
    <row r="21" spans="1:13" x14ac:dyDescent="0.2">
      <c r="A21" s="78">
        <v>103639</v>
      </c>
      <c r="B21" s="19" t="s">
        <v>57</v>
      </c>
      <c r="C21" s="58">
        <f t="shared" ref="C21:M21" si="16">C65/$C$87*$C$43</f>
        <v>1176705.5416092605</v>
      </c>
      <c r="D21" s="15">
        <f t="shared" si="16"/>
        <v>215711.72831956722</v>
      </c>
      <c r="E21" s="14">
        <f t="shared" si="16"/>
        <v>86788.018693905891</v>
      </c>
      <c r="F21" s="14">
        <f t="shared" si="16"/>
        <v>15269.344639747889</v>
      </c>
      <c r="G21" s="13">
        <f t="shared" si="16"/>
        <v>376613.34556821536</v>
      </c>
      <c r="H21" s="15">
        <f t="shared" si="16"/>
        <v>3670.6476741843544</v>
      </c>
      <c r="I21" s="13">
        <f t="shared" si="16"/>
        <v>1468.2590696737418</v>
      </c>
      <c r="J21" s="16">
        <f t="shared" si="16"/>
        <v>179984.09095750618</v>
      </c>
      <c r="K21" s="15">
        <f t="shared" si="16"/>
        <v>267834.92529298511</v>
      </c>
      <c r="L21" s="14">
        <f t="shared" si="16"/>
        <v>28386.342013692341</v>
      </c>
      <c r="M21" s="13">
        <f t="shared" si="16"/>
        <v>978.83937978249458</v>
      </c>
    </row>
    <row r="22" spans="1:13" x14ac:dyDescent="0.2">
      <c r="A22" s="20">
        <v>9651</v>
      </c>
      <c r="B22" s="19" t="s">
        <v>56</v>
      </c>
      <c r="C22" s="58">
        <f t="shared" ref="C22:M22" si="17">C66/$C$87*$C$43</f>
        <v>2395439.6052844096</v>
      </c>
      <c r="D22" s="15">
        <f t="shared" si="17"/>
        <v>289858.81133809115</v>
      </c>
      <c r="E22" s="14">
        <f t="shared" si="17"/>
        <v>137199.83736669651</v>
      </c>
      <c r="F22" s="14">
        <f t="shared" si="17"/>
        <v>7093.9503509077631</v>
      </c>
      <c r="G22" s="13">
        <f t="shared" si="17"/>
        <v>535362.73973056523</v>
      </c>
      <c r="H22" s="15">
        <f t="shared" si="17"/>
        <v>84914.316196131404</v>
      </c>
      <c r="I22" s="13">
        <f t="shared" si="17"/>
        <v>16395.559611356784</v>
      </c>
      <c r="J22" s="16">
        <f t="shared" si="17"/>
        <v>261594.82424687169</v>
      </c>
      <c r="K22" s="15">
        <f t="shared" si="17"/>
        <v>516337.7728352659</v>
      </c>
      <c r="L22" s="14">
        <f t="shared" si="17"/>
        <v>372815.44877465762</v>
      </c>
      <c r="M22" s="13">
        <f t="shared" si="17"/>
        <v>173866.34483386562</v>
      </c>
    </row>
    <row r="23" spans="1:13" x14ac:dyDescent="0.2">
      <c r="A23" s="20">
        <v>3665</v>
      </c>
      <c r="B23" s="19" t="s">
        <v>55</v>
      </c>
      <c r="C23" s="58">
        <f t="shared" ref="C23:M23" si="18">C67/$C$87*$C$43</f>
        <v>3462557.9844476269</v>
      </c>
      <c r="D23" s="15">
        <f t="shared" si="18"/>
        <v>460910.99295508215</v>
      </c>
      <c r="E23" s="14">
        <f t="shared" si="18"/>
        <v>216935.44068419197</v>
      </c>
      <c r="F23" s="14">
        <f t="shared" si="18"/>
        <v>8511.3957293139483</v>
      </c>
      <c r="G23" s="13">
        <f t="shared" si="18"/>
        <v>918974.78686422831</v>
      </c>
      <c r="H23" s="15">
        <f t="shared" si="18"/>
        <v>140708.16084373361</v>
      </c>
      <c r="I23" s="13">
        <f t="shared" si="18"/>
        <v>44537.191780103502</v>
      </c>
      <c r="J23" s="16">
        <f t="shared" si="18"/>
        <v>326442.93315746199</v>
      </c>
      <c r="K23" s="15">
        <f t="shared" si="18"/>
        <v>657657.70829136367</v>
      </c>
      <c r="L23" s="14">
        <f t="shared" si="18"/>
        <v>445127.20795608946</v>
      </c>
      <c r="M23" s="13">
        <f t="shared" si="18"/>
        <v>242752.16618605869</v>
      </c>
    </row>
    <row r="24" spans="1:13" x14ac:dyDescent="0.2">
      <c r="A24" s="20">
        <v>3565</v>
      </c>
      <c r="B24" s="19" t="s">
        <v>54</v>
      </c>
      <c r="C24" s="58">
        <f t="shared" ref="C24:M24" si="19">C68/$C$87*$C$43</f>
        <v>3389376.5028863321</v>
      </c>
      <c r="D24" s="15">
        <f t="shared" si="19"/>
        <v>486116.10698448139</v>
      </c>
      <c r="E24" s="14">
        <f t="shared" si="19"/>
        <v>213891.0870731718</v>
      </c>
      <c r="F24" s="14">
        <f t="shared" si="19"/>
        <v>10349.550923668015</v>
      </c>
      <c r="G24" s="13">
        <f t="shared" si="19"/>
        <v>918332.42352124874</v>
      </c>
      <c r="H24" s="15">
        <f t="shared" si="19"/>
        <v>53591.456043091581</v>
      </c>
      <c r="I24" s="13">
        <f t="shared" si="19"/>
        <v>54570.295422874071</v>
      </c>
      <c r="J24" s="16">
        <f t="shared" si="19"/>
        <v>374161.35292185855</v>
      </c>
      <c r="K24" s="15">
        <f t="shared" si="19"/>
        <v>694853.60472309834</v>
      </c>
      <c r="L24" s="14">
        <f t="shared" si="19"/>
        <v>417474.9954772339</v>
      </c>
      <c r="M24" s="13">
        <f t="shared" si="19"/>
        <v>166035.62979560564</v>
      </c>
    </row>
    <row r="25" spans="1:13" x14ac:dyDescent="0.2">
      <c r="A25" s="20">
        <v>29269</v>
      </c>
      <c r="B25" s="19" t="s">
        <v>53</v>
      </c>
      <c r="C25" s="58">
        <f t="shared" ref="C25:M25" si="20">C69/$C$87*$C$43</f>
        <v>795442.79205852002</v>
      </c>
      <c r="D25" s="15">
        <f t="shared" si="20"/>
        <v>126882.05460430587</v>
      </c>
      <c r="E25" s="14">
        <f t="shared" si="20"/>
        <v>68773.351195211915</v>
      </c>
      <c r="F25" s="14">
        <f t="shared" si="20"/>
        <v>14229.763133193181</v>
      </c>
      <c r="G25" s="13">
        <f t="shared" si="20"/>
        <v>227547.11997036167</v>
      </c>
      <c r="H25" s="15">
        <f t="shared" si="20"/>
        <v>30588.730618202953</v>
      </c>
      <c r="I25" s="13">
        <f t="shared" si="20"/>
        <v>14193.171006846171</v>
      </c>
      <c r="J25" s="16">
        <f t="shared" si="20"/>
        <v>87728.479413006076</v>
      </c>
      <c r="K25" s="15">
        <f t="shared" si="20"/>
        <v>158816.68936970975</v>
      </c>
      <c r="L25" s="14">
        <f t="shared" si="20"/>
        <v>66438.722902736816</v>
      </c>
      <c r="M25" s="13">
        <f t="shared" si="20"/>
        <v>244.70984494562364</v>
      </c>
    </row>
    <row r="26" spans="1:13" x14ac:dyDescent="0.2">
      <c r="A26" s="20">
        <v>3652</v>
      </c>
      <c r="B26" s="19" t="s">
        <v>52</v>
      </c>
      <c r="C26" s="58">
        <f t="shared" ref="C26:M26" si="21">C70/$C$87*$C$43</f>
        <v>14685254.340849467</v>
      </c>
      <c r="D26" s="15">
        <f t="shared" si="21"/>
        <v>1871540.8941441299</v>
      </c>
      <c r="E26" s="14">
        <f t="shared" si="21"/>
        <v>1003769.7662259683</v>
      </c>
      <c r="F26" s="14">
        <f t="shared" si="21"/>
        <v>7864.3808769932684</v>
      </c>
      <c r="G26" s="13">
        <f t="shared" si="21"/>
        <v>3883635.7819294115</v>
      </c>
      <c r="H26" s="15">
        <f t="shared" si="21"/>
        <v>541053.46717477392</v>
      </c>
      <c r="I26" s="13">
        <f t="shared" si="21"/>
        <v>46005.450849777248</v>
      </c>
      <c r="J26" s="16">
        <f t="shared" si="21"/>
        <v>1238109.4605023828</v>
      </c>
      <c r="K26" s="15">
        <f t="shared" si="21"/>
        <v>2790548.7168374187</v>
      </c>
      <c r="L26" s="14">
        <f t="shared" si="21"/>
        <v>2088720.8815333704</v>
      </c>
      <c r="M26" s="13">
        <f t="shared" si="21"/>
        <v>1214005.540775239</v>
      </c>
    </row>
    <row r="27" spans="1:13" x14ac:dyDescent="0.2">
      <c r="A27" s="20">
        <v>11711</v>
      </c>
      <c r="B27" s="19" t="s">
        <v>51</v>
      </c>
      <c r="C27" s="58">
        <f t="shared" ref="C27:M27" si="22">C71/$C$87*$C$43</f>
        <v>2767297.4662989997</v>
      </c>
      <c r="D27" s="15">
        <f t="shared" si="22"/>
        <v>437051.78307288385</v>
      </c>
      <c r="E27" s="14">
        <f t="shared" si="22"/>
        <v>227338.87655121769</v>
      </c>
      <c r="F27" s="14">
        <f t="shared" si="22"/>
        <v>14570.11959808553</v>
      </c>
      <c r="G27" s="13">
        <f t="shared" si="22"/>
        <v>837991.73432714923</v>
      </c>
      <c r="H27" s="15">
        <f t="shared" si="22"/>
        <v>78307.150382599575</v>
      </c>
      <c r="I27" s="13">
        <f t="shared" si="22"/>
        <v>6117.7461236405916</v>
      </c>
      <c r="J27" s="16">
        <f t="shared" si="22"/>
        <v>284230.48490434187</v>
      </c>
      <c r="K27" s="15">
        <f t="shared" si="22"/>
        <v>510709.44640151644</v>
      </c>
      <c r="L27" s="14">
        <f t="shared" si="22"/>
        <v>350057.4331947146</v>
      </c>
      <c r="M27" s="13">
        <f t="shared" si="22"/>
        <v>20922.69174285082</v>
      </c>
    </row>
    <row r="28" spans="1:13" x14ac:dyDescent="0.2">
      <c r="A28" s="20">
        <v>12826</v>
      </c>
      <c r="B28" s="19" t="s">
        <v>50</v>
      </c>
      <c r="C28" s="58">
        <f t="shared" ref="C28:M28" si="23">C72/$C$87*$C$43</f>
        <v>5380481.7450308809</v>
      </c>
      <c r="D28" s="15">
        <f t="shared" si="23"/>
        <v>874470.63091318624</v>
      </c>
      <c r="E28" s="14">
        <f t="shared" si="23"/>
        <v>166149.41987350539</v>
      </c>
      <c r="F28" s="14">
        <f t="shared" si="23"/>
        <v>10950.654902210486</v>
      </c>
      <c r="G28" s="13">
        <f t="shared" si="23"/>
        <v>1567849.8588205071</v>
      </c>
      <c r="H28" s="15">
        <f t="shared" si="23"/>
        <v>95192.129683847597</v>
      </c>
      <c r="I28" s="13">
        <f t="shared" si="23"/>
        <v>1223.5492247281184</v>
      </c>
      <c r="J28" s="16">
        <f t="shared" si="23"/>
        <v>617035.87403039006</v>
      </c>
      <c r="K28" s="15">
        <f t="shared" si="23"/>
        <v>1139858.4577567149</v>
      </c>
      <c r="L28" s="14">
        <f t="shared" si="23"/>
        <v>685799.34046011022</v>
      </c>
      <c r="M28" s="13">
        <f t="shared" si="23"/>
        <v>221951.82936568063</v>
      </c>
    </row>
    <row r="29" spans="1:13" x14ac:dyDescent="0.2">
      <c r="A29" s="20">
        <v>13231</v>
      </c>
      <c r="B29" s="19" t="s">
        <v>49</v>
      </c>
      <c r="C29" s="58">
        <f t="shared" ref="C29:M29" si="24">C73/$C$87*$C$43</f>
        <v>1334314.7299569363</v>
      </c>
      <c r="D29" s="15">
        <f t="shared" si="24"/>
        <v>211674.01587796444</v>
      </c>
      <c r="E29" s="14">
        <f t="shared" si="24"/>
        <v>110191.17774701599</v>
      </c>
      <c r="F29" s="14">
        <f t="shared" si="24"/>
        <v>14713.662322760047</v>
      </c>
      <c r="G29" s="13">
        <f t="shared" si="24"/>
        <v>398074.39896994532</v>
      </c>
      <c r="H29" s="15">
        <f t="shared" si="24"/>
        <v>79285.989762382058</v>
      </c>
      <c r="I29" s="13">
        <f t="shared" si="24"/>
        <v>5383.6165888037203</v>
      </c>
      <c r="J29" s="16">
        <f t="shared" si="24"/>
        <v>140952.87068867922</v>
      </c>
      <c r="K29" s="15">
        <f t="shared" si="24"/>
        <v>262818.37347159983</v>
      </c>
      <c r="L29" s="14">
        <f t="shared" si="24"/>
        <v>108773.52607832971</v>
      </c>
      <c r="M29" s="13">
        <f t="shared" si="24"/>
        <v>2447.0984494562367</v>
      </c>
    </row>
    <row r="30" spans="1:13" x14ac:dyDescent="0.2">
      <c r="A30" s="20">
        <v>3592</v>
      </c>
      <c r="B30" s="19" t="s">
        <v>48</v>
      </c>
      <c r="C30" s="58">
        <f t="shared" ref="C30:M30" si="25">C74/$C$87*$C$43</f>
        <v>2944483.9627424055</v>
      </c>
      <c r="D30" s="15">
        <f t="shared" si="25"/>
        <v>378688.4850533526</v>
      </c>
      <c r="E30" s="14">
        <f t="shared" si="25"/>
        <v>166370.47443343958</v>
      </c>
      <c r="F30" s="14">
        <f t="shared" si="25"/>
        <v>8854.527981814379</v>
      </c>
      <c r="G30" s="13">
        <f t="shared" si="25"/>
        <v>720181.0736749717</v>
      </c>
      <c r="H30" s="15">
        <f t="shared" si="25"/>
        <v>244709.84494562363</v>
      </c>
      <c r="I30" s="13">
        <f t="shared" si="25"/>
        <v>11011.943022553063</v>
      </c>
      <c r="J30" s="16">
        <f t="shared" si="25"/>
        <v>253397.04444119328</v>
      </c>
      <c r="K30" s="15">
        <f t="shared" si="25"/>
        <v>527839.13554771023</v>
      </c>
      <c r="L30" s="14">
        <f t="shared" si="25"/>
        <v>383949.74671968352</v>
      </c>
      <c r="M30" s="13">
        <f t="shared" si="25"/>
        <v>249481.68692206329</v>
      </c>
    </row>
    <row r="31" spans="1:13" x14ac:dyDescent="0.2">
      <c r="A31" s="20">
        <v>3594</v>
      </c>
      <c r="B31" s="19" t="s">
        <v>47</v>
      </c>
      <c r="C31" s="58">
        <f t="shared" ref="C31:M31" si="26">C75/$C$87*$C$43</f>
        <v>15543619.110024787</v>
      </c>
      <c r="D31" s="15">
        <f t="shared" si="26"/>
        <v>2208506.3506342536</v>
      </c>
      <c r="E31" s="14">
        <f t="shared" si="26"/>
        <v>1272835.8267488747</v>
      </c>
      <c r="F31" s="14">
        <f t="shared" si="26"/>
        <v>9502.1852863236018</v>
      </c>
      <c r="G31" s="13">
        <f t="shared" si="26"/>
        <v>4188779.1701827771</v>
      </c>
      <c r="H31" s="15">
        <f t="shared" si="26"/>
        <v>247156.94339507987</v>
      </c>
      <c r="I31" s="13">
        <f t="shared" si="26"/>
        <v>31812.279842931075</v>
      </c>
      <c r="J31" s="16">
        <f t="shared" si="26"/>
        <v>1402187.4115384235</v>
      </c>
      <c r="K31" s="15">
        <f t="shared" si="26"/>
        <v>2886842.0408235225</v>
      </c>
      <c r="L31" s="14">
        <f t="shared" si="26"/>
        <v>2071101.7726972857</v>
      </c>
      <c r="M31" s="13">
        <f t="shared" si="26"/>
        <v>1224895.1288753191</v>
      </c>
    </row>
    <row r="32" spans="1:13" x14ac:dyDescent="0.2">
      <c r="A32" s="78">
        <v>113594</v>
      </c>
      <c r="B32" s="19" t="s">
        <v>46</v>
      </c>
      <c r="C32" s="58">
        <f t="shared" ref="C32:M32" si="27">C76/$C$87*$C$43</f>
        <v>836184.00742210459</v>
      </c>
      <c r="D32" s="15">
        <f t="shared" si="27"/>
        <v>148110.63365333871</v>
      </c>
      <c r="E32" s="14">
        <f t="shared" si="27"/>
        <v>85533.890934803101</v>
      </c>
      <c r="F32" s="14">
        <f t="shared" si="27"/>
        <v>15654.308799324128</v>
      </c>
      <c r="G32" s="13">
        <f t="shared" si="27"/>
        <v>259096.3367299758</v>
      </c>
      <c r="H32" s="15">
        <f t="shared" si="27"/>
        <v>8809.5544180424513</v>
      </c>
      <c r="I32" s="13">
        <f t="shared" si="27"/>
        <v>0</v>
      </c>
      <c r="J32" s="16">
        <f t="shared" si="27"/>
        <v>113239.48074858735</v>
      </c>
      <c r="K32" s="15">
        <f t="shared" si="27"/>
        <v>175456.95882601215</v>
      </c>
      <c r="L32" s="14">
        <f t="shared" si="27"/>
        <v>26245.130870418136</v>
      </c>
      <c r="M32" s="13">
        <f t="shared" si="27"/>
        <v>4037.71244160279</v>
      </c>
    </row>
    <row r="33" spans="1:13" x14ac:dyDescent="0.2">
      <c r="A33" s="20">
        <v>3624</v>
      </c>
      <c r="B33" s="19" t="s">
        <v>45</v>
      </c>
      <c r="C33" s="58">
        <f t="shared" ref="C33:M33" si="28">C77/$C$87*$C$43</f>
        <v>5511696.8202510132</v>
      </c>
      <c r="D33" s="15">
        <f t="shared" si="28"/>
        <v>705376.12805576017</v>
      </c>
      <c r="E33" s="14">
        <f t="shared" si="28"/>
        <v>390778.37494289113</v>
      </c>
      <c r="F33" s="14">
        <f t="shared" si="28"/>
        <v>7435.8307906496029</v>
      </c>
      <c r="G33" s="13">
        <f t="shared" si="28"/>
        <v>1366118.4039426642</v>
      </c>
      <c r="H33" s="15">
        <f t="shared" si="28"/>
        <v>182064.124639544</v>
      </c>
      <c r="I33" s="13">
        <f t="shared" si="28"/>
        <v>32791.119222713569</v>
      </c>
      <c r="J33" s="16">
        <f t="shared" si="28"/>
        <v>536036.91535338864</v>
      </c>
      <c r="K33" s="15">
        <f t="shared" si="28"/>
        <v>1016524.6959041207</v>
      </c>
      <c r="L33" s="14">
        <f t="shared" si="28"/>
        <v>761659.39239325351</v>
      </c>
      <c r="M33" s="13">
        <f t="shared" si="28"/>
        <v>512911.83500602707</v>
      </c>
    </row>
    <row r="34" spans="1:13" x14ac:dyDescent="0.2">
      <c r="A34" s="20">
        <v>3642</v>
      </c>
      <c r="B34" s="19" t="s">
        <v>44</v>
      </c>
      <c r="C34" s="58">
        <f t="shared" ref="C34:M34" si="29">C78/$C$87*$C$43</f>
        <v>2543343.1630184045</v>
      </c>
      <c r="D34" s="15">
        <f t="shared" si="29"/>
        <v>278357.44862564694</v>
      </c>
      <c r="E34" s="14">
        <f t="shared" si="29"/>
        <v>39990.686785884594</v>
      </c>
      <c r="F34" s="14">
        <f t="shared" si="29"/>
        <v>4747.4986121275697</v>
      </c>
      <c r="G34" s="13">
        <f t="shared" si="29"/>
        <v>546432.18956667942</v>
      </c>
      <c r="H34" s="15">
        <f t="shared" si="29"/>
        <v>98618.067513086338</v>
      </c>
      <c r="I34" s="13">
        <f t="shared" si="29"/>
        <v>2202.3886045106128</v>
      </c>
      <c r="J34" s="16">
        <f t="shared" si="29"/>
        <v>244587.49002315084</v>
      </c>
      <c r="K34" s="15">
        <f t="shared" si="29"/>
        <v>601007.37918645167</v>
      </c>
      <c r="L34" s="14">
        <f t="shared" si="29"/>
        <v>415884.38148508739</v>
      </c>
      <c r="M34" s="13">
        <f t="shared" si="29"/>
        <v>311515.63261577889</v>
      </c>
    </row>
    <row r="35" spans="1:13" x14ac:dyDescent="0.2">
      <c r="A35" s="20">
        <v>3644</v>
      </c>
      <c r="B35" s="19" t="s">
        <v>43</v>
      </c>
      <c r="C35" s="58">
        <f t="shared" ref="C35:M35" si="30">C79/$C$87*$C$43</f>
        <v>14059024.462673016</v>
      </c>
      <c r="D35" s="15">
        <f t="shared" si="30"/>
        <v>1715660.7229137672</v>
      </c>
      <c r="E35" s="14">
        <f t="shared" si="30"/>
        <v>1255863.6491728774</v>
      </c>
      <c r="F35" s="14">
        <f t="shared" si="30"/>
        <v>7730.8403099676198</v>
      </c>
      <c r="G35" s="13">
        <f t="shared" si="30"/>
        <v>3717673.5650873156</v>
      </c>
      <c r="H35" s="15">
        <f t="shared" si="30"/>
        <v>533956.8816713508</v>
      </c>
      <c r="I35" s="13">
        <f t="shared" si="30"/>
        <v>42090.093330647273</v>
      </c>
      <c r="J35" s="16">
        <f t="shared" si="30"/>
        <v>1019705.9238884137</v>
      </c>
      <c r="K35" s="15">
        <f t="shared" si="30"/>
        <v>2380537.3716310267</v>
      </c>
      <c r="L35" s="14">
        <f t="shared" si="30"/>
        <v>1937490.1973569752</v>
      </c>
      <c r="M35" s="13">
        <f t="shared" si="30"/>
        <v>1448315.2173106733</v>
      </c>
    </row>
    <row r="36" spans="1:13" x14ac:dyDescent="0.2">
      <c r="A36" s="20">
        <v>3541</v>
      </c>
      <c r="B36" s="19" t="s">
        <v>42</v>
      </c>
      <c r="C36" s="58">
        <f t="shared" ref="C36:M36" si="31">C80/$C$87*$C$43</f>
        <v>2887061.7619747827</v>
      </c>
      <c r="D36" s="15">
        <f t="shared" si="31"/>
        <v>363883.53943414235</v>
      </c>
      <c r="E36" s="14">
        <f t="shared" si="31"/>
        <v>156348.6274435365</v>
      </c>
      <c r="F36" s="14">
        <f t="shared" si="31"/>
        <v>7453.5073077473944</v>
      </c>
      <c r="G36" s="13">
        <f t="shared" si="31"/>
        <v>725815.51785484527</v>
      </c>
      <c r="H36" s="15">
        <f t="shared" si="31"/>
        <v>186713.61169351084</v>
      </c>
      <c r="I36" s="13">
        <f t="shared" si="31"/>
        <v>14193.171006846171</v>
      </c>
      <c r="J36" s="16">
        <f t="shared" si="31"/>
        <v>265387.82684352883</v>
      </c>
      <c r="K36" s="15">
        <f t="shared" si="31"/>
        <v>528083.84539265581</v>
      </c>
      <c r="L36" s="14">
        <f t="shared" si="31"/>
        <v>379422.61458818952</v>
      </c>
      <c r="M36" s="13">
        <f t="shared" si="31"/>
        <v>259759.50040977949</v>
      </c>
    </row>
    <row r="37" spans="1:13" x14ac:dyDescent="0.2">
      <c r="A37" s="20">
        <v>3646</v>
      </c>
      <c r="B37" s="19" t="s">
        <v>41</v>
      </c>
      <c r="C37" s="58">
        <f t="shared" ref="C37:M37" si="32">C81/$C$87*$C$43</f>
        <v>4708877.2539562676</v>
      </c>
      <c r="D37" s="15">
        <f t="shared" si="32"/>
        <v>662918.96995769441</v>
      </c>
      <c r="E37" s="14">
        <f t="shared" si="32"/>
        <v>347148.56726784603</v>
      </c>
      <c r="F37" s="14">
        <f t="shared" si="32"/>
        <v>10111.020833959101</v>
      </c>
      <c r="G37" s="13">
        <f t="shared" si="32"/>
        <v>1267172.4252373495</v>
      </c>
      <c r="H37" s="15">
        <f t="shared" si="32"/>
        <v>417964.41516712523</v>
      </c>
      <c r="I37" s="13">
        <f t="shared" si="32"/>
        <v>23247.435269834245</v>
      </c>
      <c r="J37" s="16">
        <f t="shared" si="32"/>
        <v>457729.76497078902</v>
      </c>
      <c r="K37" s="15">
        <f t="shared" si="32"/>
        <v>806074.22925088427</v>
      </c>
      <c r="L37" s="14">
        <f t="shared" si="32"/>
        <v>474370.03442709142</v>
      </c>
      <c r="M37" s="13">
        <f t="shared" si="32"/>
        <v>242140.39157369459</v>
      </c>
    </row>
    <row r="38" spans="1:13" x14ac:dyDescent="0.2">
      <c r="A38" s="20">
        <v>3581</v>
      </c>
      <c r="B38" s="19" t="s">
        <v>40</v>
      </c>
      <c r="C38" s="58">
        <f t="shared" ref="C38:M38" si="33">C82/$C$87*$C$43</f>
        <v>3961999.2303603604</v>
      </c>
      <c r="D38" s="15">
        <f t="shared" si="33"/>
        <v>490153.81942608411</v>
      </c>
      <c r="E38" s="14">
        <f t="shared" si="33"/>
        <v>171717.22140560483</v>
      </c>
      <c r="F38" s="14">
        <f t="shared" si="33"/>
        <v>6737.4478047314669</v>
      </c>
      <c r="G38" s="13">
        <f t="shared" si="33"/>
        <v>985532.19404176343</v>
      </c>
      <c r="H38" s="15">
        <f t="shared" si="33"/>
        <v>242262.74649616741</v>
      </c>
      <c r="I38" s="13">
        <f t="shared" si="33"/>
        <v>12480.202092226806</v>
      </c>
      <c r="J38" s="16">
        <f t="shared" si="33"/>
        <v>348222.10935762245</v>
      </c>
      <c r="K38" s="15">
        <f t="shared" si="33"/>
        <v>787231.57119007118</v>
      </c>
      <c r="L38" s="14">
        <f t="shared" si="33"/>
        <v>546559.43868605036</v>
      </c>
      <c r="M38" s="13">
        <f t="shared" si="33"/>
        <v>371102.47986003821</v>
      </c>
    </row>
    <row r="39" spans="1:13" x14ac:dyDescent="0.2">
      <c r="A39" s="20">
        <v>3606</v>
      </c>
      <c r="B39" s="19" t="s">
        <v>39</v>
      </c>
      <c r="C39" s="58">
        <f t="shared" ref="C39:M39" si="34">C83/$C$87*$C$43</f>
        <v>8089171.494968771</v>
      </c>
      <c r="D39" s="15">
        <f t="shared" si="34"/>
        <v>1129702.9991914716</v>
      </c>
      <c r="E39" s="14">
        <f t="shared" si="34"/>
        <v>662759.09285899659</v>
      </c>
      <c r="F39" s="14">
        <f t="shared" si="34"/>
        <v>8984.1503307630701</v>
      </c>
      <c r="G39" s="13">
        <f t="shared" si="34"/>
        <v>2142585.1890536216</v>
      </c>
      <c r="H39" s="15">
        <f t="shared" si="34"/>
        <v>122599.63231775745</v>
      </c>
      <c r="I39" s="13">
        <f t="shared" si="34"/>
        <v>44781.901625049126</v>
      </c>
      <c r="J39" s="16">
        <f t="shared" si="34"/>
        <v>812559.04014194326</v>
      </c>
      <c r="K39" s="15">
        <f t="shared" si="34"/>
        <v>1429472.5592498605</v>
      </c>
      <c r="L39" s="14">
        <f t="shared" si="34"/>
        <v>1088469.3903181341</v>
      </c>
      <c r="M39" s="13">
        <f t="shared" si="34"/>
        <v>647257.53988117457</v>
      </c>
    </row>
    <row r="40" spans="1:13" x14ac:dyDescent="0.2">
      <c r="A40" s="20">
        <v>3615</v>
      </c>
      <c r="B40" s="19" t="s">
        <v>105</v>
      </c>
      <c r="C40" s="58">
        <f t="shared" ref="C40:M40" si="35">C84/$C$87*$C$43</f>
        <v>14817632.561301935</v>
      </c>
      <c r="D40" s="15">
        <f t="shared" si="35"/>
        <v>1967834.2181302323</v>
      </c>
      <c r="E40" s="14">
        <f t="shared" si="35"/>
        <v>1245639.0600764372</v>
      </c>
      <c r="F40" s="14">
        <f t="shared" si="35"/>
        <v>8591.8451916989434</v>
      </c>
      <c r="G40" s="13">
        <f t="shared" si="35"/>
        <v>3831168.7676238748</v>
      </c>
      <c r="H40" s="15">
        <f t="shared" si="35"/>
        <v>358744.63269028428</v>
      </c>
      <c r="I40" s="13">
        <f t="shared" si="35"/>
        <v>48941.968989124733</v>
      </c>
      <c r="J40" s="16">
        <f t="shared" si="35"/>
        <v>1349085.3751852231</v>
      </c>
      <c r="K40" s="15">
        <f t="shared" si="35"/>
        <v>2742096.1675381861</v>
      </c>
      <c r="L40" s="14">
        <f t="shared" si="35"/>
        <v>2047854.3374274515</v>
      </c>
      <c r="M40" s="13">
        <f t="shared" si="35"/>
        <v>1217676.1884494233</v>
      </c>
    </row>
    <row r="41" spans="1:13" x14ac:dyDescent="0.2">
      <c r="A41" s="20">
        <v>3625</v>
      </c>
      <c r="B41" s="19" t="s">
        <v>38</v>
      </c>
      <c r="C41" s="58">
        <f t="shared" ref="C41:M41" si="36">C85/$C$87*$C$43</f>
        <v>544175.29539555463</v>
      </c>
      <c r="D41" s="15">
        <f t="shared" si="36"/>
        <v>69497.595964557113</v>
      </c>
      <c r="E41" s="14">
        <f t="shared" si="36"/>
        <v>20918.776385331694</v>
      </c>
      <c r="F41" s="14">
        <f t="shared" si="36"/>
        <v>5696.4204994536904</v>
      </c>
      <c r="G41" s="13">
        <f t="shared" si="36"/>
        <v>144744.64973611155</v>
      </c>
      <c r="H41" s="15">
        <f t="shared" si="36"/>
        <v>9298.9741079336982</v>
      </c>
      <c r="I41" s="13">
        <f t="shared" si="36"/>
        <v>4649.4870539668491</v>
      </c>
      <c r="J41" s="16">
        <f t="shared" si="36"/>
        <v>59831.557089204987</v>
      </c>
      <c r="K41" s="15">
        <f t="shared" si="36"/>
        <v>110119.43022553064</v>
      </c>
      <c r="L41" s="14">
        <f t="shared" si="36"/>
        <v>71088.209956703664</v>
      </c>
      <c r="M41" s="13">
        <f t="shared" si="36"/>
        <v>48330.194376760672</v>
      </c>
    </row>
    <row r="42" spans="1:13" x14ac:dyDescent="0.2">
      <c r="A42" s="20">
        <v>20</v>
      </c>
      <c r="B42" s="19" t="s">
        <v>37</v>
      </c>
      <c r="C42" s="77">
        <f t="shared" ref="C42:M42" si="37">C86/$C$87*$C$43</f>
        <v>375800.56074226485</v>
      </c>
      <c r="D42" s="15">
        <f t="shared" si="37"/>
        <v>59342.137399313731</v>
      </c>
      <c r="E42" s="14">
        <f t="shared" si="37"/>
        <v>18854.640260630942</v>
      </c>
      <c r="F42" s="14">
        <f t="shared" si="37"/>
        <v>13433.25208999003</v>
      </c>
      <c r="G42" s="13">
        <f t="shared" si="37"/>
        <v>102473.47112020456</v>
      </c>
      <c r="H42" s="15">
        <f t="shared" si="37"/>
        <v>4649.4870539668491</v>
      </c>
      <c r="I42" s="13">
        <f t="shared" si="37"/>
        <v>4160.0673640756022</v>
      </c>
      <c r="J42" s="16">
        <f t="shared" si="37"/>
        <v>52857.326508254708</v>
      </c>
      <c r="K42" s="15">
        <f t="shared" si="37"/>
        <v>84424.896506240155</v>
      </c>
      <c r="L42" s="14">
        <f t="shared" si="37"/>
        <v>34014.668447441691</v>
      </c>
      <c r="M42" s="13">
        <f t="shared" si="37"/>
        <v>1590.6139921465535</v>
      </c>
    </row>
    <row r="43" spans="1:13" ht="13.5" thickBot="1" x14ac:dyDescent="0.25">
      <c r="A43" s="12"/>
      <c r="B43" s="11" t="s">
        <v>11</v>
      </c>
      <c r="C43" s="117">
        <f>'Option 2'!C43</f>
        <v>235000000</v>
      </c>
      <c r="D43" s="75">
        <f t="shared" ref="D43:M43" si="38">SUM(D5:D42)</f>
        <v>30999904.335172839</v>
      </c>
      <c r="E43" s="74">
        <f t="shared" si="38"/>
        <v>18029549.198552098</v>
      </c>
      <c r="F43" s="74">
        <f t="shared" si="38"/>
        <v>376487.20758798649</v>
      </c>
      <c r="G43" s="73">
        <f t="shared" si="38"/>
        <v>63433619.935145885</v>
      </c>
      <c r="H43" s="75">
        <f t="shared" si="38"/>
        <v>10257257.860740758</v>
      </c>
      <c r="I43" s="73">
        <f t="shared" si="38"/>
        <v>879731.89257951675</v>
      </c>
      <c r="J43" s="76">
        <f t="shared" si="38"/>
        <v>20014389.975873906</v>
      </c>
      <c r="K43" s="75">
        <f t="shared" si="38"/>
        <v>42032158.274856396</v>
      </c>
      <c r="L43" s="74">
        <f t="shared" si="38"/>
        <v>30284128.038706888</v>
      </c>
      <c r="M43" s="73">
        <f t="shared" si="38"/>
        <v>18692773.280783821</v>
      </c>
    </row>
    <row r="44" spans="1:13" ht="13.5" thickBot="1" x14ac:dyDescent="0.25">
      <c r="A44" s="72"/>
      <c r="C44" s="116">
        <v>0.1</v>
      </c>
      <c r="D44" s="71" t="s">
        <v>88</v>
      </c>
      <c r="E44" s="70"/>
      <c r="F44" s="70"/>
      <c r="G44" s="70"/>
      <c r="H44" s="70"/>
      <c r="I44" s="70"/>
      <c r="J44" s="70"/>
      <c r="K44" s="70"/>
      <c r="L44" s="70"/>
      <c r="M44" s="70"/>
    </row>
    <row r="45" spans="1:13" ht="13.5" thickBot="1" x14ac:dyDescent="0.25">
      <c r="A45" s="69" t="s">
        <v>87</v>
      </c>
    </row>
    <row r="46" spans="1:13" ht="12.75" customHeight="1" outlineLevel="1" x14ac:dyDescent="0.2">
      <c r="A46" s="177" t="s">
        <v>24</v>
      </c>
      <c r="B46" s="179" t="s">
        <v>23</v>
      </c>
      <c r="C46" s="181" t="s">
        <v>36</v>
      </c>
      <c r="D46" s="183" t="s">
        <v>35</v>
      </c>
      <c r="E46" s="184"/>
      <c r="F46" s="184"/>
      <c r="G46" s="185"/>
      <c r="H46" s="186" t="s">
        <v>18</v>
      </c>
      <c r="I46" s="195" t="s">
        <v>17</v>
      </c>
      <c r="J46" s="197" t="s">
        <v>16</v>
      </c>
      <c r="K46" s="199" t="s">
        <v>34</v>
      </c>
      <c r="L46" s="200"/>
      <c r="M46" s="200"/>
    </row>
    <row r="47" spans="1:13" ht="51.75" outlineLevel="1" thickBot="1" x14ac:dyDescent="0.25">
      <c r="A47" s="178"/>
      <c r="B47" s="180"/>
      <c r="C47" s="182"/>
      <c r="D47" s="68"/>
      <c r="E47" s="67" t="s">
        <v>33</v>
      </c>
      <c r="F47" s="67" t="s">
        <v>32</v>
      </c>
      <c r="G47" s="114" t="s">
        <v>31</v>
      </c>
      <c r="H47" s="187"/>
      <c r="I47" s="196"/>
      <c r="J47" s="198"/>
      <c r="K47" s="44" t="s">
        <v>14</v>
      </c>
      <c r="L47" s="43" t="s">
        <v>13</v>
      </c>
      <c r="M47" s="42" t="s">
        <v>12</v>
      </c>
    </row>
    <row r="48" spans="1:13" outlineLevel="1" x14ac:dyDescent="0.2">
      <c r="A48" s="207" t="s">
        <v>30</v>
      </c>
      <c r="B48" s="208"/>
      <c r="C48" s="209"/>
      <c r="D48" s="62">
        <v>1</v>
      </c>
      <c r="E48" s="61">
        <v>1</v>
      </c>
      <c r="F48" s="61">
        <v>1</v>
      </c>
      <c r="G48" s="60">
        <v>1</v>
      </c>
      <c r="H48" s="65">
        <v>2</v>
      </c>
      <c r="I48" s="64">
        <v>2</v>
      </c>
      <c r="J48" s="63">
        <v>1</v>
      </c>
      <c r="K48" s="62">
        <v>1</v>
      </c>
      <c r="L48" s="61">
        <v>1</v>
      </c>
      <c r="M48" s="60">
        <v>1</v>
      </c>
    </row>
    <row r="49" spans="1:13" outlineLevel="1" x14ac:dyDescent="0.2">
      <c r="A49" s="20">
        <f t="shared" ref="A49:B68" si="39">A5</f>
        <v>3656</v>
      </c>
      <c r="B49" s="19" t="str">
        <f t="shared" si="39"/>
        <v>UTA</v>
      </c>
      <c r="C49" s="58">
        <f t="shared" ref="C49:C86" si="40">SUM(D49:M49)</f>
        <v>36769.487121611426</v>
      </c>
      <c r="D49" s="15">
        <f t="shared" ref="D49:D58" si="41">D91*D$48</f>
        <v>5018</v>
      </c>
      <c r="E49" s="14">
        <f t="shared" ref="E49:E58" si="42">D91*E91*E$48</f>
        <v>2600.9966666666669</v>
      </c>
      <c r="F49" s="14">
        <f t="shared" ref="F49:F58" si="43">IFERROR(D91/F91*100*F$48,0)</f>
        <v>29.603788278048281</v>
      </c>
      <c r="G49" s="13">
        <f t="shared" ref="G49:M58" si="44">G91*G$48</f>
        <v>10418.553333333379</v>
      </c>
      <c r="H49" s="36">
        <f t="shared" si="44"/>
        <v>3062.6666666666665</v>
      </c>
      <c r="I49" s="35">
        <f t="shared" si="44"/>
        <v>70</v>
      </c>
      <c r="J49" s="34">
        <f t="shared" si="44"/>
        <v>3116</v>
      </c>
      <c r="K49" s="36">
        <f t="shared" si="44"/>
        <v>6836.333333333333</v>
      </c>
      <c r="L49" s="59">
        <f t="shared" si="44"/>
        <v>3833.6666666666665</v>
      </c>
      <c r="M49" s="35">
        <f t="shared" si="44"/>
        <v>1783.6666666666667</v>
      </c>
    </row>
    <row r="50" spans="1:13" outlineLevel="1" x14ac:dyDescent="0.2">
      <c r="A50" s="20">
        <f t="shared" si="39"/>
        <v>3658</v>
      </c>
      <c r="B50" s="19" t="str">
        <f t="shared" si="39"/>
        <v>UT</v>
      </c>
      <c r="C50" s="58">
        <f t="shared" si="40"/>
        <v>68787.024692061648</v>
      </c>
      <c r="D50" s="15">
        <f t="shared" si="41"/>
        <v>8946.3333333333339</v>
      </c>
      <c r="E50" s="14">
        <f t="shared" si="42"/>
        <v>7416.5103333333345</v>
      </c>
      <c r="F50" s="14">
        <f t="shared" si="43"/>
        <v>26.497692061124674</v>
      </c>
      <c r="G50" s="13">
        <f t="shared" si="44"/>
        <v>19398.350000000519</v>
      </c>
      <c r="H50" s="15">
        <f t="shared" si="44"/>
        <v>3752.6666666666665</v>
      </c>
      <c r="I50" s="13">
        <f t="shared" si="44"/>
        <v>132</v>
      </c>
      <c r="J50" s="16">
        <f t="shared" si="44"/>
        <v>3470.3333333333335</v>
      </c>
      <c r="K50" s="15">
        <f t="shared" si="44"/>
        <v>9598.3333333333339</v>
      </c>
      <c r="L50" s="14">
        <f t="shared" si="44"/>
        <v>9005.6666666666661</v>
      </c>
      <c r="M50" s="13">
        <f t="shared" si="44"/>
        <v>7040.333333333333</v>
      </c>
    </row>
    <row r="51" spans="1:13" outlineLevel="1" x14ac:dyDescent="0.2">
      <c r="A51" s="20">
        <f t="shared" si="39"/>
        <v>9741</v>
      </c>
      <c r="B51" s="19" t="str">
        <f t="shared" si="39"/>
        <v>UTD</v>
      </c>
      <c r="C51" s="58">
        <f t="shared" si="40"/>
        <v>17900.978760516744</v>
      </c>
      <c r="D51" s="15">
        <f t="shared" si="41"/>
        <v>2393</v>
      </c>
      <c r="E51" s="14">
        <f t="shared" si="42"/>
        <v>1682.279</v>
      </c>
      <c r="F51" s="14">
        <f t="shared" si="43"/>
        <v>26.829760516638267</v>
      </c>
      <c r="G51" s="13">
        <f t="shared" si="44"/>
        <v>5101.2033333334393</v>
      </c>
      <c r="H51" s="15">
        <f t="shared" si="44"/>
        <v>843.33333333333337</v>
      </c>
      <c r="I51" s="13">
        <f t="shared" si="44"/>
        <v>64</v>
      </c>
      <c r="J51" s="16">
        <f t="shared" si="44"/>
        <v>1319.6666666666667</v>
      </c>
      <c r="K51" s="15">
        <f t="shared" si="44"/>
        <v>3315</v>
      </c>
      <c r="L51" s="14">
        <f t="shared" si="44"/>
        <v>2134.3333333333335</v>
      </c>
      <c r="M51" s="13">
        <f t="shared" si="44"/>
        <v>1021.3333333333334</v>
      </c>
    </row>
    <row r="52" spans="1:13" outlineLevel="1" x14ac:dyDescent="0.2">
      <c r="A52" s="20">
        <f t="shared" si="39"/>
        <v>3661</v>
      </c>
      <c r="B52" s="19" t="str">
        <f t="shared" si="39"/>
        <v>UTEP</v>
      </c>
      <c r="C52" s="58">
        <f t="shared" si="40"/>
        <v>24201.177561202836</v>
      </c>
      <c r="D52" s="15">
        <f t="shared" si="41"/>
        <v>3057</v>
      </c>
      <c r="E52" s="14">
        <f t="shared" si="42"/>
        <v>1192.2299999999998</v>
      </c>
      <c r="F52" s="14">
        <f t="shared" si="43"/>
        <v>22.870894536023343</v>
      </c>
      <c r="G52" s="13">
        <f t="shared" si="44"/>
        <v>6298.0766666668133</v>
      </c>
      <c r="H52" s="15">
        <f t="shared" si="44"/>
        <v>1310</v>
      </c>
      <c r="I52" s="13">
        <f t="shared" si="44"/>
        <v>180</v>
      </c>
      <c r="J52" s="16">
        <f t="shared" si="44"/>
        <v>2464.3333333333335</v>
      </c>
      <c r="K52" s="15">
        <f t="shared" si="44"/>
        <v>4362.666666666667</v>
      </c>
      <c r="L52" s="14">
        <f t="shared" si="44"/>
        <v>3358</v>
      </c>
      <c r="M52" s="13">
        <f t="shared" si="44"/>
        <v>1956</v>
      </c>
    </row>
    <row r="53" spans="1:13" outlineLevel="1" x14ac:dyDescent="0.2">
      <c r="A53" s="20">
        <f t="shared" si="39"/>
        <v>3599</v>
      </c>
      <c r="B53" s="19" t="str">
        <f t="shared" si="39"/>
        <v>UTPA</v>
      </c>
      <c r="C53" s="58">
        <f t="shared" si="40"/>
        <v>21392.305823832943</v>
      </c>
      <c r="D53" s="15">
        <f t="shared" si="41"/>
        <v>2580</v>
      </c>
      <c r="E53" s="14">
        <f t="shared" si="42"/>
        <v>1111.98</v>
      </c>
      <c r="F53" s="14">
        <f t="shared" si="43"/>
        <v>20.492490499497837</v>
      </c>
      <c r="G53" s="13">
        <f t="shared" si="44"/>
        <v>5134.1666666667797</v>
      </c>
      <c r="H53" s="15">
        <f t="shared" si="44"/>
        <v>1040.6666666666667</v>
      </c>
      <c r="I53" s="13">
        <f t="shared" si="44"/>
        <v>56</v>
      </c>
      <c r="J53" s="16">
        <f t="shared" si="44"/>
        <v>2338.3333333333335</v>
      </c>
      <c r="K53" s="15">
        <f t="shared" si="44"/>
        <v>4075.3333333333335</v>
      </c>
      <c r="L53" s="14">
        <f t="shared" si="44"/>
        <v>3096</v>
      </c>
      <c r="M53" s="13">
        <f t="shared" si="44"/>
        <v>1939.3333333333333</v>
      </c>
    </row>
    <row r="54" spans="1:13" outlineLevel="1" x14ac:dyDescent="0.2">
      <c r="A54" s="20">
        <f t="shared" si="39"/>
        <v>30646</v>
      </c>
      <c r="B54" s="19" t="str">
        <f t="shared" si="39"/>
        <v>UTB</v>
      </c>
      <c r="C54" s="58">
        <f t="shared" si="40"/>
        <v>7057.7588275484459</v>
      </c>
      <c r="D54" s="15">
        <f t="shared" si="41"/>
        <v>1092</v>
      </c>
      <c r="E54" s="14">
        <f t="shared" si="42"/>
        <v>628.17092451302005</v>
      </c>
      <c r="F54" s="14">
        <f t="shared" si="43"/>
        <v>34.461236368736628</v>
      </c>
      <c r="G54" s="13">
        <f t="shared" si="44"/>
        <v>2097.7933333333553</v>
      </c>
      <c r="H54" s="15">
        <f t="shared" si="44"/>
        <v>248.66666666666666</v>
      </c>
      <c r="I54" s="13">
        <f t="shared" si="44"/>
        <v>36.666666666666664</v>
      </c>
      <c r="J54" s="16">
        <f t="shared" si="44"/>
        <v>936.66666666666663</v>
      </c>
      <c r="K54" s="15">
        <f t="shared" si="44"/>
        <v>1326.3333333333333</v>
      </c>
      <c r="L54" s="14">
        <f t="shared" si="44"/>
        <v>556.33333333333337</v>
      </c>
      <c r="M54" s="13">
        <f t="shared" si="44"/>
        <v>100.66666666666667</v>
      </c>
    </row>
    <row r="55" spans="1:13" outlineLevel="1" x14ac:dyDescent="0.2">
      <c r="A55" s="20">
        <f t="shared" si="39"/>
        <v>9930</v>
      </c>
      <c r="B55" s="19" t="str">
        <f t="shared" si="39"/>
        <v>UTPB</v>
      </c>
      <c r="C55" s="58">
        <f t="shared" si="40"/>
        <v>3768.108507976583</v>
      </c>
      <c r="D55" s="15">
        <f t="shared" si="41"/>
        <v>533.33333333333337</v>
      </c>
      <c r="E55" s="14">
        <f t="shared" si="42"/>
        <v>236.8</v>
      </c>
      <c r="F55" s="14">
        <f t="shared" si="43"/>
        <v>23.125174643246009</v>
      </c>
      <c r="G55" s="13">
        <f t="shared" si="44"/>
        <v>1001.5166666666704</v>
      </c>
      <c r="H55" s="15">
        <f t="shared" si="44"/>
        <v>82.666666666666671</v>
      </c>
      <c r="I55" s="13">
        <f t="shared" si="44"/>
        <v>20</v>
      </c>
      <c r="J55" s="16">
        <f t="shared" si="44"/>
        <v>399</v>
      </c>
      <c r="K55" s="15">
        <f t="shared" si="44"/>
        <v>785.66666666666663</v>
      </c>
      <c r="L55" s="14">
        <f t="shared" si="44"/>
        <v>491.66666666666669</v>
      </c>
      <c r="M55" s="13">
        <f t="shared" si="44"/>
        <v>194.33333333333334</v>
      </c>
    </row>
    <row r="56" spans="1:13" outlineLevel="1" x14ac:dyDescent="0.2">
      <c r="A56" s="20">
        <f t="shared" si="39"/>
        <v>10115</v>
      </c>
      <c r="B56" s="19" t="str">
        <f t="shared" si="39"/>
        <v>UTSA</v>
      </c>
      <c r="C56" s="58">
        <f t="shared" si="40"/>
        <v>32182.247145212375</v>
      </c>
      <c r="D56" s="15">
        <f t="shared" si="41"/>
        <v>4119.666666666667</v>
      </c>
      <c r="E56" s="14">
        <f t="shared" si="42"/>
        <v>1737.1261111111112</v>
      </c>
      <c r="F56" s="14">
        <f t="shared" si="43"/>
        <v>20.241034101368403</v>
      </c>
      <c r="G56" s="13">
        <f t="shared" si="44"/>
        <v>8414.213333333224</v>
      </c>
      <c r="H56" s="15">
        <f t="shared" si="44"/>
        <v>784</v>
      </c>
      <c r="I56" s="13">
        <f t="shared" si="44"/>
        <v>99.333333333333329</v>
      </c>
      <c r="J56" s="16">
        <f t="shared" si="44"/>
        <v>3123.6666666666665</v>
      </c>
      <c r="K56" s="15">
        <f t="shared" si="44"/>
        <v>6809.666666666667</v>
      </c>
      <c r="L56" s="14">
        <f t="shared" si="44"/>
        <v>4458.666666666667</v>
      </c>
      <c r="M56" s="13">
        <f t="shared" si="44"/>
        <v>2615.6666666666665</v>
      </c>
    </row>
    <row r="57" spans="1:13" outlineLevel="1" x14ac:dyDescent="0.2">
      <c r="A57" s="20">
        <f t="shared" si="39"/>
        <v>11163</v>
      </c>
      <c r="B57" s="19" t="str">
        <f t="shared" si="39"/>
        <v>UTT</v>
      </c>
      <c r="C57" s="58">
        <f t="shared" si="40"/>
        <v>8632.8924071838283</v>
      </c>
      <c r="D57" s="15">
        <f t="shared" si="41"/>
        <v>1190</v>
      </c>
      <c r="E57" s="14">
        <f t="shared" si="42"/>
        <v>613.64333333333343</v>
      </c>
      <c r="F57" s="14">
        <f t="shared" si="43"/>
        <v>29.255740517151896</v>
      </c>
      <c r="G57" s="13">
        <f t="shared" si="44"/>
        <v>2362.6600000000103</v>
      </c>
      <c r="H57" s="15">
        <f t="shared" si="44"/>
        <v>753.33333333333337</v>
      </c>
      <c r="I57" s="13">
        <f t="shared" si="44"/>
        <v>28</v>
      </c>
      <c r="J57" s="16">
        <f t="shared" si="44"/>
        <v>942.33333333333337</v>
      </c>
      <c r="K57" s="15">
        <f t="shared" si="44"/>
        <v>1436.3333333333333</v>
      </c>
      <c r="L57" s="14">
        <f t="shared" si="44"/>
        <v>890</v>
      </c>
      <c r="M57" s="13">
        <f t="shared" si="44"/>
        <v>387.33333333333331</v>
      </c>
    </row>
    <row r="58" spans="1:13" outlineLevel="1" x14ac:dyDescent="0.2">
      <c r="A58" s="20">
        <f t="shared" si="39"/>
        <v>3632</v>
      </c>
      <c r="B58" s="19" t="str">
        <f t="shared" si="39"/>
        <v>TAMU</v>
      </c>
      <c r="C58" s="58">
        <f t="shared" si="40"/>
        <v>69584.538331015414</v>
      </c>
      <c r="D58" s="15">
        <f t="shared" si="41"/>
        <v>8739.6666666666661</v>
      </c>
      <c r="E58" s="14">
        <f t="shared" si="42"/>
        <v>7347.1464444444427</v>
      </c>
      <c r="F58" s="14">
        <f t="shared" si="43"/>
        <v>25.241886570842681</v>
      </c>
      <c r="G58" s="13">
        <f t="shared" si="44"/>
        <v>20104.8166666668</v>
      </c>
      <c r="H58" s="15">
        <f t="shared" si="44"/>
        <v>3526</v>
      </c>
      <c r="I58" s="13">
        <f t="shared" si="44"/>
        <v>252</v>
      </c>
      <c r="J58" s="16">
        <f t="shared" si="44"/>
        <v>3724</v>
      </c>
      <c r="K58" s="15">
        <f t="shared" si="44"/>
        <v>10060.666666666666</v>
      </c>
      <c r="L58" s="14">
        <f t="shared" si="44"/>
        <v>8907.3333333333339</v>
      </c>
      <c r="M58" s="13">
        <f t="shared" si="44"/>
        <v>6897.666666666667</v>
      </c>
    </row>
    <row r="59" spans="1:13" outlineLevel="1" x14ac:dyDescent="0.2">
      <c r="A59" s="20">
        <f t="shared" si="39"/>
        <v>10298</v>
      </c>
      <c r="B59" s="19" t="str">
        <f t="shared" si="39"/>
        <v>TAMUG</v>
      </c>
      <c r="C59" s="58">
        <f t="shared" si="40"/>
        <v>3836.2276183820381</v>
      </c>
      <c r="D59" s="15">
        <f>D101*D$48*1.5</f>
        <v>413</v>
      </c>
      <c r="E59" s="14">
        <f>D101*E101*E$48*1.5</f>
        <v>259.08866666666665</v>
      </c>
      <c r="F59" s="14">
        <f>IFERROR(D101/F101*100*F$48,0)*1.5</f>
        <v>24.598951715374838</v>
      </c>
      <c r="G59" s="13">
        <f t="shared" ref="G59:M59" si="45">G101*G$48*1.5</f>
        <v>1056.0399999999968</v>
      </c>
      <c r="H59" s="15">
        <f t="shared" si="45"/>
        <v>112</v>
      </c>
      <c r="I59" s="13">
        <f t="shared" si="45"/>
        <v>0</v>
      </c>
      <c r="J59" s="16">
        <f t="shared" si="45"/>
        <v>237</v>
      </c>
      <c r="K59" s="15">
        <f t="shared" si="45"/>
        <v>888.5</v>
      </c>
      <c r="L59" s="14">
        <f t="shared" si="45"/>
        <v>477</v>
      </c>
      <c r="M59" s="13">
        <f t="shared" si="45"/>
        <v>369</v>
      </c>
    </row>
    <row r="60" spans="1:13" outlineLevel="1" x14ac:dyDescent="0.2">
      <c r="A60" s="20">
        <f t="shared" si="39"/>
        <v>3630</v>
      </c>
      <c r="B60" s="19" t="str">
        <f t="shared" si="39"/>
        <v>Prairie View</v>
      </c>
      <c r="C60" s="58">
        <f t="shared" si="40"/>
        <v>8580.7275769141961</v>
      </c>
      <c r="D60" s="15">
        <f t="shared" ref="D60:D86" si="46">D102*D$48</f>
        <v>936.33333333333337</v>
      </c>
      <c r="E60" s="14">
        <f t="shared" ref="E60:E86" si="47">D102*E102*E$48</f>
        <v>348.00388888888887</v>
      </c>
      <c r="F60" s="14">
        <f t="shared" ref="F60:F86" si="48">IFERROR(D102/F102*100*F$48,0)</f>
        <v>15.823688025296873</v>
      </c>
      <c r="G60" s="13">
        <f t="shared" ref="G60:M69" si="49">G102*G$48</f>
        <v>2072.9000000000092</v>
      </c>
      <c r="H60" s="15">
        <f t="shared" si="49"/>
        <v>631.33333333333337</v>
      </c>
      <c r="I60" s="13">
        <f t="shared" si="49"/>
        <v>19.333333333333332</v>
      </c>
      <c r="J60" s="16">
        <f t="shared" si="49"/>
        <v>802.66666666666663</v>
      </c>
      <c r="K60" s="15">
        <f t="shared" si="49"/>
        <v>1668</v>
      </c>
      <c r="L60" s="14">
        <f t="shared" si="49"/>
        <v>1181</v>
      </c>
      <c r="M60" s="13">
        <f t="shared" si="49"/>
        <v>905.33333333333337</v>
      </c>
    </row>
    <row r="61" spans="1:13" outlineLevel="1" x14ac:dyDescent="0.2">
      <c r="A61" s="20">
        <f t="shared" si="39"/>
        <v>3631</v>
      </c>
      <c r="B61" s="19" t="str">
        <f t="shared" si="39"/>
        <v>Tarleton</v>
      </c>
      <c r="C61" s="58">
        <f t="shared" si="40"/>
        <v>11473.105767752351</v>
      </c>
      <c r="D61" s="15">
        <f t="shared" si="46"/>
        <v>1545.3333333333333</v>
      </c>
      <c r="E61" s="14">
        <f t="shared" si="47"/>
        <v>738.66933333333338</v>
      </c>
      <c r="F61" s="14">
        <f t="shared" si="48"/>
        <v>24.559767752325659</v>
      </c>
      <c r="G61" s="13">
        <f t="shared" si="49"/>
        <v>3122.5433333333599</v>
      </c>
      <c r="H61" s="15">
        <f t="shared" si="49"/>
        <v>406</v>
      </c>
      <c r="I61" s="13">
        <f t="shared" si="49"/>
        <v>95.333333333333329</v>
      </c>
      <c r="J61" s="16">
        <f t="shared" si="49"/>
        <v>1195</v>
      </c>
      <c r="K61" s="15">
        <f t="shared" si="49"/>
        <v>2154.3333333333335</v>
      </c>
      <c r="L61" s="14">
        <f t="shared" si="49"/>
        <v>1328.6666666666667</v>
      </c>
      <c r="M61" s="13">
        <f t="shared" si="49"/>
        <v>862.66666666666663</v>
      </c>
    </row>
    <row r="62" spans="1:13" outlineLevel="1" x14ac:dyDescent="0.2">
      <c r="A62" s="27">
        <f t="shared" si="39"/>
        <v>103631</v>
      </c>
      <c r="B62" s="19" t="str">
        <f t="shared" si="39"/>
        <v>TAMUCT</v>
      </c>
      <c r="C62" s="58">
        <f t="shared" si="40"/>
        <v>2671.9105161886728</v>
      </c>
      <c r="D62" s="15">
        <f t="shared" si="46"/>
        <v>460.33333333333331</v>
      </c>
      <c r="E62" s="14">
        <f t="shared" si="47"/>
        <v>220.03933333333333</v>
      </c>
      <c r="F62" s="14">
        <f t="shared" si="48"/>
        <v>67.587849522007247</v>
      </c>
      <c r="G62" s="13">
        <f t="shared" si="49"/>
        <v>853.61666666666588</v>
      </c>
      <c r="H62" s="15">
        <f t="shared" si="49"/>
        <v>81.333333333333329</v>
      </c>
      <c r="I62" s="13">
        <f t="shared" si="49"/>
        <v>0</v>
      </c>
      <c r="J62" s="16">
        <f t="shared" si="49"/>
        <v>327</v>
      </c>
      <c r="K62" s="15">
        <f t="shared" si="49"/>
        <v>495</v>
      </c>
      <c r="L62" s="14">
        <f t="shared" si="49"/>
        <v>133</v>
      </c>
      <c r="M62" s="13">
        <f t="shared" si="49"/>
        <v>34</v>
      </c>
    </row>
    <row r="63" spans="1:13" outlineLevel="1" x14ac:dyDescent="0.2">
      <c r="A63" s="20">
        <f t="shared" si="39"/>
        <v>11161</v>
      </c>
      <c r="B63" s="19" t="str">
        <f t="shared" si="39"/>
        <v>TAMUCC</v>
      </c>
      <c r="C63" s="58">
        <f t="shared" si="40"/>
        <v>10983.516514062836</v>
      </c>
      <c r="D63" s="15">
        <f t="shared" si="46"/>
        <v>1388.3333333333333</v>
      </c>
      <c r="E63" s="14">
        <f t="shared" si="47"/>
        <v>705.27333333333331</v>
      </c>
      <c r="F63" s="14">
        <f t="shared" si="48"/>
        <v>21.376514062820775</v>
      </c>
      <c r="G63" s="13">
        <f t="shared" si="49"/>
        <v>2804.2000000000139</v>
      </c>
      <c r="H63" s="15">
        <f t="shared" si="49"/>
        <v>532.66666666666663</v>
      </c>
      <c r="I63" s="13">
        <f t="shared" si="49"/>
        <v>51.333333333333336</v>
      </c>
      <c r="J63" s="16">
        <f t="shared" si="49"/>
        <v>1080</v>
      </c>
      <c r="K63" s="15">
        <f t="shared" si="49"/>
        <v>2054</v>
      </c>
      <c r="L63" s="14">
        <f t="shared" si="49"/>
        <v>1468</v>
      </c>
      <c r="M63" s="13">
        <f t="shared" si="49"/>
        <v>878.33333333333337</v>
      </c>
    </row>
    <row r="64" spans="1:13" outlineLevel="1" x14ac:dyDescent="0.2">
      <c r="A64" s="20">
        <f t="shared" si="39"/>
        <v>3639</v>
      </c>
      <c r="B64" s="19" t="str">
        <f t="shared" si="39"/>
        <v>TAMUK</v>
      </c>
      <c r="C64" s="58">
        <f t="shared" si="40"/>
        <v>6696.7767214397563</v>
      </c>
      <c r="D64" s="15">
        <f t="shared" si="46"/>
        <v>761.66666666666663</v>
      </c>
      <c r="E64" s="14">
        <f t="shared" si="47"/>
        <v>306.44388888888892</v>
      </c>
      <c r="F64" s="14">
        <f t="shared" si="48"/>
        <v>17.879499217527385</v>
      </c>
      <c r="G64" s="13">
        <f t="shared" si="49"/>
        <v>1763.4533333333395</v>
      </c>
      <c r="H64" s="15">
        <f t="shared" si="49"/>
        <v>520</v>
      </c>
      <c r="I64" s="13">
        <f t="shared" si="49"/>
        <v>33.333333333333336</v>
      </c>
      <c r="J64" s="16">
        <f t="shared" si="49"/>
        <v>648.33333333333337</v>
      </c>
      <c r="K64" s="15">
        <f t="shared" si="49"/>
        <v>1227.3333333333333</v>
      </c>
      <c r="L64" s="14">
        <f t="shared" si="49"/>
        <v>859.66666666666663</v>
      </c>
      <c r="M64" s="13">
        <f t="shared" si="49"/>
        <v>558.66666666666663</v>
      </c>
    </row>
    <row r="65" spans="1:13" outlineLevel="1" x14ac:dyDescent="0.2">
      <c r="A65" s="27">
        <f t="shared" si="39"/>
        <v>103639</v>
      </c>
      <c r="B65" s="19" t="str">
        <f t="shared" si="39"/>
        <v>TAMUSA</v>
      </c>
      <c r="C65" s="58">
        <f t="shared" si="40"/>
        <v>3205.7163913742643</v>
      </c>
      <c r="D65" s="15">
        <f t="shared" si="46"/>
        <v>587.66666666666663</v>
      </c>
      <c r="E65" s="14">
        <f t="shared" si="47"/>
        <v>236.43788888888889</v>
      </c>
      <c r="F65" s="14">
        <f t="shared" si="48"/>
        <v>41.598502485370922</v>
      </c>
      <c r="G65" s="13">
        <f t="shared" si="49"/>
        <v>1026.0133333333379</v>
      </c>
      <c r="H65" s="15">
        <f t="shared" si="49"/>
        <v>10</v>
      </c>
      <c r="I65" s="13">
        <f t="shared" si="49"/>
        <v>4</v>
      </c>
      <c r="J65" s="16">
        <f t="shared" si="49"/>
        <v>490.33333333333331</v>
      </c>
      <c r="K65" s="15">
        <f t="shared" si="49"/>
        <v>729.66666666666663</v>
      </c>
      <c r="L65" s="14">
        <f t="shared" si="49"/>
        <v>77.333333333333329</v>
      </c>
      <c r="M65" s="13">
        <f t="shared" si="49"/>
        <v>2.6666666666666665</v>
      </c>
    </row>
    <row r="66" spans="1:13" outlineLevel="1" x14ac:dyDescent="0.2">
      <c r="A66" s="20">
        <f t="shared" si="39"/>
        <v>9651</v>
      </c>
      <c r="B66" s="19" t="str">
        <f t="shared" si="39"/>
        <v>TAMI</v>
      </c>
      <c r="C66" s="58">
        <f t="shared" si="40"/>
        <v>6525.9317099037416</v>
      </c>
      <c r="D66" s="15">
        <f t="shared" si="46"/>
        <v>789.66666666666663</v>
      </c>
      <c r="E66" s="14">
        <f t="shared" si="47"/>
        <v>373.77555555555551</v>
      </c>
      <c r="F66" s="14">
        <f t="shared" si="48"/>
        <v>19.326154348180779</v>
      </c>
      <c r="G66" s="13">
        <f t="shared" si="49"/>
        <v>1458.4966666666717</v>
      </c>
      <c r="H66" s="15">
        <f t="shared" si="49"/>
        <v>231.33333333333334</v>
      </c>
      <c r="I66" s="13">
        <f t="shared" si="49"/>
        <v>44.666666666666664</v>
      </c>
      <c r="J66" s="16">
        <f t="shared" si="49"/>
        <v>712.66666666666663</v>
      </c>
      <c r="K66" s="15">
        <f t="shared" si="49"/>
        <v>1406.6666666666667</v>
      </c>
      <c r="L66" s="14">
        <f t="shared" si="49"/>
        <v>1015.6666666666666</v>
      </c>
      <c r="M66" s="13">
        <f t="shared" si="49"/>
        <v>473.66666666666669</v>
      </c>
    </row>
    <row r="67" spans="1:13" outlineLevel="1" x14ac:dyDescent="0.2">
      <c r="A67" s="20">
        <f t="shared" si="39"/>
        <v>3665</v>
      </c>
      <c r="B67" s="19" t="str">
        <f t="shared" si="39"/>
        <v>WTAMU</v>
      </c>
      <c r="C67" s="58">
        <f t="shared" si="40"/>
        <v>9433.0981662984941</v>
      </c>
      <c r="D67" s="15">
        <f t="shared" si="46"/>
        <v>1255.6666666666667</v>
      </c>
      <c r="E67" s="14">
        <f t="shared" si="47"/>
        <v>591.00044444444438</v>
      </c>
      <c r="F67" s="14">
        <f t="shared" si="48"/>
        <v>23.187721854032869</v>
      </c>
      <c r="G67" s="13">
        <f t="shared" si="49"/>
        <v>2503.5766666666836</v>
      </c>
      <c r="H67" s="15">
        <f t="shared" si="49"/>
        <v>383.33333333333331</v>
      </c>
      <c r="I67" s="13">
        <f t="shared" si="49"/>
        <v>121.33333333333333</v>
      </c>
      <c r="J67" s="16">
        <f t="shared" si="49"/>
        <v>889.33333333333337</v>
      </c>
      <c r="K67" s="15">
        <f t="shared" si="49"/>
        <v>1791.6666666666667</v>
      </c>
      <c r="L67" s="14">
        <f t="shared" si="49"/>
        <v>1212.6666666666667</v>
      </c>
      <c r="M67" s="13">
        <f t="shared" si="49"/>
        <v>661.33333333333337</v>
      </c>
    </row>
    <row r="68" spans="1:13" outlineLevel="1" x14ac:dyDescent="0.2">
      <c r="A68" s="20">
        <f t="shared" si="39"/>
        <v>3565</v>
      </c>
      <c r="B68" s="19" t="str">
        <f t="shared" si="39"/>
        <v>TAMUC</v>
      </c>
      <c r="C68" s="58">
        <f t="shared" si="40"/>
        <v>9233.7287686960499</v>
      </c>
      <c r="D68" s="15">
        <f t="shared" si="46"/>
        <v>1324.3333333333333</v>
      </c>
      <c r="E68" s="14">
        <f t="shared" si="47"/>
        <v>582.70666666666659</v>
      </c>
      <c r="F68" s="14">
        <f t="shared" si="48"/>
        <v>28.19543536269185</v>
      </c>
      <c r="G68" s="13">
        <f t="shared" si="49"/>
        <v>2501.8266666666914</v>
      </c>
      <c r="H68" s="15">
        <f t="shared" si="49"/>
        <v>146</v>
      </c>
      <c r="I68" s="13">
        <f t="shared" si="49"/>
        <v>148.66666666666666</v>
      </c>
      <c r="J68" s="16">
        <f t="shared" si="49"/>
        <v>1019.3333333333334</v>
      </c>
      <c r="K68" s="15">
        <f t="shared" si="49"/>
        <v>1893</v>
      </c>
      <c r="L68" s="14">
        <f t="shared" si="49"/>
        <v>1137.3333333333333</v>
      </c>
      <c r="M68" s="13">
        <f t="shared" si="49"/>
        <v>452.33333333333331</v>
      </c>
    </row>
    <row r="69" spans="1:13" outlineLevel="1" x14ac:dyDescent="0.2">
      <c r="A69" s="20">
        <f t="shared" ref="A69:B86" si="50">A25</f>
        <v>29269</v>
      </c>
      <c r="B69" s="19" t="str">
        <f t="shared" si="50"/>
        <v>TAMUT</v>
      </c>
      <c r="C69" s="58">
        <f t="shared" si="40"/>
        <v>2167.0366176870225</v>
      </c>
      <c r="D69" s="15">
        <f t="shared" si="46"/>
        <v>345.66666666666669</v>
      </c>
      <c r="E69" s="14">
        <f t="shared" si="47"/>
        <v>187.3602625468375</v>
      </c>
      <c r="F69" s="14">
        <f t="shared" si="48"/>
        <v>38.766355140186917</v>
      </c>
      <c r="G69" s="13">
        <f t="shared" si="49"/>
        <v>619.90999999999826</v>
      </c>
      <c r="H69" s="15">
        <f t="shared" si="49"/>
        <v>83.333333333333329</v>
      </c>
      <c r="I69" s="13">
        <f t="shared" si="49"/>
        <v>38.666666666666664</v>
      </c>
      <c r="J69" s="16">
        <f t="shared" si="49"/>
        <v>239</v>
      </c>
      <c r="K69" s="15">
        <f t="shared" si="49"/>
        <v>432.66666666666669</v>
      </c>
      <c r="L69" s="14">
        <f t="shared" si="49"/>
        <v>181</v>
      </c>
      <c r="M69" s="13">
        <f t="shared" si="49"/>
        <v>0.66666666666666663</v>
      </c>
    </row>
    <row r="70" spans="1:13" outlineLevel="1" x14ac:dyDescent="0.2">
      <c r="A70" s="20">
        <f t="shared" si="50"/>
        <v>3652</v>
      </c>
      <c r="B70" s="19" t="str">
        <f t="shared" si="50"/>
        <v>UH</v>
      </c>
      <c r="C70" s="58">
        <f t="shared" si="40"/>
        <v>40007.256605232862</v>
      </c>
      <c r="D70" s="15">
        <f t="shared" si="46"/>
        <v>5098.666666666667</v>
      </c>
      <c r="E70" s="14">
        <f t="shared" si="47"/>
        <v>2734.5848888888891</v>
      </c>
      <c r="F70" s="14">
        <f t="shared" si="48"/>
        <v>21.425049678026625</v>
      </c>
      <c r="G70" s="13">
        <f t="shared" ref="G70:M79" si="51">G112*G$48</f>
        <v>10580.246666665944</v>
      </c>
      <c r="H70" s="15">
        <f t="shared" si="51"/>
        <v>1474</v>
      </c>
      <c r="I70" s="13">
        <f t="shared" si="51"/>
        <v>125.33333333333333</v>
      </c>
      <c r="J70" s="16">
        <f t="shared" si="51"/>
        <v>3373</v>
      </c>
      <c r="K70" s="15">
        <f t="shared" si="51"/>
        <v>7602.333333333333</v>
      </c>
      <c r="L70" s="14">
        <f t="shared" si="51"/>
        <v>5690.333333333333</v>
      </c>
      <c r="M70" s="13">
        <f t="shared" si="51"/>
        <v>3307.3333333333335</v>
      </c>
    </row>
    <row r="71" spans="1:13" outlineLevel="1" x14ac:dyDescent="0.2">
      <c r="A71" s="20">
        <f t="shared" si="50"/>
        <v>11711</v>
      </c>
      <c r="B71" s="19" t="str">
        <f t="shared" si="50"/>
        <v>UHCL</v>
      </c>
      <c r="C71" s="58">
        <f t="shared" si="40"/>
        <v>7538.9896060071042</v>
      </c>
      <c r="D71" s="15">
        <f t="shared" si="46"/>
        <v>1190.6666666666667</v>
      </c>
      <c r="E71" s="14">
        <f t="shared" si="47"/>
        <v>619.34267935898833</v>
      </c>
      <c r="F71" s="14">
        <f t="shared" si="48"/>
        <v>39.693593314763234</v>
      </c>
      <c r="G71" s="13">
        <f t="shared" si="51"/>
        <v>2282.9533333333529</v>
      </c>
      <c r="H71" s="15">
        <f t="shared" si="51"/>
        <v>213.33333333333334</v>
      </c>
      <c r="I71" s="13">
        <f t="shared" si="51"/>
        <v>16.666666666666668</v>
      </c>
      <c r="J71" s="16">
        <f t="shared" si="51"/>
        <v>774.33333333333337</v>
      </c>
      <c r="K71" s="15">
        <f t="shared" si="51"/>
        <v>1391.3333333333333</v>
      </c>
      <c r="L71" s="14">
        <f t="shared" si="51"/>
        <v>953.66666666666663</v>
      </c>
      <c r="M71" s="13">
        <f t="shared" si="51"/>
        <v>57</v>
      </c>
    </row>
    <row r="72" spans="1:13" outlineLevel="1" x14ac:dyDescent="0.2">
      <c r="A72" s="20">
        <f t="shared" si="50"/>
        <v>12826</v>
      </c>
      <c r="B72" s="19" t="str">
        <f t="shared" si="50"/>
        <v>UHD</v>
      </c>
      <c r="C72" s="58">
        <f t="shared" si="40"/>
        <v>14658.126365196475</v>
      </c>
      <c r="D72" s="15">
        <f t="shared" si="46"/>
        <v>2382.3333333333335</v>
      </c>
      <c r="E72" s="14">
        <f t="shared" si="47"/>
        <v>452.64333333333343</v>
      </c>
      <c r="F72" s="14">
        <f t="shared" si="48"/>
        <v>29.833031863086134</v>
      </c>
      <c r="G72" s="13">
        <f t="shared" si="51"/>
        <v>4271.3166666667212</v>
      </c>
      <c r="H72" s="15">
        <f t="shared" si="51"/>
        <v>259.33333333333331</v>
      </c>
      <c r="I72" s="13">
        <f t="shared" si="51"/>
        <v>3.3333333333333335</v>
      </c>
      <c r="J72" s="16">
        <f t="shared" si="51"/>
        <v>1681</v>
      </c>
      <c r="K72" s="15">
        <f t="shared" si="51"/>
        <v>3105.3333333333335</v>
      </c>
      <c r="L72" s="14">
        <f t="shared" si="51"/>
        <v>1868.3333333333333</v>
      </c>
      <c r="M72" s="13">
        <f t="shared" si="51"/>
        <v>604.66666666666663</v>
      </c>
    </row>
    <row r="73" spans="1:13" outlineLevel="1" x14ac:dyDescent="0.2">
      <c r="A73" s="20">
        <f t="shared" si="50"/>
        <v>13231</v>
      </c>
      <c r="B73" s="19" t="str">
        <f t="shared" si="50"/>
        <v>UHV</v>
      </c>
      <c r="C73" s="58">
        <f t="shared" si="40"/>
        <v>3635.0934450646537</v>
      </c>
      <c r="D73" s="15">
        <f t="shared" si="46"/>
        <v>576.66666666666663</v>
      </c>
      <c r="E73" s="14">
        <f t="shared" si="47"/>
        <v>300.19546283886069</v>
      </c>
      <c r="F73" s="14">
        <f t="shared" si="48"/>
        <v>40.08464889245883</v>
      </c>
      <c r="G73" s="13">
        <f t="shared" si="51"/>
        <v>1084.4800000000012</v>
      </c>
      <c r="H73" s="15">
        <f t="shared" si="51"/>
        <v>216</v>
      </c>
      <c r="I73" s="13">
        <f t="shared" si="51"/>
        <v>14.666666666666666</v>
      </c>
      <c r="J73" s="16">
        <f t="shared" si="51"/>
        <v>384</v>
      </c>
      <c r="K73" s="15">
        <f t="shared" si="51"/>
        <v>716</v>
      </c>
      <c r="L73" s="14">
        <f t="shared" si="51"/>
        <v>296.33333333333331</v>
      </c>
      <c r="M73" s="13">
        <f t="shared" si="51"/>
        <v>6.666666666666667</v>
      </c>
    </row>
    <row r="74" spans="1:13" outlineLevel="1" x14ac:dyDescent="0.2">
      <c r="A74" s="20">
        <f t="shared" si="50"/>
        <v>3592</v>
      </c>
      <c r="B74" s="19" t="str">
        <f t="shared" si="50"/>
        <v>Midwestern</v>
      </c>
      <c r="C74" s="58">
        <f t="shared" si="40"/>
        <v>8021.7014110369273</v>
      </c>
      <c r="D74" s="15">
        <f t="shared" si="46"/>
        <v>1031.6666666666667</v>
      </c>
      <c r="E74" s="14">
        <f t="shared" si="47"/>
        <v>453.24555555555554</v>
      </c>
      <c r="F74" s="14">
        <f t="shared" si="48"/>
        <v>24.122522148034601</v>
      </c>
      <c r="G74" s="13">
        <f t="shared" si="51"/>
        <v>1962.0000000000034</v>
      </c>
      <c r="H74" s="15">
        <f t="shared" si="51"/>
        <v>666.66666666666663</v>
      </c>
      <c r="I74" s="13">
        <f t="shared" si="51"/>
        <v>30</v>
      </c>
      <c r="J74" s="16">
        <f t="shared" si="51"/>
        <v>690.33333333333337</v>
      </c>
      <c r="K74" s="15">
        <f t="shared" si="51"/>
        <v>1438</v>
      </c>
      <c r="L74" s="14">
        <f t="shared" si="51"/>
        <v>1046</v>
      </c>
      <c r="M74" s="13">
        <f t="shared" si="51"/>
        <v>679.66666666666663</v>
      </c>
    </row>
    <row r="75" spans="1:13" outlineLevel="1" x14ac:dyDescent="0.2">
      <c r="A75" s="20">
        <f t="shared" si="50"/>
        <v>3594</v>
      </c>
      <c r="B75" s="19" t="str">
        <f t="shared" si="50"/>
        <v>UNT</v>
      </c>
      <c r="C75" s="58">
        <f t="shared" si="40"/>
        <v>42345.712500120833</v>
      </c>
      <c r="D75" s="15">
        <f t="shared" si="46"/>
        <v>6016.666666666667</v>
      </c>
      <c r="E75" s="14">
        <f t="shared" si="47"/>
        <v>3467.6055555555558</v>
      </c>
      <c r="F75" s="14">
        <f t="shared" si="48"/>
        <v>25.886944566084125</v>
      </c>
      <c r="G75" s="13">
        <f t="shared" si="51"/>
        <v>11411.553333332529</v>
      </c>
      <c r="H75" s="15">
        <f t="shared" si="51"/>
        <v>673.33333333333337</v>
      </c>
      <c r="I75" s="13">
        <f t="shared" si="51"/>
        <v>86.666666666666671</v>
      </c>
      <c r="J75" s="16">
        <f t="shared" si="51"/>
        <v>3820</v>
      </c>
      <c r="K75" s="15">
        <f t="shared" si="51"/>
        <v>7864.666666666667</v>
      </c>
      <c r="L75" s="14">
        <f t="shared" si="51"/>
        <v>5642.333333333333</v>
      </c>
      <c r="M75" s="13">
        <f t="shared" si="51"/>
        <v>3337</v>
      </c>
    </row>
    <row r="76" spans="1:13" outlineLevel="1" x14ac:dyDescent="0.2">
      <c r="A76" s="27">
        <f t="shared" si="50"/>
        <v>113594</v>
      </c>
      <c r="B76" s="19" t="str">
        <f t="shared" si="50"/>
        <v>UNTD</v>
      </c>
      <c r="C76" s="58">
        <f t="shared" si="40"/>
        <v>2278.0285160653862</v>
      </c>
      <c r="D76" s="15">
        <f t="shared" si="46"/>
        <v>403.5</v>
      </c>
      <c r="E76" s="14">
        <f t="shared" si="47"/>
        <v>233.02125000000001</v>
      </c>
      <c r="F76" s="14">
        <f t="shared" si="48"/>
        <v>42.647266065388948</v>
      </c>
      <c r="G76" s="13">
        <f t="shared" si="51"/>
        <v>705.85999999999717</v>
      </c>
      <c r="H76" s="15">
        <f t="shared" si="51"/>
        <v>24</v>
      </c>
      <c r="I76" s="13">
        <f t="shared" si="51"/>
        <v>0</v>
      </c>
      <c r="J76" s="16">
        <f t="shared" si="51"/>
        <v>308.5</v>
      </c>
      <c r="K76" s="15">
        <f t="shared" si="51"/>
        <v>478</v>
      </c>
      <c r="L76" s="14">
        <f t="shared" si="51"/>
        <v>71.5</v>
      </c>
      <c r="M76" s="13">
        <f t="shared" si="51"/>
        <v>11</v>
      </c>
    </row>
    <row r="77" spans="1:13" outlineLevel="1" x14ac:dyDescent="0.2">
      <c r="A77" s="20">
        <f t="shared" si="50"/>
        <v>3624</v>
      </c>
      <c r="B77" s="19" t="str">
        <f t="shared" si="50"/>
        <v>SFA</v>
      </c>
      <c r="C77" s="58">
        <f t="shared" si="40"/>
        <v>15015.597544310087</v>
      </c>
      <c r="D77" s="15">
        <f t="shared" si="46"/>
        <v>1921.6666666666667</v>
      </c>
      <c r="E77" s="14">
        <f t="shared" si="47"/>
        <v>1064.6033333333332</v>
      </c>
      <c r="F77" s="14">
        <f t="shared" si="48"/>
        <v>20.257544310083915</v>
      </c>
      <c r="G77" s="13">
        <f t="shared" si="51"/>
        <v>3721.736666666669</v>
      </c>
      <c r="H77" s="15">
        <f t="shared" si="51"/>
        <v>496</v>
      </c>
      <c r="I77" s="13">
        <f t="shared" si="51"/>
        <v>89.333333333333329</v>
      </c>
      <c r="J77" s="16">
        <f t="shared" si="51"/>
        <v>1460.3333333333333</v>
      </c>
      <c r="K77" s="15">
        <f t="shared" si="51"/>
        <v>2769.3333333333335</v>
      </c>
      <c r="L77" s="14">
        <f t="shared" si="51"/>
        <v>2075</v>
      </c>
      <c r="M77" s="13">
        <f t="shared" si="51"/>
        <v>1397.3333333333333</v>
      </c>
    </row>
    <row r="78" spans="1:13" outlineLevel="1" x14ac:dyDescent="0.2">
      <c r="A78" s="20">
        <f t="shared" si="50"/>
        <v>3642</v>
      </c>
      <c r="B78" s="19" t="str">
        <f t="shared" si="50"/>
        <v>TSU</v>
      </c>
      <c r="C78" s="58">
        <f t="shared" si="40"/>
        <v>6928.867569899784</v>
      </c>
      <c r="D78" s="15">
        <f t="shared" si="46"/>
        <v>758.33333333333337</v>
      </c>
      <c r="E78" s="14">
        <f t="shared" si="47"/>
        <v>108.94722222222221</v>
      </c>
      <c r="F78" s="14">
        <f t="shared" si="48"/>
        <v>12.933681010892716</v>
      </c>
      <c r="G78" s="13">
        <f t="shared" si="51"/>
        <v>1488.6533333333352</v>
      </c>
      <c r="H78" s="15">
        <f t="shared" si="51"/>
        <v>268.66666666666669</v>
      </c>
      <c r="I78" s="13">
        <f t="shared" si="51"/>
        <v>6</v>
      </c>
      <c r="J78" s="16">
        <f t="shared" si="51"/>
        <v>666.33333333333337</v>
      </c>
      <c r="K78" s="15">
        <f t="shared" si="51"/>
        <v>1637.3333333333333</v>
      </c>
      <c r="L78" s="14">
        <f t="shared" si="51"/>
        <v>1133</v>
      </c>
      <c r="M78" s="13">
        <f t="shared" si="51"/>
        <v>848.66666666666663</v>
      </c>
    </row>
    <row r="79" spans="1:13" outlineLevel="1" x14ac:dyDescent="0.2">
      <c r="A79" s="20">
        <f t="shared" si="50"/>
        <v>3644</v>
      </c>
      <c r="B79" s="19" t="str">
        <f t="shared" si="50"/>
        <v>TTU</v>
      </c>
      <c r="C79" s="58">
        <f t="shared" si="40"/>
        <v>38301.209243126381</v>
      </c>
      <c r="D79" s="15">
        <f t="shared" si="46"/>
        <v>4674</v>
      </c>
      <c r="E79" s="14">
        <f t="shared" si="47"/>
        <v>3421.3679999999995</v>
      </c>
      <c r="F79" s="14">
        <f t="shared" si="48"/>
        <v>21.061243127033354</v>
      </c>
      <c r="G79" s="13">
        <f t="shared" si="51"/>
        <v>10128.113333332682</v>
      </c>
      <c r="H79" s="15">
        <f t="shared" si="51"/>
        <v>1454.6666666666667</v>
      </c>
      <c r="I79" s="13">
        <f t="shared" si="51"/>
        <v>114.66666666666667</v>
      </c>
      <c r="J79" s="16">
        <f t="shared" si="51"/>
        <v>2778</v>
      </c>
      <c r="K79" s="15">
        <f t="shared" si="51"/>
        <v>6485.333333333333</v>
      </c>
      <c r="L79" s="14">
        <f t="shared" si="51"/>
        <v>5278.333333333333</v>
      </c>
      <c r="M79" s="13">
        <f t="shared" si="51"/>
        <v>3945.6666666666665</v>
      </c>
    </row>
    <row r="80" spans="1:13" outlineLevel="1" x14ac:dyDescent="0.2">
      <c r="A80" s="20">
        <f t="shared" si="50"/>
        <v>3541</v>
      </c>
      <c r="B80" s="19" t="str">
        <f t="shared" si="50"/>
        <v>Angelo</v>
      </c>
      <c r="C80" s="58">
        <f t="shared" si="40"/>
        <v>7865.2652562638259</v>
      </c>
      <c r="D80" s="15">
        <f t="shared" si="46"/>
        <v>991.33333333333337</v>
      </c>
      <c r="E80" s="14">
        <f t="shared" si="47"/>
        <v>425.94288888888889</v>
      </c>
      <c r="F80" s="14">
        <f t="shared" si="48"/>
        <v>20.305700708264297</v>
      </c>
      <c r="G80" s="13">
        <f t="shared" ref="G80:M86" si="52">G122*G$48</f>
        <v>1977.3500000000051</v>
      </c>
      <c r="H80" s="15">
        <f t="shared" si="52"/>
        <v>508.66666666666669</v>
      </c>
      <c r="I80" s="13">
        <f t="shared" si="52"/>
        <v>38.666666666666664</v>
      </c>
      <c r="J80" s="16">
        <f t="shared" si="52"/>
        <v>723</v>
      </c>
      <c r="K80" s="15">
        <f t="shared" si="52"/>
        <v>1438.6666666666667</v>
      </c>
      <c r="L80" s="14">
        <f t="shared" si="52"/>
        <v>1033.6666666666667</v>
      </c>
      <c r="M80" s="13">
        <f t="shared" si="52"/>
        <v>707.66666666666663</v>
      </c>
    </row>
    <row r="81" spans="1:14" outlineLevel="1" x14ac:dyDescent="0.2">
      <c r="A81" s="20">
        <f t="shared" si="50"/>
        <v>3646</v>
      </c>
      <c r="B81" s="19" t="str">
        <f t="shared" si="50"/>
        <v>TWU</v>
      </c>
      <c r="C81" s="58">
        <f t="shared" si="40"/>
        <v>12828.464270961706</v>
      </c>
      <c r="D81" s="15">
        <f t="shared" si="46"/>
        <v>1806</v>
      </c>
      <c r="E81" s="14">
        <f t="shared" si="47"/>
        <v>945.74200000000008</v>
      </c>
      <c r="F81" s="14">
        <f t="shared" si="48"/>
        <v>27.545604295039961</v>
      </c>
      <c r="G81" s="13">
        <f t="shared" si="52"/>
        <v>3452.1766666666658</v>
      </c>
      <c r="H81" s="15">
        <f t="shared" si="52"/>
        <v>1138.6666666666667</v>
      </c>
      <c r="I81" s="13">
        <f t="shared" si="52"/>
        <v>63.333333333333336</v>
      </c>
      <c r="J81" s="16">
        <f t="shared" si="52"/>
        <v>1247</v>
      </c>
      <c r="K81" s="15">
        <f t="shared" si="52"/>
        <v>2196</v>
      </c>
      <c r="L81" s="14">
        <f t="shared" si="52"/>
        <v>1292.3333333333333</v>
      </c>
      <c r="M81" s="13">
        <f t="shared" si="52"/>
        <v>659.66666666666663</v>
      </c>
    </row>
    <row r="82" spans="1:14" outlineLevel="1" x14ac:dyDescent="0.2">
      <c r="A82" s="20">
        <f t="shared" si="50"/>
        <v>3581</v>
      </c>
      <c r="B82" s="19" t="str">
        <f t="shared" si="50"/>
        <v>Lamar</v>
      </c>
      <c r="C82" s="58">
        <f t="shared" si="40"/>
        <v>10793.733373608913</v>
      </c>
      <c r="D82" s="15">
        <f t="shared" si="46"/>
        <v>1335.3333333333333</v>
      </c>
      <c r="E82" s="14">
        <f t="shared" si="47"/>
        <v>467.81177777777776</v>
      </c>
      <c r="F82" s="14">
        <f t="shared" si="48"/>
        <v>18.354929164452098</v>
      </c>
      <c r="G82" s="13">
        <f t="shared" si="52"/>
        <v>2684.9000000000165</v>
      </c>
      <c r="H82" s="15">
        <f t="shared" si="52"/>
        <v>660</v>
      </c>
      <c r="I82" s="13">
        <f t="shared" si="52"/>
        <v>34</v>
      </c>
      <c r="J82" s="16">
        <f t="shared" si="52"/>
        <v>948.66666666666663</v>
      </c>
      <c r="K82" s="15">
        <f t="shared" si="52"/>
        <v>2144.6666666666665</v>
      </c>
      <c r="L82" s="14">
        <f t="shared" si="52"/>
        <v>1489</v>
      </c>
      <c r="M82" s="13">
        <f t="shared" si="52"/>
        <v>1011</v>
      </c>
    </row>
    <row r="83" spans="1:14" outlineLevel="1" x14ac:dyDescent="0.2">
      <c r="A83" s="20">
        <f t="shared" si="50"/>
        <v>3606</v>
      </c>
      <c r="B83" s="19" t="str">
        <f t="shared" si="50"/>
        <v>SHSU</v>
      </c>
      <c r="C83" s="58">
        <f t="shared" si="40"/>
        <v>22037.450098683865</v>
      </c>
      <c r="D83" s="15">
        <f t="shared" si="46"/>
        <v>3077.6666666666665</v>
      </c>
      <c r="E83" s="14">
        <f t="shared" si="47"/>
        <v>1805.5644444444445</v>
      </c>
      <c r="F83" s="14">
        <f t="shared" si="48"/>
        <v>24.475654239301015</v>
      </c>
      <c r="G83" s="13">
        <f t="shared" si="52"/>
        <v>5837.0766666667887</v>
      </c>
      <c r="H83" s="15">
        <f t="shared" si="52"/>
        <v>334</v>
      </c>
      <c r="I83" s="13">
        <f t="shared" si="52"/>
        <v>122</v>
      </c>
      <c r="J83" s="16">
        <f t="shared" si="52"/>
        <v>2213.6666666666665</v>
      </c>
      <c r="K83" s="15">
        <f t="shared" si="52"/>
        <v>3894.3333333333335</v>
      </c>
      <c r="L83" s="14">
        <f t="shared" si="52"/>
        <v>2965.3333333333335</v>
      </c>
      <c r="M83" s="13">
        <f t="shared" si="52"/>
        <v>1763.3333333333333</v>
      </c>
    </row>
    <row r="84" spans="1:14" outlineLevel="1" x14ac:dyDescent="0.2">
      <c r="A84" s="20">
        <f t="shared" si="50"/>
        <v>3615</v>
      </c>
      <c r="B84" s="19" t="str">
        <f t="shared" si="50"/>
        <v>TXST</v>
      </c>
      <c r="C84" s="58">
        <f t="shared" si="40"/>
        <v>40367.896558185806</v>
      </c>
      <c r="D84" s="15">
        <f t="shared" si="46"/>
        <v>5361</v>
      </c>
      <c r="E84" s="14">
        <f t="shared" si="47"/>
        <v>3393.5129999999999</v>
      </c>
      <c r="F84" s="14">
        <f t="shared" si="48"/>
        <v>23.406891519786395</v>
      </c>
      <c r="G84" s="13">
        <f t="shared" si="52"/>
        <v>10437.309999999357</v>
      </c>
      <c r="H84" s="15">
        <f t="shared" si="52"/>
        <v>977.33333333333337</v>
      </c>
      <c r="I84" s="13">
        <f t="shared" si="52"/>
        <v>133.33333333333334</v>
      </c>
      <c r="J84" s="16">
        <f t="shared" si="52"/>
        <v>3675.3333333333335</v>
      </c>
      <c r="K84" s="15">
        <f t="shared" si="52"/>
        <v>7470.333333333333</v>
      </c>
      <c r="L84" s="14">
        <f t="shared" si="52"/>
        <v>5579</v>
      </c>
      <c r="M84" s="13">
        <f t="shared" si="52"/>
        <v>3317.3333333333335</v>
      </c>
    </row>
    <row r="85" spans="1:14" outlineLevel="1" x14ac:dyDescent="0.2">
      <c r="A85" s="20">
        <f t="shared" si="50"/>
        <v>3625</v>
      </c>
      <c r="B85" s="19" t="str">
        <f t="shared" si="50"/>
        <v>SRSU</v>
      </c>
      <c r="C85" s="58">
        <f t="shared" si="40"/>
        <v>1482.5048430083239</v>
      </c>
      <c r="D85" s="15">
        <f t="shared" si="46"/>
        <v>189.33333333333334</v>
      </c>
      <c r="E85" s="14">
        <f t="shared" si="47"/>
        <v>56.989333333333335</v>
      </c>
      <c r="F85" s="14">
        <f t="shared" si="48"/>
        <v>15.518843008324076</v>
      </c>
      <c r="G85" s="13">
        <f t="shared" si="52"/>
        <v>394.32999999999964</v>
      </c>
      <c r="H85" s="15">
        <f t="shared" si="52"/>
        <v>25.333333333333332</v>
      </c>
      <c r="I85" s="13">
        <f t="shared" si="52"/>
        <v>12.666666666666666</v>
      </c>
      <c r="J85" s="16">
        <f t="shared" si="52"/>
        <v>163</v>
      </c>
      <c r="K85" s="15">
        <f t="shared" si="52"/>
        <v>300</v>
      </c>
      <c r="L85" s="14">
        <f t="shared" si="52"/>
        <v>193.66666666666666</v>
      </c>
      <c r="M85" s="13">
        <f t="shared" si="52"/>
        <v>131.66666666666666</v>
      </c>
    </row>
    <row r="86" spans="1:14" outlineLevel="1" x14ac:dyDescent="0.2">
      <c r="A86" s="20">
        <f t="shared" si="50"/>
        <v>20</v>
      </c>
      <c r="B86" s="19" t="str">
        <f t="shared" si="50"/>
        <v>SRRG</v>
      </c>
      <c r="C86" s="58">
        <f t="shared" si="40"/>
        <v>1023.799051555038</v>
      </c>
      <c r="D86" s="15">
        <f t="shared" si="46"/>
        <v>161.66666666666666</v>
      </c>
      <c r="E86" s="14">
        <f t="shared" si="47"/>
        <v>51.365976618337754</v>
      </c>
      <c r="F86" s="14">
        <f t="shared" si="48"/>
        <v>36.596408270033706</v>
      </c>
      <c r="G86" s="13">
        <f t="shared" si="52"/>
        <v>279.16999999999979</v>
      </c>
      <c r="H86" s="15">
        <f t="shared" si="52"/>
        <v>12.666666666666666</v>
      </c>
      <c r="I86" s="13">
        <f t="shared" si="52"/>
        <v>11.333333333333334</v>
      </c>
      <c r="J86" s="16">
        <f t="shared" si="52"/>
        <v>144</v>
      </c>
      <c r="K86" s="15">
        <f t="shared" si="52"/>
        <v>230</v>
      </c>
      <c r="L86" s="14">
        <f t="shared" si="52"/>
        <v>92.666666666666671</v>
      </c>
      <c r="M86" s="13">
        <f t="shared" si="52"/>
        <v>4.333333333333333</v>
      </c>
    </row>
    <row r="87" spans="1:14" ht="13.5" outlineLevel="1" thickBot="1" x14ac:dyDescent="0.25">
      <c r="A87" s="12"/>
      <c r="B87" s="11" t="s">
        <v>11</v>
      </c>
      <c r="C87" s="57">
        <f t="shared" ref="C87:M87" si="53">SUM(C49:C86)</f>
        <v>640213.99180518941</v>
      </c>
      <c r="D87" s="9">
        <f t="shared" si="53"/>
        <v>84453.499999999985</v>
      </c>
      <c r="E87" s="7">
        <f t="shared" si="53"/>
        <v>49118.168778098283</v>
      </c>
      <c r="F87" s="7">
        <f t="shared" si="53"/>
        <v>1025.6696937595482</v>
      </c>
      <c r="G87" s="3">
        <f t="shared" si="53"/>
        <v>172813.15333333181</v>
      </c>
      <c r="H87" s="5">
        <f t="shared" si="53"/>
        <v>27943.999999999996</v>
      </c>
      <c r="I87" s="3">
        <f t="shared" si="53"/>
        <v>2396.666666666667</v>
      </c>
      <c r="J87" s="6">
        <f t="shared" si="53"/>
        <v>54525.500000000007</v>
      </c>
      <c r="K87" s="5">
        <f t="shared" si="53"/>
        <v>114508.83333333331</v>
      </c>
      <c r="L87" s="4">
        <f t="shared" si="53"/>
        <v>82503.5</v>
      </c>
      <c r="M87" s="3">
        <f t="shared" si="53"/>
        <v>50924.999999999993</v>
      </c>
    </row>
    <row r="88" spans="1:14" ht="13.5" thickBot="1" x14ac:dyDescent="0.25">
      <c r="A88" s="45" t="s">
        <v>29</v>
      </c>
      <c r="B88" s="45"/>
      <c r="C88" s="54"/>
      <c r="D88" s="54"/>
      <c r="E88" s="54"/>
      <c r="F88" s="56"/>
      <c r="H88" s="56"/>
    </row>
    <row r="89" spans="1:14" ht="12.75" customHeight="1" outlineLevel="1" x14ac:dyDescent="0.2">
      <c r="A89" s="177" t="s">
        <v>24</v>
      </c>
      <c r="B89" s="179" t="s">
        <v>23</v>
      </c>
      <c r="C89" s="181"/>
      <c r="D89" s="210" t="s">
        <v>28</v>
      </c>
      <c r="E89" s="205" t="s">
        <v>21</v>
      </c>
      <c r="F89" s="179" t="s">
        <v>20</v>
      </c>
      <c r="G89" s="201" t="s">
        <v>19</v>
      </c>
      <c r="H89" s="203" t="s">
        <v>18</v>
      </c>
      <c r="I89" s="195" t="s">
        <v>17</v>
      </c>
      <c r="J89" s="197" t="s">
        <v>16</v>
      </c>
      <c r="K89" s="199" t="s">
        <v>15</v>
      </c>
      <c r="L89" s="200"/>
      <c r="M89" s="200"/>
    </row>
    <row r="90" spans="1:14" s="41" customFormat="1" ht="41.25" customHeight="1" outlineLevel="1" thickBot="1" x14ac:dyDescent="0.25">
      <c r="A90" s="178"/>
      <c r="B90" s="180"/>
      <c r="C90" s="182"/>
      <c r="D90" s="211"/>
      <c r="E90" s="206"/>
      <c r="F90" s="180"/>
      <c r="G90" s="202"/>
      <c r="H90" s="204"/>
      <c r="I90" s="196"/>
      <c r="J90" s="198"/>
      <c r="K90" s="44" t="s">
        <v>14</v>
      </c>
      <c r="L90" s="43" t="s">
        <v>13</v>
      </c>
      <c r="M90" s="42" t="s">
        <v>12</v>
      </c>
    </row>
    <row r="91" spans="1:14" outlineLevel="1" x14ac:dyDescent="0.2">
      <c r="A91" s="20">
        <f t="shared" ref="A91:B110" si="54">A49</f>
        <v>3656</v>
      </c>
      <c r="B91" s="19" t="str">
        <f t="shared" si="54"/>
        <v>UTA</v>
      </c>
      <c r="C91" s="38"/>
      <c r="D91" s="33">
        <f t="shared" ref="D91:M91" si="55">AVERAGE(D133,D175,D217)</f>
        <v>5018</v>
      </c>
      <c r="E91" s="37">
        <f t="shared" si="55"/>
        <v>0.51833333333333342</v>
      </c>
      <c r="F91" s="32">
        <f t="shared" si="55"/>
        <v>16950.533333333333</v>
      </c>
      <c r="G91" s="31">
        <f t="shared" si="55"/>
        <v>10418.553333333379</v>
      </c>
      <c r="H91" s="36">
        <f t="shared" si="55"/>
        <v>1531.3333333333333</v>
      </c>
      <c r="I91" s="35">
        <f t="shared" si="55"/>
        <v>35</v>
      </c>
      <c r="J91" s="34">
        <f t="shared" si="55"/>
        <v>3116</v>
      </c>
      <c r="K91" s="33">
        <f t="shared" si="55"/>
        <v>6836.333333333333</v>
      </c>
      <c r="L91" s="32">
        <f t="shared" si="55"/>
        <v>3833.6666666666665</v>
      </c>
      <c r="M91" s="31">
        <f t="shared" si="55"/>
        <v>1783.6666666666667</v>
      </c>
      <c r="N91" s="55"/>
    </row>
    <row r="92" spans="1:14" outlineLevel="1" x14ac:dyDescent="0.2">
      <c r="A92" s="20">
        <f t="shared" si="54"/>
        <v>3658</v>
      </c>
      <c r="B92" s="19" t="str">
        <f t="shared" si="54"/>
        <v>UT</v>
      </c>
      <c r="C92" s="18"/>
      <c r="D92" s="15">
        <f t="shared" ref="D92:M92" si="56">AVERAGE(D134,D176,D218)</f>
        <v>8946.3333333333339</v>
      </c>
      <c r="E92" s="21">
        <f t="shared" si="56"/>
        <v>0.82900000000000007</v>
      </c>
      <c r="F92" s="14">
        <f t="shared" si="56"/>
        <v>33762.688888888893</v>
      </c>
      <c r="G92" s="13">
        <f t="shared" si="56"/>
        <v>19398.350000000519</v>
      </c>
      <c r="H92" s="15">
        <f t="shared" si="56"/>
        <v>1876.3333333333333</v>
      </c>
      <c r="I92" s="13">
        <f t="shared" si="56"/>
        <v>66</v>
      </c>
      <c r="J92" s="16">
        <f t="shared" si="56"/>
        <v>3470.3333333333335</v>
      </c>
      <c r="K92" s="15">
        <f t="shared" si="56"/>
        <v>9598.3333333333339</v>
      </c>
      <c r="L92" s="14">
        <f t="shared" si="56"/>
        <v>9005.6666666666661</v>
      </c>
      <c r="M92" s="13">
        <f t="shared" si="56"/>
        <v>7040.333333333333</v>
      </c>
      <c r="N92" s="55"/>
    </row>
    <row r="93" spans="1:14" outlineLevel="1" x14ac:dyDescent="0.2">
      <c r="A93" s="20">
        <f t="shared" si="54"/>
        <v>9741</v>
      </c>
      <c r="B93" s="19" t="str">
        <f t="shared" si="54"/>
        <v>UTD</v>
      </c>
      <c r="C93" s="18"/>
      <c r="D93" s="15">
        <f t="shared" ref="D93:M93" si="57">AVERAGE(D135,D177,D219)</f>
        <v>2393</v>
      </c>
      <c r="E93" s="21">
        <f t="shared" si="57"/>
        <v>0.70299999999999996</v>
      </c>
      <c r="F93" s="14">
        <f t="shared" si="57"/>
        <v>8919.1999999999989</v>
      </c>
      <c r="G93" s="13">
        <f t="shared" si="57"/>
        <v>5101.2033333334393</v>
      </c>
      <c r="H93" s="15">
        <f t="shared" si="57"/>
        <v>421.66666666666669</v>
      </c>
      <c r="I93" s="13">
        <f t="shared" si="57"/>
        <v>32</v>
      </c>
      <c r="J93" s="16">
        <f t="shared" si="57"/>
        <v>1319.6666666666667</v>
      </c>
      <c r="K93" s="15">
        <f t="shared" si="57"/>
        <v>3315</v>
      </c>
      <c r="L93" s="14">
        <f t="shared" si="57"/>
        <v>2134.3333333333335</v>
      </c>
      <c r="M93" s="13">
        <f t="shared" si="57"/>
        <v>1021.3333333333334</v>
      </c>
      <c r="N93" s="55"/>
    </row>
    <row r="94" spans="1:14" outlineLevel="1" x14ac:dyDescent="0.2">
      <c r="A94" s="20">
        <f t="shared" si="54"/>
        <v>3661</v>
      </c>
      <c r="B94" s="19" t="str">
        <f t="shared" si="54"/>
        <v>UTEP</v>
      </c>
      <c r="C94" s="18"/>
      <c r="D94" s="15">
        <f t="shared" ref="D94:M94" si="58">AVERAGE(D136,D178,D220)</f>
        <v>3057</v>
      </c>
      <c r="E94" s="21">
        <f t="shared" si="58"/>
        <v>0.38999999999999996</v>
      </c>
      <c r="F94" s="14">
        <f t="shared" si="58"/>
        <v>13366.333333333334</v>
      </c>
      <c r="G94" s="13">
        <f t="shared" si="58"/>
        <v>6298.0766666668133</v>
      </c>
      <c r="H94" s="15">
        <f t="shared" si="58"/>
        <v>655</v>
      </c>
      <c r="I94" s="13">
        <f t="shared" si="58"/>
        <v>90</v>
      </c>
      <c r="J94" s="16">
        <f t="shared" si="58"/>
        <v>2464.3333333333335</v>
      </c>
      <c r="K94" s="15">
        <f t="shared" si="58"/>
        <v>4362.666666666667</v>
      </c>
      <c r="L94" s="14">
        <f t="shared" si="58"/>
        <v>3358</v>
      </c>
      <c r="M94" s="13">
        <f t="shared" si="58"/>
        <v>1956</v>
      </c>
      <c r="N94" s="55"/>
    </row>
    <row r="95" spans="1:14" outlineLevel="1" x14ac:dyDescent="0.2">
      <c r="A95" s="20">
        <f t="shared" si="54"/>
        <v>3599</v>
      </c>
      <c r="B95" s="19" t="str">
        <f t="shared" si="54"/>
        <v>UTPA</v>
      </c>
      <c r="C95" s="18"/>
      <c r="D95" s="15">
        <f t="shared" ref="D95:M95" si="59">AVERAGE(D137,D179,D221)</f>
        <v>2580</v>
      </c>
      <c r="E95" s="21">
        <f t="shared" si="59"/>
        <v>0.43099999999999999</v>
      </c>
      <c r="F95" s="14">
        <f t="shared" si="59"/>
        <v>12589.977777777778</v>
      </c>
      <c r="G95" s="13">
        <f t="shared" si="59"/>
        <v>5134.1666666667797</v>
      </c>
      <c r="H95" s="15">
        <f t="shared" si="59"/>
        <v>520.33333333333337</v>
      </c>
      <c r="I95" s="13">
        <f t="shared" si="59"/>
        <v>28</v>
      </c>
      <c r="J95" s="16">
        <f t="shared" si="59"/>
        <v>2338.3333333333335</v>
      </c>
      <c r="K95" s="15">
        <f t="shared" si="59"/>
        <v>4075.3333333333335</v>
      </c>
      <c r="L95" s="14">
        <f t="shared" si="59"/>
        <v>3096</v>
      </c>
      <c r="M95" s="13">
        <f t="shared" si="59"/>
        <v>1939.3333333333333</v>
      </c>
      <c r="N95" s="55"/>
    </row>
    <row r="96" spans="1:14" outlineLevel="1" x14ac:dyDescent="0.2">
      <c r="A96" s="20">
        <f t="shared" si="54"/>
        <v>30646</v>
      </c>
      <c r="B96" s="19" t="str">
        <f t="shared" si="54"/>
        <v>UTB</v>
      </c>
      <c r="C96" s="18"/>
      <c r="D96" s="15">
        <f t="shared" ref="D96:M96" si="60">AVERAGE(D138,D180,D222)</f>
        <v>1092</v>
      </c>
      <c r="E96" s="21">
        <f t="shared" si="60"/>
        <v>0.57524809937089749</v>
      </c>
      <c r="F96" s="14">
        <f t="shared" si="60"/>
        <v>3168.7777777777778</v>
      </c>
      <c r="G96" s="13">
        <f t="shared" si="60"/>
        <v>2097.7933333333553</v>
      </c>
      <c r="H96" s="15">
        <f t="shared" si="60"/>
        <v>124.33333333333333</v>
      </c>
      <c r="I96" s="13">
        <f t="shared" si="60"/>
        <v>18.333333333333332</v>
      </c>
      <c r="J96" s="16">
        <f t="shared" si="60"/>
        <v>936.66666666666663</v>
      </c>
      <c r="K96" s="15">
        <f t="shared" si="60"/>
        <v>1326.3333333333333</v>
      </c>
      <c r="L96" s="14">
        <f t="shared" si="60"/>
        <v>556.33333333333337</v>
      </c>
      <c r="M96" s="13">
        <f t="shared" si="60"/>
        <v>100.66666666666667</v>
      </c>
      <c r="N96" s="55"/>
    </row>
    <row r="97" spans="1:14" outlineLevel="1" x14ac:dyDescent="0.2">
      <c r="A97" s="20">
        <f t="shared" si="54"/>
        <v>9930</v>
      </c>
      <c r="B97" s="19" t="str">
        <f t="shared" si="54"/>
        <v>UTPB</v>
      </c>
      <c r="C97" s="18"/>
      <c r="D97" s="15">
        <f t="shared" ref="D97:M97" si="61">AVERAGE(D139,D181,D223)</f>
        <v>533.33333333333337</v>
      </c>
      <c r="E97" s="21">
        <f t="shared" si="61"/>
        <v>0.44400000000000001</v>
      </c>
      <c r="F97" s="14">
        <f t="shared" si="61"/>
        <v>2306.2888888888888</v>
      </c>
      <c r="G97" s="13">
        <f t="shared" si="61"/>
        <v>1001.5166666666704</v>
      </c>
      <c r="H97" s="15">
        <f t="shared" si="61"/>
        <v>41.333333333333336</v>
      </c>
      <c r="I97" s="13">
        <f t="shared" si="61"/>
        <v>10</v>
      </c>
      <c r="J97" s="16">
        <f t="shared" si="61"/>
        <v>399</v>
      </c>
      <c r="K97" s="15">
        <f t="shared" si="61"/>
        <v>785.66666666666663</v>
      </c>
      <c r="L97" s="14">
        <f t="shared" si="61"/>
        <v>491.66666666666669</v>
      </c>
      <c r="M97" s="13">
        <f t="shared" si="61"/>
        <v>194.33333333333334</v>
      </c>
      <c r="N97" s="55"/>
    </row>
    <row r="98" spans="1:14" outlineLevel="1" x14ac:dyDescent="0.2">
      <c r="A98" s="20">
        <f t="shared" si="54"/>
        <v>10115</v>
      </c>
      <c r="B98" s="19" t="str">
        <f t="shared" si="54"/>
        <v>UTSA</v>
      </c>
      <c r="C98" s="18"/>
      <c r="D98" s="15">
        <f t="shared" ref="D98:M98" si="62">AVERAGE(D140,D182,D224)</f>
        <v>4119.666666666667</v>
      </c>
      <c r="E98" s="21">
        <f t="shared" si="62"/>
        <v>0.42166666666666663</v>
      </c>
      <c r="F98" s="14">
        <f t="shared" si="62"/>
        <v>20353.044444444444</v>
      </c>
      <c r="G98" s="13">
        <f t="shared" si="62"/>
        <v>8414.213333333224</v>
      </c>
      <c r="H98" s="15">
        <f t="shared" si="62"/>
        <v>392</v>
      </c>
      <c r="I98" s="13">
        <f t="shared" si="62"/>
        <v>49.666666666666664</v>
      </c>
      <c r="J98" s="16">
        <f t="shared" si="62"/>
        <v>3123.6666666666665</v>
      </c>
      <c r="K98" s="15">
        <f t="shared" si="62"/>
        <v>6809.666666666667</v>
      </c>
      <c r="L98" s="14">
        <f t="shared" si="62"/>
        <v>4458.666666666667</v>
      </c>
      <c r="M98" s="13">
        <f t="shared" si="62"/>
        <v>2615.6666666666665</v>
      </c>
      <c r="N98" s="55"/>
    </row>
    <row r="99" spans="1:14" outlineLevel="1" x14ac:dyDescent="0.2">
      <c r="A99" s="20">
        <f t="shared" si="54"/>
        <v>11163</v>
      </c>
      <c r="B99" s="19" t="str">
        <f t="shared" si="54"/>
        <v>UTT</v>
      </c>
      <c r="C99" s="18"/>
      <c r="D99" s="15">
        <f t="shared" ref="D99:M99" si="63">AVERAGE(D141,D183,D225)</f>
        <v>1190</v>
      </c>
      <c r="E99" s="21">
        <f t="shared" si="63"/>
        <v>0.51566666666666672</v>
      </c>
      <c r="F99" s="14">
        <f t="shared" si="63"/>
        <v>4067.577777777778</v>
      </c>
      <c r="G99" s="13">
        <f t="shared" si="63"/>
        <v>2362.6600000000103</v>
      </c>
      <c r="H99" s="15">
        <f t="shared" si="63"/>
        <v>376.66666666666669</v>
      </c>
      <c r="I99" s="13">
        <f t="shared" si="63"/>
        <v>14</v>
      </c>
      <c r="J99" s="16">
        <f t="shared" si="63"/>
        <v>942.33333333333337</v>
      </c>
      <c r="K99" s="15">
        <f t="shared" si="63"/>
        <v>1436.3333333333333</v>
      </c>
      <c r="L99" s="14">
        <f t="shared" si="63"/>
        <v>890</v>
      </c>
      <c r="M99" s="13">
        <f t="shared" si="63"/>
        <v>387.33333333333331</v>
      </c>
      <c r="N99" s="55"/>
    </row>
    <row r="100" spans="1:14" outlineLevel="1" x14ac:dyDescent="0.2">
      <c r="A100" s="20">
        <f t="shared" si="54"/>
        <v>3632</v>
      </c>
      <c r="B100" s="19" t="str">
        <f t="shared" si="54"/>
        <v>TAMU</v>
      </c>
      <c r="C100" s="18"/>
      <c r="D100" s="15">
        <f t="shared" ref="D100:M100" si="64">AVERAGE(D142,D184,D226)</f>
        <v>8739.6666666666661</v>
      </c>
      <c r="E100" s="21">
        <f t="shared" si="64"/>
        <v>0.84066666666666656</v>
      </c>
      <c r="F100" s="14">
        <f t="shared" si="64"/>
        <v>34623.666666666664</v>
      </c>
      <c r="G100" s="13">
        <f t="shared" si="64"/>
        <v>20104.8166666668</v>
      </c>
      <c r="H100" s="15">
        <f t="shared" si="64"/>
        <v>1763</v>
      </c>
      <c r="I100" s="13">
        <f t="shared" si="64"/>
        <v>126</v>
      </c>
      <c r="J100" s="16">
        <f t="shared" si="64"/>
        <v>3724</v>
      </c>
      <c r="K100" s="15">
        <f t="shared" si="64"/>
        <v>10060.666666666666</v>
      </c>
      <c r="L100" s="14">
        <f t="shared" si="64"/>
        <v>8907.3333333333339</v>
      </c>
      <c r="M100" s="13">
        <f t="shared" si="64"/>
        <v>6897.666666666667</v>
      </c>
      <c r="N100" s="55"/>
    </row>
    <row r="101" spans="1:14" outlineLevel="1" x14ac:dyDescent="0.2">
      <c r="A101" s="20">
        <f t="shared" si="54"/>
        <v>10298</v>
      </c>
      <c r="B101" s="19" t="str">
        <f t="shared" si="54"/>
        <v>TAMUG</v>
      </c>
      <c r="C101" s="18"/>
      <c r="D101" s="15">
        <f t="shared" ref="D101:M101" si="65">AVERAGE(D143,D185,D227)</f>
        <v>275.33333333333331</v>
      </c>
      <c r="E101" s="21">
        <f t="shared" si="65"/>
        <v>0.62733333333333341</v>
      </c>
      <c r="F101" s="14">
        <f t="shared" si="65"/>
        <v>1678.9333333333334</v>
      </c>
      <c r="G101" s="13">
        <f t="shared" si="65"/>
        <v>704.02666666666448</v>
      </c>
      <c r="H101" s="15">
        <f t="shared" si="65"/>
        <v>37.333333333333336</v>
      </c>
      <c r="I101" s="13">
        <f t="shared" si="65"/>
        <v>0</v>
      </c>
      <c r="J101" s="16">
        <f t="shared" si="65"/>
        <v>158</v>
      </c>
      <c r="K101" s="15">
        <f t="shared" si="65"/>
        <v>592.33333333333337</v>
      </c>
      <c r="L101" s="14">
        <f t="shared" si="65"/>
        <v>318</v>
      </c>
      <c r="M101" s="13">
        <f t="shared" si="65"/>
        <v>246</v>
      </c>
      <c r="N101" s="55"/>
    </row>
    <row r="102" spans="1:14" outlineLevel="1" x14ac:dyDescent="0.2">
      <c r="A102" s="20">
        <f t="shared" si="54"/>
        <v>3630</v>
      </c>
      <c r="B102" s="19" t="str">
        <f t="shared" si="54"/>
        <v>Prairie View</v>
      </c>
      <c r="C102" s="18"/>
      <c r="D102" s="15">
        <f t="shared" ref="D102:M102" si="66">AVERAGE(D144,D186,D228)</f>
        <v>936.33333333333337</v>
      </c>
      <c r="E102" s="21">
        <f t="shared" si="66"/>
        <v>0.37166666666666665</v>
      </c>
      <c r="F102" s="14">
        <f t="shared" si="66"/>
        <v>5917.2888888888883</v>
      </c>
      <c r="G102" s="13">
        <f t="shared" si="66"/>
        <v>2072.9000000000092</v>
      </c>
      <c r="H102" s="15">
        <f t="shared" si="66"/>
        <v>315.66666666666669</v>
      </c>
      <c r="I102" s="13">
        <f t="shared" si="66"/>
        <v>9.6666666666666661</v>
      </c>
      <c r="J102" s="16">
        <f t="shared" si="66"/>
        <v>802.66666666666663</v>
      </c>
      <c r="K102" s="15">
        <f t="shared" si="66"/>
        <v>1668</v>
      </c>
      <c r="L102" s="14">
        <f t="shared" si="66"/>
        <v>1181</v>
      </c>
      <c r="M102" s="13">
        <f t="shared" si="66"/>
        <v>905.33333333333337</v>
      </c>
      <c r="N102" s="55"/>
    </row>
    <row r="103" spans="1:14" outlineLevel="1" x14ac:dyDescent="0.2">
      <c r="A103" s="20">
        <f t="shared" si="54"/>
        <v>3631</v>
      </c>
      <c r="B103" s="19" t="str">
        <f t="shared" si="54"/>
        <v>Tarleton</v>
      </c>
      <c r="C103" s="18"/>
      <c r="D103" s="15">
        <f t="shared" ref="D103:M103" si="67">AVERAGE(D145,D187,D229)</f>
        <v>1545.3333333333333</v>
      </c>
      <c r="E103" s="21">
        <f t="shared" si="67"/>
        <v>0.47800000000000004</v>
      </c>
      <c r="F103" s="14">
        <f t="shared" si="67"/>
        <v>6292.1333333333323</v>
      </c>
      <c r="G103" s="13">
        <f t="shared" si="67"/>
        <v>3122.5433333333599</v>
      </c>
      <c r="H103" s="15">
        <f t="shared" si="67"/>
        <v>203</v>
      </c>
      <c r="I103" s="13">
        <f t="shared" si="67"/>
        <v>47.666666666666664</v>
      </c>
      <c r="J103" s="16">
        <f t="shared" si="67"/>
        <v>1195</v>
      </c>
      <c r="K103" s="15">
        <f t="shared" si="67"/>
        <v>2154.3333333333335</v>
      </c>
      <c r="L103" s="14">
        <f t="shared" si="67"/>
        <v>1328.6666666666667</v>
      </c>
      <c r="M103" s="13">
        <f t="shared" si="67"/>
        <v>862.66666666666663</v>
      </c>
      <c r="N103" s="55"/>
    </row>
    <row r="104" spans="1:14" outlineLevel="1" x14ac:dyDescent="0.2">
      <c r="A104" s="27">
        <f t="shared" si="54"/>
        <v>103631</v>
      </c>
      <c r="B104" s="19" t="str">
        <f t="shared" si="54"/>
        <v>TAMUCT</v>
      </c>
      <c r="C104" s="18"/>
      <c r="D104" s="15">
        <f t="shared" ref="D104:M104" si="68">AVERAGE(D146,D188,D230)</f>
        <v>460.33333333333331</v>
      </c>
      <c r="E104" s="21">
        <f t="shared" si="68"/>
        <v>0.47800000000000004</v>
      </c>
      <c r="F104" s="14">
        <f t="shared" si="68"/>
        <v>681.08888888888885</v>
      </c>
      <c r="G104" s="13">
        <f t="shared" si="68"/>
        <v>853.61666666666588</v>
      </c>
      <c r="H104" s="15">
        <f t="shared" si="68"/>
        <v>40.666666666666664</v>
      </c>
      <c r="I104" s="13">
        <f t="shared" si="68"/>
        <v>0</v>
      </c>
      <c r="J104" s="16">
        <f t="shared" si="68"/>
        <v>327</v>
      </c>
      <c r="K104" s="15">
        <f t="shared" si="68"/>
        <v>495</v>
      </c>
      <c r="L104" s="14">
        <f t="shared" si="68"/>
        <v>133</v>
      </c>
      <c r="M104" s="13">
        <f t="shared" si="68"/>
        <v>34</v>
      </c>
      <c r="N104" s="55"/>
    </row>
    <row r="105" spans="1:14" outlineLevel="1" x14ac:dyDescent="0.2">
      <c r="A105" s="20">
        <f t="shared" si="54"/>
        <v>11161</v>
      </c>
      <c r="B105" s="19" t="str">
        <f t="shared" si="54"/>
        <v>TAMUCC</v>
      </c>
      <c r="C105" s="18"/>
      <c r="D105" s="15">
        <f t="shared" ref="D105:M105" si="69">AVERAGE(D147,D189,D231)</f>
        <v>1388.3333333333333</v>
      </c>
      <c r="E105" s="21">
        <f t="shared" si="69"/>
        <v>0.50800000000000001</v>
      </c>
      <c r="F105" s="14">
        <f t="shared" si="69"/>
        <v>6494.666666666667</v>
      </c>
      <c r="G105" s="13">
        <f t="shared" si="69"/>
        <v>2804.2000000000139</v>
      </c>
      <c r="H105" s="15">
        <f t="shared" si="69"/>
        <v>266.33333333333331</v>
      </c>
      <c r="I105" s="13">
        <f t="shared" si="69"/>
        <v>25.666666666666668</v>
      </c>
      <c r="J105" s="16">
        <f t="shared" si="69"/>
        <v>1080</v>
      </c>
      <c r="K105" s="15">
        <f t="shared" si="69"/>
        <v>2054</v>
      </c>
      <c r="L105" s="14">
        <f t="shared" si="69"/>
        <v>1468</v>
      </c>
      <c r="M105" s="13">
        <f t="shared" si="69"/>
        <v>878.33333333333337</v>
      </c>
      <c r="N105" s="55"/>
    </row>
    <row r="106" spans="1:14" outlineLevel="1" x14ac:dyDescent="0.2">
      <c r="A106" s="20">
        <f t="shared" si="54"/>
        <v>3639</v>
      </c>
      <c r="B106" s="19" t="str">
        <f t="shared" si="54"/>
        <v>TAMUK</v>
      </c>
      <c r="C106" s="18"/>
      <c r="D106" s="15">
        <f t="shared" ref="D106:M106" si="70">AVERAGE(D148,D190,D232)</f>
        <v>761.66666666666663</v>
      </c>
      <c r="E106" s="21">
        <f t="shared" si="70"/>
        <v>0.40233333333333338</v>
      </c>
      <c r="F106" s="14">
        <f t="shared" si="70"/>
        <v>4260</v>
      </c>
      <c r="G106" s="13">
        <f t="shared" si="70"/>
        <v>1763.4533333333395</v>
      </c>
      <c r="H106" s="15">
        <f t="shared" si="70"/>
        <v>260</v>
      </c>
      <c r="I106" s="13">
        <f t="shared" si="70"/>
        <v>16.666666666666668</v>
      </c>
      <c r="J106" s="16">
        <f t="shared" si="70"/>
        <v>648.33333333333337</v>
      </c>
      <c r="K106" s="15">
        <f t="shared" si="70"/>
        <v>1227.3333333333333</v>
      </c>
      <c r="L106" s="14">
        <f t="shared" si="70"/>
        <v>859.66666666666663</v>
      </c>
      <c r="M106" s="13">
        <f t="shared" si="70"/>
        <v>558.66666666666663</v>
      </c>
      <c r="N106" s="55"/>
    </row>
    <row r="107" spans="1:14" outlineLevel="1" x14ac:dyDescent="0.2">
      <c r="A107" s="27">
        <f t="shared" si="54"/>
        <v>103639</v>
      </c>
      <c r="B107" s="19" t="str">
        <f t="shared" si="54"/>
        <v>TAMUSA</v>
      </c>
      <c r="C107" s="18"/>
      <c r="D107" s="15">
        <f t="shared" ref="D107:M107" si="71">AVERAGE(D149,D191,D233)</f>
        <v>587.66666666666663</v>
      </c>
      <c r="E107" s="21">
        <f t="shared" si="71"/>
        <v>0.40233333333333338</v>
      </c>
      <c r="F107" s="14">
        <f t="shared" si="71"/>
        <v>1412.711111111111</v>
      </c>
      <c r="G107" s="13">
        <f t="shared" si="71"/>
        <v>1026.0133333333379</v>
      </c>
      <c r="H107" s="15">
        <f t="shared" si="71"/>
        <v>5</v>
      </c>
      <c r="I107" s="13">
        <f t="shared" si="71"/>
        <v>2</v>
      </c>
      <c r="J107" s="16">
        <f t="shared" si="71"/>
        <v>490.33333333333331</v>
      </c>
      <c r="K107" s="15">
        <f t="shared" si="71"/>
        <v>729.66666666666663</v>
      </c>
      <c r="L107" s="14">
        <f t="shared" si="71"/>
        <v>77.333333333333329</v>
      </c>
      <c r="M107" s="13">
        <f t="shared" si="71"/>
        <v>2.6666666666666665</v>
      </c>
      <c r="N107" s="55"/>
    </row>
    <row r="108" spans="1:14" outlineLevel="1" x14ac:dyDescent="0.2">
      <c r="A108" s="20">
        <f t="shared" si="54"/>
        <v>9651</v>
      </c>
      <c r="B108" s="19" t="str">
        <f t="shared" si="54"/>
        <v>TAMI</v>
      </c>
      <c r="C108" s="18"/>
      <c r="D108" s="15">
        <f t="shared" ref="D108:M108" si="72">AVERAGE(D150,D192,D234)</f>
        <v>789.66666666666663</v>
      </c>
      <c r="E108" s="21">
        <f t="shared" si="72"/>
        <v>0.47333333333333333</v>
      </c>
      <c r="F108" s="14">
        <f t="shared" si="72"/>
        <v>4086</v>
      </c>
      <c r="G108" s="13">
        <f t="shared" si="72"/>
        <v>1458.4966666666717</v>
      </c>
      <c r="H108" s="15">
        <f t="shared" si="72"/>
        <v>115.66666666666667</v>
      </c>
      <c r="I108" s="13">
        <f t="shared" si="72"/>
        <v>22.333333333333332</v>
      </c>
      <c r="J108" s="16">
        <f t="shared" si="72"/>
        <v>712.66666666666663</v>
      </c>
      <c r="K108" s="15">
        <f t="shared" si="72"/>
        <v>1406.6666666666667</v>
      </c>
      <c r="L108" s="14">
        <f t="shared" si="72"/>
        <v>1015.6666666666666</v>
      </c>
      <c r="M108" s="13">
        <f t="shared" si="72"/>
        <v>473.66666666666669</v>
      </c>
      <c r="N108" s="55"/>
    </row>
    <row r="109" spans="1:14" outlineLevel="1" x14ac:dyDescent="0.2">
      <c r="A109" s="20">
        <f t="shared" si="54"/>
        <v>3665</v>
      </c>
      <c r="B109" s="19" t="str">
        <f t="shared" si="54"/>
        <v>WTAMU</v>
      </c>
      <c r="C109" s="18"/>
      <c r="D109" s="15">
        <f t="shared" ref="D109:M109" si="73">AVERAGE(D151,D193,D235)</f>
        <v>1255.6666666666667</v>
      </c>
      <c r="E109" s="21">
        <f t="shared" si="73"/>
        <v>0.47066666666666662</v>
      </c>
      <c r="F109" s="14">
        <f t="shared" si="73"/>
        <v>5415.2222222222226</v>
      </c>
      <c r="G109" s="13">
        <f t="shared" si="73"/>
        <v>2503.5766666666836</v>
      </c>
      <c r="H109" s="15">
        <f t="shared" si="73"/>
        <v>191.66666666666666</v>
      </c>
      <c r="I109" s="13">
        <f t="shared" si="73"/>
        <v>60.666666666666664</v>
      </c>
      <c r="J109" s="16">
        <f t="shared" si="73"/>
        <v>889.33333333333337</v>
      </c>
      <c r="K109" s="15">
        <f t="shared" si="73"/>
        <v>1791.6666666666667</v>
      </c>
      <c r="L109" s="14">
        <f t="shared" si="73"/>
        <v>1212.6666666666667</v>
      </c>
      <c r="M109" s="13">
        <f t="shared" si="73"/>
        <v>661.33333333333337</v>
      </c>
      <c r="N109" s="55"/>
    </row>
    <row r="110" spans="1:14" outlineLevel="1" x14ac:dyDescent="0.2">
      <c r="A110" s="20">
        <f t="shared" si="54"/>
        <v>3565</v>
      </c>
      <c r="B110" s="19" t="str">
        <f t="shared" si="54"/>
        <v>TAMUC</v>
      </c>
      <c r="C110" s="18"/>
      <c r="D110" s="15">
        <f t="shared" ref="D110:M110" si="74">AVERAGE(D152,D194,D236)</f>
        <v>1324.3333333333333</v>
      </c>
      <c r="E110" s="21">
        <f t="shared" si="74"/>
        <v>0.44</v>
      </c>
      <c r="F110" s="14">
        <f t="shared" si="74"/>
        <v>4696.9777777777772</v>
      </c>
      <c r="G110" s="13">
        <f t="shared" si="74"/>
        <v>2501.8266666666914</v>
      </c>
      <c r="H110" s="15">
        <f t="shared" si="74"/>
        <v>73</v>
      </c>
      <c r="I110" s="13">
        <f t="shared" si="74"/>
        <v>74.333333333333329</v>
      </c>
      <c r="J110" s="16">
        <f t="shared" si="74"/>
        <v>1019.3333333333334</v>
      </c>
      <c r="K110" s="15">
        <f t="shared" si="74"/>
        <v>1893</v>
      </c>
      <c r="L110" s="14">
        <f t="shared" si="74"/>
        <v>1137.3333333333333</v>
      </c>
      <c r="M110" s="13">
        <f t="shared" si="74"/>
        <v>452.33333333333331</v>
      </c>
      <c r="N110" s="55"/>
    </row>
    <row r="111" spans="1:14" outlineLevel="1" x14ac:dyDescent="0.2">
      <c r="A111" s="20">
        <f t="shared" ref="A111:B128" si="75">A69</f>
        <v>29269</v>
      </c>
      <c r="B111" s="19" t="str">
        <f t="shared" si="75"/>
        <v>TAMUT</v>
      </c>
      <c r="C111" s="18"/>
      <c r="D111" s="15">
        <f t="shared" ref="D111:M111" si="76">AVERAGE(D153,D195,D237)</f>
        <v>345.66666666666669</v>
      </c>
      <c r="E111" s="21">
        <f t="shared" si="76"/>
        <v>0.54202583186163211</v>
      </c>
      <c r="F111" s="14">
        <f t="shared" si="76"/>
        <v>891.66666666666663</v>
      </c>
      <c r="G111" s="13">
        <f t="shared" si="76"/>
        <v>619.90999999999826</v>
      </c>
      <c r="H111" s="15">
        <f t="shared" si="76"/>
        <v>41.666666666666664</v>
      </c>
      <c r="I111" s="13">
        <f t="shared" si="76"/>
        <v>19.333333333333332</v>
      </c>
      <c r="J111" s="16">
        <f t="shared" si="76"/>
        <v>239</v>
      </c>
      <c r="K111" s="15">
        <f t="shared" si="76"/>
        <v>432.66666666666669</v>
      </c>
      <c r="L111" s="14">
        <f t="shared" si="76"/>
        <v>181</v>
      </c>
      <c r="M111" s="13">
        <f t="shared" si="76"/>
        <v>0.66666666666666663</v>
      </c>
      <c r="N111" s="55"/>
    </row>
    <row r="112" spans="1:14" outlineLevel="1" x14ac:dyDescent="0.2">
      <c r="A112" s="20">
        <f t="shared" si="75"/>
        <v>3652</v>
      </c>
      <c r="B112" s="19" t="str">
        <f t="shared" si="75"/>
        <v>UH</v>
      </c>
      <c r="C112" s="18"/>
      <c r="D112" s="15">
        <f t="shared" ref="D112:M112" si="77">AVERAGE(D154,D196,D238)</f>
        <v>5098.666666666667</v>
      </c>
      <c r="E112" s="21">
        <f t="shared" si="77"/>
        <v>0.53633333333333333</v>
      </c>
      <c r="F112" s="14">
        <f t="shared" si="77"/>
        <v>23797.68888888889</v>
      </c>
      <c r="G112" s="13">
        <f t="shared" si="77"/>
        <v>10580.246666665944</v>
      </c>
      <c r="H112" s="15">
        <f t="shared" si="77"/>
        <v>737</v>
      </c>
      <c r="I112" s="13">
        <f t="shared" si="77"/>
        <v>62.666666666666664</v>
      </c>
      <c r="J112" s="16">
        <f t="shared" si="77"/>
        <v>3373</v>
      </c>
      <c r="K112" s="15">
        <f t="shared" si="77"/>
        <v>7602.333333333333</v>
      </c>
      <c r="L112" s="14">
        <f t="shared" si="77"/>
        <v>5690.333333333333</v>
      </c>
      <c r="M112" s="13">
        <f t="shared" si="77"/>
        <v>3307.3333333333335</v>
      </c>
      <c r="N112" s="55"/>
    </row>
    <row r="113" spans="1:14" outlineLevel="1" x14ac:dyDescent="0.2">
      <c r="A113" s="20">
        <f t="shared" si="75"/>
        <v>11711</v>
      </c>
      <c r="B113" s="19" t="str">
        <f t="shared" si="75"/>
        <v>UHCL</v>
      </c>
      <c r="C113" s="18"/>
      <c r="D113" s="15">
        <f t="shared" ref="D113:M113" si="78">AVERAGE(D155,D197,D239)</f>
        <v>1190.6666666666667</v>
      </c>
      <c r="E113" s="21">
        <f t="shared" si="78"/>
        <v>0.52016462432165866</v>
      </c>
      <c r="F113" s="14">
        <f t="shared" si="78"/>
        <v>2999.6444444444446</v>
      </c>
      <c r="G113" s="13">
        <f t="shared" si="78"/>
        <v>2282.9533333333529</v>
      </c>
      <c r="H113" s="15">
        <f t="shared" si="78"/>
        <v>106.66666666666667</v>
      </c>
      <c r="I113" s="13">
        <f t="shared" si="78"/>
        <v>8.3333333333333339</v>
      </c>
      <c r="J113" s="16">
        <f t="shared" si="78"/>
        <v>774.33333333333337</v>
      </c>
      <c r="K113" s="15">
        <f t="shared" si="78"/>
        <v>1391.3333333333333</v>
      </c>
      <c r="L113" s="14">
        <f t="shared" si="78"/>
        <v>953.66666666666663</v>
      </c>
      <c r="M113" s="13">
        <f t="shared" si="78"/>
        <v>57</v>
      </c>
      <c r="N113" s="55"/>
    </row>
    <row r="114" spans="1:14" outlineLevel="1" x14ac:dyDescent="0.2">
      <c r="A114" s="20">
        <f t="shared" si="75"/>
        <v>12826</v>
      </c>
      <c r="B114" s="19" t="str">
        <f t="shared" si="75"/>
        <v>UHD</v>
      </c>
      <c r="C114" s="18"/>
      <c r="D114" s="15">
        <f t="shared" ref="D114:M114" si="79">AVERAGE(D156,D198,D240)</f>
        <v>2382.3333333333335</v>
      </c>
      <c r="E114" s="21">
        <f t="shared" si="79"/>
        <v>0.19000000000000003</v>
      </c>
      <c r="F114" s="14">
        <f t="shared" si="79"/>
        <v>7985.5555555555547</v>
      </c>
      <c r="G114" s="13">
        <f t="shared" si="79"/>
        <v>4271.3166666667212</v>
      </c>
      <c r="H114" s="15">
        <f t="shared" si="79"/>
        <v>129.66666666666666</v>
      </c>
      <c r="I114" s="13">
        <f t="shared" si="79"/>
        <v>1.6666666666666667</v>
      </c>
      <c r="J114" s="16">
        <f t="shared" si="79"/>
        <v>1681</v>
      </c>
      <c r="K114" s="15">
        <f t="shared" si="79"/>
        <v>3105.3333333333335</v>
      </c>
      <c r="L114" s="14">
        <f t="shared" si="79"/>
        <v>1868.3333333333333</v>
      </c>
      <c r="M114" s="13">
        <f t="shared" si="79"/>
        <v>604.66666666666663</v>
      </c>
      <c r="N114" s="55"/>
    </row>
    <row r="115" spans="1:14" outlineLevel="1" x14ac:dyDescent="0.2">
      <c r="A115" s="20">
        <f t="shared" si="75"/>
        <v>13231</v>
      </c>
      <c r="B115" s="19" t="str">
        <f t="shared" si="75"/>
        <v>UHV</v>
      </c>
      <c r="C115" s="18"/>
      <c r="D115" s="15">
        <f t="shared" ref="D115:M115" si="80">AVERAGE(D157,D199,D241)</f>
        <v>576.66666666666663</v>
      </c>
      <c r="E115" s="21">
        <f t="shared" si="80"/>
        <v>0.52057016677259083</v>
      </c>
      <c r="F115" s="14">
        <f t="shared" si="80"/>
        <v>1438.6222222222223</v>
      </c>
      <c r="G115" s="13">
        <f t="shared" si="80"/>
        <v>1084.4800000000012</v>
      </c>
      <c r="H115" s="15">
        <f t="shared" si="80"/>
        <v>108</v>
      </c>
      <c r="I115" s="13">
        <f t="shared" si="80"/>
        <v>7.333333333333333</v>
      </c>
      <c r="J115" s="16">
        <f t="shared" si="80"/>
        <v>384</v>
      </c>
      <c r="K115" s="15">
        <f t="shared" si="80"/>
        <v>716</v>
      </c>
      <c r="L115" s="14">
        <f t="shared" si="80"/>
        <v>296.33333333333331</v>
      </c>
      <c r="M115" s="13">
        <f t="shared" si="80"/>
        <v>6.666666666666667</v>
      </c>
      <c r="N115" s="55"/>
    </row>
    <row r="116" spans="1:14" outlineLevel="1" x14ac:dyDescent="0.2">
      <c r="A116" s="20">
        <f t="shared" si="75"/>
        <v>3592</v>
      </c>
      <c r="B116" s="19" t="str">
        <f t="shared" si="75"/>
        <v>Midwestern</v>
      </c>
      <c r="C116" s="18"/>
      <c r="D116" s="15">
        <f t="shared" ref="D116:M116" si="81">AVERAGE(D158,D200,D242)</f>
        <v>1031.6666666666667</v>
      </c>
      <c r="E116" s="21">
        <f t="shared" si="81"/>
        <v>0.4393333333333333</v>
      </c>
      <c r="F116" s="14">
        <f t="shared" si="81"/>
        <v>4276.7777777777783</v>
      </c>
      <c r="G116" s="13">
        <f t="shared" si="81"/>
        <v>1962.0000000000034</v>
      </c>
      <c r="H116" s="15">
        <f t="shared" si="81"/>
        <v>333.33333333333331</v>
      </c>
      <c r="I116" s="13">
        <f t="shared" si="81"/>
        <v>15</v>
      </c>
      <c r="J116" s="16">
        <f t="shared" si="81"/>
        <v>690.33333333333337</v>
      </c>
      <c r="K116" s="15">
        <f t="shared" si="81"/>
        <v>1438</v>
      </c>
      <c r="L116" s="14">
        <f t="shared" si="81"/>
        <v>1046</v>
      </c>
      <c r="M116" s="13">
        <f t="shared" si="81"/>
        <v>679.66666666666663</v>
      </c>
      <c r="N116" s="55"/>
    </row>
    <row r="117" spans="1:14" outlineLevel="1" x14ac:dyDescent="0.2">
      <c r="A117" s="20">
        <f t="shared" si="75"/>
        <v>3594</v>
      </c>
      <c r="B117" s="19" t="str">
        <f t="shared" si="75"/>
        <v>UNT</v>
      </c>
      <c r="C117" s="18"/>
      <c r="D117" s="15">
        <f t="shared" ref="D117:M117" si="82">AVERAGE(D159,D201,D243)</f>
        <v>6016.666666666667</v>
      </c>
      <c r="E117" s="21">
        <f t="shared" si="82"/>
        <v>0.57633333333333336</v>
      </c>
      <c r="F117" s="14">
        <f t="shared" si="82"/>
        <v>23242.088888888899</v>
      </c>
      <c r="G117" s="13">
        <f t="shared" si="82"/>
        <v>11411.553333332529</v>
      </c>
      <c r="H117" s="15">
        <f t="shared" si="82"/>
        <v>336.66666666666669</v>
      </c>
      <c r="I117" s="13">
        <f t="shared" si="82"/>
        <v>43.333333333333336</v>
      </c>
      <c r="J117" s="16">
        <f t="shared" si="82"/>
        <v>3820</v>
      </c>
      <c r="K117" s="15">
        <f t="shared" si="82"/>
        <v>7864.666666666667</v>
      </c>
      <c r="L117" s="14">
        <f t="shared" si="82"/>
        <v>5642.333333333333</v>
      </c>
      <c r="M117" s="13">
        <f t="shared" si="82"/>
        <v>3337</v>
      </c>
      <c r="N117" s="55"/>
    </row>
    <row r="118" spans="1:14" outlineLevel="1" x14ac:dyDescent="0.2">
      <c r="A118" s="27">
        <f t="shared" si="75"/>
        <v>113594</v>
      </c>
      <c r="B118" s="19" t="str">
        <f t="shared" si="75"/>
        <v>UNTD</v>
      </c>
      <c r="C118" s="18"/>
      <c r="D118" s="15">
        <f t="shared" ref="D118:M118" si="83">AVERAGE(D160,D202,D244)</f>
        <v>403.5</v>
      </c>
      <c r="E118" s="21">
        <f t="shared" si="83"/>
        <v>0.57750000000000001</v>
      </c>
      <c r="F118" s="14">
        <f t="shared" si="83"/>
        <v>946.13333333333333</v>
      </c>
      <c r="G118" s="13">
        <f t="shared" si="83"/>
        <v>705.85999999999717</v>
      </c>
      <c r="H118" s="15">
        <f t="shared" si="83"/>
        <v>12</v>
      </c>
      <c r="I118" s="13">
        <f t="shared" si="83"/>
        <v>0</v>
      </c>
      <c r="J118" s="16">
        <f t="shared" si="83"/>
        <v>308.5</v>
      </c>
      <c r="K118" s="15">
        <f t="shared" si="83"/>
        <v>478</v>
      </c>
      <c r="L118" s="14">
        <f t="shared" si="83"/>
        <v>71.5</v>
      </c>
      <c r="M118" s="13">
        <f t="shared" si="83"/>
        <v>11</v>
      </c>
      <c r="N118" s="55"/>
    </row>
    <row r="119" spans="1:14" outlineLevel="1" x14ac:dyDescent="0.2">
      <c r="A119" s="20">
        <f t="shared" si="75"/>
        <v>3624</v>
      </c>
      <c r="B119" s="19" t="str">
        <f t="shared" si="75"/>
        <v>SFA</v>
      </c>
      <c r="C119" s="18"/>
      <c r="D119" s="15">
        <f t="shared" ref="D119:M119" si="84">AVERAGE(D161,D203,D245)</f>
        <v>1921.6666666666667</v>
      </c>
      <c r="E119" s="21">
        <f t="shared" si="84"/>
        <v>0.55399999999999994</v>
      </c>
      <c r="F119" s="14">
        <f t="shared" si="84"/>
        <v>9486.177777777777</v>
      </c>
      <c r="G119" s="13">
        <f t="shared" si="84"/>
        <v>3721.736666666669</v>
      </c>
      <c r="H119" s="15">
        <f t="shared" si="84"/>
        <v>248</v>
      </c>
      <c r="I119" s="13">
        <f t="shared" si="84"/>
        <v>44.666666666666664</v>
      </c>
      <c r="J119" s="16">
        <f t="shared" si="84"/>
        <v>1460.3333333333333</v>
      </c>
      <c r="K119" s="15">
        <f t="shared" si="84"/>
        <v>2769.3333333333335</v>
      </c>
      <c r="L119" s="14">
        <f t="shared" si="84"/>
        <v>2075</v>
      </c>
      <c r="M119" s="13">
        <f t="shared" si="84"/>
        <v>1397.3333333333333</v>
      </c>
      <c r="N119" s="55"/>
    </row>
    <row r="120" spans="1:14" outlineLevel="1" x14ac:dyDescent="0.2">
      <c r="A120" s="20">
        <f t="shared" si="75"/>
        <v>3642</v>
      </c>
      <c r="B120" s="19" t="str">
        <f t="shared" si="75"/>
        <v>TSU</v>
      </c>
      <c r="C120" s="18"/>
      <c r="D120" s="15">
        <f t="shared" ref="D120:M120" si="85">AVERAGE(D162,D204,D246)</f>
        <v>758.33333333333337</v>
      </c>
      <c r="E120" s="21">
        <f t="shared" si="85"/>
        <v>0.14366666666666664</v>
      </c>
      <c r="F120" s="14">
        <f t="shared" si="85"/>
        <v>5863.2444444444445</v>
      </c>
      <c r="G120" s="13">
        <f t="shared" si="85"/>
        <v>1488.6533333333352</v>
      </c>
      <c r="H120" s="15">
        <f t="shared" si="85"/>
        <v>134.33333333333334</v>
      </c>
      <c r="I120" s="13">
        <f t="shared" si="85"/>
        <v>3</v>
      </c>
      <c r="J120" s="16">
        <f t="shared" si="85"/>
        <v>666.33333333333337</v>
      </c>
      <c r="K120" s="15">
        <f t="shared" si="85"/>
        <v>1637.3333333333333</v>
      </c>
      <c r="L120" s="14">
        <f t="shared" si="85"/>
        <v>1133</v>
      </c>
      <c r="M120" s="13">
        <f t="shared" si="85"/>
        <v>848.66666666666663</v>
      </c>
      <c r="N120" s="55"/>
    </row>
    <row r="121" spans="1:14" outlineLevel="1" x14ac:dyDescent="0.2">
      <c r="A121" s="20">
        <f t="shared" si="75"/>
        <v>3644</v>
      </c>
      <c r="B121" s="19" t="str">
        <f t="shared" si="75"/>
        <v>TTU</v>
      </c>
      <c r="C121" s="18"/>
      <c r="D121" s="15">
        <f t="shared" ref="D121:M121" si="86">AVERAGE(D163,D205,D247)</f>
        <v>4674</v>
      </c>
      <c r="E121" s="21">
        <f t="shared" si="86"/>
        <v>0.73199999999999987</v>
      </c>
      <c r="F121" s="14">
        <f t="shared" si="86"/>
        <v>22192.42222222222</v>
      </c>
      <c r="G121" s="13">
        <f t="shared" si="86"/>
        <v>10128.113333332682</v>
      </c>
      <c r="H121" s="15">
        <f t="shared" si="86"/>
        <v>727.33333333333337</v>
      </c>
      <c r="I121" s="13">
        <f t="shared" si="86"/>
        <v>57.333333333333336</v>
      </c>
      <c r="J121" s="16">
        <f t="shared" si="86"/>
        <v>2778</v>
      </c>
      <c r="K121" s="15">
        <f t="shared" si="86"/>
        <v>6485.333333333333</v>
      </c>
      <c r="L121" s="14">
        <f t="shared" si="86"/>
        <v>5278.333333333333</v>
      </c>
      <c r="M121" s="13">
        <f t="shared" si="86"/>
        <v>3945.6666666666665</v>
      </c>
      <c r="N121" s="55"/>
    </row>
    <row r="122" spans="1:14" outlineLevel="1" x14ac:dyDescent="0.2">
      <c r="A122" s="20">
        <f t="shared" si="75"/>
        <v>3541</v>
      </c>
      <c r="B122" s="19" t="str">
        <f t="shared" si="75"/>
        <v>Angelo</v>
      </c>
      <c r="C122" s="18"/>
      <c r="D122" s="15">
        <f t="shared" ref="D122:M122" si="87">AVERAGE(D164,D206,D248)</f>
        <v>991.33333333333337</v>
      </c>
      <c r="E122" s="21">
        <f t="shared" si="87"/>
        <v>0.42966666666666664</v>
      </c>
      <c r="F122" s="14">
        <f t="shared" si="87"/>
        <v>4882.0444444444447</v>
      </c>
      <c r="G122" s="13">
        <f t="shared" si="87"/>
        <v>1977.3500000000051</v>
      </c>
      <c r="H122" s="15">
        <f t="shared" si="87"/>
        <v>254.33333333333334</v>
      </c>
      <c r="I122" s="13">
        <f t="shared" si="87"/>
        <v>19.333333333333332</v>
      </c>
      <c r="J122" s="16">
        <f t="shared" si="87"/>
        <v>723</v>
      </c>
      <c r="K122" s="15">
        <f t="shared" si="87"/>
        <v>1438.6666666666667</v>
      </c>
      <c r="L122" s="14">
        <f t="shared" si="87"/>
        <v>1033.6666666666667</v>
      </c>
      <c r="M122" s="13">
        <f t="shared" si="87"/>
        <v>707.66666666666663</v>
      </c>
      <c r="N122" s="55"/>
    </row>
    <row r="123" spans="1:14" outlineLevel="1" x14ac:dyDescent="0.2">
      <c r="A123" s="20">
        <f t="shared" si="75"/>
        <v>3646</v>
      </c>
      <c r="B123" s="19" t="str">
        <f t="shared" si="75"/>
        <v>TWU</v>
      </c>
      <c r="C123" s="18"/>
      <c r="D123" s="15">
        <f t="shared" ref="D123:M123" si="88">AVERAGE(D165,D207,D249)</f>
        <v>1806</v>
      </c>
      <c r="E123" s="21">
        <f t="shared" si="88"/>
        <v>0.52366666666666672</v>
      </c>
      <c r="F123" s="14">
        <f t="shared" si="88"/>
        <v>6556.4000000000005</v>
      </c>
      <c r="G123" s="13">
        <f t="shared" si="88"/>
        <v>3452.1766666666658</v>
      </c>
      <c r="H123" s="15">
        <f t="shared" si="88"/>
        <v>569.33333333333337</v>
      </c>
      <c r="I123" s="13">
        <f t="shared" si="88"/>
        <v>31.666666666666668</v>
      </c>
      <c r="J123" s="16">
        <f t="shared" si="88"/>
        <v>1247</v>
      </c>
      <c r="K123" s="15">
        <f t="shared" si="88"/>
        <v>2196</v>
      </c>
      <c r="L123" s="14">
        <f t="shared" si="88"/>
        <v>1292.3333333333333</v>
      </c>
      <c r="M123" s="13">
        <f t="shared" si="88"/>
        <v>659.66666666666663</v>
      </c>
      <c r="N123" s="55"/>
    </row>
    <row r="124" spans="1:14" outlineLevel="1" x14ac:dyDescent="0.2">
      <c r="A124" s="20">
        <f t="shared" si="75"/>
        <v>3581</v>
      </c>
      <c r="B124" s="19" t="str">
        <f t="shared" si="75"/>
        <v>Lamar</v>
      </c>
      <c r="C124" s="18"/>
      <c r="D124" s="15">
        <f t="shared" ref="D124:M124" si="89">AVERAGE(D166,D208,D250)</f>
        <v>1335.3333333333333</v>
      </c>
      <c r="E124" s="21">
        <f t="shared" si="89"/>
        <v>0.35033333333333333</v>
      </c>
      <c r="F124" s="14">
        <f t="shared" si="89"/>
        <v>7275.0666666666666</v>
      </c>
      <c r="G124" s="13">
        <f t="shared" si="89"/>
        <v>2684.9000000000165</v>
      </c>
      <c r="H124" s="15">
        <f t="shared" si="89"/>
        <v>330</v>
      </c>
      <c r="I124" s="13">
        <f t="shared" si="89"/>
        <v>17</v>
      </c>
      <c r="J124" s="16">
        <f t="shared" si="89"/>
        <v>948.66666666666663</v>
      </c>
      <c r="K124" s="15">
        <f t="shared" si="89"/>
        <v>2144.6666666666665</v>
      </c>
      <c r="L124" s="14">
        <f t="shared" si="89"/>
        <v>1489</v>
      </c>
      <c r="M124" s="13">
        <f t="shared" si="89"/>
        <v>1011</v>
      </c>
      <c r="N124" s="55"/>
    </row>
    <row r="125" spans="1:14" outlineLevel="1" x14ac:dyDescent="0.2">
      <c r="A125" s="20">
        <f t="shared" si="75"/>
        <v>3606</v>
      </c>
      <c r="B125" s="19" t="str">
        <f t="shared" si="75"/>
        <v>SHSU</v>
      </c>
      <c r="C125" s="18"/>
      <c r="D125" s="15">
        <f t="shared" ref="D125:M125" si="90">AVERAGE(D167,D209,D251)</f>
        <v>3077.6666666666665</v>
      </c>
      <c r="E125" s="21">
        <f t="shared" si="90"/>
        <v>0.58666666666666667</v>
      </c>
      <c r="F125" s="14">
        <f t="shared" si="90"/>
        <v>12574.4</v>
      </c>
      <c r="G125" s="13">
        <f t="shared" si="90"/>
        <v>5837.0766666667887</v>
      </c>
      <c r="H125" s="15">
        <f t="shared" si="90"/>
        <v>167</v>
      </c>
      <c r="I125" s="13">
        <f t="shared" si="90"/>
        <v>61</v>
      </c>
      <c r="J125" s="16">
        <f t="shared" si="90"/>
        <v>2213.6666666666665</v>
      </c>
      <c r="K125" s="15">
        <f t="shared" si="90"/>
        <v>3894.3333333333335</v>
      </c>
      <c r="L125" s="14">
        <f t="shared" si="90"/>
        <v>2965.3333333333335</v>
      </c>
      <c r="M125" s="13">
        <f t="shared" si="90"/>
        <v>1763.3333333333333</v>
      </c>
      <c r="N125" s="55"/>
    </row>
    <row r="126" spans="1:14" outlineLevel="1" x14ac:dyDescent="0.2">
      <c r="A126" s="20">
        <f t="shared" si="75"/>
        <v>3615</v>
      </c>
      <c r="B126" s="19" t="str">
        <f t="shared" si="75"/>
        <v>TXST</v>
      </c>
      <c r="C126" s="18"/>
      <c r="D126" s="15">
        <f t="shared" ref="D126:M126" si="91">AVERAGE(D168,D210,D252)</f>
        <v>5361</v>
      </c>
      <c r="E126" s="21">
        <f t="shared" si="91"/>
        <v>0.63300000000000001</v>
      </c>
      <c r="F126" s="14">
        <f t="shared" si="91"/>
        <v>22903.511111111107</v>
      </c>
      <c r="G126" s="13">
        <f t="shared" si="91"/>
        <v>10437.309999999357</v>
      </c>
      <c r="H126" s="15">
        <f t="shared" si="91"/>
        <v>488.66666666666669</v>
      </c>
      <c r="I126" s="13">
        <f t="shared" si="91"/>
        <v>66.666666666666671</v>
      </c>
      <c r="J126" s="16">
        <f t="shared" si="91"/>
        <v>3675.3333333333335</v>
      </c>
      <c r="K126" s="15">
        <f t="shared" si="91"/>
        <v>7470.333333333333</v>
      </c>
      <c r="L126" s="14">
        <f t="shared" si="91"/>
        <v>5579</v>
      </c>
      <c r="M126" s="13">
        <f t="shared" si="91"/>
        <v>3317.3333333333335</v>
      </c>
      <c r="N126" s="55"/>
    </row>
    <row r="127" spans="1:14" outlineLevel="1" x14ac:dyDescent="0.2">
      <c r="A127" s="20">
        <f t="shared" si="75"/>
        <v>3625</v>
      </c>
      <c r="B127" s="19" t="str">
        <f t="shared" si="75"/>
        <v>SRSU</v>
      </c>
      <c r="C127" s="18"/>
      <c r="D127" s="15">
        <f t="shared" ref="D127:M127" si="92">AVERAGE(D169,D211,D253)</f>
        <v>189.33333333333334</v>
      </c>
      <c r="E127" s="21">
        <f t="shared" si="92"/>
        <v>0.30099999999999999</v>
      </c>
      <c r="F127" s="14">
        <f t="shared" si="92"/>
        <v>1220.0222222222221</v>
      </c>
      <c r="G127" s="13">
        <f t="shared" si="92"/>
        <v>394.32999999999964</v>
      </c>
      <c r="H127" s="15">
        <f t="shared" si="92"/>
        <v>12.666666666666666</v>
      </c>
      <c r="I127" s="13">
        <f t="shared" si="92"/>
        <v>6.333333333333333</v>
      </c>
      <c r="J127" s="16">
        <f t="shared" si="92"/>
        <v>163</v>
      </c>
      <c r="K127" s="15">
        <f t="shared" si="92"/>
        <v>300</v>
      </c>
      <c r="L127" s="14">
        <f t="shared" si="92"/>
        <v>193.66666666666666</v>
      </c>
      <c r="M127" s="13">
        <f t="shared" si="92"/>
        <v>131.66666666666666</v>
      </c>
      <c r="N127" s="55"/>
    </row>
    <row r="128" spans="1:14" outlineLevel="1" x14ac:dyDescent="0.2">
      <c r="A128" s="20">
        <f t="shared" si="75"/>
        <v>20</v>
      </c>
      <c r="B128" s="19" t="str">
        <f t="shared" si="75"/>
        <v>SRRG</v>
      </c>
      <c r="C128" s="18"/>
      <c r="D128" s="15">
        <f t="shared" ref="D128:M128" si="93">AVERAGE(D170,D212,D254)</f>
        <v>161.66666666666666</v>
      </c>
      <c r="E128" s="21">
        <f t="shared" si="93"/>
        <v>0.31772769042270776</v>
      </c>
      <c r="F128" s="14">
        <f t="shared" si="93"/>
        <v>441.75555555555553</v>
      </c>
      <c r="G128" s="13">
        <f t="shared" si="93"/>
        <v>279.16999999999979</v>
      </c>
      <c r="H128" s="15">
        <f t="shared" si="93"/>
        <v>6.333333333333333</v>
      </c>
      <c r="I128" s="13">
        <f t="shared" si="93"/>
        <v>5.666666666666667</v>
      </c>
      <c r="J128" s="16">
        <f t="shared" si="93"/>
        <v>144</v>
      </c>
      <c r="K128" s="15">
        <f t="shared" si="93"/>
        <v>230</v>
      </c>
      <c r="L128" s="14">
        <f t="shared" si="93"/>
        <v>92.666666666666671</v>
      </c>
      <c r="M128" s="13">
        <f t="shared" si="93"/>
        <v>4.333333333333333</v>
      </c>
      <c r="N128" s="55"/>
    </row>
    <row r="129" spans="1:14" ht="13.5" outlineLevel="1" thickBot="1" x14ac:dyDescent="0.25">
      <c r="A129" s="12"/>
      <c r="B129" s="11" t="s">
        <v>11</v>
      </c>
      <c r="C129" s="10"/>
      <c r="D129" s="9">
        <f>SUM(D91:D128)</f>
        <v>84315.833333333314</v>
      </c>
      <c r="E129" s="8">
        <v>0.55900000000000005</v>
      </c>
      <c r="F129" s="7">
        <f t="shared" ref="F129:M129" si="94">SUM(F91:F128)</f>
        <v>350016.33333333331</v>
      </c>
      <c r="G129" s="3">
        <f t="shared" si="94"/>
        <v>172461.13999999844</v>
      </c>
      <c r="H129" s="5">
        <f t="shared" si="94"/>
        <v>13953.333333333332</v>
      </c>
      <c r="I129" s="3">
        <f t="shared" si="94"/>
        <v>1198.3333333333335</v>
      </c>
      <c r="J129" s="6">
        <f t="shared" si="94"/>
        <v>54446.500000000007</v>
      </c>
      <c r="K129" s="5">
        <f t="shared" si="94"/>
        <v>114212.66666666664</v>
      </c>
      <c r="L129" s="4">
        <f t="shared" si="94"/>
        <v>82344.5</v>
      </c>
      <c r="M129" s="3">
        <f t="shared" si="94"/>
        <v>50801.999999999993</v>
      </c>
      <c r="N129" s="55"/>
    </row>
    <row r="130" spans="1:14" ht="13.5" thickBot="1" x14ac:dyDescent="0.25">
      <c r="A130" s="45" t="s">
        <v>27</v>
      </c>
      <c r="B130" s="45"/>
      <c r="C130" s="45"/>
      <c r="D130" s="54"/>
      <c r="F130" s="54"/>
      <c r="J130" s="54"/>
    </row>
    <row r="131" spans="1:14" ht="12.75" customHeight="1" outlineLevel="1" x14ac:dyDescent="0.2">
      <c r="A131" s="177" t="s">
        <v>24</v>
      </c>
      <c r="B131" s="179" t="s">
        <v>23</v>
      </c>
      <c r="C131" s="181"/>
      <c r="D131" s="210" t="s">
        <v>22</v>
      </c>
      <c r="E131" s="205" t="s">
        <v>21</v>
      </c>
      <c r="F131" s="179" t="s">
        <v>20</v>
      </c>
      <c r="G131" s="201" t="s">
        <v>19</v>
      </c>
      <c r="H131" s="203" t="s">
        <v>18</v>
      </c>
      <c r="I131" s="195" t="s">
        <v>17</v>
      </c>
      <c r="J131" s="197" t="s">
        <v>16</v>
      </c>
      <c r="K131" s="199" t="s">
        <v>15</v>
      </c>
      <c r="L131" s="200"/>
      <c r="M131" s="200"/>
    </row>
    <row r="132" spans="1:14" s="41" customFormat="1" ht="36" customHeight="1" outlineLevel="1" thickBot="1" x14ac:dyDescent="0.25">
      <c r="A132" s="178"/>
      <c r="B132" s="180"/>
      <c r="C132" s="182"/>
      <c r="D132" s="211"/>
      <c r="E132" s="206"/>
      <c r="F132" s="180"/>
      <c r="G132" s="202"/>
      <c r="H132" s="204"/>
      <c r="I132" s="196"/>
      <c r="J132" s="198"/>
      <c r="K132" s="44" t="s">
        <v>14</v>
      </c>
      <c r="L132" s="43" t="s">
        <v>13</v>
      </c>
      <c r="M132" s="42" t="s">
        <v>12</v>
      </c>
    </row>
    <row r="133" spans="1:14" outlineLevel="1" x14ac:dyDescent="0.2">
      <c r="A133" s="40">
        <f t="shared" ref="A133:B152" si="95">A91</f>
        <v>3656</v>
      </c>
      <c r="B133" s="39" t="str">
        <f t="shared" si="95"/>
        <v>UTA</v>
      </c>
      <c r="C133" s="38"/>
      <c r="D133" s="33">
        <v>5773</v>
      </c>
      <c r="E133" s="37">
        <v>0.55500000000000005</v>
      </c>
      <c r="F133" s="32">
        <v>17781.466666666667</v>
      </c>
      <c r="G133" s="51">
        <v>12087.560000000249</v>
      </c>
      <c r="H133" s="36">
        <v>2140</v>
      </c>
      <c r="I133" s="35">
        <v>43</v>
      </c>
      <c r="J133" s="34">
        <v>3528</v>
      </c>
      <c r="K133" s="53">
        <v>6893</v>
      </c>
      <c r="L133" s="52">
        <v>3962</v>
      </c>
      <c r="M133" s="51">
        <v>1894</v>
      </c>
    </row>
    <row r="134" spans="1:14" outlineLevel="1" x14ac:dyDescent="0.2">
      <c r="A134" s="20">
        <f t="shared" si="95"/>
        <v>3658</v>
      </c>
      <c r="B134" s="19" t="str">
        <f t="shared" si="95"/>
        <v>UT</v>
      </c>
      <c r="C134" s="18"/>
      <c r="D134" s="15">
        <v>8860</v>
      </c>
      <c r="E134" s="21">
        <v>0.82499999999999996</v>
      </c>
      <c r="F134" s="14">
        <v>33841.466666666667</v>
      </c>
      <c r="G134" s="28">
        <v>19542.67999999996</v>
      </c>
      <c r="H134" s="15">
        <v>1981</v>
      </c>
      <c r="I134" s="13">
        <v>83</v>
      </c>
      <c r="J134" s="16">
        <v>3501</v>
      </c>
      <c r="K134" s="30">
        <v>9260</v>
      </c>
      <c r="L134" s="29">
        <v>8373</v>
      </c>
      <c r="M134" s="28">
        <v>6348</v>
      </c>
    </row>
    <row r="135" spans="1:14" outlineLevel="1" x14ac:dyDescent="0.2">
      <c r="A135" s="20">
        <f t="shared" si="95"/>
        <v>9741</v>
      </c>
      <c r="B135" s="19" t="str">
        <f t="shared" si="95"/>
        <v>UTD</v>
      </c>
      <c r="C135" s="18"/>
      <c r="D135" s="15">
        <v>2510</v>
      </c>
      <c r="E135" s="21">
        <v>0.71900000000000008</v>
      </c>
      <c r="F135" s="14">
        <v>9826.5333333333328</v>
      </c>
      <c r="G135" s="28">
        <v>5443.8700000002518</v>
      </c>
      <c r="H135" s="15">
        <v>449</v>
      </c>
      <c r="I135" s="13">
        <v>33</v>
      </c>
      <c r="J135" s="16">
        <v>1410</v>
      </c>
      <c r="K135" s="30">
        <v>3522</v>
      </c>
      <c r="L135" s="29">
        <v>2348</v>
      </c>
      <c r="M135" s="28">
        <v>1065</v>
      </c>
    </row>
    <row r="136" spans="1:14" outlineLevel="1" x14ac:dyDescent="0.2">
      <c r="A136" s="20">
        <f t="shared" si="95"/>
        <v>3661</v>
      </c>
      <c r="B136" s="19" t="str">
        <f t="shared" si="95"/>
        <v>UTEP</v>
      </c>
      <c r="C136" s="18"/>
      <c r="D136" s="15">
        <v>3132</v>
      </c>
      <c r="E136" s="21">
        <v>0.41200000000000003</v>
      </c>
      <c r="F136" s="14">
        <v>13931.066666666668</v>
      </c>
      <c r="G136" s="28">
        <v>6456.0600000003096</v>
      </c>
      <c r="H136" s="15">
        <v>643</v>
      </c>
      <c r="I136" s="13">
        <v>86</v>
      </c>
      <c r="J136" s="16">
        <v>2590</v>
      </c>
      <c r="K136" s="30">
        <v>4400</v>
      </c>
      <c r="L136" s="29">
        <v>3304</v>
      </c>
      <c r="M136" s="28">
        <v>1986</v>
      </c>
    </row>
    <row r="137" spans="1:14" outlineLevel="1" x14ac:dyDescent="0.2">
      <c r="A137" s="20">
        <f t="shared" si="95"/>
        <v>3599</v>
      </c>
      <c r="B137" s="19" t="str">
        <f t="shared" si="95"/>
        <v>UTPA</v>
      </c>
      <c r="C137" s="18"/>
      <c r="D137" s="15">
        <v>2462</v>
      </c>
      <c r="E137" s="21">
        <v>0.44</v>
      </c>
      <c r="F137" s="14">
        <v>12698.333333333334</v>
      </c>
      <c r="G137" s="28">
        <v>5000.2800000001325</v>
      </c>
      <c r="H137" s="15">
        <v>547</v>
      </c>
      <c r="I137" s="13">
        <v>19</v>
      </c>
      <c r="J137" s="16">
        <v>2247</v>
      </c>
      <c r="K137" s="30">
        <v>3730</v>
      </c>
      <c r="L137" s="29">
        <v>2862</v>
      </c>
      <c r="M137" s="28">
        <v>1896</v>
      </c>
    </row>
    <row r="138" spans="1:14" outlineLevel="1" x14ac:dyDescent="0.2">
      <c r="A138" s="20">
        <f t="shared" si="95"/>
        <v>30646</v>
      </c>
      <c r="B138" s="19" t="str">
        <f t="shared" si="95"/>
        <v>UTB</v>
      </c>
      <c r="C138" s="18"/>
      <c r="D138" s="15">
        <v>1149</v>
      </c>
      <c r="E138" s="17">
        <v>0.52783109404990403</v>
      </c>
      <c r="F138" s="14">
        <v>3400.5333333333333</v>
      </c>
      <c r="G138" s="28">
        <v>2236.3100000000127</v>
      </c>
      <c r="H138" s="15">
        <v>133</v>
      </c>
      <c r="I138" s="13">
        <v>21</v>
      </c>
      <c r="J138" s="16">
        <v>978</v>
      </c>
      <c r="K138" s="30">
        <v>1243</v>
      </c>
      <c r="L138" s="29">
        <v>486</v>
      </c>
      <c r="M138" s="28">
        <v>99</v>
      </c>
    </row>
    <row r="139" spans="1:14" outlineLevel="1" x14ac:dyDescent="0.2">
      <c r="A139" s="20">
        <f t="shared" si="95"/>
        <v>9930</v>
      </c>
      <c r="B139" s="19" t="str">
        <f t="shared" si="95"/>
        <v>UTPB</v>
      </c>
      <c r="C139" s="18"/>
      <c r="D139" s="15">
        <v>546</v>
      </c>
      <c r="E139" s="21">
        <v>0.47899999999999998</v>
      </c>
      <c r="F139" s="14">
        <v>2343.2666666666669</v>
      </c>
      <c r="G139" s="28">
        <v>1054.6599999999951</v>
      </c>
      <c r="H139" s="15">
        <v>51</v>
      </c>
      <c r="I139" s="13">
        <v>7</v>
      </c>
      <c r="J139" s="16">
        <v>411</v>
      </c>
      <c r="K139" s="30">
        <v>742</v>
      </c>
      <c r="L139" s="29">
        <v>535</v>
      </c>
      <c r="M139" s="28">
        <v>210</v>
      </c>
    </row>
    <row r="140" spans="1:14" outlineLevel="1" x14ac:dyDescent="0.2">
      <c r="A140" s="20">
        <f t="shared" si="95"/>
        <v>10115</v>
      </c>
      <c r="B140" s="19" t="str">
        <f t="shared" si="95"/>
        <v>UTSA</v>
      </c>
      <c r="C140" s="18"/>
      <c r="D140" s="15">
        <v>4243</v>
      </c>
      <c r="E140" s="21">
        <v>0.43099999999999999</v>
      </c>
      <c r="F140" s="14">
        <v>21066.866666666665</v>
      </c>
      <c r="G140" s="28">
        <v>8736.7000000001954</v>
      </c>
      <c r="H140" s="15">
        <v>407</v>
      </c>
      <c r="I140" s="13">
        <v>63</v>
      </c>
      <c r="J140" s="16">
        <v>3204</v>
      </c>
      <c r="K140" s="30">
        <v>6815</v>
      </c>
      <c r="L140" s="29">
        <v>4371</v>
      </c>
      <c r="M140" s="28">
        <v>2560</v>
      </c>
    </row>
    <row r="141" spans="1:14" outlineLevel="1" x14ac:dyDescent="0.2">
      <c r="A141" s="20">
        <f t="shared" si="95"/>
        <v>11163</v>
      </c>
      <c r="B141" s="19" t="str">
        <f t="shared" si="95"/>
        <v>UTT</v>
      </c>
      <c r="C141" s="18"/>
      <c r="D141" s="15">
        <v>1144</v>
      </c>
      <c r="E141" s="21">
        <v>0.51800000000000002</v>
      </c>
      <c r="F141" s="14">
        <v>4086.7333333333331</v>
      </c>
      <c r="G141" s="28">
        <v>2263.8699999999944</v>
      </c>
      <c r="H141" s="15">
        <v>392</v>
      </c>
      <c r="I141" s="13">
        <v>23</v>
      </c>
      <c r="J141" s="16">
        <v>886</v>
      </c>
      <c r="K141" s="30">
        <v>1409</v>
      </c>
      <c r="L141" s="29">
        <v>844</v>
      </c>
      <c r="M141" s="28">
        <v>383</v>
      </c>
    </row>
    <row r="142" spans="1:14" outlineLevel="1" x14ac:dyDescent="0.2">
      <c r="A142" s="20">
        <f t="shared" si="95"/>
        <v>3632</v>
      </c>
      <c r="B142" s="19" t="str">
        <f t="shared" si="95"/>
        <v>TAMU</v>
      </c>
      <c r="C142" s="18"/>
      <c r="D142" s="15">
        <v>9020</v>
      </c>
      <c r="E142" s="21">
        <v>0.84200000000000008</v>
      </c>
      <c r="F142" s="14">
        <v>35116.666666666664</v>
      </c>
      <c r="G142" s="28">
        <v>21108.189999999984</v>
      </c>
      <c r="H142" s="15">
        <v>1934</v>
      </c>
      <c r="I142" s="13">
        <v>137</v>
      </c>
      <c r="J142" s="16">
        <v>3915</v>
      </c>
      <c r="K142" s="30">
        <v>10547</v>
      </c>
      <c r="L142" s="29">
        <v>8924</v>
      </c>
      <c r="M142" s="28">
        <v>6938</v>
      </c>
    </row>
    <row r="143" spans="1:14" outlineLevel="1" x14ac:dyDescent="0.2">
      <c r="A143" s="20">
        <f t="shared" si="95"/>
        <v>10298</v>
      </c>
      <c r="B143" s="19" t="str">
        <f t="shared" si="95"/>
        <v>TAMUG</v>
      </c>
      <c r="C143" s="18"/>
      <c r="D143" s="15">
        <v>314</v>
      </c>
      <c r="E143" s="21">
        <v>0.626</v>
      </c>
      <c r="F143" s="14">
        <v>1769.4666666666667</v>
      </c>
      <c r="G143" s="28">
        <v>826.3399999999923</v>
      </c>
      <c r="H143" s="15">
        <v>46</v>
      </c>
      <c r="I143" s="13">
        <v>0</v>
      </c>
      <c r="J143" s="16">
        <v>186</v>
      </c>
      <c r="K143" s="30">
        <v>607</v>
      </c>
      <c r="L143" s="29">
        <v>296</v>
      </c>
      <c r="M143" s="28">
        <v>263</v>
      </c>
    </row>
    <row r="144" spans="1:14" outlineLevel="1" x14ac:dyDescent="0.2">
      <c r="A144" s="20">
        <f t="shared" si="95"/>
        <v>3630</v>
      </c>
      <c r="B144" s="19" t="str">
        <f t="shared" si="95"/>
        <v>Prairie View</v>
      </c>
      <c r="C144" s="18"/>
      <c r="D144" s="15">
        <v>1026</v>
      </c>
      <c r="E144" s="21">
        <v>0.40299999999999997</v>
      </c>
      <c r="F144" s="14">
        <v>5822.8</v>
      </c>
      <c r="G144" s="28">
        <v>2288.9700000000062</v>
      </c>
      <c r="H144" s="15">
        <v>373</v>
      </c>
      <c r="I144" s="13">
        <v>11</v>
      </c>
      <c r="J144" s="16">
        <v>877</v>
      </c>
      <c r="K144" s="30">
        <v>1701</v>
      </c>
      <c r="L144" s="29">
        <v>1132</v>
      </c>
      <c r="M144" s="28">
        <v>871</v>
      </c>
    </row>
    <row r="145" spans="1:13" outlineLevel="1" x14ac:dyDescent="0.2">
      <c r="A145" s="20">
        <f t="shared" si="95"/>
        <v>3631</v>
      </c>
      <c r="B145" s="19" t="str">
        <f t="shared" si="95"/>
        <v>Tarleton</v>
      </c>
      <c r="C145" s="18"/>
      <c r="D145" s="15">
        <v>1662</v>
      </c>
      <c r="E145" s="21">
        <v>0.47600000000000003</v>
      </c>
      <c r="F145" s="14">
        <v>6766.4</v>
      </c>
      <c r="G145" s="28">
        <v>3337.2399999999966</v>
      </c>
      <c r="H145" s="15">
        <v>229</v>
      </c>
      <c r="I145" s="13">
        <v>49</v>
      </c>
      <c r="J145" s="16">
        <v>1296</v>
      </c>
      <c r="K145" s="30">
        <v>2227</v>
      </c>
      <c r="L145" s="29">
        <v>1216</v>
      </c>
      <c r="M145" s="28">
        <v>845</v>
      </c>
    </row>
    <row r="146" spans="1:13" outlineLevel="1" x14ac:dyDescent="0.2">
      <c r="A146" s="27">
        <f t="shared" si="95"/>
        <v>103631</v>
      </c>
      <c r="B146" s="19" t="str">
        <f t="shared" si="95"/>
        <v>TAMUCT</v>
      </c>
      <c r="C146" s="18"/>
      <c r="D146" s="15">
        <v>469</v>
      </c>
      <c r="E146" s="21">
        <f>E145</f>
        <v>0.47600000000000003</v>
      </c>
      <c r="F146" s="14">
        <v>684.13333333333333</v>
      </c>
      <c r="G146" s="28">
        <v>882.20999999999208</v>
      </c>
      <c r="H146" s="15">
        <v>42</v>
      </c>
      <c r="I146" s="13">
        <v>0</v>
      </c>
      <c r="J146" s="16">
        <v>329</v>
      </c>
      <c r="K146" s="30">
        <v>550</v>
      </c>
      <c r="L146" s="29">
        <v>119</v>
      </c>
      <c r="M146" s="28">
        <v>5</v>
      </c>
    </row>
    <row r="147" spans="1:13" outlineLevel="1" x14ac:dyDescent="0.2">
      <c r="A147" s="20">
        <f t="shared" si="95"/>
        <v>11161</v>
      </c>
      <c r="B147" s="19" t="str">
        <f t="shared" si="95"/>
        <v>TAMUCC</v>
      </c>
      <c r="C147" s="18"/>
      <c r="D147" s="15">
        <v>1515</v>
      </c>
      <c r="E147" s="21">
        <v>0.51</v>
      </c>
      <c r="F147" s="14">
        <v>6742.2</v>
      </c>
      <c r="G147" s="28">
        <v>3028.8999999999978</v>
      </c>
      <c r="H147" s="15">
        <v>310</v>
      </c>
      <c r="I147" s="13">
        <v>23</v>
      </c>
      <c r="J147" s="16">
        <v>1182</v>
      </c>
      <c r="K147" s="30">
        <v>1957</v>
      </c>
      <c r="L147" s="29">
        <v>1470</v>
      </c>
      <c r="M147" s="28">
        <v>959</v>
      </c>
    </row>
    <row r="148" spans="1:13" outlineLevel="1" x14ac:dyDescent="0.2">
      <c r="A148" s="20">
        <f t="shared" si="95"/>
        <v>3639</v>
      </c>
      <c r="B148" s="19" t="str">
        <f t="shared" si="95"/>
        <v>TAMUK</v>
      </c>
      <c r="C148" s="18"/>
      <c r="D148" s="15">
        <v>855</v>
      </c>
      <c r="E148" s="21">
        <v>0.39200000000000002</v>
      </c>
      <c r="F148" s="14">
        <v>4577.5333333333338</v>
      </c>
      <c r="G148" s="28">
        <v>1952.6200000000099</v>
      </c>
      <c r="H148" s="15">
        <v>298</v>
      </c>
      <c r="I148" s="13">
        <v>19</v>
      </c>
      <c r="J148" s="16">
        <v>742</v>
      </c>
      <c r="K148" s="30">
        <v>1343</v>
      </c>
      <c r="L148" s="29">
        <v>910</v>
      </c>
      <c r="M148" s="28">
        <v>571</v>
      </c>
    </row>
    <row r="149" spans="1:13" outlineLevel="1" x14ac:dyDescent="0.2">
      <c r="A149" s="27">
        <f t="shared" si="95"/>
        <v>103639</v>
      </c>
      <c r="B149" s="19" t="str">
        <f t="shared" si="95"/>
        <v>TAMUSA</v>
      </c>
      <c r="C149" s="18"/>
      <c r="D149" s="15">
        <v>647</v>
      </c>
      <c r="E149" s="21">
        <f>E148</f>
        <v>0.39200000000000002</v>
      </c>
      <c r="F149" s="14">
        <v>1673.0666666666666</v>
      </c>
      <c r="G149" s="28">
        <v>1155.5399999999984</v>
      </c>
      <c r="H149" s="15">
        <v>10</v>
      </c>
      <c r="I149" s="13">
        <v>4</v>
      </c>
      <c r="J149" s="16">
        <v>549</v>
      </c>
      <c r="K149" s="30">
        <v>887</v>
      </c>
      <c r="L149" s="29">
        <v>190</v>
      </c>
      <c r="M149" s="28">
        <v>1</v>
      </c>
    </row>
    <row r="150" spans="1:13" outlineLevel="1" x14ac:dyDescent="0.2">
      <c r="A150" s="20">
        <f t="shared" si="95"/>
        <v>9651</v>
      </c>
      <c r="B150" s="19" t="str">
        <f t="shared" si="95"/>
        <v>TAMI</v>
      </c>
      <c r="C150" s="18"/>
      <c r="D150" s="15">
        <v>805</v>
      </c>
      <c r="E150" s="21">
        <v>0.45700000000000002</v>
      </c>
      <c r="F150" s="14">
        <v>4312.1333333333332</v>
      </c>
      <c r="G150" s="28">
        <v>1498.7699999999936</v>
      </c>
      <c r="H150" s="15">
        <v>142</v>
      </c>
      <c r="I150" s="13">
        <v>23</v>
      </c>
      <c r="J150" s="16">
        <v>737</v>
      </c>
      <c r="K150" s="30">
        <v>1292</v>
      </c>
      <c r="L150" s="29">
        <v>1039</v>
      </c>
      <c r="M150" s="28">
        <v>488</v>
      </c>
    </row>
    <row r="151" spans="1:13" outlineLevel="1" x14ac:dyDescent="0.2">
      <c r="A151" s="20">
        <f t="shared" si="95"/>
        <v>3665</v>
      </c>
      <c r="B151" s="19" t="str">
        <f t="shared" si="95"/>
        <v>WTAMU</v>
      </c>
      <c r="C151" s="18"/>
      <c r="D151" s="15">
        <v>1253</v>
      </c>
      <c r="E151" s="21">
        <v>0.48200000000000004</v>
      </c>
      <c r="F151" s="14">
        <v>5523.2</v>
      </c>
      <c r="G151" s="28">
        <v>2523.9800000000132</v>
      </c>
      <c r="H151" s="15">
        <v>175</v>
      </c>
      <c r="I151" s="13">
        <v>60</v>
      </c>
      <c r="J151" s="16">
        <v>902</v>
      </c>
      <c r="K151" s="30">
        <v>1631</v>
      </c>
      <c r="L151" s="29">
        <v>1213</v>
      </c>
      <c r="M151" s="28">
        <v>689</v>
      </c>
    </row>
    <row r="152" spans="1:13" outlineLevel="1" x14ac:dyDescent="0.2">
      <c r="A152" s="20">
        <f t="shared" si="95"/>
        <v>3565</v>
      </c>
      <c r="B152" s="19" t="str">
        <f t="shared" si="95"/>
        <v>TAMUC</v>
      </c>
      <c r="C152" s="18"/>
      <c r="D152" s="15">
        <v>1507</v>
      </c>
      <c r="E152" s="21">
        <v>0.44600000000000001</v>
      </c>
      <c r="F152" s="14">
        <v>5135.2666666666664</v>
      </c>
      <c r="G152" s="28">
        <v>2861.9500000000121</v>
      </c>
      <c r="H152" s="15">
        <v>89</v>
      </c>
      <c r="I152" s="13">
        <v>81</v>
      </c>
      <c r="J152" s="16">
        <v>1172</v>
      </c>
      <c r="K152" s="30">
        <v>2056</v>
      </c>
      <c r="L152" s="29">
        <v>1174</v>
      </c>
      <c r="M152" s="28">
        <v>457</v>
      </c>
    </row>
    <row r="153" spans="1:13" outlineLevel="1" x14ac:dyDescent="0.2">
      <c r="A153" s="20">
        <f t="shared" ref="A153:B170" si="96">A111</f>
        <v>29269</v>
      </c>
      <c r="B153" s="19" t="str">
        <f t="shared" si="96"/>
        <v>TAMUT</v>
      </c>
      <c r="C153" s="18"/>
      <c r="D153" s="15">
        <v>376</v>
      </c>
      <c r="E153" s="17">
        <v>0.49242424242424243</v>
      </c>
      <c r="F153" s="14">
        <v>1101.2666666666667</v>
      </c>
      <c r="G153" s="28">
        <v>680.4399999999946</v>
      </c>
      <c r="H153" s="15">
        <v>47</v>
      </c>
      <c r="I153" s="13">
        <v>25</v>
      </c>
      <c r="J153" s="16">
        <v>277</v>
      </c>
      <c r="K153" s="30">
        <v>484</v>
      </c>
      <c r="L153" s="29">
        <v>219</v>
      </c>
      <c r="M153" s="28">
        <v>1</v>
      </c>
    </row>
    <row r="154" spans="1:13" outlineLevel="1" x14ac:dyDescent="0.2">
      <c r="A154" s="20">
        <f t="shared" si="96"/>
        <v>3652</v>
      </c>
      <c r="B154" s="19" t="str">
        <f t="shared" si="96"/>
        <v>UH</v>
      </c>
      <c r="C154" s="18"/>
      <c r="D154" s="15">
        <v>5426</v>
      </c>
      <c r="E154" s="21">
        <v>0.53600000000000003</v>
      </c>
      <c r="F154" s="14">
        <v>24760.400000000001</v>
      </c>
      <c r="G154" s="28">
        <v>11378.949999999324</v>
      </c>
      <c r="H154" s="15">
        <v>835</v>
      </c>
      <c r="I154" s="13">
        <v>60</v>
      </c>
      <c r="J154" s="16">
        <v>3688</v>
      </c>
      <c r="K154" s="30">
        <v>7823</v>
      </c>
      <c r="L154" s="29">
        <v>5667</v>
      </c>
      <c r="M154" s="28">
        <v>3232</v>
      </c>
    </row>
    <row r="155" spans="1:13" outlineLevel="1" x14ac:dyDescent="0.2">
      <c r="A155" s="20">
        <f t="shared" si="96"/>
        <v>11711</v>
      </c>
      <c r="B155" s="19" t="str">
        <f t="shared" si="96"/>
        <v>UHCL</v>
      </c>
      <c r="C155" s="18"/>
      <c r="D155" s="15">
        <v>1251</v>
      </c>
      <c r="E155" s="17">
        <v>0.51671732522796354</v>
      </c>
      <c r="F155" s="14">
        <v>3079.2666666666669</v>
      </c>
      <c r="G155" s="28">
        <v>2423.7000000000025</v>
      </c>
      <c r="H155" s="15">
        <v>119</v>
      </c>
      <c r="I155" s="13">
        <v>9</v>
      </c>
      <c r="J155" s="16">
        <v>839</v>
      </c>
      <c r="K155" s="30">
        <v>1391</v>
      </c>
      <c r="L155" s="29">
        <v>1014</v>
      </c>
      <c r="M155" s="28">
        <v>37</v>
      </c>
    </row>
    <row r="156" spans="1:13" outlineLevel="1" x14ac:dyDescent="0.2">
      <c r="A156" s="20">
        <f t="shared" si="96"/>
        <v>12826</v>
      </c>
      <c r="B156" s="19" t="str">
        <f t="shared" si="96"/>
        <v>UHD</v>
      </c>
      <c r="C156" s="18"/>
      <c r="D156" s="15">
        <v>2351</v>
      </c>
      <c r="E156" s="21">
        <v>0.17399999999999999</v>
      </c>
      <c r="F156" s="14">
        <v>8043.8</v>
      </c>
      <c r="G156" s="28">
        <v>4292.430000000033</v>
      </c>
      <c r="H156" s="15">
        <v>134</v>
      </c>
      <c r="I156" s="13">
        <v>3</v>
      </c>
      <c r="J156" s="16">
        <v>1694</v>
      </c>
      <c r="K156" s="30">
        <v>3011</v>
      </c>
      <c r="L156" s="29">
        <v>1820</v>
      </c>
      <c r="M156" s="28">
        <v>590</v>
      </c>
    </row>
    <row r="157" spans="1:13" outlineLevel="1" x14ac:dyDescent="0.2">
      <c r="A157" s="20">
        <f t="shared" si="96"/>
        <v>13231</v>
      </c>
      <c r="B157" s="19" t="str">
        <f t="shared" si="96"/>
        <v>UHV</v>
      </c>
      <c r="C157" s="18"/>
      <c r="D157" s="15">
        <v>619</v>
      </c>
      <c r="E157" s="17">
        <v>0.47520661157024796</v>
      </c>
      <c r="F157" s="14">
        <v>1685.8666666666666</v>
      </c>
      <c r="G157" s="28">
        <v>1187.5899999999924</v>
      </c>
      <c r="H157" s="15">
        <v>134</v>
      </c>
      <c r="I157" s="13">
        <v>9</v>
      </c>
      <c r="J157" s="16">
        <v>418</v>
      </c>
      <c r="K157" s="30">
        <v>776</v>
      </c>
      <c r="L157" s="29">
        <v>334</v>
      </c>
      <c r="M157" s="28">
        <v>6</v>
      </c>
    </row>
    <row r="158" spans="1:13" outlineLevel="1" x14ac:dyDescent="0.2">
      <c r="A158" s="20">
        <f t="shared" si="96"/>
        <v>3592</v>
      </c>
      <c r="B158" s="19" t="str">
        <f t="shared" si="96"/>
        <v>Midwestern</v>
      </c>
      <c r="C158" s="18"/>
      <c r="D158" s="15">
        <v>1066</v>
      </c>
      <c r="E158" s="21">
        <v>0.46299999999999997</v>
      </c>
      <c r="F158" s="14">
        <v>4147.7333333333336</v>
      </c>
      <c r="G158" s="28">
        <v>2062.1399999999949</v>
      </c>
      <c r="H158" s="15">
        <v>358</v>
      </c>
      <c r="I158" s="13">
        <v>15</v>
      </c>
      <c r="J158" s="16">
        <v>723</v>
      </c>
      <c r="K158" s="30">
        <v>1310</v>
      </c>
      <c r="L158" s="29">
        <v>979</v>
      </c>
      <c r="M158" s="28">
        <v>683</v>
      </c>
    </row>
    <row r="159" spans="1:13" outlineLevel="1" x14ac:dyDescent="0.2">
      <c r="A159" s="20">
        <f t="shared" si="96"/>
        <v>3594</v>
      </c>
      <c r="B159" s="19" t="str">
        <f t="shared" si="96"/>
        <v>UNT</v>
      </c>
      <c r="C159" s="18"/>
      <c r="D159" s="15">
        <v>5843</v>
      </c>
      <c r="E159" s="21">
        <v>0.56799999999999995</v>
      </c>
      <c r="F159" s="14">
        <v>23213.466666666667</v>
      </c>
      <c r="G159" s="28">
        <v>11338.869999999399</v>
      </c>
      <c r="H159" s="15">
        <v>368</v>
      </c>
      <c r="I159" s="13">
        <v>56</v>
      </c>
      <c r="J159" s="16">
        <v>3771</v>
      </c>
      <c r="K159" s="30">
        <v>7310</v>
      </c>
      <c r="L159" s="29">
        <v>5432</v>
      </c>
      <c r="M159" s="28">
        <v>3116</v>
      </c>
    </row>
    <row r="160" spans="1:13" outlineLevel="1" x14ac:dyDescent="0.2">
      <c r="A160" s="27">
        <f t="shared" si="96"/>
        <v>113594</v>
      </c>
      <c r="B160" s="19" t="str">
        <f t="shared" si="96"/>
        <v>UNTD</v>
      </c>
      <c r="C160" s="18"/>
      <c r="D160" s="15">
        <v>419</v>
      </c>
      <c r="E160" s="21">
        <f>E159</f>
        <v>0.56799999999999995</v>
      </c>
      <c r="F160" s="14">
        <v>983.4666666666667</v>
      </c>
      <c r="G160" s="28">
        <v>742.11999999999398</v>
      </c>
      <c r="H160" s="15">
        <v>14</v>
      </c>
      <c r="I160" s="13">
        <v>0</v>
      </c>
      <c r="J160" s="16">
        <v>313</v>
      </c>
      <c r="K160" s="30">
        <v>469</v>
      </c>
      <c r="L160" s="29">
        <v>80</v>
      </c>
      <c r="M160" s="28">
        <v>4</v>
      </c>
    </row>
    <row r="161" spans="1:13" outlineLevel="1" x14ac:dyDescent="0.2">
      <c r="A161" s="20">
        <f t="shared" si="96"/>
        <v>3624</v>
      </c>
      <c r="B161" s="19" t="str">
        <f t="shared" si="96"/>
        <v>SFA</v>
      </c>
      <c r="C161" s="18"/>
      <c r="D161" s="15">
        <v>2011</v>
      </c>
      <c r="E161" s="21">
        <v>0.55299999999999994</v>
      </c>
      <c r="F161" s="14">
        <v>9507.3333333333339</v>
      </c>
      <c r="G161" s="28">
        <v>3932.9399999999569</v>
      </c>
      <c r="H161" s="15">
        <v>273</v>
      </c>
      <c r="I161" s="13">
        <v>42</v>
      </c>
      <c r="J161" s="16">
        <v>1513</v>
      </c>
      <c r="K161" s="30">
        <v>2605</v>
      </c>
      <c r="L161" s="29">
        <v>2125</v>
      </c>
      <c r="M161" s="28">
        <v>1473</v>
      </c>
    </row>
    <row r="162" spans="1:13" outlineLevel="1" x14ac:dyDescent="0.2">
      <c r="A162" s="20">
        <f t="shared" si="96"/>
        <v>3642</v>
      </c>
      <c r="B162" s="19" t="str">
        <f t="shared" si="96"/>
        <v>TSU</v>
      </c>
      <c r="C162" s="18"/>
      <c r="D162" s="15">
        <v>737</v>
      </c>
      <c r="E162" s="21">
        <v>0.14099999999999999</v>
      </c>
      <c r="F162" s="14">
        <v>5767.1333333333332</v>
      </c>
      <c r="G162" s="28">
        <v>1478.8299999999929</v>
      </c>
      <c r="H162" s="15">
        <v>154</v>
      </c>
      <c r="I162" s="13">
        <v>5</v>
      </c>
      <c r="J162" s="16">
        <v>641</v>
      </c>
      <c r="K162" s="30">
        <v>1349</v>
      </c>
      <c r="L162" s="29">
        <v>988</v>
      </c>
      <c r="M162" s="28">
        <v>760</v>
      </c>
    </row>
    <row r="163" spans="1:13" outlineLevel="1" x14ac:dyDescent="0.2">
      <c r="A163" s="20">
        <f t="shared" si="96"/>
        <v>3644</v>
      </c>
      <c r="B163" s="19" t="str">
        <f t="shared" si="96"/>
        <v>TTU</v>
      </c>
      <c r="C163" s="18"/>
      <c r="D163" s="15">
        <v>4941</v>
      </c>
      <c r="E163" s="21">
        <v>0.73599999999999999</v>
      </c>
      <c r="F163" s="14">
        <v>22627.599999999999</v>
      </c>
      <c r="G163" s="28">
        <v>10741.019999999262</v>
      </c>
      <c r="H163" s="15">
        <v>839</v>
      </c>
      <c r="I163" s="13">
        <v>67</v>
      </c>
      <c r="J163" s="16">
        <v>3071</v>
      </c>
      <c r="K163" s="30">
        <v>6449</v>
      </c>
      <c r="L163" s="29">
        <v>5332</v>
      </c>
      <c r="M163" s="28">
        <v>4048</v>
      </c>
    </row>
    <row r="164" spans="1:13" outlineLevel="1" x14ac:dyDescent="0.2">
      <c r="A164" s="20">
        <f t="shared" si="96"/>
        <v>3541</v>
      </c>
      <c r="B164" s="19" t="str">
        <f t="shared" si="96"/>
        <v>Angelo</v>
      </c>
      <c r="C164" s="18"/>
      <c r="D164" s="15">
        <v>1073</v>
      </c>
      <c r="E164" s="21">
        <v>0.40799999999999997</v>
      </c>
      <c r="F164" s="14">
        <v>4921.333333333333</v>
      </c>
      <c r="G164" s="28">
        <v>2141.5100000000025</v>
      </c>
      <c r="H164" s="15">
        <v>304</v>
      </c>
      <c r="I164" s="13">
        <v>19</v>
      </c>
      <c r="J164" s="16">
        <v>773</v>
      </c>
      <c r="K164" s="30">
        <v>1398</v>
      </c>
      <c r="L164" s="29">
        <v>1022</v>
      </c>
      <c r="M164" s="28">
        <v>707</v>
      </c>
    </row>
    <row r="165" spans="1:13" outlineLevel="1" x14ac:dyDescent="0.2">
      <c r="A165" s="20">
        <f t="shared" si="96"/>
        <v>3646</v>
      </c>
      <c r="B165" s="19" t="str">
        <f t="shared" si="96"/>
        <v>TWU</v>
      </c>
      <c r="C165" s="18"/>
      <c r="D165" s="15">
        <v>1919</v>
      </c>
      <c r="E165" s="21">
        <v>0.54200000000000004</v>
      </c>
      <c r="F165" s="14">
        <v>6999.5333333333338</v>
      </c>
      <c r="G165" s="28">
        <v>3704.3199999999606</v>
      </c>
      <c r="H165" s="15">
        <v>571</v>
      </c>
      <c r="I165" s="13">
        <v>30</v>
      </c>
      <c r="J165" s="16">
        <v>1326</v>
      </c>
      <c r="K165" s="30">
        <v>2425</v>
      </c>
      <c r="L165" s="29">
        <v>1247</v>
      </c>
      <c r="M165" s="28">
        <v>703</v>
      </c>
    </row>
    <row r="166" spans="1:13" outlineLevel="1" x14ac:dyDescent="0.2">
      <c r="A166" s="20">
        <f t="shared" si="96"/>
        <v>3581</v>
      </c>
      <c r="B166" s="19" t="str">
        <f t="shared" si="96"/>
        <v>Lamar</v>
      </c>
      <c r="C166" s="18"/>
      <c r="D166" s="15">
        <v>1380</v>
      </c>
      <c r="E166" s="21">
        <v>0.35899999999999999</v>
      </c>
      <c r="F166" s="14">
        <v>7404.4666666666662</v>
      </c>
      <c r="G166" s="28">
        <v>2721.5300000000057</v>
      </c>
      <c r="H166" s="15">
        <v>318</v>
      </c>
      <c r="I166" s="13">
        <v>18</v>
      </c>
      <c r="J166" s="16">
        <v>995</v>
      </c>
      <c r="K166" s="30">
        <v>2074</v>
      </c>
      <c r="L166" s="29">
        <v>1486</v>
      </c>
      <c r="M166" s="28">
        <v>1002</v>
      </c>
    </row>
    <row r="167" spans="1:13" outlineLevel="1" x14ac:dyDescent="0.2">
      <c r="A167" s="20">
        <f t="shared" si="96"/>
        <v>3606</v>
      </c>
      <c r="B167" s="19" t="str">
        <f t="shared" si="96"/>
        <v>SHSU</v>
      </c>
      <c r="C167" s="18"/>
      <c r="D167" s="15">
        <v>2978</v>
      </c>
      <c r="E167" s="21">
        <v>0.57799999999999996</v>
      </c>
      <c r="F167" s="14">
        <v>12574.466666666667</v>
      </c>
      <c r="G167" s="28">
        <v>5694.020000000286</v>
      </c>
      <c r="H167" s="15">
        <v>172</v>
      </c>
      <c r="I167" s="13">
        <v>51</v>
      </c>
      <c r="J167" s="16">
        <v>2163</v>
      </c>
      <c r="K167" s="30">
        <v>3894</v>
      </c>
      <c r="L167" s="29">
        <v>2915</v>
      </c>
      <c r="M167" s="28">
        <v>1704</v>
      </c>
    </row>
    <row r="168" spans="1:13" outlineLevel="1" x14ac:dyDescent="0.2">
      <c r="A168" s="20">
        <f t="shared" si="96"/>
        <v>3615</v>
      </c>
      <c r="B168" s="19" t="str">
        <f t="shared" si="96"/>
        <v>TXST</v>
      </c>
      <c r="C168" s="18"/>
      <c r="D168" s="15">
        <v>5435</v>
      </c>
      <c r="E168" s="21">
        <v>0.61399999999999999</v>
      </c>
      <c r="F168" s="14">
        <v>24028</v>
      </c>
      <c r="G168" s="28">
        <v>10677.06999999951</v>
      </c>
      <c r="H168" s="15">
        <v>582</v>
      </c>
      <c r="I168" s="13">
        <v>67</v>
      </c>
      <c r="J168" s="16">
        <v>3816</v>
      </c>
      <c r="K168" s="30">
        <v>7425</v>
      </c>
      <c r="L168" s="29">
        <v>5561</v>
      </c>
      <c r="M168" s="28">
        <v>3333</v>
      </c>
    </row>
    <row r="169" spans="1:13" outlineLevel="1" x14ac:dyDescent="0.2">
      <c r="A169" s="20">
        <f t="shared" si="96"/>
        <v>3625</v>
      </c>
      <c r="B169" s="19" t="str">
        <f t="shared" si="96"/>
        <v>SRSU</v>
      </c>
      <c r="C169" s="18"/>
      <c r="D169" s="15">
        <v>191</v>
      </c>
      <c r="E169" s="21">
        <v>0.32600000000000001</v>
      </c>
      <c r="F169" s="14">
        <v>1229</v>
      </c>
      <c r="G169" s="28">
        <v>409.0499999999999</v>
      </c>
      <c r="H169" s="15">
        <v>10</v>
      </c>
      <c r="I169" s="13">
        <v>5</v>
      </c>
      <c r="J169" s="16">
        <v>167</v>
      </c>
      <c r="K169" s="30">
        <v>284</v>
      </c>
      <c r="L169" s="29">
        <v>188</v>
      </c>
      <c r="M169" s="28">
        <v>144</v>
      </c>
    </row>
    <row r="170" spans="1:13" outlineLevel="1" x14ac:dyDescent="0.2">
      <c r="A170" s="20">
        <f t="shared" si="96"/>
        <v>20</v>
      </c>
      <c r="B170" s="19" t="str">
        <f t="shared" si="96"/>
        <v>SRRG</v>
      </c>
      <c r="C170" s="18"/>
      <c r="D170" s="15">
        <v>154</v>
      </c>
      <c r="E170" s="17">
        <v>0.25423728813559321</v>
      </c>
      <c r="F170" s="14">
        <v>436.8</v>
      </c>
      <c r="G170" s="28">
        <v>268.06000000000023</v>
      </c>
      <c r="H170" s="15">
        <v>6</v>
      </c>
      <c r="I170" s="13">
        <v>1</v>
      </c>
      <c r="J170" s="16">
        <v>138</v>
      </c>
      <c r="K170" s="30">
        <v>215</v>
      </c>
      <c r="L170" s="29">
        <v>91</v>
      </c>
      <c r="M170" s="28">
        <v>6</v>
      </c>
    </row>
    <row r="171" spans="1:13" ht="13.5" outlineLevel="1" thickBot="1" x14ac:dyDescent="0.25">
      <c r="A171" s="12"/>
      <c r="B171" s="11" t="s">
        <v>11</v>
      </c>
      <c r="C171" s="10"/>
      <c r="D171" s="9">
        <f>SUM(D133:D170)</f>
        <v>87062</v>
      </c>
      <c r="E171" s="8">
        <v>0.58700000000000008</v>
      </c>
      <c r="F171" s="7">
        <f t="shared" ref="F171:M171" si="97">SUM(F133:F170)</f>
        <v>359610.06666666665</v>
      </c>
      <c r="G171" s="3">
        <f t="shared" si="97"/>
        <v>180161.28999999876</v>
      </c>
      <c r="H171" s="5">
        <f t="shared" si="97"/>
        <v>15629</v>
      </c>
      <c r="I171" s="3">
        <f t="shared" si="97"/>
        <v>1267</v>
      </c>
      <c r="J171" s="6">
        <f t="shared" si="97"/>
        <v>56968</v>
      </c>
      <c r="K171" s="5">
        <f t="shared" si="97"/>
        <v>113504</v>
      </c>
      <c r="L171" s="4">
        <f t="shared" si="97"/>
        <v>81268</v>
      </c>
      <c r="M171" s="3">
        <f t="shared" si="97"/>
        <v>50077</v>
      </c>
    </row>
    <row r="172" spans="1:13" ht="13.5" thickBot="1" x14ac:dyDescent="0.25">
      <c r="A172" s="45" t="s">
        <v>26</v>
      </c>
      <c r="B172" s="45"/>
      <c r="C172" s="45"/>
      <c r="D172" s="45"/>
      <c r="F172" s="45"/>
      <c r="J172" s="45"/>
    </row>
    <row r="173" spans="1:13" ht="12.75" customHeight="1" outlineLevel="1" x14ac:dyDescent="0.2">
      <c r="A173" s="177" t="s">
        <v>24</v>
      </c>
      <c r="B173" s="179" t="s">
        <v>23</v>
      </c>
      <c r="C173" s="181"/>
      <c r="D173" s="210" t="s">
        <v>22</v>
      </c>
      <c r="E173" s="205" t="s">
        <v>21</v>
      </c>
      <c r="F173" s="179" t="s">
        <v>20</v>
      </c>
      <c r="G173" s="201" t="s">
        <v>19</v>
      </c>
      <c r="H173" s="203" t="s">
        <v>18</v>
      </c>
      <c r="I173" s="195" t="s">
        <v>17</v>
      </c>
      <c r="J173" s="197" t="s">
        <v>16</v>
      </c>
      <c r="K173" s="199" t="s">
        <v>15</v>
      </c>
      <c r="L173" s="200"/>
      <c r="M173" s="200"/>
    </row>
    <row r="174" spans="1:13" s="41" customFormat="1" ht="40.5" customHeight="1" outlineLevel="1" thickBot="1" x14ac:dyDescent="0.25">
      <c r="A174" s="178"/>
      <c r="B174" s="180"/>
      <c r="C174" s="182"/>
      <c r="D174" s="211"/>
      <c r="E174" s="206"/>
      <c r="F174" s="180"/>
      <c r="G174" s="202"/>
      <c r="H174" s="204"/>
      <c r="I174" s="196"/>
      <c r="J174" s="198"/>
      <c r="K174" s="44" t="s">
        <v>14</v>
      </c>
      <c r="L174" s="43" t="s">
        <v>13</v>
      </c>
      <c r="M174" s="42" t="s">
        <v>12</v>
      </c>
    </row>
    <row r="175" spans="1:13" outlineLevel="1" x14ac:dyDescent="0.2">
      <c r="A175" s="40">
        <f t="shared" ref="A175:B194" si="98">A133</f>
        <v>3656</v>
      </c>
      <c r="B175" s="39" t="str">
        <f t="shared" si="98"/>
        <v>UTA</v>
      </c>
      <c r="C175" s="38"/>
      <c r="D175" s="33">
        <v>5103</v>
      </c>
      <c r="E175" s="37">
        <v>0.49299999999999999</v>
      </c>
      <c r="F175" s="32">
        <v>17372</v>
      </c>
      <c r="G175" s="31">
        <v>10527.860000000002</v>
      </c>
      <c r="H175" s="36">
        <v>1620</v>
      </c>
      <c r="I175" s="35">
        <v>26</v>
      </c>
      <c r="J175" s="34">
        <v>3158</v>
      </c>
      <c r="K175" s="33">
        <v>6986</v>
      </c>
      <c r="L175" s="32">
        <v>3903</v>
      </c>
      <c r="M175" s="31">
        <v>1733</v>
      </c>
    </row>
    <row r="176" spans="1:13" outlineLevel="1" x14ac:dyDescent="0.2">
      <c r="A176" s="20">
        <f t="shared" si="98"/>
        <v>3658</v>
      </c>
      <c r="B176" s="19" t="str">
        <f t="shared" si="98"/>
        <v>UT</v>
      </c>
      <c r="C176" s="18"/>
      <c r="D176" s="15">
        <v>9027</v>
      </c>
      <c r="E176" s="21">
        <v>0.83299999999999996</v>
      </c>
      <c r="F176" s="14">
        <v>33709.866666666669</v>
      </c>
      <c r="G176" s="13">
        <v>19422.050000001858</v>
      </c>
      <c r="H176" s="15">
        <v>1894</v>
      </c>
      <c r="I176" s="13">
        <v>60</v>
      </c>
      <c r="J176" s="16">
        <v>3475</v>
      </c>
      <c r="K176" s="15">
        <v>9939</v>
      </c>
      <c r="L176" s="14">
        <v>8895</v>
      </c>
      <c r="M176" s="13">
        <v>7485</v>
      </c>
    </row>
    <row r="177" spans="1:13" outlineLevel="1" x14ac:dyDescent="0.2">
      <c r="A177" s="20">
        <f t="shared" si="98"/>
        <v>9741</v>
      </c>
      <c r="B177" s="19" t="str">
        <f t="shared" si="98"/>
        <v>UTD</v>
      </c>
      <c r="C177" s="18"/>
      <c r="D177" s="15">
        <v>2314</v>
      </c>
      <c r="E177" s="21">
        <v>0.68299999999999994</v>
      </c>
      <c r="F177" s="14">
        <v>8822.2000000000007</v>
      </c>
      <c r="G177" s="13">
        <v>4904.1700000000228</v>
      </c>
      <c r="H177" s="15">
        <v>424</v>
      </c>
      <c r="I177" s="13">
        <v>27</v>
      </c>
      <c r="J177" s="16">
        <v>1294</v>
      </c>
      <c r="K177" s="15">
        <v>3345</v>
      </c>
      <c r="L177" s="14">
        <v>2105</v>
      </c>
      <c r="M177" s="13">
        <v>1076</v>
      </c>
    </row>
    <row r="178" spans="1:13" outlineLevel="1" x14ac:dyDescent="0.2">
      <c r="A178" s="20">
        <f t="shared" si="98"/>
        <v>3661</v>
      </c>
      <c r="B178" s="19" t="str">
        <f t="shared" si="98"/>
        <v>UTEP</v>
      </c>
      <c r="C178" s="18"/>
      <c r="D178" s="15">
        <v>3008</v>
      </c>
      <c r="E178" s="21">
        <v>0.38400000000000001</v>
      </c>
      <c r="F178" s="14">
        <v>13376</v>
      </c>
      <c r="G178" s="13">
        <v>6142.7200000000885</v>
      </c>
      <c r="H178" s="15">
        <v>613</v>
      </c>
      <c r="I178" s="13">
        <v>91</v>
      </c>
      <c r="J178" s="16">
        <v>2409</v>
      </c>
      <c r="K178" s="15">
        <v>4488</v>
      </c>
      <c r="L178" s="14">
        <v>3404</v>
      </c>
      <c r="M178" s="13">
        <v>1910</v>
      </c>
    </row>
    <row r="179" spans="1:13" outlineLevel="1" x14ac:dyDescent="0.2">
      <c r="A179" s="20">
        <f t="shared" si="98"/>
        <v>3599</v>
      </c>
      <c r="B179" s="19" t="str">
        <f t="shared" si="98"/>
        <v>UTPA</v>
      </c>
      <c r="C179" s="18"/>
      <c r="D179" s="15">
        <v>2658</v>
      </c>
      <c r="E179" s="21">
        <v>0.46399999999999997</v>
      </c>
      <c r="F179" s="14">
        <v>12499.266666666666</v>
      </c>
      <c r="G179" s="13">
        <v>5231.3300000001427</v>
      </c>
      <c r="H179" s="15">
        <v>534</v>
      </c>
      <c r="I179" s="13">
        <v>34</v>
      </c>
      <c r="J179" s="16">
        <v>2427</v>
      </c>
      <c r="K179" s="15">
        <v>4142</v>
      </c>
      <c r="L179" s="14">
        <v>3290</v>
      </c>
      <c r="M179" s="13">
        <v>1998</v>
      </c>
    </row>
    <row r="180" spans="1:13" outlineLevel="1" x14ac:dyDescent="0.2">
      <c r="A180" s="20">
        <f t="shared" si="98"/>
        <v>30646</v>
      </c>
      <c r="B180" s="19" t="str">
        <f t="shared" si="98"/>
        <v>UTB</v>
      </c>
      <c r="C180" s="18"/>
      <c r="D180" s="15">
        <v>1075</v>
      </c>
      <c r="E180" s="17">
        <v>0.55124653739612184</v>
      </c>
      <c r="F180" s="14">
        <v>3116.2</v>
      </c>
      <c r="G180" s="13">
        <v>2052.0600000000218</v>
      </c>
      <c r="H180" s="15">
        <v>132</v>
      </c>
      <c r="I180" s="13">
        <v>15</v>
      </c>
      <c r="J180" s="16">
        <v>916</v>
      </c>
      <c r="K180" s="15">
        <v>1359</v>
      </c>
      <c r="L180" s="14">
        <v>600</v>
      </c>
      <c r="M180" s="13">
        <v>131</v>
      </c>
    </row>
    <row r="181" spans="1:13" outlineLevel="1" x14ac:dyDescent="0.2">
      <c r="A181" s="20">
        <f t="shared" si="98"/>
        <v>9930</v>
      </c>
      <c r="B181" s="19" t="str">
        <f t="shared" si="98"/>
        <v>UTPB</v>
      </c>
      <c r="C181" s="18"/>
      <c r="D181" s="15">
        <v>541</v>
      </c>
      <c r="E181" s="21">
        <v>0.40700000000000003</v>
      </c>
      <c r="F181" s="14">
        <v>2416</v>
      </c>
      <c r="G181" s="13">
        <v>1005.1500000000051</v>
      </c>
      <c r="H181" s="15">
        <v>40</v>
      </c>
      <c r="I181" s="13">
        <v>10</v>
      </c>
      <c r="J181" s="16">
        <v>407</v>
      </c>
      <c r="K181" s="15">
        <v>908</v>
      </c>
      <c r="L181" s="14">
        <v>490</v>
      </c>
      <c r="M181" s="13">
        <v>191</v>
      </c>
    </row>
    <row r="182" spans="1:13" outlineLevel="1" x14ac:dyDescent="0.2">
      <c r="A182" s="20">
        <f t="shared" si="98"/>
        <v>10115</v>
      </c>
      <c r="B182" s="19" t="str">
        <f t="shared" si="98"/>
        <v>UTSA</v>
      </c>
      <c r="C182" s="18"/>
      <c r="D182" s="15">
        <v>4148</v>
      </c>
      <c r="E182" s="21">
        <v>0.39400000000000002</v>
      </c>
      <c r="F182" s="14">
        <v>20284.733333333334</v>
      </c>
      <c r="G182" s="13">
        <v>8398.8499999997166</v>
      </c>
      <c r="H182" s="15">
        <v>394</v>
      </c>
      <c r="I182" s="13">
        <v>47</v>
      </c>
      <c r="J182" s="16">
        <v>3211</v>
      </c>
      <c r="K182" s="15">
        <v>6802</v>
      </c>
      <c r="L182" s="14">
        <v>4390</v>
      </c>
      <c r="M182" s="13">
        <v>2699</v>
      </c>
    </row>
    <row r="183" spans="1:13" outlineLevel="1" x14ac:dyDescent="0.2">
      <c r="A183" s="20">
        <f t="shared" si="98"/>
        <v>11163</v>
      </c>
      <c r="B183" s="19" t="str">
        <f t="shared" si="98"/>
        <v>UTT</v>
      </c>
      <c r="C183" s="18"/>
      <c r="D183" s="15">
        <v>1188</v>
      </c>
      <c r="E183" s="21">
        <v>0.53300000000000003</v>
      </c>
      <c r="F183" s="14">
        <v>4030.7333333333331</v>
      </c>
      <c r="G183" s="13">
        <v>2364.9800000000037</v>
      </c>
      <c r="H183" s="15">
        <v>366</v>
      </c>
      <c r="I183" s="13">
        <v>9</v>
      </c>
      <c r="J183" s="16">
        <v>939</v>
      </c>
      <c r="K183" s="15">
        <v>1496</v>
      </c>
      <c r="L183" s="14">
        <v>905</v>
      </c>
      <c r="M183" s="13">
        <v>401</v>
      </c>
    </row>
    <row r="184" spans="1:13" outlineLevel="1" x14ac:dyDescent="0.2">
      <c r="A184" s="20">
        <f t="shared" si="98"/>
        <v>3632</v>
      </c>
      <c r="B184" s="19" t="str">
        <f t="shared" si="98"/>
        <v>TAMU</v>
      </c>
      <c r="C184" s="18"/>
      <c r="D184" s="15">
        <v>8748</v>
      </c>
      <c r="E184" s="21">
        <v>0.84399999999999997</v>
      </c>
      <c r="F184" s="14">
        <v>34425.133333333331</v>
      </c>
      <c r="G184" s="13">
        <v>20060.050000001262</v>
      </c>
      <c r="H184" s="15">
        <v>1775</v>
      </c>
      <c r="I184" s="13">
        <v>133</v>
      </c>
      <c r="J184" s="16">
        <v>3727</v>
      </c>
      <c r="K184" s="15">
        <v>9623</v>
      </c>
      <c r="L184" s="14">
        <v>8962</v>
      </c>
      <c r="M184" s="13">
        <v>6823</v>
      </c>
    </row>
    <row r="185" spans="1:13" outlineLevel="1" x14ac:dyDescent="0.2">
      <c r="A185" s="20">
        <f t="shared" si="98"/>
        <v>10298</v>
      </c>
      <c r="B185" s="19" t="str">
        <f t="shared" si="98"/>
        <v>TAMUG</v>
      </c>
      <c r="C185" s="18"/>
      <c r="D185" s="15">
        <v>250</v>
      </c>
      <c r="E185" s="21">
        <v>0.66400000000000003</v>
      </c>
      <c r="F185" s="14">
        <v>1668.1333333333334</v>
      </c>
      <c r="G185" s="13">
        <v>648.89999999999895</v>
      </c>
      <c r="H185" s="15">
        <v>35</v>
      </c>
      <c r="I185" s="13">
        <v>0</v>
      </c>
      <c r="J185" s="16">
        <v>151</v>
      </c>
      <c r="K185" s="15">
        <v>600</v>
      </c>
      <c r="L185" s="14">
        <v>336</v>
      </c>
      <c r="M185" s="13">
        <v>234</v>
      </c>
    </row>
    <row r="186" spans="1:13" outlineLevel="1" x14ac:dyDescent="0.2">
      <c r="A186" s="20">
        <f t="shared" si="98"/>
        <v>3630</v>
      </c>
      <c r="B186" s="19" t="str">
        <f t="shared" si="98"/>
        <v>Prairie View</v>
      </c>
      <c r="C186" s="18"/>
      <c r="D186" s="15">
        <v>904</v>
      </c>
      <c r="E186" s="21">
        <v>0.37</v>
      </c>
      <c r="F186" s="49">
        <v>6088.2666666666664</v>
      </c>
      <c r="G186" s="13">
        <v>1934.240000000003</v>
      </c>
      <c r="H186" s="15">
        <v>279</v>
      </c>
      <c r="I186" s="13">
        <v>10</v>
      </c>
      <c r="J186" s="16">
        <v>775</v>
      </c>
      <c r="K186" s="15">
        <v>1660</v>
      </c>
      <c r="L186" s="14">
        <v>1237</v>
      </c>
      <c r="M186" s="13">
        <v>905</v>
      </c>
    </row>
    <row r="187" spans="1:13" outlineLevel="1" x14ac:dyDescent="0.2">
      <c r="A187" s="20">
        <f t="shared" si="98"/>
        <v>3631</v>
      </c>
      <c r="B187" s="19" t="str">
        <f t="shared" si="98"/>
        <v>Tarleton</v>
      </c>
      <c r="C187" s="18"/>
      <c r="D187" s="15">
        <v>1552</v>
      </c>
      <c r="E187" s="21">
        <v>0.48299999999999998</v>
      </c>
      <c r="F187" s="49">
        <v>6264.4666666666662</v>
      </c>
      <c r="G187" s="13">
        <v>3063.9600000000341</v>
      </c>
      <c r="H187" s="15">
        <v>197</v>
      </c>
      <c r="I187" s="48">
        <v>56</v>
      </c>
      <c r="J187" s="16">
        <v>1196</v>
      </c>
      <c r="K187" s="50">
        <v>2096</v>
      </c>
      <c r="L187" s="49">
        <v>1464</v>
      </c>
      <c r="M187" s="48">
        <v>840</v>
      </c>
    </row>
    <row r="188" spans="1:13" outlineLevel="1" x14ac:dyDescent="0.2">
      <c r="A188" s="27">
        <f t="shared" si="98"/>
        <v>103631</v>
      </c>
      <c r="B188" s="19" t="str">
        <f t="shared" si="98"/>
        <v>TAMUCT</v>
      </c>
      <c r="C188" s="18"/>
      <c r="D188" s="15">
        <v>462</v>
      </c>
      <c r="E188" s="21">
        <v>0.48299999999999998</v>
      </c>
      <c r="F188" s="49">
        <v>700.66666666666663</v>
      </c>
      <c r="G188" s="13">
        <v>846.68000000000006</v>
      </c>
      <c r="H188" s="15">
        <v>36</v>
      </c>
      <c r="I188" s="48">
        <v>0</v>
      </c>
      <c r="J188" s="16">
        <v>330</v>
      </c>
      <c r="K188" s="50">
        <v>555</v>
      </c>
      <c r="L188" s="49">
        <v>143</v>
      </c>
      <c r="M188" s="48">
        <v>66</v>
      </c>
    </row>
    <row r="189" spans="1:13" outlineLevel="1" x14ac:dyDescent="0.2">
      <c r="A189" s="20">
        <f t="shared" si="98"/>
        <v>11161</v>
      </c>
      <c r="B189" s="19" t="str">
        <f t="shared" si="98"/>
        <v>TAMUCC</v>
      </c>
      <c r="C189" s="18"/>
      <c r="D189" s="15">
        <v>1315</v>
      </c>
      <c r="E189" s="21">
        <v>0.51100000000000001</v>
      </c>
      <c r="F189" s="49">
        <v>6609.8666666666668</v>
      </c>
      <c r="G189" s="13">
        <v>2639.1300000000101</v>
      </c>
      <c r="H189" s="15">
        <v>252</v>
      </c>
      <c r="I189" s="48">
        <v>25</v>
      </c>
      <c r="J189" s="16">
        <v>1034</v>
      </c>
      <c r="K189" s="15">
        <v>2126</v>
      </c>
      <c r="L189" s="14">
        <v>1577</v>
      </c>
      <c r="M189" s="13">
        <v>864</v>
      </c>
    </row>
    <row r="190" spans="1:13" outlineLevel="1" x14ac:dyDescent="0.2">
      <c r="A190" s="20">
        <f t="shared" si="98"/>
        <v>3639</v>
      </c>
      <c r="B190" s="19" t="str">
        <f t="shared" si="98"/>
        <v>TAMUK</v>
      </c>
      <c r="C190" s="18"/>
      <c r="D190" s="15">
        <v>738</v>
      </c>
      <c r="E190" s="21">
        <v>0.39799999999999996</v>
      </c>
      <c r="F190" s="49">
        <v>4394.2</v>
      </c>
      <c r="G190" s="13">
        <v>1735.8600000000065</v>
      </c>
      <c r="H190" s="15">
        <v>246</v>
      </c>
      <c r="I190" s="48">
        <v>16</v>
      </c>
      <c r="J190" s="16">
        <v>613</v>
      </c>
      <c r="K190" s="50">
        <v>1180</v>
      </c>
      <c r="L190" s="49">
        <v>879</v>
      </c>
      <c r="M190" s="48">
        <v>555</v>
      </c>
    </row>
    <row r="191" spans="1:13" outlineLevel="1" x14ac:dyDescent="0.2">
      <c r="A191" s="27">
        <f t="shared" si="98"/>
        <v>103639</v>
      </c>
      <c r="B191" s="19" t="str">
        <f t="shared" si="98"/>
        <v>TAMUSA</v>
      </c>
      <c r="C191" s="18"/>
      <c r="D191" s="15">
        <v>620</v>
      </c>
      <c r="E191" s="21">
        <v>0.39799999999999996</v>
      </c>
      <c r="F191" s="49">
        <v>1492.4</v>
      </c>
      <c r="G191" s="13">
        <v>1078.0000000000073</v>
      </c>
      <c r="H191" s="15">
        <v>1</v>
      </c>
      <c r="I191" s="48">
        <v>0</v>
      </c>
      <c r="J191" s="16">
        <v>520</v>
      </c>
      <c r="K191" s="50">
        <v>995</v>
      </c>
      <c r="L191" s="49">
        <v>37</v>
      </c>
      <c r="M191" s="48">
        <v>2</v>
      </c>
    </row>
    <row r="192" spans="1:13" outlineLevel="1" x14ac:dyDescent="0.2">
      <c r="A192" s="20">
        <f t="shared" si="98"/>
        <v>9651</v>
      </c>
      <c r="B192" s="19" t="str">
        <f t="shared" si="98"/>
        <v>TAMI</v>
      </c>
      <c r="C192" s="18"/>
      <c r="D192" s="15">
        <v>766</v>
      </c>
      <c r="E192" s="21">
        <v>0.503</v>
      </c>
      <c r="F192" s="14">
        <v>4126.8</v>
      </c>
      <c r="G192" s="13">
        <v>1400.4200000000046</v>
      </c>
      <c r="H192" s="15">
        <v>120</v>
      </c>
      <c r="I192" s="13">
        <v>18</v>
      </c>
      <c r="J192" s="16">
        <v>688</v>
      </c>
      <c r="K192" s="15">
        <v>1515</v>
      </c>
      <c r="L192" s="14">
        <v>1027</v>
      </c>
      <c r="M192" s="13">
        <v>486</v>
      </c>
    </row>
    <row r="193" spans="1:13" outlineLevel="1" x14ac:dyDescent="0.2">
      <c r="A193" s="20">
        <f t="shared" si="98"/>
        <v>3665</v>
      </c>
      <c r="B193" s="19" t="str">
        <f t="shared" si="98"/>
        <v>WTAMU</v>
      </c>
      <c r="C193" s="18"/>
      <c r="D193" s="15">
        <v>1294</v>
      </c>
      <c r="E193" s="21">
        <v>0.47399999999999998</v>
      </c>
      <c r="F193" s="14">
        <v>5457.666666666667</v>
      </c>
      <c r="G193" s="13">
        <v>2570.7800000000157</v>
      </c>
      <c r="H193" s="15">
        <v>184</v>
      </c>
      <c r="I193" s="13">
        <v>58</v>
      </c>
      <c r="J193" s="16">
        <v>913</v>
      </c>
      <c r="K193" s="15">
        <v>1871</v>
      </c>
      <c r="L193" s="14">
        <v>1264</v>
      </c>
      <c r="M193" s="13">
        <v>664</v>
      </c>
    </row>
    <row r="194" spans="1:13" outlineLevel="1" x14ac:dyDescent="0.2">
      <c r="A194" s="20">
        <f t="shared" si="98"/>
        <v>3565</v>
      </c>
      <c r="B194" s="19" t="str">
        <f t="shared" si="98"/>
        <v>TAMUC</v>
      </c>
      <c r="C194" s="18"/>
      <c r="D194" s="15">
        <v>1313</v>
      </c>
      <c r="E194" s="21">
        <v>0.42600000000000005</v>
      </c>
      <c r="F194" s="14">
        <v>4783.5333333333338</v>
      </c>
      <c r="G194" s="13">
        <v>2463.6900000000296</v>
      </c>
      <c r="H194" s="15">
        <v>71</v>
      </c>
      <c r="I194" s="13">
        <v>77</v>
      </c>
      <c r="J194" s="16">
        <v>1002</v>
      </c>
      <c r="K194" s="15">
        <v>1911</v>
      </c>
      <c r="L194" s="14">
        <v>1200</v>
      </c>
      <c r="M194" s="13">
        <v>477</v>
      </c>
    </row>
    <row r="195" spans="1:13" outlineLevel="1" x14ac:dyDescent="0.2">
      <c r="A195" s="20">
        <f t="shared" ref="A195:B212" si="99">A153</f>
        <v>29269</v>
      </c>
      <c r="B195" s="19" t="str">
        <f t="shared" si="99"/>
        <v>TAMUT</v>
      </c>
      <c r="C195" s="18"/>
      <c r="D195" s="15">
        <v>335</v>
      </c>
      <c r="E195" s="17">
        <v>0.56028368794326244</v>
      </c>
      <c r="F195" s="14">
        <v>879.13333333333333</v>
      </c>
      <c r="G195" s="13">
        <v>609.83000000000015</v>
      </c>
      <c r="H195" s="15">
        <v>48</v>
      </c>
      <c r="I195" s="13">
        <v>18</v>
      </c>
      <c r="J195" s="16">
        <v>230</v>
      </c>
      <c r="K195" s="15">
        <v>411</v>
      </c>
      <c r="L195" s="14">
        <v>186</v>
      </c>
      <c r="M195" s="13">
        <v>1</v>
      </c>
    </row>
    <row r="196" spans="1:13" outlineLevel="1" x14ac:dyDescent="0.2">
      <c r="A196" s="20">
        <f t="shared" si="99"/>
        <v>3652</v>
      </c>
      <c r="B196" s="19" t="str">
        <f t="shared" si="99"/>
        <v>UH</v>
      </c>
      <c r="C196" s="18"/>
      <c r="D196" s="15">
        <v>5092</v>
      </c>
      <c r="E196" s="21">
        <v>0.54200000000000004</v>
      </c>
      <c r="F196" s="14">
        <v>23853.933333333334</v>
      </c>
      <c r="G196" s="13">
        <v>10569.339999999527</v>
      </c>
      <c r="H196" s="15">
        <v>720</v>
      </c>
      <c r="I196" s="13">
        <v>74</v>
      </c>
      <c r="J196" s="16">
        <v>3340</v>
      </c>
      <c r="K196" s="15">
        <v>7467</v>
      </c>
      <c r="L196" s="14">
        <v>5804</v>
      </c>
      <c r="M196" s="13">
        <v>3314</v>
      </c>
    </row>
    <row r="197" spans="1:13" outlineLevel="1" x14ac:dyDescent="0.2">
      <c r="A197" s="20">
        <f t="shared" si="99"/>
        <v>11711</v>
      </c>
      <c r="B197" s="19" t="str">
        <f t="shared" si="99"/>
        <v>UHCL</v>
      </c>
      <c r="C197" s="18"/>
      <c r="D197" s="15">
        <v>1197</v>
      </c>
      <c r="E197" s="17">
        <v>0.53820033955857383</v>
      </c>
      <c r="F197" s="14">
        <v>3046.8</v>
      </c>
      <c r="G197" s="13">
        <v>2293.9500000000248</v>
      </c>
      <c r="H197" s="15">
        <v>113</v>
      </c>
      <c r="I197" s="13">
        <v>8</v>
      </c>
      <c r="J197" s="16">
        <v>777</v>
      </c>
      <c r="K197" s="15">
        <v>1434</v>
      </c>
      <c r="L197" s="14">
        <v>959</v>
      </c>
      <c r="M197" s="13">
        <v>53</v>
      </c>
    </row>
    <row r="198" spans="1:13" outlineLevel="1" x14ac:dyDescent="0.2">
      <c r="A198" s="20">
        <f t="shared" si="99"/>
        <v>12826</v>
      </c>
      <c r="B198" s="19" t="str">
        <f t="shared" si="99"/>
        <v>UHD</v>
      </c>
      <c r="C198" s="18"/>
      <c r="D198" s="15">
        <v>2437</v>
      </c>
      <c r="E198" s="21">
        <v>0.215</v>
      </c>
      <c r="F198" s="14">
        <v>7949.2666666666664</v>
      </c>
      <c r="G198" s="13">
        <v>4368.2100000000464</v>
      </c>
      <c r="H198" s="15">
        <v>143</v>
      </c>
      <c r="I198" s="13">
        <v>0</v>
      </c>
      <c r="J198" s="16">
        <v>1730</v>
      </c>
      <c r="K198" s="15">
        <v>3223</v>
      </c>
      <c r="L198" s="14">
        <v>1896</v>
      </c>
      <c r="M198" s="13">
        <v>618</v>
      </c>
    </row>
    <row r="199" spans="1:13" outlineLevel="1" x14ac:dyDescent="0.2">
      <c r="A199" s="20">
        <f t="shared" si="99"/>
        <v>13231</v>
      </c>
      <c r="B199" s="19" t="str">
        <f t="shared" si="99"/>
        <v>UHV</v>
      </c>
      <c r="C199" s="18"/>
      <c r="D199" s="15">
        <v>596</v>
      </c>
      <c r="E199" s="17">
        <v>0.5339366515837104</v>
      </c>
      <c r="F199" s="14">
        <v>1494.2</v>
      </c>
      <c r="G199" s="13">
        <v>1103.6999999999998</v>
      </c>
      <c r="H199" s="15">
        <v>118</v>
      </c>
      <c r="I199" s="13">
        <v>11</v>
      </c>
      <c r="J199" s="16">
        <v>397</v>
      </c>
      <c r="K199" s="15">
        <v>718</v>
      </c>
      <c r="L199" s="14">
        <v>286</v>
      </c>
      <c r="M199" s="13">
        <v>6</v>
      </c>
    </row>
    <row r="200" spans="1:13" outlineLevel="1" x14ac:dyDescent="0.2">
      <c r="A200" s="20">
        <f t="shared" si="99"/>
        <v>3592</v>
      </c>
      <c r="B200" s="19" t="str">
        <f t="shared" si="99"/>
        <v>Midwestern</v>
      </c>
      <c r="C200" s="18"/>
      <c r="D200" s="15">
        <v>1027</v>
      </c>
      <c r="E200" s="21">
        <v>0.443</v>
      </c>
      <c r="F200" s="14">
        <v>4387.7333333333336</v>
      </c>
      <c r="G200" s="13">
        <v>1924.84</v>
      </c>
      <c r="H200" s="15">
        <v>340</v>
      </c>
      <c r="I200" s="13">
        <v>11</v>
      </c>
      <c r="J200" s="16">
        <v>675</v>
      </c>
      <c r="K200" s="15">
        <v>1507</v>
      </c>
      <c r="L200" s="14">
        <v>1079</v>
      </c>
      <c r="M200" s="13">
        <v>734</v>
      </c>
    </row>
    <row r="201" spans="1:13" outlineLevel="1" x14ac:dyDescent="0.2">
      <c r="A201" s="20">
        <f t="shared" si="99"/>
        <v>3594</v>
      </c>
      <c r="B201" s="19" t="str">
        <f t="shared" si="99"/>
        <v>UNT</v>
      </c>
      <c r="C201" s="18"/>
      <c r="D201" s="15">
        <v>6183</v>
      </c>
      <c r="E201" s="21">
        <v>0.58700000000000008</v>
      </c>
      <c r="F201" s="14">
        <v>23168.733333333334</v>
      </c>
      <c r="G201" s="13">
        <v>11731.089999999795</v>
      </c>
      <c r="H201" s="15">
        <v>345</v>
      </c>
      <c r="I201" s="13">
        <v>47</v>
      </c>
      <c r="J201" s="16">
        <v>3942</v>
      </c>
      <c r="K201" s="15">
        <v>7957</v>
      </c>
      <c r="L201" s="14">
        <v>5891</v>
      </c>
      <c r="M201" s="13">
        <v>3310</v>
      </c>
    </row>
    <row r="202" spans="1:13" outlineLevel="1" x14ac:dyDescent="0.2">
      <c r="A202" s="27">
        <f t="shared" si="99"/>
        <v>113594</v>
      </c>
      <c r="B202" s="19" t="str">
        <f t="shared" si="99"/>
        <v>UNTD</v>
      </c>
      <c r="C202" s="18"/>
      <c r="D202" s="30">
        <v>388</v>
      </c>
      <c r="E202" s="47">
        <v>0.58700000000000008</v>
      </c>
      <c r="F202" s="29">
        <v>908.8</v>
      </c>
      <c r="G202" s="28">
        <v>669.60000000000036</v>
      </c>
      <c r="H202" s="30">
        <v>10</v>
      </c>
      <c r="I202" s="28"/>
      <c r="J202" s="46">
        <v>304</v>
      </c>
      <c r="K202" s="30">
        <v>487</v>
      </c>
      <c r="L202" s="29">
        <v>63</v>
      </c>
      <c r="M202" s="28">
        <v>18</v>
      </c>
    </row>
    <row r="203" spans="1:13" outlineLevel="1" x14ac:dyDescent="0.2">
      <c r="A203" s="20">
        <f t="shared" si="99"/>
        <v>3624</v>
      </c>
      <c r="B203" s="19" t="str">
        <f t="shared" si="99"/>
        <v>SFA</v>
      </c>
      <c r="C203" s="18"/>
      <c r="D203" s="15">
        <v>1880</v>
      </c>
      <c r="E203" s="21">
        <v>0.53900000000000003</v>
      </c>
      <c r="F203" s="14">
        <v>9440.9333333333325</v>
      </c>
      <c r="G203" s="13">
        <v>3606.8600000000297</v>
      </c>
      <c r="H203" s="15">
        <v>241</v>
      </c>
      <c r="I203" s="13">
        <v>49</v>
      </c>
      <c r="J203" s="16">
        <v>1446</v>
      </c>
      <c r="K203" s="15">
        <v>3040</v>
      </c>
      <c r="L203" s="14">
        <v>2166</v>
      </c>
      <c r="M203" s="13">
        <v>1402</v>
      </c>
    </row>
    <row r="204" spans="1:13" outlineLevel="1" x14ac:dyDescent="0.2">
      <c r="A204" s="20">
        <f t="shared" si="99"/>
        <v>3642</v>
      </c>
      <c r="B204" s="19" t="str">
        <f t="shared" si="99"/>
        <v>TSU</v>
      </c>
      <c r="C204" s="18"/>
      <c r="D204" s="15">
        <v>721</v>
      </c>
      <c r="E204" s="21">
        <v>0.14099999999999999</v>
      </c>
      <c r="F204" s="14">
        <v>5912.8</v>
      </c>
      <c r="G204" s="13">
        <v>1385.6100000000063</v>
      </c>
      <c r="H204" s="15">
        <v>122</v>
      </c>
      <c r="I204" s="13">
        <v>2</v>
      </c>
      <c r="J204" s="16">
        <v>635</v>
      </c>
      <c r="K204" s="15">
        <v>1692</v>
      </c>
      <c r="L204" s="14">
        <v>1274</v>
      </c>
      <c r="M204" s="13">
        <v>870</v>
      </c>
    </row>
    <row r="205" spans="1:13" outlineLevel="1" x14ac:dyDescent="0.2">
      <c r="A205" s="20">
        <f t="shared" si="99"/>
        <v>3644</v>
      </c>
      <c r="B205" s="19" t="str">
        <f t="shared" si="99"/>
        <v>TTU</v>
      </c>
      <c r="C205" s="18"/>
      <c r="D205" s="15">
        <v>4605</v>
      </c>
      <c r="E205" s="21">
        <v>0.7320000000000001</v>
      </c>
      <c r="F205" s="14">
        <v>22527.466666666667</v>
      </c>
      <c r="G205" s="13">
        <v>9815.7899999997753</v>
      </c>
      <c r="H205" s="15">
        <v>687</v>
      </c>
      <c r="I205" s="13">
        <v>62</v>
      </c>
      <c r="J205" s="16">
        <v>2724</v>
      </c>
      <c r="K205" s="15">
        <v>6577</v>
      </c>
      <c r="L205" s="14">
        <v>5355</v>
      </c>
      <c r="M205" s="13">
        <v>3957</v>
      </c>
    </row>
    <row r="206" spans="1:13" outlineLevel="1" x14ac:dyDescent="0.2">
      <c r="A206" s="20">
        <f t="shared" si="99"/>
        <v>3541</v>
      </c>
      <c r="B206" s="19" t="str">
        <f t="shared" si="99"/>
        <v>Angelo</v>
      </c>
      <c r="C206" s="18"/>
      <c r="D206" s="15">
        <v>960</v>
      </c>
      <c r="E206" s="21">
        <v>0.441</v>
      </c>
      <c r="F206" s="14">
        <v>4895.666666666667</v>
      </c>
      <c r="G206" s="13">
        <v>1856.9499999999953</v>
      </c>
      <c r="H206" s="15">
        <v>242</v>
      </c>
      <c r="I206" s="13">
        <v>21</v>
      </c>
      <c r="J206" s="16">
        <v>720</v>
      </c>
      <c r="K206" s="15">
        <v>1444</v>
      </c>
      <c r="L206" s="14">
        <v>1071</v>
      </c>
      <c r="M206" s="13">
        <v>708</v>
      </c>
    </row>
    <row r="207" spans="1:13" outlineLevel="1" x14ac:dyDescent="0.2">
      <c r="A207" s="20">
        <f t="shared" si="99"/>
        <v>3646</v>
      </c>
      <c r="B207" s="19" t="str">
        <f t="shared" si="99"/>
        <v>TWU</v>
      </c>
      <c r="C207" s="18"/>
      <c r="D207" s="15">
        <v>1725</v>
      </c>
      <c r="E207" s="21">
        <v>0.48399999999999999</v>
      </c>
      <c r="F207" s="14">
        <v>6598.2</v>
      </c>
      <c r="G207" s="13">
        <v>3227.0100000000139</v>
      </c>
      <c r="H207" s="15">
        <v>523</v>
      </c>
      <c r="I207" s="13">
        <v>34</v>
      </c>
      <c r="J207" s="16">
        <v>1201</v>
      </c>
      <c r="K207" s="15">
        <v>2121</v>
      </c>
      <c r="L207" s="14">
        <v>1259</v>
      </c>
      <c r="M207" s="13">
        <v>608</v>
      </c>
    </row>
    <row r="208" spans="1:13" outlineLevel="1" x14ac:dyDescent="0.2">
      <c r="A208" s="20">
        <f t="shared" si="99"/>
        <v>3581</v>
      </c>
      <c r="B208" s="19" t="str">
        <f t="shared" si="99"/>
        <v>Lamar</v>
      </c>
      <c r="C208" s="18"/>
      <c r="D208" s="15">
        <v>1340</v>
      </c>
      <c r="E208" s="21">
        <v>0.35399999999999998</v>
      </c>
      <c r="F208" s="14">
        <v>7247.8</v>
      </c>
      <c r="G208" s="13">
        <v>2695.0800000000122</v>
      </c>
      <c r="H208" s="15">
        <v>358</v>
      </c>
      <c r="I208" s="13">
        <v>16</v>
      </c>
      <c r="J208" s="16">
        <v>943</v>
      </c>
      <c r="K208" s="15">
        <v>2317</v>
      </c>
      <c r="L208" s="14">
        <v>1577</v>
      </c>
      <c r="M208" s="13">
        <v>1000</v>
      </c>
    </row>
    <row r="209" spans="1:15" outlineLevel="1" x14ac:dyDescent="0.2">
      <c r="A209" s="20">
        <f t="shared" si="99"/>
        <v>3606</v>
      </c>
      <c r="B209" s="19" t="str">
        <f t="shared" si="99"/>
        <v>SHSU</v>
      </c>
      <c r="C209" s="18"/>
      <c r="D209" s="15">
        <v>3013</v>
      </c>
      <c r="E209" s="21">
        <v>0.60299999999999998</v>
      </c>
      <c r="F209" s="14">
        <v>12631.666666666666</v>
      </c>
      <c r="G209" s="13">
        <v>5628.5800000000427</v>
      </c>
      <c r="H209" s="15">
        <v>166</v>
      </c>
      <c r="I209" s="13">
        <v>63</v>
      </c>
      <c r="J209" s="16">
        <v>2160</v>
      </c>
      <c r="K209" s="15">
        <v>3940</v>
      </c>
      <c r="L209" s="14">
        <v>2970</v>
      </c>
      <c r="M209" s="13">
        <v>1716</v>
      </c>
    </row>
    <row r="210" spans="1:15" outlineLevel="1" x14ac:dyDescent="0.2">
      <c r="A210" s="20">
        <f t="shared" si="99"/>
        <v>3615</v>
      </c>
      <c r="B210" s="19" t="str">
        <f t="shared" si="99"/>
        <v>TXST</v>
      </c>
      <c r="C210" s="18"/>
      <c r="D210" s="15">
        <v>5349</v>
      </c>
      <c r="E210" s="21">
        <v>0.6409999999999999</v>
      </c>
      <c r="F210" s="14">
        <v>22917.933333333334</v>
      </c>
      <c r="G210" s="13">
        <v>10250.389999999717</v>
      </c>
      <c r="H210" s="15">
        <v>445</v>
      </c>
      <c r="I210" s="13">
        <v>65</v>
      </c>
      <c r="J210" s="16">
        <v>3665</v>
      </c>
      <c r="K210" s="15">
        <v>7685</v>
      </c>
      <c r="L210" s="14">
        <v>5748</v>
      </c>
      <c r="M210" s="13">
        <v>3317</v>
      </c>
    </row>
    <row r="211" spans="1:15" outlineLevel="1" x14ac:dyDescent="0.2">
      <c r="A211" s="20">
        <f t="shared" si="99"/>
        <v>3625</v>
      </c>
      <c r="B211" s="19" t="str">
        <f t="shared" si="99"/>
        <v>SRSU</v>
      </c>
      <c r="C211" s="18"/>
      <c r="D211" s="15">
        <v>196</v>
      </c>
      <c r="E211" s="21">
        <v>0.29199999999999998</v>
      </c>
      <c r="F211" s="14">
        <v>1200.1333333333334</v>
      </c>
      <c r="G211" s="13">
        <v>405.49999999999949</v>
      </c>
      <c r="H211" s="15">
        <v>18</v>
      </c>
      <c r="I211" s="13">
        <v>4</v>
      </c>
      <c r="J211" s="16">
        <v>166</v>
      </c>
      <c r="K211" s="15">
        <v>298</v>
      </c>
      <c r="L211" s="14">
        <v>217</v>
      </c>
      <c r="M211" s="13">
        <v>136</v>
      </c>
    </row>
    <row r="212" spans="1:15" outlineLevel="1" x14ac:dyDescent="0.2">
      <c r="A212" s="20">
        <f t="shared" si="99"/>
        <v>20</v>
      </c>
      <c r="B212" s="19" t="str">
        <f t="shared" si="99"/>
        <v>SRRG</v>
      </c>
      <c r="C212" s="18"/>
      <c r="D212" s="15">
        <v>163</v>
      </c>
      <c r="E212" s="17">
        <v>0.33750000000000002</v>
      </c>
      <c r="F212" s="14">
        <v>472.13333333333333</v>
      </c>
      <c r="G212" s="13">
        <v>281.52999999999975</v>
      </c>
      <c r="H212" s="15">
        <v>5</v>
      </c>
      <c r="I212" s="13">
        <v>7</v>
      </c>
      <c r="J212" s="16">
        <v>145</v>
      </c>
      <c r="K212" s="15">
        <v>224</v>
      </c>
      <c r="L212" s="14">
        <v>97</v>
      </c>
      <c r="M212" s="13">
        <v>2</v>
      </c>
    </row>
    <row r="213" spans="1:15" ht="13.5" outlineLevel="1" thickBot="1" x14ac:dyDescent="0.25">
      <c r="A213" s="12"/>
      <c r="B213" s="11" t="s">
        <v>11</v>
      </c>
      <c r="C213" s="10"/>
      <c r="D213" s="9">
        <f>SUM(D175:D212)</f>
        <v>84231</v>
      </c>
      <c r="E213" s="8">
        <v>0.58399999999999996</v>
      </c>
      <c r="F213" s="7">
        <f t="shared" ref="F213:M213" si="100">SUM(F175:F212)</f>
        <v>351171.46666666673</v>
      </c>
      <c r="G213" s="3">
        <f t="shared" si="100"/>
        <v>170914.74000000223</v>
      </c>
      <c r="H213" s="5">
        <f t="shared" si="100"/>
        <v>13857</v>
      </c>
      <c r="I213" s="3">
        <f t="shared" si="100"/>
        <v>1204</v>
      </c>
      <c r="J213" s="6">
        <f t="shared" si="100"/>
        <v>54385</v>
      </c>
      <c r="K213" s="5">
        <f t="shared" si="100"/>
        <v>116139</v>
      </c>
      <c r="L213" s="4">
        <f t="shared" si="100"/>
        <v>84006</v>
      </c>
      <c r="M213" s="3">
        <f t="shared" si="100"/>
        <v>51310</v>
      </c>
    </row>
    <row r="214" spans="1:15" ht="13.5" thickBot="1" x14ac:dyDescent="0.25">
      <c r="A214" s="45" t="s">
        <v>25</v>
      </c>
      <c r="B214" s="45"/>
      <c r="C214" s="45"/>
      <c r="D214" s="45"/>
      <c r="F214" s="45"/>
      <c r="J214" s="45"/>
    </row>
    <row r="215" spans="1:15" ht="12.75" customHeight="1" outlineLevel="1" x14ac:dyDescent="0.2">
      <c r="A215" s="177" t="s">
        <v>24</v>
      </c>
      <c r="B215" s="179" t="s">
        <v>23</v>
      </c>
      <c r="C215" s="181"/>
      <c r="D215" s="210" t="s">
        <v>22</v>
      </c>
      <c r="E215" s="205" t="s">
        <v>21</v>
      </c>
      <c r="F215" s="179" t="s">
        <v>20</v>
      </c>
      <c r="G215" s="201" t="s">
        <v>19</v>
      </c>
      <c r="H215" s="203" t="s">
        <v>18</v>
      </c>
      <c r="I215" s="195" t="s">
        <v>17</v>
      </c>
      <c r="J215" s="197" t="s">
        <v>16</v>
      </c>
      <c r="K215" s="199" t="s">
        <v>15</v>
      </c>
      <c r="L215" s="200"/>
      <c r="M215" s="200"/>
    </row>
    <row r="216" spans="1:15" s="41" customFormat="1" ht="39.75" customHeight="1" outlineLevel="1" thickBot="1" x14ac:dyDescent="0.25">
      <c r="A216" s="178"/>
      <c r="B216" s="180"/>
      <c r="C216" s="182"/>
      <c r="D216" s="211"/>
      <c r="E216" s="206"/>
      <c r="F216" s="180"/>
      <c r="G216" s="202"/>
      <c r="H216" s="204"/>
      <c r="I216" s="196"/>
      <c r="J216" s="198"/>
      <c r="K216" s="44" t="s">
        <v>14</v>
      </c>
      <c r="L216" s="43" t="s">
        <v>13</v>
      </c>
      <c r="M216" s="42" t="s">
        <v>12</v>
      </c>
    </row>
    <row r="217" spans="1:15" outlineLevel="1" x14ac:dyDescent="0.2">
      <c r="A217" s="40">
        <f t="shared" ref="A217:B236" si="101">A175</f>
        <v>3656</v>
      </c>
      <c r="B217" s="39" t="str">
        <f t="shared" si="101"/>
        <v>UTA</v>
      </c>
      <c r="C217" s="38"/>
      <c r="D217" s="33">
        <v>4178</v>
      </c>
      <c r="E217" s="37">
        <v>0.50700000000000001</v>
      </c>
      <c r="F217" s="32">
        <v>15698.133333333333</v>
      </c>
      <c r="G217" s="31">
        <v>8640.2399999998797</v>
      </c>
      <c r="H217" s="36">
        <v>834</v>
      </c>
      <c r="I217" s="35">
        <v>36</v>
      </c>
      <c r="J217" s="34">
        <v>2662</v>
      </c>
      <c r="K217" s="33">
        <v>6630</v>
      </c>
      <c r="L217" s="32">
        <v>3636</v>
      </c>
      <c r="M217" s="31">
        <v>1724</v>
      </c>
    </row>
    <row r="218" spans="1:15" outlineLevel="1" x14ac:dyDescent="0.2">
      <c r="A218" s="20">
        <f t="shared" si="101"/>
        <v>3658</v>
      </c>
      <c r="B218" s="19" t="str">
        <f t="shared" si="101"/>
        <v>UT</v>
      </c>
      <c r="C218" s="18"/>
      <c r="D218" s="15">
        <v>8952</v>
      </c>
      <c r="E218" s="21">
        <v>0.82899999999999996</v>
      </c>
      <c r="F218" s="14">
        <v>33736.73333333333</v>
      </c>
      <c r="G218" s="13">
        <v>19230.319999999745</v>
      </c>
      <c r="H218" s="15">
        <v>1754</v>
      </c>
      <c r="I218" s="13">
        <v>55</v>
      </c>
      <c r="J218" s="16">
        <v>3435</v>
      </c>
      <c r="K218" s="15">
        <v>9596</v>
      </c>
      <c r="L218" s="14">
        <v>9749</v>
      </c>
      <c r="M218" s="13">
        <v>7288</v>
      </c>
      <c r="O218" s="2"/>
    </row>
    <row r="219" spans="1:15" outlineLevel="1" x14ac:dyDescent="0.2">
      <c r="A219" s="20">
        <f t="shared" si="101"/>
        <v>9741</v>
      </c>
      <c r="B219" s="19" t="str">
        <f t="shared" si="101"/>
        <v>UTD</v>
      </c>
      <c r="C219" s="18"/>
      <c r="D219" s="15">
        <v>2355</v>
      </c>
      <c r="E219" s="21">
        <v>0.70699999999999996</v>
      </c>
      <c r="F219" s="14">
        <v>8108.8666666666668</v>
      </c>
      <c r="G219" s="13">
        <v>4955.5700000000443</v>
      </c>
      <c r="H219" s="15">
        <v>392</v>
      </c>
      <c r="I219" s="13">
        <v>36</v>
      </c>
      <c r="J219" s="16">
        <v>1255</v>
      </c>
      <c r="K219" s="15">
        <v>3078</v>
      </c>
      <c r="L219" s="14">
        <v>1950</v>
      </c>
      <c r="M219" s="13">
        <v>923</v>
      </c>
      <c r="O219" s="2"/>
    </row>
    <row r="220" spans="1:15" outlineLevel="1" x14ac:dyDescent="0.2">
      <c r="A220" s="20">
        <f t="shared" si="101"/>
        <v>3661</v>
      </c>
      <c r="B220" s="19" t="str">
        <f t="shared" si="101"/>
        <v>UTEP</v>
      </c>
      <c r="C220" s="18"/>
      <c r="D220" s="15">
        <v>3031</v>
      </c>
      <c r="E220" s="21">
        <v>0.374</v>
      </c>
      <c r="F220" s="14">
        <v>12791.933333333332</v>
      </c>
      <c r="G220" s="13">
        <v>6295.4500000000389</v>
      </c>
      <c r="H220" s="15">
        <v>709</v>
      </c>
      <c r="I220" s="13">
        <v>93</v>
      </c>
      <c r="J220" s="16">
        <v>2394</v>
      </c>
      <c r="K220" s="15">
        <v>4200</v>
      </c>
      <c r="L220" s="14">
        <v>3366</v>
      </c>
      <c r="M220" s="13">
        <v>1972</v>
      </c>
      <c r="O220" s="2"/>
    </row>
    <row r="221" spans="1:15" outlineLevel="1" x14ac:dyDescent="0.2">
      <c r="A221" s="20">
        <f t="shared" si="101"/>
        <v>3599</v>
      </c>
      <c r="B221" s="19" t="str">
        <f t="shared" si="101"/>
        <v>UTPA</v>
      </c>
      <c r="C221" s="18"/>
      <c r="D221" s="15">
        <v>2620</v>
      </c>
      <c r="E221" s="21">
        <v>0.38900000000000001</v>
      </c>
      <c r="F221" s="14">
        <v>12572.333333333334</v>
      </c>
      <c r="G221" s="13">
        <v>5170.8900000000631</v>
      </c>
      <c r="H221" s="15">
        <v>480</v>
      </c>
      <c r="I221" s="13">
        <v>31</v>
      </c>
      <c r="J221" s="16">
        <v>2341</v>
      </c>
      <c r="K221" s="15">
        <v>4354</v>
      </c>
      <c r="L221" s="14">
        <v>3136</v>
      </c>
      <c r="M221" s="13">
        <v>1924</v>
      </c>
      <c r="O221" s="2"/>
    </row>
    <row r="222" spans="1:15" outlineLevel="1" x14ac:dyDescent="0.2">
      <c r="A222" s="20">
        <f t="shared" si="101"/>
        <v>30646</v>
      </c>
      <c r="B222" s="19" t="str">
        <f t="shared" si="101"/>
        <v>UTB</v>
      </c>
      <c r="C222" s="18"/>
      <c r="D222" s="15">
        <v>1052</v>
      </c>
      <c r="E222" s="17">
        <v>0.64666666666666661</v>
      </c>
      <c r="F222" s="14">
        <v>2989.6</v>
      </c>
      <c r="G222" s="13">
        <v>2005.0100000000309</v>
      </c>
      <c r="H222" s="15">
        <v>108</v>
      </c>
      <c r="I222" s="13">
        <v>19</v>
      </c>
      <c r="J222" s="16">
        <v>916</v>
      </c>
      <c r="K222" s="15">
        <v>1377</v>
      </c>
      <c r="L222" s="14">
        <v>583</v>
      </c>
      <c r="M222" s="13">
        <v>72</v>
      </c>
      <c r="O222" s="2"/>
    </row>
    <row r="223" spans="1:15" outlineLevel="1" x14ac:dyDescent="0.2">
      <c r="A223" s="20">
        <f t="shared" si="101"/>
        <v>9930</v>
      </c>
      <c r="B223" s="19" t="str">
        <f t="shared" si="101"/>
        <v>UTPB</v>
      </c>
      <c r="C223" s="18"/>
      <c r="D223" s="15">
        <v>513</v>
      </c>
      <c r="E223" s="21">
        <v>0.44600000000000001</v>
      </c>
      <c r="F223" s="14">
        <v>2159.6</v>
      </c>
      <c r="G223" s="13">
        <v>944.74000000001092</v>
      </c>
      <c r="H223" s="15">
        <v>33</v>
      </c>
      <c r="I223" s="13">
        <v>13</v>
      </c>
      <c r="J223" s="16">
        <v>379</v>
      </c>
      <c r="K223" s="15">
        <v>707</v>
      </c>
      <c r="L223" s="14">
        <v>450</v>
      </c>
      <c r="M223" s="13">
        <v>182</v>
      </c>
      <c r="O223" s="2"/>
    </row>
    <row r="224" spans="1:15" outlineLevel="1" x14ac:dyDescent="0.2">
      <c r="A224" s="20">
        <f t="shared" si="101"/>
        <v>10115</v>
      </c>
      <c r="B224" s="19" t="str">
        <f t="shared" si="101"/>
        <v>UTSA</v>
      </c>
      <c r="C224" s="18"/>
      <c r="D224" s="15">
        <v>3968</v>
      </c>
      <c r="E224" s="21">
        <v>0.44</v>
      </c>
      <c r="F224" s="14">
        <v>19707.533333333333</v>
      </c>
      <c r="G224" s="13">
        <v>8107.0899999997582</v>
      </c>
      <c r="H224" s="15">
        <v>375</v>
      </c>
      <c r="I224" s="13">
        <v>39</v>
      </c>
      <c r="J224" s="16">
        <v>2956</v>
      </c>
      <c r="K224" s="15">
        <v>6812</v>
      </c>
      <c r="L224" s="14">
        <v>4615</v>
      </c>
      <c r="M224" s="13">
        <v>2588</v>
      </c>
      <c r="O224" s="2"/>
    </row>
    <row r="225" spans="1:15" outlineLevel="1" x14ac:dyDescent="0.2">
      <c r="A225" s="20">
        <f t="shared" si="101"/>
        <v>11163</v>
      </c>
      <c r="B225" s="19" t="str">
        <f t="shared" si="101"/>
        <v>UTT</v>
      </c>
      <c r="C225" s="18"/>
      <c r="D225" s="15">
        <v>1238</v>
      </c>
      <c r="E225" s="21">
        <v>0.496</v>
      </c>
      <c r="F225" s="14">
        <v>4085.2666666666669</v>
      </c>
      <c r="G225" s="13">
        <v>2459.1300000000315</v>
      </c>
      <c r="H225" s="15">
        <v>372</v>
      </c>
      <c r="I225" s="13">
        <v>10</v>
      </c>
      <c r="J225" s="16">
        <v>1002</v>
      </c>
      <c r="K225" s="15">
        <v>1404</v>
      </c>
      <c r="L225" s="14">
        <v>921</v>
      </c>
      <c r="M225" s="13">
        <v>378</v>
      </c>
      <c r="O225" s="2"/>
    </row>
    <row r="226" spans="1:15" outlineLevel="1" x14ac:dyDescent="0.2">
      <c r="A226" s="20">
        <f t="shared" si="101"/>
        <v>3632</v>
      </c>
      <c r="B226" s="19" t="str">
        <f t="shared" si="101"/>
        <v>TAMU</v>
      </c>
      <c r="C226" s="18"/>
      <c r="D226" s="15">
        <v>8451</v>
      </c>
      <c r="E226" s="21">
        <v>0.83599999999999997</v>
      </c>
      <c r="F226" s="14">
        <v>34329.199999999997</v>
      </c>
      <c r="G226" s="13">
        <v>19146.209999999159</v>
      </c>
      <c r="H226" s="15">
        <v>1580</v>
      </c>
      <c r="I226" s="13">
        <v>108</v>
      </c>
      <c r="J226" s="16">
        <v>3530</v>
      </c>
      <c r="K226" s="15">
        <v>10012</v>
      </c>
      <c r="L226" s="14">
        <v>8836</v>
      </c>
      <c r="M226" s="13">
        <v>6932</v>
      </c>
      <c r="O226" s="2"/>
    </row>
    <row r="227" spans="1:15" outlineLevel="1" x14ac:dyDescent="0.2">
      <c r="A227" s="20">
        <f t="shared" si="101"/>
        <v>10298</v>
      </c>
      <c r="B227" s="19" t="str">
        <f t="shared" si="101"/>
        <v>TAMUG</v>
      </c>
      <c r="C227" s="18"/>
      <c r="D227" s="15">
        <v>262</v>
      </c>
      <c r="E227" s="21">
        <v>0.59199999999999997</v>
      </c>
      <c r="F227" s="14">
        <v>1599.2</v>
      </c>
      <c r="G227" s="13">
        <v>636.84000000000231</v>
      </c>
      <c r="H227" s="15">
        <v>31</v>
      </c>
      <c r="I227" s="13">
        <v>0</v>
      </c>
      <c r="J227" s="16">
        <v>137</v>
      </c>
      <c r="K227" s="15">
        <v>570</v>
      </c>
      <c r="L227" s="14">
        <v>322</v>
      </c>
      <c r="M227" s="13">
        <v>241</v>
      </c>
      <c r="O227" s="2"/>
    </row>
    <row r="228" spans="1:15" outlineLevel="1" x14ac:dyDescent="0.2">
      <c r="A228" s="20">
        <f t="shared" si="101"/>
        <v>3630</v>
      </c>
      <c r="B228" s="19" t="str">
        <f t="shared" si="101"/>
        <v>Prairie View</v>
      </c>
      <c r="C228" s="18"/>
      <c r="D228" s="15">
        <v>879</v>
      </c>
      <c r="E228" s="21">
        <v>0.34200000000000003</v>
      </c>
      <c r="F228" s="14">
        <v>5840.8</v>
      </c>
      <c r="G228" s="13">
        <v>1995.4900000000189</v>
      </c>
      <c r="H228" s="15">
        <v>295</v>
      </c>
      <c r="I228" s="13">
        <v>8</v>
      </c>
      <c r="J228" s="16">
        <v>756</v>
      </c>
      <c r="K228" s="15">
        <v>1643</v>
      </c>
      <c r="L228" s="14">
        <v>1174</v>
      </c>
      <c r="M228" s="13">
        <v>940</v>
      </c>
      <c r="O228" s="2"/>
    </row>
    <row r="229" spans="1:15" outlineLevel="1" x14ac:dyDescent="0.2">
      <c r="A229" s="20">
        <f t="shared" si="101"/>
        <v>3631</v>
      </c>
      <c r="B229" s="19" t="str">
        <f t="shared" si="101"/>
        <v>Tarleton</v>
      </c>
      <c r="C229" s="18"/>
      <c r="D229" s="15">
        <v>1422</v>
      </c>
      <c r="E229" s="21">
        <v>0.47499999999999998</v>
      </c>
      <c r="F229" s="14">
        <v>5845.5333333333338</v>
      </c>
      <c r="G229" s="13">
        <v>2966.430000000048</v>
      </c>
      <c r="H229" s="15">
        <v>183</v>
      </c>
      <c r="I229" s="13">
        <v>38</v>
      </c>
      <c r="J229" s="16">
        <v>1093</v>
      </c>
      <c r="K229" s="15">
        <v>2140</v>
      </c>
      <c r="L229" s="14">
        <v>1306</v>
      </c>
      <c r="M229" s="13">
        <v>903</v>
      </c>
      <c r="O229" s="2"/>
    </row>
    <row r="230" spans="1:15" outlineLevel="1" x14ac:dyDescent="0.2">
      <c r="A230" s="27">
        <f t="shared" si="101"/>
        <v>103631</v>
      </c>
      <c r="B230" s="19" t="str">
        <f t="shared" si="101"/>
        <v>TAMUCT</v>
      </c>
      <c r="C230" s="18"/>
      <c r="D230" s="15">
        <v>450</v>
      </c>
      <c r="E230" s="21">
        <v>0.47499999999999998</v>
      </c>
      <c r="F230" s="14">
        <v>658.4666666666667</v>
      </c>
      <c r="G230" s="13">
        <v>831.96000000000549</v>
      </c>
      <c r="H230" s="15">
        <v>44</v>
      </c>
      <c r="I230" s="13"/>
      <c r="J230" s="16">
        <v>322</v>
      </c>
      <c r="K230" s="15">
        <v>380</v>
      </c>
      <c r="L230" s="14">
        <v>137</v>
      </c>
      <c r="M230" s="13">
        <v>31</v>
      </c>
      <c r="O230" s="2"/>
    </row>
    <row r="231" spans="1:15" outlineLevel="1" x14ac:dyDescent="0.2">
      <c r="A231" s="20">
        <f t="shared" si="101"/>
        <v>11161</v>
      </c>
      <c r="B231" s="19" t="str">
        <f t="shared" si="101"/>
        <v>TAMUCC</v>
      </c>
      <c r="C231" s="18"/>
      <c r="D231" s="15">
        <v>1335</v>
      </c>
      <c r="E231" s="21">
        <v>0.503</v>
      </c>
      <c r="F231" s="14">
        <v>6131.9333333333334</v>
      </c>
      <c r="G231" s="13">
        <v>2744.5700000000347</v>
      </c>
      <c r="H231" s="15">
        <v>237</v>
      </c>
      <c r="I231" s="13">
        <v>29</v>
      </c>
      <c r="J231" s="16">
        <v>1024</v>
      </c>
      <c r="K231" s="15">
        <v>2079</v>
      </c>
      <c r="L231" s="14">
        <v>1357</v>
      </c>
      <c r="M231" s="13">
        <v>812</v>
      </c>
      <c r="O231" s="2"/>
    </row>
    <row r="232" spans="1:15" outlineLevel="1" x14ac:dyDescent="0.2">
      <c r="A232" s="20">
        <f t="shared" si="101"/>
        <v>3639</v>
      </c>
      <c r="B232" s="19" t="str">
        <f t="shared" si="101"/>
        <v>TAMUK</v>
      </c>
      <c r="C232" s="18"/>
      <c r="D232" s="15">
        <v>692</v>
      </c>
      <c r="E232" s="21">
        <v>0.41699999999999998</v>
      </c>
      <c r="F232" s="14">
        <v>3808.2666666666669</v>
      </c>
      <c r="G232" s="13">
        <v>1601.8800000000022</v>
      </c>
      <c r="H232" s="15">
        <v>236</v>
      </c>
      <c r="I232" s="13">
        <v>15</v>
      </c>
      <c r="J232" s="16">
        <v>590</v>
      </c>
      <c r="K232" s="15">
        <v>1159</v>
      </c>
      <c r="L232" s="14">
        <v>790</v>
      </c>
      <c r="M232" s="13">
        <v>550</v>
      </c>
      <c r="O232" s="2"/>
    </row>
    <row r="233" spans="1:15" outlineLevel="1" x14ac:dyDescent="0.2">
      <c r="A233" s="27">
        <f t="shared" si="101"/>
        <v>103639</v>
      </c>
      <c r="B233" s="19" t="str">
        <f t="shared" si="101"/>
        <v>TAMUSA</v>
      </c>
      <c r="C233" s="18"/>
      <c r="D233" s="15">
        <v>496</v>
      </c>
      <c r="E233" s="21">
        <v>0.41699999999999998</v>
      </c>
      <c r="F233" s="14">
        <v>1072.6666666666667</v>
      </c>
      <c r="G233" s="13">
        <v>844.50000000000807</v>
      </c>
      <c r="H233" s="15">
        <v>4</v>
      </c>
      <c r="I233" s="13"/>
      <c r="J233" s="16">
        <v>402</v>
      </c>
      <c r="K233" s="15">
        <v>307</v>
      </c>
      <c r="L233" s="14">
        <v>5</v>
      </c>
      <c r="M233" s="13">
        <v>5</v>
      </c>
      <c r="O233" s="2"/>
    </row>
    <row r="234" spans="1:15" outlineLevel="1" x14ac:dyDescent="0.2">
      <c r="A234" s="20">
        <f t="shared" si="101"/>
        <v>9651</v>
      </c>
      <c r="B234" s="19" t="str">
        <f t="shared" si="101"/>
        <v>TAMI</v>
      </c>
      <c r="C234" s="18"/>
      <c r="D234" s="15">
        <v>798</v>
      </c>
      <c r="E234" s="21">
        <v>0.46</v>
      </c>
      <c r="F234" s="14">
        <v>3819.0666666666666</v>
      </c>
      <c r="G234" s="13">
        <v>1476.3000000000168</v>
      </c>
      <c r="H234" s="15">
        <v>85</v>
      </c>
      <c r="I234" s="13">
        <v>26</v>
      </c>
      <c r="J234" s="16">
        <v>713</v>
      </c>
      <c r="K234" s="15">
        <v>1413</v>
      </c>
      <c r="L234" s="14">
        <v>981</v>
      </c>
      <c r="M234" s="13">
        <v>447</v>
      </c>
      <c r="O234" s="2"/>
    </row>
    <row r="235" spans="1:15" outlineLevel="1" x14ac:dyDescent="0.2">
      <c r="A235" s="20">
        <f t="shared" si="101"/>
        <v>3665</v>
      </c>
      <c r="B235" s="19" t="str">
        <f t="shared" si="101"/>
        <v>WTAMU</v>
      </c>
      <c r="C235" s="18"/>
      <c r="D235" s="15">
        <v>1220</v>
      </c>
      <c r="E235" s="21">
        <v>0.45600000000000002</v>
      </c>
      <c r="F235" s="14">
        <v>5264.8</v>
      </c>
      <c r="G235" s="13">
        <v>2415.9700000000216</v>
      </c>
      <c r="H235" s="15">
        <v>216</v>
      </c>
      <c r="I235" s="13">
        <v>64</v>
      </c>
      <c r="J235" s="16">
        <v>853</v>
      </c>
      <c r="K235" s="15">
        <v>1873</v>
      </c>
      <c r="L235" s="14">
        <v>1161</v>
      </c>
      <c r="M235" s="13">
        <v>631</v>
      </c>
      <c r="O235" s="2"/>
    </row>
    <row r="236" spans="1:15" outlineLevel="1" x14ac:dyDescent="0.2">
      <c r="A236" s="20">
        <f t="shared" si="101"/>
        <v>3565</v>
      </c>
      <c r="B236" s="19" t="str">
        <f t="shared" si="101"/>
        <v>TAMUC</v>
      </c>
      <c r="C236" s="18"/>
      <c r="D236" s="15">
        <v>1153</v>
      </c>
      <c r="E236" s="21">
        <v>0.44800000000000001</v>
      </c>
      <c r="F236" s="14">
        <v>4172.1333333333332</v>
      </c>
      <c r="G236" s="13">
        <v>2179.8400000000324</v>
      </c>
      <c r="H236" s="15">
        <v>59</v>
      </c>
      <c r="I236" s="13">
        <v>65</v>
      </c>
      <c r="J236" s="16">
        <v>884</v>
      </c>
      <c r="K236" s="15">
        <v>1712</v>
      </c>
      <c r="L236" s="14">
        <v>1038</v>
      </c>
      <c r="M236" s="13">
        <v>423</v>
      </c>
      <c r="O236" s="2"/>
    </row>
    <row r="237" spans="1:15" outlineLevel="1" x14ac:dyDescent="0.2">
      <c r="A237" s="20">
        <f t="shared" ref="A237:B254" si="102">A195</f>
        <v>29269</v>
      </c>
      <c r="B237" s="19" t="str">
        <f t="shared" si="102"/>
        <v>TAMUT</v>
      </c>
      <c r="C237" s="18"/>
      <c r="D237" s="15">
        <v>326</v>
      </c>
      <c r="E237" s="17">
        <v>0.57336956521739135</v>
      </c>
      <c r="F237" s="14">
        <v>694.6</v>
      </c>
      <c r="G237" s="13">
        <v>569.46</v>
      </c>
      <c r="H237" s="15">
        <v>30</v>
      </c>
      <c r="I237" s="13">
        <v>15</v>
      </c>
      <c r="J237" s="16">
        <v>210</v>
      </c>
      <c r="K237" s="15">
        <v>403</v>
      </c>
      <c r="L237" s="14">
        <v>138</v>
      </c>
      <c r="M237" s="13">
        <v>0</v>
      </c>
      <c r="O237" s="2"/>
    </row>
    <row r="238" spans="1:15" outlineLevel="1" x14ac:dyDescent="0.2">
      <c r="A238" s="20">
        <f t="shared" si="102"/>
        <v>3652</v>
      </c>
      <c r="B238" s="19" t="str">
        <f t="shared" si="102"/>
        <v>UH</v>
      </c>
      <c r="C238" s="18"/>
      <c r="D238" s="15">
        <v>4778</v>
      </c>
      <c r="E238" s="21">
        <v>0.53100000000000003</v>
      </c>
      <c r="F238" s="14">
        <v>22778.733333333334</v>
      </c>
      <c r="G238" s="13">
        <v>9792.4499999989821</v>
      </c>
      <c r="H238" s="15">
        <v>656</v>
      </c>
      <c r="I238" s="13">
        <v>54</v>
      </c>
      <c r="J238" s="16">
        <v>3091</v>
      </c>
      <c r="K238" s="15">
        <v>7517</v>
      </c>
      <c r="L238" s="14">
        <v>5600</v>
      </c>
      <c r="M238" s="13">
        <v>3376</v>
      </c>
      <c r="O238" s="2"/>
    </row>
    <row r="239" spans="1:15" outlineLevel="1" x14ac:dyDescent="0.2">
      <c r="A239" s="20">
        <f t="shared" si="102"/>
        <v>11711</v>
      </c>
      <c r="B239" s="19" t="str">
        <f t="shared" si="102"/>
        <v>UHCL</v>
      </c>
      <c r="C239" s="18"/>
      <c r="D239" s="15">
        <v>1124</v>
      </c>
      <c r="E239" s="17">
        <v>0.50557620817843862</v>
      </c>
      <c r="F239" s="14">
        <v>2872.8666666666668</v>
      </c>
      <c r="G239" s="13">
        <v>2131.2100000000323</v>
      </c>
      <c r="H239" s="15">
        <v>88</v>
      </c>
      <c r="I239" s="13">
        <v>8</v>
      </c>
      <c r="J239" s="16">
        <v>707</v>
      </c>
      <c r="K239" s="15">
        <v>1349</v>
      </c>
      <c r="L239" s="14">
        <v>888</v>
      </c>
      <c r="M239" s="13">
        <v>81</v>
      </c>
      <c r="O239" s="2"/>
    </row>
    <row r="240" spans="1:15" outlineLevel="1" x14ac:dyDescent="0.2">
      <c r="A240" s="20">
        <f t="shared" si="102"/>
        <v>12826</v>
      </c>
      <c r="B240" s="19" t="str">
        <f t="shared" si="102"/>
        <v>UHD</v>
      </c>
      <c r="C240" s="18"/>
      <c r="D240" s="15">
        <v>2359</v>
      </c>
      <c r="E240" s="21">
        <v>0.18099999999999999</v>
      </c>
      <c r="F240" s="14">
        <v>7963.6</v>
      </c>
      <c r="G240" s="13">
        <v>4153.3100000000841</v>
      </c>
      <c r="H240" s="15">
        <v>112</v>
      </c>
      <c r="I240" s="13">
        <v>2</v>
      </c>
      <c r="J240" s="16">
        <v>1619</v>
      </c>
      <c r="K240" s="15">
        <v>3082</v>
      </c>
      <c r="L240" s="14">
        <v>1889</v>
      </c>
      <c r="M240" s="13">
        <v>606</v>
      </c>
      <c r="O240" s="2"/>
    </row>
    <row r="241" spans="1:15" outlineLevel="1" x14ac:dyDescent="0.2">
      <c r="A241" s="20">
        <f t="shared" si="102"/>
        <v>13231</v>
      </c>
      <c r="B241" s="19" t="str">
        <f t="shared" si="102"/>
        <v>UHV</v>
      </c>
      <c r="C241" s="18"/>
      <c r="D241" s="15">
        <v>515</v>
      </c>
      <c r="E241" s="17">
        <v>0.55256723716381417</v>
      </c>
      <c r="F241" s="14">
        <v>1135.8</v>
      </c>
      <c r="G241" s="13">
        <v>962.15000000001089</v>
      </c>
      <c r="H241" s="15">
        <v>72</v>
      </c>
      <c r="I241" s="13">
        <v>2</v>
      </c>
      <c r="J241" s="16">
        <v>337</v>
      </c>
      <c r="K241" s="15">
        <v>654</v>
      </c>
      <c r="L241" s="14">
        <v>269</v>
      </c>
      <c r="M241" s="13">
        <v>8</v>
      </c>
      <c r="O241" s="2"/>
    </row>
    <row r="242" spans="1:15" outlineLevel="1" x14ac:dyDescent="0.2">
      <c r="A242" s="20">
        <f t="shared" si="102"/>
        <v>3592</v>
      </c>
      <c r="B242" s="19" t="str">
        <f t="shared" si="102"/>
        <v>Midwestern</v>
      </c>
      <c r="C242" s="18"/>
      <c r="D242" s="15">
        <v>1002</v>
      </c>
      <c r="E242" s="21">
        <v>0.41199999999999998</v>
      </c>
      <c r="F242" s="14">
        <v>4294.8666666666668</v>
      </c>
      <c r="G242" s="13">
        <v>1899.0200000000148</v>
      </c>
      <c r="H242" s="15">
        <v>302</v>
      </c>
      <c r="I242" s="13">
        <v>19</v>
      </c>
      <c r="J242" s="16">
        <v>673</v>
      </c>
      <c r="K242" s="15">
        <v>1497</v>
      </c>
      <c r="L242" s="14">
        <v>1080</v>
      </c>
      <c r="M242" s="13">
        <v>622</v>
      </c>
      <c r="O242" s="2"/>
    </row>
    <row r="243" spans="1:15" outlineLevel="1" x14ac:dyDescent="0.2">
      <c r="A243" s="20">
        <f t="shared" si="102"/>
        <v>3594</v>
      </c>
      <c r="B243" s="19" t="str">
        <f t="shared" si="102"/>
        <v>UNT</v>
      </c>
      <c r="C243" s="18"/>
      <c r="D243" s="15">
        <v>6024</v>
      </c>
      <c r="E243" s="21">
        <v>0.57399999999999995</v>
      </c>
      <c r="F243" s="14">
        <f>22506.0666666667+838</f>
        <v>23344.066666666698</v>
      </c>
      <c r="G243" s="13">
        <v>11164.699999998398</v>
      </c>
      <c r="H243" s="15">
        <v>297</v>
      </c>
      <c r="I243" s="13">
        <v>27</v>
      </c>
      <c r="J243" s="16">
        <v>3747</v>
      </c>
      <c r="K243" s="30">
        <v>8327</v>
      </c>
      <c r="L243" s="29">
        <v>5604</v>
      </c>
      <c r="M243" s="28">
        <v>3585</v>
      </c>
      <c r="O243" s="2"/>
    </row>
    <row r="244" spans="1:15" outlineLevel="1" x14ac:dyDescent="0.2">
      <c r="A244" s="27">
        <f t="shared" si="102"/>
        <v>113594</v>
      </c>
      <c r="B244" s="19" t="str">
        <f t="shared" si="102"/>
        <v>UNTD</v>
      </c>
      <c r="C244" s="18"/>
      <c r="D244" s="24"/>
      <c r="E244" s="26"/>
      <c r="F244" s="23"/>
      <c r="G244" s="22"/>
      <c r="H244" s="24"/>
      <c r="I244" s="22"/>
      <c r="J244" s="25"/>
      <c r="K244" s="24"/>
      <c r="L244" s="23"/>
      <c r="M244" s="22"/>
      <c r="O244" s="2"/>
    </row>
    <row r="245" spans="1:15" outlineLevel="1" x14ac:dyDescent="0.2">
      <c r="A245" s="20">
        <f t="shared" si="102"/>
        <v>3624</v>
      </c>
      <c r="B245" s="19" t="str">
        <f t="shared" si="102"/>
        <v>SFA</v>
      </c>
      <c r="C245" s="18"/>
      <c r="D245" s="15">
        <v>1874</v>
      </c>
      <c r="E245" s="21">
        <v>0.56999999999999995</v>
      </c>
      <c r="F245" s="14">
        <v>9510.2666666666664</v>
      </c>
      <c r="G245" s="13">
        <v>3625.4100000000203</v>
      </c>
      <c r="H245" s="15">
        <v>230</v>
      </c>
      <c r="I245" s="13">
        <v>43</v>
      </c>
      <c r="J245" s="16">
        <v>1422</v>
      </c>
      <c r="K245" s="15">
        <v>2663</v>
      </c>
      <c r="L245" s="14">
        <v>1934</v>
      </c>
      <c r="M245" s="13">
        <v>1317</v>
      </c>
      <c r="O245" s="2"/>
    </row>
    <row r="246" spans="1:15" outlineLevel="1" x14ac:dyDescent="0.2">
      <c r="A246" s="20">
        <f t="shared" si="102"/>
        <v>3642</v>
      </c>
      <c r="B246" s="19" t="str">
        <f t="shared" si="102"/>
        <v>TSU</v>
      </c>
      <c r="C246" s="18"/>
      <c r="D246" s="15">
        <v>817</v>
      </c>
      <c r="E246" s="21">
        <v>0.14899999999999999</v>
      </c>
      <c r="F246" s="14">
        <v>5909.8</v>
      </c>
      <c r="G246" s="13">
        <v>1601.5200000000066</v>
      </c>
      <c r="H246" s="15">
        <v>127</v>
      </c>
      <c r="I246" s="13">
        <v>2</v>
      </c>
      <c r="J246" s="16">
        <v>723</v>
      </c>
      <c r="K246" s="15">
        <v>1871</v>
      </c>
      <c r="L246" s="14">
        <v>1137</v>
      </c>
      <c r="M246" s="13">
        <v>916</v>
      </c>
      <c r="O246" s="2"/>
    </row>
    <row r="247" spans="1:15" outlineLevel="1" x14ac:dyDescent="0.2">
      <c r="A247" s="20">
        <f t="shared" si="102"/>
        <v>3644</v>
      </c>
      <c r="B247" s="19" t="str">
        <f t="shared" si="102"/>
        <v>TTU</v>
      </c>
      <c r="C247" s="18"/>
      <c r="D247" s="15">
        <v>4476</v>
      </c>
      <c r="E247" s="21">
        <v>0.72799999999999998</v>
      </c>
      <c r="F247" s="14">
        <v>21422.2</v>
      </c>
      <c r="G247" s="13">
        <v>9827.5299999990111</v>
      </c>
      <c r="H247" s="15">
        <v>656</v>
      </c>
      <c r="I247" s="13">
        <v>43</v>
      </c>
      <c r="J247" s="16">
        <v>2539</v>
      </c>
      <c r="K247" s="15">
        <v>6430</v>
      </c>
      <c r="L247" s="14">
        <v>5148</v>
      </c>
      <c r="M247" s="13">
        <v>3832</v>
      </c>
      <c r="O247" s="2"/>
    </row>
    <row r="248" spans="1:15" outlineLevel="1" x14ac:dyDescent="0.2">
      <c r="A248" s="20">
        <f t="shared" si="102"/>
        <v>3541</v>
      </c>
      <c r="B248" s="19" t="str">
        <f t="shared" si="102"/>
        <v>Angelo</v>
      </c>
      <c r="C248" s="18"/>
      <c r="D248" s="15">
        <v>941</v>
      </c>
      <c r="E248" s="21">
        <v>0.44</v>
      </c>
      <c r="F248" s="14">
        <v>4829.1333333333332</v>
      </c>
      <c r="G248" s="13">
        <v>1933.5900000000179</v>
      </c>
      <c r="H248" s="15">
        <v>217</v>
      </c>
      <c r="I248" s="13">
        <v>18</v>
      </c>
      <c r="J248" s="16">
        <v>676</v>
      </c>
      <c r="K248" s="15">
        <v>1474</v>
      </c>
      <c r="L248" s="14">
        <v>1008</v>
      </c>
      <c r="M248" s="13">
        <v>708</v>
      </c>
      <c r="O248" s="2"/>
    </row>
    <row r="249" spans="1:15" outlineLevel="1" x14ac:dyDescent="0.2">
      <c r="A249" s="20">
        <f t="shared" si="102"/>
        <v>3646</v>
      </c>
      <c r="B249" s="19" t="str">
        <f t="shared" si="102"/>
        <v>TWU</v>
      </c>
      <c r="C249" s="18"/>
      <c r="D249" s="15">
        <v>1774</v>
      </c>
      <c r="E249" s="21">
        <v>0.54500000000000004</v>
      </c>
      <c r="F249" s="14">
        <v>6071.4666666666662</v>
      </c>
      <c r="G249" s="13">
        <v>3425.2000000000221</v>
      </c>
      <c r="H249" s="15">
        <v>614</v>
      </c>
      <c r="I249" s="13">
        <v>31</v>
      </c>
      <c r="J249" s="16">
        <v>1214</v>
      </c>
      <c r="K249" s="15">
        <v>2042</v>
      </c>
      <c r="L249" s="14">
        <v>1371</v>
      </c>
      <c r="M249" s="13">
        <v>668</v>
      </c>
      <c r="O249" s="2"/>
    </row>
    <row r="250" spans="1:15" outlineLevel="1" x14ac:dyDescent="0.2">
      <c r="A250" s="20">
        <f t="shared" si="102"/>
        <v>3581</v>
      </c>
      <c r="B250" s="19" t="str">
        <f t="shared" si="102"/>
        <v>Lamar</v>
      </c>
      <c r="C250" s="18"/>
      <c r="D250" s="15">
        <v>1286</v>
      </c>
      <c r="E250" s="21">
        <v>0.33800000000000002</v>
      </c>
      <c r="F250" s="14">
        <v>7172.9333333333334</v>
      </c>
      <c r="G250" s="13">
        <v>2638.0900000000311</v>
      </c>
      <c r="H250" s="15">
        <v>314</v>
      </c>
      <c r="I250" s="13">
        <v>17</v>
      </c>
      <c r="J250" s="16">
        <v>908</v>
      </c>
      <c r="K250" s="15">
        <v>2043</v>
      </c>
      <c r="L250" s="14">
        <v>1404</v>
      </c>
      <c r="M250" s="13">
        <v>1031</v>
      </c>
      <c r="O250" s="2"/>
    </row>
    <row r="251" spans="1:15" outlineLevel="1" x14ac:dyDescent="0.2">
      <c r="A251" s="20">
        <f t="shared" si="102"/>
        <v>3606</v>
      </c>
      <c r="B251" s="19" t="str">
        <f t="shared" si="102"/>
        <v>SHSU</v>
      </c>
      <c r="C251" s="18"/>
      <c r="D251" s="15">
        <v>3242</v>
      </c>
      <c r="E251" s="21">
        <v>0.57899999999999996</v>
      </c>
      <c r="F251" s="14">
        <v>12517.066666666668</v>
      </c>
      <c r="G251" s="13">
        <v>6188.6300000000374</v>
      </c>
      <c r="H251" s="15">
        <v>163</v>
      </c>
      <c r="I251" s="13">
        <v>69</v>
      </c>
      <c r="J251" s="16">
        <v>2318</v>
      </c>
      <c r="K251" s="15">
        <v>3849</v>
      </c>
      <c r="L251" s="14">
        <v>3011</v>
      </c>
      <c r="M251" s="13">
        <v>1870</v>
      </c>
      <c r="O251" s="2"/>
    </row>
    <row r="252" spans="1:15" outlineLevel="1" x14ac:dyDescent="0.2">
      <c r="A252" s="20">
        <f t="shared" si="102"/>
        <v>3615</v>
      </c>
      <c r="B252" s="19" t="str">
        <f t="shared" si="102"/>
        <v>TXST</v>
      </c>
      <c r="C252" s="18"/>
      <c r="D252" s="15">
        <v>5299</v>
      </c>
      <c r="E252" s="21">
        <v>0.64400000000000002</v>
      </c>
      <c r="F252" s="14">
        <v>21764.6</v>
      </c>
      <c r="G252" s="13">
        <v>10384.469999998846</v>
      </c>
      <c r="H252" s="15">
        <v>439</v>
      </c>
      <c r="I252" s="13">
        <v>68</v>
      </c>
      <c r="J252" s="16">
        <v>3545</v>
      </c>
      <c r="K252" s="15">
        <v>7301</v>
      </c>
      <c r="L252" s="14">
        <v>5428</v>
      </c>
      <c r="M252" s="13">
        <v>3302</v>
      </c>
      <c r="O252" s="2"/>
    </row>
    <row r="253" spans="1:15" outlineLevel="1" x14ac:dyDescent="0.2">
      <c r="A253" s="20">
        <f t="shared" si="102"/>
        <v>3625</v>
      </c>
      <c r="B253" s="19" t="str">
        <f t="shared" si="102"/>
        <v>SRSU</v>
      </c>
      <c r="C253" s="18"/>
      <c r="D253" s="15">
        <v>181</v>
      </c>
      <c r="E253" s="21">
        <v>0.28499999999999998</v>
      </c>
      <c r="F253" s="14">
        <v>1230.9333333333334</v>
      </c>
      <c r="G253" s="13">
        <v>368.43999999999954</v>
      </c>
      <c r="H253" s="15">
        <v>10</v>
      </c>
      <c r="I253" s="13">
        <v>10</v>
      </c>
      <c r="J253" s="16">
        <v>156</v>
      </c>
      <c r="K253" s="15">
        <v>318</v>
      </c>
      <c r="L253" s="14">
        <v>176</v>
      </c>
      <c r="M253" s="13">
        <v>115</v>
      </c>
      <c r="O253" s="2"/>
    </row>
    <row r="254" spans="1:15" outlineLevel="1" x14ac:dyDescent="0.2">
      <c r="A254" s="20">
        <f t="shared" si="102"/>
        <v>20</v>
      </c>
      <c r="B254" s="19" t="str">
        <f t="shared" si="102"/>
        <v>SRRG</v>
      </c>
      <c r="C254" s="18"/>
      <c r="D254" s="15">
        <v>168</v>
      </c>
      <c r="E254" s="17">
        <v>0.36144578313253012</v>
      </c>
      <c r="F254" s="14">
        <v>416.33333333333331</v>
      </c>
      <c r="G254" s="13">
        <v>287.9199999999995</v>
      </c>
      <c r="H254" s="15">
        <v>8</v>
      </c>
      <c r="I254" s="13">
        <v>9</v>
      </c>
      <c r="J254" s="16">
        <v>149</v>
      </c>
      <c r="K254" s="15">
        <v>251</v>
      </c>
      <c r="L254" s="14">
        <v>90</v>
      </c>
      <c r="M254" s="13">
        <v>5</v>
      </c>
      <c r="O254" s="2"/>
    </row>
    <row r="255" spans="1:15" ht="13.5" outlineLevel="1" thickBot="1" x14ac:dyDescent="0.25">
      <c r="A255" s="12"/>
      <c r="B255" s="11" t="s">
        <v>11</v>
      </c>
      <c r="C255" s="10"/>
      <c r="D255" s="9">
        <f>SUM(D217:D254)</f>
        <v>81251</v>
      </c>
      <c r="E255" s="8">
        <v>0.56799999999999995</v>
      </c>
      <c r="F255" s="7">
        <f t="shared" ref="F255:M255" si="103">SUM(F217:F254)</f>
        <v>338321.33333333337</v>
      </c>
      <c r="G255" s="3">
        <f t="shared" si="103"/>
        <v>165601.52999999447</v>
      </c>
      <c r="H255" s="5">
        <f t="shared" si="103"/>
        <v>12362</v>
      </c>
      <c r="I255" s="3">
        <f t="shared" si="103"/>
        <v>1122</v>
      </c>
      <c r="J255" s="6">
        <f t="shared" si="103"/>
        <v>51678</v>
      </c>
      <c r="K255" s="5">
        <f t="shared" si="103"/>
        <v>112517</v>
      </c>
      <c r="L255" s="4">
        <f t="shared" si="103"/>
        <v>81688</v>
      </c>
      <c r="M255" s="3">
        <f t="shared" si="103"/>
        <v>51008</v>
      </c>
      <c r="O255" s="2"/>
    </row>
    <row r="256" spans="1:15" x14ac:dyDescent="0.2">
      <c r="O256" s="2"/>
    </row>
    <row r="258" spans="1:1" x14ac:dyDescent="0.2">
      <c r="A258" s="1" t="s">
        <v>10</v>
      </c>
    </row>
    <row r="259" spans="1:1" x14ac:dyDescent="0.2">
      <c r="A259" s="1" t="s">
        <v>9</v>
      </c>
    </row>
    <row r="260" spans="1:1" x14ac:dyDescent="0.2">
      <c r="A260" s="1" t="s">
        <v>8</v>
      </c>
    </row>
    <row r="261" spans="1:1" x14ac:dyDescent="0.2">
      <c r="A261" s="1" t="s">
        <v>7</v>
      </c>
    </row>
    <row r="262" spans="1:1" x14ac:dyDescent="0.2">
      <c r="A262" s="1" t="s">
        <v>6</v>
      </c>
    </row>
    <row r="263" spans="1:1" x14ac:dyDescent="0.2">
      <c r="A263" s="1" t="s">
        <v>5</v>
      </c>
    </row>
    <row r="264" spans="1:1" x14ac:dyDescent="0.2">
      <c r="A264" s="1" t="s">
        <v>4</v>
      </c>
    </row>
    <row r="265" spans="1:1" x14ac:dyDescent="0.2">
      <c r="A265" s="1" t="s">
        <v>3</v>
      </c>
    </row>
    <row r="266" spans="1:1" x14ac:dyDescent="0.2">
      <c r="A266" s="1" t="s">
        <v>2</v>
      </c>
    </row>
    <row r="267" spans="1:1" x14ac:dyDescent="0.2">
      <c r="A267" s="1" t="s">
        <v>1</v>
      </c>
    </row>
    <row r="268" spans="1:1" x14ac:dyDescent="0.2">
      <c r="A268" s="1" t="s">
        <v>0</v>
      </c>
    </row>
  </sheetData>
  <mergeCells count="62">
    <mergeCell ref="J215:J216"/>
    <mergeCell ref="K215:M215"/>
    <mergeCell ref="A215:A216"/>
    <mergeCell ref="B215:B216"/>
    <mergeCell ref="C215:C216"/>
    <mergeCell ref="D215:D216"/>
    <mergeCell ref="E215:E216"/>
    <mergeCell ref="F215:F216"/>
    <mergeCell ref="F173:F174"/>
    <mergeCell ref="G173:G174"/>
    <mergeCell ref="H173:H174"/>
    <mergeCell ref="I173:I174"/>
    <mergeCell ref="G215:G216"/>
    <mergeCell ref="H215:H216"/>
    <mergeCell ref="I215:I216"/>
    <mergeCell ref="K173:M173"/>
    <mergeCell ref="G131:G132"/>
    <mergeCell ref="H131:H132"/>
    <mergeCell ref="I131:I132"/>
    <mergeCell ref="J131:J132"/>
    <mergeCell ref="K131:M131"/>
    <mergeCell ref="J173:J174"/>
    <mergeCell ref="A173:A174"/>
    <mergeCell ref="B173:B174"/>
    <mergeCell ref="C173:C174"/>
    <mergeCell ref="D173:D174"/>
    <mergeCell ref="E173:E174"/>
    <mergeCell ref="E131:E132"/>
    <mergeCell ref="I46:I47"/>
    <mergeCell ref="J46:J47"/>
    <mergeCell ref="K46:M46"/>
    <mergeCell ref="A48:C48"/>
    <mergeCell ref="A89:A90"/>
    <mergeCell ref="B89:B90"/>
    <mergeCell ref="C89:C90"/>
    <mergeCell ref="D89:D90"/>
    <mergeCell ref="E89:E90"/>
    <mergeCell ref="F131:F132"/>
    <mergeCell ref="A131:A132"/>
    <mergeCell ref="B131:B132"/>
    <mergeCell ref="C131:C132"/>
    <mergeCell ref="D131:D132"/>
    <mergeCell ref="F89:F90"/>
    <mergeCell ref="G89:G90"/>
    <mergeCell ref="I89:I90"/>
    <mergeCell ref="J89:J90"/>
    <mergeCell ref="K89:M89"/>
    <mergeCell ref="H89:H90"/>
    <mergeCell ref="A1:M1"/>
    <mergeCell ref="A3:A4"/>
    <mergeCell ref="B3:B4"/>
    <mergeCell ref="C3:C4"/>
    <mergeCell ref="D3:G3"/>
    <mergeCell ref="H3:H4"/>
    <mergeCell ref="I3:I4"/>
    <mergeCell ref="J3:J4"/>
    <mergeCell ref="K3:M3"/>
    <mergeCell ref="A46:A47"/>
    <mergeCell ref="B46:B47"/>
    <mergeCell ref="C46:C47"/>
    <mergeCell ref="D46:G46"/>
    <mergeCell ref="H46:H47"/>
  </mergeCells>
  <pageMargins left="0.25" right="0.25" top="0.5" bottom="0.2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A1:S359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outlineLevelRow="1" x14ac:dyDescent="0.2"/>
  <cols>
    <col min="1" max="1" width="7.28515625" style="1" customWidth="1"/>
    <col min="2" max="2" width="10.85546875" style="1" bestFit="1" customWidth="1"/>
    <col min="3" max="3" width="13.7109375" style="1" bestFit="1" customWidth="1"/>
    <col min="4" max="4" width="13.140625" style="1" customWidth="1"/>
    <col min="5" max="5" width="12.5703125" style="1" customWidth="1"/>
    <col min="6" max="6" width="13" style="1" customWidth="1"/>
    <col min="7" max="7" width="12.42578125" style="1" customWidth="1"/>
    <col min="8" max="8" width="12.85546875" style="1" customWidth="1"/>
    <col min="9" max="9" width="12.28515625" style="1" customWidth="1"/>
    <col min="10" max="10" width="12.42578125" style="1" customWidth="1"/>
    <col min="11" max="13" width="12.5703125" style="1" bestFit="1" customWidth="1"/>
    <col min="14" max="14" width="14.28515625" style="1" customWidth="1"/>
    <col min="15" max="15" width="16.42578125" style="1" customWidth="1"/>
    <col min="16" max="16" width="14.85546875" style="1" customWidth="1"/>
    <col min="17" max="18" width="9.140625" style="1"/>
    <col min="19" max="20" width="12.5703125" style="1" customWidth="1"/>
    <col min="21" max="16384" width="9.140625" style="1"/>
  </cols>
  <sheetData>
    <row r="1" spans="1:13" ht="41.25" customHeight="1" x14ac:dyDescent="0.2">
      <c r="A1" s="188" t="s">
        <v>110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</row>
    <row r="2" spans="1:13" ht="13.5" thickBot="1" x14ac:dyDescent="0.25">
      <c r="A2" s="86"/>
      <c r="B2" s="85"/>
      <c r="C2" s="85"/>
      <c r="D2" s="85"/>
      <c r="E2" s="85"/>
      <c r="F2" s="85"/>
      <c r="G2" s="85"/>
      <c r="H2" s="85"/>
    </row>
    <row r="3" spans="1:13" ht="12.75" customHeight="1" x14ac:dyDescent="0.2">
      <c r="A3" s="189" t="s">
        <v>24</v>
      </c>
      <c r="B3" s="191" t="s">
        <v>23</v>
      </c>
      <c r="C3" s="193" t="s">
        <v>74</v>
      </c>
      <c r="D3" s="184" t="s">
        <v>35</v>
      </c>
      <c r="E3" s="184"/>
      <c r="F3" s="184"/>
      <c r="G3" s="184"/>
      <c r="H3" s="186" t="s">
        <v>18</v>
      </c>
      <c r="I3" s="195" t="s">
        <v>17</v>
      </c>
      <c r="J3" s="197" t="s">
        <v>16</v>
      </c>
      <c r="K3" s="199" t="s">
        <v>34</v>
      </c>
      <c r="L3" s="200"/>
      <c r="M3" s="200"/>
    </row>
    <row r="4" spans="1:13" ht="54" customHeight="1" thickBot="1" x14ac:dyDescent="0.25">
      <c r="A4" s="190"/>
      <c r="B4" s="192"/>
      <c r="C4" s="194"/>
      <c r="D4" s="84"/>
      <c r="E4" s="67" t="s">
        <v>33</v>
      </c>
      <c r="F4" s="67" t="s">
        <v>32</v>
      </c>
      <c r="G4" s="42" t="s">
        <v>31</v>
      </c>
      <c r="H4" s="187"/>
      <c r="I4" s="196"/>
      <c r="J4" s="198"/>
      <c r="K4" s="44" t="s">
        <v>14</v>
      </c>
      <c r="L4" s="43" t="s">
        <v>13</v>
      </c>
      <c r="M4" s="42" t="s">
        <v>12</v>
      </c>
    </row>
    <row r="5" spans="1:13" x14ac:dyDescent="0.2">
      <c r="A5" s="40">
        <v>3656</v>
      </c>
      <c r="B5" s="39" t="s">
        <v>73</v>
      </c>
      <c r="C5" s="83">
        <f>SUM(D5:M5)</f>
        <v>16151715.532585382</v>
      </c>
      <c r="D5" s="103">
        <f>D48*$O48*$C$44</f>
        <v>3405453.2200244828</v>
      </c>
      <c r="E5" s="80">
        <f t="shared" ref="E5:M5" si="0">E48*$O48*$C$44</f>
        <v>1176773.2793640159</v>
      </c>
      <c r="F5" s="80">
        <f t="shared" si="0"/>
        <v>669684.57630133245</v>
      </c>
      <c r="G5" s="79">
        <f t="shared" si="0"/>
        <v>7070525.3082895512</v>
      </c>
      <c r="H5" s="81">
        <f t="shared" si="0"/>
        <v>1039235.5581767288</v>
      </c>
      <c r="I5" s="79">
        <f t="shared" si="0"/>
        <v>23752.662953538646</v>
      </c>
      <c r="J5" s="82">
        <f t="shared" si="0"/>
        <v>338346.50406046363</v>
      </c>
      <c r="K5" s="81">
        <f t="shared" si="0"/>
        <v>1082540.8100313868</v>
      </c>
      <c r="L5" s="80">
        <f t="shared" si="0"/>
        <v>780512.50465327979</v>
      </c>
      <c r="M5" s="79">
        <f t="shared" si="0"/>
        <v>564891.10873060138</v>
      </c>
    </row>
    <row r="6" spans="1:13" x14ac:dyDescent="0.2">
      <c r="A6" s="20">
        <v>3658</v>
      </c>
      <c r="B6" s="19" t="s">
        <v>72</v>
      </c>
      <c r="C6" s="58">
        <f t="shared" ref="C6:C42" si="1">SUM(D6:M6)</f>
        <v>24480722.1904018</v>
      </c>
      <c r="D6" s="15">
        <f t="shared" ref="D6:M21" si="2">D49*$O49*$C$44</f>
        <v>4047604.5778414207</v>
      </c>
      <c r="E6" s="14">
        <f t="shared" si="2"/>
        <v>4194330.2437881716</v>
      </c>
      <c r="F6" s="14">
        <f t="shared" si="2"/>
        <v>749274.70068398945</v>
      </c>
      <c r="G6" s="13">
        <f t="shared" si="2"/>
        <v>8776427.9886626415</v>
      </c>
      <c r="H6" s="15">
        <f t="shared" si="2"/>
        <v>848912.63343154942</v>
      </c>
      <c r="I6" s="13">
        <f t="shared" si="2"/>
        <v>29860.49057016287</v>
      </c>
      <c r="J6" s="16">
        <f t="shared" si="2"/>
        <v>251214.19581896215</v>
      </c>
      <c r="K6" s="15">
        <f t="shared" si="2"/>
        <v>1519906.5105492119</v>
      </c>
      <c r="L6" s="14">
        <f t="shared" si="2"/>
        <v>1833501.9857592958</v>
      </c>
      <c r="M6" s="13">
        <f t="shared" si="2"/>
        <v>2229688.8632963989</v>
      </c>
    </row>
    <row r="7" spans="1:13" x14ac:dyDescent="0.2">
      <c r="A7" s="20">
        <v>9741</v>
      </c>
      <c r="B7" s="19" t="s">
        <v>71</v>
      </c>
      <c r="C7" s="58">
        <f t="shared" si="1"/>
        <v>8188074.6898010597</v>
      </c>
      <c r="D7" s="15">
        <f t="shared" si="2"/>
        <v>1624003.498509085</v>
      </c>
      <c r="E7" s="14">
        <f t="shared" si="2"/>
        <v>761116.30630125781</v>
      </c>
      <c r="F7" s="14">
        <f t="shared" si="2"/>
        <v>606931.67492939765</v>
      </c>
      <c r="G7" s="13">
        <f t="shared" si="2"/>
        <v>3461918.9552610577</v>
      </c>
      <c r="H7" s="15">
        <f t="shared" si="2"/>
        <v>286163.03463072743</v>
      </c>
      <c r="I7" s="13">
        <f t="shared" si="2"/>
        <v>21716.720414663901</v>
      </c>
      <c r="J7" s="16">
        <f t="shared" si="2"/>
        <v>143294.16020275734</v>
      </c>
      <c r="K7" s="15">
        <f t="shared" si="2"/>
        <v>524933.85127320408</v>
      </c>
      <c r="L7" s="14">
        <f t="shared" si="2"/>
        <v>434538.00254716555</v>
      </c>
      <c r="M7" s="13">
        <f t="shared" si="2"/>
        <v>323458.48573174403</v>
      </c>
    </row>
    <row r="8" spans="1:13" x14ac:dyDescent="0.2">
      <c r="A8" s="20">
        <v>3661</v>
      </c>
      <c r="B8" s="19" t="s">
        <v>70</v>
      </c>
      <c r="C8" s="58">
        <f t="shared" si="1"/>
        <v>7802911.7556195129</v>
      </c>
      <c r="D8" s="15">
        <f t="shared" si="2"/>
        <v>1591325.2020819518</v>
      </c>
      <c r="E8" s="14">
        <f t="shared" si="2"/>
        <v>413744.55254130741</v>
      </c>
      <c r="F8" s="14">
        <f t="shared" si="2"/>
        <v>396849.09900046181</v>
      </c>
      <c r="G8" s="13">
        <f t="shared" si="2"/>
        <v>3278471.7449496863</v>
      </c>
      <c r="H8" s="15">
        <f t="shared" si="2"/>
        <v>340961.07535612641</v>
      </c>
      <c r="I8" s="13">
        <f t="shared" si="2"/>
        <v>46849.613407712022</v>
      </c>
      <c r="J8" s="16">
        <f t="shared" si="2"/>
        <v>205249.89151005336</v>
      </c>
      <c r="K8" s="15">
        <f t="shared" si="2"/>
        <v>529898.04715567222</v>
      </c>
      <c r="L8" s="14">
        <f t="shared" si="2"/>
        <v>524403.3394103233</v>
      </c>
      <c r="M8" s="13">
        <f t="shared" si="2"/>
        <v>475159.19020621711</v>
      </c>
    </row>
    <row r="9" spans="1:13" x14ac:dyDescent="0.2">
      <c r="A9" s="20">
        <v>3599</v>
      </c>
      <c r="B9" s="19" t="s">
        <v>69</v>
      </c>
      <c r="C9" s="58">
        <f t="shared" si="1"/>
        <v>6515985.0681018718</v>
      </c>
      <c r="D9" s="15">
        <f t="shared" si="2"/>
        <v>1244914.221962482</v>
      </c>
      <c r="E9" s="14">
        <f t="shared" si="2"/>
        <v>268279.01483291487</v>
      </c>
      <c r="F9" s="14">
        <f t="shared" si="2"/>
        <v>247203.41924666573</v>
      </c>
      <c r="G9" s="13">
        <f t="shared" si="2"/>
        <v>2477363.2175423191</v>
      </c>
      <c r="H9" s="15">
        <f t="shared" si="2"/>
        <v>251073.78559217497</v>
      </c>
      <c r="I9" s="13">
        <f t="shared" si="2"/>
        <v>13510.696982538564</v>
      </c>
      <c r="J9" s="16">
        <f t="shared" si="2"/>
        <v>180528.64634763435</v>
      </c>
      <c r="K9" s="15">
        <f t="shared" si="2"/>
        <v>655483.25916077977</v>
      </c>
      <c r="L9" s="14">
        <f t="shared" si="2"/>
        <v>647355.39542049065</v>
      </c>
      <c r="M9" s="13">
        <f t="shared" si="2"/>
        <v>530273.41101387271</v>
      </c>
    </row>
    <row r="10" spans="1:13" x14ac:dyDescent="0.2">
      <c r="A10" s="20">
        <v>30646</v>
      </c>
      <c r="B10" s="19" t="s">
        <v>68</v>
      </c>
      <c r="C10" s="58">
        <f t="shared" si="1"/>
        <v>2604754.4719034843</v>
      </c>
      <c r="D10" s="15">
        <f t="shared" si="2"/>
        <v>526917.18231900397</v>
      </c>
      <c r="E10" s="14">
        <f t="shared" si="2"/>
        <v>151554.05382743786</v>
      </c>
      <c r="F10" s="14">
        <f t="shared" si="2"/>
        <v>415710.10912646266</v>
      </c>
      <c r="G10" s="13">
        <f t="shared" si="2"/>
        <v>1012237.5020948743</v>
      </c>
      <c r="H10" s="15">
        <f t="shared" si="2"/>
        <v>59993.928267700998</v>
      </c>
      <c r="I10" s="13">
        <f t="shared" si="2"/>
        <v>8846.2896909478677</v>
      </c>
      <c r="J10" s="16">
        <f t="shared" si="2"/>
        <v>72314.39718273023</v>
      </c>
      <c r="K10" s="15">
        <f t="shared" si="2"/>
        <v>213329.61624413071</v>
      </c>
      <c r="L10" s="14">
        <f t="shared" si="2"/>
        <v>116326.02874211874</v>
      </c>
      <c r="M10" s="13">
        <f t="shared" si="2"/>
        <v>27525.364408076588</v>
      </c>
    </row>
    <row r="11" spans="1:13" x14ac:dyDescent="0.2">
      <c r="A11" s="20">
        <v>9930</v>
      </c>
      <c r="B11" s="19" t="s">
        <v>67</v>
      </c>
      <c r="C11" s="58">
        <f t="shared" si="1"/>
        <v>1414579.3186880094</v>
      </c>
      <c r="D11" s="15">
        <f t="shared" si="2"/>
        <v>257346.60919121071</v>
      </c>
      <c r="E11" s="14">
        <f t="shared" si="2"/>
        <v>57130.94724044879</v>
      </c>
      <c r="F11" s="14">
        <f t="shared" si="2"/>
        <v>278961.81006534031</v>
      </c>
      <c r="G11" s="13">
        <f t="shared" si="2"/>
        <v>483256.72165340948</v>
      </c>
      <c r="H11" s="15">
        <f t="shared" si="2"/>
        <v>19944.362212318832</v>
      </c>
      <c r="I11" s="13">
        <f t="shared" si="2"/>
        <v>4825.2489223352013</v>
      </c>
      <c r="J11" s="16">
        <f t="shared" si="2"/>
        <v>30804.389120187931</v>
      </c>
      <c r="K11" s="15">
        <f t="shared" si="2"/>
        <v>126367.90788826745</v>
      </c>
      <c r="L11" s="14">
        <f t="shared" si="2"/>
        <v>102804.60898419721</v>
      </c>
      <c r="M11" s="13">
        <f t="shared" si="2"/>
        <v>53136.713410293538</v>
      </c>
    </row>
    <row r="12" spans="1:13" x14ac:dyDescent="0.2">
      <c r="A12" s="20">
        <v>10115</v>
      </c>
      <c r="B12" s="19" t="s">
        <v>66</v>
      </c>
      <c r="C12" s="58">
        <f t="shared" si="1"/>
        <v>10127473.231801253</v>
      </c>
      <c r="D12" s="15">
        <f t="shared" si="2"/>
        <v>2144497.6744663445</v>
      </c>
      <c r="E12" s="14">
        <f t="shared" si="2"/>
        <v>602842.124044428</v>
      </c>
      <c r="F12" s="14">
        <f t="shared" si="2"/>
        <v>351216.52689682425</v>
      </c>
      <c r="G12" s="13">
        <f t="shared" si="2"/>
        <v>4380029.3532964168</v>
      </c>
      <c r="H12" s="15">
        <f t="shared" si="2"/>
        <v>204056.09395359014</v>
      </c>
      <c r="I12" s="13">
        <f t="shared" si="2"/>
        <v>25854.045917589228</v>
      </c>
      <c r="J12" s="16">
        <f t="shared" si="2"/>
        <v>260164.57910735963</v>
      </c>
      <c r="K12" s="15">
        <f t="shared" si="2"/>
        <v>827115.4649559313</v>
      </c>
      <c r="L12" s="14">
        <f t="shared" si="2"/>
        <v>696289.36549061793</v>
      </c>
      <c r="M12" s="13">
        <f t="shared" si="2"/>
        <v>635408.00367215148</v>
      </c>
    </row>
    <row r="13" spans="1:13" x14ac:dyDescent="0.2">
      <c r="A13" s="20">
        <v>11163</v>
      </c>
      <c r="B13" s="19" t="s">
        <v>65</v>
      </c>
      <c r="C13" s="58">
        <f t="shared" si="1"/>
        <v>2999494.6437977524</v>
      </c>
      <c r="D13" s="15">
        <f t="shared" si="2"/>
        <v>574204.62175788905</v>
      </c>
      <c r="E13" s="14">
        <f t="shared" si="2"/>
        <v>148049.0916432424</v>
      </c>
      <c r="F13" s="14">
        <f t="shared" si="2"/>
        <v>352915.57600626367</v>
      </c>
      <c r="G13" s="13">
        <f t="shared" si="2"/>
        <v>1140042.2618844537</v>
      </c>
      <c r="H13" s="15">
        <f t="shared" si="2"/>
        <v>181751.04274129259</v>
      </c>
      <c r="I13" s="13">
        <f t="shared" si="2"/>
        <v>6755.348491269282</v>
      </c>
      <c r="J13" s="16">
        <f t="shared" si="2"/>
        <v>72751.886418355294</v>
      </c>
      <c r="K13" s="15">
        <f t="shared" si="2"/>
        <v>231022.19562602646</v>
      </c>
      <c r="L13" s="14">
        <f t="shared" si="2"/>
        <v>186093.76677139426</v>
      </c>
      <c r="M13" s="13">
        <f t="shared" si="2"/>
        <v>105908.85245756617</v>
      </c>
    </row>
    <row r="14" spans="1:13" x14ac:dyDescent="0.2">
      <c r="A14" s="20">
        <v>3632</v>
      </c>
      <c r="B14" s="19" t="s">
        <v>64</v>
      </c>
      <c r="C14" s="58">
        <f t="shared" si="1"/>
        <v>24634350.174683902</v>
      </c>
      <c r="D14" s="15">
        <f t="shared" si="2"/>
        <v>3954102.0316116172</v>
      </c>
      <c r="E14" s="14">
        <f t="shared" si="2"/>
        <v>4155102.2182185403</v>
      </c>
      <c r="F14" s="14">
        <f t="shared" si="2"/>
        <v>713764.31431985658</v>
      </c>
      <c r="G14" s="13">
        <f t="shared" si="2"/>
        <v>9096055.8862099592</v>
      </c>
      <c r="H14" s="15">
        <f t="shared" si="2"/>
        <v>797637.04356359306</v>
      </c>
      <c r="I14" s="13">
        <f t="shared" si="2"/>
        <v>57006.391088492754</v>
      </c>
      <c r="J14" s="16">
        <f t="shared" si="2"/>
        <v>269576.88941402797</v>
      </c>
      <c r="K14" s="15">
        <f t="shared" si="2"/>
        <v>1593117.4961415629</v>
      </c>
      <c r="L14" s="14">
        <f t="shared" si="2"/>
        <v>1813481.8841270276</v>
      </c>
      <c r="M14" s="13">
        <f t="shared" si="2"/>
        <v>2184506.0199892232</v>
      </c>
    </row>
    <row r="15" spans="1:13" x14ac:dyDescent="0.2">
      <c r="A15" s="20">
        <v>10298</v>
      </c>
      <c r="B15" s="19" t="s">
        <v>63</v>
      </c>
      <c r="C15" s="58">
        <f t="shared" si="1"/>
        <v>2120436.0233672243</v>
      </c>
      <c r="D15" s="15">
        <f t="shared" si="2"/>
        <v>290033.47890792211</v>
      </c>
      <c r="E15" s="14">
        <f t="shared" si="2"/>
        <v>90973.834550784886</v>
      </c>
      <c r="F15" s="14">
        <f t="shared" si="2"/>
        <v>431871.64306889602</v>
      </c>
      <c r="G15" s="13">
        <f t="shared" si="2"/>
        <v>741614.90330731496</v>
      </c>
      <c r="H15" s="15">
        <f t="shared" si="2"/>
        <v>39326.573411243669</v>
      </c>
      <c r="I15" s="13">
        <f t="shared" si="2"/>
        <v>0</v>
      </c>
      <c r="J15" s="16">
        <f t="shared" si="2"/>
        <v>26629.708281327861</v>
      </c>
      <c r="K15" s="15">
        <f t="shared" si="2"/>
        <v>207986.07426125003</v>
      </c>
      <c r="L15" s="14">
        <f t="shared" si="2"/>
        <v>145157.19150185832</v>
      </c>
      <c r="M15" s="13">
        <f t="shared" si="2"/>
        <v>146842.61607662591</v>
      </c>
    </row>
    <row r="16" spans="1:13" x14ac:dyDescent="0.2">
      <c r="A16" s="20">
        <v>3630</v>
      </c>
      <c r="B16" s="19" t="s">
        <v>62</v>
      </c>
      <c r="C16" s="58">
        <f t="shared" si="1"/>
        <v>2708593.8266971856</v>
      </c>
      <c r="D16" s="15">
        <f t="shared" si="2"/>
        <v>451804.14076131932</v>
      </c>
      <c r="E16" s="14">
        <f t="shared" si="2"/>
        <v>83960.269491478495</v>
      </c>
      <c r="F16" s="14">
        <f t="shared" si="2"/>
        <v>190883.0839785804</v>
      </c>
      <c r="G16" s="13">
        <f t="shared" si="2"/>
        <v>1000225.8491108683</v>
      </c>
      <c r="H16" s="15">
        <f t="shared" si="2"/>
        <v>152317.02431504786</v>
      </c>
      <c r="I16" s="13">
        <f t="shared" si="2"/>
        <v>4664.4072915906945</v>
      </c>
      <c r="J16" s="16">
        <f t="shared" si="2"/>
        <v>61969.06349324355</v>
      </c>
      <c r="K16" s="15">
        <f t="shared" si="2"/>
        <v>268283.8400818372</v>
      </c>
      <c r="L16" s="14">
        <f t="shared" si="2"/>
        <v>246940.15568204116</v>
      </c>
      <c r="M16" s="13">
        <f t="shared" si="2"/>
        <v>247545.99249117885</v>
      </c>
    </row>
    <row r="17" spans="1:13" x14ac:dyDescent="0.2">
      <c r="A17" s="20">
        <v>3631</v>
      </c>
      <c r="B17" s="19" t="s">
        <v>61</v>
      </c>
      <c r="C17" s="58">
        <f t="shared" si="1"/>
        <v>3800261.490460732</v>
      </c>
      <c r="D17" s="15">
        <f t="shared" si="2"/>
        <v>745661.80013153306</v>
      </c>
      <c r="E17" s="14">
        <f t="shared" si="2"/>
        <v>178213.17023143644</v>
      </c>
      <c r="F17" s="14">
        <f t="shared" si="2"/>
        <v>296267.48219928058</v>
      </c>
      <c r="G17" s="13">
        <f t="shared" si="2"/>
        <v>1506704.8854111761</v>
      </c>
      <c r="H17" s="15">
        <f t="shared" si="2"/>
        <v>97952.553123404577</v>
      </c>
      <c r="I17" s="13">
        <f t="shared" si="2"/>
        <v>23000.353196464457</v>
      </c>
      <c r="J17" s="16">
        <f t="shared" si="2"/>
        <v>92258.759395049055</v>
      </c>
      <c r="K17" s="15">
        <f t="shared" si="2"/>
        <v>346506.48650058237</v>
      </c>
      <c r="L17" s="14">
        <f t="shared" si="2"/>
        <v>277816.38739729498</v>
      </c>
      <c r="M17" s="13">
        <f t="shared" si="2"/>
        <v>235879.61287451055</v>
      </c>
    </row>
    <row r="18" spans="1:13" x14ac:dyDescent="0.2">
      <c r="A18" s="78">
        <v>103631</v>
      </c>
      <c r="B18" s="19" t="s">
        <v>60</v>
      </c>
      <c r="C18" s="58">
        <f t="shared" si="1"/>
        <v>1883783.4913077976</v>
      </c>
      <c r="D18" s="15">
        <f t="shared" si="2"/>
        <v>251458.63833652571</v>
      </c>
      <c r="E18" s="14">
        <f t="shared" si="2"/>
        <v>60098.614562429648</v>
      </c>
      <c r="F18" s="14">
        <f t="shared" si="2"/>
        <v>923002.27781849785</v>
      </c>
      <c r="G18" s="13">
        <f t="shared" si="2"/>
        <v>466290.98767855996</v>
      </c>
      <c r="H18" s="15">
        <f t="shared" si="2"/>
        <v>22214.304038418639</v>
      </c>
      <c r="I18" s="13">
        <f t="shared" si="2"/>
        <v>0</v>
      </c>
      <c r="J18" s="16">
        <f t="shared" si="2"/>
        <v>28579.9767366409</v>
      </c>
      <c r="K18" s="15">
        <f t="shared" si="2"/>
        <v>90131.807368993657</v>
      </c>
      <c r="L18" s="14">
        <f t="shared" si="2"/>
        <v>31482.403018381825</v>
      </c>
      <c r="M18" s="13">
        <f t="shared" si="2"/>
        <v>10524.481749349159</v>
      </c>
    </row>
    <row r="19" spans="1:13" x14ac:dyDescent="0.2">
      <c r="A19" s="20">
        <v>11161</v>
      </c>
      <c r="B19" s="19" t="s">
        <v>59</v>
      </c>
      <c r="C19" s="58">
        <f t="shared" si="1"/>
        <v>3552784.9772574874</v>
      </c>
      <c r="D19" s="15">
        <f t="shared" si="2"/>
        <v>669905.39205087034</v>
      </c>
      <c r="E19" s="14">
        <f t="shared" si="2"/>
        <v>170155.96958092108</v>
      </c>
      <c r="F19" s="14">
        <f t="shared" si="2"/>
        <v>257867.50361227305</v>
      </c>
      <c r="G19" s="13">
        <f t="shared" si="2"/>
        <v>1353096.302801244</v>
      </c>
      <c r="H19" s="15">
        <f t="shared" si="2"/>
        <v>128512.46296486084</v>
      </c>
      <c r="I19" s="13">
        <f t="shared" si="2"/>
        <v>12384.805567327017</v>
      </c>
      <c r="J19" s="16">
        <f t="shared" si="2"/>
        <v>83380.301377952273</v>
      </c>
      <c r="K19" s="15">
        <f t="shared" si="2"/>
        <v>330368.70954921679</v>
      </c>
      <c r="L19" s="14">
        <f t="shared" si="2"/>
        <v>306950.16811281664</v>
      </c>
      <c r="M19" s="13">
        <f t="shared" si="2"/>
        <v>240163.36164000595</v>
      </c>
    </row>
    <row r="20" spans="1:13" x14ac:dyDescent="0.2">
      <c r="A20" s="20">
        <v>3639</v>
      </c>
      <c r="B20" s="19" t="s">
        <v>58</v>
      </c>
      <c r="C20" s="58">
        <f t="shared" si="1"/>
        <v>2221515.9109799173</v>
      </c>
      <c r="D20" s="15">
        <f t="shared" si="2"/>
        <v>367523.12625119783</v>
      </c>
      <c r="E20" s="14">
        <f t="shared" si="2"/>
        <v>73933.402230865977</v>
      </c>
      <c r="F20" s="14">
        <f t="shared" si="2"/>
        <v>215682.58582816774</v>
      </c>
      <c r="G20" s="13">
        <f t="shared" si="2"/>
        <v>850910.12962551159</v>
      </c>
      <c r="H20" s="15">
        <f t="shared" si="2"/>
        <v>125456.47198071524</v>
      </c>
      <c r="I20" s="13">
        <f t="shared" si="2"/>
        <v>8042.0815372253346</v>
      </c>
      <c r="J20" s="16">
        <f t="shared" si="2"/>
        <v>50053.915487690501</v>
      </c>
      <c r="K20" s="15">
        <f t="shared" si="2"/>
        <v>197406.29480042457</v>
      </c>
      <c r="L20" s="14">
        <f t="shared" si="2"/>
        <v>179751.24513236922</v>
      </c>
      <c r="M20" s="13">
        <f t="shared" si="2"/>
        <v>152756.65810574949</v>
      </c>
    </row>
    <row r="21" spans="1:13" x14ac:dyDescent="0.2">
      <c r="A21" s="78">
        <v>103639</v>
      </c>
      <c r="B21" s="19" t="s">
        <v>57</v>
      </c>
      <c r="C21" s="58">
        <f t="shared" si="1"/>
        <v>1524830.7803083658</v>
      </c>
      <c r="D21" s="15">
        <f t="shared" si="2"/>
        <v>285783.85564744688</v>
      </c>
      <c r="E21" s="14">
        <f t="shared" si="2"/>
        <v>57490.18562774473</v>
      </c>
      <c r="F21" s="14">
        <f t="shared" si="2"/>
        <v>505736.54691275681</v>
      </c>
      <c r="G21" s="13">
        <f t="shared" si="2"/>
        <v>498953.00002102734</v>
      </c>
      <c r="H21" s="15">
        <f t="shared" si="2"/>
        <v>2431.5132357979032</v>
      </c>
      <c r="I21" s="13">
        <f t="shared" si="2"/>
        <v>972.6052943191612</v>
      </c>
      <c r="J21" s="16">
        <f t="shared" si="2"/>
        <v>38152.063678492967</v>
      </c>
      <c r="K21" s="15">
        <f t="shared" si="2"/>
        <v>118279.61051470246</v>
      </c>
      <c r="L21" s="14">
        <f t="shared" si="2"/>
        <v>16296.542042592171</v>
      </c>
      <c r="M21" s="13">
        <f t="shared" si="2"/>
        <v>734.85733348558858</v>
      </c>
    </row>
    <row r="22" spans="1:13" x14ac:dyDescent="0.2">
      <c r="A22" s="20">
        <v>9651</v>
      </c>
      <c r="B22" s="19" t="s">
        <v>56</v>
      </c>
      <c r="C22" s="58">
        <f t="shared" si="1"/>
        <v>2097851.2096400489</v>
      </c>
      <c r="D22" s="15">
        <f t="shared" ref="D22:M37" si="3">D65*$O65*$C$44</f>
        <v>381033.82323373639</v>
      </c>
      <c r="E22" s="14">
        <f t="shared" si="3"/>
        <v>90178.004831984275</v>
      </c>
      <c r="F22" s="14">
        <f t="shared" si="3"/>
        <v>233133.76360360769</v>
      </c>
      <c r="G22" s="13">
        <f t="shared" si="3"/>
        <v>703760.94690628408</v>
      </c>
      <c r="H22" s="15">
        <f t="shared" si="3"/>
        <v>55812.045868343834</v>
      </c>
      <c r="I22" s="13">
        <f t="shared" si="3"/>
        <v>10776.389259881949</v>
      </c>
      <c r="J22" s="16">
        <f t="shared" si="3"/>
        <v>55020.705045080853</v>
      </c>
      <c r="K22" s="15">
        <f t="shared" si="3"/>
        <v>226250.56058060614</v>
      </c>
      <c r="L22" s="14">
        <f t="shared" si="3"/>
        <v>212369.92784735517</v>
      </c>
      <c r="M22" s="13">
        <f t="shared" si="3"/>
        <v>129515.04246316831</v>
      </c>
    </row>
    <row r="23" spans="1:13" x14ac:dyDescent="0.2">
      <c r="A23" s="20">
        <v>3665</v>
      </c>
      <c r="B23" s="19" t="s">
        <v>55</v>
      </c>
      <c r="C23" s="58">
        <f t="shared" si="1"/>
        <v>3149213.1536603929</v>
      </c>
      <c r="D23" s="15">
        <f t="shared" si="3"/>
        <v>605890.42301455687</v>
      </c>
      <c r="E23" s="14">
        <f t="shared" si="3"/>
        <v>142586.21288275902</v>
      </c>
      <c r="F23" s="14">
        <f t="shared" si="3"/>
        <v>279716.32471895125</v>
      </c>
      <c r="G23" s="13">
        <f t="shared" si="3"/>
        <v>1208038.0612816971</v>
      </c>
      <c r="H23" s="15">
        <f t="shared" si="3"/>
        <v>92483.937678091359</v>
      </c>
      <c r="I23" s="13">
        <f t="shared" si="3"/>
        <v>29273.176795500225</v>
      </c>
      <c r="J23" s="16">
        <f t="shared" si="3"/>
        <v>68660.075332215027</v>
      </c>
      <c r="K23" s="15">
        <f t="shared" si="3"/>
        <v>288174.58841724123</v>
      </c>
      <c r="L23" s="14">
        <f t="shared" si="3"/>
        <v>253561.46948102338</v>
      </c>
      <c r="M23" s="13">
        <f t="shared" si="3"/>
        <v>180828.88405835742</v>
      </c>
    </row>
    <row r="24" spans="1:13" x14ac:dyDescent="0.2">
      <c r="A24" s="20">
        <v>3565</v>
      </c>
      <c r="B24" s="19" t="s">
        <v>54</v>
      </c>
      <c r="C24" s="58">
        <f t="shared" si="1"/>
        <v>3142681.0286606373</v>
      </c>
      <c r="D24" s="15">
        <f t="shared" si="3"/>
        <v>639023.7989479251</v>
      </c>
      <c r="E24" s="14">
        <f t="shared" si="3"/>
        <v>140585.23576854353</v>
      </c>
      <c r="F24" s="14">
        <f t="shared" si="3"/>
        <v>340124.98524650169</v>
      </c>
      <c r="G24" s="13">
        <f t="shared" si="3"/>
        <v>1207193.6427202921</v>
      </c>
      <c r="H24" s="15">
        <f t="shared" si="3"/>
        <v>35224.31713304697</v>
      </c>
      <c r="I24" s="13">
        <f t="shared" si="3"/>
        <v>35867.683656024994</v>
      </c>
      <c r="J24" s="16">
        <f t="shared" si="3"/>
        <v>78696.593090672235</v>
      </c>
      <c r="K24" s="15">
        <f t="shared" si="3"/>
        <v>304473.20699935121</v>
      </c>
      <c r="L24" s="14">
        <f t="shared" si="3"/>
        <v>237809.71244344467</v>
      </c>
      <c r="M24" s="13">
        <f t="shared" si="3"/>
        <v>123681.85265483419</v>
      </c>
    </row>
    <row r="25" spans="1:13" x14ac:dyDescent="0.2">
      <c r="A25" s="20">
        <v>29269</v>
      </c>
      <c r="B25" s="19" t="s">
        <v>53</v>
      </c>
      <c r="C25" s="58">
        <f t="shared" si="1"/>
        <v>1284071.8122044194</v>
      </c>
      <c r="D25" s="15">
        <f t="shared" si="3"/>
        <v>188821.58432655843</v>
      </c>
      <c r="E25" s="14">
        <f t="shared" si="3"/>
        <v>51173.088159017068</v>
      </c>
      <c r="F25" s="14">
        <f t="shared" si="3"/>
        <v>529406.31119595817</v>
      </c>
      <c r="G25" s="13">
        <f t="shared" si="3"/>
        <v>338627.93155219813</v>
      </c>
      <c r="H25" s="15">
        <f t="shared" si="3"/>
        <v>22760.557416412536</v>
      </c>
      <c r="I25" s="13">
        <f t="shared" si="3"/>
        <v>10560.898641215417</v>
      </c>
      <c r="J25" s="16">
        <f t="shared" si="3"/>
        <v>20888.729174486776</v>
      </c>
      <c r="K25" s="15">
        <f t="shared" si="3"/>
        <v>78781.876070675949</v>
      </c>
      <c r="L25" s="14">
        <f t="shared" si="3"/>
        <v>42844.473280654965</v>
      </c>
      <c r="M25" s="13">
        <f t="shared" si="3"/>
        <v>206.36238724214036</v>
      </c>
    </row>
    <row r="26" spans="1:13" x14ac:dyDescent="0.2">
      <c r="A26" s="20">
        <v>3652</v>
      </c>
      <c r="B26" s="19" t="s">
        <v>52</v>
      </c>
      <c r="C26" s="58">
        <f t="shared" si="1"/>
        <v>16681077.766495496</v>
      </c>
      <c r="D26" s="15">
        <f t="shared" si="3"/>
        <v>3460197.4527364485</v>
      </c>
      <c r="E26" s="14">
        <f t="shared" si="3"/>
        <v>1237212.8225450991</v>
      </c>
      <c r="F26" s="14">
        <f t="shared" si="3"/>
        <v>484668.55596665532</v>
      </c>
      <c r="G26" s="13">
        <f t="shared" si="3"/>
        <v>7180258.0868176259</v>
      </c>
      <c r="H26" s="15">
        <f t="shared" si="3"/>
        <v>500163.21705022798</v>
      </c>
      <c r="I26" s="13">
        <f t="shared" si="3"/>
        <v>42528.577478716805</v>
      </c>
      <c r="J26" s="16">
        <f t="shared" si="3"/>
        <v>366252.48979330668</v>
      </c>
      <c r="K26" s="15">
        <f t="shared" si="3"/>
        <v>1203837.742180791</v>
      </c>
      <c r="L26" s="14">
        <f t="shared" si="3"/>
        <v>1158519.1693710235</v>
      </c>
      <c r="M26" s="13">
        <f t="shared" si="3"/>
        <v>1047439.652555602</v>
      </c>
    </row>
    <row r="27" spans="1:13" x14ac:dyDescent="0.2">
      <c r="A27" s="20">
        <v>11711</v>
      </c>
      <c r="B27" s="19" t="s">
        <v>51</v>
      </c>
      <c r="C27" s="58">
        <f t="shared" si="1"/>
        <v>2858408.8654740374</v>
      </c>
      <c r="D27" s="15">
        <f t="shared" si="3"/>
        <v>574526.30501937796</v>
      </c>
      <c r="E27" s="14">
        <f t="shared" si="3"/>
        <v>149424.12980665776</v>
      </c>
      <c r="F27" s="14">
        <f t="shared" si="3"/>
        <v>478828.67091418261</v>
      </c>
      <c r="G27" s="13">
        <f t="shared" si="3"/>
        <v>1101581.8111408318</v>
      </c>
      <c r="H27" s="15">
        <f t="shared" si="3"/>
        <v>51469.321838242147</v>
      </c>
      <c r="I27" s="13">
        <f t="shared" si="3"/>
        <v>4021.0407686126673</v>
      </c>
      <c r="J27" s="16">
        <f t="shared" si="3"/>
        <v>59781.617315118252</v>
      </c>
      <c r="K27" s="15">
        <f t="shared" si="3"/>
        <v>223784.32224252366</v>
      </c>
      <c r="L27" s="14">
        <f t="shared" si="3"/>
        <v>199406.09240934794</v>
      </c>
      <c r="M27" s="13">
        <f t="shared" si="3"/>
        <v>15585.554019142701</v>
      </c>
    </row>
    <row r="28" spans="1:13" x14ac:dyDescent="0.2">
      <c r="A28" s="20">
        <v>12826</v>
      </c>
      <c r="B28" s="19" t="s">
        <v>50</v>
      </c>
      <c r="C28" s="58">
        <f t="shared" si="1"/>
        <v>4966831.4010272725</v>
      </c>
      <c r="D28" s="15">
        <f t="shared" si="3"/>
        <v>1158535.0064165078</v>
      </c>
      <c r="E28" s="14">
        <f t="shared" si="3"/>
        <v>110060.82560956826</v>
      </c>
      <c r="F28" s="14">
        <f t="shared" si="3"/>
        <v>362697.05919537263</v>
      </c>
      <c r="G28" s="13">
        <f t="shared" si="3"/>
        <v>2077152.6018568629</v>
      </c>
      <c r="H28" s="15">
        <f t="shared" si="3"/>
        <v>63057.243248358958</v>
      </c>
      <c r="I28" s="13">
        <f t="shared" si="3"/>
        <v>810.50441193263453</v>
      </c>
      <c r="J28" s="16">
        <f t="shared" si="3"/>
        <v>130795.95998004083</v>
      </c>
      <c r="K28" s="15">
        <f t="shared" si="3"/>
        <v>503377.27343762823</v>
      </c>
      <c r="L28" s="14">
        <f t="shared" si="3"/>
        <v>393716.02650314273</v>
      </c>
      <c r="M28" s="13">
        <f t="shared" si="3"/>
        <v>166628.90036785722</v>
      </c>
    </row>
    <row r="29" spans="1:13" x14ac:dyDescent="0.2">
      <c r="A29" s="20">
        <v>13231</v>
      </c>
      <c r="B29" s="19" t="s">
        <v>49</v>
      </c>
      <c r="C29" s="58">
        <f t="shared" si="1"/>
        <v>1835951.8728497911</v>
      </c>
      <c r="D29" s="15">
        <f t="shared" si="3"/>
        <v>315006.11464314949</v>
      </c>
      <c r="E29" s="14">
        <f t="shared" si="3"/>
        <v>81991.3928170851</v>
      </c>
      <c r="F29" s="14">
        <f t="shared" si="3"/>
        <v>547409.37158012786</v>
      </c>
      <c r="G29" s="13">
        <f t="shared" si="3"/>
        <v>592400.86336682632</v>
      </c>
      <c r="H29" s="15">
        <f t="shared" si="3"/>
        <v>58995.364823341297</v>
      </c>
      <c r="I29" s="13">
        <f t="shared" si="3"/>
        <v>4005.8581052886061</v>
      </c>
      <c r="J29" s="16">
        <f t="shared" si="3"/>
        <v>33561.807543945273</v>
      </c>
      <c r="K29" s="15">
        <f t="shared" si="3"/>
        <v>130372.47288121103</v>
      </c>
      <c r="L29" s="14">
        <f t="shared" si="3"/>
        <v>70145.003216394587</v>
      </c>
      <c r="M29" s="13">
        <f t="shared" si="3"/>
        <v>2063.623872421404</v>
      </c>
    </row>
    <row r="30" spans="1:13" x14ac:dyDescent="0.2">
      <c r="A30" s="20">
        <v>3592</v>
      </c>
      <c r="B30" s="19" t="s">
        <v>48</v>
      </c>
      <c r="C30" s="58">
        <f t="shared" si="1"/>
        <v>2702083.235076712</v>
      </c>
      <c r="D30" s="15">
        <f t="shared" si="3"/>
        <v>497804.84715424833</v>
      </c>
      <c r="E30" s="14">
        <f t="shared" si="3"/>
        <v>109351.13142488318</v>
      </c>
      <c r="F30" s="14">
        <f t="shared" si="3"/>
        <v>290992.93499702745</v>
      </c>
      <c r="G30" s="13">
        <f t="shared" si="3"/>
        <v>946713.83856216818</v>
      </c>
      <c r="H30" s="15">
        <f t="shared" si="3"/>
        <v>160841.63074450669</v>
      </c>
      <c r="I30" s="13">
        <f t="shared" si="3"/>
        <v>7237.8733835028015</v>
      </c>
      <c r="J30" s="16">
        <f t="shared" si="3"/>
        <v>53296.482763499749</v>
      </c>
      <c r="K30" s="15">
        <f t="shared" si="3"/>
        <v>231290.26501060068</v>
      </c>
      <c r="L30" s="14">
        <f t="shared" si="3"/>
        <v>218712.44948638027</v>
      </c>
      <c r="M30" s="13">
        <f t="shared" si="3"/>
        <v>185841.78154989454</v>
      </c>
    </row>
    <row r="31" spans="1:13" x14ac:dyDescent="0.2">
      <c r="A31" s="20">
        <v>3594</v>
      </c>
      <c r="B31" s="19" t="s">
        <v>47</v>
      </c>
      <c r="C31" s="58">
        <f t="shared" si="1"/>
        <v>18105712.154892493</v>
      </c>
      <c r="D31" s="15">
        <f t="shared" si="3"/>
        <v>4083195.8696321193</v>
      </c>
      <c r="E31" s="14">
        <f t="shared" si="3"/>
        <v>1568854.5907986523</v>
      </c>
      <c r="F31" s="14">
        <f t="shared" si="3"/>
        <v>585603.68492869998</v>
      </c>
      <c r="G31" s="13">
        <f t="shared" si="3"/>
        <v>7744422.2886565141</v>
      </c>
      <c r="H31" s="15">
        <f t="shared" si="3"/>
        <v>228477.99602927646</v>
      </c>
      <c r="I31" s="13">
        <f t="shared" si="3"/>
        <v>29408.058894857371</v>
      </c>
      <c r="J31" s="16">
        <f t="shared" si="3"/>
        <v>414789.35992008052</v>
      </c>
      <c r="K31" s="15">
        <f t="shared" si="3"/>
        <v>1245378.5105017573</v>
      </c>
      <c r="L31" s="14">
        <f t="shared" si="3"/>
        <v>1148746.6451844245</v>
      </c>
      <c r="M31" s="13">
        <f t="shared" si="3"/>
        <v>1056835.1503461129</v>
      </c>
    </row>
    <row r="32" spans="1:13" x14ac:dyDescent="0.2">
      <c r="A32" s="78">
        <v>113594</v>
      </c>
      <c r="B32" s="19" t="s">
        <v>46</v>
      </c>
      <c r="C32" s="58">
        <f t="shared" si="1"/>
        <v>1193824.7460473499</v>
      </c>
      <c r="D32" s="15">
        <f t="shared" si="3"/>
        <v>188908.00442186694</v>
      </c>
      <c r="E32" s="14">
        <f t="shared" si="3"/>
        <v>54547.186276814071</v>
      </c>
      <c r="F32" s="14">
        <f t="shared" si="3"/>
        <v>499157.98800873791</v>
      </c>
      <c r="G32" s="13">
        <f t="shared" si="3"/>
        <v>330464.9417626232</v>
      </c>
      <c r="H32" s="15">
        <f t="shared" si="3"/>
        <v>5618.081915891953</v>
      </c>
      <c r="I32" s="13">
        <f t="shared" si="3"/>
        <v>0</v>
      </c>
      <c r="J32" s="16">
        <f t="shared" si="3"/>
        <v>23109.043614035567</v>
      </c>
      <c r="K32" s="15">
        <f t="shared" si="3"/>
        <v>74595.643216565382</v>
      </c>
      <c r="L32" s="14">
        <f t="shared" si="3"/>
        <v>14505.575391171031</v>
      </c>
      <c r="M32" s="13">
        <f t="shared" si="3"/>
        <v>2918.2814396438762</v>
      </c>
    </row>
    <row r="33" spans="1:16" x14ac:dyDescent="0.2">
      <c r="A33" s="20">
        <v>3624</v>
      </c>
      <c r="B33" s="19" t="s">
        <v>45</v>
      </c>
      <c r="C33" s="58">
        <f t="shared" si="1"/>
        <v>4739631.4462874793</v>
      </c>
      <c r="D33" s="15">
        <f t="shared" si="3"/>
        <v>927252.00124208117</v>
      </c>
      <c r="E33" s="14">
        <f t="shared" si="3"/>
        <v>256848.80434405649</v>
      </c>
      <c r="F33" s="14">
        <f t="shared" si="3"/>
        <v>244369.23462847501</v>
      </c>
      <c r="G33" s="13">
        <f t="shared" si="3"/>
        <v>1795830.584004875</v>
      </c>
      <c r="H33" s="15">
        <f t="shared" si="3"/>
        <v>119666.17327391298</v>
      </c>
      <c r="I33" s="13">
        <f t="shared" si="3"/>
        <v>21552.778519763899</v>
      </c>
      <c r="J33" s="16">
        <f t="shared" si="3"/>
        <v>112743.54948666942</v>
      </c>
      <c r="K33" s="15">
        <f t="shared" si="3"/>
        <v>445424.0894084539</v>
      </c>
      <c r="L33" s="14">
        <f t="shared" si="3"/>
        <v>433870.29893330688</v>
      </c>
      <c r="M33" s="13">
        <f t="shared" si="3"/>
        <v>382073.93244588427</v>
      </c>
    </row>
    <row r="34" spans="1:16" x14ac:dyDescent="0.2">
      <c r="A34" s="20">
        <v>3642</v>
      </c>
      <c r="B34" s="19" t="s">
        <v>44</v>
      </c>
      <c r="C34" s="58">
        <f t="shared" si="1"/>
        <v>2116549.3708496513</v>
      </c>
      <c r="D34" s="15">
        <f t="shared" si="3"/>
        <v>365914.70994375279</v>
      </c>
      <c r="E34" s="14">
        <f t="shared" si="3"/>
        <v>26284.87333095957</v>
      </c>
      <c r="F34" s="14">
        <f t="shared" si="3"/>
        <v>156020.57589909335</v>
      </c>
      <c r="G34" s="13">
        <f t="shared" si="3"/>
        <v>718312.28923973814</v>
      </c>
      <c r="H34" s="15">
        <f t="shared" si="3"/>
        <v>64819.177190036215</v>
      </c>
      <c r="I34" s="13">
        <f t="shared" si="3"/>
        <v>1447.5746767005603</v>
      </c>
      <c r="J34" s="16">
        <f t="shared" si="3"/>
        <v>51443.587177323032</v>
      </c>
      <c r="K34" s="15">
        <f t="shared" si="3"/>
        <v>263351.36340567237</v>
      </c>
      <c r="L34" s="14">
        <f t="shared" si="3"/>
        <v>236903.63792358394</v>
      </c>
      <c r="M34" s="13">
        <f t="shared" si="3"/>
        <v>232051.58206279131</v>
      </c>
    </row>
    <row r="35" spans="1:16" x14ac:dyDescent="0.2">
      <c r="A35" s="20">
        <v>3644</v>
      </c>
      <c r="B35" s="19" t="s">
        <v>43</v>
      </c>
      <c r="C35" s="58">
        <f t="shared" si="1"/>
        <v>16255147.78188964</v>
      </c>
      <c r="D35" s="15">
        <f t="shared" si="3"/>
        <v>3171998.4755668463</v>
      </c>
      <c r="E35" s="14">
        <f t="shared" si="3"/>
        <v>1547935.2560766209</v>
      </c>
      <c r="F35" s="14">
        <f t="shared" si="3"/>
        <v>476438.67559900536</v>
      </c>
      <c r="G35" s="13">
        <f t="shared" si="3"/>
        <v>6873418.9246254843</v>
      </c>
      <c r="H35" s="15">
        <f t="shared" si="3"/>
        <v>493602.95775829832</v>
      </c>
      <c r="I35" s="13">
        <f t="shared" si="3"/>
        <v>38909.124076272827</v>
      </c>
      <c r="J35" s="16">
        <f t="shared" si="3"/>
        <v>301645.2465596816</v>
      </c>
      <c r="K35" s="15">
        <f t="shared" si="3"/>
        <v>1026959.5787201064</v>
      </c>
      <c r="L35" s="14">
        <f t="shared" si="3"/>
        <v>1074638.3367693839</v>
      </c>
      <c r="M35" s="13">
        <f t="shared" si="3"/>
        <v>1249601.2061379419</v>
      </c>
    </row>
    <row r="36" spans="1:16" x14ac:dyDescent="0.2">
      <c r="A36" s="20">
        <v>3541</v>
      </c>
      <c r="B36" s="19" t="s">
        <v>42</v>
      </c>
      <c r="C36" s="58">
        <f t="shared" si="1"/>
        <v>2609076.1962403762</v>
      </c>
      <c r="D36" s="15">
        <f t="shared" si="3"/>
        <v>478343.00983416295</v>
      </c>
      <c r="E36" s="14">
        <f t="shared" si="3"/>
        <v>102764.02327937268</v>
      </c>
      <c r="F36" s="14">
        <f t="shared" si="3"/>
        <v>244950.15114953357</v>
      </c>
      <c r="G36" s="13">
        <f t="shared" si="3"/>
        <v>954120.59565795353</v>
      </c>
      <c r="H36" s="15">
        <f t="shared" si="3"/>
        <v>122722.16425805862</v>
      </c>
      <c r="I36" s="13">
        <f t="shared" si="3"/>
        <v>9328.814583181389</v>
      </c>
      <c r="J36" s="16">
        <f t="shared" si="3"/>
        <v>55818.479533573613</v>
      </c>
      <c r="K36" s="15">
        <f t="shared" si="3"/>
        <v>231397.49276443035</v>
      </c>
      <c r="L36" s="14">
        <f t="shared" si="3"/>
        <v>216133.62200677668</v>
      </c>
      <c r="M36" s="13">
        <f t="shared" si="3"/>
        <v>193497.84317333309</v>
      </c>
    </row>
    <row r="37" spans="1:16" x14ac:dyDescent="0.2">
      <c r="A37" s="20">
        <v>3646</v>
      </c>
      <c r="B37" s="19" t="s">
        <v>41</v>
      </c>
      <c r="C37" s="58">
        <f t="shared" si="1"/>
        <v>4625634.1117149182</v>
      </c>
      <c r="D37" s="15">
        <f t="shared" si="3"/>
        <v>940115.57571475452</v>
      </c>
      <c r="E37" s="14">
        <f t="shared" si="3"/>
        <v>246153.59490797995</v>
      </c>
      <c r="F37" s="14">
        <f t="shared" si="3"/>
        <v>358472.47564012057</v>
      </c>
      <c r="G37" s="13">
        <f t="shared" si="3"/>
        <v>1797034.913871747</v>
      </c>
      <c r="H37" s="15">
        <f t="shared" si="3"/>
        <v>296367.18407545239</v>
      </c>
      <c r="I37" s="13">
        <f t="shared" si="3"/>
        <v>16484.123236046824</v>
      </c>
      <c r="J37" s="16">
        <f t="shared" si="3"/>
        <v>103860.38741229671</v>
      </c>
      <c r="K37" s="15">
        <f t="shared" si="3"/>
        <v>381043.52238272451</v>
      </c>
      <c r="L37" s="14">
        <f t="shared" si="3"/>
        <v>291514.48955087579</v>
      </c>
      <c r="M37" s="13">
        <f t="shared" si="3"/>
        <v>194587.84492292043</v>
      </c>
    </row>
    <row r="38" spans="1:16" x14ac:dyDescent="0.2">
      <c r="A38" s="20">
        <v>3581</v>
      </c>
      <c r="B38" s="19" t="s">
        <v>40</v>
      </c>
      <c r="C38" s="58">
        <f t="shared" si="1"/>
        <v>3447554.1472185832</v>
      </c>
      <c r="D38" s="15">
        <f t="shared" ref="D38:M42" si="4">D81*$O81*$C$44</f>
        <v>644331.57276249386</v>
      </c>
      <c r="E38" s="14">
        <f t="shared" si="4"/>
        <v>112865.41382889684</v>
      </c>
      <c r="F38" s="14">
        <f t="shared" si="4"/>
        <v>221417.75542577857</v>
      </c>
      <c r="G38" s="13">
        <f t="shared" si="4"/>
        <v>1295531.0831577862</v>
      </c>
      <c r="H38" s="15">
        <f t="shared" si="4"/>
        <v>159233.21443706163</v>
      </c>
      <c r="I38" s="13">
        <f t="shared" si="4"/>
        <v>8202.9231679698423</v>
      </c>
      <c r="J38" s="16">
        <f t="shared" si="4"/>
        <v>73240.844975818574</v>
      </c>
      <c r="K38" s="15">
        <f t="shared" si="4"/>
        <v>344951.68407005206</v>
      </c>
      <c r="L38" s="14">
        <f t="shared" si="4"/>
        <v>311341.14463214163</v>
      </c>
      <c r="M38" s="13">
        <f t="shared" si="4"/>
        <v>276438.51076058368</v>
      </c>
    </row>
    <row r="39" spans="1:16" x14ac:dyDescent="0.2">
      <c r="A39" s="20">
        <v>3606</v>
      </c>
      <c r="B39" s="19" t="s">
        <v>39</v>
      </c>
      <c r="C39" s="58">
        <f t="shared" si="1"/>
        <v>7041927.1127273804</v>
      </c>
      <c r="D39" s="15">
        <f t="shared" si="4"/>
        <v>1485050.7766640303</v>
      </c>
      <c r="E39" s="14">
        <f t="shared" si="4"/>
        <v>435614.89448811556</v>
      </c>
      <c r="F39" s="14">
        <f t="shared" si="4"/>
        <v>295252.81060409051</v>
      </c>
      <c r="G39" s="13">
        <f t="shared" si="4"/>
        <v>2816534.7895421875</v>
      </c>
      <c r="H39" s="15">
        <f t="shared" si="4"/>
        <v>80581.657002997876</v>
      </c>
      <c r="I39" s="13">
        <f t="shared" si="4"/>
        <v>29434.018426244733</v>
      </c>
      <c r="J39" s="16">
        <f t="shared" si="4"/>
        <v>170903.88316388306</v>
      </c>
      <c r="K39" s="15">
        <f t="shared" si="4"/>
        <v>626370.92399602407</v>
      </c>
      <c r="L39" s="14">
        <f t="shared" si="4"/>
        <v>620033.76374469034</v>
      </c>
      <c r="M39" s="13">
        <f t="shared" si="4"/>
        <v>482149.59509511624</v>
      </c>
    </row>
    <row r="40" spans="1:16" x14ac:dyDescent="0.2">
      <c r="A40" s="20">
        <v>3615</v>
      </c>
      <c r="B40" s="19" t="s">
        <v>105</v>
      </c>
      <c r="C40" s="58">
        <f t="shared" si="1"/>
        <v>12038578.701638725</v>
      </c>
      <c r="D40" s="15">
        <f t="shared" si="4"/>
        <v>2586815.9472639011</v>
      </c>
      <c r="E40" s="14">
        <f t="shared" si="4"/>
        <v>1091636.3297453665</v>
      </c>
      <c r="F40" s="14">
        <f t="shared" si="4"/>
        <v>376480.26027022093</v>
      </c>
      <c r="G40" s="13">
        <f t="shared" si="4"/>
        <v>5036261.8829575321</v>
      </c>
      <c r="H40" s="15">
        <f t="shared" si="4"/>
        <v>235793.83067144683</v>
      </c>
      <c r="I40" s="13">
        <f t="shared" si="4"/>
        <v>32168.326148901338</v>
      </c>
      <c r="J40" s="16">
        <f t="shared" si="4"/>
        <v>283750.37129422894</v>
      </c>
      <c r="K40" s="15">
        <f t="shared" si="4"/>
        <v>841078.41687686613</v>
      </c>
      <c r="L40" s="14">
        <f t="shared" si="4"/>
        <v>807601.91213124269</v>
      </c>
      <c r="M40" s="13">
        <f t="shared" si="4"/>
        <v>746991.42427902122</v>
      </c>
    </row>
    <row r="41" spans="1:16" x14ac:dyDescent="0.2">
      <c r="A41" s="20">
        <v>3625</v>
      </c>
      <c r="B41" s="19" t="s">
        <v>38</v>
      </c>
      <c r="C41" s="58">
        <f t="shared" si="1"/>
        <v>629088.16518172587</v>
      </c>
      <c r="D41" s="15">
        <f t="shared" si="4"/>
        <v>91358.046262879812</v>
      </c>
      <c r="E41" s="14">
        <f t="shared" si="4"/>
        <v>13749.38596256341</v>
      </c>
      <c r="F41" s="14">
        <f t="shared" si="4"/>
        <v>187205.70125451233</v>
      </c>
      <c r="G41" s="13">
        <f t="shared" si="4"/>
        <v>190274.04075444382</v>
      </c>
      <c r="H41" s="15">
        <f t="shared" si="4"/>
        <v>6111.9819682912548</v>
      </c>
      <c r="I41" s="13">
        <f t="shared" si="4"/>
        <v>3055.9909841456274</v>
      </c>
      <c r="J41" s="16">
        <f t="shared" si="4"/>
        <v>12584.249189450205</v>
      </c>
      <c r="K41" s="15">
        <f t="shared" si="4"/>
        <v>48252.489223352015</v>
      </c>
      <c r="L41" s="14">
        <f t="shared" si="4"/>
        <v>40494.561233775312</v>
      </c>
      <c r="M41" s="13">
        <f t="shared" si="4"/>
        <v>36001.71834831209</v>
      </c>
    </row>
    <row r="42" spans="1:16" x14ac:dyDescent="0.2">
      <c r="A42" s="20">
        <v>20</v>
      </c>
      <c r="B42" s="19" t="s">
        <v>37</v>
      </c>
      <c r="C42" s="77">
        <f t="shared" si="1"/>
        <v>746838.14246009418</v>
      </c>
      <c r="D42" s="15">
        <f t="shared" si="4"/>
        <v>78618.927957465537</v>
      </c>
      <c r="E42" s="14">
        <f t="shared" si="4"/>
        <v>12489.705201717388</v>
      </c>
      <c r="F42" s="14">
        <f t="shared" si="4"/>
        <v>444923.25545625406</v>
      </c>
      <c r="G42" s="13">
        <f t="shared" si="4"/>
        <v>135761.11000754003</v>
      </c>
      <c r="H42" s="15">
        <f t="shared" si="4"/>
        <v>3079.9167653440109</v>
      </c>
      <c r="I42" s="13">
        <f t="shared" si="4"/>
        <v>2755.7150005709573</v>
      </c>
      <c r="J42" s="16">
        <f t="shared" si="4"/>
        <v>11204.412990556739</v>
      </c>
      <c r="K42" s="15">
        <f t="shared" si="4"/>
        <v>37283.202948901184</v>
      </c>
      <c r="L42" s="14">
        <f t="shared" si="4"/>
        <v>19527.752964830273</v>
      </c>
      <c r="M42" s="13">
        <f t="shared" si="4"/>
        <v>1194.1431669140816</v>
      </c>
    </row>
    <row r="43" spans="1:16" ht="13.5" thickBot="1" x14ac:dyDescent="0.25">
      <c r="A43" s="12"/>
      <c r="B43" s="11" t="s">
        <v>11</v>
      </c>
      <c r="C43" s="75">
        <f t="shared" ref="C43:M43" si="5">SUM(C5:C42)</f>
        <v>235000000</v>
      </c>
      <c r="D43" s="75">
        <f t="shared" si="5"/>
        <v>45295281.544611178</v>
      </c>
      <c r="E43" s="74">
        <f t="shared" si="5"/>
        <v>20226054.180164143</v>
      </c>
      <c r="F43" s="74">
        <f t="shared" si="5"/>
        <v>15241093.476277951</v>
      </c>
      <c r="G43" s="73">
        <f t="shared" si="5"/>
        <v>92637820.226243302</v>
      </c>
      <c r="H43" s="75">
        <f t="shared" si="5"/>
        <v>7454821.4321419308</v>
      </c>
      <c r="I43" s="73">
        <f t="shared" si="5"/>
        <v>625871.21154150856</v>
      </c>
      <c r="J43" s="76">
        <f t="shared" si="5"/>
        <v>4687317.2029888937</v>
      </c>
      <c r="K43" s="75">
        <f t="shared" si="5"/>
        <v>17619107.207438719</v>
      </c>
      <c r="L43" s="74">
        <f t="shared" si="5"/>
        <v>16342097.039298233</v>
      </c>
      <c r="M43" s="73">
        <f t="shared" si="5"/>
        <v>14870536.479294147</v>
      </c>
    </row>
    <row r="44" spans="1:16" ht="13.5" thickBot="1" x14ac:dyDescent="0.25">
      <c r="A44" s="72"/>
      <c r="C44" s="104">
        <f>235000000/P86</f>
        <v>2.5080187590295944E-2</v>
      </c>
      <c r="D44" s="71" t="s">
        <v>80</v>
      </c>
      <c r="E44" s="70"/>
      <c r="F44" s="70"/>
      <c r="G44" s="70"/>
      <c r="H44" s="70"/>
      <c r="I44" s="70"/>
      <c r="J44" s="70"/>
      <c r="K44" s="70"/>
      <c r="L44" s="70"/>
      <c r="M44" s="70"/>
    </row>
    <row r="45" spans="1:16" ht="13.5" thickBot="1" x14ac:dyDescent="0.25">
      <c r="A45" s="69" t="s">
        <v>76</v>
      </c>
    </row>
    <row r="46" spans="1:16" ht="12.75" customHeight="1" outlineLevel="1" x14ac:dyDescent="0.2">
      <c r="A46" s="177" t="s">
        <v>24</v>
      </c>
      <c r="B46" s="179" t="s">
        <v>23</v>
      </c>
      <c r="C46" s="181" t="s">
        <v>36</v>
      </c>
      <c r="D46" s="183" t="s">
        <v>35</v>
      </c>
      <c r="E46" s="184"/>
      <c r="F46" s="184"/>
      <c r="G46" s="185"/>
      <c r="H46" s="186" t="s">
        <v>18</v>
      </c>
      <c r="I46" s="195" t="s">
        <v>17</v>
      </c>
      <c r="J46" s="197" t="s">
        <v>16</v>
      </c>
      <c r="K46" s="199" t="s">
        <v>34</v>
      </c>
      <c r="L46" s="200"/>
      <c r="M46" s="200"/>
      <c r="N46" s="212" t="s">
        <v>106</v>
      </c>
      <c r="O46" s="214" t="s">
        <v>107</v>
      </c>
      <c r="P46" s="193" t="s">
        <v>108</v>
      </c>
    </row>
    <row r="47" spans="1:16" ht="51.75" outlineLevel="1" thickBot="1" x14ac:dyDescent="0.25">
      <c r="A47" s="178"/>
      <c r="B47" s="180"/>
      <c r="C47" s="182"/>
      <c r="D47" s="68"/>
      <c r="E47" s="67" t="s">
        <v>33</v>
      </c>
      <c r="F47" s="67" t="s">
        <v>32</v>
      </c>
      <c r="G47" s="66" t="s">
        <v>31</v>
      </c>
      <c r="H47" s="187"/>
      <c r="I47" s="196"/>
      <c r="J47" s="198"/>
      <c r="K47" s="44" t="s">
        <v>14</v>
      </c>
      <c r="L47" s="43" t="s">
        <v>13</v>
      </c>
      <c r="M47" s="42" t="s">
        <v>12</v>
      </c>
      <c r="N47" s="213"/>
      <c r="O47" s="215"/>
      <c r="P47" s="194"/>
    </row>
    <row r="48" spans="1:16" outlineLevel="1" x14ac:dyDescent="0.2">
      <c r="A48" s="20">
        <f t="shared" ref="A48:B67" si="6">A5</f>
        <v>3656</v>
      </c>
      <c r="B48" s="19" t="str">
        <f t="shared" si="6"/>
        <v>UTA</v>
      </c>
      <c r="C48" s="58">
        <f t="shared" ref="C48:C85" si="7">SUM(D48:M48)</f>
        <v>7139.9578827804953</v>
      </c>
      <c r="D48" s="15">
        <f t="shared" ref="D48:M48" si="8">D90*D140</f>
        <v>1505.3999999999999</v>
      </c>
      <c r="E48" s="14">
        <f t="shared" si="8"/>
        <v>520.19933333333336</v>
      </c>
      <c r="F48" s="14">
        <f t="shared" si="8"/>
        <v>296.03788278048285</v>
      </c>
      <c r="G48" s="13">
        <f t="shared" si="8"/>
        <v>3125.5660000000134</v>
      </c>
      <c r="H48" s="36">
        <f t="shared" si="8"/>
        <v>459.4</v>
      </c>
      <c r="I48" s="35">
        <f t="shared" si="8"/>
        <v>10.5</v>
      </c>
      <c r="J48" s="34">
        <f t="shared" si="8"/>
        <v>149.56800000000001</v>
      </c>
      <c r="K48" s="36">
        <f t="shared" si="8"/>
        <v>478.54333333333335</v>
      </c>
      <c r="L48" s="59">
        <f t="shared" si="8"/>
        <v>345.03</v>
      </c>
      <c r="M48" s="35">
        <f t="shared" si="8"/>
        <v>249.71333333333337</v>
      </c>
      <c r="N48" s="99">
        <v>1</v>
      </c>
      <c r="O48" s="100">
        <v>90197.027768754284</v>
      </c>
      <c r="P48" s="58">
        <f>O48*C48</f>
        <v>644002979.42088842</v>
      </c>
    </row>
    <row r="49" spans="1:16" outlineLevel="1" x14ac:dyDescent="0.2">
      <c r="A49" s="20">
        <f t="shared" si="6"/>
        <v>3658</v>
      </c>
      <c r="B49" s="19" t="str">
        <f t="shared" si="6"/>
        <v>UT</v>
      </c>
      <c r="C49" s="58">
        <f t="shared" si="7"/>
        <v>10821.842734097498</v>
      </c>
      <c r="D49" s="15">
        <f t="shared" ref="D49:M49" si="9">D91*D141</f>
        <v>1789.2666666666669</v>
      </c>
      <c r="E49" s="14">
        <f t="shared" si="9"/>
        <v>1854.1275833333336</v>
      </c>
      <c r="F49" s="14">
        <f t="shared" si="9"/>
        <v>331.22115076405845</v>
      </c>
      <c r="G49" s="13">
        <f t="shared" si="9"/>
        <v>3879.6700000001038</v>
      </c>
      <c r="H49" s="15">
        <f t="shared" si="9"/>
        <v>375.26666666666665</v>
      </c>
      <c r="I49" s="13">
        <f t="shared" si="9"/>
        <v>13.200000000000001</v>
      </c>
      <c r="J49" s="16">
        <f t="shared" si="9"/>
        <v>111.0506666666667</v>
      </c>
      <c r="K49" s="15">
        <f t="shared" si="9"/>
        <v>671.88333333333344</v>
      </c>
      <c r="L49" s="14">
        <f t="shared" si="9"/>
        <v>810.50999999999988</v>
      </c>
      <c r="M49" s="13">
        <f t="shared" si="9"/>
        <v>985.64666666666676</v>
      </c>
      <c r="N49" s="87">
        <v>1</v>
      </c>
      <c r="O49" s="13">
        <v>90197.027768754284</v>
      </c>
      <c r="P49" s="58">
        <f t="shared" ref="P49:P85" si="10">O49*C49</f>
        <v>976098049.59648383</v>
      </c>
    </row>
    <row r="50" spans="1:16" outlineLevel="1" x14ac:dyDescent="0.2">
      <c r="A50" s="20">
        <f t="shared" si="6"/>
        <v>9741</v>
      </c>
      <c r="B50" s="19" t="str">
        <f t="shared" si="6"/>
        <v>UTD</v>
      </c>
      <c r="C50" s="58">
        <f t="shared" si="7"/>
        <v>3619.5850718330817</v>
      </c>
      <c r="D50" s="15">
        <f t="shared" ref="D50:M50" si="11">D92*D142</f>
        <v>717.9</v>
      </c>
      <c r="E50" s="14">
        <f t="shared" si="11"/>
        <v>336.45580000000001</v>
      </c>
      <c r="F50" s="14">
        <f t="shared" si="11"/>
        <v>268.29760516638265</v>
      </c>
      <c r="G50" s="13">
        <f t="shared" si="11"/>
        <v>1530.3610000000317</v>
      </c>
      <c r="H50" s="15">
        <f t="shared" si="11"/>
        <v>126.5</v>
      </c>
      <c r="I50" s="13">
        <f t="shared" si="11"/>
        <v>9.6</v>
      </c>
      <c r="J50" s="16">
        <f t="shared" si="11"/>
        <v>63.344000000000001</v>
      </c>
      <c r="K50" s="15">
        <f t="shared" si="11"/>
        <v>232.05</v>
      </c>
      <c r="L50" s="14">
        <f t="shared" si="11"/>
        <v>192.09</v>
      </c>
      <c r="M50" s="13">
        <f t="shared" si="11"/>
        <v>142.98666666666668</v>
      </c>
      <c r="N50" s="87">
        <v>1</v>
      </c>
      <c r="O50" s="13">
        <v>90197.027768754284</v>
      </c>
      <c r="P50" s="58">
        <f t="shared" si="10"/>
        <v>326475815.23549694</v>
      </c>
    </row>
    <row r="51" spans="1:16" outlineLevel="1" x14ac:dyDescent="0.2">
      <c r="A51" s="20">
        <f t="shared" si="6"/>
        <v>3661</v>
      </c>
      <c r="B51" s="19" t="str">
        <f t="shared" si="6"/>
        <v>UTEP</v>
      </c>
      <c r="C51" s="58">
        <f t="shared" si="7"/>
        <v>4496.9126120269448</v>
      </c>
      <c r="D51" s="15">
        <f t="shared" ref="D51:M51" si="12">D93*D143</f>
        <v>917.1</v>
      </c>
      <c r="E51" s="14">
        <f t="shared" si="12"/>
        <v>238.44599999999997</v>
      </c>
      <c r="F51" s="14">
        <f t="shared" si="12"/>
        <v>228.70894536023343</v>
      </c>
      <c r="G51" s="13">
        <f t="shared" si="12"/>
        <v>1889.4230000000439</v>
      </c>
      <c r="H51" s="15">
        <f t="shared" si="12"/>
        <v>196.5</v>
      </c>
      <c r="I51" s="13">
        <f t="shared" si="12"/>
        <v>27</v>
      </c>
      <c r="J51" s="16">
        <f t="shared" si="12"/>
        <v>118.28800000000001</v>
      </c>
      <c r="K51" s="15">
        <f t="shared" si="12"/>
        <v>305.38666666666671</v>
      </c>
      <c r="L51" s="14">
        <f t="shared" si="12"/>
        <v>302.21999999999997</v>
      </c>
      <c r="M51" s="13">
        <f t="shared" si="12"/>
        <v>273.84000000000003</v>
      </c>
      <c r="N51" s="87">
        <v>2</v>
      </c>
      <c r="O51" s="13">
        <v>69184.923785166247</v>
      </c>
      <c r="P51" s="58">
        <f t="shared" si="10"/>
        <v>311118556.33163702</v>
      </c>
    </row>
    <row r="52" spans="1:16" outlineLevel="1" x14ac:dyDescent="0.2">
      <c r="A52" s="20">
        <f t="shared" si="6"/>
        <v>3599</v>
      </c>
      <c r="B52" s="19" t="str">
        <f t="shared" si="6"/>
        <v>UTPA</v>
      </c>
      <c r="C52" s="58">
        <f t="shared" si="7"/>
        <v>4051.1806787462674</v>
      </c>
      <c r="D52" s="15">
        <f t="shared" ref="D52:M52" si="13">D94*D144</f>
        <v>774</v>
      </c>
      <c r="E52" s="14">
        <f t="shared" si="13"/>
        <v>166.797</v>
      </c>
      <c r="F52" s="14">
        <f t="shared" si="13"/>
        <v>153.69367874623376</v>
      </c>
      <c r="G52" s="13">
        <f t="shared" si="13"/>
        <v>1540.2500000000339</v>
      </c>
      <c r="H52" s="15">
        <f t="shared" si="13"/>
        <v>156.1</v>
      </c>
      <c r="I52" s="13">
        <f t="shared" si="13"/>
        <v>8.4</v>
      </c>
      <c r="J52" s="16">
        <f t="shared" si="13"/>
        <v>112.24000000000001</v>
      </c>
      <c r="K52" s="15">
        <f t="shared" si="13"/>
        <v>407.53333333333336</v>
      </c>
      <c r="L52" s="14">
        <f t="shared" si="13"/>
        <v>402.48</v>
      </c>
      <c r="M52" s="13">
        <f t="shared" si="13"/>
        <v>329.68666666666667</v>
      </c>
      <c r="N52" s="87">
        <v>3</v>
      </c>
      <c r="O52" s="13">
        <v>64130.952037511772</v>
      </c>
      <c r="P52" s="58">
        <f t="shared" si="10"/>
        <v>259806073.80397126</v>
      </c>
    </row>
    <row r="53" spans="1:16" outlineLevel="1" x14ac:dyDescent="0.2">
      <c r="A53" s="20">
        <f t="shared" si="6"/>
        <v>30646</v>
      </c>
      <c r="B53" s="19" t="str">
        <f t="shared" si="6"/>
        <v>UTB</v>
      </c>
      <c r="C53" s="58">
        <f t="shared" si="7"/>
        <v>1619.452911442484</v>
      </c>
      <c r="D53" s="15">
        <f t="shared" ref="D53:M53" si="14">D95*D145</f>
        <v>327.59999999999997</v>
      </c>
      <c r="E53" s="14">
        <f t="shared" si="14"/>
        <v>94.225638676953011</v>
      </c>
      <c r="F53" s="14">
        <f t="shared" si="14"/>
        <v>258.4592727655247</v>
      </c>
      <c r="G53" s="13">
        <f t="shared" si="14"/>
        <v>629.33800000000656</v>
      </c>
      <c r="H53" s="15">
        <f t="shared" si="14"/>
        <v>37.299999999999997</v>
      </c>
      <c r="I53" s="13">
        <f t="shared" si="14"/>
        <v>5.4999999999999991</v>
      </c>
      <c r="J53" s="16">
        <f t="shared" si="14"/>
        <v>44.96</v>
      </c>
      <c r="K53" s="15">
        <f t="shared" si="14"/>
        <v>132.63333333333333</v>
      </c>
      <c r="L53" s="14">
        <f t="shared" si="14"/>
        <v>72.323333333333338</v>
      </c>
      <c r="M53" s="13">
        <f t="shared" si="14"/>
        <v>17.113333333333337</v>
      </c>
      <c r="N53" s="87">
        <v>3</v>
      </c>
      <c r="O53" s="13">
        <v>64130.952037511772</v>
      </c>
      <c r="P53" s="58">
        <f t="shared" si="10"/>
        <v>103857056.99072674</v>
      </c>
    </row>
    <row r="54" spans="1:16" outlineLevel="1" x14ac:dyDescent="0.2">
      <c r="A54" s="20">
        <f t="shared" si="6"/>
        <v>9930</v>
      </c>
      <c r="B54" s="19" t="str">
        <f t="shared" si="6"/>
        <v>UTPB</v>
      </c>
      <c r="C54" s="58">
        <f t="shared" si="7"/>
        <v>879.48580982434612</v>
      </c>
      <c r="D54" s="15">
        <f t="shared" ref="D54:M54" si="15">D96*D146</f>
        <v>160</v>
      </c>
      <c r="E54" s="14">
        <f t="shared" si="15"/>
        <v>35.520000000000003</v>
      </c>
      <c r="F54" s="14">
        <f t="shared" si="15"/>
        <v>173.43880982434507</v>
      </c>
      <c r="G54" s="13">
        <f t="shared" si="15"/>
        <v>300.45500000000112</v>
      </c>
      <c r="H54" s="15">
        <f t="shared" si="15"/>
        <v>12.4</v>
      </c>
      <c r="I54" s="13">
        <f t="shared" si="15"/>
        <v>3</v>
      </c>
      <c r="J54" s="16">
        <f t="shared" si="15"/>
        <v>19.152000000000001</v>
      </c>
      <c r="K54" s="15">
        <f t="shared" si="15"/>
        <v>78.566666666666663</v>
      </c>
      <c r="L54" s="14">
        <f t="shared" si="15"/>
        <v>63.916666666666671</v>
      </c>
      <c r="M54" s="13">
        <f t="shared" si="15"/>
        <v>33.036666666666669</v>
      </c>
      <c r="N54" s="87">
        <v>3</v>
      </c>
      <c r="O54" s="13">
        <v>64130.952037511772</v>
      </c>
      <c r="P54" s="58">
        <f t="shared" si="10"/>
        <v>56402262.287517339</v>
      </c>
    </row>
    <row r="55" spans="1:16" outlineLevel="1" x14ac:dyDescent="0.2">
      <c r="A55" s="20">
        <f t="shared" si="6"/>
        <v>10115</v>
      </c>
      <c r="B55" s="19" t="str">
        <f t="shared" si="6"/>
        <v>UTSA</v>
      </c>
      <c r="C55" s="58">
        <f t="shared" si="7"/>
        <v>5836.5855632358725</v>
      </c>
      <c r="D55" s="15">
        <f t="shared" ref="D55:M55" si="16">D97*D147</f>
        <v>1235.9000000000001</v>
      </c>
      <c r="E55" s="14">
        <f t="shared" si="16"/>
        <v>347.42522222222226</v>
      </c>
      <c r="F55" s="14">
        <f t="shared" si="16"/>
        <v>202.41034101368405</v>
      </c>
      <c r="G55" s="13">
        <f t="shared" si="16"/>
        <v>2524.2639999999669</v>
      </c>
      <c r="H55" s="15">
        <f t="shared" si="16"/>
        <v>117.6</v>
      </c>
      <c r="I55" s="13">
        <f t="shared" si="16"/>
        <v>14.899999999999999</v>
      </c>
      <c r="J55" s="16">
        <f t="shared" si="16"/>
        <v>149.93600000000001</v>
      </c>
      <c r="K55" s="15">
        <f t="shared" si="16"/>
        <v>476.67666666666673</v>
      </c>
      <c r="L55" s="14">
        <f t="shared" si="16"/>
        <v>401.28000000000003</v>
      </c>
      <c r="M55" s="13">
        <f t="shared" si="16"/>
        <v>366.19333333333333</v>
      </c>
      <c r="N55" s="87">
        <v>2</v>
      </c>
      <c r="O55" s="13">
        <v>69184.923785166247</v>
      </c>
      <c r="P55" s="58">
        <f t="shared" si="10"/>
        <v>403803727.35807544</v>
      </c>
    </row>
    <row r="56" spans="1:16" outlineLevel="1" x14ac:dyDescent="0.2">
      <c r="A56" s="20">
        <f t="shared" si="6"/>
        <v>11163</v>
      </c>
      <c r="B56" s="19" t="str">
        <f t="shared" si="6"/>
        <v>UTT</v>
      </c>
      <c r="C56" s="58">
        <f t="shared" si="7"/>
        <v>1864.8745538786425</v>
      </c>
      <c r="D56" s="15">
        <f t="shared" ref="D56:M56" si="17">D98*D148</f>
        <v>357</v>
      </c>
      <c r="E56" s="14">
        <f t="shared" si="17"/>
        <v>92.046500000000009</v>
      </c>
      <c r="F56" s="14">
        <f t="shared" si="17"/>
        <v>219.4180538786392</v>
      </c>
      <c r="G56" s="13">
        <f t="shared" si="17"/>
        <v>708.79800000000307</v>
      </c>
      <c r="H56" s="15">
        <f t="shared" si="17"/>
        <v>113</v>
      </c>
      <c r="I56" s="13">
        <f t="shared" si="17"/>
        <v>4.2</v>
      </c>
      <c r="J56" s="16">
        <f t="shared" si="17"/>
        <v>45.232000000000006</v>
      </c>
      <c r="K56" s="15">
        <f t="shared" si="17"/>
        <v>143.63333333333333</v>
      </c>
      <c r="L56" s="14">
        <f t="shared" si="17"/>
        <v>115.7</v>
      </c>
      <c r="M56" s="13">
        <f t="shared" si="17"/>
        <v>65.846666666666664</v>
      </c>
      <c r="N56" s="87">
        <v>3</v>
      </c>
      <c r="O56" s="13">
        <v>64130.952037511772</v>
      </c>
      <c r="P56" s="58">
        <f t="shared" si="10"/>
        <v>119596180.57076739</v>
      </c>
    </row>
    <row r="57" spans="1:16" outlineLevel="1" x14ac:dyDescent="0.2">
      <c r="A57" s="20">
        <f t="shared" si="6"/>
        <v>3632</v>
      </c>
      <c r="B57" s="19" t="str">
        <f t="shared" si="6"/>
        <v>TAMU</v>
      </c>
      <c r="C57" s="58">
        <f t="shared" si="7"/>
        <v>10889.754859913339</v>
      </c>
      <c r="D57" s="15">
        <f t="shared" ref="D57:M57" si="18">D99*D149</f>
        <v>1747.9333333333334</v>
      </c>
      <c r="E57" s="14">
        <f t="shared" si="18"/>
        <v>1836.7866111111107</v>
      </c>
      <c r="F57" s="14">
        <f t="shared" si="18"/>
        <v>315.5235821355335</v>
      </c>
      <c r="G57" s="13">
        <f t="shared" si="18"/>
        <v>4020.9633333333604</v>
      </c>
      <c r="H57" s="15">
        <f t="shared" si="18"/>
        <v>352.6</v>
      </c>
      <c r="I57" s="13">
        <f t="shared" si="18"/>
        <v>25.200000000000003</v>
      </c>
      <c r="J57" s="16">
        <f t="shared" si="18"/>
        <v>119.16800000000003</v>
      </c>
      <c r="K57" s="15">
        <f t="shared" si="18"/>
        <v>704.24666666666667</v>
      </c>
      <c r="L57" s="14">
        <f t="shared" si="18"/>
        <v>801.66</v>
      </c>
      <c r="M57" s="13">
        <f t="shared" si="18"/>
        <v>965.67333333333352</v>
      </c>
      <c r="N57" s="87">
        <v>1</v>
      </c>
      <c r="O57" s="13">
        <v>90197.027768754284</v>
      </c>
      <c r="P57" s="58">
        <f t="shared" si="10"/>
        <v>982223521.49453032</v>
      </c>
    </row>
    <row r="58" spans="1:16" outlineLevel="1" x14ac:dyDescent="0.2">
      <c r="A58" s="20">
        <f t="shared" si="6"/>
        <v>10298</v>
      </c>
      <c r="B58" s="19" t="str">
        <f t="shared" si="6"/>
        <v>TAMUG</v>
      </c>
      <c r="C58" s="58">
        <f t="shared" si="7"/>
        <v>1358.7501567979657</v>
      </c>
      <c r="D58" s="15">
        <f t="shared" ref="D58:M58" si="19">D100*D150</f>
        <v>185.85</v>
      </c>
      <c r="E58" s="14">
        <f t="shared" si="19"/>
        <v>58.294949999999993</v>
      </c>
      <c r="F58" s="14">
        <f t="shared" si="19"/>
        <v>276.73820679796694</v>
      </c>
      <c r="G58" s="13">
        <f t="shared" si="19"/>
        <v>475.21799999999848</v>
      </c>
      <c r="H58" s="15">
        <f t="shared" si="19"/>
        <v>25.199999999999996</v>
      </c>
      <c r="I58" s="13">
        <f t="shared" si="19"/>
        <v>0</v>
      </c>
      <c r="J58" s="16">
        <f t="shared" si="19"/>
        <v>17.064</v>
      </c>
      <c r="K58" s="15">
        <f t="shared" si="19"/>
        <v>133.27500000000001</v>
      </c>
      <c r="L58" s="14">
        <f t="shared" si="19"/>
        <v>93.015000000000001</v>
      </c>
      <c r="M58" s="13">
        <f t="shared" si="19"/>
        <v>94.094999999999999</v>
      </c>
      <c r="N58" s="87">
        <v>6</v>
      </c>
      <c r="O58" s="13">
        <v>62223.550136993705</v>
      </c>
      <c r="P58" s="58">
        <f t="shared" si="10"/>
        <v>84546258.505166277</v>
      </c>
    </row>
    <row r="59" spans="1:16" outlineLevel="1" x14ac:dyDescent="0.2">
      <c r="A59" s="20">
        <f t="shared" si="6"/>
        <v>3630</v>
      </c>
      <c r="B59" s="19" t="str">
        <f t="shared" si="6"/>
        <v>Prairie View</v>
      </c>
      <c r="C59" s="58">
        <f t="shared" si="7"/>
        <v>1684.0129101897294</v>
      </c>
      <c r="D59" s="15">
        <f t="shared" ref="D59:M59" si="20">D101*D151</f>
        <v>280.89999999999998</v>
      </c>
      <c r="E59" s="14">
        <f t="shared" si="20"/>
        <v>52.200583333333327</v>
      </c>
      <c r="F59" s="14">
        <f t="shared" si="20"/>
        <v>118.67766018972654</v>
      </c>
      <c r="G59" s="13">
        <f t="shared" si="20"/>
        <v>621.87000000000273</v>
      </c>
      <c r="H59" s="15">
        <f t="shared" si="20"/>
        <v>94.7</v>
      </c>
      <c r="I59" s="13">
        <f t="shared" si="20"/>
        <v>2.9</v>
      </c>
      <c r="J59" s="16">
        <f t="shared" si="20"/>
        <v>38.527999999999999</v>
      </c>
      <c r="K59" s="15">
        <f t="shared" si="20"/>
        <v>166.8</v>
      </c>
      <c r="L59" s="14">
        <f t="shared" si="20"/>
        <v>153.53</v>
      </c>
      <c r="M59" s="13">
        <f t="shared" si="20"/>
        <v>153.90666666666669</v>
      </c>
      <c r="N59" s="87">
        <v>3</v>
      </c>
      <c r="O59" s="13">
        <v>64130.952037511772</v>
      </c>
      <c r="P59" s="58">
        <f t="shared" si="10"/>
        <v>107997351.17392816</v>
      </c>
    </row>
    <row r="60" spans="1:16" outlineLevel="1" x14ac:dyDescent="0.2">
      <c r="A60" s="20">
        <f t="shared" si="6"/>
        <v>3631</v>
      </c>
      <c r="B60" s="19" t="str">
        <f t="shared" si="6"/>
        <v>Tarleton</v>
      </c>
      <c r="C60" s="58">
        <f t="shared" si="7"/>
        <v>2362.7349914757838</v>
      </c>
      <c r="D60" s="15">
        <f t="shared" ref="D60:M60" si="21">D102*D152</f>
        <v>463.59999999999997</v>
      </c>
      <c r="E60" s="14">
        <f t="shared" si="21"/>
        <v>110.80040000000001</v>
      </c>
      <c r="F60" s="14">
        <f t="shared" si="21"/>
        <v>184.19825814244246</v>
      </c>
      <c r="G60" s="13">
        <f t="shared" si="21"/>
        <v>936.76300000000788</v>
      </c>
      <c r="H60" s="15">
        <f t="shared" si="21"/>
        <v>60.9</v>
      </c>
      <c r="I60" s="13">
        <f t="shared" si="21"/>
        <v>14.299999999999999</v>
      </c>
      <c r="J60" s="16">
        <f t="shared" si="21"/>
        <v>57.36</v>
      </c>
      <c r="K60" s="15">
        <f t="shared" si="21"/>
        <v>215.43333333333337</v>
      </c>
      <c r="L60" s="14">
        <f t="shared" si="21"/>
        <v>172.72666666666669</v>
      </c>
      <c r="M60" s="13">
        <f t="shared" si="21"/>
        <v>146.65333333333334</v>
      </c>
      <c r="N60" s="87">
        <v>3</v>
      </c>
      <c r="O60" s="13">
        <v>64130.952037511772</v>
      </c>
      <c r="P60" s="58">
        <f t="shared" si="10"/>
        <v>151524444.41568428</v>
      </c>
    </row>
    <row r="61" spans="1:16" outlineLevel="1" x14ac:dyDescent="0.2">
      <c r="A61" s="27">
        <f t="shared" si="6"/>
        <v>103631</v>
      </c>
      <c r="B61" s="19" t="str">
        <f t="shared" si="6"/>
        <v>TAMUCT</v>
      </c>
      <c r="C61" s="58">
        <f t="shared" si="7"/>
        <v>1034.5657714150541</v>
      </c>
      <c r="D61" s="15">
        <f t="shared" ref="D61:M61" si="22">D103*D153</f>
        <v>138.1</v>
      </c>
      <c r="E61" s="14">
        <f t="shared" si="22"/>
        <v>33.005899999999997</v>
      </c>
      <c r="F61" s="14">
        <f t="shared" si="22"/>
        <v>506.90887141505431</v>
      </c>
      <c r="G61" s="13">
        <f t="shared" si="22"/>
        <v>256.08499999999975</v>
      </c>
      <c r="H61" s="15">
        <f t="shared" si="22"/>
        <v>12.2</v>
      </c>
      <c r="I61" s="13">
        <f t="shared" si="22"/>
        <v>0</v>
      </c>
      <c r="J61" s="16">
        <f t="shared" si="22"/>
        <v>15.696000000000002</v>
      </c>
      <c r="K61" s="15">
        <f t="shared" si="22"/>
        <v>49.5</v>
      </c>
      <c r="L61" s="14">
        <f t="shared" si="22"/>
        <v>17.29</v>
      </c>
      <c r="M61" s="13">
        <f t="shared" si="22"/>
        <v>5.78</v>
      </c>
      <c r="N61" s="87">
        <v>4</v>
      </c>
      <c r="O61" s="13">
        <v>72600.916032124354</v>
      </c>
      <c r="P61" s="58">
        <f t="shared" si="10"/>
        <v>75110422.700214297</v>
      </c>
    </row>
    <row r="62" spans="1:16" outlineLevel="1" x14ac:dyDescent="0.2">
      <c r="A62" s="20">
        <f t="shared" si="6"/>
        <v>11161</v>
      </c>
      <c r="B62" s="19" t="str">
        <f t="shared" si="6"/>
        <v>TAMUCC</v>
      </c>
      <c r="C62" s="58">
        <f t="shared" si="7"/>
        <v>2208.871522137827</v>
      </c>
      <c r="D62" s="15">
        <f t="shared" ref="D62:M62" si="23">D104*D154</f>
        <v>416.49999999999994</v>
      </c>
      <c r="E62" s="14">
        <f t="shared" si="23"/>
        <v>105.791</v>
      </c>
      <c r="F62" s="14">
        <f t="shared" si="23"/>
        <v>160.32385547115581</v>
      </c>
      <c r="G62" s="13">
        <f t="shared" si="23"/>
        <v>841.2600000000042</v>
      </c>
      <c r="H62" s="15">
        <f t="shared" si="23"/>
        <v>79.899999999999991</v>
      </c>
      <c r="I62" s="13">
        <f t="shared" si="23"/>
        <v>7.7</v>
      </c>
      <c r="J62" s="16">
        <f t="shared" si="23"/>
        <v>51.839999999999996</v>
      </c>
      <c r="K62" s="15">
        <f t="shared" si="23"/>
        <v>205.4</v>
      </c>
      <c r="L62" s="14">
        <f t="shared" si="23"/>
        <v>190.84</v>
      </c>
      <c r="M62" s="13">
        <f t="shared" si="23"/>
        <v>149.31666666666669</v>
      </c>
      <c r="N62" s="87">
        <v>3</v>
      </c>
      <c r="O62" s="13">
        <v>64130.952037511772</v>
      </c>
      <c r="P62" s="58">
        <f t="shared" si="10"/>
        <v>141657033.64324662</v>
      </c>
    </row>
    <row r="63" spans="1:16" outlineLevel="1" x14ac:dyDescent="0.2">
      <c r="A63" s="20">
        <f t="shared" si="6"/>
        <v>3639</v>
      </c>
      <c r="B63" s="19" t="str">
        <f t="shared" si="6"/>
        <v>TAMUK</v>
      </c>
      <c r="C63" s="58">
        <f t="shared" si="7"/>
        <v>1381.182160798124</v>
      </c>
      <c r="D63" s="15">
        <f t="shared" ref="D63:M63" si="24">D105*D155</f>
        <v>228.49999999999997</v>
      </c>
      <c r="E63" s="14">
        <f t="shared" si="24"/>
        <v>45.96658333333334</v>
      </c>
      <c r="F63" s="14">
        <f t="shared" si="24"/>
        <v>134.09624413145539</v>
      </c>
      <c r="G63" s="13">
        <f t="shared" si="24"/>
        <v>529.03600000000188</v>
      </c>
      <c r="H63" s="15">
        <f t="shared" si="24"/>
        <v>78</v>
      </c>
      <c r="I63" s="13">
        <f t="shared" si="24"/>
        <v>5</v>
      </c>
      <c r="J63" s="16">
        <f t="shared" si="24"/>
        <v>31.120000000000005</v>
      </c>
      <c r="K63" s="15">
        <f t="shared" si="24"/>
        <v>122.73333333333333</v>
      </c>
      <c r="L63" s="14">
        <f t="shared" si="24"/>
        <v>111.75666666666666</v>
      </c>
      <c r="M63" s="13">
        <f t="shared" si="24"/>
        <v>94.973333333333329</v>
      </c>
      <c r="N63" s="87">
        <v>3</v>
      </c>
      <c r="O63" s="13">
        <v>64130.952037511772</v>
      </c>
      <c r="P63" s="58">
        <f t="shared" si="10"/>
        <v>88576526.909211352</v>
      </c>
    </row>
    <row r="64" spans="1:16" outlineLevel="1" x14ac:dyDescent="0.2">
      <c r="A64" s="27">
        <f t="shared" si="6"/>
        <v>103639</v>
      </c>
      <c r="B64" s="19" t="str">
        <f t="shared" si="6"/>
        <v>TAMUSA</v>
      </c>
      <c r="C64" s="58">
        <f t="shared" si="7"/>
        <v>940.6677853069499</v>
      </c>
      <c r="D64" s="15">
        <f t="shared" ref="D64:M64" si="25">D106*D156</f>
        <v>176.29999999999998</v>
      </c>
      <c r="E64" s="14">
        <f t="shared" si="25"/>
        <v>35.465683333333331</v>
      </c>
      <c r="F64" s="14">
        <f t="shared" si="25"/>
        <v>311.98876864028188</v>
      </c>
      <c r="G64" s="13">
        <f t="shared" si="25"/>
        <v>307.80400000000134</v>
      </c>
      <c r="H64" s="15">
        <f t="shared" si="25"/>
        <v>1.5</v>
      </c>
      <c r="I64" s="13">
        <f t="shared" si="25"/>
        <v>0.6</v>
      </c>
      <c r="J64" s="16">
        <f t="shared" si="25"/>
        <v>23.535999999999998</v>
      </c>
      <c r="K64" s="15">
        <f t="shared" si="25"/>
        <v>72.966666666666669</v>
      </c>
      <c r="L64" s="14">
        <f t="shared" si="25"/>
        <v>10.053333333333333</v>
      </c>
      <c r="M64" s="13">
        <f t="shared" si="25"/>
        <v>0.45333333333333337</v>
      </c>
      <c r="N64" s="87">
        <v>5</v>
      </c>
      <c r="O64" s="13">
        <v>64633.042238187707</v>
      </c>
      <c r="P64" s="58">
        <f t="shared" si="10"/>
        <v>60798220.699846581</v>
      </c>
    </row>
    <row r="65" spans="1:16" outlineLevel="1" x14ac:dyDescent="0.2">
      <c r="A65" s="20">
        <f t="shared" si="6"/>
        <v>9651</v>
      </c>
      <c r="B65" s="19" t="str">
        <f t="shared" si="6"/>
        <v>TAMI</v>
      </c>
      <c r="C65" s="58">
        <f t="shared" si="7"/>
        <v>1304.2961576113573</v>
      </c>
      <c r="D65" s="15">
        <f t="shared" ref="D65:M65" si="26">D107*D157</f>
        <v>236.89999999999998</v>
      </c>
      <c r="E65" s="14">
        <f t="shared" si="26"/>
        <v>56.066333333333326</v>
      </c>
      <c r="F65" s="14">
        <f t="shared" si="26"/>
        <v>144.94615761135586</v>
      </c>
      <c r="G65" s="13">
        <f t="shared" si="26"/>
        <v>437.54900000000151</v>
      </c>
      <c r="H65" s="15">
        <f t="shared" si="26"/>
        <v>34.700000000000003</v>
      </c>
      <c r="I65" s="13">
        <f t="shared" si="26"/>
        <v>6.6999999999999993</v>
      </c>
      <c r="J65" s="16">
        <f t="shared" si="26"/>
        <v>34.207999999999998</v>
      </c>
      <c r="K65" s="15">
        <f t="shared" si="26"/>
        <v>140.66666666666669</v>
      </c>
      <c r="L65" s="14">
        <f t="shared" si="26"/>
        <v>132.03666666666666</v>
      </c>
      <c r="M65" s="13">
        <f t="shared" si="26"/>
        <v>80.523333333333341</v>
      </c>
      <c r="N65" s="87">
        <v>3</v>
      </c>
      <c r="O65" s="13">
        <v>64130.952037511772</v>
      </c>
      <c r="P65" s="58">
        <f t="shared" si="10"/>
        <v>83645754.326484844</v>
      </c>
    </row>
    <row r="66" spans="1:16" outlineLevel="1" x14ac:dyDescent="0.2">
      <c r="A66" s="20">
        <f t="shared" si="6"/>
        <v>3665</v>
      </c>
      <c r="B66" s="19" t="str">
        <f t="shared" si="6"/>
        <v>WTAMU</v>
      </c>
      <c r="C66" s="58">
        <f t="shared" si="7"/>
        <v>1957.9589805719186</v>
      </c>
      <c r="D66" s="15">
        <f t="shared" ref="D66:M66" si="27">D108*D158</f>
        <v>376.7</v>
      </c>
      <c r="E66" s="14">
        <f t="shared" si="27"/>
        <v>88.65006666666666</v>
      </c>
      <c r="F66" s="14">
        <f t="shared" si="27"/>
        <v>173.90791390524652</v>
      </c>
      <c r="G66" s="13">
        <f t="shared" si="27"/>
        <v>751.07300000000509</v>
      </c>
      <c r="H66" s="15">
        <f t="shared" si="27"/>
        <v>57.499999999999993</v>
      </c>
      <c r="I66" s="13">
        <f t="shared" si="27"/>
        <v>18.2</v>
      </c>
      <c r="J66" s="16">
        <f t="shared" si="27"/>
        <v>42.688000000000002</v>
      </c>
      <c r="K66" s="15">
        <f t="shared" si="27"/>
        <v>179.16666666666669</v>
      </c>
      <c r="L66" s="14">
        <f t="shared" si="27"/>
        <v>157.64666666666668</v>
      </c>
      <c r="M66" s="13">
        <f t="shared" si="27"/>
        <v>112.42666666666668</v>
      </c>
      <c r="N66" s="87">
        <v>3</v>
      </c>
      <c r="O66" s="13">
        <v>64130.952037511772</v>
      </c>
      <c r="P66" s="58">
        <f t="shared" si="10"/>
        <v>125565773.47447315</v>
      </c>
    </row>
    <row r="67" spans="1:16" outlineLevel="1" x14ac:dyDescent="0.2">
      <c r="A67" s="20">
        <f t="shared" si="6"/>
        <v>3565</v>
      </c>
      <c r="B67" s="19" t="str">
        <f t="shared" si="6"/>
        <v>TAMUC</v>
      </c>
      <c r="C67" s="58">
        <f t="shared" si="7"/>
        <v>1953.8977652201963</v>
      </c>
      <c r="D67" s="15">
        <f t="shared" ref="D67:M67" si="28">D109*D159</f>
        <v>397.29999999999995</v>
      </c>
      <c r="E67" s="14">
        <f t="shared" si="28"/>
        <v>87.405999999999992</v>
      </c>
      <c r="F67" s="14">
        <f t="shared" si="28"/>
        <v>211.46576522018887</v>
      </c>
      <c r="G67" s="13">
        <f t="shared" si="28"/>
        <v>750.54800000000739</v>
      </c>
      <c r="H67" s="15">
        <f t="shared" si="28"/>
        <v>21.9</v>
      </c>
      <c r="I67" s="13">
        <f t="shared" si="28"/>
        <v>22.299999999999997</v>
      </c>
      <c r="J67" s="16">
        <f t="shared" si="28"/>
        <v>48.927999999999997</v>
      </c>
      <c r="K67" s="15">
        <f t="shared" si="28"/>
        <v>189.3</v>
      </c>
      <c r="L67" s="14">
        <f t="shared" si="28"/>
        <v>147.85333333333332</v>
      </c>
      <c r="M67" s="13">
        <f t="shared" si="28"/>
        <v>76.896666666666675</v>
      </c>
      <c r="N67" s="87">
        <v>3</v>
      </c>
      <c r="O67" s="13">
        <v>64130.952037511772</v>
      </c>
      <c r="P67" s="58">
        <f t="shared" si="10"/>
        <v>125305323.86753784</v>
      </c>
    </row>
    <row r="68" spans="1:16" outlineLevel="1" x14ac:dyDescent="0.2">
      <c r="A68" s="20">
        <f t="shared" ref="A68:B85" si="29">A25</f>
        <v>29269</v>
      </c>
      <c r="B68" s="19" t="str">
        <f t="shared" si="29"/>
        <v>TAMUT</v>
      </c>
      <c r="C68" s="58">
        <f t="shared" si="7"/>
        <v>705.20670293342687</v>
      </c>
      <c r="D68" s="15">
        <f t="shared" ref="D68:M68" si="30">D110*D160</f>
        <v>103.7</v>
      </c>
      <c r="E68" s="14">
        <f t="shared" si="30"/>
        <v>28.104039382025626</v>
      </c>
      <c r="F68" s="14">
        <f t="shared" si="30"/>
        <v>290.74766355140184</v>
      </c>
      <c r="G68" s="13">
        <f t="shared" si="30"/>
        <v>185.97299999999947</v>
      </c>
      <c r="H68" s="15">
        <f t="shared" si="30"/>
        <v>12.499999999999998</v>
      </c>
      <c r="I68" s="13">
        <f t="shared" si="30"/>
        <v>5.8</v>
      </c>
      <c r="J68" s="16">
        <f t="shared" si="30"/>
        <v>11.472000000000001</v>
      </c>
      <c r="K68" s="15">
        <f t="shared" si="30"/>
        <v>43.266666666666673</v>
      </c>
      <c r="L68" s="14">
        <f t="shared" si="30"/>
        <v>23.53</v>
      </c>
      <c r="M68" s="13">
        <f t="shared" si="30"/>
        <v>0.11333333333333334</v>
      </c>
      <c r="N68" s="87">
        <v>4</v>
      </c>
      <c r="O68" s="13">
        <v>72600.916032124354</v>
      </c>
      <c r="P68" s="58">
        <f t="shared" si="10"/>
        <v>51198652.624960989</v>
      </c>
    </row>
    <row r="69" spans="1:16" outlineLevel="1" x14ac:dyDescent="0.2">
      <c r="A69" s="20">
        <f t="shared" si="29"/>
        <v>3652</v>
      </c>
      <c r="B69" s="19" t="str">
        <f t="shared" si="29"/>
        <v>UH</v>
      </c>
      <c r="C69" s="58">
        <f t="shared" si="7"/>
        <v>7373.9654745578273</v>
      </c>
      <c r="D69" s="15">
        <f t="shared" ref="D69:M69" si="31">D111*D161</f>
        <v>1529.6000000000001</v>
      </c>
      <c r="E69" s="14">
        <f t="shared" si="31"/>
        <v>546.91697777777779</v>
      </c>
      <c r="F69" s="14">
        <f t="shared" si="31"/>
        <v>214.25049678026627</v>
      </c>
      <c r="G69" s="13">
        <f t="shared" si="31"/>
        <v>3174.0739999997832</v>
      </c>
      <c r="H69" s="15">
        <f t="shared" si="31"/>
        <v>221.1</v>
      </c>
      <c r="I69" s="13">
        <f t="shared" si="31"/>
        <v>18.799999999999997</v>
      </c>
      <c r="J69" s="16">
        <f t="shared" si="31"/>
        <v>161.904</v>
      </c>
      <c r="K69" s="15">
        <f t="shared" si="31"/>
        <v>532.16333333333341</v>
      </c>
      <c r="L69" s="14">
        <f t="shared" si="31"/>
        <v>512.13</v>
      </c>
      <c r="M69" s="13">
        <f t="shared" si="31"/>
        <v>463.02666666666676</v>
      </c>
      <c r="N69" s="87">
        <v>1</v>
      </c>
      <c r="O69" s="13">
        <v>90197.027768754284</v>
      </c>
      <c r="P69" s="58">
        <f t="shared" si="10"/>
        <v>665109768.67452776</v>
      </c>
    </row>
    <row r="70" spans="1:16" outlineLevel="1" x14ac:dyDescent="0.2">
      <c r="A70" s="20">
        <f t="shared" si="29"/>
        <v>11711</v>
      </c>
      <c r="B70" s="19" t="str">
        <f t="shared" si="29"/>
        <v>UHCL</v>
      </c>
      <c r="C70" s="58">
        <f t="shared" si="7"/>
        <v>1777.1573517645782</v>
      </c>
      <c r="D70" s="15">
        <f t="shared" ref="D70:M70" si="32">D112*D162</f>
        <v>357.2</v>
      </c>
      <c r="E70" s="14">
        <f t="shared" si="32"/>
        <v>92.901401903848253</v>
      </c>
      <c r="F70" s="14">
        <f t="shared" si="32"/>
        <v>297.70194986072426</v>
      </c>
      <c r="G70" s="13">
        <f t="shared" si="32"/>
        <v>684.88600000000588</v>
      </c>
      <c r="H70" s="15">
        <f t="shared" si="32"/>
        <v>32</v>
      </c>
      <c r="I70" s="13">
        <f t="shared" si="32"/>
        <v>2.5</v>
      </c>
      <c r="J70" s="16">
        <f t="shared" si="32"/>
        <v>37.167999999999999</v>
      </c>
      <c r="K70" s="15">
        <f t="shared" si="32"/>
        <v>139.13333333333333</v>
      </c>
      <c r="L70" s="14">
        <f t="shared" si="32"/>
        <v>123.97666666666666</v>
      </c>
      <c r="M70" s="13">
        <f t="shared" si="32"/>
        <v>9.6900000000000013</v>
      </c>
      <c r="N70" s="87">
        <v>3</v>
      </c>
      <c r="O70" s="13">
        <v>64130.952037511772</v>
      </c>
      <c r="P70" s="58">
        <f t="shared" si="10"/>
        <v>113970792.8891256</v>
      </c>
    </row>
    <row r="71" spans="1:16" outlineLevel="1" x14ac:dyDescent="0.2">
      <c r="A71" s="20">
        <f t="shared" si="29"/>
        <v>12826</v>
      </c>
      <c r="B71" s="19" t="str">
        <f t="shared" si="29"/>
        <v>UHD</v>
      </c>
      <c r="C71" s="58">
        <f t="shared" si="7"/>
        <v>3064.0372389731624</v>
      </c>
      <c r="D71" s="15">
        <f t="shared" ref="D71:M71" si="33">D113*D163</f>
        <v>714.7</v>
      </c>
      <c r="E71" s="14">
        <f t="shared" si="33"/>
        <v>67.896500000000017</v>
      </c>
      <c r="F71" s="14">
        <f t="shared" si="33"/>
        <v>223.747738973146</v>
      </c>
      <c r="G71" s="13">
        <f t="shared" si="33"/>
        <v>1281.3950000000164</v>
      </c>
      <c r="H71" s="15">
        <f t="shared" si="33"/>
        <v>38.9</v>
      </c>
      <c r="I71" s="13">
        <f t="shared" si="33"/>
        <v>0.5</v>
      </c>
      <c r="J71" s="16">
        <f t="shared" si="33"/>
        <v>80.688000000000002</v>
      </c>
      <c r="K71" s="15">
        <f t="shared" si="33"/>
        <v>310.53333333333336</v>
      </c>
      <c r="L71" s="14">
        <f t="shared" si="33"/>
        <v>242.88333333333333</v>
      </c>
      <c r="M71" s="13">
        <f t="shared" si="33"/>
        <v>102.79333333333334</v>
      </c>
      <c r="N71" s="87">
        <v>5</v>
      </c>
      <c r="O71" s="13">
        <v>64633.042238187707</v>
      </c>
      <c r="P71" s="58">
        <f t="shared" si="10"/>
        <v>198038048.28593245</v>
      </c>
    </row>
    <row r="72" spans="1:16" outlineLevel="1" x14ac:dyDescent="0.2">
      <c r="A72" s="20">
        <f t="shared" si="29"/>
        <v>13231</v>
      </c>
      <c r="B72" s="19" t="str">
        <f t="shared" si="29"/>
        <v>UHV</v>
      </c>
      <c r="C72" s="58">
        <f t="shared" si="7"/>
        <v>1008.2968527859374</v>
      </c>
      <c r="D72" s="15">
        <f t="shared" ref="D72:M72" si="34">D114*D164</f>
        <v>172.99999999999997</v>
      </c>
      <c r="E72" s="14">
        <f t="shared" si="34"/>
        <v>45.029319425829101</v>
      </c>
      <c r="F72" s="14">
        <f t="shared" si="34"/>
        <v>300.63486669344121</v>
      </c>
      <c r="G72" s="13">
        <f t="shared" si="34"/>
        <v>325.34400000000034</v>
      </c>
      <c r="H72" s="15">
        <f t="shared" si="34"/>
        <v>32.4</v>
      </c>
      <c r="I72" s="13">
        <f t="shared" si="34"/>
        <v>2.1999999999999997</v>
      </c>
      <c r="J72" s="16">
        <f t="shared" si="34"/>
        <v>18.432000000000002</v>
      </c>
      <c r="K72" s="15">
        <f t="shared" si="34"/>
        <v>71.600000000000009</v>
      </c>
      <c r="L72" s="14">
        <f t="shared" si="34"/>
        <v>38.523333333333333</v>
      </c>
      <c r="M72" s="13">
        <f t="shared" si="34"/>
        <v>1.1333333333333335</v>
      </c>
      <c r="N72" s="87">
        <v>4</v>
      </c>
      <c r="O72" s="13">
        <v>72600.916032124354</v>
      </c>
      <c r="P72" s="58">
        <f t="shared" si="10"/>
        <v>73203275.144567087</v>
      </c>
    </row>
    <row r="73" spans="1:16" outlineLevel="1" x14ac:dyDescent="0.2">
      <c r="A73" s="20">
        <f t="shared" si="29"/>
        <v>3592</v>
      </c>
      <c r="B73" s="19" t="str">
        <f t="shared" si="29"/>
        <v>Midwestern</v>
      </c>
      <c r="C73" s="58">
        <f t="shared" si="7"/>
        <v>1679.9650827769271</v>
      </c>
      <c r="D73" s="15">
        <f t="shared" ref="D73:M73" si="35">D115*D165</f>
        <v>309.5</v>
      </c>
      <c r="E73" s="14">
        <f t="shared" si="35"/>
        <v>67.986833333333323</v>
      </c>
      <c r="F73" s="14">
        <f t="shared" si="35"/>
        <v>180.91891611025949</v>
      </c>
      <c r="G73" s="13">
        <f t="shared" si="35"/>
        <v>588.60000000000105</v>
      </c>
      <c r="H73" s="15">
        <f t="shared" si="35"/>
        <v>99.999999999999986</v>
      </c>
      <c r="I73" s="13">
        <f t="shared" si="35"/>
        <v>4.5</v>
      </c>
      <c r="J73" s="16">
        <f t="shared" si="35"/>
        <v>33.136000000000003</v>
      </c>
      <c r="K73" s="15">
        <f t="shared" si="35"/>
        <v>143.80000000000001</v>
      </c>
      <c r="L73" s="14">
        <f t="shared" si="35"/>
        <v>135.98000000000002</v>
      </c>
      <c r="M73" s="13">
        <f t="shared" si="35"/>
        <v>115.54333333333334</v>
      </c>
      <c r="N73" s="87">
        <v>3</v>
      </c>
      <c r="O73" s="13">
        <v>64130.952037511772</v>
      </c>
      <c r="P73" s="58">
        <f t="shared" si="10"/>
        <v>107737760.14826161</v>
      </c>
    </row>
    <row r="74" spans="1:16" outlineLevel="1" x14ac:dyDescent="0.2">
      <c r="A74" s="20">
        <f t="shared" si="29"/>
        <v>3594</v>
      </c>
      <c r="B74" s="19" t="str">
        <f t="shared" si="29"/>
        <v>UNT</v>
      </c>
      <c r="C74" s="58">
        <f t="shared" si="7"/>
        <v>8003.7332234383775</v>
      </c>
      <c r="D74" s="15">
        <f t="shared" ref="D74:M74" si="36">D116*D166</f>
        <v>1805</v>
      </c>
      <c r="E74" s="14">
        <f t="shared" si="36"/>
        <v>693.52111111111117</v>
      </c>
      <c r="F74" s="14">
        <f t="shared" si="36"/>
        <v>258.86944566084128</v>
      </c>
      <c r="G74" s="13">
        <f t="shared" si="36"/>
        <v>3423.4659999997589</v>
      </c>
      <c r="H74" s="15">
        <f t="shared" si="36"/>
        <v>101</v>
      </c>
      <c r="I74" s="13">
        <f t="shared" si="36"/>
        <v>13</v>
      </c>
      <c r="J74" s="16">
        <f t="shared" si="36"/>
        <v>183.35999999999999</v>
      </c>
      <c r="K74" s="15">
        <f t="shared" si="36"/>
        <v>550.52666666666676</v>
      </c>
      <c r="L74" s="14">
        <f t="shared" si="36"/>
        <v>507.80999999999995</v>
      </c>
      <c r="M74" s="13">
        <f t="shared" si="36"/>
        <v>467.18000000000006</v>
      </c>
      <c r="N74" s="87">
        <v>1</v>
      </c>
      <c r="O74" s="13">
        <v>90197.027768754284</v>
      </c>
      <c r="P74" s="58">
        <f t="shared" si="10"/>
        <v>721912947.80817258</v>
      </c>
    </row>
    <row r="75" spans="1:16" outlineLevel="1" x14ac:dyDescent="0.2">
      <c r="A75" s="27">
        <f t="shared" si="29"/>
        <v>113594</v>
      </c>
      <c r="B75" s="19" t="str">
        <f t="shared" si="29"/>
        <v>UNTD</v>
      </c>
      <c r="C75" s="58">
        <f t="shared" si="7"/>
        <v>764.98868299041612</v>
      </c>
      <c r="D75" s="15">
        <f t="shared" ref="D75:M75" si="37">D117*D167</f>
        <v>121.05</v>
      </c>
      <c r="E75" s="14">
        <f t="shared" si="37"/>
        <v>34.953187499999999</v>
      </c>
      <c r="F75" s="14">
        <f t="shared" si="37"/>
        <v>319.85449549041709</v>
      </c>
      <c r="G75" s="13">
        <f t="shared" si="37"/>
        <v>211.75799999999916</v>
      </c>
      <c r="H75" s="15">
        <f t="shared" si="37"/>
        <v>3.5999999999999996</v>
      </c>
      <c r="I75" s="13">
        <f t="shared" si="37"/>
        <v>0</v>
      </c>
      <c r="J75" s="16">
        <f t="shared" si="37"/>
        <v>14.808</v>
      </c>
      <c r="K75" s="15">
        <f t="shared" si="37"/>
        <v>47.800000000000004</v>
      </c>
      <c r="L75" s="14">
        <f t="shared" si="37"/>
        <v>9.2949999999999999</v>
      </c>
      <c r="M75" s="13">
        <f t="shared" si="37"/>
        <v>1.87</v>
      </c>
      <c r="N75" s="87" t="s">
        <v>78</v>
      </c>
      <c r="O75" s="13">
        <v>62223.550136993705</v>
      </c>
      <c r="P75" s="58">
        <f t="shared" si="10"/>
        <v>47600311.670286939</v>
      </c>
    </row>
    <row r="76" spans="1:16" outlineLevel="1" x14ac:dyDescent="0.2">
      <c r="A76" s="20">
        <f t="shared" si="29"/>
        <v>3624</v>
      </c>
      <c r="B76" s="19" t="str">
        <f t="shared" si="29"/>
        <v>SFA</v>
      </c>
      <c r="C76" s="58">
        <f t="shared" si="7"/>
        <v>2946.7690823256303</v>
      </c>
      <c r="D76" s="15">
        <f t="shared" ref="D76:M76" si="38">D118*D168</f>
        <v>576.5</v>
      </c>
      <c r="E76" s="14">
        <f t="shared" si="38"/>
        <v>159.69049999999999</v>
      </c>
      <c r="F76" s="14">
        <f t="shared" si="38"/>
        <v>151.93158232562936</v>
      </c>
      <c r="G76" s="13">
        <f t="shared" si="38"/>
        <v>1116.5210000000006</v>
      </c>
      <c r="H76" s="15">
        <f t="shared" si="38"/>
        <v>74.399999999999991</v>
      </c>
      <c r="I76" s="13">
        <f t="shared" si="38"/>
        <v>13.399999999999999</v>
      </c>
      <c r="J76" s="16">
        <f t="shared" si="38"/>
        <v>70.095999999999989</v>
      </c>
      <c r="K76" s="15">
        <f t="shared" si="38"/>
        <v>276.93333333333334</v>
      </c>
      <c r="L76" s="14">
        <f t="shared" si="38"/>
        <v>269.75</v>
      </c>
      <c r="M76" s="13">
        <f t="shared" si="38"/>
        <v>237.54666666666668</v>
      </c>
      <c r="N76" s="87">
        <v>3</v>
      </c>
      <c r="O76" s="13">
        <v>64130.952037511772</v>
      </c>
      <c r="P76" s="58">
        <f t="shared" si="10"/>
        <v>188979106.68424758</v>
      </c>
    </row>
    <row r="77" spans="1:16" outlineLevel="1" x14ac:dyDescent="0.2">
      <c r="A77" s="20">
        <f t="shared" si="29"/>
        <v>3642</v>
      </c>
      <c r="B77" s="19" t="str">
        <f t="shared" si="29"/>
        <v>TSU</v>
      </c>
      <c r="C77" s="58">
        <f t="shared" si="7"/>
        <v>1315.9213575816959</v>
      </c>
      <c r="D77" s="15">
        <f t="shared" ref="D77:M77" si="39">D119*D169</f>
        <v>227.5</v>
      </c>
      <c r="E77" s="14">
        <f t="shared" si="39"/>
        <v>16.342083333333331</v>
      </c>
      <c r="F77" s="14">
        <f t="shared" si="39"/>
        <v>97.002607581695372</v>
      </c>
      <c r="G77" s="13">
        <f t="shared" si="39"/>
        <v>446.59600000000057</v>
      </c>
      <c r="H77" s="15">
        <f t="shared" si="39"/>
        <v>40.300000000000004</v>
      </c>
      <c r="I77" s="13">
        <f t="shared" si="39"/>
        <v>0.89999999999999991</v>
      </c>
      <c r="J77" s="16">
        <f t="shared" si="39"/>
        <v>31.984000000000002</v>
      </c>
      <c r="K77" s="15">
        <f t="shared" si="39"/>
        <v>163.73333333333335</v>
      </c>
      <c r="L77" s="14">
        <f t="shared" si="39"/>
        <v>147.29</v>
      </c>
      <c r="M77" s="13">
        <f t="shared" si="39"/>
        <v>144.27333333333334</v>
      </c>
      <c r="N77" s="87">
        <v>3</v>
      </c>
      <c r="O77" s="13">
        <v>64130.952037511772</v>
      </c>
      <c r="P77" s="58">
        <f t="shared" si="10"/>
        <v>84391289.468209118</v>
      </c>
    </row>
    <row r="78" spans="1:16" outlineLevel="1" x14ac:dyDescent="0.2">
      <c r="A78" s="20">
        <f t="shared" si="29"/>
        <v>3644</v>
      </c>
      <c r="B78" s="19" t="str">
        <f t="shared" si="29"/>
        <v>TTU</v>
      </c>
      <c r="C78" s="58">
        <f t="shared" si="7"/>
        <v>7185.6806979368048</v>
      </c>
      <c r="D78" s="15">
        <f t="shared" ref="D78:M78" si="40">D120*D170</f>
        <v>1402.2</v>
      </c>
      <c r="E78" s="14">
        <f t="shared" si="40"/>
        <v>684.27359999999999</v>
      </c>
      <c r="F78" s="14">
        <f t="shared" si="40"/>
        <v>210.61243127033356</v>
      </c>
      <c r="G78" s="13">
        <f t="shared" si="40"/>
        <v>3038.4339999998042</v>
      </c>
      <c r="H78" s="15">
        <f t="shared" si="40"/>
        <v>218.20000000000002</v>
      </c>
      <c r="I78" s="13">
        <f t="shared" si="40"/>
        <v>17.2</v>
      </c>
      <c r="J78" s="16">
        <f t="shared" si="40"/>
        <v>133.34399999999999</v>
      </c>
      <c r="K78" s="15">
        <f t="shared" si="40"/>
        <v>453.97333333333336</v>
      </c>
      <c r="L78" s="14">
        <f t="shared" si="40"/>
        <v>475.04999999999995</v>
      </c>
      <c r="M78" s="13">
        <f t="shared" si="40"/>
        <v>552.39333333333332</v>
      </c>
      <c r="N78" s="87">
        <v>1</v>
      </c>
      <c r="O78" s="13">
        <v>90197.027768754284</v>
      </c>
      <c r="P78" s="58">
        <f t="shared" si="10"/>
        <v>648127041.44920766</v>
      </c>
    </row>
    <row r="79" spans="1:16" outlineLevel="1" x14ac:dyDescent="0.2">
      <c r="A79" s="20">
        <f t="shared" si="29"/>
        <v>3541</v>
      </c>
      <c r="B79" s="19" t="str">
        <f t="shared" si="29"/>
        <v>Angelo</v>
      </c>
      <c r="C79" s="58">
        <f t="shared" si="7"/>
        <v>1622.1398553119836</v>
      </c>
      <c r="D79" s="15">
        <f t="shared" ref="D79:M79" si="41">D121*D171</f>
        <v>297.39999999999998</v>
      </c>
      <c r="E79" s="14">
        <f t="shared" si="41"/>
        <v>63.891433333333332</v>
      </c>
      <c r="F79" s="14">
        <f t="shared" si="41"/>
        <v>152.29275531198221</v>
      </c>
      <c r="G79" s="13">
        <f t="shared" si="41"/>
        <v>593.20500000000152</v>
      </c>
      <c r="H79" s="15">
        <f t="shared" si="41"/>
        <v>76.3</v>
      </c>
      <c r="I79" s="13">
        <f t="shared" si="41"/>
        <v>5.8</v>
      </c>
      <c r="J79" s="16">
        <f t="shared" si="41"/>
        <v>34.704000000000001</v>
      </c>
      <c r="K79" s="15">
        <f t="shared" si="41"/>
        <v>143.86666666666667</v>
      </c>
      <c r="L79" s="14">
        <f t="shared" si="41"/>
        <v>134.37666666666669</v>
      </c>
      <c r="M79" s="13">
        <f t="shared" si="41"/>
        <v>120.30333333333334</v>
      </c>
      <c r="N79" s="87">
        <v>3</v>
      </c>
      <c r="O79" s="13">
        <v>64130.952037511772</v>
      </c>
      <c r="P79" s="58">
        <f t="shared" si="10"/>
        <v>104029373.2591491</v>
      </c>
    </row>
    <row r="80" spans="1:16" outlineLevel="1" x14ac:dyDescent="0.2">
      <c r="A80" s="20">
        <f t="shared" si="29"/>
        <v>3646</v>
      </c>
      <c r="B80" s="19" t="str">
        <f t="shared" si="29"/>
        <v>TWU</v>
      </c>
      <c r="C80" s="58">
        <f t="shared" si="7"/>
        <v>2665.8089988794663</v>
      </c>
      <c r="D80" s="15">
        <f t="shared" ref="D80:M80" si="42">D122*D172</f>
        <v>541.79999999999995</v>
      </c>
      <c r="E80" s="14">
        <f t="shared" si="42"/>
        <v>141.8613</v>
      </c>
      <c r="F80" s="14">
        <f t="shared" si="42"/>
        <v>206.59203221279969</v>
      </c>
      <c r="G80" s="13">
        <f t="shared" si="42"/>
        <v>1035.6529999999998</v>
      </c>
      <c r="H80" s="15">
        <f t="shared" si="42"/>
        <v>170.8</v>
      </c>
      <c r="I80" s="13">
        <f t="shared" si="42"/>
        <v>9.5</v>
      </c>
      <c r="J80" s="16">
        <f t="shared" si="42"/>
        <v>59.856000000000002</v>
      </c>
      <c r="K80" s="15">
        <f t="shared" si="42"/>
        <v>219.60000000000002</v>
      </c>
      <c r="L80" s="14">
        <f t="shared" si="42"/>
        <v>168.00333333333333</v>
      </c>
      <c r="M80" s="13">
        <f t="shared" si="42"/>
        <v>112.14333333333333</v>
      </c>
      <c r="N80" s="87">
        <v>2</v>
      </c>
      <c r="O80" s="13">
        <v>69184.923785166247</v>
      </c>
      <c r="P80" s="58">
        <f t="shared" si="10"/>
        <v>184433792.41328621</v>
      </c>
    </row>
    <row r="81" spans="1:16" outlineLevel="1" x14ac:dyDescent="0.2">
      <c r="A81" s="20">
        <f t="shared" si="29"/>
        <v>3581</v>
      </c>
      <c r="B81" s="19" t="str">
        <f t="shared" si="29"/>
        <v>Lamar</v>
      </c>
      <c r="C81" s="58">
        <f t="shared" si="7"/>
        <v>2143.4464020667288</v>
      </c>
      <c r="D81" s="15">
        <f t="shared" ref="D81:M81" si="43">D123*D173</f>
        <v>400.59999999999997</v>
      </c>
      <c r="E81" s="14">
        <f t="shared" si="43"/>
        <v>70.171766666666656</v>
      </c>
      <c r="F81" s="14">
        <f t="shared" si="43"/>
        <v>137.66196873339072</v>
      </c>
      <c r="G81" s="13">
        <f t="shared" si="43"/>
        <v>805.47000000000492</v>
      </c>
      <c r="H81" s="15">
        <f t="shared" si="43"/>
        <v>99</v>
      </c>
      <c r="I81" s="13">
        <f t="shared" si="43"/>
        <v>5.0999999999999996</v>
      </c>
      <c r="J81" s="16">
        <f t="shared" si="43"/>
        <v>45.536000000000001</v>
      </c>
      <c r="K81" s="15">
        <f t="shared" si="43"/>
        <v>214.46666666666667</v>
      </c>
      <c r="L81" s="14">
        <f t="shared" si="43"/>
        <v>193.57</v>
      </c>
      <c r="M81" s="13">
        <f t="shared" si="43"/>
        <v>171.87</v>
      </c>
      <c r="N81" s="87">
        <v>3</v>
      </c>
      <c r="O81" s="13">
        <v>64130.952037511772</v>
      </c>
      <c r="P81" s="58">
        <f t="shared" si="10"/>
        <v>137461258.40591857</v>
      </c>
    </row>
    <row r="82" spans="1:16" outlineLevel="1" x14ac:dyDescent="0.2">
      <c r="A82" s="20">
        <f t="shared" si="29"/>
        <v>3606</v>
      </c>
      <c r="B82" s="19" t="str">
        <f t="shared" si="29"/>
        <v>SHSU</v>
      </c>
      <c r="C82" s="58">
        <f t="shared" si="7"/>
        <v>4378.1744067947939</v>
      </c>
      <c r="D82" s="15">
        <f t="shared" ref="D82:M82" si="44">D124*D174</f>
        <v>923.3</v>
      </c>
      <c r="E82" s="14">
        <f t="shared" si="44"/>
        <v>270.83466666666664</v>
      </c>
      <c r="F82" s="14">
        <f t="shared" si="44"/>
        <v>183.5674067947576</v>
      </c>
      <c r="G82" s="13">
        <f t="shared" si="44"/>
        <v>1751.1230000000367</v>
      </c>
      <c r="H82" s="15">
        <f t="shared" si="44"/>
        <v>50.1</v>
      </c>
      <c r="I82" s="13">
        <f t="shared" si="44"/>
        <v>18.3</v>
      </c>
      <c r="J82" s="16">
        <f t="shared" si="44"/>
        <v>106.256</v>
      </c>
      <c r="K82" s="15">
        <f t="shared" si="44"/>
        <v>389.43333333333339</v>
      </c>
      <c r="L82" s="14">
        <f t="shared" si="44"/>
        <v>385.49333333333334</v>
      </c>
      <c r="M82" s="13">
        <f t="shared" si="44"/>
        <v>299.76666666666665</v>
      </c>
      <c r="N82" s="87">
        <v>3</v>
      </c>
      <c r="O82" s="13">
        <v>64130.952037511772</v>
      </c>
      <c r="P82" s="58">
        <f t="shared" si="10"/>
        <v>280776492.89401847</v>
      </c>
    </row>
    <row r="83" spans="1:16" outlineLevel="1" x14ac:dyDescent="0.2">
      <c r="A83" s="20">
        <f t="shared" si="29"/>
        <v>3615</v>
      </c>
      <c r="B83" s="19" t="str">
        <f t="shared" si="29"/>
        <v>TXST</v>
      </c>
      <c r="C83" s="58">
        <f t="shared" si="7"/>
        <v>7484.7405151976709</v>
      </c>
      <c r="D83" s="15">
        <f t="shared" ref="D83:M83" si="45">D125*D175</f>
        <v>1608.3</v>
      </c>
      <c r="E83" s="14">
        <f t="shared" si="45"/>
        <v>678.70260000000007</v>
      </c>
      <c r="F83" s="14">
        <f t="shared" si="45"/>
        <v>234.06891519786396</v>
      </c>
      <c r="G83" s="13">
        <f t="shared" si="45"/>
        <v>3131.1929999998069</v>
      </c>
      <c r="H83" s="15">
        <f t="shared" si="45"/>
        <v>146.6</v>
      </c>
      <c r="I83" s="13">
        <f t="shared" si="45"/>
        <v>20</v>
      </c>
      <c r="J83" s="16">
        <f t="shared" si="45"/>
        <v>176.416</v>
      </c>
      <c r="K83" s="15">
        <f t="shared" si="45"/>
        <v>522.9233333333334</v>
      </c>
      <c r="L83" s="14">
        <f t="shared" si="45"/>
        <v>502.10999999999996</v>
      </c>
      <c r="M83" s="13">
        <f t="shared" si="45"/>
        <v>464.42666666666673</v>
      </c>
      <c r="N83" s="87">
        <v>3</v>
      </c>
      <c r="O83" s="13">
        <v>64130.952037511772</v>
      </c>
      <c r="P83" s="58">
        <f t="shared" si="10"/>
        <v>480003534.99336296</v>
      </c>
    </row>
    <row r="84" spans="1:16" outlineLevel="1" x14ac:dyDescent="0.2">
      <c r="A84" s="20">
        <f t="shared" si="29"/>
        <v>3625</v>
      </c>
      <c r="B84" s="19" t="str">
        <f t="shared" si="29"/>
        <v>SRSU</v>
      </c>
      <c r="C84" s="58">
        <f t="shared" si="7"/>
        <v>391.12272256243051</v>
      </c>
      <c r="D84" s="15">
        <f t="shared" ref="D84:M84" si="46">D126*D176</f>
        <v>56.800000000000004</v>
      </c>
      <c r="E84" s="14">
        <f t="shared" si="46"/>
        <v>8.5483999999999991</v>
      </c>
      <c r="F84" s="14">
        <f t="shared" si="46"/>
        <v>116.39132256243057</v>
      </c>
      <c r="G84" s="13">
        <f t="shared" si="46"/>
        <v>118.29899999999989</v>
      </c>
      <c r="H84" s="15">
        <f t="shared" si="46"/>
        <v>3.8</v>
      </c>
      <c r="I84" s="13">
        <f t="shared" si="46"/>
        <v>1.9</v>
      </c>
      <c r="J84" s="16">
        <f t="shared" si="46"/>
        <v>7.8239999999999998</v>
      </c>
      <c r="K84" s="15">
        <f t="shared" si="46"/>
        <v>30</v>
      </c>
      <c r="L84" s="14">
        <f t="shared" si="46"/>
        <v>25.176666666666666</v>
      </c>
      <c r="M84" s="13">
        <f t="shared" si="46"/>
        <v>22.383333333333333</v>
      </c>
      <c r="N84" s="87">
        <v>3</v>
      </c>
      <c r="O84" s="13">
        <v>64130.952037511772</v>
      </c>
      <c r="P84" s="58">
        <f t="shared" si="10"/>
        <v>25083072.561432254</v>
      </c>
    </row>
    <row r="85" spans="1:16" outlineLevel="1" x14ac:dyDescent="0.2">
      <c r="A85" s="20">
        <f t="shared" si="29"/>
        <v>20</v>
      </c>
      <c r="B85" s="19" t="str">
        <f t="shared" si="29"/>
        <v>SRRG</v>
      </c>
      <c r="C85" s="58">
        <f t="shared" si="7"/>
        <v>460.72429185133666</v>
      </c>
      <c r="D85" s="15">
        <f t="shared" ref="D85:M85" si="47">D127*D177</f>
        <v>48.499999999999993</v>
      </c>
      <c r="E85" s="14">
        <f t="shared" si="47"/>
        <v>7.7048964927506631</v>
      </c>
      <c r="F85" s="14">
        <f t="shared" si="47"/>
        <v>274.47306202525277</v>
      </c>
      <c r="G85" s="13">
        <f t="shared" si="47"/>
        <v>83.750999999999934</v>
      </c>
      <c r="H85" s="15">
        <f t="shared" si="47"/>
        <v>1.9</v>
      </c>
      <c r="I85" s="13">
        <f t="shared" si="47"/>
        <v>1.7</v>
      </c>
      <c r="J85" s="16">
        <f t="shared" si="47"/>
        <v>6.9119999999999999</v>
      </c>
      <c r="K85" s="15">
        <f t="shared" si="47"/>
        <v>23</v>
      </c>
      <c r="L85" s="14">
        <f t="shared" si="47"/>
        <v>12.046666666666667</v>
      </c>
      <c r="M85" s="13">
        <f t="shared" si="47"/>
        <v>0.73666666666666669</v>
      </c>
      <c r="N85" s="87">
        <v>5</v>
      </c>
      <c r="O85" s="13">
        <v>64633.042238187707</v>
      </c>
      <c r="P85" s="58">
        <f t="shared" si="10"/>
        <v>29778012.615386564</v>
      </c>
    </row>
    <row r="86" spans="1:16" ht="13.5" outlineLevel="1" thickBot="1" x14ac:dyDescent="0.25">
      <c r="A86" s="12"/>
      <c r="B86" s="11" t="s">
        <v>11</v>
      </c>
      <c r="C86" s="57">
        <f t="shared" ref="C86:M86" si="48">SUM(C48:C85)</f>
        <v>122378.44982003304</v>
      </c>
      <c r="D86" s="9">
        <f t="shared" si="48"/>
        <v>23629.4</v>
      </c>
      <c r="E86" s="7">
        <f t="shared" si="48"/>
        <v>9875.0078056036309</v>
      </c>
      <c r="F86" s="7">
        <f t="shared" si="48"/>
        <v>8521.7806810966231</v>
      </c>
      <c r="G86" s="3">
        <f t="shared" si="48"/>
        <v>48052.035333332809</v>
      </c>
      <c r="H86" s="5">
        <f t="shared" si="48"/>
        <v>3836.0666666666671</v>
      </c>
      <c r="I86" s="3">
        <f t="shared" si="48"/>
        <v>340.29999999999995</v>
      </c>
      <c r="J86" s="6">
        <f t="shared" si="48"/>
        <v>2507.8026666666669</v>
      </c>
      <c r="K86" s="5">
        <f t="shared" si="48"/>
        <v>9383.1483333333363</v>
      </c>
      <c r="L86" s="4">
        <f t="shared" si="48"/>
        <v>8600.9533333333329</v>
      </c>
      <c r="M86" s="3">
        <f t="shared" si="48"/>
        <v>7631.954999999999</v>
      </c>
      <c r="N86" s="101"/>
      <c r="O86" s="102"/>
      <c r="P86" s="57">
        <f>SUM(P48:P85)</f>
        <v>9369945864.7959423</v>
      </c>
    </row>
    <row r="87" spans="1:16" ht="13.5" thickBot="1" x14ac:dyDescent="0.25">
      <c r="A87" s="69" t="s">
        <v>30</v>
      </c>
    </row>
    <row r="88" spans="1:16" ht="12.75" customHeight="1" outlineLevel="1" x14ac:dyDescent="0.2">
      <c r="A88" s="177" t="s">
        <v>24</v>
      </c>
      <c r="B88" s="179" t="s">
        <v>23</v>
      </c>
      <c r="C88" s="181" t="s">
        <v>77</v>
      </c>
      <c r="D88" s="183" t="s">
        <v>35</v>
      </c>
      <c r="E88" s="184"/>
      <c r="F88" s="184"/>
      <c r="G88" s="185"/>
      <c r="H88" s="186" t="s">
        <v>18</v>
      </c>
      <c r="I88" s="195" t="s">
        <v>17</v>
      </c>
      <c r="J88" s="197" t="s">
        <v>16</v>
      </c>
      <c r="K88" s="199" t="s">
        <v>34</v>
      </c>
      <c r="L88" s="200"/>
      <c r="M88" s="200"/>
      <c r="N88" s="212" t="s">
        <v>109</v>
      </c>
    </row>
    <row r="89" spans="1:16" ht="51.75" outlineLevel="1" thickBot="1" x14ac:dyDescent="0.25">
      <c r="A89" s="178"/>
      <c r="B89" s="180"/>
      <c r="C89" s="182"/>
      <c r="D89" s="68"/>
      <c r="E89" s="67" t="s">
        <v>33</v>
      </c>
      <c r="F89" s="67" t="s">
        <v>32</v>
      </c>
      <c r="G89" s="66" t="s">
        <v>31</v>
      </c>
      <c r="H89" s="187"/>
      <c r="I89" s="196"/>
      <c r="J89" s="198"/>
      <c r="K89" s="44" t="s">
        <v>14</v>
      </c>
      <c r="L89" s="43" t="s">
        <v>13</v>
      </c>
      <c r="M89" s="42" t="s">
        <v>12</v>
      </c>
      <c r="N89" s="213"/>
    </row>
    <row r="90" spans="1:16" outlineLevel="1" x14ac:dyDescent="0.2">
      <c r="A90" s="20">
        <f t="shared" ref="A90:B109" si="49">A5</f>
        <v>3656</v>
      </c>
      <c r="B90" s="19" t="str">
        <f t="shared" si="49"/>
        <v>UTA</v>
      </c>
      <c r="C90" s="90">
        <f>D90+E90+F90+K90+L90+M90</f>
        <v>1</v>
      </c>
      <c r="D90" s="91">
        <f>SUMIF($N$131:$N$135,$N90,D$131:D$135)</f>
        <v>0.3</v>
      </c>
      <c r="E90" s="92">
        <f t="shared" ref="E90:M105" si="50">SUMIF($N$131:$N$135,$N90,E$131:E$135)</f>
        <v>0.2</v>
      </c>
      <c r="F90" s="92">
        <f t="shared" si="50"/>
        <v>0.2</v>
      </c>
      <c r="G90" s="93">
        <f t="shared" si="50"/>
        <v>0.3</v>
      </c>
      <c r="H90" s="91">
        <f t="shared" si="50"/>
        <v>0.3</v>
      </c>
      <c r="I90" s="93">
        <f t="shared" si="50"/>
        <v>0.3</v>
      </c>
      <c r="J90" s="98">
        <f t="shared" si="50"/>
        <v>0.12</v>
      </c>
      <c r="K90" s="91">
        <f t="shared" si="50"/>
        <v>7.0000000000000007E-2</v>
      </c>
      <c r="L90" s="92">
        <f t="shared" si="50"/>
        <v>0.09</v>
      </c>
      <c r="M90" s="93">
        <f t="shared" si="50"/>
        <v>0.14000000000000001</v>
      </c>
      <c r="N90" s="88" t="s">
        <v>83</v>
      </c>
    </row>
    <row r="91" spans="1:16" outlineLevel="1" x14ac:dyDescent="0.2">
      <c r="A91" s="20">
        <f t="shared" si="49"/>
        <v>3658</v>
      </c>
      <c r="B91" s="19" t="str">
        <f t="shared" si="49"/>
        <v>UT</v>
      </c>
      <c r="C91" s="90">
        <f t="shared" ref="C91:C127" si="51">D91+E91+F91+K91+L91+M91</f>
        <v>1</v>
      </c>
      <c r="D91" s="91">
        <f t="shared" ref="D91:M106" si="52">SUMIF($N$131:$N$135,$N91,D$131:D$135)</f>
        <v>0.2</v>
      </c>
      <c r="E91" s="92">
        <f t="shared" si="50"/>
        <v>0.25</v>
      </c>
      <c r="F91" s="92">
        <f t="shared" si="50"/>
        <v>0.25</v>
      </c>
      <c r="G91" s="93">
        <f t="shared" si="50"/>
        <v>0.2</v>
      </c>
      <c r="H91" s="94">
        <f t="shared" si="50"/>
        <v>0.2</v>
      </c>
      <c r="I91" s="95">
        <f t="shared" si="50"/>
        <v>0.2</v>
      </c>
      <c r="J91" s="96">
        <f t="shared" si="50"/>
        <v>8.0000000000000016E-2</v>
      </c>
      <c r="K91" s="94">
        <f t="shared" si="50"/>
        <v>7.0000000000000007E-2</v>
      </c>
      <c r="L91" s="97">
        <f t="shared" si="50"/>
        <v>0.09</v>
      </c>
      <c r="M91" s="95">
        <f t="shared" si="50"/>
        <v>0.14000000000000001</v>
      </c>
      <c r="N91" s="89" t="s">
        <v>82</v>
      </c>
    </row>
    <row r="92" spans="1:16" outlineLevel="1" x14ac:dyDescent="0.2">
      <c r="A92" s="20">
        <f t="shared" si="49"/>
        <v>9741</v>
      </c>
      <c r="B92" s="19" t="str">
        <f t="shared" si="49"/>
        <v>UTD</v>
      </c>
      <c r="C92" s="90">
        <f t="shared" si="51"/>
        <v>1</v>
      </c>
      <c r="D92" s="91">
        <f t="shared" si="52"/>
        <v>0.3</v>
      </c>
      <c r="E92" s="92">
        <f t="shared" si="50"/>
        <v>0.2</v>
      </c>
      <c r="F92" s="92">
        <f t="shared" si="50"/>
        <v>0.2</v>
      </c>
      <c r="G92" s="93">
        <f t="shared" si="50"/>
        <v>0.3</v>
      </c>
      <c r="H92" s="91">
        <f t="shared" si="50"/>
        <v>0.3</v>
      </c>
      <c r="I92" s="93">
        <f t="shared" si="50"/>
        <v>0.3</v>
      </c>
      <c r="J92" s="98">
        <f t="shared" si="50"/>
        <v>0.12</v>
      </c>
      <c r="K92" s="91">
        <f t="shared" si="50"/>
        <v>7.0000000000000007E-2</v>
      </c>
      <c r="L92" s="92">
        <f t="shared" si="50"/>
        <v>0.09</v>
      </c>
      <c r="M92" s="93">
        <f t="shared" si="50"/>
        <v>0.14000000000000001</v>
      </c>
      <c r="N92" s="89" t="s">
        <v>83</v>
      </c>
    </row>
    <row r="93" spans="1:16" outlineLevel="1" x14ac:dyDescent="0.2">
      <c r="A93" s="20">
        <f t="shared" si="49"/>
        <v>3661</v>
      </c>
      <c r="B93" s="19" t="str">
        <f t="shared" si="49"/>
        <v>UTEP</v>
      </c>
      <c r="C93" s="90">
        <f t="shared" si="51"/>
        <v>1</v>
      </c>
      <c r="D93" s="91">
        <f t="shared" si="52"/>
        <v>0.3</v>
      </c>
      <c r="E93" s="92">
        <f t="shared" si="50"/>
        <v>0.2</v>
      </c>
      <c r="F93" s="92">
        <f t="shared" si="50"/>
        <v>0.2</v>
      </c>
      <c r="G93" s="93">
        <f t="shared" si="50"/>
        <v>0.3</v>
      </c>
      <c r="H93" s="91">
        <f t="shared" si="50"/>
        <v>0.3</v>
      </c>
      <c r="I93" s="93">
        <f t="shared" si="50"/>
        <v>0.3</v>
      </c>
      <c r="J93" s="98">
        <f t="shared" si="50"/>
        <v>0.12</v>
      </c>
      <c r="K93" s="91">
        <f t="shared" si="50"/>
        <v>7.0000000000000007E-2</v>
      </c>
      <c r="L93" s="92">
        <f t="shared" si="50"/>
        <v>0.09</v>
      </c>
      <c r="M93" s="93">
        <f t="shared" si="50"/>
        <v>0.14000000000000001</v>
      </c>
      <c r="N93" s="89" t="s">
        <v>83</v>
      </c>
    </row>
    <row r="94" spans="1:16" outlineLevel="1" x14ac:dyDescent="0.2">
      <c r="A94" s="20">
        <f t="shared" si="49"/>
        <v>3599</v>
      </c>
      <c r="B94" s="19" t="str">
        <f t="shared" si="49"/>
        <v>UTPA</v>
      </c>
      <c r="C94" s="90">
        <f t="shared" si="51"/>
        <v>1</v>
      </c>
      <c r="D94" s="91">
        <f t="shared" si="52"/>
        <v>0.3</v>
      </c>
      <c r="E94" s="92">
        <f t="shared" si="50"/>
        <v>0.15</v>
      </c>
      <c r="F94" s="92">
        <f t="shared" si="50"/>
        <v>0.15</v>
      </c>
      <c r="G94" s="93">
        <f t="shared" si="50"/>
        <v>0.3</v>
      </c>
      <c r="H94" s="91">
        <f t="shared" si="50"/>
        <v>0.3</v>
      </c>
      <c r="I94" s="93">
        <f t="shared" si="50"/>
        <v>0.3</v>
      </c>
      <c r="J94" s="98">
        <f t="shared" si="50"/>
        <v>0.12</v>
      </c>
      <c r="K94" s="91">
        <f t="shared" si="50"/>
        <v>0.1</v>
      </c>
      <c r="L94" s="92">
        <f t="shared" si="50"/>
        <v>0.13</v>
      </c>
      <c r="M94" s="93">
        <f t="shared" si="50"/>
        <v>0.17</v>
      </c>
      <c r="N94" s="89" t="s">
        <v>84</v>
      </c>
    </row>
    <row r="95" spans="1:16" outlineLevel="1" x14ac:dyDescent="0.2">
      <c r="A95" s="20">
        <f t="shared" si="49"/>
        <v>30646</v>
      </c>
      <c r="B95" s="19" t="str">
        <f t="shared" si="49"/>
        <v>UTB</v>
      </c>
      <c r="C95" s="90">
        <f t="shared" si="51"/>
        <v>1</v>
      </c>
      <c r="D95" s="91">
        <f t="shared" si="52"/>
        <v>0.3</v>
      </c>
      <c r="E95" s="92">
        <f t="shared" si="50"/>
        <v>0.15</v>
      </c>
      <c r="F95" s="92">
        <f t="shared" si="50"/>
        <v>0.15</v>
      </c>
      <c r="G95" s="93">
        <f t="shared" si="50"/>
        <v>0.3</v>
      </c>
      <c r="H95" s="91">
        <f t="shared" si="50"/>
        <v>0.3</v>
      </c>
      <c r="I95" s="93">
        <f t="shared" si="50"/>
        <v>0.3</v>
      </c>
      <c r="J95" s="98">
        <f t="shared" si="50"/>
        <v>0.12</v>
      </c>
      <c r="K95" s="91">
        <f t="shared" si="50"/>
        <v>0.1</v>
      </c>
      <c r="L95" s="92">
        <f t="shared" si="50"/>
        <v>0.13</v>
      </c>
      <c r="M95" s="93">
        <f t="shared" si="50"/>
        <v>0.17</v>
      </c>
      <c r="N95" s="89" t="s">
        <v>85</v>
      </c>
    </row>
    <row r="96" spans="1:16" outlineLevel="1" x14ac:dyDescent="0.2">
      <c r="A96" s="20">
        <f t="shared" si="49"/>
        <v>9930</v>
      </c>
      <c r="B96" s="19" t="str">
        <f t="shared" si="49"/>
        <v>UTPB</v>
      </c>
      <c r="C96" s="90">
        <f t="shared" si="51"/>
        <v>1</v>
      </c>
      <c r="D96" s="91">
        <f t="shared" si="52"/>
        <v>0.3</v>
      </c>
      <c r="E96" s="92">
        <f t="shared" si="50"/>
        <v>0.15</v>
      </c>
      <c r="F96" s="92">
        <f t="shared" si="50"/>
        <v>0.15</v>
      </c>
      <c r="G96" s="93">
        <f t="shared" si="50"/>
        <v>0.3</v>
      </c>
      <c r="H96" s="91">
        <f t="shared" si="50"/>
        <v>0.3</v>
      </c>
      <c r="I96" s="93">
        <f t="shared" si="50"/>
        <v>0.3</v>
      </c>
      <c r="J96" s="98">
        <f t="shared" si="50"/>
        <v>0.12</v>
      </c>
      <c r="K96" s="91">
        <f t="shared" si="50"/>
        <v>0.1</v>
      </c>
      <c r="L96" s="92">
        <f t="shared" si="50"/>
        <v>0.13</v>
      </c>
      <c r="M96" s="93">
        <f t="shared" si="50"/>
        <v>0.17</v>
      </c>
      <c r="N96" s="89" t="s">
        <v>85</v>
      </c>
    </row>
    <row r="97" spans="1:14" outlineLevel="1" x14ac:dyDescent="0.2">
      <c r="A97" s="20">
        <f t="shared" si="49"/>
        <v>10115</v>
      </c>
      <c r="B97" s="19" t="str">
        <f t="shared" si="49"/>
        <v>UTSA</v>
      </c>
      <c r="C97" s="90">
        <f t="shared" si="51"/>
        <v>1</v>
      </c>
      <c r="D97" s="91">
        <f t="shared" si="52"/>
        <v>0.3</v>
      </c>
      <c r="E97" s="92">
        <f t="shared" si="50"/>
        <v>0.2</v>
      </c>
      <c r="F97" s="92">
        <f t="shared" si="50"/>
        <v>0.2</v>
      </c>
      <c r="G97" s="93">
        <f t="shared" si="50"/>
        <v>0.3</v>
      </c>
      <c r="H97" s="91">
        <f t="shared" si="50"/>
        <v>0.3</v>
      </c>
      <c r="I97" s="93">
        <f t="shared" si="50"/>
        <v>0.3</v>
      </c>
      <c r="J97" s="98">
        <f t="shared" si="50"/>
        <v>0.12</v>
      </c>
      <c r="K97" s="91">
        <f t="shared" si="50"/>
        <v>7.0000000000000007E-2</v>
      </c>
      <c r="L97" s="92">
        <f t="shared" si="50"/>
        <v>0.09</v>
      </c>
      <c r="M97" s="93">
        <f t="shared" si="50"/>
        <v>0.14000000000000001</v>
      </c>
      <c r="N97" s="89" t="s">
        <v>83</v>
      </c>
    </row>
    <row r="98" spans="1:14" outlineLevel="1" x14ac:dyDescent="0.2">
      <c r="A98" s="20">
        <f t="shared" si="49"/>
        <v>11163</v>
      </c>
      <c r="B98" s="19" t="str">
        <f t="shared" si="49"/>
        <v>UTT</v>
      </c>
      <c r="C98" s="90">
        <f t="shared" si="51"/>
        <v>1</v>
      </c>
      <c r="D98" s="91">
        <f t="shared" si="52"/>
        <v>0.3</v>
      </c>
      <c r="E98" s="92">
        <f t="shared" si="50"/>
        <v>0.15</v>
      </c>
      <c r="F98" s="92">
        <f t="shared" si="50"/>
        <v>0.15</v>
      </c>
      <c r="G98" s="93">
        <f t="shared" si="50"/>
        <v>0.3</v>
      </c>
      <c r="H98" s="91">
        <f t="shared" si="50"/>
        <v>0.3</v>
      </c>
      <c r="I98" s="93">
        <f t="shared" si="50"/>
        <v>0.3</v>
      </c>
      <c r="J98" s="98">
        <f t="shared" si="50"/>
        <v>0.12</v>
      </c>
      <c r="K98" s="91">
        <f t="shared" si="50"/>
        <v>0.1</v>
      </c>
      <c r="L98" s="92">
        <f t="shared" si="50"/>
        <v>0.13</v>
      </c>
      <c r="M98" s="93">
        <f t="shared" si="50"/>
        <v>0.17</v>
      </c>
      <c r="N98" s="89" t="s">
        <v>85</v>
      </c>
    </row>
    <row r="99" spans="1:14" outlineLevel="1" x14ac:dyDescent="0.2">
      <c r="A99" s="20">
        <f t="shared" si="49"/>
        <v>3632</v>
      </c>
      <c r="B99" s="19" t="str">
        <f t="shared" si="49"/>
        <v>TAMU</v>
      </c>
      <c r="C99" s="90">
        <f t="shared" si="51"/>
        <v>1</v>
      </c>
      <c r="D99" s="91">
        <f t="shared" si="52"/>
        <v>0.2</v>
      </c>
      <c r="E99" s="92">
        <f t="shared" si="50"/>
        <v>0.25</v>
      </c>
      <c r="F99" s="92">
        <f t="shared" si="50"/>
        <v>0.25</v>
      </c>
      <c r="G99" s="93">
        <f t="shared" si="50"/>
        <v>0.2</v>
      </c>
      <c r="H99" s="94">
        <f t="shared" si="50"/>
        <v>0.2</v>
      </c>
      <c r="I99" s="95">
        <f t="shared" si="50"/>
        <v>0.2</v>
      </c>
      <c r="J99" s="96">
        <f t="shared" si="50"/>
        <v>8.0000000000000016E-2</v>
      </c>
      <c r="K99" s="94">
        <f t="shared" si="50"/>
        <v>7.0000000000000007E-2</v>
      </c>
      <c r="L99" s="97">
        <f t="shared" si="50"/>
        <v>0.09</v>
      </c>
      <c r="M99" s="95">
        <f t="shared" si="50"/>
        <v>0.14000000000000001</v>
      </c>
      <c r="N99" s="89" t="s">
        <v>82</v>
      </c>
    </row>
    <row r="100" spans="1:14" outlineLevel="1" x14ac:dyDescent="0.2">
      <c r="A100" s="20">
        <f t="shared" si="49"/>
        <v>10298</v>
      </c>
      <c r="B100" s="19" t="str">
        <f t="shared" si="49"/>
        <v>TAMUG</v>
      </c>
      <c r="C100" s="90">
        <f t="shared" si="51"/>
        <v>1.5</v>
      </c>
      <c r="D100" s="91">
        <f>SUMIF($N$131:$N$135,$N100,D$131:D$135)*1.5</f>
        <v>0.44999999999999996</v>
      </c>
      <c r="E100" s="92">
        <f t="shared" ref="E100:M100" si="53">SUMIF($N$131:$N$135,$N100,E$131:E$135)*1.5</f>
        <v>0.22499999999999998</v>
      </c>
      <c r="F100" s="92">
        <f t="shared" si="53"/>
        <v>0.22499999999999998</v>
      </c>
      <c r="G100" s="93">
        <f t="shared" si="53"/>
        <v>0.44999999999999996</v>
      </c>
      <c r="H100" s="91">
        <f t="shared" si="53"/>
        <v>0.44999999999999996</v>
      </c>
      <c r="I100" s="93">
        <f t="shared" si="53"/>
        <v>0.44999999999999996</v>
      </c>
      <c r="J100" s="98">
        <f t="shared" si="53"/>
        <v>0.18</v>
      </c>
      <c r="K100" s="91">
        <f t="shared" si="53"/>
        <v>0.15000000000000002</v>
      </c>
      <c r="L100" s="92">
        <f t="shared" si="53"/>
        <v>0.19500000000000001</v>
      </c>
      <c r="M100" s="93">
        <f t="shared" si="53"/>
        <v>0.255</v>
      </c>
      <c r="N100" s="89" t="s">
        <v>85</v>
      </c>
    </row>
    <row r="101" spans="1:14" outlineLevel="1" x14ac:dyDescent="0.2">
      <c r="A101" s="20">
        <f t="shared" si="49"/>
        <v>3630</v>
      </c>
      <c r="B101" s="19" t="str">
        <f t="shared" si="49"/>
        <v>Prairie View</v>
      </c>
      <c r="C101" s="90">
        <f t="shared" si="51"/>
        <v>1</v>
      </c>
      <c r="D101" s="91">
        <f t="shared" si="52"/>
        <v>0.3</v>
      </c>
      <c r="E101" s="92">
        <f t="shared" si="50"/>
        <v>0.15</v>
      </c>
      <c r="F101" s="92">
        <f t="shared" si="50"/>
        <v>0.15</v>
      </c>
      <c r="G101" s="93">
        <f t="shared" si="50"/>
        <v>0.3</v>
      </c>
      <c r="H101" s="91">
        <f t="shared" si="50"/>
        <v>0.3</v>
      </c>
      <c r="I101" s="93">
        <f t="shared" si="50"/>
        <v>0.3</v>
      </c>
      <c r="J101" s="98">
        <f t="shared" si="50"/>
        <v>0.12</v>
      </c>
      <c r="K101" s="91">
        <f t="shared" si="50"/>
        <v>0.1</v>
      </c>
      <c r="L101" s="92">
        <f t="shared" si="50"/>
        <v>0.13</v>
      </c>
      <c r="M101" s="93">
        <f t="shared" si="50"/>
        <v>0.17</v>
      </c>
      <c r="N101" s="89" t="s">
        <v>86</v>
      </c>
    </row>
    <row r="102" spans="1:14" outlineLevel="1" x14ac:dyDescent="0.2">
      <c r="A102" s="20">
        <f t="shared" si="49"/>
        <v>3631</v>
      </c>
      <c r="B102" s="19" t="str">
        <f t="shared" si="49"/>
        <v>Tarleton</v>
      </c>
      <c r="C102" s="90">
        <f t="shared" si="51"/>
        <v>1</v>
      </c>
      <c r="D102" s="91">
        <f t="shared" si="52"/>
        <v>0.3</v>
      </c>
      <c r="E102" s="92">
        <f t="shared" si="50"/>
        <v>0.15</v>
      </c>
      <c r="F102" s="92">
        <f t="shared" si="50"/>
        <v>0.15</v>
      </c>
      <c r="G102" s="93">
        <f t="shared" si="50"/>
        <v>0.3</v>
      </c>
      <c r="H102" s="91">
        <f t="shared" si="50"/>
        <v>0.3</v>
      </c>
      <c r="I102" s="93">
        <f t="shared" si="50"/>
        <v>0.3</v>
      </c>
      <c r="J102" s="98">
        <f t="shared" si="50"/>
        <v>0.12</v>
      </c>
      <c r="K102" s="91">
        <f t="shared" si="50"/>
        <v>0.1</v>
      </c>
      <c r="L102" s="92">
        <f t="shared" si="50"/>
        <v>0.13</v>
      </c>
      <c r="M102" s="93">
        <f t="shared" si="50"/>
        <v>0.17</v>
      </c>
      <c r="N102" s="89" t="s">
        <v>86</v>
      </c>
    </row>
    <row r="103" spans="1:14" outlineLevel="1" x14ac:dyDescent="0.2">
      <c r="A103" s="27">
        <f t="shared" si="49"/>
        <v>103631</v>
      </c>
      <c r="B103" s="19" t="str">
        <f t="shared" si="49"/>
        <v>TAMUCT</v>
      </c>
      <c r="C103" s="90">
        <f t="shared" si="51"/>
        <v>1</v>
      </c>
      <c r="D103" s="91">
        <f t="shared" si="52"/>
        <v>0.3</v>
      </c>
      <c r="E103" s="92">
        <f t="shared" si="50"/>
        <v>0.15</v>
      </c>
      <c r="F103" s="92">
        <f t="shared" si="50"/>
        <v>0.15</v>
      </c>
      <c r="G103" s="93">
        <f t="shared" si="50"/>
        <v>0.3</v>
      </c>
      <c r="H103" s="91">
        <f t="shared" si="50"/>
        <v>0.3</v>
      </c>
      <c r="I103" s="93">
        <f t="shared" si="50"/>
        <v>0.3</v>
      </c>
      <c r="J103" s="98">
        <f t="shared" si="50"/>
        <v>0.12</v>
      </c>
      <c r="K103" s="91">
        <f t="shared" si="50"/>
        <v>0.1</v>
      </c>
      <c r="L103" s="92">
        <f t="shared" si="50"/>
        <v>0.13</v>
      </c>
      <c r="M103" s="93">
        <f t="shared" si="50"/>
        <v>0.17</v>
      </c>
      <c r="N103" s="89" t="s">
        <v>85</v>
      </c>
    </row>
    <row r="104" spans="1:14" outlineLevel="1" x14ac:dyDescent="0.2">
      <c r="A104" s="20">
        <f t="shared" si="49"/>
        <v>11161</v>
      </c>
      <c r="B104" s="19" t="str">
        <f t="shared" si="49"/>
        <v>TAMUCC</v>
      </c>
      <c r="C104" s="90">
        <f t="shared" si="51"/>
        <v>1</v>
      </c>
      <c r="D104" s="91">
        <f t="shared" si="52"/>
        <v>0.3</v>
      </c>
      <c r="E104" s="92">
        <f t="shared" si="50"/>
        <v>0.15</v>
      </c>
      <c r="F104" s="92">
        <f t="shared" si="50"/>
        <v>0.15</v>
      </c>
      <c r="G104" s="93">
        <f t="shared" si="50"/>
        <v>0.3</v>
      </c>
      <c r="H104" s="91">
        <f t="shared" si="50"/>
        <v>0.3</v>
      </c>
      <c r="I104" s="93">
        <f t="shared" si="50"/>
        <v>0.3</v>
      </c>
      <c r="J104" s="98">
        <f t="shared" si="50"/>
        <v>0.12</v>
      </c>
      <c r="K104" s="91">
        <f t="shared" si="50"/>
        <v>0.1</v>
      </c>
      <c r="L104" s="92">
        <f t="shared" si="50"/>
        <v>0.13</v>
      </c>
      <c r="M104" s="93">
        <f t="shared" si="50"/>
        <v>0.17</v>
      </c>
      <c r="N104" s="89" t="s">
        <v>84</v>
      </c>
    </row>
    <row r="105" spans="1:14" outlineLevel="1" x14ac:dyDescent="0.2">
      <c r="A105" s="20">
        <f t="shared" si="49"/>
        <v>3639</v>
      </c>
      <c r="B105" s="19" t="str">
        <f t="shared" si="49"/>
        <v>TAMUK</v>
      </c>
      <c r="C105" s="90">
        <f t="shared" si="51"/>
        <v>1</v>
      </c>
      <c r="D105" s="91">
        <f t="shared" si="52"/>
        <v>0.3</v>
      </c>
      <c r="E105" s="92">
        <f t="shared" si="50"/>
        <v>0.15</v>
      </c>
      <c r="F105" s="92">
        <f t="shared" si="50"/>
        <v>0.15</v>
      </c>
      <c r="G105" s="93">
        <f t="shared" si="50"/>
        <v>0.3</v>
      </c>
      <c r="H105" s="91">
        <f t="shared" si="50"/>
        <v>0.3</v>
      </c>
      <c r="I105" s="93">
        <f t="shared" si="50"/>
        <v>0.3</v>
      </c>
      <c r="J105" s="98">
        <f t="shared" si="50"/>
        <v>0.12</v>
      </c>
      <c r="K105" s="91">
        <f t="shared" si="50"/>
        <v>0.1</v>
      </c>
      <c r="L105" s="92">
        <f t="shared" si="50"/>
        <v>0.13</v>
      </c>
      <c r="M105" s="93">
        <f t="shared" si="50"/>
        <v>0.17</v>
      </c>
      <c r="N105" s="89" t="s">
        <v>84</v>
      </c>
    </row>
    <row r="106" spans="1:14" outlineLevel="1" x14ac:dyDescent="0.2">
      <c r="A106" s="27">
        <f t="shared" si="49"/>
        <v>103639</v>
      </c>
      <c r="B106" s="19" t="str">
        <f t="shared" si="49"/>
        <v>TAMUSA</v>
      </c>
      <c r="C106" s="90">
        <f t="shared" si="51"/>
        <v>1</v>
      </c>
      <c r="D106" s="91">
        <f t="shared" si="52"/>
        <v>0.3</v>
      </c>
      <c r="E106" s="92">
        <f t="shared" si="52"/>
        <v>0.15</v>
      </c>
      <c r="F106" s="92">
        <f t="shared" si="52"/>
        <v>0.15</v>
      </c>
      <c r="G106" s="93">
        <f t="shared" si="52"/>
        <v>0.3</v>
      </c>
      <c r="H106" s="91">
        <f t="shared" si="52"/>
        <v>0.3</v>
      </c>
      <c r="I106" s="93">
        <f t="shared" si="52"/>
        <v>0.3</v>
      </c>
      <c r="J106" s="98">
        <f t="shared" si="52"/>
        <v>0.12</v>
      </c>
      <c r="K106" s="91">
        <f t="shared" si="52"/>
        <v>0.1</v>
      </c>
      <c r="L106" s="92">
        <f t="shared" si="52"/>
        <v>0.13</v>
      </c>
      <c r="M106" s="93">
        <f t="shared" si="52"/>
        <v>0.17</v>
      </c>
      <c r="N106" s="89" t="s">
        <v>85</v>
      </c>
    </row>
    <row r="107" spans="1:14" outlineLevel="1" x14ac:dyDescent="0.2">
      <c r="A107" s="20">
        <f t="shared" si="49"/>
        <v>9651</v>
      </c>
      <c r="B107" s="19" t="str">
        <f t="shared" si="49"/>
        <v>TAMI</v>
      </c>
      <c r="C107" s="90">
        <f t="shared" si="51"/>
        <v>1</v>
      </c>
      <c r="D107" s="91">
        <f t="shared" ref="D107:M122" si="54">SUMIF($N$131:$N$135,$N107,D$131:D$135)</f>
        <v>0.3</v>
      </c>
      <c r="E107" s="92">
        <f t="shared" si="54"/>
        <v>0.15</v>
      </c>
      <c r="F107" s="92">
        <f t="shared" si="54"/>
        <v>0.15</v>
      </c>
      <c r="G107" s="93">
        <f t="shared" si="54"/>
        <v>0.3</v>
      </c>
      <c r="H107" s="91">
        <f t="shared" si="54"/>
        <v>0.3</v>
      </c>
      <c r="I107" s="93">
        <f t="shared" si="54"/>
        <v>0.3</v>
      </c>
      <c r="J107" s="98">
        <f t="shared" si="54"/>
        <v>0.12</v>
      </c>
      <c r="K107" s="91">
        <f t="shared" si="54"/>
        <v>0.1</v>
      </c>
      <c r="L107" s="92">
        <f t="shared" si="54"/>
        <v>0.13</v>
      </c>
      <c r="M107" s="93">
        <f t="shared" si="54"/>
        <v>0.17</v>
      </c>
      <c r="N107" s="89" t="s">
        <v>86</v>
      </c>
    </row>
    <row r="108" spans="1:14" outlineLevel="1" x14ac:dyDescent="0.2">
      <c r="A108" s="20">
        <f t="shared" si="49"/>
        <v>3665</v>
      </c>
      <c r="B108" s="19" t="str">
        <f t="shared" si="49"/>
        <v>WTAMU</v>
      </c>
      <c r="C108" s="90">
        <f t="shared" si="51"/>
        <v>1</v>
      </c>
      <c r="D108" s="91">
        <f t="shared" si="54"/>
        <v>0.3</v>
      </c>
      <c r="E108" s="92">
        <f t="shared" si="54"/>
        <v>0.15</v>
      </c>
      <c r="F108" s="92">
        <f t="shared" si="54"/>
        <v>0.15</v>
      </c>
      <c r="G108" s="93">
        <f t="shared" si="54"/>
        <v>0.3</v>
      </c>
      <c r="H108" s="91">
        <f t="shared" si="54"/>
        <v>0.3</v>
      </c>
      <c r="I108" s="93">
        <f t="shared" si="54"/>
        <v>0.3</v>
      </c>
      <c r="J108" s="98">
        <f t="shared" si="54"/>
        <v>0.12</v>
      </c>
      <c r="K108" s="91">
        <f t="shared" si="54"/>
        <v>0.1</v>
      </c>
      <c r="L108" s="92">
        <f t="shared" si="54"/>
        <v>0.13</v>
      </c>
      <c r="M108" s="93">
        <f t="shared" si="54"/>
        <v>0.17</v>
      </c>
      <c r="N108" s="89" t="s">
        <v>86</v>
      </c>
    </row>
    <row r="109" spans="1:14" outlineLevel="1" x14ac:dyDescent="0.2">
      <c r="A109" s="20">
        <f t="shared" si="49"/>
        <v>3565</v>
      </c>
      <c r="B109" s="19" t="str">
        <f t="shared" si="49"/>
        <v>TAMUC</v>
      </c>
      <c r="C109" s="90">
        <f t="shared" si="51"/>
        <v>1</v>
      </c>
      <c r="D109" s="91">
        <f t="shared" si="54"/>
        <v>0.3</v>
      </c>
      <c r="E109" s="92">
        <f t="shared" si="54"/>
        <v>0.15</v>
      </c>
      <c r="F109" s="92">
        <f t="shared" si="54"/>
        <v>0.15</v>
      </c>
      <c r="G109" s="93">
        <f t="shared" si="54"/>
        <v>0.3</v>
      </c>
      <c r="H109" s="91">
        <f t="shared" si="54"/>
        <v>0.3</v>
      </c>
      <c r="I109" s="93">
        <f t="shared" si="54"/>
        <v>0.3</v>
      </c>
      <c r="J109" s="98">
        <f t="shared" si="54"/>
        <v>0.12</v>
      </c>
      <c r="K109" s="91">
        <f t="shared" si="54"/>
        <v>0.1</v>
      </c>
      <c r="L109" s="92">
        <f t="shared" si="54"/>
        <v>0.13</v>
      </c>
      <c r="M109" s="93">
        <f t="shared" si="54"/>
        <v>0.17</v>
      </c>
      <c r="N109" s="89" t="s">
        <v>84</v>
      </c>
    </row>
    <row r="110" spans="1:14" outlineLevel="1" x14ac:dyDescent="0.2">
      <c r="A110" s="20">
        <f t="shared" ref="A110:B127" si="55">A25</f>
        <v>29269</v>
      </c>
      <c r="B110" s="19" t="str">
        <f t="shared" si="55"/>
        <v>TAMUT</v>
      </c>
      <c r="C110" s="90">
        <f t="shared" si="51"/>
        <v>1</v>
      </c>
      <c r="D110" s="91">
        <f t="shared" si="54"/>
        <v>0.3</v>
      </c>
      <c r="E110" s="92">
        <f t="shared" si="54"/>
        <v>0.15</v>
      </c>
      <c r="F110" s="92">
        <f t="shared" si="54"/>
        <v>0.15</v>
      </c>
      <c r="G110" s="93">
        <f t="shared" si="54"/>
        <v>0.3</v>
      </c>
      <c r="H110" s="91">
        <f t="shared" si="54"/>
        <v>0.3</v>
      </c>
      <c r="I110" s="93">
        <f t="shared" si="54"/>
        <v>0.3</v>
      </c>
      <c r="J110" s="98">
        <f t="shared" si="54"/>
        <v>0.12</v>
      </c>
      <c r="K110" s="91">
        <f t="shared" si="54"/>
        <v>0.1</v>
      </c>
      <c r="L110" s="92">
        <f t="shared" si="54"/>
        <v>0.13</v>
      </c>
      <c r="M110" s="93">
        <f t="shared" si="54"/>
        <v>0.17</v>
      </c>
      <c r="N110" s="89" t="s">
        <v>85</v>
      </c>
    </row>
    <row r="111" spans="1:14" outlineLevel="1" x14ac:dyDescent="0.2">
      <c r="A111" s="20">
        <f t="shared" si="55"/>
        <v>3652</v>
      </c>
      <c r="B111" s="19" t="str">
        <f t="shared" si="55"/>
        <v>UH</v>
      </c>
      <c r="C111" s="90">
        <f t="shared" si="51"/>
        <v>1</v>
      </c>
      <c r="D111" s="91">
        <f t="shared" si="54"/>
        <v>0.3</v>
      </c>
      <c r="E111" s="92">
        <f t="shared" si="54"/>
        <v>0.2</v>
      </c>
      <c r="F111" s="92">
        <f t="shared" si="54"/>
        <v>0.2</v>
      </c>
      <c r="G111" s="93">
        <f t="shared" si="54"/>
        <v>0.3</v>
      </c>
      <c r="H111" s="91">
        <f t="shared" si="54"/>
        <v>0.3</v>
      </c>
      <c r="I111" s="93">
        <f t="shared" si="54"/>
        <v>0.3</v>
      </c>
      <c r="J111" s="98">
        <f t="shared" si="54"/>
        <v>0.12</v>
      </c>
      <c r="K111" s="91">
        <f t="shared" si="54"/>
        <v>7.0000000000000007E-2</v>
      </c>
      <c r="L111" s="92">
        <f t="shared" si="54"/>
        <v>0.09</v>
      </c>
      <c r="M111" s="93">
        <f t="shared" si="54"/>
        <v>0.14000000000000001</v>
      </c>
      <c r="N111" s="89" t="s">
        <v>83</v>
      </c>
    </row>
    <row r="112" spans="1:14" outlineLevel="1" x14ac:dyDescent="0.2">
      <c r="A112" s="20">
        <f t="shared" si="55"/>
        <v>11711</v>
      </c>
      <c r="B112" s="19" t="str">
        <f t="shared" si="55"/>
        <v>UHCL</v>
      </c>
      <c r="C112" s="90">
        <f t="shared" si="51"/>
        <v>1</v>
      </c>
      <c r="D112" s="91">
        <f t="shared" si="54"/>
        <v>0.3</v>
      </c>
      <c r="E112" s="92">
        <f t="shared" si="54"/>
        <v>0.15</v>
      </c>
      <c r="F112" s="92">
        <f t="shared" si="54"/>
        <v>0.15</v>
      </c>
      <c r="G112" s="93">
        <f t="shared" si="54"/>
        <v>0.3</v>
      </c>
      <c r="H112" s="91">
        <f t="shared" si="54"/>
        <v>0.3</v>
      </c>
      <c r="I112" s="93">
        <f t="shared" si="54"/>
        <v>0.3</v>
      </c>
      <c r="J112" s="98">
        <f t="shared" si="54"/>
        <v>0.12</v>
      </c>
      <c r="K112" s="91">
        <f t="shared" si="54"/>
        <v>0.1</v>
      </c>
      <c r="L112" s="92">
        <f t="shared" si="54"/>
        <v>0.13</v>
      </c>
      <c r="M112" s="93">
        <f t="shared" si="54"/>
        <v>0.17</v>
      </c>
      <c r="N112" s="89" t="s">
        <v>85</v>
      </c>
    </row>
    <row r="113" spans="1:19" outlineLevel="1" x14ac:dyDescent="0.2">
      <c r="A113" s="20">
        <f t="shared" si="55"/>
        <v>12826</v>
      </c>
      <c r="B113" s="19" t="str">
        <f t="shared" si="55"/>
        <v>UHD</v>
      </c>
      <c r="C113" s="90">
        <f t="shared" si="51"/>
        <v>1</v>
      </c>
      <c r="D113" s="91">
        <f t="shared" si="54"/>
        <v>0.3</v>
      </c>
      <c r="E113" s="92">
        <f t="shared" si="54"/>
        <v>0.15</v>
      </c>
      <c r="F113" s="92">
        <f t="shared" si="54"/>
        <v>0.15</v>
      </c>
      <c r="G113" s="93">
        <f t="shared" si="54"/>
        <v>0.3</v>
      </c>
      <c r="H113" s="91">
        <f t="shared" si="54"/>
        <v>0.3</v>
      </c>
      <c r="I113" s="93">
        <f t="shared" si="54"/>
        <v>0.3</v>
      </c>
      <c r="J113" s="98">
        <f t="shared" si="54"/>
        <v>0.12</v>
      </c>
      <c r="K113" s="91">
        <f t="shared" si="54"/>
        <v>0.1</v>
      </c>
      <c r="L113" s="92">
        <f t="shared" si="54"/>
        <v>0.13</v>
      </c>
      <c r="M113" s="93">
        <f t="shared" si="54"/>
        <v>0.17</v>
      </c>
      <c r="N113" s="89" t="s">
        <v>85</v>
      </c>
    </row>
    <row r="114" spans="1:19" outlineLevel="1" x14ac:dyDescent="0.2">
      <c r="A114" s="20">
        <f t="shared" si="55"/>
        <v>13231</v>
      </c>
      <c r="B114" s="19" t="str">
        <f t="shared" si="55"/>
        <v>UHV</v>
      </c>
      <c r="C114" s="90">
        <f t="shared" si="51"/>
        <v>1</v>
      </c>
      <c r="D114" s="91">
        <f t="shared" si="54"/>
        <v>0.3</v>
      </c>
      <c r="E114" s="92">
        <f t="shared" si="54"/>
        <v>0.15</v>
      </c>
      <c r="F114" s="92">
        <f t="shared" si="54"/>
        <v>0.15</v>
      </c>
      <c r="G114" s="93">
        <f t="shared" si="54"/>
        <v>0.3</v>
      </c>
      <c r="H114" s="91">
        <f t="shared" si="54"/>
        <v>0.3</v>
      </c>
      <c r="I114" s="93">
        <f t="shared" si="54"/>
        <v>0.3</v>
      </c>
      <c r="J114" s="98">
        <f t="shared" si="54"/>
        <v>0.12</v>
      </c>
      <c r="K114" s="91">
        <f t="shared" si="54"/>
        <v>0.1</v>
      </c>
      <c r="L114" s="92">
        <f t="shared" si="54"/>
        <v>0.13</v>
      </c>
      <c r="M114" s="93">
        <f t="shared" si="54"/>
        <v>0.17</v>
      </c>
      <c r="N114" s="89" t="s">
        <v>85</v>
      </c>
    </row>
    <row r="115" spans="1:19" outlineLevel="1" x14ac:dyDescent="0.2">
      <c r="A115" s="20">
        <f t="shared" si="55"/>
        <v>3592</v>
      </c>
      <c r="B115" s="19" t="str">
        <f t="shared" si="55"/>
        <v>Midwestern</v>
      </c>
      <c r="C115" s="90">
        <f t="shared" si="51"/>
        <v>1</v>
      </c>
      <c r="D115" s="91">
        <f t="shared" si="54"/>
        <v>0.3</v>
      </c>
      <c r="E115" s="92">
        <f t="shared" si="54"/>
        <v>0.15</v>
      </c>
      <c r="F115" s="92">
        <f t="shared" si="54"/>
        <v>0.15</v>
      </c>
      <c r="G115" s="93">
        <f t="shared" si="54"/>
        <v>0.3</v>
      </c>
      <c r="H115" s="91">
        <f t="shared" si="54"/>
        <v>0.3</v>
      </c>
      <c r="I115" s="93">
        <f t="shared" si="54"/>
        <v>0.3</v>
      </c>
      <c r="J115" s="98">
        <f t="shared" si="54"/>
        <v>0.12</v>
      </c>
      <c r="K115" s="91">
        <f t="shared" si="54"/>
        <v>0.1</v>
      </c>
      <c r="L115" s="92">
        <f t="shared" si="54"/>
        <v>0.13</v>
      </c>
      <c r="M115" s="93">
        <f t="shared" si="54"/>
        <v>0.17</v>
      </c>
      <c r="N115" s="89" t="s">
        <v>85</v>
      </c>
    </row>
    <row r="116" spans="1:19" outlineLevel="1" x14ac:dyDescent="0.2">
      <c r="A116" s="20">
        <f t="shared" si="55"/>
        <v>3594</v>
      </c>
      <c r="B116" s="19" t="str">
        <f t="shared" si="55"/>
        <v>UNT</v>
      </c>
      <c r="C116" s="90">
        <f t="shared" si="51"/>
        <v>1</v>
      </c>
      <c r="D116" s="91">
        <f t="shared" si="54"/>
        <v>0.3</v>
      </c>
      <c r="E116" s="92">
        <f t="shared" si="54"/>
        <v>0.2</v>
      </c>
      <c r="F116" s="92">
        <f t="shared" si="54"/>
        <v>0.2</v>
      </c>
      <c r="G116" s="93">
        <f t="shared" si="54"/>
        <v>0.3</v>
      </c>
      <c r="H116" s="91">
        <f t="shared" si="54"/>
        <v>0.3</v>
      </c>
      <c r="I116" s="93">
        <f t="shared" si="54"/>
        <v>0.3</v>
      </c>
      <c r="J116" s="98">
        <f t="shared" si="54"/>
        <v>0.12</v>
      </c>
      <c r="K116" s="91">
        <f t="shared" si="54"/>
        <v>7.0000000000000007E-2</v>
      </c>
      <c r="L116" s="92">
        <f t="shared" si="54"/>
        <v>0.09</v>
      </c>
      <c r="M116" s="93">
        <f t="shared" si="54"/>
        <v>0.14000000000000001</v>
      </c>
      <c r="N116" s="89" t="s">
        <v>83</v>
      </c>
      <c r="Q116" s="175"/>
      <c r="S116" s="175"/>
    </row>
    <row r="117" spans="1:19" outlineLevel="1" x14ac:dyDescent="0.2">
      <c r="A117" s="27">
        <f t="shared" si="55"/>
        <v>113594</v>
      </c>
      <c r="B117" s="19" t="str">
        <f t="shared" si="55"/>
        <v>UNTD</v>
      </c>
      <c r="C117" s="90">
        <f t="shared" si="51"/>
        <v>1</v>
      </c>
      <c r="D117" s="91">
        <f t="shared" si="54"/>
        <v>0.3</v>
      </c>
      <c r="E117" s="92">
        <f t="shared" si="54"/>
        <v>0.15</v>
      </c>
      <c r="F117" s="92">
        <f t="shared" si="54"/>
        <v>0.15</v>
      </c>
      <c r="G117" s="93">
        <f t="shared" si="54"/>
        <v>0.3</v>
      </c>
      <c r="H117" s="91">
        <f t="shared" si="54"/>
        <v>0.3</v>
      </c>
      <c r="I117" s="93">
        <f t="shared" si="54"/>
        <v>0.3</v>
      </c>
      <c r="J117" s="98">
        <f t="shared" si="54"/>
        <v>0.12</v>
      </c>
      <c r="K117" s="91">
        <f t="shared" si="54"/>
        <v>0.1</v>
      </c>
      <c r="L117" s="92">
        <f t="shared" si="54"/>
        <v>0.13</v>
      </c>
      <c r="M117" s="93">
        <f t="shared" si="54"/>
        <v>0.17</v>
      </c>
      <c r="N117" s="89" t="s">
        <v>85</v>
      </c>
    </row>
    <row r="118" spans="1:19" outlineLevel="1" x14ac:dyDescent="0.2">
      <c r="A118" s="20">
        <f t="shared" si="55"/>
        <v>3624</v>
      </c>
      <c r="B118" s="19" t="str">
        <f t="shared" si="55"/>
        <v>SFA</v>
      </c>
      <c r="C118" s="90">
        <f t="shared" si="51"/>
        <v>1</v>
      </c>
      <c r="D118" s="91">
        <f t="shared" si="54"/>
        <v>0.3</v>
      </c>
      <c r="E118" s="92">
        <f t="shared" si="54"/>
        <v>0.15</v>
      </c>
      <c r="F118" s="92">
        <f t="shared" si="54"/>
        <v>0.15</v>
      </c>
      <c r="G118" s="93">
        <f t="shared" si="54"/>
        <v>0.3</v>
      </c>
      <c r="H118" s="91">
        <f t="shared" si="54"/>
        <v>0.3</v>
      </c>
      <c r="I118" s="93">
        <f t="shared" si="54"/>
        <v>0.3</v>
      </c>
      <c r="J118" s="98">
        <f t="shared" si="54"/>
        <v>0.12</v>
      </c>
      <c r="K118" s="91">
        <f t="shared" si="54"/>
        <v>0.1</v>
      </c>
      <c r="L118" s="92">
        <f t="shared" si="54"/>
        <v>0.13</v>
      </c>
      <c r="M118" s="93">
        <f t="shared" si="54"/>
        <v>0.17</v>
      </c>
      <c r="N118" s="89" t="s">
        <v>86</v>
      </c>
    </row>
    <row r="119" spans="1:19" outlineLevel="1" x14ac:dyDescent="0.2">
      <c r="A119" s="20">
        <f t="shared" si="55"/>
        <v>3642</v>
      </c>
      <c r="B119" s="19" t="str">
        <f t="shared" si="55"/>
        <v>TSU</v>
      </c>
      <c r="C119" s="90">
        <f t="shared" si="51"/>
        <v>1</v>
      </c>
      <c r="D119" s="91">
        <f t="shared" si="54"/>
        <v>0.3</v>
      </c>
      <c r="E119" s="92">
        <f t="shared" si="54"/>
        <v>0.15</v>
      </c>
      <c r="F119" s="92">
        <f t="shared" si="54"/>
        <v>0.15</v>
      </c>
      <c r="G119" s="93">
        <f t="shared" si="54"/>
        <v>0.3</v>
      </c>
      <c r="H119" s="91">
        <f t="shared" si="54"/>
        <v>0.3</v>
      </c>
      <c r="I119" s="93">
        <f t="shared" si="54"/>
        <v>0.3</v>
      </c>
      <c r="J119" s="98">
        <f t="shared" si="54"/>
        <v>0.12</v>
      </c>
      <c r="K119" s="91">
        <f t="shared" si="54"/>
        <v>0.1</v>
      </c>
      <c r="L119" s="92">
        <f t="shared" si="54"/>
        <v>0.13</v>
      </c>
      <c r="M119" s="93">
        <f t="shared" si="54"/>
        <v>0.17</v>
      </c>
      <c r="N119" s="89" t="s">
        <v>84</v>
      </c>
    </row>
    <row r="120" spans="1:19" outlineLevel="1" x14ac:dyDescent="0.2">
      <c r="A120" s="20">
        <f t="shared" si="55"/>
        <v>3644</v>
      </c>
      <c r="B120" s="19" t="str">
        <f t="shared" si="55"/>
        <v>TTU</v>
      </c>
      <c r="C120" s="90">
        <f t="shared" si="51"/>
        <v>1</v>
      </c>
      <c r="D120" s="91">
        <f t="shared" si="54"/>
        <v>0.3</v>
      </c>
      <c r="E120" s="92">
        <f t="shared" si="54"/>
        <v>0.2</v>
      </c>
      <c r="F120" s="92">
        <f t="shared" si="54"/>
        <v>0.2</v>
      </c>
      <c r="G120" s="93">
        <f t="shared" si="54"/>
        <v>0.3</v>
      </c>
      <c r="H120" s="91">
        <f t="shared" si="54"/>
        <v>0.3</v>
      </c>
      <c r="I120" s="93">
        <f t="shared" si="54"/>
        <v>0.3</v>
      </c>
      <c r="J120" s="98">
        <f t="shared" si="54"/>
        <v>0.12</v>
      </c>
      <c r="K120" s="91">
        <f t="shared" si="54"/>
        <v>7.0000000000000007E-2</v>
      </c>
      <c r="L120" s="92">
        <f t="shared" si="54"/>
        <v>0.09</v>
      </c>
      <c r="M120" s="93">
        <f t="shared" si="54"/>
        <v>0.14000000000000001</v>
      </c>
      <c r="N120" s="89" t="s">
        <v>83</v>
      </c>
    </row>
    <row r="121" spans="1:19" outlineLevel="1" x14ac:dyDescent="0.2">
      <c r="A121" s="20">
        <f t="shared" si="55"/>
        <v>3541</v>
      </c>
      <c r="B121" s="19" t="str">
        <f t="shared" si="55"/>
        <v>Angelo</v>
      </c>
      <c r="C121" s="90">
        <f t="shared" si="51"/>
        <v>1</v>
      </c>
      <c r="D121" s="91">
        <f t="shared" si="54"/>
        <v>0.3</v>
      </c>
      <c r="E121" s="92">
        <f t="shared" si="54"/>
        <v>0.15</v>
      </c>
      <c r="F121" s="92">
        <f t="shared" si="54"/>
        <v>0.15</v>
      </c>
      <c r="G121" s="93">
        <f t="shared" si="54"/>
        <v>0.3</v>
      </c>
      <c r="H121" s="91">
        <f t="shared" si="54"/>
        <v>0.3</v>
      </c>
      <c r="I121" s="93">
        <f t="shared" si="54"/>
        <v>0.3</v>
      </c>
      <c r="J121" s="98">
        <f t="shared" si="54"/>
        <v>0.12</v>
      </c>
      <c r="K121" s="91">
        <f t="shared" si="54"/>
        <v>0.1</v>
      </c>
      <c r="L121" s="92">
        <f t="shared" si="54"/>
        <v>0.13</v>
      </c>
      <c r="M121" s="93">
        <f t="shared" si="54"/>
        <v>0.17</v>
      </c>
      <c r="N121" s="89" t="s">
        <v>85</v>
      </c>
    </row>
    <row r="122" spans="1:19" outlineLevel="1" x14ac:dyDescent="0.2">
      <c r="A122" s="20">
        <f t="shared" si="55"/>
        <v>3646</v>
      </c>
      <c r="B122" s="19" t="str">
        <f t="shared" si="55"/>
        <v>TWU</v>
      </c>
      <c r="C122" s="90">
        <f t="shared" si="51"/>
        <v>1</v>
      </c>
      <c r="D122" s="91">
        <f t="shared" si="54"/>
        <v>0.3</v>
      </c>
      <c r="E122" s="92">
        <f t="shared" si="54"/>
        <v>0.15</v>
      </c>
      <c r="F122" s="92">
        <f t="shared" si="54"/>
        <v>0.15</v>
      </c>
      <c r="G122" s="93">
        <f t="shared" si="54"/>
        <v>0.3</v>
      </c>
      <c r="H122" s="91">
        <f t="shared" si="54"/>
        <v>0.3</v>
      </c>
      <c r="I122" s="93">
        <f t="shared" si="54"/>
        <v>0.3</v>
      </c>
      <c r="J122" s="98">
        <f t="shared" si="54"/>
        <v>0.12</v>
      </c>
      <c r="K122" s="91">
        <f t="shared" si="54"/>
        <v>0.1</v>
      </c>
      <c r="L122" s="92">
        <f t="shared" si="54"/>
        <v>0.13</v>
      </c>
      <c r="M122" s="93">
        <f t="shared" si="54"/>
        <v>0.17</v>
      </c>
      <c r="N122" s="89" t="s">
        <v>84</v>
      </c>
    </row>
    <row r="123" spans="1:19" outlineLevel="1" x14ac:dyDescent="0.2">
      <c r="A123" s="20">
        <f t="shared" si="55"/>
        <v>3581</v>
      </c>
      <c r="B123" s="19" t="str">
        <f t="shared" si="55"/>
        <v>Lamar</v>
      </c>
      <c r="C123" s="90">
        <f t="shared" si="51"/>
        <v>1</v>
      </c>
      <c r="D123" s="91">
        <f t="shared" ref="D123:M127" si="56">SUMIF($N$131:$N$135,$N123,D$131:D$135)</f>
        <v>0.3</v>
      </c>
      <c r="E123" s="92">
        <f t="shared" si="56"/>
        <v>0.15</v>
      </c>
      <c r="F123" s="92">
        <f t="shared" si="56"/>
        <v>0.15</v>
      </c>
      <c r="G123" s="93">
        <f t="shared" si="56"/>
        <v>0.3</v>
      </c>
      <c r="H123" s="91">
        <f t="shared" si="56"/>
        <v>0.3</v>
      </c>
      <c r="I123" s="93">
        <f t="shared" si="56"/>
        <v>0.3</v>
      </c>
      <c r="J123" s="98">
        <f t="shared" si="56"/>
        <v>0.12</v>
      </c>
      <c r="K123" s="91">
        <f t="shared" si="56"/>
        <v>0.1</v>
      </c>
      <c r="L123" s="92">
        <f t="shared" si="56"/>
        <v>0.13</v>
      </c>
      <c r="M123" s="93">
        <f t="shared" si="56"/>
        <v>0.17</v>
      </c>
      <c r="N123" s="89" t="s">
        <v>86</v>
      </c>
    </row>
    <row r="124" spans="1:19" outlineLevel="1" x14ac:dyDescent="0.2">
      <c r="A124" s="20">
        <f t="shared" si="55"/>
        <v>3606</v>
      </c>
      <c r="B124" s="19" t="str">
        <f t="shared" si="55"/>
        <v>SHSU</v>
      </c>
      <c r="C124" s="90">
        <f t="shared" si="51"/>
        <v>1</v>
      </c>
      <c r="D124" s="91">
        <f t="shared" si="56"/>
        <v>0.3</v>
      </c>
      <c r="E124" s="92">
        <f t="shared" si="56"/>
        <v>0.15</v>
      </c>
      <c r="F124" s="92">
        <f t="shared" si="56"/>
        <v>0.15</v>
      </c>
      <c r="G124" s="93">
        <f t="shared" si="56"/>
        <v>0.3</v>
      </c>
      <c r="H124" s="91">
        <f t="shared" si="56"/>
        <v>0.3</v>
      </c>
      <c r="I124" s="93">
        <f t="shared" si="56"/>
        <v>0.3</v>
      </c>
      <c r="J124" s="98">
        <f t="shared" si="56"/>
        <v>0.12</v>
      </c>
      <c r="K124" s="91">
        <f t="shared" si="56"/>
        <v>0.1</v>
      </c>
      <c r="L124" s="92">
        <f t="shared" si="56"/>
        <v>0.13</v>
      </c>
      <c r="M124" s="93">
        <f t="shared" si="56"/>
        <v>0.17</v>
      </c>
      <c r="N124" s="89" t="s">
        <v>84</v>
      </c>
    </row>
    <row r="125" spans="1:19" outlineLevel="1" x14ac:dyDescent="0.2">
      <c r="A125" s="20">
        <f t="shared" si="55"/>
        <v>3615</v>
      </c>
      <c r="B125" s="19" t="str">
        <f t="shared" si="55"/>
        <v>TXST</v>
      </c>
      <c r="C125" s="90">
        <f t="shared" si="51"/>
        <v>1</v>
      </c>
      <c r="D125" s="91">
        <f t="shared" si="56"/>
        <v>0.3</v>
      </c>
      <c r="E125" s="92">
        <f t="shared" si="56"/>
        <v>0.2</v>
      </c>
      <c r="F125" s="92">
        <f t="shared" si="56"/>
        <v>0.2</v>
      </c>
      <c r="G125" s="93">
        <f t="shared" si="56"/>
        <v>0.3</v>
      </c>
      <c r="H125" s="91">
        <f t="shared" si="56"/>
        <v>0.3</v>
      </c>
      <c r="I125" s="93">
        <f t="shared" si="56"/>
        <v>0.3</v>
      </c>
      <c r="J125" s="98">
        <f t="shared" si="56"/>
        <v>0.12</v>
      </c>
      <c r="K125" s="91">
        <f t="shared" si="56"/>
        <v>7.0000000000000007E-2</v>
      </c>
      <c r="L125" s="92">
        <f t="shared" si="56"/>
        <v>0.09</v>
      </c>
      <c r="M125" s="93">
        <f t="shared" si="56"/>
        <v>0.14000000000000001</v>
      </c>
      <c r="N125" s="89" t="s">
        <v>83</v>
      </c>
    </row>
    <row r="126" spans="1:19" outlineLevel="1" x14ac:dyDescent="0.2">
      <c r="A126" s="20">
        <f t="shared" si="55"/>
        <v>3625</v>
      </c>
      <c r="B126" s="19" t="str">
        <f t="shared" si="55"/>
        <v>SRSU</v>
      </c>
      <c r="C126" s="90">
        <f t="shared" si="51"/>
        <v>1</v>
      </c>
      <c r="D126" s="91">
        <f t="shared" si="56"/>
        <v>0.3</v>
      </c>
      <c r="E126" s="92">
        <f t="shared" si="56"/>
        <v>0.15</v>
      </c>
      <c r="F126" s="92">
        <f t="shared" si="56"/>
        <v>0.15</v>
      </c>
      <c r="G126" s="93">
        <f t="shared" si="56"/>
        <v>0.3</v>
      </c>
      <c r="H126" s="91">
        <f t="shared" si="56"/>
        <v>0.3</v>
      </c>
      <c r="I126" s="93">
        <f t="shared" si="56"/>
        <v>0.3</v>
      </c>
      <c r="J126" s="98">
        <f t="shared" si="56"/>
        <v>0.12</v>
      </c>
      <c r="K126" s="91">
        <f t="shared" si="56"/>
        <v>0.1</v>
      </c>
      <c r="L126" s="92">
        <f t="shared" si="56"/>
        <v>0.13</v>
      </c>
      <c r="M126" s="93">
        <f t="shared" si="56"/>
        <v>0.17</v>
      </c>
      <c r="N126" s="89" t="s">
        <v>85</v>
      </c>
    </row>
    <row r="127" spans="1:19" outlineLevel="1" x14ac:dyDescent="0.2">
      <c r="A127" s="20">
        <f t="shared" si="55"/>
        <v>20</v>
      </c>
      <c r="B127" s="19" t="str">
        <f t="shared" si="55"/>
        <v>SRRG</v>
      </c>
      <c r="C127" s="90">
        <f t="shared" si="51"/>
        <v>1</v>
      </c>
      <c r="D127" s="91">
        <f t="shared" si="56"/>
        <v>0.3</v>
      </c>
      <c r="E127" s="92">
        <f t="shared" si="56"/>
        <v>0.15</v>
      </c>
      <c r="F127" s="92">
        <f t="shared" si="56"/>
        <v>0.15</v>
      </c>
      <c r="G127" s="93">
        <f t="shared" si="56"/>
        <v>0.3</v>
      </c>
      <c r="H127" s="91">
        <f t="shared" si="56"/>
        <v>0.3</v>
      </c>
      <c r="I127" s="93">
        <f t="shared" si="56"/>
        <v>0.3</v>
      </c>
      <c r="J127" s="98">
        <f t="shared" si="56"/>
        <v>0.12</v>
      </c>
      <c r="K127" s="91">
        <f t="shared" si="56"/>
        <v>0.1</v>
      </c>
      <c r="L127" s="92">
        <f t="shared" si="56"/>
        <v>0.13</v>
      </c>
      <c r="M127" s="93">
        <f t="shared" si="56"/>
        <v>0.17</v>
      </c>
      <c r="N127" s="89" t="s">
        <v>85</v>
      </c>
    </row>
    <row r="128" spans="1:19" ht="13.5" thickBot="1" x14ac:dyDescent="0.25">
      <c r="A128" s="121" t="s">
        <v>90</v>
      </c>
      <c r="B128" s="72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20"/>
    </row>
    <row r="129" spans="1:14" x14ac:dyDescent="0.2">
      <c r="A129" s="118"/>
      <c r="B129" s="72"/>
      <c r="C129" s="181" t="s">
        <v>77</v>
      </c>
      <c r="D129" s="183" t="s">
        <v>35</v>
      </c>
      <c r="E129" s="184"/>
      <c r="F129" s="184"/>
      <c r="G129" s="185"/>
      <c r="H129" s="186" t="s">
        <v>18</v>
      </c>
      <c r="I129" s="195" t="s">
        <v>17</v>
      </c>
      <c r="J129" s="197" t="s">
        <v>16</v>
      </c>
      <c r="K129" s="199" t="s">
        <v>34</v>
      </c>
      <c r="L129" s="200"/>
      <c r="M129" s="200"/>
      <c r="N129" s="212" t="s">
        <v>106</v>
      </c>
    </row>
    <row r="130" spans="1:14" ht="51.75" thickBot="1" x14ac:dyDescent="0.25">
      <c r="A130" s="118"/>
      <c r="B130" s="72"/>
      <c r="C130" s="182"/>
      <c r="D130" s="68"/>
      <c r="E130" s="67" t="s">
        <v>33</v>
      </c>
      <c r="F130" s="67" t="s">
        <v>32</v>
      </c>
      <c r="G130" s="115" t="s">
        <v>31</v>
      </c>
      <c r="H130" s="187"/>
      <c r="I130" s="196"/>
      <c r="J130" s="198"/>
      <c r="K130" s="44" t="s">
        <v>14</v>
      </c>
      <c r="L130" s="43" t="s">
        <v>13</v>
      </c>
      <c r="M130" s="42" t="s">
        <v>12</v>
      </c>
      <c r="N130" s="213"/>
    </row>
    <row r="131" spans="1:14" x14ac:dyDescent="0.2">
      <c r="A131" s="118"/>
      <c r="B131" s="72"/>
      <c r="C131" s="143">
        <v>1</v>
      </c>
      <c r="D131" s="144">
        <v>0.2</v>
      </c>
      <c r="E131" s="145">
        <v>0.25</v>
      </c>
      <c r="F131" s="145">
        <v>0.25</v>
      </c>
      <c r="G131" s="146">
        <v>0.2</v>
      </c>
      <c r="H131" s="147">
        <v>0.2</v>
      </c>
      <c r="I131" s="148">
        <v>0.2</v>
      </c>
      <c r="J131" s="149">
        <v>8.0000000000000016E-2</v>
      </c>
      <c r="K131" s="147">
        <v>7.0000000000000007E-2</v>
      </c>
      <c r="L131" s="150">
        <v>0.09</v>
      </c>
      <c r="M131" s="148">
        <v>0.14000000000000001</v>
      </c>
      <c r="N131" s="88" t="s">
        <v>82</v>
      </c>
    </row>
    <row r="132" spans="1:14" x14ac:dyDescent="0.2">
      <c r="A132" s="118"/>
      <c r="B132" s="72"/>
      <c r="C132" s="143">
        <v>1</v>
      </c>
      <c r="D132" s="151">
        <v>0.3</v>
      </c>
      <c r="E132" s="152">
        <v>0.2</v>
      </c>
      <c r="F132" s="152">
        <v>0.2</v>
      </c>
      <c r="G132" s="153">
        <v>0.3</v>
      </c>
      <c r="H132" s="151">
        <v>0.3</v>
      </c>
      <c r="I132" s="153">
        <v>0.3</v>
      </c>
      <c r="J132" s="154">
        <v>0.12</v>
      </c>
      <c r="K132" s="144">
        <v>7.0000000000000007E-2</v>
      </c>
      <c r="L132" s="155">
        <v>0.09</v>
      </c>
      <c r="M132" s="146">
        <v>0.14000000000000001</v>
      </c>
      <c r="N132" s="89" t="s">
        <v>83</v>
      </c>
    </row>
    <row r="133" spans="1:14" x14ac:dyDescent="0.2">
      <c r="A133" s="118"/>
      <c r="B133" s="72"/>
      <c r="C133" s="143">
        <v>1</v>
      </c>
      <c r="D133" s="151">
        <v>0.3</v>
      </c>
      <c r="E133" s="156">
        <v>0.15</v>
      </c>
      <c r="F133" s="156">
        <v>0.15</v>
      </c>
      <c r="G133" s="153">
        <v>0.3</v>
      </c>
      <c r="H133" s="151">
        <v>0.3</v>
      </c>
      <c r="I133" s="153">
        <v>0.3</v>
      </c>
      <c r="J133" s="154">
        <v>0.12</v>
      </c>
      <c r="K133" s="151">
        <v>0.1</v>
      </c>
      <c r="L133" s="156">
        <v>0.13</v>
      </c>
      <c r="M133" s="153">
        <v>0.17</v>
      </c>
      <c r="N133" s="89" t="s">
        <v>84</v>
      </c>
    </row>
    <row r="134" spans="1:14" x14ac:dyDescent="0.2">
      <c r="A134" s="118"/>
      <c r="B134" s="72"/>
      <c r="C134" s="143">
        <v>1</v>
      </c>
      <c r="D134" s="151">
        <v>0.3</v>
      </c>
      <c r="E134" s="156">
        <v>0.15</v>
      </c>
      <c r="F134" s="156">
        <v>0.15</v>
      </c>
      <c r="G134" s="153">
        <v>0.3</v>
      </c>
      <c r="H134" s="151">
        <v>0.3</v>
      </c>
      <c r="I134" s="153">
        <v>0.3</v>
      </c>
      <c r="J134" s="154">
        <v>0.12</v>
      </c>
      <c r="K134" s="151">
        <v>0.1</v>
      </c>
      <c r="L134" s="156">
        <v>0.13</v>
      </c>
      <c r="M134" s="153">
        <v>0.17</v>
      </c>
      <c r="N134" s="89" t="s">
        <v>86</v>
      </c>
    </row>
    <row r="135" spans="1:14" x14ac:dyDescent="0.2">
      <c r="A135" s="118"/>
      <c r="B135" s="72"/>
      <c r="C135" s="143">
        <v>1</v>
      </c>
      <c r="D135" s="151">
        <v>0.3</v>
      </c>
      <c r="E135" s="156">
        <v>0.15</v>
      </c>
      <c r="F135" s="156">
        <v>0.15</v>
      </c>
      <c r="G135" s="153">
        <v>0.3</v>
      </c>
      <c r="H135" s="151">
        <v>0.3</v>
      </c>
      <c r="I135" s="153">
        <v>0.3</v>
      </c>
      <c r="J135" s="154">
        <v>0.12</v>
      </c>
      <c r="K135" s="151">
        <v>0.1</v>
      </c>
      <c r="L135" s="156">
        <v>0.13</v>
      </c>
      <c r="M135" s="153">
        <v>0.17</v>
      </c>
      <c r="N135" s="89" t="s">
        <v>85</v>
      </c>
    </row>
    <row r="136" spans="1:14" ht="13.5" thickBot="1" x14ac:dyDescent="0.25">
      <c r="A136" s="69" t="s">
        <v>75</v>
      </c>
    </row>
    <row r="137" spans="1:14" ht="12.75" customHeight="1" outlineLevel="1" x14ac:dyDescent="0.2">
      <c r="A137" s="177" t="s">
        <v>24</v>
      </c>
      <c r="B137" s="179" t="s">
        <v>23</v>
      </c>
      <c r="C137" s="181" t="s">
        <v>36</v>
      </c>
      <c r="D137" s="183" t="s">
        <v>35</v>
      </c>
      <c r="E137" s="184"/>
      <c r="F137" s="184"/>
      <c r="G137" s="185"/>
      <c r="H137" s="186" t="s">
        <v>18</v>
      </c>
      <c r="I137" s="195" t="s">
        <v>17</v>
      </c>
      <c r="J137" s="197" t="s">
        <v>16</v>
      </c>
      <c r="K137" s="199" t="s">
        <v>34</v>
      </c>
      <c r="L137" s="200"/>
      <c r="M137" s="200"/>
    </row>
    <row r="138" spans="1:14" ht="51.75" outlineLevel="1" thickBot="1" x14ac:dyDescent="0.25">
      <c r="A138" s="178"/>
      <c r="B138" s="180"/>
      <c r="C138" s="182"/>
      <c r="D138" s="68"/>
      <c r="E138" s="67" t="s">
        <v>33</v>
      </c>
      <c r="F138" s="67" t="s">
        <v>32</v>
      </c>
      <c r="G138" s="66" t="s">
        <v>31</v>
      </c>
      <c r="H138" s="187"/>
      <c r="I138" s="196"/>
      <c r="J138" s="198"/>
      <c r="K138" s="44" t="s">
        <v>14</v>
      </c>
      <c r="L138" s="43" t="s">
        <v>13</v>
      </c>
      <c r="M138" s="42" t="s">
        <v>12</v>
      </c>
    </row>
    <row r="139" spans="1:14" outlineLevel="1" x14ac:dyDescent="0.2">
      <c r="A139" s="207" t="s">
        <v>79</v>
      </c>
      <c r="B139" s="208"/>
      <c r="C139" s="209"/>
      <c r="D139" s="62">
        <v>1</v>
      </c>
      <c r="E139" s="61">
        <v>1</v>
      </c>
      <c r="F139" s="61">
        <v>50</v>
      </c>
      <c r="G139" s="60">
        <v>1</v>
      </c>
      <c r="H139" s="65">
        <v>1</v>
      </c>
      <c r="I139" s="64">
        <v>1</v>
      </c>
      <c r="J139" s="63">
        <v>0.4</v>
      </c>
      <c r="K139" s="62">
        <v>1</v>
      </c>
      <c r="L139" s="61">
        <v>1</v>
      </c>
      <c r="M139" s="60">
        <v>1</v>
      </c>
    </row>
    <row r="140" spans="1:14" outlineLevel="1" x14ac:dyDescent="0.2">
      <c r="A140" s="20">
        <f t="shared" ref="A140:B159" si="57">A5</f>
        <v>3656</v>
      </c>
      <c r="B140" s="19" t="str">
        <f t="shared" si="57"/>
        <v>UTA</v>
      </c>
      <c r="C140" s="58">
        <f t="shared" ref="C140:C177" si="58">SUM(D140:M140)</f>
        <v>34784.139413902456</v>
      </c>
      <c r="D140" s="15">
        <f t="shared" ref="D140:D149" si="59">D182*D$139</f>
        <v>5018</v>
      </c>
      <c r="E140" s="14">
        <f t="shared" ref="E140:E149" si="60">D182*E182*E$139</f>
        <v>2600.9966666666669</v>
      </c>
      <c r="F140" s="14">
        <f t="shared" ref="F140:F149" si="61">IFERROR(D182/F182*100*F$139,0)</f>
        <v>1480.1894139024141</v>
      </c>
      <c r="G140" s="13">
        <f t="shared" ref="G140:M149" si="62">G182*G$139</f>
        <v>10418.553333333379</v>
      </c>
      <c r="H140" s="36">
        <f t="shared" si="62"/>
        <v>1531.3333333333333</v>
      </c>
      <c r="I140" s="35">
        <f t="shared" si="62"/>
        <v>35</v>
      </c>
      <c r="J140" s="34">
        <f t="shared" si="62"/>
        <v>1246.4000000000001</v>
      </c>
      <c r="K140" s="36">
        <f t="shared" si="62"/>
        <v>6836.333333333333</v>
      </c>
      <c r="L140" s="59">
        <f t="shared" si="62"/>
        <v>3833.6666666666665</v>
      </c>
      <c r="M140" s="35">
        <f t="shared" si="62"/>
        <v>1783.6666666666667</v>
      </c>
    </row>
    <row r="141" spans="1:14" outlineLevel="1" x14ac:dyDescent="0.2">
      <c r="A141" s="20">
        <f t="shared" si="57"/>
        <v>3658</v>
      </c>
      <c r="B141" s="19" t="str">
        <f t="shared" si="57"/>
        <v>UT</v>
      </c>
      <c r="C141" s="58">
        <f t="shared" si="58"/>
        <v>66060.878269723427</v>
      </c>
      <c r="D141" s="15">
        <f t="shared" si="59"/>
        <v>8946.3333333333339</v>
      </c>
      <c r="E141" s="14">
        <f t="shared" si="60"/>
        <v>7416.5103333333345</v>
      </c>
      <c r="F141" s="14">
        <f t="shared" si="61"/>
        <v>1324.8846030562338</v>
      </c>
      <c r="G141" s="13">
        <f t="shared" si="62"/>
        <v>19398.350000000519</v>
      </c>
      <c r="H141" s="15">
        <f t="shared" si="62"/>
        <v>1876.3333333333333</v>
      </c>
      <c r="I141" s="13">
        <f t="shared" si="62"/>
        <v>66</v>
      </c>
      <c r="J141" s="16">
        <f t="shared" si="62"/>
        <v>1388.1333333333334</v>
      </c>
      <c r="K141" s="15">
        <f t="shared" si="62"/>
        <v>9598.3333333333339</v>
      </c>
      <c r="L141" s="14">
        <f t="shared" si="62"/>
        <v>9005.6666666666661</v>
      </c>
      <c r="M141" s="13">
        <f t="shared" si="62"/>
        <v>7040.333333333333</v>
      </c>
    </row>
    <row r="142" spans="1:14" outlineLevel="1" x14ac:dyDescent="0.2">
      <c r="A142" s="20">
        <f t="shared" si="57"/>
        <v>9741</v>
      </c>
      <c r="B142" s="19" t="str">
        <f t="shared" si="57"/>
        <v>UTD</v>
      </c>
      <c r="C142" s="58">
        <f t="shared" si="58"/>
        <v>17970.17035916535</v>
      </c>
      <c r="D142" s="15">
        <f t="shared" si="59"/>
        <v>2393</v>
      </c>
      <c r="E142" s="14">
        <f t="shared" si="60"/>
        <v>1682.279</v>
      </c>
      <c r="F142" s="14">
        <f t="shared" si="61"/>
        <v>1341.4880258319133</v>
      </c>
      <c r="G142" s="13">
        <f t="shared" si="62"/>
        <v>5101.2033333334393</v>
      </c>
      <c r="H142" s="15">
        <f t="shared" si="62"/>
        <v>421.66666666666669</v>
      </c>
      <c r="I142" s="13">
        <f t="shared" si="62"/>
        <v>32</v>
      </c>
      <c r="J142" s="16">
        <f t="shared" si="62"/>
        <v>527.86666666666667</v>
      </c>
      <c r="K142" s="15">
        <f t="shared" si="62"/>
        <v>3315</v>
      </c>
      <c r="L142" s="14">
        <f t="shared" si="62"/>
        <v>2134.3333333333335</v>
      </c>
      <c r="M142" s="13">
        <f t="shared" si="62"/>
        <v>1021.3333333333334</v>
      </c>
    </row>
    <row r="143" spans="1:14" outlineLevel="1" x14ac:dyDescent="0.2">
      <c r="A143" s="20">
        <f t="shared" si="57"/>
        <v>3661</v>
      </c>
      <c r="B143" s="19" t="str">
        <f t="shared" si="57"/>
        <v>UTEP</v>
      </c>
      <c r="C143" s="58">
        <f t="shared" si="58"/>
        <v>23098.251393467981</v>
      </c>
      <c r="D143" s="15">
        <f t="shared" si="59"/>
        <v>3057</v>
      </c>
      <c r="E143" s="14">
        <f t="shared" si="60"/>
        <v>1192.2299999999998</v>
      </c>
      <c r="F143" s="14">
        <f t="shared" si="61"/>
        <v>1143.5447268011671</v>
      </c>
      <c r="G143" s="13">
        <f t="shared" si="62"/>
        <v>6298.0766666668133</v>
      </c>
      <c r="H143" s="15">
        <f t="shared" si="62"/>
        <v>655</v>
      </c>
      <c r="I143" s="13">
        <f t="shared" si="62"/>
        <v>90</v>
      </c>
      <c r="J143" s="16">
        <f t="shared" si="62"/>
        <v>985.73333333333346</v>
      </c>
      <c r="K143" s="15">
        <f t="shared" si="62"/>
        <v>4362.666666666667</v>
      </c>
      <c r="L143" s="14">
        <f t="shared" si="62"/>
        <v>3358</v>
      </c>
      <c r="M143" s="13">
        <f t="shared" si="62"/>
        <v>1956</v>
      </c>
    </row>
    <row r="144" spans="1:14" outlineLevel="1" x14ac:dyDescent="0.2">
      <c r="A144" s="20">
        <f t="shared" si="57"/>
        <v>3599</v>
      </c>
      <c r="B144" s="19" t="str">
        <f t="shared" si="57"/>
        <v>UTPA</v>
      </c>
      <c r="C144" s="58">
        <f t="shared" si="58"/>
        <v>20445.104524975006</v>
      </c>
      <c r="D144" s="15">
        <f t="shared" si="59"/>
        <v>2580</v>
      </c>
      <c r="E144" s="14">
        <f t="shared" si="60"/>
        <v>1111.98</v>
      </c>
      <c r="F144" s="14">
        <f t="shared" si="61"/>
        <v>1024.6245249748918</v>
      </c>
      <c r="G144" s="13">
        <f t="shared" si="62"/>
        <v>5134.1666666667797</v>
      </c>
      <c r="H144" s="15">
        <f t="shared" si="62"/>
        <v>520.33333333333337</v>
      </c>
      <c r="I144" s="13">
        <f t="shared" si="62"/>
        <v>28</v>
      </c>
      <c r="J144" s="16">
        <f t="shared" si="62"/>
        <v>935.33333333333348</v>
      </c>
      <c r="K144" s="15">
        <f t="shared" si="62"/>
        <v>4075.3333333333335</v>
      </c>
      <c r="L144" s="14">
        <f t="shared" si="62"/>
        <v>3096</v>
      </c>
      <c r="M144" s="13">
        <f t="shared" si="62"/>
        <v>1939.3333333333333</v>
      </c>
    </row>
    <row r="145" spans="1:13" outlineLevel="1" x14ac:dyDescent="0.2">
      <c r="A145" s="20">
        <f t="shared" si="57"/>
        <v>30646</v>
      </c>
      <c r="B145" s="19" t="str">
        <f t="shared" si="57"/>
        <v>UTB</v>
      </c>
      <c r="C145" s="58">
        <f t="shared" si="58"/>
        <v>8041.6927429498728</v>
      </c>
      <c r="D145" s="15">
        <f t="shared" si="59"/>
        <v>1092</v>
      </c>
      <c r="E145" s="14">
        <f t="shared" si="60"/>
        <v>628.17092451302005</v>
      </c>
      <c r="F145" s="14">
        <f t="shared" si="61"/>
        <v>1723.0618184368313</v>
      </c>
      <c r="G145" s="13">
        <f t="shared" si="62"/>
        <v>2097.7933333333553</v>
      </c>
      <c r="H145" s="15">
        <f t="shared" si="62"/>
        <v>124.33333333333333</v>
      </c>
      <c r="I145" s="13">
        <f t="shared" si="62"/>
        <v>18.333333333333332</v>
      </c>
      <c r="J145" s="16">
        <f t="shared" si="62"/>
        <v>374.66666666666669</v>
      </c>
      <c r="K145" s="15">
        <f t="shared" si="62"/>
        <v>1326.3333333333333</v>
      </c>
      <c r="L145" s="14">
        <f t="shared" si="62"/>
        <v>556.33333333333337</v>
      </c>
      <c r="M145" s="13">
        <f t="shared" si="62"/>
        <v>100.66666666666667</v>
      </c>
    </row>
    <row r="146" spans="1:13" outlineLevel="1" x14ac:dyDescent="0.2">
      <c r="A146" s="20">
        <f t="shared" si="57"/>
        <v>9930</v>
      </c>
      <c r="B146" s="19" t="str">
        <f t="shared" si="57"/>
        <v>UTPB</v>
      </c>
      <c r="C146" s="58">
        <f t="shared" si="58"/>
        <v>4610.5087321623041</v>
      </c>
      <c r="D146" s="15">
        <f t="shared" si="59"/>
        <v>533.33333333333337</v>
      </c>
      <c r="E146" s="14">
        <f t="shared" si="60"/>
        <v>236.8</v>
      </c>
      <c r="F146" s="14">
        <f t="shared" si="61"/>
        <v>1156.2587321623005</v>
      </c>
      <c r="G146" s="13">
        <f t="shared" si="62"/>
        <v>1001.5166666666704</v>
      </c>
      <c r="H146" s="15">
        <f t="shared" si="62"/>
        <v>41.333333333333336</v>
      </c>
      <c r="I146" s="13">
        <f t="shared" si="62"/>
        <v>10</v>
      </c>
      <c r="J146" s="16">
        <f t="shared" si="62"/>
        <v>159.60000000000002</v>
      </c>
      <c r="K146" s="15">
        <f t="shared" si="62"/>
        <v>785.66666666666663</v>
      </c>
      <c r="L146" s="14">
        <f t="shared" si="62"/>
        <v>491.66666666666669</v>
      </c>
      <c r="M146" s="13">
        <f t="shared" si="62"/>
        <v>194.33333333333334</v>
      </c>
    </row>
    <row r="147" spans="1:13" outlineLevel="1" x14ac:dyDescent="0.2">
      <c r="A147" s="20">
        <f t="shared" si="57"/>
        <v>10115</v>
      </c>
      <c r="B147" s="19" t="str">
        <f t="shared" si="57"/>
        <v>UTSA</v>
      </c>
      <c r="C147" s="58">
        <f t="shared" si="58"/>
        <v>30858.191149512757</v>
      </c>
      <c r="D147" s="15">
        <f t="shared" si="59"/>
        <v>4119.666666666667</v>
      </c>
      <c r="E147" s="14">
        <f t="shared" si="60"/>
        <v>1737.1261111111112</v>
      </c>
      <c r="F147" s="14">
        <f t="shared" si="61"/>
        <v>1012.0517050684201</v>
      </c>
      <c r="G147" s="13">
        <f t="shared" si="62"/>
        <v>8414.213333333224</v>
      </c>
      <c r="H147" s="15">
        <f t="shared" si="62"/>
        <v>392</v>
      </c>
      <c r="I147" s="13">
        <f t="shared" si="62"/>
        <v>49.666666666666664</v>
      </c>
      <c r="J147" s="16">
        <f t="shared" si="62"/>
        <v>1249.4666666666667</v>
      </c>
      <c r="K147" s="15">
        <f t="shared" si="62"/>
        <v>6809.666666666667</v>
      </c>
      <c r="L147" s="14">
        <f t="shared" si="62"/>
        <v>4458.666666666667</v>
      </c>
      <c r="M147" s="13">
        <f t="shared" si="62"/>
        <v>2615.6666666666665</v>
      </c>
    </row>
    <row r="148" spans="1:13" outlineLevel="1" x14ac:dyDescent="0.2">
      <c r="A148" s="20">
        <f t="shared" si="57"/>
        <v>11163</v>
      </c>
      <c r="B148" s="19" t="str">
        <f t="shared" si="57"/>
        <v>UTT</v>
      </c>
      <c r="C148" s="58">
        <f t="shared" si="58"/>
        <v>9110.3570258576055</v>
      </c>
      <c r="D148" s="15">
        <f t="shared" si="59"/>
        <v>1190</v>
      </c>
      <c r="E148" s="14">
        <f t="shared" si="60"/>
        <v>613.64333333333343</v>
      </c>
      <c r="F148" s="14">
        <f t="shared" si="61"/>
        <v>1462.7870258575947</v>
      </c>
      <c r="G148" s="13">
        <f t="shared" si="62"/>
        <v>2362.6600000000103</v>
      </c>
      <c r="H148" s="15">
        <f t="shared" si="62"/>
        <v>376.66666666666669</v>
      </c>
      <c r="I148" s="13">
        <f t="shared" si="62"/>
        <v>14</v>
      </c>
      <c r="J148" s="16">
        <f t="shared" si="62"/>
        <v>376.93333333333339</v>
      </c>
      <c r="K148" s="15">
        <f t="shared" si="62"/>
        <v>1436.3333333333333</v>
      </c>
      <c r="L148" s="14">
        <f t="shared" si="62"/>
        <v>890</v>
      </c>
      <c r="M148" s="13">
        <f t="shared" si="62"/>
        <v>387.33333333333331</v>
      </c>
    </row>
    <row r="149" spans="1:13" outlineLevel="1" x14ac:dyDescent="0.2">
      <c r="A149" s="20">
        <f t="shared" si="57"/>
        <v>3632</v>
      </c>
      <c r="B149" s="19" t="str">
        <f t="shared" si="57"/>
        <v>TAMU</v>
      </c>
      <c r="C149" s="58">
        <f t="shared" si="58"/>
        <v>66697.990772986712</v>
      </c>
      <c r="D149" s="15">
        <f t="shared" si="59"/>
        <v>8739.6666666666661</v>
      </c>
      <c r="E149" s="14">
        <f t="shared" si="60"/>
        <v>7347.1464444444427</v>
      </c>
      <c r="F149" s="14">
        <f t="shared" si="61"/>
        <v>1262.094328542134</v>
      </c>
      <c r="G149" s="13">
        <f t="shared" si="62"/>
        <v>20104.8166666668</v>
      </c>
      <c r="H149" s="15">
        <f t="shared" si="62"/>
        <v>1763</v>
      </c>
      <c r="I149" s="13">
        <f t="shared" si="62"/>
        <v>126</v>
      </c>
      <c r="J149" s="16">
        <f t="shared" si="62"/>
        <v>1489.6000000000001</v>
      </c>
      <c r="K149" s="15">
        <f t="shared" si="62"/>
        <v>10060.666666666666</v>
      </c>
      <c r="L149" s="14">
        <f t="shared" si="62"/>
        <v>8907.3333333333339</v>
      </c>
      <c r="M149" s="13">
        <f t="shared" si="62"/>
        <v>6897.666666666667</v>
      </c>
    </row>
    <row r="150" spans="1:13" outlineLevel="1" x14ac:dyDescent="0.2">
      <c r="A150" s="20">
        <f t="shared" si="57"/>
        <v>10298</v>
      </c>
      <c r="B150" s="19" t="str">
        <f t="shared" si="57"/>
        <v>TAMUG</v>
      </c>
      <c r="C150" s="58">
        <f t="shared" si="58"/>
        <v>4843.3762524354061</v>
      </c>
      <c r="D150" s="15">
        <f>D192*D$139*1.5</f>
        <v>413</v>
      </c>
      <c r="E150" s="14">
        <f>D192*E192*E$139*1.5</f>
        <v>259.08866666666665</v>
      </c>
      <c r="F150" s="14">
        <f>IFERROR(D192/F192*100*F$139,0)*1.5</f>
        <v>1229.9475857687421</v>
      </c>
      <c r="G150" s="13">
        <f t="shared" ref="G150:M150" si="63">G192*G$139*1.5</f>
        <v>1056.0399999999968</v>
      </c>
      <c r="H150" s="15">
        <f t="shared" si="63"/>
        <v>56</v>
      </c>
      <c r="I150" s="13">
        <f t="shared" si="63"/>
        <v>0</v>
      </c>
      <c r="J150" s="16">
        <f t="shared" si="63"/>
        <v>94.800000000000011</v>
      </c>
      <c r="K150" s="15">
        <f t="shared" si="63"/>
        <v>888.5</v>
      </c>
      <c r="L150" s="14">
        <f t="shared" si="63"/>
        <v>477</v>
      </c>
      <c r="M150" s="13">
        <f t="shared" si="63"/>
        <v>369</v>
      </c>
    </row>
    <row r="151" spans="1:13" outlineLevel="1" x14ac:dyDescent="0.2">
      <c r="A151" s="20">
        <f t="shared" si="57"/>
        <v>3630</v>
      </c>
      <c r="B151" s="19" t="str">
        <f t="shared" si="57"/>
        <v>Prairie View</v>
      </c>
      <c r="C151" s="58">
        <f t="shared" si="58"/>
        <v>8549.1549568204082</v>
      </c>
      <c r="D151" s="15">
        <f t="shared" ref="D151:D177" si="64">D193*D$139</f>
        <v>936.33333333333337</v>
      </c>
      <c r="E151" s="14">
        <f t="shared" ref="E151:E177" si="65">D193*E193*E$139</f>
        <v>348.00388888888887</v>
      </c>
      <c r="F151" s="14">
        <f t="shared" ref="F151:F177" si="66">IFERROR(D193/F193*100*F$139,0)</f>
        <v>791.18440126484359</v>
      </c>
      <c r="G151" s="13">
        <f t="shared" ref="G151:M166" si="67">G193*G$139</f>
        <v>2072.9000000000092</v>
      </c>
      <c r="H151" s="15">
        <f t="shared" si="67"/>
        <v>315.66666666666669</v>
      </c>
      <c r="I151" s="13">
        <f t="shared" si="67"/>
        <v>9.6666666666666661</v>
      </c>
      <c r="J151" s="16">
        <f t="shared" si="67"/>
        <v>321.06666666666666</v>
      </c>
      <c r="K151" s="15">
        <f t="shared" si="67"/>
        <v>1668</v>
      </c>
      <c r="L151" s="14">
        <f t="shared" si="67"/>
        <v>1181</v>
      </c>
      <c r="M151" s="13">
        <f t="shared" si="67"/>
        <v>905.33333333333337</v>
      </c>
    </row>
    <row r="152" spans="1:13" outlineLevel="1" x14ac:dyDescent="0.2">
      <c r="A152" s="20">
        <f t="shared" si="57"/>
        <v>3631</v>
      </c>
      <c r="B152" s="19" t="str">
        <f t="shared" si="57"/>
        <v>Tarleton</v>
      </c>
      <c r="C152" s="58">
        <f t="shared" si="58"/>
        <v>11708.867720949642</v>
      </c>
      <c r="D152" s="15">
        <f t="shared" si="64"/>
        <v>1545.3333333333333</v>
      </c>
      <c r="E152" s="14">
        <f t="shared" si="65"/>
        <v>738.66933333333338</v>
      </c>
      <c r="F152" s="14">
        <f t="shared" si="66"/>
        <v>1227.988387616283</v>
      </c>
      <c r="G152" s="13">
        <f t="shared" si="67"/>
        <v>3122.5433333333599</v>
      </c>
      <c r="H152" s="15">
        <f t="shared" si="67"/>
        <v>203</v>
      </c>
      <c r="I152" s="13">
        <f t="shared" si="67"/>
        <v>47.666666666666664</v>
      </c>
      <c r="J152" s="16">
        <f t="shared" si="67"/>
        <v>478</v>
      </c>
      <c r="K152" s="15">
        <f t="shared" si="67"/>
        <v>2154.3333333333335</v>
      </c>
      <c r="L152" s="14">
        <f t="shared" si="67"/>
        <v>1328.6666666666667</v>
      </c>
      <c r="M152" s="13">
        <f t="shared" si="67"/>
        <v>862.66666666666663</v>
      </c>
    </row>
    <row r="153" spans="1:13" outlineLevel="1" x14ac:dyDescent="0.2">
      <c r="A153" s="27">
        <f t="shared" si="57"/>
        <v>103631</v>
      </c>
      <c r="B153" s="19" t="str">
        <f t="shared" si="57"/>
        <v>TAMUCT</v>
      </c>
      <c r="C153" s="58">
        <f t="shared" si="58"/>
        <v>5746.8484761003619</v>
      </c>
      <c r="D153" s="15">
        <f t="shared" si="64"/>
        <v>460.33333333333331</v>
      </c>
      <c r="E153" s="14">
        <f t="shared" si="65"/>
        <v>220.03933333333333</v>
      </c>
      <c r="F153" s="14">
        <f t="shared" si="66"/>
        <v>3379.3924761003623</v>
      </c>
      <c r="G153" s="13">
        <f t="shared" si="67"/>
        <v>853.61666666666588</v>
      </c>
      <c r="H153" s="15">
        <f t="shared" si="67"/>
        <v>40.666666666666664</v>
      </c>
      <c r="I153" s="13">
        <f t="shared" si="67"/>
        <v>0</v>
      </c>
      <c r="J153" s="16">
        <f t="shared" si="67"/>
        <v>130.80000000000001</v>
      </c>
      <c r="K153" s="15">
        <f t="shared" si="67"/>
        <v>495</v>
      </c>
      <c r="L153" s="14">
        <f t="shared" si="67"/>
        <v>133</v>
      </c>
      <c r="M153" s="13">
        <f t="shared" si="67"/>
        <v>34</v>
      </c>
    </row>
    <row r="154" spans="1:13" outlineLevel="1" x14ac:dyDescent="0.2">
      <c r="A154" s="20">
        <f t="shared" si="57"/>
        <v>11161</v>
      </c>
      <c r="B154" s="19" t="str">
        <f t="shared" si="57"/>
        <v>TAMUCC</v>
      </c>
      <c r="C154" s="58">
        <f t="shared" si="58"/>
        <v>11090.965703141053</v>
      </c>
      <c r="D154" s="15">
        <f t="shared" si="64"/>
        <v>1388.3333333333333</v>
      </c>
      <c r="E154" s="14">
        <f t="shared" si="65"/>
        <v>705.27333333333331</v>
      </c>
      <c r="F154" s="14">
        <f t="shared" si="66"/>
        <v>1068.8257031410387</v>
      </c>
      <c r="G154" s="13">
        <f t="shared" si="67"/>
        <v>2804.2000000000139</v>
      </c>
      <c r="H154" s="15">
        <f t="shared" si="67"/>
        <v>266.33333333333331</v>
      </c>
      <c r="I154" s="13">
        <f t="shared" si="67"/>
        <v>25.666666666666668</v>
      </c>
      <c r="J154" s="16">
        <f t="shared" si="67"/>
        <v>432</v>
      </c>
      <c r="K154" s="15">
        <f t="shared" si="67"/>
        <v>2054</v>
      </c>
      <c r="L154" s="14">
        <f t="shared" si="67"/>
        <v>1468</v>
      </c>
      <c r="M154" s="13">
        <f t="shared" si="67"/>
        <v>878.33333333333337</v>
      </c>
    </row>
    <row r="155" spans="1:13" outlineLevel="1" x14ac:dyDescent="0.2">
      <c r="A155" s="20">
        <f t="shared" si="57"/>
        <v>3639</v>
      </c>
      <c r="B155" s="19" t="str">
        <f t="shared" si="57"/>
        <v>TAMUK</v>
      </c>
      <c r="C155" s="58">
        <f t="shared" si="58"/>
        <v>6907.2055164319308</v>
      </c>
      <c r="D155" s="15">
        <f t="shared" si="64"/>
        <v>761.66666666666663</v>
      </c>
      <c r="E155" s="14">
        <f t="shared" si="65"/>
        <v>306.44388888888892</v>
      </c>
      <c r="F155" s="14">
        <f t="shared" si="66"/>
        <v>893.97496087636932</v>
      </c>
      <c r="G155" s="13">
        <f t="shared" si="67"/>
        <v>1763.4533333333395</v>
      </c>
      <c r="H155" s="15">
        <f t="shared" si="67"/>
        <v>260</v>
      </c>
      <c r="I155" s="13">
        <f t="shared" si="67"/>
        <v>16.666666666666668</v>
      </c>
      <c r="J155" s="16">
        <f t="shared" si="67"/>
        <v>259.33333333333337</v>
      </c>
      <c r="K155" s="15">
        <f t="shared" si="67"/>
        <v>1227.3333333333333</v>
      </c>
      <c r="L155" s="14">
        <f t="shared" si="67"/>
        <v>859.66666666666663</v>
      </c>
      <c r="M155" s="13">
        <f t="shared" si="67"/>
        <v>558.66666666666663</v>
      </c>
    </row>
    <row r="156" spans="1:13" outlineLevel="1" x14ac:dyDescent="0.2">
      <c r="A156" s="27">
        <f t="shared" si="57"/>
        <v>103639</v>
      </c>
      <c r="B156" s="19" t="str">
        <f t="shared" si="57"/>
        <v>TAMUSA</v>
      </c>
      <c r="C156" s="58">
        <f t="shared" si="58"/>
        <v>4942.8430131574396</v>
      </c>
      <c r="D156" s="15">
        <f t="shared" si="64"/>
        <v>587.66666666666663</v>
      </c>
      <c r="E156" s="14">
        <f t="shared" si="65"/>
        <v>236.43788888888889</v>
      </c>
      <c r="F156" s="14">
        <f t="shared" si="66"/>
        <v>2079.9251242685459</v>
      </c>
      <c r="G156" s="13">
        <f t="shared" si="67"/>
        <v>1026.0133333333379</v>
      </c>
      <c r="H156" s="15">
        <f t="shared" si="67"/>
        <v>5</v>
      </c>
      <c r="I156" s="13">
        <f t="shared" si="67"/>
        <v>2</v>
      </c>
      <c r="J156" s="16">
        <f t="shared" si="67"/>
        <v>196.13333333333333</v>
      </c>
      <c r="K156" s="15">
        <f t="shared" si="67"/>
        <v>729.66666666666663</v>
      </c>
      <c r="L156" s="14">
        <f t="shared" si="67"/>
        <v>77.333333333333329</v>
      </c>
      <c r="M156" s="13">
        <f t="shared" si="67"/>
        <v>2.6666666666666665</v>
      </c>
    </row>
    <row r="157" spans="1:13" outlineLevel="1" x14ac:dyDescent="0.2">
      <c r="A157" s="20">
        <f t="shared" si="57"/>
        <v>9651</v>
      </c>
      <c r="B157" s="19" t="str">
        <f t="shared" si="57"/>
        <v>TAMI</v>
      </c>
      <c r="C157" s="58">
        <f t="shared" si="58"/>
        <v>6907.3132729646004</v>
      </c>
      <c r="D157" s="15">
        <f t="shared" si="64"/>
        <v>789.66666666666663</v>
      </c>
      <c r="E157" s="14">
        <f t="shared" si="65"/>
        <v>373.77555555555551</v>
      </c>
      <c r="F157" s="14">
        <f t="shared" si="66"/>
        <v>966.30771740903901</v>
      </c>
      <c r="G157" s="13">
        <f t="shared" si="67"/>
        <v>1458.4966666666717</v>
      </c>
      <c r="H157" s="15">
        <f t="shared" si="67"/>
        <v>115.66666666666667</v>
      </c>
      <c r="I157" s="13">
        <f t="shared" si="67"/>
        <v>22.333333333333332</v>
      </c>
      <c r="J157" s="16">
        <f t="shared" si="67"/>
        <v>285.06666666666666</v>
      </c>
      <c r="K157" s="15">
        <f t="shared" si="67"/>
        <v>1406.6666666666667</v>
      </c>
      <c r="L157" s="14">
        <f t="shared" si="67"/>
        <v>1015.6666666666666</v>
      </c>
      <c r="M157" s="13">
        <f t="shared" si="67"/>
        <v>473.66666666666669</v>
      </c>
    </row>
    <row r="158" spans="1:13" outlineLevel="1" x14ac:dyDescent="0.2">
      <c r="A158" s="20">
        <f t="shared" si="57"/>
        <v>3665</v>
      </c>
      <c r="B158" s="19" t="str">
        <f t="shared" si="57"/>
        <v>WTAMU</v>
      </c>
      <c r="C158" s="58">
        <f t="shared" si="58"/>
        <v>9783.3632038127744</v>
      </c>
      <c r="D158" s="15">
        <f t="shared" si="64"/>
        <v>1255.6666666666667</v>
      </c>
      <c r="E158" s="14">
        <f t="shared" si="65"/>
        <v>591.00044444444438</v>
      </c>
      <c r="F158" s="14">
        <f t="shared" si="66"/>
        <v>1159.3860927016435</v>
      </c>
      <c r="G158" s="13">
        <f t="shared" si="67"/>
        <v>2503.5766666666836</v>
      </c>
      <c r="H158" s="15">
        <f t="shared" si="67"/>
        <v>191.66666666666666</v>
      </c>
      <c r="I158" s="13">
        <f t="shared" si="67"/>
        <v>60.666666666666664</v>
      </c>
      <c r="J158" s="16">
        <f t="shared" si="67"/>
        <v>355.73333333333335</v>
      </c>
      <c r="K158" s="15">
        <f t="shared" si="67"/>
        <v>1791.6666666666667</v>
      </c>
      <c r="L158" s="14">
        <f t="shared" si="67"/>
        <v>1212.6666666666667</v>
      </c>
      <c r="M158" s="13">
        <f t="shared" si="67"/>
        <v>661.33333333333337</v>
      </c>
    </row>
    <row r="159" spans="1:13" outlineLevel="1" x14ac:dyDescent="0.2">
      <c r="A159" s="20">
        <f t="shared" si="57"/>
        <v>3565</v>
      </c>
      <c r="B159" s="19" t="str">
        <f t="shared" si="57"/>
        <v>TAMUC</v>
      </c>
      <c r="C159" s="58">
        <f t="shared" si="58"/>
        <v>9856.371768134617</v>
      </c>
      <c r="D159" s="15">
        <f t="shared" si="64"/>
        <v>1324.3333333333333</v>
      </c>
      <c r="E159" s="14">
        <f t="shared" si="65"/>
        <v>582.70666666666659</v>
      </c>
      <c r="F159" s="14">
        <f t="shared" si="66"/>
        <v>1409.7717681345925</v>
      </c>
      <c r="G159" s="13">
        <f t="shared" si="67"/>
        <v>2501.8266666666914</v>
      </c>
      <c r="H159" s="15">
        <f t="shared" si="67"/>
        <v>73</v>
      </c>
      <c r="I159" s="13">
        <f t="shared" si="67"/>
        <v>74.333333333333329</v>
      </c>
      <c r="J159" s="16">
        <f t="shared" si="67"/>
        <v>407.73333333333335</v>
      </c>
      <c r="K159" s="15">
        <f t="shared" si="67"/>
        <v>1893</v>
      </c>
      <c r="L159" s="14">
        <f t="shared" si="67"/>
        <v>1137.3333333333333</v>
      </c>
      <c r="M159" s="13">
        <f t="shared" si="67"/>
        <v>452.33333333333331</v>
      </c>
    </row>
    <row r="160" spans="1:13" outlineLevel="1" x14ac:dyDescent="0.2">
      <c r="A160" s="20">
        <f t="shared" ref="A160:B177" si="68">A25</f>
        <v>29269</v>
      </c>
      <c r="B160" s="19" t="str">
        <f t="shared" si="68"/>
        <v>TAMUT</v>
      </c>
      <c r="C160" s="58">
        <f t="shared" si="58"/>
        <v>3862.1880195561812</v>
      </c>
      <c r="D160" s="15">
        <f t="shared" si="64"/>
        <v>345.66666666666669</v>
      </c>
      <c r="E160" s="14">
        <f t="shared" si="65"/>
        <v>187.3602625468375</v>
      </c>
      <c r="F160" s="14">
        <f t="shared" si="66"/>
        <v>1938.3177570093458</v>
      </c>
      <c r="G160" s="13">
        <f t="shared" si="67"/>
        <v>619.90999999999826</v>
      </c>
      <c r="H160" s="15">
        <f t="shared" si="67"/>
        <v>41.666666666666664</v>
      </c>
      <c r="I160" s="13">
        <f t="shared" si="67"/>
        <v>19.333333333333332</v>
      </c>
      <c r="J160" s="16">
        <f t="shared" si="67"/>
        <v>95.600000000000009</v>
      </c>
      <c r="K160" s="15">
        <f t="shared" si="67"/>
        <v>432.66666666666669</v>
      </c>
      <c r="L160" s="14">
        <f t="shared" si="67"/>
        <v>181</v>
      </c>
      <c r="M160" s="13">
        <f t="shared" si="67"/>
        <v>0.66666666666666663</v>
      </c>
    </row>
    <row r="161" spans="1:14" outlineLevel="1" x14ac:dyDescent="0.2">
      <c r="A161" s="20">
        <f t="shared" si="68"/>
        <v>3652</v>
      </c>
      <c r="B161" s="19" t="str">
        <f t="shared" si="68"/>
        <v>UH</v>
      </c>
      <c r="C161" s="58">
        <f t="shared" si="58"/>
        <v>38233.6173727895</v>
      </c>
      <c r="D161" s="15">
        <f t="shared" si="64"/>
        <v>5098.666666666667</v>
      </c>
      <c r="E161" s="14">
        <f t="shared" si="65"/>
        <v>2734.5848888888891</v>
      </c>
      <c r="F161" s="14">
        <f t="shared" si="66"/>
        <v>1071.2524839013313</v>
      </c>
      <c r="G161" s="13">
        <f t="shared" si="67"/>
        <v>10580.246666665944</v>
      </c>
      <c r="H161" s="15">
        <f t="shared" si="67"/>
        <v>737</v>
      </c>
      <c r="I161" s="13">
        <f t="shared" si="67"/>
        <v>62.666666666666664</v>
      </c>
      <c r="J161" s="16">
        <f t="shared" si="67"/>
        <v>1349.2</v>
      </c>
      <c r="K161" s="15">
        <f t="shared" si="67"/>
        <v>7602.333333333333</v>
      </c>
      <c r="L161" s="14">
        <f t="shared" si="67"/>
        <v>5690.333333333333</v>
      </c>
      <c r="M161" s="13">
        <f t="shared" si="67"/>
        <v>3307.3333333333335</v>
      </c>
    </row>
    <row r="162" spans="1:14" outlineLevel="1" x14ac:dyDescent="0.2">
      <c r="A162" s="20">
        <f t="shared" si="68"/>
        <v>11711</v>
      </c>
      <c r="B162" s="19" t="str">
        <f t="shared" si="68"/>
        <v>UHCL</v>
      </c>
      <c r="C162" s="58">
        <f t="shared" si="58"/>
        <v>8904.3756784305024</v>
      </c>
      <c r="D162" s="15">
        <f t="shared" si="64"/>
        <v>1190.6666666666667</v>
      </c>
      <c r="E162" s="14">
        <f t="shared" si="65"/>
        <v>619.34267935898833</v>
      </c>
      <c r="F162" s="14">
        <f t="shared" si="66"/>
        <v>1984.6796657381617</v>
      </c>
      <c r="G162" s="13">
        <f t="shared" si="67"/>
        <v>2282.9533333333529</v>
      </c>
      <c r="H162" s="15">
        <f t="shared" si="67"/>
        <v>106.66666666666667</v>
      </c>
      <c r="I162" s="13">
        <f t="shared" si="67"/>
        <v>8.3333333333333339</v>
      </c>
      <c r="J162" s="16">
        <f t="shared" si="67"/>
        <v>309.73333333333335</v>
      </c>
      <c r="K162" s="15">
        <f t="shared" si="67"/>
        <v>1391.3333333333333</v>
      </c>
      <c r="L162" s="14">
        <f t="shared" si="67"/>
        <v>953.66666666666663</v>
      </c>
      <c r="M162" s="13">
        <f t="shared" si="67"/>
        <v>57</v>
      </c>
    </row>
    <row r="163" spans="1:14" outlineLevel="1" x14ac:dyDescent="0.2">
      <c r="A163" s="20">
        <f t="shared" si="68"/>
        <v>12826</v>
      </c>
      <c r="B163" s="19" t="str">
        <f t="shared" si="68"/>
        <v>UHD</v>
      </c>
      <c r="C163" s="58">
        <f t="shared" si="58"/>
        <v>14980.011593154361</v>
      </c>
      <c r="D163" s="15">
        <f t="shared" si="64"/>
        <v>2382.3333333333335</v>
      </c>
      <c r="E163" s="14">
        <f t="shared" si="65"/>
        <v>452.64333333333343</v>
      </c>
      <c r="F163" s="14">
        <f t="shared" si="66"/>
        <v>1491.6515931543067</v>
      </c>
      <c r="G163" s="13">
        <f t="shared" si="67"/>
        <v>4271.3166666667212</v>
      </c>
      <c r="H163" s="15">
        <f t="shared" si="67"/>
        <v>129.66666666666666</v>
      </c>
      <c r="I163" s="13">
        <f t="shared" si="67"/>
        <v>1.6666666666666667</v>
      </c>
      <c r="J163" s="16">
        <f t="shared" si="67"/>
        <v>672.40000000000009</v>
      </c>
      <c r="K163" s="15">
        <f t="shared" si="67"/>
        <v>3105.3333333333335</v>
      </c>
      <c r="L163" s="14">
        <f t="shared" si="67"/>
        <v>1868.3333333333333</v>
      </c>
      <c r="M163" s="13">
        <f t="shared" si="67"/>
        <v>604.66666666666663</v>
      </c>
    </row>
    <row r="164" spans="1:14" outlineLevel="1" x14ac:dyDescent="0.2">
      <c r="A164" s="20">
        <f t="shared" si="68"/>
        <v>13231</v>
      </c>
      <c r="B164" s="19" t="str">
        <f t="shared" si="68"/>
        <v>UHV</v>
      </c>
      <c r="C164" s="58">
        <f t="shared" si="58"/>
        <v>5253.5079074618034</v>
      </c>
      <c r="D164" s="15">
        <f t="shared" si="64"/>
        <v>576.66666666666663</v>
      </c>
      <c r="E164" s="14">
        <f t="shared" si="65"/>
        <v>300.19546283886069</v>
      </c>
      <c r="F164" s="14">
        <f t="shared" si="66"/>
        <v>2004.2324446229416</v>
      </c>
      <c r="G164" s="13">
        <f t="shared" si="67"/>
        <v>1084.4800000000012</v>
      </c>
      <c r="H164" s="15">
        <f t="shared" si="67"/>
        <v>108</v>
      </c>
      <c r="I164" s="13">
        <f t="shared" si="67"/>
        <v>7.333333333333333</v>
      </c>
      <c r="J164" s="16">
        <f t="shared" si="67"/>
        <v>153.60000000000002</v>
      </c>
      <c r="K164" s="15">
        <f t="shared" si="67"/>
        <v>716</v>
      </c>
      <c r="L164" s="14">
        <f t="shared" si="67"/>
        <v>296.33333333333331</v>
      </c>
      <c r="M164" s="13">
        <f t="shared" si="67"/>
        <v>6.666666666666667</v>
      </c>
    </row>
    <row r="165" spans="1:14" outlineLevel="1" x14ac:dyDescent="0.2">
      <c r="A165" s="20">
        <f t="shared" si="68"/>
        <v>3592</v>
      </c>
      <c r="B165" s="19" t="str">
        <f t="shared" si="68"/>
        <v>Midwestern</v>
      </c>
      <c r="C165" s="58">
        <f t="shared" si="58"/>
        <v>8441.1716629572893</v>
      </c>
      <c r="D165" s="15">
        <f t="shared" si="64"/>
        <v>1031.6666666666667</v>
      </c>
      <c r="E165" s="14">
        <f t="shared" si="65"/>
        <v>453.24555555555554</v>
      </c>
      <c r="F165" s="14">
        <f t="shared" si="66"/>
        <v>1206.12610740173</v>
      </c>
      <c r="G165" s="13">
        <f t="shared" si="67"/>
        <v>1962.0000000000034</v>
      </c>
      <c r="H165" s="15">
        <f t="shared" si="67"/>
        <v>333.33333333333331</v>
      </c>
      <c r="I165" s="13">
        <f t="shared" si="67"/>
        <v>15</v>
      </c>
      <c r="J165" s="16">
        <f t="shared" si="67"/>
        <v>276.13333333333338</v>
      </c>
      <c r="K165" s="15">
        <f t="shared" si="67"/>
        <v>1438</v>
      </c>
      <c r="L165" s="14">
        <f t="shared" si="67"/>
        <v>1046</v>
      </c>
      <c r="M165" s="13">
        <f t="shared" si="67"/>
        <v>679.66666666666663</v>
      </c>
    </row>
    <row r="166" spans="1:14" outlineLevel="1" x14ac:dyDescent="0.2">
      <c r="A166" s="20">
        <f t="shared" si="68"/>
        <v>3594</v>
      </c>
      <c r="B166" s="19" t="str">
        <f t="shared" si="68"/>
        <v>UNT</v>
      </c>
      <c r="C166" s="58">
        <f t="shared" si="58"/>
        <v>40942.172783858958</v>
      </c>
      <c r="D166" s="15">
        <f t="shared" si="64"/>
        <v>6016.666666666667</v>
      </c>
      <c r="E166" s="14">
        <f t="shared" si="65"/>
        <v>3467.6055555555558</v>
      </c>
      <c r="F166" s="14">
        <f t="shared" si="66"/>
        <v>1294.3472283042063</v>
      </c>
      <c r="G166" s="13">
        <f t="shared" si="67"/>
        <v>11411.553333332529</v>
      </c>
      <c r="H166" s="15">
        <f t="shared" si="67"/>
        <v>336.66666666666669</v>
      </c>
      <c r="I166" s="13">
        <f t="shared" si="67"/>
        <v>43.333333333333336</v>
      </c>
      <c r="J166" s="16">
        <f t="shared" si="67"/>
        <v>1528</v>
      </c>
      <c r="K166" s="15">
        <f t="shared" si="67"/>
        <v>7864.666666666667</v>
      </c>
      <c r="L166" s="14">
        <f t="shared" si="67"/>
        <v>5642.333333333333</v>
      </c>
      <c r="M166" s="13">
        <f t="shared" si="67"/>
        <v>3337</v>
      </c>
    </row>
    <row r="167" spans="1:14" outlineLevel="1" x14ac:dyDescent="0.2">
      <c r="A167" s="27">
        <f t="shared" si="68"/>
        <v>113594</v>
      </c>
      <c r="B167" s="19" t="str">
        <f t="shared" si="68"/>
        <v>UNTD</v>
      </c>
      <c r="C167" s="58">
        <f t="shared" si="58"/>
        <v>4170.6445532694452</v>
      </c>
      <c r="D167" s="15">
        <f t="shared" si="64"/>
        <v>403.5</v>
      </c>
      <c r="E167" s="14">
        <f t="shared" si="65"/>
        <v>233.02125000000001</v>
      </c>
      <c r="F167" s="14">
        <f t="shared" si="66"/>
        <v>2132.3633032694474</v>
      </c>
      <c r="G167" s="13">
        <f t="shared" ref="G167:M177" si="69">G209*G$139</f>
        <v>705.85999999999717</v>
      </c>
      <c r="H167" s="15">
        <f t="shared" si="69"/>
        <v>12</v>
      </c>
      <c r="I167" s="13">
        <f t="shared" si="69"/>
        <v>0</v>
      </c>
      <c r="J167" s="16">
        <f t="shared" si="69"/>
        <v>123.4</v>
      </c>
      <c r="K167" s="15">
        <f t="shared" si="69"/>
        <v>478</v>
      </c>
      <c r="L167" s="14">
        <f t="shared" si="69"/>
        <v>71.5</v>
      </c>
      <c r="M167" s="13">
        <f t="shared" si="69"/>
        <v>11</v>
      </c>
    </row>
    <row r="168" spans="1:14" outlineLevel="1" x14ac:dyDescent="0.2">
      <c r="A168" s="20">
        <f t="shared" si="68"/>
        <v>3624</v>
      </c>
      <c r="B168" s="19" t="str">
        <f t="shared" si="68"/>
        <v>SFA</v>
      </c>
      <c r="C168" s="58">
        <f t="shared" si="58"/>
        <v>14839.350548837534</v>
      </c>
      <c r="D168" s="15">
        <f t="shared" si="64"/>
        <v>1921.6666666666667</v>
      </c>
      <c r="E168" s="14">
        <f t="shared" si="65"/>
        <v>1064.6033333333332</v>
      </c>
      <c r="F168" s="14">
        <f t="shared" si="66"/>
        <v>1012.8772155041958</v>
      </c>
      <c r="G168" s="13">
        <f t="shared" si="69"/>
        <v>3721.736666666669</v>
      </c>
      <c r="H168" s="15">
        <f t="shared" si="69"/>
        <v>248</v>
      </c>
      <c r="I168" s="13">
        <f t="shared" si="69"/>
        <v>44.666666666666664</v>
      </c>
      <c r="J168" s="16">
        <f t="shared" si="69"/>
        <v>584.13333333333333</v>
      </c>
      <c r="K168" s="15">
        <f t="shared" si="69"/>
        <v>2769.3333333333335</v>
      </c>
      <c r="L168" s="14">
        <f t="shared" si="69"/>
        <v>2075</v>
      </c>
      <c r="M168" s="13">
        <f t="shared" si="69"/>
        <v>1397.3333333333333</v>
      </c>
    </row>
    <row r="169" spans="1:14" outlineLevel="1" x14ac:dyDescent="0.2">
      <c r="A169" s="20">
        <f t="shared" si="68"/>
        <v>3642</v>
      </c>
      <c r="B169" s="19" t="str">
        <f t="shared" si="68"/>
        <v>TSU</v>
      </c>
      <c r="C169" s="58">
        <f t="shared" si="58"/>
        <v>7025.4846061001936</v>
      </c>
      <c r="D169" s="15">
        <f t="shared" si="64"/>
        <v>758.33333333333337</v>
      </c>
      <c r="E169" s="14">
        <f t="shared" si="65"/>
        <v>108.94722222222221</v>
      </c>
      <c r="F169" s="14">
        <f t="shared" si="66"/>
        <v>646.68405054463585</v>
      </c>
      <c r="G169" s="13">
        <f t="shared" si="69"/>
        <v>1488.6533333333352</v>
      </c>
      <c r="H169" s="15">
        <f t="shared" si="69"/>
        <v>134.33333333333334</v>
      </c>
      <c r="I169" s="13">
        <f t="shared" si="69"/>
        <v>3</v>
      </c>
      <c r="J169" s="16">
        <f t="shared" si="69"/>
        <v>266.53333333333336</v>
      </c>
      <c r="K169" s="15">
        <f t="shared" si="69"/>
        <v>1637.3333333333333</v>
      </c>
      <c r="L169" s="14">
        <f t="shared" si="69"/>
        <v>1133</v>
      </c>
      <c r="M169" s="13">
        <f t="shared" si="69"/>
        <v>848.66666666666663</v>
      </c>
    </row>
    <row r="170" spans="1:14" outlineLevel="1" x14ac:dyDescent="0.2">
      <c r="A170" s="20">
        <f t="shared" si="68"/>
        <v>3644</v>
      </c>
      <c r="B170" s="19" t="str">
        <f t="shared" si="68"/>
        <v>TTU</v>
      </c>
      <c r="C170" s="58">
        <f t="shared" si="58"/>
        <v>36881.743489684348</v>
      </c>
      <c r="D170" s="15">
        <f t="shared" si="64"/>
        <v>4674</v>
      </c>
      <c r="E170" s="14">
        <f t="shared" si="65"/>
        <v>3421.3679999999995</v>
      </c>
      <c r="F170" s="14">
        <f t="shared" si="66"/>
        <v>1053.0621563516677</v>
      </c>
      <c r="G170" s="13">
        <f t="shared" si="69"/>
        <v>10128.113333332682</v>
      </c>
      <c r="H170" s="15">
        <f t="shared" si="69"/>
        <v>727.33333333333337</v>
      </c>
      <c r="I170" s="13">
        <f t="shared" si="69"/>
        <v>57.333333333333336</v>
      </c>
      <c r="J170" s="16">
        <f t="shared" si="69"/>
        <v>1111.2</v>
      </c>
      <c r="K170" s="15">
        <f t="shared" si="69"/>
        <v>6485.333333333333</v>
      </c>
      <c r="L170" s="14">
        <f t="shared" si="69"/>
        <v>5278.333333333333</v>
      </c>
      <c r="M170" s="13">
        <f t="shared" si="69"/>
        <v>3945.6666666666665</v>
      </c>
    </row>
    <row r="171" spans="1:14" outlineLevel="1" x14ac:dyDescent="0.2">
      <c r="A171" s="20">
        <f t="shared" si="68"/>
        <v>3541</v>
      </c>
      <c r="B171" s="19" t="str">
        <f t="shared" si="68"/>
        <v>Angelo</v>
      </c>
      <c r="C171" s="58">
        <f t="shared" si="58"/>
        <v>8152.7779243021087</v>
      </c>
      <c r="D171" s="15">
        <f t="shared" si="64"/>
        <v>991.33333333333337</v>
      </c>
      <c r="E171" s="14">
        <f t="shared" si="65"/>
        <v>425.94288888888889</v>
      </c>
      <c r="F171" s="14">
        <f t="shared" si="66"/>
        <v>1015.2850354132148</v>
      </c>
      <c r="G171" s="13">
        <f t="shared" si="69"/>
        <v>1977.3500000000051</v>
      </c>
      <c r="H171" s="15">
        <f t="shared" si="69"/>
        <v>254.33333333333334</v>
      </c>
      <c r="I171" s="13">
        <f t="shared" si="69"/>
        <v>19.333333333333332</v>
      </c>
      <c r="J171" s="16">
        <f t="shared" si="69"/>
        <v>289.2</v>
      </c>
      <c r="K171" s="15">
        <f t="shared" si="69"/>
        <v>1438.6666666666667</v>
      </c>
      <c r="L171" s="14">
        <f t="shared" si="69"/>
        <v>1033.6666666666667</v>
      </c>
      <c r="M171" s="13">
        <f t="shared" si="69"/>
        <v>707.66666666666663</v>
      </c>
    </row>
    <row r="172" spans="1:14" outlineLevel="1" x14ac:dyDescent="0.2">
      <c r="A172" s="20">
        <f t="shared" si="68"/>
        <v>3646</v>
      </c>
      <c r="B172" s="19" t="str">
        <f t="shared" si="68"/>
        <v>TWU</v>
      </c>
      <c r="C172" s="58">
        <f t="shared" si="58"/>
        <v>12828.998881418664</v>
      </c>
      <c r="D172" s="15">
        <f t="shared" si="64"/>
        <v>1806</v>
      </c>
      <c r="E172" s="14">
        <f t="shared" si="65"/>
        <v>945.74200000000008</v>
      </c>
      <c r="F172" s="14">
        <f t="shared" si="66"/>
        <v>1377.2802147519981</v>
      </c>
      <c r="G172" s="13">
        <f t="shared" si="69"/>
        <v>3452.1766666666658</v>
      </c>
      <c r="H172" s="15">
        <f t="shared" si="69"/>
        <v>569.33333333333337</v>
      </c>
      <c r="I172" s="13">
        <f t="shared" si="69"/>
        <v>31.666666666666668</v>
      </c>
      <c r="J172" s="16">
        <f t="shared" si="69"/>
        <v>498.8</v>
      </c>
      <c r="K172" s="15">
        <f t="shared" si="69"/>
        <v>2196</v>
      </c>
      <c r="L172" s="14">
        <f t="shared" si="69"/>
        <v>1292.3333333333333</v>
      </c>
      <c r="M172" s="13">
        <f t="shared" si="69"/>
        <v>659.66666666666663</v>
      </c>
    </row>
    <row r="173" spans="1:14" outlineLevel="1" x14ac:dyDescent="0.2">
      <c r="A173" s="20">
        <f t="shared" si="68"/>
        <v>3581</v>
      </c>
      <c r="B173" s="19" t="str">
        <f t="shared" si="68"/>
        <v>Lamar</v>
      </c>
      <c r="C173" s="58">
        <f t="shared" si="58"/>
        <v>10776.924902667066</v>
      </c>
      <c r="D173" s="15">
        <f t="shared" si="64"/>
        <v>1335.3333333333333</v>
      </c>
      <c r="E173" s="14">
        <f t="shared" si="65"/>
        <v>467.81177777777776</v>
      </c>
      <c r="F173" s="14">
        <f t="shared" si="66"/>
        <v>917.74645822260493</v>
      </c>
      <c r="G173" s="13">
        <f t="shared" si="69"/>
        <v>2684.9000000000165</v>
      </c>
      <c r="H173" s="15">
        <f t="shared" si="69"/>
        <v>330</v>
      </c>
      <c r="I173" s="13">
        <f t="shared" si="69"/>
        <v>17</v>
      </c>
      <c r="J173" s="16">
        <f t="shared" si="69"/>
        <v>379.4666666666667</v>
      </c>
      <c r="K173" s="15">
        <f t="shared" si="69"/>
        <v>2144.6666666666665</v>
      </c>
      <c r="L173" s="14">
        <f t="shared" si="69"/>
        <v>1489</v>
      </c>
      <c r="M173" s="13">
        <f t="shared" si="69"/>
        <v>1011</v>
      </c>
    </row>
    <row r="174" spans="1:14" outlineLevel="1" x14ac:dyDescent="0.2">
      <c r="A174" s="20">
        <f t="shared" si="68"/>
        <v>3606</v>
      </c>
      <c r="B174" s="19" t="str">
        <f t="shared" si="68"/>
        <v>SHSU</v>
      </c>
      <c r="C174" s="58">
        <f t="shared" si="58"/>
        <v>21680.557156409614</v>
      </c>
      <c r="D174" s="15">
        <f t="shared" si="64"/>
        <v>3077.6666666666665</v>
      </c>
      <c r="E174" s="14">
        <f t="shared" si="65"/>
        <v>1805.5644444444445</v>
      </c>
      <c r="F174" s="14">
        <f t="shared" si="66"/>
        <v>1223.7827119650508</v>
      </c>
      <c r="G174" s="13">
        <f t="shared" si="69"/>
        <v>5837.0766666667887</v>
      </c>
      <c r="H174" s="15">
        <f t="shared" si="69"/>
        <v>167</v>
      </c>
      <c r="I174" s="13">
        <f t="shared" si="69"/>
        <v>61</v>
      </c>
      <c r="J174" s="16">
        <f t="shared" si="69"/>
        <v>885.4666666666667</v>
      </c>
      <c r="K174" s="15">
        <f t="shared" si="69"/>
        <v>3894.3333333333335</v>
      </c>
      <c r="L174" s="14">
        <f t="shared" si="69"/>
        <v>2965.3333333333335</v>
      </c>
      <c r="M174" s="13">
        <f t="shared" si="69"/>
        <v>1763.3333333333333</v>
      </c>
    </row>
    <row r="175" spans="1:14" outlineLevel="1" x14ac:dyDescent="0.2">
      <c r="A175" s="20">
        <f t="shared" si="68"/>
        <v>3615</v>
      </c>
      <c r="B175" s="19" t="str">
        <f t="shared" si="68"/>
        <v>TXST</v>
      </c>
      <c r="C175" s="58">
        <f t="shared" si="58"/>
        <v>38754.300909322017</v>
      </c>
      <c r="D175" s="15">
        <f t="shared" si="64"/>
        <v>5361</v>
      </c>
      <c r="E175" s="14">
        <f t="shared" si="65"/>
        <v>3393.5129999999999</v>
      </c>
      <c r="F175" s="14">
        <f t="shared" si="66"/>
        <v>1170.3445759893198</v>
      </c>
      <c r="G175" s="13">
        <f t="shared" si="69"/>
        <v>10437.309999999357</v>
      </c>
      <c r="H175" s="15">
        <f t="shared" si="69"/>
        <v>488.66666666666669</v>
      </c>
      <c r="I175" s="13">
        <f t="shared" si="69"/>
        <v>66.666666666666671</v>
      </c>
      <c r="J175" s="16">
        <f t="shared" si="69"/>
        <v>1470.1333333333334</v>
      </c>
      <c r="K175" s="15">
        <f t="shared" si="69"/>
        <v>7470.333333333333</v>
      </c>
      <c r="L175" s="14">
        <f t="shared" si="69"/>
        <v>5579</v>
      </c>
      <c r="M175" s="13">
        <f t="shared" si="69"/>
        <v>3317.3333333333335</v>
      </c>
    </row>
    <row r="176" spans="1:14" outlineLevel="1" x14ac:dyDescent="0.2">
      <c r="A176" s="20">
        <f t="shared" si="68"/>
        <v>3625</v>
      </c>
      <c r="B176" s="19" t="str">
        <f t="shared" si="68"/>
        <v>SRSU</v>
      </c>
      <c r="C176" s="58">
        <f t="shared" si="58"/>
        <v>2126.1281504162034</v>
      </c>
      <c r="D176" s="15">
        <f t="shared" si="64"/>
        <v>189.33333333333334</v>
      </c>
      <c r="E176" s="14">
        <f t="shared" si="65"/>
        <v>56.989333333333335</v>
      </c>
      <c r="F176" s="14">
        <f t="shared" si="66"/>
        <v>775.94215041620384</v>
      </c>
      <c r="G176" s="13">
        <f t="shared" si="69"/>
        <v>394.32999999999964</v>
      </c>
      <c r="H176" s="15">
        <f t="shared" si="69"/>
        <v>12.666666666666666</v>
      </c>
      <c r="I176" s="13">
        <f t="shared" si="69"/>
        <v>6.333333333333333</v>
      </c>
      <c r="J176" s="16">
        <f t="shared" si="69"/>
        <v>65.2</v>
      </c>
      <c r="K176" s="15">
        <f t="shared" si="69"/>
        <v>300</v>
      </c>
      <c r="L176" s="14">
        <f t="shared" si="69"/>
        <v>193.66666666666666</v>
      </c>
      <c r="M176" s="13">
        <f t="shared" si="69"/>
        <v>131.66666666666666</v>
      </c>
      <c r="N176" s="41"/>
    </row>
    <row r="177" spans="1:14" outlineLevel="1" x14ac:dyDescent="0.2">
      <c r="A177" s="20">
        <f t="shared" si="68"/>
        <v>20</v>
      </c>
      <c r="B177" s="19" t="str">
        <f t="shared" si="68"/>
        <v>SRRG</v>
      </c>
      <c r="C177" s="58">
        <f t="shared" si="58"/>
        <v>2718.6230567866896</v>
      </c>
      <c r="D177" s="15">
        <f t="shared" si="64"/>
        <v>161.66666666666666</v>
      </c>
      <c r="E177" s="14">
        <f t="shared" si="65"/>
        <v>51.365976618337754</v>
      </c>
      <c r="F177" s="14">
        <f t="shared" si="66"/>
        <v>1829.8204135016854</v>
      </c>
      <c r="G177" s="13">
        <f t="shared" si="69"/>
        <v>279.16999999999979</v>
      </c>
      <c r="H177" s="15">
        <f t="shared" si="69"/>
        <v>6.333333333333333</v>
      </c>
      <c r="I177" s="13">
        <f t="shared" si="69"/>
        <v>5.666666666666667</v>
      </c>
      <c r="J177" s="16">
        <f t="shared" si="69"/>
        <v>57.6</v>
      </c>
      <c r="K177" s="15">
        <f t="shared" si="69"/>
        <v>230</v>
      </c>
      <c r="L177" s="14">
        <f t="shared" si="69"/>
        <v>92.666666666666671</v>
      </c>
      <c r="M177" s="13">
        <f t="shared" si="69"/>
        <v>4.333333333333333</v>
      </c>
      <c r="N177" s="55"/>
    </row>
    <row r="178" spans="1:14" ht="13.5" outlineLevel="1" thickBot="1" x14ac:dyDescent="0.25">
      <c r="A178" s="12"/>
      <c r="B178" s="11" t="s">
        <v>11</v>
      </c>
      <c r="C178" s="57">
        <f t="shared" ref="C178:M178" si="70">SUM(C140:C177)</f>
        <v>642586.17346607405</v>
      </c>
      <c r="D178" s="9">
        <f t="shared" si="70"/>
        <v>84453.499999999985</v>
      </c>
      <c r="E178" s="7">
        <f t="shared" si="70"/>
        <v>49118.168778098283</v>
      </c>
      <c r="F178" s="7">
        <f t="shared" si="70"/>
        <v>51283.484687977412</v>
      </c>
      <c r="G178" s="3">
        <f t="shared" si="70"/>
        <v>172813.15333333181</v>
      </c>
      <c r="H178" s="5">
        <f t="shared" si="70"/>
        <v>13971.999999999998</v>
      </c>
      <c r="I178" s="3">
        <f t="shared" si="70"/>
        <v>1198.3333333333335</v>
      </c>
      <c r="J178" s="6">
        <f t="shared" si="70"/>
        <v>21810.200000000004</v>
      </c>
      <c r="K178" s="5">
        <f t="shared" si="70"/>
        <v>114508.83333333331</v>
      </c>
      <c r="L178" s="4">
        <f t="shared" si="70"/>
        <v>82503.5</v>
      </c>
      <c r="M178" s="3">
        <f t="shared" si="70"/>
        <v>50924.999999999993</v>
      </c>
      <c r="N178" s="55"/>
    </row>
    <row r="179" spans="1:14" ht="13.5" thickBot="1" x14ac:dyDescent="0.25">
      <c r="A179" s="45" t="s">
        <v>29</v>
      </c>
      <c r="B179" s="45"/>
      <c r="C179" s="54"/>
      <c r="D179" s="54"/>
      <c r="E179" s="54"/>
      <c r="F179" s="56"/>
      <c r="H179" s="56"/>
      <c r="N179" s="55"/>
    </row>
    <row r="180" spans="1:14" ht="12.75" customHeight="1" outlineLevel="1" x14ac:dyDescent="0.2">
      <c r="A180" s="177" t="s">
        <v>24</v>
      </c>
      <c r="B180" s="179" t="s">
        <v>23</v>
      </c>
      <c r="C180" s="181"/>
      <c r="D180" s="210" t="s">
        <v>28</v>
      </c>
      <c r="E180" s="205" t="s">
        <v>21</v>
      </c>
      <c r="F180" s="179" t="s">
        <v>20</v>
      </c>
      <c r="G180" s="201" t="s">
        <v>19</v>
      </c>
      <c r="H180" s="203" t="s">
        <v>18</v>
      </c>
      <c r="I180" s="195" t="s">
        <v>17</v>
      </c>
      <c r="J180" s="197" t="s">
        <v>16</v>
      </c>
      <c r="K180" s="199" t="s">
        <v>15</v>
      </c>
      <c r="L180" s="200"/>
      <c r="M180" s="200"/>
      <c r="N180" s="55"/>
    </row>
    <row r="181" spans="1:14" s="41" customFormat="1" ht="41.25" customHeight="1" outlineLevel="1" thickBot="1" x14ac:dyDescent="0.25">
      <c r="A181" s="178"/>
      <c r="B181" s="180"/>
      <c r="C181" s="182"/>
      <c r="D181" s="211"/>
      <c r="E181" s="206"/>
      <c r="F181" s="180"/>
      <c r="G181" s="202"/>
      <c r="H181" s="204"/>
      <c r="I181" s="196"/>
      <c r="J181" s="198"/>
      <c r="K181" s="44" t="s">
        <v>14</v>
      </c>
      <c r="L181" s="43" t="s">
        <v>13</v>
      </c>
      <c r="M181" s="42" t="s">
        <v>12</v>
      </c>
      <c r="N181" s="55"/>
    </row>
    <row r="182" spans="1:14" outlineLevel="1" x14ac:dyDescent="0.2">
      <c r="A182" s="20">
        <f t="shared" ref="A182:B197" si="71">A140</f>
        <v>3656</v>
      </c>
      <c r="B182" s="19" t="str">
        <f t="shared" si="71"/>
        <v>UTA</v>
      </c>
      <c r="C182" s="38"/>
      <c r="D182" s="33">
        <f t="shared" ref="D182:M197" si="72">AVERAGE(D224,D266,D308)</f>
        <v>5018</v>
      </c>
      <c r="E182" s="37">
        <f t="shared" si="72"/>
        <v>0.51833333333333342</v>
      </c>
      <c r="F182" s="32">
        <f t="shared" si="72"/>
        <v>16950.533333333333</v>
      </c>
      <c r="G182" s="31">
        <f t="shared" si="72"/>
        <v>10418.553333333379</v>
      </c>
      <c r="H182" s="36">
        <f t="shared" si="72"/>
        <v>1531.3333333333333</v>
      </c>
      <c r="I182" s="35">
        <f t="shared" si="72"/>
        <v>35</v>
      </c>
      <c r="J182" s="34">
        <f t="shared" si="72"/>
        <v>3116</v>
      </c>
      <c r="K182" s="33">
        <f t="shared" si="72"/>
        <v>6836.333333333333</v>
      </c>
      <c r="L182" s="32">
        <f t="shared" si="72"/>
        <v>3833.6666666666665</v>
      </c>
      <c r="M182" s="31">
        <f t="shared" si="72"/>
        <v>1783.6666666666667</v>
      </c>
      <c r="N182" s="55"/>
    </row>
    <row r="183" spans="1:14" outlineLevel="1" x14ac:dyDescent="0.2">
      <c r="A183" s="20">
        <f t="shared" si="71"/>
        <v>3658</v>
      </c>
      <c r="B183" s="19" t="str">
        <f t="shared" si="71"/>
        <v>UT</v>
      </c>
      <c r="C183" s="18"/>
      <c r="D183" s="15">
        <f t="shared" si="72"/>
        <v>8946.3333333333339</v>
      </c>
      <c r="E183" s="21">
        <f t="shared" si="72"/>
        <v>0.82900000000000007</v>
      </c>
      <c r="F183" s="14">
        <f t="shared" si="72"/>
        <v>33762.688888888893</v>
      </c>
      <c r="G183" s="13">
        <f t="shared" si="72"/>
        <v>19398.350000000519</v>
      </c>
      <c r="H183" s="15">
        <f t="shared" si="72"/>
        <v>1876.3333333333333</v>
      </c>
      <c r="I183" s="13">
        <f t="shared" si="72"/>
        <v>66</v>
      </c>
      <c r="J183" s="16">
        <f t="shared" si="72"/>
        <v>3470.3333333333335</v>
      </c>
      <c r="K183" s="15">
        <f t="shared" si="72"/>
        <v>9598.3333333333339</v>
      </c>
      <c r="L183" s="14">
        <f t="shared" si="72"/>
        <v>9005.6666666666661</v>
      </c>
      <c r="M183" s="13">
        <f t="shared" si="72"/>
        <v>7040.333333333333</v>
      </c>
      <c r="N183" s="55"/>
    </row>
    <row r="184" spans="1:14" outlineLevel="1" x14ac:dyDescent="0.2">
      <c r="A184" s="20">
        <f t="shared" si="71"/>
        <v>9741</v>
      </c>
      <c r="B184" s="19" t="str">
        <f t="shared" si="71"/>
        <v>UTD</v>
      </c>
      <c r="C184" s="18"/>
      <c r="D184" s="15">
        <f t="shared" si="72"/>
        <v>2393</v>
      </c>
      <c r="E184" s="21">
        <f t="shared" si="72"/>
        <v>0.70299999999999996</v>
      </c>
      <c r="F184" s="14">
        <f t="shared" si="72"/>
        <v>8919.1999999999989</v>
      </c>
      <c r="G184" s="13">
        <f t="shared" si="72"/>
        <v>5101.2033333334393</v>
      </c>
      <c r="H184" s="15">
        <f t="shared" si="72"/>
        <v>421.66666666666669</v>
      </c>
      <c r="I184" s="13">
        <f t="shared" si="72"/>
        <v>32</v>
      </c>
      <c r="J184" s="16">
        <f t="shared" si="72"/>
        <v>1319.6666666666667</v>
      </c>
      <c r="K184" s="15">
        <f t="shared" si="72"/>
        <v>3315</v>
      </c>
      <c r="L184" s="14">
        <f t="shared" si="72"/>
        <v>2134.3333333333335</v>
      </c>
      <c r="M184" s="13">
        <f t="shared" si="72"/>
        <v>1021.3333333333334</v>
      </c>
      <c r="N184" s="55"/>
    </row>
    <row r="185" spans="1:14" outlineLevel="1" x14ac:dyDescent="0.2">
      <c r="A185" s="20">
        <f t="shared" si="71"/>
        <v>3661</v>
      </c>
      <c r="B185" s="19" t="str">
        <f t="shared" si="71"/>
        <v>UTEP</v>
      </c>
      <c r="C185" s="18"/>
      <c r="D185" s="15">
        <f t="shared" si="72"/>
        <v>3057</v>
      </c>
      <c r="E185" s="21">
        <f t="shared" si="72"/>
        <v>0.38999999999999996</v>
      </c>
      <c r="F185" s="14">
        <f t="shared" si="72"/>
        <v>13366.333333333334</v>
      </c>
      <c r="G185" s="13">
        <f t="shared" si="72"/>
        <v>6298.0766666668133</v>
      </c>
      <c r="H185" s="15">
        <f t="shared" si="72"/>
        <v>655</v>
      </c>
      <c r="I185" s="13">
        <f t="shared" si="72"/>
        <v>90</v>
      </c>
      <c r="J185" s="16">
        <f t="shared" si="72"/>
        <v>2464.3333333333335</v>
      </c>
      <c r="K185" s="15">
        <f t="shared" si="72"/>
        <v>4362.666666666667</v>
      </c>
      <c r="L185" s="14">
        <f t="shared" si="72"/>
        <v>3358</v>
      </c>
      <c r="M185" s="13">
        <f t="shared" si="72"/>
        <v>1956</v>
      </c>
      <c r="N185" s="55"/>
    </row>
    <row r="186" spans="1:14" outlineLevel="1" x14ac:dyDescent="0.2">
      <c r="A186" s="20">
        <f t="shared" si="71"/>
        <v>3599</v>
      </c>
      <c r="B186" s="19" t="str">
        <f t="shared" si="71"/>
        <v>UTPA</v>
      </c>
      <c r="C186" s="18"/>
      <c r="D186" s="15">
        <f t="shared" si="72"/>
        <v>2580</v>
      </c>
      <c r="E186" s="21">
        <f t="shared" si="72"/>
        <v>0.43099999999999999</v>
      </c>
      <c r="F186" s="14">
        <f t="shared" si="72"/>
        <v>12589.977777777778</v>
      </c>
      <c r="G186" s="13">
        <f t="shared" si="72"/>
        <v>5134.1666666667797</v>
      </c>
      <c r="H186" s="15">
        <f t="shared" si="72"/>
        <v>520.33333333333337</v>
      </c>
      <c r="I186" s="13">
        <f t="shared" si="72"/>
        <v>28</v>
      </c>
      <c r="J186" s="16">
        <f t="shared" si="72"/>
        <v>2338.3333333333335</v>
      </c>
      <c r="K186" s="15">
        <f t="shared" si="72"/>
        <v>4075.3333333333335</v>
      </c>
      <c r="L186" s="14">
        <f t="shared" si="72"/>
        <v>3096</v>
      </c>
      <c r="M186" s="13">
        <f t="shared" si="72"/>
        <v>1939.3333333333333</v>
      </c>
      <c r="N186" s="55"/>
    </row>
    <row r="187" spans="1:14" outlineLevel="1" x14ac:dyDescent="0.2">
      <c r="A187" s="20">
        <f t="shared" si="71"/>
        <v>30646</v>
      </c>
      <c r="B187" s="19" t="str">
        <f t="shared" si="71"/>
        <v>UTB</v>
      </c>
      <c r="C187" s="18"/>
      <c r="D187" s="15">
        <f t="shared" si="72"/>
        <v>1092</v>
      </c>
      <c r="E187" s="21">
        <f t="shared" si="72"/>
        <v>0.57524809937089749</v>
      </c>
      <c r="F187" s="14">
        <f t="shared" si="72"/>
        <v>3168.7777777777778</v>
      </c>
      <c r="G187" s="13">
        <f t="shared" si="72"/>
        <v>2097.7933333333553</v>
      </c>
      <c r="H187" s="15">
        <f t="shared" si="72"/>
        <v>124.33333333333333</v>
      </c>
      <c r="I187" s="13">
        <f t="shared" si="72"/>
        <v>18.333333333333332</v>
      </c>
      <c r="J187" s="16">
        <f t="shared" si="72"/>
        <v>936.66666666666663</v>
      </c>
      <c r="K187" s="15">
        <f t="shared" si="72"/>
        <v>1326.3333333333333</v>
      </c>
      <c r="L187" s="14">
        <f t="shared" si="72"/>
        <v>556.33333333333337</v>
      </c>
      <c r="M187" s="13">
        <f t="shared" si="72"/>
        <v>100.66666666666667</v>
      </c>
      <c r="N187" s="55"/>
    </row>
    <row r="188" spans="1:14" outlineLevel="1" x14ac:dyDescent="0.2">
      <c r="A188" s="20">
        <f t="shared" si="71"/>
        <v>9930</v>
      </c>
      <c r="B188" s="19" t="str">
        <f t="shared" si="71"/>
        <v>UTPB</v>
      </c>
      <c r="C188" s="18"/>
      <c r="D188" s="15">
        <f t="shared" si="72"/>
        <v>533.33333333333337</v>
      </c>
      <c r="E188" s="21">
        <f t="shared" si="72"/>
        <v>0.44400000000000001</v>
      </c>
      <c r="F188" s="14">
        <f t="shared" si="72"/>
        <v>2306.2888888888888</v>
      </c>
      <c r="G188" s="13">
        <f t="shared" si="72"/>
        <v>1001.5166666666704</v>
      </c>
      <c r="H188" s="15">
        <f t="shared" si="72"/>
        <v>41.333333333333336</v>
      </c>
      <c r="I188" s="13">
        <f t="shared" si="72"/>
        <v>10</v>
      </c>
      <c r="J188" s="16">
        <f t="shared" si="72"/>
        <v>399</v>
      </c>
      <c r="K188" s="15">
        <f t="shared" si="72"/>
        <v>785.66666666666663</v>
      </c>
      <c r="L188" s="14">
        <f t="shared" si="72"/>
        <v>491.66666666666669</v>
      </c>
      <c r="M188" s="13">
        <f t="shared" si="72"/>
        <v>194.33333333333334</v>
      </c>
      <c r="N188" s="55"/>
    </row>
    <row r="189" spans="1:14" outlineLevel="1" x14ac:dyDescent="0.2">
      <c r="A189" s="20">
        <f t="shared" si="71"/>
        <v>10115</v>
      </c>
      <c r="B189" s="19" t="str">
        <f t="shared" si="71"/>
        <v>UTSA</v>
      </c>
      <c r="C189" s="18"/>
      <c r="D189" s="15">
        <f t="shared" si="72"/>
        <v>4119.666666666667</v>
      </c>
      <c r="E189" s="21">
        <f t="shared" si="72"/>
        <v>0.42166666666666663</v>
      </c>
      <c r="F189" s="14">
        <f t="shared" si="72"/>
        <v>20353.044444444444</v>
      </c>
      <c r="G189" s="13">
        <f t="shared" si="72"/>
        <v>8414.213333333224</v>
      </c>
      <c r="H189" s="15">
        <f t="shared" si="72"/>
        <v>392</v>
      </c>
      <c r="I189" s="13">
        <f t="shared" si="72"/>
        <v>49.666666666666664</v>
      </c>
      <c r="J189" s="16">
        <f t="shared" si="72"/>
        <v>3123.6666666666665</v>
      </c>
      <c r="K189" s="15">
        <f t="shared" si="72"/>
        <v>6809.666666666667</v>
      </c>
      <c r="L189" s="14">
        <f t="shared" si="72"/>
        <v>4458.666666666667</v>
      </c>
      <c r="M189" s="13">
        <f t="shared" si="72"/>
        <v>2615.6666666666665</v>
      </c>
      <c r="N189" s="55"/>
    </row>
    <row r="190" spans="1:14" outlineLevel="1" x14ac:dyDescent="0.2">
      <c r="A190" s="20">
        <f t="shared" si="71"/>
        <v>11163</v>
      </c>
      <c r="B190" s="19" t="str">
        <f t="shared" si="71"/>
        <v>UTT</v>
      </c>
      <c r="C190" s="18"/>
      <c r="D190" s="15">
        <f t="shared" si="72"/>
        <v>1190</v>
      </c>
      <c r="E190" s="21">
        <f t="shared" si="72"/>
        <v>0.51566666666666672</v>
      </c>
      <c r="F190" s="14">
        <f t="shared" si="72"/>
        <v>4067.577777777778</v>
      </c>
      <c r="G190" s="13">
        <f t="shared" si="72"/>
        <v>2362.6600000000103</v>
      </c>
      <c r="H190" s="15">
        <f t="shared" si="72"/>
        <v>376.66666666666669</v>
      </c>
      <c r="I190" s="13">
        <f t="shared" si="72"/>
        <v>14</v>
      </c>
      <c r="J190" s="16">
        <f t="shared" si="72"/>
        <v>942.33333333333337</v>
      </c>
      <c r="K190" s="15">
        <f t="shared" si="72"/>
        <v>1436.3333333333333</v>
      </c>
      <c r="L190" s="14">
        <f t="shared" si="72"/>
        <v>890</v>
      </c>
      <c r="M190" s="13">
        <f t="shared" si="72"/>
        <v>387.33333333333331</v>
      </c>
      <c r="N190" s="55"/>
    </row>
    <row r="191" spans="1:14" outlineLevel="1" x14ac:dyDescent="0.2">
      <c r="A191" s="20">
        <f t="shared" si="71"/>
        <v>3632</v>
      </c>
      <c r="B191" s="19" t="str">
        <f t="shared" si="71"/>
        <v>TAMU</v>
      </c>
      <c r="C191" s="18"/>
      <c r="D191" s="15">
        <f t="shared" si="72"/>
        <v>8739.6666666666661</v>
      </c>
      <c r="E191" s="21">
        <f t="shared" si="72"/>
        <v>0.84066666666666656</v>
      </c>
      <c r="F191" s="14">
        <f t="shared" si="72"/>
        <v>34623.666666666664</v>
      </c>
      <c r="G191" s="13">
        <f t="shared" si="72"/>
        <v>20104.8166666668</v>
      </c>
      <c r="H191" s="15">
        <f t="shared" si="72"/>
        <v>1763</v>
      </c>
      <c r="I191" s="13">
        <f t="shared" si="72"/>
        <v>126</v>
      </c>
      <c r="J191" s="16">
        <f t="shared" si="72"/>
        <v>3724</v>
      </c>
      <c r="K191" s="15">
        <f t="shared" si="72"/>
        <v>10060.666666666666</v>
      </c>
      <c r="L191" s="14">
        <f t="shared" si="72"/>
        <v>8907.3333333333339</v>
      </c>
      <c r="M191" s="13">
        <f t="shared" si="72"/>
        <v>6897.666666666667</v>
      </c>
      <c r="N191" s="55"/>
    </row>
    <row r="192" spans="1:14" outlineLevel="1" x14ac:dyDescent="0.2">
      <c r="A192" s="20">
        <f t="shared" si="71"/>
        <v>10298</v>
      </c>
      <c r="B192" s="19" t="str">
        <f t="shared" si="71"/>
        <v>TAMUG</v>
      </c>
      <c r="C192" s="18"/>
      <c r="D192" s="15">
        <f t="shared" si="72"/>
        <v>275.33333333333331</v>
      </c>
      <c r="E192" s="21">
        <f t="shared" si="72"/>
        <v>0.62733333333333341</v>
      </c>
      <c r="F192" s="14">
        <f t="shared" si="72"/>
        <v>1678.9333333333334</v>
      </c>
      <c r="G192" s="13">
        <f t="shared" si="72"/>
        <v>704.02666666666448</v>
      </c>
      <c r="H192" s="15">
        <f t="shared" si="72"/>
        <v>37.333333333333336</v>
      </c>
      <c r="I192" s="13">
        <f t="shared" si="72"/>
        <v>0</v>
      </c>
      <c r="J192" s="16">
        <f t="shared" si="72"/>
        <v>158</v>
      </c>
      <c r="K192" s="15">
        <f t="shared" si="72"/>
        <v>592.33333333333337</v>
      </c>
      <c r="L192" s="14">
        <f t="shared" si="72"/>
        <v>318</v>
      </c>
      <c r="M192" s="13">
        <f t="shared" si="72"/>
        <v>246</v>
      </c>
      <c r="N192" s="55"/>
    </row>
    <row r="193" spans="1:14" outlineLevel="1" x14ac:dyDescent="0.2">
      <c r="A193" s="20">
        <f t="shared" si="71"/>
        <v>3630</v>
      </c>
      <c r="B193" s="19" t="str">
        <f t="shared" si="71"/>
        <v>Prairie View</v>
      </c>
      <c r="C193" s="18"/>
      <c r="D193" s="15">
        <f t="shared" si="72"/>
        <v>936.33333333333337</v>
      </c>
      <c r="E193" s="21">
        <f t="shared" si="72"/>
        <v>0.37166666666666665</v>
      </c>
      <c r="F193" s="14">
        <f t="shared" si="72"/>
        <v>5917.2888888888883</v>
      </c>
      <c r="G193" s="13">
        <f t="shared" si="72"/>
        <v>2072.9000000000092</v>
      </c>
      <c r="H193" s="15">
        <f t="shared" si="72"/>
        <v>315.66666666666669</v>
      </c>
      <c r="I193" s="13">
        <f t="shared" si="72"/>
        <v>9.6666666666666661</v>
      </c>
      <c r="J193" s="16">
        <f t="shared" si="72"/>
        <v>802.66666666666663</v>
      </c>
      <c r="K193" s="15">
        <f t="shared" si="72"/>
        <v>1668</v>
      </c>
      <c r="L193" s="14">
        <f t="shared" si="72"/>
        <v>1181</v>
      </c>
      <c r="M193" s="13">
        <f t="shared" si="72"/>
        <v>905.33333333333337</v>
      </c>
      <c r="N193" s="55"/>
    </row>
    <row r="194" spans="1:14" outlineLevel="1" x14ac:dyDescent="0.2">
      <c r="A194" s="20">
        <f t="shared" si="71"/>
        <v>3631</v>
      </c>
      <c r="B194" s="19" t="str">
        <f t="shared" si="71"/>
        <v>Tarleton</v>
      </c>
      <c r="C194" s="18"/>
      <c r="D194" s="15">
        <f t="shared" si="72"/>
        <v>1545.3333333333333</v>
      </c>
      <c r="E194" s="21">
        <f t="shared" si="72"/>
        <v>0.47800000000000004</v>
      </c>
      <c r="F194" s="14">
        <f t="shared" si="72"/>
        <v>6292.1333333333323</v>
      </c>
      <c r="G194" s="13">
        <f t="shared" si="72"/>
        <v>3122.5433333333599</v>
      </c>
      <c r="H194" s="15">
        <f t="shared" si="72"/>
        <v>203</v>
      </c>
      <c r="I194" s="13">
        <f t="shared" si="72"/>
        <v>47.666666666666664</v>
      </c>
      <c r="J194" s="16">
        <f t="shared" si="72"/>
        <v>1195</v>
      </c>
      <c r="K194" s="15">
        <f t="shared" si="72"/>
        <v>2154.3333333333335</v>
      </c>
      <c r="L194" s="14">
        <f t="shared" si="72"/>
        <v>1328.6666666666667</v>
      </c>
      <c r="M194" s="13">
        <f t="shared" si="72"/>
        <v>862.66666666666663</v>
      </c>
      <c r="N194" s="55"/>
    </row>
    <row r="195" spans="1:14" outlineLevel="1" x14ac:dyDescent="0.2">
      <c r="A195" s="27">
        <f t="shared" si="71"/>
        <v>103631</v>
      </c>
      <c r="B195" s="19" t="str">
        <f t="shared" si="71"/>
        <v>TAMUCT</v>
      </c>
      <c r="C195" s="18"/>
      <c r="D195" s="15">
        <f t="shared" si="72"/>
        <v>460.33333333333331</v>
      </c>
      <c r="E195" s="21">
        <f t="shared" si="72"/>
        <v>0.47800000000000004</v>
      </c>
      <c r="F195" s="14">
        <f t="shared" si="72"/>
        <v>681.08888888888885</v>
      </c>
      <c r="G195" s="13">
        <f t="shared" si="72"/>
        <v>853.61666666666588</v>
      </c>
      <c r="H195" s="15">
        <f t="shared" si="72"/>
        <v>40.666666666666664</v>
      </c>
      <c r="I195" s="13">
        <f t="shared" si="72"/>
        <v>0</v>
      </c>
      <c r="J195" s="16">
        <f t="shared" si="72"/>
        <v>327</v>
      </c>
      <c r="K195" s="15">
        <f t="shared" si="72"/>
        <v>495</v>
      </c>
      <c r="L195" s="14">
        <f t="shared" si="72"/>
        <v>133</v>
      </c>
      <c r="M195" s="13">
        <f t="shared" si="72"/>
        <v>34</v>
      </c>
      <c r="N195" s="55"/>
    </row>
    <row r="196" spans="1:14" outlineLevel="1" x14ac:dyDescent="0.2">
      <c r="A196" s="20">
        <f t="shared" si="71"/>
        <v>11161</v>
      </c>
      <c r="B196" s="19" t="str">
        <f t="shared" si="71"/>
        <v>TAMUCC</v>
      </c>
      <c r="C196" s="18"/>
      <c r="D196" s="15">
        <f t="shared" si="72"/>
        <v>1388.3333333333333</v>
      </c>
      <c r="E196" s="21">
        <f t="shared" si="72"/>
        <v>0.50800000000000001</v>
      </c>
      <c r="F196" s="14">
        <f t="shared" si="72"/>
        <v>6494.666666666667</v>
      </c>
      <c r="G196" s="13">
        <f t="shared" si="72"/>
        <v>2804.2000000000139</v>
      </c>
      <c r="H196" s="15">
        <f t="shared" si="72"/>
        <v>266.33333333333331</v>
      </c>
      <c r="I196" s="13">
        <f t="shared" si="72"/>
        <v>25.666666666666668</v>
      </c>
      <c r="J196" s="16">
        <f t="shared" si="72"/>
        <v>1080</v>
      </c>
      <c r="K196" s="15">
        <f t="shared" si="72"/>
        <v>2054</v>
      </c>
      <c r="L196" s="14">
        <f t="shared" si="72"/>
        <v>1468</v>
      </c>
      <c r="M196" s="13">
        <f t="shared" si="72"/>
        <v>878.33333333333337</v>
      </c>
      <c r="N196" s="55"/>
    </row>
    <row r="197" spans="1:14" outlineLevel="1" x14ac:dyDescent="0.2">
      <c r="A197" s="20">
        <f t="shared" si="71"/>
        <v>3639</v>
      </c>
      <c r="B197" s="19" t="str">
        <f t="shared" si="71"/>
        <v>TAMUK</v>
      </c>
      <c r="C197" s="18"/>
      <c r="D197" s="15">
        <f t="shared" si="72"/>
        <v>761.66666666666663</v>
      </c>
      <c r="E197" s="21">
        <f t="shared" si="72"/>
        <v>0.40233333333333338</v>
      </c>
      <c r="F197" s="14">
        <f t="shared" si="72"/>
        <v>4260</v>
      </c>
      <c r="G197" s="13">
        <f t="shared" si="72"/>
        <v>1763.4533333333395</v>
      </c>
      <c r="H197" s="15">
        <f t="shared" si="72"/>
        <v>260</v>
      </c>
      <c r="I197" s="13">
        <f t="shared" si="72"/>
        <v>16.666666666666668</v>
      </c>
      <c r="J197" s="16">
        <f t="shared" si="72"/>
        <v>648.33333333333337</v>
      </c>
      <c r="K197" s="15">
        <f t="shared" si="72"/>
        <v>1227.3333333333333</v>
      </c>
      <c r="L197" s="14">
        <f t="shared" si="72"/>
        <v>859.66666666666663</v>
      </c>
      <c r="M197" s="13">
        <f t="shared" si="72"/>
        <v>558.66666666666663</v>
      </c>
      <c r="N197" s="55"/>
    </row>
    <row r="198" spans="1:14" outlineLevel="1" x14ac:dyDescent="0.2">
      <c r="A198" s="27">
        <f t="shared" ref="A198:B213" si="73">A156</f>
        <v>103639</v>
      </c>
      <c r="B198" s="19" t="str">
        <f t="shared" si="73"/>
        <v>TAMUSA</v>
      </c>
      <c r="C198" s="18"/>
      <c r="D198" s="15">
        <f t="shared" ref="D198:M213" si="74">AVERAGE(D240,D282,D324)</f>
        <v>587.66666666666663</v>
      </c>
      <c r="E198" s="21">
        <f t="shared" si="74"/>
        <v>0.40233333333333338</v>
      </c>
      <c r="F198" s="14">
        <f t="shared" si="74"/>
        <v>1412.711111111111</v>
      </c>
      <c r="G198" s="13">
        <f t="shared" si="74"/>
        <v>1026.0133333333379</v>
      </c>
      <c r="H198" s="15">
        <f t="shared" si="74"/>
        <v>5</v>
      </c>
      <c r="I198" s="13">
        <f t="shared" si="74"/>
        <v>2</v>
      </c>
      <c r="J198" s="16">
        <f t="shared" si="74"/>
        <v>490.33333333333331</v>
      </c>
      <c r="K198" s="15">
        <f t="shared" si="74"/>
        <v>729.66666666666663</v>
      </c>
      <c r="L198" s="14">
        <f t="shared" si="74"/>
        <v>77.333333333333329</v>
      </c>
      <c r="M198" s="13">
        <f t="shared" si="74"/>
        <v>2.6666666666666665</v>
      </c>
      <c r="N198" s="55"/>
    </row>
    <row r="199" spans="1:14" outlineLevel="1" x14ac:dyDescent="0.2">
      <c r="A199" s="20">
        <f t="shared" si="73"/>
        <v>9651</v>
      </c>
      <c r="B199" s="19" t="str">
        <f t="shared" si="73"/>
        <v>TAMI</v>
      </c>
      <c r="C199" s="18"/>
      <c r="D199" s="15">
        <f t="shared" si="74"/>
        <v>789.66666666666663</v>
      </c>
      <c r="E199" s="21">
        <f t="shared" si="74"/>
        <v>0.47333333333333333</v>
      </c>
      <c r="F199" s="14">
        <f t="shared" si="74"/>
        <v>4086</v>
      </c>
      <c r="G199" s="13">
        <f t="shared" si="74"/>
        <v>1458.4966666666717</v>
      </c>
      <c r="H199" s="15">
        <f t="shared" si="74"/>
        <v>115.66666666666667</v>
      </c>
      <c r="I199" s="13">
        <f t="shared" si="74"/>
        <v>22.333333333333332</v>
      </c>
      <c r="J199" s="16">
        <f t="shared" si="74"/>
        <v>712.66666666666663</v>
      </c>
      <c r="K199" s="15">
        <f t="shared" si="74"/>
        <v>1406.6666666666667</v>
      </c>
      <c r="L199" s="14">
        <f t="shared" si="74"/>
        <v>1015.6666666666666</v>
      </c>
      <c r="M199" s="13">
        <f t="shared" si="74"/>
        <v>473.66666666666669</v>
      </c>
      <c r="N199" s="55"/>
    </row>
    <row r="200" spans="1:14" outlineLevel="1" x14ac:dyDescent="0.2">
      <c r="A200" s="20">
        <f t="shared" si="73"/>
        <v>3665</v>
      </c>
      <c r="B200" s="19" t="str">
        <f t="shared" si="73"/>
        <v>WTAMU</v>
      </c>
      <c r="C200" s="18"/>
      <c r="D200" s="15">
        <f t="shared" si="74"/>
        <v>1255.6666666666667</v>
      </c>
      <c r="E200" s="21">
        <f t="shared" si="74"/>
        <v>0.47066666666666662</v>
      </c>
      <c r="F200" s="14">
        <f t="shared" si="74"/>
        <v>5415.2222222222226</v>
      </c>
      <c r="G200" s="13">
        <f t="shared" si="74"/>
        <v>2503.5766666666836</v>
      </c>
      <c r="H200" s="15">
        <f t="shared" si="74"/>
        <v>191.66666666666666</v>
      </c>
      <c r="I200" s="13">
        <f t="shared" si="74"/>
        <v>60.666666666666664</v>
      </c>
      <c r="J200" s="16">
        <f t="shared" si="74"/>
        <v>889.33333333333337</v>
      </c>
      <c r="K200" s="15">
        <f t="shared" si="74"/>
        <v>1791.6666666666667</v>
      </c>
      <c r="L200" s="14">
        <f t="shared" si="74"/>
        <v>1212.6666666666667</v>
      </c>
      <c r="M200" s="13">
        <f t="shared" si="74"/>
        <v>661.33333333333337</v>
      </c>
      <c r="N200" s="55"/>
    </row>
    <row r="201" spans="1:14" outlineLevel="1" x14ac:dyDescent="0.2">
      <c r="A201" s="20">
        <f t="shared" si="73"/>
        <v>3565</v>
      </c>
      <c r="B201" s="19" t="str">
        <f t="shared" si="73"/>
        <v>TAMUC</v>
      </c>
      <c r="C201" s="18"/>
      <c r="D201" s="15">
        <f t="shared" si="74"/>
        <v>1324.3333333333333</v>
      </c>
      <c r="E201" s="21">
        <f t="shared" si="74"/>
        <v>0.44</v>
      </c>
      <c r="F201" s="14">
        <f t="shared" si="74"/>
        <v>4696.9777777777772</v>
      </c>
      <c r="G201" s="13">
        <f t="shared" si="74"/>
        <v>2501.8266666666914</v>
      </c>
      <c r="H201" s="15">
        <f t="shared" si="74"/>
        <v>73</v>
      </c>
      <c r="I201" s="13">
        <f t="shared" si="74"/>
        <v>74.333333333333329</v>
      </c>
      <c r="J201" s="16">
        <f t="shared" si="74"/>
        <v>1019.3333333333334</v>
      </c>
      <c r="K201" s="15">
        <f t="shared" si="74"/>
        <v>1893</v>
      </c>
      <c r="L201" s="14">
        <f t="shared" si="74"/>
        <v>1137.3333333333333</v>
      </c>
      <c r="M201" s="13">
        <f t="shared" si="74"/>
        <v>452.33333333333331</v>
      </c>
      <c r="N201" s="55"/>
    </row>
    <row r="202" spans="1:14" outlineLevel="1" x14ac:dyDescent="0.2">
      <c r="A202" s="20">
        <f t="shared" si="73"/>
        <v>29269</v>
      </c>
      <c r="B202" s="19" t="str">
        <f t="shared" si="73"/>
        <v>TAMUT</v>
      </c>
      <c r="C202" s="18"/>
      <c r="D202" s="15">
        <f t="shared" si="74"/>
        <v>345.66666666666669</v>
      </c>
      <c r="E202" s="21">
        <f t="shared" si="74"/>
        <v>0.54202583186163211</v>
      </c>
      <c r="F202" s="14">
        <f t="shared" si="74"/>
        <v>891.66666666666663</v>
      </c>
      <c r="G202" s="13">
        <f t="shared" si="74"/>
        <v>619.90999999999826</v>
      </c>
      <c r="H202" s="15">
        <f t="shared" si="74"/>
        <v>41.666666666666664</v>
      </c>
      <c r="I202" s="13">
        <f t="shared" si="74"/>
        <v>19.333333333333332</v>
      </c>
      <c r="J202" s="16">
        <f t="shared" si="74"/>
        <v>239</v>
      </c>
      <c r="K202" s="15">
        <f t="shared" si="74"/>
        <v>432.66666666666669</v>
      </c>
      <c r="L202" s="14">
        <f t="shared" si="74"/>
        <v>181</v>
      </c>
      <c r="M202" s="13">
        <f t="shared" si="74"/>
        <v>0.66666666666666663</v>
      </c>
      <c r="N202" s="55"/>
    </row>
    <row r="203" spans="1:14" outlineLevel="1" x14ac:dyDescent="0.2">
      <c r="A203" s="20">
        <f t="shared" si="73"/>
        <v>3652</v>
      </c>
      <c r="B203" s="19" t="str">
        <f t="shared" si="73"/>
        <v>UH</v>
      </c>
      <c r="C203" s="18"/>
      <c r="D203" s="15">
        <f t="shared" si="74"/>
        <v>5098.666666666667</v>
      </c>
      <c r="E203" s="21">
        <f t="shared" si="74"/>
        <v>0.53633333333333333</v>
      </c>
      <c r="F203" s="14">
        <f t="shared" si="74"/>
        <v>23797.68888888889</v>
      </c>
      <c r="G203" s="13">
        <f t="shared" si="74"/>
        <v>10580.246666665944</v>
      </c>
      <c r="H203" s="15">
        <f t="shared" si="74"/>
        <v>737</v>
      </c>
      <c r="I203" s="13">
        <f t="shared" si="74"/>
        <v>62.666666666666664</v>
      </c>
      <c r="J203" s="16">
        <f t="shared" si="74"/>
        <v>3373</v>
      </c>
      <c r="K203" s="15">
        <f t="shared" si="74"/>
        <v>7602.333333333333</v>
      </c>
      <c r="L203" s="14">
        <f t="shared" si="74"/>
        <v>5690.333333333333</v>
      </c>
      <c r="M203" s="13">
        <f t="shared" si="74"/>
        <v>3307.3333333333335</v>
      </c>
      <c r="N203" s="55"/>
    </row>
    <row r="204" spans="1:14" outlineLevel="1" x14ac:dyDescent="0.2">
      <c r="A204" s="20">
        <f t="shared" si="73"/>
        <v>11711</v>
      </c>
      <c r="B204" s="19" t="str">
        <f t="shared" si="73"/>
        <v>UHCL</v>
      </c>
      <c r="C204" s="18"/>
      <c r="D204" s="15">
        <f t="shared" si="74"/>
        <v>1190.6666666666667</v>
      </c>
      <c r="E204" s="21">
        <f t="shared" si="74"/>
        <v>0.52016462432165866</v>
      </c>
      <c r="F204" s="14">
        <f t="shared" si="74"/>
        <v>2999.6444444444446</v>
      </c>
      <c r="G204" s="13">
        <f t="shared" si="74"/>
        <v>2282.9533333333529</v>
      </c>
      <c r="H204" s="15">
        <f t="shared" si="74"/>
        <v>106.66666666666667</v>
      </c>
      <c r="I204" s="13">
        <f t="shared" si="74"/>
        <v>8.3333333333333339</v>
      </c>
      <c r="J204" s="16">
        <f t="shared" si="74"/>
        <v>774.33333333333337</v>
      </c>
      <c r="K204" s="15">
        <f t="shared" si="74"/>
        <v>1391.3333333333333</v>
      </c>
      <c r="L204" s="14">
        <f t="shared" si="74"/>
        <v>953.66666666666663</v>
      </c>
      <c r="M204" s="13">
        <f t="shared" si="74"/>
        <v>57</v>
      </c>
      <c r="N204" s="55"/>
    </row>
    <row r="205" spans="1:14" outlineLevel="1" x14ac:dyDescent="0.2">
      <c r="A205" s="20">
        <f t="shared" si="73"/>
        <v>12826</v>
      </c>
      <c r="B205" s="19" t="str">
        <f t="shared" si="73"/>
        <v>UHD</v>
      </c>
      <c r="C205" s="18"/>
      <c r="D205" s="15">
        <f t="shared" si="74"/>
        <v>2382.3333333333335</v>
      </c>
      <c r="E205" s="21">
        <f t="shared" si="74"/>
        <v>0.19000000000000003</v>
      </c>
      <c r="F205" s="14">
        <f t="shared" si="74"/>
        <v>7985.5555555555547</v>
      </c>
      <c r="G205" s="13">
        <f t="shared" si="74"/>
        <v>4271.3166666667212</v>
      </c>
      <c r="H205" s="15">
        <f t="shared" si="74"/>
        <v>129.66666666666666</v>
      </c>
      <c r="I205" s="13">
        <f t="shared" si="74"/>
        <v>1.6666666666666667</v>
      </c>
      <c r="J205" s="16">
        <f t="shared" si="74"/>
        <v>1681</v>
      </c>
      <c r="K205" s="15">
        <f t="shared" si="74"/>
        <v>3105.3333333333335</v>
      </c>
      <c r="L205" s="14">
        <f t="shared" si="74"/>
        <v>1868.3333333333333</v>
      </c>
      <c r="M205" s="13">
        <f t="shared" si="74"/>
        <v>604.66666666666663</v>
      </c>
      <c r="N205" s="55"/>
    </row>
    <row r="206" spans="1:14" outlineLevel="1" x14ac:dyDescent="0.2">
      <c r="A206" s="20">
        <f t="shared" si="73"/>
        <v>13231</v>
      </c>
      <c r="B206" s="19" t="str">
        <f t="shared" si="73"/>
        <v>UHV</v>
      </c>
      <c r="C206" s="18"/>
      <c r="D206" s="15">
        <f t="shared" si="74"/>
        <v>576.66666666666663</v>
      </c>
      <c r="E206" s="21">
        <f t="shared" si="74"/>
        <v>0.52057016677259083</v>
      </c>
      <c r="F206" s="14">
        <f t="shared" si="74"/>
        <v>1438.6222222222223</v>
      </c>
      <c r="G206" s="13">
        <f t="shared" si="74"/>
        <v>1084.4800000000012</v>
      </c>
      <c r="H206" s="15">
        <f t="shared" si="74"/>
        <v>108</v>
      </c>
      <c r="I206" s="13">
        <f t="shared" si="74"/>
        <v>7.333333333333333</v>
      </c>
      <c r="J206" s="16">
        <f t="shared" si="74"/>
        <v>384</v>
      </c>
      <c r="K206" s="15">
        <f t="shared" si="74"/>
        <v>716</v>
      </c>
      <c r="L206" s="14">
        <f t="shared" si="74"/>
        <v>296.33333333333331</v>
      </c>
      <c r="M206" s="13">
        <f t="shared" si="74"/>
        <v>6.666666666666667</v>
      </c>
      <c r="N206" s="55"/>
    </row>
    <row r="207" spans="1:14" outlineLevel="1" x14ac:dyDescent="0.2">
      <c r="A207" s="20">
        <f t="shared" si="73"/>
        <v>3592</v>
      </c>
      <c r="B207" s="19" t="str">
        <f t="shared" si="73"/>
        <v>Midwestern</v>
      </c>
      <c r="C207" s="18"/>
      <c r="D207" s="15">
        <f t="shared" si="74"/>
        <v>1031.6666666666667</v>
      </c>
      <c r="E207" s="21">
        <f t="shared" si="74"/>
        <v>0.4393333333333333</v>
      </c>
      <c r="F207" s="14">
        <f t="shared" si="74"/>
        <v>4276.7777777777783</v>
      </c>
      <c r="G207" s="13">
        <f t="shared" si="74"/>
        <v>1962.0000000000034</v>
      </c>
      <c r="H207" s="15">
        <f t="shared" si="74"/>
        <v>333.33333333333331</v>
      </c>
      <c r="I207" s="13">
        <f t="shared" si="74"/>
        <v>15</v>
      </c>
      <c r="J207" s="16">
        <f t="shared" si="74"/>
        <v>690.33333333333337</v>
      </c>
      <c r="K207" s="15">
        <f t="shared" si="74"/>
        <v>1438</v>
      </c>
      <c r="L207" s="14">
        <f t="shared" si="74"/>
        <v>1046</v>
      </c>
      <c r="M207" s="13">
        <f t="shared" si="74"/>
        <v>679.66666666666663</v>
      </c>
      <c r="N207" s="55"/>
    </row>
    <row r="208" spans="1:14" outlineLevel="1" x14ac:dyDescent="0.2">
      <c r="A208" s="20">
        <f t="shared" si="73"/>
        <v>3594</v>
      </c>
      <c r="B208" s="19" t="str">
        <f t="shared" si="73"/>
        <v>UNT</v>
      </c>
      <c r="C208" s="18"/>
      <c r="D208" s="15">
        <f t="shared" si="74"/>
        <v>6016.666666666667</v>
      </c>
      <c r="E208" s="21">
        <f t="shared" si="74"/>
        <v>0.57633333333333336</v>
      </c>
      <c r="F208" s="14">
        <f t="shared" si="74"/>
        <v>23242.088888888899</v>
      </c>
      <c r="G208" s="13">
        <f t="shared" si="74"/>
        <v>11411.553333332529</v>
      </c>
      <c r="H208" s="15">
        <f t="shared" si="74"/>
        <v>336.66666666666669</v>
      </c>
      <c r="I208" s="13">
        <f t="shared" si="74"/>
        <v>43.333333333333336</v>
      </c>
      <c r="J208" s="16">
        <f t="shared" si="74"/>
        <v>3820</v>
      </c>
      <c r="K208" s="15">
        <f t="shared" si="74"/>
        <v>7864.666666666667</v>
      </c>
      <c r="L208" s="14">
        <f t="shared" si="74"/>
        <v>5642.333333333333</v>
      </c>
      <c r="M208" s="13">
        <f t="shared" si="74"/>
        <v>3337</v>
      </c>
      <c r="N208" s="55"/>
    </row>
    <row r="209" spans="1:14" outlineLevel="1" x14ac:dyDescent="0.2">
      <c r="A209" s="27">
        <f t="shared" si="73"/>
        <v>113594</v>
      </c>
      <c r="B209" s="19" t="str">
        <f t="shared" si="73"/>
        <v>UNTD</v>
      </c>
      <c r="C209" s="18"/>
      <c r="D209" s="15">
        <f t="shared" si="74"/>
        <v>403.5</v>
      </c>
      <c r="E209" s="21">
        <f t="shared" si="74"/>
        <v>0.57750000000000001</v>
      </c>
      <c r="F209" s="14">
        <f t="shared" si="74"/>
        <v>946.13333333333333</v>
      </c>
      <c r="G209" s="13">
        <f t="shared" si="74"/>
        <v>705.85999999999717</v>
      </c>
      <c r="H209" s="15">
        <f t="shared" si="74"/>
        <v>12</v>
      </c>
      <c r="I209" s="13">
        <f t="shared" si="74"/>
        <v>0</v>
      </c>
      <c r="J209" s="16">
        <f t="shared" si="74"/>
        <v>308.5</v>
      </c>
      <c r="K209" s="15">
        <f t="shared" si="74"/>
        <v>478</v>
      </c>
      <c r="L209" s="14">
        <f t="shared" si="74"/>
        <v>71.5</v>
      </c>
      <c r="M209" s="13">
        <f t="shared" si="74"/>
        <v>11</v>
      </c>
      <c r="N209" s="55"/>
    </row>
    <row r="210" spans="1:14" outlineLevel="1" x14ac:dyDescent="0.2">
      <c r="A210" s="20">
        <f t="shared" si="73"/>
        <v>3624</v>
      </c>
      <c r="B210" s="19" t="str">
        <f t="shared" si="73"/>
        <v>SFA</v>
      </c>
      <c r="C210" s="18"/>
      <c r="D210" s="15">
        <f t="shared" si="74"/>
        <v>1921.6666666666667</v>
      </c>
      <c r="E210" s="21">
        <f t="shared" si="74"/>
        <v>0.55399999999999994</v>
      </c>
      <c r="F210" s="14">
        <f t="shared" si="74"/>
        <v>9486.177777777777</v>
      </c>
      <c r="G210" s="13">
        <f t="shared" si="74"/>
        <v>3721.736666666669</v>
      </c>
      <c r="H210" s="15">
        <f t="shared" si="74"/>
        <v>248</v>
      </c>
      <c r="I210" s="13">
        <f t="shared" si="74"/>
        <v>44.666666666666664</v>
      </c>
      <c r="J210" s="16">
        <f t="shared" si="74"/>
        <v>1460.3333333333333</v>
      </c>
      <c r="K210" s="15">
        <f t="shared" si="74"/>
        <v>2769.3333333333335</v>
      </c>
      <c r="L210" s="14">
        <f t="shared" si="74"/>
        <v>2075</v>
      </c>
      <c r="M210" s="13">
        <f t="shared" si="74"/>
        <v>1397.3333333333333</v>
      </c>
      <c r="N210" s="55"/>
    </row>
    <row r="211" spans="1:14" outlineLevel="1" x14ac:dyDescent="0.2">
      <c r="A211" s="20">
        <f t="shared" si="73"/>
        <v>3642</v>
      </c>
      <c r="B211" s="19" t="str">
        <f t="shared" si="73"/>
        <v>TSU</v>
      </c>
      <c r="C211" s="18"/>
      <c r="D211" s="15">
        <f t="shared" si="74"/>
        <v>758.33333333333337</v>
      </c>
      <c r="E211" s="21">
        <f t="shared" si="74"/>
        <v>0.14366666666666664</v>
      </c>
      <c r="F211" s="14">
        <f t="shared" si="74"/>
        <v>5863.2444444444445</v>
      </c>
      <c r="G211" s="13">
        <f t="shared" si="74"/>
        <v>1488.6533333333352</v>
      </c>
      <c r="H211" s="15">
        <f t="shared" si="74"/>
        <v>134.33333333333334</v>
      </c>
      <c r="I211" s="13">
        <f t="shared" si="74"/>
        <v>3</v>
      </c>
      <c r="J211" s="16">
        <f t="shared" si="74"/>
        <v>666.33333333333337</v>
      </c>
      <c r="K211" s="15">
        <f t="shared" si="74"/>
        <v>1637.3333333333333</v>
      </c>
      <c r="L211" s="14">
        <f t="shared" si="74"/>
        <v>1133</v>
      </c>
      <c r="M211" s="13">
        <f t="shared" si="74"/>
        <v>848.66666666666663</v>
      </c>
      <c r="N211" s="55"/>
    </row>
    <row r="212" spans="1:14" outlineLevel="1" x14ac:dyDescent="0.2">
      <c r="A212" s="20">
        <f t="shared" si="73"/>
        <v>3644</v>
      </c>
      <c r="B212" s="19" t="str">
        <f t="shared" si="73"/>
        <v>TTU</v>
      </c>
      <c r="C212" s="18"/>
      <c r="D212" s="15">
        <f t="shared" si="74"/>
        <v>4674</v>
      </c>
      <c r="E212" s="21">
        <f t="shared" si="74"/>
        <v>0.73199999999999987</v>
      </c>
      <c r="F212" s="14">
        <f t="shared" si="74"/>
        <v>22192.42222222222</v>
      </c>
      <c r="G212" s="13">
        <f t="shared" si="74"/>
        <v>10128.113333332682</v>
      </c>
      <c r="H212" s="15">
        <f t="shared" si="74"/>
        <v>727.33333333333337</v>
      </c>
      <c r="I212" s="13">
        <f t="shared" si="74"/>
        <v>57.333333333333336</v>
      </c>
      <c r="J212" s="16">
        <f t="shared" si="74"/>
        <v>2778</v>
      </c>
      <c r="K212" s="15">
        <f t="shared" si="74"/>
        <v>6485.333333333333</v>
      </c>
      <c r="L212" s="14">
        <f t="shared" si="74"/>
        <v>5278.333333333333</v>
      </c>
      <c r="M212" s="13">
        <f t="shared" si="74"/>
        <v>3945.6666666666665</v>
      </c>
      <c r="N212" s="55"/>
    </row>
    <row r="213" spans="1:14" outlineLevel="1" x14ac:dyDescent="0.2">
      <c r="A213" s="20">
        <f t="shared" si="73"/>
        <v>3541</v>
      </c>
      <c r="B213" s="19" t="str">
        <f t="shared" si="73"/>
        <v>Angelo</v>
      </c>
      <c r="C213" s="18"/>
      <c r="D213" s="15">
        <f t="shared" si="74"/>
        <v>991.33333333333337</v>
      </c>
      <c r="E213" s="21">
        <f t="shared" si="74"/>
        <v>0.42966666666666664</v>
      </c>
      <c r="F213" s="14">
        <f t="shared" si="74"/>
        <v>4882.0444444444447</v>
      </c>
      <c r="G213" s="13">
        <f t="shared" si="74"/>
        <v>1977.3500000000051</v>
      </c>
      <c r="H213" s="15">
        <f t="shared" si="74"/>
        <v>254.33333333333334</v>
      </c>
      <c r="I213" s="13">
        <f t="shared" si="74"/>
        <v>19.333333333333332</v>
      </c>
      <c r="J213" s="16">
        <f t="shared" si="74"/>
        <v>723</v>
      </c>
      <c r="K213" s="15">
        <f t="shared" si="74"/>
        <v>1438.6666666666667</v>
      </c>
      <c r="L213" s="14">
        <f t="shared" si="74"/>
        <v>1033.6666666666667</v>
      </c>
      <c r="M213" s="13">
        <f t="shared" si="74"/>
        <v>707.66666666666663</v>
      </c>
      <c r="N213" s="55"/>
    </row>
    <row r="214" spans="1:14" outlineLevel="1" x14ac:dyDescent="0.2">
      <c r="A214" s="20">
        <f t="shared" ref="A214:B219" si="75">A172</f>
        <v>3646</v>
      </c>
      <c r="B214" s="19" t="str">
        <f t="shared" si="75"/>
        <v>TWU</v>
      </c>
      <c r="C214" s="18"/>
      <c r="D214" s="15">
        <f t="shared" ref="D214:M219" si="76">AVERAGE(D256,D298,D340)</f>
        <v>1806</v>
      </c>
      <c r="E214" s="21">
        <f t="shared" si="76"/>
        <v>0.52366666666666672</v>
      </c>
      <c r="F214" s="14">
        <f t="shared" si="76"/>
        <v>6556.4000000000005</v>
      </c>
      <c r="G214" s="13">
        <f t="shared" si="76"/>
        <v>3452.1766666666658</v>
      </c>
      <c r="H214" s="15">
        <f t="shared" si="76"/>
        <v>569.33333333333337</v>
      </c>
      <c r="I214" s="13">
        <f t="shared" si="76"/>
        <v>31.666666666666668</v>
      </c>
      <c r="J214" s="16">
        <f t="shared" si="76"/>
        <v>1247</v>
      </c>
      <c r="K214" s="15">
        <f t="shared" si="76"/>
        <v>2196</v>
      </c>
      <c r="L214" s="14">
        <f t="shared" si="76"/>
        <v>1292.3333333333333</v>
      </c>
      <c r="M214" s="13">
        <f t="shared" si="76"/>
        <v>659.66666666666663</v>
      </c>
      <c r="N214" s="55"/>
    </row>
    <row r="215" spans="1:14" outlineLevel="1" x14ac:dyDescent="0.2">
      <c r="A215" s="20">
        <f t="shared" si="75"/>
        <v>3581</v>
      </c>
      <c r="B215" s="19" t="str">
        <f t="shared" si="75"/>
        <v>Lamar</v>
      </c>
      <c r="C215" s="18"/>
      <c r="D215" s="15">
        <f t="shared" si="76"/>
        <v>1335.3333333333333</v>
      </c>
      <c r="E215" s="21">
        <f t="shared" si="76"/>
        <v>0.35033333333333333</v>
      </c>
      <c r="F215" s="14">
        <f t="shared" si="76"/>
        <v>7275.0666666666666</v>
      </c>
      <c r="G215" s="13">
        <f t="shared" si="76"/>
        <v>2684.9000000000165</v>
      </c>
      <c r="H215" s="15">
        <f t="shared" si="76"/>
        <v>330</v>
      </c>
      <c r="I215" s="13">
        <f t="shared" si="76"/>
        <v>17</v>
      </c>
      <c r="J215" s="16">
        <f t="shared" si="76"/>
        <v>948.66666666666663</v>
      </c>
      <c r="K215" s="15">
        <f t="shared" si="76"/>
        <v>2144.6666666666665</v>
      </c>
      <c r="L215" s="14">
        <f t="shared" si="76"/>
        <v>1489</v>
      </c>
      <c r="M215" s="13">
        <f t="shared" si="76"/>
        <v>1011</v>
      </c>
      <c r="N215" s="55"/>
    </row>
    <row r="216" spans="1:14" outlineLevel="1" x14ac:dyDescent="0.2">
      <c r="A216" s="20">
        <f t="shared" si="75"/>
        <v>3606</v>
      </c>
      <c r="B216" s="19" t="str">
        <f t="shared" si="75"/>
        <v>SHSU</v>
      </c>
      <c r="C216" s="18"/>
      <c r="D216" s="15">
        <f t="shared" si="76"/>
        <v>3077.6666666666665</v>
      </c>
      <c r="E216" s="21">
        <f t="shared" si="76"/>
        <v>0.58666666666666667</v>
      </c>
      <c r="F216" s="14">
        <f t="shared" si="76"/>
        <v>12574.4</v>
      </c>
      <c r="G216" s="13">
        <f t="shared" si="76"/>
        <v>5837.0766666667887</v>
      </c>
      <c r="H216" s="15">
        <f t="shared" si="76"/>
        <v>167</v>
      </c>
      <c r="I216" s="13">
        <f t="shared" si="76"/>
        <v>61</v>
      </c>
      <c r="J216" s="16">
        <f t="shared" si="76"/>
        <v>2213.6666666666665</v>
      </c>
      <c r="K216" s="15">
        <f t="shared" si="76"/>
        <v>3894.3333333333335</v>
      </c>
      <c r="L216" s="14">
        <f t="shared" si="76"/>
        <v>2965.3333333333335</v>
      </c>
      <c r="M216" s="13">
        <f t="shared" si="76"/>
        <v>1763.3333333333333</v>
      </c>
    </row>
    <row r="217" spans="1:14" outlineLevel="1" x14ac:dyDescent="0.2">
      <c r="A217" s="20">
        <f t="shared" si="75"/>
        <v>3615</v>
      </c>
      <c r="B217" s="19" t="str">
        <f t="shared" si="75"/>
        <v>TXST</v>
      </c>
      <c r="C217" s="18"/>
      <c r="D217" s="15">
        <f t="shared" si="76"/>
        <v>5361</v>
      </c>
      <c r="E217" s="21">
        <f t="shared" si="76"/>
        <v>0.63300000000000001</v>
      </c>
      <c r="F217" s="14">
        <f t="shared" si="76"/>
        <v>22903.511111111107</v>
      </c>
      <c r="G217" s="13">
        <f t="shared" si="76"/>
        <v>10437.309999999357</v>
      </c>
      <c r="H217" s="15">
        <f t="shared" si="76"/>
        <v>488.66666666666669</v>
      </c>
      <c r="I217" s="13">
        <f t="shared" si="76"/>
        <v>66.666666666666671</v>
      </c>
      <c r="J217" s="16">
        <f t="shared" si="76"/>
        <v>3675.3333333333335</v>
      </c>
      <c r="K217" s="15">
        <f t="shared" si="76"/>
        <v>7470.333333333333</v>
      </c>
      <c r="L217" s="14">
        <f t="shared" si="76"/>
        <v>5579</v>
      </c>
      <c r="M217" s="13">
        <f t="shared" si="76"/>
        <v>3317.3333333333335</v>
      </c>
    </row>
    <row r="218" spans="1:14" outlineLevel="1" x14ac:dyDescent="0.2">
      <c r="A218" s="20">
        <f t="shared" si="75"/>
        <v>3625</v>
      </c>
      <c r="B218" s="19" t="str">
        <f t="shared" si="75"/>
        <v>SRSU</v>
      </c>
      <c r="C218" s="18"/>
      <c r="D218" s="15">
        <f t="shared" si="76"/>
        <v>189.33333333333334</v>
      </c>
      <c r="E218" s="21">
        <f t="shared" si="76"/>
        <v>0.30099999999999999</v>
      </c>
      <c r="F218" s="14">
        <f t="shared" si="76"/>
        <v>1220.0222222222221</v>
      </c>
      <c r="G218" s="13">
        <f t="shared" si="76"/>
        <v>394.32999999999964</v>
      </c>
      <c r="H218" s="15">
        <f t="shared" si="76"/>
        <v>12.666666666666666</v>
      </c>
      <c r="I218" s="13">
        <f t="shared" si="76"/>
        <v>6.333333333333333</v>
      </c>
      <c r="J218" s="16">
        <f t="shared" si="76"/>
        <v>163</v>
      </c>
      <c r="K218" s="15">
        <f t="shared" si="76"/>
        <v>300</v>
      </c>
      <c r="L218" s="14">
        <f t="shared" si="76"/>
        <v>193.66666666666666</v>
      </c>
      <c r="M218" s="13">
        <f t="shared" si="76"/>
        <v>131.66666666666666</v>
      </c>
      <c r="N218" s="41"/>
    </row>
    <row r="219" spans="1:14" outlineLevel="1" x14ac:dyDescent="0.2">
      <c r="A219" s="20">
        <f t="shared" si="75"/>
        <v>20</v>
      </c>
      <c r="B219" s="19" t="str">
        <f t="shared" si="75"/>
        <v>SRRG</v>
      </c>
      <c r="C219" s="18"/>
      <c r="D219" s="15">
        <f t="shared" si="76"/>
        <v>161.66666666666666</v>
      </c>
      <c r="E219" s="21">
        <f t="shared" si="76"/>
        <v>0.31772769042270776</v>
      </c>
      <c r="F219" s="14">
        <f t="shared" si="76"/>
        <v>441.75555555555553</v>
      </c>
      <c r="G219" s="13">
        <f t="shared" si="76"/>
        <v>279.16999999999979</v>
      </c>
      <c r="H219" s="15">
        <f t="shared" si="76"/>
        <v>6.333333333333333</v>
      </c>
      <c r="I219" s="13">
        <f t="shared" si="76"/>
        <v>5.666666666666667</v>
      </c>
      <c r="J219" s="16">
        <f t="shared" si="76"/>
        <v>144</v>
      </c>
      <c r="K219" s="15">
        <f t="shared" si="76"/>
        <v>230</v>
      </c>
      <c r="L219" s="14">
        <f t="shared" si="76"/>
        <v>92.666666666666671</v>
      </c>
      <c r="M219" s="13">
        <f t="shared" si="76"/>
        <v>4.333333333333333</v>
      </c>
    </row>
    <row r="220" spans="1:14" ht="13.5" outlineLevel="1" thickBot="1" x14ac:dyDescent="0.25">
      <c r="A220" s="12"/>
      <c r="B220" s="11" t="s">
        <v>11</v>
      </c>
      <c r="C220" s="10"/>
      <c r="D220" s="9">
        <f>SUM(D182:D219)</f>
        <v>84315.833333333314</v>
      </c>
      <c r="E220" s="8">
        <v>0.55900000000000005</v>
      </c>
      <c r="F220" s="7">
        <f t="shared" ref="F220:M220" si="77">SUM(F182:F219)</f>
        <v>350016.33333333331</v>
      </c>
      <c r="G220" s="3">
        <f t="shared" si="77"/>
        <v>172461.13999999844</v>
      </c>
      <c r="H220" s="5">
        <f t="shared" si="77"/>
        <v>13953.333333333332</v>
      </c>
      <c r="I220" s="3">
        <f t="shared" si="77"/>
        <v>1198.3333333333335</v>
      </c>
      <c r="J220" s="6">
        <f t="shared" si="77"/>
        <v>54446.500000000007</v>
      </c>
      <c r="K220" s="5">
        <f t="shared" si="77"/>
        <v>114212.66666666664</v>
      </c>
      <c r="L220" s="4">
        <f t="shared" si="77"/>
        <v>82344.5</v>
      </c>
      <c r="M220" s="3">
        <f t="shared" si="77"/>
        <v>50801.999999999993</v>
      </c>
    </row>
    <row r="221" spans="1:14" ht="13.5" thickBot="1" x14ac:dyDescent="0.25">
      <c r="A221" s="45" t="s">
        <v>27</v>
      </c>
      <c r="B221" s="45"/>
      <c r="C221" s="45"/>
      <c r="D221" s="54"/>
      <c r="F221" s="54"/>
      <c r="J221" s="54"/>
    </row>
    <row r="222" spans="1:14" ht="12.75" customHeight="1" outlineLevel="1" x14ac:dyDescent="0.2">
      <c r="A222" s="177" t="s">
        <v>24</v>
      </c>
      <c r="B222" s="179" t="s">
        <v>23</v>
      </c>
      <c r="C222" s="181"/>
      <c r="D222" s="210" t="s">
        <v>22</v>
      </c>
      <c r="E222" s="205" t="s">
        <v>21</v>
      </c>
      <c r="F222" s="179" t="s">
        <v>20</v>
      </c>
      <c r="G222" s="201" t="s">
        <v>19</v>
      </c>
      <c r="H222" s="203" t="s">
        <v>18</v>
      </c>
      <c r="I222" s="195" t="s">
        <v>17</v>
      </c>
      <c r="J222" s="197" t="s">
        <v>16</v>
      </c>
      <c r="K222" s="199" t="s">
        <v>15</v>
      </c>
      <c r="L222" s="200"/>
      <c r="M222" s="200"/>
    </row>
    <row r="223" spans="1:14" s="41" customFormat="1" ht="36" customHeight="1" outlineLevel="1" thickBot="1" x14ac:dyDescent="0.25">
      <c r="A223" s="178"/>
      <c r="B223" s="180"/>
      <c r="C223" s="182"/>
      <c r="D223" s="211"/>
      <c r="E223" s="206"/>
      <c r="F223" s="180"/>
      <c r="G223" s="202"/>
      <c r="H223" s="204"/>
      <c r="I223" s="196"/>
      <c r="J223" s="198"/>
      <c r="K223" s="44" t="s">
        <v>14</v>
      </c>
      <c r="L223" s="43" t="s">
        <v>13</v>
      </c>
      <c r="M223" s="42" t="s">
        <v>12</v>
      </c>
      <c r="N223" s="1"/>
    </row>
    <row r="224" spans="1:14" outlineLevel="1" x14ac:dyDescent="0.2">
      <c r="A224" s="40">
        <f t="shared" ref="A224:B239" si="78">A182</f>
        <v>3656</v>
      </c>
      <c r="B224" s="39" t="str">
        <f t="shared" si="78"/>
        <v>UTA</v>
      </c>
      <c r="C224" s="38"/>
      <c r="D224" s="33">
        <v>5773</v>
      </c>
      <c r="E224" s="37">
        <v>0.55500000000000005</v>
      </c>
      <c r="F224" s="32">
        <v>17781.466666666667</v>
      </c>
      <c r="G224" s="51">
        <v>12087.560000000249</v>
      </c>
      <c r="H224" s="36">
        <v>2140</v>
      </c>
      <c r="I224" s="35">
        <v>43</v>
      </c>
      <c r="J224" s="34">
        <v>3528</v>
      </c>
      <c r="K224" s="53">
        <v>6893</v>
      </c>
      <c r="L224" s="52">
        <v>3962</v>
      </c>
      <c r="M224" s="51">
        <v>1894</v>
      </c>
    </row>
    <row r="225" spans="1:13" outlineLevel="1" x14ac:dyDescent="0.2">
      <c r="A225" s="20">
        <f t="shared" si="78"/>
        <v>3658</v>
      </c>
      <c r="B225" s="19" t="str">
        <f t="shared" si="78"/>
        <v>UT</v>
      </c>
      <c r="C225" s="18"/>
      <c r="D225" s="15">
        <v>8860</v>
      </c>
      <c r="E225" s="21">
        <v>0.82499999999999996</v>
      </c>
      <c r="F225" s="14">
        <v>33841.466666666667</v>
      </c>
      <c r="G225" s="28">
        <v>19542.67999999996</v>
      </c>
      <c r="H225" s="15">
        <v>1981</v>
      </c>
      <c r="I225" s="13">
        <v>83</v>
      </c>
      <c r="J225" s="16">
        <v>3501</v>
      </c>
      <c r="K225" s="30">
        <v>9260</v>
      </c>
      <c r="L225" s="29">
        <v>8373</v>
      </c>
      <c r="M225" s="28">
        <v>6348</v>
      </c>
    </row>
    <row r="226" spans="1:13" outlineLevel="1" x14ac:dyDescent="0.2">
      <c r="A226" s="20">
        <f t="shared" si="78"/>
        <v>9741</v>
      </c>
      <c r="B226" s="19" t="str">
        <f t="shared" si="78"/>
        <v>UTD</v>
      </c>
      <c r="C226" s="18"/>
      <c r="D226" s="15">
        <v>2510</v>
      </c>
      <c r="E226" s="21">
        <v>0.71900000000000008</v>
      </c>
      <c r="F226" s="14">
        <v>9826.5333333333328</v>
      </c>
      <c r="G226" s="28">
        <v>5443.8700000002518</v>
      </c>
      <c r="H226" s="15">
        <v>449</v>
      </c>
      <c r="I226" s="13">
        <v>33</v>
      </c>
      <c r="J226" s="16">
        <v>1410</v>
      </c>
      <c r="K226" s="30">
        <v>3522</v>
      </c>
      <c r="L226" s="29">
        <v>2348</v>
      </c>
      <c r="M226" s="28">
        <v>1065</v>
      </c>
    </row>
    <row r="227" spans="1:13" outlineLevel="1" x14ac:dyDescent="0.2">
      <c r="A227" s="20">
        <f t="shared" si="78"/>
        <v>3661</v>
      </c>
      <c r="B227" s="19" t="str">
        <f t="shared" si="78"/>
        <v>UTEP</v>
      </c>
      <c r="C227" s="18"/>
      <c r="D227" s="15">
        <v>3132</v>
      </c>
      <c r="E227" s="21">
        <v>0.41200000000000003</v>
      </c>
      <c r="F227" s="14">
        <v>13931.066666666668</v>
      </c>
      <c r="G227" s="28">
        <v>6456.0600000003096</v>
      </c>
      <c r="H227" s="15">
        <v>643</v>
      </c>
      <c r="I227" s="13">
        <v>86</v>
      </c>
      <c r="J227" s="16">
        <v>2590</v>
      </c>
      <c r="K227" s="30">
        <v>4400</v>
      </c>
      <c r="L227" s="29">
        <v>3304</v>
      </c>
      <c r="M227" s="28">
        <v>1986</v>
      </c>
    </row>
    <row r="228" spans="1:13" outlineLevel="1" x14ac:dyDescent="0.2">
      <c r="A228" s="20">
        <f t="shared" si="78"/>
        <v>3599</v>
      </c>
      <c r="B228" s="19" t="str">
        <f t="shared" si="78"/>
        <v>UTPA</v>
      </c>
      <c r="C228" s="18"/>
      <c r="D228" s="15">
        <v>2462</v>
      </c>
      <c r="E228" s="21">
        <v>0.44</v>
      </c>
      <c r="F228" s="14">
        <v>12698.333333333334</v>
      </c>
      <c r="G228" s="28">
        <v>5000.2800000001325</v>
      </c>
      <c r="H228" s="15">
        <v>547</v>
      </c>
      <c r="I228" s="13">
        <v>19</v>
      </c>
      <c r="J228" s="16">
        <v>2247</v>
      </c>
      <c r="K228" s="30">
        <v>3730</v>
      </c>
      <c r="L228" s="29">
        <v>2862</v>
      </c>
      <c r="M228" s="28">
        <v>1896</v>
      </c>
    </row>
    <row r="229" spans="1:13" outlineLevel="1" x14ac:dyDescent="0.2">
      <c r="A229" s="20">
        <f t="shared" si="78"/>
        <v>30646</v>
      </c>
      <c r="B229" s="19" t="str">
        <f t="shared" si="78"/>
        <v>UTB</v>
      </c>
      <c r="C229" s="18"/>
      <c r="D229" s="15">
        <v>1149</v>
      </c>
      <c r="E229" s="17">
        <v>0.52783109404990403</v>
      </c>
      <c r="F229" s="14">
        <v>3400.5333333333333</v>
      </c>
      <c r="G229" s="28">
        <v>2236.3100000000127</v>
      </c>
      <c r="H229" s="15">
        <v>133</v>
      </c>
      <c r="I229" s="13">
        <v>21</v>
      </c>
      <c r="J229" s="16">
        <v>978</v>
      </c>
      <c r="K229" s="30">
        <v>1243</v>
      </c>
      <c r="L229" s="29">
        <v>486</v>
      </c>
      <c r="M229" s="28">
        <v>99</v>
      </c>
    </row>
    <row r="230" spans="1:13" outlineLevel="1" x14ac:dyDescent="0.2">
      <c r="A230" s="20">
        <f t="shared" si="78"/>
        <v>9930</v>
      </c>
      <c r="B230" s="19" t="str">
        <f t="shared" si="78"/>
        <v>UTPB</v>
      </c>
      <c r="C230" s="18"/>
      <c r="D230" s="15">
        <v>546</v>
      </c>
      <c r="E230" s="21">
        <v>0.47899999999999998</v>
      </c>
      <c r="F230" s="14">
        <v>2343.2666666666669</v>
      </c>
      <c r="G230" s="28">
        <v>1054.6599999999951</v>
      </c>
      <c r="H230" s="15">
        <v>51</v>
      </c>
      <c r="I230" s="13">
        <v>7</v>
      </c>
      <c r="J230" s="16">
        <v>411</v>
      </c>
      <c r="K230" s="30">
        <v>742</v>
      </c>
      <c r="L230" s="29">
        <v>535</v>
      </c>
      <c r="M230" s="28">
        <v>210</v>
      </c>
    </row>
    <row r="231" spans="1:13" outlineLevel="1" x14ac:dyDescent="0.2">
      <c r="A231" s="20">
        <f t="shared" si="78"/>
        <v>10115</v>
      </c>
      <c r="B231" s="19" t="str">
        <f t="shared" si="78"/>
        <v>UTSA</v>
      </c>
      <c r="C231" s="18"/>
      <c r="D231" s="15">
        <v>4243</v>
      </c>
      <c r="E231" s="21">
        <v>0.43099999999999999</v>
      </c>
      <c r="F231" s="14">
        <v>21066.866666666665</v>
      </c>
      <c r="G231" s="28">
        <v>8736.7000000001954</v>
      </c>
      <c r="H231" s="15">
        <v>407</v>
      </c>
      <c r="I231" s="13">
        <v>63</v>
      </c>
      <c r="J231" s="16">
        <v>3204</v>
      </c>
      <c r="K231" s="30">
        <v>6815</v>
      </c>
      <c r="L231" s="29">
        <v>4371</v>
      </c>
      <c r="M231" s="28">
        <v>2560</v>
      </c>
    </row>
    <row r="232" spans="1:13" outlineLevel="1" x14ac:dyDescent="0.2">
      <c r="A232" s="20">
        <f t="shared" si="78"/>
        <v>11163</v>
      </c>
      <c r="B232" s="19" t="str">
        <f t="shared" si="78"/>
        <v>UTT</v>
      </c>
      <c r="C232" s="18"/>
      <c r="D232" s="15">
        <v>1144</v>
      </c>
      <c r="E232" s="21">
        <v>0.51800000000000002</v>
      </c>
      <c r="F232" s="14">
        <v>4086.7333333333331</v>
      </c>
      <c r="G232" s="28">
        <v>2263.8699999999944</v>
      </c>
      <c r="H232" s="15">
        <v>392</v>
      </c>
      <c r="I232" s="13">
        <v>23</v>
      </c>
      <c r="J232" s="16">
        <v>886</v>
      </c>
      <c r="K232" s="30">
        <v>1409</v>
      </c>
      <c r="L232" s="29">
        <v>844</v>
      </c>
      <c r="M232" s="28">
        <v>383</v>
      </c>
    </row>
    <row r="233" spans="1:13" outlineLevel="1" x14ac:dyDescent="0.2">
      <c r="A233" s="20">
        <f t="shared" si="78"/>
        <v>3632</v>
      </c>
      <c r="B233" s="19" t="str">
        <f t="shared" si="78"/>
        <v>TAMU</v>
      </c>
      <c r="C233" s="18"/>
      <c r="D233" s="15">
        <v>9020</v>
      </c>
      <c r="E233" s="21">
        <v>0.84200000000000008</v>
      </c>
      <c r="F233" s="14">
        <v>35116.666666666664</v>
      </c>
      <c r="G233" s="28">
        <v>21108.189999999984</v>
      </c>
      <c r="H233" s="15">
        <v>1934</v>
      </c>
      <c r="I233" s="13">
        <v>137</v>
      </c>
      <c r="J233" s="16">
        <v>3915</v>
      </c>
      <c r="K233" s="30">
        <v>10547</v>
      </c>
      <c r="L233" s="29">
        <v>8924</v>
      </c>
      <c r="M233" s="28">
        <v>6938</v>
      </c>
    </row>
    <row r="234" spans="1:13" outlineLevel="1" x14ac:dyDescent="0.2">
      <c r="A234" s="20">
        <f t="shared" si="78"/>
        <v>10298</v>
      </c>
      <c r="B234" s="19" t="str">
        <f t="shared" si="78"/>
        <v>TAMUG</v>
      </c>
      <c r="C234" s="18"/>
      <c r="D234" s="15">
        <v>314</v>
      </c>
      <c r="E234" s="21">
        <v>0.626</v>
      </c>
      <c r="F234" s="14">
        <v>1769.4666666666667</v>
      </c>
      <c r="G234" s="28">
        <v>826.3399999999923</v>
      </c>
      <c r="H234" s="15">
        <v>46</v>
      </c>
      <c r="I234" s="13">
        <v>0</v>
      </c>
      <c r="J234" s="16">
        <v>186</v>
      </c>
      <c r="K234" s="30">
        <v>607</v>
      </c>
      <c r="L234" s="29">
        <v>296</v>
      </c>
      <c r="M234" s="28">
        <v>263</v>
      </c>
    </row>
    <row r="235" spans="1:13" outlineLevel="1" x14ac:dyDescent="0.2">
      <c r="A235" s="20">
        <f t="shared" si="78"/>
        <v>3630</v>
      </c>
      <c r="B235" s="19" t="str">
        <f t="shared" si="78"/>
        <v>Prairie View</v>
      </c>
      <c r="C235" s="18"/>
      <c r="D235" s="15">
        <v>1026</v>
      </c>
      <c r="E235" s="21">
        <v>0.40299999999999997</v>
      </c>
      <c r="F235" s="14">
        <v>5822.8</v>
      </c>
      <c r="G235" s="28">
        <v>2288.9700000000062</v>
      </c>
      <c r="H235" s="15">
        <v>373</v>
      </c>
      <c r="I235" s="13">
        <v>11</v>
      </c>
      <c r="J235" s="16">
        <v>877</v>
      </c>
      <c r="K235" s="30">
        <v>1701</v>
      </c>
      <c r="L235" s="29">
        <v>1132</v>
      </c>
      <c r="M235" s="28">
        <v>871</v>
      </c>
    </row>
    <row r="236" spans="1:13" outlineLevel="1" x14ac:dyDescent="0.2">
      <c r="A236" s="20">
        <f t="shared" si="78"/>
        <v>3631</v>
      </c>
      <c r="B236" s="19" t="str">
        <f t="shared" si="78"/>
        <v>Tarleton</v>
      </c>
      <c r="C236" s="18"/>
      <c r="D236" s="15">
        <v>1662</v>
      </c>
      <c r="E236" s="21">
        <v>0.47600000000000003</v>
      </c>
      <c r="F236" s="14">
        <v>6766.4</v>
      </c>
      <c r="G236" s="28">
        <v>3337.2399999999966</v>
      </c>
      <c r="H236" s="15">
        <v>229</v>
      </c>
      <c r="I236" s="13">
        <v>49</v>
      </c>
      <c r="J236" s="16">
        <v>1296</v>
      </c>
      <c r="K236" s="30">
        <v>2227</v>
      </c>
      <c r="L236" s="29">
        <v>1216</v>
      </c>
      <c r="M236" s="28">
        <v>845</v>
      </c>
    </row>
    <row r="237" spans="1:13" outlineLevel="1" x14ac:dyDescent="0.2">
      <c r="A237" s="27">
        <f t="shared" si="78"/>
        <v>103631</v>
      </c>
      <c r="B237" s="19" t="str">
        <f t="shared" si="78"/>
        <v>TAMUCT</v>
      </c>
      <c r="C237" s="18"/>
      <c r="D237" s="15">
        <v>469</v>
      </c>
      <c r="E237" s="21">
        <f>E236</f>
        <v>0.47600000000000003</v>
      </c>
      <c r="F237" s="14">
        <v>684.13333333333333</v>
      </c>
      <c r="G237" s="28">
        <v>882.20999999999208</v>
      </c>
      <c r="H237" s="15">
        <v>42</v>
      </c>
      <c r="I237" s="13">
        <v>0</v>
      </c>
      <c r="J237" s="16">
        <v>329</v>
      </c>
      <c r="K237" s="30">
        <v>550</v>
      </c>
      <c r="L237" s="29">
        <v>119</v>
      </c>
      <c r="M237" s="28">
        <v>5</v>
      </c>
    </row>
    <row r="238" spans="1:13" outlineLevel="1" x14ac:dyDescent="0.2">
      <c r="A238" s="20">
        <f t="shared" si="78"/>
        <v>11161</v>
      </c>
      <c r="B238" s="19" t="str">
        <f t="shared" si="78"/>
        <v>TAMUCC</v>
      </c>
      <c r="C238" s="18"/>
      <c r="D238" s="15">
        <v>1515</v>
      </c>
      <c r="E238" s="21">
        <v>0.51</v>
      </c>
      <c r="F238" s="14">
        <v>6742.2</v>
      </c>
      <c r="G238" s="28">
        <v>3028.8999999999978</v>
      </c>
      <c r="H238" s="15">
        <v>310</v>
      </c>
      <c r="I238" s="13">
        <v>23</v>
      </c>
      <c r="J238" s="16">
        <v>1182</v>
      </c>
      <c r="K238" s="30">
        <v>1957</v>
      </c>
      <c r="L238" s="29">
        <v>1470</v>
      </c>
      <c r="M238" s="28">
        <v>959</v>
      </c>
    </row>
    <row r="239" spans="1:13" outlineLevel="1" x14ac:dyDescent="0.2">
      <c r="A239" s="20">
        <f t="shared" si="78"/>
        <v>3639</v>
      </c>
      <c r="B239" s="19" t="str">
        <f t="shared" si="78"/>
        <v>TAMUK</v>
      </c>
      <c r="C239" s="18"/>
      <c r="D239" s="15">
        <v>855</v>
      </c>
      <c r="E239" s="21">
        <v>0.39200000000000002</v>
      </c>
      <c r="F239" s="14">
        <v>4577.5333333333338</v>
      </c>
      <c r="G239" s="28">
        <v>1952.6200000000099</v>
      </c>
      <c r="H239" s="15">
        <v>298</v>
      </c>
      <c r="I239" s="13">
        <v>19</v>
      </c>
      <c r="J239" s="16">
        <v>742</v>
      </c>
      <c r="K239" s="30">
        <v>1343</v>
      </c>
      <c r="L239" s="29">
        <v>910</v>
      </c>
      <c r="M239" s="28">
        <v>571</v>
      </c>
    </row>
    <row r="240" spans="1:13" outlineLevel="1" x14ac:dyDescent="0.2">
      <c r="A240" s="27">
        <f t="shared" ref="A240:B255" si="79">A198</f>
        <v>103639</v>
      </c>
      <c r="B240" s="19" t="str">
        <f t="shared" si="79"/>
        <v>TAMUSA</v>
      </c>
      <c r="C240" s="18"/>
      <c r="D240" s="15">
        <v>647</v>
      </c>
      <c r="E240" s="21">
        <f>E239</f>
        <v>0.39200000000000002</v>
      </c>
      <c r="F240" s="14">
        <v>1673.0666666666666</v>
      </c>
      <c r="G240" s="28">
        <v>1155.5399999999984</v>
      </c>
      <c r="H240" s="15">
        <v>10</v>
      </c>
      <c r="I240" s="13">
        <v>4</v>
      </c>
      <c r="J240" s="16">
        <v>549</v>
      </c>
      <c r="K240" s="30">
        <v>887</v>
      </c>
      <c r="L240" s="29">
        <v>190</v>
      </c>
      <c r="M240" s="28">
        <v>1</v>
      </c>
    </row>
    <row r="241" spans="1:13" outlineLevel="1" x14ac:dyDescent="0.2">
      <c r="A241" s="20">
        <f t="shared" si="79"/>
        <v>9651</v>
      </c>
      <c r="B241" s="19" t="str">
        <f t="shared" si="79"/>
        <v>TAMI</v>
      </c>
      <c r="C241" s="18"/>
      <c r="D241" s="15">
        <v>805</v>
      </c>
      <c r="E241" s="21">
        <v>0.45700000000000002</v>
      </c>
      <c r="F241" s="14">
        <v>4312.1333333333332</v>
      </c>
      <c r="G241" s="28">
        <v>1498.7699999999936</v>
      </c>
      <c r="H241" s="15">
        <v>142</v>
      </c>
      <c r="I241" s="13">
        <v>23</v>
      </c>
      <c r="J241" s="16">
        <v>737</v>
      </c>
      <c r="K241" s="30">
        <v>1292</v>
      </c>
      <c r="L241" s="29">
        <v>1039</v>
      </c>
      <c r="M241" s="28">
        <v>488</v>
      </c>
    </row>
    <row r="242" spans="1:13" outlineLevel="1" x14ac:dyDescent="0.2">
      <c r="A242" s="20">
        <f t="shared" si="79"/>
        <v>3665</v>
      </c>
      <c r="B242" s="19" t="str">
        <f t="shared" si="79"/>
        <v>WTAMU</v>
      </c>
      <c r="C242" s="18"/>
      <c r="D242" s="15">
        <v>1253</v>
      </c>
      <c r="E242" s="21">
        <v>0.48200000000000004</v>
      </c>
      <c r="F242" s="14">
        <v>5523.2</v>
      </c>
      <c r="G242" s="28">
        <v>2523.9800000000132</v>
      </c>
      <c r="H242" s="15">
        <v>175</v>
      </c>
      <c r="I242" s="13">
        <v>60</v>
      </c>
      <c r="J242" s="16">
        <v>902</v>
      </c>
      <c r="K242" s="30">
        <v>1631</v>
      </c>
      <c r="L242" s="29">
        <v>1213</v>
      </c>
      <c r="M242" s="28">
        <v>689</v>
      </c>
    </row>
    <row r="243" spans="1:13" outlineLevel="1" x14ac:dyDescent="0.2">
      <c r="A243" s="20">
        <f t="shared" si="79"/>
        <v>3565</v>
      </c>
      <c r="B243" s="19" t="str">
        <f t="shared" si="79"/>
        <v>TAMUC</v>
      </c>
      <c r="C243" s="18"/>
      <c r="D243" s="15">
        <v>1507</v>
      </c>
      <c r="E243" s="21">
        <v>0.44600000000000001</v>
      </c>
      <c r="F243" s="14">
        <v>5135.2666666666664</v>
      </c>
      <c r="G243" s="28">
        <v>2861.9500000000121</v>
      </c>
      <c r="H243" s="15">
        <v>89</v>
      </c>
      <c r="I243" s="13">
        <v>81</v>
      </c>
      <c r="J243" s="16">
        <v>1172</v>
      </c>
      <c r="K243" s="30">
        <v>2056</v>
      </c>
      <c r="L243" s="29">
        <v>1174</v>
      </c>
      <c r="M243" s="28">
        <v>457</v>
      </c>
    </row>
    <row r="244" spans="1:13" outlineLevel="1" x14ac:dyDescent="0.2">
      <c r="A244" s="20">
        <f t="shared" si="79"/>
        <v>29269</v>
      </c>
      <c r="B244" s="19" t="str">
        <f t="shared" si="79"/>
        <v>TAMUT</v>
      </c>
      <c r="C244" s="18"/>
      <c r="D244" s="15">
        <v>376</v>
      </c>
      <c r="E244" s="17">
        <v>0.49242424242424243</v>
      </c>
      <c r="F244" s="14">
        <v>1101.2666666666667</v>
      </c>
      <c r="G244" s="28">
        <v>680.4399999999946</v>
      </c>
      <c r="H244" s="15">
        <v>47</v>
      </c>
      <c r="I244" s="13">
        <v>25</v>
      </c>
      <c r="J244" s="16">
        <v>277</v>
      </c>
      <c r="K244" s="30">
        <v>484</v>
      </c>
      <c r="L244" s="29">
        <v>219</v>
      </c>
      <c r="M244" s="28">
        <v>1</v>
      </c>
    </row>
    <row r="245" spans="1:13" outlineLevel="1" x14ac:dyDescent="0.2">
      <c r="A245" s="20">
        <f t="shared" si="79"/>
        <v>3652</v>
      </c>
      <c r="B245" s="19" t="str">
        <f t="shared" si="79"/>
        <v>UH</v>
      </c>
      <c r="C245" s="18"/>
      <c r="D245" s="15">
        <v>5426</v>
      </c>
      <c r="E245" s="21">
        <v>0.53600000000000003</v>
      </c>
      <c r="F245" s="14">
        <v>24760.400000000001</v>
      </c>
      <c r="G245" s="28">
        <v>11378.949999999324</v>
      </c>
      <c r="H245" s="15">
        <v>835</v>
      </c>
      <c r="I245" s="13">
        <v>60</v>
      </c>
      <c r="J245" s="16">
        <v>3688</v>
      </c>
      <c r="K245" s="30">
        <v>7823</v>
      </c>
      <c r="L245" s="29">
        <v>5667</v>
      </c>
      <c r="M245" s="28">
        <v>3232</v>
      </c>
    </row>
    <row r="246" spans="1:13" outlineLevel="1" x14ac:dyDescent="0.2">
      <c r="A246" s="20">
        <f t="shared" si="79"/>
        <v>11711</v>
      </c>
      <c r="B246" s="19" t="str">
        <f t="shared" si="79"/>
        <v>UHCL</v>
      </c>
      <c r="C246" s="18"/>
      <c r="D246" s="15">
        <v>1251</v>
      </c>
      <c r="E246" s="17">
        <v>0.51671732522796354</v>
      </c>
      <c r="F246" s="14">
        <v>3079.2666666666669</v>
      </c>
      <c r="G246" s="28">
        <v>2423.7000000000025</v>
      </c>
      <c r="H246" s="15">
        <v>119</v>
      </c>
      <c r="I246" s="13">
        <v>9</v>
      </c>
      <c r="J246" s="16">
        <v>839</v>
      </c>
      <c r="K246" s="30">
        <v>1391</v>
      </c>
      <c r="L246" s="29">
        <v>1014</v>
      </c>
      <c r="M246" s="28">
        <v>37</v>
      </c>
    </row>
    <row r="247" spans="1:13" outlineLevel="1" x14ac:dyDescent="0.2">
      <c r="A247" s="20">
        <f t="shared" si="79"/>
        <v>12826</v>
      </c>
      <c r="B247" s="19" t="str">
        <f t="shared" si="79"/>
        <v>UHD</v>
      </c>
      <c r="C247" s="18"/>
      <c r="D247" s="15">
        <v>2351</v>
      </c>
      <c r="E247" s="21">
        <v>0.17399999999999999</v>
      </c>
      <c r="F247" s="14">
        <v>8043.8</v>
      </c>
      <c r="G247" s="28">
        <v>4292.430000000033</v>
      </c>
      <c r="H247" s="15">
        <v>134</v>
      </c>
      <c r="I247" s="13">
        <v>3</v>
      </c>
      <c r="J247" s="16">
        <v>1694</v>
      </c>
      <c r="K247" s="30">
        <v>3011</v>
      </c>
      <c r="L247" s="29">
        <v>1820</v>
      </c>
      <c r="M247" s="28">
        <v>590</v>
      </c>
    </row>
    <row r="248" spans="1:13" outlineLevel="1" x14ac:dyDescent="0.2">
      <c r="A248" s="20">
        <f t="shared" si="79"/>
        <v>13231</v>
      </c>
      <c r="B248" s="19" t="str">
        <f t="shared" si="79"/>
        <v>UHV</v>
      </c>
      <c r="C248" s="18"/>
      <c r="D248" s="15">
        <v>619</v>
      </c>
      <c r="E248" s="17">
        <v>0.47520661157024796</v>
      </c>
      <c r="F248" s="14">
        <v>1685.8666666666666</v>
      </c>
      <c r="G248" s="28">
        <v>1187.5899999999924</v>
      </c>
      <c r="H248" s="15">
        <v>134</v>
      </c>
      <c r="I248" s="13">
        <v>9</v>
      </c>
      <c r="J248" s="16">
        <v>418</v>
      </c>
      <c r="K248" s="30">
        <v>776</v>
      </c>
      <c r="L248" s="29">
        <v>334</v>
      </c>
      <c r="M248" s="28">
        <v>6</v>
      </c>
    </row>
    <row r="249" spans="1:13" outlineLevel="1" x14ac:dyDescent="0.2">
      <c r="A249" s="20">
        <f t="shared" si="79"/>
        <v>3592</v>
      </c>
      <c r="B249" s="19" t="str">
        <f t="shared" si="79"/>
        <v>Midwestern</v>
      </c>
      <c r="C249" s="18"/>
      <c r="D249" s="15">
        <v>1066</v>
      </c>
      <c r="E249" s="21">
        <v>0.46299999999999997</v>
      </c>
      <c r="F249" s="14">
        <v>4147.7333333333336</v>
      </c>
      <c r="G249" s="28">
        <v>2062.1399999999949</v>
      </c>
      <c r="H249" s="15">
        <v>358</v>
      </c>
      <c r="I249" s="13">
        <v>15</v>
      </c>
      <c r="J249" s="16">
        <v>723</v>
      </c>
      <c r="K249" s="30">
        <v>1310</v>
      </c>
      <c r="L249" s="29">
        <v>979</v>
      </c>
      <c r="M249" s="28">
        <v>683</v>
      </c>
    </row>
    <row r="250" spans="1:13" outlineLevel="1" x14ac:dyDescent="0.2">
      <c r="A250" s="20">
        <f t="shared" si="79"/>
        <v>3594</v>
      </c>
      <c r="B250" s="19" t="str">
        <f t="shared" si="79"/>
        <v>UNT</v>
      </c>
      <c r="C250" s="18"/>
      <c r="D250" s="15">
        <v>5843</v>
      </c>
      <c r="E250" s="21">
        <v>0.56799999999999995</v>
      </c>
      <c r="F250" s="14">
        <v>23213.466666666667</v>
      </c>
      <c r="G250" s="28">
        <v>11338.869999999399</v>
      </c>
      <c r="H250" s="15">
        <v>368</v>
      </c>
      <c r="I250" s="13">
        <v>56</v>
      </c>
      <c r="J250" s="16">
        <v>3771</v>
      </c>
      <c r="K250" s="30">
        <v>7310</v>
      </c>
      <c r="L250" s="29">
        <v>5432</v>
      </c>
      <c r="M250" s="28">
        <v>3116</v>
      </c>
    </row>
    <row r="251" spans="1:13" outlineLevel="1" x14ac:dyDescent="0.2">
      <c r="A251" s="27">
        <f t="shared" si="79"/>
        <v>113594</v>
      </c>
      <c r="B251" s="19" t="str">
        <f t="shared" si="79"/>
        <v>UNTD</v>
      </c>
      <c r="C251" s="18"/>
      <c r="D251" s="15">
        <v>419</v>
      </c>
      <c r="E251" s="21">
        <f>E250</f>
        <v>0.56799999999999995</v>
      </c>
      <c r="F251" s="14">
        <v>983.4666666666667</v>
      </c>
      <c r="G251" s="28">
        <v>742.11999999999398</v>
      </c>
      <c r="H251" s="15">
        <v>14</v>
      </c>
      <c r="I251" s="13">
        <v>0</v>
      </c>
      <c r="J251" s="16">
        <v>313</v>
      </c>
      <c r="K251" s="30">
        <v>469</v>
      </c>
      <c r="L251" s="29">
        <v>80</v>
      </c>
      <c r="M251" s="28">
        <v>4</v>
      </c>
    </row>
    <row r="252" spans="1:13" outlineLevel="1" x14ac:dyDescent="0.2">
      <c r="A252" s="20">
        <f t="shared" si="79"/>
        <v>3624</v>
      </c>
      <c r="B252" s="19" t="str">
        <f t="shared" si="79"/>
        <v>SFA</v>
      </c>
      <c r="C252" s="18"/>
      <c r="D252" s="15">
        <v>2011</v>
      </c>
      <c r="E252" s="21">
        <v>0.55299999999999994</v>
      </c>
      <c r="F252" s="14">
        <v>9507.3333333333339</v>
      </c>
      <c r="G252" s="28">
        <v>3932.9399999999569</v>
      </c>
      <c r="H252" s="15">
        <v>273</v>
      </c>
      <c r="I252" s="13">
        <v>42</v>
      </c>
      <c r="J252" s="16">
        <v>1513</v>
      </c>
      <c r="K252" s="30">
        <v>2605</v>
      </c>
      <c r="L252" s="29">
        <v>2125</v>
      </c>
      <c r="M252" s="28">
        <v>1473</v>
      </c>
    </row>
    <row r="253" spans="1:13" outlineLevel="1" x14ac:dyDescent="0.2">
      <c r="A253" s="20">
        <f t="shared" si="79"/>
        <v>3642</v>
      </c>
      <c r="B253" s="19" t="str">
        <f t="shared" si="79"/>
        <v>TSU</v>
      </c>
      <c r="C253" s="18"/>
      <c r="D253" s="15">
        <v>737</v>
      </c>
      <c r="E253" s="21">
        <v>0.14099999999999999</v>
      </c>
      <c r="F253" s="14">
        <v>5767.1333333333332</v>
      </c>
      <c r="G253" s="28">
        <v>1478.8299999999929</v>
      </c>
      <c r="H253" s="15">
        <v>154</v>
      </c>
      <c r="I253" s="13">
        <v>5</v>
      </c>
      <c r="J253" s="16">
        <v>641</v>
      </c>
      <c r="K253" s="30">
        <v>1349</v>
      </c>
      <c r="L253" s="29">
        <v>988</v>
      </c>
      <c r="M253" s="28">
        <v>760</v>
      </c>
    </row>
    <row r="254" spans="1:13" outlineLevel="1" x14ac:dyDescent="0.2">
      <c r="A254" s="20">
        <f t="shared" si="79"/>
        <v>3644</v>
      </c>
      <c r="B254" s="19" t="str">
        <f t="shared" si="79"/>
        <v>TTU</v>
      </c>
      <c r="C254" s="18"/>
      <c r="D254" s="15">
        <v>4941</v>
      </c>
      <c r="E254" s="21">
        <v>0.73599999999999999</v>
      </c>
      <c r="F254" s="14">
        <v>22627.599999999999</v>
      </c>
      <c r="G254" s="28">
        <v>10741.019999999262</v>
      </c>
      <c r="H254" s="15">
        <v>839</v>
      </c>
      <c r="I254" s="13">
        <v>67</v>
      </c>
      <c r="J254" s="16">
        <v>3071</v>
      </c>
      <c r="K254" s="30">
        <v>6449</v>
      </c>
      <c r="L254" s="29">
        <v>5332</v>
      </c>
      <c r="M254" s="28">
        <v>4048</v>
      </c>
    </row>
    <row r="255" spans="1:13" outlineLevel="1" x14ac:dyDescent="0.2">
      <c r="A255" s="20">
        <f t="shared" si="79"/>
        <v>3541</v>
      </c>
      <c r="B255" s="19" t="str">
        <f t="shared" si="79"/>
        <v>Angelo</v>
      </c>
      <c r="C255" s="18"/>
      <c r="D255" s="15">
        <v>1073</v>
      </c>
      <c r="E255" s="21">
        <v>0.40799999999999997</v>
      </c>
      <c r="F255" s="14">
        <v>4921.333333333333</v>
      </c>
      <c r="G255" s="28">
        <v>2141.5100000000025</v>
      </c>
      <c r="H255" s="15">
        <v>304</v>
      </c>
      <c r="I255" s="13">
        <v>19</v>
      </c>
      <c r="J255" s="16">
        <v>773</v>
      </c>
      <c r="K255" s="30">
        <v>1398</v>
      </c>
      <c r="L255" s="29">
        <v>1022</v>
      </c>
      <c r="M255" s="28">
        <v>707</v>
      </c>
    </row>
    <row r="256" spans="1:13" outlineLevel="1" x14ac:dyDescent="0.2">
      <c r="A256" s="20">
        <f t="shared" ref="A256:B261" si="80">A214</f>
        <v>3646</v>
      </c>
      <c r="B256" s="19" t="str">
        <f t="shared" si="80"/>
        <v>TWU</v>
      </c>
      <c r="C256" s="18"/>
      <c r="D256" s="15">
        <v>1919</v>
      </c>
      <c r="E256" s="21">
        <v>0.54200000000000004</v>
      </c>
      <c r="F256" s="14">
        <v>6999.5333333333338</v>
      </c>
      <c r="G256" s="28">
        <v>3704.3199999999606</v>
      </c>
      <c r="H256" s="15">
        <v>571</v>
      </c>
      <c r="I256" s="13">
        <v>30</v>
      </c>
      <c r="J256" s="16">
        <v>1326</v>
      </c>
      <c r="K256" s="30">
        <v>2425</v>
      </c>
      <c r="L256" s="29">
        <v>1247</v>
      </c>
      <c r="M256" s="28">
        <v>703</v>
      </c>
    </row>
    <row r="257" spans="1:14" outlineLevel="1" x14ac:dyDescent="0.2">
      <c r="A257" s="20">
        <f t="shared" si="80"/>
        <v>3581</v>
      </c>
      <c r="B257" s="19" t="str">
        <f t="shared" si="80"/>
        <v>Lamar</v>
      </c>
      <c r="C257" s="18"/>
      <c r="D257" s="15">
        <v>1380</v>
      </c>
      <c r="E257" s="21">
        <v>0.35899999999999999</v>
      </c>
      <c r="F257" s="14">
        <v>7404.4666666666662</v>
      </c>
      <c r="G257" s="28">
        <v>2721.5300000000057</v>
      </c>
      <c r="H257" s="15">
        <v>318</v>
      </c>
      <c r="I257" s="13">
        <v>18</v>
      </c>
      <c r="J257" s="16">
        <v>995</v>
      </c>
      <c r="K257" s="30">
        <v>2074</v>
      </c>
      <c r="L257" s="29">
        <v>1486</v>
      </c>
      <c r="M257" s="28">
        <v>1002</v>
      </c>
    </row>
    <row r="258" spans="1:14" outlineLevel="1" x14ac:dyDescent="0.2">
      <c r="A258" s="20">
        <f t="shared" si="80"/>
        <v>3606</v>
      </c>
      <c r="B258" s="19" t="str">
        <f t="shared" si="80"/>
        <v>SHSU</v>
      </c>
      <c r="C258" s="18"/>
      <c r="D258" s="15">
        <v>2978</v>
      </c>
      <c r="E258" s="21">
        <v>0.57799999999999996</v>
      </c>
      <c r="F258" s="14">
        <v>12574.466666666667</v>
      </c>
      <c r="G258" s="28">
        <v>5694.020000000286</v>
      </c>
      <c r="H258" s="15">
        <v>172</v>
      </c>
      <c r="I258" s="13">
        <v>51</v>
      </c>
      <c r="J258" s="16">
        <v>2163</v>
      </c>
      <c r="K258" s="30">
        <v>3894</v>
      </c>
      <c r="L258" s="29">
        <v>2915</v>
      </c>
      <c r="M258" s="28">
        <v>1704</v>
      </c>
    </row>
    <row r="259" spans="1:14" outlineLevel="1" x14ac:dyDescent="0.2">
      <c r="A259" s="20">
        <f t="shared" si="80"/>
        <v>3615</v>
      </c>
      <c r="B259" s="19" t="str">
        <f t="shared" si="80"/>
        <v>TXST</v>
      </c>
      <c r="C259" s="18"/>
      <c r="D259" s="15">
        <v>5435</v>
      </c>
      <c r="E259" s="21">
        <v>0.61399999999999999</v>
      </c>
      <c r="F259" s="14">
        <v>24028</v>
      </c>
      <c r="G259" s="28">
        <v>10677.06999999951</v>
      </c>
      <c r="H259" s="15">
        <v>582</v>
      </c>
      <c r="I259" s="13">
        <v>67</v>
      </c>
      <c r="J259" s="16">
        <v>3816</v>
      </c>
      <c r="K259" s="30">
        <v>7425</v>
      </c>
      <c r="L259" s="29">
        <v>5561</v>
      </c>
      <c r="M259" s="28">
        <v>3333</v>
      </c>
    </row>
    <row r="260" spans="1:14" outlineLevel="1" x14ac:dyDescent="0.2">
      <c r="A260" s="20">
        <f t="shared" si="80"/>
        <v>3625</v>
      </c>
      <c r="B260" s="19" t="str">
        <f t="shared" si="80"/>
        <v>SRSU</v>
      </c>
      <c r="C260" s="18"/>
      <c r="D260" s="15">
        <v>191</v>
      </c>
      <c r="E260" s="21">
        <v>0.32600000000000001</v>
      </c>
      <c r="F260" s="14">
        <v>1229</v>
      </c>
      <c r="G260" s="28">
        <v>409.0499999999999</v>
      </c>
      <c r="H260" s="15">
        <v>10</v>
      </c>
      <c r="I260" s="13">
        <v>5</v>
      </c>
      <c r="J260" s="16">
        <v>167</v>
      </c>
      <c r="K260" s="30">
        <v>284</v>
      </c>
      <c r="L260" s="29">
        <v>188</v>
      </c>
      <c r="M260" s="28">
        <v>144</v>
      </c>
      <c r="N260" s="41"/>
    </row>
    <row r="261" spans="1:14" outlineLevel="1" x14ac:dyDescent="0.2">
      <c r="A261" s="20">
        <f t="shared" si="80"/>
        <v>20</v>
      </c>
      <c r="B261" s="19" t="str">
        <f t="shared" si="80"/>
        <v>SRRG</v>
      </c>
      <c r="C261" s="18"/>
      <c r="D261" s="15">
        <v>154</v>
      </c>
      <c r="E261" s="17">
        <v>0.25423728813559321</v>
      </c>
      <c r="F261" s="14">
        <v>436.8</v>
      </c>
      <c r="G261" s="28">
        <v>268.06000000000023</v>
      </c>
      <c r="H261" s="15">
        <v>6</v>
      </c>
      <c r="I261" s="13">
        <v>1</v>
      </c>
      <c r="J261" s="16">
        <v>138</v>
      </c>
      <c r="K261" s="30">
        <v>215</v>
      </c>
      <c r="L261" s="29">
        <v>91</v>
      </c>
      <c r="M261" s="28">
        <v>6</v>
      </c>
    </row>
    <row r="262" spans="1:14" ht="13.5" outlineLevel="1" thickBot="1" x14ac:dyDescent="0.25">
      <c r="A262" s="12"/>
      <c r="B262" s="11" t="s">
        <v>11</v>
      </c>
      <c r="C262" s="10"/>
      <c r="D262" s="9">
        <f>SUM(D224:D261)</f>
        <v>87062</v>
      </c>
      <c r="E262" s="8">
        <v>0.58700000000000008</v>
      </c>
      <c r="F262" s="7">
        <f t="shared" ref="F262:M262" si="81">SUM(F224:F261)</f>
        <v>359610.06666666665</v>
      </c>
      <c r="G262" s="3">
        <f t="shared" si="81"/>
        <v>180161.28999999876</v>
      </c>
      <c r="H262" s="5">
        <f t="shared" si="81"/>
        <v>15629</v>
      </c>
      <c r="I262" s="3">
        <f t="shared" si="81"/>
        <v>1267</v>
      </c>
      <c r="J262" s="6">
        <f t="shared" si="81"/>
        <v>56968</v>
      </c>
      <c r="K262" s="5">
        <f t="shared" si="81"/>
        <v>113504</v>
      </c>
      <c r="L262" s="4">
        <f t="shared" si="81"/>
        <v>81268</v>
      </c>
      <c r="M262" s="3">
        <f t="shared" si="81"/>
        <v>50077</v>
      </c>
    </row>
    <row r="263" spans="1:14" ht="13.5" thickBot="1" x14ac:dyDescent="0.25">
      <c r="A263" s="45" t="s">
        <v>26</v>
      </c>
      <c r="B263" s="45"/>
      <c r="C263" s="45"/>
      <c r="D263" s="45"/>
      <c r="F263" s="45"/>
      <c r="J263" s="45"/>
    </row>
    <row r="264" spans="1:14" ht="12.75" customHeight="1" outlineLevel="1" x14ac:dyDescent="0.2">
      <c r="A264" s="177" t="s">
        <v>24</v>
      </c>
      <c r="B264" s="179" t="s">
        <v>23</v>
      </c>
      <c r="C264" s="181"/>
      <c r="D264" s="210" t="s">
        <v>22</v>
      </c>
      <c r="E264" s="205" t="s">
        <v>21</v>
      </c>
      <c r="F264" s="179" t="s">
        <v>20</v>
      </c>
      <c r="G264" s="201" t="s">
        <v>19</v>
      </c>
      <c r="H264" s="203" t="s">
        <v>18</v>
      </c>
      <c r="I264" s="195" t="s">
        <v>17</v>
      </c>
      <c r="J264" s="197" t="s">
        <v>16</v>
      </c>
      <c r="K264" s="199" t="s">
        <v>15</v>
      </c>
      <c r="L264" s="200"/>
      <c r="M264" s="200"/>
    </row>
    <row r="265" spans="1:14" s="41" customFormat="1" ht="40.5" customHeight="1" outlineLevel="1" thickBot="1" x14ac:dyDescent="0.25">
      <c r="A265" s="178"/>
      <c r="B265" s="180"/>
      <c r="C265" s="182"/>
      <c r="D265" s="211"/>
      <c r="E265" s="206"/>
      <c r="F265" s="180"/>
      <c r="G265" s="202"/>
      <c r="H265" s="204"/>
      <c r="I265" s="196"/>
      <c r="J265" s="198"/>
      <c r="K265" s="44" t="s">
        <v>14</v>
      </c>
      <c r="L265" s="43" t="s">
        <v>13</v>
      </c>
      <c r="M265" s="42" t="s">
        <v>12</v>
      </c>
      <c r="N265" s="1"/>
    </row>
    <row r="266" spans="1:14" outlineLevel="1" x14ac:dyDescent="0.2">
      <c r="A266" s="40">
        <f t="shared" ref="A266:B281" si="82">A224</f>
        <v>3656</v>
      </c>
      <c r="B266" s="39" t="str">
        <f t="shared" si="82"/>
        <v>UTA</v>
      </c>
      <c r="C266" s="38"/>
      <c r="D266" s="33">
        <v>5103</v>
      </c>
      <c r="E266" s="37">
        <v>0.49299999999999999</v>
      </c>
      <c r="F266" s="32">
        <v>17372</v>
      </c>
      <c r="G266" s="31">
        <v>10527.860000000002</v>
      </c>
      <c r="H266" s="36">
        <v>1620</v>
      </c>
      <c r="I266" s="35">
        <v>26</v>
      </c>
      <c r="J266" s="34">
        <v>3158</v>
      </c>
      <c r="K266" s="33">
        <v>6986</v>
      </c>
      <c r="L266" s="32">
        <v>3903</v>
      </c>
      <c r="M266" s="31">
        <v>1733</v>
      </c>
    </row>
    <row r="267" spans="1:14" outlineLevel="1" x14ac:dyDescent="0.2">
      <c r="A267" s="20">
        <f t="shared" si="82"/>
        <v>3658</v>
      </c>
      <c r="B267" s="19" t="str">
        <f t="shared" si="82"/>
        <v>UT</v>
      </c>
      <c r="C267" s="18"/>
      <c r="D267" s="15">
        <v>9027</v>
      </c>
      <c r="E267" s="21">
        <v>0.83299999999999996</v>
      </c>
      <c r="F267" s="14">
        <v>33709.866666666669</v>
      </c>
      <c r="G267" s="13">
        <v>19422.050000001858</v>
      </c>
      <c r="H267" s="15">
        <v>1894</v>
      </c>
      <c r="I267" s="13">
        <v>60</v>
      </c>
      <c r="J267" s="16">
        <v>3475</v>
      </c>
      <c r="K267" s="15">
        <v>9939</v>
      </c>
      <c r="L267" s="14">
        <v>8895</v>
      </c>
      <c r="M267" s="13">
        <v>7485</v>
      </c>
    </row>
    <row r="268" spans="1:14" outlineLevel="1" x14ac:dyDescent="0.2">
      <c r="A268" s="20">
        <f t="shared" si="82"/>
        <v>9741</v>
      </c>
      <c r="B268" s="19" t="str">
        <f t="shared" si="82"/>
        <v>UTD</v>
      </c>
      <c r="C268" s="18"/>
      <c r="D268" s="15">
        <v>2314</v>
      </c>
      <c r="E268" s="21">
        <v>0.68299999999999994</v>
      </c>
      <c r="F268" s="14">
        <v>8822.2000000000007</v>
      </c>
      <c r="G268" s="13">
        <v>4904.1700000000228</v>
      </c>
      <c r="H268" s="15">
        <v>424</v>
      </c>
      <c r="I268" s="13">
        <v>27</v>
      </c>
      <c r="J268" s="16">
        <v>1294</v>
      </c>
      <c r="K268" s="15">
        <v>3345</v>
      </c>
      <c r="L268" s="14">
        <v>2105</v>
      </c>
      <c r="M268" s="13">
        <v>1076</v>
      </c>
    </row>
    <row r="269" spans="1:14" outlineLevel="1" x14ac:dyDescent="0.2">
      <c r="A269" s="20">
        <f t="shared" si="82"/>
        <v>3661</v>
      </c>
      <c r="B269" s="19" t="str">
        <f t="shared" si="82"/>
        <v>UTEP</v>
      </c>
      <c r="C269" s="18"/>
      <c r="D269" s="15">
        <v>3008</v>
      </c>
      <c r="E269" s="21">
        <v>0.38400000000000001</v>
      </c>
      <c r="F269" s="14">
        <v>13376</v>
      </c>
      <c r="G269" s="13">
        <v>6142.7200000000885</v>
      </c>
      <c r="H269" s="15">
        <v>613</v>
      </c>
      <c r="I269" s="13">
        <v>91</v>
      </c>
      <c r="J269" s="16">
        <v>2409</v>
      </c>
      <c r="K269" s="15">
        <v>4488</v>
      </c>
      <c r="L269" s="14">
        <v>3404</v>
      </c>
      <c r="M269" s="13">
        <v>1910</v>
      </c>
    </row>
    <row r="270" spans="1:14" outlineLevel="1" x14ac:dyDescent="0.2">
      <c r="A270" s="20">
        <f t="shared" si="82"/>
        <v>3599</v>
      </c>
      <c r="B270" s="19" t="str">
        <f t="shared" si="82"/>
        <v>UTPA</v>
      </c>
      <c r="C270" s="18"/>
      <c r="D270" s="15">
        <v>2658</v>
      </c>
      <c r="E270" s="21">
        <v>0.46399999999999997</v>
      </c>
      <c r="F270" s="14">
        <v>12499.266666666666</v>
      </c>
      <c r="G270" s="13">
        <v>5231.3300000001427</v>
      </c>
      <c r="H270" s="15">
        <v>534</v>
      </c>
      <c r="I270" s="13">
        <v>34</v>
      </c>
      <c r="J270" s="16">
        <v>2427</v>
      </c>
      <c r="K270" s="15">
        <v>4142</v>
      </c>
      <c r="L270" s="14">
        <v>3290</v>
      </c>
      <c r="M270" s="13">
        <v>1998</v>
      </c>
    </row>
    <row r="271" spans="1:14" outlineLevel="1" x14ac:dyDescent="0.2">
      <c r="A271" s="20">
        <f t="shared" si="82"/>
        <v>30646</v>
      </c>
      <c r="B271" s="19" t="str">
        <f t="shared" si="82"/>
        <v>UTB</v>
      </c>
      <c r="C271" s="18"/>
      <c r="D271" s="15">
        <v>1075</v>
      </c>
      <c r="E271" s="17">
        <v>0.55124653739612184</v>
      </c>
      <c r="F271" s="14">
        <v>3116.2</v>
      </c>
      <c r="G271" s="13">
        <v>2052.0600000000218</v>
      </c>
      <c r="H271" s="15">
        <v>132</v>
      </c>
      <c r="I271" s="13">
        <v>15</v>
      </c>
      <c r="J271" s="16">
        <v>916</v>
      </c>
      <c r="K271" s="15">
        <v>1359</v>
      </c>
      <c r="L271" s="14">
        <v>600</v>
      </c>
      <c r="M271" s="13">
        <v>131</v>
      </c>
    </row>
    <row r="272" spans="1:14" outlineLevel="1" x14ac:dyDescent="0.2">
      <c r="A272" s="20">
        <f t="shared" si="82"/>
        <v>9930</v>
      </c>
      <c r="B272" s="19" t="str">
        <f t="shared" si="82"/>
        <v>UTPB</v>
      </c>
      <c r="C272" s="18"/>
      <c r="D272" s="15">
        <v>541</v>
      </c>
      <c r="E272" s="21">
        <v>0.40700000000000003</v>
      </c>
      <c r="F272" s="14">
        <v>2416</v>
      </c>
      <c r="G272" s="13">
        <v>1005.1500000000051</v>
      </c>
      <c r="H272" s="15">
        <v>40</v>
      </c>
      <c r="I272" s="13">
        <v>10</v>
      </c>
      <c r="J272" s="16">
        <v>407</v>
      </c>
      <c r="K272" s="15">
        <v>908</v>
      </c>
      <c r="L272" s="14">
        <v>490</v>
      </c>
      <c r="M272" s="13">
        <v>191</v>
      </c>
    </row>
    <row r="273" spans="1:13" outlineLevel="1" x14ac:dyDescent="0.2">
      <c r="A273" s="20">
        <f t="shared" si="82"/>
        <v>10115</v>
      </c>
      <c r="B273" s="19" t="str">
        <f t="shared" si="82"/>
        <v>UTSA</v>
      </c>
      <c r="C273" s="18"/>
      <c r="D273" s="15">
        <v>4148</v>
      </c>
      <c r="E273" s="21">
        <v>0.39400000000000002</v>
      </c>
      <c r="F273" s="14">
        <v>20284.733333333334</v>
      </c>
      <c r="G273" s="13">
        <v>8398.8499999997166</v>
      </c>
      <c r="H273" s="15">
        <v>394</v>
      </c>
      <c r="I273" s="13">
        <v>47</v>
      </c>
      <c r="J273" s="16">
        <v>3211</v>
      </c>
      <c r="K273" s="15">
        <v>6802</v>
      </c>
      <c r="L273" s="14">
        <v>4390</v>
      </c>
      <c r="M273" s="13">
        <v>2699</v>
      </c>
    </row>
    <row r="274" spans="1:13" outlineLevel="1" x14ac:dyDescent="0.2">
      <c r="A274" s="20">
        <f t="shared" si="82"/>
        <v>11163</v>
      </c>
      <c r="B274" s="19" t="str">
        <f t="shared" si="82"/>
        <v>UTT</v>
      </c>
      <c r="C274" s="18"/>
      <c r="D274" s="15">
        <v>1188</v>
      </c>
      <c r="E274" s="21">
        <v>0.53300000000000003</v>
      </c>
      <c r="F274" s="14">
        <v>4030.7333333333331</v>
      </c>
      <c r="G274" s="13">
        <v>2364.9800000000037</v>
      </c>
      <c r="H274" s="15">
        <v>366</v>
      </c>
      <c r="I274" s="13">
        <v>9</v>
      </c>
      <c r="J274" s="16">
        <v>939</v>
      </c>
      <c r="K274" s="15">
        <v>1496</v>
      </c>
      <c r="L274" s="14">
        <v>905</v>
      </c>
      <c r="M274" s="13">
        <v>401</v>
      </c>
    </row>
    <row r="275" spans="1:13" outlineLevel="1" x14ac:dyDescent="0.2">
      <c r="A275" s="20">
        <f t="shared" si="82"/>
        <v>3632</v>
      </c>
      <c r="B275" s="19" t="str">
        <f t="shared" si="82"/>
        <v>TAMU</v>
      </c>
      <c r="C275" s="18"/>
      <c r="D275" s="15">
        <v>8748</v>
      </c>
      <c r="E275" s="21">
        <v>0.84399999999999997</v>
      </c>
      <c r="F275" s="14">
        <v>34425.133333333331</v>
      </c>
      <c r="G275" s="13">
        <v>20060.050000001262</v>
      </c>
      <c r="H275" s="15">
        <v>1775</v>
      </c>
      <c r="I275" s="13">
        <v>133</v>
      </c>
      <c r="J275" s="16">
        <v>3727</v>
      </c>
      <c r="K275" s="15">
        <v>9623</v>
      </c>
      <c r="L275" s="14">
        <v>8962</v>
      </c>
      <c r="M275" s="13">
        <v>6823</v>
      </c>
    </row>
    <row r="276" spans="1:13" outlineLevel="1" x14ac:dyDescent="0.2">
      <c r="A276" s="20">
        <f t="shared" si="82"/>
        <v>10298</v>
      </c>
      <c r="B276" s="19" t="str">
        <f t="shared" si="82"/>
        <v>TAMUG</v>
      </c>
      <c r="C276" s="18"/>
      <c r="D276" s="15">
        <v>250</v>
      </c>
      <c r="E276" s="21">
        <v>0.66400000000000003</v>
      </c>
      <c r="F276" s="14">
        <v>1668.1333333333334</v>
      </c>
      <c r="G276" s="13">
        <v>648.89999999999895</v>
      </c>
      <c r="H276" s="15">
        <v>35</v>
      </c>
      <c r="I276" s="13">
        <v>0</v>
      </c>
      <c r="J276" s="16">
        <v>151</v>
      </c>
      <c r="K276" s="15">
        <v>600</v>
      </c>
      <c r="L276" s="14">
        <v>336</v>
      </c>
      <c r="M276" s="13">
        <v>234</v>
      </c>
    </row>
    <row r="277" spans="1:13" outlineLevel="1" x14ac:dyDescent="0.2">
      <c r="A277" s="20">
        <f t="shared" si="82"/>
        <v>3630</v>
      </c>
      <c r="B277" s="19" t="str">
        <f t="shared" si="82"/>
        <v>Prairie View</v>
      </c>
      <c r="C277" s="18"/>
      <c r="D277" s="15">
        <v>904</v>
      </c>
      <c r="E277" s="21">
        <v>0.37</v>
      </c>
      <c r="F277" s="49">
        <v>6088.2666666666664</v>
      </c>
      <c r="G277" s="13">
        <v>1934.240000000003</v>
      </c>
      <c r="H277" s="15">
        <v>279</v>
      </c>
      <c r="I277" s="13">
        <v>10</v>
      </c>
      <c r="J277" s="16">
        <v>775</v>
      </c>
      <c r="K277" s="15">
        <v>1660</v>
      </c>
      <c r="L277" s="14">
        <v>1237</v>
      </c>
      <c r="M277" s="13">
        <v>905</v>
      </c>
    </row>
    <row r="278" spans="1:13" outlineLevel="1" x14ac:dyDescent="0.2">
      <c r="A278" s="20">
        <f t="shared" si="82"/>
        <v>3631</v>
      </c>
      <c r="B278" s="19" t="str">
        <f t="shared" si="82"/>
        <v>Tarleton</v>
      </c>
      <c r="C278" s="18"/>
      <c r="D278" s="15">
        <v>1552</v>
      </c>
      <c r="E278" s="21">
        <v>0.48299999999999998</v>
      </c>
      <c r="F278" s="49">
        <v>6264.4666666666662</v>
      </c>
      <c r="G278" s="13">
        <v>3063.9600000000341</v>
      </c>
      <c r="H278" s="15">
        <v>197</v>
      </c>
      <c r="I278" s="48">
        <v>56</v>
      </c>
      <c r="J278" s="16">
        <v>1196</v>
      </c>
      <c r="K278" s="50">
        <v>2096</v>
      </c>
      <c r="L278" s="49">
        <v>1464</v>
      </c>
      <c r="M278" s="48">
        <v>840</v>
      </c>
    </row>
    <row r="279" spans="1:13" outlineLevel="1" x14ac:dyDescent="0.2">
      <c r="A279" s="27">
        <f t="shared" si="82"/>
        <v>103631</v>
      </c>
      <c r="B279" s="19" t="str">
        <f t="shared" si="82"/>
        <v>TAMUCT</v>
      </c>
      <c r="C279" s="18"/>
      <c r="D279" s="15">
        <v>462</v>
      </c>
      <c r="E279" s="21">
        <v>0.48299999999999998</v>
      </c>
      <c r="F279" s="49">
        <v>700.66666666666663</v>
      </c>
      <c r="G279" s="13">
        <v>846.68000000000006</v>
      </c>
      <c r="H279" s="15">
        <v>36</v>
      </c>
      <c r="I279" s="48">
        <v>0</v>
      </c>
      <c r="J279" s="16">
        <v>330</v>
      </c>
      <c r="K279" s="50">
        <v>555</v>
      </c>
      <c r="L279" s="49">
        <v>143</v>
      </c>
      <c r="M279" s="48">
        <v>66</v>
      </c>
    </row>
    <row r="280" spans="1:13" outlineLevel="1" x14ac:dyDescent="0.2">
      <c r="A280" s="20">
        <f t="shared" si="82"/>
        <v>11161</v>
      </c>
      <c r="B280" s="19" t="str">
        <f t="shared" si="82"/>
        <v>TAMUCC</v>
      </c>
      <c r="C280" s="18"/>
      <c r="D280" s="15">
        <v>1315</v>
      </c>
      <c r="E280" s="21">
        <v>0.51100000000000001</v>
      </c>
      <c r="F280" s="49">
        <v>6609.8666666666668</v>
      </c>
      <c r="G280" s="13">
        <v>2639.1300000000101</v>
      </c>
      <c r="H280" s="15">
        <v>252</v>
      </c>
      <c r="I280" s="48">
        <v>25</v>
      </c>
      <c r="J280" s="16">
        <v>1034</v>
      </c>
      <c r="K280" s="15">
        <v>2126</v>
      </c>
      <c r="L280" s="14">
        <v>1577</v>
      </c>
      <c r="M280" s="13">
        <v>864</v>
      </c>
    </row>
    <row r="281" spans="1:13" outlineLevel="1" x14ac:dyDescent="0.2">
      <c r="A281" s="20">
        <f t="shared" si="82"/>
        <v>3639</v>
      </c>
      <c r="B281" s="19" t="str">
        <f t="shared" si="82"/>
        <v>TAMUK</v>
      </c>
      <c r="C281" s="18"/>
      <c r="D281" s="15">
        <v>738</v>
      </c>
      <c r="E281" s="21">
        <v>0.39799999999999996</v>
      </c>
      <c r="F281" s="49">
        <v>4394.2</v>
      </c>
      <c r="G281" s="13">
        <v>1735.8600000000065</v>
      </c>
      <c r="H281" s="15">
        <v>246</v>
      </c>
      <c r="I281" s="48">
        <v>16</v>
      </c>
      <c r="J281" s="16">
        <v>613</v>
      </c>
      <c r="K281" s="50">
        <v>1180</v>
      </c>
      <c r="L281" s="49">
        <v>879</v>
      </c>
      <c r="M281" s="48">
        <v>555</v>
      </c>
    </row>
    <row r="282" spans="1:13" outlineLevel="1" x14ac:dyDescent="0.2">
      <c r="A282" s="27">
        <f t="shared" ref="A282:B297" si="83">A240</f>
        <v>103639</v>
      </c>
      <c r="B282" s="19" t="str">
        <f t="shared" si="83"/>
        <v>TAMUSA</v>
      </c>
      <c r="C282" s="18"/>
      <c r="D282" s="15">
        <v>620</v>
      </c>
      <c r="E282" s="21">
        <v>0.39799999999999996</v>
      </c>
      <c r="F282" s="49">
        <v>1492.4</v>
      </c>
      <c r="G282" s="13">
        <v>1078.0000000000073</v>
      </c>
      <c r="H282" s="15">
        <v>1</v>
      </c>
      <c r="I282" s="48">
        <v>0</v>
      </c>
      <c r="J282" s="16">
        <v>520</v>
      </c>
      <c r="K282" s="50">
        <v>995</v>
      </c>
      <c r="L282" s="49">
        <v>37</v>
      </c>
      <c r="M282" s="48">
        <v>2</v>
      </c>
    </row>
    <row r="283" spans="1:13" outlineLevel="1" x14ac:dyDescent="0.2">
      <c r="A283" s="20">
        <f t="shared" si="83"/>
        <v>9651</v>
      </c>
      <c r="B283" s="19" t="str">
        <f t="shared" si="83"/>
        <v>TAMI</v>
      </c>
      <c r="C283" s="18"/>
      <c r="D283" s="15">
        <v>766</v>
      </c>
      <c r="E283" s="21">
        <v>0.503</v>
      </c>
      <c r="F283" s="14">
        <v>4126.8</v>
      </c>
      <c r="G283" s="13">
        <v>1400.4200000000046</v>
      </c>
      <c r="H283" s="15">
        <v>120</v>
      </c>
      <c r="I283" s="13">
        <v>18</v>
      </c>
      <c r="J283" s="16">
        <v>688</v>
      </c>
      <c r="K283" s="15">
        <v>1515</v>
      </c>
      <c r="L283" s="14">
        <v>1027</v>
      </c>
      <c r="M283" s="13">
        <v>486</v>
      </c>
    </row>
    <row r="284" spans="1:13" outlineLevel="1" x14ac:dyDescent="0.2">
      <c r="A284" s="20">
        <f t="shared" si="83"/>
        <v>3665</v>
      </c>
      <c r="B284" s="19" t="str">
        <f t="shared" si="83"/>
        <v>WTAMU</v>
      </c>
      <c r="C284" s="18"/>
      <c r="D284" s="15">
        <v>1294</v>
      </c>
      <c r="E284" s="21">
        <v>0.47399999999999998</v>
      </c>
      <c r="F284" s="14">
        <v>5457.666666666667</v>
      </c>
      <c r="G284" s="13">
        <v>2570.7800000000157</v>
      </c>
      <c r="H284" s="15">
        <v>184</v>
      </c>
      <c r="I284" s="13">
        <v>58</v>
      </c>
      <c r="J284" s="16">
        <v>913</v>
      </c>
      <c r="K284" s="15">
        <v>1871</v>
      </c>
      <c r="L284" s="14">
        <v>1264</v>
      </c>
      <c r="M284" s="13">
        <v>664</v>
      </c>
    </row>
    <row r="285" spans="1:13" outlineLevel="1" x14ac:dyDescent="0.2">
      <c r="A285" s="20">
        <f t="shared" si="83"/>
        <v>3565</v>
      </c>
      <c r="B285" s="19" t="str">
        <f t="shared" si="83"/>
        <v>TAMUC</v>
      </c>
      <c r="C285" s="18"/>
      <c r="D285" s="15">
        <v>1313</v>
      </c>
      <c r="E285" s="21">
        <v>0.42600000000000005</v>
      </c>
      <c r="F285" s="14">
        <v>4783.5333333333338</v>
      </c>
      <c r="G285" s="13">
        <v>2463.6900000000296</v>
      </c>
      <c r="H285" s="15">
        <v>71</v>
      </c>
      <c r="I285" s="13">
        <v>77</v>
      </c>
      <c r="J285" s="16">
        <v>1002</v>
      </c>
      <c r="K285" s="15">
        <v>1911</v>
      </c>
      <c r="L285" s="14">
        <v>1200</v>
      </c>
      <c r="M285" s="13">
        <v>477</v>
      </c>
    </row>
    <row r="286" spans="1:13" outlineLevel="1" x14ac:dyDescent="0.2">
      <c r="A286" s="20">
        <f t="shared" si="83"/>
        <v>29269</v>
      </c>
      <c r="B286" s="19" t="str">
        <f t="shared" si="83"/>
        <v>TAMUT</v>
      </c>
      <c r="C286" s="18"/>
      <c r="D286" s="15">
        <v>335</v>
      </c>
      <c r="E286" s="17">
        <v>0.56028368794326244</v>
      </c>
      <c r="F286" s="14">
        <v>879.13333333333333</v>
      </c>
      <c r="G286" s="13">
        <v>609.83000000000015</v>
      </c>
      <c r="H286" s="15">
        <v>48</v>
      </c>
      <c r="I286" s="13">
        <v>18</v>
      </c>
      <c r="J286" s="16">
        <v>230</v>
      </c>
      <c r="K286" s="15">
        <v>411</v>
      </c>
      <c r="L286" s="14">
        <v>186</v>
      </c>
      <c r="M286" s="13">
        <v>1</v>
      </c>
    </row>
    <row r="287" spans="1:13" outlineLevel="1" x14ac:dyDescent="0.2">
      <c r="A287" s="20">
        <f t="shared" si="83"/>
        <v>3652</v>
      </c>
      <c r="B287" s="19" t="str">
        <f t="shared" si="83"/>
        <v>UH</v>
      </c>
      <c r="C287" s="18"/>
      <c r="D287" s="15">
        <v>5092</v>
      </c>
      <c r="E287" s="21">
        <v>0.54200000000000004</v>
      </c>
      <c r="F287" s="14">
        <v>23853.933333333334</v>
      </c>
      <c r="G287" s="13">
        <v>10569.339999999527</v>
      </c>
      <c r="H287" s="15">
        <v>720</v>
      </c>
      <c r="I287" s="13">
        <v>74</v>
      </c>
      <c r="J287" s="16">
        <v>3340</v>
      </c>
      <c r="K287" s="15">
        <v>7467</v>
      </c>
      <c r="L287" s="14">
        <v>5804</v>
      </c>
      <c r="M287" s="13">
        <v>3314</v>
      </c>
    </row>
    <row r="288" spans="1:13" outlineLevel="1" x14ac:dyDescent="0.2">
      <c r="A288" s="20">
        <f t="shared" si="83"/>
        <v>11711</v>
      </c>
      <c r="B288" s="19" t="str">
        <f t="shared" si="83"/>
        <v>UHCL</v>
      </c>
      <c r="C288" s="18"/>
      <c r="D288" s="15">
        <v>1197</v>
      </c>
      <c r="E288" s="17">
        <v>0.53820033955857383</v>
      </c>
      <c r="F288" s="14">
        <v>3046.8</v>
      </c>
      <c r="G288" s="13">
        <v>2293.9500000000248</v>
      </c>
      <c r="H288" s="15">
        <v>113</v>
      </c>
      <c r="I288" s="13">
        <v>8</v>
      </c>
      <c r="J288" s="16">
        <v>777</v>
      </c>
      <c r="K288" s="15">
        <v>1434</v>
      </c>
      <c r="L288" s="14">
        <v>959</v>
      </c>
      <c r="M288" s="13">
        <v>53</v>
      </c>
    </row>
    <row r="289" spans="1:14" outlineLevel="1" x14ac:dyDescent="0.2">
      <c r="A289" s="20">
        <f t="shared" si="83"/>
        <v>12826</v>
      </c>
      <c r="B289" s="19" t="str">
        <f t="shared" si="83"/>
        <v>UHD</v>
      </c>
      <c r="C289" s="18"/>
      <c r="D289" s="15">
        <v>2437</v>
      </c>
      <c r="E289" s="21">
        <v>0.215</v>
      </c>
      <c r="F289" s="14">
        <v>7949.2666666666664</v>
      </c>
      <c r="G289" s="13">
        <v>4368.2100000000464</v>
      </c>
      <c r="H289" s="15">
        <v>143</v>
      </c>
      <c r="I289" s="13">
        <v>0</v>
      </c>
      <c r="J289" s="16">
        <v>1730</v>
      </c>
      <c r="K289" s="15">
        <v>3223</v>
      </c>
      <c r="L289" s="14">
        <v>1896</v>
      </c>
      <c r="M289" s="13">
        <v>618</v>
      </c>
    </row>
    <row r="290" spans="1:14" outlineLevel="1" x14ac:dyDescent="0.2">
      <c r="A290" s="20">
        <f t="shared" si="83"/>
        <v>13231</v>
      </c>
      <c r="B290" s="19" t="str">
        <f t="shared" si="83"/>
        <v>UHV</v>
      </c>
      <c r="C290" s="18"/>
      <c r="D290" s="15">
        <v>596</v>
      </c>
      <c r="E290" s="17">
        <v>0.5339366515837104</v>
      </c>
      <c r="F290" s="14">
        <v>1494.2</v>
      </c>
      <c r="G290" s="13">
        <v>1103.6999999999998</v>
      </c>
      <c r="H290" s="15">
        <v>118</v>
      </c>
      <c r="I290" s="13">
        <v>11</v>
      </c>
      <c r="J290" s="16">
        <v>397</v>
      </c>
      <c r="K290" s="15">
        <v>718</v>
      </c>
      <c r="L290" s="14">
        <v>286</v>
      </c>
      <c r="M290" s="13">
        <v>6</v>
      </c>
    </row>
    <row r="291" spans="1:14" outlineLevel="1" x14ac:dyDescent="0.2">
      <c r="A291" s="20">
        <f t="shared" si="83"/>
        <v>3592</v>
      </c>
      <c r="B291" s="19" t="str">
        <f t="shared" si="83"/>
        <v>Midwestern</v>
      </c>
      <c r="C291" s="18"/>
      <c r="D291" s="15">
        <v>1027</v>
      </c>
      <c r="E291" s="21">
        <v>0.443</v>
      </c>
      <c r="F291" s="14">
        <v>4387.7333333333336</v>
      </c>
      <c r="G291" s="13">
        <v>1924.84</v>
      </c>
      <c r="H291" s="15">
        <v>340</v>
      </c>
      <c r="I291" s="13">
        <v>11</v>
      </c>
      <c r="J291" s="16">
        <v>675</v>
      </c>
      <c r="K291" s="15">
        <v>1507</v>
      </c>
      <c r="L291" s="14">
        <v>1079</v>
      </c>
      <c r="M291" s="13">
        <v>734</v>
      </c>
    </row>
    <row r="292" spans="1:14" outlineLevel="1" x14ac:dyDescent="0.2">
      <c r="A292" s="20">
        <f t="shared" si="83"/>
        <v>3594</v>
      </c>
      <c r="B292" s="19" t="str">
        <f t="shared" si="83"/>
        <v>UNT</v>
      </c>
      <c r="C292" s="18"/>
      <c r="D292" s="15">
        <v>6183</v>
      </c>
      <c r="E292" s="21">
        <v>0.58700000000000008</v>
      </c>
      <c r="F292" s="14">
        <v>23168.733333333334</v>
      </c>
      <c r="G292" s="13">
        <v>11731.089999999795</v>
      </c>
      <c r="H292" s="15">
        <v>345</v>
      </c>
      <c r="I292" s="13">
        <v>47</v>
      </c>
      <c r="J292" s="16">
        <v>3942</v>
      </c>
      <c r="K292" s="15">
        <v>7957</v>
      </c>
      <c r="L292" s="14">
        <v>5891</v>
      </c>
      <c r="M292" s="13">
        <v>3310</v>
      </c>
    </row>
    <row r="293" spans="1:14" outlineLevel="1" x14ac:dyDescent="0.2">
      <c r="A293" s="27">
        <f t="shared" si="83"/>
        <v>113594</v>
      </c>
      <c r="B293" s="19" t="str">
        <f t="shared" si="83"/>
        <v>UNTD</v>
      </c>
      <c r="C293" s="18"/>
      <c r="D293" s="30">
        <v>388</v>
      </c>
      <c r="E293" s="47">
        <v>0.58700000000000008</v>
      </c>
      <c r="F293" s="29">
        <v>908.8</v>
      </c>
      <c r="G293" s="28">
        <v>669.60000000000036</v>
      </c>
      <c r="H293" s="30">
        <v>10</v>
      </c>
      <c r="I293" s="28"/>
      <c r="J293" s="46">
        <v>304</v>
      </c>
      <c r="K293" s="30">
        <v>487</v>
      </c>
      <c r="L293" s="29">
        <v>63</v>
      </c>
      <c r="M293" s="28">
        <v>18</v>
      </c>
    </row>
    <row r="294" spans="1:14" outlineLevel="1" x14ac:dyDescent="0.2">
      <c r="A294" s="20">
        <f t="shared" si="83"/>
        <v>3624</v>
      </c>
      <c r="B294" s="19" t="str">
        <f t="shared" si="83"/>
        <v>SFA</v>
      </c>
      <c r="C294" s="18"/>
      <c r="D294" s="15">
        <v>1880</v>
      </c>
      <c r="E294" s="21">
        <v>0.53900000000000003</v>
      </c>
      <c r="F294" s="14">
        <v>9440.9333333333325</v>
      </c>
      <c r="G294" s="13">
        <v>3606.8600000000297</v>
      </c>
      <c r="H294" s="15">
        <v>241</v>
      </c>
      <c r="I294" s="13">
        <v>49</v>
      </c>
      <c r="J294" s="16">
        <v>1446</v>
      </c>
      <c r="K294" s="15">
        <v>3040</v>
      </c>
      <c r="L294" s="14">
        <v>2166</v>
      </c>
      <c r="M294" s="13">
        <v>1402</v>
      </c>
    </row>
    <row r="295" spans="1:14" outlineLevel="1" x14ac:dyDescent="0.2">
      <c r="A295" s="20">
        <f t="shared" si="83"/>
        <v>3642</v>
      </c>
      <c r="B295" s="19" t="str">
        <f t="shared" si="83"/>
        <v>TSU</v>
      </c>
      <c r="C295" s="18"/>
      <c r="D295" s="15">
        <v>721</v>
      </c>
      <c r="E295" s="21">
        <v>0.14099999999999999</v>
      </c>
      <c r="F295" s="14">
        <v>5912.8</v>
      </c>
      <c r="G295" s="13">
        <v>1385.6100000000063</v>
      </c>
      <c r="H295" s="15">
        <v>122</v>
      </c>
      <c r="I295" s="13">
        <v>2</v>
      </c>
      <c r="J295" s="16">
        <v>635</v>
      </c>
      <c r="K295" s="15">
        <v>1692</v>
      </c>
      <c r="L295" s="14">
        <v>1274</v>
      </c>
      <c r="M295" s="13">
        <v>870</v>
      </c>
    </row>
    <row r="296" spans="1:14" outlineLevel="1" x14ac:dyDescent="0.2">
      <c r="A296" s="20">
        <f t="shared" si="83"/>
        <v>3644</v>
      </c>
      <c r="B296" s="19" t="str">
        <f t="shared" si="83"/>
        <v>TTU</v>
      </c>
      <c r="C296" s="18"/>
      <c r="D296" s="15">
        <v>4605</v>
      </c>
      <c r="E296" s="21">
        <v>0.7320000000000001</v>
      </c>
      <c r="F296" s="14">
        <v>22527.466666666667</v>
      </c>
      <c r="G296" s="13">
        <v>9815.7899999997753</v>
      </c>
      <c r="H296" s="15">
        <v>687</v>
      </c>
      <c r="I296" s="13">
        <v>62</v>
      </c>
      <c r="J296" s="16">
        <v>2724</v>
      </c>
      <c r="K296" s="15">
        <v>6577</v>
      </c>
      <c r="L296" s="14">
        <v>5355</v>
      </c>
      <c r="M296" s="13">
        <v>3957</v>
      </c>
    </row>
    <row r="297" spans="1:14" outlineLevel="1" x14ac:dyDescent="0.2">
      <c r="A297" s="20">
        <f t="shared" si="83"/>
        <v>3541</v>
      </c>
      <c r="B297" s="19" t="str">
        <f t="shared" si="83"/>
        <v>Angelo</v>
      </c>
      <c r="C297" s="18"/>
      <c r="D297" s="15">
        <v>960</v>
      </c>
      <c r="E297" s="21">
        <v>0.441</v>
      </c>
      <c r="F297" s="14">
        <v>4895.666666666667</v>
      </c>
      <c r="G297" s="13">
        <v>1856.9499999999953</v>
      </c>
      <c r="H297" s="15">
        <v>242</v>
      </c>
      <c r="I297" s="13">
        <v>21</v>
      </c>
      <c r="J297" s="16">
        <v>720</v>
      </c>
      <c r="K297" s="15">
        <v>1444</v>
      </c>
      <c r="L297" s="14">
        <v>1071</v>
      </c>
      <c r="M297" s="13">
        <v>708</v>
      </c>
    </row>
    <row r="298" spans="1:14" outlineLevel="1" x14ac:dyDescent="0.2">
      <c r="A298" s="20">
        <f t="shared" ref="A298:B303" si="84">A256</f>
        <v>3646</v>
      </c>
      <c r="B298" s="19" t="str">
        <f t="shared" si="84"/>
        <v>TWU</v>
      </c>
      <c r="C298" s="18"/>
      <c r="D298" s="15">
        <v>1725</v>
      </c>
      <c r="E298" s="21">
        <v>0.48399999999999999</v>
      </c>
      <c r="F298" s="14">
        <v>6598.2</v>
      </c>
      <c r="G298" s="13">
        <v>3227.0100000000139</v>
      </c>
      <c r="H298" s="15">
        <v>523</v>
      </c>
      <c r="I298" s="13">
        <v>34</v>
      </c>
      <c r="J298" s="16">
        <v>1201</v>
      </c>
      <c r="K298" s="15">
        <v>2121</v>
      </c>
      <c r="L298" s="14">
        <v>1259</v>
      </c>
      <c r="M298" s="13">
        <v>608</v>
      </c>
    </row>
    <row r="299" spans="1:14" outlineLevel="1" x14ac:dyDescent="0.2">
      <c r="A299" s="20">
        <f t="shared" si="84"/>
        <v>3581</v>
      </c>
      <c r="B299" s="19" t="str">
        <f t="shared" si="84"/>
        <v>Lamar</v>
      </c>
      <c r="C299" s="18"/>
      <c r="D299" s="15">
        <v>1340</v>
      </c>
      <c r="E299" s="21">
        <v>0.35399999999999998</v>
      </c>
      <c r="F299" s="14">
        <v>7247.8</v>
      </c>
      <c r="G299" s="13">
        <v>2695.0800000000122</v>
      </c>
      <c r="H299" s="15">
        <v>358</v>
      </c>
      <c r="I299" s="13">
        <v>16</v>
      </c>
      <c r="J299" s="16">
        <v>943</v>
      </c>
      <c r="K299" s="15">
        <v>2317</v>
      </c>
      <c r="L299" s="14">
        <v>1577</v>
      </c>
      <c r="M299" s="13">
        <v>1000</v>
      </c>
    </row>
    <row r="300" spans="1:14" outlineLevel="1" x14ac:dyDescent="0.2">
      <c r="A300" s="20">
        <f t="shared" si="84"/>
        <v>3606</v>
      </c>
      <c r="B300" s="19" t="str">
        <f t="shared" si="84"/>
        <v>SHSU</v>
      </c>
      <c r="C300" s="18"/>
      <c r="D300" s="15">
        <v>3013</v>
      </c>
      <c r="E300" s="21">
        <v>0.60299999999999998</v>
      </c>
      <c r="F300" s="14">
        <v>12631.666666666666</v>
      </c>
      <c r="G300" s="13">
        <v>5628.5800000000427</v>
      </c>
      <c r="H300" s="15">
        <v>166</v>
      </c>
      <c r="I300" s="13">
        <v>63</v>
      </c>
      <c r="J300" s="16">
        <v>2160</v>
      </c>
      <c r="K300" s="15">
        <v>3940</v>
      </c>
      <c r="L300" s="14">
        <v>2970</v>
      </c>
      <c r="M300" s="13">
        <v>1716</v>
      </c>
    </row>
    <row r="301" spans="1:14" outlineLevel="1" x14ac:dyDescent="0.2">
      <c r="A301" s="20">
        <f t="shared" si="84"/>
        <v>3615</v>
      </c>
      <c r="B301" s="19" t="str">
        <f t="shared" si="84"/>
        <v>TXST</v>
      </c>
      <c r="C301" s="18"/>
      <c r="D301" s="15">
        <v>5349</v>
      </c>
      <c r="E301" s="21">
        <v>0.6409999999999999</v>
      </c>
      <c r="F301" s="14">
        <v>22917.933333333334</v>
      </c>
      <c r="G301" s="13">
        <v>10250.389999999717</v>
      </c>
      <c r="H301" s="15">
        <v>445</v>
      </c>
      <c r="I301" s="13">
        <v>65</v>
      </c>
      <c r="J301" s="16">
        <v>3665</v>
      </c>
      <c r="K301" s="15">
        <v>7685</v>
      </c>
      <c r="L301" s="14">
        <v>5748</v>
      </c>
      <c r="M301" s="13">
        <v>3317</v>
      </c>
    </row>
    <row r="302" spans="1:14" outlineLevel="1" x14ac:dyDescent="0.2">
      <c r="A302" s="20">
        <f t="shared" si="84"/>
        <v>3625</v>
      </c>
      <c r="B302" s="19" t="str">
        <f t="shared" si="84"/>
        <v>SRSU</v>
      </c>
      <c r="C302" s="18"/>
      <c r="D302" s="15">
        <v>196</v>
      </c>
      <c r="E302" s="21">
        <v>0.29199999999999998</v>
      </c>
      <c r="F302" s="14">
        <v>1200.1333333333334</v>
      </c>
      <c r="G302" s="13">
        <v>405.49999999999949</v>
      </c>
      <c r="H302" s="15">
        <v>18</v>
      </c>
      <c r="I302" s="13">
        <v>4</v>
      </c>
      <c r="J302" s="16">
        <v>166</v>
      </c>
      <c r="K302" s="15">
        <v>298</v>
      </c>
      <c r="L302" s="14">
        <v>217</v>
      </c>
      <c r="M302" s="13">
        <v>136</v>
      </c>
      <c r="N302" s="41"/>
    </row>
    <row r="303" spans="1:14" outlineLevel="1" x14ac:dyDescent="0.2">
      <c r="A303" s="20">
        <f t="shared" si="84"/>
        <v>20</v>
      </c>
      <c r="B303" s="19" t="str">
        <f t="shared" si="84"/>
        <v>SRRG</v>
      </c>
      <c r="C303" s="18"/>
      <c r="D303" s="15">
        <v>163</v>
      </c>
      <c r="E303" s="17">
        <v>0.33750000000000002</v>
      </c>
      <c r="F303" s="14">
        <v>472.13333333333333</v>
      </c>
      <c r="G303" s="13">
        <v>281.52999999999975</v>
      </c>
      <c r="H303" s="15">
        <v>5</v>
      </c>
      <c r="I303" s="13">
        <v>7</v>
      </c>
      <c r="J303" s="16">
        <v>145</v>
      </c>
      <c r="K303" s="15">
        <v>224</v>
      </c>
      <c r="L303" s="14">
        <v>97</v>
      </c>
      <c r="M303" s="13">
        <v>2</v>
      </c>
    </row>
    <row r="304" spans="1:14" ht="13.5" outlineLevel="1" thickBot="1" x14ac:dyDescent="0.25">
      <c r="A304" s="12"/>
      <c r="B304" s="11" t="s">
        <v>11</v>
      </c>
      <c r="C304" s="10"/>
      <c r="D304" s="9">
        <f>SUM(D266:D303)</f>
        <v>84231</v>
      </c>
      <c r="E304" s="8">
        <v>0.58399999999999996</v>
      </c>
      <c r="F304" s="7">
        <f t="shared" ref="F304:M304" si="85">SUM(F266:F303)</f>
        <v>351171.46666666673</v>
      </c>
      <c r="G304" s="3">
        <f t="shared" si="85"/>
        <v>170914.74000000223</v>
      </c>
      <c r="H304" s="5">
        <f t="shared" si="85"/>
        <v>13857</v>
      </c>
      <c r="I304" s="3">
        <f t="shared" si="85"/>
        <v>1204</v>
      </c>
      <c r="J304" s="6">
        <f t="shared" si="85"/>
        <v>54385</v>
      </c>
      <c r="K304" s="5">
        <f t="shared" si="85"/>
        <v>116139</v>
      </c>
      <c r="L304" s="4">
        <f t="shared" si="85"/>
        <v>84006</v>
      </c>
      <c r="M304" s="3">
        <f t="shared" si="85"/>
        <v>51310</v>
      </c>
    </row>
    <row r="305" spans="1:15" ht="13.5" thickBot="1" x14ac:dyDescent="0.25">
      <c r="A305" s="45" t="s">
        <v>25</v>
      </c>
      <c r="B305" s="45"/>
      <c r="C305" s="45"/>
      <c r="D305" s="45"/>
      <c r="F305" s="45"/>
      <c r="J305" s="45"/>
    </row>
    <row r="306" spans="1:15" ht="12.75" customHeight="1" outlineLevel="1" x14ac:dyDescent="0.2">
      <c r="A306" s="177" t="s">
        <v>24</v>
      </c>
      <c r="B306" s="179" t="s">
        <v>23</v>
      </c>
      <c r="C306" s="181"/>
      <c r="D306" s="210" t="s">
        <v>22</v>
      </c>
      <c r="E306" s="205" t="s">
        <v>21</v>
      </c>
      <c r="F306" s="179" t="s">
        <v>20</v>
      </c>
      <c r="G306" s="201" t="s">
        <v>19</v>
      </c>
      <c r="H306" s="203" t="s">
        <v>18</v>
      </c>
      <c r="I306" s="195" t="s">
        <v>17</v>
      </c>
      <c r="J306" s="197" t="s">
        <v>16</v>
      </c>
      <c r="K306" s="199" t="s">
        <v>15</v>
      </c>
      <c r="L306" s="200"/>
      <c r="M306" s="200"/>
    </row>
    <row r="307" spans="1:15" s="41" customFormat="1" ht="39.75" customHeight="1" outlineLevel="1" thickBot="1" x14ac:dyDescent="0.25">
      <c r="A307" s="178"/>
      <c r="B307" s="180"/>
      <c r="C307" s="182"/>
      <c r="D307" s="211"/>
      <c r="E307" s="206"/>
      <c r="F307" s="180"/>
      <c r="G307" s="202"/>
      <c r="H307" s="204"/>
      <c r="I307" s="196"/>
      <c r="J307" s="198"/>
      <c r="K307" s="44" t="s">
        <v>14</v>
      </c>
      <c r="L307" s="43" t="s">
        <v>13</v>
      </c>
      <c r="M307" s="42" t="s">
        <v>12</v>
      </c>
      <c r="N307" s="1"/>
    </row>
    <row r="308" spans="1:15" outlineLevel="1" x14ac:dyDescent="0.2">
      <c r="A308" s="40">
        <f t="shared" ref="A308:B323" si="86">A266</f>
        <v>3656</v>
      </c>
      <c r="B308" s="39" t="str">
        <f t="shared" si="86"/>
        <v>UTA</v>
      </c>
      <c r="C308" s="38"/>
      <c r="D308" s="33">
        <v>4178</v>
      </c>
      <c r="E308" s="37">
        <v>0.50700000000000001</v>
      </c>
      <c r="F308" s="32">
        <v>15698.133333333333</v>
      </c>
      <c r="G308" s="31">
        <v>8640.2399999998797</v>
      </c>
      <c r="H308" s="36">
        <v>834</v>
      </c>
      <c r="I308" s="35">
        <v>36</v>
      </c>
      <c r="J308" s="34">
        <v>2662</v>
      </c>
      <c r="K308" s="33">
        <v>6630</v>
      </c>
      <c r="L308" s="32">
        <v>3636</v>
      </c>
      <c r="M308" s="31">
        <v>1724</v>
      </c>
    </row>
    <row r="309" spans="1:15" outlineLevel="1" x14ac:dyDescent="0.2">
      <c r="A309" s="20">
        <f t="shared" si="86"/>
        <v>3658</v>
      </c>
      <c r="B309" s="19" t="str">
        <f t="shared" si="86"/>
        <v>UT</v>
      </c>
      <c r="C309" s="18"/>
      <c r="D309" s="15">
        <v>8952</v>
      </c>
      <c r="E309" s="21">
        <v>0.82899999999999996</v>
      </c>
      <c r="F309" s="14">
        <v>33736.73333333333</v>
      </c>
      <c r="G309" s="13">
        <v>19230.319999999745</v>
      </c>
      <c r="H309" s="15">
        <v>1754</v>
      </c>
      <c r="I309" s="13">
        <v>55</v>
      </c>
      <c r="J309" s="16">
        <v>3435</v>
      </c>
      <c r="K309" s="15">
        <v>9596</v>
      </c>
      <c r="L309" s="14">
        <v>9749</v>
      </c>
      <c r="M309" s="13">
        <v>7288</v>
      </c>
      <c r="O309" s="2"/>
    </row>
    <row r="310" spans="1:15" outlineLevel="1" x14ac:dyDescent="0.2">
      <c r="A310" s="20">
        <f t="shared" si="86"/>
        <v>9741</v>
      </c>
      <c r="B310" s="19" t="str">
        <f t="shared" si="86"/>
        <v>UTD</v>
      </c>
      <c r="C310" s="18"/>
      <c r="D310" s="15">
        <v>2355</v>
      </c>
      <c r="E310" s="21">
        <v>0.70699999999999996</v>
      </c>
      <c r="F310" s="14">
        <v>8108.8666666666668</v>
      </c>
      <c r="G310" s="13">
        <v>4955.5700000000443</v>
      </c>
      <c r="H310" s="15">
        <v>392</v>
      </c>
      <c r="I310" s="13">
        <v>36</v>
      </c>
      <c r="J310" s="16">
        <v>1255</v>
      </c>
      <c r="K310" s="15">
        <v>3078</v>
      </c>
      <c r="L310" s="14">
        <v>1950</v>
      </c>
      <c r="M310" s="13">
        <v>923</v>
      </c>
      <c r="O310" s="2"/>
    </row>
    <row r="311" spans="1:15" outlineLevel="1" x14ac:dyDescent="0.2">
      <c r="A311" s="20">
        <f t="shared" si="86"/>
        <v>3661</v>
      </c>
      <c r="B311" s="19" t="str">
        <f t="shared" si="86"/>
        <v>UTEP</v>
      </c>
      <c r="C311" s="18"/>
      <c r="D311" s="15">
        <v>3031</v>
      </c>
      <c r="E311" s="21">
        <v>0.374</v>
      </c>
      <c r="F311" s="14">
        <v>12791.933333333332</v>
      </c>
      <c r="G311" s="13">
        <v>6295.4500000000389</v>
      </c>
      <c r="H311" s="15">
        <v>709</v>
      </c>
      <c r="I311" s="13">
        <v>93</v>
      </c>
      <c r="J311" s="16">
        <v>2394</v>
      </c>
      <c r="K311" s="15">
        <v>4200</v>
      </c>
      <c r="L311" s="14">
        <v>3366</v>
      </c>
      <c r="M311" s="13">
        <v>1972</v>
      </c>
      <c r="O311" s="2"/>
    </row>
    <row r="312" spans="1:15" outlineLevel="1" x14ac:dyDescent="0.2">
      <c r="A312" s="20">
        <f t="shared" si="86"/>
        <v>3599</v>
      </c>
      <c r="B312" s="19" t="str">
        <f t="shared" si="86"/>
        <v>UTPA</v>
      </c>
      <c r="C312" s="18"/>
      <c r="D312" s="15">
        <v>2620</v>
      </c>
      <c r="E312" s="21">
        <v>0.38900000000000001</v>
      </c>
      <c r="F312" s="14">
        <v>12572.333333333334</v>
      </c>
      <c r="G312" s="13">
        <v>5170.8900000000631</v>
      </c>
      <c r="H312" s="15">
        <v>480</v>
      </c>
      <c r="I312" s="13">
        <v>31</v>
      </c>
      <c r="J312" s="16">
        <v>2341</v>
      </c>
      <c r="K312" s="15">
        <v>4354</v>
      </c>
      <c r="L312" s="14">
        <v>3136</v>
      </c>
      <c r="M312" s="13">
        <v>1924</v>
      </c>
      <c r="O312" s="2"/>
    </row>
    <row r="313" spans="1:15" outlineLevel="1" x14ac:dyDescent="0.2">
      <c r="A313" s="20">
        <f t="shared" si="86"/>
        <v>30646</v>
      </c>
      <c r="B313" s="19" t="str">
        <f t="shared" si="86"/>
        <v>UTB</v>
      </c>
      <c r="C313" s="18"/>
      <c r="D313" s="15">
        <v>1052</v>
      </c>
      <c r="E313" s="17">
        <v>0.64666666666666661</v>
      </c>
      <c r="F313" s="14">
        <v>2989.6</v>
      </c>
      <c r="G313" s="13">
        <v>2005.0100000000309</v>
      </c>
      <c r="H313" s="15">
        <v>108</v>
      </c>
      <c r="I313" s="13">
        <v>19</v>
      </c>
      <c r="J313" s="16">
        <v>916</v>
      </c>
      <c r="K313" s="15">
        <v>1377</v>
      </c>
      <c r="L313" s="14">
        <v>583</v>
      </c>
      <c r="M313" s="13">
        <v>72</v>
      </c>
      <c r="O313" s="2"/>
    </row>
    <row r="314" spans="1:15" outlineLevel="1" x14ac:dyDescent="0.2">
      <c r="A314" s="20">
        <f t="shared" si="86"/>
        <v>9930</v>
      </c>
      <c r="B314" s="19" t="str">
        <f t="shared" si="86"/>
        <v>UTPB</v>
      </c>
      <c r="C314" s="18"/>
      <c r="D314" s="15">
        <v>513</v>
      </c>
      <c r="E314" s="21">
        <v>0.44600000000000001</v>
      </c>
      <c r="F314" s="14">
        <v>2159.6</v>
      </c>
      <c r="G314" s="13">
        <v>944.74000000001092</v>
      </c>
      <c r="H314" s="15">
        <v>33</v>
      </c>
      <c r="I314" s="13">
        <v>13</v>
      </c>
      <c r="J314" s="16">
        <v>379</v>
      </c>
      <c r="K314" s="15">
        <v>707</v>
      </c>
      <c r="L314" s="14">
        <v>450</v>
      </c>
      <c r="M314" s="13">
        <v>182</v>
      </c>
      <c r="O314" s="2"/>
    </row>
    <row r="315" spans="1:15" outlineLevel="1" x14ac:dyDescent="0.2">
      <c r="A315" s="20">
        <f t="shared" si="86"/>
        <v>10115</v>
      </c>
      <c r="B315" s="19" t="str">
        <f t="shared" si="86"/>
        <v>UTSA</v>
      </c>
      <c r="C315" s="18"/>
      <c r="D315" s="15">
        <v>3968</v>
      </c>
      <c r="E315" s="21">
        <v>0.44</v>
      </c>
      <c r="F315" s="14">
        <v>19707.533333333333</v>
      </c>
      <c r="G315" s="13">
        <v>8107.0899999997582</v>
      </c>
      <c r="H315" s="15">
        <v>375</v>
      </c>
      <c r="I315" s="13">
        <v>39</v>
      </c>
      <c r="J315" s="16">
        <v>2956</v>
      </c>
      <c r="K315" s="15">
        <v>6812</v>
      </c>
      <c r="L315" s="14">
        <v>4615</v>
      </c>
      <c r="M315" s="13">
        <v>2588</v>
      </c>
      <c r="O315" s="2"/>
    </row>
    <row r="316" spans="1:15" outlineLevel="1" x14ac:dyDescent="0.2">
      <c r="A316" s="20">
        <f t="shared" si="86"/>
        <v>11163</v>
      </c>
      <c r="B316" s="19" t="str">
        <f t="shared" si="86"/>
        <v>UTT</v>
      </c>
      <c r="C316" s="18"/>
      <c r="D316" s="15">
        <v>1238</v>
      </c>
      <c r="E316" s="21">
        <v>0.496</v>
      </c>
      <c r="F316" s="14">
        <v>4085.2666666666669</v>
      </c>
      <c r="G316" s="13">
        <v>2459.1300000000315</v>
      </c>
      <c r="H316" s="15">
        <v>372</v>
      </c>
      <c r="I316" s="13">
        <v>10</v>
      </c>
      <c r="J316" s="16">
        <v>1002</v>
      </c>
      <c r="K316" s="15">
        <v>1404</v>
      </c>
      <c r="L316" s="14">
        <v>921</v>
      </c>
      <c r="M316" s="13">
        <v>378</v>
      </c>
      <c r="O316" s="2"/>
    </row>
    <row r="317" spans="1:15" outlineLevel="1" x14ac:dyDescent="0.2">
      <c r="A317" s="20">
        <f t="shared" si="86"/>
        <v>3632</v>
      </c>
      <c r="B317" s="19" t="str">
        <f t="shared" si="86"/>
        <v>TAMU</v>
      </c>
      <c r="C317" s="18"/>
      <c r="D317" s="15">
        <v>8451</v>
      </c>
      <c r="E317" s="21">
        <v>0.83599999999999997</v>
      </c>
      <c r="F317" s="14">
        <v>34329.199999999997</v>
      </c>
      <c r="G317" s="13">
        <v>19146.209999999159</v>
      </c>
      <c r="H317" s="15">
        <v>1580</v>
      </c>
      <c r="I317" s="13">
        <v>108</v>
      </c>
      <c r="J317" s="16">
        <v>3530</v>
      </c>
      <c r="K317" s="15">
        <v>10012</v>
      </c>
      <c r="L317" s="14">
        <v>8836</v>
      </c>
      <c r="M317" s="13">
        <v>6932</v>
      </c>
      <c r="O317" s="2"/>
    </row>
    <row r="318" spans="1:15" outlineLevel="1" x14ac:dyDescent="0.2">
      <c r="A318" s="20">
        <f t="shared" si="86"/>
        <v>10298</v>
      </c>
      <c r="B318" s="19" t="str">
        <f t="shared" si="86"/>
        <v>TAMUG</v>
      </c>
      <c r="C318" s="18"/>
      <c r="D318" s="15">
        <v>262</v>
      </c>
      <c r="E318" s="21">
        <v>0.59199999999999997</v>
      </c>
      <c r="F318" s="14">
        <v>1599.2</v>
      </c>
      <c r="G318" s="13">
        <v>636.84000000000231</v>
      </c>
      <c r="H318" s="15">
        <v>31</v>
      </c>
      <c r="I318" s="13">
        <v>0</v>
      </c>
      <c r="J318" s="16">
        <v>137</v>
      </c>
      <c r="K318" s="15">
        <v>570</v>
      </c>
      <c r="L318" s="14">
        <v>322</v>
      </c>
      <c r="M318" s="13">
        <v>241</v>
      </c>
      <c r="O318" s="2"/>
    </row>
    <row r="319" spans="1:15" outlineLevel="1" x14ac:dyDescent="0.2">
      <c r="A319" s="20">
        <f t="shared" si="86"/>
        <v>3630</v>
      </c>
      <c r="B319" s="19" t="str">
        <f t="shared" si="86"/>
        <v>Prairie View</v>
      </c>
      <c r="C319" s="18"/>
      <c r="D319" s="15">
        <v>879</v>
      </c>
      <c r="E319" s="21">
        <v>0.34200000000000003</v>
      </c>
      <c r="F319" s="14">
        <v>5840.8</v>
      </c>
      <c r="G319" s="13">
        <v>1995.4900000000189</v>
      </c>
      <c r="H319" s="15">
        <v>295</v>
      </c>
      <c r="I319" s="13">
        <v>8</v>
      </c>
      <c r="J319" s="16">
        <v>756</v>
      </c>
      <c r="K319" s="15">
        <v>1643</v>
      </c>
      <c r="L319" s="14">
        <v>1174</v>
      </c>
      <c r="M319" s="13">
        <v>940</v>
      </c>
      <c r="O319" s="2"/>
    </row>
    <row r="320" spans="1:15" outlineLevel="1" x14ac:dyDescent="0.2">
      <c r="A320" s="20">
        <f t="shared" si="86"/>
        <v>3631</v>
      </c>
      <c r="B320" s="19" t="str">
        <f t="shared" si="86"/>
        <v>Tarleton</v>
      </c>
      <c r="C320" s="18"/>
      <c r="D320" s="15">
        <v>1422</v>
      </c>
      <c r="E320" s="21">
        <v>0.47499999999999998</v>
      </c>
      <c r="F320" s="14">
        <v>5845.5333333333338</v>
      </c>
      <c r="G320" s="13">
        <v>2966.430000000048</v>
      </c>
      <c r="H320" s="15">
        <v>183</v>
      </c>
      <c r="I320" s="13">
        <v>38</v>
      </c>
      <c r="J320" s="16">
        <v>1093</v>
      </c>
      <c r="K320" s="15">
        <v>2140</v>
      </c>
      <c r="L320" s="14">
        <v>1306</v>
      </c>
      <c r="M320" s="13">
        <v>903</v>
      </c>
      <c r="O320" s="2"/>
    </row>
    <row r="321" spans="1:15" outlineLevel="1" x14ac:dyDescent="0.2">
      <c r="A321" s="27">
        <f t="shared" si="86"/>
        <v>103631</v>
      </c>
      <c r="B321" s="19" t="str">
        <f t="shared" si="86"/>
        <v>TAMUCT</v>
      </c>
      <c r="C321" s="18"/>
      <c r="D321" s="15">
        <v>450</v>
      </c>
      <c r="E321" s="21">
        <v>0.47499999999999998</v>
      </c>
      <c r="F321" s="14">
        <v>658.4666666666667</v>
      </c>
      <c r="G321" s="13">
        <v>831.96000000000549</v>
      </c>
      <c r="H321" s="15">
        <v>44</v>
      </c>
      <c r="I321" s="13"/>
      <c r="J321" s="16">
        <v>322</v>
      </c>
      <c r="K321" s="15">
        <v>380</v>
      </c>
      <c r="L321" s="14">
        <v>137</v>
      </c>
      <c r="M321" s="13">
        <v>31</v>
      </c>
      <c r="O321" s="2"/>
    </row>
    <row r="322" spans="1:15" outlineLevel="1" x14ac:dyDescent="0.2">
      <c r="A322" s="20">
        <f t="shared" si="86"/>
        <v>11161</v>
      </c>
      <c r="B322" s="19" t="str">
        <f t="shared" si="86"/>
        <v>TAMUCC</v>
      </c>
      <c r="C322" s="18"/>
      <c r="D322" s="15">
        <v>1335</v>
      </c>
      <c r="E322" s="21">
        <v>0.503</v>
      </c>
      <c r="F322" s="14">
        <v>6131.9333333333334</v>
      </c>
      <c r="G322" s="13">
        <v>2744.5700000000347</v>
      </c>
      <c r="H322" s="15">
        <v>237</v>
      </c>
      <c r="I322" s="13">
        <v>29</v>
      </c>
      <c r="J322" s="16">
        <v>1024</v>
      </c>
      <c r="K322" s="15">
        <v>2079</v>
      </c>
      <c r="L322" s="14">
        <v>1357</v>
      </c>
      <c r="M322" s="13">
        <v>812</v>
      </c>
      <c r="O322" s="2"/>
    </row>
    <row r="323" spans="1:15" outlineLevel="1" x14ac:dyDescent="0.2">
      <c r="A323" s="20">
        <f t="shared" si="86"/>
        <v>3639</v>
      </c>
      <c r="B323" s="19" t="str">
        <f t="shared" si="86"/>
        <v>TAMUK</v>
      </c>
      <c r="C323" s="18"/>
      <c r="D323" s="15">
        <v>692</v>
      </c>
      <c r="E323" s="21">
        <v>0.41699999999999998</v>
      </c>
      <c r="F323" s="14">
        <v>3808.2666666666669</v>
      </c>
      <c r="G323" s="13">
        <v>1601.8800000000022</v>
      </c>
      <c r="H323" s="15">
        <v>236</v>
      </c>
      <c r="I323" s="13">
        <v>15</v>
      </c>
      <c r="J323" s="16">
        <v>590</v>
      </c>
      <c r="K323" s="15">
        <v>1159</v>
      </c>
      <c r="L323" s="14">
        <v>790</v>
      </c>
      <c r="M323" s="13">
        <v>550</v>
      </c>
      <c r="O323" s="2"/>
    </row>
    <row r="324" spans="1:15" outlineLevel="1" x14ac:dyDescent="0.2">
      <c r="A324" s="27">
        <f t="shared" ref="A324:B339" si="87">A282</f>
        <v>103639</v>
      </c>
      <c r="B324" s="19" t="str">
        <f t="shared" si="87"/>
        <v>TAMUSA</v>
      </c>
      <c r="C324" s="18"/>
      <c r="D324" s="15">
        <v>496</v>
      </c>
      <c r="E324" s="21">
        <v>0.41699999999999998</v>
      </c>
      <c r="F324" s="14">
        <v>1072.6666666666667</v>
      </c>
      <c r="G324" s="13">
        <v>844.50000000000807</v>
      </c>
      <c r="H324" s="15">
        <v>4</v>
      </c>
      <c r="I324" s="13"/>
      <c r="J324" s="16">
        <v>402</v>
      </c>
      <c r="K324" s="15">
        <v>307</v>
      </c>
      <c r="L324" s="14">
        <v>5</v>
      </c>
      <c r="M324" s="13">
        <v>5</v>
      </c>
      <c r="O324" s="2"/>
    </row>
    <row r="325" spans="1:15" outlineLevel="1" x14ac:dyDescent="0.2">
      <c r="A325" s="20">
        <f t="shared" si="87"/>
        <v>9651</v>
      </c>
      <c r="B325" s="19" t="str">
        <f t="shared" si="87"/>
        <v>TAMI</v>
      </c>
      <c r="C325" s="18"/>
      <c r="D325" s="15">
        <v>798</v>
      </c>
      <c r="E325" s="21">
        <v>0.46</v>
      </c>
      <c r="F325" s="14">
        <v>3819.0666666666666</v>
      </c>
      <c r="G325" s="13">
        <v>1476.3000000000168</v>
      </c>
      <c r="H325" s="15">
        <v>85</v>
      </c>
      <c r="I325" s="13">
        <v>26</v>
      </c>
      <c r="J325" s="16">
        <v>713</v>
      </c>
      <c r="K325" s="15">
        <v>1413</v>
      </c>
      <c r="L325" s="14">
        <v>981</v>
      </c>
      <c r="M325" s="13">
        <v>447</v>
      </c>
      <c r="O325" s="2"/>
    </row>
    <row r="326" spans="1:15" outlineLevel="1" x14ac:dyDescent="0.2">
      <c r="A326" s="20">
        <f t="shared" si="87"/>
        <v>3665</v>
      </c>
      <c r="B326" s="19" t="str">
        <f t="shared" si="87"/>
        <v>WTAMU</v>
      </c>
      <c r="C326" s="18"/>
      <c r="D326" s="15">
        <v>1220</v>
      </c>
      <c r="E326" s="21">
        <v>0.45600000000000002</v>
      </c>
      <c r="F326" s="14">
        <v>5264.8</v>
      </c>
      <c r="G326" s="13">
        <v>2415.9700000000216</v>
      </c>
      <c r="H326" s="15">
        <v>216</v>
      </c>
      <c r="I326" s="13">
        <v>64</v>
      </c>
      <c r="J326" s="16">
        <v>853</v>
      </c>
      <c r="K326" s="15">
        <v>1873</v>
      </c>
      <c r="L326" s="14">
        <v>1161</v>
      </c>
      <c r="M326" s="13">
        <v>631</v>
      </c>
      <c r="O326" s="2"/>
    </row>
    <row r="327" spans="1:15" outlineLevel="1" x14ac:dyDescent="0.2">
      <c r="A327" s="20">
        <f t="shared" si="87"/>
        <v>3565</v>
      </c>
      <c r="B327" s="19" t="str">
        <f t="shared" si="87"/>
        <v>TAMUC</v>
      </c>
      <c r="C327" s="18"/>
      <c r="D327" s="15">
        <v>1153</v>
      </c>
      <c r="E327" s="21">
        <v>0.44800000000000001</v>
      </c>
      <c r="F327" s="14">
        <v>4172.1333333333332</v>
      </c>
      <c r="G327" s="13">
        <v>2179.8400000000324</v>
      </c>
      <c r="H327" s="15">
        <v>59</v>
      </c>
      <c r="I327" s="13">
        <v>65</v>
      </c>
      <c r="J327" s="16">
        <v>884</v>
      </c>
      <c r="K327" s="15">
        <v>1712</v>
      </c>
      <c r="L327" s="14">
        <v>1038</v>
      </c>
      <c r="M327" s="13">
        <v>423</v>
      </c>
      <c r="O327" s="2"/>
    </row>
    <row r="328" spans="1:15" outlineLevel="1" x14ac:dyDescent="0.2">
      <c r="A328" s="20">
        <f t="shared" si="87"/>
        <v>29269</v>
      </c>
      <c r="B328" s="19" t="str">
        <f t="shared" si="87"/>
        <v>TAMUT</v>
      </c>
      <c r="C328" s="18"/>
      <c r="D328" s="15">
        <v>326</v>
      </c>
      <c r="E328" s="17">
        <v>0.57336956521739135</v>
      </c>
      <c r="F328" s="14">
        <v>694.6</v>
      </c>
      <c r="G328" s="13">
        <v>569.46</v>
      </c>
      <c r="H328" s="15">
        <v>30</v>
      </c>
      <c r="I328" s="13">
        <v>15</v>
      </c>
      <c r="J328" s="16">
        <v>210</v>
      </c>
      <c r="K328" s="15">
        <v>403</v>
      </c>
      <c r="L328" s="14">
        <v>138</v>
      </c>
      <c r="M328" s="13">
        <v>0</v>
      </c>
      <c r="O328" s="2"/>
    </row>
    <row r="329" spans="1:15" outlineLevel="1" x14ac:dyDescent="0.2">
      <c r="A329" s="20">
        <f t="shared" si="87"/>
        <v>3652</v>
      </c>
      <c r="B329" s="19" t="str">
        <f t="shared" si="87"/>
        <v>UH</v>
      </c>
      <c r="C329" s="18"/>
      <c r="D329" s="15">
        <v>4778</v>
      </c>
      <c r="E329" s="21">
        <v>0.53100000000000003</v>
      </c>
      <c r="F329" s="14">
        <v>22778.733333333334</v>
      </c>
      <c r="G329" s="13">
        <v>9792.4499999989821</v>
      </c>
      <c r="H329" s="15">
        <v>656</v>
      </c>
      <c r="I329" s="13">
        <v>54</v>
      </c>
      <c r="J329" s="16">
        <v>3091</v>
      </c>
      <c r="K329" s="15">
        <v>7517</v>
      </c>
      <c r="L329" s="14">
        <v>5600</v>
      </c>
      <c r="M329" s="13">
        <v>3376</v>
      </c>
      <c r="O329" s="2"/>
    </row>
    <row r="330" spans="1:15" outlineLevel="1" x14ac:dyDescent="0.2">
      <c r="A330" s="20">
        <f t="shared" si="87"/>
        <v>11711</v>
      </c>
      <c r="B330" s="19" t="str">
        <f t="shared" si="87"/>
        <v>UHCL</v>
      </c>
      <c r="C330" s="18"/>
      <c r="D330" s="15">
        <v>1124</v>
      </c>
      <c r="E330" s="17">
        <v>0.50557620817843862</v>
      </c>
      <c r="F330" s="14">
        <v>2872.8666666666668</v>
      </c>
      <c r="G330" s="13">
        <v>2131.2100000000323</v>
      </c>
      <c r="H330" s="15">
        <v>88</v>
      </c>
      <c r="I330" s="13">
        <v>8</v>
      </c>
      <c r="J330" s="16">
        <v>707</v>
      </c>
      <c r="K330" s="15">
        <v>1349</v>
      </c>
      <c r="L330" s="14">
        <v>888</v>
      </c>
      <c r="M330" s="13">
        <v>81</v>
      </c>
      <c r="O330" s="2"/>
    </row>
    <row r="331" spans="1:15" outlineLevel="1" x14ac:dyDescent="0.2">
      <c r="A331" s="20">
        <f t="shared" si="87"/>
        <v>12826</v>
      </c>
      <c r="B331" s="19" t="str">
        <f t="shared" si="87"/>
        <v>UHD</v>
      </c>
      <c r="C331" s="18"/>
      <c r="D331" s="15">
        <v>2359</v>
      </c>
      <c r="E331" s="21">
        <v>0.18099999999999999</v>
      </c>
      <c r="F331" s="14">
        <v>7963.6</v>
      </c>
      <c r="G331" s="13">
        <v>4153.3100000000841</v>
      </c>
      <c r="H331" s="15">
        <v>112</v>
      </c>
      <c r="I331" s="13">
        <v>2</v>
      </c>
      <c r="J331" s="16">
        <v>1619</v>
      </c>
      <c r="K331" s="15">
        <v>3082</v>
      </c>
      <c r="L331" s="14">
        <v>1889</v>
      </c>
      <c r="M331" s="13">
        <v>606</v>
      </c>
      <c r="O331" s="2"/>
    </row>
    <row r="332" spans="1:15" outlineLevel="1" x14ac:dyDescent="0.2">
      <c r="A332" s="20">
        <f t="shared" si="87"/>
        <v>13231</v>
      </c>
      <c r="B332" s="19" t="str">
        <f t="shared" si="87"/>
        <v>UHV</v>
      </c>
      <c r="C332" s="18"/>
      <c r="D332" s="15">
        <v>515</v>
      </c>
      <c r="E332" s="17">
        <v>0.55256723716381417</v>
      </c>
      <c r="F332" s="14">
        <v>1135.8</v>
      </c>
      <c r="G332" s="13">
        <v>962.15000000001089</v>
      </c>
      <c r="H332" s="15">
        <v>72</v>
      </c>
      <c r="I332" s="13">
        <v>2</v>
      </c>
      <c r="J332" s="16">
        <v>337</v>
      </c>
      <c r="K332" s="15">
        <v>654</v>
      </c>
      <c r="L332" s="14">
        <v>269</v>
      </c>
      <c r="M332" s="13">
        <v>8</v>
      </c>
      <c r="O332" s="2"/>
    </row>
    <row r="333" spans="1:15" outlineLevel="1" x14ac:dyDescent="0.2">
      <c r="A333" s="20">
        <f t="shared" si="87"/>
        <v>3592</v>
      </c>
      <c r="B333" s="19" t="str">
        <f t="shared" si="87"/>
        <v>Midwestern</v>
      </c>
      <c r="C333" s="18"/>
      <c r="D333" s="15">
        <v>1002</v>
      </c>
      <c r="E333" s="21">
        <v>0.41199999999999998</v>
      </c>
      <c r="F333" s="14">
        <v>4294.8666666666668</v>
      </c>
      <c r="G333" s="13">
        <v>1899.0200000000148</v>
      </c>
      <c r="H333" s="15">
        <v>302</v>
      </c>
      <c r="I333" s="13">
        <v>19</v>
      </c>
      <c r="J333" s="16">
        <v>673</v>
      </c>
      <c r="K333" s="15">
        <v>1497</v>
      </c>
      <c r="L333" s="14">
        <v>1080</v>
      </c>
      <c r="M333" s="13">
        <v>622</v>
      </c>
      <c r="O333" s="2"/>
    </row>
    <row r="334" spans="1:15" outlineLevel="1" x14ac:dyDescent="0.2">
      <c r="A334" s="20">
        <f t="shared" si="87"/>
        <v>3594</v>
      </c>
      <c r="B334" s="19" t="str">
        <f t="shared" si="87"/>
        <v>UNT</v>
      </c>
      <c r="C334" s="18"/>
      <c r="D334" s="15">
        <v>6024</v>
      </c>
      <c r="E334" s="21">
        <v>0.57399999999999995</v>
      </c>
      <c r="F334" s="14">
        <f>22506.0666666667+838</f>
        <v>23344.066666666698</v>
      </c>
      <c r="G334" s="13">
        <v>11164.699999998398</v>
      </c>
      <c r="H334" s="15">
        <v>297</v>
      </c>
      <c r="I334" s="13">
        <v>27</v>
      </c>
      <c r="J334" s="16">
        <v>3747</v>
      </c>
      <c r="K334" s="30">
        <v>8327</v>
      </c>
      <c r="L334" s="29">
        <v>5604</v>
      </c>
      <c r="M334" s="28">
        <v>3585</v>
      </c>
      <c r="O334" s="2"/>
    </row>
    <row r="335" spans="1:15" outlineLevel="1" x14ac:dyDescent="0.2">
      <c r="A335" s="27">
        <f t="shared" si="87"/>
        <v>113594</v>
      </c>
      <c r="B335" s="19" t="str">
        <f t="shared" si="87"/>
        <v>UNTD</v>
      </c>
      <c r="C335" s="18"/>
      <c r="D335" s="24"/>
      <c r="E335" s="26"/>
      <c r="F335" s="23"/>
      <c r="G335" s="22"/>
      <c r="H335" s="24"/>
      <c r="I335" s="22"/>
      <c r="J335" s="25"/>
      <c r="K335" s="24"/>
      <c r="L335" s="23"/>
      <c r="M335" s="22"/>
      <c r="O335" s="2"/>
    </row>
    <row r="336" spans="1:15" outlineLevel="1" x14ac:dyDescent="0.2">
      <c r="A336" s="20">
        <f t="shared" si="87"/>
        <v>3624</v>
      </c>
      <c r="B336" s="19" t="str">
        <f t="shared" si="87"/>
        <v>SFA</v>
      </c>
      <c r="C336" s="18"/>
      <c r="D336" s="15">
        <v>1874</v>
      </c>
      <c r="E336" s="21">
        <v>0.56999999999999995</v>
      </c>
      <c r="F336" s="14">
        <v>9510.2666666666664</v>
      </c>
      <c r="G336" s="13">
        <v>3625.4100000000203</v>
      </c>
      <c r="H336" s="15">
        <v>230</v>
      </c>
      <c r="I336" s="13">
        <v>43</v>
      </c>
      <c r="J336" s="16">
        <v>1422</v>
      </c>
      <c r="K336" s="15">
        <v>2663</v>
      </c>
      <c r="L336" s="14">
        <v>1934</v>
      </c>
      <c r="M336" s="13">
        <v>1317</v>
      </c>
      <c r="O336" s="2"/>
    </row>
    <row r="337" spans="1:15" outlineLevel="1" x14ac:dyDescent="0.2">
      <c r="A337" s="20">
        <f t="shared" si="87"/>
        <v>3642</v>
      </c>
      <c r="B337" s="19" t="str">
        <f t="shared" si="87"/>
        <v>TSU</v>
      </c>
      <c r="C337" s="18"/>
      <c r="D337" s="15">
        <v>817</v>
      </c>
      <c r="E337" s="21">
        <v>0.14899999999999999</v>
      </c>
      <c r="F337" s="14">
        <v>5909.8</v>
      </c>
      <c r="G337" s="13">
        <v>1601.5200000000066</v>
      </c>
      <c r="H337" s="15">
        <v>127</v>
      </c>
      <c r="I337" s="13">
        <v>2</v>
      </c>
      <c r="J337" s="16">
        <v>723</v>
      </c>
      <c r="K337" s="15">
        <v>1871</v>
      </c>
      <c r="L337" s="14">
        <v>1137</v>
      </c>
      <c r="M337" s="13">
        <v>916</v>
      </c>
      <c r="O337" s="2"/>
    </row>
    <row r="338" spans="1:15" outlineLevel="1" x14ac:dyDescent="0.2">
      <c r="A338" s="20">
        <f t="shared" si="87"/>
        <v>3644</v>
      </c>
      <c r="B338" s="19" t="str">
        <f t="shared" si="87"/>
        <v>TTU</v>
      </c>
      <c r="C338" s="18"/>
      <c r="D338" s="15">
        <v>4476</v>
      </c>
      <c r="E338" s="21">
        <v>0.72799999999999998</v>
      </c>
      <c r="F338" s="14">
        <v>21422.2</v>
      </c>
      <c r="G338" s="13">
        <v>9827.5299999990111</v>
      </c>
      <c r="H338" s="15">
        <v>656</v>
      </c>
      <c r="I338" s="13">
        <v>43</v>
      </c>
      <c r="J338" s="16">
        <v>2539</v>
      </c>
      <c r="K338" s="15">
        <v>6430</v>
      </c>
      <c r="L338" s="14">
        <v>5148</v>
      </c>
      <c r="M338" s="13">
        <v>3832</v>
      </c>
      <c r="O338" s="2"/>
    </row>
    <row r="339" spans="1:15" outlineLevel="1" x14ac:dyDescent="0.2">
      <c r="A339" s="20">
        <f t="shared" si="87"/>
        <v>3541</v>
      </c>
      <c r="B339" s="19" t="str">
        <f t="shared" si="87"/>
        <v>Angelo</v>
      </c>
      <c r="C339" s="18"/>
      <c r="D339" s="15">
        <v>941</v>
      </c>
      <c r="E339" s="21">
        <v>0.44</v>
      </c>
      <c r="F339" s="14">
        <v>4829.1333333333332</v>
      </c>
      <c r="G339" s="13">
        <v>1933.5900000000179</v>
      </c>
      <c r="H339" s="15">
        <v>217</v>
      </c>
      <c r="I339" s="13">
        <v>18</v>
      </c>
      <c r="J339" s="16">
        <v>676</v>
      </c>
      <c r="K339" s="15">
        <v>1474</v>
      </c>
      <c r="L339" s="14">
        <v>1008</v>
      </c>
      <c r="M339" s="13">
        <v>708</v>
      </c>
      <c r="O339" s="2"/>
    </row>
    <row r="340" spans="1:15" outlineLevel="1" x14ac:dyDescent="0.2">
      <c r="A340" s="20">
        <f t="shared" ref="A340:B345" si="88">A298</f>
        <v>3646</v>
      </c>
      <c r="B340" s="19" t="str">
        <f t="shared" si="88"/>
        <v>TWU</v>
      </c>
      <c r="C340" s="18"/>
      <c r="D340" s="15">
        <v>1774</v>
      </c>
      <c r="E340" s="21">
        <v>0.54500000000000004</v>
      </c>
      <c r="F340" s="14">
        <v>6071.4666666666662</v>
      </c>
      <c r="G340" s="13">
        <v>3425.2000000000221</v>
      </c>
      <c r="H340" s="15">
        <v>614</v>
      </c>
      <c r="I340" s="13">
        <v>31</v>
      </c>
      <c r="J340" s="16">
        <v>1214</v>
      </c>
      <c r="K340" s="15">
        <v>2042</v>
      </c>
      <c r="L340" s="14">
        <v>1371</v>
      </c>
      <c r="M340" s="13">
        <v>668</v>
      </c>
      <c r="O340" s="2"/>
    </row>
    <row r="341" spans="1:15" outlineLevel="1" x14ac:dyDescent="0.2">
      <c r="A341" s="20">
        <f t="shared" si="88"/>
        <v>3581</v>
      </c>
      <c r="B341" s="19" t="str">
        <f t="shared" si="88"/>
        <v>Lamar</v>
      </c>
      <c r="C341" s="18"/>
      <c r="D341" s="15">
        <v>1286</v>
      </c>
      <c r="E341" s="21">
        <v>0.33800000000000002</v>
      </c>
      <c r="F341" s="14">
        <v>7172.9333333333334</v>
      </c>
      <c r="G341" s="13">
        <v>2638.0900000000311</v>
      </c>
      <c r="H341" s="15">
        <v>314</v>
      </c>
      <c r="I341" s="13">
        <v>17</v>
      </c>
      <c r="J341" s="16">
        <v>908</v>
      </c>
      <c r="K341" s="15">
        <v>2043</v>
      </c>
      <c r="L341" s="14">
        <v>1404</v>
      </c>
      <c r="M341" s="13">
        <v>1031</v>
      </c>
      <c r="O341" s="2"/>
    </row>
    <row r="342" spans="1:15" outlineLevel="1" x14ac:dyDescent="0.2">
      <c r="A342" s="20">
        <f t="shared" si="88"/>
        <v>3606</v>
      </c>
      <c r="B342" s="19" t="str">
        <f t="shared" si="88"/>
        <v>SHSU</v>
      </c>
      <c r="C342" s="18"/>
      <c r="D342" s="15">
        <v>3242</v>
      </c>
      <c r="E342" s="21">
        <v>0.57899999999999996</v>
      </c>
      <c r="F342" s="14">
        <v>12517.066666666668</v>
      </c>
      <c r="G342" s="13">
        <v>6188.6300000000374</v>
      </c>
      <c r="H342" s="15">
        <v>163</v>
      </c>
      <c r="I342" s="13">
        <v>69</v>
      </c>
      <c r="J342" s="16">
        <v>2318</v>
      </c>
      <c r="K342" s="15">
        <v>3849</v>
      </c>
      <c r="L342" s="14">
        <v>3011</v>
      </c>
      <c r="M342" s="13">
        <v>1870</v>
      </c>
      <c r="O342" s="2"/>
    </row>
    <row r="343" spans="1:15" outlineLevel="1" x14ac:dyDescent="0.2">
      <c r="A343" s="20">
        <f t="shared" si="88"/>
        <v>3615</v>
      </c>
      <c r="B343" s="19" t="str">
        <f t="shared" si="88"/>
        <v>TXST</v>
      </c>
      <c r="C343" s="18"/>
      <c r="D343" s="15">
        <v>5299</v>
      </c>
      <c r="E343" s="21">
        <v>0.64400000000000002</v>
      </c>
      <c r="F343" s="14">
        <v>21764.6</v>
      </c>
      <c r="G343" s="13">
        <v>10384.469999998846</v>
      </c>
      <c r="H343" s="15">
        <v>439</v>
      </c>
      <c r="I343" s="13">
        <v>68</v>
      </c>
      <c r="J343" s="16">
        <v>3545</v>
      </c>
      <c r="K343" s="15">
        <v>7301</v>
      </c>
      <c r="L343" s="14">
        <v>5428</v>
      </c>
      <c r="M343" s="13">
        <v>3302</v>
      </c>
      <c r="O343" s="2"/>
    </row>
    <row r="344" spans="1:15" outlineLevel="1" x14ac:dyDescent="0.2">
      <c r="A344" s="20">
        <f t="shared" si="88"/>
        <v>3625</v>
      </c>
      <c r="B344" s="19" t="str">
        <f t="shared" si="88"/>
        <v>SRSU</v>
      </c>
      <c r="C344" s="18"/>
      <c r="D344" s="15">
        <v>181</v>
      </c>
      <c r="E344" s="21">
        <v>0.28499999999999998</v>
      </c>
      <c r="F344" s="14">
        <v>1230.9333333333334</v>
      </c>
      <c r="G344" s="13">
        <v>368.43999999999954</v>
      </c>
      <c r="H344" s="15">
        <v>10</v>
      </c>
      <c r="I344" s="13">
        <v>10</v>
      </c>
      <c r="J344" s="16">
        <v>156</v>
      </c>
      <c r="K344" s="15">
        <v>318</v>
      </c>
      <c r="L344" s="14">
        <v>176</v>
      </c>
      <c r="M344" s="13">
        <v>115</v>
      </c>
      <c r="O344" s="2"/>
    </row>
    <row r="345" spans="1:15" outlineLevel="1" x14ac:dyDescent="0.2">
      <c r="A345" s="20">
        <f t="shared" si="88"/>
        <v>20</v>
      </c>
      <c r="B345" s="19" t="str">
        <f t="shared" si="88"/>
        <v>SRRG</v>
      </c>
      <c r="C345" s="18"/>
      <c r="D345" s="15">
        <v>168</v>
      </c>
      <c r="E345" s="17">
        <v>0.36144578313253012</v>
      </c>
      <c r="F345" s="14">
        <v>416.33333333333331</v>
      </c>
      <c r="G345" s="13">
        <v>287.9199999999995</v>
      </c>
      <c r="H345" s="15">
        <v>8</v>
      </c>
      <c r="I345" s="13">
        <v>9</v>
      </c>
      <c r="J345" s="16">
        <v>149</v>
      </c>
      <c r="K345" s="15">
        <v>251</v>
      </c>
      <c r="L345" s="14">
        <v>90</v>
      </c>
      <c r="M345" s="13">
        <v>5</v>
      </c>
      <c r="O345" s="2"/>
    </row>
    <row r="346" spans="1:15" ht="13.5" outlineLevel="1" thickBot="1" x14ac:dyDescent="0.25">
      <c r="A346" s="12"/>
      <c r="B346" s="11" t="s">
        <v>11</v>
      </c>
      <c r="C346" s="10"/>
      <c r="D346" s="9">
        <f>SUM(D308:D345)</f>
        <v>81251</v>
      </c>
      <c r="E346" s="8">
        <v>0.56799999999999995</v>
      </c>
      <c r="F346" s="7">
        <f t="shared" ref="F346:M346" si="89">SUM(F308:F345)</f>
        <v>338321.33333333337</v>
      </c>
      <c r="G346" s="3">
        <f t="shared" si="89"/>
        <v>165601.52999999447</v>
      </c>
      <c r="H346" s="5">
        <f t="shared" si="89"/>
        <v>12362</v>
      </c>
      <c r="I346" s="3">
        <f t="shared" si="89"/>
        <v>1122</v>
      </c>
      <c r="J346" s="6">
        <f t="shared" si="89"/>
        <v>51678</v>
      </c>
      <c r="K346" s="5">
        <f t="shared" si="89"/>
        <v>112517</v>
      </c>
      <c r="L346" s="4">
        <f t="shared" si="89"/>
        <v>81688</v>
      </c>
      <c r="M346" s="3">
        <f t="shared" si="89"/>
        <v>51008</v>
      </c>
      <c r="O346" s="2"/>
    </row>
    <row r="347" spans="1:15" x14ac:dyDescent="0.2">
      <c r="O347" s="2"/>
    </row>
    <row r="349" spans="1:15" x14ac:dyDescent="0.2">
      <c r="A349" s="1" t="s">
        <v>10</v>
      </c>
    </row>
    <row r="350" spans="1:15" x14ac:dyDescent="0.2">
      <c r="A350" s="1" t="s">
        <v>9</v>
      </c>
    </row>
    <row r="351" spans="1:15" x14ac:dyDescent="0.2">
      <c r="A351" s="1" t="s">
        <v>8</v>
      </c>
    </row>
    <row r="352" spans="1:15" x14ac:dyDescent="0.2">
      <c r="A352" s="1" t="s">
        <v>7</v>
      </c>
    </row>
    <row r="353" spans="1:1" x14ac:dyDescent="0.2">
      <c r="A353" s="1" t="s">
        <v>6</v>
      </c>
    </row>
    <row r="354" spans="1:1" x14ac:dyDescent="0.2">
      <c r="A354" s="1" t="s">
        <v>5</v>
      </c>
    </row>
    <row r="355" spans="1:1" x14ac:dyDescent="0.2">
      <c r="A355" s="1" t="s">
        <v>4</v>
      </c>
    </row>
    <row r="356" spans="1:1" x14ac:dyDescent="0.2">
      <c r="A356" s="1" t="s">
        <v>3</v>
      </c>
    </row>
    <row r="357" spans="1:1" x14ac:dyDescent="0.2">
      <c r="A357" s="1" t="s">
        <v>2</v>
      </c>
    </row>
    <row r="358" spans="1:1" x14ac:dyDescent="0.2">
      <c r="A358" s="1" t="s">
        <v>1</v>
      </c>
    </row>
    <row r="359" spans="1:1" x14ac:dyDescent="0.2">
      <c r="A359" s="1" t="s">
        <v>0</v>
      </c>
    </row>
  </sheetData>
  <autoFilter ref="A88:N346">
    <filterColumn colId="3" showButton="0"/>
    <filterColumn colId="4" showButton="0"/>
    <filterColumn colId="5" showButton="0"/>
    <filterColumn colId="10" showButton="0"/>
    <filterColumn colId="11" showButton="0"/>
  </autoFilter>
  <mergeCells count="89">
    <mergeCell ref="K129:M129"/>
    <mergeCell ref="N129:N130"/>
    <mergeCell ref="C129:C130"/>
    <mergeCell ref="D129:G129"/>
    <mergeCell ref="H129:H130"/>
    <mergeCell ref="I129:I130"/>
    <mergeCell ref="J129:J130"/>
    <mergeCell ref="B46:B47"/>
    <mergeCell ref="C46:C47"/>
    <mergeCell ref="D46:G46"/>
    <mergeCell ref="H46:H47"/>
    <mergeCell ref="A1:M1"/>
    <mergeCell ref="A3:A4"/>
    <mergeCell ref="B3:B4"/>
    <mergeCell ref="C3:C4"/>
    <mergeCell ref="D3:G3"/>
    <mergeCell ref="H3:H4"/>
    <mergeCell ref="I3:I4"/>
    <mergeCell ref="J3:J4"/>
    <mergeCell ref="K3:M3"/>
    <mergeCell ref="P46:P47"/>
    <mergeCell ref="A88:A89"/>
    <mergeCell ref="B88:B89"/>
    <mergeCell ref="C88:C89"/>
    <mergeCell ref="D88:G88"/>
    <mergeCell ref="H88:H89"/>
    <mergeCell ref="I88:I89"/>
    <mergeCell ref="J88:J89"/>
    <mergeCell ref="K88:M88"/>
    <mergeCell ref="N88:N89"/>
    <mergeCell ref="I46:I47"/>
    <mergeCell ref="J46:J47"/>
    <mergeCell ref="K46:M46"/>
    <mergeCell ref="N46:N47"/>
    <mergeCell ref="O46:O47"/>
    <mergeCell ref="A46:A47"/>
    <mergeCell ref="A137:A138"/>
    <mergeCell ref="B137:B138"/>
    <mergeCell ref="C137:C138"/>
    <mergeCell ref="D137:G137"/>
    <mergeCell ref="H137:H138"/>
    <mergeCell ref="I137:I138"/>
    <mergeCell ref="J137:J138"/>
    <mergeCell ref="K137:M137"/>
    <mergeCell ref="J180:J181"/>
    <mergeCell ref="K180:M180"/>
    <mergeCell ref="I180:I181"/>
    <mergeCell ref="A139:C139"/>
    <mergeCell ref="A180:A181"/>
    <mergeCell ref="B180:B181"/>
    <mergeCell ref="C180:C181"/>
    <mergeCell ref="D180:D181"/>
    <mergeCell ref="E180:E181"/>
    <mergeCell ref="F222:F223"/>
    <mergeCell ref="F180:F181"/>
    <mergeCell ref="G180:G181"/>
    <mergeCell ref="H180:H181"/>
    <mergeCell ref="A222:A223"/>
    <mergeCell ref="B222:B223"/>
    <mergeCell ref="C222:C223"/>
    <mergeCell ref="D222:D223"/>
    <mergeCell ref="E222:E223"/>
    <mergeCell ref="A264:A265"/>
    <mergeCell ref="B264:B265"/>
    <mergeCell ref="C264:C265"/>
    <mergeCell ref="D264:D265"/>
    <mergeCell ref="E264:E265"/>
    <mergeCell ref="J264:J265"/>
    <mergeCell ref="K264:M264"/>
    <mergeCell ref="G222:G223"/>
    <mergeCell ref="H222:H223"/>
    <mergeCell ref="I222:I223"/>
    <mergeCell ref="J222:J223"/>
    <mergeCell ref="K222:M222"/>
    <mergeCell ref="F264:F265"/>
    <mergeCell ref="G264:G265"/>
    <mergeCell ref="H264:H265"/>
    <mergeCell ref="I264:I265"/>
    <mergeCell ref="G306:G307"/>
    <mergeCell ref="H306:H307"/>
    <mergeCell ref="I306:I307"/>
    <mergeCell ref="J306:J307"/>
    <mergeCell ref="K306:M306"/>
    <mergeCell ref="A306:A307"/>
    <mergeCell ref="B306:B307"/>
    <mergeCell ref="C306:C307"/>
    <mergeCell ref="D306:D307"/>
    <mergeCell ref="E306:E307"/>
    <mergeCell ref="F306:F307"/>
  </mergeCells>
  <pageMargins left="0.25" right="0.25" top="0.5" bottom="0.2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A1:R359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outlineLevelRow="1" x14ac:dyDescent="0.2"/>
  <cols>
    <col min="1" max="1" width="7.28515625" style="1" customWidth="1"/>
    <col min="2" max="2" width="10.85546875" style="1" bestFit="1" customWidth="1"/>
    <col min="3" max="3" width="13.7109375" style="1" bestFit="1" customWidth="1"/>
    <col min="4" max="4" width="13.140625" style="1" customWidth="1"/>
    <col min="5" max="5" width="12.5703125" style="1" customWidth="1"/>
    <col min="6" max="6" width="13" style="1" customWidth="1"/>
    <col min="7" max="7" width="12.42578125" style="1" customWidth="1"/>
    <col min="8" max="10" width="12.85546875" style="1" customWidth="1"/>
    <col min="11" max="11" width="12.28515625" style="1" customWidth="1"/>
    <col min="12" max="12" width="12.42578125" style="1" customWidth="1"/>
    <col min="13" max="15" width="12.5703125" style="1" bestFit="1" customWidth="1"/>
    <col min="16" max="16" width="14.28515625" style="1" customWidth="1"/>
    <col min="17" max="17" width="16.42578125" style="1" customWidth="1"/>
    <col min="18" max="18" width="14.85546875" style="1" customWidth="1"/>
    <col min="19" max="20" width="9.140625" style="1"/>
    <col min="21" max="22" width="12.5703125" style="1" customWidth="1"/>
    <col min="23" max="16384" width="9.140625" style="1"/>
  </cols>
  <sheetData>
    <row r="1" spans="1:15" ht="41.25" customHeight="1" x14ac:dyDescent="0.2">
      <c r="A1" s="216" t="s">
        <v>111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ht="13.5" thickBot="1" x14ac:dyDescent="0.25">
      <c r="A2" s="86"/>
      <c r="B2" s="85"/>
      <c r="C2" s="85"/>
      <c r="D2" s="85"/>
      <c r="E2" s="85"/>
      <c r="F2" s="85"/>
      <c r="G2" s="85"/>
      <c r="H2" s="85"/>
      <c r="I2" s="85"/>
      <c r="J2" s="85"/>
    </row>
    <row r="3" spans="1:15" ht="12.75" customHeight="1" x14ac:dyDescent="0.2">
      <c r="A3" s="189" t="s">
        <v>24</v>
      </c>
      <c r="B3" s="191" t="s">
        <v>23</v>
      </c>
      <c r="C3" s="193" t="s">
        <v>74</v>
      </c>
      <c r="D3" s="184" t="s">
        <v>35</v>
      </c>
      <c r="E3" s="184"/>
      <c r="F3" s="184"/>
      <c r="G3" s="184"/>
      <c r="H3" s="186" t="s">
        <v>85</v>
      </c>
      <c r="I3" s="186" t="s">
        <v>89</v>
      </c>
      <c r="J3" s="186" t="s">
        <v>18</v>
      </c>
      <c r="K3" s="195" t="s">
        <v>17</v>
      </c>
      <c r="L3" s="197" t="s">
        <v>16</v>
      </c>
      <c r="M3" s="199" t="s">
        <v>34</v>
      </c>
      <c r="N3" s="200"/>
      <c r="O3" s="200"/>
    </row>
    <row r="4" spans="1:15" ht="54" customHeight="1" thickBot="1" x14ac:dyDescent="0.25">
      <c r="A4" s="190"/>
      <c r="B4" s="192"/>
      <c r="C4" s="194"/>
      <c r="D4" s="84"/>
      <c r="E4" s="67" t="s">
        <v>33</v>
      </c>
      <c r="F4" s="67" t="s">
        <v>32</v>
      </c>
      <c r="G4" s="42" t="s">
        <v>31</v>
      </c>
      <c r="H4" s="187"/>
      <c r="I4" s="187"/>
      <c r="J4" s="187"/>
      <c r="K4" s="196"/>
      <c r="L4" s="198"/>
      <c r="M4" s="44" t="s">
        <v>14</v>
      </c>
      <c r="N4" s="43" t="s">
        <v>13</v>
      </c>
      <c r="O4" s="42" t="s">
        <v>12</v>
      </c>
    </row>
    <row r="5" spans="1:15" x14ac:dyDescent="0.2">
      <c r="A5" s="40">
        <v>3656</v>
      </c>
      <c r="B5" s="39" t="s">
        <v>73</v>
      </c>
      <c r="C5" s="83">
        <f>SUM(D5:O5)</f>
        <v>16277417.702523885</v>
      </c>
      <c r="D5" s="103">
        <f t="shared" ref="D5:G24" si="0">D48*$Q48*$C$44</f>
        <v>2832096.7434386387</v>
      </c>
      <c r="E5" s="80">
        <f t="shared" si="0"/>
        <v>880782.08720941679</v>
      </c>
      <c r="F5" s="80">
        <f t="shared" si="0"/>
        <v>501240.28921307781</v>
      </c>
      <c r="G5" s="79">
        <f t="shared" si="0"/>
        <v>5880101.8267587163</v>
      </c>
      <c r="H5" s="81">
        <f t="shared" ref="H5:I20" si="1">H48*$Q48*$C$44</f>
        <v>2843384.4945085426</v>
      </c>
      <c r="I5" s="81">
        <f t="shared" si="1"/>
        <v>635124.1268665368</v>
      </c>
      <c r="J5" s="81">
        <f t="shared" ref="J5:O14" si="2">J48*$Q48*$C$44</f>
        <v>864265.47358556557</v>
      </c>
      <c r="K5" s="79">
        <f t="shared" si="2"/>
        <v>19753.564372330082</v>
      </c>
      <c r="L5" s="82">
        <f t="shared" si="2"/>
        <v>281381.05867053964</v>
      </c>
      <c r="M5" s="81">
        <f t="shared" si="2"/>
        <v>617334.63118036976</v>
      </c>
      <c r="N5" s="80">
        <f t="shared" si="2"/>
        <v>519281.70021981321</v>
      </c>
      <c r="O5" s="79">
        <f t="shared" si="2"/>
        <v>402671.70650033629</v>
      </c>
    </row>
    <row r="6" spans="1:15" x14ac:dyDescent="0.2">
      <c r="A6" s="20">
        <v>3658</v>
      </c>
      <c r="B6" s="19" t="s">
        <v>72</v>
      </c>
      <c r="C6" s="58">
        <f t="shared" ref="C6:C42" si="3">SUM(D6:O6)</f>
        <v>27571670.310535789</v>
      </c>
      <c r="D6" s="15">
        <f t="shared" si="0"/>
        <v>3029519.5096512409</v>
      </c>
      <c r="E6" s="14">
        <f t="shared" si="0"/>
        <v>3348628.8980011721</v>
      </c>
      <c r="F6" s="14">
        <f t="shared" si="0"/>
        <v>598198.7038258356</v>
      </c>
      <c r="G6" s="13">
        <f t="shared" si="0"/>
        <v>6568912.3790057059</v>
      </c>
      <c r="H6" s="15">
        <f t="shared" si="1"/>
        <v>3392721.713243816</v>
      </c>
      <c r="I6" s="15">
        <f t="shared" si="1"/>
        <v>6111940.9459834276</v>
      </c>
      <c r="J6" s="15">
        <f t="shared" si="2"/>
        <v>635387.50772483449</v>
      </c>
      <c r="K6" s="13">
        <f t="shared" si="2"/>
        <v>22349.747118407755</v>
      </c>
      <c r="L6" s="16">
        <f t="shared" si="2"/>
        <v>188026.84222201462</v>
      </c>
      <c r="M6" s="15">
        <f t="shared" si="2"/>
        <v>866748.77882094448</v>
      </c>
      <c r="N6" s="14">
        <f t="shared" si="2"/>
        <v>1219844.6826222669</v>
      </c>
      <c r="O6" s="13">
        <f t="shared" si="2"/>
        <v>1589390.6023161281</v>
      </c>
    </row>
    <row r="7" spans="1:15" x14ac:dyDescent="0.2">
      <c r="A7" s="20">
        <v>9741</v>
      </c>
      <c r="B7" s="19" t="s">
        <v>71</v>
      </c>
      <c r="C7" s="58">
        <f t="shared" si="3"/>
        <v>9536898.716616137</v>
      </c>
      <c r="D7" s="15">
        <f t="shared" si="0"/>
        <v>1350579.4155138824</v>
      </c>
      <c r="E7" s="14">
        <f t="shared" si="0"/>
        <v>569674.39746375568</v>
      </c>
      <c r="F7" s="14">
        <f t="shared" si="0"/>
        <v>454271.48696538352</v>
      </c>
      <c r="G7" s="13">
        <f t="shared" si="0"/>
        <v>2879055.6691813394</v>
      </c>
      <c r="H7" s="15">
        <f t="shared" si="1"/>
        <v>2264322.8646225226</v>
      </c>
      <c r="I7" s="15">
        <f t="shared" si="1"/>
        <v>824758.34484090551</v>
      </c>
      <c r="J7" s="15">
        <f t="shared" si="2"/>
        <v>237983.41839045292</v>
      </c>
      <c r="K7" s="13">
        <f t="shared" si="2"/>
        <v>18060.401711844646</v>
      </c>
      <c r="L7" s="16">
        <f t="shared" si="2"/>
        <v>119168.55062865495</v>
      </c>
      <c r="M7" s="15">
        <f t="shared" si="2"/>
        <v>299351.15837382502</v>
      </c>
      <c r="N7" s="14">
        <f t="shared" si="2"/>
        <v>289101.88040235318</v>
      </c>
      <c r="O7" s="13">
        <f t="shared" si="2"/>
        <v>230571.12852121665</v>
      </c>
    </row>
    <row r="8" spans="1:15" x14ac:dyDescent="0.2">
      <c r="A8" s="20">
        <v>3661</v>
      </c>
      <c r="B8" s="19" t="s">
        <v>70</v>
      </c>
      <c r="C8" s="58">
        <f t="shared" si="3"/>
        <v>7275836.7247629464</v>
      </c>
      <c r="D8" s="15">
        <f t="shared" si="0"/>
        <v>1323402.9749895458</v>
      </c>
      <c r="E8" s="14">
        <f t="shared" si="0"/>
        <v>309676.29614755366</v>
      </c>
      <c r="F8" s="14">
        <f t="shared" si="0"/>
        <v>297030.51883852249</v>
      </c>
      <c r="G8" s="13">
        <f t="shared" si="0"/>
        <v>2726494.4054233246</v>
      </c>
      <c r="H8" s="15">
        <f t="shared" si="1"/>
        <v>892658.46726478369</v>
      </c>
      <c r="I8" s="15">
        <f t="shared" si="1"/>
        <v>243583.49381554389</v>
      </c>
      <c r="J8" s="15">
        <f t="shared" si="2"/>
        <v>283555.42970826058</v>
      </c>
      <c r="K8" s="13">
        <f t="shared" si="2"/>
        <v>38961.814769073964</v>
      </c>
      <c r="L8" s="16">
        <f t="shared" si="2"/>
        <v>170693.15353348971</v>
      </c>
      <c r="M8" s="15">
        <f t="shared" si="2"/>
        <v>302182.06322823121</v>
      </c>
      <c r="N8" s="14">
        <f t="shared" si="2"/>
        <v>348890.06398546771</v>
      </c>
      <c r="O8" s="13">
        <f t="shared" si="2"/>
        <v>338708.04305914976</v>
      </c>
    </row>
    <row r="9" spans="1:15" x14ac:dyDescent="0.2">
      <c r="A9" s="20">
        <v>3599</v>
      </c>
      <c r="B9" s="19" t="s">
        <v>69</v>
      </c>
      <c r="C9" s="58">
        <f t="shared" si="3"/>
        <v>5747650.7577848919</v>
      </c>
      <c r="D9" s="15">
        <f t="shared" si="0"/>
        <v>1035315.2094848169</v>
      </c>
      <c r="E9" s="14">
        <f t="shared" si="0"/>
        <v>178488.34211518243</v>
      </c>
      <c r="F9" s="14">
        <f t="shared" si="0"/>
        <v>164466.56662289318</v>
      </c>
      <c r="G9" s="13">
        <f t="shared" si="0"/>
        <v>2060263.8907093336</v>
      </c>
      <c r="H9" s="15">
        <f t="shared" si="1"/>
        <v>574105.0231406762</v>
      </c>
      <c r="I9" s="15">
        <f t="shared" si="1"/>
        <v>39593.449871770783</v>
      </c>
      <c r="J9" s="15">
        <f t="shared" si="2"/>
        <v>208801.94341160197</v>
      </c>
      <c r="K9" s="13">
        <f t="shared" si="2"/>
        <v>11235.97901766468</v>
      </c>
      <c r="L9" s="16">
        <f t="shared" si="2"/>
        <v>150134.08154079568</v>
      </c>
      <c r="M9" s="15">
        <f t="shared" si="2"/>
        <v>392488.79848562391</v>
      </c>
      <c r="N9" s="14">
        <f t="shared" si="2"/>
        <v>496951.30055271205</v>
      </c>
      <c r="O9" s="13">
        <f t="shared" si="2"/>
        <v>435806.17283182067</v>
      </c>
    </row>
    <row r="10" spans="1:15" x14ac:dyDescent="0.2">
      <c r="A10" s="20">
        <v>30646</v>
      </c>
      <c r="B10" s="19" t="s">
        <v>68</v>
      </c>
      <c r="C10" s="58">
        <f t="shared" si="3"/>
        <v>2304810.4205421307</v>
      </c>
      <c r="D10" s="15">
        <f t="shared" si="0"/>
        <v>438203.18168892246</v>
      </c>
      <c r="E10" s="14">
        <f t="shared" si="0"/>
        <v>100830.2189619331</v>
      </c>
      <c r="F10" s="14">
        <f t="shared" si="0"/>
        <v>276575.52054421976</v>
      </c>
      <c r="G10" s="13">
        <f t="shared" si="0"/>
        <v>841812.92416894378</v>
      </c>
      <c r="H10" s="15">
        <f t="shared" si="1"/>
        <v>228286.55781921893</v>
      </c>
      <c r="I10" s="15">
        <f t="shared" si="1"/>
        <v>0</v>
      </c>
      <c r="J10" s="15">
        <f t="shared" si="2"/>
        <v>49893.097304630064</v>
      </c>
      <c r="K10" s="13">
        <f t="shared" si="2"/>
        <v>7356.8910234709201</v>
      </c>
      <c r="L10" s="16">
        <f t="shared" si="2"/>
        <v>60139.240075500478</v>
      </c>
      <c r="M10" s="15">
        <f t="shared" si="2"/>
        <v>170316.04004300098</v>
      </c>
      <c r="N10" s="14">
        <f t="shared" si="2"/>
        <v>107159.13703132771</v>
      </c>
      <c r="O10" s="13">
        <f t="shared" si="2"/>
        <v>24237.611880962377</v>
      </c>
    </row>
    <row r="11" spans="1:15" x14ac:dyDescent="0.2">
      <c r="A11" s="20">
        <v>9930</v>
      </c>
      <c r="B11" s="19" t="s">
        <v>67</v>
      </c>
      <c r="C11" s="58">
        <f t="shared" si="3"/>
        <v>1296477.7708807313</v>
      </c>
      <c r="D11" s="15">
        <f t="shared" si="0"/>
        <v>214018.64795551772</v>
      </c>
      <c r="E11" s="14">
        <f t="shared" si="0"/>
        <v>38009.711876899943</v>
      </c>
      <c r="F11" s="14">
        <f t="shared" si="0"/>
        <v>185595.69790810245</v>
      </c>
      <c r="G11" s="13">
        <f t="shared" si="0"/>
        <v>401893.58044672065</v>
      </c>
      <c r="H11" s="15">
        <f t="shared" si="1"/>
        <v>168361.33639167392</v>
      </c>
      <c r="I11" s="15">
        <f t="shared" si="1"/>
        <v>0</v>
      </c>
      <c r="J11" s="15">
        <f t="shared" si="2"/>
        <v>16586.44521655262</v>
      </c>
      <c r="K11" s="13">
        <f t="shared" si="2"/>
        <v>4012.8496491659562</v>
      </c>
      <c r="L11" s="16">
        <f t="shared" si="2"/>
        <v>25618.032160275474</v>
      </c>
      <c r="M11" s="15">
        <f t="shared" si="2"/>
        <v>100888.39064623104</v>
      </c>
      <c r="N11" s="14">
        <f t="shared" si="2"/>
        <v>94703.251720316577</v>
      </c>
      <c r="O11" s="13">
        <f t="shared" si="2"/>
        <v>46789.826909275049</v>
      </c>
    </row>
    <row r="12" spans="1:15" x14ac:dyDescent="0.2">
      <c r="A12" s="20">
        <v>10115</v>
      </c>
      <c r="B12" s="19" t="s">
        <v>66</v>
      </c>
      <c r="C12" s="58">
        <f t="shared" si="3"/>
        <v>9065433.0462180376</v>
      </c>
      <c r="D12" s="15">
        <f t="shared" si="0"/>
        <v>1783440.9952999451</v>
      </c>
      <c r="E12" s="14">
        <f t="shared" si="0"/>
        <v>451210.57181088615</v>
      </c>
      <c r="F12" s="14">
        <f t="shared" si="0"/>
        <v>262875.80713067506</v>
      </c>
      <c r="G12" s="13">
        <f t="shared" si="0"/>
        <v>3642589.1257866835</v>
      </c>
      <c r="H12" s="15">
        <f t="shared" si="1"/>
        <v>890926.83105282462</v>
      </c>
      <c r="I12" s="15">
        <f t="shared" si="1"/>
        <v>238965.79725032035</v>
      </c>
      <c r="J12" s="15">
        <f t="shared" si="2"/>
        <v>169700.34877196662</v>
      </c>
      <c r="K12" s="13">
        <f t="shared" si="2"/>
        <v>21501.1496318223</v>
      </c>
      <c r="L12" s="16">
        <f t="shared" si="2"/>
        <v>216362.17256355094</v>
      </c>
      <c r="M12" s="15">
        <f t="shared" si="2"/>
        <v>471674.61565476272</v>
      </c>
      <c r="N12" s="14">
        <f t="shared" si="2"/>
        <v>463247.31942322972</v>
      </c>
      <c r="O12" s="13">
        <f t="shared" si="2"/>
        <v>452938.31184136809</v>
      </c>
    </row>
    <row r="13" spans="1:15" x14ac:dyDescent="0.2">
      <c r="A13" s="20">
        <v>11163</v>
      </c>
      <c r="B13" s="19" t="s">
        <v>65</v>
      </c>
      <c r="C13" s="58">
        <f t="shared" si="3"/>
        <v>2849082.6450198898</v>
      </c>
      <c r="D13" s="15">
        <f t="shared" si="0"/>
        <v>477529.10825074883</v>
      </c>
      <c r="E13" s="14">
        <f t="shared" si="0"/>
        <v>98498.337395187817</v>
      </c>
      <c r="F13" s="14">
        <f t="shared" si="0"/>
        <v>234797.7761406865</v>
      </c>
      <c r="G13" s="13">
        <f t="shared" si="0"/>
        <v>948099.9352098481</v>
      </c>
      <c r="H13" s="15">
        <f t="shared" si="1"/>
        <v>423756.92295192502</v>
      </c>
      <c r="I13" s="15">
        <f t="shared" si="1"/>
        <v>0</v>
      </c>
      <c r="J13" s="15">
        <f t="shared" si="2"/>
        <v>151150.67011858438</v>
      </c>
      <c r="K13" s="13">
        <f t="shared" si="2"/>
        <v>5617.9895088323401</v>
      </c>
      <c r="L13" s="16">
        <f t="shared" si="2"/>
        <v>60503.071777024859</v>
      </c>
      <c r="M13" s="15">
        <f t="shared" si="2"/>
        <v>184441.27080806514</v>
      </c>
      <c r="N13" s="14">
        <f t="shared" si="2"/>
        <v>171428.93701236966</v>
      </c>
      <c r="O13" s="13">
        <f t="shared" si="2"/>
        <v>93258.625846616822</v>
      </c>
    </row>
    <row r="14" spans="1:15" x14ac:dyDescent="0.2">
      <c r="A14" s="20">
        <v>3632</v>
      </c>
      <c r="B14" s="19" t="s">
        <v>64</v>
      </c>
      <c r="C14" s="58">
        <f t="shared" si="3"/>
        <v>23956475.679120123</v>
      </c>
      <c r="D14" s="15">
        <f t="shared" si="0"/>
        <v>2959535.453017842</v>
      </c>
      <c r="E14" s="14">
        <f t="shared" si="0"/>
        <v>3317310.4055604432</v>
      </c>
      <c r="F14" s="14">
        <f t="shared" si="0"/>
        <v>569848.2642927944</v>
      </c>
      <c r="G14" s="13">
        <f t="shared" si="0"/>
        <v>6808144.9751810972</v>
      </c>
      <c r="H14" s="15">
        <f t="shared" si="1"/>
        <v>2403162.2027823282</v>
      </c>
      <c r="I14" s="15">
        <f t="shared" si="1"/>
        <v>3384820.2874948843</v>
      </c>
      <c r="J14" s="15">
        <f t="shared" si="2"/>
        <v>597009.15408716456</v>
      </c>
      <c r="K14" s="13">
        <f t="shared" si="2"/>
        <v>42667.699044232977</v>
      </c>
      <c r="L14" s="16">
        <f t="shared" si="2"/>
        <v>201770.8079247284</v>
      </c>
      <c r="M14" s="15">
        <f t="shared" si="2"/>
        <v>908498.40744482528</v>
      </c>
      <c r="N14" s="14">
        <f t="shared" si="2"/>
        <v>1206525.1363597817</v>
      </c>
      <c r="O14" s="13">
        <f t="shared" si="2"/>
        <v>1557182.8859300057</v>
      </c>
    </row>
    <row r="15" spans="1:15" x14ac:dyDescent="0.2">
      <c r="A15" s="20">
        <v>10298</v>
      </c>
      <c r="B15" s="19" t="s">
        <v>63</v>
      </c>
      <c r="C15" s="58">
        <f t="shared" si="3"/>
        <v>1715429.3013247673</v>
      </c>
      <c r="D15" s="15">
        <f t="shared" si="0"/>
        <v>241202.21833421628</v>
      </c>
      <c r="E15" s="14">
        <f t="shared" si="0"/>
        <v>60525.676653999348</v>
      </c>
      <c r="F15" s="14">
        <f t="shared" si="0"/>
        <v>287327.92844768462</v>
      </c>
      <c r="G15" s="13">
        <f t="shared" si="0"/>
        <v>616753.48825584736</v>
      </c>
      <c r="H15" s="15">
        <f t="shared" si="1"/>
        <v>25697.088636090844</v>
      </c>
      <c r="I15" s="15">
        <f t="shared" si="1"/>
        <v>0</v>
      </c>
      <c r="J15" s="15">
        <f t="shared" ref="J15:O24" si="4">J58*$Q58*$C$44</f>
        <v>32705.385536842885</v>
      </c>
      <c r="K15" s="13">
        <f t="shared" si="4"/>
        <v>0</v>
      </c>
      <c r="L15" s="16">
        <f t="shared" si="4"/>
        <v>22146.218206376474</v>
      </c>
      <c r="M15" s="15">
        <f t="shared" si="4"/>
        <v>166049.91456848514</v>
      </c>
      <c r="N15" s="14">
        <f t="shared" si="4"/>
        <v>133718.30486634906</v>
      </c>
      <c r="O15" s="13">
        <f t="shared" si="4"/>
        <v>129303.07781887526</v>
      </c>
    </row>
    <row r="16" spans="1:15" x14ac:dyDescent="0.2">
      <c r="A16" s="20">
        <v>3630</v>
      </c>
      <c r="B16" s="19" t="s">
        <v>62</v>
      </c>
      <c r="C16" s="58">
        <f t="shared" si="3"/>
        <v>2663131.1405410906</v>
      </c>
      <c r="D16" s="15">
        <f t="shared" si="0"/>
        <v>375736.48881690577</v>
      </c>
      <c r="E16" s="14">
        <f t="shared" si="0"/>
        <v>55859.491337446656</v>
      </c>
      <c r="F16" s="14">
        <f t="shared" si="0"/>
        <v>126996.16188164819</v>
      </c>
      <c r="G16" s="13">
        <f t="shared" si="0"/>
        <v>831823.60377561476</v>
      </c>
      <c r="H16" s="15">
        <f t="shared" si="1"/>
        <v>409578.18752487196</v>
      </c>
      <c r="I16" s="15">
        <f t="shared" si="1"/>
        <v>21401.864795551774</v>
      </c>
      <c r="J16" s="15">
        <f t="shared" si="4"/>
        <v>126672.28725867203</v>
      </c>
      <c r="K16" s="13">
        <f t="shared" si="4"/>
        <v>3879.0879941937583</v>
      </c>
      <c r="L16" s="16">
        <f t="shared" si="4"/>
        <v>51535.690427688663</v>
      </c>
      <c r="M16" s="15">
        <f t="shared" si="4"/>
        <v>214189.86287388208</v>
      </c>
      <c r="N16" s="14">
        <f t="shared" si="4"/>
        <v>227480.42091191976</v>
      </c>
      <c r="O16" s="13">
        <f t="shared" si="4"/>
        <v>217977.99294269481</v>
      </c>
    </row>
    <row r="17" spans="1:15" x14ac:dyDescent="0.2">
      <c r="A17" s="20">
        <v>3631</v>
      </c>
      <c r="B17" s="19" t="s">
        <v>61</v>
      </c>
      <c r="C17" s="58">
        <f t="shared" si="3"/>
        <v>3408174.639101794</v>
      </c>
      <c r="D17" s="15">
        <f t="shared" si="0"/>
        <v>620119.03245111252</v>
      </c>
      <c r="E17" s="14">
        <f t="shared" si="0"/>
        <v>118566.7590046527</v>
      </c>
      <c r="F17" s="14">
        <f t="shared" si="0"/>
        <v>197109.3108170348</v>
      </c>
      <c r="G17" s="13">
        <f t="shared" si="0"/>
        <v>1253029.691967227</v>
      </c>
      <c r="H17" s="15">
        <f t="shared" si="1"/>
        <v>286249.94164050493</v>
      </c>
      <c r="I17" s="15">
        <f t="shared" si="1"/>
        <v>15516.351976775033</v>
      </c>
      <c r="J17" s="15">
        <f t="shared" si="4"/>
        <v>81460.847878068918</v>
      </c>
      <c r="K17" s="13">
        <f t="shared" si="4"/>
        <v>19127.916661024392</v>
      </c>
      <c r="L17" s="16">
        <f t="shared" si="4"/>
        <v>76725.685292053095</v>
      </c>
      <c r="M17" s="15">
        <f t="shared" si="4"/>
        <v>276640.50434730219</v>
      </c>
      <c r="N17" s="14">
        <f t="shared" si="4"/>
        <v>255923.49922520804</v>
      </c>
      <c r="O17" s="13">
        <f t="shared" si="4"/>
        <v>207705.0978408299</v>
      </c>
    </row>
    <row r="18" spans="1:15" x14ac:dyDescent="0.2">
      <c r="A18" s="78">
        <v>103631</v>
      </c>
      <c r="B18" s="19" t="s">
        <v>60</v>
      </c>
      <c r="C18" s="58">
        <f t="shared" si="3"/>
        <v>1665512.8546770408</v>
      </c>
      <c r="D18" s="15">
        <f t="shared" si="0"/>
        <v>209122.00072367134</v>
      </c>
      <c r="E18" s="14">
        <f t="shared" si="0"/>
        <v>39984.12653836597</v>
      </c>
      <c r="F18" s="14">
        <f t="shared" si="0"/>
        <v>614081.37508990255</v>
      </c>
      <c r="G18" s="13">
        <f t="shared" si="0"/>
        <v>387784.26904649771</v>
      </c>
      <c r="H18" s="15">
        <f t="shared" si="1"/>
        <v>262071.30768942845</v>
      </c>
      <c r="I18" s="15">
        <f t="shared" si="1"/>
        <v>0</v>
      </c>
      <c r="J18" s="15">
        <f t="shared" si="4"/>
        <v>18474.210056689284</v>
      </c>
      <c r="K18" s="13">
        <f t="shared" si="4"/>
        <v>0</v>
      </c>
      <c r="L18" s="16">
        <f t="shared" si="4"/>
        <v>23768.131233589764</v>
      </c>
      <c r="M18" s="15">
        <f t="shared" si="4"/>
        <v>71958.562450317622</v>
      </c>
      <c r="N18" s="14">
        <f t="shared" si="4"/>
        <v>29001.481229976493</v>
      </c>
      <c r="O18" s="13">
        <f t="shared" si="4"/>
        <v>9267.390618601512</v>
      </c>
    </row>
    <row r="19" spans="1:15" x14ac:dyDescent="0.2">
      <c r="A19" s="20">
        <v>11161</v>
      </c>
      <c r="B19" s="19" t="s">
        <v>59</v>
      </c>
      <c r="C19" s="58">
        <f t="shared" si="3"/>
        <v>3272478.7342355037</v>
      </c>
      <c r="D19" s="15">
        <f t="shared" si="0"/>
        <v>557117.29295920697</v>
      </c>
      <c r="E19" s="14">
        <f t="shared" si="0"/>
        <v>113206.23392931085</v>
      </c>
      <c r="F19" s="14">
        <f t="shared" si="0"/>
        <v>171561.47391476296</v>
      </c>
      <c r="G19" s="13">
        <f t="shared" si="0"/>
        <v>1125283.2986191232</v>
      </c>
      <c r="H19" s="15">
        <f t="shared" si="1"/>
        <v>402355.05815637321</v>
      </c>
      <c r="I19" s="15">
        <f t="shared" si="1"/>
        <v>85607.459182207094</v>
      </c>
      <c r="J19" s="15">
        <f t="shared" si="4"/>
        <v>106875.56232278665</v>
      </c>
      <c r="K19" s="13">
        <f t="shared" si="4"/>
        <v>10299.647432859289</v>
      </c>
      <c r="L19" s="16">
        <f t="shared" si="4"/>
        <v>69342.041937587739</v>
      </c>
      <c r="M19" s="15">
        <f t="shared" si="4"/>
        <v>197817.43630528499</v>
      </c>
      <c r="N19" s="14">
        <f t="shared" si="4"/>
        <v>235634.531399025</v>
      </c>
      <c r="O19" s="13">
        <f t="shared" si="4"/>
        <v>197378.69807697623</v>
      </c>
    </row>
    <row r="20" spans="1:15" x14ac:dyDescent="0.2">
      <c r="A20" s="20">
        <v>3639</v>
      </c>
      <c r="B20" s="19" t="s">
        <v>58</v>
      </c>
      <c r="C20" s="58">
        <f t="shared" si="3"/>
        <v>2142714.9252520106</v>
      </c>
      <c r="D20" s="15">
        <f t="shared" si="0"/>
        <v>305645.38161147368</v>
      </c>
      <c r="E20" s="14">
        <f t="shared" si="0"/>
        <v>49188.530080673176</v>
      </c>
      <c r="F20" s="14">
        <f t="shared" si="0"/>
        <v>143495.48432463553</v>
      </c>
      <c r="G20" s="13">
        <f t="shared" si="0"/>
        <v>707647.30899872282</v>
      </c>
      <c r="H20" s="15">
        <f t="shared" si="1"/>
        <v>328518.62461171963</v>
      </c>
      <c r="I20" s="15">
        <f t="shared" si="1"/>
        <v>73836.433544653599</v>
      </c>
      <c r="J20" s="15">
        <f t="shared" si="4"/>
        <v>104334.09087831488</v>
      </c>
      <c r="K20" s="13">
        <f t="shared" si="4"/>
        <v>6688.0827486099288</v>
      </c>
      <c r="L20" s="16">
        <f t="shared" si="4"/>
        <v>41626.627027348193</v>
      </c>
      <c r="M20" s="15">
        <f t="shared" si="4"/>
        <v>118202.4992658324</v>
      </c>
      <c r="N20" s="14">
        <f t="shared" si="4"/>
        <v>137988.52326932005</v>
      </c>
      <c r="O20" s="13">
        <f t="shared" si="4"/>
        <v>125543.33889070668</v>
      </c>
    </row>
    <row r="21" spans="1:15" x14ac:dyDescent="0.2">
      <c r="A21" s="78">
        <v>103639</v>
      </c>
      <c r="B21" s="19" t="s">
        <v>57</v>
      </c>
      <c r="C21" s="58">
        <f t="shared" si="3"/>
        <v>1373299.4064738005</v>
      </c>
      <c r="D21" s="15">
        <f t="shared" si="0"/>
        <v>237668.07958109421</v>
      </c>
      <c r="E21" s="14">
        <f t="shared" si="0"/>
        <v>38248.716273917438</v>
      </c>
      <c r="F21" s="14">
        <f t="shared" si="0"/>
        <v>336470.88596077648</v>
      </c>
      <c r="G21" s="13">
        <f t="shared" si="0"/>
        <v>414947.16714338883</v>
      </c>
      <c r="H21" s="15">
        <f t="shared" ref="H21:I36" si="5">H64*$Q64*$C$44</f>
        <v>201314.6145818306</v>
      </c>
      <c r="I21" s="15">
        <f t="shared" si="5"/>
        <v>0</v>
      </c>
      <c r="J21" s="15">
        <f t="shared" si="4"/>
        <v>2022.1334053978521</v>
      </c>
      <c r="K21" s="13">
        <f t="shared" si="4"/>
        <v>808.85336215914083</v>
      </c>
      <c r="L21" s="16">
        <f t="shared" si="4"/>
        <v>31728.621219629229</v>
      </c>
      <c r="M21" s="15">
        <f t="shared" si="4"/>
        <v>94430.933854205839</v>
      </c>
      <c r="N21" s="14">
        <f t="shared" si="4"/>
        <v>15012.318401673652</v>
      </c>
      <c r="O21" s="13">
        <f t="shared" si="4"/>
        <v>647.08268972731264</v>
      </c>
    </row>
    <row r="22" spans="1:15" x14ac:dyDescent="0.2">
      <c r="A22" s="20">
        <v>9651</v>
      </c>
      <c r="B22" s="19" t="s">
        <v>56</v>
      </c>
      <c r="C22" s="58">
        <f t="shared" si="3"/>
        <v>1932351.6232189995</v>
      </c>
      <c r="D22" s="15">
        <f t="shared" si="0"/>
        <v>316881.36062913836</v>
      </c>
      <c r="E22" s="14">
        <f t="shared" si="0"/>
        <v>59996.204279116857</v>
      </c>
      <c r="F22" s="14">
        <f t="shared" si="0"/>
        <v>155105.90339164875</v>
      </c>
      <c r="G22" s="13">
        <f t="shared" si="0"/>
        <v>585272.78371430712</v>
      </c>
      <c r="H22" s="15">
        <f t="shared" si="5"/>
        <v>216693.88105496165</v>
      </c>
      <c r="I22" s="15">
        <f t="shared" si="5"/>
        <v>6955.6060585543255</v>
      </c>
      <c r="J22" s="15">
        <f t="shared" si="4"/>
        <v>46415.294275352906</v>
      </c>
      <c r="K22" s="13">
        <f t="shared" si="4"/>
        <v>8962.030883137304</v>
      </c>
      <c r="L22" s="16">
        <f t="shared" si="4"/>
        <v>45757.186932889686</v>
      </c>
      <c r="M22" s="15">
        <f t="shared" si="4"/>
        <v>180631.73887445696</v>
      </c>
      <c r="N22" s="14">
        <f t="shared" si="4"/>
        <v>195634.44609613874</v>
      </c>
      <c r="O22" s="13">
        <f t="shared" si="4"/>
        <v>114045.18702929647</v>
      </c>
    </row>
    <row r="23" spans="1:15" x14ac:dyDescent="0.2">
      <c r="A23" s="20">
        <v>3665</v>
      </c>
      <c r="B23" s="19" t="s">
        <v>55</v>
      </c>
      <c r="C23" s="58">
        <f t="shared" si="3"/>
        <v>2852696.5389688998</v>
      </c>
      <c r="D23" s="15">
        <f t="shared" si="0"/>
        <v>503880.15428027202</v>
      </c>
      <c r="E23" s="14">
        <f t="shared" si="0"/>
        <v>94863.837045832537</v>
      </c>
      <c r="F23" s="14">
        <f t="shared" si="0"/>
        <v>186097.68301382719</v>
      </c>
      <c r="G23" s="13">
        <f t="shared" si="0"/>
        <v>1004647.6748493477</v>
      </c>
      <c r="H23" s="15">
        <f t="shared" si="5"/>
        <v>278224.24234217301</v>
      </c>
      <c r="I23" s="15">
        <f t="shared" si="5"/>
        <v>3745.3263392215599</v>
      </c>
      <c r="J23" s="15">
        <f t="shared" si="4"/>
        <v>76912.95160901417</v>
      </c>
      <c r="K23" s="13">
        <f t="shared" si="4"/>
        <v>24344.621204940137</v>
      </c>
      <c r="L23" s="16">
        <f t="shared" si="4"/>
        <v>57100.175274532136</v>
      </c>
      <c r="M23" s="15">
        <f t="shared" si="4"/>
        <v>230070.04655218153</v>
      </c>
      <c r="N23" s="14">
        <f t="shared" si="4"/>
        <v>233579.95237865206</v>
      </c>
      <c r="O23" s="13">
        <f t="shared" si="4"/>
        <v>159229.87407890515</v>
      </c>
    </row>
    <row r="24" spans="1:15" x14ac:dyDescent="0.2">
      <c r="A24" s="20">
        <v>3565</v>
      </c>
      <c r="B24" s="19" t="s">
        <v>54</v>
      </c>
      <c r="C24" s="58">
        <f t="shared" si="3"/>
        <v>3564000.9286914482</v>
      </c>
      <c r="D24" s="15">
        <f t="shared" si="0"/>
        <v>531435.0552045448</v>
      </c>
      <c r="E24" s="14">
        <f t="shared" si="0"/>
        <v>93532.569715999882</v>
      </c>
      <c r="F24" s="14">
        <f t="shared" si="0"/>
        <v>226288.08580651882</v>
      </c>
      <c r="G24" s="13">
        <f t="shared" si="0"/>
        <v>1003945.4261607467</v>
      </c>
      <c r="H24" s="15">
        <f t="shared" si="5"/>
        <v>981810.54749593732</v>
      </c>
      <c r="I24" s="15">
        <f t="shared" si="5"/>
        <v>135901.84145175377</v>
      </c>
      <c r="J24" s="15">
        <f t="shared" si="4"/>
        <v>29293.802438911487</v>
      </c>
      <c r="K24" s="13">
        <f t="shared" si="4"/>
        <v>29828.849058800279</v>
      </c>
      <c r="L24" s="16">
        <f t="shared" si="4"/>
        <v>65446.902544797325</v>
      </c>
      <c r="M24" s="15">
        <f t="shared" si="4"/>
        <v>182311.78526090775</v>
      </c>
      <c r="N24" s="14">
        <f t="shared" si="4"/>
        <v>182557.90670605662</v>
      </c>
      <c r="O24" s="13">
        <f t="shared" si="4"/>
        <v>101648.15684647314</v>
      </c>
    </row>
    <row r="25" spans="1:15" x14ac:dyDescent="0.2">
      <c r="A25" s="20">
        <v>29269</v>
      </c>
      <c r="B25" s="19" t="s">
        <v>53</v>
      </c>
      <c r="C25" s="58">
        <f t="shared" si="3"/>
        <v>1171617.7886550031</v>
      </c>
      <c r="D25" s="15">
        <f t="shared" ref="D25:G42" si="6">D68*$Q68*$C$44</f>
        <v>157030.78548185894</v>
      </c>
      <c r="E25" s="14">
        <f t="shared" si="6"/>
        <v>34045.896851476042</v>
      </c>
      <c r="F25" s="14">
        <f t="shared" si="6"/>
        <v>352218.58425837522</v>
      </c>
      <c r="G25" s="13">
        <f t="shared" si="6"/>
        <v>281615.1038420219</v>
      </c>
      <c r="H25" s="15">
        <f t="shared" si="5"/>
        <v>199077.2799551436</v>
      </c>
      <c r="I25" s="15">
        <f t="shared" si="5"/>
        <v>0</v>
      </c>
      <c r="J25" s="15">
        <f t="shared" ref="J25:O34" si="7">J68*$Q68*$C$44</f>
        <v>18928.493910542304</v>
      </c>
      <c r="K25" s="13">
        <f t="shared" si="7"/>
        <v>8782.821174491628</v>
      </c>
      <c r="L25" s="16">
        <f t="shared" si="7"/>
        <v>17371.814571339306</v>
      </c>
      <c r="M25" s="15">
        <f t="shared" si="7"/>
        <v>62897.113845462816</v>
      </c>
      <c r="N25" s="14">
        <f t="shared" si="7"/>
        <v>39468.181222749961</v>
      </c>
      <c r="O25" s="13">
        <f t="shared" si="7"/>
        <v>181.7135415412061</v>
      </c>
    </row>
    <row r="26" spans="1:15" x14ac:dyDescent="0.2">
      <c r="A26" s="20">
        <v>3652</v>
      </c>
      <c r="B26" s="19" t="s">
        <v>52</v>
      </c>
      <c r="C26" s="58">
        <f t="shared" si="3"/>
        <v>18740723.361886188</v>
      </c>
      <c r="D26" s="15">
        <f t="shared" si="6"/>
        <v>2877624.0060872477</v>
      </c>
      <c r="E26" s="14">
        <f t="shared" si="6"/>
        <v>926019.40515887621</v>
      </c>
      <c r="F26" s="14">
        <f t="shared" si="6"/>
        <v>362760.94113880192</v>
      </c>
      <c r="G26" s="13">
        <f t="shared" si="6"/>
        <v>5971359.5315747578</v>
      </c>
      <c r="H26" s="15">
        <f t="shared" si="5"/>
        <v>2137900.0526396101</v>
      </c>
      <c r="I26" s="15">
        <f t="shared" si="5"/>
        <v>3505222.9655738496</v>
      </c>
      <c r="J26" s="15">
        <f t="shared" si="7"/>
        <v>415953.62692592206</v>
      </c>
      <c r="K26" s="13">
        <f t="shared" si="7"/>
        <v>35368.28668569577</v>
      </c>
      <c r="L26" s="16">
        <f t="shared" si="7"/>
        <v>304588.67487026</v>
      </c>
      <c r="M26" s="15">
        <f t="shared" si="7"/>
        <v>686505.96973673475</v>
      </c>
      <c r="N26" s="14">
        <f t="shared" si="7"/>
        <v>770772.79405724991</v>
      </c>
      <c r="O26" s="13">
        <f t="shared" si="7"/>
        <v>746647.10743717744</v>
      </c>
    </row>
    <row r="27" spans="1:15" x14ac:dyDescent="0.2">
      <c r="A27" s="20">
        <v>11711</v>
      </c>
      <c r="B27" s="19" t="s">
        <v>51</v>
      </c>
      <c r="C27" s="58">
        <f t="shared" si="3"/>
        <v>3423486.0078935707</v>
      </c>
      <c r="D27" s="15">
        <f t="shared" si="6"/>
        <v>477796.63156069326</v>
      </c>
      <c r="E27" s="14">
        <f t="shared" si="6"/>
        <v>99413.162143168811</v>
      </c>
      <c r="F27" s="14">
        <f t="shared" si="6"/>
        <v>318568.84401456761</v>
      </c>
      <c r="G27" s="13">
        <f t="shared" si="6"/>
        <v>916114.84827289975</v>
      </c>
      <c r="H27" s="15">
        <f t="shared" si="5"/>
        <v>1139649.3003631318</v>
      </c>
      <c r="I27" s="15">
        <f t="shared" si="5"/>
        <v>0</v>
      </c>
      <c r="J27" s="15">
        <f t="shared" si="7"/>
        <v>42803.72959110354</v>
      </c>
      <c r="K27" s="13">
        <f t="shared" si="7"/>
        <v>3344.0413743049644</v>
      </c>
      <c r="L27" s="16">
        <f t="shared" si="7"/>
        <v>49716.531920066765</v>
      </c>
      <c r="M27" s="15">
        <f t="shared" si="7"/>
        <v>178662.76731326614</v>
      </c>
      <c r="N27" s="14">
        <f t="shared" si="7"/>
        <v>183692.20554022081</v>
      </c>
      <c r="O27" s="13">
        <f t="shared" si="7"/>
        <v>13723.94580014757</v>
      </c>
    </row>
    <row r="28" spans="1:15" x14ac:dyDescent="0.2">
      <c r="A28" s="20">
        <v>12826</v>
      </c>
      <c r="B28" s="19" t="s">
        <v>50</v>
      </c>
      <c r="C28" s="58">
        <f t="shared" si="3"/>
        <v>4130037.2499365541</v>
      </c>
      <c r="D28" s="15">
        <f t="shared" si="6"/>
        <v>963479.16322522995</v>
      </c>
      <c r="E28" s="14">
        <f t="shared" si="6"/>
        <v>73224.416405117503</v>
      </c>
      <c r="F28" s="14">
        <f t="shared" si="6"/>
        <v>241305.48125858</v>
      </c>
      <c r="G28" s="13">
        <f t="shared" si="6"/>
        <v>1727434.4233398759</v>
      </c>
      <c r="H28" s="15">
        <f t="shared" si="5"/>
        <v>51407.124795003176</v>
      </c>
      <c r="I28" s="15">
        <f t="shared" si="5"/>
        <v>0</v>
      </c>
      <c r="J28" s="15">
        <f t="shared" si="7"/>
        <v>52440.659646650958</v>
      </c>
      <c r="K28" s="13">
        <f t="shared" si="7"/>
        <v>674.04446846595079</v>
      </c>
      <c r="L28" s="16">
        <f t="shared" si="7"/>
        <v>108774.60014316127</v>
      </c>
      <c r="M28" s="15">
        <f t="shared" si="7"/>
        <v>401881.489166643</v>
      </c>
      <c r="N28" s="14">
        <f t="shared" si="7"/>
        <v>362689.84759215871</v>
      </c>
      <c r="O28" s="13">
        <f t="shared" si="7"/>
        <v>146725.99989566812</v>
      </c>
    </row>
    <row r="29" spans="1:15" x14ac:dyDescent="0.2">
      <c r="A29" s="20">
        <v>13231</v>
      </c>
      <c r="B29" s="19" t="s">
        <v>49</v>
      </c>
      <c r="C29" s="58">
        <f t="shared" si="3"/>
        <v>1914425.8786382419</v>
      </c>
      <c r="D29" s="15">
        <f t="shared" si="6"/>
        <v>261970.35572190545</v>
      </c>
      <c r="E29" s="14">
        <f t="shared" si="6"/>
        <v>54549.580707050911</v>
      </c>
      <c r="F29" s="14">
        <f t="shared" si="6"/>
        <v>364196.17558422399</v>
      </c>
      <c r="G29" s="13">
        <f t="shared" si="6"/>
        <v>492661.75382651854</v>
      </c>
      <c r="H29" s="15">
        <f t="shared" si="5"/>
        <v>490222.75429116492</v>
      </c>
      <c r="I29" s="15">
        <f t="shared" si="5"/>
        <v>0</v>
      </c>
      <c r="J29" s="15">
        <f t="shared" si="7"/>
        <v>49062.656216125652</v>
      </c>
      <c r="K29" s="13">
        <f t="shared" si="7"/>
        <v>3331.4149282554454</v>
      </c>
      <c r="L29" s="16">
        <f t="shared" si="7"/>
        <v>27911.199980729267</v>
      </c>
      <c r="M29" s="15">
        <f t="shared" si="7"/>
        <v>104085.51659480286</v>
      </c>
      <c r="N29" s="14">
        <f t="shared" si="7"/>
        <v>64617.335372052883</v>
      </c>
      <c r="O29" s="13">
        <f t="shared" si="7"/>
        <v>1817.1354154120611</v>
      </c>
    </row>
    <row r="30" spans="1:15" x14ac:dyDescent="0.2">
      <c r="A30" s="20">
        <v>3592</v>
      </c>
      <c r="B30" s="19" t="s">
        <v>48</v>
      </c>
      <c r="C30" s="58">
        <f t="shared" si="3"/>
        <v>2422699.0307859154</v>
      </c>
      <c r="D30" s="15">
        <f t="shared" si="6"/>
        <v>413992.32213895454</v>
      </c>
      <c r="E30" s="14">
        <f t="shared" si="6"/>
        <v>72752.250743885612</v>
      </c>
      <c r="F30" s="14">
        <f t="shared" si="6"/>
        <v>193600.10907747733</v>
      </c>
      <c r="G30" s="13">
        <f t="shared" si="6"/>
        <v>787321.10116636206</v>
      </c>
      <c r="H30" s="15">
        <f t="shared" si="5"/>
        <v>221152.60288736832</v>
      </c>
      <c r="I30" s="15">
        <f t="shared" si="5"/>
        <v>0</v>
      </c>
      <c r="J30" s="15">
        <f t="shared" si="7"/>
        <v>133761.65497219854</v>
      </c>
      <c r="K30" s="13">
        <f t="shared" si="7"/>
        <v>6019.2744737489356</v>
      </c>
      <c r="L30" s="16">
        <f t="shared" si="7"/>
        <v>44323.261991587722</v>
      </c>
      <c r="M30" s="15">
        <f t="shared" si="7"/>
        <v>184655.28945602069</v>
      </c>
      <c r="N30" s="14">
        <f t="shared" si="7"/>
        <v>201477.15518532434</v>
      </c>
      <c r="O30" s="13">
        <f t="shared" si="7"/>
        <v>163644.0086929877</v>
      </c>
    </row>
    <row r="31" spans="1:15" x14ac:dyDescent="0.2">
      <c r="A31" s="20">
        <v>3594</v>
      </c>
      <c r="B31" s="19" t="s">
        <v>47</v>
      </c>
      <c r="C31" s="58">
        <f t="shared" si="3"/>
        <v>17328521.80680377</v>
      </c>
      <c r="D31" s="15">
        <f t="shared" si="6"/>
        <v>3395731.7801957903</v>
      </c>
      <c r="E31" s="14">
        <f t="shared" si="6"/>
        <v>1174244.0495917045</v>
      </c>
      <c r="F31" s="14">
        <f t="shared" si="6"/>
        <v>438308.07933349989</v>
      </c>
      <c r="G31" s="13">
        <f t="shared" si="6"/>
        <v>6440538.6673789155</v>
      </c>
      <c r="H31" s="15">
        <f t="shared" si="5"/>
        <v>2066034.7041612284</v>
      </c>
      <c r="I31" s="15">
        <f t="shared" si="5"/>
        <v>1026432.8306231709</v>
      </c>
      <c r="J31" s="15">
        <f t="shared" si="7"/>
        <v>190010.47634336556</v>
      </c>
      <c r="K31" s="13">
        <f t="shared" si="7"/>
        <v>24456.79398478963</v>
      </c>
      <c r="L31" s="16">
        <f t="shared" si="7"/>
        <v>344953.6726962328</v>
      </c>
      <c r="M31" s="15">
        <f t="shared" si="7"/>
        <v>710195.19664877106</v>
      </c>
      <c r="N31" s="14">
        <f t="shared" si="7"/>
        <v>764271.04944098578</v>
      </c>
      <c r="O31" s="13">
        <f t="shared" si="7"/>
        <v>753344.5064053199</v>
      </c>
    </row>
    <row r="32" spans="1:15" x14ac:dyDescent="0.2">
      <c r="A32" s="78">
        <v>113594</v>
      </c>
      <c r="B32" s="19" t="s">
        <v>46</v>
      </c>
      <c r="C32" s="58">
        <f t="shared" si="3"/>
        <v>899691.60245956865</v>
      </c>
      <c r="D32" s="15">
        <f t="shared" si="6"/>
        <v>157102.65552519172</v>
      </c>
      <c r="E32" s="14">
        <f t="shared" si="6"/>
        <v>36290.713426319286</v>
      </c>
      <c r="F32" s="14">
        <f t="shared" si="6"/>
        <v>332094.11399068148</v>
      </c>
      <c r="G32" s="13">
        <f t="shared" si="6"/>
        <v>274826.46946471219</v>
      </c>
      <c r="H32" s="15">
        <f t="shared" si="5"/>
        <v>0</v>
      </c>
      <c r="I32" s="15">
        <f t="shared" si="5"/>
        <v>0</v>
      </c>
      <c r="J32" s="15">
        <f t="shared" si="7"/>
        <v>4672.1979338346982</v>
      </c>
      <c r="K32" s="13">
        <f t="shared" si="7"/>
        <v>0</v>
      </c>
      <c r="L32" s="16">
        <f t="shared" si="7"/>
        <v>19218.307501173393</v>
      </c>
      <c r="M32" s="15">
        <f t="shared" si="7"/>
        <v>59554.949663279614</v>
      </c>
      <c r="N32" s="14">
        <f t="shared" si="7"/>
        <v>13362.486090767237</v>
      </c>
      <c r="O32" s="13">
        <f t="shared" si="7"/>
        <v>2569.7088636090839</v>
      </c>
    </row>
    <row r="33" spans="1:18" x14ac:dyDescent="0.2">
      <c r="A33" s="20">
        <v>3624</v>
      </c>
      <c r="B33" s="19" t="s">
        <v>45</v>
      </c>
      <c r="C33" s="58">
        <f t="shared" si="3"/>
        <v>4273939.914172221</v>
      </c>
      <c r="D33" s="15">
        <f t="shared" si="6"/>
        <v>771135.94091472472</v>
      </c>
      <c r="E33" s="14">
        <f t="shared" si="6"/>
        <v>170883.72450670297</v>
      </c>
      <c r="F33" s="14">
        <f t="shared" si="6"/>
        <v>162580.95915536812</v>
      </c>
      <c r="G33" s="13">
        <f t="shared" si="6"/>
        <v>1493476.967712142</v>
      </c>
      <c r="H33" s="15">
        <f t="shared" si="5"/>
        <v>352060.67588682659</v>
      </c>
      <c r="I33" s="15">
        <f t="shared" si="5"/>
        <v>20866.818175662975</v>
      </c>
      <c r="J33" s="15">
        <f t="shared" si="7"/>
        <v>99518.671299315727</v>
      </c>
      <c r="K33" s="13">
        <f t="shared" si="7"/>
        <v>17924.061766274608</v>
      </c>
      <c r="L33" s="16">
        <f t="shared" si="7"/>
        <v>93761.569669312303</v>
      </c>
      <c r="M33" s="15">
        <f t="shared" si="7"/>
        <v>355613.38544288819</v>
      </c>
      <c r="N33" s="14">
        <f t="shared" si="7"/>
        <v>399679.82505692932</v>
      </c>
      <c r="O33" s="13">
        <f t="shared" si="7"/>
        <v>336437.3145860738</v>
      </c>
    </row>
    <row r="34" spans="1:18" x14ac:dyDescent="0.2">
      <c r="A34" s="20">
        <v>3642</v>
      </c>
      <c r="B34" s="19" t="s">
        <v>44</v>
      </c>
      <c r="C34" s="58">
        <f t="shared" si="3"/>
        <v>2757603.1958261137</v>
      </c>
      <c r="D34" s="15">
        <f t="shared" si="6"/>
        <v>304307.76506175176</v>
      </c>
      <c r="E34" s="14">
        <f t="shared" si="6"/>
        <v>17487.552898881997</v>
      </c>
      <c r="F34" s="14">
        <f t="shared" si="6"/>
        <v>103801.83461397048</v>
      </c>
      <c r="G34" s="13">
        <f t="shared" si="6"/>
        <v>597374.20063964068</v>
      </c>
      <c r="H34" s="15">
        <f t="shared" si="5"/>
        <v>187266.31696107797</v>
      </c>
      <c r="I34" s="15">
        <f t="shared" si="5"/>
        <v>919210.09296894842</v>
      </c>
      <c r="J34" s="15">
        <f t="shared" si="7"/>
        <v>53905.946953796025</v>
      </c>
      <c r="K34" s="13">
        <f t="shared" si="7"/>
        <v>1203.854894749787</v>
      </c>
      <c r="L34" s="16">
        <f t="shared" si="7"/>
        <v>42782.327726307994</v>
      </c>
      <c r="M34" s="15">
        <f t="shared" si="7"/>
        <v>157688.93981362542</v>
      </c>
      <c r="N34" s="14">
        <f t="shared" si="7"/>
        <v>181862.34610020119</v>
      </c>
      <c r="O34" s="13">
        <f t="shared" si="7"/>
        <v>190712.01719316182</v>
      </c>
    </row>
    <row r="35" spans="1:18" x14ac:dyDescent="0.2">
      <c r="A35" s="20">
        <v>3644</v>
      </c>
      <c r="B35" s="19" t="s">
        <v>43</v>
      </c>
      <c r="C35" s="58">
        <f t="shared" si="3"/>
        <v>16393184.752655515</v>
      </c>
      <c r="D35" s="15">
        <f t="shared" si="6"/>
        <v>2637947.4250363088</v>
      </c>
      <c r="E35" s="14">
        <f t="shared" si="6"/>
        <v>1158586.5090759466</v>
      </c>
      <c r="F35" s="14">
        <f t="shared" si="6"/>
        <v>356601.10446098389</v>
      </c>
      <c r="G35" s="13">
        <f t="shared" si="6"/>
        <v>5716181.1057211924</v>
      </c>
      <c r="H35" s="15">
        <f t="shared" si="5"/>
        <v>1552818.2888496432</v>
      </c>
      <c r="I35" s="15">
        <f t="shared" si="5"/>
        <v>2085976.397718057</v>
      </c>
      <c r="J35" s="15">
        <f t="shared" ref="J35:O42" si="8">J78*$Q78*$C$44</f>
        <v>410497.880575469</v>
      </c>
      <c r="K35" s="13">
        <f t="shared" si="8"/>
        <v>32358.21973372166</v>
      </c>
      <c r="L35" s="16">
        <f t="shared" si="8"/>
        <v>250858.97977752218</v>
      </c>
      <c r="M35" s="15">
        <f t="shared" si="8"/>
        <v>585638.62617608241</v>
      </c>
      <c r="N35" s="14">
        <f t="shared" si="8"/>
        <v>714966.15276764997</v>
      </c>
      <c r="O35" s="13">
        <f t="shared" si="8"/>
        <v>890754.06276293786</v>
      </c>
    </row>
    <row r="36" spans="1:18" x14ac:dyDescent="0.2">
      <c r="A36" s="20">
        <v>3541</v>
      </c>
      <c r="B36" s="19" t="s">
        <v>42</v>
      </c>
      <c r="C36" s="58">
        <f t="shared" si="3"/>
        <v>2345327.3899893956</v>
      </c>
      <c r="D36" s="15">
        <f t="shared" si="6"/>
        <v>397807.16188731854</v>
      </c>
      <c r="E36" s="14">
        <f t="shared" si="6"/>
        <v>68369.790889700467</v>
      </c>
      <c r="F36" s="14">
        <f t="shared" si="6"/>
        <v>162967.4479264546</v>
      </c>
      <c r="G36" s="13">
        <f t="shared" si="6"/>
        <v>793480.82537783252</v>
      </c>
      <c r="H36" s="15">
        <f t="shared" si="5"/>
        <v>212235.15922255511</v>
      </c>
      <c r="I36" s="15">
        <f t="shared" si="5"/>
        <v>0</v>
      </c>
      <c r="J36" s="15">
        <f t="shared" si="8"/>
        <v>102060.1427437875</v>
      </c>
      <c r="K36" s="13">
        <f t="shared" si="8"/>
        <v>7758.1759883875166</v>
      </c>
      <c r="L36" s="16">
        <f t="shared" si="8"/>
        <v>46420.644741551791</v>
      </c>
      <c r="M36" s="15">
        <f t="shared" si="8"/>
        <v>184740.8969152029</v>
      </c>
      <c r="N36" s="14">
        <f t="shared" si="8"/>
        <v>199101.5481930181</v>
      </c>
      <c r="O36" s="13">
        <f t="shared" si="8"/>
        <v>170385.59610358652</v>
      </c>
    </row>
    <row r="37" spans="1:18" x14ac:dyDescent="0.2">
      <c r="A37" s="20">
        <v>3646</v>
      </c>
      <c r="B37" s="19" t="s">
        <v>41</v>
      </c>
      <c r="C37" s="58">
        <f t="shared" si="3"/>
        <v>5721885.4577169195</v>
      </c>
      <c r="D37" s="15">
        <f t="shared" si="6"/>
        <v>781833.74969941762</v>
      </c>
      <c r="E37" s="14">
        <f t="shared" si="6"/>
        <v>163768.10943703805</v>
      </c>
      <c r="F37" s="14">
        <f t="shared" si="6"/>
        <v>238494.82938790123</v>
      </c>
      <c r="G37" s="13">
        <f t="shared" si="6"/>
        <v>1494478.5315198426</v>
      </c>
      <c r="H37" s="15">
        <f t="shared" ref="H37:I42" si="9">H80*$Q80*$C$44</f>
        <v>1322970.0659365563</v>
      </c>
      <c r="I37" s="15">
        <f t="shared" si="9"/>
        <v>761919.9332618909</v>
      </c>
      <c r="J37" s="15">
        <f t="shared" si="8"/>
        <v>246469.55416880868</v>
      </c>
      <c r="K37" s="13">
        <f t="shared" si="8"/>
        <v>13708.786678007507</v>
      </c>
      <c r="L37" s="16">
        <f t="shared" si="8"/>
        <v>86374.014252507099</v>
      </c>
      <c r="M37" s="15">
        <f t="shared" si="8"/>
        <v>228160.38728769714</v>
      </c>
      <c r="N37" s="14">
        <f t="shared" si="8"/>
        <v>223785.11979214777</v>
      </c>
      <c r="O37" s="13">
        <f t="shared" si="8"/>
        <v>159922.3762951057</v>
      </c>
    </row>
    <row r="38" spans="1:18" x14ac:dyDescent="0.2">
      <c r="A38" s="20">
        <v>3581</v>
      </c>
      <c r="B38" s="19" t="s">
        <v>40</v>
      </c>
      <c r="C38" s="58">
        <f t="shared" si="3"/>
        <v>4683339.2924066568</v>
      </c>
      <c r="D38" s="15">
        <f t="shared" si="6"/>
        <v>535849.18981862743</v>
      </c>
      <c r="E38" s="14">
        <f t="shared" si="6"/>
        <v>75090.333133250329</v>
      </c>
      <c r="F38" s="14">
        <f t="shared" si="6"/>
        <v>147311.14211607521</v>
      </c>
      <c r="G38" s="13">
        <f t="shared" si="6"/>
        <v>1077410.0023045742</v>
      </c>
      <c r="H38" s="15">
        <f t="shared" si="9"/>
        <v>1792673.6999374051</v>
      </c>
      <c r="I38" s="15">
        <f t="shared" si="9"/>
        <v>49224.289029769076</v>
      </c>
      <c r="J38" s="15">
        <f t="shared" si="8"/>
        <v>132424.03842247659</v>
      </c>
      <c r="K38" s="13">
        <f t="shared" si="8"/>
        <v>6821.8444035821267</v>
      </c>
      <c r="L38" s="16">
        <f t="shared" si="8"/>
        <v>60909.707208140346</v>
      </c>
      <c r="M38" s="15">
        <f t="shared" si="8"/>
        <v>275399.19618916017</v>
      </c>
      <c r="N38" s="14">
        <f t="shared" si="8"/>
        <v>286806.39012518927</v>
      </c>
      <c r="O38" s="13">
        <f t="shared" si="8"/>
        <v>243419.45971840696</v>
      </c>
    </row>
    <row r="39" spans="1:18" x14ac:dyDescent="0.2">
      <c r="A39" s="20">
        <v>3606</v>
      </c>
      <c r="B39" s="19" t="s">
        <v>39</v>
      </c>
      <c r="C39" s="58">
        <f t="shared" si="3"/>
        <v>6359126.2669504518</v>
      </c>
      <c r="D39" s="15">
        <f t="shared" si="6"/>
        <v>1235021.3603583092</v>
      </c>
      <c r="E39" s="14">
        <f t="shared" si="6"/>
        <v>289818.34589741658</v>
      </c>
      <c r="F39" s="14">
        <f t="shared" si="6"/>
        <v>196434.24105457269</v>
      </c>
      <c r="G39" s="13">
        <f t="shared" si="6"/>
        <v>2342331.1053988612</v>
      </c>
      <c r="H39" s="15">
        <f t="shared" si="9"/>
        <v>675496.35760960262</v>
      </c>
      <c r="I39" s="15">
        <f t="shared" si="9"/>
        <v>139112.12117108653</v>
      </c>
      <c r="J39" s="15">
        <f t="shared" si="8"/>
        <v>67014.589141071483</v>
      </c>
      <c r="K39" s="13">
        <f t="shared" si="8"/>
        <v>24478.382859912337</v>
      </c>
      <c r="L39" s="16">
        <f t="shared" si="8"/>
        <v>142129.78410725933</v>
      </c>
      <c r="M39" s="15">
        <f t="shared" si="8"/>
        <v>375056.97960964695</v>
      </c>
      <c r="N39" s="14">
        <f t="shared" si="8"/>
        <v>475977.47305307136</v>
      </c>
      <c r="O39" s="13">
        <f t="shared" si="8"/>
        <v>396255.526689641</v>
      </c>
    </row>
    <row r="40" spans="1:18" x14ac:dyDescent="0.2">
      <c r="A40" s="20">
        <v>3615</v>
      </c>
      <c r="B40" s="19" t="s">
        <v>105</v>
      </c>
      <c r="C40" s="58">
        <f t="shared" si="3"/>
        <v>10672504.519706203</v>
      </c>
      <c r="D40" s="15">
        <f t="shared" si="6"/>
        <v>2151288.6969178692</v>
      </c>
      <c r="E40" s="14">
        <f t="shared" si="6"/>
        <v>817059.44708940666</v>
      </c>
      <c r="F40" s="14">
        <f t="shared" si="6"/>
        <v>281785.00926972128</v>
      </c>
      <c r="G40" s="13">
        <f t="shared" si="6"/>
        <v>4188335.5771733755</v>
      </c>
      <c r="H40" s="15">
        <f t="shared" si="9"/>
        <v>1050296.5148417032</v>
      </c>
      <c r="I40" s="15">
        <f t="shared" si="9"/>
        <v>175495.29132352449</v>
      </c>
      <c r="J40" s="15">
        <f t="shared" si="8"/>
        <v>196094.5861892431</v>
      </c>
      <c r="K40" s="13">
        <f t="shared" si="8"/>
        <v>26752.330994439715</v>
      </c>
      <c r="L40" s="16">
        <f t="shared" si="8"/>
        <v>235976.96123575384</v>
      </c>
      <c r="M40" s="15">
        <f t="shared" si="8"/>
        <v>479637.19193311071</v>
      </c>
      <c r="N40" s="14">
        <f t="shared" si="8"/>
        <v>537304.51662472496</v>
      </c>
      <c r="O40" s="13">
        <f t="shared" si="8"/>
        <v>532478.39611332805</v>
      </c>
    </row>
    <row r="41" spans="1:18" x14ac:dyDescent="0.2">
      <c r="A41" s="20">
        <v>3625</v>
      </c>
      <c r="B41" s="19" t="s">
        <v>38</v>
      </c>
      <c r="C41" s="58">
        <f t="shared" si="3"/>
        <v>684364.0125780087</v>
      </c>
      <c r="D41" s="15">
        <f t="shared" si="6"/>
        <v>75976.62002420878</v>
      </c>
      <c r="E41" s="14">
        <f t="shared" si="6"/>
        <v>9147.5850509147385</v>
      </c>
      <c r="F41" s="14">
        <f t="shared" si="6"/>
        <v>124549.56744282966</v>
      </c>
      <c r="G41" s="13">
        <f t="shared" si="6"/>
        <v>158238.70021556102</v>
      </c>
      <c r="H41" s="15">
        <f t="shared" si="9"/>
        <v>190833.29442700327</v>
      </c>
      <c r="I41" s="15">
        <f t="shared" si="9"/>
        <v>0</v>
      </c>
      <c r="J41" s="15">
        <f t="shared" si="8"/>
        <v>5082.9428889435449</v>
      </c>
      <c r="K41" s="13">
        <f t="shared" si="8"/>
        <v>2541.4714444717724</v>
      </c>
      <c r="L41" s="16">
        <f t="shared" si="8"/>
        <v>10465.511885024815</v>
      </c>
      <c r="M41" s="15">
        <f t="shared" si="8"/>
        <v>38523.356631993185</v>
      </c>
      <c r="N41" s="14">
        <f t="shared" si="8"/>
        <v>37303.450338646733</v>
      </c>
      <c r="O41" s="13">
        <f t="shared" si="8"/>
        <v>31701.512228411051</v>
      </c>
    </row>
    <row r="42" spans="1:18" x14ac:dyDescent="0.2">
      <c r="A42" s="20">
        <v>20</v>
      </c>
      <c r="B42" s="19" t="s">
        <v>37</v>
      </c>
      <c r="C42" s="77">
        <f t="shared" si="3"/>
        <v>605978.6044497604</v>
      </c>
      <c r="D42" s="15">
        <f t="shared" si="6"/>
        <v>65382.313441197206</v>
      </c>
      <c r="E42" s="14">
        <f t="shared" si="6"/>
        <v>8309.5085776660617</v>
      </c>
      <c r="F42" s="14">
        <f t="shared" si="6"/>
        <v>296011.27872165357</v>
      </c>
      <c r="G42" s="13">
        <f t="shared" si="6"/>
        <v>112903.79655698359</v>
      </c>
      <c r="H42" s="15">
        <f t="shared" si="9"/>
        <v>60394.384374549183</v>
      </c>
      <c r="I42" s="15">
        <f t="shared" si="9"/>
        <v>0</v>
      </c>
      <c r="J42" s="15">
        <f t="shared" si="8"/>
        <v>2561.3689801706123</v>
      </c>
      <c r="K42" s="13">
        <f t="shared" si="8"/>
        <v>2291.7511927842324</v>
      </c>
      <c r="L42" s="16">
        <f t="shared" si="8"/>
        <v>9317.9907320733037</v>
      </c>
      <c r="M42" s="15">
        <f t="shared" si="8"/>
        <v>29765.803727456387</v>
      </c>
      <c r="N42" s="14">
        <f t="shared" si="8"/>
        <v>17988.898774419293</v>
      </c>
      <c r="O42" s="13">
        <f t="shared" si="8"/>
        <v>1051.5093708068828</v>
      </c>
    </row>
    <row r="43" spans="1:18" ht="13.5" thickBot="1" x14ac:dyDescent="0.25">
      <c r="A43" s="12"/>
      <c r="B43" s="11" t="s">
        <v>11</v>
      </c>
      <c r="C43" s="75">
        <f t="shared" ref="C43:O43" si="10">SUM(C5:C42)</f>
        <v>234999999.99999994</v>
      </c>
      <c r="D43" s="75">
        <f t="shared" si="10"/>
        <v>37003726.226979338</v>
      </c>
      <c r="E43" s="74">
        <f t="shared" si="10"/>
        <v>15266141.792986268</v>
      </c>
      <c r="F43" s="74">
        <f t="shared" si="10"/>
        <v>10663024.66693637</v>
      </c>
      <c r="G43" s="73">
        <f t="shared" si="10"/>
        <v>75554586.135888606</v>
      </c>
      <c r="H43" s="75">
        <f t="shared" ref="H43:I43" si="11">SUM(H5:H42)</f>
        <v>31176688.484651789</v>
      </c>
      <c r="I43" s="75">
        <f t="shared" si="11"/>
        <v>20505212.069318064</v>
      </c>
      <c r="J43" s="75">
        <f t="shared" si="10"/>
        <v>6062763.2708824892</v>
      </c>
      <c r="K43" s="73">
        <f t="shared" si="10"/>
        <v>513272.73223865329</v>
      </c>
      <c r="L43" s="76">
        <f t="shared" si="10"/>
        <v>3854829.8462030706</v>
      </c>
      <c r="M43" s="75">
        <f t="shared" si="10"/>
        <v>11144890.495190578</v>
      </c>
      <c r="N43" s="74">
        <f t="shared" si="10"/>
        <v>12038791.56914147</v>
      </c>
      <c r="O43" s="73">
        <f t="shared" si="10"/>
        <v>11216072.709583292</v>
      </c>
    </row>
    <row r="44" spans="1:18" ht="13.5" thickBot="1" x14ac:dyDescent="0.25">
      <c r="A44" s="72"/>
      <c r="C44" s="104">
        <f>235000000/R86</f>
        <v>2.5029097630228488E-2</v>
      </c>
      <c r="D44" s="71" t="s">
        <v>80</v>
      </c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</row>
    <row r="45" spans="1:18" ht="13.5" thickBot="1" x14ac:dyDescent="0.25">
      <c r="A45" s="69" t="s">
        <v>76</v>
      </c>
    </row>
    <row r="46" spans="1:18" ht="12.75" customHeight="1" outlineLevel="1" x14ac:dyDescent="0.2">
      <c r="A46" s="177" t="s">
        <v>24</v>
      </c>
      <c r="B46" s="179" t="s">
        <v>23</v>
      </c>
      <c r="C46" s="181" t="s">
        <v>36</v>
      </c>
      <c r="D46" s="183" t="s">
        <v>35</v>
      </c>
      <c r="E46" s="184"/>
      <c r="F46" s="184"/>
      <c r="G46" s="185"/>
      <c r="H46" s="186" t="str">
        <f>H3</f>
        <v>Master's</v>
      </c>
      <c r="I46" s="186" t="str">
        <f>I3</f>
        <v>Doctoral and Professional Practice</v>
      </c>
      <c r="J46" s="186" t="s">
        <v>18</v>
      </c>
      <c r="K46" s="195" t="s">
        <v>17</v>
      </c>
      <c r="L46" s="197" t="s">
        <v>16</v>
      </c>
      <c r="M46" s="199" t="s">
        <v>34</v>
      </c>
      <c r="N46" s="200"/>
      <c r="O46" s="200"/>
      <c r="P46" s="212" t="s">
        <v>106</v>
      </c>
      <c r="Q46" s="214" t="s">
        <v>107</v>
      </c>
      <c r="R46" s="193" t="s">
        <v>108</v>
      </c>
    </row>
    <row r="47" spans="1:18" ht="51.75" outlineLevel="1" thickBot="1" x14ac:dyDescent="0.25">
      <c r="A47" s="178"/>
      <c r="B47" s="180"/>
      <c r="C47" s="182"/>
      <c r="D47" s="68"/>
      <c r="E47" s="67" t="s">
        <v>33</v>
      </c>
      <c r="F47" s="67" t="s">
        <v>32</v>
      </c>
      <c r="G47" s="114" t="s">
        <v>31</v>
      </c>
      <c r="H47" s="187"/>
      <c r="I47" s="187"/>
      <c r="J47" s="187"/>
      <c r="K47" s="196"/>
      <c r="L47" s="198"/>
      <c r="M47" s="44" t="s">
        <v>14</v>
      </c>
      <c r="N47" s="43" t="s">
        <v>13</v>
      </c>
      <c r="O47" s="42" t="s">
        <v>12</v>
      </c>
      <c r="P47" s="213"/>
      <c r="Q47" s="215"/>
      <c r="R47" s="194"/>
    </row>
    <row r="48" spans="1:18" outlineLevel="1" x14ac:dyDescent="0.2">
      <c r="A48" s="20">
        <f t="shared" ref="A48:B63" si="12">A5</f>
        <v>3656</v>
      </c>
      <c r="B48" s="19" t="str">
        <f t="shared" si="12"/>
        <v>UTA</v>
      </c>
      <c r="C48" s="58">
        <f t="shared" ref="C48:C85" si="13">SUM(D48:O48)</f>
        <v>7210.2129120853733</v>
      </c>
      <c r="D48" s="15">
        <f t="shared" ref="D48:O48" si="14">D90*D140</f>
        <v>1254.5</v>
      </c>
      <c r="E48" s="14">
        <f t="shared" si="14"/>
        <v>390.14950000000005</v>
      </c>
      <c r="F48" s="14">
        <f t="shared" si="14"/>
        <v>222.02841208536211</v>
      </c>
      <c r="G48" s="13">
        <f t="shared" si="14"/>
        <v>2604.6383333333447</v>
      </c>
      <c r="H48" s="36">
        <f t="shared" si="14"/>
        <v>1259.5000000000002</v>
      </c>
      <c r="I48" s="36">
        <f t="shared" si="14"/>
        <v>281.33333333333331</v>
      </c>
      <c r="J48" s="36">
        <f t="shared" si="14"/>
        <v>382.83333333333331</v>
      </c>
      <c r="K48" s="35">
        <f t="shared" si="14"/>
        <v>8.75</v>
      </c>
      <c r="L48" s="34">
        <f t="shared" si="14"/>
        <v>124.64000000000001</v>
      </c>
      <c r="M48" s="36">
        <f t="shared" si="14"/>
        <v>273.45333333333332</v>
      </c>
      <c r="N48" s="59">
        <f t="shared" si="14"/>
        <v>230.01999999999998</v>
      </c>
      <c r="O48" s="35">
        <f t="shared" si="14"/>
        <v>178.36666666666667</v>
      </c>
      <c r="P48" s="99">
        <v>1</v>
      </c>
      <c r="Q48" s="100">
        <v>90197.027768754284</v>
      </c>
      <c r="R48" s="58">
        <f>Q48*C48</f>
        <v>650339774.24999511</v>
      </c>
    </row>
    <row r="49" spans="1:18" outlineLevel="1" x14ac:dyDescent="0.2">
      <c r="A49" s="20">
        <f t="shared" si="12"/>
        <v>3658</v>
      </c>
      <c r="B49" s="19" t="str">
        <f t="shared" si="12"/>
        <v>UT</v>
      </c>
      <c r="C49" s="58">
        <f t="shared" si="13"/>
        <v>12213.092820611324</v>
      </c>
      <c r="D49" s="15">
        <f t="shared" ref="D49:O49" si="15">D91*D141</f>
        <v>1341.95</v>
      </c>
      <c r="E49" s="14">
        <f t="shared" si="15"/>
        <v>1483.3020666666671</v>
      </c>
      <c r="F49" s="14">
        <f t="shared" si="15"/>
        <v>264.97692061124678</v>
      </c>
      <c r="G49" s="13">
        <f t="shared" si="15"/>
        <v>2909.7525000000778</v>
      </c>
      <c r="H49" s="15">
        <f t="shared" si="15"/>
        <v>1502.8333333333333</v>
      </c>
      <c r="I49" s="15">
        <f t="shared" si="15"/>
        <v>2707.3333333333339</v>
      </c>
      <c r="J49" s="15">
        <f t="shared" si="15"/>
        <v>281.45</v>
      </c>
      <c r="K49" s="13">
        <f t="shared" si="15"/>
        <v>9.9</v>
      </c>
      <c r="L49" s="16">
        <f t="shared" si="15"/>
        <v>83.287999999999997</v>
      </c>
      <c r="M49" s="15">
        <f t="shared" si="15"/>
        <v>383.93333333333339</v>
      </c>
      <c r="N49" s="14">
        <f t="shared" si="15"/>
        <v>540.33999999999992</v>
      </c>
      <c r="O49" s="13">
        <f t="shared" si="15"/>
        <v>704.0333333333333</v>
      </c>
      <c r="P49" s="87">
        <v>1</v>
      </c>
      <c r="Q49" s="13">
        <v>90197.027768754284</v>
      </c>
      <c r="R49" s="58">
        <f t="shared" ref="R49:R85" si="16">Q49*C49</f>
        <v>1101584672.2830532</v>
      </c>
    </row>
    <row r="50" spans="1:18" outlineLevel="1" x14ac:dyDescent="0.2">
      <c r="A50" s="20">
        <f t="shared" si="12"/>
        <v>9741</v>
      </c>
      <c r="B50" s="19" t="str">
        <f t="shared" si="12"/>
        <v>UTD</v>
      </c>
      <c r="C50" s="58">
        <f t="shared" si="13"/>
        <v>4224.4458872081468</v>
      </c>
      <c r="D50" s="15">
        <f t="shared" ref="D50:O50" si="17">D92*D142</f>
        <v>598.25</v>
      </c>
      <c r="E50" s="14">
        <f t="shared" si="17"/>
        <v>252.34184999999999</v>
      </c>
      <c r="F50" s="14">
        <f t="shared" si="17"/>
        <v>201.223203874787</v>
      </c>
      <c r="G50" s="13">
        <f t="shared" si="17"/>
        <v>1275.3008333333598</v>
      </c>
      <c r="H50" s="15">
        <f t="shared" si="17"/>
        <v>1003</v>
      </c>
      <c r="I50" s="15">
        <f t="shared" si="17"/>
        <v>365.33333333333331</v>
      </c>
      <c r="J50" s="15">
        <f t="shared" si="17"/>
        <v>105.41666666666667</v>
      </c>
      <c r="K50" s="13">
        <f t="shared" si="17"/>
        <v>8</v>
      </c>
      <c r="L50" s="16">
        <f t="shared" si="17"/>
        <v>52.786666666666669</v>
      </c>
      <c r="M50" s="15">
        <f t="shared" si="17"/>
        <v>132.6</v>
      </c>
      <c r="N50" s="14">
        <f t="shared" si="17"/>
        <v>128.06</v>
      </c>
      <c r="O50" s="13">
        <f t="shared" si="17"/>
        <v>102.13333333333334</v>
      </c>
      <c r="P50" s="87">
        <v>1</v>
      </c>
      <c r="Q50" s="13">
        <v>90197.027768754284</v>
      </c>
      <c r="R50" s="58">
        <f t="shared" si="16"/>
        <v>381032462.99611306</v>
      </c>
    </row>
    <row r="51" spans="1:18" outlineLevel="1" x14ac:dyDescent="0.2">
      <c r="A51" s="20">
        <f t="shared" si="12"/>
        <v>3661</v>
      </c>
      <c r="B51" s="19" t="str">
        <f t="shared" si="12"/>
        <v>UTEP</v>
      </c>
      <c r="C51" s="58">
        <f t="shared" si="13"/>
        <v>4201.7120423535453</v>
      </c>
      <c r="D51" s="15">
        <f t="shared" ref="D51:O51" si="18">D93*D143</f>
        <v>764.25</v>
      </c>
      <c r="E51" s="14">
        <f t="shared" si="18"/>
        <v>178.83449999999996</v>
      </c>
      <c r="F51" s="14">
        <f t="shared" si="18"/>
        <v>171.53170902017507</v>
      </c>
      <c r="G51" s="13">
        <f t="shared" si="18"/>
        <v>1574.5191666667033</v>
      </c>
      <c r="H51" s="15">
        <f t="shared" si="18"/>
        <v>515.5</v>
      </c>
      <c r="I51" s="15">
        <f t="shared" si="18"/>
        <v>140.66666666666666</v>
      </c>
      <c r="J51" s="15">
        <f t="shared" si="18"/>
        <v>163.75</v>
      </c>
      <c r="K51" s="13">
        <f t="shared" si="18"/>
        <v>22.5</v>
      </c>
      <c r="L51" s="16">
        <f t="shared" si="18"/>
        <v>98.573333333333352</v>
      </c>
      <c r="M51" s="15">
        <f t="shared" si="18"/>
        <v>174.50666666666669</v>
      </c>
      <c r="N51" s="14">
        <f t="shared" si="18"/>
        <v>201.48</v>
      </c>
      <c r="O51" s="13">
        <f t="shared" si="18"/>
        <v>195.60000000000002</v>
      </c>
      <c r="P51" s="87">
        <v>2</v>
      </c>
      <c r="Q51" s="13">
        <v>69184.923785166247</v>
      </c>
      <c r="R51" s="58">
        <f t="shared" si="16"/>
        <v>290695127.41744524</v>
      </c>
    </row>
    <row r="52" spans="1:18" outlineLevel="1" x14ac:dyDescent="0.2">
      <c r="A52" s="20">
        <f t="shared" si="12"/>
        <v>3599</v>
      </c>
      <c r="B52" s="19" t="str">
        <f t="shared" si="12"/>
        <v>UTPA</v>
      </c>
      <c r="C52" s="58">
        <f t="shared" si="13"/>
        <v>3580.7787858308507</v>
      </c>
      <c r="D52" s="15">
        <f t="shared" ref="D52:O52" si="19">D94*D144</f>
        <v>645</v>
      </c>
      <c r="E52" s="14">
        <f t="shared" si="19"/>
        <v>111.19800000000001</v>
      </c>
      <c r="F52" s="14">
        <f t="shared" si="19"/>
        <v>102.46245249748918</v>
      </c>
      <c r="G52" s="13">
        <f t="shared" si="19"/>
        <v>1283.5416666666949</v>
      </c>
      <c r="H52" s="15">
        <f t="shared" si="19"/>
        <v>357.66666666666669</v>
      </c>
      <c r="I52" s="15">
        <f t="shared" si="19"/>
        <v>24.666666666666671</v>
      </c>
      <c r="J52" s="15">
        <f t="shared" si="19"/>
        <v>130.08333333333334</v>
      </c>
      <c r="K52" s="13">
        <f t="shared" si="19"/>
        <v>7</v>
      </c>
      <c r="L52" s="16">
        <f t="shared" si="19"/>
        <v>93.53333333333336</v>
      </c>
      <c r="M52" s="15">
        <f t="shared" si="19"/>
        <v>244.52</v>
      </c>
      <c r="N52" s="14">
        <f t="shared" si="19"/>
        <v>309.60000000000002</v>
      </c>
      <c r="O52" s="13">
        <f t="shared" si="19"/>
        <v>271.50666666666666</v>
      </c>
      <c r="P52" s="87">
        <v>3</v>
      </c>
      <c r="Q52" s="13">
        <v>64130.952037511772</v>
      </c>
      <c r="R52" s="58">
        <f t="shared" si="16"/>
        <v>229638752.57105792</v>
      </c>
    </row>
    <row r="53" spans="1:18" outlineLevel="1" x14ac:dyDescent="0.2">
      <c r="A53" s="20">
        <f t="shared" si="12"/>
        <v>30646</v>
      </c>
      <c r="B53" s="19" t="str">
        <f t="shared" si="12"/>
        <v>UTB</v>
      </c>
      <c r="C53" s="58">
        <f t="shared" si="13"/>
        <v>1435.8938298505459</v>
      </c>
      <c r="D53" s="15">
        <f t="shared" ref="D53:O53" si="20">D95*D145</f>
        <v>273</v>
      </c>
      <c r="E53" s="14">
        <f t="shared" si="20"/>
        <v>62.81709245130201</v>
      </c>
      <c r="F53" s="14">
        <f t="shared" si="20"/>
        <v>172.30618184368313</v>
      </c>
      <c r="G53" s="13">
        <f t="shared" si="20"/>
        <v>524.44833333333884</v>
      </c>
      <c r="H53" s="15">
        <f t="shared" si="20"/>
        <v>142.22222222222226</v>
      </c>
      <c r="I53" s="15">
        <f t="shared" si="20"/>
        <v>0</v>
      </c>
      <c r="J53" s="15">
        <f t="shared" si="20"/>
        <v>31.083333333333332</v>
      </c>
      <c r="K53" s="13">
        <f t="shared" si="20"/>
        <v>4.583333333333333</v>
      </c>
      <c r="L53" s="16">
        <f t="shared" si="20"/>
        <v>37.466666666666669</v>
      </c>
      <c r="M53" s="15">
        <f t="shared" si="20"/>
        <v>106.10666666666667</v>
      </c>
      <c r="N53" s="14">
        <f t="shared" si="20"/>
        <v>66.760000000000005</v>
      </c>
      <c r="O53" s="13">
        <f t="shared" si="20"/>
        <v>15.1</v>
      </c>
      <c r="P53" s="87">
        <v>3</v>
      </c>
      <c r="Q53" s="13">
        <v>64130.952037511772</v>
      </c>
      <c r="R53" s="58">
        <f t="shared" si="16"/>
        <v>92085238.333104447</v>
      </c>
    </row>
    <row r="54" spans="1:18" outlineLevel="1" x14ac:dyDescent="0.2">
      <c r="A54" s="20">
        <f t="shared" si="12"/>
        <v>9930</v>
      </c>
      <c r="B54" s="19" t="str">
        <f t="shared" si="12"/>
        <v>UTPB</v>
      </c>
      <c r="C54" s="58">
        <f t="shared" si="13"/>
        <v>807.70392877178665</v>
      </c>
      <c r="D54" s="15">
        <f t="shared" ref="D54:O54" si="21">D96*D146</f>
        <v>133.33333333333334</v>
      </c>
      <c r="E54" s="14">
        <f t="shared" si="21"/>
        <v>23.680000000000003</v>
      </c>
      <c r="F54" s="14">
        <f t="shared" si="21"/>
        <v>115.62587321623005</v>
      </c>
      <c r="G54" s="13">
        <f t="shared" si="21"/>
        <v>250.3791666666676</v>
      </c>
      <c r="H54" s="15">
        <f t="shared" si="21"/>
        <v>104.8888888888889</v>
      </c>
      <c r="I54" s="15">
        <f t="shared" si="21"/>
        <v>0</v>
      </c>
      <c r="J54" s="15">
        <f t="shared" si="21"/>
        <v>10.333333333333334</v>
      </c>
      <c r="K54" s="13">
        <f t="shared" si="21"/>
        <v>2.5</v>
      </c>
      <c r="L54" s="16">
        <f t="shared" si="21"/>
        <v>15.960000000000003</v>
      </c>
      <c r="M54" s="15">
        <f t="shared" si="21"/>
        <v>62.853333333333332</v>
      </c>
      <c r="N54" s="14">
        <f t="shared" si="21"/>
        <v>59</v>
      </c>
      <c r="O54" s="13">
        <f t="shared" si="21"/>
        <v>29.15</v>
      </c>
      <c r="P54" s="87">
        <v>3</v>
      </c>
      <c r="Q54" s="13">
        <v>64130.952037511772</v>
      </c>
      <c r="R54" s="58">
        <f t="shared" si="16"/>
        <v>51798821.916573271</v>
      </c>
    </row>
    <row r="55" spans="1:18" outlineLevel="1" x14ac:dyDescent="0.2">
      <c r="A55" s="20">
        <f t="shared" si="12"/>
        <v>10115</v>
      </c>
      <c r="B55" s="19" t="str">
        <f t="shared" si="12"/>
        <v>UTSA</v>
      </c>
      <c r="C55" s="58">
        <f t="shared" si="13"/>
        <v>5235.183339093569</v>
      </c>
      <c r="D55" s="15">
        <f t="shared" ref="D55:O55" si="22">D97*D147</f>
        <v>1029.9166666666667</v>
      </c>
      <c r="E55" s="14">
        <f t="shared" si="22"/>
        <v>260.56891666666667</v>
      </c>
      <c r="F55" s="14">
        <f t="shared" si="22"/>
        <v>151.80775576026301</v>
      </c>
      <c r="G55" s="13">
        <f t="shared" si="22"/>
        <v>2103.553333333306</v>
      </c>
      <c r="H55" s="15">
        <f t="shared" si="22"/>
        <v>514.5</v>
      </c>
      <c r="I55" s="15">
        <f t="shared" si="22"/>
        <v>138</v>
      </c>
      <c r="J55" s="15">
        <f t="shared" si="22"/>
        <v>98</v>
      </c>
      <c r="K55" s="13">
        <f t="shared" si="22"/>
        <v>12.416666666666666</v>
      </c>
      <c r="L55" s="16">
        <f t="shared" si="22"/>
        <v>124.94666666666667</v>
      </c>
      <c r="M55" s="15">
        <f t="shared" si="22"/>
        <v>272.38666666666666</v>
      </c>
      <c r="N55" s="14">
        <f t="shared" si="22"/>
        <v>267.52</v>
      </c>
      <c r="O55" s="13">
        <f t="shared" si="22"/>
        <v>261.56666666666666</v>
      </c>
      <c r="P55" s="87">
        <v>2</v>
      </c>
      <c r="Q55" s="13">
        <v>69184.923785166247</v>
      </c>
      <c r="R55" s="58">
        <f t="shared" si="16"/>
        <v>362195760.31656075</v>
      </c>
    </row>
    <row r="56" spans="1:18" outlineLevel="1" x14ac:dyDescent="0.2">
      <c r="A56" s="20">
        <f t="shared" si="12"/>
        <v>11163</v>
      </c>
      <c r="B56" s="19" t="str">
        <f t="shared" si="12"/>
        <v>UTT</v>
      </c>
      <c r="C56" s="58">
        <f t="shared" si="13"/>
        <v>1774.9747025857621</v>
      </c>
      <c r="D56" s="15">
        <f t="shared" ref="D56:O56" si="23">D98*D148</f>
        <v>297.5</v>
      </c>
      <c r="E56" s="14">
        <f t="shared" si="23"/>
        <v>61.364333333333349</v>
      </c>
      <c r="F56" s="14">
        <f t="shared" si="23"/>
        <v>146.27870258575948</v>
      </c>
      <c r="G56" s="13">
        <f t="shared" si="23"/>
        <v>590.66500000000258</v>
      </c>
      <c r="H56" s="15">
        <f t="shared" si="23"/>
        <v>264</v>
      </c>
      <c r="I56" s="15">
        <f t="shared" si="23"/>
        <v>0</v>
      </c>
      <c r="J56" s="15">
        <f t="shared" si="23"/>
        <v>94.166666666666671</v>
      </c>
      <c r="K56" s="13">
        <f t="shared" si="23"/>
        <v>3.5</v>
      </c>
      <c r="L56" s="16">
        <f t="shared" si="23"/>
        <v>37.693333333333342</v>
      </c>
      <c r="M56" s="15">
        <f t="shared" si="23"/>
        <v>114.90666666666667</v>
      </c>
      <c r="N56" s="14">
        <f t="shared" si="23"/>
        <v>106.8</v>
      </c>
      <c r="O56" s="13">
        <f t="shared" si="23"/>
        <v>58.099999999999994</v>
      </c>
      <c r="P56" s="87">
        <v>3</v>
      </c>
      <c r="Q56" s="13">
        <v>64130.952037511772</v>
      </c>
      <c r="R56" s="58">
        <f t="shared" si="16"/>
        <v>113830817.51932423</v>
      </c>
    </row>
    <row r="57" spans="1:18" outlineLevel="1" x14ac:dyDescent="0.2">
      <c r="A57" s="20">
        <f t="shared" si="12"/>
        <v>3632</v>
      </c>
      <c r="B57" s="19" t="str">
        <f t="shared" si="12"/>
        <v>TAMU</v>
      </c>
      <c r="C57" s="58">
        <f t="shared" si="13"/>
        <v>10611.713321264002</v>
      </c>
      <c r="D57" s="15">
        <f t="shared" ref="D57:O57" si="24">D99*D149</f>
        <v>1310.9499999999998</v>
      </c>
      <c r="E57" s="14">
        <f t="shared" si="24"/>
        <v>1469.4292888888885</v>
      </c>
      <c r="F57" s="14">
        <f t="shared" si="24"/>
        <v>252.41886570842681</v>
      </c>
      <c r="G57" s="13">
        <f t="shared" si="24"/>
        <v>3015.7225000000199</v>
      </c>
      <c r="H57" s="15">
        <f t="shared" si="24"/>
        <v>1064.5</v>
      </c>
      <c r="I57" s="15">
        <f t="shared" si="24"/>
        <v>1499.3333333333333</v>
      </c>
      <c r="J57" s="15">
        <f t="shared" si="24"/>
        <v>264.45</v>
      </c>
      <c r="K57" s="13">
        <f t="shared" si="24"/>
        <v>18.899999999999999</v>
      </c>
      <c r="L57" s="16">
        <f t="shared" si="24"/>
        <v>89.376000000000005</v>
      </c>
      <c r="M57" s="15">
        <f t="shared" si="24"/>
        <v>402.42666666666668</v>
      </c>
      <c r="N57" s="14">
        <f t="shared" si="24"/>
        <v>534.44000000000005</v>
      </c>
      <c r="O57" s="13">
        <f t="shared" si="24"/>
        <v>689.76666666666677</v>
      </c>
      <c r="P57" s="87">
        <v>1</v>
      </c>
      <c r="Q57" s="13">
        <v>90197.027768754284</v>
      </c>
      <c r="R57" s="58">
        <f t="shared" si="16"/>
        <v>957145001.11210895</v>
      </c>
    </row>
    <row r="58" spans="1:18" outlineLevel="1" x14ac:dyDescent="0.2">
      <c r="A58" s="20">
        <f t="shared" si="12"/>
        <v>10298</v>
      </c>
      <c r="B58" s="19" t="str">
        <f t="shared" si="12"/>
        <v>TAMUG</v>
      </c>
      <c r="C58" s="58">
        <f t="shared" si="13"/>
        <v>1101.4704378653103</v>
      </c>
      <c r="D58" s="15">
        <f t="shared" ref="D58:O58" si="25">D100*D150</f>
        <v>154.875</v>
      </c>
      <c r="E58" s="14">
        <f t="shared" si="25"/>
        <v>38.863300000000002</v>
      </c>
      <c r="F58" s="14">
        <f t="shared" si="25"/>
        <v>184.49213786531135</v>
      </c>
      <c r="G58" s="13">
        <f t="shared" si="25"/>
        <v>396.01499999999879</v>
      </c>
      <c r="H58" s="15">
        <f t="shared" si="25"/>
        <v>16.500000000000004</v>
      </c>
      <c r="I58" s="15">
        <f t="shared" si="25"/>
        <v>0</v>
      </c>
      <c r="J58" s="15">
        <f t="shared" si="25"/>
        <v>21</v>
      </c>
      <c r="K58" s="13">
        <f t="shared" si="25"/>
        <v>0</v>
      </c>
      <c r="L58" s="16">
        <f t="shared" si="25"/>
        <v>14.220000000000004</v>
      </c>
      <c r="M58" s="15">
        <f t="shared" si="25"/>
        <v>106.61999999999999</v>
      </c>
      <c r="N58" s="14">
        <f t="shared" si="25"/>
        <v>85.86</v>
      </c>
      <c r="O58" s="13">
        <f t="shared" si="25"/>
        <v>83.024999999999991</v>
      </c>
      <c r="P58" s="87">
        <v>6</v>
      </c>
      <c r="Q58" s="13">
        <v>62223.550136993705</v>
      </c>
      <c r="R58" s="58">
        <f t="shared" si="16"/>
        <v>68537401.014928535</v>
      </c>
    </row>
    <row r="59" spans="1:18" outlineLevel="1" x14ac:dyDescent="0.2">
      <c r="A59" s="20">
        <f t="shared" si="12"/>
        <v>3630</v>
      </c>
      <c r="B59" s="19" t="str">
        <f t="shared" si="12"/>
        <v>Prairie View</v>
      </c>
      <c r="C59" s="58">
        <f t="shared" si="13"/>
        <v>1659.1271623487089</v>
      </c>
      <c r="D59" s="15">
        <f t="shared" ref="D59:O59" si="26">D101*D151</f>
        <v>234.08333333333334</v>
      </c>
      <c r="E59" s="14">
        <f t="shared" si="26"/>
        <v>34.800388888888889</v>
      </c>
      <c r="F59" s="14">
        <f t="shared" si="26"/>
        <v>79.118440126484359</v>
      </c>
      <c r="G59" s="13">
        <f t="shared" si="26"/>
        <v>518.2250000000023</v>
      </c>
      <c r="H59" s="15">
        <f t="shared" si="26"/>
        <v>255.16666666666666</v>
      </c>
      <c r="I59" s="15">
        <f t="shared" si="26"/>
        <v>13.333333333333336</v>
      </c>
      <c r="J59" s="15">
        <f t="shared" si="26"/>
        <v>78.916666666666671</v>
      </c>
      <c r="K59" s="13">
        <f t="shared" si="26"/>
        <v>2.4166666666666665</v>
      </c>
      <c r="L59" s="16">
        <f t="shared" si="26"/>
        <v>32.106666666666669</v>
      </c>
      <c r="M59" s="15">
        <f t="shared" si="26"/>
        <v>133.44</v>
      </c>
      <c r="N59" s="14">
        <f t="shared" si="26"/>
        <v>141.72</v>
      </c>
      <c r="O59" s="13">
        <f t="shared" si="26"/>
        <v>135.80000000000001</v>
      </c>
      <c r="P59" s="87">
        <v>3</v>
      </c>
      <c r="Q59" s="13">
        <v>64130.952037511772</v>
      </c>
      <c r="R59" s="58">
        <f t="shared" si="16"/>
        <v>106401404.47271806</v>
      </c>
    </row>
    <row r="60" spans="1:18" outlineLevel="1" x14ac:dyDescent="0.2">
      <c r="A60" s="20">
        <f t="shared" si="12"/>
        <v>3631</v>
      </c>
      <c r="B60" s="19" t="str">
        <f t="shared" si="12"/>
        <v>Tarleton</v>
      </c>
      <c r="C60" s="58">
        <f t="shared" si="13"/>
        <v>2123.2882720949688</v>
      </c>
      <c r="D60" s="15">
        <f t="shared" ref="D60:O60" si="27">D102*D152</f>
        <v>386.33333333333331</v>
      </c>
      <c r="E60" s="14">
        <f t="shared" si="27"/>
        <v>73.866933333333336</v>
      </c>
      <c r="F60" s="14">
        <f t="shared" si="27"/>
        <v>122.7988387616283</v>
      </c>
      <c r="G60" s="13">
        <f t="shared" si="27"/>
        <v>780.63583333333997</v>
      </c>
      <c r="H60" s="15">
        <f t="shared" si="27"/>
        <v>178.33333333333334</v>
      </c>
      <c r="I60" s="15">
        <f t="shared" si="27"/>
        <v>9.6666666666666661</v>
      </c>
      <c r="J60" s="15">
        <f t="shared" si="27"/>
        <v>50.75</v>
      </c>
      <c r="K60" s="13">
        <f t="shared" si="27"/>
        <v>11.916666666666666</v>
      </c>
      <c r="L60" s="16">
        <f t="shared" si="27"/>
        <v>47.800000000000004</v>
      </c>
      <c r="M60" s="15">
        <f t="shared" si="27"/>
        <v>172.34666666666669</v>
      </c>
      <c r="N60" s="14">
        <f t="shared" si="27"/>
        <v>159.44</v>
      </c>
      <c r="O60" s="13">
        <f t="shared" si="27"/>
        <v>129.39999999999998</v>
      </c>
      <c r="P60" s="87">
        <v>3</v>
      </c>
      <c r="Q60" s="13">
        <v>64130.952037511772</v>
      </c>
      <c r="R60" s="58">
        <f t="shared" si="16"/>
        <v>136168498.33953369</v>
      </c>
    </row>
    <row r="61" spans="1:18" outlineLevel="1" x14ac:dyDescent="0.2">
      <c r="A61" s="27">
        <f t="shared" si="12"/>
        <v>103631</v>
      </c>
      <c r="B61" s="19" t="str">
        <f t="shared" si="12"/>
        <v>TAMUCT</v>
      </c>
      <c r="C61" s="58">
        <f t="shared" si="13"/>
        <v>916.55956983225849</v>
      </c>
      <c r="D61" s="15">
        <f t="shared" ref="D61:O61" si="28">D103*D153</f>
        <v>115.08333333333333</v>
      </c>
      <c r="E61" s="14">
        <f t="shared" si="28"/>
        <v>22.003933333333336</v>
      </c>
      <c r="F61" s="14">
        <f t="shared" si="28"/>
        <v>337.93924761003626</v>
      </c>
      <c r="G61" s="13">
        <f t="shared" si="28"/>
        <v>213.40416666666647</v>
      </c>
      <c r="H61" s="15">
        <f t="shared" si="28"/>
        <v>144.22222222222226</v>
      </c>
      <c r="I61" s="15">
        <f t="shared" si="28"/>
        <v>0</v>
      </c>
      <c r="J61" s="15">
        <f t="shared" si="28"/>
        <v>10.166666666666666</v>
      </c>
      <c r="K61" s="13">
        <f t="shared" si="28"/>
        <v>0</v>
      </c>
      <c r="L61" s="16">
        <f t="shared" si="28"/>
        <v>13.080000000000002</v>
      </c>
      <c r="M61" s="15">
        <f t="shared" si="28"/>
        <v>39.6</v>
      </c>
      <c r="N61" s="14">
        <f t="shared" si="28"/>
        <v>15.959999999999999</v>
      </c>
      <c r="O61" s="13">
        <f t="shared" si="28"/>
        <v>5.0999999999999996</v>
      </c>
      <c r="P61" s="87">
        <v>4</v>
      </c>
      <c r="Q61" s="13">
        <v>72600.916032124354</v>
      </c>
      <c r="R61" s="58">
        <f t="shared" si="16"/>
        <v>66543064.367831819</v>
      </c>
    </row>
    <row r="62" spans="1:18" outlineLevel="1" x14ac:dyDescent="0.2">
      <c r="A62" s="20">
        <f t="shared" si="12"/>
        <v>11161</v>
      </c>
      <c r="B62" s="19" t="str">
        <f t="shared" si="12"/>
        <v>TAMUCC</v>
      </c>
      <c r="C62" s="58">
        <f t="shared" si="13"/>
        <v>2038.7499036474408</v>
      </c>
      <c r="D62" s="15">
        <f t="shared" ref="D62:O62" si="29">D104*D154</f>
        <v>347.08333333333331</v>
      </c>
      <c r="E62" s="14">
        <f t="shared" si="29"/>
        <v>70.527333333333331</v>
      </c>
      <c r="F62" s="14">
        <f t="shared" si="29"/>
        <v>106.88257031410387</v>
      </c>
      <c r="G62" s="13">
        <f t="shared" si="29"/>
        <v>701.05000000000348</v>
      </c>
      <c r="H62" s="15">
        <f t="shared" si="29"/>
        <v>250.66666666666666</v>
      </c>
      <c r="I62" s="15">
        <f t="shared" si="29"/>
        <v>53.333333333333343</v>
      </c>
      <c r="J62" s="15">
        <f t="shared" si="29"/>
        <v>66.583333333333329</v>
      </c>
      <c r="K62" s="13">
        <f t="shared" si="29"/>
        <v>6.416666666666667</v>
      </c>
      <c r="L62" s="16">
        <f t="shared" si="29"/>
        <v>43.2</v>
      </c>
      <c r="M62" s="15">
        <f t="shared" si="29"/>
        <v>123.24</v>
      </c>
      <c r="N62" s="14">
        <f t="shared" si="29"/>
        <v>146.80000000000001</v>
      </c>
      <c r="O62" s="13">
        <f t="shared" si="29"/>
        <v>122.96666666666668</v>
      </c>
      <c r="P62" s="87">
        <v>3</v>
      </c>
      <c r="Q62" s="13">
        <v>64130.952037511772</v>
      </c>
      <c r="R62" s="58">
        <f t="shared" si="16"/>
        <v>130746972.28729577</v>
      </c>
    </row>
    <row r="63" spans="1:18" outlineLevel="1" x14ac:dyDescent="0.2">
      <c r="A63" s="20">
        <f t="shared" si="12"/>
        <v>3639</v>
      </c>
      <c r="B63" s="19" t="str">
        <f t="shared" si="12"/>
        <v>TAMUK</v>
      </c>
      <c r="C63" s="58">
        <f t="shared" si="13"/>
        <v>1334.9085516431944</v>
      </c>
      <c r="D63" s="15">
        <f t="shared" ref="D63:O63" si="30">D105*D155</f>
        <v>190.41666666666666</v>
      </c>
      <c r="E63" s="14">
        <f t="shared" si="30"/>
        <v>30.644388888888894</v>
      </c>
      <c r="F63" s="14">
        <f t="shared" si="30"/>
        <v>89.397496087636938</v>
      </c>
      <c r="G63" s="13">
        <f t="shared" si="30"/>
        <v>440.86333333333488</v>
      </c>
      <c r="H63" s="15">
        <f t="shared" si="30"/>
        <v>204.66666666666666</v>
      </c>
      <c r="I63" s="15">
        <f t="shared" si="30"/>
        <v>46</v>
      </c>
      <c r="J63" s="15">
        <f t="shared" si="30"/>
        <v>65</v>
      </c>
      <c r="K63" s="13">
        <f t="shared" si="30"/>
        <v>4.166666666666667</v>
      </c>
      <c r="L63" s="16">
        <f t="shared" si="30"/>
        <v>25.933333333333337</v>
      </c>
      <c r="M63" s="15">
        <f t="shared" si="30"/>
        <v>73.639999999999986</v>
      </c>
      <c r="N63" s="14">
        <f t="shared" si="30"/>
        <v>85.966666666666669</v>
      </c>
      <c r="O63" s="13">
        <f t="shared" si="30"/>
        <v>78.213333333333338</v>
      </c>
      <c r="P63" s="87">
        <v>3</v>
      </c>
      <c r="Q63" s="13">
        <v>64130.952037511772</v>
      </c>
      <c r="R63" s="58">
        <f t="shared" si="16"/>
        <v>85608956.299894005</v>
      </c>
    </row>
    <row r="64" spans="1:18" outlineLevel="1" x14ac:dyDescent="0.2">
      <c r="A64" s="27">
        <f t="shared" ref="A64:B79" si="31">A21</f>
        <v>103639</v>
      </c>
      <c r="B64" s="19" t="str">
        <f t="shared" si="31"/>
        <v>TAMUSA</v>
      </c>
      <c r="C64" s="58">
        <f t="shared" si="13"/>
        <v>848.91741242685566</v>
      </c>
      <c r="D64" s="15">
        <f t="shared" ref="D64:O64" si="32">D106*D156</f>
        <v>146.91666666666666</v>
      </c>
      <c r="E64" s="14">
        <f t="shared" si="32"/>
        <v>23.643788888888892</v>
      </c>
      <c r="F64" s="14">
        <f t="shared" si="32"/>
        <v>207.9925124268546</v>
      </c>
      <c r="G64" s="13">
        <f t="shared" si="32"/>
        <v>256.50333333333447</v>
      </c>
      <c r="H64" s="15">
        <f t="shared" si="32"/>
        <v>124.44444444444444</v>
      </c>
      <c r="I64" s="15">
        <f t="shared" si="32"/>
        <v>0</v>
      </c>
      <c r="J64" s="15">
        <f t="shared" si="32"/>
        <v>1.25</v>
      </c>
      <c r="K64" s="13">
        <f t="shared" si="32"/>
        <v>0.5</v>
      </c>
      <c r="L64" s="16">
        <f t="shared" si="32"/>
        <v>19.613333333333333</v>
      </c>
      <c r="M64" s="15">
        <f t="shared" si="32"/>
        <v>58.373333333333335</v>
      </c>
      <c r="N64" s="14">
        <f t="shared" si="32"/>
        <v>9.2799999999999994</v>
      </c>
      <c r="O64" s="13">
        <f t="shared" si="32"/>
        <v>0.39999999999999997</v>
      </c>
      <c r="P64" s="87">
        <v>5</v>
      </c>
      <c r="Q64" s="13">
        <v>64633.042238187707</v>
      </c>
      <c r="R64" s="58">
        <f t="shared" si="16"/>
        <v>54868114.974117979</v>
      </c>
    </row>
    <row r="65" spans="1:18" outlineLevel="1" x14ac:dyDescent="0.2">
      <c r="A65" s="20">
        <f t="shared" si="31"/>
        <v>9651</v>
      </c>
      <c r="B65" s="19" t="str">
        <f t="shared" si="31"/>
        <v>TAMI</v>
      </c>
      <c r="C65" s="58">
        <f t="shared" si="13"/>
        <v>1203.8524939631272</v>
      </c>
      <c r="D65" s="15">
        <f t="shared" ref="D65:O65" si="33">D107*D157</f>
        <v>197.41666666666666</v>
      </c>
      <c r="E65" s="14">
        <f t="shared" si="33"/>
        <v>37.377555555555553</v>
      </c>
      <c r="F65" s="14">
        <f t="shared" si="33"/>
        <v>96.63077174090391</v>
      </c>
      <c r="G65" s="13">
        <f t="shared" si="33"/>
        <v>364.62416666666792</v>
      </c>
      <c r="H65" s="15">
        <f t="shared" si="33"/>
        <v>135</v>
      </c>
      <c r="I65" s="15">
        <f t="shared" si="33"/>
        <v>4.333333333333333</v>
      </c>
      <c r="J65" s="15">
        <f t="shared" si="33"/>
        <v>28.916666666666668</v>
      </c>
      <c r="K65" s="13">
        <f t="shared" si="33"/>
        <v>5.583333333333333</v>
      </c>
      <c r="L65" s="16">
        <f t="shared" si="33"/>
        <v>28.506666666666668</v>
      </c>
      <c r="M65" s="15">
        <f t="shared" si="33"/>
        <v>112.53333333333335</v>
      </c>
      <c r="N65" s="14">
        <f t="shared" si="33"/>
        <v>121.88</v>
      </c>
      <c r="O65" s="13">
        <f t="shared" si="33"/>
        <v>71.05</v>
      </c>
      <c r="P65" s="87">
        <v>3</v>
      </c>
      <c r="Q65" s="13">
        <v>64130.952037511772</v>
      </c>
      <c r="R65" s="58">
        <f t="shared" si="16"/>
        <v>77204206.55058825</v>
      </c>
    </row>
    <row r="66" spans="1:18" outlineLevel="1" x14ac:dyDescent="0.2">
      <c r="A66" s="20">
        <f t="shared" si="31"/>
        <v>3665</v>
      </c>
      <c r="B66" s="19" t="str">
        <f t="shared" si="31"/>
        <v>WTAMU</v>
      </c>
      <c r="C66" s="58">
        <f t="shared" si="13"/>
        <v>1777.226153714613</v>
      </c>
      <c r="D66" s="15">
        <f t="shared" ref="D66:O66" si="34">D108*D158</f>
        <v>313.91666666666669</v>
      </c>
      <c r="E66" s="14">
        <f t="shared" si="34"/>
        <v>59.100044444444443</v>
      </c>
      <c r="F66" s="14">
        <f t="shared" si="34"/>
        <v>115.93860927016436</v>
      </c>
      <c r="G66" s="13">
        <f t="shared" si="34"/>
        <v>625.89416666667091</v>
      </c>
      <c r="H66" s="15">
        <f t="shared" si="34"/>
        <v>173.33333333333334</v>
      </c>
      <c r="I66" s="15">
        <f t="shared" si="34"/>
        <v>2.3333333333333335</v>
      </c>
      <c r="J66" s="15">
        <f t="shared" si="34"/>
        <v>47.916666666666664</v>
      </c>
      <c r="K66" s="13">
        <f t="shared" si="34"/>
        <v>15.166666666666666</v>
      </c>
      <c r="L66" s="16">
        <f t="shared" si="34"/>
        <v>35.573333333333338</v>
      </c>
      <c r="M66" s="15">
        <f t="shared" si="34"/>
        <v>143.33333333333334</v>
      </c>
      <c r="N66" s="14">
        <f t="shared" si="34"/>
        <v>145.52000000000001</v>
      </c>
      <c r="O66" s="13">
        <f t="shared" si="34"/>
        <v>99.2</v>
      </c>
      <c r="P66" s="87">
        <v>3</v>
      </c>
      <c r="Q66" s="13">
        <v>64130.952037511772</v>
      </c>
      <c r="R66" s="58">
        <f t="shared" si="16"/>
        <v>113975205.22368337</v>
      </c>
    </row>
    <row r="67" spans="1:18" outlineLevel="1" x14ac:dyDescent="0.2">
      <c r="A67" s="20">
        <f t="shared" si="31"/>
        <v>3565</v>
      </c>
      <c r="B67" s="19" t="str">
        <f t="shared" si="31"/>
        <v>TAMUC</v>
      </c>
      <c r="C67" s="58">
        <f t="shared" si="13"/>
        <v>2220.3678434801323</v>
      </c>
      <c r="D67" s="15">
        <f t="shared" ref="D67:O67" si="35">D109*D159</f>
        <v>331.08333333333331</v>
      </c>
      <c r="E67" s="14">
        <f t="shared" si="35"/>
        <v>58.270666666666664</v>
      </c>
      <c r="F67" s="14">
        <f t="shared" si="35"/>
        <v>140.97717681345927</v>
      </c>
      <c r="G67" s="13">
        <f t="shared" si="35"/>
        <v>625.45666666667285</v>
      </c>
      <c r="H67" s="15">
        <f t="shared" si="35"/>
        <v>611.66666666666663</v>
      </c>
      <c r="I67" s="15">
        <f t="shared" si="35"/>
        <v>84.666666666666686</v>
      </c>
      <c r="J67" s="15">
        <f t="shared" si="35"/>
        <v>18.25</v>
      </c>
      <c r="K67" s="13">
        <f t="shared" si="35"/>
        <v>18.583333333333332</v>
      </c>
      <c r="L67" s="16">
        <f t="shared" si="35"/>
        <v>40.773333333333341</v>
      </c>
      <c r="M67" s="15">
        <f t="shared" si="35"/>
        <v>113.58</v>
      </c>
      <c r="N67" s="14">
        <f t="shared" si="35"/>
        <v>113.73333333333333</v>
      </c>
      <c r="O67" s="13">
        <f t="shared" si="35"/>
        <v>63.326666666666668</v>
      </c>
      <c r="P67" s="87">
        <v>3</v>
      </c>
      <c r="Q67" s="13">
        <v>64130.952037511772</v>
      </c>
      <c r="R67" s="58">
        <f t="shared" si="16"/>
        <v>142394303.67585781</v>
      </c>
    </row>
    <row r="68" spans="1:18" outlineLevel="1" x14ac:dyDescent="0.2">
      <c r="A68" s="20">
        <f t="shared" si="31"/>
        <v>29269</v>
      </c>
      <c r="B68" s="19" t="str">
        <f t="shared" si="31"/>
        <v>TAMUT</v>
      </c>
      <c r="C68" s="58">
        <f t="shared" si="13"/>
        <v>644.76085751117353</v>
      </c>
      <c r="D68" s="15">
        <f t="shared" ref="D68:O68" si="36">D110*D160</f>
        <v>86.416666666666671</v>
      </c>
      <c r="E68" s="14">
        <f t="shared" si="36"/>
        <v>18.73602625468375</v>
      </c>
      <c r="F68" s="14">
        <f t="shared" si="36"/>
        <v>193.8317757009346</v>
      </c>
      <c r="G68" s="13">
        <f t="shared" si="36"/>
        <v>154.97749999999957</v>
      </c>
      <c r="H68" s="15">
        <f t="shared" si="36"/>
        <v>109.55555555555557</v>
      </c>
      <c r="I68" s="15">
        <f t="shared" si="36"/>
        <v>0</v>
      </c>
      <c r="J68" s="15">
        <f t="shared" si="36"/>
        <v>10.416666666666666</v>
      </c>
      <c r="K68" s="13">
        <f t="shared" si="36"/>
        <v>4.833333333333333</v>
      </c>
      <c r="L68" s="16">
        <f t="shared" si="36"/>
        <v>9.56</v>
      </c>
      <c r="M68" s="15">
        <f t="shared" si="36"/>
        <v>34.613333333333337</v>
      </c>
      <c r="N68" s="14">
        <f t="shared" si="36"/>
        <v>21.72</v>
      </c>
      <c r="O68" s="13">
        <f t="shared" si="36"/>
        <v>9.9999999999999992E-2</v>
      </c>
      <c r="P68" s="87">
        <v>4</v>
      </c>
      <c r="Q68" s="13">
        <v>72600.916032124354</v>
      </c>
      <c r="R68" s="58">
        <f t="shared" si="16"/>
        <v>46810228.876969203</v>
      </c>
    </row>
    <row r="69" spans="1:18" outlineLevel="1" x14ac:dyDescent="0.2">
      <c r="A69" s="20">
        <f t="shared" si="31"/>
        <v>3652</v>
      </c>
      <c r="B69" s="19" t="str">
        <f t="shared" si="31"/>
        <v>UH</v>
      </c>
      <c r="C69" s="58">
        <f t="shared" si="13"/>
        <v>8301.3539392516868</v>
      </c>
      <c r="D69" s="15">
        <f t="shared" ref="D69:O69" si="37">D111*D161</f>
        <v>1274.6666666666667</v>
      </c>
      <c r="E69" s="14">
        <f t="shared" si="37"/>
        <v>410.18773333333337</v>
      </c>
      <c r="F69" s="14">
        <f t="shared" si="37"/>
        <v>160.6878725851997</v>
      </c>
      <c r="G69" s="13">
        <f t="shared" si="37"/>
        <v>2645.061666666486</v>
      </c>
      <c r="H69" s="15">
        <f t="shared" si="37"/>
        <v>947</v>
      </c>
      <c r="I69" s="15">
        <f t="shared" si="37"/>
        <v>1552.666666666667</v>
      </c>
      <c r="J69" s="15">
        <f t="shared" si="37"/>
        <v>184.25</v>
      </c>
      <c r="K69" s="13">
        <f t="shared" si="37"/>
        <v>15.666666666666666</v>
      </c>
      <c r="L69" s="16">
        <f t="shared" si="37"/>
        <v>134.92000000000002</v>
      </c>
      <c r="M69" s="15">
        <f t="shared" si="37"/>
        <v>304.09333333333331</v>
      </c>
      <c r="N69" s="14">
        <f t="shared" si="37"/>
        <v>341.41999999999996</v>
      </c>
      <c r="O69" s="13">
        <f t="shared" si="37"/>
        <v>330.73333333333335</v>
      </c>
      <c r="P69" s="87">
        <v>1</v>
      </c>
      <c r="Q69" s="13">
        <v>90197.027768754284</v>
      </c>
      <c r="R69" s="58">
        <f t="shared" si="16"/>
        <v>748757451.77694213</v>
      </c>
    </row>
    <row r="70" spans="1:18" outlineLevel="1" x14ac:dyDescent="0.2">
      <c r="A70" s="20">
        <f t="shared" si="31"/>
        <v>11711</v>
      </c>
      <c r="B70" s="19" t="str">
        <f t="shared" si="31"/>
        <v>UHCL</v>
      </c>
      <c r="C70" s="58">
        <f t="shared" si="13"/>
        <v>2132.8272345097198</v>
      </c>
      <c r="D70" s="15">
        <f t="shared" ref="D70:O70" si="38">D112*D162</f>
        <v>297.66666666666669</v>
      </c>
      <c r="E70" s="14">
        <f t="shared" si="38"/>
        <v>61.934267935898838</v>
      </c>
      <c r="F70" s="14">
        <f t="shared" si="38"/>
        <v>198.46796657381617</v>
      </c>
      <c r="G70" s="13">
        <f t="shared" si="38"/>
        <v>570.73833333333823</v>
      </c>
      <c r="H70" s="15">
        <f t="shared" si="38"/>
        <v>710</v>
      </c>
      <c r="I70" s="15">
        <f t="shared" si="38"/>
        <v>0</v>
      </c>
      <c r="J70" s="15">
        <f t="shared" si="38"/>
        <v>26.666666666666668</v>
      </c>
      <c r="K70" s="13">
        <f t="shared" si="38"/>
        <v>2.0833333333333335</v>
      </c>
      <c r="L70" s="16">
        <f t="shared" si="38"/>
        <v>30.973333333333336</v>
      </c>
      <c r="M70" s="15">
        <f t="shared" si="38"/>
        <v>111.30666666666666</v>
      </c>
      <c r="N70" s="14">
        <f t="shared" si="38"/>
        <v>114.44</v>
      </c>
      <c r="O70" s="13">
        <f t="shared" si="38"/>
        <v>8.5499999999999989</v>
      </c>
      <c r="P70" s="87">
        <v>3</v>
      </c>
      <c r="Q70" s="13">
        <v>64130.952037511772</v>
      </c>
      <c r="R70" s="58">
        <f t="shared" si="16"/>
        <v>136780241.08064172</v>
      </c>
    </row>
    <row r="71" spans="1:18" outlineLevel="1" x14ac:dyDescent="0.2">
      <c r="A71" s="20">
        <f t="shared" si="31"/>
        <v>12826</v>
      </c>
      <c r="B71" s="19" t="str">
        <f t="shared" si="31"/>
        <v>UHD</v>
      </c>
      <c r="C71" s="58">
        <f t="shared" si="13"/>
        <v>2553.0197704265552</v>
      </c>
      <c r="D71" s="15">
        <f t="shared" ref="D71:O71" si="39">D113*D163</f>
        <v>595.58333333333337</v>
      </c>
      <c r="E71" s="14">
        <f t="shared" si="39"/>
        <v>45.264333333333347</v>
      </c>
      <c r="F71" s="14">
        <f t="shared" si="39"/>
        <v>149.16515931543069</v>
      </c>
      <c r="G71" s="13">
        <f t="shared" si="39"/>
        <v>1067.8291666666803</v>
      </c>
      <c r="H71" s="15">
        <f t="shared" si="39"/>
        <v>31.777777777777779</v>
      </c>
      <c r="I71" s="15">
        <f t="shared" si="39"/>
        <v>0</v>
      </c>
      <c r="J71" s="15">
        <f t="shared" si="39"/>
        <v>32.416666666666664</v>
      </c>
      <c r="K71" s="13">
        <f t="shared" si="39"/>
        <v>0.41666666666666669</v>
      </c>
      <c r="L71" s="16">
        <f t="shared" si="39"/>
        <v>67.240000000000009</v>
      </c>
      <c r="M71" s="15">
        <f t="shared" si="39"/>
        <v>248.42666666666668</v>
      </c>
      <c r="N71" s="14">
        <f t="shared" si="39"/>
        <v>224.2</v>
      </c>
      <c r="O71" s="13">
        <f t="shared" si="39"/>
        <v>90.699999999999989</v>
      </c>
      <c r="P71" s="87">
        <v>5</v>
      </c>
      <c r="Q71" s="13">
        <v>64633.042238187707</v>
      </c>
      <c r="R71" s="58">
        <f t="shared" si="16"/>
        <v>165009434.65690783</v>
      </c>
    </row>
    <row r="72" spans="1:18" outlineLevel="1" x14ac:dyDescent="0.2">
      <c r="A72" s="20">
        <f t="shared" si="31"/>
        <v>13231</v>
      </c>
      <c r="B72" s="19" t="str">
        <f t="shared" si="31"/>
        <v>UHV</v>
      </c>
      <c r="C72" s="58">
        <f t="shared" si="13"/>
        <v>1053.5405685239582</v>
      </c>
      <c r="D72" s="15">
        <f t="shared" ref="D72:O72" si="40">D114*D164</f>
        <v>144.16666666666666</v>
      </c>
      <c r="E72" s="14">
        <f t="shared" si="40"/>
        <v>30.019546283886072</v>
      </c>
      <c r="F72" s="14">
        <f t="shared" si="40"/>
        <v>200.42324446229418</v>
      </c>
      <c r="G72" s="13">
        <f t="shared" si="40"/>
        <v>271.12000000000029</v>
      </c>
      <c r="H72" s="15">
        <f t="shared" si="40"/>
        <v>269.77777777777777</v>
      </c>
      <c r="I72" s="15">
        <f t="shared" si="40"/>
        <v>0</v>
      </c>
      <c r="J72" s="15">
        <f t="shared" si="40"/>
        <v>27</v>
      </c>
      <c r="K72" s="13">
        <f t="shared" si="40"/>
        <v>1.8333333333333333</v>
      </c>
      <c r="L72" s="16">
        <f t="shared" si="40"/>
        <v>15.360000000000003</v>
      </c>
      <c r="M72" s="15">
        <f t="shared" si="40"/>
        <v>57.28</v>
      </c>
      <c r="N72" s="14">
        <f t="shared" si="40"/>
        <v>35.559999999999995</v>
      </c>
      <c r="O72" s="13">
        <f t="shared" si="40"/>
        <v>1</v>
      </c>
      <c r="P72" s="87">
        <v>4</v>
      </c>
      <c r="Q72" s="13">
        <v>72600.916032124354</v>
      </c>
      <c r="R72" s="58">
        <f t="shared" si="16"/>
        <v>76488010.351844445</v>
      </c>
    </row>
    <row r="73" spans="1:18" outlineLevel="1" x14ac:dyDescent="0.2">
      <c r="A73" s="20">
        <f t="shared" si="31"/>
        <v>3592</v>
      </c>
      <c r="B73" s="19" t="str">
        <f t="shared" si="31"/>
        <v>Midwestern</v>
      </c>
      <c r="C73" s="58">
        <f t="shared" si="13"/>
        <v>1509.3382774068405</v>
      </c>
      <c r="D73" s="15">
        <f t="shared" ref="D73:O73" si="41">D115*D165</f>
        <v>257.91666666666669</v>
      </c>
      <c r="E73" s="14">
        <f t="shared" si="41"/>
        <v>45.324555555555555</v>
      </c>
      <c r="F73" s="14">
        <f t="shared" si="41"/>
        <v>120.61261074017301</v>
      </c>
      <c r="G73" s="13">
        <f t="shared" si="41"/>
        <v>490.50000000000085</v>
      </c>
      <c r="H73" s="15">
        <f t="shared" si="41"/>
        <v>137.7777777777778</v>
      </c>
      <c r="I73" s="15">
        <f t="shared" si="41"/>
        <v>0</v>
      </c>
      <c r="J73" s="15">
        <f t="shared" si="41"/>
        <v>83.333333333333329</v>
      </c>
      <c r="K73" s="13">
        <f t="shared" si="41"/>
        <v>3.75</v>
      </c>
      <c r="L73" s="16">
        <f t="shared" si="41"/>
        <v>27.61333333333334</v>
      </c>
      <c r="M73" s="15">
        <f t="shared" si="41"/>
        <v>115.04</v>
      </c>
      <c r="N73" s="14">
        <f t="shared" si="41"/>
        <v>125.52</v>
      </c>
      <c r="O73" s="13">
        <f t="shared" si="41"/>
        <v>101.94999999999999</v>
      </c>
      <c r="P73" s="87">
        <v>3</v>
      </c>
      <c r="Q73" s="13">
        <v>64130.952037511772</v>
      </c>
      <c r="R73" s="58">
        <f t="shared" si="16"/>
        <v>96795300.676758721</v>
      </c>
    </row>
    <row r="74" spans="1:18" outlineLevel="1" x14ac:dyDescent="0.2">
      <c r="A74" s="20">
        <f t="shared" si="31"/>
        <v>3594</v>
      </c>
      <c r="B74" s="19" t="str">
        <f t="shared" si="31"/>
        <v>UNT</v>
      </c>
      <c r="C74" s="58">
        <f t="shared" si="13"/>
        <v>7675.8079175787643</v>
      </c>
      <c r="D74" s="15">
        <f t="shared" ref="D74:O74" si="42">D116*D166</f>
        <v>1504.1666666666667</v>
      </c>
      <c r="E74" s="14">
        <f t="shared" si="42"/>
        <v>520.14083333333338</v>
      </c>
      <c r="F74" s="14">
        <f t="shared" si="42"/>
        <v>194.15208424563093</v>
      </c>
      <c r="G74" s="13">
        <f t="shared" si="42"/>
        <v>2852.8883333331323</v>
      </c>
      <c r="H74" s="15">
        <f t="shared" si="42"/>
        <v>915.16666666666663</v>
      </c>
      <c r="I74" s="15">
        <f t="shared" si="42"/>
        <v>454.66666666666674</v>
      </c>
      <c r="J74" s="15">
        <f t="shared" si="42"/>
        <v>84.166666666666671</v>
      </c>
      <c r="K74" s="13">
        <f t="shared" si="42"/>
        <v>10.833333333333334</v>
      </c>
      <c r="L74" s="16">
        <f t="shared" si="42"/>
        <v>152.80000000000001</v>
      </c>
      <c r="M74" s="15">
        <f t="shared" si="42"/>
        <v>314.5866666666667</v>
      </c>
      <c r="N74" s="14">
        <f t="shared" si="42"/>
        <v>338.53999999999996</v>
      </c>
      <c r="O74" s="13">
        <f t="shared" si="42"/>
        <v>333.70000000000005</v>
      </c>
      <c r="P74" s="87">
        <v>1</v>
      </c>
      <c r="Q74" s="13">
        <v>90197.027768754284</v>
      </c>
      <c r="R74" s="58">
        <f t="shared" si="16"/>
        <v>692335059.88947582</v>
      </c>
    </row>
    <row r="75" spans="1:18" outlineLevel="1" x14ac:dyDescent="0.2">
      <c r="A75" s="27">
        <f t="shared" si="31"/>
        <v>113594</v>
      </c>
      <c r="B75" s="19" t="str">
        <f t="shared" si="31"/>
        <v>UNTD</v>
      </c>
      <c r="C75" s="58">
        <f t="shared" si="13"/>
        <v>577.68845532694411</v>
      </c>
      <c r="D75" s="15">
        <f t="shared" ref="D75:O75" si="43">D117*D167</f>
        <v>100.875</v>
      </c>
      <c r="E75" s="14">
        <f t="shared" si="43"/>
        <v>23.302125000000004</v>
      </c>
      <c r="F75" s="14">
        <f t="shared" si="43"/>
        <v>213.23633032694477</v>
      </c>
      <c r="G75" s="13">
        <f t="shared" si="43"/>
        <v>176.46499999999929</v>
      </c>
      <c r="H75" s="15">
        <f t="shared" si="43"/>
        <v>0</v>
      </c>
      <c r="I75" s="15">
        <f t="shared" si="43"/>
        <v>0</v>
      </c>
      <c r="J75" s="15">
        <f t="shared" si="43"/>
        <v>3</v>
      </c>
      <c r="K75" s="13">
        <f t="shared" si="43"/>
        <v>0</v>
      </c>
      <c r="L75" s="16">
        <f t="shared" si="43"/>
        <v>12.340000000000002</v>
      </c>
      <c r="M75" s="15">
        <f t="shared" si="43"/>
        <v>38.24</v>
      </c>
      <c r="N75" s="14">
        <f t="shared" si="43"/>
        <v>8.58</v>
      </c>
      <c r="O75" s="13">
        <f t="shared" si="43"/>
        <v>1.65</v>
      </c>
      <c r="P75" s="87" t="s">
        <v>78</v>
      </c>
      <c r="Q75" s="13">
        <v>62223.550136993705</v>
      </c>
      <c r="R75" s="58">
        <f t="shared" si="16"/>
        <v>35945826.563598558</v>
      </c>
    </row>
    <row r="76" spans="1:18" outlineLevel="1" x14ac:dyDescent="0.2">
      <c r="A76" s="20">
        <f t="shared" si="31"/>
        <v>3624</v>
      </c>
      <c r="B76" s="19" t="str">
        <f t="shared" si="31"/>
        <v>SFA</v>
      </c>
      <c r="C76" s="58">
        <f t="shared" si="13"/>
        <v>2662.6588882170868</v>
      </c>
      <c r="D76" s="15">
        <f t="shared" ref="D76:O76" si="44">D118*D168</f>
        <v>480.41666666666669</v>
      </c>
      <c r="E76" s="14">
        <f t="shared" si="44"/>
        <v>106.46033333333332</v>
      </c>
      <c r="F76" s="14">
        <f t="shared" si="44"/>
        <v>101.28772155041958</v>
      </c>
      <c r="G76" s="13">
        <f t="shared" si="44"/>
        <v>930.43416666666724</v>
      </c>
      <c r="H76" s="15">
        <f t="shared" si="44"/>
        <v>219.33333333333334</v>
      </c>
      <c r="I76" s="15">
        <f t="shared" si="44"/>
        <v>13</v>
      </c>
      <c r="J76" s="15">
        <f t="shared" si="44"/>
        <v>62</v>
      </c>
      <c r="K76" s="13">
        <f t="shared" si="44"/>
        <v>11.166666666666666</v>
      </c>
      <c r="L76" s="16">
        <f t="shared" si="44"/>
        <v>58.413333333333334</v>
      </c>
      <c r="M76" s="15">
        <f t="shared" si="44"/>
        <v>221.54666666666668</v>
      </c>
      <c r="N76" s="14">
        <f t="shared" si="44"/>
        <v>249</v>
      </c>
      <c r="O76" s="13">
        <f t="shared" si="44"/>
        <v>209.6</v>
      </c>
      <c r="P76" s="87">
        <v>3</v>
      </c>
      <c r="Q76" s="13">
        <v>64130.952037511772</v>
      </c>
      <c r="R76" s="58">
        <f t="shared" si="16"/>
        <v>170758849.4525044</v>
      </c>
    </row>
    <row r="77" spans="1:18" outlineLevel="1" x14ac:dyDescent="0.2">
      <c r="A77" s="20">
        <f t="shared" si="31"/>
        <v>3642</v>
      </c>
      <c r="B77" s="19" t="str">
        <f t="shared" si="31"/>
        <v>TSU</v>
      </c>
      <c r="C77" s="58">
        <f t="shared" si="13"/>
        <v>1717.9831272766862</v>
      </c>
      <c r="D77" s="15">
        <f t="shared" ref="D77:O77" si="45">D119*D169</f>
        <v>189.58333333333334</v>
      </c>
      <c r="E77" s="14">
        <f t="shared" si="45"/>
        <v>10.894722222222221</v>
      </c>
      <c r="F77" s="14">
        <f t="shared" si="45"/>
        <v>64.668405054463591</v>
      </c>
      <c r="G77" s="13">
        <f t="shared" si="45"/>
        <v>372.16333333333381</v>
      </c>
      <c r="H77" s="15">
        <f t="shared" si="45"/>
        <v>116.66666666666667</v>
      </c>
      <c r="I77" s="15">
        <f t="shared" si="45"/>
        <v>572.66666666666663</v>
      </c>
      <c r="J77" s="15">
        <f t="shared" si="45"/>
        <v>33.583333333333336</v>
      </c>
      <c r="K77" s="13">
        <f t="shared" si="45"/>
        <v>0.75</v>
      </c>
      <c r="L77" s="16">
        <f t="shared" si="45"/>
        <v>26.653333333333336</v>
      </c>
      <c r="M77" s="15">
        <f t="shared" si="45"/>
        <v>98.24</v>
      </c>
      <c r="N77" s="14">
        <f t="shared" si="45"/>
        <v>113.30000000000001</v>
      </c>
      <c r="O77" s="13">
        <f t="shared" si="45"/>
        <v>118.81333333333333</v>
      </c>
      <c r="P77" s="87">
        <v>3</v>
      </c>
      <c r="Q77" s="13">
        <v>64130.952037511772</v>
      </c>
      <c r="R77" s="58">
        <f t="shared" si="16"/>
        <v>110175893.53663565</v>
      </c>
    </row>
    <row r="78" spans="1:18" outlineLevel="1" x14ac:dyDescent="0.2">
      <c r="A78" s="20">
        <f t="shared" si="31"/>
        <v>3644</v>
      </c>
      <c r="B78" s="19" t="str">
        <f t="shared" si="31"/>
        <v>TTU</v>
      </c>
      <c r="C78" s="58">
        <f t="shared" si="13"/>
        <v>7261.4928567859188</v>
      </c>
      <c r="D78" s="15">
        <f t="shared" ref="D78:O78" si="46">D120*D170</f>
        <v>1168.5</v>
      </c>
      <c r="E78" s="14">
        <f t="shared" si="46"/>
        <v>513.20519999999988</v>
      </c>
      <c r="F78" s="14">
        <f t="shared" si="46"/>
        <v>157.95932345275014</v>
      </c>
      <c r="G78" s="13">
        <f t="shared" si="46"/>
        <v>2532.0283333331704</v>
      </c>
      <c r="H78" s="15">
        <f t="shared" si="46"/>
        <v>687.83333333333337</v>
      </c>
      <c r="I78" s="15">
        <f t="shared" si="46"/>
        <v>924</v>
      </c>
      <c r="J78" s="15">
        <f t="shared" si="46"/>
        <v>181.83333333333334</v>
      </c>
      <c r="K78" s="13">
        <f t="shared" si="46"/>
        <v>14.333333333333334</v>
      </c>
      <c r="L78" s="16">
        <f t="shared" si="46"/>
        <v>111.12</v>
      </c>
      <c r="M78" s="15">
        <f t="shared" si="46"/>
        <v>259.4133333333333</v>
      </c>
      <c r="N78" s="14">
        <f t="shared" si="46"/>
        <v>316.7</v>
      </c>
      <c r="O78" s="13">
        <f t="shared" si="46"/>
        <v>394.56666666666666</v>
      </c>
      <c r="P78" s="87">
        <v>1</v>
      </c>
      <c r="Q78" s="13">
        <v>90197.027768754284</v>
      </c>
      <c r="R78" s="58">
        <f t="shared" si="16"/>
        <v>654965072.84613037</v>
      </c>
    </row>
    <row r="79" spans="1:18" outlineLevel="1" x14ac:dyDescent="0.2">
      <c r="A79" s="20">
        <f t="shared" si="31"/>
        <v>3541</v>
      </c>
      <c r="B79" s="19" t="str">
        <f t="shared" si="31"/>
        <v>Angelo</v>
      </c>
      <c r="C79" s="58">
        <f t="shared" si="13"/>
        <v>1461.1358479857672</v>
      </c>
      <c r="D79" s="15">
        <f t="shared" ref="D79:O79" si="47">D121*D171</f>
        <v>247.83333333333334</v>
      </c>
      <c r="E79" s="14">
        <f t="shared" si="47"/>
        <v>42.59428888888889</v>
      </c>
      <c r="F79" s="14">
        <f t="shared" si="47"/>
        <v>101.52850354132148</v>
      </c>
      <c r="G79" s="13">
        <f t="shared" si="47"/>
        <v>494.33750000000128</v>
      </c>
      <c r="H79" s="15">
        <f t="shared" si="47"/>
        <v>132.22222222222226</v>
      </c>
      <c r="I79" s="15">
        <f t="shared" si="47"/>
        <v>0</v>
      </c>
      <c r="J79" s="15">
        <f t="shared" si="47"/>
        <v>63.583333333333336</v>
      </c>
      <c r="K79" s="13">
        <f t="shared" si="47"/>
        <v>4.833333333333333</v>
      </c>
      <c r="L79" s="16">
        <f t="shared" si="47"/>
        <v>28.92</v>
      </c>
      <c r="M79" s="15">
        <f t="shared" si="47"/>
        <v>115.09333333333335</v>
      </c>
      <c r="N79" s="14">
        <f t="shared" si="47"/>
        <v>124.04</v>
      </c>
      <c r="O79" s="13">
        <f t="shared" si="47"/>
        <v>106.14999999999999</v>
      </c>
      <c r="P79" s="87">
        <v>3</v>
      </c>
      <c r="Q79" s="13">
        <v>64130.952037511772</v>
      </c>
      <c r="R79" s="58">
        <f t="shared" si="16"/>
        <v>93704032.987464324</v>
      </c>
    </row>
    <row r="80" spans="1:18" outlineLevel="1" x14ac:dyDescent="0.2">
      <c r="A80" s="20">
        <f t="shared" ref="A80:B85" si="48">A37</f>
        <v>3646</v>
      </c>
      <c r="B80" s="19" t="str">
        <f t="shared" si="48"/>
        <v>TWU</v>
      </c>
      <c r="C80" s="58">
        <f t="shared" si="13"/>
        <v>3304.3230548085335</v>
      </c>
      <c r="D80" s="15">
        <f t="shared" ref="D80:O80" si="49">D122*D172</f>
        <v>451.5</v>
      </c>
      <c r="E80" s="14">
        <f t="shared" si="49"/>
        <v>94.574200000000019</v>
      </c>
      <c r="F80" s="14">
        <f t="shared" si="49"/>
        <v>137.72802147519982</v>
      </c>
      <c r="G80" s="13">
        <f t="shared" si="49"/>
        <v>863.04416666666646</v>
      </c>
      <c r="H80" s="15">
        <f t="shared" si="49"/>
        <v>764.00000000000011</v>
      </c>
      <c r="I80" s="15">
        <f t="shared" si="49"/>
        <v>440</v>
      </c>
      <c r="J80" s="15">
        <f t="shared" si="49"/>
        <v>142.33333333333334</v>
      </c>
      <c r="K80" s="13">
        <f t="shared" si="49"/>
        <v>7.916666666666667</v>
      </c>
      <c r="L80" s="16">
        <f t="shared" si="49"/>
        <v>49.88</v>
      </c>
      <c r="M80" s="15">
        <f t="shared" si="49"/>
        <v>131.76</v>
      </c>
      <c r="N80" s="14">
        <f t="shared" si="49"/>
        <v>129.23333333333332</v>
      </c>
      <c r="O80" s="13">
        <f t="shared" si="49"/>
        <v>92.353333333333339</v>
      </c>
      <c r="P80" s="87">
        <v>2</v>
      </c>
      <c r="Q80" s="13">
        <v>69184.923785166247</v>
      </c>
      <c r="R80" s="58">
        <f t="shared" si="16"/>
        <v>228609338.70849609</v>
      </c>
    </row>
    <row r="81" spans="1:18" outlineLevel="1" x14ac:dyDescent="0.2">
      <c r="A81" s="20">
        <f t="shared" si="48"/>
        <v>3581</v>
      </c>
      <c r="B81" s="19" t="str">
        <f t="shared" si="48"/>
        <v>Lamar</v>
      </c>
      <c r="C81" s="58">
        <f t="shared" si="13"/>
        <v>2917.7141569333753</v>
      </c>
      <c r="D81" s="15">
        <f t="shared" ref="D81:O81" si="50">D123*D173</f>
        <v>333.83333333333331</v>
      </c>
      <c r="E81" s="14">
        <f t="shared" si="50"/>
        <v>46.781177777777778</v>
      </c>
      <c r="F81" s="14">
        <f t="shared" si="50"/>
        <v>91.774645822260496</v>
      </c>
      <c r="G81" s="13">
        <f t="shared" si="50"/>
        <v>671.22500000000412</v>
      </c>
      <c r="H81" s="15">
        <f t="shared" si="50"/>
        <v>1116.8333333333333</v>
      </c>
      <c r="I81" s="15">
        <f t="shared" si="50"/>
        <v>30.666666666666671</v>
      </c>
      <c r="J81" s="15">
        <f t="shared" si="50"/>
        <v>82.5</v>
      </c>
      <c r="K81" s="13">
        <f t="shared" si="50"/>
        <v>4.25</v>
      </c>
      <c r="L81" s="16">
        <f t="shared" si="50"/>
        <v>37.946666666666673</v>
      </c>
      <c r="M81" s="15">
        <f t="shared" si="50"/>
        <v>171.57333333333332</v>
      </c>
      <c r="N81" s="14">
        <f t="shared" si="50"/>
        <v>178.68</v>
      </c>
      <c r="O81" s="13">
        <f t="shared" si="50"/>
        <v>151.65</v>
      </c>
      <c r="P81" s="87">
        <v>3</v>
      </c>
      <c r="Q81" s="13">
        <v>64130.952037511772</v>
      </c>
      <c r="R81" s="58">
        <f t="shared" si="16"/>
        <v>187115786.65746337</v>
      </c>
    </row>
    <row r="82" spans="1:18" outlineLevel="1" x14ac:dyDescent="0.2">
      <c r="A82" s="20">
        <f t="shared" si="48"/>
        <v>3606</v>
      </c>
      <c r="B82" s="19" t="str">
        <f t="shared" si="48"/>
        <v>SHSU</v>
      </c>
      <c r="C82" s="58">
        <f t="shared" si="13"/>
        <v>3961.7272156409799</v>
      </c>
      <c r="D82" s="15">
        <f t="shared" ref="D82:O82" si="51">D124*D174</f>
        <v>769.41666666666663</v>
      </c>
      <c r="E82" s="14">
        <f t="shared" si="51"/>
        <v>180.55644444444445</v>
      </c>
      <c r="F82" s="14">
        <f t="shared" si="51"/>
        <v>122.37827119650508</v>
      </c>
      <c r="G82" s="13">
        <f t="shared" si="51"/>
        <v>1459.2691666666972</v>
      </c>
      <c r="H82" s="15">
        <f t="shared" si="51"/>
        <v>420.83333333333331</v>
      </c>
      <c r="I82" s="15">
        <f t="shared" si="51"/>
        <v>86.666666666666686</v>
      </c>
      <c r="J82" s="15">
        <f t="shared" si="51"/>
        <v>41.75</v>
      </c>
      <c r="K82" s="13">
        <f t="shared" si="51"/>
        <v>15.25</v>
      </c>
      <c r="L82" s="16">
        <f t="shared" si="51"/>
        <v>88.546666666666681</v>
      </c>
      <c r="M82" s="15">
        <f t="shared" si="51"/>
        <v>233.66</v>
      </c>
      <c r="N82" s="14">
        <f t="shared" si="51"/>
        <v>296.53333333333336</v>
      </c>
      <c r="O82" s="13">
        <f t="shared" si="51"/>
        <v>246.86666666666667</v>
      </c>
      <c r="P82" s="87">
        <v>3</v>
      </c>
      <c r="Q82" s="13">
        <v>64130.952037511772</v>
      </c>
      <c r="R82" s="58">
        <f t="shared" si="16"/>
        <v>254069338.05197674</v>
      </c>
    </row>
    <row r="83" spans="1:18" outlineLevel="1" x14ac:dyDescent="0.2">
      <c r="A83" s="20">
        <f t="shared" si="48"/>
        <v>3615</v>
      </c>
      <c r="B83" s="19" t="str">
        <f t="shared" si="48"/>
        <v>TXST</v>
      </c>
      <c r="C83" s="58">
        <f t="shared" si="13"/>
        <v>6648.9561363982375</v>
      </c>
      <c r="D83" s="15">
        <f t="shared" ref="D83:O83" si="52">D125*D175</f>
        <v>1340.25</v>
      </c>
      <c r="E83" s="14">
        <f t="shared" si="52"/>
        <v>509.02694999999994</v>
      </c>
      <c r="F83" s="14">
        <f t="shared" si="52"/>
        <v>175.55168639839795</v>
      </c>
      <c r="G83" s="13">
        <f t="shared" si="52"/>
        <v>2609.3274999998393</v>
      </c>
      <c r="H83" s="15">
        <f t="shared" si="52"/>
        <v>654.33333333333337</v>
      </c>
      <c r="I83" s="15">
        <f t="shared" si="52"/>
        <v>109.33333333333333</v>
      </c>
      <c r="J83" s="15">
        <f t="shared" si="52"/>
        <v>122.16666666666667</v>
      </c>
      <c r="K83" s="13">
        <f t="shared" si="52"/>
        <v>16.666666666666668</v>
      </c>
      <c r="L83" s="16">
        <f t="shared" si="52"/>
        <v>147.01333333333335</v>
      </c>
      <c r="M83" s="15">
        <f t="shared" si="52"/>
        <v>298.81333333333333</v>
      </c>
      <c r="N83" s="14">
        <f t="shared" si="52"/>
        <v>334.74</v>
      </c>
      <c r="O83" s="13">
        <f t="shared" si="52"/>
        <v>331.73333333333335</v>
      </c>
      <c r="P83" s="87">
        <v>3</v>
      </c>
      <c r="Q83" s="13">
        <v>64130.952037511772</v>
      </c>
      <c r="R83" s="58">
        <f t="shared" si="16"/>
        <v>426403887.08287495</v>
      </c>
    </row>
    <row r="84" spans="1:18" outlineLevel="1" x14ac:dyDescent="0.2">
      <c r="A84" s="20">
        <f t="shared" si="48"/>
        <v>3625</v>
      </c>
      <c r="B84" s="19" t="str">
        <f t="shared" si="48"/>
        <v>SRSU</v>
      </c>
      <c r="C84" s="58">
        <f t="shared" si="13"/>
        <v>426.35787059717586</v>
      </c>
      <c r="D84" s="15">
        <f t="shared" ref="D84:O84" si="53">D126*D176</f>
        <v>47.333333333333336</v>
      </c>
      <c r="E84" s="14">
        <f t="shared" si="53"/>
        <v>5.6989333333333336</v>
      </c>
      <c r="F84" s="14">
        <f t="shared" si="53"/>
        <v>77.594215041620387</v>
      </c>
      <c r="G84" s="13">
        <f t="shared" si="53"/>
        <v>98.582499999999911</v>
      </c>
      <c r="H84" s="15">
        <f t="shared" si="53"/>
        <v>118.8888888888889</v>
      </c>
      <c r="I84" s="15">
        <f t="shared" si="53"/>
        <v>0</v>
      </c>
      <c r="J84" s="15">
        <f t="shared" si="53"/>
        <v>3.1666666666666665</v>
      </c>
      <c r="K84" s="13">
        <f t="shared" si="53"/>
        <v>1.5833333333333333</v>
      </c>
      <c r="L84" s="16">
        <f t="shared" si="53"/>
        <v>6.5200000000000005</v>
      </c>
      <c r="M84" s="15">
        <f t="shared" si="53"/>
        <v>24</v>
      </c>
      <c r="N84" s="14">
        <f t="shared" si="53"/>
        <v>23.24</v>
      </c>
      <c r="O84" s="13">
        <f t="shared" si="53"/>
        <v>19.749999999999996</v>
      </c>
      <c r="P84" s="87">
        <v>3</v>
      </c>
      <c r="Q84" s="13">
        <v>64130.952037511772</v>
      </c>
      <c r="R84" s="58">
        <f t="shared" si="16"/>
        <v>27342736.150083136</v>
      </c>
    </row>
    <row r="85" spans="1:18" outlineLevel="1" x14ac:dyDescent="0.2">
      <c r="A85" s="20">
        <f t="shared" si="48"/>
        <v>20</v>
      </c>
      <c r="B85" s="19" t="str">
        <f t="shared" si="48"/>
        <v>SRRG</v>
      </c>
      <c r="C85" s="58">
        <f t="shared" si="13"/>
        <v>374.5911390120022</v>
      </c>
      <c r="D85" s="15">
        <f t="shared" ref="D85:O85" si="54">D127*D177</f>
        <v>40.416666666666664</v>
      </c>
      <c r="E85" s="14">
        <f t="shared" si="54"/>
        <v>5.1365976618337754</v>
      </c>
      <c r="F85" s="14">
        <f t="shared" si="54"/>
        <v>182.98204135016854</v>
      </c>
      <c r="G85" s="13">
        <f t="shared" si="54"/>
        <v>69.792499999999947</v>
      </c>
      <c r="H85" s="15">
        <f t="shared" si="54"/>
        <v>37.333333333333336</v>
      </c>
      <c r="I85" s="15">
        <f t="shared" si="54"/>
        <v>0</v>
      </c>
      <c r="J85" s="15">
        <f t="shared" si="54"/>
        <v>1.5833333333333333</v>
      </c>
      <c r="K85" s="13">
        <f t="shared" si="54"/>
        <v>1.4166666666666667</v>
      </c>
      <c r="L85" s="16">
        <f t="shared" si="54"/>
        <v>5.7600000000000007</v>
      </c>
      <c r="M85" s="15">
        <f t="shared" si="54"/>
        <v>18.400000000000002</v>
      </c>
      <c r="N85" s="14">
        <f t="shared" si="54"/>
        <v>11.120000000000001</v>
      </c>
      <c r="O85" s="13">
        <f t="shared" si="54"/>
        <v>0.64999999999999991</v>
      </c>
      <c r="P85" s="87">
        <v>5</v>
      </c>
      <c r="Q85" s="13">
        <v>64633.042238187707</v>
      </c>
      <c r="R85" s="58">
        <f t="shared" si="16"/>
        <v>24210964.909813583</v>
      </c>
    </row>
    <row r="86" spans="1:18" ht="13.5" outlineLevel="1" thickBot="1" x14ac:dyDescent="0.25">
      <c r="A86" s="12"/>
      <c r="B86" s="11" t="s">
        <v>11</v>
      </c>
      <c r="C86" s="57">
        <f t="shared" ref="C86:O86" si="55">SUM(C48:C85)</f>
        <v>121705.4566848629</v>
      </c>
      <c r="D86" s="9">
        <f t="shared" si="55"/>
        <v>19396.399999999994</v>
      </c>
      <c r="E86" s="7">
        <f t="shared" si="55"/>
        <v>7412.6221500320489</v>
      </c>
      <c r="F86" s="7">
        <f t="shared" si="55"/>
        <v>5926.8577570535381</v>
      </c>
      <c r="G86" s="3">
        <f t="shared" si="55"/>
        <v>39384.976666666225</v>
      </c>
      <c r="H86" s="5">
        <f t="shared" si="55"/>
        <v>16211.944444444447</v>
      </c>
      <c r="I86" s="5">
        <f t="shared" si="55"/>
        <v>9554</v>
      </c>
      <c r="J86" s="5">
        <f t="shared" si="55"/>
        <v>3136.0666666666671</v>
      </c>
      <c r="K86" s="3">
        <f t="shared" si="55"/>
        <v>280.38333333333338</v>
      </c>
      <c r="L86" s="6">
        <f t="shared" si="55"/>
        <v>2070.6506666666669</v>
      </c>
      <c r="M86" s="5">
        <f t="shared" si="55"/>
        <v>6040.4866666666676</v>
      </c>
      <c r="N86" s="4">
        <f t="shared" si="55"/>
        <v>6456.7466666666678</v>
      </c>
      <c r="O86" s="3">
        <f t="shared" si="55"/>
        <v>5834.3216666666658</v>
      </c>
      <c r="P86" s="101"/>
      <c r="Q86" s="102"/>
      <c r="R86" s="57">
        <f>SUM(R48:R85)</f>
        <v>9389072010.1783676</v>
      </c>
    </row>
    <row r="87" spans="1:18" ht="13.5" thickBot="1" x14ac:dyDescent="0.25">
      <c r="A87" s="69" t="s">
        <v>30</v>
      </c>
    </row>
    <row r="88" spans="1:18" ht="12.75" customHeight="1" outlineLevel="1" x14ac:dyDescent="0.2">
      <c r="A88" s="177" t="s">
        <v>24</v>
      </c>
      <c r="B88" s="179" t="s">
        <v>23</v>
      </c>
      <c r="C88" s="181" t="s">
        <v>77</v>
      </c>
      <c r="D88" s="183" t="s">
        <v>35</v>
      </c>
      <c r="E88" s="184"/>
      <c r="F88" s="184"/>
      <c r="G88" s="185"/>
      <c r="H88" s="186" t="str">
        <f>H3</f>
        <v>Master's</v>
      </c>
      <c r="I88" s="186" t="str">
        <f>I3</f>
        <v>Doctoral and Professional Practice</v>
      </c>
      <c r="J88" s="186" t="s">
        <v>18</v>
      </c>
      <c r="K88" s="195" t="s">
        <v>17</v>
      </c>
      <c r="L88" s="197" t="s">
        <v>16</v>
      </c>
      <c r="M88" s="199" t="s">
        <v>34</v>
      </c>
      <c r="N88" s="200"/>
      <c r="O88" s="200"/>
      <c r="P88" s="212" t="s">
        <v>109</v>
      </c>
    </row>
    <row r="89" spans="1:18" ht="51.75" outlineLevel="1" thickBot="1" x14ac:dyDescent="0.25">
      <c r="A89" s="178"/>
      <c r="B89" s="180"/>
      <c r="C89" s="182"/>
      <c r="D89" s="68"/>
      <c r="E89" s="67" t="s">
        <v>33</v>
      </c>
      <c r="F89" s="67" t="s">
        <v>32</v>
      </c>
      <c r="G89" s="114" t="s">
        <v>31</v>
      </c>
      <c r="H89" s="187"/>
      <c r="I89" s="187"/>
      <c r="J89" s="187"/>
      <c r="K89" s="196"/>
      <c r="L89" s="198"/>
      <c r="M89" s="44" t="s">
        <v>14</v>
      </c>
      <c r="N89" s="43" t="s">
        <v>13</v>
      </c>
      <c r="O89" s="42" t="s">
        <v>12</v>
      </c>
      <c r="P89" s="213"/>
    </row>
    <row r="90" spans="1:18" outlineLevel="1" x14ac:dyDescent="0.2">
      <c r="A90" s="20">
        <f t="shared" ref="A90:B105" si="56">A5</f>
        <v>3656</v>
      </c>
      <c r="B90" s="19" t="str">
        <f t="shared" si="56"/>
        <v>UTA</v>
      </c>
      <c r="C90" s="90">
        <f>D90+E90+F90+M90+H90+I90+N90+O90</f>
        <v>1.0000000000000002</v>
      </c>
      <c r="D90" s="91">
        <f>SUMIF($P$131:$P$135,$P90,D$131:D$135)</f>
        <v>0.25</v>
      </c>
      <c r="E90" s="92">
        <f t="shared" ref="E90:O105" si="57">SUMIF($P$131:$P$135,$P90,E$131:E$135)</f>
        <v>0.15</v>
      </c>
      <c r="F90" s="92">
        <f t="shared" si="57"/>
        <v>0.15</v>
      </c>
      <c r="G90" s="93">
        <f t="shared" si="57"/>
        <v>0.25</v>
      </c>
      <c r="H90" s="94">
        <f t="shared" si="57"/>
        <v>0.15</v>
      </c>
      <c r="I90" s="94">
        <f t="shared" si="57"/>
        <v>0.1</v>
      </c>
      <c r="J90" s="91">
        <f t="shared" si="57"/>
        <v>0.25</v>
      </c>
      <c r="K90" s="93">
        <f t="shared" si="57"/>
        <v>0.25</v>
      </c>
      <c r="L90" s="98">
        <f t="shared" si="57"/>
        <v>0.1</v>
      </c>
      <c r="M90" s="91">
        <f t="shared" si="57"/>
        <v>0.04</v>
      </c>
      <c r="N90" s="92">
        <f t="shared" si="57"/>
        <v>0.06</v>
      </c>
      <c r="O90" s="93">
        <f t="shared" si="57"/>
        <v>0.1</v>
      </c>
      <c r="P90" s="88" t="s">
        <v>83</v>
      </c>
    </row>
    <row r="91" spans="1:18" outlineLevel="1" x14ac:dyDescent="0.2">
      <c r="A91" s="20">
        <f t="shared" si="56"/>
        <v>3658</v>
      </c>
      <c r="B91" s="19" t="str">
        <f t="shared" si="56"/>
        <v>UT</v>
      </c>
      <c r="C91" s="90">
        <f t="shared" ref="C91:C127" si="58">D91+E91+F91+M91+H91+I91+N91+O91</f>
        <v>1.0000000000000002</v>
      </c>
      <c r="D91" s="91">
        <f t="shared" ref="D91:O106" si="59">SUMIF($P$131:$P$135,$P91,D$131:D$135)</f>
        <v>0.15</v>
      </c>
      <c r="E91" s="92">
        <f t="shared" si="57"/>
        <v>0.2</v>
      </c>
      <c r="F91" s="92">
        <f t="shared" si="57"/>
        <v>0.2</v>
      </c>
      <c r="G91" s="93">
        <f t="shared" si="57"/>
        <v>0.15</v>
      </c>
      <c r="H91" s="94">
        <f t="shared" si="57"/>
        <v>0.15</v>
      </c>
      <c r="I91" s="94">
        <f t="shared" si="57"/>
        <v>0.1</v>
      </c>
      <c r="J91" s="94">
        <f t="shared" si="57"/>
        <v>0.15</v>
      </c>
      <c r="K91" s="95">
        <f t="shared" si="57"/>
        <v>0.15</v>
      </c>
      <c r="L91" s="96">
        <f t="shared" si="57"/>
        <v>0.06</v>
      </c>
      <c r="M91" s="94">
        <f t="shared" si="57"/>
        <v>0.04</v>
      </c>
      <c r="N91" s="97">
        <f t="shared" si="57"/>
        <v>0.06</v>
      </c>
      <c r="O91" s="95">
        <f t="shared" si="57"/>
        <v>0.1</v>
      </c>
      <c r="P91" s="89" t="s">
        <v>82</v>
      </c>
    </row>
    <row r="92" spans="1:18" outlineLevel="1" x14ac:dyDescent="0.2">
      <c r="A92" s="20">
        <f t="shared" si="56"/>
        <v>9741</v>
      </c>
      <c r="B92" s="19" t="str">
        <f t="shared" si="56"/>
        <v>UTD</v>
      </c>
      <c r="C92" s="90">
        <f t="shared" si="58"/>
        <v>1.0000000000000002</v>
      </c>
      <c r="D92" s="91">
        <f t="shared" si="59"/>
        <v>0.25</v>
      </c>
      <c r="E92" s="92">
        <f t="shared" si="57"/>
        <v>0.15</v>
      </c>
      <c r="F92" s="92">
        <f t="shared" si="57"/>
        <v>0.15</v>
      </c>
      <c r="G92" s="93">
        <f t="shared" si="57"/>
        <v>0.25</v>
      </c>
      <c r="H92" s="94">
        <f t="shared" si="57"/>
        <v>0.15</v>
      </c>
      <c r="I92" s="94">
        <f t="shared" si="57"/>
        <v>0.1</v>
      </c>
      <c r="J92" s="91">
        <f t="shared" si="57"/>
        <v>0.25</v>
      </c>
      <c r="K92" s="93">
        <f t="shared" si="57"/>
        <v>0.25</v>
      </c>
      <c r="L92" s="98">
        <f t="shared" si="57"/>
        <v>0.1</v>
      </c>
      <c r="M92" s="91">
        <f t="shared" si="57"/>
        <v>0.04</v>
      </c>
      <c r="N92" s="92">
        <f t="shared" si="57"/>
        <v>0.06</v>
      </c>
      <c r="O92" s="93">
        <f t="shared" si="57"/>
        <v>0.1</v>
      </c>
      <c r="P92" s="89" t="s">
        <v>83</v>
      </c>
    </row>
    <row r="93" spans="1:18" outlineLevel="1" x14ac:dyDescent="0.2">
      <c r="A93" s="20">
        <f t="shared" si="56"/>
        <v>3661</v>
      </c>
      <c r="B93" s="19" t="str">
        <f t="shared" si="56"/>
        <v>UTEP</v>
      </c>
      <c r="C93" s="90">
        <f t="shared" si="58"/>
        <v>1.0000000000000002</v>
      </c>
      <c r="D93" s="91">
        <f t="shared" si="59"/>
        <v>0.25</v>
      </c>
      <c r="E93" s="92">
        <f t="shared" si="57"/>
        <v>0.15</v>
      </c>
      <c r="F93" s="92">
        <f t="shared" si="57"/>
        <v>0.15</v>
      </c>
      <c r="G93" s="93">
        <f t="shared" si="57"/>
        <v>0.25</v>
      </c>
      <c r="H93" s="91">
        <f t="shared" si="57"/>
        <v>0.15</v>
      </c>
      <c r="I93" s="91">
        <f t="shared" si="57"/>
        <v>0.1</v>
      </c>
      <c r="J93" s="91">
        <f t="shared" si="57"/>
        <v>0.25</v>
      </c>
      <c r="K93" s="93">
        <f t="shared" si="57"/>
        <v>0.25</v>
      </c>
      <c r="L93" s="98">
        <f t="shared" si="57"/>
        <v>0.1</v>
      </c>
      <c r="M93" s="91">
        <f t="shared" si="57"/>
        <v>0.04</v>
      </c>
      <c r="N93" s="92">
        <f t="shared" si="57"/>
        <v>0.06</v>
      </c>
      <c r="O93" s="93">
        <f t="shared" si="57"/>
        <v>0.1</v>
      </c>
      <c r="P93" s="89" t="s">
        <v>83</v>
      </c>
    </row>
    <row r="94" spans="1:18" outlineLevel="1" x14ac:dyDescent="0.2">
      <c r="A94" s="20">
        <f t="shared" si="56"/>
        <v>3599</v>
      </c>
      <c r="B94" s="19" t="str">
        <f t="shared" si="56"/>
        <v>UTPA</v>
      </c>
      <c r="C94" s="90">
        <f t="shared" si="58"/>
        <v>1</v>
      </c>
      <c r="D94" s="91">
        <f t="shared" si="59"/>
        <v>0.25</v>
      </c>
      <c r="E94" s="92">
        <f t="shared" si="57"/>
        <v>0.1</v>
      </c>
      <c r="F94" s="92">
        <f t="shared" si="57"/>
        <v>0.1</v>
      </c>
      <c r="G94" s="93">
        <f t="shared" si="57"/>
        <v>0.25</v>
      </c>
      <c r="H94" s="91">
        <f t="shared" si="57"/>
        <v>0.15</v>
      </c>
      <c r="I94" s="91">
        <f t="shared" si="57"/>
        <v>0.1</v>
      </c>
      <c r="J94" s="91">
        <f t="shared" si="57"/>
        <v>0.25</v>
      </c>
      <c r="K94" s="93">
        <f t="shared" si="57"/>
        <v>0.25</v>
      </c>
      <c r="L94" s="98">
        <f t="shared" si="57"/>
        <v>0.1</v>
      </c>
      <c r="M94" s="91">
        <f t="shared" si="57"/>
        <v>0.06</v>
      </c>
      <c r="N94" s="92">
        <f t="shared" si="57"/>
        <v>0.1</v>
      </c>
      <c r="O94" s="93">
        <f t="shared" si="57"/>
        <v>0.14000000000000001</v>
      </c>
      <c r="P94" s="89" t="s">
        <v>84</v>
      </c>
    </row>
    <row r="95" spans="1:18" outlineLevel="1" x14ac:dyDescent="0.2">
      <c r="A95" s="20">
        <f t="shared" si="56"/>
        <v>30646</v>
      </c>
      <c r="B95" s="19" t="str">
        <f t="shared" si="56"/>
        <v>UTB</v>
      </c>
      <c r="C95" s="90">
        <f t="shared" si="58"/>
        <v>1</v>
      </c>
      <c r="D95" s="91">
        <f t="shared" si="59"/>
        <v>0.25</v>
      </c>
      <c r="E95" s="92">
        <f t="shared" si="57"/>
        <v>0.1</v>
      </c>
      <c r="F95" s="92">
        <f t="shared" si="57"/>
        <v>0.1</v>
      </c>
      <c r="G95" s="93">
        <f t="shared" si="57"/>
        <v>0.25</v>
      </c>
      <c r="H95" s="91">
        <f t="shared" si="57"/>
        <v>0.2</v>
      </c>
      <c r="I95" s="91">
        <f t="shared" si="57"/>
        <v>0</v>
      </c>
      <c r="J95" s="91">
        <f t="shared" si="57"/>
        <v>0.25</v>
      </c>
      <c r="K95" s="93">
        <f t="shared" si="57"/>
        <v>0.25</v>
      </c>
      <c r="L95" s="98">
        <f t="shared" si="57"/>
        <v>0.1</v>
      </c>
      <c r="M95" s="91">
        <f t="shared" si="57"/>
        <v>0.08</v>
      </c>
      <c r="N95" s="92">
        <f t="shared" si="57"/>
        <v>0.12</v>
      </c>
      <c r="O95" s="93">
        <f t="shared" si="57"/>
        <v>0.15</v>
      </c>
      <c r="P95" s="89" t="s">
        <v>85</v>
      </c>
    </row>
    <row r="96" spans="1:18" outlineLevel="1" x14ac:dyDescent="0.2">
      <c r="A96" s="20">
        <f t="shared" si="56"/>
        <v>9930</v>
      </c>
      <c r="B96" s="19" t="str">
        <f t="shared" si="56"/>
        <v>UTPB</v>
      </c>
      <c r="C96" s="90">
        <f t="shared" si="58"/>
        <v>1</v>
      </c>
      <c r="D96" s="91">
        <f t="shared" si="59"/>
        <v>0.25</v>
      </c>
      <c r="E96" s="92">
        <f t="shared" si="57"/>
        <v>0.1</v>
      </c>
      <c r="F96" s="92">
        <f t="shared" si="57"/>
        <v>0.1</v>
      </c>
      <c r="G96" s="93">
        <f t="shared" si="57"/>
        <v>0.25</v>
      </c>
      <c r="H96" s="91">
        <f t="shared" si="57"/>
        <v>0.2</v>
      </c>
      <c r="I96" s="91">
        <f t="shared" si="57"/>
        <v>0</v>
      </c>
      <c r="J96" s="91">
        <f t="shared" si="57"/>
        <v>0.25</v>
      </c>
      <c r="K96" s="93">
        <f t="shared" si="57"/>
        <v>0.25</v>
      </c>
      <c r="L96" s="98">
        <f t="shared" si="57"/>
        <v>0.1</v>
      </c>
      <c r="M96" s="91">
        <f t="shared" si="57"/>
        <v>0.08</v>
      </c>
      <c r="N96" s="92">
        <f t="shared" si="57"/>
        <v>0.12</v>
      </c>
      <c r="O96" s="93">
        <f t="shared" si="57"/>
        <v>0.15</v>
      </c>
      <c r="P96" s="89" t="s">
        <v>85</v>
      </c>
    </row>
    <row r="97" spans="1:16" outlineLevel="1" x14ac:dyDescent="0.2">
      <c r="A97" s="20">
        <f t="shared" si="56"/>
        <v>10115</v>
      </c>
      <c r="B97" s="19" t="str">
        <f t="shared" si="56"/>
        <v>UTSA</v>
      </c>
      <c r="C97" s="90">
        <f t="shared" si="58"/>
        <v>1.0000000000000002</v>
      </c>
      <c r="D97" s="91">
        <f t="shared" si="59"/>
        <v>0.25</v>
      </c>
      <c r="E97" s="92">
        <f t="shared" si="57"/>
        <v>0.15</v>
      </c>
      <c r="F97" s="92">
        <f t="shared" si="57"/>
        <v>0.15</v>
      </c>
      <c r="G97" s="93">
        <f t="shared" si="57"/>
        <v>0.25</v>
      </c>
      <c r="H97" s="91">
        <f t="shared" si="57"/>
        <v>0.15</v>
      </c>
      <c r="I97" s="91">
        <f t="shared" si="57"/>
        <v>0.1</v>
      </c>
      <c r="J97" s="91">
        <f t="shared" si="57"/>
        <v>0.25</v>
      </c>
      <c r="K97" s="93">
        <f t="shared" si="57"/>
        <v>0.25</v>
      </c>
      <c r="L97" s="98">
        <f t="shared" si="57"/>
        <v>0.1</v>
      </c>
      <c r="M97" s="91">
        <f t="shared" si="57"/>
        <v>0.04</v>
      </c>
      <c r="N97" s="92">
        <f t="shared" si="57"/>
        <v>0.06</v>
      </c>
      <c r="O97" s="93">
        <f t="shared" si="57"/>
        <v>0.1</v>
      </c>
      <c r="P97" s="89" t="s">
        <v>83</v>
      </c>
    </row>
    <row r="98" spans="1:16" outlineLevel="1" x14ac:dyDescent="0.2">
      <c r="A98" s="20">
        <f t="shared" si="56"/>
        <v>11163</v>
      </c>
      <c r="B98" s="19" t="str">
        <f t="shared" si="56"/>
        <v>UTT</v>
      </c>
      <c r="C98" s="90">
        <f t="shared" si="58"/>
        <v>1</v>
      </c>
      <c r="D98" s="91">
        <f t="shared" si="59"/>
        <v>0.25</v>
      </c>
      <c r="E98" s="92">
        <f t="shared" si="57"/>
        <v>0.1</v>
      </c>
      <c r="F98" s="92">
        <f t="shared" si="57"/>
        <v>0.1</v>
      </c>
      <c r="G98" s="93">
        <f t="shared" si="57"/>
        <v>0.25</v>
      </c>
      <c r="H98" s="91">
        <f t="shared" si="57"/>
        <v>0.2</v>
      </c>
      <c r="I98" s="91">
        <f t="shared" si="57"/>
        <v>0</v>
      </c>
      <c r="J98" s="91">
        <f t="shared" si="57"/>
        <v>0.25</v>
      </c>
      <c r="K98" s="93">
        <f t="shared" si="57"/>
        <v>0.25</v>
      </c>
      <c r="L98" s="98">
        <f t="shared" si="57"/>
        <v>0.1</v>
      </c>
      <c r="M98" s="91">
        <f t="shared" si="57"/>
        <v>0.08</v>
      </c>
      <c r="N98" s="92">
        <f t="shared" si="57"/>
        <v>0.12</v>
      </c>
      <c r="O98" s="93">
        <f t="shared" si="57"/>
        <v>0.15</v>
      </c>
      <c r="P98" s="89" t="s">
        <v>85</v>
      </c>
    </row>
    <row r="99" spans="1:16" outlineLevel="1" x14ac:dyDescent="0.2">
      <c r="A99" s="20">
        <f t="shared" si="56"/>
        <v>3632</v>
      </c>
      <c r="B99" s="19" t="str">
        <f t="shared" si="56"/>
        <v>TAMU</v>
      </c>
      <c r="C99" s="90">
        <f t="shared" si="58"/>
        <v>1.0000000000000002</v>
      </c>
      <c r="D99" s="91">
        <f t="shared" si="59"/>
        <v>0.15</v>
      </c>
      <c r="E99" s="92">
        <f t="shared" si="57"/>
        <v>0.2</v>
      </c>
      <c r="F99" s="92">
        <f t="shared" si="57"/>
        <v>0.2</v>
      </c>
      <c r="G99" s="93">
        <f t="shared" si="57"/>
        <v>0.15</v>
      </c>
      <c r="H99" s="94">
        <f t="shared" si="57"/>
        <v>0.15</v>
      </c>
      <c r="I99" s="94">
        <f t="shared" si="57"/>
        <v>0.1</v>
      </c>
      <c r="J99" s="94">
        <f t="shared" si="57"/>
        <v>0.15</v>
      </c>
      <c r="K99" s="95">
        <f t="shared" si="57"/>
        <v>0.15</v>
      </c>
      <c r="L99" s="96">
        <f t="shared" si="57"/>
        <v>0.06</v>
      </c>
      <c r="M99" s="94">
        <f t="shared" si="57"/>
        <v>0.04</v>
      </c>
      <c r="N99" s="97">
        <f t="shared" si="57"/>
        <v>0.06</v>
      </c>
      <c r="O99" s="95">
        <f t="shared" si="57"/>
        <v>0.1</v>
      </c>
      <c r="P99" s="89" t="s">
        <v>82</v>
      </c>
    </row>
    <row r="100" spans="1:16" outlineLevel="1" x14ac:dyDescent="0.2">
      <c r="A100" s="20">
        <f t="shared" si="56"/>
        <v>10298</v>
      </c>
      <c r="B100" s="19" t="str">
        <f t="shared" si="56"/>
        <v>TAMUG</v>
      </c>
      <c r="C100" s="90">
        <f t="shared" si="58"/>
        <v>1.5</v>
      </c>
      <c r="D100" s="91">
        <f>SUMIF($P$131:$P$135,$P100,D$131:D$135)*1.5</f>
        <v>0.375</v>
      </c>
      <c r="E100" s="92">
        <f t="shared" ref="E100:O100" si="60">SUMIF($P$131:$P$135,$P100,E$131:E$135)*1.5</f>
        <v>0.15000000000000002</v>
      </c>
      <c r="F100" s="92">
        <f t="shared" si="60"/>
        <v>0.15000000000000002</v>
      </c>
      <c r="G100" s="93">
        <f t="shared" si="60"/>
        <v>0.375</v>
      </c>
      <c r="H100" s="91">
        <f t="shared" si="60"/>
        <v>0.30000000000000004</v>
      </c>
      <c r="I100" s="91">
        <f t="shared" si="60"/>
        <v>0</v>
      </c>
      <c r="J100" s="91">
        <f t="shared" si="60"/>
        <v>0.375</v>
      </c>
      <c r="K100" s="93">
        <f t="shared" si="60"/>
        <v>0.375</v>
      </c>
      <c r="L100" s="98">
        <f t="shared" si="60"/>
        <v>0.15000000000000002</v>
      </c>
      <c r="M100" s="91">
        <f t="shared" si="60"/>
        <v>0.12</v>
      </c>
      <c r="N100" s="92">
        <f t="shared" si="60"/>
        <v>0.18</v>
      </c>
      <c r="O100" s="93">
        <f t="shared" si="60"/>
        <v>0.22499999999999998</v>
      </c>
      <c r="P100" s="89" t="s">
        <v>85</v>
      </c>
    </row>
    <row r="101" spans="1:16" outlineLevel="1" x14ac:dyDescent="0.2">
      <c r="A101" s="20">
        <f t="shared" si="56"/>
        <v>3630</v>
      </c>
      <c r="B101" s="19" t="str">
        <f t="shared" si="56"/>
        <v>Prairie View</v>
      </c>
      <c r="C101" s="90">
        <f t="shared" si="58"/>
        <v>1</v>
      </c>
      <c r="D101" s="91">
        <f t="shared" si="59"/>
        <v>0.25</v>
      </c>
      <c r="E101" s="92">
        <f t="shared" si="57"/>
        <v>0.1</v>
      </c>
      <c r="F101" s="92">
        <f t="shared" si="57"/>
        <v>0.1</v>
      </c>
      <c r="G101" s="93">
        <f t="shared" si="57"/>
        <v>0.25</v>
      </c>
      <c r="H101" s="91">
        <f t="shared" si="57"/>
        <v>0.15</v>
      </c>
      <c r="I101" s="91">
        <f t="shared" si="57"/>
        <v>0.05</v>
      </c>
      <c r="J101" s="91">
        <f t="shared" si="57"/>
        <v>0.25</v>
      </c>
      <c r="K101" s="93">
        <f t="shared" si="57"/>
        <v>0.25</v>
      </c>
      <c r="L101" s="98">
        <f t="shared" si="57"/>
        <v>0.1</v>
      </c>
      <c r="M101" s="91">
        <f t="shared" si="57"/>
        <v>0.08</v>
      </c>
      <c r="N101" s="92">
        <f t="shared" si="57"/>
        <v>0.12</v>
      </c>
      <c r="O101" s="93">
        <f t="shared" si="57"/>
        <v>0.15</v>
      </c>
      <c r="P101" s="89" t="s">
        <v>86</v>
      </c>
    </row>
    <row r="102" spans="1:16" outlineLevel="1" x14ac:dyDescent="0.2">
      <c r="A102" s="20">
        <f t="shared" si="56"/>
        <v>3631</v>
      </c>
      <c r="B102" s="19" t="str">
        <f t="shared" si="56"/>
        <v>Tarleton</v>
      </c>
      <c r="C102" s="90">
        <f t="shared" si="58"/>
        <v>1</v>
      </c>
      <c r="D102" s="91">
        <f t="shared" si="59"/>
        <v>0.25</v>
      </c>
      <c r="E102" s="92">
        <f t="shared" si="57"/>
        <v>0.1</v>
      </c>
      <c r="F102" s="92">
        <f t="shared" si="57"/>
        <v>0.1</v>
      </c>
      <c r="G102" s="93">
        <f t="shared" si="57"/>
        <v>0.25</v>
      </c>
      <c r="H102" s="91">
        <f t="shared" si="57"/>
        <v>0.15</v>
      </c>
      <c r="I102" s="91">
        <f t="shared" si="57"/>
        <v>0.05</v>
      </c>
      <c r="J102" s="91">
        <f t="shared" si="57"/>
        <v>0.25</v>
      </c>
      <c r="K102" s="93">
        <f t="shared" si="57"/>
        <v>0.25</v>
      </c>
      <c r="L102" s="98">
        <f t="shared" si="57"/>
        <v>0.1</v>
      </c>
      <c r="M102" s="91">
        <f t="shared" si="57"/>
        <v>0.08</v>
      </c>
      <c r="N102" s="92">
        <f t="shared" si="57"/>
        <v>0.12</v>
      </c>
      <c r="O102" s="93">
        <f t="shared" si="57"/>
        <v>0.15</v>
      </c>
      <c r="P102" s="89" t="s">
        <v>86</v>
      </c>
    </row>
    <row r="103" spans="1:16" outlineLevel="1" x14ac:dyDescent="0.2">
      <c r="A103" s="27">
        <f t="shared" si="56"/>
        <v>103631</v>
      </c>
      <c r="B103" s="19" t="str">
        <f t="shared" si="56"/>
        <v>TAMUCT</v>
      </c>
      <c r="C103" s="90">
        <f t="shared" si="58"/>
        <v>1</v>
      </c>
      <c r="D103" s="91">
        <f t="shared" si="59"/>
        <v>0.25</v>
      </c>
      <c r="E103" s="92">
        <f t="shared" si="57"/>
        <v>0.1</v>
      </c>
      <c r="F103" s="92">
        <f t="shared" si="57"/>
        <v>0.1</v>
      </c>
      <c r="G103" s="93">
        <f t="shared" si="57"/>
        <v>0.25</v>
      </c>
      <c r="H103" s="91">
        <f t="shared" si="57"/>
        <v>0.2</v>
      </c>
      <c r="I103" s="91">
        <f t="shared" si="57"/>
        <v>0</v>
      </c>
      <c r="J103" s="91">
        <f t="shared" si="57"/>
        <v>0.25</v>
      </c>
      <c r="K103" s="93">
        <f t="shared" si="57"/>
        <v>0.25</v>
      </c>
      <c r="L103" s="98">
        <f t="shared" si="57"/>
        <v>0.1</v>
      </c>
      <c r="M103" s="91">
        <f t="shared" si="57"/>
        <v>0.08</v>
      </c>
      <c r="N103" s="92">
        <f t="shared" si="57"/>
        <v>0.12</v>
      </c>
      <c r="O103" s="93">
        <f t="shared" si="57"/>
        <v>0.15</v>
      </c>
      <c r="P103" s="89" t="s">
        <v>85</v>
      </c>
    </row>
    <row r="104" spans="1:16" outlineLevel="1" x14ac:dyDescent="0.2">
      <c r="A104" s="20">
        <f t="shared" si="56"/>
        <v>11161</v>
      </c>
      <c r="B104" s="19" t="str">
        <f t="shared" si="56"/>
        <v>TAMUCC</v>
      </c>
      <c r="C104" s="90">
        <f t="shared" si="58"/>
        <v>1</v>
      </c>
      <c r="D104" s="91">
        <f t="shared" si="59"/>
        <v>0.25</v>
      </c>
      <c r="E104" s="92">
        <f t="shared" si="57"/>
        <v>0.1</v>
      </c>
      <c r="F104" s="92">
        <f t="shared" si="57"/>
        <v>0.1</v>
      </c>
      <c r="G104" s="93">
        <f t="shared" si="57"/>
        <v>0.25</v>
      </c>
      <c r="H104" s="91">
        <f t="shared" si="57"/>
        <v>0.15</v>
      </c>
      <c r="I104" s="91">
        <f t="shared" si="57"/>
        <v>0.1</v>
      </c>
      <c r="J104" s="91">
        <f t="shared" si="57"/>
        <v>0.25</v>
      </c>
      <c r="K104" s="93">
        <f t="shared" si="57"/>
        <v>0.25</v>
      </c>
      <c r="L104" s="98">
        <f t="shared" si="57"/>
        <v>0.1</v>
      </c>
      <c r="M104" s="91">
        <f t="shared" si="57"/>
        <v>0.06</v>
      </c>
      <c r="N104" s="92">
        <f t="shared" si="57"/>
        <v>0.1</v>
      </c>
      <c r="O104" s="93">
        <f t="shared" si="57"/>
        <v>0.14000000000000001</v>
      </c>
      <c r="P104" s="89" t="s">
        <v>84</v>
      </c>
    </row>
    <row r="105" spans="1:16" outlineLevel="1" x14ac:dyDescent="0.2">
      <c r="A105" s="20">
        <f t="shared" si="56"/>
        <v>3639</v>
      </c>
      <c r="B105" s="19" t="str">
        <f t="shared" si="56"/>
        <v>TAMUK</v>
      </c>
      <c r="C105" s="90">
        <f t="shared" si="58"/>
        <v>1</v>
      </c>
      <c r="D105" s="91">
        <f t="shared" si="59"/>
        <v>0.25</v>
      </c>
      <c r="E105" s="92">
        <f t="shared" si="57"/>
        <v>0.1</v>
      </c>
      <c r="F105" s="92">
        <f t="shared" si="57"/>
        <v>0.1</v>
      </c>
      <c r="G105" s="93">
        <f t="shared" si="57"/>
        <v>0.25</v>
      </c>
      <c r="H105" s="91">
        <f t="shared" si="57"/>
        <v>0.15</v>
      </c>
      <c r="I105" s="91">
        <f t="shared" si="57"/>
        <v>0.1</v>
      </c>
      <c r="J105" s="91">
        <f t="shared" si="57"/>
        <v>0.25</v>
      </c>
      <c r="K105" s="93">
        <f t="shared" si="57"/>
        <v>0.25</v>
      </c>
      <c r="L105" s="98">
        <f t="shared" si="57"/>
        <v>0.1</v>
      </c>
      <c r="M105" s="91">
        <f t="shared" si="57"/>
        <v>0.06</v>
      </c>
      <c r="N105" s="92">
        <f t="shared" si="57"/>
        <v>0.1</v>
      </c>
      <c r="O105" s="93">
        <f t="shared" si="57"/>
        <v>0.14000000000000001</v>
      </c>
      <c r="P105" s="89" t="s">
        <v>84</v>
      </c>
    </row>
    <row r="106" spans="1:16" outlineLevel="1" x14ac:dyDescent="0.2">
      <c r="A106" s="27">
        <f t="shared" ref="A106:B121" si="61">A21</f>
        <v>103639</v>
      </c>
      <c r="B106" s="19" t="str">
        <f t="shared" si="61"/>
        <v>TAMUSA</v>
      </c>
      <c r="C106" s="90">
        <f t="shared" si="58"/>
        <v>1</v>
      </c>
      <c r="D106" s="91">
        <f t="shared" si="59"/>
        <v>0.25</v>
      </c>
      <c r="E106" s="92">
        <f t="shared" si="59"/>
        <v>0.1</v>
      </c>
      <c r="F106" s="92">
        <f t="shared" si="59"/>
        <v>0.1</v>
      </c>
      <c r="G106" s="93">
        <f t="shared" si="59"/>
        <v>0.25</v>
      </c>
      <c r="H106" s="91">
        <f t="shared" si="59"/>
        <v>0.2</v>
      </c>
      <c r="I106" s="91">
        <f t="shared" si="59"/>
        <v>0</v>
      </c>
      <c r="J106" s="91">
        <f t="shared" si="59"/>
        <v>0.25</v>
      </c>
      <c r="K106" s="93">
        <f t="shared" si="59"/>
        <v>0.25</v>
      </c>
      <c r="L106" s="98">
        <f t="shared" si="59"/>
        <v>0.1</v>
      </c>
      <c r="M106" s="91">
        <f t="shared" si="59"/>
        <v>0.08</v>
      </c>
      <c r="N106" s="92">
        <f t="shared" si="59"/>
        <v>0.12</v>
      </c>
      <c r="O106" s="93">
        <f t="shared" si="59"/>
        <v>0.15</v>
      </c>
      <c r="P106" s="89" t="s">
        <v>85</v>
      </c>
    </row>
    <row r="107" spans="1:16" outlineLevel="1" x14ac:dyDescent="0.2">
      <c r="A107" s="20">
        <f t="shared" si="61"/>
        <v>9651</v>
      </c>
      <c r="B107" s="19" t="str">
        <f t="shared" si="61"/>
        <v>TAMI</v>
      </c>
      <c r="C107" s="90">
        <f t="shared" si="58"/>
        <v>1</v>
      </c>
      <c r="D107" s="91">
        <f t="shared" ref="D107:O122" si="62">SUMIF($P$131:$P$135,$P107,D$131:D$135)</f>
        <v>0.25</v>
      </c>
      <c r="E107" s="92">
        <f t="shared" si="62"/>
        <v>0.1</v>
      </c>
      <c r="F107" s="92">
        <f t="shared" si="62"/>
        <v>0.1</v>
      </c>
      <c r="G107" s="93">
        <f t="shared" si="62"/>
        <v>0.25</v>
      </c>
      <c r="H107" s="91">
        <f t="shared" si="62"/>
        <v>0.15</v>
      </c>
      <c r="I107" s="91">
        <f t="shared" si="62"/>
        <v>0.05</v>
      </c>
      <c r="J107" s="91">
        <f t="shared" si="62"/>
        <v>0.25</v>
      </c>
      <c r="K107" s="93">
        <f t="shared" si="62"/>
        <v>0.25</v>
      </c>
      <c r="L107" s="98">
        <f t="shared" si="62"/>
        <v>0.1</v>
      </c>
      <c r="M107" s="91">
        <f t="shared" si="62"/>
        <v>0.08</v>
      </c>
      <c r="N107" s="92">
        <f t="shared" si="62"/>
        <v>0.12</v>
      </c>
      <c r="O107" s="93">
        <f t="shared" si="62"/>
        <v>0.15</v>
      </c>
      <c r="P107" s="89" t="s">
        <v>86</v>
      </c>
    </row>
    <row r="108" spans="1:16" outlineLevel="1" x14ac:dyDescent="0.2">
      <c r="A108" s="20">
        <f t="shared" si="61"/>
        <v>3665</v>
      </c>
      <c r="B108" s="19" t="str">
        <f t="shared" si="61"/>
        <v>WTAMU</v>
      </c>
      <c r="C108" s="90">
        <f t="shared" si="58"/>
        <v>1</v>
      </c>
      <c r="D108" s="91">
        <f t="shared" si="62"/>
        <v>0.25</v>
      </c>
      <c r="E108" s="92">
        <f t="shared" si="62"/>
        <v>0.1</v>
      </c>
      <c r="F108" s="92">
        <f t="shared" si="62"/>
        <v>0.1</v>
      </c>
      <c r="G108" s="93">
        <f t="shared" si="62"/>
        <v>0.25</v>
      </c>
      <c r="H108" s="91">
        <f t="shared" si="62"/>
        <v>0.15</v>
      </c>
      <c r="I108" s="91">
        <f t="shared" si="62"/>
        <v>0.05</v>
      </c>
      <c r="J108" s="91">
        <f t="shared" si="62"/>
        <v>0.25</v>
      </c>
      <c r="K108" s="93">
        <f t="shared" si="62"/>
        <v>0.25</v>
      </c>
      <c r="L108" s="98">
        <f t="shared" si="62"/>
        <v>0.1</v>
      </c>
      <c r="M108" s="91">
        <f t="shared" si="62"/>
        <v>0.08</v>
      </c>
      <c r="N108" s="92">
        <f t="shared" si="62"/>
        <v>0.12</v>
      </c>
      <c r="O108" s="93">
        <f t="shared" si="62"/>
        <v>0.15</v>
      </c>
      <c r="P108" s="89" t="s">
        <v>86</v>
      </c>
    </row>
    <row r="109" spans="1:16" outlineLevel="1" x14ac:dyDescent="0.2">
      <c r="A109" s="20">
        <f t="shared" si="61"/>
        <v>3565</v>
      </c>
      <c r="B109" s="19" t="str">
        <f t="shared" si="61"/>
        <v>TAMUC</v>
      </c>
      <c r="C109" s="90">
        <f t="shared" si="58"/>
        <v>1</v>
      </c>
      <c r="D109" s="91">
        <f t="shared" si="62"/>
        <v>0.25</v>
      </c>
      <c r="E109" s="92">
        <f t="shared" si="62"/>
        <v>0.1</v>
      </c>
      <c r="F109" s="92">
        <f t="shared" si="62"/>
        <v>0.1</v>
      </c>
      <c r="G109" s="93">
        <f t="shared" si="62"/>
        <v>0.25</v>
      </c>
      <c r="H109" s="91">
        <f t="shared" si="62"/>
        <v>0.15</v>
      </c>
      <c r="I109" s="91">
        <f t="shared" si="62"/>
        <v>0.1</v>
      </c>
      <c r="J109" s="91">
        <f t="shared" si="62"/>
        <v>0.25</v>
      </c>
      <c r="K109" s="93">
        <f t="shared" si="62"/>
        <v>0.25</v>
      </c>
      <c r="L109" s="98">
        <f t="shared" si="62"/>
        <v>0.1</v>
      </c>
      <c r="M109" s="91">
        <f t="shared" si="62"/>
        <v>0.06</v>
      </c>
      <c r="N109" s="92">
        <f t="shared" si="62"/>
        <v>0.1</v>
      </c>
      <c r="O109" s="93">
        <f t="shared" si="62"/>
        <v>0.14000000000000001</v>
      </c>
      <c r="P109" s="89" t="s">
        <v>84</v>
      </c>
    </row>
    <row r="110" spans="1:16" outlineLevel="1" x14ac:dyDescent="0.2">
      <c r="A110" s="20">
        <f t="shared" si="61"/>
        <v>29269</v>
      </c>
      <c r="B110" s="19" t="str">
        <f t="shared" si="61"/>
        <v>TAMUT</v>
      </c>
      <c r="C110" s="90">
        <f t="shared" si="58"/>
        <v>1</v>
      </c>
      <c r="D110" s="91">
        <f t="shared" si="62"/>
        <v>0.25</v>
      </c>
      <c r="E110" s="92">
        <f t="shared" si="62"/>
        <v>0.1</v>
      </c>
      <c r="F110" s="92">
        <f t="shared" si="62"/>
        <v>0.1</v>
      </c>
      <c r="G110" s="93">
        <f t="shared" si="62"/>
        <v>0.25</v>
      </c>
      <c r="H110" s="91">
        <f t="shared" si="62"/>
        <v>0.2</v>
      </c>
      <c r="I110" s="91">
        <f t="shared" si="62"/>
        <v>0</v>
      </c>
      <c r="J110" s="91">
        <f t="shared" si="62"/>
        <v>0.25</v>
      </c>
      <c r="K110" s="93">
        <f t="shared" si="62"/>
        <v>0.25</v>
      </c>
      <c r="L110" s="98">
        <f t="shared" si="62"/>
        <v>0.1</v>
      </c>
      <c r="M110" s="91">
        <f t="shared" si="62"/>
        <v>0.08</v>
      </c>
      <c r="N110" s="92">
        <f t="shared" si="62"/>
        <v>0.12</v>
      </c>
      <c r="O110" s="93">
        <f t="shared" si="62"/>
        <v>0.15</v>
      </c>
      <c r="P110" s="89" t="s">
        <v>85</v>
      </c>
    </row>
    <row r="111" spans="1:16" outlineLevel="1" x14ac:dyDescent="0.2">
      <c r="A111" s="20">
        <f t="shared" si="61"/>
        <v>3652</v>
      </c>
      <c r="B111" s="19" t="str">
        <f t="shared" si="61"/>
        <v>UH</v>
      </c>
      <c r="C111" s="90">
        <f t="shared" si="58"/>
        <v>1.0000000000000002</v>
      </c>
      <c r="D111" s="91">
        <f t="shared" si="62"/>
        <v>0.25</v>
      </c>
      <c r="E111" s="92">
        <f t="shared" si="62"/>
        <v>0.15</v>
      </c>
      <c r="F111" s="92">
        <f t="shared" si="62"/>
        <v>0.15</v>
      </c>
      <c r="G111" s="93">
        <f t="shared" si="62"/>
        <v>0.25</v>
      </c>
      <c r="H111" s="94">
        <f t="shared" si="62"/>
        <v>0.15</v>
      </c>
      <c r="I111" s="94">
        <f t="shared" si="62"/>
        <v>0.1</v>
      </c>
      <c r="J111" s="91">
        <f t="shared" si="62"/>
        <v>0.25</v>
      </c>
      <c r="K111" s="93">
        <f t="shared" si="62"/>
        <v>0.25</v>
      </c>
      <c r="L111" s="98">
        <f t="shared" si="62"/>
        <v>0.1</v>
      </c>
      <c r="M111" s="91">
        <f t="shared" si="62"/>
        <v>0.04</v>
      </c>
      <c r="N111" s="92">
        <f t="shared" si="62"/>
        <v>0.06</v>
      </c>
      <c r="O111" s="93">
        <f t="shared" si="62"/>
        <v>0.1</v>
      </c>
      <c r="P111" s="89" t="s">
        <v>83</v>
      </c>
    </row>
    <row r="112" spans="1:16" outlineLevel="1" x14ac:dyDescent="0.2">
      <c r="A112" s="20">
        <f t="shared" si="61"/>
        <v>11711</v>
      </c>
      <c r="B112" s="19" t="str">
        <f t="shared" si="61"/>
        <v>UHCL</v>
      </c>
      <c r="C112" s="90">
        <f t="shared" si="58"/>
        <v>1</v>
      </c>
      <c r="D112" s="91">
        <f t="shared" si="62"/>
        <v>0.25</v>
      </c>
      <c r="E112" s="92">
        <f t="shared" si="62"/>
        <v>0.1</v>
      </c>
      <c r="F112" s="92">
        <f t="shared" si="62"/>
        <v>0.1</v>
      </c>
      <c r="G112" s="93">
        <f t="shared" si="62"/>
        <v>0.25</v>
      </c>
      <c r="H112" s="91">
        <f t="shared" si="62"/>
        <v>0.2</v>
      </c>
      <c r="I112" s="91">
        <f t="shared" si="62"/>
        <v>0</v>
      </c>
      <c r="J112" s="91">
        <f t="shared" si="62"/>
        <v>0.25</v>
      </c>
      <c r="K112" s="93">
        <f t="shared" si="62"/>
        <v>0.25</v>
      </c>
      <c r="L112" s="98">
        <f t="shared" si="62"/>
        <v>0.1</v>
      </c>
      <c r="M112" s="91">
        <f t="shared" si="62"/>
        <v>0.08</v>
      </c>
      <c r="N112" s="92">
        <f t="shared" si="62"/>
        <v>0.12</v>
      </c>
      <c r="O112" s="93">
        <f t="shared" si="62"/>
        <v>0.15</v>
      </c>
      <c r="P112" s="89" t="s">
        <v>85</v>
      </c>
    </row>
    <row r="113" spans="1:16" outlineLevel="1" x14ac:dyDescent="0.2">
      <c r="A113" s="20">
        <f t="shared" si="61"/>
        <v>12826</v>
      </c>
      <c r="B113" s="19" t="str">
        <f t="shared" si="61"/>
        <v>UHD</v>
      </c>
      <c r="C113" s="90">
        <f t="shared" si="58"/>
        <v>1</v>
      </c>
      <c r="D113" s="91">
        <f t="shared" si="62"/>
        <v>0.25</v>
      </c>
      <c r="E113" s="92">
        <f t="shared" si="62"/>
        <v>0.1</v>
      </c>
      <c r="F113" s="92">
        <f t="shared" si="62"/>
        <v>0.1</v>
      </c>
      <c r="G113" s="93">
        <f t="shared" si="62"/>
        <v>0.25</v>
      </c>
      <c r="H113" s="91">
        <f t="shared" si="62"/>
        <v>0.2</v>
      </c>
      <c r="I113" s="91">
        <f t="shared" si="62"/>
        <v>0</v>
      </c>
      <c r="J113" s="91">
        <f t="shared" si="62"/>
        <v>0.25</v>
      </c>
      <c r="K113" s="93">
        <f t="shared" si="62"/>
        <v>0.25</v>
      </c>
      <c r="L113" s="98">
        <f t="shared" si="62"/>
        <v>0.1</v>
      </c>
      <c r="M113" s="91">
        <f t="shared" si="62"/>
        <v>0.08</v>
      </c>
      <c r="N113" s="92">
        <f t="shared" si="62"/>
        <v>0.12</v>
      </c>
      <c r="O113" s="93">
        <f t="shared" si="62"/>
        <v>0.15</v>
      </c>
      <c r="P113" s="89" t="s">
        <v>85</v>
      </c>
    </row>
    <row r="114" spans="1:16" outlineLevel="1" x14ac:dyDescent="0.2">
      <c r="A114" s="20">
        <f t="shared" si="61"/>
        <v>13231</v>
      </c>
      <c r="B114" s="19" t="str">
        <f t="shared" si="61"/>
        <v>UHV</v>
      </c>
      <c r="C114" s="90">
        <f t="shared" si="58"/>
        <v>1</v>
      </c>
      <c r="D114" s="91">
        <f t="shared" si="62"/>
        <v>0.25</v>
      </c>
      <c r="E114" s="92">
        <f t="shared" si="62"/>
        <v>0.1</v>
      </c>
      <c r="F114" s="92">
        <f t="shared" si="62"/>
        <v>0.1</v>
      </c>
      <c r="G114" s="93">
        <f t="shared" si="62"/>
        <v>0.25</v>
      </c>
      <c r="H114" s="91">
        <f t="shared" si="62"/>
        <v>0.2</v>
      </c>
      <c r="I114" s="91">
        <f t="shared" si="62"/>
        <v>0</v>
      </c>
      <c r="J114" s="91">
        <f t="shared" si="62"/>
        <v>0.25</v>
      </c>
      <c r="K114" s="93">
        <f t="shared" si="62"/>
        <v>0.25</v>
      </c>
      <c r="L114" s="98">
        <f t="shared" si="62"/>
        <v>0.1</v>
      </c>
      <c r="M114" s="91">
        <f t="shared" si="62"/>
        <v>0.08</v>
      </c>
      <c r="N114" s="92">
        <f t="shared" si="62"/>
        <v>0.12</v>
      </c>
      <c r="O114" s="93">
        <f t="shared" si="62"/>
        <v>0.15</v>
      </c>
      <c r="P114" s="89" t="s">
        <v>85</v>
      </c>
    </row>
    <row r="115" spans="1:16" outlineLevel="1" x14ac:dyDescent="0.2">
      <c r="A115" s="20">
        <f t="shared" si="61"/>
        <v>3592</v>
      </c>
      <c r="B115" s="19" t="str">
        <f t="shared" si="61"/>
        <v>Midwestern</v>
      </c>
      <c r="C115" s="90">
        <f t="shared" si="58"/>
        <v>1</v>
      </c>
      <c r="D115" s="91">
        <f t="shared" si="62"/>
        <v>0.25</v>
      </c>
      <c r="E115" s="92">
        <f t="shared" si="62"/>
        <v>0.1</v>
      </c>
      <c r="F115" s="92">
        <f t="shared" si="62"/>
        <v>0.1</v>
      </c>
      <c r="G115" s="93">
        <f t="shared" si="62"/>
        <v>0.25</v>
      </c>
      <c r="H115" s="91">
        <f t="shared" si="62"/>
        <v>0.2</v>
      </c>
      <c r="I115" s="91">
        <f t="shared" si="62"/>
        <v>0</v>
      </c>
      <c r="J115" s="91">
        <f t="shared" si="62"/>
        <v>0.25</v>
      </c>
      <c r="K115" s="93">
        <f t="shared" si="62"/>
        <v>0.25</v>
      </c>
      <c r="L115" s="98">
        <f t="shared" si="62"/>
        <v>0.1</v>
      </c>
      <c r="M115" s="91">
        <f t="shared" si="62"/>
        <v>0.08</v>
      </c>
      <c r="N115" s="92">
        <f t="shared" si="62"/>
        <v>0.12</v>
      </c>
      <c r="O115" s="93">
        <f t="shared" si="62"/>
        <v>0.15</v>
      </c>
      <c r="P115" s="89" t="s">
        <v>85</v>
      </c>
    </row>
    <row r="116" spans="1:16" outlineLevel="1" x14ac:dyDescent="0.2">
      <c r="A116" s="20">
        <f t="shared" si="61"/>
        <v>3594</v>
      </c>
      <c r="B116" s="19" t="str">
        <f t="shared" si="61"/>
        <v>UNT</v>
      </c>
      <c r="C116" s="90">
        <f t="shared" si="58"/>
        <v>1.0000000000000002</v>
      </c>
      <c r="D116" s="91">
        <f t="shared" si="62"/>
        <v>0.25</v>
      </c>
      <c r="E116" s="92">
        <f t="shared" si="62"/>
        <v>0.15</v>
      </c>
      <c r="F116" s="92">
        <f t="shared" si="62"/>
        <v>0.15</v>
      </c>
      <c r="G116" s="93">
        <f t="shared" si="62"/>
        <v>0.25</v>
      </c>
      <c r="H116" s="94">
        <f t="shared" si="62"/>
        <v>0.15</v>
      </c>
      <c r="I116" s="94">
        <f t="shared" si="62"/>
        <v>0.1</v>
      </c>
      <c r="J116" s="91">
        <f t="shared" si="62"/>
        <v>0.25</v>
      </c>
      <c r="K116" s="93">
        <f t="shared" si="62"/>
        <v>0.25</v>
      </c>
      <c r="L116" s="98">
        <f t="shared" si="62"/>
        <v>0.1</v>
      </c>
      <c r="M116" s="91">
        <f t="shared" si="62"/>
        <v>0.04</v>
      </c>
      <c r="N116" s="92">
        <f t="shared" si="62"/>
        <v>0.06</v>
      </c>
      <c r="O116" s="93">
        <f t="shared" si="62"/>
        <v>0.1</v>
      </c>
      <c r="P116" s="89" t="s">
        <v>83</v>
      </c>
    </row>
    <row r="117" spans="1:16" outlineLevel="1" x14ac:dyDescent="0.2">
      <c r="A117" s="27">
        <f t="shared" si="61"/>
        <v>113594</v>
      </c>
      <c r="B117" s="19" t="str">
        <f t="shared" si="61"/>
        <v>UNTD</v>
      </c>
      <c r="C117" s="90">
        <f t="shared" si="58"/>
        <v>1</v>
      </c>
      <c r="D117" s="91">
        <f t="shared" si="62"/>
        <v>0.25</v>
      </c>
      <c r="E117" s="92">
        <f t="shared" si="62"/>
        <v>0.1</v>
      </c>
      <c r="F117" s="92">
        <f t="shared" si="62"/>
        <v>0.1</v>
      </c>
      <c r="G117" s="93">
        <f t="shared" si="62"/>
        <v>0.25</v>
      </c>
      <c r="H117" s="91">
        <f t="shared" si="62"/>
        <v>0.2</v>
      </c>
      <c r="I117" s="91">
        <f t="shared" si="62"/>
        <v>0</v>
      </c>
      <c r="J117" s="91">
        <f t="shared" si="62"/>
        <v>0.25</v>
      </c>
      <c r="K117" s="93">
        <f t="shared" si="62"/>
        <v>0.25</v>
      </c>
      <c r="L117" s="98">
        <f t="shared" si="62"/>
        <v>0.1</v>
      </c>
      <c r="M117" s="91">
        <f t="shared" si="62"/>
        <v>0.08</v>
      </c>
      <c r="N117" s="92">
        <f t="shared" si="62"/>
        <v>0.12</v>
      </c>
      <c r="O117" s="93">
        <f t="shared" si="62"/>
        <v>0.15</v>
      </c>
      <c r="P117" s="89" t="s">
        <v>85</v>
      </c>
    </row>
    <row r="118" spans="1:16" outlineLevel="1" x14ac:dyDescent="0.2">
      <c r="A118" s="20">
        <f t="shared" si="61"/>
        <v>3624</v>
      </c>
      <c r="B118" s="19" t="str">
        <f t="shared" si="61"/>
        <v>SFA</v>
      </c>
      <c r="C118" s="90">
        <f t="shared" si="58"/>
        <v>1</v>
      </c>
      <c r="D118" s="91">
        <f t="shared" si="62"/>
        <v>0.25</v>
      </c>
      <c r="E118" s="92">
        <f t="shared" si="62"/>
        <v>0.1</v>
      </c>
      <c r="F118" s="92">
        <f t="shared" si="62"/>
        <v>0.1</v>
      </c>
      <c r="G118" s="93">
        <f t="shared" si="62"/>
        <v>0.25</v>
      </c>
      <c r="H118" s="91">
        <f t="shared" si="62"/>
        <v>0.15</v>
      </c>
      <c r="I118" s="91">
        <f t="shared" si="62"/>
        <v>0.05</v>
      </c>
      <c r="J118" s="91">
        <f t="shared" si="62"/>
        <v>0.25</v>
      </c>
      <c r="K118" s="93">
        <f t="shared" si="62"/>
        <v>0.25</v>
      </c>
      <c r="L118" s="98">
        <f t="shared" si="62"/>
        <v>0.1</v>
      </c>
      <c r="M118" s="91">
        <f t="shared" si="62"/>
        <v>0.08</v>
      </c>
      <c r="N118" s="92">
        <f t="shared" si="62"/>
        <v>0.12</v>
      </c>
      <c r="O118" s="93">
        <f t="shared" si="62"/>
        <v>0.15</v>
      </c>
      <c r="P118" s="89" t="s">
        <v>86</v>
      </c>
    </row>
    <row r="119" spans="1:16" outlineLevel="1" x14ac:dyDescent="0.2">
      <c r="A119" s="20">
        <f t="shared" si="61"/>
        <v>3642</v>
      </c>
      <c r="B119" s="19" t="str">
        <f t="shared" si="61"/>
        <v>TSU</v>
      </c>
      <c r="C119" s="90">
        <f t="shared" si="58"/>
        <v>1</v>
      </c>
      <c r="D119" s="91">
        <f t="shared" si="62"/>
        <v>0.25</v>
      </c>
      <c r="E119" s="92">
        <f t="shared" si="62"/>
        <v>0.1</v>
      </c>
      <c r="F119" s="92">
        <f t="shared" si="62"/>
        <v>0.1</v>
      </c>
      <c r="G119" s="93">
        <f t="shared" si="62"/>
        <v>0.25</v>
      </c>
      <c r="H119" s="91">
        <f t="shared" si="62"/>
        <v>0.15</v>
      </c>
      <c r="I119" s="91">
        <f t="shared" si="62"/>
        <v>0.1</v>
      </c>
      <c r="J119" s="91">
        <f t="shared" si="62"/>
        <v>0.25</v>
      </c>
      <c r="K119" s="93">
        <f t="shared" si="62"/>
        <v>0.25</v>
      </c>
      <c r="L119" s="98">
        <f t="shared" si="62"/>
        <v>0.1</v>
      </c>
      <c r="M119" s="91">
        <f t="shared" si="62"/>
        <v>0.06</v>
      </c>
      <c r="N119" s="92">
        <f t="shared" si="62"/>
        <v>0.1</v>
      </c>
      <c r="O119" s="93">
        <f t="shared" si="62"/>
        <v>0.14000000000000001</v>
      </c>
      <c r="P119" s="89" t="s">
        <v>84</v>
      </c>
    </row>
    <row r="120" spans="1:16" outlineLevel="1" x14ac:dyDescent="0.2">
      <c r="A120" s="20">
        <f t="shared" si="61"/>
        <v>3644</v>
      </c>
      <c r="B120" s="19" t="str">
        <f t="shared" si="61"/>
        <v>TTU</v>
      </c>
      <c r="C120" s="90">
        <f t="shared" si="58"/>
        <v>1.0000000000000002</v>
      </c>
      <c r="D120" s="91">
        <f t="shared" si="62"/>
        <v>0.25</v>
      </c>
      <c r="E120" s="92">
        <f t="shared" si="62"/>
        <v>0.15</v>
      </c>
      <c r="F120" s="92">
        <f t="shared" si="62"/>
        <v>0.15</v>
      </c>
      <c r="G120" s="93">
        <f t="shared" si="62"/>
        <v>0.25</v>
      </c>
      <c r="H120" s="94">
        <f t="shared" si="62"/>
        <v>0.15</v>
      </c>
      <c r="I120" s="94">
        <f t="shared" si="62"/>
        <v>0.1</v>
      </c>
      <c r="J120" s="91">
        <f t="shared" si="62"/>
        <v>0.25</v>
      </c>
      <c r="K120" s="93">
        <f t="shared" si="62"/>
        <v>0.25</v>
      </c>
      <c r="L120" s="98">
        <f t="shared" si="62"/>
        <v>0.1</v>
      </c>
      <c r="M120" s="91">
        <f t="shared" si="62"/>
        <v>0.04</v>
      </c>
      <c r="N120" s="92">
        <f t="shared" si="62"/>
        <v>0.06</v>
      </c>
      <c r="O120" s="93">
        <f t="shared" si="62"/>
        <v>0.1</v>
      </c>
      <c r="P120" s="89" t="s">
        <v>83</v>
      </c>
    </row>
    <row r="121" spans="1:16" outlineLevel="1" x14ac:dyDescent="0.2">
      <c r="A121" s="20">
        <f t="shared" si="61"/>
        <v>3541</v>
      </c>
      <c r="B121" s="19" t="str">
        <f t="shared" si="61"/>
        <v>Angelo</v>
      </c>
      <c r="C121" s="90">
        <f t="shared" si="58"/>
        <v>1</v>
      </c>
      <c r="D121" s="91">
        <f t="shared" si="62"/>
        <v>0.25</v>
      </c>
      <c r="E121" s="92">
        <f t="shared" si="62"/>
        <v>0.1</v>
      </c>
      <c r="F121" s="92">
        <f t="shared" si="62"/>
        <v>0.1</v>
      </c>
      <c r="G121" s="93">
        <f t="shared" si="62"/>
        <v>0.25</v>
      </c>
      <c r="H121" s="91">
        <f t="shared" si="62"/>
        <v>0.2</v>
      </c>
      <c r="I121" s="91">
        <f t="shared" si="62"/>
        <v>0</v>
      </c>
      <c r="J121" s="91">
        <f t="shared" si="62"/>
        <v>0.25</v>
      </c>
      <c r="K121" s="93">
        <f t="shared" si="62"/>
        <v>0.25</v>
      </c>
      <c r="L121" s="98">
        <f t="shared" si="62"/>
        <v>0.1</v>
      </c>
      <c r="M121" s="91">
        <f t="shared" si="62"/>
        <v>0.08</v>
      </c>
      <c r="N121" s="92">
        <f t="shared" si="62"/>
        <v>0.12</v>
      </c>
      <c r="O121" s="93">
        <f t="shared" si="62"/>
        <v>0.15</v>
      </c>
      <c r="P121" s="89" t="s">
        <v>85</v>
      </c>
    </row>
    <row r="122" spans="1:16" outlineLevel="1" x14ac:dyDescent="0.2">
      <c r="A122" s="20">
        <f t="shared" ref="A122:B127" si="63">A37</f>
        <v>3646</v>
      </c>
      <c r="B122" s="19" t="str">
        <f t="shared" si="63"/>
        <v>TWU</v>
      </c>
      <c r="C122" s="90">
        <f t="shared" si="58"/>
        <v>1</v>
      </c>
      <c r="D122" s="91">
        <f t="shared" si="62"/>
        <v>0.25</v>
      </c>
      <c r="E122" s="92">
        <f t="shared" si="62"/>
        <v>0.1</v>
      </c>
      <c r="F122" s="92">
        <f t="shared" si="62"/>
        <v>0.1</v>
      </c>
      <c r="G122" s="93">
        <f t="shared" si="62"/>
        <v>0.25</v>
      </c>
      <c r="H122" s="91">
        <f t="shared" si="62"/>
        <v>0.15</v>
      </c>
      <c r="I122" s="91">
        <f t="shared" si="62"/>
        <v>0.1</v>
      </c>
      <c r="J122" s="91">
        <f t="shared" si="62"/>
        <v>0.25</v>
      </c>
      <c r="K122" s="93">
        <f t="shared" si="62"/>
        <v>0.25</v>
      </c>
      <c r="L122" s="98">
        <f t="shared" si="62"/>
        <v>0.1</v>
      </c>
      <c r="M122" s="91">
        <f t="shared" si="62"/>
        <v>0.06</v>
      </c>
      <c r="N122" s="92">
        <f t="shared" si="62"/>
        <v>0.1</v>
      </c>
      <c r="O122" s="93">
        <f t="shared" si="62"/>
        <v>0.14000000000000001</v>
      </c>
      <c r="P122" s="89" t="s">
        <v>84</v>
      </c>
    </row>
    <row r="123" spans="1:16" outlineLevel="1" x14ac:dyDescent="0.2">
      <c r="A123" s="20">
        <f t="shared" si="63"/>
        <v>3581</v>
      </c>
      <c r="B123" s="19" t="str">
        <f t="shared" si="63"/>
        <v>Lamar</v>
      </c>
      <c r="C123" s="90">
        <f t="shared" si="58"/>
        <v>1</v>
      </c>
      <c r="D123" s="91">
        <f t="shared" ref="D123:O127" si="64">SUMIF($P$131:$P$135,$P123,D$131:D$135)</f>
        <v>0.25</v>
      </c>
      <c r="E123" s="92">
        <f t="shared" si="64"/>
        <v>0.1</v>
      </c>
      <c r="F123" s="92">
        <f t="shared" si="64"/>
        <v>0.1</v>
      </c>
      <c r="G123" s="93">
        <f t="shared" si="64"/>
        <v>0.25</v>
      </c>
      <c r="H123" s="91">
        <f t="shared" si="64"/>
        <v>0.15</v>
      </c>
      <c r="I123" s="91">
        <f t="shared" si="64"/>
        <v>0.05</v>
      </c>
      <c r="J123" s="91">
        <f t="shared" si="64"/>
        <v>0.25</v>
      </c>
      <c r="K123" s="93">
        <f t="shared" si="64"/>
        <v>0.25</v>
      </c>
      <c r="L123" s="98">
        <f t="shared" si="64"/>
        <v>0.1</v>
      </c>
      <c r="M123" s="91">
        <f t="shared" si="64"/>
        <v>0.08</v>
      </c>
      <c r="N123" s="92">
        <f t="shared" si="64"/>
        <v>0.12</v>
      </c>
      <c r="O123" s="93">
        <f t="shared" si="64"/>
        <v>0.15</v>
      </c>
      <c r="P123" s="89" t="s">
        <v>86</v>
      </c>
    </row>
    <row r="124" spans="1:16" outlineLevel="1" x14ac:dyDescent="0.2">
      <c r="A124" s="20">
        <f t="shared" si="63"/>
        <v>3606</v>
      </c>
      <c r="B124" s="19" t="str">
        <f t="shared" si="63"/>
        <v>SHSU</v>
      </c>
      <c r="C124" s="90">
        <f t="shared" si="58"/>
        <v>1</v>
      </c>
      <c r="D124" s="91">
        <f t="shared" si="64"/>
        <v>0.25</v>
      </c>
      <c r="E124" s="92">
        <f t="shared" si="64"/>
        <v>0.1</v>
      </c>
      <c r="F124" s="92">
        <f t="shared" si="64"/>
        <v>0.1</v>
      </c>
      <c r="G124" s="93">
        <f t="shared" si="64"/>
        <v>0.25</v>
      </c>
      <c r="H124" s="91">
        <f t="shared" si="64"/>
        <v>0.15</v>
      </c>
      <c r="I124" s="91">
        <f t="shared" si="64"/>
        <v>0.1</v>
      </c>
      <c r="J124" s="91">
        <f t="shared" si="64"/>
        <v>0.25</v>
      </c>
      <c r="K124" s="93">
        <f t="shared" si="64"/>
        <v>0.25</v>
      </c>
      <c r="L124" s="98">
        <f t="shared" si="64"/>
        <v>0.1</v>
      </c>
      <c r="M124" s="91">
        <f t="shared" si="64"/>
        <v>0.06</v>
      </c>
      <c r="N124" s="92">
        <f t="shared" si="64"/>
        <v>0.1</v>
      </c>
      <c r="O124" s="93">
        <f t="shared" si="64"/>
        <v>0.14000000000000001</v>
      </c>
      <c r="P124" s="89" t="s">
        <v>84</v>
      </c>
    </row>
    <row r="125" spans="1:16" outlineLevel="1" x14ac:dyDescent="0.2">
      <c r="A125" s="20">
        <f t="shared" si="63"/>
        <v>3615</v>
      </c>
      <c r="B125" s="19" t="str">
        <f t="shared" si="63"/>
        <v>TXST</v>
      </c>
      <c r="C125" s="90">
        <f t="shared" si="58"/>
        <v>1.0000000000000002</v>
      </c>
      <c r="D125" s="91">
        <f t="shared" si="64"/>
        <v>0.25</v>
      </c>
      <c r="E125" s="92">
        <f t="shared" si="64"/>
        <v>0.15</v>
      </c>
      <c r="F125" s="92">
        <f t="shared" si="64"/>
        <v>0.15</v>
      </c>
      <c r="G125" s="93">
        <f t="shared" si="64"/>
        <v>0.25</v>
      </c>
      <c r="H125" s="91">
        <f t="shared" si="64"/>
        <v>0.15</v>
      </c>
      <c r="I125" s="91">
        <f t="shared" si="64"/>
        <v>0.1</v>
      </c>
      <c r="J125" s="91">
        <f t="shared" si="64"/>
        <v>0.25</v>
      </c>
      <c r="K125" s="93">
        <f t="shared" si="64"/>
        <v>0.25</v>
      </c>
      <c r="L125" s="98">
        <f t="shared" si="64"/>
        <v>0.1</v>
      </c>
      <c r="M125" s="91">
        <f t="shared" si="64"/>
        <v>0.04</v>
      </c>
      <c r="N125" s="92">
        <f t="shared" si="64"/>
        <v>0.06</v>
      </c>
      <c r="O125" s="93">
        <f t="shared" si="64"/>
        <v>0.1</v>
      </c>
      <c r="P125" s="89" t="s">
        <v>83</v>
      </c>
    </row>
    <row r="126" spans="1:16" outlineLevel="1" x14ac:dyDescent="0.2">
      <c r="A126" s="20">
        <f t="shared" si="63"/>
        <v>3625</v>
      </c>
      <c r="B126" s="19" t="str">
        <f t="shared" si="63"/>
        <v>SRSU</v>
      </c>
      <c r="C126" s="90">
        <f t="shared" si="58"/>
        <v>1</v>
      </c>
      <c r="D126" s="91">
        <f t="shared" si="64"/>
        <v>0.25</v>
      </c>
      <c r="E126" s="92">
        <f t="shared" si="64"/>
        <v>0.1</v>
      </c>
      <c r="F126" s="92">
        <f t="shared" si="64"/>
        <v>0.1</v>
      </c>
      <c r="G126" s="93">
        <f t="shared" si="64"/>
        <v>0.25</v>
      </c>
      <c r="H126" s="91">
        <f t="shared" si="64"/>
        <v>0.2</v>
      </c>
      <c r="I126" s="91">
        <f t="shared" si="64"/>
        <v>0</v>
      </c>
      <c r="J126" s="91">
        <f t="shared" si="64"/>
        <v>0.25</v>
      </c>
      <c r="K126" s="93">
        <f t="shared" si="64"/>
        <v>0.25</v>
      </c>
      <c r="L126" s="98">
        <f t="shared" si="64"/>
        <v>0.1</v>
      </c>
      <c r="M126" s="91">
        <f t="shared" si="64"/>
        <v>0.08</v>
      </c>
      <c r="N126" s="92">
        <f t="shared" si="64"/>
        <v>0.12</v>
      </c>
      <c r="O126" s="93">
        <f t="shared" si="64"/>
        <v>0.15</v>
      </c>
      <c r="P126" s="89" t="s">
        <v>85</v>
      </c>
    </row>
    <row r="127" spans="1:16" outlineLevel="1" x14ac:dyDescent="0.2">
      <c r="A127" s="20">
        <f t="shared" si="63"/>
        <v>20</v>
      </c>
      <c r="B127" s="19" t="str">
        <f t="shared" si="63"/>
        <v>SRRG</v>
      </c>
      <c r="C127" s="90">
        <f t="shared" si="58"/>
        <v>1</v>
      </c>
      <c r="D127" s="91">
        <f t="shared" si="64"/>
        <v>0.25</v>
      </c>
      <c r="E127" s="92">
        <f t="shared" si="64"/>
        <v>0.1</v>
      </c>
      <c r="F127" s="92">
        <f t="shared" si="64"/>
        <v>0.1</v>
      </c>
      <c r="G127" s="93">
        <f t="shared" si="64"/>
        <v>0.25</v>
      </c>
      <c r="H127" s="91">
        <f t="shared" si="64"/>
        <v>0.2</v>
      </c>
      <c r="I127" s="91">
        <f t="shared" si="64"/>
        <v>0</v>
      </c>
      <c r="J127" s="91">
        <f t="shared" si="64"/>
        <v>0.25</v>
      </c>
      <c r="K127" s="93">
        <f t="shared" si="64"/>
        <v>0.25</v>
      </c>
      <c r="L127" s="98">
        <f t="shared" si="64"/>
        <v>0.1</v>
      </c>
      <c r="M127" s="91">
        <f t="shared" si="64"/>
        <v>0.08</v>
      </c>
      <c r="N127" s="92">
        <f t="shared" si="64"/>
        <v>0.12</v>
      </c>
      <c r="O127" s="93">
        <f t="shared" si="64"/>
        <v>0.15</v>
      </c>
      <c r="P127" s="89" t="s">
        <v>85</v>
      </c>
    </row>
    <row r="128" spans="1:16" ht="13.5" thickBot="1" x14ac:dyDescent="0.25">
      <c r="A128" s="118" t="s">
        <v>90</v>
      </c>
      <c r="B128" s="72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20"/>
    </row>
    <row r="129" spans="1:16" x14ac:dyDescent="0.2">
      <c r="A129" s="118"/>
      <c r="B129" s="72"/>
      <c r="C129" s="181" t="s">
        <v>77</v>
      </c>
      <c r="D129" s="183" t="s">
        <v>35</v>
      </c>
      <c r="E129" s="184"/>
      <c r="F129" s="184"/>
      <c r="G129" s="185"/>
      <c r="H129" s="186" t="s">
        <v>85</v>
      </c>
      <c r="I129" s="186" t="s">
        <v>89</v>
      </c>
      <c r="J129" s="186" t="s">
        <v>18</v>
      </c>
      <c r="K129" s="195" t="s">
        <v>17</v>
      </c>
      <c r="L129" s="197" t="s">
        <v>16</v>
      </c>
      <c r="M129" s="199" t="s">
        <v>34</v>
      </c>
      <c r="N129" s="200"/>
      <c r="O129" s="200"/>
      <c r="P129" s="212" t="s">
        <v>106</v>
      </c>
    </row>
    <row r="130" spans="1:16" ht="51.75" thickBot="1" x14ac:dyDescent="0.25">
      <c r="A130" s="118"/>
      <c r="B130" s="72"/>
      <c r="C130" s="182"/>
      <c r="D130" s="68"/>
      <c r="E130" s="67" t="s">
        <v>33</v>
      </c>
      <c r="F130" s="67" t="s">
        <v>32</v>
      </c>
      <c r="G130" s="115" t="s">
        <v>31</v>
      </c>
      <c r="H130" s="187"/>
      <c r="I130" s="187"/>
      <c r="J130" s="187"/>
      <c r="K130" s="196"/>
      <c r="L130" s="198"/>
      <c r="M130" s="44" t="s">
        <v>14</v>
      </c>
      <c r="N130" s="43" t="s">
        <v>13</v>
      </c>
      <c r="O130" s="42" t="s">
        <v>12</v>
      </c>
      <c r="P130" s="213"/>
    </row>
    <row r="131" spans="1:16" x14ac:dyDescent="0.2">
      <c r="A131" s="118"/>
      <c r="B131" s="72"/>
      <c r="C131" s="122">
        <f>D131+E131+F131+M131+H131+I131+N131+O131</f>
        <v>1.0000000000000002</v>
      </c>
      <c r="D131" s="123">
        <v>0.15</v>
      </c>
      <c r="E131" s="124">
        <v>0.2</v>
      </c>
      <c r="F131" s="125">
        <v>0.2</v>
      </c>
      <c r="G131" s="126">
        <f>D131</f>
        <v>0.15</v>
      </c>
      <c r="H131" s="127">
        <v>0.15</v>
      </c>
      <c r="I131" s="128">
        <v>0.1</v>
      </c>
      <c r="J131" s="127">
        <f>D131</f>
        <v>0.15</v>
      </c>
      <c r="K131" s="129">
        <f>D131</f>
        <v>0.15</v>
      </c>
      <c r="L131" s="130">
        <f>D131*0.4</f>
        <v>0.06</v>
      </c>
      <c r="M131" s="127">
        <v>0.04</v>
      </c>
      <c r="N131" s="131">
        <v>0.06</v>
      </c>
      <c r="O131" s="129">
        <v>0.1</v>
      </c>
      <c r="P131" s="88" t="s">
        <v>82</v>
      </c>
    </row>
    <row r="132" spans="1:16" x14ac:dyDescent="0.2">
      <c r="A132" s="118"/>
      <c r="B132" s="72"/>
      <c r="C132" s="122">
        <f>D132+E132+F132+M132+H132+I132+N132+O132</f>
        <v>1.0000000000000002</v>
      </c>
      <c r="D132" s="132">
        <v>0.25</v>
      </c>
      <c r="E132" s="125">
        <v>0.15</v>
      </c>
      <c r="F132" s="133">
        <v>0.15</v>
      </c>
      <c r="G132" s="134">
        <f>D132</f>
        <v>0.25</v>
      </c>
      <c r="H132" s="127">
        <v>0.15</v>
      </c>
      <c r="I132" s="128">
        <v>0.1</v>
      </c>
      <c r="J132" s="135">
        <f>D132</f>
        <v>0.25</v>
      </c>
      <c r="K132" s="136">
        <f>D132</f>
        <v>0.25</v>
      </c>
      <c r="L132" s="137">
        <f>D132*0.4</f>
        <v>0.1</v>
      </c>
      <c r="M132" s="127">
        <v>0.04</v>
      </c>
      <c r="N132" s="131">
        <v>0.06</v>
      </c>
      <c r="O132" s="129">
        <v>0.1</v>
      </c>
      <c r="P132" s="89" t="s">
        <v>83</v>
      </c>
    </row>
    <row r="133" spans="1:16" x14ac:dyDescent="0.2">
      <c r="A133" s="118"/>
      <c r="B133" s="72"/>
      <c r="C133" s="122">
        <f>D133+E133+F133+M133+H133+I133+N133+O133</f>
        <v>1</v>
      </c>
      <c r="D133" s="132">
        <v>0.25</v>
      </c>
      <c r="E133" s="133">
        <v>0.1</v>
      </c>
      <c r="F133" s="138">
        <v>0.1</v>
      </c>
      <c r="G133" s="134">
        <f>D133</f>
        <v>0.25</v>
      </c>
      <c r="H133" s="123">
        <v>0.15</v>
      </c>
      <c r="I133" s="139">
        <v>0.1</v>
      </c>
      <c r="J133" s="132">
        <f>D133</f>
        <v>0.25</v>
      </c>
      <c r="K133" s="134">
        <f>D133</f>
        <v>0.25</v>
      </c>
      <c r="L133" s="140">
        <f>D133*0.4</f>
        <v>0.1</v>
      </c>
      <c r="M133" s="132">
        <v>0.06</v>
      </c>
      <c r="N133" s="133">
        <v>0.1</v>
      </c>
      <c r="O133" s="134">
        <v>0.14000000000000001</v>
      </c>
      <c r="P133" s="89" t="s">
        <v>84</v>
      </c>
    </row>
    <row r="134" spans="1:16" x14ac:dyDescent="0.2">
      <c r="A134" s="118"/>
      <c r="B134" s="72"/>
      <c r="C134" s="122">
        <f>D134+E134+F134+M134+H134+I134+N134+O134</f>
        <v>1</v>
      </c>
      <c r="D134" s="132">
        <v>0.25</v>
      </c>
      <c r="E134" s="133">
        <v>0.1</v>
      </c>
      <c r="F134" s="138">
        <v>0.1</v>
      </c>
      <c r="G134" s="134">
        <f>D134</f>
        <v>0.25</v>
      </c>
      <c r="H134" s="123">
        <v>0.15</v>
      </c>
      <c r="I134" s="132">
        <v>0.05</v>
      </c>
      <c r="J134" s="132">
        <f>D134</f>
        <v>0.25</v>
      </c>
      <c r="K134" s="134">
        <f>D134</f>
        <v>0.25</v>
      </c>
      <c r="L134" s="140">
        <f>D134*0.4</f>
        <v>0.1</v>
      </c>
      <c r="M134" s="139">
        <v>0.08</v>
      </c>
      <c r="N134" s="125">
        <v>0.12</v>
      </c>
      <c r="O134" s="141">
        <v>0.15</v>
      </c>
      <c r="P134" s="89" t="s">
        <v>86</v>
      </c>
    </row>
    <row r="135" spans="1:16" x14ac:dyDescent="0.2">
      <c r="A135" s="118"/>
      <c r="B135" s="72"/>
      <c r="C135" s="122">
        <f>D135+E135+F135+M135+H135+I135+N135+O135</f>
        <v>1</v>
      </c>
      <c r="D135" s="132">
        <v>0.25</v>
      </c>
      <c r="E135" s="133">
        <v>0.1</v>
      </c>
      <c r="F135" s="138">
        <v>0.1</v>
      </c>
      <c r="G135" s="134">
        <f>D135</f>
        <v>0.25</v>
      </c>
      <c r="H135" s="132">
        <v>0.2</v>
      </c>
      <c r="I135" s="123">
        <v>0</v>
      </c>
      <c r="J135" s="132">
        <f>D135</f>
        <v>0.25</v>
      </c>
      <c r="K135" s="134">
        <f>D135</f>
        <v>0.25</v>
      </c>
      <c r="L135" s="140">
        <f>D135*0.4</f>
        <v>0.1</v>
      </c>
      <c r="M135" s="139">
        <v>0.08</v>
      </c>
      <c r="N135" s="125">
        <v>0.12</v>
      </c>
      <c r="O135" s="141">
        <v>0.15</v>
      </c>
      <c r="P135" s="89" t="s">
        <v>85</v>
      </c>
    </row>
    <row r="136" spans="1:16" ht="13.5" thickBot="1" x14ac:dyDescent="0.25">
      <c r="A136" s="69" t="s">
        <v>75</v>
      </c>
    </row>
    <row r="137" spans="1:16" ht="12.75" customHeight="1" outlineLevel="1" x14ac:dyDescent="0.2">
      <c r="A137" s="177" t="s">
        <v>24</v>
      </c>
      <c r="B137" s="179" t="s">
        <v>23</v>
      </c>
      <c r="C137" s="181" t="s">
        <v>36</v>
      </c>
      <c r="D137" s="183" t="s">
        <v>35</v>
      </c>
      <c r="E137" s="184"/>
      <c r="F137" s="184"/>
      <c r="G137" s="185"/>
      <c r="H137" s="186" t="str">
        <f>H3</f>
        <v>Master's</v>
      </c>
      <c r="I137" s="186" t="str">
        <f>I3</f>
        <v>Doctoral and Professional Practice</v>
      </c>
      <c r="J137" s="186" t="s">
        <v>18</v>
      </c>
      <c r="K137" s="195" t="s">
        <v>17</v>
      </c>
      <c r="L137" s="197" t="s">
        <v>16</v>
      </c>
      <c r="M137" s="199" t="s">
        <v>34</v>
      </c>
      <c r="N137" s="200"/>
      <c r="O137" s="200"/>
    </row>
    <row r="138" spans="1:16" ht="51.75" outlineLevel="1" thickBot="1" x14ac:dyDescent="0.25">
      <c r="A138" s="178"/>
      <c r="B138" s="180"/>
      <c r="C138" s="182"/>
      <c r="D138" s="68"/>
      <c r="E138" s="67" t="s">
        <v>33</v>
      </c>
      <c r="F138" s="67" t="s">
        <v>32</v>
      </c>
      <c r="G138" s="114" t="s">
        <v>31</v>
      </c>
      <c r="H138" s="187"/>
      <c r="I138" s="187"/>
      <c r="J138" s="187"/>
      <c r="K138" s="196"/>
      <c r="L138" s="198"/>
      <c r="M138" s="44" t="s">
        <v>14</v>
      </c>
      <c r="N138" s="43" t="s">
        <v>13</v>
      </c>
      <c r="O138" s="42" t="s">
        <v>12</v>
      </c>
    </row>
    <row r="139" spans="1:16" outlineLevel="1" x14ac:dyDescent="0.2">
      <c r="A139" s="207" t="s">
        <v>79</v>
      </c>
      <c r="B139" s="208"/>
      <c r="C139" s="209"/>
      <c r="D139" s="62">
        <v>1</v>
      </c>
      <c r="E139" s="61">
        <v>1</v>
      </c>
      <c r="F139" s="61">
        <v>50</v>
      </c>
      <c r="G139" s="60">
        <v>1</v>
      </c>
      <c r="H139" s="65">
        <v>3.3333333333333335</v>
      </c>
      <c r="I139" s="65">
        <v>20</v>
      </c>
      <c r="J139" s="65">
        <v>1</v>
      </c>
      <c r="K139" s="64">
        <v>1</v>
      </c>
      <c r="L139" s="63">
        <v>0.4</v>
      </c>
      <c r="M139" s="62">
        <v>1</v>
      </c>
      <c r="N139" s="61">
        <v>1</v>
      </c>
      <c r="O139" s="60">
        <v>1</v>
      </c>
    </row>
    <row r="140" spans="1:16" outlineLevel="1" x14ac:dyDescent="0.2">
      <c r="A140" s="20">
        <f t="shared" ref="A140:B159" si="65">A5</f>
        <v>3656</v>
      </c>
      <c r="B140" s="19" t="str">
        <f t="shared" si="65"/>
        <v>UTA</v>
      </c>
      <c r="C140" s="58">
        <f t="shared" ref="C140:C177" si="66">SUM(D140:O140)</f>
        <v>45994.139413902456</v>
      </c>
      <c r="D140" s="15">
        <f t="shared" ref="D140:D149" si="67">D182*D$139</f>
        <v>5018</v>
      </c>
      <c r="E140" s="14">
        <f t="shared" ref="E140:E149" si="68">D182*E182*E$139</f>
        <v>2600.9966666666669</v>
      </c>
      <c r="F140" s="14">
        <f t="shared" ref="F140:F149" si="69">IFERROR(D182/F182*100*F$139,0)</f>
        <v>1480.1894139024141</v>
      </c>
      <c r="G140" s="13">
        <f t="shared" ref="G140:O149" si="70">G182*G$139</f>
        <v>10418.553333333379</v>
      </c>
      <c r="H140" s="36">
        <f t="shared" si="70"/>
        <v>8396.6666666666679</v>
      </c>
      <c r="I140" s="36">
        <f t="shared" si="70"/>
        <v>2813.333333333333</v>
      </c>
      <c r="J140" s="36">
        <f t="shared" si="70"/>
        <v>1531.3333333333333</v>
      </c>
      <c r="K140" s="35">
        <f t="shared" si="70"/>
        <v>35</v>
      </c>
      <c r="L140" s="34">
        <f t="shared" si="70"/>
        <v>1246.4000000000001</v>
      </c>
      <c r="M140" s="36">
        <f t="shared" si="70"/>
        <v>6836.333333333333</v>
      </c>
      <c r="N140" s="59">
        <f t="shared" si="70"/>
        <v>3833.6666666666665</v>
      </c>
      <c r="O140" s="35">
        <f t="shared" si="70"/>
        <v>1783.6666666666667</v>
      </c>
    </row>
    <row r="141" spans="1:16" outlineLevel="1" x14ac:dyDescent="0.2">
      <c r="A141" s="20">
        <f t="shared" si="65"/>
        <v>3658</v>
      </c>
      <c r="B141" s="19" t="str">
        <f t="shared" si="65"/>
        <v>UT</v>
      </c>
      <c r="C141" s="58">
        <f t="shared" si="66"/>
        <v>103153.10049194563</v>
      </c>
      <c r="D141" s="15">
        <f t="shared" si="67"/>
        <v>8946.3333333333339</v>
      </c>
      <c r="E141" s="14">
        <f t="shared" si="68"/>
        <v>7416.5103333333345</v>
      </c>
      <c r="F141" s="14">
        <f t="shared" si="69"/>
        <v>1324.8846030562338</v>
      </c>
      <c r="G141" s="13">
        <f t="shared" si="70"/>
        <v>19398.350000000519</v>
      </c>
      <c r="H141" s="15">
        <f t="shared" si="70"/>
        <v>10018.888888888889</v>
      </c>
      <c r="I141" s="15">
        <f t="shared" si="70"/>
        <v>27073.333333333336</v>
      </c>
      <c r="J141" s="15">
        <f t="shared" si="70"/>
        <v>1876.3333333333333</v>
      </c>
      <c r="K141" s="13">
        <f t="shared" si="70"/>
        <v>66</v>
      </c>
      <c r="L141" s="16">
        <f t="shared" si="70"/>
        <v>1388.1333333333334</v>
      </c>
      <c r="M141" s="15">
        <f t="shared" si="70"/>
        <v>9598.3333333333339</v>
      </c>
      <c r="N141" s="14">
        <f t="shared" si="70"/>
        <v>9005.6666666666661</v>
      </c>
      <c r="O141" s="13">
        <f t="shared" si="70"/>
        <v>7040.333333333333</v>
      </c>
    </row>
    <row r="142" spans="1:16" outlineLevel="1" x14ac:dyDescent="0.2">
      <c r="A142" s="20">
        <f t="shared" si="65"/>
        <v>9741</v>
      </c>
      <c r="B142" s="19" t="str">
        <f t="shared" si="65"/>
        <v>UTD</v>
      </c>
      <c r="C142" s="58">
        <f t="shared" si="66"/>
        <v>28310.17035916535</v>
      </c>
      <c r="D142" s="15">
        <f t="shared" si="67"/>
        <v>2393</v>
      </c>
      <c r="E142" s="14">
        <f t="shared" si="68"/>
        <v>1682.279</v>
      </c>
      <c r="F142" s="14">
        <f t="shared" si="69"/>
        <v>1341.4880258319133</v>
      </c>
      <c r="G142" s="13">
        <f t="shared" si="70"/>
        <v>5101.2033333334393</v>
      </c>
      <c r="H142" s="15">
        <f t="shared" si="70"/>
        <v>6686.666666666667</v>
      </c>
      <c r="I142" s="15">
        <f t="shared" si="70"/>
        <v>3653.333333333333</v>
      </c>
      <c r="J142" s="15">
        <f t="shared" si="70"/>
        <v>421.66666666666669</v>
      </c>
      <c r="K142" s="13">
        <f t="shared" si="70"/>
        <v>32</v>
      </c>
      <c r="L142" s="16">
        <f t="shared" si="70"/>
        <v>527.86666666666667</v>
      </c>
      <c r="M142" s="15">
        <f t="shared" si="70"/>
        <v>3315</v>
      </c>
      <c r="N142" s="14">
        <f t="shared" si="70"/>
        <v>2134.3333333333335</v>
      </c>
      <c r="O142" s="13">
        <f t="shared" si="70"/>
        <v>1021.3333333333334</v>
      </c>
    </row>
    <row r="143" spans="1:16" outlineLevel="1" x14ac:dyDescent="0.2">
      <c r="A143" s="20">
        <f t="shared" si="65"/>
        <v>3661</v>
      </c>
      <c r="B143" s="19" t="str">
        <f t="shared" si="65"/>
        <v>UTEP</v>
      </c>
      <c r="C143" s="58">
        <f t="shared" si="66"/>
        <v>27941.584726801317</v>
      </c>
      <c r="D143" s="15">
        <f t="shared" si="67"/>
        <v>3057</v>
      </c>
      <c r="E143" s="14">
        <f t="shared" si="68"/>
        <v>1192.2299999999998</v>
      </c>
      <c r="F143" s="14">
        <f t="shared" si="69"/>
        <v>1143.5447268011671</v>
      </c>
      <c r="G143" s="13">
        <f t="shared" si="70"/>
        <v>6298.0766666668133</v>
      </c>
      <c r="H143" s="15">
        <f t="shared" si="70"/>
        <v>3436.666666666667</v>
      </c>
      <c r="I143" s="15">
        <f t="shared" si="70"/>
        <v>1406.6666666666665</v>
      </c>
      <c r="J143" s="15">
        <f t="shared" si="70"/>
        <v>655</v>
      </c>
      <c r="K143" s="13">
        <f t="shared" si="70"/>
        <v>90</v>
      </c>
      <c r="L143" s="16">
        <f t="shared" si="70"/>
        <v>985.73333333333346</v>
      </c>
      <c r="M143" s="15">
        <f t="shared" si="70"/>
        <v>4362.666666666667</v>
      </c>
      <c r="N143" s="14">
        <f t="shared" si="70"/>
        <v>3358</v>
      </c>
      <c r="O143" s="13">
        <f t="shared" si="70"/>
        <v>1956</v>
      </c>
    </row>
    <row r="144" spans="1:16" outlineLevel="1" x14ac:dyDescent="0.2">
      <c r="A144" s="20">
        <f t="shared" si="65"/>
        <v>3599</v>
      </c>
      <c r="B144" s="19" t="str">
        <f t="shared" si="65"/>
        <v>UTPA</v>
      </c>
      <c r="C144" s="58">
        <f t="shared" si="66"/>
        <v>23076.215636086115</v>
      </c>
      <c r="D144" s="15">
        <f t="shared" si="67"/>
        <v>2580</v>
      </c>
      <c r="E144" s="14">
        <f t="shared" si="68"/>
        <v>1111.98</v>
      </c>
      <c r="F144" s="14">
        <f t="shared" si="69"/>
        <v>1024.6245249748918</v>
      </c>
      <c r="G144" s="13">
        <f t="shared" si="70"/>
        <v>5134.1666666667797</v>
      </c>
      <c r="H144" s="15">
        <f t="shared" si="70"/>
        <v>2384.4444444444448</v>
      </c>
      <c r="I144" s="15">
        <f t="shared" si="70"/>
        <v>246.66666666666669</v>
      </c>
      <c r="J144" s="15">
        <f t="shared" si="70"/>
        <v>520.33333333333337</v>
      </c>
      <c r="K144" s="13">
        <f t="shared" si="70"/>
        <v>28</v>
      </c>
      <c r="L144" s="16">
        <f t="shared" si="70"/>
        <v>935.33333333333348</v>
      </c>
      <c r="M144" s="15">
        <f t="shared" si="70"/>
        <v>4075.3333333333335</v>
      </c>
      <c r="N144" s="14">
        <f t="shared" si="70"/>
        <v>3096</v>
      </c>
      <c r="O144" s="13">
        <f t="shared" si="70"/>
        <v>1939.3333333333333</v>
      </c>
    </row>
    <row r="145" spans="1:15" outlineLevel="1" x14ac:dyDescent="0.2">
      <c r="A145" s="20">
        <f t="shared" si="65"/>
        <v>30646</v>
      </c>
      <c r="B145" s="19" t="str">
        <f t="shared" si="65"/>
        <v>UTB</v>
      </c>
      <c r="C145" s="58">
        <f t="shared" si="66"/>
        <v>8846.1371873943172</v>
      </c>
      <c r="D145" s="15">
        <f t="shared" si="67"/>
        <v>1092</v>
      </c>
      <c r="E145" s="14">
        <f t="shared" si="68"/>
        <v>628.17092451302005</v>
      </c>
      <c r="F145" s="14">
        <f t="shared" si="69"/>
        <v>1723.0618184368313</v>
      </c>
      <c r="G145" s="13">
        <f t="shared" si="70"/>
        <v>2097.7933333333553</v>
      </c>
      <c r="H145" s="15">
        <f t="shared" si="70"/>
        <v>711.1111111111112</v>
      </c>
      <c r="I145" s="15">
        <f t="shared" si="70"/>
        <v>93.333333333333343</v>
      </c>
      <c r="J145" s="15">
        <f t="shared" si="70"/>
        <v>124.33333333333333</v>
      </c>
      <c r="K145" s="13">
        <f t="shared" si="70"/>
        <v>18.333333333333332</v>
      </c>
      <c r="L145" s="16">
        <f t="shared" si="70"/>
        <v>374.66666666666669</v>
      </c>
      <c r="M145" s="15">
        <f t="shared" si="70"/>
        <v>1326.3333333333333</v>
      </c>
      <c r="N145" s="14">
        <f t="shared" si="70"/>
        <v>556.33333333333337</v>
      </c>
      <c r="O145" s="13">
        <f t="shared" si="70"/>
        <v>100.66666666666667</v>
      </c>
    </row>
    <row r="146" spans="1:15" outlineLevel="1" x14ac:dyDescent="0.2">
      <c r="A146" s="20">
        <f t="shared" si="65"/>
        <v>9930</v>
      </c>
      <c r="B146" s="19" t="str">
        <f t="shared" si="65"/>
        <v>UTPB</v>
      </c>
      <c r="C146" s="58">
        <f t="shared" si="66"/>
        <v>5134.9531766067485</v>
      </c>
      <c r="D146" s="15">
        <f t="shared" si="67"/>
        <v>533.33333333333337</v>
      </c>
      <c r="E146" s="14">
        <f t="shared" si="68"/>
        <v>236.8</v>
      </c>
      <c r="F146" s="14">
        <f t="shared" si="69"/>
        <v>1156.2587321623005</v>
      </c>
      <c r="G146" s="13">
        <f t="shared" si="70"/>
        <v>1001.5166666666704</v>
      </c>
      <c r="H146" s="15">
        <f t="shared" si="70"/>
        <v>524.44444444444446</v>
      </c>
      <c r="I146" s="15">
        <f t="shared" si="70"/>
        <v>0</v>
      </c>
      <c r="J146" s="15">
        <f t="shared" si="70"/>
        <v>41.333333333333336</v>
      </c>
      <c r="K146" s="13">
        <f t="shared" si="70"/>
        <v>10</v>
      </c>
      <c r="L146" s="16">
        <f t="shared" si="70"/>
        <v>159.60000000000002</v>
      </c>
      <c r="M146" s="15">
        <f t="shared" si="70"/>
        <v>785.66666666666663</v>
      </c>
      <c r="N146" s="14">
        <f t="shared" si="70"/>
        <v>491.66666666666669</v>
      </c>
      <c r="O146" s="13">
        <f t="shared" si="70"/>
        <v>194.33333333333334</v>
      </c>
    </row>
    <row r="147" spans="1:15" outlineLevel="1" x14ac:dyDescent="0.2">
      <c r="A147" s="20">
        <f t="shared" si="65"/>
        <v>10115</v>
      </c>
      <c r="B147" s="19" t="str">
        <f t="shared" si="65"/>
        <v>UTSA</v>
      </c>
      <c r="C147" s="58">
        <f t="shared" si="66"/>
        <v>35668.191149512757</v>
      </c>
      <c r="D147" s="15">
        <f t="shared" si="67"/>
        <v>4119.666666666667</v>
      </c>
      <c r="E147" s="14">
        <f t="shared" si="68"/>
        <v>1737.1261111111112</v>
      </c>
      <c r="F147" s="14">
        <f t="shared" si="69"/>
        <v>1012.0517050684201</v>
      </c>
      <c r="G147" s="13">
        <f t="shared" si="70"/>
        <v>8414.213333333224</v>
      </c>
      <c r="H147" s="15">
        <f t="shared" si="70"/>
        <v>3430</v>
      </c>
      <c r="I147" s="15">
        <f t="shared" si="70"/>
        <v>1380</v>
      </c>
      <c r="J147" s="15">
        <f t="shared" si="70"/>
        <v>392</v>
      </c>
      <c r="K147" s="13">
        <f t="shared" si="70"/>
        <v>49.666666666666664</v>
      </c>
      <c r="L147" s="16">
        <f t="shared" si="70"/>
        <v>1249.4666666666667</v>
      </c>
      <c r="M147" s="15">
        <f t="shared" si="70"/>
        <v>6809.666666666667</v>
      </c>
      <c r="N147" s="14">
        <f t="shared" si="70"/>
        <v>4458.666666666667</v>
      </c>
      <c r="O147" s="13">
        <f t="shared" si="70"/>
        <v>2615.6666666666665</v>
      </c>
    </row>
    <row r="148" spans="1:15" outlineLevel="1" x14ac:dyDescent="0.2">
      <c r="A148" s="20">
        <f t="shared" si="65"/>
        <v>11163</v>
      </c>
      <c r="B148" s="19" t="str">
        <f t="shared" si="65"/>
        <v>UTT</v>
      </c>
      <c r="C148" s="58">
        <f t="shared" si="66"/>
        <v>10563.690359190939</v>
      </c>
      <c r="D148" s="15">
        <f t="shared" si="67"/>
        <v>1190</v>
      </c>
      <c r="E148" s="14">
        <f t="shared" si="68"/>
        <v>613.64333333333343</v>
      </c>
      <c r="F148" s="14">
        <f t="shared" si="69"/>
        <v>1462.7870258575947</v>
      </c>
      <c r="G148" s="13">
        <f t="shared" si="70"/>
        <v>2362.6600000000103</v>
      </c>
      <c r="H148" s="15">
        <f t="shared" si="70"/>
        <v>1320</v>
      </c>
      <c r="I148" s="15">
        <f t="shared" si="70"/>
        <v>133.33333333333334</v>
      </c>
      <c r="J148" s="15">
        <f t="shared" si="70"/>
        <v>376.66666666666669</v>
      </c>
      <c r="K148" s="13">
        <f t="shared" si="70"/>
        <v>14</v>
      </c>
      <c r="L148" s="16">
        <f t="shared" si="70"/>
        <v>376.93333333333339</v>
      </c>
      <c r="M148" s="15">
        <f t="shared" si="70"/>
        <v>1436.3333333333333</v>
      </c>
      <c r="N148" s="14">
        <f t="shared" si="70"/>
        <v>890</v>
      </c>
      <c r="O148" s="13">
        <f t="shared" si="70"/>
        <v>387.33333333333331</v>
      </c>
    </row>
    <row r="149" spans="1:15" outlineLevel="1" x14ac:dyDescent="0.2">
      <c r="A149" s="20">
        <f t="shared" si="65"/>
        <v>3632</v>
      </c>
      <c r="B149" s="19" t="str">
        <f t="shared" si="65"/>
        <v>TAMU</v>
      </c>
      <c r="C149" s="58">
        <f t="shared" si="66"/>
        <v>88787.990772986697</v>
      </c>
      <c r="D149" s="15">
        <f t="shared" si="67"/>
        <v>8739.6666666666661</v>
      </c>
      <c r="E149" s="14">
        <f t="shared" si="68"/>
        <v>7347.1464444444427</v>
      </c>
      <c r="F149" s="14">
        <f t="shared" si="69"/>
        <v>1262.094328542134</v>
      </c>
      <c r="G149" s="13">
        <f t="shared" si="70"/>
        <v>20104.8166666668</v>
      </c>
      <c r="H149" s="15">
        <f t="shared" si="70"/>
        <v>7096.666666666667</v>
      </c>
      <c r="I149" s="15">
        <f t="shared" si="70"/>
        <v>14993.333333333332</v>
      </c>
      <c r="J149" s="15">
        <f t="shared" si="70"/>
        <v>1763</v>
      </c>
      <c r="K149" s="13">
        <f t="shared" si="70"/>
        <v>126</v>
      </c>
      <c r="L149" s="16">
        <f t="shared" si="70"/>
        <v>1489.6000000000001</v>
      </c>
      <c r="M149" s="15">
        <f t="shared" si="70"/>
        <v>10060.666666666666</v>
      </c>
      <c r="N149" s="14">
        <f t="shared" si="70"/>
        <v>8907.3333333333339</v>
      </c>
      <c r="O149" s="13">
        <f t="shared" si="70"/>
        <v>6897.666666666667</v>
      </c>
    </row>
    <row r="150" spans="1:15" outlineLevel="1" x14ac:dyDescent="0.2">
      <c r="A150" s="20">
        <f t="shared" si="65"/>
        <v>10298</v>
      </c>
      <c r="B150" s="19" t="str">
        <f t="shared" si="65"/>
        <v>TAMUG</v>
      </c>
      <c r="C150" s="58">
        <f t="shared" si="66"/>
        <v>4918.3762524354061</v>
      </c>
      <c r="D150" s="15">
        <f>D192*D$139*1.5</f>
        <v>413</v>
      </c>
      <c r="E150" s="14">
        <f>D192*E192*E$139*1.5</f>
        <v>259.08866666666665</v>
      </c>
      <c r="F150" s="14">
        <f>IFERROR(D192/F192*100*F$139,0)*1.5</f>
        <v>1229.9475857687421</v>
      </c>
      <c r="G150" s="13">
        <f t="shared" ref="G150:O150" si="71">G192*G$139*1.5</f>
        <v>1056.0399999999968</v>
      </c>
      <c r="H150" s="15">
        <f t="shared" si="71"/>
        <v>55.000000000000007</v>
      </c>
      <c r="I150" s="15">
        <f t="shared" si="71"/>
        <v>20</v>
      </c>
      <c r="J150" s="15">
        <f t="shared" si="71"/>
        <v>56</v>
      </c>
      <c r="K150" s="13">
        <f t="shared" si="71"/>
        <v>0</v>
      </c>
      <c r="L150" s="16">
        <f t="shared" si="71"/>
        <v>94.800000000000011</v>
      </c>
      <c r="M150" s="15">
        <f t="shared" si="71"/>
        <v>888.5</v>
      </c>
      <c r="N150" s="14">
        <f t="shared" si="71"/>
        <v>477</v>
      </c>
      <c r="O150" s="13">
        <f t="shared" si="71"/>
        <v>369</v>
      </c>
    </row>
    <row r="151" spans="1:15" outlineLevel="1" x14ac:dyDescent="0.2">
      <c r="A151" s="20">
        <f t="shared" si="65"/>
        <v>3630</v>
      </c>
      <c r="B151" s="19" t="str">
        <f t="shared" si="65"/>
        <v>Prairie View</v>
      </c>
      <c r="C151" s="58">
        <f t="shared" si="66"/>
        <v>10516.932734598187</v>
      </c>
      <c r="D151" s="15">
        <f t="shared" ref="D151:D177" si="72">D193*D$139</f>
        <v>936.33333333333337</v>
      </c>
      <c r="E151" s="14">
        <f t="shared" ref="E151:E177" si="73">D193*E193*E$139</f>
        <v>348.00388888888887</v>
      </c>
      <c r="F151" s="14">
        <f t="shared" ref="F151:F177" si="74">IFERROR(D193/F193*100*F$139,0)</f>
        <v>791.18440126484359</v>
      </c>
      <c r="G151" s="13">
        <f t="shared" ref="G151:O166" si="75">G193*G$139</f>
        <v>2072.9000000000092</v>
      </c>
      <c r="H151" s="15">
        <f t="shared" si="75"/>
        <v>1701.1111111111111</v>
      </c>
      <c r="I151" s="15">
        <f t="shared" si="75"/>
        <v>266.66666666666669</v>
      </c>
      <c r="J151" s="15">
        <f t="shared" si="75"/>
        <v>315.66666666666669</v>
      </c>
      <c r="K151" s="13">
        <f t="shared" si="75"/>
        <v>9.6666666666666661</v>
      </c>
      <c r="L151" s="16">
        <f t="shared" si="75"/>
        <v>321.06666666666666</v>
      </c>
      <c r="M151" s="15">
        <f t="shared" si="75"/>
        <v>1668</v>
      </c>
      <c r="N151" s="14">
        <f t="shared" si="75"/>
        <v>1181</v>
      </c>
      <c r="O151" s="13">
        <f t="shared" si="75"/>
        <v>905.33333333333337</v>
      </c>
    </row>
    <row r="152" spans="1:15" outlineLevel="1" x14ac:dyDescent="0.2">
      <c r="A152" s="20">
        <f t="shared" si="65"/>
        <v>3631</v>
      </c>
      <c r="B152" s="19" t="str">
        <f t="shared" si="65"/>
        <v>Tarleton</v>
      </c>
      <c r="C152" s="58">
        <f t="shared" si="66"/>
        <v>13091.089943171864</v>
      </c>
      <c r="D152" s="15">
        <f t="shared" si="72"/>
        <v>1545.3333333333333</v>
      </c>
      <c r="E152" s="14">
        <f t="shared" si="73"/>
        <v>738.66933333333338</v>
      </c>
      <c r="F152" s="14">
        <f t="shared" si="74"/>
        <v>1227.988387616283</v>
      </c>
      <c r="G152" s="13">
        <f t="shared" si="75"/>
        <v>3122.5433333333599</v>
      </c>
      <c r="H152" s="15">
        <f t="shared" si="75"/>
        <v>1188.8888888888889</v>
      </c>
      <c r="I152" s="15">
        <f t="shared" si="75"/>
        <v>193.33333333333331</v>
      </c>
      <c r="J152" s="15">
        <f t="shared" si="75"/>
        <v>203</v>
      </c>
      <c r="K152" s="13">
        <f t="shared" si="75"/>
        <v>47.666666666666664</v>
      </c>
      <c r="L152" s="16">
        <f t="shared" si="75"/>
        <v>478</v>
      </c>
      <c r="M152" s="15">
        <f t="shared" si="75"/>
        <v>2154.3333333333335</v>
      </c>
      <c r="N152" s="14">
        <f t="shared" si="75"/>
        <v>1328.6666666666667</v>
      </c>
      <c r="O152" s="13">
        <f t="shared" si="75"/>
        <v>862.66666666666663</v>
      </c>
    </row>
    <row r="153" spans="1:15" outlineLevel="1" x14ac:dyDescent="0.2">
      <c r="A153" s="27">
        <f t="shared" si="65"/>
        <v>103631</v>
      </c>
      <c r="B153" s="19" t="str">
        <f t="shared" si="65"/>
        <v>TAMUCT</v>
      </c>
      <c r="C153" s="58">
        <f t="shared" si="66"/>
        <v>6467.9595872114733</v>
      </c>
      <c r="D153" s="15">
        <f t="shared" si="72"/>
        <v>460.33333333333331</v>
      </c>
      <c r="E153" s="14">
        <f t="shared" si="73"/>
        <v>220.03933333333333</v>
      </c>
      <c r="F153" s="14">
        <f t="shared" si="74"/>
        <v>3379.3924761003623</v>
      </c>
      <c r="G153" s="13">
        <f t="shared" si="75"/>
        <v>853.61666666666588</v>
      </c>
      <c r="H153" s="15">
        <f t="shared" si="75"/>
        <v>721.1111111111112</v>
      </c>
      <c r="I153" s="15">
        <f t="shared" si="75"/>
        <v>0</v>
      </c>
      <c r="J153" s="15">
        <f t="shared" si="75"/>
        <v>40.666666666666664</v>
      </c>
      <c r="K153" s="13">
        <f t="shared" si="75"/>
        <v>0</v>
      </c>
      <c r="L153" s="16">
        <f t="shared" si="75"/>
        <v>130.80000000000001</v>
      </c>
      <c r="M153" s="15">
        <f t="shared" si="75"/>
        <v>495</v>
      </c>
      <c r="N153" s="14">
        <f t="shared" si="75"/>
        <v>133</v>
      </c>
      <c r="O153" s="13">
        <f t="shared" si="75"/>
        <v>34</v>
      </c>
    </row>
    <row r="154" spans="1:15" outlineLevel="1" x14ac:dyDescent="0.2">
      <c r="A154" s="20">
        <f t="shared" si="65"/>
        <v>11161</v>
      </c>
      <c r="B154" s="19" t="str">
        <f t="shared" si="65"/>
        <v>TAMUCC</v>
      </c>
      <c r="C154" s="58">
        <f t="shared" si="66"/>
        <v>13295.410147585497</v>
      </c>
      <c r="D154" s="15">
        <f t="shared" si="72"/>
        <v>1388.3333333333333</v>
      </c>
      <c r="E154" s="14">
        <f t="shared" si="73"/>
        <v>705.27333333333331</v>
      </c>
      <c r="F154" s="14">
        <f t="shared" si="74"/>
        <v>1068.8257031410387</v>
      </c>
      <c r="G154" s="13">
        <f t="shared" si="75"/>
        <v>2804.2000000000139</v>
      </c>
      <c r="H154" s="15">
        <f t="shared" si="75"/>
        <v>1671.1111111111111</v>
      </c>
      <c r="I154" s="15">
        <f t="shared" si="75"/>
        <v>533.33333333333337</v>
      </c>
      <c r="J154" s="15">
        <f t="shared" si="75"/>
        <v>266.33333333333331</v>
      </c>
      <c r="K154" s="13">
        <f t="shared" si="75"/>
        <v>25.666666666666668</v>
      </c>
      <c r="L154" s="16">
        <f t="shared" si="75"/>
        <v>432</v>
      </c>
      <c r="M154" s="15">
        <f t="shared" si="75"/>
        <v>2054</v>
      </c>
      <c r="N154" s="14">
        <f t="shared" si="75"/>
        <v>1468</v>
      </c>
      <c r="O154" s="13">
        <f t="shared" si="75"/>
        <v>878.33333333333337</v>
      </c>
    </row>
    <row r="155" spans="1:15" outlineLevel="1" x14ac:dyDescent="0.2">
      <c r="A155" s="20">
        <f t="shared" si="65"/>
        <v>3639</v>
      </c>
      <c r="B155" s="19" t="str">
        <f t="shared" si="65"/>
        <v>TAMUK</v>
      </c>
      <c r="C155" s="58">
        <f t="shared" si="66"/>
        <v>8731.6499608763752</v>
      </c>
      <c r="D155" s="15">
        <f t="shared" si="72"/>
        <v>761.66666666666663</v>
      </c>
      <c r="E155" s="14">
        <f t="shared" si="73"/>
        <v>306.44388888888892</v>
      </c>
      <c r="F155" s="14">
        <f t="shared" si="74"/>
        <v>893.97496087636932</v>
      </c>
      <c r="G155" s="13">
        <f t="shared" si="75"/>
        <v>1763.4533333333395</v>
      </c>
      <c r="H155" s="15">
        <f t="shared" si="75"/>
        <v>1364.4444444444443</v>
      </c>
      <c r="I155" s="15">
        <f t="shared" si="75"/>
        <v>460</v>
      </c>
      <c r="J155" s="15">
        <f t="shared" si="75"/>
        <v>260</v>
      </c>
      <c r="K155" s="13">
        <f t="shared" si="75"/>
        <v>16.666666666666668</v>
      </c>
      <c r="L155" s="16">
        <f t="shared" si="75"/>
        <v>259.33333333333337</v>
      </c>
      <c r="M155" s="15">
        <f t="shared" si="75"/>
        <v>1227.3333333333333</v>
      </c>
      <c r="N155" s="14">
        <f t="shared" si="75"/>
        <v>859.66666666666663</v>
      </c>
      <c r="O155" s="13">
        <f t="shared" si="75"/>
        <v>558.66666666666663</v>
      </c>
    </row>
    <row r="156" spans="1:15" outlineLevel="1" x14ac:dyDescent="0.2">
      <c r="A156" s="27">
        <f t="shared" si="65"/>
        <v>103639</v>
      </c>
      <c r="B156" s="19" t="str">
        <f t="shared" si="65"/>
        <v>TAMUSA</v>
      </c>
      <c r="C156" s="58">
        <f t="shared" si="66"/>
        <v>5565.0652353796622</v>
      </c>
      <c r="D156" s="15">
        <f t="shared" si="72"/>
        <v>587.66666666666663</v>
      </c>
      <c r="E156" s="14">
        <f t="shared" si="73"/>
        <v>236.43788888888889</v>
      </c>
      <c r="F156" s="14">
        <f t="shared" si="74"/>
        <v>2079.9251242685459</v>
      </c>
      <c r="G156" s="13">
        <f t="shared" si="75"/>
        <v>1026.0133333333379</v>
      </c>
      <c r="H156" s="15">
        <f t="shared" si="75"/>
        <v>622.22222222222217</v>
      </c>
      <c r="I156" s="15">
        <f t="shared" si="75"/>
        <v>0</v>
      </c>
      <c r="J156" s="15">
        <f t="shared" si="75"/>
        <v>5</v>
      </c>
      <c r="K156" s="13">
        <f t="shared" si="75"/>
        <v>2</v>
      </c>
      <c r="L156" s="16">
        <f t="shared" si="75"/>
        <v>196.13333333333333</v>
      </c>
      <c r="M156" s="15">
        <f t="shared" si="75"/>
        <v>729.66666666666663</v>
      </c>
      <c r="N156" s="14">
        <f t="shared" si="75"/>
        <v>77.333333333333329</v>
      </c>
      <c r="O156" s="13">
        <f t="shared" si="75"/>
        <v>2.6666666666666665</v>
      </c>
    </row>
    <row r="157" spans="1:15" outlineLevel="1" x14ac:dyDescent="0.2">
      <c r="A157" s="20">
        <f t="shared" si="65"/>
        <v>9651</v>
      </c>
      <c r="B157" s="19" t="str">
        <f t="shared" si="65"/>
        <v>TAMI</v>
      </c>
      <c r="C157" s="58">
        <f t="shared" si="66"/>
        <v>7893.9799396312674</v>
      </c>
      <c r="D157" s="15">
        <f t="shared" si="72"/>
        <v>789.66666666666663</v>
      </c>
      <c r="E157" s="14">
        <f t="shared" si="73"/>
        <v>373.77555555555551</v>
      </c>
      <c r="F157" s="14">
        <f t="shared" si="74"/>
        <v>966.30771740903901</v>
      </c>
      <c r="G157" s="13">
        <f t="shared" si="75"/>
        <v>1458.4966666666717</v>
      </c>
      <c r="H157" s="15">
        <f t="shared" si="75"/>
        <v>900</v>
      </c>
      <c r="I157" s="15">
        <f t="shared" si="75"/>
        <v>86.666666666666657</v>
      </c>
      <c r="J157" s="15">
        <f t="shared" si="75"/>
        <v>115.66666666666667</v>
      </c>
      <c r="K157" s="13">
        <f t="shared" si="75"/>
        <v>22.333333333333332</v>
      </c>
      <c r="L157" s="16">
        <f t="shared" si="75"/>
        <v>285.06666666666666</v>
      </c>
      <c r="M157" s="15">
        <f t="shared" si="75"/>
        <v>1406.6666666666667</v>
      </c>
      <c r="N157" s="14">
        <f t="shared" si="75"/>
        <v>1015.6666666666666</v>
      </c>
      <c r="O157" s="13">
        <f t="shared" si="75"/>
        <v>473.66666666666669</v>
      </c>
    </row>
    <row r="158" spans="1:15" outlineLevel="1" x14ac:dyDescent="0.2">
      <c r="A158" s="20">
        <f t="shared" si="65"/>
        <v>3665</v>
      </c>
      <c r="B158" s="19" t="str">
        <f t="shared" si="65"/>
        <v>WTAMU</v>
      </c>
      <c r="C158" s="58">
        <f t="shared" si="66"/>
        <v>10985.585426034995</v>
      </c>
      <c r="D158" s="15">
        <f t="shared" si="72"/>
        <v>1255.6666666666667</v>
      </c>
      <c r="E158" s="14">
        <f t="shared" si="73"/>
        <v>591.00044444444438</v>
      </c>
      <c r="F158" s="14">
        <f t="shared" si="74"/>
        <v>1159.3860927016435</v>
      </c>
      <c r="G158" s="13">
        <f t="shared" si="75"/>
        <v>2503.5766666666836</v>
      </c>
      <c r="H158" s="15">
        <f t="shared" si="75"/>
        <v>1155.5555555555557</v>
      </c>
      <c r="I158" s="15">
        <f t="shared" si="75"/>
        <v>46.666666666666671</v>
      </c>
      <c r="J158" s="15">
        <f t="shared" si="75"/>
        <v>191.66666666666666</v>
      </c>
      <c r="K158" s="13">
        <f t="shared" si="75"/>
        <v>60.666666666666664</v>
      </c>
      <c r="L158" s="16">
        <f t="shared" si="75"/>
        <v>355.73333333333335</v>
      </c>
      <c r="M158" s="15">
        <f t="shared" si="75"/>
        <v>1791.6666666666667</v>
      </c>
      <c r="N158" s="14">
        <f t="shared" si="75"/>
        <v>1212.6666666666667</v>
      </c>
      <c r="O158" s="13">
        <f t="shared" si="75"/>
        <v>661.33333333333337</v>
      </c>
    </row>
    <row r="159" spans="1:15" outlineLevel="1" x14ac:dyDescent="0.2">
      <c r="A159" s="20">
        <f t="shared" si="65"/>
        <v>3565</v>
      </c>
      <c r="B159" s="19" t="str">
        <f t="shared" si="65"/>
        <v>TAMUC</v>
      </c>
      <c r="C159" s="58">
        <f t="shared" si="66"/>
        <v>14780.816212579062</v>
      </c>
      <c r="D159" s="15">
        <f t="shared" si="72"/>
        <v>1324.3333333333333</v>
      </c>
      <c r="E159" s="14">
        <f t="shared" si="73"/>
        <v>582.70666666666659</v>
      </c>
      <c r="F159" s="14">
        <f t="shared" si="74"/>
        <v>1409.7717681345925</v>
      </c>
      <c r="G159" s="13">
        <f t="shared" si="75"/>
        <v>2501.8266666666914</v>
      </c>
      <c r="H159" s="15">
        <f t="shared" si="75"/>
        <v>4077.7777777777778</v>
      </c>
      <c r="I159" s="15">
        <f t="shared" si="75"/>
        <v>846.66666666666674</v>
      </c>
      <c r="J159" s="15">
        <f t="shared" si="75"/>
        <v>73</v>
      </c>
      <c r="K159" s="13">
        <f t="shared" si="75"/>
        <v>74.333333333333329</v>
      </c>
      <c r="L159" s="16">
        <f t="shared" si="75"/>
        <v>407.73333333333335</v>
      </c>
      <c r="M159" s="15">
        <f t="shared" si="75"/>
        <v>1893</v>
      </c>
      <c r="N159" s="14">
        <f t="shared" si="75"/>
        <v>1137.3333333333333</v>
      </c>
      <c r="O159" s="13">
        <f t="shared" si="75"/>
        <v>452.33333333333331</v>
      </c>
    </row>
    <row r="160" spans="1:15" outlineLevel="1" x14ac:dyDescent="0.2">
      <c r="A160" s="20">
        <f t="shared" ref="A160:B177" si="76">A25</f>
        <v>29269</v>
      </c>
      <c r="B160" s="19" t="str">
        <f t="shared" si="76"/>
        <v>TAMUT</v>
      </c>
      <c r="C160" s="58">
        <f t="shared" si="66"/>
        <v>4409.9657973339599</v>
      </c>
      <c r="D160" s="15">
        <f t="shared" si="72"/>
        <v>345.66666666666669</v>
      </c>
      <c r="E160" s="14">
        <f t="shared" si="73"/>
        <v>187.3602625468375</v>
      </c>
      <c r="F160" s="14">
        <f t="shared" si="74"/>
        <v>1938.3177570093458</v>
      </c>
      <c r="G160" s="13">
        <f t="shared" si="75"/>
        <v>619.90999999999826</v>
      </c>
      <c r="H160" s="15">
        <f t="shared" si="75"/>
        <v>547.77777777777783</v>
      </c>
      <c r="I160" s="15">
        <f t="shared" si="75"/>
        <v>0</v>
      </c>
      <c r="J160" s="15">
        <f t="shared" si="75"/>
        <v>41.666666666666664</v>
      </c>
      <c r="K160" s="13">
        <f t="shared" si="75"/>
        <v>19.333333333333332</v>
      </c>
      <c r="L160" s="16">
        <f t="shared" si="75"/>
        <v>95.600000000000009</v>
      </c>
      <c r="M160" s="15">
        <f t="shared" si="75"/>
        <v>432.66666666666669</v>
      </c>
      <c r="N160" s="14">
        <f t="shared" si="75"/>
        <v>181</v>
      </c>
      <c r="O160" s="13">
        <f t="shared" si="75"/>
        <v>0.66666666666666663</v>
      </c>
    </row>
    <row r="161" spans="1:15" outlineLevel="1" x14ac:dyDescent="0.2">
      <c r="A161" s="20">
        <f t="shared" si="76"/>
        <v>3652</v>
      </c>
      <c r="B161" s="19" t="str">
        <f t="shared" si="76"/>
        <v>UH</v>
      </c>
      <c r="C161" s="58">
        <f t="shared" si="66"/>
        <v>60073.617372789507</v>
      </c>
      <c r="D161" s="15">
        <f t="shared" si="72"/>
        <v>5098.666666666667</v>
      </c>
      <c r="E161" s="14">
        <f t="shared" si="73"/>
        <v>2734.5848888888891</v>
      </c>
      <c r="F161" s="14">
        <f t="shared" si="74"/>
        <v>1071.2524839013313</v>
      </c>
      <c r="G161" s="13">
        <f t="shared" si="75"/>
        <v>10580.246666665944</v>
      </c>
      <c r="H161" s="15">
        <f t="shared" si="75"/>
        <v>6313.3333333333339</v>
      </c>
      <c r="I161" s="15">
        <f t="shared" si="75"/>
        <v>15526.666666666668</v>
      </c>
      <c r="J161" s="15">
        <f t="shared" si="75"/>
        <v>737</v>
      </c>
      <c r="K161" s="13">
        <f t="shared" si="75"/>
        <v>62.666666666666664</v>
      </c>
      <c r="L161" s="16">
        <f t="shared" si="75"/>
        <v>1349.2</v>
      </c>
      <c r="M161" s="15">
        <f t="shared" si="75"/>
        <v>7602.333333333333</v>
      </c>
      <c r="N161" s="14">
        <f t="shared" si="75"/>
        <v>5690.333333333333</v>
      </c>
      <c r="O161" s="13">
        <f t="shared" si="75"/>
        <v>3307.3333333333335</v>
      </c>
    </row>
    <row r="162" spans="1:15" outlineLevel="1" x14ac:dyDescent="0.2">
      <c r="A162" s="20">
        <f t="shared" si="76"/>
        <v>11711</v>
      </c>
      <c r="B162" s="19" t="str">
        <f t="shared" si="76"/>
        <v>UHCL</v>
      </c>
      <c r="C162" s="58">
        <f t="shared" si="66"/>
        <v>12634.375678430504</v>
      </c>
      <c r="D162" s="15">
        <f t="shared" si="72"/>
        <v>1190.6666666666667</v>
      </c>
      <c r="E162" s="14">
        <f t="shared" si="73"/>
        <v>619.34267935898833</v>
      </c>
      <c r="F162" s="14">
        <f t="shared" si="74"/>
        <v>1984.6796657381617</v>
      </c>
      <c r="G162" s="13">
        <f t="shared" si="75"/>
        <v>2282.9533333333529</v>
      </c>
      <c r="H162" s="15">
        <f t="shared" si="75"/>
        <v>3550</v>
      </c>
      <c r="I162" s="15">
        <f t="shared" si="75"/>
        <v>180</v>
      </c>
      <c r="J162" s="15">
        <f t="shared" si="75"/>
        <v>106.66666666666667</v>
      </c>
      <c r="K162" s="13">
        <f t="shared" si="75"/>
        <v>8.3333333333333339</v>
      </c>
      <c r="L162" s="16">
        <f t="shared" si="75"/>
        <v>309.73333333333335</v>
      </c>
      <c r="M162" s="15">
        <f t="shared" si="75"/>
        <v>1391.3333333333333</v>
      </c>
      <c r="N162" s="14">
        <f t="shared" si="75"/>
        <v>953.66666666666663</v>
      </c>
      <c r="O162" s="13">
        <f t="shared" si="75"/>
        <v>57</v>
      </c>
    </row>
    <row r="163" spans="1:15" outlineLevel="1" x14ac:dyDescent="0.2">
      <c r="A163" s="20">
        <f t="shared" si="76"/>
        <v>12826</v>
      </c>
      <c r="B163" s="19" t="str">
        <f t="shared" si="76"/>
        <v>UHD</v>
      </c>
      <c r="C163" s="58">
        <f t="shared" si="66"/>
        <v>15138.900482043249</v>
      </c>
      <c r="D163" s="15">
        <f t="shared" si="72"/>
        <v>2382.3333333333335</v>
      </c>
      <c r="E163" s="14">
        <f t="shared" si="73"/>
        <v>452.64333333333343</v>
      </c>
      <c r="F163" s="14">
        <f t="shared" si="74"/>
        <v>1491.6515931543067</v>
      </c>
      <c r="G163" s="13">
        <f t="shared" si="75"/>
        <v>4271.3166666667212</v>
      </c>
      <c r="H163" s="15">
        <f t="shared" si="75"/>
        <v>158.88888888888889</v>
      </c>
      <c r="I163" s="15">
        <f t="shared" si="75"/>
        <v>0</v>
      </c>
      <c r="J163" s="15">
        <f t="shared" si="75"/>
        <v>129.66666666666666</v>
      </c>
      <c r="K163" s="13">
        <f t="shared" si="75"/>
        <v>1.6666666666666667</v>
      </c>
      <c r="L163" s="16">
        <f t="shared" si="75"/>
        <v>672.40000000000009</v>
      </c>
      <c r="M163" s="15">
        <f t="shared" si="75"/>
        <v>3105.3333333333335</v>
      </c>
      <c r="N163" s="14">
        <f t="shared" si="75"/>
        <v>1868.3333333333333</v>
      </c>
      <c r="O163" s="13">
        <f t="shared" si="75"/>
        <v>604.66666666666663</v>
      </c>
    </row>
    <row r="164" spans="1:15" outlineLevel="1" x14ac:dyDescent="0.2">
      <c r="A164" s="20">
        <f t="shared" si="76"/>
        <v>13231</v>
      </c>
      <c r="B164" s="19" t="str">
        <f t="shared" si="76"/>
        <v>UHV</v>
      </c>
      <c r="C164" s="58">
        <f t="shared" si="66"/>
        <v>6602.3967963506921</v>
      </c>
      <c r="D164" s="15">
        <f t="shared" si="72"/>
        <v>576.66666666666663</v>
      </c>
      <c r="E164" s="14">
        <f t="shared" si="73"/>
        <v>300.19546283886069</v>
      </c>
      <c r="F164" s="14">
        <f t="shared" si="74"/>
        <v>2004.2324446229416</v>
      </c>
      <c r="G164" s="13">
        <f t="shared" si="75"/>
        <v>1084.4800000000012</v>
      </c>
      <c r="H164" s="15">
        <f t="shared" si="75"/>
        <v>1348.8888888888889</v>
      </c>
      <c r="I164" s="15">
        <f t="shared" si="75"/>
        <v>0</v>
      </c>
      <c r="J164" s="15">
        <f t="shared" si="75"/>
        <v>108</v>
      </c>
      <c r="K164" s="13">
        <f t="shared" si="75"/>
        <v>7.333333333333333</v>
      </c>
      <c r="L164" s="16">
        <f t="shared" si="75"/>
        <v>153.60000000000002</v>
      </c>
      <c r="M164" s="15">
        <f t="shared" si="75"/>
        <v>716</v>
      </c>
      <c r="N164" s="14">
        <f t="shared" si="75"/>
        <v>296.33333333333331</v>
      </c>
      <c r="O164" s="13">
        <f t="shared" si="75"/>
        <v>6.666666666666667</v>
      </c>
    </row>
    <row r="165" spans="1:15" outlineLevel="1" x14ac:dyDescent="0.2">
      <c r="A165" s="20">
        <f t="shared" si="76"/>
        <v>3592</v>
      </c>
      <c r="B165" s="19" t="str">
        <f t="shared" si="76"/>
        <v>Midwestern</v>
      </c>
      <c r="C165" s="58">
        <f t="shared" si="66"/>
        <v>9130.0605518461762</v>
      </c>
      <c r="D165" s="15">
        <f t="shared" si="72"/>
        <v>1031.6666666666667</v>
      </c>
      <c r="E165" s="14">
        <f t="shared" si="73"/>
        <v>453.24555555555554</v>
      </c>
      <c r="F165" s="14">
        <f t="shared" si="74"/>
        <v>1206.12610740173</v>
      </c>
      <c r="G165" s="13">
        <f t="shared" si="75"/>
        <v>1962.0000000000034</v>
      </c>
      <c r="H165" s="15">
        <f t="shared" si="75"/>
        <v>688.88888888888891</v>
      </c>
      <c r="I165" s="15">
        <f t="shared" si="75"/>
        <v>0</v>
      </c>
      <c r="J165" s="15">
        <f t="shared" si="75"/>
        <v>333.33333333333331</v>
      </c>
      <c r="K165" s="13">
        <f t="shared" si="75"/>
        <v>15</v>
      </c>
      <c r="L165" s="16">
        <f t="shared" si="75"/>
        <v>276.13333333333338</v>
      </c>
      <c r="M165" s="15">
        <f t="shared" si="75"/>
        <v>1438</v>
      </c>
      <c r="N165" s="14">
        <f t="shared" si="75"/>
        <v>1046</v>
      </c>
      <c r="O165" s="13">
        <f t="shared" si="75"/>
        <v>679.66666666666663</v>
      </c>
    </row>
    <row r="166" spans="1:15" outlineLevel="1" x14ac:dyDescent="0.2">
      <c r="A166" s="20">
        <f t="shared" si="76"/>
        <v>3594</v>
      </c>
      <c r="B166" s="19" t="str">
        <f t="shared" si="76"/>
        <v>UNT</v>
      </c>
      <c r="C166" s="58">
        <f t="shared" si="66"/>
        <v>51589.950561636731</v>
      </c>
      <c r="D166" s="15">
        <f t="shared" si="72"/>
        <v>6016.666666666667</v>
      </c>
      <c r="E166" s="14">
        <f t="shared" si="73"/>
        <v>3467.6055555555558</v>
      </c>
      <c r="F166" s="14">
        <f t="shared" si="74"/>
        <v>1294.3472283042063</v>
      </c>
      <c r="G166" s="13">
        <f t="shared" si="75"/>
        <v>11411.553333332529</v>
      </c>
      <c r="H166" s="15">
        <f t="shared" si="75"/>
        <v>6101.1111111111113</v>
      </c>
      <c r="I166" s="15">
        <f t="shared" si="75"/>
        <v>4546.666666666667</v>
      </c>
      <c r="J166" s="15">
        <f t="shared" si="75"/>
        <v>336.66666666666669</v>
      </c>
      <c r="K166" s="13">
        <f t="shared" si="75"/>
        <v>43.333333333333336</v>
      </c>
      <c r="L166" s="16">
        <f t="shared" si="75"/>
        <v>1528</v>
      </c>
      <c r="M166" s="15">
        <f t="shared" si="75"/>
        <v>7864.666666666667</v>
      </c>
      <c r="N166" s="14">
        <f t="shared" si="75"/>
        <v>5642.333333333333</v>
      </c>
      <c r="O166" s="13">
        <f t="shared" si="75"/>
        <v>3337</v>
      </c>
    </row>
    <row r="167" spans="1:15" outlineLevel="1" x14ac:dyDescent="0.2">
      <c r="A167" s="27">
        <f t="shared" si="76"/>
        <v>113594</v>
      </c>
      <c r="B167" s="19" t="str">
        <f t="shared" si="76"/>
        <v>UNTD</v>
      </c>
      <c r="C167" s="58">
        <f t="shared" si="66"/>
        <v>4170.6445532694452</v>
      </c>
      <c r="D167" s="15">
        <f t="shared" si="72"/>
        <v>403.5</v>
      </c>
      <c r="E167" s="14">
        <f t="shared" si="73"/>
        <v>233.02125000000001</v>
      </c>
      <c r="F167" s="14">
        <f t="shared" si="74"/>
        <v>2132.3633032694474</v>
      </c>
      <c r="G167" s="13">
        <f t="shared" ref="G167:O177" si="77">G209*G$139</f>
        <v>705.85999999999717</v>
      </c>
      <c r="H167" s="15">
        <f t="shared" si="77"/>
        <v>0</v>
      </c>
      <c r="I167" s="15">
        <f t="shared" si="77"/>
        <v>0</v>
      </c>
      <c r="J167" s="15">
        <f t="shared" si="77"/>
        <v>12</v>
      </c>
      <c r="K167" s="13">
        <f t="shared" si="77"/>
        <v>0</v>
      </c>
      <c r="L167" s="16">
        <f t="shared" si="77"/>
        <v>123.4</v>
      </c>
      <c r="M167" s="15">
        <f t="shared" si="77"/>
        <v>478</v>
      </c>
      <c r="N167" s="14">
        <f t="shared" si="77"/>
        <v>71.5</v>
      </c>
      <c r="O167" s="13">
        <f t="shared" si="77"/>
        <v>11</v>
      </c>
    </row>
    <row r="168" spans="1:15" outlineLevel="1" x14ac:dyDescent="0.2">
      <c r="A168" s="20">
        <f t="shared" si="76"/>
        <v>3624</v>
      </c>
      <c r="B168" s="19" t="str">
        <f t="shared" si="76"/>
        <v>SFA</v>
      </c>
      <c r="C168" s="58">
        <f t="shared" si="66"/>
        <v>16561.572771059753</v>
      </c>
      <c r="D168" s="15">
        <f t="shared" si="72"/>
        <v>1921.6666666666667</v>
      </c>
      <c r="E168" s="14">
        <f t="shared" si="73"/>
        <v>1064.6033333333332</v>
      </c>
      <c r="F168" s="14">
        <f t="shared" si="74"/>
        <v>1012.8772155041958</v>
      </c>
      <c r="G168" s="13">
        <f t="shared" si="77"/>
        <v>3721.736666666669</v>
      </c>
      <c r="H168" s="15">
        <f t="shared" si="77"/>
        <v>1462.2222222222224</v>
      </c>
      <c r="I168" s="15">
        <f t="shared" si="77"/>
        <v>260</v>
      </c>
      <c r="J168" s="15">
        <f t="shared" si="77"/>
        <v>248</v>
      </c>
      <c r="K168" s="13">
        <f t="shared" si="77"/>
        <v>44.666666666666664</v>
      </c>
      <c r="L168" s="16">
        <f t="shared" si="77"/>
        <v>584.13333333333333</v>
      </c>
      <c r="M168" s="15">
        <f t="shared" si="77"/>
        <v>2769.3333333333335</v>
      </c>
      <c r="N168" s="14">
        <f t="shared" si="77"/>
        <v>2075</v>
      </c>
      <c r="O168" s="13">
        <f t="shared" si="77"/>
        <v>1397.3333333333333</v>
      </c>
    </row>
    <row r="169" spans="1:15" outlineLevel="1" x14ac:dyDescent="0.2">
      <c r="A169" s="20">
        <f t="shared" si="76"/>
        <v>3642</v>
      </c>
      <c r="B169" s="19" t="str">
        <f t="shared" si="76"/>
        <v>TSU</v>
      </c>
      <c r="C169" s="58">
        <f t="shared" si="66"/>
        <v>13529.929050544637</v>
      </c>
      <c r="D169" s="15">
        <f t="shared" si="72"/>
        <v>758.33333333333337</v>
      </c>
      <c r="E169" s="14">
        <f t="shared" si="73"/>
        <v>108.94722222222221</v>
      </c>
      <c r="F169" s="14">
        <f t="shared" si="74"/>
        <v>646.68405054463585</v>
      </c>
      <c r="G169" s="13">
        <f t="shared" si="77"/>
        <v>1488.6533333333352</v>
      </c>
      <c r="H169" s="15">
        <f t="shared" si="77"/>
        <v>777.77777777777783</v>
      </c>
      <c r="I169" s="15">
        <f t="shared" si="77"/>
        <v>5726.6666666666661</v>
      </c>
      <c r="J169" s="15">
        <f t="shared" si="77"/>
        <v>134.33333333333334</v>
      </c>
      <c r="K169" s="13">
        <f t="shared" si="77"/>
        <v>3</v>
      </c>
      <c r="L169" s="16">
        <f t="shared" si="77"/>
        <v>266.53333333333336</v>
      </c>
      <c r="M169" s="15">
        <f t="shared" si="77"/>
        <v>1637.3333333333333</v>
      </c>
      <c r="N169" s="14">
        <f t="shared" si="77"/>
        <v>1133</v>
      </c>
      <c r="O169" s="13">
        <f t="shared" si="77"/>
        <v>848.66666666666663</v>
      </c>
    </row>
    <row r="170" spans="1:15" outlineLevel="1" x14ac:dyDescent="0.2">
      <c r="A170" s="20">
        <f t="shared" si="76"/>
        <v>3644</v>
      </c>
      <c r="B170" s="19" t="str">
        <f t="shared" si="76"/>
        <v>TTU</v>
      </c>
      <c r="C170" s="58">
        <f t="shared" si="66"/>
        <v>50707.29904523991</v>
      </c>
      <c r="D170" s="15">
        <f t="shared" si="72"/>
        <v>4674</v>
      </c>
      <c r="E170" s="14">
        <f t="shared" si="73"/>
        <v>3421.3679999999995</v>
      </c>
      <c r="F170" s="14">
        <f t="shared" si="74"/>
        <v>1053.0621563516677</v>
      </c>
      <c r="G170" s="13">
        <f t="shared" si="77"/>
        <v>10128.113333332682</v>
      </c>
      <c r="H170" s="15">
        <f t="shared" si="77"/>
        <v>4585.5555555555557</v>
      </c>
      <c r="I170" s="15">
        <f t="shared" si="77"/>
        <v>9240</v>
      </c>
      <c r="J170" s="15">
        <f t="shared" si="77"/>
        <v>727.33333333333337</v>
      </c>
      <c r="K170" s="13">
        <f t="shared" si="77"/>
        <v>57.333333333333336</v>
      </c>
      <c r="L170" s="16">
        <f t="shared" si="77"/>
        <v>1111.2</v>
      </c>
      <c r="M170" s="15">
        <f t="shared" si="77"/>
        <v>6485.333333333333</v>
      </c>
      <c r="N170" s="14">
        <f t="shared" si="77"/>
        <v>5278.333333333333</v>
      </c>
      <c r="O170" s="13">
        <f t="shared" si="77"/>
        <v>3945.6666666666665</v>
      </c>
    </row>
    <row r="171" spans="1:15" outlineLevel="1" x14ac:dyDescent="0.2">
      <c r="A171" s="20">
        <f t="shared" si="76"/>
        <v>3541</v>
      </c>
      <c r="B171" s="19" t="str">
        <f t="shared" si="76"/>
        <v>Angelo</v>
      </c>
      <c r="C171" s="58">
        <f t="shared" si="66"/>
        <v>8940.555702079886</v>
      </c>
      <c r="D171" s="15">
        <f t="shared" si="72"/>
        <v>991.33333333333337</v>
      </c>
      <c r="E171" s="14">
        <f t="shared" si="73"/>
        <v>425.94288888888889</v>
      </c>
      <c r="F171" s="14">
        <f t="shared" si="74"/>
        <v>1015.2850354132148</v>
      </c>
      <c r="G171" s="13">
        <f t="shared" si="77"/>
        <v>1977.3500000000051</v>
      </c>
      <c r="H171" s="15">
        <f t="shared" si="77"/>
        <v>661.1111111111112</v>
      </c>
      <c r="I171" s="15">
        <f t="shared" si="77"/>
        <v>126.66666666666666</v>
      </c>
      <c r="J171" s="15">
        <f t="shared" si="77"/>
        <v>254.33333333333334</v>
      </c>
      <c r="K171" s="13">
        <f t="shared" si="77"/>
        <v>19.333333333333332</v>
      </c>
      <c r="L171" s="16">
        <f t="shared" si="77"/>
        <v>289.2</v>
      </c>
      <c r="M171" s="15">
        <f t="shared" si="77"/>
        <v>1438.6666666666667</v>
      </c>
      <c r="N171" s="14">
        <f t="shared" si="77"/>
        <v>1033.6666666666667</v>
      </c>
      <c r="O171" s="13">
        <f t="shared" si="77"/>
        <v>707.66666666666663</v>
      </c>
    </row>
    <row r="172" spans="1:15" outlineLevel="1" x14ac:dyDescent="0.2">
      <c r="A172" s="20">
        <f t="shared" si="76"/>
        <v>3646</v>
      </c>
      <c r="B172" s="19" t="str">
        <f t="shared" si="76"/>
        <v>TWU</v>
      </c>
      <c r="C172" s="58">
        <f t="shared" si="66"/>
        <v>22322.332214751998</v>
      </c>
      <c r="D172" s="15">
        <f t="shared" si="72"/>
        <v>1806</v>
      </c>
      <c r="E172" s="14">
        <f t="shared" si="73"/>
        <v>945.74200000000008</v>
      </c>
      <c r="F172" s="14">
        <f t="shared" si="74"/>
        <v>1377.2802147519981</v>
      </c>
      <c r="G172" s="13">
        <f t="shared" si="77"/>
        <v>3452.1766666666658</v>
      </c>
      <c r="H172" s="15">
        <f t="shared" si="77"/>
        <v>5093.3333333333339</v>
      </c>
      <c r="I172" s="15">
        <f t="shared" si="77"/>
        <v>4400</v>
      </c>
      <c r="J172" s="15">
        <f t="shared" si="77"/>
        <v>569.33333333333337</v>
      </c>
      <c r="K172" s="13">
        <f t="shared" si="77"/>
        <v>31.666666666666668</v>
      </c>
      <c r="L172" s="16">
        <f t="shared" si="77"/>
        <v>498.8</v>
      </c>
      <c r="M172" s="15">
        <f t="shared" si="77"/>
        <v>2196</v>
      </c>
      <c r="N172" s="14">
        <f t="shared" si="77"/>
        <v>1292.3333333333333</v>
      </c>
      <c r="O172" s="13">
        <f t="shared" si="77"/>
        <v>659.66666666666663</v>
      </c>
    </row>
    <row r="173" spans="1:15" outlineLevel="1" x14ac:dyDescent="0.2">
      <c r="A173" s="20">
        <f t="shared" si="76"/>
        <v>3581</v>
      </c>
      <c r="B173" s="19" t="str">
        <f t="shared" si="76"/>
        <v>Lamar</v>
      </c>
      <c r="C173" s="58">
        <f t="shared" si="66"/>
        <v>18835.813791555956</v>
      </c>
      <c r="D173" s="15">
        <f t="shared" si="72"/>
        <v>1335.3333333333333</v>
      </c>
      <c r="E173" s="14">
        <f t="shared" si="73"/>
        <v>467.81177777777776</v>
      </c>
      <c r="F173" s="14">
        <f t="shared" si="74"/>
        <v>917.74645822260493</v>
      </c>
      <c r="G173" s="13">
        <f t="shared" si="77"/>
        <v>2684.9000000000165</v>
      </c>
      <c r="H173" s="15">
        <f t="shared" si="77"/>
        <v>7445.5555555555557</v>
      </c>
      <c r="I173" s="15">
        <f t="shared" si="77"/>
        <v>613.33333333333337</v>
      </c>
      <c r="J173" s="15">
        <f t="shared" si="77"/>
        <v>330</v>
      </c>
      <c r="K173" s="13">
        <f t="shared" si="77"/>
        <v>17</v>
      </c>
      <c r="L173" s="16">
        <f t="shared" si="77"/>
        <v>379.4666666666667</v>
      </c>
      <c r="M173" s="15">
        <f t="shared" si="77"/>
        <v>2144.6666666666665</v>
      </c>
      <c r="N173" s="14">
        <f t="shared" si="77"/>
        <v>1489</v>
      </c>
      <c r="O173" s="13">
        <f t="shared" si="77"/>
        <v>1011</v>
      </c>
    </row>
    <row r="174" spans="1:15" outlineLevel="1" x14ac:dyDescent="0.2">
      <c r="A174" s="20">
        <f t="shared" si="76"/>
        <v>3606</v>
      </c>
      <c r="B174" s="19" t="str">
        <f t="shared" si="76"/>
        <v>SHSU</v>
      </c>
      <c r="C174" s="58">
        <f t="shared" si="66"/>
        <v>25352.779378631833</v>
      </c>
      <c r="D174" s="15">
        <f t="shared" si="72"/>
        <v>3077.6666666666665</v>
      </c>
      <c r="E174" s="14">
        <f t="shared" si="73"/>
        <v>1805.5644444444445</v>
      </c>
      <c r="F174" s="14">
        <f t="shared" si="74"/>
        <v>1223.7827119650508</v>
      </c>
      <c r="G174" s="13">
        <f t="shared" si="77"/>
        <v>5837.0766666667887</v>
      </c>
      <c r="H174" s="15">
        <f t="shared" si="77"/>
        <v>2805.5555555555557</v>
      </c>
      <c r="I174" s="15">
        <f t="shared" si="77"/>
        <v>866.66666666666674</v>
      </c>
      <c r="J174" s="15">
        <f t="shared" si="77"/>
        <v>167</v>
      </c>
      <c r="K174" s="13">
        <f t="shared" si="77"/>
        <v>61</v>
      </c>
      <c r="L174" s="16">
        <f t="shared" si="77"/>
        <v>885.4666666666667</v>
      </c>
      <c r="M174" s="15">
        <f t="shared" si="77"/>
        <v>3894.3333333333335</v>
      </c>
      <c r="N174" s="14">
        <f t="shared" si="77"/>
        <v>2965.3333333333335</v>
      </c>
      <c r="O174" s="13">
        <f t="shared" si="77"/>
        <v>1763.3333333333333</v>
      </c>
    </row>
    <row r="175" spans="1:15" outlineLevel="1" x14ac:dyDescent="0.2">
      <c r="A175" s="20">
        <f t="shared" si="76"/>
        <v>3615</v>
      </c>
      <c r="B175" s="19" t="str">
        <f t="shared" si="76"/>
        <v>TXST</v>
      </c>
      <c r="C175" s="58">
        <f t="shared" si="66"/>
        <v>44209.856464877572</v>
      </c>
      <c r="D175" s="15">
        <f t="shared" si="72"/>
        <v>5361</v>
      </c>
      <c r="E175" s="14">
        <f t="shared" si="73"/>
        <v>3393.5129999999999</v>
      </c>
      <c r="F175" s="14">
        <f t="shared" si="74"/>
        <v>1170.3445759893198</v>
      </c>
      <c r="G175" s="13">
        <f t="shared" si="77"/>
        <v>10437.309999999357</v>
      </c>
      <c r="H175" s="15">
        <f t="shared" si="77"/>
        <v>4362.2222222222226</v>
      </c>
      <c r="I175" s="15">
        <f t="shared" si="77"/>
        <v>1093.3333333333333</v>
      </c>
      <c r="J175" s="15">
        <f t="shared" si="77"/>
        <v>488.66666666666669</v>
      </c>
      <c r="K175" s="13">
        <f t="shared" si="77"/>
        <v>66.666666666666671</v>
      </c>
      <c r="L175" s="16">
        <f t="shared" si="77"/>
        <v>1470.1333333333334</v>
      </c>
      <c r="M175" s="15">
        <f t="shared" si="77"/>
        <v>7470.333333333333</v>
      </c>
      <c r="N175" s="14">
        <f t="shared" si="77"/>
        <v>5579</v>
      </c>
      <c r="O175" s="13">
        <f t="shared" si="77"/>
        <v>3317.3333333333335</v>
      </c>
    </row>
    <row r="176" spans="1:15" outlineLevel="1" x14ac:dyDescent="0.2">
      <c r="A176" s="20">
        <f t="shared" si="76"/>
        <v>3625</v>
      </c>
      <c r="B176" s="19" t="str">
        <f t="shared" si="76"/>
        <v>SRSU</v>
      </c>
      <c r="C176" s="58">
        <f t="shared" si="66"/>
        <v>2720.5725948606473</v>
      </c>
      <c r="D176" s="15">
        <f t="shared" si="72"/>
        <v>189.33333333333334</v>
      </c>
      <c r="E176" s="14">
        <f t="shared" si="73"/>
        <v>56.989333333333335</v>
      </c>
      <c r="F176" s="14">
        <f t="shared" si="74"/>
        <v>775.94215041620384</v>
      </c>
      <c r="G176" s="13">
        <f t="shared" si="77"/>
        <v>394.32999999999964</v>
      </c>
      <c r="H176" s="15">
        <f t="shared" si="77"/>
        <v>594.44444444444446</v>
      </c>
      <c r="I176" s="15">
        <f t="shared" si="77"/>
        <v>0</v>
      </c>
      <c r="J176" s="15">
        <f t="shared" si="77"/>
        <v>12.666666666666666</v>
      </c>
      <c r="K176" s="13">
        <f t="shared" si="77"/>
        <v>6.333333333333333</v>
      </c>
      <c r="L176" s="16">
        <f t="shared" si="77"/>
        <v>65.2</v>
      </c>
      <c r="M176" s="15">
        <f t="shared" si="77"/>
        <v>300</v>
      </c>
      <c r="N176" s="14">
        <f t="shared" si="77"/>
        <v>193.66666666666666</v>
      </c>
      <c r="O176" s="13">
        <f t="shared" si="77"/>
        <v>131.66666666666666</v>
      </c>
    </row>
    <row r="177" spans="1:16" outlineLevel="1" x14ac:dyDescent="0.2">
      <c r="A177" s="20">
        <f t="shared" si="76"/>
        <v>20</v>
      </c>
      <c r="B177" s="19" t="str">
        <f t="shared" si="76"/>
        <v>SRRG</v>
      </c>
      <c r="C177" s="58">
        <f t="shared" si="66"/>
        <v>2905.2897234533561</v>
      </c>
      <c r="D177" s="15">
        <f t="shared" si="72"/>
        <v>161.66666666666666</v>
      </c>
      <c r="E177" s="14">
        <f t="shared" si="73"/>
        <v>51.365976618337754</v>
      </c>
      <c r="F177" s="14">
        <f t="shared" si="74"/>
        <v>1829.8204135016854</v>
      </c>
      <c r="G177" s="13">
        <f t="shared" si="77"/>
        <v>279.16999999999979</v>
      </c>
      <c r="H177" s="15">
        <f t="shared" si="77"/>
        <v>186.66666666666669</v>
      </c>
      <c r="I177" s="15">
        <f t="shared" si="77"/>
        <v>0</v>
      </c>
      <c r="J177" s="15">
        <f t="shared" si="77"/>
        <v>6.333333333333333</v>
      </c>
      <c r="K177" s="13">
        <f t="shared" si="77"/>
        <v>5.666666666666667</v>
      </c>
      <c r="L177" s="16">
        <f t="shared" si="77"/>
        <v>57.6</v>
      </c>
      <c r="M177" s="15">
        <f t="shared" si="77"/>
        <v>230</v>
      </c>
      <c r="N177" s="14">
        <f t="shared" si="77"/>
        <v>92.666666666666671</v>
      </c>
      <c r="O177" s="13">
        <f t="shared" si="77"/>
        <v>4.333333333333333</v>
      </c>
    </row>
    <row r="178" spans="1:16" ht="13.5" outlineLevel="1" thickBot="1" x14ac:dyDescent="0.25">
      <c r="A178" s="12"/>
      <c r="B178" s="11" t="s">
        <v>11</v>
      </c>
      <c r="C178" s="57">
        <f t="shared" ref="C178:O178" si="78">SUM(C140:C177)</f>
        <v>843558.95124385203</v>
      </c>
      <c r="D178" s="9">
        <f t="shared" si="78"/>
        <v>84453.499999999985</v>
      </c>
      <c r="E178" s="7">
        <f t="shared" si="78"/>
        <v>49118.168778098283</v>
      </c>
      <c r="F178" s="7">
        <f t="shared" si="78"/>
        <v>51283.484687977412</v>
      </c>
      <c r="G178" s="3">
        <f t="shared" si="78"/>
        <v>172813.15333333181</v>
      </c>
      <c r="H178" s="5">
        <f t="shared" ref="H178:I178" si="79">SUM(H140:H177)</f>
        <v>104146.11111111112</v>
      </c>
      <c r="I178" s="5">
        <f t="shared" si="79"/>
        <v>96826.666666666672</v>
      </c>
      <c r="J178" s="5">
        <f t="shared" si="78"/>
        <v>13971.999999999998</v>
      </c>
      <c r="K178" s="3">
        <f t="shared" si="78"/>
        <v>1198.3333333333335</v>
      </c>
      <c r="L178" s="6">
        <f t="shared" si="78"/>
        <v>21810.200000000004</v>
      </c>
      <c r="M178" s="5">
        <f t="shared" si="78"/>
        <v>114508.83333333331</v>
      </c>
      <c r="N178" s="4">
        <f t="shared" si="78"/>
        <v>82503.5</v>
      </c>
      <c r="O178" s="3">
        <f t="shared" si="78"/>
        <v>50924.999999999993</v>
      </c>
    </row>
    <row r="179" spans="1:16" ht="13.5" thickBot="1" x14ac:dyDescent="0.25">
      <c r="A179" s="45" t="s">
        <v>29</v>
      </c>
      <c r="B179" s="45"/>
      <c r="C179" s="54"/>
      <c r="D179" s="54"/>
      <c r="E179" s="54"/>
      <c r="F179" s="56"/>
      <c r="H179" s="56"/>
      <c r="I179" s="56"/>
      <c r="J179" s="56"/>
    </row>
    <row r="180" spans="1:16" ht="12.75" customHeight="1" outlineLevel="1" x14ac:dyDescent="0.2">
      <c r="A180" s="177" t="s">
        <v>24</v>
      </c>
      <c r="B180" s="179" t="s">
        <v>23</v>
      </c>
      <c r="C180" s="181"/>
      <c r="D180" s="210" t="s">
        <v>28</v>
      </c>
      <c r="E180" s="205" t="s">
        <v>21</v>
      </c>
      <c r="F180" s="179" t="s">
        <v>20</v>
      </c>
      <c r="G180" s="201" t="s">
        <v>19</v>
      </c>
      <c r="H180" s="203" t="str">
        <f>H3</f>
        <v>Master's</v>
      </c>
      <c r="I180" s="203" t="str">
        <f>I3</f>
        <v>Doctoral and Professional Practice</v>
      </c>
      <c r="J180" s="203" t="s">
        <v>18</v>
      </c>
      <c r="K180" s="195" t="s">
        <v>17</v>
      </c>
      <c r="L180" s="197" t="s">
        <v>16</v>
      </c>
      <c r="M180" s="199" t="s">
        <v>15</v>
      </c>
      <c r="N180" s="200"/>
      <c r="O180" s="200"/>
    </row>
    <row r="181" spans="1:16" s="41" customFormat="1" ht="41.25" customHeight="1" outlineLevel="1" thickBot="1" x14ac:dyDescent="0.25">
      <c r="A181" s="178"/>
      <c r="B181" s="180"/>
      <c r="C181" s="182"/>
      <c r="D181" s="211"/>
      <c r="E181" s="206"/>
      <c r="F181" s="180"/>
      <c r="G181" s="202"/>
      <c r="H181" s="204"/>
      <c r="I181" s="204"/>
      <c r="J181" s="204"/>
      <c r="K181" s="196"/>
      <c r="L181" s="198"/>
      <c r="M181" s="44" t="s">
        <v>14</v>
      </c>
      <c r="N181" s="43" t="s">
        <v>13</v>
      </c>
      <c r="O181" s="42" t="s">
        <v>12</v>
      </c>
    </row>
    <row r="182" spans="1:16" outlineLevel="1" x14ac:dyDescent="0.2">
      <c r="A182" s="20">
        <f t="shared" ref="A182:B197" si="80">A140</f>
        <v>3656</v>
      </c>
      <c r="B182" s="19" t="str">
        <f t="shared" si="80"/>
        <v>UTA</v>
      </c>
      <c r="C182" s="38"/>
      <c r="D182" s="33">
        <f t="shared" ref="D182:O197" si="81">AVERAGE(D224,D266,D308)</f>
        <v>5018</v>
      </c>
      <c r="E182" s="37">
        <f t="shared" si="81"/>
        <v>0.51833333333333342</v>
      </c>
      <c r="F182" s="32">
        <f t="shared" si="81"/>
        <v>16950.533333333333</v>
      </c>
      <c r="G182" s="31">
        <f t="shared" si="81"/>
        <v>10418.553333333379</v>
      </c>
      <c r="H182" s="36">
        <f t="shared" si="81"/>
        <v>2519</v>
      </c>
      <c r="I182" s="36">
        <f t="shared" si="81"/>
        <v>140.66666666666666</v>
      </c>
      <c r="J182" s="36">
        <f t="shared" si="81"/>
        <v>1531.3333333333333</v>
      </c>
      <c r="K182" s="35">
        <f t="shared" si="81"/>
        <v>35</v>
      </c>
      <c r="L182" s="34">
        <f t="shared" si="81"/>
        <v>3116</v>
      </c>
      <c r="M182" s="33">
        <f t="shared" si="81"/>
        <v>6836.333333333333</v>
      </c>
      <c r="N182" s="32">
        <f t="shared" si="81"/>
        <v>3833.6666666666665</v>
      </c>
      <c r="O182" s="31">
        <f t="shared" si="81"/>
        <v>1783.6666666666667</v>
      </c>
      <c r="P182" s="55"/>
    </row>
    <row r="183" spans="1:16" outlineLevel="1" x14ac:dyDescent="0.2">
      <c r="A183" s="20">
        <f t="shared" si="80"/>
        <v>3658</v>
      </c>
      <c r="B183" s="19" t="str">
        <f t="shared" si="80"/>
        <v>UT</v>
      </c>
      <c r="C183" s="18"/>
      <c r="D183" s="15">
        <f t="shared" si="81"/>
        <v>8946.3333333333339</v>
      </c>
      <c r="E183" s="21">
        <f t="shared" si="81"/>
        <v>0.82900000000000007</v>
      </c>
      <c r="F183" s="14">
        <f t="shared" si="81"/>
        <v>33762.688888888893</v>
      </c>
      <c r="G183" s="13">
        <f t="shared" si="81"/>
        <v>19398.350000000519</v>
      </c>
      <c r="H183" s="15">
        <f t="shared" si="81"/>
        <v>3005.6666666666665</v>
      </c>
      <c r="I183" s="15">
        <f t="shared" si="81"/>
        <v>1353.6666666666667</v>
      </c>
      <c r="J183" s="15">
        <f t="shared" si="81"/>
        <v>1876.3333333333333</v>
      </c>
      <c r="K183" s="13">
        <f t="shared" si="81"/>
        <v>66</v>
      </c>
      <c r="L183" s="16">
        <f t="shared" si="81"/>
        <v>3470.3333333333335</v>
      </c>
      <c r="M183" s="15">
        <f t="shared" si="81"/>
        <v>9598.3333333333339</v>
      </c>
      <c r="N183" s="14">
        <f t="shared" si="81"/>
        <v>9005.6666666666661</v>
      </c>
      <c r="O183" s="13">
        <f t="shared" si="81"/>
        <v>7040.333333333333</v>
      </c>
      <c r="P183" s="55"/>
    </row>
    <row r="184" spans="1:16" outlineLevel="1" x14ac:dyDescent="0.2">
      <c r="A184" s="20">
        <f t="shared" si="80"/>
        <v>9741</v>
      </c>
      <c r="B184" s="19" t="str">
        <f t="shared" si="80"/>
        <v>UTD</v>
      </c>
      <c r="C184" s="18"/>
      <c r="D184" s="15">
        <f t="shared" si="81"/>
        <v>2393</v>
      </c>
      <c r="E184" s="21">
        <f t="shared" si="81"/>
        <v>0.70299999999999996</v>
      </c>
      <c r="F184" s="14">
        <f t="shared" si="81"/>
        <v>8919.1999999999989</v>
      </c>
      <c r="G184" s="13">
        <f t="shared" si="81"/>
        <v>5101.2033333334393</v>
      </c>
      <c r="H184" s="15">
        <f t="shared" si="81"/>
        <v>2006</v>
      </c>
      <c r="I184" s="15">
        <f t="shared" si="81"/>
        <v>182.66666666666666</v>
      </c>
      <c r="J184" s="15">
        <f t="shared" si="81"/>
        <v>421.66666666666669</v>
      </c>
      <c r="K184" s="13">
        <f t="shared" si="81"/>
        <v>32</v>
      </c>
      <c r="L184" s="16">
        <f t="shared" si="81"/>
        <v>1319.6666666666667</v>
      </c>
      <c r="M184" s="15">
        <f t="shared" si="81"/>
        <v>3315</v>
      </c>
      <c r="N184" s="14">
        <f t="shared" si="81"/>
        <v>2134.3333333333335</v>
      </c>
      <c r="O184" s="13">
        <f t="shared" si="81"/>
        <v>1021.3333333333334</v>
      </c>
      <c r="P184" s="55"/>
    </row>
    <row r="185" spans="1:16" outlineLevel="1" x14ac:dyDescent="0.2">
      <c r="A185" s="20">
        <f t="shared" si="80"/>
        <v>3661</v>
      </c>
      <c r="B185" s="19" t="str">
        <f t="shared" si="80"/>
        <v>UTEP</v>
      </c>
      <c r="C185" s="18"/>
      <c r="D185" s="15">
        <f t="shared" si="81"/>
        <v>3057</v>
      </c>
      <c r="E185" s="21">
        <f t="shared" si="81"/>
        <v>0.38999999999999996</v>
      </c>
      <c r="F185" s="14">
        <f t="shared" si="81"/>
        <v>13366.333333333334</v>
      </c>
      <c r="G185" s="13">
        <f t="shared" si="81"/>
        <v>6298.0766666668133</v>
      </c>
      <c r="H185" s="15">
        <f t="shared" si="81"/>
        <v>1031</v>
      </c>
      <c r="I185" s="15">
        <f t="shared" si="81"/>
        <v>70.333333333333329</v>
      </c>
      <c r="J185" s="15">
        <f t="shared" si="81"/>
        <v>655</v>
      </c>
      <c r="K185" s="13">
        <f t="shared" si="81"/>
        <v>90</v>
      </c>
      <c r="L185" s="16">
        <f t="shared" si="81"/>
        <v>2464.3333333333335</v>
      </c>
      <c r="M185" s="15">
        <f t="shared" si="81"/>
        <v>4362.666666666667</v>
      </c>
      <c r="N185" s="14">
        <f t="shared" si="81"/>
        <v>3358</v>
      </c>
      <c r="O185" s="13">
        <f t="shared" si="81"/>
        <v>1956</v>
      </c>
      <c r="P185" s="55"/>
    </row>
    <row r="186" spans="1:16" outlineLevel="1" x14ac:dyDescent="0.2">
      <c r="A186" s="20">
        <f t="shared" si="80"/>
        <v>3599</v>
      </c>
      <c r="B186" s="19" t="str">
        <f t="shared" si="80"/>
        <v>UTPA</v>
      </c>
      <c r="C186" s="18"/>
      <c r="D186" s="15">
        <f t="shared" si="81"/>
        <v>2580</v>
      </c>
      <c r="E186" s="21">
        <f t="shared" si="81"/>
        <v>0.43099999999999999</v>
      </c>
      <c r="F186" s="14">
        <f t="shared" si="81"/>
        <v>12589.977777777778</v>
      </c>
      <c r="G186" s="13">
        <f t="shared" si="81"/>
        <v>5134.1666666667797</v>
      </c>
      <c r="H186" s="15">
        <f t="shared" si="81"/>
        <v>715.33333333333337</v>
      </c>
      <c r="I186" s="15">
        <f t="shared" si="81"/>
        <v>12.333333333333334</v>
      </c>
      <c r="J186" s="15">
        <f t="shared" si="81"/>
        <v>520.33333333333337</v>
      </c>
      <c r="K186" s="13">
        <f t="shared" si="81"/>
        <v>28</v>
      </c>
      <c r="L186" s="16">
        <f t="shared" si="81"/>
        <v>2338.3333333333335</v>
      </c>
      <c r="M186" s="15">
        <f t="shared" si="81"/>
        <v>4075.3333333333335</v>
      </c>
      <c r="N186" s="14">
        <f t="shared" si="81"/>
        <v>3096</v>
      </c>
      <c r="O186" s="13">
        <f t="shared" si="81"/>
        <v>1939.3333333333333</v>
      </c>
      <c r="P186" s="55"/>
    </row>
    <row r="187" spans="1:16" outlineLevel="1" x14ac:dyDescent="0.2">
      <c r="A187" s="20">
        <f t="shared" si="80"/>
        <v>30646</v>
      </c>
      <c r="B187" s="19" t="str">
        <f t="shared" si="80"/>
        <v>UTB</v>
      </c>
      <c r="C187" s="18"/>
      <c r="D187" s="15">
        <f t="shared" si="81"/>
        <v>1092</v>
      </c>
      <c r="E187" s="21">
        <f t="shared" si="81"/>
        <v>0.57524809937089749</v>
      </c>
      <c r="F187" s="14">
        <f t="shared" si="81"/>
        <v>3168.7777777777778</v>
      </c>
      <c r="G187" s="13">
        <f t="shared" si="81"/>
        <v>2097.7933333333553</v>
      </c>
      <c r="H187" s="15">
        <f t="shared" si="81"/>
        <v>213.33333333333334</v>
      </c>
      <c r="I187" s="15">
        <f t="shared" si="81"/>
        <v>4.666666666666667</v>
      </c>
      <c r="J187" s="15">
        <f t="shared" si="81"/>
        <v>124.33333333333333</v>
      </c>
      <c r="K187" s="13">
        <f t="shared" si="81"/>
        <v>18.333333333333332</v>
      </c>
      <c r="L187" s="16">
        <f t="shared" si="81"/>
        <v>936.66666666666663</v>
      </c>
      <c r="M187" s="15">
        <f t="shared" si="81"/>
        <v>1326.3333333333333</v>
      </c>
      <c r="N187" s="14">
        <f t="shared" si="81"/>
        <v>556.33333333333337</v>
      </c>
      <c r="O187" s="13">
        <f t="shared" si="81"/>
        <v>100.66666666666667</v>
      </c>
      <c r="P187" s="55"/>
    </row>
    <row r="188" spans="1:16" outlineLevel="1" x14ac:dyDescent="0.2">
      <c r="A188" s="20">
        <f t="shared" si="80"/>
        <v>9930</v>
      </c>
      <c r="B188" s="19" t="str">
        <f t="shared" si="80"/>
        <v>UTPB</v>
      </c>
      <c r="C188" s="18"/>
      <c r="D188" s="15">
        <f t="shared" si="81"/>
        <v>533.33333333333337</v>
      </c>
      <c r="E188" s="21">
        <f t="shared" si="81"/>
        <v>0.44400000000000001</v>
      </c>
      <c r="F188" s="14">
        <f t="shared" si="81"/>
        <v>2306.2888888888888</v>
      </c>
      <c r="G188" s="13">
        <f t="shared" si="81"/>
        <v>1001.5166666666704</v>
      </c>
      <c r="H188" s="15">
        <f t="shared" si="81"/>
        <v>157.33333333333334</v>
      </c>
      <c r="I188" s="15">
        <f t="shared" si="81"/>
        <v>0</v>
      </c>
      <c r="J188" s="15">
        <f t="shared" si="81"/>
        <v>41.333333333333336</v>
      </c>
      <c r="K188" s="13">
        <f t="shared" si="81"/>
        <v>10</v>
      </c>
      <c r="L188" s="16">
        <f t="shared" si="81"/>
        <v>399</v>
      </c>
      <c r="M188" s="15">
        <f t="shared" si="81"/>
        <v>785.66666666666663</v>
      </c>
      <c r="N188" s="14">
        <f t="shared" si="81"/>
        <v>491.66666666666669</v>
      </c>
      <c r="O188" s="13">
        <f t="shared" si="81"/>
        <v>194.33333333333334</v>
      </c>
      <c r="P188" s="55"/>
    </row>
    <row r="189" spans="1:16" outlineLevel="1" x14ac:dyDescent="0.2">
      <c r="A189" s="20">
        <f t="shared" si="80"/>
        <v>10115</v>
      </c>
      <c r="B189" s="19" t="str">
        <f t="shared" si="80"/>
        <v>UTSA</v>
      </c>
      <c r="C189" s="18"/>
      <c r="D189" s="15">
        <f t="shared" si="81"/>
        <v>4119.666666666667</v>
      </c>
      <c r="E189" s="21">
        <f t="shared" si="81"/>
        <v>0.42166666666666663</v>
      </c>
      <c r="F189" s="14">
        <f t="shared" si="81"/>
        <v>20353.044444444444</v>
      </c>
      <c r="G189" s="13">
        <f t="shared" si="81"/>
        <v>8414.213333333224</v>
      </c>
      <c r="H189" s="15">
        <f t="shared" si="81"/>
        <v>1029</v>
      </c>
      <c r="I189" s="15">
        <f t="shared" si="81"/>
        <v>69</v>
      </c>
      <c r="J189" s="15">
        <f t="shared" si="81"/>
        <v>392</v>
      </c>
      <c r="K189" s="13">
        <f t="shared" si="81"/>
        <v>49.666666666666664</v>
      </c>
      <c r="L189" s="16">
        <f t="shared" si="81"/>
        <v>3123.6666666666665</v>
      </c>
      <c r="M189" s="15">
        <f t="shared" si="81"/>
        <v>6809.666666666667</v>
      </c>
      <c r="N189" s="14">
        <f t="shared" si="81"/>
        <v>4458.666666666667</v>
      </c>
      <c r="O189" s="13">
        <f t="shared" si="81"/>
        <v>2615.6666666666665</v>
      </c>
      <c r="P189" s="55"/>
    </row>
    <row r="190" spans="1:16" outlineLevel="1" x14ac:dyDescent="0.2">
      <c r="A190" s="20">
        <f t="shared" si="80"/>
        <v>11163</v>
      </c>
      <c r="B190" s="19" t="str">
        <f t="shared" si="80"/>
        <v>UTT</v>
      </c>
      <c r="C190" s="18"/>
      <c r="D190" s="15">
        <f t="shared" si="81"/>
        <v>1190</v>
      </c>
      <c r="E190" s="21">
        <f t="shared" si="81"/>
        <v>0.51566666666666672</v>
      </c>
      <c r="F190" s="14">
        <f t="shared" si="81"/>
        <v>4067.577777777778</v>
      </c>
      <c r="G190" s="13">
        <f t="shared" si="81"/>
        <v>2362.6600000000103</v>
      </c>
      <c r="H190" s="15">
        <f t="shared" si="81"/>
        <v>396</v>
      </c>
      <c r="I190" s="15">
        <f t="shared" si="81"/>
        <v>6.666666666666667</v>
      </c>
      <c r="J190" s="15">
        <f t="shared" si="81"/>
        <v>376.66666666666669</v>
      </c>
      <c r="K190" s="13">
        <f t="shared" si="81"/>
        <v>14</v>
      </c>
      <c r="L190" s="16">
        <f t="shared" si="81"/>
        <v>942.33333333333337</v>
      </c>
      <c r="M190" s="15">
        <f t="shared" si="81"/>
        <v>1436.3333333333333</v>
      </c>
      <c r="N190" s="14">
        <f t="shared" si="81"/>
        <v>890</v>
      </c>
      <c r="O190" s="13">
        <f t="shared" si="81"/>
        <v>387.33333333333331</v>
      </c>
      <c r="P190" s="55"/>
    </row>
    <row r="191" spans="1:16" outlineLevel="1" x14ac:dyDescent="0.2">
      <c r="A191" s="20">
        <f t="shared" si="80"/>
        <v>3632</v>
      </c>
      <c r="B191" s="19" t="str">
        <f t="shared" si="80"/>
        <v>TAMU</v>
      </c>
      <c r="C191" s="18"/>
      <c r="D191" s="15">
        <f t="shared" si="81"/>
        <v>8739.6666666666661</v>
      </c>
      <c r="E191" s="21">
        <f t="shared" si="81"/>
        <v>0.84066666666666656</v>
      </c>
      <c r="F191" s="14">
        <f t="shared" si="81"/>
        <v>34623.666666666664</v>
      </c>
      <c r="G191" s="13">
        <f t="shared" si="81"/>
        <v>20104.8166666668</v>
      </c>
      <c r="H191" s="15">
        <f t="shared" si="81"/>
        <v>2129</v>
      </c>
      <c r="I191" s="15">
        <f t="shared" si="81"/>
        <v>749.66666666666663</v>
      </c>
      <c r="J191" s="15">
        <f t="shared" si="81"/>
        <v>1763</v>
      </c>
      <c r="K191" s="13">
        <f t="shared" si="81"/>
        <v>126</v>
      </c>
      <c r="L191" s="16">
        <f t="shared" si="81"/>
        <v>3724</v>
      </c>
      <c r="M191" s="15">
        <f t="shared" si="81"/>
        <v>10060.666666666666</v>
      </c>
      <c r="N191" s="14">
        <f t="shared" si="81"/>
        <v>8907.3333333333339</v>
      </c>
      <c r="O191" s="13">
        <f t="shared" si="81"/>
        <v>6897.666666666667</v>
      </c>
      <c r="P191" s="55"/>
    </row>
    <row r="192" spans="1:16" outlineLevel="1" x14ac:dyDescent="0.2">
      <c r="A192" s="20">
        <f t="shared" si="80"/>
        <v>10298</v>
      </c>
      <c r="B192" s="19" t="str">
        <f t="shared" si="80"/>
        <v>TAMUG</v>
      </c>
      <c r="C192" s="18"/>
      <c r="D192" s="15">
        <f t="shared" si="81"/>
        <v>275.33333333333331</v>
      </c>
      <c r="E192" s="21">
        <f t="shared" si="81"/>
        <v>0.62733333333333341</v>
      </c>
      <c r="F192" s="14">
        <f t="shared" si="81"/>
        <v>1678.9333333333334</v>
      </c>
      <c r="G192" s="13">
        <f t="shared" si="81"/>
        <v>704.02666666666448</v>
      </c>
      <c r="H192" s="15">
        <f t="shared" si="81"/>
        <v>11</v>
      </c>
      <c r="I192" s="15">
        <f t="shared" si="81"/>
        <v>0.66666666666666663</v>
      </c>
      <c r="J192" s="15">
        <f t="shared" si="81"/>
        <v>37.333333333333336</v>
      </c>
      <c r="K192" s="13">
        <f t="shared" si="81"/>
        <v>0</v>
      </c>
      <c r="L192" s="16">
        <f t="shared" si="81"/>
        <v>158</v>
      </c>
      <c r="M192" s="15">
        <f t="shared" si="81"/>
        <v>592.33333333333337</v>
      </c>
      <c r="N192" s="14">
        <f t="shared" si="81"/>
        <v>318</v>
      </c>
      <c r="O192" s="13">
        <f t="shared" si="81"/>
        <v>246</v>
      </c>
      <c r="P192" s="55"/>
    </row>
    <row r="193" spans="1:16" outlineLevel="1" x14ac:dyDescent="0.2">
      <c r="A193" s="20">
        <f t="shared" si="80"/>
        <v>3630</v>
      </c>
      <c r="B193" s="19" t="str">
        <f t="shared" si="80"/>
        <v>Prairie View</v>
      </c>
      <c r="C193" s="18"/>
      <c r="D193" s="15">
        <f t="shared" si="81"/>
        <v>936.33333333333337</v>
      </c>
      <c r="E193" s="21">
        <f t="shared" si="81"/>
        <v>0.37166666666666665</v>
      </c>
      <c r="F193" s="14">
        <f t="shared" si="81"/>
        <v>5917.2888888888883</v>
      </c>
      <c r="G193" s="13">
        <f t="shared" si="81"/>
        <v>2072.9000000000092</v>
      </c>
      <c r="H193" s="15">
        <f t="shared" si="81"/>
        <v>510.33333333333331</v>
      </c>
      <c r="I193" s="15">
        <f t="shared" si="81"/>
        <v>13.333333333333334</v>
      </c>
      <c r="J193" s="15">
        <f t="shared" si="81"/>
        <v>315.66666666666669</v>
      </c>
      <c r="K193" s="13">
        <f t="shared" si="81"/>
        <v>9.6666666666666661</v>
      </c>
      <c r="L193" s="16">
        <f t="shared" si="81"/>
        <v>802.66666666666663</v>
      </c>
      <c r="M193" s="15">
        <f t="shared" si="81"/>
        <v>1668</v>
      </c>
      <c r="N193" s="14">
        <f t="shared" si="81"/>
        <v>1181</v>
      </c>
      <c r="O193" s="13">
        <f t="shared" si="81"/>
        <v>905.33333333333337</v>
      </c>
      <c r="P193" s="55"/>
    </row>
    <row r="194" spans="1:16" outlineLevel="1" x14ac:dyDescent="0.2">
      <c r="A194" s="20">
        <f t="shared" si="80"/>
        <v>3631</v>
      </c>
      <c r="B194" s="19" t="str">
        <f t="shared" si="80"/>
        <v>Tarleton</v>
      </c>
      <c r="C194" s="18"/>
      <c r="D194" s="15">
        <f t="shared" si="81"/>
        <v>1545.3333333333333</v>
      </c>
      <c r="E194" s="21">
        <f t="shared" si="81"/>
        <v>0.47800000000000004</v>
      </c>
      <c r="F194" s="14">
        <f t="shared" si="81"/>
        <v>6292.1333333333323</v>
      </c>
      <c r="G194" s="13">
        <f t="shared" si="81"/>
        <v>3122.5433333333599</v>
      </c>
      <c r="H194" s="15">
        <f t="shared" si="81"/>
        <v>356.66666666666669</v>
      </c>
      <c r="I194" s="15">
        <f t="shared" si="81"/>
        <v>9.6666666666666661</v>
      </c>
      <c r="J194" s="15">
        <f t="shared" si="81"/>
        <v>203</v>
      </c>
      <c r="K194" s="13">
        <f t="shared" si="81"/>
        <v>47.666666666666664</v>
      </c>
      <c r="L194" s="16">
        <f t="shared" si="81"/>
        <v>1195</v>
      </c>
      <c r="M194" s="15">
        <f t="shared" si="81"/>
        <v>2154.3333333333335</v>
      </c>
      <c r="N194" s="14">
        <f t="shared" si="81"/>
        <v>1328.6666666666667</v>
      </c>
      <c r="O194" s="13">
        <f t="shared" si="81"/>
        <v>862.66666666666663</v>
      </c>
      <c r="P194" s="55"/>
    </row>
    <row r="195" spans="1:16" outlineLevel="1" x14ac:dyDescent="0.2">
      <c r="A195" s="27">
        <f t="shared" si="80"/>
        <v>103631</v>
      </c>
      <c r="B195" s="19" t="str">
        <f t="shared" si="80"/>
        <v>TAMUCT</v>
      </c>
      <c r="C195" s="18"/>
      <c r="D195" s="15">
        <f t="shared" si="81"/>
        <v>460.33333333333331</v>
      </c>
      <c r="E195" s="21">
        <f t="shared" si="81"/>
        <v>0.47800000000000004</v>
      </c>
      <c r="F195" s="14">
        <f t="shared" si="81"/>
        <v>681.08888888888885</v>
      </c>
      <c r="G195" s="13">
        <f t="shared" si="81"/>
        <v>853.61666666666588</v>
      </c>
      <c r="H195" s="15">
        <f t="shared" si="81"/>
        <v>216.33333333333334</v>
      </c>
      <c r="I195" s="15">
        <f t="shared" si="81"/>
        <v>0</v>
      </c>
      <c r="J195" s="15">
        <f t="shared" si="81"/>
        <v>40.666666666666664</v>
      </c>
      <c r="K195" s="13">
        <f t="shared" si="81"/>
        <v>0</v>
      </c>
      <c r="L195" s="16">
        <f t="shared" si="81"/>
        <v>327</v>
      </c>
      <c r="M195" s="15">
        <f t="shared" si="81"/>
        <v>495</v>
      </c>
      <c r="N195" s="14">
        <f t="shared" si="81"/>
        <v>133</v>
      </c>
      <c r="O195" s="13">
        <f t="shared" si="81"/>
        <v>34</v>
      </c>
      <c r="P195" s="55"/>
    </row>
    <row r="196" spans="1:16" outlineLevel="1" x14ac:dyDescent="0.2">
      <c r="A196" s="20">
        <f t="shared" si="80"/>
        <v>11161</v>
      </c>
      <c r="B196" s="19" t="str">
        <f t="shared" si="80"/>
        <v>TAMUCC</v>
      </c>
      <c r="C196" s="18"/>
      <c r="D196" s="15">
        <f t="shared" si="81"/>
        <v>1388.3333333333333</v>
      </c>
      <c r="E196" s="21">
        <f t="shared" si="81"/>
        <v>0.50800000000000001</v>
      </c>
      <c r="F196" s="14">
        <f t="shared" si="81"/>
        <v>6494.666666666667</v>
      </c>
      <c r="G196" s="13">
        <f t="shared" si="81"/>
        <v>2804.2000000000139</v>
      </c>
      <c r="H196" s="15">
        <f t="shared" si="81"/>
        <v>501.33333333333331</v>
      </c>
      <c r="I196" s="15">
        <f t="shared" si="81"/>
        <v>26.666666666666668</v>
      </c>
      <c r="J196" s="15">
        <f t="shared" si="81"/>
        <v>266.33333333333331</v>
      </c>
      <c r="K196" s="13">
        <f t="shared" si="81"/>
        <v>25.666666666666668</v>
      </c>
      <c r="L196" s="16">
        <f t="shared" si="81"/>
        <v>1080</v>
      </c>
      <c r="M196" s="15">
        <f t="shared" si="81"/>
        <v>2054</v>
      </c>
      <c r="N196" s="14">
        <f t="shared" si="81"/>
        <v>1468</v>
      </c>
      <c r="O196" s="13">
        <f t="shared" si="81"/>
        <v>878.33333333333337</v>
      </c>
      <c r="P196" s="55"/>
    </row>
    <row r="197" spans="1:16" outlineLevel="1" x14ac:dyDescent="0.2">
      <c r="A197" s="20">
        <f t="shared" si="80"/>
        <v>3639</v>
      </c>
      <c r="B197" s="19" t="str">
        <f t="shared" si="80"/>
        <v>TAMUK</v>
      </c>
      <c r="C197" s="18"/>
      <c r="D197" s="15">
        <f t="shared" si="81"/>
        <v>761.66666666666663</v>
      </c>
      <c r="E197" s="21">
        <f t="shared" si="81"/>
        <v>0.40233333333333338</v>
      </c>
      <c r="F197" s="14">
        <f t="shared" si="81"/>
        <v>4260</v>
      </c>
      <c r="G197" s="13">
        <f t="shared" si="81"/>
        <v>1763.4533333333395</v>
      </c>
      <c r="H197" s="15">
        <f t="shared" si="81"/>
        <v>409.33333333333331</v>
      </c>
      <c r="I197" s="15">
        <f t="shared" si="81"/>
        <v>23</v>
      </c>
      <c r="J197" s="15">
        <f t="shared" si="81"/>
        <v>260</v>
      </c>
      <c r="K197" s="13">
        <f t="shared" si="81"/>
        <v>16.666666666666668</v>
      </c>
      <c r="L197" s="16">
        <f t="shared" si="81"/>
        <v>648.33333333333337</v>
      </c>
      <c r="M197" s="15">
        <f t="shared" si="81"/>
        <v>1227.3333333333333</v>
      </c>
      <c r="N197" s="14">
        <f t="shared" si="81"/>
        <v>859.66666666666663</v>
      </c>
      <c r="O197" s="13">
        <f t="shared" si="81"/>
        <v>558.66666666666663</v>
      </c>
      <c r="P197" s="55"/>
    </row>
    <row r="198" spans="1:16" outlineLevel="1" x14ac:dyDescent="0.2">
      <c r="A198" s="27">
        <f t="shared" ref="A198:B213" si="82">A156</f>
        <v>103639</v>
      </c>
      <c r="B198" s="19" t="str">
        <f t="shared" si="82"/>
        <v>TAMUSA</v>
      </c>
      <c r="C198" s="18"/>
      <c r="D198" s="15">
        <f t="shared" ref="D198:O213" si="83">AVERAGE(D240,D282,D324)</f>
        <v>587.66666666666663</v>
      </c>
      <c r="E198" s="21">
        <f t="shared" si="83"/>
        <v>0.40233333333333338</v>
      </c>
      <c r="F198" s="14">
        <f t="shared" si="83"/>
        <v>1412.711111111111</v>
      </c>
      <c r="G198" s="13">
        <f t="shared" si="83"/>
        <v>1026.0133333333379</v>
      </c>
      <c r="H198" s="15">
        <f t="shared" si="83"/>
        <v>186.66666666666666</v>
      </c>
      <c r="I198" s="15">
        <f t="shared" si="83"/>
        <v>0</v>
      </c>
      <c r="J198" s="15">
        <f t="shared" si="83"/>
        <v>5</v>
      </c>
      <c r="K198" s="13">
        <f t="shared" si="83"/>
        <v>2</v>
      </c>
      <c r="L198" s="16">
        <f t="shared" si="83"/>
        <v>490.33333333333331</v>
      </c>
      <c r="M198" s="15">
        <f t="shared" si="83"/>
        <v>729.66666666666663</v>
      </c>
      <c r="N198" s="14">
        <f t="shared" si="83"/>
        <v>77.333333333333329</v>
      </c>
      <c r="O198" s="13">
        <f t="shared" si="83"/>
        <v>2.6666666666666665</v>
      </c>
      <c r="P198" s="55"/>
    </row>
    <row r="199" spans="1:16" outlineLevel="1" x14ac:dyDescent="0.2">
      <c r="A199" s="20">
        <f t="shared" si="82"/>
        <v>9651</v>
      </c>
      <c r="B199" s="19" t="str">
        <f t="shared" si="82"/>
        <v>TAMI</v>
      </c>
      <c r="C199" s="18"/>
      <c r="D199" s="15">
        <f t="shared" si="83"/>
        <v>789.66666666666663</v>
      </c>
      <c r="E199" s="21">
        <f t="shared" si="83"/>
        <v>0.47333333333333333</v>
      </c>
      <c r="F199" s="14">
        <f t="shared" si="83"/>
        <v>4086</v>
      </c>
      <c r="G199" s="13">
        <f t="shared" si="83"/>
        <v>1458.4966666666717</v>
      </c>
      <c r="H199" s="15">
        <f t="shared" si="83"/>
        <v>270</v>
      </c>
      <c r="I199" s="15">
        <f t="shared" si="83"/>
        <v>4.333333333333333</v>
      </c>
      <c r="J199" s="15">
        <f t="shared" si="83"/>
        <v>115.66666666666667</v>
      </c>
      <c r="K199" s="13">
        <f t="shared" si="83"/>
        <v>22.333333333333332</v>
      </c>
      <c r="L199" s="16">
        <f t="shared" si="83"/>
        <v>712.66666666666663</v>
      </c>
      <c r="M199" s="15">
        <f t="shared" si="83"/>
        <v>1406.6666666666667</v>
      </c>
      <c r="N199" s="14">
        <f t="shared" si="83"/>
        <v>1015.6666666666666</v>
      </c>
      <c r="O199" s="13">
        <f t="shared" si="83"/>
        <v>473.66666666666669</v>
      </c>
      <c r="P199" s="55"/>
    </row>
    <row r="200" spans="1:16" outlineLevel="1" x14ac:dyDescent="0.2">
      <c r="A200" s="20">
        <f t="shared" si="82"/>
        <v>3665</v>
      </c>
      <c r="B200" s="19" t="str">
        <f t="shared" si="82"/>
        <v>WTAMU</v>
      </c>
      <c r="C200" s="18"/>
      <c r="D200" s="15">
        <f t="shared" si="83"/>
        <v>1255.6666666666667</v>
      </c>
      <c r="E200" s="21">
        <f t="shared" si="83"/>
        <v>0.47066666666666662</v>
      </c>
      <c r="F200" s="14">
        <f t="shared" si="83"/>
        <v>5415.2222222222226</v>
      </c>
      <c r="G200" s="13">
        <f t="shared" si="83"/>
        <v>2503.5766666666836</v>
      </c>
      <c r="H200" s="15">
        <f t="shared" si="83"/>
        <v>346.66666666666669</v>
      </c>
      <c r="I200" s="15">
        <f t="shared" si="83"/>
        <v>2.3333333333333335</v>
      </c>
      <c r="J200" s="15">
        <f t="shared" si="83"/>
        <v>191.66666666666666</v>
      </c>
      <c r="K200" s="13">
        <f t="shared" si="83"/>
        <v>60.666666666666664</v>
      </c>
      <c r="L200" s="16">
        <f t="shared" si="83"/>
        <v>889.33333333333337</v>
      </c>
      <c r="M200" s="15">
        <f t="shared" si="83"/>
        <v>1791.6666666666667</v>
      </c>
      <c r="N200" s="14">
        <f t="shared" si="83"/>
        <v>1212.6666666666667</v>
      </c>
      <c r="O200" s="13">
        <f t="shared" si="83"/>
        <v>661.33333333333337</v>
      </c>
      <c r="P200" s="55"/>
    </row>
    <row r="201" spans="1:16" outlineLevel="1" x14ac:dyDescent="0.2">
      <c r="A201" s="20">
        <f t="shared" si="82"/>
        <v>3565</v>
      </c>
      <c r="B201" s="19" t="str">
        <f t="shared" si="82"/>
        <v>TAMUC</v>
      </c>
      <c r="C201" s="18"/>
      <c r="D201" s="15">
        <f t="shared" si="83"/>
        <v>1324.3333333333333</v>
      </c>
      <c r="E201" s="21">
        <f t="shared" si="83"/>
        <v>0.44</v>
      </c>
      <c r="F201" s="14">
        <f t="shared" si="83"/>
        <v>4696.9777777777772</v>
      </c>
      <c r="G201" s="13">
        <f t="shared" si="83"/>
        <v>2501.8266666666914</v>
      </c>
      <c r="H201" s="15">
        <f t="shared" si="83"/>
        <v>1223.3333333333333</v>
      </c>
      <c r="I201" s="15">
        <f t="shared" si="83"/>
        <v>42.333333333333336</v>
      </c>
      <c r="J201" s="15">
        <f t="shared" si="83"/>
        <v>73</v>
      </c>
      <c r="K201" s="13">
        <f t="shared" si="83"/>
        <v>74.333333333333329</v>
      </c>
      <c r="L201" s="16">
        <f t="shared" si="83"/>
        <v>1019.3333333333334</v>
      </c>
      <c r="M201" s="15">
        <f t="shared" si="83"/>
        <v>1893</v>
      </c>
      <c r="N201" s="14">
        <f t="shared" si="83"/>
        <v>1137.3333333333333</v>
      </c>
      <c r="O201" s="13">
        <f t="shared" si="83"/>
        <v>452.33333333333331</v>
      </c>
      <c r="P201" s="55"/>
    </row>
    <row r="202" spans="1:16" outlineLevel="1" x14ac:dyDescent="0.2">
      <c r="A202" s="20">
        <f t="shared" si="82"/>
        <v>29269</v>
      </c>
      <c r="B202" s="19" t="str">
        <f t="shared" si="82"/>
        <v>TAMUT</v>
      </c>
      <c r="C202" s="18"/>
      <c r="D202" s="15">
        <f t="shared" si="83"/>
        <v>345.66666666666669</v>
      </c>
      <c r="E202" s="21">
        <f t="shared" si="83"/>
        <v>0.54202583186163211</v>
      </c>
      <c r="F202" s="14">
        <f t="shared" si="83"/>
        <v>891.66666666666663</v>
      </c>
      <c r="G202" s="13">
        <f t="shared" si="83"/>
        <v>619.90999999999826</v>
      </c>
      <c r="H202" s="15">
        <f t="shared" si="83"/>
        <v>164.33333333333334</v>
      </c>
      <c r="I202" s="15">
        <f t="shared" si="83"/>
        <v>0</v>
      </c>
      <c r="J202" s="15">
        <f t="shared" si="83"/>
        <v>41.666666666666664</v>
      </c>
      <c r="K202" s="13">
        <f t="shared" si="83"/>
        <v>19.333333333333332</v>
      </c>
      <c r="L202" s="16">
        <f t="shared" si="83"/>
        <v>239</v>
      </c>
      <c r="M202" s="15">
        <f t="shared" si="83"/>
        <v>432.66666666666669</v>
      </c>
      <c r="N202" s="14">
        <f t="shared" si="83"/>
        <v>181</v>
      </c>
      <c r="O202" s="13">
        <f t="shared" si="83"/>
        <v>0.66666666666666663</v>
      </c>
      <c r="P202" s="55"/>
    </row>
    <row r="203" spans="1:16" outlineLevel="1" x14ac:dyDescent="0.2">
      <c r="A203" s="20">
        <f t="shared" si="82"/>
        <v>3652</v>
      </c>
      <c r="B203" s="19" t="str">
        <f t="shared" si="82"/>
        <v>UH</v>
      </c>
      <c r="C203" s="18"/>
      <c r="D203" s="15">
        <f t="shared" si="83"/>
        <v>5098.666666666667</v>
      </c>
      <c r="E203" s="21">
        <f t="shared" si="83"/>
        <v>0.53633333333333333</v>
      </c>
      <c r="F203" s="14">
        <f t="shared" si="83"/>
        <v>23797.68888888889</v>
      </c>
      <c r="G203" s="13">
        <f t="shared" si="83"/>
        <v>10580.246666665944</v>
      </c>
      <c r="H203" s="15">
        <f t="shared" si="83"/>
        <v>1894</v>
      </c>
      <c r="I203" s="15">
        <f t="shared" si="83"/>
        <v>776.33333333333337</v>
      </c>
      <c r="J203" s="15">
        <f t="shared" si="83"/>
        <v>737</v>
      </c>
      <c r="K203" s="13">
        <f t="shared" si="83"/>
        <v>62.666666666666664</v>
      </c>
      <c r="L203" s="16">
        <f t="shared" si="83"/>
        <v>3373</v>
      </c>
      <c r="M203" s="15">
        <f t="shared" si="83"/>
        <v>7602.333333333333</v>
      </c>
      <c r="N203" s="14">
        <f t="shared" si="83"/>
        <v>5690.333333333333</v>
      </c>
      <c r="O203" s="13">
        <f t="shared" si="83"/>
        <v>3307.3333333333335</v>
      </c>
      <c r="P203" s="55"/>
    </row>
    <row r="204" spans="1:16" outlineLevel="1" x14ac:dyDescent="0.2">
      <c r="A204" s="20">
        <f t="shared" si="82"/>
        <v>11711</v>
      </c>
      <c r="B204" s="19" t="str">
        <f t="shared" si="82"/>
        <v>UHCL</v>
      </c>
      <c r="C204" s="18"/>
      <c r="D204" s="15">
        <f t="shared" si="83"/>
        <v>1190.6666666666667</v>
      </c>
      <c r="E204" s="21">
        <f t="shared" si="83"/>
        <v>0.52016462432165866</v>
      </c>
      <c r="F204" s="14">
        <f t="shared" si="83"/>
        <v>2999.6444444444446</v>
      </c>
      <c r="G204" s="13">
        <f t="shared" si="83"/>
        <v>2282.9533333333529</v>
      </c>
      <c r="H204" s="15">
        <f t="shared" si="83"/>
        <v>1065</v>
      </c>
      <c r="I204" s="15">
        <f t="shared" si="83"/>
        <v>9</v>
      </c>
      <c r="J204" s="15">
        <f t="shared" si="83"/>
        <v>106.66666666666667</v>
      </c>
      <c r="K204" s="13">
        <f t="shared" si="83"/>
        <v>8.3333333333333339</v>
      </c>
      <c r="L204" s="16">
        <f t="shared" si="83"/>
        <v>774.33333333333337</v>
      </c>
      <c r="M204" s="15">
        <f t="shared" si="83"/>
        <v>1391.3333333333333</v>
      </c>
      <c r="N204" s="14">
        <f t="shared" si="83"/>
        <v>953.66666666666663</v>
      </c>
      <c r="O204" s="13">
        <f t="shared" si="83"/>
        <v>57</v>
      </c>
      <c r="P204" s="55"/>
    </row>
    <row r="205" spans="1:16" outlineLevel="1" x14ac:dyDescent="0.2">
      <c r="A205" s="20">
        <f t="shared" si="82"/>
        <v>12826</v>
      </c>
      <c r="B205" s="19" t="str">
        <f t="shared" si="82"/>
        <v>UHD</v>
      </c>
      <c r="C205" s="18"/>
      <c r="D205" s="15">
        <f t="shared" si="83"/>
        <v>2382.3333333333335</v>
      </c>
      <c r="E205" s="21">
        <f t="shared" si="83"/>
        <v>0.19000000000000003</v>
      </c>
      <c r="F205" s="14">
        <f t="shared" si="83"/>
        <v>7985.5555555555547</v>
      </c>
      <c r="G205" s="13">
        <f t="shared" si="83"/>
        <v>4271.3166666667212</v>
      </c>
      <c r="H205" s="15">
        <f t="shared" si="83"/>
        <v>47.666666666666664</v>
      </c>
      <c r="I205" s="15">
        <f t="shared" si="83"/>
        <v>0</v>
      </c>
      <c r="J205" s="15">
        <f t="shared" si="83"/>
        <v>129.66666666666666</v>
      </c>
      <c r="K205" s="13">
        <f t="shared" si="83"/>
        <v>1.6666666666666667</v>
      </c>
      <c r="L205" s="16">
        <f t="shared" si="83"/>
        <v>1681</v>
      </c>
      <c r="M205" s="15">
        <f t="shared" si="83"/>
        <v>3105.3333333333335</v>
      </c>
      <c r="N205" s="14">
        <f t="shared" si="83"/>
        <v>1868.3333333333333</v>
      </c>
      <c r="O205" s="13">
        <f t="shared" si="83"/>
        <v>604.66666666666663</v>
      </c>
      <c r="P205" s="55"/>
    </row>
    <row r="206" spans="1:16" outlineLevel="1" x14ac:dyDescent="0.2">
      <c r="A206" s="20">
        <f t="shared" si="82"/>
        <v>13231</v>
      </c>
      <c r="B206" s="19" t="str">
        <f t="shared" si="82"/>
        <v>UHV</v>
      </c>
      <c r="C206" s="18"/>
      <c r="D206" s="15">
        <f t="shared" si="83"/>
        <v>576.66666666666663</v>
      </c>
      <c r="E206" s="21">
        <f t="shared" si="83"/>
        <v>0.52057016677259083</v>
      </c>
      <c r="F206" s="14">
        <f t="shared" si="83"/>
        <v>1438.6222222222223</v>
      </c>
      <c r="G206" s="13">
        <f t="shared" si="83"/>
        <v>1084.4800000000012</v>
      </c>
      <c r="H206" s="15">
        <f t="shared" si="83"/>
        <v>404.66666666666669</v>
      </c>
      <c r="I206" s="15">
        <f t="shared" si="83"/>
        <v>0</v>
      </c>
      <c r="J206" s="15">
        <f t="shared" si="83"/>
        <v>108</v>
      </c>
      <c r="K206" s="13">
        <f t="shared" si="83"/>
        <v>7.333333333333333</v>
      </c>
      <c r="L206" s="16">
        <f t="shared" si="83"/>
        <v>384</v>
      </c>
      <c r="M206" s="15">
        <f t="shared" si="83"/>
        <v>716</v>
      </c>
      <c r="N206" s="14">
        <f t="shared" si="83"/>
        <v>296.33333333333331</v>
      </c>
      <c r="O206" s="13">
        <f t="shared" si="83"/>
        <v>6.666666666666667</v>
      </c>
      <c r="P206" s="55"/>
    </row>
    <row r="207" spans="1:16" outlineLevel="1" x14ac:dyDescent="0.2">
      <c r="A207" s="20">
        <f t="shared" si="82"/>
        <v>3592</v>
      </c>
      <c r="B207" s="19" t="str">
        <f t="shared" si="82"/>
        <v>Midwestern</v>
      </c>
      <c r="C207" s="18"/>
      <c r="D207" s="15">
        <f t="shared" si="83"/>
        <v>1031.6666666666667</v>
      </c>
      <c r="E207" s="21">
        <f t="shared" si="83"/>
        <v>0.4393333333333333</v>
      </c>
      <c r="F207" s="14">
        <f t="shared" si="83"/>
        <v>4276.7777777777783</v>
      </c>
      <c r="G207" s="13">
        <f t="shared" si="83"/>
        <v>1962.0000000000034</v>
      </c>
      <c r="H207" s="15">
        <f t="shared" si="83"/>
        <v>206.66666666666666</v>
      </c>
      <c r="I207" s="15">
        <f t="shared" si="83"/>
        <v>0</v>
      </c>
      <c r="J207" s="15">
        <f t="shared" si="83"/>
        <v>333.33333333333331</v>
      </c>
      <c r="K207" s="13">
        <f t="shared" si="83"/>
        <v>15</v>
      </c>
      <c r="L207" s="16">
        <f t="shared" si="83"/>
        <v>690.33333333333337</v>
      </c>
      <c r="M207" s="15">
        <f t="shared" si="83"/>
        <v>1438</v>
      </c>
      <c r="N207" s="14">
        <f t="shared" si="83"/>
        <v>1046</v>
      </c>
      <c r="O207" s="13">
        <f t="shared" si="83"/>
        <v>679.66666666666663</v>
      </c>
      <c r="P207" s="55"/>
    </row>
    <row r="208" spans="1:16" outlineLevel="1" x14ac:dyDescent="0.2">
      <c r="A208" s="20">
        <f t="shared" si="82"/>
        <v>3594</v>
      </c>
      <c r="B208" s="19" t="str">
        <f t="shared" si="82"/>
        <v>UNT</v>
      </c>
      <c r="C208" s="18"/>
      <c r="D208" s="15">
        <f t="shared" si="83"/>
        <v>6016.666666666667</v>
      </c>
      <c r="E208" s="21">
        <f t="shared" si="83"/>
        <v>0.57633333333333336</v>
      </c>
      <c r="F208" s="14">
        <f t="shared" si="83"/>
        <v>23242.088888888899</v>
      </c>
      <c r="G208" s="13">
        <f t="shared" si="83"/>
        <v>11411.553333332529</v>
      </c>
      <c r="H208" s="15">
        <f t="shared" si="83"/>
        <v>1830.3333333333333</v>
      </c>
      <c r="I208" s="15">
        <f t="shared" si="83"/>
        <v>227.33333333333334</v>
      </c>
      <c r="J208" s="15">
        <f t="shared" si="83"/>
        <v>336.66666666666669</v>
      </c>
      <c r="K208" s="13">
        <f t="shared" si="83"/>
        <v>43.333333333333336</v>
      </c>
      <c r="L208" s="16">
        <f t="shared" si="83"/>
        <v>3820</v>
      </c>
      <c r="M208" s="15">
        <f t="shared" si="83"/>
        <v>7864.666666666667</v>
      </c>
      <c r="N208" s="14">
        <f t="shared" si="83"/>
        <v>5642.333333333333</v>
      </c>
      <c r="O208" s="13">
        <f t="shared" si="83"/>
        <v>3337</v>
      </c>
      <c r="P208" s="55"/>
    </row>
    <row r="209" spans="1:16" outlineLevel="1" x14ac:dyDescent="0.2">
      <c r="A209" s="27">
        <f t="shared" si="82"/>
        <v>113594</v>
      </c>
      <c r="B209" s="19" t="str">
        <f t="shared" si="82"/>
        <v>UNTD</v>
      </c>
      <c r="C209" s="18"/>
      <c r="D209" s="15">
        <f t="shared" si="83"/>
        <v>403.5</v>
      </c>
      <c r="E209" s="21">
        <f t="shared" si="83"/>
        <v>0.57750000000000001</v>
      </c>
      <c r="F209" s="14">
        <f t="shared" si="83"/>
        <v>946.13333333333333</v>
      </c>
      <c r="G209" s="13">
        <f t="shared" si="83"/>
        <v>705.85999999999717</v>
      </c>
      <c r="H209" s="15">
        <f t="shared" si="83"/>
        <v>0</v>
      </c>
      <c r="I209" s="15">
        <f t="shared" si="83"/>
        <v>0</v>
      </c>
      <c r="J209" s="15">
        <f t="shared" si="83"/>
        <v>12</v>
      </c>
      <c r="K209" s="13">
        <f t="shared" si="83"/>
        <v>0</v>
      </c>
      <c r="L209" s="16">
        <f t="shared" si="83"/>
        <v>308.5</v>
      </c>
      <c r="M209" s="15">
        <f t="shared" si="83"/>
        <v>478</v>
      </c>
      <c r="N209" s="14">
        <f t="shared" si="83"/>
        <v>71.5</v>
      </c>
      <c r="O209" s="13">
        <f t="shared" si="83"/>
        <v>11</v>
      </c>
      <c r="P209" s="55"/>
    </row>
    <row r="210" spans="1:16" outlineLevel="1" x14ac:dyDescent="0.2">
      <c r="A210" s="20">
        <f t="shared" si="82"/>
        <v>3624</v>
      </c>
      <c r="B210" s="19" t="str">
        <f t="shared" si="82"/>
        <v>SFA</v>
      </c>
      <c r="C210" s="18"/>
      <c r="D210" s="15">
        <f t="shared" si="83"/>
        <v>1921.6666666666667</v>
      </c>
      <c r="E210" s="21">
        <f t="shared" si="83"/>
        <v>0.55399999999999994</v>
      </c>
      <c r="F210" s="14">
        <f t="shared" si="83"/>
        <v>9486.177777777777</v>
      </c>
      <c r="G210" s="13">
        <f t="shared" si="83"/>
        <v>3721.736666666669</v>
      </c>
      <c r="H210" s="15">
        <f t="shared" si="83"/>
        <v>438.66666666666669</v>
      </c>
      <c r="I210" s="15">
        <f t="shared" si="83"/>
        <v>13</v>
      </c>
      <c r="J210" s="15">
        <f t="shared" si="83"/>
        <v>248</v>
      </c>
      <c r="K210" s="13">
        <f t="shared" si="83"/>
        <v>44.666666666666664</v>
      </c>
      <c r="L210" s="16">
        <f t="shared" si="83"/>
        <v>1460.3333333333333</v>
      </c>
      <c r="M210" s="15">
        <f t="shared" si="83"/>
        <v>2769.3333333333335</v>
      </c>
      <c r="N210" s="14">
        <f t="shared" si="83"/>
        <v>2075</v>
      </c>
      <c r="O210" s="13">
        <f t="shared" si="83"/>
        <v>1397.3333333333333</v>
      </c>
      <c r="P210" s="55"/>
    </row>
    <row r="211" spans="1:16" outlineLevel="1" x14ac:dyDescent="0.2">
      <c r="A211" s="20">
        <f t="shared" si="82"/>
        <v>3642</v>
      </c>
      <c r="B211" s="19" t="str">
        <f t="shared" si="82"/>
        <v>TSU</v>
      </c>
      <c r="C211" s="18"/>
      <c r="D211" s="15">
        <f t="shared" si="83"/>
        <v>758.33333333333337</v>
      </c>
      <c r="E211" s="21">
        <f t="shared" si="83"/>
        <v>0.14366666666666664</v>
      </c>
      <c r="F211" s="14">
        <f t="shared" si="83"/>
        <v>5863.2444444444445</v>
      </c>
      <c r="G211" s="13">
        <f t="shared" si="83"/>
        <v>1488.6533333333352</v>
      </c>
      <c r="H211" s="15">
        <f t="shared" si="83"/>
        <v>233.33333333333334</v>
      </c>
      <c r="I211" s="15">
        <f t="shared" si="83"/>
        <v>286.33333333333331</v>
      </c>
      <c r="J211" s="15">
        <f t="shared" si="83"/>
        <v>134.33333333333334</v>
      </c>
      <c r="K211" s="13">
        <f t="shared" si="83"/>
        <v>3</v>
      </c>
      <c r="L211" s="16">
        <f t="shared" si="83"/>
        <v>666.33333333333337</v>
      </c>
      <c r="M211" s="15">
        <f t="shared" si="83"/>
        <v>1637.3333333333333</v>
      </c>
      <c r="N211" s="14">
        <f t="shared" si="83"/>
        <v>1133</v>
      </c>
      <c r="O211" s="13">
        <f t="shared" si="83"/>
        <v>848.66666666666663</v>
      </c>
      <c r="P211" s="55"/>
    </row>
    <row r="212" spans="1:16" outlineLevel="1" x14ac:dyDescent="0.2">
      <c r="A212" s="20">
        <f t="shared" si="82"/>
        <v>3644</v>
      </c>
      <c r="B212" s="19" t="str">
        <f t="shared" si="82"/>
        <v>TTU</v>
      </c>
      <c r="C212" s="18"/>
      <c r="D212" s="15">
        <f t="shared" si="83"/>
        <v>4674</v>
      </c>
      <c r="E212" s="21">
        <f t="shared" si="83"/>
        <v>0.73199999999999987</v>
      </c>
      <c r="F212" s="14">
        <f t="shared" si="83"/>
        <v>22192.42222222222</v>
      </c>
      <c r="G212" s="13">
        <f t="shared" si="83"/>
        <v>10128.113333332682</v>
      </c>
      <c r="H212" s="15">
        <f t="shared" si="83"/>
        <v>1375.6666666666667</v>
      </c>
      <c r="I212" s="15">
        <f t="shared" si="83"/>
        <v>462</v>
      </c>
      <c r="J212" s="15">
        <f t="shared" si="83"/>
        <v>727.33333333333337</v>
      </c>
      <c r="K212" s="13">
        <f t="shared" si="83"/>
        <v>57.333333333333336</v>
      </c>
      <c r="L212" s="16">
        <f t="shared" si="83"/>
        <v>2778</v>
      </c>
      <c r="M212" s="15">
        <f t="shared" si="83"/>
        <v>6485.333333333333</v>
      </c>
      <c r="N212" s="14">
        <f t="shared" si="83"/>
        <v>5278.333333333333</v>
      </c>
      <c r="O212" s="13">
        <f t="shared" si="83"/>
        <v>3945.6666666666665</v>
      </c>
      <c r="P212" s="55"/>
    </row>
    <row r="213" spans="1:16" outlineLevel="1" x14ac:dyDescent="0.2">
      <c r="A213" s="20">
        <f t="shared" si="82"/>
        <v>3541</v>
      </c>
      <c r="B213" s="19" t="str">
        <f t="shared" si="82"/>
        <v>Angelo</v>
      </c>
      <c r="C213" s="18"/>
      <c r="D213" s="15">
        <f t="shared" si="83"/>
        <v>991.33333333333337</v>
      </c>
      <c r="E213" s="21">
        <f t="shared" si="83"/>
        <v>0.42966666666666664</v>
      </c>
      <c r="F213" s="14">
        <f t="shared" si="83"/>
        <v>4882.0444444444447</v>
      </c>
      <c r="G213" s="13">
        <f t="shared" si="83"/>
        <v>1977.3500000000051</v>
      </c>
      <c r="H213" s="15">
        <f t="shared" si="83"/>
        <v>198.33333333333334</v>
      </c>
      <c r="I213" s="15">
        <f t="shared" si="83"/>
        <v>6.333333333333333</v>
      </c>
      <c r="J213" s="15">
        <f t="shared" si="83"/>
        <v>254.33333333333334</v>
      </c>
      <c r="K213" s="13">
        <f t="shared" si="83"/>
        <v>19.333333333333332</v>
      </c>
      <c r="L213" s="16">
        <f t="shared" si="83"/>
        <v>723</v>
      </c>
      <c r="M213" s="15">
        <f t="shared" si="83"/>
        <v>1438.6666666666667</v>
      </c>
      <c r="N213" s="14">
        <f t="shared" si="83"/>
        <v>1033.6666666666667</v>
      </c>
      <c r="O213" s="13">
        <f t="shared" si="83"/>
        <v>707.66666666666663</v>
      </c>
      <c r="P213" s="55"/>
    </row>
    <row r="214" spans="1:16" outlineLevel="1" x14ac:dyDescent="0.2">
      <c r="A214" s="20">
        <f t="shared" ref="A214:B219" si="84">A172</f>
        <v>3646</v>
      </c>
      <c r="B214" s="19" t="str">
        <f t="shared" si="84"/>
        <v>TWU</v>
      </c>
      <c r="C214" s="18"/>
      <c r="D214" s="15">
        <f t="shared" ref="D214:O219" si="85">AVERAGE(D256,D298,D340)</f>
        <v>1806</v>
      </c>
      <c r="E214" s="21">
        <f t="shared" si="85"/>
        <v>0.52366666666666672</v>
      </c>
      <c r="F214" s="14">
        <f t="shared" si="85"/>
        <v>6556.4000000000005</v>
      </c>
      <c r="G214" s="13">
        <f t="shared" si="85"/>
        <v>3452.1766666666658</v>
      </c>
      <c r="H214" s="15">
        <f t="shared" si="85"/>
        <v>1528</v>
      </c>
      <c r="I214" s="15">
        <f t="shared" si="85"/>
        <v>220</v>
      </c>
      <c r="J214" s="15">
        <f t="shared" si="85"/>
        <v>569.33333333333337</v>
      </c>
      <c r="K214" s="13">
        <f t="shared" si="85"/>
        <v>31.666666666666668</v>
      </c>
      <c r="L214" s="16">
        <f t="shared" si="85"/>
        <v>1247</v>
      </c>
      <c r="M214" s="15">
        <f t="shared" si="85"/>
        <v>2196</v>
      </c>
      <c r="N214" s="14">
        <f t="shared" si="85"/>
        <v>1292.3333333333333</v>
      </c>
      <c r="O214" s="13">
        <f t="shared" si="85"/>
        <v>659.66666666666663</v>
      </c>
      <c r="P214" s="55"/>
    </row>
    <row r="215" spans="1:16" outlineLevel="1" x14ac:dyDescent="0.2">
      <c r="A215" s="20">
        <f t="shared" si="84"/>
        <v>3581</v>
      </c>
      <c r="B215" s="19" t="str">
        <f t="shared" si="84"/>
        <v>Lamar</v>
      </c>
      <c r="C215" s="18"/>
      <c r="D215" s="15">
        <f t="shared" si="85"/>
        <v>1335.3333333333333</v>
      </c>
      <c r="E215" s="21">
        <f t="shared" si="85"/>
        <v>0.35033333333333333</v>
      </c>
      <c r="F215" s="14">
        <f t="shared" si="85"/>
        <v>7275.0666666666666</v>
      </c>
      <c r="G215" s="13">
        <f t="shared" si="85"/>
        <v>2684.9000000000165</v>
      </c>
      <c r="H215" s="15">
        <f t="shared" si="85"/>
        <v>2233.6666666666665</v>
      </c>
      <c r="I215" s="15">
        <f t="shared" si="85"/>
        <v>30.666666666666668</v>
      </c>
      <c r="J215" s="15">
        <f t="shared" si="85"/>
        <v>330</v>
      </c>
      <c r="K215" s="13">
        <f t="shared" si="85"/>
        <v>17</v>
      </c>
      <c r="L215" s="16">
        <f t="shared" si="85"/>
        <v>948.66666666666663</v>
      </c>
      <c r="M215" s="15">
        <f t="shared" si="85"/>
        <v>2144.6666666666665</v>
      </c>
      <c r="N215" s="14">
        <f t="shared" si="85"/>
        <v>1489</v>
      </c>
      <c r="O215" s="13">
        <f t="shared" si="85"/>
        <v>1011</v>
      </c>
      <c r="P215" s="55"/>
    </row>
    <row r="216" spans="1:16" outlineLevel="1" x14ac:dyDescent="0.2">
      <c r="A216" s="20">
        <f t="shared" si="84"/>
        <v>3606</v>
      </c>
      <c r="B216" s="19" t="str">
        <f t="shared" si="84"/>
        <v>SHSU</v>
      </c>
      <c r="C216" s="18"/>
      <c r="D216" s="15">
        <f t="shared" si="85"/>
        <v>3077.6666666666665</v>
      </c>
      <c r="E216" s="21">
        <f t="shared" si="85"/>
        <v>0.58666666666666667</v>
      </c>
      <c r="F216" s="14">
        <f t="shared" si="85"/>
        <v>12574.4</v>
      </c>
      <c r="G216" s="13">
        <f t="shared" si="85"/>
        <v>5837.0766666667887</v>
      </c>
      <c r="H216" s="15">
        <f t="shared" si="85"/>
        <v>841.66666666666663</v>
      </c>
      <c r="I216" s="15">
        <f t="shared" si="85"/>
        <v>43.333333333333336</v>
      </c>
      <c r="J216" s="15">
        <f t="shared" si="85"/>
        <v>167</v>
      </c>
      <c r="K216" s="13">
        <f t="shared" si="85"/>
        <v>61</v>
      </c>
      <c r="L216" s="16">
        <f t="shared" si="85"/>
        <v>2213.6666666666665</v>
      </c>
      <c r="M216" s="15">
        <f t="shared" si="85"/>
        <v>3894.3333333333335</v>
      </c>
      <c r="N216" s="14">
        <f t="shared" si="85"/>
        <v>2965.3333333333335</v>
      </c>
      <c r="O216" s="13">
        <f t="shared" si="85"/>
        <v>1763.3333333333333</v>
      </c>
      <c r="P216" s="55"/>
    </row>
    <row r="217" spans="1:16" outlineLevel="1" x14ac:dyDescent="0.2">
      <c r="A217" s="20">
        <f t="shared" si="84"/>
        <v>3615</v>
      </c>
      <c r="B217" s="19" t="str">
        <f t="shared" si="84"/>
        <v>TXST</v>
      </c>
      <c r="C217" s="18"/>
      <c r="D217" s="15">
        <f t="shared" si="85"/>
        <v>5361</v>
      </c>
      <c r="E217" s="21">
        <f t="shared" si="85"/>
        <v>0.63300000000000001</v>
      </c>
      <c r="F217" s="14">
        <f t="shared" si="85"/>
        <v>22903.511111111107</v>
      </c>
      <c r="G217" s="13">
        <f t="shared" si="85"/>
        <v>10437.309999999357</v>
      </c>
      <c r="H217" s="15">
        <f t="shared" si="85"/>
        <v>1308.6666666666667</v>
      </c>
      <c r="I217" s="15">
        <f t="shared" si="85"/>
        <v>54.666666666666664</v>
      </c>
      <c r="J217" s="15">
        <f t="shared" si="85"/>
        <v>488.66666666666669</v>
      </c>
      <c r="K217" s="13">
        <f t="shared" si="85"/>
        <v>66.666666666666671</v>
      </c>
      <c r="L217" s="16">
        <f t="shared" si="85"/>
        <v>3675.3333333333335</v>
      </c>
      <c r="M217" s="15">
        <f t="shared" si="85"/>
        <v>7470.333333333333</v>
      </c>
      <c r="N217" s="14">
        <f t="shared" si="85"/>
        <v>5579</v>
      </c>
      <c r="O217" s="13">
        <f t="shared" si="85"/>
        <v>3317.3333333333335</v>
      </c>
      <c r="P217" s="55"/>
    </row>
    <row r="218" spans="1:16" outlineLevel="1" x14ac:dyDescent="0.2">
      <c r="A218" s="20">
        <f t="shared" si="84"/>
        <v>3625</v>
      </c>
      <c r="B218" s="19" t="str">
        <f t="shared" si="84"/>
        <v>SRSU</v>
      </c>
      <c r="C218" s="18"/>
      <c r="D218" s="15">
        <f t="shared" si="85"/>
        <v>189.33333333333334</v>
      </c>
      <c r="E218" s="21">
        <f t="shared" si="85"/>
        <v>0.30099999999999999</v>
      </c>
      <c r="F218" s="14">
        <f t="shared" si="85"/>
        <v>1220.0222222222221</v>
      </c>
      <c r="G218" s="13">
        <f t="shared" si="85"/>
        <v>394.32999999999964</v>
      </c>
      <c r="H218" s="15">
        <f t="shared" si="85"/>
        <v>178.33333333333334</v>
      </c>
      <c r="I218" s="15">
        <f t="shared" si="85"/>
        <v>0</v>
      </c>
      <c r="J218" s="15">
        <f t="shared" si="85"/>
        <v>12.666666666666666</v>
      </c>
      <c r="K218" s="13">
        <f t="shared" si="85"/>
        <v>6.333333333333333</v>
      </c>
      <c r="L218" s="16">
        <f t="shared" si="85"/>
        <v>163</v>
      </c>
      <c r="M218" s="15">
        <f t="shared" si="85"/>
        <v>300</v>
      </c>
      <c r="N218" s="14">
        <f t="shared" si="85"/>
        <v>193.66666666666666</v>
      </c>
      <c r="O218" s="13">
        <f t="shared" si="85"/>
        <v>131.66666666666666</v>
      </c>
      <c r="P218" s="55"/>
    </row>
    <row r="219" spans="1:16" outlineLevel="1" x14ac:dyDescent="0.2">
      <c r="A219" s="20">
        <f t="shared" si="84"/>
        <v>20</v>
      </c>
      <c r="B219" s="19" t="str">
        <f t="shared" si="84"/>
        <v>SRRG</v>
      </c>
      <c r="C219" s="18"/>
      <c r="D219" s="15">
        <f t="shared" si="85"/>
        <v>161.66666666666666</v>
      </c>
      <c r="E219" s="21">
        <f t="shared" si="85"/>
        <v>0.31772769042270776</v>
      </c>
      <c r="F219" s="14">
        <f t="shared" si="85"/>
        <v>441.75555555555553</v>
      </c>
      <c r="G219" s="13">
        <f t="shared" si="85"/>
        <v>279.16999999999979</v>
      </c>
      <c r="H219" s="15">
        <f t="shared" si="85"/>
        <v>56</v>
      </c>
      <c r="I219" s="15">
        <f t="shared" si="85"/>
        <v>0</v>
      </c>
      <c r="J219" s="15">
        <f t="shared" si="85"/>
        <v>6.333333333333333</v>
      </c>
      <c r="K219" s="13">
        <f t="shared" si="85"/>
        <v>5.666666666666667</v>
      </c>
      <c r="L219" s="16">
        <f t="shared" si="85"/>
        <v>144</v>
      </c>
      <c r="M219" s="15">
        <f t="shared" si="85"/>
        <v>230</v>
      </c>
      <c r="N219" s="14">
        <f t="shared" si="85"/>
        <v>92.666666666666671</v>
      </c>
      <c r="O219" s="13">
        <f t="shared" si="85"/>
        <v>4.333333333333333</v>
      </c>
      <c r="P219" s="55"/>
    </row>
    <row r="220" spans="1:16" ht="13.5" outlineLevel="1" thickBot="1" x14ac:dyDescent="0.25">
      <c r="A220" s="12"/>
      <c r="B220" s="11" t="s">
        <v>11</v>
      </c>
      <c r="C220" s="10"/>
      <c r="D220" s="9">
        <f>SUM(D182:D219)</f>
        <v>84315.833333333314</v>
      </c>
      <c r="E220" s="8">
        <v>0.55900000000000005</v>
      </c>
      <c r="F220" s="7">
        <f t="shared" ref="F220:O220" si="86">SUM(F182:F219)</f>
        <v>350016.33333333331</v>
      </c>
      <c r="G220" s="3">
        <f t="shared" si="86"/>
        <v>172461.13999999844</v>
      </c>
      <c r="H220" s="5">
        <f t="shared" si="86"/>
        <v>31238.333333333339</v>
      </c>
      <c r="I220" s="5">
        <f t="shared" si="86"/>
        <v>4841.0000000000009</v>
      </c>
      <c r="J220" s="5">
        <f t="shared" si="86"/>
        <v>13953.333333333332</v>
      </c>
      <c r="K220" s="3">
        <f t="shared" si="86"/>
        <v>1198.3333333333335</v>
      </c>
      <c r="L220" s="6">
        <f t="shared" si="86"/>
        <v>54446.500000000007</v>
      </c>
      <c r="M220" s="5">
        <f t="shared" si="86"/>
        <v>114212.66666666664</v>
      </c>
      <c r="N220" s="4">
        <f t="shared" si="86"/>
        <v>82344.5</v>
      </c>
      <c r="O220" s="3">
        <f t="shared" si="86"/>
        <v>50801.999999999993</v>
      </c>
      <c r="P220" s="55"/>
    </row>
    <row r="221" spans="1:16" ht="13.5" thickBot="1" x14ac:dyDescent="0.25">
      <c r="A221" s="45" t="s">
        <v>27</v>
      </c>
      <c r="B221" s="45"/>
      <c r="C221" s="45"/>
      <c r="D221" s="54"/>
      <c r="F221" s="54"/>
      <c r="L221" s="54"/>
    </row>
    <row r="222" spans="1:16" ht="12.75" customHeight="1" outlineLevel="1" x14ac:dyDescent="0.2">
      <c r="A222" s="177" t="s">
        <v>24</v>
      </c>
      <c r="B222" s="179" t="s">
        <v>23</v>
      </c>
      <c r="C222" s="181"/>
      <c r="D222" s="210" t="s">
        <v>22</v>
      </c>
      <c r="E222" s="205" t="s">
        <v>21</v>
      </c>
      <c r="F222" s="179" t="s">
        <v>20</v>
      </c>
      <c r="G222" s="201" t="s">
        <v>19</v>
      </c>
      <c r="H222" s="203" t="str">
        <f>H3</f>
        <v>Master's</v>
      </c>
      <c r="I222" s="203" t="str">
        <f>I3</f>
        <v>Doctoral and Professional Practice</v>
      </c>
      <c r="J222" s="203" t="s">
        <v>18</v>
      </c>
      <c r="K222" s="195" t="s">
        <v>17</v>
      </c>
      <c r="L222" s="197" t="s">
        <v>16</v>
      </c>
      <c r="M222" s="199" t="s">
        <v>15</v>
      </c>
      <c r="N222" s="200"/>
      <c r="O222" s="200"/>
    </row>
    <row r="223" spans="1:16" s="41" customFormat="1" ht="36" customHeight="1" outlineLevel="1" thickBot="1" x14ac:dyDescent="0.25">
      <c r="A223" s="178"/>
      <c r="B223" s="180"/>
      <c r="C223" s="182"/>
      <c r="D223" s="211"/>
      <c r="E223" s="206"/>
      <c r="F223" s="180"/>
      <c r="G223" s="202"/>
      <c r="H223" s="204"/>
      <c r="I223" s="204"/>
      <c r="J223" s="204"/>
      <c r="K223" s="196"/>
      <c r="L223" s="198"/>
      <c r="M223" s="44" t="s">
        <v>14</v>
      </c>
      <c r="N223" s="43" t="s">
        <v>13</v>
      </c>
      <c r="O223" s="42" t="s">
        <v>12</v>
      </c>
    </row>
    <row r="224" spans="1:16" outlineLevel="1" x14ac:dyDescent="0.2">
      <c r="A224" s="40">
        <f t="shared" ref="A224:B239" si="87">A182</f>
        <v>3656</v>
      </c>
      <c r="B224" s="39" t="str">
        <f t="shared" si="87"/>
        <v>UTA</v>
      </c>
      <c r="C224" s="38"/>
      <c r="D224" s="33">
        <v>5773</v>
      </c>
      <c r="E224" s="37">
        <v>0.55500000000000005</v>
      </c>
      <c r="F224" s="32">
        <v>17781.466666666667</v>
      </c>
      <c r="G224" s="51">
        <v>12087.560000000249</v>
      </c>
      <c r="H224" s="36">
        <v>3280</v>
      </c>
      <c r="I224" s="36">
        <v>168</v>
      </c>
      <c r="J224" s="36">
        <v>2140</v>
      </c>
      <c r="K224" s="35">
        <v>43</v>
      </c>
      <c r="L224" s="34">
        <v>3528</v>
      </c>
      <c r="M224" s="53">
        <v>6893</v>
      </c>
      <c r="N224" s="52">
        <v>3962</v>
      </c>
      <c r="O224" s="51">
        <v>1894</v>
      </c>
    </row>
    <row r="225" spans="1:15" outlineLevel="1" x14ac:dyDescent="0.2">
      <c r="A225" s="20">
        <f t="shared" si="87"/>
        <v>3658</v>
      </c>
      <c r="B225" s="19" t="str">
        <f t="shared" si="87"/>
        <v>UT</v>
      </c>
      <c r="C225" s="18"/>
      <c r="D225" s="15">
        <v>8860</v>
      </c>
      <c r="E225" s="21">
        <v>0.82499999999999996</v>
      </c>
      <c r="F225" s="14">
        <v>33841.466666666667</v>
      </c>
      <c r="G225" s="28">
        <v>19542.67999999996</v>
      </c>
      <c r="H225" s="15">
        <v>3130</v>
      </c>
      <c r="I225" s="15">
        <v>1347</v>
      </c>
      <c r="J225" s="15">
        <v>1981</v>
      </c>
      <c r="K225" s="13">
        <v>83</v>
      </c>
      <c r="L225" s="16">
        <v>3501</v>
      </c>
      <c r="M225" s="30">
        <v>9260</v>
      </c>
      <c r="N225" s="29">
        <v>8373</v>
      </c>
      <c r="O225" s="28">
        <v>6348</v>
      </c>
    </row>
    <row r="226" spans="1:15" outlineLevel="1" x14ac:dyDescent="0.2">
      <c r="A226" s="20">
        <f t="shared" si="87"/>
        <v>9741</v>
      </c>
      <c r="B226" s="19" t="str">
        <f t="shared" si="87"/>
        <v>UTD</v>
      </c>
      <c r="C226" s="18"/>
      <c r="D226" s="15">
        <v>2510</v>
      </c>
      <c r="E226" s="21">
        <v>0.71900000000000008</v>
      </c>
      <c r="F226" s="14">
        <v>9826.5333333333328</v>
      </c>
      <c r="G226" s="28">
        <v>5443.8700000002518</v>
      </c>
      <c r="H226" s="15">
        <v>2219</v>
      </c>
      <c r="I226" s="15">
        <v>179</v>
      </c>
      <c r="J226" s="15">
        <v>449</v>
      </c>
      <c r="K226" s="13">
        <v>33</v>
      </c>
      <c r="L226" s="16">
        <v>1410</v>
      </c>
      <c r="M226" s="30">
        <v>3522</v>
      </c>
      <c r="N226" s="29">
        <v>2348</v>
      </c>
      <c r="O226" s="28">
        <v>1065</v>
      </c>
    </row>
    <row r="227" spans="1:15" outlineLevel="1" x14ac:dyDescent="0.2">
      <c r="A227" s="20">
        <f t="shared" si="87"/>
        <v>3661</v>
      </c>
      <c r="B227" s="19" t="str">
        <f t="shared" si="87"/>
        <v>UTEP</v>
      </c>
      <c r="C227" s="18"/>
      <c r="D227" s="15">
        <v>3132</v>
      </c>
      <c r="E227" s="21">
        <v>0.41200000000000003</v>
      </c>
      <c r="F227" s="14">
        <v>13931.066666666668</v>
      </c>
      <c r="G227" s="28">
        <v>6456.0600000003096</v>
      </c>
      <c r="H227" s="15">
        <v>1134</v>
      </c>
      <c r="I227" s="15">
        <v>79</v>
      </c>
      <c r="J227" s="15">
        <v>643</v>
      </c>
      <c r="K227" s="13">
        <v>86</v>
      </c>
      <c r="L227" s="16">
        <v>2590</v>
      </c>
      <c r="M227" s="30">
        <v>4400</v>
      </c>
      <c r="N227" s="29">
        <v>3304</v>
      </c>
      <c r="O227" s="28">
        <v>1986</v>
      </c>
    </row>
    <row r="228" spans="1:15" outlineLevel="1" x14ac:dyDescent="0.2">
      <c r="A228" s="20">
        <f t="shared" si="87"/>
        <v>3599</v>
      </c>
      <c r="B228" s="19" t="str">
        <f t="shared" si="87"/>
        <v>UTPA</v>
      </c>
      <c r="C228" s="18"/>
      <c r="D228" s="15">
        <v>2462</v>
      </c>
      <c r="E228" s="21">
        <v>0.44</v>
      </c>
      <c r="F228" s="14">
        <v>12698.333333333334</v>
      </c>
      <c r="G228" s="28">
        <v>5000.2800000001325</v>
      </c>
      <c r="H228" s="15">
        <v>685</v>
      </c>
      <c r="I228" s="15">
        <v>18</v>
      </c>
      <c r="J228" s="15">
        <v>547</v>
      </c>
      <c r="K228" s="13">
        <v>19</v>
      </c>
      <c r="L228" s="16">
        <v>2247</v>
      </c>
      <c r="M228" s="30">
        <v>3730</v>
      </c>
      <c r="N228" s="29">
        <v>2862</v>
      </c>
      <c r="O228" s="28">
        <v>1896</v>
      </c>
    </row>
    <row r="229" spans="1:15" outlineLevel="1" x14ac:dyDescent="0.2">
      <c r="A229" s="20">
        <f t="shared" si="87"/>
        <v>30646</v>
      </c>
      <c r="B229" s="19" t="str">
        <f t="shared" si="87"/>
        <v>UTB</v>
      </c>
      <c r="C229" s="18"/>
      <c r="D229" s="15">
        <v>1149</v>
      </c>
      <c r="E229" s="17">
        <v>0.52783109404990403</v>
      </c>
      <c r="F229" s="14">
        <v>3400.5333333333333</v>
      </c>
      <c r="G229" s="28">
        <v>2236.3100000000127</v>
      </c>
      <c r="H229" s="15">
        <v>234</v>
      </c>
      <c r="I229" s="15">
        <v>8</v>
      </c>
      <c r="J229" s="15">
        <v>133</v>
      </c>
      <c r="K229" s="13">
        <v>21</v>
      </c>
      <c r="L229" s="16">
        <v>978</v>
      </c>
      <c r="M229" s="30">
        <v>1243</v>
      </c>
      <c r="N229" s="29">
        <v>486</v>
      </c>
      <c r="O229" s="28">
        <v>99</v>
      </c>
    </row>
    <row r="230" spans="1:15" outlineLevel="1" x14ac:dyDescent="0.2">
      <c r="A230" s="20">
        <f t="shared" si="87"/>
        <v>9930</v>
      </c>
      <c r="B230" s="19" t="str">
        <f t="shared" si="87"/>
        <v>UTPB</v>
      </c>
      <c r="C230" s="18"/>
      <c r="D230" s="15">
        <v>546</v>
      </c>
      <c r="E230" s="21">
        <v>0.47899999999999998</v>
      </c>
      <c r="F230" s="14">
        <v>2343.2666666666669</v>
      </c>
      <c r="G230" s="28">
        <v>1054.6599999999951</v>
      </c>
      <c r="H230" s="15">
        <v>152</v>
      </c>
      <c r="I230" s="15">
        <v>0</v>
      </c>
      <c r="J230" s="15">
        <v>51</v>
      </c>
      <c r="K230" s="13">
        <v>7</v>
      </c>
      <c r="L230" s="16">
        <v>411</v>
      </c>
      <c r="M230" s="30">
        <v>742</v>
      </c>
      <c r="N230" s="29">
        <v>535</v>
      </c>
      <c r="O230" s="28">
        <v>210</v>
      </c>
    </row>
    <row r="231" spans="1:15" outlineLevel="1" x14ac:dyDescent="0.2">
      <c r="A231" s="20">
        <f t="shared" si="87"/>
        <v>10115</v>
      </c>
      <c r="B231" s="19" t="str">
        <f t="shared" si="87"/>
        <v>UTSA</v>
      </c>
      <c r="C231" s="18"/>
      <c r="D231" s="15">
        <v>4243</v>
      </c>
      <c r="E231" s="21">
        <v>0.43099999999999999</v>
      </c>
      <c r="F231" s="14">
        <v>21066.866666666665</v>
      </c>
      <c r="G231" s="28">
        <v>8736.7000000001954</v>
      </c>
      <c r="H231" s="15">
        <v>1169</v>
      </c>
      <c r="I231" s="15">
        <v>79</v>
      </c>
      <c r="J231" s="15">
        <v>407</v>
      </c>
      <c r="K231" s="13">
        <v>63</v>
      </c>
      <c r="L231" s="16">
        <v>3204</v>
      </c>
      <c r="M231" s="30">
        <v>6815</v>
      </c>
      <c r="N231" s="29">
        <v>4371</v>
      </c>
      <c r="O231" s="28">
        <v>2560</v>
      </c>
    </row>
    <row r="232" spans="1:15" outlineLevel="1" x14ac:dyDescent="0.2">
      <c r="A232" s="20">
        <f t="shared" si="87"/>
        <v>11163</v>
      </c>
      <c r="B232" s="19" t="str">
        <f t="shared" si="87"/>
        <v>UTT</v>
      </c>
      <c r="C232" s="18"/>
      <c r="D232" s="15">
        <v>1144</v>
      </c>
      <c r="E232" s="21">
        <v>0.51800000000000002</v>
      </c>
      <c r="F232" s="14">
        <v>4086.7333333333331</v>
      </c>
      <c r="G232" s="28">
        <v>2263.8699999999944</v>
      </c>
      <c r="H232" s="15">
        <v>469</v>
      </c>
      <c r="I232" s="15">
        <v>16</v>
      </c>
      <c r="J232" s="15">
        <v>392</v>
      </c>
      <c r="K232" s="13">
        <v>23</v>
      </c>
      <c r="L232" s="16">
        <v>886</v>
      </c>
      <c r="M232" s="30">
        <v>1409</v>
      </c>
      <c r="N232" s="29">
        <v>844</v>
      </c>
      <c r="O232" s="28">
        <v>383</v>
      </c>
    </row>
    <row r="233" spans="1:15" outlineLevel="1" x14ac:dyDescent="0.2">
      <c r="A233" s="20">
        <f t="shared" si="87"/>
        <v>3632</v>
      </c>
      <c r="B233" s="19" t="str">
        <f t="shared" si="87"/>
        <v>TAMU</v>
      </c>
      <c r="C233" s="18"/>
      <c r="D233" s="15">
        <v>9020</v>
      </c>
      <c r="E233" s="21">
        <v>0.84200000000000008</v>
      </c>
      <c r="F233" s="14">
        <v>35116.666666666664</v>
      </c>
      <c r="G233" s="28">
        <v>21108.189999999984</v>
      </c>
      <c r="H233" s="15">
        <v>2105</v>
      </c>
      <c r="I233" s="15">
        <v>807</v>
      </c>
      <c r="J233" s="15">
        <v>1934</v>
      </c>
      <c r="K233" s="13">
        <v>137</v>
      </c>
      <c r="L233" s="16">
        <v>3915</v>
      </c>
      <c r="M233" s="30">
        <v>10547</v>
      </c>
      <c r="N233" s="29">
        <v>8924</v>
      </c>
      <c r="O233" s="28">
        <v>6938</v>
      </c>
    </row>
    <row r="234" spans="1:15" outlineLevel="1" x14ac:dyDescent="0.2">
      <c r="A234" s="20">
        <f t="shared" si="87"/>
        <v>10298</v>
      </c>
      <c r="B234" s="19" t="str">
        <f t="shared" si="87"/>
        <v>TAMUG</v>
      </c>
      <c r="C234" s="18"/>
      <c r="D234" s="15">
        <v>314</v>
      </c>
      <c r="E234" s="21">
        <v>0.626</v>
      </c>
      <c r="F234" s="14">
        <v>1769.4666666666667</v>
      </c>
      <c r="G234" s="28">
        <v>826.3399999999923</v>
      </c>
      <c r="H234" s="15">
        <v>12</v>
      </c>
      <c r="I234" s="15">
        <v>2</v>
      </c>
      <c r="J234" s="15">
        <v>46</v>
      </c>
      <c r="K234" s="13">
        <v>0</v>
      </c>
      <c r="L234" s="16">
        <v>186</v>
      </c>
      <c r="M234" s="30">
        <v>607</v>
      </c>
      <c r="N234" s="29">
        <v>296</v>
      </c>
      <c r="O234" s="28">
        <v>263</v>
      </c>
    </row>
    <row r="235" spans="1:15" outlineLevel="1" x14ac:dyDescent="0.2">
      <c r="A235" s="20">
        <f t="shared" si="87"/>
        <v>3630</v>
      </c>
      <c r="B235" s="19" t="str">
        <f t="shared" si="87"/>
        <v>Prairie View</v>
      </c>
      <c r="C235" s="18"/>
      <c r="D235" s="15">
        <v>1026</v>
      </c>
      <c r="E235" s="21">
        <v>0.40299999999999997</v>
      </c>
      <c r="F235" s="14">
        <v>5822.8</v>
      </c>
      <c r="G235" s="28">
        <v>2288.9700000000062</v>
      </c>
      <c r="H235" s="15">
        <v>445</v>
      </c>
      <c r="I235" s="15">
        <v>17</v>
      </c>
      <c r="J235" s="15">
        <v>373</v>
      </c>
      <c r="K235" s="13">
        <v>11</v>
      </c>
      <c r="L235" s="16">
        <v>877</v>
      </c>
      <c r="M235" s="30">
        <v>1701</v>
      </c>
      <c r="N235" s="29">
        <v>1132</v>
      </c>
      <c r="O235" s="28">
        <v>871</v>
      </c>
    </row>
    <row r="236" spans="1:15" outlineLevel="1" x14ac:dyDescent="0.2">
      <c r="A236" s="20">
        <f t="shared" si="87"/>
        <v>3631</v>
      </c>
      <c r="B236" s="19" t="str">
        <f t="shared" si="87"/>
        <v>Tarleton</v>
      </c>
      <c r="C236" s="18"/>
      <c r="D236" s="15">
        <v>1662</v>
      </c>
      <c r="E236" s="21">
        <v>0.47600000000000003</v>
      </c>
      <c r="F236" s="14">
        <v>6766.4</v>
      </c>
      <c r="G236" s="28">
        <v>3337.2399999999966</v>
      </c>
      <c r="H236" s="15">
        <v>428</v>
      </c>
      <c r="I236" s="15">
        <v>8</v>
      </c>
      <c r="J236" s="15">
        <v>229</v>
      </c>
      <c r="K236" s="13">
        <v>49</v>
      </c>
      <c r="L236" s="16">
        <v>1296</v>
      </c>
      <c r="M236" s="30">
        <v>2227</v>
      </c>
      <c r="N236" s="29">
        <v>1216</v>
      </c>
      <c r="O236" s="28">
        <v>845</v>
      </c>
    </row>
    <row r="237" spans="1:15" outlineLevel="1" x14ac:dyDescent="0.2">
      <c r="A237" s="27">
        <f t="shared" si="87"/>
        <v>103631</v>
      </c>
      <c r="B237" s="19" t="str">
        <f t="shared" si="87"/>
        <v>TAMUCT</v>
      </c>
      <c r="C237" s="18"/>
      <c r="D237" s="15">
        <v>469</v>
      </c>
      <c r="E237" s="21">
        <f>E236</f>
        <v>0.47600000000000003</v>
      </c>
      <c r="F237" s="14">
        <v>684.13333333333333</v>
      </c>
      <c r="G237" s="28">
        <v>882.20999999999208</v>
      </c>
      <c r="H237" s="15">
        <v>186</v>
      </c>
      <c r="I237" s="15">
        <v>0</v>
      </c>
      <c r="J237" s="15">
        <v>42</v>
      </c>
      <c r="K237" s="13">
        <v>0</v>
      </c>
      <c r="L237" s="16">
        <v>329</v>
      </c>
      <c r="M237" s="30">
        <v>550</v>
      </c>
      <c r="N237" s="29">
        <v>119</v>
      </c>
      <c r="O237" s="28">
        <v>5</v>
      </c>
    </row>
    <row r="238" spans="1:15" outlineLevel="1" x14ac:dyDescent="0.2">
      <c r="A238" s="20">
        <f t="shared" si="87"/>
        <v>11161</v>
      </c>
      <c r="B238" s="19" t="str">
        <f t="shared" si="87"/>
        <v>TAMUCC</v>
      </c>
      <c r="C238" s="18"/>
      <c r="D238" s="15">
        <v>1515</v>
      </c>
      <c r="E238" s="21">
        <v>0.51</v>
      </c>
      <c r="F238" s="14">
        <v>6742.2</v>
      </c>
      <c r="G238" s="28">
        <v>3028.8999999999978</v>
      </c>
      <c r="H238" s="15">
        <v>527</v>
      </c>
      <c r="I238" s="15">
        <v>29</v>
      </c>
      <c r="J238" s="15">
        <v>310</v>
      </c>
      <c r="K238" s="13">
        <v>23</v>
      </c>
      <c r="L238" s="16">
        <v>1182</v>
      </c>
      <c r="M238" s="30">
        <v>1957</v>
      </c>
      <c r="N238" s="29">
        <v>1470</v>
      </c>
      <c r="O238" s="28">
        <v>959</v>
      </c>
    </row>
    <row r="239" spans="1:15" outlineLevel="1" x14ac:dyDescent="0.2">
      <c r="A239" s="20">
        <f t="shared" si="87"/>
        <v>3639</v>
      </c>
      <c r="B239" s="19" t="str">
        <f t="shared" si="87"/>
        <v>TAMUK</v>
      </c>
      <c r="C239" s="18"/>
      <c r="D239" s="15">
        <v>855</v>
      </c>
      <c r="E239" s="21">
        <v>0.39200000000000002</v>
      </c>
      <c r="F239" s="14">
        <v>4577.5333333333338</v>
      </c>
      <c r="G239" s="28">
        <v>1952.6200000000099</v>
      </c>
      <c r="H239" s="15">
        <v>399</v>
      </c>
      <c r="I239" s="15">
        <v>29</v>
      </c>
      <c r="J239" s="15">
        <v>298</v>
      </c>
      <c r="K239" s="13">
        <v>19</v>
      </c>
      <c r="L239" s="16">
        <v>742</v>
      </c>
      <c r="M239" s="30">
        <v>1343</v>
      </c>
      <c r="N239" s="29">
        <v>910</v>
      </c>
      <c r="O239" s="28">
        <v>571</v>
      </c>
    </row>
    <row r="240" spans="1:15" outlineLevel="1" x14ac:dyDescent="0.2">
      <c r="A240" s="27">
        <f t="shared" ref="A240:B255" si="88">A198</f>
        <v>103639</v>
      </c>
      <c r="B240" s="19" t="str">
        <f t="shared" si="88"/>
        <v>TAMUSA</v>
      </c>
      <c r="C240" s="18"/>
      <c r="D240" s="15">
        <v>647</v>
      </c>
      <c r="E240" s="21">
        <f>E239</f>
        <v>0.39200000000000002</v>
      </c>
      <c r="F240" s="14">
        <v>1673.0666666666666</v>
      </c>
      <c r="G240" s="28">
        <v>1155.5399999999984</v>
      </c>
      <c r="H240" s="15">
        <v>241</v>
      </c>
      <c r="I240" s="15">
        <v>0</v>
      </c>
      <c r="J240" s="15">
        <v>10</v>
      </c>
      <c r="K240" s="13">
        <v>4</v>
      </c>
      <c r="L240" s="16">
        <v>549</v>
      </c>
      <c r="M240" s="30">
        <v>887</v>
      </c>
      <c r="N240" s="29">
        <v>190</v>
      </c>
      <c r="O240" s="28">
        <v>1</v>
      </c>
    </row>
    <row r="241" spans="1:15" outlineLevel="1" x14ac:dyDescent="0.2">
      <c r="A241" s="20">
        <f t="shared" si="88"/>
        <v>9651</v>
      </c>
      <c r="B241" s="19" t="str">
        <f t="shared" si="88"/>
        <v>TAMI</v>
      </c>
      <c r="C241" s="18"/>
      <c r="D241" s="15">
        <v>805</v>
      </c>
      <c r="E241" s="21">
        <v>0.45700000000000002</v>
      </c>
      <c r="F241" s="14">
        <v>4312.1333333333332</v>
      </c>
      <c r="G241" s="28">
        <v>1498.7699999999936</v>
      </c>
      <c r="H241" s="15">
        <v>248</v>
      </c>
      <c r="I241" s="15">
        <v>5</v>
      </c>
      <c r="J241" s="15">
        <v>142</v>
      </c>
      <c r="K241" s="13">
        <v>23</v>
      </c>
      <c r="L241" s="16">
        <v>737</v>
      </c>
      <c r="M241" s="30">
        <v>1292</v>
      </c>
      <c r="N241" s="29">
        <v>1039</v>
      </c>
      <c r="O241" s="28">
        <v>488</v>
      </c>
    </row>
    <row r="242" spans="1:15" outlineLevel="1" x14ac:dyDescent="0.2">
      <c r="A242" s="20">
        <f t="shared" si="88"/>
        <v>3665</v>
      </c>
      <c r="B242" s="19" t="str">
        <f t="shared" si="88"/>
        <v>WTAMU</v>
      </c>
      <c r="C242" s="18"/>
      <c r="D242" s="15">
        <v>1253</v>
      </c>
      <c r="E242" s="21">
        <v>0.48200000000000004</v>
      </c>
      <c r="F242" s="14">
        <v>5523.2</v>
      </c>
      <c r="G242" s="28">
        <v>2523.9800000000132</v>
      </c>
      <c r="H242" s="15">
        <v>343</v>
      </c>
      <c r="I242" s="15">
        <v>5</v>
      </c>
      <c r="J242" s="15">
        <v>175</v>
      </c>
      <c r="K242" s="13">
        <v>60</v>
      </c>
      <c r="L242" s="16">
        <v>902</v>
      </c>
      <c r="M242" s="30">
        <v>1631</v>
      </c>
      <c r="N242" s="29">
        <v>1213</v>
      </c>
      <c r="O242" s="28">
        <v>689</v>
      </c>
    </row>
    <row r="243" spans="1:15" outlineLevel="1" x14ac:dyDescent="0.2">
      <c r="A243" s="20">
        <f t="shared" si="88"/>
        <v>3565</v>
      </c>
      <c r="B243" s="19" t="str">
        <f t="shared" si="88"/>
        <v>TAMUC</v>
      </c>
      <c r="C243" s="18"/>
      <c r="D243" s="15">
        <v>1507</v>
      </c>
      <c r="E243" s="21">
        <v>0.44600000000000001</v>
      </c>
      <c r="F243" s="14">
        <v>5135.2666666666664</v>
      </c>
      <c r="G243" s="28">
        <v>2861.9500000000121</v>
      </c>
      <c r="H243" s="15">
        <v>1403</v>
      </c>
      <c r="I243" s="15">
        <v>34</v>
      </c>
      <c r="J243" s="15">
        <v>89</v>
      </c>
      <c r="K243" s="13">
        <v>81</v>
      </c>
      <c r="L243" s="16">
        <v>1172</v>
      </c>
      <c r="M243" s="30">
        <v>2056</v>
      </c>
      <c r="N243" s="29">
        <v>1174</v>
      </c>
      <c r="O243" s="28">
        <v>457</v>
      </c>
    </row>
    <row r="244" spans="1:15" outlineLevel="1" x14ac:dyDescent="0.2">
      <c r="A244" s="20">
        <f t="shared" si="88"/>
        <v>29269</v>
      </c>
      <c r="B244" s="19" t="str">
        <f t="shared" si="88"/>
        <v>TAMUT</v>
      </c>
      <c r="C244" s="18"/>
      <c r="D244" s="15">
        <v>376</v>
      </c>
      <c r="E244" s="17">
        <v>0.49242424242424243</v>
      </c>
      <c r="F244" s="14">
        <v>1101.2666666666667</v>
      </c>
      <c r="G244" s="28">
        <v>680.4399999999946</v>
      </c>
      <c r="H244" s="15">
        <v>121</v>
      </c>
      <c r="I244" s="15">
        <v>0</v>
      </c>
      <c r="J244" s="15">
        <v>47</v>
      </c>
      <c r="K244" s="13">
        <v>25</v>
      </c>
      <c r="L244" s="16">
        <v>277</v>
      </c>
      <c r="M244" s="30">
        <v>484</v>
      </c>
      <c r="N244" s="29">
        <v>219</v>
      </c>
      <c r="O244" s="28">
        <v>1</v>
      </c>
    </row>
    <row r="245" spans="1:15" outlineLevel="1" x14ac:dyDescent="0.2">
      <c r="A245" s="20">
        <f t="shared" si="88"/>
        <v>3652</v>
      </c>
      <c r="B245" s="19" t="str">
        <f t="shared" si="88"/>
        <v>UH</v>
      </c>
      <c r="C245" s="18"/>
      <c r="D245" s="15">
        <v>5426</v>
      </c>
      <c r="E245" s="21">
        <v>0.53600000000000003</v>
      </c>
      <c r="F245" s="14">
        <v>24760.400000000001</v>
      </c>
      <c r="G245" s="28">
        <v>11378.949999999324</v>
      </c>
      <c r="H245" s="15">
        <v>2033</v>
      </c>
      <c r="I245" s="15">
        <v>783</v>
      </c>
      <c r="J245" s="15">
        <v>835</v>
      </c>
      <c r="K245" s="13">
        <v>60</v>
      </c>
      <c r="L245" s="16">
        <v>3688</v>
      </c>
      <c r="M245" s="30">
        <v>7823</v>
      </c>
      <c r="N245" s="29">
        <v>5667</v>
      </c>
      <c r="O245" s="28">
        <v>3232</v>
      </c>
    </row>
    <row r="246" spans="1:15" outlineLevel="1" x14ac:dyDescent="0.2">
      <c r="A246" s="20">
        <f t="shared" si="88"/>
        <v>11711</v>
      </c>
      <c r="B246" s="19" t="str">
        <f t="shared" si="88"/>
        <v>UHCL</v>
      </c>
      <c r="C246" s="18"/>
      <c r="D246" s="15">
        <v>1251</v>
      </c>
      <c r="E246" s="17">
        <v>0.51671732522796354</v>
      </c>
      <c r="F246" s="14">
        <v>3079.2666666666669</v>
      </c>
      <c r="G246" s="28">
        <v>2423.7000000000025</v>
      </c>
      <c r="H246" s="15">
        <v>1059</v>
      </c>
      <c r="I246" s="15">
        <v>15</v>
      </c>
      <c r="J246" s="15">
        <v>119</v>
      </c>
      <c r="K246" s="13">
        <v>9</v>
      </c>
      <c r="L246" s="16">
        <v>839</v>
      </c>
      <c r="M246" s="30">
        <v>1391</v>
      </c>
      <c r="N246" s="29">
        <v>1014</v>
      </c>
      <c r="O246" s="28">
        <v>37</v>
      </c>
    </row>
    <row r="247" spans="1:15" outlineLevel="1" x14ac:dyDescent="0.2">
      <c r="A247" s="20">
        <f t="shared" si="88"/>
        <v>12826</v>
      </c>
      <c r="B247" s="19" t="str">
        <f t="shared" si="88"/>
        <v>UHD</v>
      </c>
      <c r="C247" s="18"/>
      <c r="D247" s="15">
        <v>2351</v>
      </c>
      <c r="E247" s="21">
        <v>0.17399999999999999</v>
      </c>
      <c r="F247" s="14">
        <v>8043.8</v>
      </c>
      <c r="G247" s="28">
        <v>4292.430000000033</v>
      </c>
      <c r="H247" s="15">
        <v>56</v>
      </c>
      <c r="I247" s="15">
        <v>0</v>
      </c>
      <c r="J247" s="15">
        <v>134</v>
      </c>
      <c r="K247" s="13">
        <v>3</v>
      </c>
      <c r="L247" s="16">
        <v>1694</v>
      </c>
      <c r="M247" s="30">
        <v>3011</v>
      </c>
      <c r="N247" s="29">
        <v>1820</v>
      </c>
      <c r="O247" s="28">
        <v>590</v>
      </c>
    </row>
    <row r="248" spans="1:15" outlineLevel="1" x14ac:dyDescent="0.2">
      <c r="A248" s="20">
        <f t="shared" si="88"/>
        <v>13231</v>
      </c>
      <c r="B248" s="19" t="str">
        <f t="shared" si="88"/>
        <v>UHV</v>
      </c>
      <c r="C248" s="18"/>
      <c r="D248" s="15">
        <v>619</v>
      </c>
      <c r="E248" s="17">
        <v>0.47520661157024796</v>
      </c>
      <c r="F248" s="14">
        <v>1685.8666666666666</v>
      </c>
      <c r="G248" s="28">
        <v>1187.5899999999924</v>
      </c>
      <c r="H248" s="15">
        <v>432</v>
      </c>
      <c r="I248" s="15">
        <v>0</v>
      </c>
      <c r="J248" s="15">
        <v>134</v>
      </c>
      <c r="K248" s="13">
        <v>9</v>
      </c>
      <c r="L248" s="16">
        <v>418</v>
      </c>
      <c r="M248" s="30">
        <v>776</v>
      </c>
      <c r="N248" s="29">
        <v>334</v>
      </c>
      <c r="O248" s="28">
        <v>6</v>
      </c>
    </row>
    <row r="249" spans="1:15" outlineLevel="1" x14ac:dyDescent="0.2">
      <c r="A249" s="20">
        <f t="shared" si="88"/>
        <v>3592</v>
      </c>
      <c r="B249" s="19" t="str">
        <f t="shared" si="88"/>
        <v>Midwestern</v>
      </c>
      <c r="C249" s="18"/>
      <c r="D249" s="15">
        <v>1066</v>
      </c>
      <c r="E249" s="21">
        <v>0.46299999999999997</v>
      </c>
      <c r="F249" s="14">
        <v>4147.7333333333336</v>
      </c>
      <c r="G249" s="28">
        <v>2062.1399999999949</v>
      </c>
      <c r="H249" s="15">
        <v>233</v>
      </c>
      <c r="I249" s="15">
        <v>0</v>
      </c>
      <c r="J249" s="15">
        <v>358</v>
      </c>
      <c r="K249" s="13">
        <v>15</v>
      </c>
      <c r="L249" s="16">
        <v>723</v>
      </c>
      <c r="M249" s="30">
        <v>1310</v>
      </c>
      <c r="N249" s="29">
        <v>979</v>
      </c>
      <c r="O249" s="28">
        <v>683</v>
      </c>
    </row>
    <row r="250" spans="1:15" outlineLevel="1" x14ac:dyDescent="0.2">
      <c r="A250" s="20">
        <f t="shared" si="88"/>
        <v>3594</v>
      </c>
      <c r="B250" s="19" t="str">
        <f t="shared" si="88"/>
        <v>UNT</v>
      </c>
      <c r="C250" s="18"/>
      <c r="D250" s="15">
        <v>5843</v>
      </c>
      <c r="E250" s="21">
        <v>0.56799999999999995</v>
      </c>
      <c r="F250" s="14">
        <v>23213.466666666667</v>
      </c>
      <c r="G250" s="28">
        <v>11338.869999999399</v>
      </c>
      <c r="H250" s="15">
        <v>2002</v>
      </c>
      <c r="I250" s="15">
        <v>235</v>
      </c>
      <c r="J250" s="15">
        <v>368</v>
      </c>
      <c r="K250" s="13">
        <v>56</v>
      </c>
      <c r="L250" s="16">
        <v>3771</v>
      </c>
      <c r="M250" s="30">
        <v>7310</v>
      </c>
      <c r="N250" s="29">
        <v>5432</v>
      </c>
      <c r="O250" s="28">
        <v>3116</v>
      </c>
    </row>
    <row r="251" spans="1:15" outlineLevel="1" x14ac:dyDescent="0.2">
      <c r="A251" s="27">
        <f t="shared" si="88"/>
        <v>113594</v>
      </c>
      <c r="B251" s="19" t="str">
        <f t="shared" si="88"/>
        <v>UNTD</v>
      </c>
      <c r="C251" s="18"/>
      <c r="D251" s="15">
        <v>419</v>
      </c>
      <c r="E251" s="21">
        <f>E250</f>
        <v>0.56799999999999995</v>
      </c>
      <c r="F251" s="14">
        <v>983.4666666666667</v>
      </c>
      <c r="G251" s="28">
        <v>742.11999999999398</v>
      </c>
      <c r="H251" s="15">
        <v>0</v>
      </c>
      <c r="I251" s="15">
        <v>0</v>
      </c>
      <c r="J251" s="15">
        <v>14</v>
      </c>
      <c r="K251" s="13">
        <v>0</v>
      </c>
      <c r="L251" s="16">
        <v>313</v>
      </c>
      <c r="M251" s="30">
        <v>469</v>
      </c>
      <c r="N251" s="29">
        <v>80</v>
      </c>
      <c r="O251" s="28">
        <v>4</v>
      </c>
    </row>
    <row r="252" spans="1:15" outlineLevel="1" x14ac:dyDescent="0.2">
      <c r="A252" s="20">
        <f t="shared" si="88"/>
        <v>3624</v>
      </c>
      <c r="B252" s="19" t="str">
        <f t="shared" si="88"/>
        <v>SFA</v>
      </c>
      <c r="C252" s="18"/>
      <c r="D252" s="15">
        <v>2011</v>
      </c>
      <c r="E252" s="21">
        <v>0.55299999999999994</v>
      </c>
      <c r="F252" s="14">
        <v>9507.3333333333339</v>
      </c>
      <c r="G252" s="28">
        <v>3932.9399999999569</v>
      </c>
      <c r="H252" s="15">
        <v>445</v>
      </c>
      <c r="I252" s="15">
        <v>15</v>
      </c>
      <c r="J252" s="15">
        <v>273</v>
      </c>
      <c r="K252" s="13">
        <v>42</v>
      </c>
      <c r="L252" s="16">
        <v>1513</v>
      </c>
      <c r="M252" s="30">
        <v>2605</v>
      </c>
      <c r="N252" s="29">
        <v>2125</v>
      </c>
      <c r="O252" s="28">
        <v>1473</v>
      </c>
    </row>
    <row r="253" spans="1:15" outlineLevel="1" x14ac:dyDescent="0.2">
      <c r="A253" s="20">
        <f t="shared" si="88"/>
        <v>3642</v>
      </c>
      <c r="B253" s="19" t="str">
        <f t="shared" si="88"/>
        <v>TSU</v>
      </c>
      <c r="C253" s="18"/>
      <c r="D253" s="15">
        <v>737</v>
      </c>
      <c r="E253" s="21">
        <v>0.14099999999999999</v>
      </c>
      <c r="F253" s="14">
        <v>5767.1333333333332</v>
      </c>
      <c r="G253" s="28">
        <v>1478.8299999999929</v>
      </c>
      <c r="H253" s="15">
        <v>280</v>
      </c>
      <c r="I253" s="15">
        <v>311</v>
      </c>
      <c r="J253" s="15">
        <v>154</v>
      </c>
      <c r="K253" s="13">
        <v>5</v>
      </c>
      <c r="L253" s="16">
        <v>641</v>
      </c>
      <c r="M253" s="30">
        <v>1349</v>
      </c>
      <c r="N253" s="29">
        <v>988</v>
      </c>
      <c r="O253" s="28">
        <v>760</v>
      </c>
    </row>
    <row r="254" spans="1:15" outlineLevel="1" x14ac:dyDescent="0.2">
      <c r="A254" s="20">
        <f t="shared" si="88"/>
        <v>3644</v>
      </c>
      <c r="B254" s="19" t="str">
        <f t="shared" si="88"/>
        <v>TTU</v>
      </c>
      <c r="C254" s="18"/>
      <c r="D254" s="15">
        <v>4941</v>
      </c>
      <c r="E254" s="21">
        <v>0.73599999999999999</v>
      </c>
      <c r="F254" s="14">
        <v>22627.599999999999</v>
      </c>
      <c r="G254" s="28">
        <v>10741.019999999262</v>
      </c>
      <c r="H254" s="15">
        <v>1605</v>
      </c>
      <c r="I254" s="15">
        <v>469</v>
      </c>
      <c r="J254" s="15">
        <v>839</v>
      </c>
      <c r="K254" s="13">
        <v>67</v>
      </c>
      <c r="L254" s="16">
        <v>3071</v>
      </c>
      <c r="M254" s="30">
        <v>6449</v>
      </c>
      <c r="N254" s="29">
        <v>5332</v>
      </c>
      <c r="O254" s="28">
        <v>4048</v>
      </c>
    </row>
    <row r="255" spans="1:15" outlineLevel="1" x14ac:dyDescent="0.2">
      <c r="A255" s="20">
        <f t="shared" si="88"/>
        <v>3541</v>
      </c>
      <c r="B255" s="19" t="str">
        <f t="shared" si="88"/>
        <v>Angelo</v>
      </c>
      <c r="C255" s="18"/>
      <c r="D255" s="15">
        <v>1073</v>
      </c>
      <c r="E255" s="21">
        <v>0.40799999999999997</v>
      </c>
      <c r="F255" s="14">
        <v>4921.333333333333</v>
      </c>
      <c r="G255" s="28">
        <v>2141.5100000000025</v>
      </c>
      <c r="H255" s="15">
        <v>251</v>
      </c>
      <c r="I255" s="15">
        <v>19</v>
      </c>
      <c r="J255" s="15">
        <v>304</v>
      </c>
      <c r="K255" s="13">
        <v>19</v>
      </c>
      <c r="L255" s="16">
        <v>773</v>
      </c>
      <c r="M255" s="30">
        <v>1398</v>
      </c>
      <c r="N255" s="29">
        <v>1022</v>
      </c>
      <c r="O255" s="28">
        <v>707</v>
      </c>
    </row>
    <row r="256" spans="1:15" outlineLevel="1" x14ac:dyDescent="0.2">
      <c r="A256" s="20">
        <f t="shared" ref="A256:B261" si="89">A214</f>
        <v>3646</v>
      </c>
      <c r="B256" s="19" t="str">
        <f t="shared" si="89"/>
        <v>TWU</v>
      </c>
      <c r="C256" s="18"/>
      <c r="D256" s="15">
        <v>1919</v>
      </c>
      <c r="E256" s="21">
        <v>0.54200000000000004</v>
      </c>
      <c r="F256" s="14">
        <v>6999.5333333333338</v>
      </c>
      <c r="G256" s="28">
        <v>3704.3199999999606</v>
      </c>
      <c r="H256" s="15">
        <v>1558</v>
      </c>
      <c r="I256" s="15">
        <v>186</v>
      </c>
      <c r="J256" s="15">
        <v>571</v>
      </c>
      <c r="K256" s="13">
        <v>30</v>
      </c>
      <c r="L256" s="16">
        <v>1326</v>
      </c>
      <c r="M256" s="30">
        <v>2425</v>
      </c>
      <c r="N256" s="29">
        <v>1247</v>
      </c>
      <c r="O256" s="28">
        <v>703</v>
      </c>
    </row>
    <row r="257" spans="1:15" outlineLevel="1" x14ac:dyDescent="0.2">
      <c r="A257" s="20">
        <f t="shared" si="89"/>
        <v>3581</v>
      </c>
      <c r="B257" s="19" t="str">
        <f t="shared" si="89"/>
        <v>Lamar</v>
      </c>
      <c r="C257" s="18"/>
      <c r="D257" s="15">
        <v>1380</v>
      </c>
      <c r="E257" s="21">
        <v>0.35899999999999999</v>
      </c>
      <c r="F257" s="14">
        <v>7404.4666666666662</v>
      </c>
      <c r="G257" s="28">
        <v>2721.5300000000057</v>
      </c>
      <c r="H257" s="15">
        <v>1593</v>
      </c>
      <c r="I257" s="15">
        <v>37</v>
      </c>
      <c r="J257" s="15">
        <v>318</v>
      </c>
      <c r="K257" s="13">
        <v>18</v>
      </c>
      <c r="L257" s="16">
        <v>995</v>
      </c>
      <c r="M257" s="30">
        <v>2074</v>
      </c>
      <c r="N257" s="29">
        <v>1486</v>
      </c>
      <c r="O257" s="28">
        <v>1002</v>
      </c>
    </row>
    <row r="258" spans="1:15" outlineLevel="1" x14ac:dyDescent="0.2">
      <c r="A258" s="20">
        <f t="shared" si="89"/>
        <v>3606</v>
      </c>
      <c r="B258" s="19" t="str">
        <f t="shared" si="89"/>
        <v>SHSU</v>
      </c>
      <c r="C258" s="18"/>
      <c r="D258" s="15">
        <v>2978</v>
      </c>
      <c r="E258" s="21">
        <v>0.57799999999999996</v>
      </c>
      <c r="F258" s="14">
        <v>12574.466666666667</v>
      </c>
      <c r="G258" s="28">
        <v>5694.020000000286</v>
      </c>
      <c r="H258" s="15">
        <v>894</v>
      </c>
      <c r="I258" s="15">
        <v>53</v>
      </c>
      <c r="J258" s="15">
        <v>172</v>
      </c>
      <c r="K258" s="13">
        <v>51</v>
      </c>
      <c r="L258" s="16">
        <v>2163</v>
      </c>
      <c r="M258" s="30">
        <v>3894</v>
      </c>
      <c r="N258" s="29">
        <v>2915</v>
      </c>
      <c r="O258" s="28">
        <v>1704</v>
      </c>
    </row>
    <row r="259" spans="1:15" outlineLevel="1" x14ac:dyDescent="0.2">
      <c r="A259" s="20">
        <f t="shared" si="89"/>
        <v>3615</v>
      </c>
      <c r="B259" s="19" t="str">
        <f t="shared" si="89"/>
        <v>TXST</v>
      </c>
      <c r="C259" s="18"/>
      <c r="D259" s="15">
        <v>5435</v>
      </c>
      <c r="E259" s="21">
        <v>0.61399999999999999</v>
      </c>
      <c r="F259" s="14">
        <v>24028</v>
      </c>
      <c r="G259" s="28">
        <v>10677.06999999951</v>
      </c>
      <c r="H259" s="15">
        <v>1341</v>
      </c>
      <c r="I259" s="15">
        <v>74</v>
      </c>
      <c r="J259" s="15">
        <v>582</v>
      </c>
      <c r="K259" s="13">
        <v>67</v>
      </c>
      <c r="L259" s="16">
        <v>3816</v>
      </c>
      <c r="M259" s="30">
        <v>7425</v>
      </c>
      <c r="N259" s="29">
        <v>5561</v>
      </c>
      <c r="O259" s="28">
        <v>3333</v>
      </c>
    </row>
    <row r="260" spans="1:15" outlineLevel="1" x14ac:dyDescent="0.2">
      <c r="A260" s="20">
        <f t="shared" si="89"/>
        <v>3625</v>
      </c>
      <c r="B260" s="19" t="str">
        <f t="shared" si="89"/>
        <v>SRSU</v>
      </c>
      <c r="C260" s="18"/>
      <c r="D260" s="15">
        <v>191</v>
      </c>
      <c r="E260" s="21">
        <v>0.32600000000000001</v>
      </c>
      <c r="F260" s="14">
        <v>1229</v>
      </c>
      <c r="G260" s="28">
        <v>409.0499999999999</v>
      </c>
      <c r="H260" s="15">
        <v>177</v>
      </c>
      <c r="I260" s="15">
        <v>0</v>
      </c>
      <c r="J260" s="15">
        <v>10</v>
      </c>
      <c r="K260" s="13">
        <v>5</v>
      </c>
      <c r="L260" s="16">
        <v>167</v>
      </c>
      <c r="M260" s="30">
        <v>284</v>
      </c>
      <c r="N260" s="29">
        <v>188</v>
      </c>
      <c r="O260" s="28">
        <v>144</v>
      </c>
    </row>
    <row r="261" spans="1:15" outlineLevel="1" x14ac:dyDescent="0.2">
      <c r="A261" s="20">
        <f t="shared" si="89"/>
        <v>20</v>
      </c>
      <c r="B261" s="19" t="str">
        <f t="shared" si="89"/>
        <v>SRRG</v>
      </c>
      <c r="C261" s="18"/>
      <c r="D261" s="15">
        <v>154</v>
      </c>
      <c r="E261" s="17">
        <v>0.25423728813559321</v>
      </c>
      <c r="F261" s="14">
        <v>436.8</v>
      </c>
      <c r="G261" s="28">
        <v>268.06000000000023</v>
      </c>
      <c r="H261" s="15">
        <v>77</v>
      </c>
      <c r="I261" s="15">
        <v>0</v>
      </c>
      <c r="J261" s="15">
        <v>6</v>
      </c>
      <c r="K261" s="13">
        <v>1</v>
      </c>
      <c r="L261" s="16">
        <v>138</v>
      </c>
      <c r="M261" s="30">
        <v>215</v>
      </c>
      <c r="N261" s="29">
        <v>91</v>
      </c>
      <c r="O261" s="28">
        <v>6</v>
      </c>
    </row>
    <row r="262" spans="1:15" ht="13.5" outlineLevel="1" thickBot="1" x14ac:dyDescent="0.25">
      <c r="A262" s="12"/>
      <c r="B262" s="11" t="s">
        <v>11</v>
      </c>
      <c r="C262" s="10"/>
      <c r="D262" s="9">
        <f>SUM(D224:D261)</f>
        <v>87062</v>
      </c>
      <c r="E262" s="8">
        <v>0.58700000000000008</v>
      </c>
      <c r="F262" s="7">
        <f t="shared" ref="F262:O262" si="90">SUM(F224:F261)</f>
        <v>359610.06666666665</v>
      </c>
      <c r="G262" s="3">
        <f t="shared" si="90"/>
        <v>180161.28999999876</v>
      </c>
      <c r="H262" s="5">
        <f t="shared" si="90"/>
        <v>32966</v>
      </c>
      <c r="I262" s="5">
        <f t="shared" si="90"/>
        <v>5027</v>
      </c>
      <c r="J262" s="5">
        <f t="shared" si="90"/>
        <v>15629</v>
      </c>
      <c r="K262" s="3">
        <f t="shared" si="90"/>
        <v>1267</v>
      </c>
      <c r="L262" s="6">
        <f t="shared" si="90"/>
        <v>56968</v>
      </c>
      <c r="M262" s="5">
        <f t="shared" si="90"/>
        <v>113504</v>
      </c>
      <c r="N262" s="4">
        <f t="shared" si="90"/>
        <v>81268</v>
      </c>
      <c r="O262" s="3">
        <f t="shared" si="90"/>
        <v>50077</v>
      </c>
    </row>
    <row r="263" spans="1:15" ht="13.5" thickBot="1" x14ac:dyDescent="0.25">
      <c r="A263" s="45" t="s">
        <v>26</v>
      </c>
      <c r="B263" s="45"/>
      <c r="C263" s="45"/>
      <c r="D263" s="45"/>
      <c r="F263" s="45"/>
      <c r="L263" s="45"/>
    </row>
    <row r="264" spans="1:15" ht="12.75" customHeight="1" outlineLevel="1" x14ac:dyDescent="0.2">
      <c r="A264" s="177" t="s">
        <v>24</v>
      </c>
      <c r="B264" s="179" t="s">
        <v>23</v>
      </c>
      <c r="C264" s="181"/>
      <c r="D264" s="210" t="s">
        <v>22</v>
      </c>
      <c r="E264" s="205" t="s">
        <v>21</v>
      </c>
      <c r="F264" s="179" t="s">
        <v>20</v>
      </c>
      <c r="G264" s="201" t="s">
        <v>19</v>
      </c>
      <c r="H264" s="203" t="str">
        <f>H3</f>
        <v>Master's</v>
      </c>
      <c r="I264" s="203" t="str">
        <f>I3</f>
        <v>Doctoral and Professional Practice</v>
      </c>
      <c r="J264" s="203" t="s">
        <v>18</v>
      </c>
      <c r="K264" s="195" t="s">
        <v>17</v>
      </c>
      <c r="L264" s="197" t="s">
        <v>16</v>
      </c>
      <c r="M264" s="199" t="s">
        <v>15</v>
      </c>
      <c r="N264" s="200"/>
      <c r="O264" s="200"/>
    </row>
    <row r="265" spans="1:15" s="41" customFormat="1" ht="40.5" customHeight="1" outlineLevel="1" thickBot="1" x14ac:dyDescent="0.25">
      <c r="A265" s="178"/>
      <c r="B265" s="180"/>
      <c r="C265" s="182"/>
      <c r="D265" s="211"/>
      <c r="E265" s="206"/>
      <c r="F265" s="180"/>
      <c r="G265" s="202"/>
      <c r="H265" s="204"/>
      <c r="I265" s="204"/>
      <c r="J265" s="204"/>
      <c r="K265" s="196"/>
      <c r="L265" s="198"/>
      <c r="M265" s="44" t="s">
        <v>14</v>
      </c>
      <c r="N265" s="43" t="s">
        <v>13</v>
      </c>
      <c r="O265" s="42" t="s">
        <v>12</v>
      </c>
    </row>
    <row r="266" spans="1:15" outlineLevel="1" x14ac:dyDescent="0.2">
      <c r="A266" s="40">
        <f t="shared" ref="A266:B281" si="91">A224</f>
        <v>3656</v>
      </c>
      <c r="B266" s="39" t="str">
        <f t="shared" si="91"/>
        <v>UTA</v>
      </c>
      <c r="C266" s="38"/>
      <c r="D266" s="33">
        <v>5103</v>
      </c>
      <c r="E266" s="37">
        <v>0.49299999999999999</v>
      </c>
      <c r="F266" s="32">
        <v>17372</v>
      </c>
      <c r="G266" s="31">
        <v>10527.860000000002</v>
      </c>
      <c r="H266" s="36">
        <v>2417</v>
      </c>
      <c r="I266" s="36">
        <v>127</v>
      </c>
      <c r="J266" s="36">
        <v>1620</v>
      </c>
      <c r="K266" s="35">
        <v>26</v>
      </c>
      <c r="L266" s="34">
        <v>3158</v>
      </c>
      <c r="M266" s="33">
        <v>6986</v>
      </c>
      <c r="N266" s="32">
        <v>3903</v>
      </c>
      <c r="O266" s="31">
        <v>1733</v>
      </c>
    </row>
    <row r="267" spans="1:15" outlineLevel="1" x14ac:dyDescent="0.2">
      <c r="A267" s="20">
        <f t="shared" si="91"/>
        <v>3658</v>
      </c>
      <c r="B267" s="19" t="str">
        <f t="shared" si="91"/>
        <v>UT</v>
      </c>
      <c r="C267" s="18"/>
      <c r="D267" s="15">
        <v>9027</v>
      </c>
      <c r="E267" s="21">
        <v>0.83299999999999996</v>
      </c>
      <c r="F267" s="14">
        <v>33709.866666666669</v>
      </c>
      <c r="G267" s="13">
        <v>19422.050000001858</v>
      </c>
      <c r="H267" s="15">
        <v>2986</v>
      </c>
      <c r="I267" s="15">
        <v>1352</v>
      </c>
      <c r="J267" s="15">
        <v>1894</v>
      </c>
      <c r="K267" s="13">
        <v>60</v>
      </c>
      <c r="L267" s="16">
        <v>3475</v>
      </c>
      <c r="M267" s="15">
        <v>9939</v>
      </c>
      <c r="N267" s="14">
        <v>8895</v>
      </c>
      <c r="O267" s="13">
        <v>7485</v>
      </c>
    </row>
    <row r="268" spans="1:15" outlineLevel="1" x14ac:dyDescent="0.2">
      <c r="A268" s="20">
        <f t="shared" si="91"/>
        <v>9741</v>
      </c>
      <c r="B268" s="19" t="str">
        <f t="shared" si="91"/>
        <v>UTD</v>
      </c>
      <c r="C268" s="18"/>
      <c r="D268" s="15">
        <v>2314</v>
      </c>
      <c r="E268" s="21">
        <v>0.68299999999999994</v>
      </c>
      <c r="F268" s="14">
        <v>8822.2000000000007</v>
      </c>
      <c r="G268" s="13">
        <v>4904.1700000000228</v>
      </c>
      <c r="H268" s="15">
        <v>1994</v>
      </c>
      <c r="I268" s="15">
        <v>166</v>
      </c>
      <c r="J268" s="15">
        <v>424</v>
      </c>
      <c r="K268" s="13">
        <v>27</v>
      </c>
      <c r="L268" s="16">
        <v>1294</v>
      </c>
      <c r="M268" s="15">
        <v>3345</v>
      </c>
      <c r="N268" s="14">
        <v>2105</v>
      </c>
      <c r="O268" s="13">
        <v>1076</v>
      </c>
    </row>
    <row r="269" spans="1:15" outlineLevel="1" x14ac:dyDescent="0.2">
      <c r="A269" s="20">
        <f t="shared" si="91"/>
        <v>3661</v>
      </c>
      <c r="B269" s="19" t="str">
        <f t="shared" si="91"/>
        <v>UTEP</v>
      </c>
      <c r="C269" s="18"/>
      <c r="D269" s="15">
        <v>3008</v>
      </c>
      <c r="E269" s="21">
        <v>0.38400000000000001</v>
      </c>
      <c r="F269" s="14">
        <v>13376</v>
      </c>
      <c r="G269" s="13">
        <v>6142.7200000000885</v>
      </c>
      <c r="H269" s="15">
        <v>1071</v>
      </c>
      <c r="I269" s="15">
        <v>78</v>
      </c>
      <c r="J269" s="15">
        <v>613</v>
      </c>
      <c r="K269" s="13">
        <v>91</v>
      </c>
      <c r="L269" s="16">
        <v>2409</v>
      </c>
      <c r="M269" s="15">
        <v>4488</v>
      </c>
      <c r="N269" s="14">
        <v>3404</v>
      </c>
      <c r="O269" s="13">
        <v>1910</v>
      </c>
    </row>
    <row r="270" spans="1:15" outlineLevel="1" x14ac:dyDescent="0.2">
      <c r="A270" s="20">
        <f t="shared" si="91"/>
        <v>3599</v>
      </c>
      <c r="B270" s="19" t="str">
        <f t="shared" si="91"/>
        <v>UTPA</v>
      </c>
      <c r="C270" s="18"/>
      <c r="D270" s="15">
        <v>2658</v>
      </c>
      <c r="E270" s="21">
        <v>0.46399999999999997</v>
      </c>
      <c r="F270" s="14">
        <v>12499.266666666666</v>
      </c>
      <c r="G270" s="13">
        <v>5231.3300000001427</v>
      </c>
      <c r="H270" s="15">
        <v>818</v>
      </c>
      <c r="I270" s="15">
        <v>10</v>
      </c>
      <c r="J270" s="15">
        <v>534</v>
      </c>
      <c r="K270" s="13">
        <v>34</v>
      </c>
      <c r="L270" s="16">
        <v>2427</v>
      </c>
      <c r="M270" s="15">
        <v>4142</v>
      </c>
      <c r="N270" s="14">
        <v>3290</v>
      </c>
      <c r="O270" s="13">
        <v>1998</v>
      </c>
    </row>
    <row r="271" spans="1:15" outlineLevel="1" x14ac:dyDescent="0.2">
      <c r="A271" s="20">
        <f t="shared" si="91"/>
        <v>30646</v>
      </c>
      <c r="B271" s="19" t="str">
        <f t="shared" si="91"/>
        <v>UTB</v>
      </c>
      <c r="C271" s="18"/>
      <c r="D271" s="15">
        <v>1075</v>
      </c>
      <c r="E271" s="17">
        <v>0.55124653739612184</v>
      </c>
      <c r="F271" s="14">
        <v>3116.2</v>
      </c>
      <c r="G271" s="13">
        <v>2052.0600000000218</v>
      </c>
      <c r="H271" s="15">
        <v>205</v>
      </c>
      <c r="I271" s="15">
        <v>6</v>
      </c>
      <c r="J271" s="15">
        <v>132</v>
      </c>
      <c r="K271" s="13">
        <v>15</v>
      </c>
      <c r="L271" s="16">
        <v>916</v>
      </c>
      <c r="M271" s="15">
        <v>1359</v>
      </c>
      <c r="N271" s="14">
        <v>600</v>
      </c>
      <c r="O271" s="13">
        <v>131</v>
      </c>
    </row>
    <row r="272" spans="1:15" outlineLevel="1" x14ac:dyDescent="0.2">
      <c r="A272" s="20">
        <f t="shared" si="91"/>
        <v>9930</v>
      </c>
      <c r="B272" s="19" t="str">
        <f t="shared" si="91"/>
        <v>UTPB</v>
      </c>
      <c r="C272" s="18"/>
      <c r="D272" s="15">
        <v>541</v>
      </c>
      <c r="E272" s="21">
        <v>0.40700000000000003</v>
      </c>
      <c r="F272" s="14">
        <v>2416</v>
      </c>
      <c r="G272" s="13">
        <v>1005.1500000000051</v>
      </c>
      <c r="H272" s="15">
        <v>151</v>
      </c>
      <c r="I272" s="15">
        <v>0</v>
      </c>
      <c r="J272" s="15">
        <v>40</v>
      </c>
      <c r="K272" s="13">
        <v>10</v>
      </c>
      <c r="L272" s="16">
        <v>407</v>
      </c>
      <c r="M272" s="15">
        <v>908</v>
      </c>
      <c r="N272" s="14">
        <v>490</v>
      </c>
      <c r="O272" s="13">
        <v>191</v>
      </c>
    </row>
    <row r="273" spans="1:15" outlineLevel="1" x14ac:dyDescent="0.2">
      <c r="A273" s="20">
        <f t="shared" si="91"/>
        <v>10115</v>
      </c>
      <c r="B273" s="19" t="str">
        <f t="shared" si="91"/>
        <v>UTSA</v>
      </c>
      <c r="C273" s="18"/>
      <c r="D273" s="15">
        <v>4148</v>
      </c>
      <c r="E273" s="21">
        <v>0.39400000000000002</v>
      </c>
      <c r="F273" s="14">
        <v>20284.733333333334</v>
      </c>
      <c r="G273" s="13">
        <v>8398.8499999997166</v>
      </c>
      <c r="H273" s="15">
        <v>1007</v>
      </c>
      <c r="I273" s="15">
        <v>68</v>
      </c>
      <c r="J273" s="15">
        <v>394</v>
      </c>
      <c r="K273" s="13">
        <v>47</v>
      </c>
      <c r="L273" s="16">
        <v>3211</v>
      </c>
      <c r="M273" s="15">
        <v>6802</v>
      </c>
      <c r="N273" s="14">
        <v>4390</v>
      </c>
      <c r="O273" s="13">
        <v>2699</v>
      </c>
    </row>
    <row r="274" spans="1:15" outlineLevel="1" x14ac:dyDescent="0.2">
      <c r="A274" s="20">
        <f t="shared" si="91"/>
        <v>11163</v>
      </c>
      <c r="B274" s="19" t="str">
        <f t="shared" si="91"/>
        <v>UTT</v>
      </c>
      <c r="C274" s="18"/>
      <c r="D274" s="15">
        <v>1188</v>
      </c>
      <c r="E274" s="21">
        <v>0.53300000000000003</v>
      </c>
      <c r="F274" s="14">
        <v>4030.7333333333331</v>
      </c>
      <c r="G274" s="13">
        <v>2364.9800000000037</v>
      </c>
      <c r="H274" s="15">
        <v>448</v>
      </c>
      <c r="I274" s="15">
        <v>4</v>
      </c>
      <c r="J274" s="15">
        <v>366</v>
      </c>
      <c r="K274" s="13">
        <v>9</v>
      </c>
      <c r="L274" s="16">
        <v>939</v>
      </c>
      <c r="M274" s="15">
        <v>1496</v>
      </c>
      <c r="N274" s="14">
        <v>905</v>
      </c>
      <c r="O274" s="13">
        <v>401</v>
      </c>
    </row>
    <row r="275" spans="1:15" outlineLevel="1" x14ac:dyDescent="0.2">
      <c r="A275" s="20">
        <f t="shared" si="91"/>
        <v>3632</v>
      </c>
      <c r="B275" s="19" t="str">
        <f t="shared" si="91"/>
        <v>TAMU</v>
      </c>
      <c r="C275" s="18"/>
      <c r="D275" s="15">
        <v>8748</v>
      </c>
      <c r="E275" s="21">
        <v>0.84399999999999997</v>
      </c>
      <c r="F275" s="14">
        <v>34425.133333333331</v>
      </c>
      <c r="G275" s="13">
        <v>20060.050000001262</v>
      </c>
      <c r="H275" s="15">
        <v>2231</v>
      </c>
      <c r="I275" s="15">
        <v>739</v>
      </c>
      <c r="J275" s="15">
        <v>1775</v>
      </c>
      <c r="K275" s="13">
        <v>133</v>
      </c>
      <c r="L275" s="16">
        <v>3727</v>
      </c>
      <c r="M275" s="15">
        <v>9623</v>
      </c>
      <c r="N275" s="14">
        <v>8962</v>
      </c>
      <c r="O275" s="13">
        <v>6823</v>
      </c>
    </row>
    <row r="276" spans="1:15" outlineLevel="1" x14ac:dyDescent="0.2">
      <c r="A276" s="20">
        <f t="shared" si="91"/>
        <v>10298</v>
      </c>
      <c r="B276" s="19" t="str">
        <f t="shared" si="91"/>
        <v>TAMUG</v>
      </c>
      <c r="C276" s="18"/>
      <c r="D276" s="15">
        <v>250</v>
      </c>
      <c r="E276" s="21">
        <v>0.66400000000000003</v>
      </c>
      <c r="F276" s="14">
        <v>1668.1333333333334</v>
      </c>
      <c r="G276" s="13">
        <v>648.89999999999895</v>
      </c>
      <c r="H276" s="15">
        <v>9</v>
      </c>
      <c r="I276" s="15">
        <v>0</v>
      </c>
      <c r="J276" s="15">
        <v>35</v>
      </c>
      <c r="K276" s="13">
        <v>0</v>
      </c>
      <c r="L276" s="16">
        <v>151</v>
      </c>
      <c r="M276" s="15">
        <v>600</v>
      </c>
      <c r="N276" s="14">
        <v>336</v>
      </c>
      <c r="O276" s="13">
        <v>234</v>
      </c>
    </row>
    <row r="277" spans="1:15" outlineLevel="1" x14ac:dyDescent="0.2">
      <c r="A277" s="20">
        <f t="shared" si="91"/>
        <v>3630</v>
      </c>
      <c r="B277" s="19" t="str">
        <f t="shared" si="91"/>
        <v>Prairie View</v>
      </c>
      <c r="C277" s="18"/>
      <c r="D277" s="15">
        <v>904</v>
      </c>
      <c r="E277" s="21">
        <v>0.37</v>
      </c>
      <c r="F277" s="49">
        <v>6088.2666666666664</v>
      </c>
      <c r="G277" s="13">
        <v>1934.240000000003</v>
      </c>
      <c r="H277" s="15">
        <v>534</v>
      </c>
      <c r="I277" s="15">
        <v>15</v>
      </c>
      <c r="J277" s="15">
        <v>279</v>
      </c>
      <c r="K277" s="13">
        <v>10</v>
      </c>
      <c r="L277" s="16">
        <v>775</v>
      </c>
      <c r="M277" s="15">
        <v>1660</v>
      </c>
      <c r="N277" s="14">
        <v>1237</v>
      </c>
      <c r="O277" s="13">
        <v>905</v>
      </c>
    </row>
    <row r="278" spans="1:15" outlineLevel="1" x14ac:dyDescent="0.2">
      <c r="A278" s="20">
        <f t="shared" si="91"/>
        <v>3631</v>
      </c>
      <c r="B278" s="19" t="str">
        <f t="shared" si="91"/>
        <v>Tarleton</v>
      </c>
      <c r="C278" s="18"/>
      <c r="D278" s="15">
        <v>1552</v>
      </c>
      <c r="E278" s="21">
        <v>0.48299999999999998</v>
      </c>
      <c r="F278" s="49">
        <v>6264.4666666666662</v>
      </c>
      <c r="G278" s="13">
        <v>3063.9600000000341</v>
      </c>
      <c r="H278" s="15">
        <v>313</v>
      </c>
      <c r="I278" s="15">
        <v>12</v>
      </c>
      <c r="J278" s="15">
        <v>197</v>
      </c>
      <c r="K278" s="48">
        <v>56</v>
      </c>
      <c r="L278" s="16">
        <v>1196</v>
      </c>
      <c r="M278" s="50">
        <v>2096</v>
      </c>
      <c r="N278" s="49">
        <v>1464</v>
      </c>
      <c r="O278" s="48">
        <v>840</v>
      </c>
    </row>
    <row r="279" spans="1:15" outlineLevel="1" x14ac:dyDescent="0.2">
      <c r="A279" s="27">
        <f t="shared" si="91"/>
        <v>103631</v>
      </c>
      <c r="B279" s="19" t="str">
        <f t="shared" si="91"/>
        <v>TAMUCT</v>
      </c>
      <c r="C279" s="18"/>
      <c r="D279" s="15">
        <v>462</v>
      </c>
      <c r="E279" s="21">
        <v>0.48299999999999998</v>
      </c>
      <c r="F279" s="49">
        <v>700.66666666666663</v>
      </c>
      <c r="G279" s="13">
        <v>846.68000000000006</v>
      </c>
      <c r="H279" s="15">
        <v>221</v>
      </c>
      <c r="I279" s="15">
        <v>0</v>
      </c>
      <c r="J279" s="15">
        <v>36</v>
      </c>
      <c r="K279" s="48">
        <v>0</v>
      </c>
      <c r="L279" s="16">
        <v>330</v>
      </c>
      <c r="M279" s="50">
        <v>555</v>
      </c>
      <c r="N279" s="49">
        <v>143</v>
      </c>
      <c r="O279" s="48">
        <v>66</v>
      </c>
    </row>
    <row r="280" spans="1:15" outlineLevel="1" x14ac:dyDescent="0.2">
      <c r="A280" s="20">
        <f t="shared" si="91"/>
        <v>11161</v>
      </c>
      <c r="B280" s="19" t="str">
        <f t="shared" si="91"/>
        <v>TAMUCC</v>
      </c>
      <c r="C280" s="18"/>
      <c r="D280" s="15">
        <v>1315</v>
      </c>
      <c r="E280" s="21">
        <v>0.51100000000000001</v>
      </c>
      <c r="F280" s="49">
        <v>6609.8666666666668</v>
      </c>
      <c r="G280" s="13">
        <v>2639.1300000000101</v>
      </c>
      <c r="H280" s="15">
        <v>532</v>
      </c>
      <c r="I280" s="15">
        <v>30</v>
      </c>
      <c r="J280" s="15">
        <v>252</v>
      </c>
      <c r="K280" s="48">
        <v>25</v>
      </c>
      <c r="L280" s="16">
        <v>1034</v>
      </c>
      <c r="M280" s="15">
        <v>2126</v>
      </c>
      <c r="N280" s="14">
        <v>1577</v>
      </c>
      <c r="O280" s="13">
        <v>864</v>
      </c>
    </row>
    <row r="281" spans="1:15" outlineLevel="1" x14ac:dyDescent="0.2">
      <c r="A281" s="20">
        <f t="shared" si="91"/>
        <v>3639</v>
      </c>
      <c r="B281" s="19" t="str">
        <f t="shared" si="91"/>
        <v>TAMUK</v>
      </c>
      <c r="C281" s="18"/>
      <c r="D281" s="15">
        <v>738</v>
      </c>
      <c r="E281" s="21">
        <v>0.39799999999999996</v>
      </c>
      <c r="F281" s="49">
        <v>4394.2</v>
      </c>
      <c r="G281" s="13">
        <v>1735.8600000000065</v>
      </c>
      <c r="H281" s="15">
        <v>464</v>
      </c>
      <c r="I281" s="15">
        <v>22</v>
      </c>
      <c r="J281" s="15">
        <v>246</v>
      </c>
      <c r="K281" s="48">
        <v>16</v>
      </c>
      <c r="L281" s="16">
        <v>613</v>
      </c>
      <c r="M281" s="50">
        <v>1180</v>
      </c>
      <c r="N281" s="49">
        <v>879</v>
      </c>
      <c r="O281" s="48">
        <v>555</v>
      </c>
    </row>
    <row r="282" spans="1:15" outlineLevel="1" x14ac:dyDescent="0.2">
      <c r="A282" s="27">
        <f t="shared" ref="A282:B297" si="92">A240</f>
        <v>103639</v>
      </c>
      <c r="B282" s="19" t="str">
        <f t="shared" si="92"/>
        <v>TAMUSA</v>
      </c>
      <c r="C282" s="18"/>
      <c r="D282" s="15">
        <v>620</v>
      </c>
      <c r="E282" s="21">
        <v>0.39799999999999996</v>
      </c>
      <c r="F282" s="49">
        <v>1492.4</v>
      </c>
      <c r="G282" s="13">
        <v>1078.0000000000073</v>
      </c>
      <c r="H282" s="15">
        <v>187</v>
      </c>
      <c r="I282" s="15">
        <v>0</v>
      </c>
      <c r="J282" s="15">
        <v>1</v>
      </c>
      <c r="K282" s="48">
        <v>0</v>
      </c>
      <c r="L282" s="16">
        <v>520</v>
      </c>
      <c r="M282" s="50">
        <v>995</v>
      </c>
      <c r="N282" s="49">
        <v>37</v>
      </c>
      <c r="O282" s="48">
        <v>2</v>
      </c>
    </row>
    <row r="283" spans="1:15" outlineLevel="1" x14ac:dyDescent="0.2">
      <c r="A283" s="20">
        <f t="shared" si="92"/>
        <v>9651</v>
      </c>
      <c r="B283" s="19" t="str">
        <f t="shared" si="92"/>
        <v>TAMI</v>
      </c>
      <c r="C283" s="18"/>
      <c r="D283" s="15">
        <v>766</v>
      </c>
      <c r="E283" s="21">
        <v>0.503</v>
      </c>
      <c r="F283" s="14">
        <v>4126.8</v>
      </c>
      <c r="G283" s="13">
        <v>1400.4200000000046</v>
      </c>
      <c r="H283" s="15">
        <v>261</v>
      </c>
      <c r="I283" s="15">
        <v>2</v>
      </c>
      <c r="J283" s="15">
        <v>120</v>
      </c>
      <c r="K283" s="13">
        <v>18</v>
      </c>
      <c r="L283" s="16">
        <v>688</v>
      </c>
      <c r="M283" s="15">
        <v>1515</v>
      </c>
      <c r="N283" s="14">
        <v>1027</v>
      </c>
      <c r="O283" s="13">
        <v>486</v>
      </c>
    </row>
    <row r="284" spans="1:15" outlineLevel="1" x14ac:dyDescent="0.2">
      <c r="A284" s="20">
        <f t="shared" si="92"/>
        <v>3665</v>
      </c>
      <c r="B284" s="19" t="str">
        <f t="shared" si="92"/>
        <v>WTAMU</v>
      </c>
      <c r="C284" s="18"/>
      <c r="D284" s="15">
        <v>1294</v>
      </c>
      <c r="E284" s="21">
        <v>0.47399999999999998</v>
      </c>
      <c r="F284" s="14">
        <v>5457.666666666667</v>
      </c>
      <c r="G284" s="13">
        <v>2570.7800000000157</v>
      </c>
      <c r="H284" s="15">
        <v>320</v>
      </c>
      <c r="I284" s="15">
        <v>1</v>
      </c>
      <c r="J284" s="15">
        <v>184</v>
      </c>
      <c r="K284" s="13">
        <v>58</v>
      </c>
      <c r="L284" s="16">
        <v>913</v>
      </c>
      <c r="M284" s="15">
        <v>1871</v>
      </c>
      <c r="N284" s="14">
        <v>1264</v>
      </c>
      <c r="O284" s="13">
        <v>664</v>
      </c>
    </row>
    <row r="285" spans="1:15" outlineLevel="1" x14ac:dyDescent="0.2">
      <c r="A285" s="20">
        <f t="shared" si="92"/>
        <v>3565</v>
      </c>
      <c r="B285" s="19" t="str">
        <f t="shared" si="92"/>
        <v>TAMUC</v>
      </c>
      <c r="C285" s="18"/>
      <c r="D285" s="15">
        <v>1313</v>
      </c>
      <c r="E285" s="21">
        <v>0.42600000000000005</v>
      </c>
      <c r="F285" s="14">
        <v>4783.5333333333338</v>
      </c>
      <c r="G285" s="13">
        <v>2463.6900000000296</v>
      </c>
      <c r="H285" s="15">
        <v>1196</v>
      </c>
      <c r="I285" s="15">
        <v>51</v>
      </c>
      <c r="J285" s="15">
        <v>71</v>
      </c>
      <c r="K285" s="13">
        <v>77</v>
      </c>
      <c r="L285" s="16">
        <v>1002</v>
      </c>
      <c r="M285" s="15">
        <v>1911</v>
      </c>
      <c r="N285" s="14">
        <v>1200</v>
      </c>
      <c r="O285" s="13">
        <v>477</v>
      </c>
    </row>
    <row r="286" spans="1:15" outlineLevel="1" x14ac:dyDescent="0.2">
      <c r="A286" s="20">
        <f t="shared" si="92"/>
        <v>29269</v>
      </c>
      <c r="B286" s="19" t="str">
        <f t="shared" si="92"/>
        <v>TAMUT</v>
      </c>
      <c r="C286" s="18"/>
      <c r="D286" s="15">
        <v>335</v>
      </c>
      <c r="E286" s="17">
        <v>0.56028368794326244</v>
      </c>
      <c r="F286" s="14">
        <v>879.13333333333333</v>
      </c>
      <c r="G286" s="13">
        <v>609.83000000000015</v>
      </c>
      <c r="H286" s="15">
        <v>164</v>
      </c>
      <c r="I286" s="15">
        <v>0</v>
      </c>
      <c r="J286" s="15">
        <v>48</v>
      </c>
      <c r="K286" s="13">
        <v>18</v>
      </c>
      <c r="L286" s="16">
        <v>230</v>
      </c>
      <c r="M286" s="15">
        <v>411</v>
      </c>
      <c r="N286" s="14">
        <v>186</v>
      </c>
      <c r="O286" s="13">
        <v>1</v>
      </c>
    </row>
    <row r="287" spans="1:15" outlineLevel="1" x14ac:dyDescent="0.2">
      <c r="A287" s="20">
        <f t="shared" si="92"/>
        <v>3652</v>
      </c>
      <c r="B287" s="19" t="str">
        <f t="shared" si="92"/>
        <v>UH</v>
      </c>
      <c r="C287" s="18"/>
      <c r="D287" s="15">
        <v>5092</v>
      </c>
      <c r="E287" s="21">
        <v>0.54200000000000004</v>
      </c>
      <c r="F287" s="14">
        <v>23853.933333333334</v>
      </c>
      <c r="G287" s="13">
        <v>10569.339999999527</v>
      </c>
      <c r="H287" s="15">
        <v>1927</v>
      </c>
      <c r="I287" s="15">
        <v>816</v>
      </c>
      <c r="J287" s="15">
        <v>720</v>
      </c>
      <c r="K287" s="13">
        <v>74</v>
      </c>
      <c r="L287" s="16">
        <v>3340</v>
      </c>
      <c r="M287" s="15">
        <v>7467</v>
      </c>
      <c r="N287" s="14">
        <v>5804</v>
      </c>
      <c r="O287" s="13">
        <v>3314</v>
      </c>
    </row>
    <row r="288" spans="1:15" outlineLevel="1" x14ac:dyDescent="0.2">
      <c r="A288" s="20">
        <f t="shared" si="92"/>
        <v>11711</v>
      </c>
      <c r="B288" s="19" t="str">
        <f t="shared" si="92"/>
        <v>UHCL</v>
      </c>
      <c r="C288" s="18"/>
      <c r="D288" s="15">
        <v>1197</v>
      </c>
      <c r="E288" s="17">
        <v>0.53820033955857383</v>
      </c>
      <c r="F288" s="14">
        <v>3046.8</v>
      </c>
      <c r="G288" s="13">
        <v>2293.9500000000248</v>
      </c>
      <c r="H288" s="15">
        <v>1096</v>
      </c>
      <c r="I288" s="15">
        <v>9</v>
      </c>
      <c r="J288" s="15">
        <v>113</v>
      </c>
      <c r="K288" s="13">
        <v>8</v>
      </c>
      <c r="L288" s="16">
        <v>777</v>
      </c>
      <c r="M288" s="15">
        <v>1434</v>
      </c>
      <c r="N288" s="14">
        <v>959</v>
      </c>
      <c r="O288" s="13">
        <v>53</v>
      </c>
    </row>
    <row r="289" spans="1:15" outlineLevel="1" x14ac:dyDescent="0.2">
      <c r="A289" s="20">
        <f t="shared" si="92"/>
        <v>12826</v>
      </c>
      <c r="B289" s="19" t="str">
        <f t="shared" si="92"/>
        <v>UHD</v>
      </c>
      <c r="C289" s="18"/>
      <c r="D289" s="15">
        <v>2437</v>
      </c>
      <c r="E289" s="21">
        <v>0.215</v>
      </c>
      <c r="F289" s="14">
        <v>7949.2666666666664</v>
      </c>
      <c r="G289" s="13">
        <v>4368.2100000000464</v>
      </c>
      <c r="H289" s="15">
        <v>43</v>
      </c>
      <c r="I289" s="15">
        <v>0</v>
      </c>
      <c r="J289" s="15">
        <v>143</v>
      </c>
      <c r="K289" s="13">
        <v>0</v>
      </c>
      <c r="L289" s="16">
        <v>1730</v>
      </c>
      <c r="M289" s="15">
        <v>3223</v>
      </c>
      <c r="N289" s="14">
        <v>1896</v>
      </c>
      <c r="O289" s="13">
        <v>618</v>
      </c>
    </row>
    <row r="290" spans="1:15" outlineLevel="1" x14ac:dyDescent="0.2">
      <c r="A290" s="20">
        <f t="shared" si="92"/>
        <v>13231</v>
      </c>
      <c r="B290" s="19" t="str">
        <f t="shared" si="92"/>
        <v>UHV</v>
      </c>
      <c r="C290" s="18"/>
      <c r="D290" s="15">
        <v>596</v>
      </c>
      <c r="E290" s="17">
        <v>0.5339366515837104</v>
      </c>
      <c r="F290" s="14">
        <v>1494.2</v>
      </c>
      <c r="G290" s="13">
        <v>1103.6999999999998</v>
      </c>
      <c r="H290" s="15">
        <v>429</v>
      </c>
      <c r="I290" s="15">
        <v>0</v>
      </c>
      <c r="J290" s="15">
        <v>118</v>
      </c>
      <c r="K290" s="13">
        <v>11</v>
      </c>
      <c r="L290" s="16">
        <v>397</v>
      </c>
      <c r="M290" s="15">
        <v>718</v>
      </c>
      <c r="N290" s="14">
        <v>286</v>
      </c>
      <c r="O290" s="13">
        <v>6</v>
      </c>
    </row>
    <row r="291" spans="1:15" outlineLevel="1" x14ac:dyDescent="0.2">
      <c r="A291" s="20">
        <f t="shared" si="92"/>
        <v>3592</v>
      </c>
      <c r="B291" s="19" t="str">
        <f t="shared" si="92"/>
        <v>Midwestern</v>
      </c>
      <c r="C291" s="18"/>
      <c r="D291" s="15">
        <v>1027</v>
      </c>
      <c r="E291" s="21">
        <v>0.443</v>
      </c>
      <c r="F291" s="14">
        <v>4387.7333333333336</v>
      </c>
      <c r="G291" s="13">
        <v>1924.84</v>
      </c>
      <c r="H291" s="15">
        <v>204</v>
      </c>
      <c r="I291" s="15">
        <v>0</v>
      </c>
      <c r="J291" s="15">
        <v>340</v>
      </c>
      <c r="K291" s="13">
        <v>11</v>
      </c>
      <c r="L291" s="16">
        <v>675</v>
      </c>
      <c r="M291" s="15">
        <v>1507</v>
      </c>
      <c r="N291" s="14">
        <v>1079</v>
      </c>
      <c r="O291" s="13">
        <v>734</v>
      </c>
    </row>
    <row r="292" spans="1:15" outlineLevel="1" x14ac:dyDescent="0.2">
      <c r="A292" s="20">
        <f t="shared" si="92"/>
        <v>3594</v>
      </c>
      <c r="B292" s="19" t="str">
        <f t="shared" si="92"/>
        <v>UNT</v>
      </c>
      <c r="C292" s="18"/>
      <c r="D292" s="15">
        <v>6183</v>
      </c>
      <c r="E292" s="21">
        <v>0.58700000000000008</v>
      </c>
      <c r="F292" s="14">
        <v>23168.733333333334</v>
      </c>
      <c r="G292" s="13">
        <v>11731.089999999795</v>
      </c>
      <c r="H292" s="15">
        <v>1820</v>
      </c>
      <c r="I292" s="15">
        <v>217</v>
      </c>
      <c r="J292" s="15">
        <v>345</v>
      </c>
      <c r="K292" s="13">
        <v>47</v>
      </c>
      <c r="L292" s="16">
        <v>3942</v>
      </c>
      <c r="M292" s="15">
        <v>7957</v>
      </c>
      <c r="N292" s="14">
        <v>5891</v>
      </c>
      <c r="O292" s="13">
        <v>3310</v>
      </c>
    </row>
    <row r="293" spans="1:15" outlineLevel="1" x14ac:dyDescent="0.2">
      <c r="A293" s="27">
        <f t="shared" si="92"/>
        <v>113594</v>
      </c>
      <c r="B293" s="19" t="str">
        <f t="shared" si="92"/>
        <v>UNTD</v>
      </c>
      <c r="C293" s="18"/>
      <c r="D293" s="30">
        <v>388</v>
      </c>
      <c r="E293" s="47">
        <v>0.58700000000000008</v>
      </c>
      <c r="F293" s="29">
        <v>908.8</v>
      </c>
      <c r="G293" s="28">
        <v>669.60000000000036</v>
      </c>
      <c r="H293" s="30">
        <v>0</v>
      </c>
      <c r="I293" s="30">
        <v>0</v>
      </c>
      <c r="J293" s="30">
        <v>10</v>
      </c>
      <c r="K293" s="28"/>
      <c r="L293" s="46">
        <v>304</v>
      </c>
      <c r="M293" s="30">
        <v>487</v>
      </c>
      <c r="N293" s="29">
        <v>63</v>
      </c>
      <c r="O293" s="28">
        <v>18</v>
      </c>
    </row>
    <row r="294" spans="1:15" outlineLevel="1" x14ac:dyDescent="0.2">
      <c r="A294" s="20">
        <f t="shared" si="92"/>
        <v>3624</v>
      </c>
      <c r="B294" s="19" t="str">
        <f t="shared" si="92"/>
        <v>SFA</v>
      </c>
      <c r="C294" s="18"/>
      <c r="D294" s="15">
        <v>1880</v>
      </c>
      <c r="E294" s="21">
        <v>0.53900000000000003</v>
      </c>
      <c r="F294" s="14">
        <v>9440.9333333333325</v>
      </c>
      <c r="G294" s="13">
        <v>3606.8600000000297</v>
      </c>
      <c r="H294" s="15">
        <v>435</v>
      </c>
      <c r="I294" s="15">
        <v>13</v>
      </c>
      <c r="J294" s="15">
        <v>241</v>
      </c>
      <c r="K294" s="13">
        <v>49</v>
      </c>
      <c r="L294" s="16">
        <v>1446</v>
      </c>
      <c r="M294" s="15">
        <v>3040</v>
      </c>
      <c r="N294" s="14">
        <v>2166</v>
      </c>
      <c r="O294" s="13">
        <v>1402</v>
      </c>
    </row>
    <row r="295" spans="1:15" outlineLevel="1" x14ac:dyDescent="0.2">
      <c r="A295" s="20">
        <f t="shared" si="92"/>
        <v>3642</v>
      </c>
      <c r="B295" s="19" t="str">
        <f t="shared" si="92"/>
        <v>TSU</v>
      </c>
      <c r="C295" s="18"/>
      <c r="D295" s="15">
        <v>721</v>
      </c>
      <c r="E295" s="21">
        <v>0.14099999999999999</v>
      </c>
      <c r="F295" s="14">
        <v>5912.8</v>
      </c>
      <c r="G295" s="13">
        <v>1385.6100000000063</v>
      </c>
      <c r="H295" s="15">
        <v>261</v>
      </c>
      <c r="I295" s="15">
        <v>295</v>
      </c>
      <c r="J295" s="15">
        <v>122</v>
      </c>
      <c r="K295" s="13">
        <v>2</v>
      </c>
      <c r="L295" s="16">
        <v>635</v>
      </c>
      <c r="M295" s="15">
        <v>1692</v>
      </c>
      <c r="N295" s="14">
        <v>1274</v>
      </c>
      <c r="O295" s="13">
        <v>870</v>
      </c>
    </row>
    <row r="296" spans="1:15" outlineLevel="1" x14ac:dyDescent="0.2">
      <c r="A296" s="20">
        <f t="shared" si="92"/>
        <v>3644</v>
      </c>
      <c r="B296" s="19" t="str">
        <f t="shared" si="92"/>
        <v>TTU</v>
      </c>
      <c r="C296" s="18"/>
      <c r="D296" s="15">
        <v>4605</v>
      </c>
      <c r="E296" s="21">
        <v>0.7320000000000001</v>
      </c>
      <c r="F296" s="14">
        <v>22527.466666666667</v>
      </c>
      <c r="G296" s="13">
        <v>9815.7899999997753</v>
      </c>
      <c r="H296" s="15">
        <v>1300</v>
      </c>
      <c r="I296" s="15">
        <v>464</v>
      </c>
      <c r="J296" s="15">
        <v>687</v>
      </c>
      <c r="K296" s="13">
        <v>62</v>
      </c>
      <c r="L296" s="16">
        <v>2724</v>
      </c>
      <c r="M296" s="15">
        <v>6577</v>
      </c>
      <c r="N296" s="14">
        <v>5355</v>
      </c>
      <c r="O296" s="13">
        <v>3957</v>
      </c>
    </row>
    <row r="297" spans="1:15" outlineLevel="1" x14ac:dyDescent="0.2">
      <c r="A297" s="20">
        <f t="shared" si="92"/>
        <v>3541</v>
      </c>
      <c r="B297" s="19" t="str">
        <f t="shared" si="92"/>
        <v>Angelo</v>
      </c>
      <c r="C297" s="18"/>
      <c r="D297" s="15">
        <v>960</v>
      </c>
      <c r="E297" s="21">
        <v>0.441</v>
      </c>
      <c r="F297" s="14">
        <v>4895.666666666667</v>
      </c>
      <c r="G297" s="13">
        <v>1856.9499999999953</v>
      </c>
      <c r="H297" s="15">
        <v>187</v>
      </c>
      <c r="I297" s="15">
        <v>0</v>
      </c>
      <c r="J297" s="15">
        <v>242</v>
      </c>
      <c r="K297" s="13">
        <v>21</v>
      </c>
      <c r="L297" s="16">
        <v>720</v>
      </c>
      <c r="M297" s="15">
        <v>1444</v>
      </c>
      <c r="N297" s="14">
        <v>1071</v>
      </c>
      <c r="O297" s="13">
        <v>708</v>
      </c>
    </row>
    <row r="298" spans="1:15" outlineLevel="1" x14ac:dyDescent="0.2">
      <c r="A298" s="20">
        <f t="shared" ref="A298:B303" si="93">A256</f>
        <v>3646</v>
      </c>
      <c r="B298" s="19" t="str">
        <f t="shared" si="93"/>
        <v>TWU</v>
      </c>
      <c r="C298" s="18"/>
      <c r="D298" s="15">
        <v>1725</v>
      </c>
      <c r="E298" s="21">
        <v>0.48399999999999999</v>
      </c>
      <c r="F298" s="14">
        <v>6598.2</v>
      </c>
      <c r="G298" s="13">
        <v>3227.0100000000139</v>
      </c>
      <c r="H298" s="15">
        <v>1606</v>
      </c>
      <c r="I298" s="15">
        <v>219</v>
      </c>
      <c r="J298" s="15">
        <v>523</v>
      </c>
      <c r="K298" s="13">
        <v>34</v>
      </c>
      <c r="L298" s="16">
        <v>1201</v>
      </c>
      <c r="M298" s="15">
        <v>2121</v>
      </c>
      <c r="N298" s="14">
        <v>1259</v>
      </c>
      <c r="O298" s="13">
        <v>608</v>
      </c>
    </row>
    <row r="299" spans="1:15" outlineLevel="1" x14ac:dyDescent="0.2">
      <c r="A299" s="20">
        <f t="shared" si="93"/>
        <v>3581</v>
      </c>
      <c r="B299" s="19" t="str">
        <f t="shared" si="93"/>
        <v>Lamar</v>
      </c>
      <c r="C299" s="18"/>
      <c r="D299" s="15">
        <v>1340</v>
      </c>
      <c r="E299" s="21">
        <v>0.35399999999999998</v>
      </c>
      <c r="F299" s="14">
        <v>7247.8</v>
      </c>
      <c r="G299" s="13">
        <v>2695.0800000000122</v>
      </c>
      <c r="H299" s="15">
        <v>2313</v>
      </c>
      <c r="I299" s="15">
        <v>32</v>
      </c>
      <c r="J299" s="15">
        <v>358</v>
      </c>
      <c r="K299" s="13">
        <v>16</v>
      </c>
      <c r="L299" s="16">
        <v>943</v>
      </c>
      <c r="M299" s="15">
        <v>2317</v>
      </c>
      <c r="N299" s="14">
        <v>1577</v>
      </c>
      <c r="O299" s="13">
        <v>1000</v>
      </c>
    </row>
    <row r="300" spans="1:15" outlineLevel="1" x14ac:dyDescent="0.2">
      <c r="A300" s="20">
        <f t="shared" si="93"/>
        <v>3606</v>
      </c>
      <c r="B300" s="19" t="str">
        <f t="shared" si="93"/>
        <v>SHSU</v>
      </c>
      <c r="C300" s="18"/>
      <c r="D300" s="15">
        <v>3013</v>
      </c>
      <c r="E300" s="21">
        <v>0.60299999999999998</v>
      </c>
      <c r="F300" s="14">
        <v>12631.666666666666</v>
      </c>
      <c r="G300" s="13">
        <v>5628.5800000000427</v>
      </c>
      <c r="H300" s="15">
        <v>875</v>
      </c>
      <c r="I300" s="15">
        <v>43</v>
      </c>
      <c r="J300" s="15">
        <v>166</v>
      </c>
      <c r="K300" s="13">
        <v>63</v>
      </c>
      <c r="L300" s="16">
        <v>2160</v>
      </c>
      <c r="M300" s="15">
        <v>3940</v>
      </c>
      <c r="N300" s="14">
        <v>2970</v>
      </c>
      <c r="O300" s="13">
        <v>1716</v>
      </c>
    </row>
    <row r="301" spans="1:15" outlineLevel="1" x14ac:dyDescent="0.2">
      <c r="A301" s="20">
        <f t="shared" si="93"/>
        <v>3615</v>
      </c>
      <c r="B301" s="19" t="str">
        <f t="shared" si="93"/>
        <v>TXST</v>
      </c>
      <c r="C301" s="18"/>
      <c r="D301" s="15">
        <v>5349</v>
      </c>
      <c r="E301" s="21">
        <v>0.6409999999999999</v>
      </c>
      <c r="F301" s="14">
        <v>22917.933333333334</v>
      </c>
      <c r="G301" s="13">
        <v>10250.389999999717</v>
      </c>
      <c r="H301" s="15">
        <v>1339</v>
      </c>
      <c r="I301" s="15">
        <v>64</v>
      </c>
      <c r="J301" s="15">
        <v>445</v>
      </c>
      <c r="K301" s="13">
        <v>65</v>
      </c>
      <c r="L301" s="16">
        <v>3665</v>
      </c>
      <c r="M301" s="15">
        <v>7685</v>
      </c>
      <c r="N301" s="14">
        <v>5748</v>
      </c>
      <c r="O301" s="13">
        <v>3317</v>
      </c>
    </row>
    <row r="302" spans="1:15" outlineLevel="1" x14ac:dyDescent="0.2">
      <c r="A302" s="20">
        <f t="shared" si="93"/>
        <v>3625</v>
      </c>
      <c r="B302" s="19" t="str">
        <f t="shared" si="93"/>
        <v>SRSU</v>
      </c>
      <c r="C302" s="18"/>
      <c r="D302" s="15">
        <v>196</v>
      </c>
      <c r="E302" s="21">
        <v>0.29199999999999998</v>
      </c>
      <c r="F302" s="14">
        <v>1200.1333333333334</v>
      </c>
      <c r="G302" s="13">
        <v>405.49999999999949</v>
      </c>
      <c r="H302" s="15">
        <v>173</v>
      </c>
      <c r="I302" s="15">
        <v>0</v>
      </c>
      <c r="J302" s="15">
        <v>18</v>
      </c>
      <c r="K302" s="13">
        <v>4</v>
      </c>
      <c r="L302" s="16">
        <v>166</v>
      </c>
      <c r="M302" s="15">
        <v>298</v>
      </c>
      <c r="N302" s="14">
        <v>217</v>
      </c>
      <c r="O302" s="13">
        <v>136</v>
      </c>
    </row>
    <row r="303" spans="1:15" outlineLevel="1" x14ac:dyDescent="0.2">
      <c r="A303" s="20">
        <f t="shared" si="93"/>
        <v>20</v>
      </c>
      <c r="B303" s="19" t="str">
        <f t="shared" si="93"/>
        <v>SRRG</v>
      </c>
      <c r="C303" s="18"/>
      <c r="D303" s="15">
        <v>163</v>
      </c>
      <c r="E303" s="17">
        <v>0.33750000000000002</v>
      </c>
      <c r="F303" s="14">
        <v>472.13333333333333</v>
      </c>
      <c r="G303" s="13">
        <v>281.52999999999975</v>
      </c>
      <c r="H303" s="15">
        <v>36</v>
      </c>
      <c r="I303" s="15">
        <v>0</v>
      </c>
      <c r="J303" s="15">
        <v>5</v>
      </c>
      <c r="K303" s="13">
        <v>7</v>
      </c>
      <c r="L303" s="16">
        <v>145</v>
      </c>
      <c r="M303" s="15">
        <v>224</v>
      </c>
      <c r="N303" s="14">
        <v>97</v>
      </c>
      <c r="O303" s="13">
        <v>2</v>
      </c>
    </row>
    <row r="304" spans="1:15" ht="13.5" outlineLevel="1" thickBot="1" x14ac:dyDescent="0.25">
      <c r="A304" s="12"/>
      <c r="B304" s="11" t="s">
        <v>11</v>
      </c>
      <c r="C304" s="10"/>
      <c r="D304" s="9">
        <f>SUM(D266:D303)</f>
        <v>84231</v>
      </c>
      <c r="E304" s="8">
        <v>0.58399999999999996</v>
      </c>
      <c r="F304" s="7">
        <f t="shared" ref="F304:O304" si="94">SUM(F266:F303)</f>
        <v>351171.46666666673</v>
      </c>
      <c r="G304" s="3">
        <f t="shared" si="94"/>
        <v>170914.74000000223</v>
      </c>
      <c r="H304" s="5">
        <f t="shared" si="94"/>
        <v>31573</v>
      </c>
      <c r="I304" s="5">
        <f t="shared" si="94"/>
        <v>4855</v>
      </c>
      <c r="J304" s="5">
        <f t="shared" si="94"/>
        <v>13857</v>
      </c>
      <c r="K304" s="3">
        <f t="shared" si="94"/>
        <v>1204</v>
      </c>
      <c r="L304" s="6">
        <f t="shared" si="94"/>
        <v>54385</v>
      </c>
      <c r="M304" s="5">
        <f t="shared" si="94"/>
        <v>116139</v>
      </c>
      <c r="N304" s="4">
        <f t="shared" si="94"/>
        <v>84006</v>
      </c>
      <c r="O304" s="3">
        <f t="shared" si="94"/>
        <v>51310</v>
      </c>
    </row>
    <row r="305" spans="1:17" ht="13.5" thickBot="1" x14ac:dyDescent="0.25">
      <c r="A305" s="45" t="s">
        <v>25</v>
      </c>
      <c r="B305" s="45"/>
      <c r="C305" s="45"/>
      <c r="D305" s="45"/>
      <c r="F305" s="45"/>
      <c r="L305" s="45"/>
    </row>
    <row r="306" spans="1:17" ht="12.75" customHeight="1" outlineLevel="1" x14ac:dyDescent="0.2">
      <c r="A306" s="177" t="s">
        <v>24</v>
      </c>
      <c r="B306" s="179" t="s">
        <v>23</v>
      </c>
      <c r="C306" s="181"/>
      <c r="D306" s="210" t="s">
        <v>22</v>
      </c>
      <c r="E306" s="205" t="s">
        <v>21</v>
      </c>
      <c r="F306" s="179" t="s">
        <v>20</v>
      </c>
      <c r="G306" s="201" t="s">
        <v>19</v>
      </c>
      <c r="H306" s="203" t="str">
        <f>H3</f>
        <v>Master's</v>
      </c>
      <c r="I306" s="203" t="str">
        <f>I3</f>
        <v>Doctoral and Professional Practice</v>
      </c>
      <c r="J306" s="203" t="s">
        <v>18</v>
      </c>
      <c r="K306" s="195" t="s">
        <v>17</v>
      </c>
      <c r="L306" s="197" t="s">
        <v>16</v>
      </c>
      <c r="M306" s="199" t="s">
        <v>15</v>
      </c>
      <c r="N306" s="200"/>
      <c r="O306" s="200"/>
    </row>
    <row r="307" spans="1:17" s="41" customFormat="1" ht="39.75" customHeight="1" outlineLevel="1" thickBot="1" x14ac:dyDescent="0.25">
      <c r="A307" s="178"/>
      <c r="B307" s="180"/>
      <c r="C307" s="182"/>
      <c r="D307" s="211"/>
      <c r="E307" s="206"/>
      <c r="F307" s="180"/>
      <c r="G307" s="202"/>
      <c r="H307" s="204"/>
      <c r="I307" s="204"/>
      <c r="J307" s="204"/>
      <c r="K307" s="196"/>
      <c r="L307" s="198"/>
      <c r="M307" s="44" t="s">
        <v>14</v>
      </c>
      <c r="N307" s="43" t="s">
        <v>13</v>
      </c>
      <c r="O307" s="42" t="s">
        <v>12</v>
      </c>
    </row>
    <row r="308" spans="1:17" outlineLevel="1" x14ac:dyDescent="0.2">
      <c r="A308" s="40">
        <f t="shared" ref="A308:B323" si="95">A266</f>
        <v>3656</v>
      </c>
      <c r="B308" s="39" t="str">
        <f t="shared" si="95"/>
        <v>UTA</v>
      </c>
      <c r="C308" s="38"/>
      <c r="D308" s="33">
        <v>4178</v>
      </c>
      <c r="E308" s="37">
        <v>0.50700000000000001</v>
      </c>
      <c r="F308" s="32">
        <v>15698.133333333333</v>
      </c>
      <c r="G308" s="31">
        <v>8640.2399999998797</v>
      </c>
      <c r="H308" s="36">
        <v>1860</v>
      </c>
      <c r="I308" s="36">
        <v>127</v>
      </c>
      <c r="J308" s="36">
        <v>834</v>
      </c>
      <c r="K308" s="35">
        <v>36</v>
      </c>
      <c r="L308" s="34">
        <v>2662</v>
      </c>
      <c r="M308" s="33">
        <v>6630</v>
      </c>
      <c r="N308" s="32">
        <v>3636</v>
      </c>
      <c r="O308" s="31">
        <v>1724</v>
      </c>
    </row>
    <row r="309" spans="1:17" outlineLevel="1" x14ac:dyDescent="0.2">
      <c r="A309" s="20">
        <f t="shared" si="95"/>
        <v>3658</v>
      </c>
      <c r="B309" s="19" t="str">
        <f t="shared" si="95"/>
        <v>UT</v>
      </c>
      <c r="C309" s="18"/>
      <c r="D309" s="15">
        <v>8952</v>
      </c>
      <c r="E309" s="21">
        <v>0.82899999999999996</v>
      </c>
      <c r="F309" s="14">
        <v>33736.73333333333</v>
      </c>
      <c r="G309" s="13">
        <v>19230.319999999745</v>
      </c>
      <c r="H309" s="15">
        <v>2901</v>
      </c>
      <c r="I309" s="15">
        <v>1362</v>
      </c>
      <c r="J309" s="15">
        <v>1754</v>
      </c>
      <c r="K309" s="13">
        <v>55</v>
      </c>
      <c r="L309" s="16">
        <v>3435</v>
      </c>
      <c r="M309" s="15">
        <v>9596</v>
      </c>
      <c r="N309" s="14">
        <v>9749</v>
      </c>
      <c r="O309" s="13">
        <v>7288</v>
      </c>
      <c r="Q309" s="2"/>
    </row>
    <row r="310" spans="1:17" outlineLevel="1" x14ac:dyDescent="0.2">
      <c r="A310" s="20">
        <f t="shared" si="95"/>
        <v>9741</v>
      </c>
      <c r="B310" s="19" t="str">
        <f t="shared" si="95"/>
        <v>UTD</v>
      </c>
      <c r="C310" s="18"/>
      <c r="D310" s="15">
        <v>2355</v>
      </c>
      <c r="E310" s="21">
        <v>0.70699999999999996</v>
      </c>
      <c r="F310" s="14">
        <v>8108.8666666666668</v>
      </c>
      <c r="G310" s="13">
        <v>4955.5700000000443</v>
      </c>
      <c r="H310" s="15">
        <v>1805</v>
      </c>
      <c r="I310" s="15">
        <v>203</v>
      </c>
      <c r="J310" s="15">
        <v>392</v>
      </c>
      <c r="K310" s="13">
        <v>36</v>
      </c>
      <c r="L310" s="16">
        <v>1255</v>
      </c>
      <c r="M310" s="15">
        <v>3078</v>
      </c>
      <c r="N310" s="14">
        <v>1950</v>
      </c>
      <c r="O310" s="13">
        <v>923</v>
      </c>
      <c r="Q310" s="2"/>
    </row>
    <row r="311" spans="1:17" outlineLevel="1" x14ac:dyDescent="0.2">
      <c r="A311" s="20">
        <f t="shared" si="95"/>
        <v>3661</v>
      </c>
      <c r="B311" s="19" t="str">
        <f t="shared" si="95"/>
        <v>UTEP</v>
      </c>
      <c r="C311" s="18"/>
      <c r="D311" s="15">
        <v>3031</v>
      </c>
      <c r="E311" s="21">
        <v>0.374</v>
      </c>
      <c r="F311" s="14">
        <v>12791.933333333332</v>
      </c>
      <c r="G311" s="13">
        <v>6295.4500000000389</v>
      </c>
      <c r="H311" s="15">
        <v>888</v>
      </c>
      <c r="I311" s="15">
        <v>54</v>
      </c>
      <c r="J311" s="15">
        <v>709</v>
      </c>
      <c r="K311" s="13">
        <v>93</v>
      </c>
      <c r="L311" s="16">
        <v>2394</v>
      </c>
      <c r="M311" s="15">
        <v>4200</v>
      </c>
      <c r="N311" s="14">
        <v>3366</v>
      </c>
      <c r="O311" s="13">
        <v>1972</v>
      </c>
      <c r="Q311" s="2"/>
    </row>
    <row r="312" spans="1:17" outlineLevel="1" x14ac:dyDescent="0.2">
      <c r="A312" s="20">
        <f t="shared" si="95"/>
        <v>3599</v>
      </c>
      <c r="B312" s="19" t="str">
        <f t="shared" si="95"/>
        <v>UTPA</v>
      </c>
      <c r="C312" s="18"/>
      <c r="D312" s="15">
        <v>2620</v>
      </c>
      <c r="E312" s="21">
        <v>0.38900000000000001</v>
      </c>
      <c r="F312" s="14">
        <v>12572.333333333334</v>
      </c>
      <c r="G312" s="13">
        <v>5170.8900000000631</v>
      </c>
      <c r="H312" s="15">
        <v>643</v>
      </c>
      <c r="I312" s="15">
        <v>9</v>
      </c>
      <c r="J312" s="15">
        <v>480</v>
      </c>
      <c r="K312" s="13">
        <v>31</v>
      </c>
      <c r="L312" s="16">
        <v>2341</v>
      </c>
      <c r="M312" s="15">
        <v>4354</v>
      </c>
      <c r="N312" s="14">
        <v>3136</v>
      </c>
      <c r="O312" s="13">
        <v>1924</v>
      </c>
      <c r="Q312" s="2"/>
    </row>
    <row r="313" spans="1:17" outlineLevel="1" x14ac:dyDescent="0.2">
      <c r="A313" s="20">
        <f t="shared" si="95"/>
        <v>30646</v>
      </c>
      <c r="B313" s="19" t="str">
        <f t="shared" si="95"/>
        <v>UTB</v>
      </c>
      <c r="C313" s="18"/>
      <c r="D313" s="15">
        <v>1052</v>
      </c>
      <c r="E313" s="17">
        <v>0.64666666666666661</v>
      </c>
      <c r="F313" s="14">
        <v>2989.6</v>
      </c>
      <c r="G313" s="13">
        <v>2005.0100000000309</v>
      </c>
      <c r="H313" s="15">
        <v>201</v>
      </c>
      <c r="I313" s="15">
        <v>0</v>
      </c>
      <c r="J313" s="15">
        <v>108</v>
      </c>
      <c r="K313" s="13">
        <v>19</v>
      </c>
      <c r="L313" s="16">
        <v>916</v>
      </c>
      <c r="M313" s="15">
        <v>1377</v>
      </c>
      <c r="N313" s="14">
        <v>583</v>
      </c>
      <c r="O313" s="13">
        <v>72</v>
      </c>
      <c r="Q313" s="2"/>
    </row>
    <row r="314" spans="1:17" outlineLevel="1" x14ac:dyDescent="0.2">
      <c r="A314" s="20">
        <f t="shared" si="95"/>
        <v>9930</v>
      </c>
      <c r="B314" s="19" t="str">
        <f t="shared" si="95"/>
        <v>UTPB</v>
      </c>
      <c r="C314" s="18"/>
      <c r="D314" s="15">
        <v>513</v>
      </c>
      <c r="E314" s="21">
        <v>0.44600000000000001</v>
      </c>
      <c r="F314" s="14">
        <v>2159.6</v>
      </c>
      <c r="G314" s="13">
        <v>944.74000000001092</v>
      </c>
      <c r="H314" s="15">
        <v>169</v>
      </c>
      <c r="I314" s="15">
        <v>0</v>
      </c>
      <c r="J314" s="15">
        <v>33</v>
      </c>
      <c r="K314" s="13">
        <v>13</v>
      </c>
      <c r="L314" s="16">
        <v>379</v>
      </c>
      <c r="M314" s="15">
        <v>707</v>
      </c>
      <c r="N314" s="14">
        <v>450</v>
      </c>
      <c r="O314" s="13">
        <v>182</v>
      </c>
      <c r="Q314" s="2"/>
    </row>
    <row r="315" spans="1:17" outlineLevel="1" x14ac:dyDescent="0.2">
      <c r="A315" s="20">
        <f t="shared" si="95"/>
        <v>10115</v>
      </c>
      <c r="B315" s="19" t="str">
        <f t="shared" si="95"/>
        <v>UTSA</v>
      </c>
      <c r="C315" s="18"/>
      <c r="D315" s="15">
        <v>3968</v>
      </c>
      <c r="E315" s="21">
        <v>0.44</v>
      </c>
      <c r="F315" s="14">
        <v>19707.533333333333</v>
      </c>
      <c r="G315" s="13">
        <v>8107.0899999997582</v>
      </c>
      <c r="H315" s="15">
        <v>911</v>
      </c>
      <c r="I315" s="15">
        <v>60</v>
      </c>
      <c r="J315" s="15">
        <v>375</v>
      </c>
      <c r="K315" s="13">
        <v>39</v>
      </c>
      <c r="L315" s="16">
        <v>2956</v>
      </c>
      <c r="M315" s="15">
        <v>6812</v>
      </c>
      <c r="N315" s="14">
        <v>4615</v>
      </c>
      <c r="O315" s="13">
        <v>2588</v>
      </c>
      <c r="Q315" s="2"/>
    </row>
    <row r="316" spans="1:17" outlineLevel="1" x14ac:dyDescent="0.2">
      <c r="A316" s="20">
        <f t="shared" si="95"/>
        <v>11163</v>
      </c>
      <c r="B316" s="19" t="str">
        <f t="shared" si="95"/>
        <v>UTT</v>
      </c>
      <c r="C316" s="18"/>
      <c r="D316" s="15">
        <v>1238</v>
      </c>
      <c r="E316" s="21">
        <v>0.496</v>
      </c>
      <c r="F316" s="14">
        <v>4085.2666666666669</v>
      </c>
      <c r="G316" s="13">
        <v>2459.1300000000315</v>
      </c>
      <c r="H316" s="15">
        <v>271</v>
      </c>
      <c r="I316" s="15">
        <v>0</v>
      </c>
      <c r="J316" s="15">
        <v>372</v>
      </c>
      <c r="K316" s="13">
        <v>10</v>
      </c>
      <c r="L316" s="16">
        <v>1002</v>
      </c>
      <c r="M316" s="15">
        <v>1404</v>
      </c>
      <c r="N316" s="14">
        <v>921</v>
      </c>
      <c r="O316" s="13">
        <v>378</v>
      </c>
      <c r="Q316" s="2"/>
    </row>
    <row r="317" spans="1:17" outlineLevel="1" x14ac:dyDescent="0.2">
      <c r="A317" s="20">
        <f t="shared" si="95"/>
        <v>3632</v>
      </c>
      <c r="B317" s="19" t="str">
        <f t="shared" si="95"/>
        <v>TAMU</v>
      </c>
      <c r="C317" s="18"/>
      <c r="D317" s="15">
        <v>8451</v>
      </c>
      <c r="E317" s="21">
        <v>0.83599999999999997</v>
      </c>
      <c r="F317" s="14">
        <v>34329.199999999997</v>
      </c>
      <c r="G317" s="13">
        <v>19146.209999999159</v>
      </c>
      <c r="H317" s="15">
        <v>2051</v>
      </c>
      <c r="I317" s="15">
        <v>703</v>
      </c>
      <c r="J317" s="15">
        <v>1580</v>
      </c>
      <c r="K317" s="13">
        <v>108</v>
      </c>
      <c r="L317" s="16">
        <v>3530</v>
      </c>
      <c r="M317" s="15">
        <v>10012</v>
      </c>
      <c r="N317" s="14">
        <v>8836</v>
      </c>
      <c r="O317" s="13">
        <v>6932</v>
      </c>
      <c r="Q317" s="2"/>
    </row>
    <row r="318" spans="1:17" outlineLevel="1" x14ac:dyDescent="0.2">
      <c r="A318" s="20">
        <f t="shared" si="95"/>
        <v>10298</v>
      </c>
      <c r="B318" s="19" t="str">
        <f t="shared" si="95"/>
        <v>TAMUG</v>
      </c>
      <c r="C318" s="18"/>
      <c r="D318" s="15">
        <v>262</v>
      </c>
      <c r="E318" s="21">
        <v>0.59199999999999997</v>
      </c>
      <c r="F318" s="14">
        <v>1599.2</v>
      </c>
      <c r="G318" s="13">
        <v>636.84000000000231</v>
      </c>
      <c r="H318" s="15">
        <v>12</v>
      </c>
      <c r="I318" s="15">
        <v>0</v>
      </c>
      <c r="J318" s="15">
        <v>31</v>
      </c>
      <c r="K318" s="13">
        <v>0</v>
      </c>
      <c r="L318" s="16">
        <v>137</v>
      </c>
      <c r="M318" s="15">
        <v>570</v>
      </c>
      <c r="N318" s="14">
        <v>322</v>
      </c>
      <c r="O318" s="13">
        <v>241</v>
      </c>
      <c r="Q318" s="2"/>
    </row>
    <row r="319" spans="1:17" outlineLevel="1" x14ac:dyDescent="0.2">
      <c r="A319" s="20">
        <f t="shared" si="95"/>
        <v>3630</v>
      </c>
      <c r="B319" s="19" t="str">
        <f t="shared" si="95"/>
        <v>Prairie View</v>
      </c>
      <c r="C319" s="18"/>
      <c r="D319" s="15">
        <v>879</v>
      </c>
      <c r="E319" s="21">
        <v>0.34200000000000003</v>
      </c>
      <c r="F319" s="14">
        <v>5840.8</v>
      </c>
      <c r="G319" s="13">
        <v>1995.4900000000189</v>
      </c>
      <c r="H319" s="15">
        <v>552</v>
      </c>
      <c r="I319" s="15">
        <v>8</v>
      </c>
      <c r="J319" s="15">
        <v>295</v>
      </c>
      <c r="K319" s="13">
        <v>8</v>
      </c>
      <c r="L319" s="16">
        <v>756</v>
      </c>
      <c r="M319" s="15">
        <v>1643</v>
      </c>
      <c r="N319" s="14">
        <v>1174</v>
      </c>
      <c r="O319" s="13">
        <v>940</v>
      </c>
      <c r="Q319" s="2"/>
    </row>
    <row r="320" spans="1:17" outlineLevel="1" x14ac:dyDescent="0.2">
      <c r="A320" s="20">
        <f t="shared" si="95"/>
        <v>3631</v>
      </c>
      <c r="B320" s="19" t="str">
        <f t="shared" si="95"/>
        <v>Tarleton</v>
      </c>
      <c r="C320" s="18"/>
      <c r="D320" s="15">
        <v>1422</v>
      </c>
      <c r="E320" s="21">
        <v>0.47499999999999998</v>
      </c>
      <c r="F320" s="14">
        <v>5845.5333333333338</v>
      </c>
      <c r="G320" s="13">
        <v>2966.430000000048</v>
      </c>
      <c r="H320" s="15">
        <v>329</v>
      </c>
      <c r="I320" s="15">
        <v>9</v>
      </c>
      <c r="J320" s="15">
        <v>183</v>
      </c>
      <c r="K320" s="13">
        <v>38</v>
      </c>
      <c r="L320" s="16">
        <v>1093</v>
      </c>
      <c r="M320" s="15">
        <v>2140</v>
      </c>
      <c r="N320" s="14">
        <v>1306</v>
      </c>
      <c r="O320" s="13">
        <v>903</v>
      </c>
      <c r="Q320" s="2"/>
    </row>
    <row r="321" spans="1:17" outlineLevel="1" x14ac:dyDescent="0.2">
      <c r="A321" s="27">
        <f t="shared" si="95"/>
        <v>103631</v>
      </c>
      <c r="B321" s="19" t="str">
        <f t="shared" si="95"/>
        <v>TAMUCT</v>
      </c>
      <c r="C321" s="18"/>
      <c r="D321" s="15">
        <v>450</v>
      </c>
      <c r="E321" s="21">
        <v>0.47499999999999998</v>
      </c>
      <c r="F321" s="14">
        <v>658.4666666666667</v>
      </c>
      <c r="G321" s="13">
        <v>831.96000000000549</v>
      </c>
      <c r="H321" s="15">
        <v>242</v>
      </c>
      <c r="I321" s="15">
        <v>0</v>
      </c>
      <c r="J321" s="15">
        <v>44</v>
      </c>
      <c r="K321" s="13"/>
      <c r="L321" s="16">
        <v>322</v>
      </c>
      <c r="M321" s="15">
        <v>380</v>
      </c>
      <c r="N321" s="14">
        <v>137</v>
      </c>
      <c r="O321" s="13">
        <v>31</v>
      </c>
      <c r="Q321" s="2"/>
    </row>
    <row r="322" spans="1:17" outlineLevel="1" x14ac:dyDescent="0.2">
      <c r="A322" s="20">
        <f t="shared" si="95"/>
        <v>11161</v>
      </c>
      <c r="B322" s="19" t="str">
        <f t="shared" si="95"/>
        <v>TAMUCC</v>
      </c>
      <c r="C322" s="18"/>
      <c r="D322" s="15">
        <v>1335</v>
      </c>
      <c r="E322" s="21">
        <v>0.503</v>
      </c>
      <c r="F322" s="14">
        <v>6131.9333333333334</v>
      </c>
      <c r="G322" s="13">
        <v>2744.5700000000347</v>
      </c>
      <c r="H322" s="15">
        <v>445</v>
      </c>
      <c r="I322" s="15">
        <v>21</v>
      </c>
      <c r="J322" s="15">
        <v>237</v>
      </c>
      <c r="K322" s="13">
        <v>29</v>
      </c>
      <c r="L322" s="16">
        <v>1024</v>
      </c>
      <c r="M322" s="15">
        <v>2079</v>
      </c>
      <c r="N322" s="14">
        <v>1357</v>
      </c>
      <c r="O322" s="13">
        <v>812</v>
      </c>
      <c r="Q322" s="2"/>
    </row>
    <row r="323" spans="1:17" outlineLevel="1" x14ac:dyDescent="0.2">
      <c r="A323" s="20">
        <f t="shared" si="95"/>
        <v>3639</v>
      </c>
      <c r="B323" s="19" t="str">
        <f t="shared" si="95"/>
        <v>TAMUK</v>
      </c>
      <c r="C323" s="18"/>
      <c r="D323" s="15">
        <v>692</v>
      </c>
      <c r="E323" s="21">
        <v>0.41699999999999998</v>
      </c>
      <c r="F323" s="14">
        <v>3808.2666666666669</v>
      </c>
      <c r="G323" s="13">
        <v>1601.8800000000022</v>
      </c>
      <c r="H323" s="15">
        <v>365</v>
      </c>
      <c r="I323" s="15">
        <v>18</v>
      </c>
      <c r="J323" s="15">
        <v>236</v>
      </c>
      <c r="K323" s="13">
        <v>15</v>
      </c>
      <c r="L323" s="16">
        <v>590</v>
      </c>
      <c r="M323" s="15">
        <v>1159</v>
      </c>
      <c r="N323" s="14">
        <v>790</v>
      </c>
      <c r="O323" s="13">
        <v>550</v>
      </c>
      <c r="Q323" s="2"/>
    </row>
    <row r="324" spans="1:17" outlineLevel="1" x14ac:dyDescent="0.2">
      <c r="A324" s="27">
        <f t="shared" ref="A324:B339" si="96">A282</f>
        <v>103639</v>
      </c>
      <c r="B324" s="19" t="str">
        <f t="shared" si="96"/>
        <v>TAMUSA</v>
      </c>
      <c r="C324" s="18"/>
      <c r="D324" s="15">
        <v>496</v>
      </c>
      <c r="E324" s="21">
        <v>0.41699999999999998</v>
      </c>
      <c r="F324" s="14">
        <v>1072.6666666666667</v>
      </c>
      <c r="G324" s="13">
        <v>844.50000000000807</v>
      </c>
      <c r="H324" s="15">
        <v>132</v>
      </c>
      <c r="I324" s="15">
        <v>0</v>
      </c>
      <c r="J324" s="15">
        <v>4</v>
      </c>
      <c r="K324" s="13"/>
      <c r="L324" s="16">
        <v>402</v>
      </c>
      <c r="M324" s="15">
        <v>307</v>
      </c>
      <c r="N324" s="14">
        <v>5</v>
      </c>
      <c r="O324" s="13">
        <v>5</v>
      </c>
      <c r="Q324" s="2"/>
    </row>
    <row r="325" spans="1:17" outlineLevel="1" x14ac:dyDescent="0.2">
      <c r="A325" s="20">
        <f t="shared" si="96"/>
        <v>9651</v>
      </c>
      <c r="B325" s="19" t="str">
        <f t="shared" si="96"/>
        <v>TAMI</v>
      </c>
      <c r="C325" s="18"/>
      <c r="D325" s="15">
        <v>798</v>
      </c>
      <c r="E325" s="21">
        <v>0.46</v>
      </c>
      <c r="F325" s="14">
        <v>3819.0666666666666</v>
      </c>
      <c r="G325" s="13">
        <v>1476.3000000000168</v>
      </c>
      <c r="H325" s="15">
        <v>301</v>
      </c>
      <c r="I325" s="15">
        <v>6</v>
      </c>
      <c r="J325" s="15">
        <v>85</v>
      </c>
      <c r="K325" s="13">
        <v>26</v>
      </c>
      <c r="L325" s="16">
        <v>713</v>
      </c>
      <c r="M325" s="15">
        <v>1413</v>
      </c>
      <c r="N325" s="14">
        <v>981</v>
      </c>
      <c r="O325" s="13">
        <v>447</v>
      </c>
      <c r="Q325" s="2"/>
    </row>
    <row r="326" spans="1:17" outlineLevel="1" x14ac:dyDescent="0.2">
      <c r="A326" s="20">
        <f t="shared" si="96"/>
        <v>3665</v>
      </c>
      <c r="B326" s="19" t="str">
        <f t="shared" si="96"/>
        <v>WTAMU</v>
      </c>
      <c r="C326" s="18"/>
      <c r="D326" s="15">
        <v>1220</v>
      </c>
      <c r="E326" s="21">
        <v>0.45600000000000002</v>
      </c>
      <c r="F326" s="14">
        <v>5264.8</v>
      </c>
      <c r="G326" s="13">
        <v>2415.9700000000216</v>
      </c>
      <c r="H326" s="15">
        <v>377</v>
      </c>
      <c r="I326" s="15">
        <v>1</v>
      </c>
      <c r="J326" s="15">
        <v>216</v>
      </c>
      <c r="K326" s="13">
        <v>64</v>
      </c>
      <c r="L326" s="16">
        <v>853</v>
      </c>
      <c r="M326" s="15">
        <v>1873</v>
      </c>
      <c r="N326" s="14">
        <v>1161</v>
      </c>
      <c r="O326" s="13">
        <v>631</v>
      </c>
      <c r="Q326" s="2"/>
    </row>
    <row r="327" spans="1:17" outlineLevel="1" x14ac:dyDescent="0.2">
      <c r="A327" s="20">
        <f t="shared" si="96"/>
        <v>3565</v>
      </c>
      <c r="B327" s="19" t="str">
        <f t="shared" si="96"/>
        <v>TAMUC</v>
      </c>
      <c r="C327" s="18"/>
      <c r="D327" s="15">
        <v>1153</v>
      </c>
      <c r="E327" s="21">
        <v>0.44800000000000001</v>
      </c>
      <c r="F327" s="14">
        <v>4172.1333333333332</v>
      </c>
      <c r="G327" s="13">
        <v>2179.8400000000324</v>
      </c>
      <c r="H327" s="15">
        <v>1071</v>
      </c>
      <c r="I327" s="15">
        <v>42</v>
      </c>
      <c r="J327" s="15">
        <v>59</v>
      </c>
      <c r="K327" s="13">
        <v>65</v>
      </c>
      <c r="L327" s="16">
        <v>884</v>
      </c>
      <c r="M327" s="15">
        <v>1712</v>
      </c>
      <c r="N327" s="14">
        <v>1038</v>
      </c>
      <c r="O327" s="13">
        <v>423</v>
      </c>
      <c r="Q327" s="2"/>
    </row>
    <row r="328" spans="1:17" outlineLevel="1" x14ac:dyDescent="0.2">
      <c r="A328" s="20">
        <f t="shared" si="96"/>
        <v>29269</v>
      </c>
      <c r="B328" s="19" t="str">
        <f t="shared" si="96"/>
        <v>TAMUT</v>
      </c>
      <c r="C328" s="18"/>
      <c r="D328" s="15">
        <v>326</v>
      </c>
      <c r="E328" s="17">
        <v>0.57336956521739135</v>
      </c>
      <c r="F328" s="14">
        <v>694.6</v>
      </c>
      <c r="G328" s="13">
        <v>569.46</v>
      </c>
      <c r="H328" s="15">
        <v>208</v>
      </c>
      <c r="I328" s="15">
        <v>0</v>
      </c>
      <c r="J328" s="15">
        <v>30</v>
      </c>
      <c r="K328" s="13">
        <v>15</v>
      </c>
      <c r="L328" s="16">
        <v>210</v>
      </c>
      <c r="M328" s="15">
        <v>403</v>
      </c>
      <c r="N328" s="14">
        <v>138</v>
      </c>
      <c r="O328" s="13">
        <v>0</v>
      </c>
      <c r="Q328" s="2"/>
    </row>
    <row r="329" spans="1:17" outlineLevel="1" x14ac:dyDescent="0.2">
      <c r="A329" s="20">
        <f t="shared" si="96"/>
        <v>3652</v>
      </c>
      <c r="B329" s="19" t="str">
        <f t="shared" si="96"/>
        <v>UH</v>
      </c>
      <c r="C329" s="18"/>
      <c r="D329" s="15">
        <v>4778</v>
      </c>
      <c r="E329" s="21">
        <v>0.53100000000000003</v>
      </c>
      <c r="F329" s="14">
        <v>22778.733333333334</v>
      </c>
      <c r="G329" s="13">
        <v>9792.4499999989821</v>
      </c>
      <c r="H329" s="15">
        <v>1722</v>
      </c>
      <c r="I329" s="15">
        <v>730</v>
      </c>
      <c r="J329" s="15">
        <v>656</v>
      </c>
      <c r="K329" s="13">
        <v>54</v>
      </c>
      <c r="L329" s="16">
        <v>3091</v>
      </c>
      <c r="M329" s="15">
        <v>7517</v>
      </c>
      <c r="N329" s="14">
        <v>5600</v>
      </c>
      <c r="O329" s="13">
        <v>3376</v>
      </c>
      <c r="Q329" s="2"/>
    </row>
    <row r="330" spans="1:17" outlineLevel="1" x14ac:dyDescent="0.2">
      <c r="A330" s="20">
        <f t="shared" si="96"/>
        <v>11711</v>
      </c>
      <c r="B330" s="19" t="str">
        <f t="shared" si="96"/>
        <v>UHCL</v>
      </c>
      <c r="C330" s="18"/>
      <c r="D330" s="15">
        <v>1124</v>
      </c>
      <c r="E330" s="17">
        <v>0.50557620817843862</v>
      </c>
      <c r="F330" s="14">
        <v>2872.8666666666668</v>
      </c>
      <c r="G330" s="13">
        <v>2131.2100000000323</v>
      </c>
      <c r="H330" s="15">
        <v>1040</v>
      </c>
      <c r="I330" s="15">
        <v>3</v>
      </c>
      <c r="J330" s="15">
        <v>88</v>
      </c>
      <c r="K330" s="13">
        <v>8</v>
      </c>
      <c r="L330" s="16">
        <v>707</v>
      </c>
      <c r="M330" s="15">
        <v>1349</v>
      </c>
      <c r="N330" s="14">
        <v>888</v>
      </c>
      <c r="O330" s="13">
        <v>81</v>
      </c>
      <c r="Q330" s="2"/>
    </row>
    <row r="331" spans="1:17" outlineLevel="1" x14ac:dyDescent="0.2">
      <c r="A331" s="20">
        <f t="shared" si="96"/>
        <v>12826</v>
      </c>
      <c r="B331" s="19" t="str">
        <f t="shared" si="96"/>
        <v>UHD</v>
      </c>
      <c r="C331" s="18"/>
      <c r="D331" s="15">
        <v>2359</v>
      </c>
      <c r="E331" s="21">
        <v>0.18099999999999999</v>
      </c>
      <c r="F331" s="14">
        <v>7963.6</v>
      </c>
      <c r="G331" s="13">
        <v>4153.3100000000841</v>
      </c>
      <c r="H331" s="15">
        <v>44</v>
      </c>
      <c r="I331" s="15">
        <v>0</v>
      </c>
      <c r="J331" s="15">
        <v>112</v>
      </c>
      <c r="K331" s="13">
        <v>2</v>
      </c>
      <c r="L331" s="16">
        <v>1619</v>
      </c>
      <c r="M331" s="15">
        <v>3082</v>
      </c>
      <c r="N331" s="14">
        <v>1889</v>
      </c>
      <c r="O331" s="13">
        <v>606</v>
      </c>
      <c r="Q331" s="2"/>
    </row>
    <row r="332" spans="1:17" outlineLevel="1" x14ac:dyDescent="0.2">
      <c r="A332" s="20">
        <f t="shared" si="96"/>
        <v>13231</v>
      </c>
      <c r="B332" s="19" t="str">
        <f t="shared" si="96"/>
        <v>UHV</v>
      </c>
      <c r="C332" s="18"/>
      <c r="D332" s="15">
        <v>515</v>
      </c>
      <c r="E332" s="17">
        <v>0.55256723716381417</v>
      </c>
      <c r="F332" s="14">
        <v>1135.8</v>
      </c>
      <c r="G332" s="13">
        <v>962.15000000001089</v>
      </c>
      <c r="H332" s="15">
        <v>353</v>
      </c>
      <c r="I332" s="15">
        <v>0</v>
      </c>
      <c r="J332" s="15">
        <v>72</v>
      </c>
      <c r="K332" s="13">
        <v>2</v>
      </c>
      <c r="L332" s="16">
        <v>337</v>
      </c>
      <c r="M332" s="15">
        <v>654</v>
      </c>
      <c r="N332" s="14">
        <v>269</v>
      </c>
      <c r="O332" s="13">
        <v>8</v>
      </c>
      <c r="Q332" s="2"/>
    </row>
    <row r="333" spans="1:17" outlineLevel="1" x14ac:dyDescent="0.2">
      <c r="A333" s="20">
        <f t="shared" si="96"/>
        <v>3592</v>
      </c>
      <c r="B333" s="19" t="str">
        <f t="shared" si="96"/>
        <v>Midwestern</v>
      </c>
      <c r="C333" s="18"/>
      <c r="D333" s="15">
        <v>1002</v>
      </c>
      <c r="E333" s="21">
        <v>0.41199999999999998</v>
      </c>
      <c r="F333" s="14">
        <v>4294.8666666666668</v>
      </c>
      <c r="G333" s="13">
        <v>1899.0200000000148</v>
      </c>
      <c r="H333" s="15">
        <v>183</v>
      </c>
      <c r="I333" s="15">
        <v>0</v>
      </c>
      <c r="J333" s="15">
        <v>302</v>
      </c>
      <c r="K333" s="13">
        <v>19</v>
      </c>
      <c r="L333" s="16">
        <v>673</v>
      </c>
      <c r="M333" s="15">
        <v>1497</v>
      </c>
      <c r="N333" s="14">
        <v>1080</v>
      </c>
      <c r="O333" s="13">
        <v>622</v>
      </c>
      <c r="Q333" s="2"/>
    </row>
    <row r="334" spans="1:17" outlineLevel="1" x14ac:dyDescent="0.2">
      <c r="A334" s="20">
        <f t="shared" si="96"/>
        <v>3594</v>
      </c>
      <c r="B334" s="19" t="str">
        <f t="shared" si="96"/>
        <v>UNT</v>
      </c>
      <c r="C334" s="18"/>
      <c r="D334" s="15">
        <v>6024</v>
      </c>
      <c r="E334" s="21">
        <v>0.57399999999999995</v>
      </c>
      <c r="F334" s="14">
        <f>22506.0666666667+838</f>
        <v>23344.066666666698</v>
      </c>
      <c r="G334" s="13">
        <v>11164.699999998398</v>
      </c>
      <c r="H334" s="15">
        <v>1669</v>
      </c>
      <c r="I334" s="15">
        <v>230</v>
      </c>
      <c r="J334" s="15">
        <v>297</v>
      </c>
      <c r="K334" s="13">
        <v>27</v>
      </c>
      <c r="L334" s="16">
        <v>3747</v>
      </c>
      <c r="M334" s="30">
        <v>8327</v>
      </c>
      <c r="N334" s="29">
        <v>5604</v>
      </c>
      <c r="O334" s="28">
        <v>3585</v>
      </c>
      <c r="Q334" s="2"/>
    </row>
    <row r="335" spans="1:17" outlineLevel="1" x14ac:dyDescent="0.2">
      <c r="A335" s="27">
        <f t="shared" si="96"/>
        <v>113594</v>
      </c>
      <c r="B335" s="19" t="str">
        <f t="shared" si="96"/>
        <v>UNTD</v>
      </c>
      <c r="C335" s="18"/>
      <c r="D335" s="24"/>
      <c r="E335" s="26"/>
      <c r="F335" s="23"/>
      <c r="G335" s="22"/>
      <c r="H335" s="24"/>
      <c r="I335" s="24"/>
      <c r="J335" s="24"/>
      <c r="K335" s="22"/>
      <c r="L335" s="25"/>
      <c r="M335" s="24"/>
      <c r="N335" s="23"/>
      <c r="O335" s="22"/>
      <c r="Q335" s="2"/>
    </row>
    <row r="336" spans="1:17" outlineLevel="1" x14ac:dyDescent="0.2">
      <c r="A336" s="20">
        <f t="shared" si="96"/>
        <v>3624</v>
      </c>
      <c r="B336" s="19" t="str">
        <f t="shared" si="96"/>
        <v>SFA</v>
      </c>
      <c r="C336" s="18"/>
      <c r="D336" s="15">
        <v>1874</v>
      </c>
      <c r="E336" s="21">
        <v>0.56999999999999995</v>
      </c>
      <c r="F336" s="14">
        <v>9510.2666666666664</v>
      </c>
      <c r="G336" s="13">
        <v>3625.4100000000203</v>
      </c>
      <c r="H336" s="15">
        <v>436</v>
      </c>
      <c r="I336" s="15">
        <v>11</v>
      </c>
      <c r="J336" s="15">
        <v>230</v>
      </c>
      <c r="K336" s="13">
        <v>43</v>
      </c>
      <c r="L336" s="16">
        <v>1422</v>
      </c>
      <c r="M336" s="15">
        <v>2663</v>
      </c>
      <c r="N336" s="14">
        <v>1934</v>
      </c>
      <c r="O336" s="13">
        <v>1317</v>
      </c>
      <c r="Q336" s="2"/>
    </row>
    <row r="337" spans="1:17" outlineLevel="1" x14ac:dyDescent="0.2">
      <c r="A337" s="20">
        <f t="shared" si="96"/>
        <v>3642</v>
      </c>
      <c r="B337" s="19" t="str">
        <f t="shared" si="96"/>
        <v>TSU</v>
      </c>
      <c r="C337" s="18"/>
      <c r="D337" s="15">
        <v>817</v>
      </c>
      <c r="E337" s="21">
        <v>0.14899999999999999</v>
      </c>
      <c r="F337" s="14">
        <v>5909.8</v>
      </c>
      <c r="G337" s="13">
        <v>1601.5200000000066</v>
      </c>
      <c r="H337" s="15">
        <v>159</v>
      </c>
      <c r="I337" s="15">
        <v>253</v>
      </c>
      <c r="J337" s="15">
        <v>127</v>
      </c>
      <c r="K337" s="13">
        <v>2</v>
      </c>
      <c r="L337" s="16">
        <v>723</v>
      </c>
      <c r="M337" s="15">
        <v>1871</v>
      </c>
      <c r="N337" s="14">
        <v>1137</v>
      </c>
      <c r="O337" s="13">
        <v>916</v>
      </c>
      <c r="Q337" s="2"/>
    </row>
    <row r="338" spans="1:17" outlineLevel="1" x14ac:dyDescent="0.2">
      <c r="A338" s="20">
        <f t="shared" si="96"/>
        <v>3644</v>
      </c>
      <c r="B338" s="19" t="str">
        <f t="shared" si="96"/>
        <v>TTU</v>
      </c>
      <c r="C338" s="18"/>
      <c r="D338" s="15">
        <v>4476</v>
      </c>
      <c r="E338" s="21">
        <v>0.72799999999999998</v>
      </c>
      <c r="F338" s="14">
        <v>21422.2</v>
      </c>
      <c r="G338" s="13">
        <v>9827.5299999990111</v>
      </c>
      <c r="H338" s="15">
        <v>1222</v>
      </c>
      <c r="I338" s="15">
        <v>453</v>
      </c>
      <c r="J338" s="15">
        <v>656</v>
      </c>
      <c r="K338" s="13">
        <v>43</v>
      </c>
      <c r="L338" s="16">
        <v>2539</v>
      </c>
      <c r="M338" s="15">
        <v>6430</v>
      </c>
      <c r="N338" s="14">
        <v>5148</v>
      </c>
      <c r="O338" s="13">
        <v>3832</v>
      </c>
      <c r="Q338" s="2"/>
    </row>
    <row r="339" spans="1:17" outlineLevel="1" x14ac:dyDescent="0.2">
      <c r="A339" s="20">
        <f t="shared" si="96"/>
        <v>3541</v>
      </c>
      <c r="B339" s="19" t="str">
        <f t="shared" si="96"/>
        <v>Angelo</v>
      </c>
      <c r="C339" s="18"/>
      <c r="D339" s="15">
        <v>941</v>
      </c>
      <c r="E339" s="21">
        <v>0.44</v>
      </c>
      <c r="F339" s="14">
        <v>4829.1333333333332</v>
      </c>
      <c r="G339" s="13">
        <v>1933.5900000000179</v>
      </c>
      <c r="H339" s="15">
        <v>157</v>
      </c>
      <c r="I339" s="15">
        <v>0</v>
      </c>
      <c r="J339" s="15">
        <v>217</v>
      </c>
      <c r="K339" s="13">
        <v>18</v>
      </c>
      <c r="L339" s="16">
        <v>676</v>
      </c>
      <c r="M339" s="15">
        <v>1474</v>
      </c>
      <c r="N339" s="14">
        <v>1008</v>
      </c>
      <c r="O339" s="13">
        <v>708</v>
      </c>
      <c r="Q339" s="2"/>
    </row>
    <row r="340" spans="1:17" outlineLevel="1" x14ac:dyDescent="0.2">
      <c r="A340" s="20">
        <f t="shared" ref="A340:B345" si="97">A298</f>
        <v>3646</v>
      </c>
      <c r="B340" s="19" t="str">
        <f t="shared" si="97"/>
        <v>TWU</v>
      </c>
      <c r="C340" s="18"/>
      <c r="D340" s="15">
        <v>1774</v>
      </c>
      <c r="E340" s="21">
        <v>0.54500000000000004</v>
      </c>
      <c r="F340" s="14">
        <v>6071.4666666666662</v>
      </c>
      <c r="G340" s="13">
        <v>3425.2000000000221</v>
      </c>
      <c r="H340" s="15">
        <v>1420</v>
      </c>
      <c r="I340" s="15">
        <v>255</v>
      </c>
      <c r="J340" s="15">
        <v>614</v>
      </c>
      <c r="K340" s="13">
        <v>31</v>
      </c>
      <c r="L340" s="16">
        <v>1214</v>
      </c>
      <c r="M340" s="15">
        <v>2042</v>
      </c>
      <c r="N340" s="14">
        <v>1371</v>
      </c>
      <c r="O340" s="13">
        <v>668</v>
      </c>
      <c r="Q340" s="2"/>
    </row>
    <row r="341" spans="1:17" outlineLevel="1" x14ac:dyDescent="0.2">
      <c r="A341" s="20">
        <f t="shared" si="97"/>
        <v>3581</v>
      </c>
      <c r="B341" s="19" t="str">
        <f t="shared" si="97"/>
        <v>Lamar</v>
      </c>
      <c r="C341" s="18"/>
      <c r="D341" s="15">
        <v>1286</v>
      </c>
      <c r="E341" s="21">
        <v>0.33800000000000002</v>
      </c>
      <c r="F341" s="14">
        <v>7172.9333333333334</v>
      </c>
      <c r="G341" s="13">
        <v>2638.0900000000311</v>
      </c>
      <c r="H341" s="15">
        <v>2795</v>
      </c>
      <c r="I341" s="15">
        <v>23</v>
      </c>
      <c r="J341" s="15">
        <v>314</v>
      </c>
      <c r="K341" s="13">
        <v>17</v>
      </c>
      <c r="L341" s="16">
        <v>908</v>
      </c>
      <c r="M341" s="15">
        <v>2043</v>
      </c>
      <c r="N341" s="14">
        <v>1404</v>
      </c>
      <c r="O341" s="13">
        <v>1031</v>
      </c>
      <c r="Q341" s="2"/>
    </row>
    <row r="342" spans="1:17" outlineLevel="1" x14ac:dyDescent="0.2">
      <c r="A342" s="20">
        <f t="shared" si="97"/>
        <v>3606</v>
      </c>
      <c r="B342" s="19" t="str">
        <f t="shared" si="97"/>
        <v>SHSU</v>
      </c>
      <c r="C342" s="18"/>
      <c r="D342" s="15">
        <v>3242</v>
      </c>
      <c r="E342" s="21">
        <v>0.57899999999999996</v>
      </c>
      <c r="F342" s="14">
        <v>12517.066666666668</v>
      </c>
      <c r="G342" s="13">
        <v>6188.6300000000374</v>
      </c>
      <c r="H342" s="15">
        <v>756</v>
      </c>
      <c r="I342" s="15">
        <v>34</v>
      </c>
      <c r="J342" s="15">
        <v>163</v>
      </c>
      <c r="K342" s="13">
        <v>69</v>
      </c>
      <c r="L342" s="16">
        <v>2318</v>
      </c>
      <c r="M342" s="15">
        <v>3849</v>
      </c>
      <c r="N342" s="14">
        <v>3011</v>
      </c>
      <c r="O342" s="13">
        <v>1870</v>
      </c>
      <c r="Q342" s="2"/>
    </row>
    <row r="343" spans="1:17" outlineLevel="1" x14ac:dyDescent="0.2">
      <c r="A343" s="20">
        <f t="shared" si="97"/>
        <v>3615</v>
      </c>
      <c r="B343" s="19" t="str">
        <f t="shared" si="97"/>
        <v>TXST</v>
      </c>
      <c r="C343" s="18"/>
      <c r="D343" s="15">
        <v>5299</v>
      </c>
      <c r="E343" s="21">
        <v>0.64400000000000002</v>
      </c>
      <c r="F343" s="14">
        <v>21764.6</v>
      </c>
      <c r="G343" s="13">
        <v>10384.469999998846</v>
      </c>
      <c r="H343" s="15">
        <v>1246</v>
      </c>
      <c r="I343" s="15">
        <v>26</v>
      </c>
      <c r="J343" s="15">
        <v>439</v>
      </c>
      <c r="K343" s="13">
        <v>68</v>
      </c>
      <c r="L343" s="16">
        <v>3545</v>
      </c>
      <c r="M343" s="15">
        <v>7301</v>
      </c>
      <c r="N343" s="14">
        <v>5428</v>
      </c>
      <c r="O343" s="13">
        <v>3302</v>
      </c>
      <c r="Q343" s="2"/>
    </row>
    <row r="344" spans="1:17" outlineLevel="1" x14ac:dyDescent="0.2">
      <c r="A344" s="20">
        <f t="shared" si="97"/>
        <v>3625</v>
      </c>
      <c r="B344" s="19" t="str">
        <f t="shared" si="97"/>
        <v>SRSU</v>
      </c>
      <c r="C344" s="18"/>
      <c r="D344" s="15">
        <v>181</v>
      </c>
      <c r="E344" s="21">
        <v>0.28499999999999998</v>
      </c>
      <c r="F344" s="14">
        <v>1230.9333333333334</v>
      </c>
      <c r="G344" s="13">
        <v>368.43999999999954</v>
      </c>
      <c r="H344" s="15">
        <v>185</v>
      </c>
      <c r="I344" s="15">
        <v>0</v>
      </c>
      <c r="J344" s="15">
        <v>10</v>
      </c>
      <c r="K344" s="13">
        <v>10</v>
      </c>
      <c r="L344" s="16">
        <v>156</v>
      </c>
      <c r="M344" s="15">
        <v>318</v>
      </c>
      <c r="N344" s="14">
        <v>176</v>
      </c>
      <c r="O344" s="13">
        <v>115</v>
      </c>
      <c r="Q344" s="2"/>
    </row>
    <row r="345" spans="1:17" outlineLevel="1" x14ac:dyDescent="0.2">
      <c r="A345" s="20">
        <f t="shared" si="97"/>
        <v>20</v>
      </c>
      <c r="B345" s="19" t="str">
        <f t="shared" si="97"/>
        <v>SRRG</v>
      </c>
      <c r="C345" s="18"/>
      <c r="D345" s="15">
        <v>168</v>
      </c>
      <c r="E345" s="17">
        <v>0.36144578313253012</v>
      </c>
      <c r="F345" s="14">
        <v>416.33333333333331</v>
      </c>
      <c r="G345" s="13">
        <v>287.9199999999995</v>
      </c>
      <c r="H345" s="15">
        <v>55</v>
      </c>
      <c r="I345" s="15">
        <v>0</v>
      </c>
      <c r="J345" s="15">
        <v>8</v>
      </c>
      <c r="K345" s="13">
        <v>9</v>
      </c>
      <c r="L345" s="16">
        <v>149</v>
      </c>
      <c r="M345" s="15">
        <v>251</v>
      </c>
      <c r="N345" s="14">
        <v>90</v>
      </c>
      <c r="O345" s="13">
        <v>5</v>
      </c>
      <c r="Q345" s="2"/>
    </row>
    <row r="346" spans="1:17" ht="13.5" outlineLevel="1" thickBot="1" x14ac:dyDescent="0.25">
      <c r="A346" s="12"/>
      <c r="B346" s="11" t="s">
        <v>11</v>
      </c>
      <c r="C346" s="10"/>
      <c r="D346" s="9">
        <f>SUM(D308:D345)</f>
        <v>81251</v>
      </c>
      <c r="E346" s="8">
        <v>0.56799999999999995</v>
      </c>
      <c r="F346" s="7">
        <f t="shared" ref="F346:O346" si="98">SUM(F308:F345)</f>
        <v>338321.33333333337</v>
      </c>
      <c r="G346" s="3">
        <f t="shared" si="98"/>
        <v>165601.52999999447</v>
      </c>
      <c r="H346" s="5">
        <f t="shared" si="98"/>
        <v>29176</v>
      </c>
      <c r="I346" s="5">
        <f t="shared" si="98"/>
        <v>4641</v>
      </c>
      <c r="J346" s="5">
        <f t="shared" si="98"/>
        <v>12362</v>
      </c>
      <c r="K346" s="3">
        <f t="shared" si="98"/>
        <v>1122</v>
      </c>
      <c r="L346" s="6">
        <f t="shared" si="98"/>
        <v>51678</v>
      </c>
      <c r="M346" s="5">
        <f t="shared" si="98"/>
        <v>112517</v>
      </c>
      <c r="N346" s="4">
        <f t="shared" si="98"/>
        <v>81688</v>
      </c>
      <c r="O346" s="3">
        <f t="shared" si="98"/>
        <v>51008</v>
      </c>
      <c r="Q346" s="2"/>
    </row>
    <row r="347" spans="1:17" x14ac:dyDescent="0.2">
      <c r="Q347" s="2"/>
    </row>
    <row r="349" spans="1:17" x14ac:dyDescent="0.2">
      <c r="A349" s="1" t="s">
        <v>10</v>
      </c>
    </row>
    <row r="350" spans="1:17" x14ac:dyDescent="0.2">
      <c r="A350" s="1" t="s">
        <v>9</v>
      </c>
    </row>
    <row r="351" spans="1:17" x14ac:dyDescent="0.2">
      <c r="A351" s="1" t="s">
        <v>8</v>
      </c>
    </row>
    <row r="352" spans="1:17" x14ac:dyDescent="0.2">
      <c r="A352" s="1" t="s">
        <v>7</v>
      </c>
    </row>
    <row r="353" spans="1:1" x14ac:dyDescent="0.2">
      <c r="A353" s="1" t="s">
        <v>6</v>
      </c>
    </row>
    <row r="354" spans="1:1" x14ac:dyDescent="0.2">
      <c r="A354" s="1" t="s">
        <v>5</v>
      </c>
    </row>
    <row r="355" spans="1:1" x14ac:dyDescent="0.2">
      <c r="A355" s="1" t="s">
        <v>4</v>
      </c>
    </row>
    <row r="356" spans="1:1" x14ac:dyDescent="0.2">
      <c r="A356" s="1" t="s">
        <v>3</v>
      </c>
    </row>
    <row r="357" spans="1:1" x14ac:dyDescent="0.2">
      <c r="A357" s="1" t="s">
        <v>2</v>
      </c>
    </row>
    <row r="358" spans="1:1" x14ac:dyDescent="0.2">
      <c r="A358" s="1" t="s">
        <v>1</v>
      </c>
    </row>
    <row r="359" spans="1:1" x14ac:dyDescent="0.2">
      <c r="A359" s="1" t="s">
        <v>0</v>
      </c>
    </row>
  </sheetData>
  <autoFilter ref="A88:P346">
    <filterColumn colId="3" showButton="0"/>
    <filterColumn colId="4" showButton="0"/>
    <filterColumn colId="5" showButton="0"/>
    <filterColumn colId="12" showButton="0"/>
    <filterColumn colId="13" showButton="0"/>
  </autoFilter>
  <mergeCells count="107">
    <mergeCell ref="C129:C130"/>
    <mergeCell ref="D129:G129"/>
    <mergeCell ref="H129:H130"/>
    <mergeCell ref="I129:I130"/>
    <mergeCell ref="J129:J130"/>
    <mergeCell ref="A1:O1"/>
    <mergeCell ref="A3:A4"/>
    <mergeCell ref="B3:B4"/>
    <mergeCell ref="C3:C4"/>
    <mergeCell ref="D3:G3"/>
    <mergeCell ref="J3:J4"/>
    <mergeCell ref="K3:K4"/>
    <mergeCell ref="L3:L4"/>
    <mergeCell ref="M3:O3"/>
    <mergeCell ref="H3:H4"/>
    <mergeCell ref="I3:I4"/>
    <mergeCell ref="Q46:Q47"/>
    <mergeCell ref="R46:R47"/>
    <mergeCell ref="K88:K89"/>
    <mergeCell ref="L88:L89"/>
    <mergeCell ref="M88:O88"/>
    <mergeCell ref="P88:P89"/>
    <mergeCell ref="I88:I89"/>
    <mergeCell ref="H137:H138"/>
    <mergeCell ref="I137:I138"/>
    <mergeCell ref="K46:K47"/>
    <mergeCell ref="H46:H47"/>
    <mergeCell ref="I46:I47"/>
    <mergeCell ref="J46:J47"/>
    <mergeCell ref="K129:K130"/>
    <mergeCell ref="L129:L130"/>
    <mergeCell ref="M129:O129"/>
    <mergeCell ref="P129:P130"/>
    <mergeCell ref="A88:A89"/>
    <mergeCell ref="B88:B89"/>
    <mergeCell ref="C88:C89"/>
    <mergeCell ref="D88:G88"/>
    <mergeCell ref="J88:J89"/>
    <mergeCell ref="H88:H89"/>
    <mergeCell ref="L46:L47"/>
    <mergeCell ref="M46:O46"/>
    <mergeCell ref="P46:P47"/>
    <mergeCell ref="A46:A47"/>
    <mergeCell ref="B46:B47"/>
    <mergeCell ref="C46:C47"/>
    <mergeCell ref="D46:G46"/>
    <mergeCell ref="L137:L138"/>
    <mergeCell ref="M137:O137"/>
    <mergeCell ref="A139:C139"/>
    <mergeCell ref="A180:A181"/>
    <mergeCell ref="B180:B181"/>
    <mergeCell ref="C180:C181"/>
    <mergeCell ref="D180:D181"/>
    <mergeCell ref="E180:E181"/>
    <mergeCell ref="F180:F181"/>
    <mergeCell ref="G180:G181"/>
    <mergeCell ref="J180:J181"/>
    <mergeCell ref="K180:K181"/>
    <mergeCell ref="L180:L181"/>
    <mergeCell ref="M180:O180"/>
    <mergeCell ref="A137:A138"/>
    <mergeCell ref="B137:B138"/>
    <mergeCell ref="C137:C138"/>
    <mergeCell ref="D137:G137"/>
    <mergeCell ref="J137:J138"/>
    <mergeCell ref="K137:K138"/>
    <mergeCell ref="H180:H181"/>
    <mergeCell ref="I180:I181"/>
    <mergeCell ref="G222:G223"/>
    <mergeCell ref="J222:J223"/>
    <mergeCell ref="K222:K223"/>
    <mergeCell ref="L222:L223"/>
    <mergeCell ref="M222:O222"/>
    <mergeCell ref="H264:H265"/>
    <mergeCell ref="I264:I265"/>
    <mergeCell ref="A222:A223"/>
    <mergeCell ref="B222:B223"/>
    <mergeCell ref="C222:C223"/>
    <mergeCell ref="D222:D223"/>
    <mergeCell ref="E222:E223"/>
    <mergeCell ref="F222:F223"/>
    <mergeCell ref="H222:H223"/>
    <mergeCell ref="I222:I223"/>
    <mergeCell ref="A264:A265"/>
    <mergeCell ref="B264:B265"/>
    <mergeCell ref="C264:C265"/>
    <mergeCell ref="D264:D265"/>
    <mergeCell ref="E264:E265"/>
    <mergeCell ref="A306:A307"/>
    <mergeCell ref="B306:B307"/>
    <mergeCell ref="C306:C307"/>
    <mergeCell ref="D306:D307"/>
    <mergeCell ref="E306:E307"/>
    <mergeCell ref="G306:G307"/>
    <mergeCell ref="J306:J307"/>
    <mergeCell ref="K306:K307"/>
    <mergeCell ref="L264:L265"/>
    <mergeCell ref="L306:L307"/>
    <mergeCell ref="M306:O306"/>
    <mergeCell ref="F306:F307"/>
    <mergeCell ref="F264:F265"/>
    <mergeCell ref="G264:G265"/>
    <mergeCell ref="J264:J265"/>
    <mergeCell ref="K264:K265"/>
    <mergeCell ref="H306:H307"/>
    <mergeCell ref="I306:I307"/>
    <mergeCell ref="M264:O264"/>
  </mergeCells>
  <pageMargins left="0.25" right="0.25" top="0.5" bottom="0.2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A1:P360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outlineLevelRow="1" x14ac:dyDescent="0.2"/>
  <cols>
    <col min="1" max="1" width="7.28515625" style="1" customWidth="1"/>
    <col min="2" max="2" width="10.85546875" style="1" bestFit="1" customWidth="1"/>
    <col min="3" max="3" width="13.7109375" style="1" bestFit="1" customWidth="1"/>
    <col min="4" max="4" width="13.140625" style="1" customWidth="1"/>
    <col min="5" max="5" width="12.5703125" style="1" customWidth="1"/>
    <col min="6" max="6" width="13" style="1" customWidth="1"/>
    <col min="7" max="7" width="12.42578125" style="1" customWidth="1"/>
    <col min="8" max="8" width="12.85546875" style="1" customWidth="1"/>
    <col min="9" max="9" width="12.28515625" style="1" customWidth="1"/>
    <col min="10" max="10" width="12.42578125" style="1" customWidth="1"/>
    <col min="11" max="13" width="12.5703125" style="1" bestFit="1" customWidth="1"/>
    <col min="14" max="14" width="11.5703125" style="1" customWidth="1"/>
    <col min="15" max="15" width="16.42578125" style="1" customWidth="1"/>
    <col min="16" max="16" width="15.140625" style="1" customWidth="1"/>
    <col min="17" max="18" width="9.140625" style="1"/>
    <col min="19" max="20" width="12.5703125" style="1" customWidth="1"/>
    <col min="21" max="16384" width="9.140625" style="1"/>
  </cols>
  <sheetData>
    <row r="1" spans="1:13" ht="41.25" customHeight="1" x14ac:dyDescent="0.2">
      <c r="A1" s="188" t="s">
        <v>112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</row>
    <row r="2" spans="1:13" ht="13.5" thickBot="1" x14ac:dyDescent="0.25">
      <c r="A2" s="86"/>
      <c r="B2" s="85"/>
      <c r="C2" s="85"/>
      <c r="D2" s="85"/>
      <c r="E2" s="85"/>
      <c r="F2" s="85"/>
      <c r="G2" s="85"/>
      <c r="H2" s="85"/>
    </row>
    <row r="3" spans="1:13" ht="12.75" customHeight="1" x14ac:dyDescent="0.2">
      <c r="A3" s="189" t="s">
        <v>24</v>
      </c>
      <c r="B3" s="191" t="s">
        <v>23</v>
      </c>
      <c r="C3" s="193" t="s">
        <v>74</v>
      </c>
      <c r="D3" s="184" t="s">
        <v>35</v>
      </c>
      <c r="E3" s="184"/>
      <c r="F3" s="184"/>
      <c r="G3" s="184"/>
      <c r="H3" s="186" t="s">
        <v>18</v>
      </c>
      <c r="I3" s="195" t="s">
        <v>17</v>
      </c>
      <c r="J3" s="197" t="s">
        <v>16</v>
      </c>
      <c r="K3" s="199" t="s">
        <v>34</v>
      </c>
      <c r="L3" s="200"/>
      <c r="M3" s="200"/>
    </row>
    <row r="4" spans="1:13" ht="54" customHeight="1" thickBot="1" x14ac:dyDescent="0.25">
      <c r="A4" s="190"/>
      <c r="B4" s="192"/>
      <c r="C4" s="194"/>
      <c r="D4" s="84"/>
      <c r="E4" s="67" t="s">
        <v>33</v>
      </c>
      <c r="F4" s="67" t="s">
        <v>32</v>
      </c>
      <c r="G4" s="42" t="s">
        <v>31</v>
      </c>
      <c r="H4" s="187"/>
      <c r="I4" s="196"/>
      <c r="J4" s="198"/>
      <c r="K4" s="44" t="s">
        <v>14</v>
      </c>
      <c r="L4" s="43" t="s">
        <v>13</v>
      </c>
      <c r="M4" s="42" t="s">
        <v>12</v>
      </c>
    </row>
    <row r="5" spans="1:13" x14ac:dyDescent="0.2">
      <c r="A5" s="40">
        <v>3656</v>
      </c>
      <c r="B5" s="39" t="s">
        <v>73</v>
      </c>
      <c r="C5" s="83">
        <f>SUM(D5:M5)</f>
        <v>13477985.493230978</v>
      </c>
      <c r="D5" s="103">
        <f>D48*$O48*$C$44</f>
        <v>2418093.4035054776</v>
      </c>
      <c r="E5" s="80">
        <f t="shared" ref="E5:M5" si="0">E48*$O48*$C$44</f>
        <v>1566723.017687924</v>
      </c>
      <c r="F5" s="80">
        <f t="shared" si="0"/>
        <v>891599.3069191078</v>
      </c>
      <c r="G5" s="79">
        <f t="shared" si="0"/>
        <v>5020533.0987252789</v>
      </c>
      <c r="H5" s="81">
        <f t="shared" si="0"/>
        <v>737924.87682371214</v>
      </c>
      <c r="I5" s="79">
        <f t="shared" si="0"/>
        <v>16865.936453306436</v>
      </c>
      <c r="J5" s="82">
        <f t="shared" si="0"/>
        <v>240248.0365188703</v>
      </c>
      <c r="K5" s="81">
        <f t="shared" si="0"/>
        <v>1153011.6357362058</v>
      </c>
      <c r="L5" s="80">
        <f t="shared" si="0"/>
        <v>831322.00778347428</v>
      </c>
      <c r="M5" s="79">
        <f t="shared" si="0"/>
        <v>601664.17307761835</v>
      </c>
    </row>
    <row r="6" spans="1:13" x14ac:dyDescent="0.2">
      <c r="A6" s="20">
        <v>3658</v>
      </c>
      <c r="B6" s="19" t="s">
        <v>72</v>
      </c>
      <c r="C6" s="58">
        <f t="shared" ref="C6:C42" si="1">SUM(D6:M6)</f>
        <v>26074358.837280624</v>
      </c>
      <c r="D6" s="15">
        <f t="shared" ref="D6:M6" si="2">D49*$O49*$C$44</f>
        <v>4311093.985431348</v>
      </c>
      <c r="E6" s="14">
        <f t="shared" si="2"/>
        <v>4467371.1424032338</v>
      </c>
      <c r="F6" s="14">
        <f t="shared" si="2"/>
        <v>798050.69725394878</v>
      </c>
      <c r="G6" s="13">
        <f t="shared" si="2"/>
        <v>9347752.5256858766</v>
      </c>
      <c r="H6" s="15">
        <f t="shared" si="2"/>
        <v>904174.82186344708</v>
      </c>
      <c r="I6" s="13">
        <f t="shared" si="2"/>
        <v>31804.33731194929</v>
      </c>
      <c r="J6" s="16">
        <f t="shared" si="2"/>
        <v>267567.64101390226</v>
      </c>
      <c r="K6" s="15">
        <f t="shared" si="2"/>
        <v>1618848.8005765297</v>
      </c>
      <c r="L6" s="14">
        <f t="shared" si="2"/>
        <v>1952858.5935384857</v>
      </c>
      <c r="M6" s="13">
        <f t="shared" si="2"/>
        <v>2374836.2922019023</v>
      </c>
    </row>
    <row r="7" spans="1:13" x14ac:dyDescent="0.2">
      <c r="A7" s="20">
        <v>9741</v>
      </c>
      <c r="B7" s="19" t="s">
        <v>71</v>
      </c>
      <c r="C7" s="58">
        <f t="shared" si="1"/>
        <v>7119525.6102986578</v>
      </c>
      <c r="D7" s="15">
        <f t="shared" ref="D7:M7" si="3">D50*$O50*$C$44</f>
        <v>1153148.1695074947</v>
      </c>
      <c r="E7" s="14">
        <f t="shared" si="3"/>
        <v>1013328.9539547107</v>
      </c>
      <c r="F7" s="14">
        <f t="shared" si="3"/>
        <v>808051.84987687704</v>
      </c>
      <c r="G7" s="13">
        <f t="shared" si="3"/>
        <v>2458187.7501541935</v>
      </c>
      <c r="H7" s="15">
        <f t="shared" si="3"/>
        <v>203194.37727078711</v>
      </c>
      <c r="I7" s="13">
        <f t="shared" si="3"/>
        <v>15420.284757308744</v>
      </c>
      <c r="J7" s="16">
        <f t="shared" si="3"/>
        <v>101748.17892364222</v>
      </c>
      <c r="K7" s="15">
        <f t="shared" si="3"/>
        <v>559105.79342710844</v>
      </c>
      <c r="L7" s="14">
        <f t="shared" si="3"/>
        <v>462825.390473662</v>
      </c>
      <c r="M7" s="13">
        <f t="shared" si="3"/>
        <v>344514.86195287289</v>
      </c>
    </row>
    <row r="8" spans="1:13" x14ac:dyDescent="0.2">
      <c r="A8" s="20">
        <v>3661</v>
      </c>
      <c r="B8" s="19" t="s">
        <v>70</v>
      </c>
      <c r="C8" s="58">
        <f t="shared" si="1"/>
        <v>8310862.706960001</v>
      </c>
      <c r="D8" s="15">
        <f t="shared" ref="D8:M8" si="4">D51*$O51*$C$44</f>
        <v>1694916.6786493356</v>
      </c>
      <c r="E8" s="14">
        <f t="shared" si="4"/>
        <v>440678.33644882718</v>
      </c>
      <c r="F8" s="14">
        <f t="shared" si="4"/>
        <v>422683.02916515019</v>
      </c>
      <c r="G8" s="13">
        <f t="shared" si="4"/>
        <v>3491892.4389093206</v>
      </c>
      <c r="H8" s="15">
        <f t="shared" si="4"/>
        <v>363156.82843157178</v>
      </c>
      <c r="I8" s="13">
        <f t="shared" si="4"/>
        <v>49899.411540215966</v>
      </c>
      <c r="J8" s="16">
        <f t="shared" si="4"/>
        <v>218611.17008403951</v>
      </c>
      <c r="K8" s="15">
        <f t="shared" si="4"/>
        <v>564393.14662573161</v>
      </c>
      <c r="L8" s="14">
        <f t="shared" si="4"/>
        <v>558540.74650681741</v>
      </c>
      <c r="M8" s="13">
        <f t="shared" si="4"/>
        <v>506090.9205989904</v>
      </c>
    </row>
    <row r="9" spans="1:13" x14ac:dyDescent="0.2">
      <c r="A9" s="20">
        <v>3599</v>
      </c>
      <c r="B9" s="19" t="s">
        <v>69</v>
      </c>
      <c r="C9" s="58">
        <f t="shared" si="1"/>
        <v>6940160.160416496</v>
      </c>
      <c r="D9" s="15">
        <f t="shared" ref="D9:M9" si="5">D52*$O52*$C$44</f>
        <v>1325955.169648163</v>
      </c>
      <c r="E9" s="14">
        <f t="shared" si="5"/>
        <v>285743.33905917912</v>
      </c>
      <c r="F9" s="14">
        <f t="shared" si="5"/>
        <v>263295.77244937036</v>
      </c>
      <c r="G9" s="13">
        <f t="shared" si="5"/>
        <v>2638633.6563961604</v>
      </c>
      <c r="H9" s="15">
        <f t="shared" si="5"/>
        <v>267418.09041612176</v>
      </c>
      <c r="I9" s="13">
        <f t="shared" si="5"/>
        <v>14390.211143468436</v>
      </c>
      <c r="J9" s="16">
        <f t="shared" si="5"/>
        <v>192280.63080272591</v>
      </c>
      <c r="K9" s="15">
        <f t="shared" si="5"/>
        <v>698153.65650811547</v>
      </c>
      <c r="L9" s="14">
        <f t="shared" si="5"/>
        <v>689496.68821704481</v>
      </c>
      <c r="M9" s="13">
        <f t="shared" si="5"/>
        <v>564792.94577614649</v>
      </c>
    </row>
    <row r="10" spans="1:13" x14ac:dyDescent="0.2">
      <c r="A10" s="20">
        <v>30646</v>
      </c>
      <c r="B10" s="19" t="s">
        <v>68</v>
      </c>
      <c r="C10" s="58">
        <f t="shared" si="1"/>
        <v>2774317.7776859575</v>
      </c>
      <c r="D10" s="15">
        <f t="shared" ref="D10:M10" si="6">D53*$O53*$C$44</f>
        <v>561218.23459526896</v>
      </c>
      <c r="E10" s="14">
        <f t="shared" si="6"/>
        <v>161419.86139160951</v>
      </c>
      <c r="F10" s="14">
        <f t="shared" si="6"/>
        <v>442771.84608133358</v>
      </c>
      <c r="G10" s="13">
        <f t="shared" si="6"/>
        <v>1078131.7500724087</v>
      </c>
      <c r="H10" s="15">
        <f t="shared" si="6"/>
        <v>63899.389958496737</v>
      </c>
      <c r="I10" s="13">
        <f t="shared" si="6"/>
        <v>9422.1620582233791</v>
      </c>
      <c r="J10" s="16">
        <f t="shared" si="6"/>
        <v>77021.892025040594</v>
      </c>
      <c r="K10" s="15">
        <f t="shared" si="6"/>
        <v>227216.86563436867</v>
      </c>
      <c r="L10" s="14">
        <f t="shared" si="6"/>
        <v>123898.57586501376</v>
      </c>
      <c r="M10" s="13">
        <f t="shared" si="6"/>
        <v>29317.200004193241</v>
      </c>
    </row>
    <row r="11" spans="1:13" x14ac:dyDescent="0.2">
      <c r="A11" s="20">
        <v>9930</v>
      </c>
      <c r="B11" s="19" t="s">
        <v>67</v>
      </c>
      <c r="C11" s="58">
        <f t="shared" si="1"/>
        <v>1506665.0596496032</v>
      </c>
      <c r="D11" s="15">
        <f t="shared" ref="D11:M11" si="7">D54*$O54*$C$44</f>
        <v>274099.25987558922</v>
      </c>
      <c r="E11" s="14">
        <f t="shared" si="7"/>
        <v>60850.035692380821</v>
      </c>
      <c r="F11" s="14">
        <f t="shared" si="7"/>
        <v>297121.55879097537</v>
      </c>
      <c r="G11" s="13">
        <f t="shared" si="7"/>
        <v>514715.58203700301</v>
      </c>
      <c r="H11" s="15">
        <f t="shared" si="7"/>
        <v>21242.692640358167</v>
      </c>
      <c r="I11" s="13">
        <f t="shared" si="7"/>
        <v>5139.3611226672983</v>
      </c>
      <c r="J11" s="16">
        <f t="shared" si="7"/>
        <v>32809.681407108037</v>
      </c>
      <c r="K11" s="15">
        <f t="shared" si="7"/>
        <v>134594.15740140915</v>
      </c>
      <c r="L11" s="14">
        <f t="shared" si="7"/>
        <v>109496.94391905051</v>
      </c>
      <c r="M11" s="13">
        <f t="shared" si="7"/>
        <v>56595.786763061777</v>
      </c>
    </row>
    <row r="12" spans="1:13" x14ac:dyDescent="0.2">
      <c r="A12" s="20">
        <v>10115</v>
      </c>
      <c r="B12" s="19" t="s">
        <v>66</v>
      </c>
      <c r="C12" s="58">
        <f t="shared" si="1"/>
        <v>10786747.592947779</v>
      </c>
      <c r="D12" s="15">
        <f t="shared" ref="D12:M12" si="8">D55*$O55*$C$44</f>
        <v>2284099.3600945524</v>
      </c>
      <c r="E12" s="14">
        <f t="shared" si="8"/>
        <v>642085.70900435757</v>
      </c>
      <c r="F12" s="14">
        <f t="shared" si="8"/>
        <v>374079.88541619538</v>
      </c>
      <c r="G12" s="13">
        <f t="shared" si="8"/>
        <v>4665158.8211907437</v>
      </c>
      <c r="H12" s="15">
        <f t="shared" si="8"/>
        <v>217339.65915294064</v>
      </c>
      <c r="I12" s="13">
        <f t="shared" si="8"/>
        <v>27537.082664785845</v>
      </c>
      <c r="J12" s="16">
        <f t="shared" si="8"/>
        <v>277100.67291458597</v>
      </c>
      <c r="K12" s="15">
        <f t="shared" si="8"/>
        <v>880958.7096895685</v>
      </c>
      <c r="L12" s="14">
        <f t="shared" si="8"/>
        <v>741616.14306880976</v>
      </c>
      <c r="M12" s="13">
        <f t="shared" si="8"/>
        <v>676771.54975124018</v>
      </c>
    </row>
    <row r="13" spans="1:13" x14ac:dyDescent="0.2">
      <c r="A13" s="20">
        <v>11163</v>
      </c>
      <c r="B13" s="19" t="s">
        <v>65</v>
      </c>
      <c r="C13" s="58">
        <f t="shared" si="1"/>
        <v>3194754.5936184726</v>
      </c>
      <c r="D13" s="15">
        <f t="shared" ref="D13:M13" si="9">D56*$O56*$C$44</f>
        <v>611583.97359740862</v>
      </c>
      <c r="E13" s="14">
        <f t="shared" si="9"/>
        <v>157686.73452586518</v>
      </c>
      <c r="F13" s="14">
        <f t="shared" si="9"/>
        <v>375889.53857173235</v>
      </c>
      <c r="G13" s="13">
        <f t="shared" si="9"/>
        <v>1214256.2950081173</v>
      </c>
      <c r="H13" s="15">
        <f t="shared" si="9"/>
        <v>193582.60228713491</v>
      </c>
      <c r="I13" s="13">
        <f t="shared" si="9"/>
        <v>7195.1055717342178</v>
      </c>
      <c r="J13" s="16">
        <f t="shared" si="9"/>
        <v>77487.860766829108</v>
      </c>
      <c r="K13" s="15">
        <f t="shared" si="9"/>
        <v>246061.18975081542</v>
      </c>
      <c r="L13" s="14">
        <f t="shared" si="9"/>
        <v>198208.0272975355</v>
      </c>
      <c r="M13" s="13">
        <f t="shared" si="9"/>
        <v>112803.26624129979</v>
      </c>
    </row>
    <row r="14" spans="1:13" x14ac:dyDescent="0.2">
      <c r="A14" s="20">
        <v>3632</v>
      </c>
      <c r="B14" s="19" t="s">
        <v>64</v>
      </c>
      <c r="C14" s="58">
        <f t="shared" si="1"/>
        <v>26237987.63705476</v>
      </c>
      <c r="D14" s="15">
        <f t="shared" ref="D14:M14" si="10">D57*$O57*$C$44</f>
        <v>4211504.6463737283</v>
      </c>
      <c r="E14" s="14">
        <f t="shared" si="10"/>
        <v>4425589.4658977259</v>
      </c>
      <c r="F14" s="14">
        <f t="shared" si="10"/>
        <v>760228.66940250318</v>
      </c>
      <c r="G14" s="13">
        <f t="shared" si="10"/>
        <v>9688187.4372965265</v>
      </c>
      <c r="H14" s="15">
        <f t="shared" si="10"/>
        <v>849561.31334797863</v>
      </c>
      <c r="I14" s="13">
        <f t="shared" si="10"/>
        <v>60717.371231903191</v>
      </c>
      <c r="J14" s="16">
        <f t="shared" si="10"/>
        <v>287125.70218108891</v>
      </c>
      <c r="K14" s="15">
        <f t="shared" si="10"/>
        <v>1696825.6467789831</v>
      </c>
      <c r="L14" s="14">
        <f t="shared" si="10"/>
        <v>1931535.2310225198</v>
      </c>
      <c r="M14" s="13">
        <f t="shared" si="10"/>
        <v>2326712.1535218013</v>
      </c>
    </row>
    <row r="15" spans="1:13" x14ac:dyDescent="0.2">
      <c r="A15" s="20">
        <v>10298</v>
      </c>
      <c r="B15" s="19" t="s">
        <v>63</v>
      </c>
      <c r="C15" s="58">
        <f t="shared" si="1"/>
        <v>2469427.292292133</v>
      </c>
      <c r="D15" s="15">
        <f t="shared" ref="D15:M15" si="11">D58*$O58*$C$44</f>
        <v>360399.62802408164</v>
      </c>
      <c r="E15" s="14">
        <f t="shared" si="11"/>
        <v>51677.874281243552</v>
      </c>
      <c r="F15" s="14">
        <f t="shared" si="11"/>
        <v>521316.85166398634</v>
      </c>
      <c r="G15" s="13">
        <f t="shared" si="11"/>
        <v>921540.97621924954</v>
      </c>
      <c r="H15" s="15">
        <f t="shared" si="11"/>
        <v>48867.74617275683</v>
      </c>
      <c r="I15" s="13">
        <f t="shared" si="11"/>
        <v>0</v>
      </c>
      <c r="J15" s="16">
        <f t="shared" si="11"/>
        <v>33090.445265552487</v>
      </c>
      <c r="K15" s="15">
        <f t="shared" si="11"/>
        <v>221525.47180864518</v>
      </c>
      <c r="L15" s="14">
        <f t="shared" si="11"/>
        <v>154606.57858023731</v>
      </c>
      <c r="M15" s="13">
        <f t="shared" si="11"/>
        <v>156401.7202763794</v>
      </c>
    </row>
    <row r="16" spans="1:13" x14ac:dyDescent="0.2">
      <c r="A16" s="20">
        <v>3630</v>
      </c>
      <c r="B16" s="19" t="s">
        <v>62</v>
      </c>
      <c r="C16" s="58">
        <f t="shared" si="1"/>
        <v>2884916.8268996375</v>
      </c>
      <c r="D16" s="15">
        <f t="shared" ref="D16:M16" si="12">D59*$O59*$C$44</f>
        <v>481215.51311908133</v>
      </c>
      <c r="E16" s="14">
        <f t="shared" si="12"/>
        <v>89425.882854629279</v>
      </c>
      <c r="F16" s="14">
        <f t="shared" si="12"/>
        <v>203309.11763606707</v>
      </c>
      <c r="G16" s="13">
        <f t="shared" si="12"/>
        <v>1065338.1671177091</v>
      </c>
      <c r="H16" s="15">
        <f t="shared" si="12"/>
        <v>162232.49943886438</v>
      </c>
      <c r="I16" s="13">
        <f t="shared" si="12"/>
        <v>4968.0490852450557</v>
      </c>
      <c r="J16" s="16">
        <f t="shared" si="12"/>
        <v>66003.101778041906</v>
      </c>
      <c r="K16" s="15">
        <f t="shared" si="12"/>
        <v>285748.47842030181</v>
      </c>
      <c r="L16" s="14">
        <f t="shared" si="12"/>
        <v>263015.37105437013</v>
      </c>
      <c r="M16" s="13">
        <f t="shared" si="12"/>
        <v>263660.64639532729</v>
      </c>
    </row>
    <row r="17" spans="1:13" x14ac:dyDescent="0.2">
      <c r="A17" s="20">
        <v>3631</v>
      </c>
      <c r="B17" s="19" t="s">
        <v>61</v>
      </c>
      <c r="C17" s="58">
        <f t="shared" si="1"/>
        <v>4047649.4527854314</v>
      </c>
      <c r="D17" s="15">
        <f t="shared" ref="D17:M17" si="13">D60*$O60*$C$44</f>
        <v>794202.60548951977</v>
      </c>
      <c r="E17" s="14">
        <f t="shared" si="13"/>
        <v>189814.42271199526</v>
      </c>
      <c r="F17" s="14">
        <f t="shared" si="13"/>
        <v>315553.78892010136</v>
      </c>
      <c r="G17" s="13">
        <f t="shared" si="13"/>
        <v>1604787.7811177424</v>
      </c>
      <c r="H17" s="15">
        <f t="shared" si="13"/>
        <v>104329.03079014615</v>
      </c>
      <c r="I17" s="13">
        <f t="shared" si="13"/>
        <v>24497.621351380789</v>
      </c>
      <c r="J17" s="16">
        <f t="shared" si="13"/>
        <v>98264.584665398754</v>
      </c>
      <c r="K17" s="15">
        <f t="shared" si="13"/>
        <v>369063.23261998617</v>
      </c>
      <c r="L17" s="14">
        <f t="shared" si="13"/>
        <v>295901.57183819346</v>
      </c>
      <c r="M17" s="13">
        <f t="shared" si="13"/>
        <v>251234.81328096718</v>
      </c>
    </row>
    <row r="18" spans="1:13" x14ac:dyDescent="0.2">
      <c r="A18" s="78">
        <v>103631</v>
      </c>
      <c r="B18" s="19" t="s">
        <v>60</v>
      </c>
      <c r="C18" s="58">
        <f t="shared" si="1"/>
        <v>2006413.3052154304</v>
      </c>
      <c r="D18" s="15">
        <f t="shared" ref="D18:M18" si="14">D61*$O61*$C$44</f>
        <v>267827.99615655158</v>
      </c>
      <c r="E18" s="14">
        <f t="shared" si="14"/>
        <v>64010.89108141583</v>
      </c>
      <c r="F18" s="14">
        <f t="shared" si="14"/>
        <v>983087.52545309963</v>
      </c>
      <c r="G18" s="13">
        <f t="shared" si="14"/>
        <v>496645.4192306333</v>
      </c>
      <c r="H18" s="15">
        <f t="shared" si="14"/>
        <v>23660.402267269583</v>
      </c>
      <c r="I18" s="13">
        <f t="shared" si="14"/>
        <v>0</v>
      </c>
      <c r="J18" s="16">
        <f t="shared" si="14"/>
        <v>30440.465080906837</v>
      </c>
      <c r="K18" s="15">
        <f t="shared" si="14"/>
        <v>95999.173133593809</v>
      </c>
      <c r="L18" s="14">
        <f t="shared" si="14"/>
        <v>33531.832393532059</v>
      </c>
      <c r="M18" s="13">
        <f t="shared" si="14"/>
        <v>11209.600418427723</v>
      </c>
    </row>
    <row r="19" spans="1:13" x14ac:dyDescent="0.2">
      <c r="A19" s="20">
        <v>11161</v>
      </c>
      <c r="B19" s="19" t="s">
        <v>59</v>
      </c>
      <c r="C19" s="58">
        <f t="shared" si="1"/>
        <v>3784062.8086140286</v>
      </c>
      <c r="D19" s="15">
        <f t="shared" ref="D19:M19" si="15">D62*$O62*$C$44</f>
        <v>713514.63586364326</v>
      </c>
      <c r="E19" s="14">
        <f t="shared" si="15"/>
        <v>181232.71750936538</v>
      </c>
      <c r="F19" s="14">
        <f t="shared" si="15"/>
        <v>274654.0632815297</v>
      </c>
      <c r="G19" s="13">
        <f t="shared" si="15"/>
        <v>1441179.646018371</v>
      </c>
      <c r="H19" s="15">
        <f t="shared" si="15"/>
        <v>136878.31790037235</v>
      </c>
      <c r="I19" s="13">
        <f t="shared" si="15"/>
        <v>13191.026881512733</v>
      </c>
      <c r="J19" s="16">
        <f t="shared" si="15"/>
        <v>88808.160199690916</v>
      </c>
      <c r="K19" s="15">
        <f t="shared" si="15"/>
        <v>351874.92486528773</v>
      </c>
      <c r="L19" s="14">
        <f t="shared" si="15"/>
        <v>326931.89221660909</v>
      </c>
      <c r="M19" s="13">
        <f t="shared" si="15"/>
        <v>255797.4238776463</v>
      </c>
    </row>
    <row r="20" spans="1:13" x14ac:dyDescent="0.2">
      <c r="A20" s="20">
        <v>3639</v>
      </c>
      <c r="B20" s="19" t="s">
        <v>58</v>
      </c>
      <c r="C20" s="58">
        <f t="shared" si="1"/>
        <v>2366131.3001758303</v>
      </c>
      <c r="D20" s="15">
        <f t="shared" ref="D20:M20" si="16">D63*$O63*$C$44</f>
        <v>391448.00550982589</v>
      </c>
      <c r="E20" s="14">
        <f t="shared" si="16"/>
        <v>78746.290441726669</v>
      </c>
      <c r="F20" s="14">
        <f t="shared" si="16"/>
        <v>229723.00792830158</v>
      </c>
      <c r="G20" s="13">
        <f t="shared" si="16"/>
        <v>906302.35029714217</v>
      </c>
      <c r="H20" s="15">
        <f t="shared" si="16"/>
        <v>133623.38918934978</v>
      </c>
      <c r="I20" s="13">
        <f t="shared" si="16"/>
        <v>8565.6018711121633</v>
      </c>
      <c r="J20" s="16">
        <f t="shared" si="16"/>
        <v>53312.306045802121</v>
      </c>
      <c r="K20" s="15">
        <f t="shared" si="16"/>
        <v>210256.97392956659</v>
      </c>
      <c r="L20" s="14">
        <f t="shared" si="16"/>
        <v>191452.62262185168</v>
      </c>
      <c r="M20" s="13">
        <f t="shared" si="16"/>
        <v>162700.75234115185</v>
      </c>
    </row>
    <row r="21" spans="1:13" x14ac:dyDescent="0.2">
      <c r="A21" s="78">
        <v>103639</v>
      </c>
      <c r="B21" s="19" t="s">
        <v>57</v>
      </c>
      <c r="C21" s="58">
        <f t="shared" si="1"/>
        <v>1624093.6285564043</v>
      </c>
      <c r="D21" s="15">
        <f t="shared" ref="D21:M21" si="17">D64*$O64*$C$44</f>
        <v>304387.70327513909</v>
      </c>
      <c r="E21" s="14">
        <f t="shared" si="17"/>
        <v>61232.659642182145</v>
      </c>
      <c r="F21" s="14">
        <f t="shared" si="17"/>
        <v>538658.79032361961</v>
      </c>
      <c r="G21" s="13">
        <f t="shared" si="17"/>
        <v>531433.65070278686</v>
      </c>
      <c r="H21" s="15">
        <f t="shared" si="17"/>
        <v>2589.7989501571674</v>
      </c>
      <c r="I21" s="13">
        <f t="shared" si="17"/>
        <v>1035.919580062867</v>
      </c>
      <c r="J21" s="16">
        <f t="shared" si="17"/>
        <v>40635.672060599391</v>
      </c>
      <c r="K21" s="15">
        <f t="shared" si="17"/>
        <v>125979.3311532009</v>
      </c>
      <c r="L21" s="14">
        <f t="shared" si="17"/>
        <v>17357.40807483115</v>
      </c>
      <c r="M21" s="13">
        <f t="shared" si="17"/>
        <v>782.69479382527732</v>
      </c>
    </row>
    <row r="22" spans="1:13" x14ac:dyDescent="0.2">
      <c r="A22" s="20">
        <v>9651</v>
      </c>
      <c r="B22" s="19" t="s">
        <v>56</v>
      </c>
      <c r="C22" s="58">
        <f t="shared" si="1"/>
        <v>2234416.3216240499</v>
      </c>
      <c r="D22" s="15">
        <f t="shared" ref="D22:M22" si="18">D65*$O65*$C$44</f>
        <v>405838.21665329434</v>
      </c>
      <c r="E22" s="14">
        <f t="shared" si="18"/>
        <v>96048.377941279658</v>
      </c>
      <c r="F22" s="14">
        <f t="shared" si="18"/>
        <v>248310.21576926968</v>
      </c>
      <c r="G22" s="13">
        <f t="shared" si="18"/>
        <v>749574.10662065388</v>
      </c>
      <c r="H22" s="15">
        <f t="shared" si="18"/>
        <v>59445.276985518423</v>
      </c>
      <c r="I22" s="13">
        <f t="shared" si="18"/>
        <v>11477.906507290299</v>
      </c>
      <c r="J22" s="16">
        <f t="shared" si="18"/>
        <v>58602.421761400983</v>
      </c>
      <c r="K22" s="15">
        <f t="shared" si="18"/>
        <v>240978.93264062225</v>
      </c>
      <c r="L22" s="14">
        <f t="shared" si="18"/>
        <v>226194.70381108264</v>
      </c>
      <c r="M22" s="13">
        <f t="shared" si="18"/>
        <v>137946.16293363774</v>
      </c>
    </row>
    <row r="23" spans="1:13" x14ac:dyDescent="0.2">
      <c r="A23" s="20">
        <v>3665</v>
      </c>
      <c r="B23" s="19" t="s">
        <v>55</v>
      </c>
      <c r="C23" s="58">
        <f t="shared" si="1"/>
        <v>3354219.4215095374</v>
      </c>
      <c r="D23" s="15">
        <f t="shared" ref="D23:M23" si="19">D66*$O66*$C$44</f>
        <v>645332.44496959052</v>
      </c>
      <c r="E23" s="14">
        <f t="shared" si="19"/>
        <v>151868.23538284362</v>
      </c>
      <c r="F23" s="14">
        <f t="shared" si="19"/>
        <v>297925.19054959854</v>
      </c>
      <c r="G23" s="13">
        <f t="shared" si="19"/>
        <v>1286678.458828374</v>
      </c>
      <c r="H23" s="15">
        <f t="shared" si="19"/>
        <v>98504.421517789888</v>
      </c>
      <c r="I23" s="13">
        <f t="shared" si="19"/>
        <v>31178.790810848281</v>
      </c>
      <c r="J23" s="16">
        <f t="shared" si="19"/>
        <v>73129.682534807216</v>
      </c>
      <c r="K23" s="15">
        <f t="shared" si="19"/>
        <v>306934.06704818591</v>
      </c>
      <c r="L23" s="14">
        <f t="shared" si="19"/>
        <v>270067.71659491915</v>
      </c>
      <c r="M23" s="13">
        <f t="shared" si="19"/>
        <v>192600.41327258074</v>
      </c>
    </row>
    <row r="24" spans="1:13" x14ac:dyDescent="0.2">
      <c r="A24" s="20">
        <v>3565</v>
      </c>
      <c r="B24" s="19" t="s">
        <v>54</v>
      </c>
      <c r="C24" s="58">
        <f t="shared" si="1"/>
        <v>3347262.0707463971</v>
      </c>
      <c r="D24" s="15">
        <f t="shared" ref="D24:M24" si="20">D67*$O67*$C$44</f>
        <v>680622.7246785725</v>
      </c>
      <c r="E24" s="14">
        <f t="shared" si="20"/>
        <v>149736.99942928596</v>
      </c>
      <c r="F24" s="14">
        <f t="shared" si="20"/>
        <v>362266.31084924308</v>
      </c>
      <c r="G24" s="13">
        <f t="shared" si="20"/>
        <v>1285779.0706319113</v>
      </c>
      <c r="H24" s="15">
        <f t="shared" si="20"/>
        <v>37517.336195471282</v>
      </c>
      <c r="I24" s="13">
        <f t="shared" si="20"/>
        <v>38202.584345160249</v>
      </c>
      <c r="J24" s="16">
        <f t="shared" si="20"/>
        <v>83819.553669955189</v>
      </c>
      <c r="K24" s="15">
        <f t="shared" si="20"/>
        <v>324293.68684030656</v>
      </c>
      <c r="L24" s="14">
        <f t="shared" si="20"/>
        <v>253290.55773003411</v>
      </c>
      <c r="M24" s="13">
        <f t="shared" si="20"/>
        <v>131733.24637645768</v>
      </c>
    </row>
    <row r="25" spans="1:13" x14ac:dyDescent="0.2">
      <c r="A25" s="20">
        <v>29269</v>
      </c>
      <c r="B25" s="19" t="s">
        <v>53</v>
      </c>
      <c r="C25" s="58">
        <f t="shared" si="1"/>
        <v>1367661.8256540794</v>
      </c>
      <c r="D25" s="15">
        <f t="shared" ref="D25:M25" si="21">D68*$O68*$C$44</f>
        <v>201113.41927179147</v>
      </c>
      <c r="E25" s="14">
        <f t="shared" si="21"/>
        <v>54504.33418966498</v>
      </c>
      <c r="F25" s="14">
        <f t="shared" si="21"/>
        <v>563869.39982745273</v>
      </c>
      <c r="G25" s="13">
        <f t="shared" si="21"/>
        <v>360671.80252876342</v>
      </c>
      <c r="H25" s="15">
        <f t="shared" si="21"/>
        <v>24242.215437776213</v>
      </c>
      <c r="I25" s="13">
        <f t="shared" si="21"/>
        <v>11248.387963128162</v>
      </c>
      <c r="J25" s="16">
        <f t="shared" si="21"/>
        <v>22248.535640173501</v>
      </c>
      <c r="K25" s="15">
        <f t="shared" si="21"/>
        <v>83910.388368622749</v>
      </c>
      <c r="L25" s="14">
        <f t="shared" si="21"/>
        <v>45633.546340069945</v>
      </c>
      <c r="M25" s="13">
        <f t="shared" si="21"/>
        <v>219.79608663583767</v>
      </c>
    </row>
    <row r="26" spans="1:13" x14ac:dyDescent="0.2">
      <c r="A26" s="20">
        <v>3652</v>
      </c>
      <c r="B26" s="19" t="s">
        <v>52</v>
      </c>
      <c r="C26" s="58">
        <f t="shared" si="1"/>
        <v>14125056.356605634</v>
      </c>
      <c r="D26" s="15">
        <f t="shared" ref="D26:M26" si="22">D69*$O69*$C$44</f>
        <v>2456965.3713311935</v>
      </c>
      <c r="E26" s="14">
        <f t="shared" si="22"/>
        <v>1647190.5343632875</v>
      </c>
      <c r="F26" s="14">
        <f t="shared" si="22"/>
        <v>645274.15424737614</v>
      </c>
      <c r="G26" s="13">
        <f t="shared" si="22"/>
        <v>5098450.5125798592</v>
      </c>
      <c r="H26" s="15">
        <f t="shared" si="22"/>
        <v>355148.43331676704</v>
      </c>
      <c r="I26" s="13">
        <f t="shared" si="22"/>
        <v>30198.057649729621</v>
      </c>
      <c r="J26" s="16">
        <f t="shared" si="22"/>
        <v>260063.10243201203</v>
      </c>
      <c r="K26" s="15">
        <f t="shared" si="22"/>
        <v>1282204.7089685334</v>
      </c>
      <c r="L26" s="14">
        <f t="shared" si="22"/>
        <v>1233936.0051188325</v>
      </c>
      <c r="M26" s="13">
        <f t="shared" si="22"/>
        <v>1115625.4765980432</v>
      </c>
    </row>
    <row r="27" spans="1:13" x14ac:dyDescent="0.2">
      <c r="A27" s="20">
        <v>11711</v>
      </c>
      <c r="B27" s="19" t="s">
        <v>51</v>
      </c>
      <c r="C27" s="58">
        <f t="shared" si="1"/>
        <v>3044484.4675070825</v>
      </c>
      <c r="D27" s="15">
        <f t="shared" ref="D27:M27" si="23">D70*$O70*$C$44</f>
        <v>611926.59767225303</v>
      </c>
      <c r="E27" s="14">
        <f t="shared" si="23"/>
        <v>159151.28439530917</v>
      </c>
      <c r="F27" s="14">
        <f t="shared" si="23"/>
        <v>509999.27575215185</v>
      </c>
      <c r="G27" s="13">
        <f t="shared" si="23"/>
        <v>1173292.1606197152</v>
      </c>
      <c r="H27" s="15">
        <f t="shared" si="23"/>
        <v>54819.851975117854</v>
      </c>
      <c r="I27" s="13">
        <f t="shared" si="23"/>
        <v>4282.8009355560816</v>
      </c>
      <c r="J27" s="16">
        <f t="shared" si="23"/>
        <v>63673.258069099378</v>
      </c>
      <c r="K27" s="15">
        <f t="shared" si="23"/>
        <v>238352.14806681449</v>
      </c>
      <c r="L27" s="14">
        <f t="shared" si="23"/>
        <v>212386.95359484982</v>
      </c>
      <c r="M27" s="13">
        <f t="shared" si="23"/>
        <v>16600.136426215377</v>
      </c>
    </row>
    <row r="28" spans="1:13" x14ac:dyDescent="0.2">
      <c r="A28" s="20">
        <v>12826</v>
      </c>
      <c r="B28" s="19" t="s">
        <v>50</v>
      </c>
      <c r="C28" s="58">
        <f t="shared" si="1"/>
        <v>5290160.2831567749</v>
      </c>
      <c r="D28" s="15">
        <f t="shared" ref="D28:M28" si="24">D71*$O71*$C$44</f>
        <v>1233952.8731182185</v>
      </c>
      <c r="E28" s="14">
        <f t="shared" si="24"/>
        <v>117225.52294623078</v>
      </c>
      <c r="F28" s="14">
        <f t="shared" si="24"/>
        <v>386307.77299512899</v>
      </c>
      <c r="G28" s="13">
        <f t="shared" si="24"/>
        <v>2212370.2838244573</v>
      </c>
      <c r="H28" s="15">
        <f t="shared" si="24"/>
        <v>67162.11944074255</v>
      </c>
      <c r="I28" s="13">
        <f t="shared" si="24"/>
        <v>863.26631671905591</v>
      </c>
      <c r="J28" s="16">
        <f t="shared" si="24"/>
        <v>139310.46512685437</v>
      </c>
      <c r="K28" s="15">
        <f t="shared" si="24"/>
        <v>536145.93377031502</v>
      </c>
      <c r="L28" s="14">
        <f t="shared" si="24"/>
        <v>419346.00111822668</v>
      </c>
      <c r="M28" s="13">
        <f t="shared" si="24"/>
        <v>177476.04449988165</v>
      </c>
    </row>
    <row r="29" spans="1:13" x14ac:dyDescent="0.2">
      <c r="A29" s="20">
        <v>13231</v>
      </c>
      <c r="B29" s="19" t="s">
        <v>49</v>
      </c>
      <c r="C29" s="58">
        <f t="shared" si="1"/>
        <v>1955467.9624374735</v>
      </c>
      <c r="D29" s="15">
        <f t="shared" ref="D29:M29" si="25">D72*$O72*$C$44</f>
        <v>335512.26165882277</v>
      </c>
      <c r="E29" s="14">
        <f t="shared" si="25"/>
        <v>87328.837002991248</v>
      </c>
      <c r="F29" s="14">
        <f t="shared" si="25"/>
        <v>583044.41651916271</v>
      </c>
      <c r="G29" s="13">
        <f t="shared" si="25"/>
        <v>630964.74715102976</v>
      </c>
      <c r="H29" s="15">
        <f t="shared" si="25"/>
        <v>62835.822414715942</v>
      </c>
      <c r="I29" s="13">
        <f t="shared" si="25"/>
        <v>4266.6299170486127</v>
      </c>
      <c r="J29" s="16">
        <f t="shared" si="25"/>
        <v>35746.601195927295</v>
      </c>
      <c r="K29" s="15">
        <f t="shared" si="25"/>
        <v>138859.41002758217</v>
      </c>
      <c r="L29" s="14">
        <f t="shared" si="25"/>
        <v>74711.275683834581</v>
      </c>
      <c r="M29" s="13">
        <f t="shared" si="25"/>
        <v>2197.9608663583772</v>
      </c>
    </row>
    <row r="30" spans="1:13" x14ac:dyDescent="0.2">
      <c r="A30" s="20">
        <v>3592</v>
      </c>
      <c r="B30" s="19" t="s">
        <v>48</v>
      </c>
      <c r="C30" s="58">
        <f t="shared" si="1"/>
        <v>2877982.4112874297</v>
      </c>
      <c r="D30" s="15">
        <f t="shared" ref="D30:M30" si="26">D73*$O73*$C$44</f>
        <v>530210.75582184305</v>
      </c>
      <c r="E30" s="14">
        <f t="shared" si="26"/>
        <v>116469.62936219815</v>
      </c>
      <c r="F30" s="14">
        <f t="shared" si="26"/>
        <v>309935.8812707247</v>
      </c>
      <c r="G30" s="13">
        <f t="shared" si="26"/>
        <v>1008342.6522673258</v>
      </c>
      <c r="H30" s="15">
        <f t="shared" si="26"/>
        <v>171312.03742224327</v>
      </c>
      <c r="I30" s="13">
        <f t="shared" si="26"/>
        <v>7709.0416840009475</v>
      </c>
      <c r="J30" s="16">
        <f t="shared" si="26"/>
        <v>56765.956720234535</v>
      </c>
      <c r="K30" s="15">
        <f t="shared" si="26"/>
        <v>246346.70981318585</v>
      </c>
      <c r="L30" s="14">
        <f t="shared" si="26"/>
        <v>232950.10848676646</v>
      </c>
      <c r="M30" s="13">
        <f t="shared" si="26"/>
        <v>197939.63843890731</v>
      </c>
    </row>
    <row r="31" spans="1:13" x14ac:dyDescent="0.2">
      <c r="A31" s="20">
        <v>3594</v>
      </c>
      <c r="B31" s="19" t="s">
        <v>47</v>
      </c>
      <c r="C31" s="58">
        <f t="shared" si="1"/>
        <v>15420016.980766514</v>
      </c>
      <c r="D31" s="15">
        <f t="shared" ref="D31:M31" si="27">D74*$O74*$C$44</f>
        <v>2899334.7903064881</v>
      </c>
      <c r="E31" s="14">
        <f t="shared" si="27"/>
        <v>2088729.1051832992</v>
      </c>
      <c r="F31" s="14">
        <f t="shared" si="27"/>
        <v>779656.36075328791</v>
      </c>
      <c r="G31" s="13">
        <f t="shared" si="27"/>
        <v>5499043.8101001056</v>
      </c>
      <c r="H31" s="15">
        <f t="shared" si="27"/>
        <v>162234.24588418577</v>
      </c>
      <c r="I31" s="13">
        <f t="shared" si="27"/>
        <v>20881.635608855591</v>
      </c>
      <c r="J31" s="16">
        <f t="shared" si="27"/>
        <v>294527.43886459706</v>
      </c>
      <c r="K31" s="15">
        <f t="shared" si="27"/>
        <v>1326449.6822643739</v>
      </c>
      <c r="L31" s="14">
        <f t="shared" si="27"/>
        <v>1223527.3129076487</v>
      </c>
      <c r="M31" s="13">
        <f t="shared" si="27"/>
        <v>1125632.5988936718</v>
      </c>
    </row>
    <row r="32" spans="1:13" x14ac:dyDescent="0.2">
      <c r="A32" s="78">
        <v>113594</v>
      </c>
      <c r="B32" s="19" t="s">
        <v>46</v>
      </c>
      <c r="C32" s="58">
        <f t="shared" si="1"/>
        <v>1412611.065223505</v>
      </c>
      <c r="D32" s="15">
        <f t="shared" ref="D32:M32" si="28">D75*$O75*$C$44</f>
        <v>234739.70929413554</v>
      </c>
      <c r="E32" s="14">
        <f t="shared" si="28"/>
        <v>30985.641626825891</v>
      </c>
      <c r="F32" s="14">
        <f t="shared" si="28"/>
        <v>602538.91397572635</v>
      </c>
      <c r="G32" s="13">
        <f t="shared" si="28"/>
        <v>410640.32516073814</v>
      </c>
      <c r="H32" s="15">
        <f t="shared" si="28"/>
        <v>6981.1065961081185</v>
      </c>
      <c r="I32" s="13">
        <f t="shared" si="28"/>
        <v>0</v>
      </c>
      <c r="J32" s="16">
        <f t="shared" si="28"/>
        <v>28715.618465324729</v>
      </c>
      <c r="K32" s="15">
        <f t="shared" si="28"/>
        <v>79451.64173665909</v>
      </c>
      <c r="L32" s="14">
        <f t="shared" si="28"/>
        <v>15449.853764482137</v>
      </c>
      <c r="M32" s="13">
        <f t="shared" si="28"/>
        <v>3108.2546035052824</v>
      </c>
    </row>
    <row r="33" spans="1:16" x14ac:dyDescent="0.2">
      <c r="A33" s="20">
        <v>3624</v>
      </c>
      <c r="B33" s="19" t="s">
        <v>45</v>
      </c>
      <c r="C33" s="58">
        <f t="shared" si="1"/>
        <v>5048170.153060778</v>
      </c>
      <c r="D33" s="15">
        <f t="shared" ref="D33:M33" si="29">D76*$O76*$C$44</f>
        <v>987613.89573923254</v>
      </c>
      <c r="E33" s="14">
        <f t="shared" si="29"/>
        <v>273569.04911976744</v>
      </c>
      <c r="F33" s="14">
        <f t="shared" si="29"/>
        <v>260277.08916988855</v>
      </c>
      <c r="G33" s="13">
        <f t="shared" si="29"/>
        <v>1912734.8733472063</v>
      </c>
      <c r="H33" s="15">
        <f t="shared" si="29"/>
        <v>127456.15584214899</v>
      </c>
      <c r="I33" s="13">
        <f t="shared" si="29"/>
        <v>22955.813014580599</v>
      </c>
      <c r="J33" s="16">
        <f t="shared" si="29"/>
        <v>120082.88575149565</v>
      </c>
      <c r="K33" s="15">
        <f t="shared" si="29"/>
        <v>474420.13563466573</v>
      </c>
      <c r="L33" s="14">
        <f t="shared" si="29"/>
        <v>462114.2209465013</v>
      </c>
      <c r="M33" s="13">
        <f t="shared" si="29"/>
        <v>406946.03449529159</v>
      </c>
    </row>
    <row r="34" spans="1:16" x14ac:dyDescent="0.2">
      <c r="A34" s="20">
        <v>3642</v>
      </c>
      <c r="B34" s="19" t="s">
        <v>44</v>
      </c>
      <c r="C34" s="58">
        <f t="shared" si="1"/>
        <v>2254331.6885476471</v>
      </c>
      <c r="D34" s="15">
        <f t="shared" ref="D34:M34" si="30">D77*$O77*$C$44</f>
        <v>389734.88513560349</v>
      </c>
      <c r="E34" s="14">
        <f t="shared" si="30"/>
        <v>27995.955915574181</v>
      </c>
      <c r="F34" s="14">
        <f t="shared" si="30"/>
        <v>166177.1434009058</v>
      </c>
      <c r="G34" s="13">
        <f t="shared" si="30"/>
        <v>765072.70664624264</v>
      </c>
      <c r="H34" s="15">
        <f t="shared" si="30"/>
        <v>69038.751081164053</v>
      </c>
      <c r="I34" s="13">
        <f t="shared" si="30"/>
        <v>1541.8083368001894</v>
      </c>
      <c r="J34" s="16">
        <f t="shared" si="30"/>
        <v>54792.442049130295</v>
      </c>
      <c r="K34" s="15">
        <f t="shared" si="30"/>
        <v>280494.9092726864</v>
      </c>
      <c r="L34" s="14">
        <f t="shared" si="30"/>
        <v>252325.49991922214</v>
      </c>
      <c r="M34" s="13">
        <f t="shared" si="30"/>
        <v>247157.58679031779</v>
      </c>
    </row>
    <row r="35" spans="1:16" x14ac:dyDescent="0.2">
      <c r="A35" s="20">
        <v>3644</v>
      </c>
      <c r="B35" s="19" t="s">
        <v>43</v>
      </c>
      <c r="C35" s="58">
        <f t="shared" si="1"/>
        <v>13989755.073799973</v>
      </c>
      <c r="D35" s="15">
        <f t="shared" ref="D35:M35" si="31">D78*$O78*$C$44</f>
        <v>2252325.3423644085</v>
      </c>
      <c r="E35" s="14">
        <f t="shared" si="31"/>
        <v>2060877.6882634335</v>
      </c>
      <c r="F35" s="14">
        <f t="shared" si="31"/>
        <v>634317.12180032406</v>
      </c>
      <c r="G35" s="13">
        <f t="shared" si="31"/>
        <v>4880574.7391964188</v>
      </c>
      <c r="H35" s="15">
        <f t="shared" si="31"/>
        <v>350490.22229632997</v>
      </c>
      <c r="I35" s="13">
        <f t="shared" si="31"/>
        <v>27628.010190178167</v>
      </c>
      <c r="J35" s="16">
        <f t="shared" si="31"/>
        <v>214187.75527901849</v>
      </c>
      <c r="K35" s="15">
        <f t="shared" si="31"/>
        <v>1093812.1987851001</v>
      </c>
      <c r="L35" s="14">
        <f t="shared" si="31"/>
        <v>1144594.7303061746</v>
      </c>
      <c r="M35" s="13">
        <f t="shared" si="31"/>
        <v>1330947.2653185886</v>
      </c>
    </row>
    <row r="36" spans="1:16" x14ac:dyDescent="0.2">
      <c r="A36" s="20">
        <v>3541</v>
      </c>
      <c r="B36" s="19" t="s">
        <v>42</v>
      </c>
      <c r="C36" s="58">
        <f t="shared" si="1"/>
        <v>2778920.8359731887</v>
      </c>
      <c r="D36" s="15">
        <f t="shared" ref="D36:M36" si="32">D79*$O79*$C$44</f>
        <v>509481.99929375155</v>
      </c>
      <c r="E36" s="14">
        <f t="shared" si="32"/>
        <v>109453.71618160761</v>
      </c>
      <c r="F36" s="14">
        <f t="shared" si="32"/>
        <v>260895.82197142838</v>
      </c>
      <c r="G36" s="13">
        <f t="shared" si="32"/>
        <v>1016231.5715906209</v>
      </c>
      <c r="H36" s="15">
        <f t="shared" si="32"/>
        <v>130711.08455317163</v>
      </c>
      <c r="I36" s="13">
        <f t="shared" si="32"/>
        <v>9936.0981704901114</v>
      </c>
      <c r="J36" s="16">
        <f t="shared" si="32"/>
        <v>59452.129467015315</v>
      </c>
      <c r="K36" s="15">
        <f t="shared" si="32"/>
        <v>246460.91783813405</v>
      </c>
      <c r="L36" s="14">
        <f t="shared" si="32"/>
        <v>230203.40548676319</v>
      </c>
      <c r="M36" s="13">
        <f t="shared" si="32"/>
        <v>206094.0914202061</v>
      </c>
    </row>
    <row r="37" spans="1:16" x14ac:dyDescent="0.2">
      <c r="A37" s="20">
        <v>3646</v>
      </c>
      <c r="B37" s="19" t="s">
        <v>41</v>
      </c>
      <c r="C37" s="58">
        <f t="shared" si="1"/>
        <v>4887548.996211498</v>
      </c>
      <c r="D37" s="15">
        <f t="shared" ref="D37:M37" si="33">D80*$O80*$C$44</f>
        <v>1001314.8582403336</v>
      </c>
      <c r="E37" s="14">
        <f t="shared" si="33"/>
        <v>349570.14273234771</v>
      </c>
      <c r="F37" s="14">
        <f t="shared" si="33"/>
        <v>509077.57216375548</v>
      </c>
      <c r="G37" s="13">
        <f t="shared" si="33"/>
        <v>1914017.60221701</v>
      </c>
      <c r="H37" s="15">
        <f t="shared" si="33"/>
        <v>315659.98115069955</v>
      </c>
      <c r="I37" s="13">
        <f t="shared" si="33"/>
        <v>17557.200356742655</v>
      </c>
      <c r="J37" s="16">
        <f t="shared" si="33"/>
        <v>110621.45100559878</v>
      </c>
      <c r="K37" s="15">
        <f t="shared" si="33"/>
        <v>284093.98303562962</v>
      </c>
      <c r="L37" s="14">
        <f t="shared" si="33"/>
        <v>214955.5761571303</v>
      </c>
      <c r="M37" s="13">
        <f t="shared" si="33"/>
        <v>170680.62915224984</v>
      </c>
    </row>
    <row r="38" spans="1:16" x14ac:dyDescent="0.2">
      <c r="A38" s="20">
        <v>3581</v>
      </c>
      <c r="B38" s="19" t="s">
        <v>40</v>
      </c>
      <c r="C38" s="58">
        <f t="shared" si="1"/>
        <v>3671981.7024342818</v>
      </c>
      <c r="D38" s="15">
        <f t="shared" ref="D38:M38" si="34">D81*$O81*$C$44</f>
        <v>686276.02191350656</v>
      </c>
      <c r="E38" s="14">
        <f t="shared" si="34"/>
        <v>120212.68317184923</v>
      </c>
      <c r="F38" s="14">
        <f t="shared" si="34"/>
        <v>235831.52339274314</v>
      </c>
      <c r="G38" s="13">
        <f t="shared" si="34"/>
        <v>1379867.0678249514</v>
      </c>
      <c r="H38" s="15">
        <f t="shared" si="34"/>
        <v>169598.91704802084</v>
      </c>
      <c r="I38" s="13">
        <f t="shared" si="34"/>
        <v>8736.9139085344068</v>
      </c>
      <c r="J38" s="16">
        <f t="shared" si="34"/>
        <v>78008.649360592695</v>
      </c>
      <c r="K38" s="15">
        <f t="shared" si="34"/>
        <v>367407.21625823778</v>
      </c>
      <c r="L38" s="14">
        <f t="shared" si="34"/>
        <v>331608.71083823632</v>
      </c>
      <c r="M38" s="13">
        <f t="shared" si="34"/>
        <v>294433.99871760956</v>
      </c>
    </row>
    <row r="39" spans="1:16" x14ac:dyDescent="0.2">
      <c r="A39" s="20">
        <v>3606</v>
      </c>
      <c r="B39" s="19" t="s">
        <v>39</v>
      </c>
      <c r="C39" s="58">
        <f t="shared" si="1"/>
        <v>7500339.7781793764</v>
      </c>
      <c r="D39" s="15">
        <f t="shared" ref="D39:M39" si="35">D82*$O82*$C$44</f>
        <v>1581724.0415195723</v>
      </c>
      <c r="E39" s="14">
        <f t="shared" si="35"/>
        <v>463972.38551240781</v>
      </c>
      <c r="F39" s="14">
        <f t="shared" si="35"/>
        <v>314473.0646232767</v>
      </c>
      <c r="G39" s="13">
        <f t="shared" si="35"/>
        <v>2999884.4890695722</v>
      </c>
      <c r="H39" s="15">
        <f t="shared" si="35"/>
        <v>85827.3307485439</v>
      </c>
      <c r="I39" s="13">
        <f t="shared" si="35"/>
        <v>31350.102848270526</v>
      </c>
      <c r="J39" s="16">
        <f t="shared" si="35"/>
        <v>182029.31848337883</v>
      </c>
      <c r="K39" s="15">
        <f t="shared" si="35"/>
        <v>667146.17773468955</v>
      </c>
      <c r="L39" s="14">
        <f t="shared" si="35"/>
        <v>660396.48346025299</v>
      </c>
      <c r="M39" s="13">
        <f t="shared" si="35"/>
        <v>513536.38417941122</v>
      </c>
    </row>
    <row r="40" spans="1:16" x14ac:dyDescent="0.2">
      <c r="A40" s="20">
        <v>3615</v>
      </c>
      <c r="B40" s="19" t="s">
        <v>105</v>
      </c>
      <c r="C40" s="58">
        <f t="shared" si="1"/>
        <v>13368056.691850489</v>
      </c>
      <c r="D40" s="15">
        <f t="shared" ref="D40:M40" si="36">D83*$O83*$C$44</f>
        <v>2755211.4978619386</v>
      </c>
      <c r="E40" s="14">
        <f t="shared" si="36"/>
        <v>872024.4390733036</v>
      </c>
      <c r="F40" s="14">
        <f t="shared" si="36"/>
        <v>300741.17069820268</v>
      </c>
      <c r="G40" s="13">
        <f t="shared" si="36"/>
        <v>5364110.5239223316</v>
      </c>
      <c r="H40" s="15">
        <f t="shared" si="36"/>
        <v>251143.44686100868</v>
      </c>
      <c r="I40" s="13">
        <f t="shared" si="36"/>
        <v>34262.407484448653</v>
      </c>
      <c r="J40" s="16">
        <f t="shared" si="36"/>
        <v>302221.84393882472</v>
      </c>
      <c r="K40" s="15">
        <f t="shared" si="36"/>
        <v>1279758.0235566315</v>
      </c>
      <c r="L40" s="14">
        <f t="shared" si="36"/>
        <v>1242474.8138123038</v>
      </c>
      <c r="M40" s="13">
        <f t="shared" si="36"/>
        <v>966108.52464149368</v>
      </c>
    </row>
    <row r="41" spans="1:16" x14ac:dyDescent="0.2">
      <c r="A41" s="20">
        <v>3625</v>
      </c>
      <c r="B41" s="19" t="s">
        <v>38</v>
      </c>
      <c r="C41" s="58">
        <f t="shared" si="1"/>
        <v>670040.30484304763</v>
      </c>
      <c r="D41" s="15">
        <f t="shared" ref="D41:M41" si="37">D84*$O84*$C$44</f>
        <v>97305.237255834189</v>
      </c>
      <c r="E41" s="14">
        <f t="shared" si="37"/>
        <v>14644.438207003044</v>
      </c>
      <c r="F41" s="14">
        <f t="shared" si="37"/>
        <v>199392.34606439498</v>
      </c>
      <c r="G41" s="13">
        <f t="shared" si="37"/>
        <v>202660.42715013941</v>
      </c>
      <c r="H41" s="15">
        <f t="shared" si="37"/>
        <v>6509.8574220452447</v>
      </c>
      <c r="I41" s="13">
        <f t="shared" si="37"/>
        <v>3254.9287110226223</v>
      </c>
      <c r="J41" s="16">
        <f t="shared" si="37"/>
        <v>13403.453807916316</v>
      </c>
      <c r="K41" s="15">
        <f t="shared" si="37"/>
        <v>51393.611226672991</v>
      </c>
      <c r="L41" s="14">
        <f t="shared" si="37"/>
        <v>43130.660621673451</v>
      </c>
      <c r="M41" s="13">
        <f t="shared" si="37"/>
        <v>38345.344376345456</v>
      </c>
    </row>
    <row r="42" spans="1:16" x14ac:dyDescent="0.2">
      <c r="A42" s="20">
        <v>20</v>
      </c>
      <c r="B42" s="19" t="s">
        <v>37</v>
      </c>
      <c r="C42" s="77">
        <f t="shared" si="1"/>
        <v>795455.52489899751</v>
      </c>
      <c r="D42" s="15">
        <f t="shared" ref="D42:M42" si="38">D85*$O85*$C$44</f>
        <v>83736.832721748404</v>
      </c>
      <c r="E42" s="14">
        <f t="shared" si="38"/>
        <v>13302.755231996873</v>
      </c>
      <c r="F42" s="14">
        <f t="shared" si="38"/>
        <v>473886.69858628191</v>
      </c>
      <c r="G42" s="13">
        <f t="shared" si="38"/>
        <v>144598.83458307516</v>
      </c>
      <c r="H42" s="15">
        <f t="shared" si="38"/>
        <v>3280.4120035324122</v>
      </c>
      <c r="I42" s="13">
        <f t="shared" si="38"/>
        <v>2935.1054768447898</v>
      </c>
      <c r="J42" s="16">
        <f t="shared" si="38"/>
        <v>11933.793562324228</v>
      </c>
      <c r="K42" s="15">
        <f t="shared" si="38"/>
        <v>39710.250569076568</v>
      </c>
      <c r="L42" s="14">
        <f t="shared" si="38"/>
        <v>20798.96312415112</v>
      </c>
      <c r="M42" s="13">
        <f t="shared" si="38"/>
        <v>1271.8790399660759</v>
      </c>
    </row>
    <row r="43" spans="1:16" ht="13.5" thickBot="1" x14ac:dyDescent="0.25">
      <c r="A43" s="12"/>
      <c r="B43" s="11" t="s">
        <v>11</v>
      </c>
      <c r="C43" s="75">
        <f t="shared" ref="C43:M43" si="39">SUM(C5:C42)</f>
        <v>235000000</v>
      </c>
      <c r="D43" s="75">
        <f t="shared" si="39"/>
        <v>42738982.745538346</v>
      </c>
      <c r="E43" s="74">
        <f t="shared" si="39"/>
        <v>22942479.089820873</v>
      </c>
      <c r="F43" s="74">
        <f t="shared" si="39"/>
        <v>17144272.743514225</v>
      </c>
      <c r="G43" s="73">
        <f t="shared" si="39"/>
        <v>87380238.11203976</v>
      </c>
      <c r="H43" s="75">
        <f t="shared" si="39"/>
        <v>7043594.8630945692</v>
      </c>
      <c r="I43" s="73">
        <f t="shared" si="39"/>
        <v>611116.97286112595</v>
      </c>
      <c r="J43" s="76">
        <f t="shared" si="39"/>
        <v>4445892.5589195071</v>
      </c>
      <c r="K43" s="75">
        <f t="shared" si="39"/>
        <v>19028241.921516143</v>
      </c>
      <c r="L43" s="74">
        <f t="shared" si="39"/>
        <v>17692692.724295195</v>
      </c>
      <c r="M43" s="73">
        <f t="shared" si="39"/>
        <v>15972488.268400228</v>
      </c>
    </row>
    <row r="44" spans="1:16" ht="13.5" thickBot="1" x14ac:dyDescent="0.25">
      <c r="A44" s="72"/>
      <c r="C44" s="104">
        <f>235000000/P86</f>
        <v>2.6712848005443404E-2</v>
      </c>
      <c r="D44" s="71" t="s">
        <v>80</v>
      </c>
      <c r="E44" s="70"/>
      <c r="F44" s="70"/>
      <c r="G44" s="70"/>
      <c r="H44" s="70"/>
      <c r="I44" s="70"/>
      <c r="J44" s="70"/>
      <c r="K44" s="70"/>
      <c r="L44" s="70"/>
      <c r="M44" s="70"/>
    </row>
    <row r="45" spans="1:16" ht="13.5" thickBot="1" x14ac:dyDescent="0.25">
      <c r="A45" s="69" t="s">
        <v>76</v>
      </c>
    </row>
    <row r="46" spans="1:16" ht="12.75" customHeight="1" outlineLevel="1" x14ac:dyDescent="0.2">
      <c r="A46" s="177" t="s">
        <v>24</v>
      </c>
      <c r="B46" s="179" t="s">
        <v>23</v>
      </c>
      <c r="C46" s="181" t="s">
        <v>36</v>
      </c>
      <c r="D46" s="183" t="s">
        <v>35</v>
      </c>
      <c r="E46" s="184"/>
      <c r="F46" s="184"/>
      <c r="G46" s="185"/>
      <c r="H46" s="186" t="s">
        <v>18</v>
      </c>
      <c r="I46" s="195" t="s">
        <v>17</v>
      </c>
      <c r="J46" s="197" t="s">
        <v>16</v>
      </c>
      <c r="K46" s="199" t="s">
        <v>34</v>
      </c>
      <c r="L46" s="200"/>
      <c r="M46" s="200"/>
      <c r="N46" s="212" t="s">
        <v>106</v>
      </c>
      <c r="O46" s="214" t="s">
        <v>107</v>
      </c>
      <c r="P46" s="193" t="s">
        <v>108</v>
      </c>
    </row>
    <row r="47" spans="1:16" ht="51.75" outlineLevel="1" thickBot="1" x14ac:dyDescent="0.25">
      <c r="A47" s="178"/>
      <c r="B47" s="180"/>
      <c r="C47" s="182"/>
      <c r="D47" s="68"/>
      <c r="E47" s="67" t="s">
        <v>33</v>
      </c>
      <c r="F47" s="67" t="s">
        <v>32</v>
      </c>
      <c r="G47" s="66" t="s">
        <v>31</v>
      </c>
      <c r="H47" s="187"/>
      <c r="I47" s="196"/>
      <c r="J47" s="198"/>
      <c r="K47" s="44" t="s">
        <v>14</v>
      </c>
      <c r="L47" s="43" t="s">
        <v>13</v>
      </c>
      <c r="M47" s="42" t="s">
        <v>12</v>
      </c>
      <c r="N47" s="213"/>
      <c r="O47" s="215"/>
      <c r="P47" s="194"/>
    </row>
    <row r="48" spans="1:16" outlineLevel="1" x14ac:dyDescent="0.2">
      <c r="A48" s="20">
        <f t="shared" ref="A48:B67" si="40">A5</f>
        <v>3656</v>
      </c>
      <c r="B48" s="19" t="str">
        <f t="shared" si="40"/>
        <v>UTA</v>
      </c>
      <c r="C48" s="58">
        <f t="shared" ref="C48:C85" si="41">SUM(D48:M48)</f>
        <v>5593.8725201422794</v>
      </c>
      <c r="D48" s="15">
        <f>D90*D141</f>
        <v>1003.6</v>
      </c>
      <c r="E48" s="14">
        <f t="shared" ref="E48:M48" si="42">E90*E141</f>
        <v>650.24916666666672</v>
      </c>
      <c r="F48" s="14">
        <f t="shared" si="42"/>
        <v>370.04735347560353</v>
      </c>
      <c r="G48" s="13">
        <f t="shared" si="42"/>
        <v>2083.7106666666759</v>
      </c>
      <c r="H48" s="36">
        <f t="shared" si="42"/>
        <v>306.26666666666665</v>
      </c>
      <c r="I48" s="35">
        <f t="shared" si="42"/>
        <v>7</v>
      </c>
      <c r="J48" s="34">
        <f t="shared" si="42"/>
        <v>99.712000000000032</v>
      </c>
      <c r="K48" s="36">
        <f t="shared" si="42"/>
        <v>478.54333333333335</v>
      </c>
      <c r="L48" s="59">
        <f t="shared" si="42"/>
        <v>345.03</v>
      </c>
      <c r="M48" s="35">
        <f t="shared" si="42"/>
        <v>249.71333333333337</v>
      </c>
      <c r="N48" s="99">
        <v>1</v>
      </c>
      <c r="O48" s="100">
        <v>90197.027768754284</v>
      </c>
      <c r="P48" s="58">
        <f>O48*C48</f>
        <v>504550675.0341447</v>
      </c>
    </row>
    <row r="49" spans="1:16" outlineLevel="1" x14ac:dyDescent="0.2">
      <c r="A49" s="20">
        <f t="shared" si="40"/>
        <v>3658</v>
      </c>
      <c r="B49" s="19" t="str">
        <f t="shared" si="40"/>
        <v>UT</v>
      </c>
      <c r="C49" s="58">
        <f t="shared" si="41"/>
        <v>10821.842734097498</v>
      </c>
      <c r="D49" s="15">
        <f t="shared" ref="D49:M49" si="43">D91*D142</f>
        <v>1789.2666666666669</v>
      </c>
      <c r="E49" s="14">
        <f t="shared" si="43"/>
        <v>1854.1275833333336</v>
      </c>
      <c r="F49" s="14">
        <f t="shared" si="43"/>
        <v>331.22115076405845</v>
      </c>
      <c r="G49" s="13">
        <f t="shared" si="43"/>
        <v>3879.6700000001038</v>
      </c>
      <c r="H49" s="15">
        <f t="shared" si="43"/>
        <v>375.26666666666665</v>
      </c>
      <c r="I49" s="13">
        <f t="shared" si="43"/>
        <v>13.200000000000001</v>
      </c>
      <c r="J49" s="16">
        <f t="shared" si="43"/>
        <v>111.0506666666667</v>
      </c>
      <c r="K49" s="15">
        <f t="shared" si="43"/>
        <v>671.88333333333344</v>
      </c>
      <c r="L49" s="14">
        <f t="shared" si="43"/>
        <v>810.50999999999988</v>
      </c>
      <c r="M49" s="13">
        <f t="shared" si="43"/>
        <v>985.64666666666676</v>
      </c>
      <c r="N49" s="87">
        <v>1</v>
      </c>
      <c r="O49" s="13">
        <v>90197.027768754284</v>
      </c>
      <c r="P49" s="58">
        <f t="shared" ref="P49:P85" si="44">O49*C49</f>
        <v>976098049.59648383</v>
      </c>
    </row>
    <row r="50" spans="1:16" outlineLevel="1" x14ac:dyDescent="0.2">
      <c r="A50" s="20">
        <f t="shared" si="40"/>
        <v>9741</v>
      </c>
      <c r="B50" s="19" t="str">
        <f t="shared" si="40"/>
        <v>UTD</v>
      </c>
      <c r="C50" s="58">
        <f t="shared" si="41"/>
        <v>2954.8717564580002</v>
      </c>
      <c r="D50" s="15">
        <f t="shared" ref="D50:M50" si="45">D92*D143</f>
        <v>478.6</v>
      </c>
      <c r="E50" s="14">
        <f t="shared" si="45"/>
        <v>420.56975</v>
      </c>
      <c r="F50" s="14">
        <f t="shared" si="45"/>
        <v>335.37200645797833</v>
      </c>
      <c r="G50" s="13">
        <f t="shared" si="45"/>
        <v>1020.240666666688</v>
      </c>
      <c r="H50" s="15">
        <f t="shared" si="45"/>
        <v>84.333333333333343</v>
      </c>
      <c r="I50" s="13">
        <f t="shared" si="45"/>
        <v>6.4</v>
      </c>
      <c r="J50" s="16">
        <f t="shared" si="45"/>
        <v>42.229333333333344</v>
      </c>
      <c r="K50" s="15">
        <f t="shared" si="45"/>
        <v>232.05</v>
      </c>
      <c r="L50" s="14">
        <f t="shared" si="45"/>
        <v>192.09</v>
      </c>
      <c r="M50" s="13">
        <f t="shared" si="45"/>
        <v>142.98666666666668</v>
      </c>
      <c r="N50" s="87">
        <v>1</v>
      </c>
      <c r="O50" s="13">
        <v>90197.027768754284</v>
      </c>
      <c r="P50" s="58">
        <f t="shared" si="44"/>
        <v>266520649.87034997</v>
      </c>
    </row>
    <row r="51" spans="1:16" outlineLevel="1" x14ac:dyDescent="0.2">
      <c r="A51" s="20">
        <f t="shared" si="40"/>
        <v>3661</v>
      </c>
      <c r="B51" s="19" t="str">
        <f t="shared" si="40"/>
        <v>UTEP</v>
      </c>
      <c r="C51" s="58">
        <f t="shared" si="41"/>
        <v>4496.9126120269448</v>
      </c>
      <c r="D51" s="15">
        <f t="shared" ref="D51:M51" si="46">D93*D144</f>
        <v>917.1</v>
      </c>
      <c r="E51" s="14">
        <f t="shared" si="46"/>
        <v>238.44599999999997</v>
      </c>
      <c r="F51" s="14">
        <f t="shared" si="46"/>
        <v>228.70894536023343</v>
      </c>
      <c r="G51" s="13">
        <f t="shared" si="46"/>
        <v>1889.4230000000439</v>
      </c>
      <c r="H51" s="15">
        <f t="shared" si="46"/>
        <v>196.5</v>
      </c>
      <c r="I51" s="13">
        <f t="shared" si="46"/>
        <v>27</v>
      </c>
      <c r="J51" s="16">
        <f t="shared" si="46"/>
        <v>118.28800000000001</v>
      </c>
      <c r="K51" s="15">
        <f t="shared" si="46"/>
        <v>305.38666666666671</v>
      </c>
      <c r="L51" s="14">
        <f t="shared" si="46"/>
        <v>302.21999999999997</v>
      </c>
      <c r="M51" s="13">
        <f t="shared" si="46"/>
        <v>273.84000000000003</v>
      </c>
      <c r="N51" s="87">
        <v>2</v>
      </c>
      <c r="O51" s="13">
        <v>69184.923785166247</v>
      </c>
      <c r="P51" s="58">
        <f t="shared" si="44"/>
        <v>311118556.33163702</v>
      </c>
    </row>
    <row r="52" spans="1:16" outlineLevel="1" x14ac:dyDescent="0.2">
      <c r="A52" s="20">
        <f t="shared" si="40"/>
        <v>3599</v>
      </c>
      <c r="B52" s="19" t="str">
        <f t="shared" si="40"/>
        <v>UTPA</v>
      </c>
      <c r="C52" s="58">
        <f t="shared" si="41"/>
        <v>4051.1806787462674</v>
      </c>
      <c r="D52" s="15">
        <f t="shared" ref="D52:M52" si="47">D94*D145</f>
        <v>774</v>
      </c>
      <c r="E52" s="14">
        <f t="shared" si="47"/>
        <v>166.797</v>
      </c>
      <c r="F52" s="14">
        <f t="shared" si="47"/>
        <v>153.69367874623376</v>
      </c>
      <c r="G52" s="13">
        <f t="shared" si="47"/>
        <v>1540.2500000000339</v>
      </c>
      <c r="H52" s="15">
        <f t="shared" si="47"/>
        <v>156.1</v>
      </c>
      <c r="I52" s="13">
        <f t="shared" si="47"/>
        <v>8.4</v>
      </c>
      <c r="J52" s="16">
        <f t="shared" si="47"/>
        <v>112.24000000000001</v>
      </c>
      <c r="K52" s="15">
        <f t="shared" si="47"/>
        <v>407.53333333333336</v>
      </c>
      <c r="L52" s="14">
        <f t="shared" si="47"/>
        <v>402.48</v>
      </c>
      <c r="M52" s="13">
        <f t="shared" si="47"/>
        <v>329.68666666666667</v>
      </c>
      <c r="N52" s="87">
        <v>3</v>
      </c>
      <c r="O52" s="13">
        <v>64130.952037511772</v>
      </c>
      <c r="P52" s="58">
        <f t="shared" si="44"/>
        <v>259806073.80397126</v>
      </c>
    </row>
    <row r="53" spans="1:16" outlineLevel="1" x14ac:dyDescent="0.2">
      <c r="A53" s="20">
        <f t="shared" si="40"/>
        <v>30646</v>
      </c>
      <c r="B53" s="19" t="str">
        <f t="shared" si="40"/>
        <v>UTB</v>
      </c>
      <c r="C53" s="58">
        <f t="shared" si="41"/>
        <v>1619.452911442484</v>
      </c>
      <c r="D53" s="15">
        <f t="shared" ref="D53:M53" si="48">D95*D146</f>
        <v>327.59999999999997</v>
      </c>
      <c r="E53" s="14">
        <f t="shared" si="48"/>
        <v>94.225638676953011</v>
      </c>
      <c r="F53" s="14">
        <f t="shared" si="48"/>
        <v>258.4592727655247</v>
      </c>
      <c r="G53" s="13">
        <f t="shared" si="48"/>
        <v>629.33800000000656</v>
      </c>
      <c r="H53" s="15">
        <f t="shared" si="48"/>
        <v>37.299999999999997</v>
      </c>
      <c r="I53" s="13">
        <f t="shared" si="48"/>
        <v>5.4999999999999991</v>
      </c>
      <c r="J53" s="16">
        <f t="shared" si="48"/>
        <v>44.96</v>
      </c>
      <c r="K53" s="15">
        <f t="shared" si="48"/>
        <v>132.63333333333333</v>
      </c>
      <c r="L53" s="14">
        <f t="shared" si="48"/>
        <v>72.323333333333338</v>
      </c>
      <c r="M53" s="13">
        <f t="shared" si="48"/>
        <v>17.113333333333337</v>
      </c>
      <c r="N53" s="87">
        <v>3</v>
      </c>
      <c r="O53" s="13">
        <v>64130.952037511772</v>
      </c>
      <c r="P53" s="58">
        <f t="shared" si="44"/>
        <v>103857056.99072674</v>
      </c>
    </row>
    <row r="54" spans="1:16" outlineLevel="1" x14ac:dyDescent="0.2">
      <c r="A54" s="20">
        <f t="shared" si="40"/>
        <v>9930</v>
      </c>
      <c r="B54" s="19" t="str">
        <f t="shared" si="40"/>
        <v>UTPB</v>
      </c>
      <c r="C54" s="58">
        <f t="shared" si="41"/>
        <v>879.48580982434612</v>
      </c>
      <c r="D54" s="15">
        <f t="shared" ref="D54:M54" si="49">D96*D147</f>
        <v>160</v>
      </c>
      <c r="E54" s="14">
        <f t="shared" si="49"/>
        <v>35.520000000000003</v>
      </c>
      <c r="F54" s="14">
        <f t="shared" si="49"/>
        <v>173.43880982434507</v>
      </c>
      <c r="G54" s="13">
        <f t="shared" si="49"/>
        <v>300.45500000000112</v>
      </c>
      <c r="H54" s="15">
        <f t="shared" si="49"/>
        <v>12.4</v>
      </c>
      <c r="I54" s="13">
        <f t="shared" si="49"/>
        <v>3</v>
      </c>
      <c r="J54" s="16">
        <f t="shared" si="49"/>
        <v>19.152000000000001</v>
      </c>
      <c r="K54" s="15">
        <f t="shared" si="49"/>
        <v>78.566666666666663</v>
      </c>
      <c r="L54" s="14">
        <f t="shared" si="49"/>
        <v>63.916666666666671</v>
      </c>
      <c r="M54" s="13">
        <f t="shared" si="49"/>
        <v>33.036666666666669</v>
      </c>
      <c r="N54" s="87">
        <v>3</v>
      </c>
      <c r="O54" s="13">
        <v>64130.952037511772</v>
      </c>
      <c r="P54" s="58">
        <f t="shared" si="44"/>
        <v>56402262.287517339</v>
      </c>
    </row>
    <row r="55" spans="1:16" outlineLevel="1" x14ac:dyDescent="0.2">
      <c r="A55" s="20">
        <f t="shared" si="40"/>
        <v>10115</v>
      </c>
      <c r="B55" s="19" t="str">
        <f t="shared" si="40"/>
        <v>UTSA</v>
      </c>
      <c r="C55" s="58">
        <f t="shared" si="41"/>
        <v>5836.5855632358725</v>
      </c>
      <c r="D55" s="15">
        <f t="shared" ref="D55:M55" si="50">D97*D148</f>
        <v>1235.9000000000001</v>
      </c>
      <c r="E55" s="14">
        <f t="shared" si="50"/>
        <v>347.42522222222226</v>
      </c>
      <c r="F55" s="14">
        <f t="shared" si="50"/>
        <v>202.41034101368405</v>
      </c>
      <c r="G55" s="13">
        <f t="shared" si="50"/>
        <v>2524.2639999999669</v>
      </c>
      <c r="H55" s="15">
        <f t="shared" si="50"/>
        <v>117.6</v>
      </c>
      <c r="I55" s="13">
        <f t="shared" si="50"/>
        <v>14.899999999999999</v>
      </c>
      <c r="J55" s="16">
        <f t="shared" si="50"/>
        <v>149.93600000000001</v>
      </c>
      <c r="K55" s="15">
        <f t="shared" si="50"/>
        <v>476.67666666666673</v>
      </c>
      <c r="L55" s="14">
        <f t="shared" si="50"/>
        <v>401.28000000000003</v>
      </c>
      <c r="M55" s="13">
        <f t="shared" si="50"/>
        <v>366.19333333333333</v>
      </c>
      <c r="N55" s="87">
        <v>2</v>
      </c>
      <c r="O55" s="13">
        <v>69184.923785166247</v>
      </c>
      <c r="P55" s="58">
        <f t="shared" si="44"/>
        <v>403803727.35807544</v>
      </c>
    </row>
    <row r="56" spans="1:16" outlineLevel="1" x14ac:dyDescent="0.2">
      <c r="A56" s="20">
        <f t="shared" si="40"/>
        <v>11163</v>
      </c>
      <c r="B56" s="19" t="str">
        <f t="shared" si="40"/>
        <v>UTT</v>
      </c>
      <c r="C56" s="58">
        <f t="shared" si="41"/>
        <v>1864.8745538786425</v>
      </c>
      <c r="D56" s="15">
        <f t="shared" ref="D56:M56" si="51">D98*D149</f>
        <v>357</v>
      </c>
      <c r="E56" s="14">
        <f t="shared" si="51"/>
        <v>92.046500000000009</v>
      </c>
      <c r="F56" s="14">
        <f t="shared" si="51"/>
        <v>219.4180538786392</v>
      </c>
      <c r="G56" s="13">
        <f t="shared" si="51"/>
        <v>708.79800000000307</v>
      </c>
      <c r="H56" s="15">
        <f t="shared" si="51"/>
        <v>113</v>
      </c>
      <c r="I56" s="13">
        <f t="shared" si="51"/>
        <v>4.2</v>
      </c>
      <c r="J56" s="16">
        <f t="shared" si="51"/>
        <v>45.232000000000006</v>
      </c>
      <c r="K56" s="15">
        <f t="shared" si="51"/>
        <v>143.63333333333333</v>
      </c>
      <c r="L56" s="14">
        <f t="shared" si="51"/>
        <v>115.7</v>
      </c>
      <c r="M56" s="13">
        <f t="shared" si="51"/>
        <v>65.846666666666664</v>
      </c>
      <c r="N56" s="87">
        <v>3</v>
      </c>
      <c r="O56" s="13">
        <v>64130.952037511772</v>
      </c>
      <c r="P56" s="58">
        <f t="shared" si="44"/>
        <v>119596180.57076739</v>
      </c>
    </row>
    <row r="57" spans="1:16" outlineLevel="1" x14ac:dyDescent="0.2">
      <c r="A57" s="20">
        <f t="shared" si="40"/>
        <v>3632</v>
      </c>
      <c r="B57" s="19" t="str">
        <f t="shared" si="40"/>
        <v>TAMU</v>
      </c>
      <c r="C57" s="58">
        <f t="shared" si="41"/>
        <v>10889.754859913339</v>
      </c>
      <c r="D57" s="15">
        <f t="shared" ref="D57:M57" si="52">D99*D150</f>
        <v>1747.9333333333334</v>
      </c>
      <c r="E57" s="14">
        <f t="shared" si="52"/>
        <v>1836.7866111111107</v>
      </c>
      <c r="F57" s="14">
        <f t="shared" si="52"/>
        <v>315.5235821355335</v>
      </c>
      <c r="G57" s="13">
        <f t="shared" si="52"/>
        <v>4020.9633333333604</v>
      </c>
      <c r="H57" s="15">
        <f t="shared" si="52"/>
        <v>352.6</v>
      </c>
      <c r="I57" s="13">
        <f t="shared" si="52"/>
        <v>25.200000000000003</v>
      </c>
      <c r="J57" s="16">
        <f t="shared" si="52"/>
        <v>119.16800000000003</v>
      </c>
      <c r="K57" s="15">
        <f t="shared" si="52"/>
        <v>704.24666666666667</v>
      </c>
      <c r="L57" s="14">
        <f t="shared" si="52"/>
        <v>801.66</v>
      </c>
      <c r="M57" s="13">
        <f t="shared" si="52"/>
        <v>965.67333333333352</v>
      </c>
      <c r="N57" s="87">
        <v>1</v>
      </c>
      <c r="O57" s="13">
        <v>90197.027768754284</v>
      </c>
      <c r="P57" s="58">
        <f t="shared" si="44"/>
        <v>982223521.49453032</v>
      </c>
    </row>
    <row r="58" spans="1:16" outlineLevel="1" x14ac:dyDescent="0.2">
      <c r="A58" s="20">
        <f t="shared" si="40"/>
        <v>10298</v>
      </c>
      <c r="B58" s="19" t="str">
        <f t="shared" si="40"/>
        <v>TAMUG</v>
      </c>
      <c r="C58" s="58">
        <f t="shared" si="41"/>
        <v>1485.6662743710276</v>
      </c>
      <c r="D58" s="15">
        <f t="shared" ref="D58:M58" si="53">D100*D151</f>
        <v>216.82499999999996</v>
      </c>
      <c r="E58" s="14">
        <f t="shared" si="53"/>
        <v>31.090639999999997</v>
      </c>
      <c r="F58" s="14">
        <f t="shared" si="53"/>
        <v>313.63663437102923</v>
      </c>
      <c r="G58" s="13">
        <f t="shared" si="53"/>
        <v>554.42099999999823</v>
      </c>
      <c r="H58" s="15">
        <f t="shared" si="53"/>
        <v>29.399999999999995</v>
      </c>
      <c r="I58" s="13">
        <f t="shared" si="53"/>
        <v>0</v>
      </c>
      <c r="J58" s="16">
        <f t="shared" si="53"/>
        <v>19.907999999999998</v>
      </c>
      <c r="K58" s="15">
        <f t="shared" si="53"/>
        <v>133.27500000000001</v>
      </c>
      <c r="L58" s="14">
        <f t="shared" si="53"/>
        <v>93.015000000000001</v>
      </c>
      <c r="M58" s="13">
        <f t="shared" si="53"/>
        <v>94.094999999999999</v>
      </c>
      <c r="N58" s="87">
        <v>6</v>
      </c>
      <c r="O58" s="13">
        <v>62223.550136993705</v>
      </c>
      <c r="P58" s="58">
        <f t="shared" si="44"/>
        <v>92443429.910166278</v>
      </c>
    </row>
    <row r="59" spans="1:16" outlineLevel="1" x14ac:dyDescent="0.2">
      <c r="A59" s="20">
        <f t="shared" si="40"/>
        <v>3630</v>
      </c>
      <c r="B59" s="19" t="str">
        <f t="shared" si="40"/>
        <v>Prairie View</v>
      </c>
      <c r="C59" s="58">
        <f t="shared" si="41"/>
        <v>1684.0129101897294</v>
      </c>
      <c r="D59" s="15">
        <f t="shared" ref="D59:M59" si="54">D101*D152</f>
        <v>280.89999999999998</v>
      </c>
      <c r="E59" s="14">
        <f t="shared" si="54"/>
        <v>52.200583333333327</v>
      </c>
      <c r="F59" s="14">
        <f t="shared" si="54"/>
        <v>118.67766018972654</v>
      </c>
      <c r="G59" s="13">
        <f t="shared" si="54"/>
        <v>621.87000000000273</v>
      </c>
      <c r="H59" s="15">
        <f t="shared" si="54"/>
        <v>94.7</v>
      </c>
      <c r="I59" s="13">
        <f t="shared" si="54"/>
        <v>2.9</v>
      </c>
      <c r="J59" s="16">
        <f t="shared" si="54"/>
        <v>38.527999999999999</v>
      </c>
      <c r="K59" s="15">
        <f t="shared" si="54"/>
        <v>166.8</v>
      </c>
      <c r="L59" s="14">
        <f t="shared" si="54"/>
        <v>153.53</v>
      </c>
      <c r="M59" s="13">
        <f t="shared" si="54"/>
        <v>153.90666666666669</v>
      </c>
      <c r="N59" s="87">
        <v>3</v>
      </c>
      <c r="O59" s="13">
        <v>64130.952037511772</v>
      </c>
      <c r="P59" s="58">
        <f t="shared" si="44"/>
        <v>107997351.17392816</v>
      </c>
    </row>
    <row r="60" spans="1:16" outlineLevel="1" x14ac:dyDescent="0.2">
      <c r="A60" s="20">
        <f t="shared" si="40"/>
        <v>3631</v>
      </c>
      <c r="B60" s="19" t="str">
        <f t="shared" si="40"/>
        <v>Tarleton</v>
      </c>
      <c r="C60" s="58">
        <f t="shared" si="41"/>
        <v>2362.7349914757838</v>
      </c>
      <c r="D60" s="15">
        <f t="shared" ref="D60:M60" si="55">D102*D153</f>
        <v>463.59999999999997</v>
      </c>
      <c r="E60" s="14">
        <f t="shared" si="55"/>
        <v>110.80040000000001</v>
      </c>
      <c r="F60" s="14">
        <f t="shared" si="55"/>
        <v>184.19825814244246</v>
      </c>
      <c r="G60" s="13">
        <f t="shared" si="55"/>
        <v>936.76300000000788</v>
      </c>
      <c r="H60" s="15">
        <f t="shared" si="55"/>
        <v>60.9</v>
      </c>
      <c r="I60" s="13">
        <f t="shared" si="55"/>
        <v>14.299999999999999</v>
      </c>
      <c r="J60" s="16">
        <f t="shared" si="55"/>
        <v>57.36</v>
      </c>
      <c r="K60" s="15">
        <f t="shared" si="55"/>
        <v>215.43333333333337</v>
      </c>
      <c r="L60" s="14">
        <f t="shared" si="55"/>
        <v>172.72666666666669</v>
      </c>
      <c r="M60" s="13">
        <f t="shared" si="55"/>
        <v>146.65333333333334</v>
      </c>
      <c r="N60" s="87">
        <v>3</v>
      </c>
      <c r="O60" s="13">
        <v>64130.952037511772</v>
      </c>
      <c r="P60" s="58">
        <f t="shared" si="44"/>
        <v>151524444.41568428</v>
      </c>
    </row>
    <row r="61" spans="1:16" outlineLevel="1" x14ac:dyDescent="0.2">
      <c r="A61" s="27">
        <f t="shared" si="40"/>
        <v>103631</v>
      </c>
      <c r="B61" s="19" t="str">
        <f t="shared" si="40"/>
        <v>TAMUCT</v>
      </c>
      <c r="C61" s="58">
        <f t="shared" si="41"/>
        <v>1034.5657714150541</v>
      </c>
      <c r="D61" s="15">
        <f t="shared" ref="D61:M61" si="56">D103*D154</f>
        <v>138.1</v>
      </c>
      <c r="E61" s="14">
        <f t="shared" si="56"/>
        <v>33.005899999999997</v>
      </c>
      <c r="F61" s="14">
        <f t="shared" si="56"/>
        <v>506.90887141505431</v>
      </c>
      <c r="G61" s="13">
        <f t="shared" si="56"/>
        <v>256.08499999999975</v>
      </c>
      <c r="H61" s="15">
        <f t="shared" si="56"/>
        <v>12.2</v>
      </c>
      <c r="I61" s="13">
        <f t="shared" si="56"/>
        <v>0</v>
      </c>
      <c r="J61" s="16">
        <f t="shared" si="56"/>
        <v>15.696000000000002</v>
      </c>
      <c r="K61" s="15">
        <f t="shared" si="56"/>
        <v>49.5</v>
      </c>
      <c r="L61" s="14">
        <f t="shared" si="56"/>
        <v>17.29</v>
      </c>
      <c r="M61" s="13">
        <f t="shared" si="56"/>
        <v>5.78</v>
      </c>
      <c r="N61" s="87">
        <v>4</v>
      </c>
      <c r="O61" s="13">
        <v>72600.916032124354</v>
      </c>
      <c r="P61" s="58">
        <f t="shared" si="44"/>
        <v>75110422.700214297</v>
      </c>
    </row>
    <row r="62" spans="1:16" outlineLevel="1" x14ac:dyDescent="0.2">
      <c r="A62" s="20">
        <f t="shared" si="40"/>
        <v>11161</v>
      </c>
      <c r="B62" s="19" t="str">
        <f t="shared" si="40"/>
        <v>TAMUCC</v>
      </c>
      <c r="C62" s="58">
        <f t="shared" si="41"/>
        <v>2208.871522137827</v>
      </c>
      <c r="D62" s="15">
        <f t="shared" ref="D62:M62" si="57">D104*D155</f>
        <v>416.49999999999994</v>
      </c>
      <c r="E62" s="14">
        <f t="shared" si="57"/>
        <v>105.791</v>
      </c>
      <c r="F62" s="14">
        <f t="shared" si="57"/>
        <v>160.32385547115581</v>
      </c>
      <c r="G62" s="13">
        <f t="shared" si="57"/>
        <v>841.2600000000042</v>
      </c>
      <c r="H62" s="15">
        <f t="shared" si="57"/>
        <v>79.899999999999991</v>
      </c>
      <c r="I62" s="13">
        <f t="shared" si="57"/>
        <v>7.7</v>
      </c>
      <c r="J62" s="16">
        <f t="shared" si="57"/>
        <v>51.839999999999996</v>
      </c>
      <c r="K62" s="15">
        <f t="shared" si="57"/>
        <v>205.4</v>
      </c>
      <c r="L62" s="14">
        <f t="shared" si="57"/>
        <v>190.84</v>
      </c>
      <c r="M62" s="13">
        <f t="shared" si="57"/>
        <v>149.31666666666669</v>
      </c>
      <c r="N62" s="87">
        <v>3</v>
      </c>
      <c r="O62" s="13">
        <v>64130.952037511772</v>
      </c>
      <c r="P62" s="58">
        <f t="shared" si="44"/>
        <v>141657033.64324662</v>
      </c>
    </row>
    <row r="63" spans="1:16" outlineLevel="1" x14ac:dyDescent="0.2">
      <c r="A63" s="20">
        <f t="shared" si="40"/>
        <v>3639</v>
      </c>
      <c r="B63" s="19" t="str">
        <f t="shared" si="40"/>
        <v>TAMUK</v>
      </c>
      <c r="C63" s="58">
        <f t="shared" si="41"/>
        <v>1381.182160798124</v>
      </c>
      <c r="D63" s="15">
        <f t="shared" ref="D63:M63" si="58">D105*D156</f>
        <v>228.49999999999997</v>
      </c>
      <c r="E63" s="14">
        <f t="shared" si="58"/>
        <v>45.96658333333334</v>
      </c>
      <c r="F63" s="14">
        <f t="shared" si="58"/>
        <v>134.09624413145539</v>
      </c>
      <c r="G63" s="13">
        <f t="shared" si="58"/>
        <v>529.03600000000188</v>
      </c>
      <c r="H63" s="15">
        <f t="shared" si="58"/>
        <v>78</v>
      </c>
      <c r="I63" s="13">
        <f t="shared" si="58"/>
        <v>5</v>
      </c>
      <c r="J63" s="16">
        <f t="shared" si="58"/>
        <v>31.120000000000005</v>
      </c>
      <c r="K63" s="15">
        <f t="shared" si="58"/>
        <v>122.73333333333333</v>
      </c>
      <c r="L63" s="14">
        <f t="shared" si="58"/>
        <v>111.75666666666666</v>
      </c>
      <c r="M63" s="13">
        <f t="shared" si="58"/>
        <v>94.973333333333329</v>
      </c>
      <c r="N63" s="87">
        <v>3</v>
      </c>
      <c r="O63" s="13">
        <v>64130.952037511772</v>
      </c>
      <c r="P63" s="58">
        <f t="shared" si="44"/>
        <v>88576526.909211352</v>
      </c>
    </row>
    <row r="64" spans="1:16" outlineLevel="1" x14ac:dyDescent="0.2">
      <c r="A64" s="27">
        <f t="shared" si="40"/>
        <v>103639</v>
      </c>
      <c r="B64" s="19" t="str">
        <f t="shared" si="40"/>
        <v>TAMUSA</v>
      </c>
      <c r="C64" s="58">
        <f t="shared" si="41"/>
        <v>940.6677853069499</v>
      </c>
      <c r="D64" s="15">
        <f t="shared" ref="D64:M64" si="59">D106*D157</f>
        <v>176.29999999999998</v>
      </c>
      <c r="E64" s="14">
        <f t="shared" si="59"/>
        <v>35.465683333333331</v>
      </c>
      <c r="F64" s="14">
        <f t="shared" si="59"/>
        <v>311.98876864028188</v>
      </c>
      <c r="G64" s="13">
        <f t="shared" si="59"/>
        <v>307.80400000000134</v>
      </c>
      <c r="H64" s="15">
        <f t="shared" si="59"/>
        <v>1.5</v>
      </c>
      <c r="I64" s="13">
        <f t="shared" si="59"/>
        <v>0.6</v>
      </c>
      <c r="J64" s="16">
        <f t="shared" si="59"/>
        <v>23.535999999999998</v>
      </c>
      <c r="K64" s="15">
        <f t="shared" si="59"/>
        <v>72.966666666666669</v>
      </c>
      <c r="L64" s="14">
        <f t="shared" si="59"/>
        <v>10.053333333333333</v>
      </c>
      <c r="M64" s="13">
        <f t="shared" si="59"/>
        <v>0.45333333333333337</v>
      </c>
      <c r="N64" s="87">
        <v>5</v>
      </c>
      <c r="O64" s="13">
        <v>64633.042238187707</v>
      </c>
      <c r="P64" s="58">
        <f t="shared" si="44"/>
        <v>60798220.699846581</v>
      </c>
    </row>
    <row r="65" spans="1:16" outlineLevel="1" x14ac:dyDescent="0.2">
      <c r="A65" s="20">
        <f t="shared" si="40"/>
        <v>9651</v>
      </c>
      <c r="B65" s="19" t="str">
        <f t="shared" si="40"/>
        <v>TAMI</v>
      </c>
      <c r="C65" s="58">
        <f t="shared" si="41"/>
        <v>1304.2961576113573</v>
      </c>
      <c r="D65" s="15">
        <f t="shared" ref="D65:M65" si="60">D107*D158</f>
        <v>236.89999999999998</v>
      </c>
      <c r="E65" s="14">
        <f t="shared" si="60"/>
        <v>56.066333333333326</v>
      </c>
      <c r="F65" s="14">
        <f t="shared" si="60"/>
        <v>144.94615761135586</v>
      </c>
      <c r="G65" s="13">
        <f t="shared" si="60"/>
        <v>437.54900000000151</v>
      </c>
      <c r="H65" s="15">
        <f t="shared" si="60"/>
        <v>34.700000000000003</v>
      </c>
      <c r="I65" s="13">
        <f t="shared" si="60"/>
        <v>6.6999999999999993</v>
      </c>
      <c r="J65" s="16">
        <f t="shared" si="60"/>
        <v>34.207999999999998</v>
      </c>
      <c r="K65" s="15">
        <f t="shared" si="60"/>
        <v>140.66666666666669</v>
      </c>
      <c r="L65" s="14">
        <f t="shared" si="60"/>
        <v>132.03666666666666</v>
      </c>
      <c r="M65" s="13">
        <f t="shared" si="60"/>
        <v>80.523333333333341</v>
      </c>
      <c r="N65" s="87">
        <v>3</v>
      </c>
      <c r="O65" s="13">
        <v>64130.952037511772</v>
      </c>
      <c r="P65" s="58">
        <f t="shared" si="44"/>
        <v>83645754.326484844</v>
      </c>
    </row>
    <row r="66" spans="1:16" outlineLevel="1" x14ac:dyDescent="0.2">
      <c r="A66" s="20">
        <f t="shared" si="40"/>
        <v>3665</v>
      </c>
      <c r="B66" s="19" t="str">
        <f t="shared" si="40"/>
        <v>WTAMU</v>
      </c>
      <c r="C66" s="58">
        <f t="shared" si="41"/>
        <v>1957.9589805719186</v>
      </c>
      <c r="D66" s="15">
        <f t="shared" ref="D66:M66" si="61">D108*D159</f>
        <v>376.7</v>
      </c>
      <c r="E66" s="14">
        <f t="shared" si="61"/>
        <v>88.65006666666666</v>
      </c>
      <c r="F66" s="14">
        <f t="shared" si="61"/>
        <v>173.90791390524652</v>
      </c>
      <c r="G66" s="13">
        <f t="shared" si="61"/>
        <v>751.07300000000509</v>
      </c>
      <c r="H66" s="15">
        <f t="shared" si="61"/>
        <v>57.499999999999993</v>
      </c>
      <c r="I66" s="13">
        <f t="shared" si="61"/>
        <v>18.2</v>
      </c>
      <c r="J66" s="16">
        <f t="shared" si="61"/>
        <v>42.688000000000002</v>
      </c>
      <c r="K66" s="15">
        <f t="shared" si="61"/>
        <v>179.16666666666669</v>
      </c>
      <c r="L66" s="14">
        <f t="shared" si="61"/>
        <v>157.64666666666668</v>
      </c>
      <c r="M66" s="13">
        <f t="shared" si="61"/>
        <v>112.42666666666668</v>
      </c>
      <c r="N66" s="87">
        <v>3</v>
      </c>
      <c r="O66" s="13">
        <v>64130.952037511772</v>
      </c>
      <c r="P66" s="58">
        <f t="shared" si="44"/>
        <v>125565773.47447315</v>
      </c>
    </row>
    <row r="67" spans="1:16" outlineLevel="1" x14ac:dyDescent="0.2">
      <c r="A67" s="20">
        <f t="shared" si="40"/>
        <v>3565</v>
      </c>
      <c r="B67" s="19" t="str">
        <f t="shared" si="40"/>
        <v>TAMUC</v>
      </c>
      <c r="C67" s="58">
        <f t="shared" si="41"/>
        <v>1953.8977652201963</v>
      </c>
      <c r="D67" s="15">
        <f t="shared" ref="D67:M67" si="62">D109*D160</f>
        <v>397.29999999999995</v>
      </c>
      <c r="E67" s="14">
        <f t="shared" si="62"/>
        <v>87.405999999999992</v>
      </c>
      <c r="F67" s="14">
        <f t="shared" si="62"/>
        <v>211.46576522018887</v>
      </c>
      <c r="G67" s="13">
        <f t="shared" si="62"/>
        <v>750.54800000000739</v>
      </c>
      <c r="H67" s="15">
        <f t="shared" si="62"/>
        <v>21.9</v>
      </c>
      <c r="I67" s="13">
        <f t="shared" si="62"/>
        <v>22.299999999999997</v>
      </c>
      <c r="J67" s="16">
        <f t="shared" si="62"/>
        <v>48.927999999999997</v>
      </c>
      <c r="K67" s="15">
        <f t="shared" si="62"/>
        <v>189.3</v>
      </c>
      <c r="L67" s="14">
        <f t="shared" si="62"/>
        <v>147.85333333333332</v>
      </c>
      <c r="M67" s="13">
        <f t="shared" si="62"/>
        <v>76.896666666666675</v>
      </c>
      <c r="N67" s="87">
        <v>3</v>
      </c>
      <c r="O67" s="13">
        <v>64130.952037511772</v>
      </c>
      <c r="P67" s="58">
        <f t="shared" si="44"/>
        <v>125305323.86753784</v>
      </c>
    </row>
    <row r="68" spans="1:16" outlineLevel="1" x14ac:dyDescent="0.2">
      <c r="A68" s="20">
        <f t="shared" ref="A68:B85" si="63">A25</f>
        <v>29269</v>
      </c>
      <c r="B68" s="19" t="str">
        <f t="shared" si="63"/>
        <v>TAMUT</v>
      </c>
      <c r="C68" s="58">
        <f t="shared" si="41"/>
        <v>705.20670293342687</v>
      </c>
      <c r="D68" s="15">
        <f t="shared" ref="D68:M68" si="64">D110*D161</f>
        <v>103.7</v>
      </c>
      <c r="E68" s="14">
        <f t="shared" si="64"/>
        <v>28.104039382025626</v>
      </c>
      <c r="F68" s="14">
        <f t="shared" si="64"/>
        <v>290.74766355140184</v>
      </c>
      <c r="G68" s="13">
        <f t="shared" si="64"/>
        <v>185.97299999999947</v>
      </c>
      <c r="H68" s="15">
        <f t="shared" si="64"/>
        <v>12.499999999999998</v>
      </c>
      <c r="I68" s="13">
        <f t="shared" si="64"/>
        <v>5.8</v>
      </c>
      <c r="J68" s="16">
        <f t="shared" si="64"/>
        <v>11.472000000000001</v>
      </c>
      <c r="K68" s="15">
        <f t="shared" si="64"/>
        <v>43.266666666666673</v>
      </c>
      <c r="L68" s="14">
        <f t="shared" si="64"/>
        <v>23.53</v>
      </c>
      <c r="M68" s="13">
        <f t="shared" si="64"/>
        <v>0.11333333333333334</v>
      </c>
      <c r="N68" s="87">
        <v>4</v>
      </c>
      <c r="O68" s="13">
        <v>72600.916032124354</v>
      </c>
      <c r="P68" s="58">
        <f t="shared" si="44"/>
        <v>51198652.624960989</v>
      </c>
    </row>
    <row r="69" spans="1:16" outlineLevel="1" x14ac:dyDescent="0.2">
      <c r="A69" s="20">
        <f t="shared" si="63"/>
        <v>3652</v>
      </c>
      <c r="B69" s="19" t="str">
        <f t="shared" si="63"/>
        <v>UH</v>
      </c>
      <c r="C69" s="58">
        <f t="shared" si="41"/>
        <v>5862.4313431974106</v>
      </c>
      <c r="D69" s="15">
        <f t="shared" ref="D69:M69" si="65">D111*D162</f>
        <v>1019.7333333333335</v>
      </c>
      <c r="E69" s="14">
        <f t="shared" si="65"/>
        <v>683.64622222222226</v>
      </c>
      <c r="F69" s="14">
        <f t="shared" si="65"/>
        <v>267.81312097533282</v>
      </c>
      <c r="G69" s="13">
        <f t="shared" si="65"/>
        <v>2116.0493333331888</v>
      </c>
      <c r="H69" s="15">
        <f t="shared" si="65"/>
        <v>147.4</v>
      </c>
      <c r="I69" s="13">
        <f t="shared" si="65"/>
        <v>12.533333333333333</v>
      </c>
      <c r="J69" s="16">
        <f t="shared" si="65"/>
        <v>107.93600000000002</v>
      </c>
      <c r="K69" s="15">
        <f t="shared" si="65"/>
        <v>532.16333333333341</v>
      </c>
      <c r="L69" s="14">
        <f t="shared" si="65"/>
        <v>512.13</v>
      </c>
      <c r="M69" s="13">
        <f t="shared" si="65"/>
        <v>463.02666666666676</v>
      </c>
      <c r="N69" s="87">
        <v>1</v>
      </c>
      <c r="O69" s="13">
        <v>90197.027768754284</v>
      </c>
      <c r="P69" s="58">
        <f t="shared" si="44"/>
        <v>528773882.65479231</v>
      </c>
    </row>
    <row r="70" spans="1:16" outlineLevel="1" x14ac:dyDescent="0.2">
      <c r="A70" s="20">
        <f t="shared" si="63"/>
        <v>11711</v>
      </c>
      <c r="B70" s="19" t="str">
        <f t="shared" si="63"/>
        <v>UHCL</v>
      </c>
      <c r="C70" s="58">
        <f t="shared" si="41"/>
        <v>1777.1573517645782</v>
      </c>
      <c r="D70" s="15">
        <f t="shared" ref="D70:M70" si="66">D112*D163</f>
        <v>357.2</v>
      </c>
      <c r="E70" s="14">
        <f t="shared" si="66"/>
        <v>92.901401903848253</v>
      </c>
      <c r="F70" s="14">
        <f t="shared" si="66"/>
        <v>297.70194986072426</v>
      </c>
      <c r="G70" s="13">
        <f t="shared" si="66"/>
        <v>684.88600000000588</v>
      </c>
      <c r="H70" s="15">
        <f t="shared" si="66"/>
        <v>32</v>
      </c>
      <c r="I70" s="13">
        <f t="shared" si="66"/>
        <v>2.5</v>
      </c>
      <c r="J70" s="16">
        <f t="shared" si="66"/>
        <v>37.167999999999999</v>
      </c>
      <c r="K70" s="15">
        <f t="shared" si="66"/>
        <v>139.13333333333333</v>
      </c>
      <c r="L70" s="14">
        <f t="shared" si="66"/>
        <v>123.97666666666666</v>
      </c>
      <c r="M70" s="13">
        <f t="shared" si="66"/>
        <v>9.6900000000000013</v>
      </c>
      <c r="N70" s="87">
        <v>3</v>
      </c>
      <c r="O70" s="13">
        <v>64130.952037511772</v>
      </c>
      <c r="P70" s="58">
        <f t="shared" si="44"/>
        <v>113970792.8891256</v>
      </c>
    </row>
    <row r="71" spans="1:16" outlineLevel="1" x14ac:dyDescent="0.2">
      <c r="A71" s="20">
        <f t="shared" si="63"/>
        <v>12826</v>
      </c>
      <c r="B71" s="19" t="str">
        <f t="shared" si="63"/>
        <v>UHD</v>
      </c>
      <c r="C71" s="58">
        <f t="shared" si="41"/>
        <v>3064.0372389731624</v>
      </c>
      <c r="D71" s="15">
        <f t="shared" ref="D71:M71" si="67">D113*D164</f>
        <v>714.7</v>
      </c>
      <c r="E71" s="14">
        <f t="shared" si="67"/>
        <v>67.896500000000017</v>
      </c>
      <c r="F71" s="14">
        <f t="shared" si="67"/>
        <v>223.747738973146</v>
      </c>
      <c r="G71" s="13">
        <f t="shared" si="67"/>
        <v>1281.3950000000164</v>
      </c>
      <c r="H71" s="15">
        <f t="shared" si="67"/>
        <v>38.9</v>
      </c>
      <c r="I71" s="13">
        <f t="shared" si="67"/>
        <v>0.5</v>
      </c>
      <c r="J71" s="16">
        <f t="shared" si="67"/>
        <v>80.688000000000002</v>
      </c>
      <c r="K71" s="15">
        <f t="shared" si="67"/>
        <v>310.53333333333336</v>
      </c>
      <c r="L71" s="14">
        <f t="shared" si="67"/>
        <v>242.88333333333333</v>
      </c>
      <c r="M71" s="13">
        <f t="shared" si="67"/>
        <v>102.79333333333334</v>
      </c>
      <c r="N71" s="87">
        <v>5</v>
      </c>
      <c r="O71" s="13">
        <v>64633.042238187707</v>
      </c>
      <c r="P71" s="58">
        <f t="shared" si="44"/>
        <v>198038048.28593245</v>
      </c>
    </row>
    <row r="72" spans="1:16" outlineLevel="1" x14ac:dyDescent="0.2">
      <c r="A72" s="20">
        <f t="shared" si="63"/>
        <v>13231</v>
      </c>
      <c r="B72" s="19" t="str">
        <f t="shared" si="63"/>
        <v>UHV</v>
      </c>
      <c r="C72" s="58">
        <f t="shared" si="41"/>
        <v>1008.2968527859374</v>
      </c>
      <c r="D72" s="15">
        <f t="shared" ref="D72:M72" si="68">D114*D165</f>
        <v>172.99999999999997</v>
      </c>
      <c r="E72" s="14">
        <f t="shared" si="68"/>
        <v>45.029319425829101</v>
      </c>
      <c r="F72" s="14">
        <f t="shared" si="68"/>
        <v>300.63486669344121</v>
      </c>
      <c r="G72" s="13">
        <f t="shared" si="68"/>
        <v>325.34400000000034</v>
      </c>
      <c r="H72" s="15">
        <f t="shared" si="68"/>
        <v>32.4</v>
      </c>
      <c r="I72" s="13">
        <f t="shared" si="68"/>
        <v>2.1999999999999997</v>
      </c>
      <c r="J72" s="16">
        <f t="shared" si="68"/>
        <v>18.432000000000002</v>
      </c>
      <c r="K72" s="15">
        <f t="shared" si="68"/>
        <v>71.600000000000009</v>
      </c>
      <c r="L72" s="14">
        <f t="shared" si="68"/>
        <v>38.523333333333333</v>
      </c>
      <c r="M72" s="13">
        <f t="shared" si="68"/>
        <v>1.1333333333333335</v>
      </c>
      <c r="N72" s="87">
        <v>4</v>
      </c>
      <c r="O72" s="13">
        <v>72600.916032124354</v>
      </c>
      <c r="P72" s="58">
        <f t="shared" si="44"/>
        <v>73203275.144567087</v>
      </c>
    </row>
    <row r="73" spans="1:16" outlineLevel="1" x14ac:dyDescent="0.2">
      <c r="A73" s="20">
        <f t="shared" si="63"/>
        <v>3592</v>
      </c>
      <c r="B73" s="19" t="str">
        <f t="shared" si="63"/>
        <v>Midwestern</v>
      </c>
      <c r="C73" s="58">
        <f t="shared" si="41"/>
        <v>1679.9650827769271</v>
      </c>
      <c r="D73" s="15">
        <f t="shared" ref="D73:M73" si="69">D115*D166</f>
        <v>309.5</v>
      </c>
      <c r="E73" s="14">
        <f t="shared" si="69"/>
        <v>67.986833333333323</v>
      </c>
      <c r="F73" s="14">
        <f t="shared" si="69"/>
        <v>180.91891611025949</v>
      </c>
      <c r="G73" s="13">
        <f t="shared" si="69"/>
        <v>588.60000000000105</v>
      </c>
      <c r="H73" s="15">
        <f t="shared" si="69"/>
        <v>99.999999999999986</v>
      </c>
      <c r="I73" s="13">
        <f t="shared" si="69"/>
        <v>4.5</v>
      </c>
      <c r="J73" s="16">
        <f t="shared" si="69"/>
        <v>33.136000000000003</v>
      </c>
      <c r="K73" s="15">
        <f t="shared" si="69"/>
        <v>143.80000000000001</v>
      </c>
      <c r="L73" s="14">
        <f t="shared" si="69"/>
        <v>135.98000000000002</v>
      </c>
      <c r="M73" s="13">
        <f t="shared" si="69"/>
        <v>115.54333333333334</v>
      </c>
      <c r="N73" s="87">
        <v>3</v>
      </c>
      <c r="O73" s="13">
        <v>64130.952037511772</v>
      </c>
      <c r="P73" s="58">
        <f t="shared" si="44"/>
        <v>107737760.14826161</v>
      </c>
    </row>
    <row r="74" spans="1:16" outlineLevel="1" x14ac:dyDescent="0.2">
      <c r="A74" s="20">
        <f t="shared" si="63"/>
        <v>3594</v>
      </c>
      <c r="B74" s="19" t="str">
        <f t="shared" si="63"/>
        <v>UNT</v>
      </c>
      <c r="C74" s="58">
        <f t="shared" si="41"/>
        <v>6399.8888626314456</v>
      </c>
      <c r="D74" s="15">
        <f t="shared" ref="D74:M74" si="70">D116*D167</f>
        <v>1203.3333333333335</v>
      </c>
      <c r="E74" s="14">
        <f t="shared" si="70"/>
        <v>866.90138888888896</v>
      </c>
      <c r="F74" s="14">
        <f t="shared" si="70"/>
        <v>323.58680707605157</v>
      </c>
      <c r="G74" s="13">
        <f t="shared" si="70"/>
        <v>2282.3106666665058</v>
      </c>
      <c r="H74" s="15">
        <f t="shared" si="70"/>
        <v>67.333333333333343</v>
      </c>
      <c r="I74" s="13">
        <f t="shared" si="70"/>
        <v>8.6666666666666679</v>
      </c>
      <c r="J74" s="16">
        <f t="shared" si="70"/>
        <v>122.24000000000002</v>
      </c>
      <c r="K74" s="15">
        <f t="shared" si="70"/>
        <v>550.52666666666676</v>
      </c>
      <c r="L74" s="14">
        <f t="shared" si="70"/>
        <v>507.80999999999995</v>
      </c>
      <c r="M74" s="13">
        <f t="shared" si="70"/>
        <v>467.18000000000006</v>
      </c>
      <c r="N74" s="87">
        <v>1</v>
      </c>
      <c r="O74" s="13">
        <v>90197.027768754284</v>
      </c>
      <c r="P74" s="58">
        <f t="shared" si="44"/>
        <v>577250953.45970976</v>
      </c>
    </row>
    <row r="75" spans="1:16" outlineLevel="1" x14ac:dyDescent="0.2">
      <c r="A75" s="27">
        <f t="shared" si="63"/>
        <v>113594</v>
      </c>
      <c r="B75" s="19" t="str">
        <f t="shared" si="63"/>
        <v>UNTD</v>
      </c>
      <c r="C75" s="58">
        <f t="shared" si="41"/>
        <v>849.86046155580505</v>
      </c>
      <c r="D75" s="15">
        <f t="shared" ref="D75:M75" si="71">D117*D168</f>
        <v>141.22499999999999</v>
      </c>
      <c r="E75" s="14">
        <f t="shared" si="71"/>
        <v>18.6417</v>
      </c>
      <c r="F75" s="14">
        <f t="shared" si="71"/>
        <v>362.50176155580607</v>
      </c>
      <c r="G75" s="13">
        <f t="shared" si="71"/>
        <v>247.05099999999899</v>
      </c>
      <c r="H75" s="15">
        <f t="shared" si="71"/>
        <v>4.1999999999999993</v>
      </c>
      <c r="I75" s="13">
        <f t="shared" si="71"/>
        <v>0</v>
      </c>
      <c r="J75" s="16">
        <f t="shared" si="71"/>
        <v>17.276</v>
      </c>
      <c r="K75" s="15">
        <f t="shared" si="71"/>
        <v>47.800000000000004</v>
      </c>
      <c r="L75" s="14">
        <f t="shared" si="71"/>
        <v>9.2949999999999999</v>
      </c>
      <c r="M75" s="13">
        <f t="shared" si="71"/>
        <v>1.87</v>
      </c>
      <c r="N75" s="87" t="s">
        <v>78</v>
      </c>
      <c r="O75" s="13">
        <v>62223.550136993705</v>
      </c>
      <c r="P75" s="58">
        <f t="shared" si="44"/>
        <v>52881335.039066248</v>
      </c>
    </row>
    <row r="76" spans="1:16" outlineLevel="1" x14ac:dyDescent="0.2">
      <c r="A76" s="20">
        <f t="shared" si="63"/>
        <v>3624</v>
      </c>
      <c r="B76" s="19" t="str">
        <f t="shared" si="63"/>
        <v>SFA</v>
      </c>
      <c r="C76" s="58">
        <f t="shared" si="41"/>
        <v>2946.7690823256303</v>
      </c>
      <c r="D76" s="15">
        <f t="shared" ref="D76:M76" si="72">D118*D169</f>
        <v>576.5</v>
      </c>
      <c r="E76" s="14">
        <f t="shared" si="72"/>
        <v>159.69049999999999</v>
      </c>
      <c r="F76" s="14">
        <f t="shared" si="72"/>
        <v>151.93158232562936</v>
      </c>
      <c r="G76" s="13">
        <f t="shared" si="72"/>
        <v>1116.5210000000006</v>
      </c>
      <c r="H76" s="15">
        <f t="shared" si="72"/>
        <v>74.399999999999991</v>
      </c>
      <c r="I76" s="13">
        <f t="shared" si="72"/>
        <v>13.399999999999999</v>
      </c>
      <c r="J76" s="16">
        <f t="shared" si="72"/>
        <v>70.095999999999989</v>
      </c>
      <c r="K76" s="15">
        <f t="shared" si="72"/>
        <v>276.93333333333334</v>
      </c>
      <c r="L76" s="14">
        <f t="shared" si="72"/>
        <v>269.75</v>
      </c>
      <c r="M76" s="13">
        <f t="shared" si="72"/>
        <v>237.54666666666668</v>
      </c>
      <c r="N76" s="87">
        <v>3</v>
      </c>
      <c r="O76" s="13">
        <v>64130.952037511772</v>
      </c>
      <c r="P76" s="58">
        <f t="shared" si="44"/>
        <v>188979106.68424758</v>
      </c>
    </row>
    <row r="77" spans="1:16" outlineLevel="1" x14ac:dyDescent="0.2">
      <c r="A77" s="20">
        <f t="shared" si="63"/>
        <v>3642</v>
      </c>
      <c r="B77" s="19" t="str">
        <f t="shared" si="63"/>
        <v>TSU</v>
      </c>
      <c r="C77" s="58">
        <f t="shared" si="41"/>
        <v>1315.9213575816959</v>
      </c>
      <c r="D77" s="15">
        <f t="shared" ref="D77:M77" si="73">D119*D170</f>
        <v>227.5</v>
      </c>
      <c r="E77" s="14">
        <f t="shared" si="73"/>
        <v>16.342083333333331</v>
      </c>
      <c r="F77" s="14">
        <f t="shared" si="73"/>
        <v>97.002607581695372</v>
      </c>
      <c r="G77" s="13">
        <f t="shared" si="73"/>
        <v>446.59600000000057</v>
      </c>
      <c r="H77" s="15">
        <f t="shared" si="73"/>
        <v>40.300000000000004</v>
      </c>
      <c r="I77" s="13">
        <f t="shared" si="73"/>
        <v>0.89999999999999991</v>
      </c>
      <c r="J77" s="16">
        <f t="shared" si="73"/>
        <v>31.984000000000002</v>
      </c>
      <c r="K77" s="15">
        <f t="shared" si="73"/>
        <v>163.73333333333335</v>
      </c>
      <c r="L77" s="14">
        <f t="shared" si="73"/>
        <v>147.29</v>
      </c>
      <c r="M77" s="13">
        <f t="shared" si="73"/>
        <v>144.27333333333334</v>
      </c>
      <c r="N77" s="87">
        <v>3</v>
      </c>
      <c r="O77" s="13">
        <v>64130.952037511772</v>
      </c>
      <c r="P77" s="58">
        <f t="shared" si="44"/>
        <v>84391289.468209118</v>
      </c>
    </row>
    <row r="78" spans="1:16" outlineLevel="1" x14ac:dyDescent="0.2">
      <c r="A78" s="20">
        <f t="shared" si="63"/>
        <v>3644</v>
      </c>
      <c r="B78" s="19" t="str">
        <f t="shared" si="63"/>
        <v>TTU</v>
      </c>
      <c r="C78" s="58">
        <f t="shared" si="41"/>
        <v>5806.2762057544523</v>
      </c>
      <c r="D78" s="15">
        <f t="shared" ref="D78:M78" si="74">D120*D171</f>
        <v>934.80000000000007</v>
      </c>
      <c r="E78" s="14">
        <f t="shared" si="74"/>
        <v>855.34199999999987</v>
      </c>
      <c r="F78" s="14">
        <f t="shared" si="74"/>
        <v>263.26553908791692</v>
      </c>
      <c r="G78" s="13">
        <f t="shared" si="74"/>
        <v>2025.6226666665364</v>
      </c>
      <c r="H78" s="15">
        <f t="shared" si="74"/>
        <v>145.46666666666667</v>
      </c>
      <c r="I78" s="13">
        <f t="shared" si="74"/>
        <v>11.466666666666669</v>
      </c>
      <c r="J78" s="16">
        <f t="shared" si="74"/>
        <v>88.896000000000015</v>
      </c>
      <c r="K78" s="15">
        <f t="shared" si="74"/>
        <v>453.97333333333336</v>
      </c>
      <c r="L78" s="14">
        <f t="shared" si="74"/>
        <v>475.04999999999995</v>
      </c>
      <c r="M78" s="13">
        <f t="shared" si="74"/>
        <v>552.39333333333332</v>
      </c>
      <c r="N78" s="87">
        <v>1</v>
      </c>
      <c r="O78" s="13">
        <v>90197.027768754284</v>
      </c>
      <c r="P78" s="58">
        <f t="shared" si="44"/>
        <v>523708856.16349161</v>
      </c>
    </row>
    <row r="79" spans="1:16" outlineLevel="1" x14ac:dyDescent="0.2">
      <c r="A79" s="20">
        <f t="shared" si="63"/>
        <v>3541</v>
      </c>
      <c r="B79" s="19" t="str">
        <f t="shared" si="63"/>
        <v>Angelo</v>
      </c>
      <c r="C79" s="58">
        <f t="shared" si="41"/>
        <v>1622.1398553119836</v>
      </c>
      <c r="D79" s="15">
        <f t="shared" ref="D79:M79" si="75">D121*D172</f>
        <v>297.39999999999998</v>
      </c>
      <c r="E79" s="14">
        <f t="shared" si="75"/>
        <v>63.891433333333332</v>
      </c>
      <c r="F79" s="14">
        <f t="shared" si="75"/>
        <v>152.29275531198221</v>
      </c>
      <c r="G79" s="13">
        <f t="shared" si="75"/>
        <v>593.20500000000152</v>
      </c>
      <c r="H79" s="15">
        <f t="shared" si="75"/>
        <v>76.3</v>
      </c>
      <c r="I79" s="13">
        <f t="shared" si="75"/>
        <v>5.8</v>
      </c>
      <c r="J79" s="16">
        <f t="shared" si="75"/>
        <v>34.704000000000001</v>
      </c>
      <c r="K79" s="15">
        <f t="shared" si="75"/>
        <v>143.86666666666667</v>
      </c>
      <c r="L79" s="14">
        <f t="shared" si="75"/>
        <v>134.37666666666669</v>
      </c>
      <c r="M79" s="13">
        <f t="shared" si="75"/>
        <v>120.30333333333334</v>
      </c>
      <c r="N79" s="87">
        <v>3</v>
      </c>
      <c r="O79" s="13">
        <v>64130.952037511772</v>
      </c>
      <c r="P79" s="58">
        <f t="shared" si="44"/>
        <v>104029373.2591491</v>
      </c>
    </row>
    <row r="80" spans="1:16" outlineLevel="1" x14ac:dyDescent="0.2">
      <c r="A80" s="20">
        <f t="shared" si="63"/>
        <v>3646</v>
      </c>
      <c r="B80" s="19" t="str">
        <f t="shared" si="63"/>
        <v>TWU</v>
      </c>
      <c r="C80" s="58">
        <f t="shared" si="41"/>
        <v>2644.5967762837331</v>
      </c>
      <c r="D80" s="15">
        <f t="shared" ref="D80:M80" si="76">D122*D173</f>
        <v>541.79999999999995</v>
      </c>
      <c r="E80" s="14">
        <f t="shared" si="76"/>
        <v>189.14840000000004</v>
      </c>
      <c r="F80" s="14">
        <f t="shared" si="76"/>
        <v>275.45604295039965</v>
      </c>
      <c r="G80" s="13">
        <f t="shared" si="76"/>
        <v>1035.6529999999998</v>
      </c>
      <c r="H80" s="15">
        <f t="shared" si="76"/>
        <v>170.8</v>
      </c>
      <c r="I80" s="13">
        <f t="shared" si="76"/>
        <v>9.5</v>
      </c>
      <c r="J80" s="16">
        <f t="shared" si="76"/>
        <v>59.856000000000002</v>
      </c>
      <c r="K80" s="15">
        <f t="shared" si="76"/>
        <v>153.72000000000003</v>
      </c>
      <c r="L80" s="14">
        <f t="shared" si="76"/>
        <v>116.30999999999999</v>
      </c>
      <c r="M80" s="13">
        <f t="shared" si="76"/>
        <v>92.353333333333339</v>
      </c>
      <c r="N80" s="87">
        <v>2</v>
      </c>
      <c r="O80" s="13">
        <v>69184.923785166247</v>
      </c>
      <c r="P80" s="58">
        <f t="shared" si="44"/>
        <v>182966226.40968642</v>
      </c>
    </row>
    <row r="81" spans="1:16" outlineLevel="1" x14ac:dyDescent="0.2">
      <c r="A81" s="20">
        <f t="shared" si="63"/>
        <v>3581</v>
      </c>
      <c r="B81" s="19" t="str">
        <f t="shared" si="63"/>
        <v>Lamar</v>
      </c>
      <c r="C81" s="58">
        <f t="shared" si="41"/>
        <v>2143.4464020667288</v>
      </c>
      <c r="D81" s="15">
        <f t="shared" ref="D81:M81" si="77">D123*D174</f>
        <v>400.59999999999997</v>
      </c>
      <c r="E81" s="14">
        <f t="shared" si="77"/>
        <v>70.171766666666656</v>
      </c>
      <c r="F81" s="14">
        <f t="shared" si="77"/>
        <v>137.66196873339072</v>
      </c>
      <c r="G81" s="13">
        <f t="shared" si="77"/>
        <v>805.47000000000492</v>
      </c>
      <c r="H81" s="15">
        <f t="shared" si="77"/>
        <v>99</v>
      </c>
      <c r="I81" s="13">
        <f t="shared" si="77"/>
        <v>5.0999999999999996</v>
      </c>
      <c r="J81" s="16">
        <f t="shared" si="77"/>
        <v>45.536000000000001</v>
      </c>
      <c r="K81" s="15">
        <f t="shared" si="77"/>
        <v>214.46666666666667</v>
      </c>
      <c r="L81" s="14">
        <f t="shared" si="77"/>
        <v>193.57</v>
      </c>
      <c r="M81" s="13">
        <f t="shared" si="77"/>
        <v>171.87</v>
      </c>
      <c r="N81" s="87">
        <v>3</v>
      </c>
      <c r="O81" s="13">
        <v>64130.952037511772</v>
      </c>
      <c r="P81" s="58">
        <f t="shared" si="44"/>
        <v>137461258.40591857</v>
      </c>
    </row>
    <row r="82" spans="1:16" outlineLevel="1" x14ac:dyDescent="0.2">
      <c r="A82" s="20">
        <f t="shared" si="63"/>
        <v>3606</v>
      </c>
      <c r="B82" s="19" t="str">
        <f t="shared" si="63"/>
        <v>SHSU</v>
      </c>
      <c r="C82" s="58">
        <f t="shared" si="41"/>
        <v>4378.1744067947939</v>
      </c>
      <c r="D82" s="15">
        <f t="shared" ref="D82:M82" si="78">D124*D175</f>
        <v>923.3</v>
      </c>
      <c r="E82" s="14">
        <f t="shared" si="78"/>
        <v>270.83466666666664</v>
      </c>
      <c r="F82" s="14">
        <f t="shared" si="78"/>
        <v>183.5674067947576</v>
      </c>
      <c r="G82" s="13">
        <f t="shared" si="78"/>
        <v>1751.1230000000367</v>
      </c>
      <c r="H82" s="15">
        <f t="shared" si="78"/>
        <v>50.1</v>
      </c>
      <c r="I82" s="13">
        <f t="shared" si="78"/>
        <v>18.3</v>
      </c>
      <c r="J82" s="16">
        <f t="shared" si="78"/>
        <v>106.256</v>
      </c>
      <c r="K82" s="15">
        <f t="shared" si="78"/>
        <v>389.43333333333339</v>
      </c>
      <c r="L82" s="14">
        <f t="shared" si="78"/>
        <v>385.49333333333334</v>
      </c>
      <c r="M82" s="13">
        <f t="shared" si="78"/>
        <v>299.76666666666665</v>
      </c>
      <c r="N82" s="87">
        <v>3</v>
      </c>
      <c r="O82" s="13">
        <v>64130.952037511772</v>
      </c>
      <c r="P82" s="58">
        <f t="shared" si="44"/>
        <v>280776492.89401847</v>
      </c>
    </row>
    <row r="83" spans="1:16" outlineLevel="1" x14ac:dyDescent="0.2">
      <c r="A83" s="20">
        <f t="shared" si="63"/>
        <v>3615</v>
      </c>
      <c r="B83" s="19" t="str">
        <f t="shared" si="63"/>
        <v>TXST</v>
      </c>
      <c r="C83" s="58">
        <f t="shared" si="41"/>
        <v>7803.3376363982061</v>
      </c>
      <c r="D83" s="15">
        <f t="shared" ref="D83:M83" si="79">D125*D176</f>
        <v>1608.3</v>
      </c>
      <c r="E83" s="14">
        <f t="shared" si="79"/>
        <v>509.02694999999994</v>
      </c>
      <c r="F83" s="14">
        <f t="shared" si="79"/>
        <v>175.55168639839795</v>
      </c>
      <c r="G83" s="13">
        <f t="shared" si="79"/>
        <v>3131.1929999998069</v>
      </c>
      <c r="H83" s="15">
        <f t="shared" si="79"/>
        <v>146.6</v>
      </c>
      <c r="I83" s="13">
        <f t="shared" si="79"/>
        <v>20</v>
      </c>
      <c r="J83" s="16">
        <f t="shared" si="79"/>
        <v>176.416</v>
      </c>
      <c r="K83" s="15">
        <f t="shared" si="79"/>
        <v>747.0333333333333</v>
      </c>
      <c r="L83" s="14">
        <f t="shared" si="79"/>
        <v>725.27</v>
      </c>
      <c r="M83" s="13">
        <f t="shared" si="79"/>
        <v>563.94666666666672</v>
      </c>
      <c r="N83" s="87">
        <v>3</v>
      </c>
      <c r="O83" s="13">
        <v>64130.952037511772</v>
      </c>
      <c r="P83" s="58">
        <f t="shared" si="44"/>
        <v>500435471.6923638</v>
      </c>
    </row>
    <row r="84" spans="1:16" outlineLevel="1" x14ac:dyDescent="0.2">
      <c r="A84" s="20">
        <f t="shared" si="63"/>
        <v>3625</v>
      </c>
      <c r="B84" s="19" t="str">
        <f t="shared" si="63"/>
        <v>SRSU</v>
      </c>
      <c r="C84" s="58">
        <f t="shared" si="41"/>
        <v>391.12272256243051</v>
      </c>
      <c r="D84" s="15">
        <f t="shared" ref="D84:M84" si="80">D126*D177</f>
        <v>56.800000000000004</v>
      </c>
      <c r="E84" s="14">
        <f t="shared" si="80"/>
        <v>8.5483999999999991</v>
      </c>
      <c r="F84" s="14">
        <f t="shared" si="80"/>
        <v>116.39132256243057</v>
      </c>
      <c r="G84" s="13">
        <f t="shared" si="80"/>
        <v>118.29899999999989</v>
      </c>
      <c r="H84" s="15">
        <f t="shared" si="80"/>
        <v>3.8</v>
      </c>
      <c r="I84" s="13">
        <f t="shared" si="80"/>
        <v>1.9</v>
      </c>
      <c r="J84" s="16">
        <f t="shared" si="80"/>
        <v>7.8239999999999998</v>
      </c>
      <c r="K84" s="15">
        <f t="shared" si="80"/>
        <v>30</v>
      </c>
      <c r="L84" s="14">
        <f t="shared" si="80"/>
        <v>25.176666666666666</v>
      </c>
      <c r="M84" s="13">
        <f t="shared" si="80"/>
        <v>22.383333333333333</v>
      </c>
      <c r="N84" s="87">
        <v>3</v>
      </c>
      <c r="O84" s="13">
        <v>64130.952037511772</v>
      </c>
      <c r="P84" s="58">
        <f t="shared" si="44"/>
        <v>25083072.561432254</v>
      </c>
    </row>
    <row r="85" spans="1:16" outlineLevel="1" x14ac:dyDescent="0.2">
      <c r="A85" s="20">
        <f t="shared" si="63"/>
        <v>20</v>
      </c>
      <c r="B85" s="19" t="str">
        <f t="shared" si="63"/>
        <v>SRRG</v>
      </c>
      <c r="C85" s="58">
        <f t="shared" si="41"/>
        <v>460.72429185133666</v>
      </c>
      <c r="D85" s="15">
        <f t="shared" ref="D85:M85" si="81">D127*D178</f>
        <v>48.499999999999993</v>
      </c>
      <c r="E85" s="14">
        <f t="shared" si="81"/>
        <v>7.7048964927506631</v>
      </c>
      <c r="F85" s="14">
        <f t="shared" si="81"/>
        <v>274.47306202525277</v>
      </c>
      <c r="G85" s="13">
        <f t="shared" si="81"/>
        <v>83.750999999999934</v>
      </c>
      <c r="H85" s="15">
        <f t="shared" si="81"/>
        <v>1.9</v>
      </c>
      <c r="I85" s="13">
        <f t="shared" si="81"/>
        <v>1.7</v>
      </c>
      <c r="J85" s="16">
        <f t="shared" si="81"/>
        <v>6.9119999999999999</v>
      </c>
      <c r="K85" s="15">
        <f t="shared" si="81"/>
        <v>23</v>
      </c>
      <c r="L85" s="14">
        <f t="shared" si="81"/>
        <v>12.046666666666667</v>
      </c>
      <c r="M85" s="13">
        <f t="shared" si="81"/>
        <v>0.73666666666666669</v>
      </c>
      <c r="N85" s="87">
        <v>5</v>
      </c>
      <c r="O85" s="13">
        <v>64633.042238187707</v>
      </c>
      <c r="P85" s="58">
        <f t="shared" si="44"/>
        <v>29778012.615386564</v>
      </c>
    </row>
    <row r="86" spans="1:16" ht="13.5" outlineLevel="1" thickBot="1" x14ac:dyDescent="0.25">
      <c r="A86" s="12"/>
      <c r="B86" s="11" t="s">
        <v>11</v>
      </c>
      <c r="C86" s="57">
        <f t="shared" ref="C86" si="82">SUM(C48:C85)</f>
        <v>116182.0409524133</v>
      </c>
      <c r="D86" s="9">
        <f t="shared" ref="D86" si="83">SUM(D48:D85)</f>
        <v>21360.516666666666</v>
      </c>
      <c r="E86" s="7">
        <f t="shared" ref="E86" si="84">SUM(E48:E85)</f>
        <v>10404.445163659186</v>
      </c>
      <c r="F86" s="7">
        <f t="shared" ref="F86" si="85">SUM(F48:F85)</f>
        <v>8923.690122087788</v>
      </c>
      <c r="G86" s="3">
        <f t="shared" ref="G86" si="86">SUM(G48:G85)</f>
        <v>43402.564333333015</v>
      </c>
      <c r="H86" s="5">
        <f t="shared" ref="H86" si="87">SUM(H48:H85)</f>
        <v>3465.4666666666681</v>
      </c>
      <c r="I86" s="3">
        <f t="shared" ref="I86" si="88">SUM(I48:I85)</f>
        <v>317.26666666666665</v>
      </c>
      <c r="J86" s="6">
        <f t="shared" ref="J86" si="89">SUM(J48:J85)</f>
        <v>2282.6080000000002</v>
      </c>
      <c r="K86" s="5">
        <f t="shared" ref="K86" si="90">SUM(K48:K85)</f>
        <v>9541.378333333334</v>
      </c>
      <c r="L86" s="4">
        <f t="shared" ref="L86" si="91">SUM(L48:L85)</f>
        <v>8772.42</v>
      </c>
      <c r="M86" s="3">
        <f t="shared" ref="M86" si="92">SUM(M48:M85)</f>
        <v>7711.6849999999995</v>
      </c>
      <c r="N86" s="101"/>
      <c r="O86" s="102"/>
      <c r="P86" s="57">
        <f>SUM(P48:P85)</f>
        <v>8797264894.8593178</v>
      </c>
    </row>
    <row r="87" spans="1:16" ht="13.5" thickBot="1" x14ac:dyDescent="0.25">
      <c r="A87" s="69" t="s">
        <v>30</v>
      </c>
    </row>
    <row r="88" spans="1:16" ht="12.75" customHeight="1" outlineLevel="1" x14ac:dyDescent="0.2">
      <c r="A88" s="177" t="s">
        <v>24</v>
      </c>
      <c r="B88" s="179" t="s">
        <v>23</v>
      </c>
      <c r="C88" s="181" t="s">
        <v>77</v>
      </c>
      <c r="D88" s="183" t="s">
        <v>35</v>
      </c>
      <c r="E88" s="184"/>
      <c r="F88" s="184"/>
      <c r="G88" s="185"/>
      <c r="H88" s="186" t="s">
        <v>18</v>
      </c>
      <c r="I88" s="195" t="s">
        <v>17</v>
      </c>
      <c r="J88" s="197" t="s">
        <v>16</v>
      </c>
      <c r="K88" s="199" t="s">
        <v>34</v>
      </c>
      <c r="L88" s="200"/>
      <c r="M88" s="200"/>
      <c r="N88" s="212" t="s">
        <v>106</v>
      </c>
    </row>
    <row r="89" spans="1:16" ht="51.75" outlineLevel="1" thickBot="1" x14ac:dyDescent="0.25">
      <c r="A89" s="178"/>
      <c r="B89" s="180"/>
      <c r="C89" s="182"/>
      <c r="D89" s="68"/>
      <c r="E89" s="67" t="s">
        <v>33</v>
      </c>
      <c r="F89" s="67" t="s">
        <v>32</v>
      </c>
      <c r="G89" s="66" t="s">
        <v>31</v>
      </c>
      <c r="H89" s="187"/>
      <c r="I89" s="196"/>
      <c r="J89" s="198"/>
      <c r="K89" s="44" t="s">
        <v>14</v>
      </c>
      <c r="L89" s="43" t="s">
        <v>13</v>
      </c>
      <c r="M89" s="42" t="s">
        <v>12</v>
      </c>
      <c r="N89" s="213"/>
    </row>
    <row r="90" spans="1:16" outlineLevel="1" x14ac:dyDescent="0.2">
      <c r="A90" s="20">
        <f t="shared" ref="A90:B109" si="93">A5</f>
        <v>3656</v>
      </c>
      <c r="B90" s="19" t="str">
        <f t="shared" si="93"/>
        <v>UTA</v>
      </c>
      <c r="C90" s="90">
        <f>D90+E90+F90+K90+L90+M90</f>
        <v>1</v>
      </c>
      <c r="D90" s="91">
        <f>SUMIF($N$131:$N$136,$N90,D$131:D$136)</f>
        <v>0.2</v>
      </c>
      <c r="E90" s="92">
        <f t="shared" ref="E90:M105" si="94">SUMIF($N$131:$N$136,$N90,E$131:E$136)</f>
        <v>0.25</v>
      </c>
      <c r="F90" s="92">
        <f t="shared" si="94"/>
        <v>0.25</v>
      </c>
      <c r="G90" s="93">
        <f t="shared" si="94"/>
        <v>0.2</v>
      </c>
      <c r="H90" s="94">
        <f t="shared" si="94"/>
        <v>0.2</v>
      </c>
      <c r="I90" s="95">
        <f t="shared" si="94"/>
        <v>0.2</v>
      </c>
      <c r="J90" s="96">
        <f t="shared" si="94"/>
        <v>8.0000000000000016E-2</v>
      </c>
      <c r="K90" s="94">
        <f t="shared" si="94"/>
        <v>7.0000000000000007E-2</v>
      </c>
      <c r="L90" s="97">
        <f t="shared" si="94"/>
        <v>0.09</v>
      </c>
      <c r="M90" s="95">
        <f t="shared" si="94"/>
        <v>0.14000000000000001</v>
      </c>
      <c r="N90" s="88">
        <v>1</v>
      </c>
    </row>
    <row r="91" spans="1:16" outlineLevel="1" x14ac:dyDescent="0.2">
      <c r="A91" s="20">
        <f t="shared" si="93"/>
        <v>3658</v>
      </c>
      <c r="B91" s="19" t="str">
        <f t="shared" si="93"/>
        <v>UT</v>
      </c>
      <c r="C91" s="90">
        <f t="shared" ref="C91:C127" si="95">D91+E91+F91+K91+L91+M91</f>
        <v>1</v>
      </c>
      <c r="D91" s="91">
        <f t="shared" ref="D91:M106" si="96">SUMIF($N$131:$N$136,$N91,D$131:D$136)</f>
        <v>0.2</v>
      </c>
      <c r="E91" s="92">
        <f t="shared" si="94"/>
        <v>0.25</v>
      </c>
      <c r="F91" s="92">
        <f t="shared" si="94"/>
        <v>0.25</v>
      </c>
      <c r="G91" s="93">
        <f t="shared" si="94"/>
        <v>0.2</v>
      </c>
      <c r="H91" s="94">
        <f t="shared" si="94"/>
        <v>0.2</v>
      </c>
      <c r="I91" s="95">
        <f t="shared" si="94"/>
        <v>0.2</v>
      </c>
      <c r="J91" s="96">
        <f t="shared" si="94"/>
        <v>8.0000000000000016E-2</v>
      </c>
      <c r="K91" s="94">
        <f t="shared" si="94"/>
        <v>7.0000000000000007E-2</v>
      </c>
      <c r="L91" s="97">
        <f t="shared" si="94"/>
        <v>0.09</v>
      </c>
      <c r="M91" s="95">
        <f t="shared" si="94"/>
        <v>0.14000000000000001</v>
      </c>
      <c r="N91" s="89">
        <v>1</v>
      </c>
    </row>
    <row r="92" spans="1:16" outlineLevel="1" x14ac:dyDescent="0.2">
      <c r="A92" s="20">
        <f t="shared" si="93"/>
        <v>9741</v>
      </c>
      <c r="B92" s="19" t="str">
        <f t="shared" si="93"/>
        <v>UTD</v>
      </c>
      <c r="C92" s="90">
        <f t="shared" si="95"/>
        <v>1</v>
      </c>
      <c r="D92" s="91">
        <f t="shared" si="96"/>
        <v>0.2</v>
      </c>
      <c r="E92" s="92">
        <f t="shared" si="94"/>
        <v>0.25</v>
      </c>
      <c r="F92" s="92">
        <f t="shared" si="94"/>
        <v>0.25</v>
      </c>
      <c r="G92" s="93">
        <f t="shared" si="94"/>
        <v>0.2</v>
      </c>
      <c r="H92" s="94">
        <f t="shared" si="94"/>
        <v>0.2</v>
      </c>
      <c r="I92" s="95">
        <f t="shared" si="94"/>
        <v>0.2</v>
      </c>
      <c r="J92" s="96">
        <f t="shared" si="94"/>
        <v>8.0000000000000016E-2</v>
      </c>
      <c r="K92" s="94">
        <f t="shared" si="94"/>
        <v>7.0000000000000007E-2</v>
      </c>
      <c r="L92" s="97">
        <f t="shared" si="94"/>
        <v>0.09</v>
      </c>
      <c r="M92" s="95">
        <f t="shared" si="94"/>
        <v>0.14000000000000001</v>
      </c>
      <c r="N92" s="89">
        <v>1</v>
      </c>
    </row>
    <row r="93" spans="1:16" outlineLevel="1" x14ac:dyDescent="0.2">
      <c r="A93" s="20">
        <f t="shared" si="93"/>
        <v>3661</v>
      </c>
      <c r="B93" s="19" t="str">
        <f t="shared" si="93"/>
        <v>UTEP</v>
      </c>
      <c r="C93" s="90">
        <f t="shared" si="95"/>
        <v>1</v>
      </c>
      <c r="D93" s="91">
        <f t="shared" si="96"/>
        <v>0.3</v>
      </c>
      <c r="E93" s="92">
        <f t="shared" si="94"/>
        <v>0.2</v>
      </c>
      <c r="F93" s="92">
        <f t="shared" si="94"/>
        <v>0.2</v>
      </c>
      <c r="G93" s="93">
        <f t="shared" si="94"/>
        <v>0.3</v>
      </c>
      <c r="H93" s="91">
        <f t="shared" si="94"/>
        <v>0.3</v>
      </c>
      <c r="I93" s="93">
        <f t="shared" si="94"/>
        <v>0.3</v>
      </c>
      <c r="J93" s="98">
        <f t="shared" si="94"/>
        <v>0.12</v>
      </c>
      <c r="K93" s="91">
        <f t="shared" si="94"/>
        <v>7.0000000000000007E-2</v>
      </c>
      <c r="L93" s="92">
        <f t="shared" si="94"/>
        <v>0.09</v>
      </c>
      <c r="M93" s="93">
        <f t="shared" si="94"/>
        <v>0.14000000000000001</v>
      </c>
      <c r="N93" s="89">
        <v>2</v>
      </c>
    </row>
    <row r="94" spans="1:16" outlineLevel="1" x14ac:dyDescent="0.2">
      <c r="A94" s="20">
        <f t="shared" si="93"/>
        <v>3599</v>
      </c>
      <c r="B94" s="19" t="str">
        <f t="shared" si="93"/>
        <v>UTPA</v>
      </c>
      <c r="C94" s="90">
        <f t="shared" si="95"/>
        <v>1</v>
      </c>
      <c r="D94" s="91">
        <f t="shared" si="96"/>
        <v>0.3</v>
      </c>
      <c r="E94" s="92">
        <f t="shared" si="94"/>
        <v>0.15</v>
      </c>
      <c r="F94" s="92">
        <f t="shared" si="94"/>
        <v>0.15</v>
      </c>
      <c r="G94" s="93">
        <f t="shared" si="94"/>
        <v>0.3</v>
      </c>
      <c r="H94" s="91">
        <f t="shared" si="94"/>
        <v>0.3</v>
      </c>
      <c r="I94" s="93">
        <f t="shared" si="94"/>
        <v>0.3</v>
      </c>
      <c r="J94" s="98">
        <f t="shared" si="94"/>
        <v>0.12</v>
      </c>
      <c r="K94" s="91">
        <f t="shared" si="94"/>
        <v>0.1</v>
      </c>
      <c r="L94" s="92">
        <f t="shared" si="94"/>
        <v>0.13</v>
      </c>
      <c r="M94" s="93">
        <f t="shared" si="94"/>
        <v>0.17</v>
      </c>
      <c r="N94" s="89">
        <v>3</v>
      </c>
    </row>
    <row r="95" spans="1:16" outlineLevel="1" x14ac:dyDescent="0.2">
      <c r="A95" s="20">
        <f t="shared" si="93"/>
        <v>30646</v>
      </c>
      <c r="B95" s="19" t="str">
        <f t="shared" si="93"/>
        <v>UTB</v>
      </c>
      <c r="C95" s="90">
        <f t="shared" si="95"/>
        <v>1</v>
      </c>
      <c r="D95" s="91">
        <f t="shared" si="96"/>
        <v>0.3</v>
      </c>
      <c r="E95" s="92">
        <f t="shared" si="94"/>
        <v>0.15</v>
      </c>
      <c r="F95" s="92">
        <f t="shared" si="94"/>
        <v>0.15</v>
      </c>
      <c r="G95" s="93">
        <f t="shared" si="94"/>
        <v>0.3</v>
      </c>
      <c r="H95" s="91">
        <f t="shared" si="94"/>
        <v>0.3</v>
      </c>
      <c r="I95" s="93">
        <f t="shared" si="94"/>
        <v>0.3</v>
      </c>
      <c r="J95" s="98">
        <f t="shared" si="94"/>
        <v>0.12</v>
      </c>
      <c r="K95" s="91">
        <f t="shared" si="94"/>
        <v>0.1</v>
      </c>
      <c r="L95" s="92">
        <f t="shared" si="94"/>
        <v>0.13</v>
      </c>
      <c r="M95" s="93">
        <f t="shared" si="94"/>
        <v>0.17</v>
      </c>
      <c r="N95" s="89">
        <v>3</v>
      </c>
    </row>
    <row r="96" spans="1:16" outlineLevel="1" x14ac:dyDescent="0.2">
      <c r="A96" s="20">
        <f t="shared" si="93"/>
        <v>9930</v>
      </c>
      <c r="B96" s="19" t="str">
        <f t="shared" si="93"/>
        <v>UTPB</v>
      </c>
      <c r="C96" s="90">
        <f t="shared" si="95"/>
        <v>1</v>
      </c>
      <c r="D96" s="91">
        <f t="shared" si="96"/>
        <v>0.3</v>
      </c>
      <c r="E96" s="92">
        <f t="shared" si="94"/>
        <v>0.15</v>
      </c>
      <c r="F96" s="92">
        <f t="shared" si="94"/>
        <v>0.15</v>
      </c>
      <c r="G96" s="93">
        <f t="shared" si="94"/>
        <v>0.3</v>
      </c>
      <c r="H96" s="91">
        <f t="shared" si="94"/>
        <v>0.3</v>
      </c>
      <c r="I96" s="93">
        <f t="shared" si="94"/>
        <v>0.3</v>
      </c>
      <c r="J96" s="98">
        <f t="shared" si="94"/>
        <v>0.12</v>
      </c>
      <c r="K96" s="91">
        <f t="shared" si="94"/>
        <v>0.1</v>
      </c>
      <c r="L96" s="92">
        <f t="shared" si="94"/>
        <v>0.13</v>
      </c>
      <c r="M96" s="93">
        <f t="shared" si="94"/>
        <v>0.17</v>
      </c>
      <c r="N96" s="89">
        <v>3</v>
      </c>
    </row>
    <row r="97" spans="1:14" outlineLevel="1" x14ac:dyDescent="0.2">
      <c r="A97" s="20">
        <f t="shared" si="93"/>
        <v>10115</v>
      </c>
      <c r="B97" s="19" t="str">
        <f t="shared" si="93"/>
        <v>UTSA</v>
      </c>
      <c r="C97" s="90">
        <f t="shared" si="95"/>
        <v>1</v>
      </c>
      <c r="D97" s="91">
        <f t="shared" si="96"/>
        <v>0.3</v>
      </c>
      <c r="E97" s="92">
        <f t="shared" si="94"/>
        <v>0.2</v>
      </c>
      <c r="F97" s="92">
        <f t="shared" si="94"/>
        <v>0.2</v>
      </c>
      <c r="G97" s="93">
        <f t="shared" si="94"/>
        <v>0.3</v>
      </c>
      <c r="H97" s="91">
        <f t="shared" si="94"/>
        <v>0.3</v>
      </c>
      <c r="I97" s="93">
        <f t="shared" si="94"/>
        <v>0.3</v>
      </c>
      <c r="J97" s="98">
        <f t="shared" si="94"/>
        <v>0.12</v>
      </c>
      <c r="K97" s="91">
        <f t="shared" si="94"/>
        <v>7.0000000000000007E-2</v>
      </c>
      <c r="L97" s="92">
        <f t="shared" si="94"/>
        <v>0.09</v>
      </c>
      <c r="M97" s="93">
        <f t="shared" si="94"/>
        <v>0.14000000000000001</v>
      </c>
      <c r="N97" s="89">
        <v>2</v>
      </c>
    </row>
    <row r="98" spans="1:14" outlineLevel="1" x14ac:dyDescent="0.2">
      <c r="A98" s="20">
        <f t="shared" si="93"/>
        <v>11163</v>
      </c>
      <c r="B98" s="19" t="str">
        <f t="shared" si="93"/>
        <v>UTT</v>
      </c>
      <c r="C98" s="90">
        <f t="shared" si="95"/>
        <v>1</v>
      </c>
      <c r="D98" s="91">
        <f t="shared" si="96"/>
        <v>0.3</v>
      </c>
      <c r="E98" s="92">
        <f t="shared" si="94"/>
        <v>0.15</v>
      </c>
      <c r="F98" s="92">
        <f t="shared" si="94"/>
        <v>0.15</v>
      </c>
      <c r="G98" s="93">
        <f t="shared" si="94"/>
        <v>0.3</v>
      </c>
      <c r="H98" s="91">
        <f t="shared" si="94"/>
        <v>0.3</v>
      </c>
      <c r="I98" s="93">
        <f t="shared" si="94"/>
        <v>0.3</v>
      </c>
      <c r="J98" s="98">
        <f t="shared" si="94"/>
        <v>0.12</v>
      </c>
      <c r="K98" s="91">
        <f t="shared" si="94"/>
        <v>0.1</v>
      </c>
      <c r="L98" s="92">
        <f t="shared" si="94"/>
        <v>0.13</v>
      </c>
      <c r="M98" s="93">
        <f t="shared" si="94"/>
        <v>0.17</v>
      </c>
      <c r="N98" s="89">
        <v>3</v>
      </c>
    </row>
    <row r="99" spans="1:14" outlineLevel="1" x14ac:dyDescent="0.2">
      <c r="A99" s="20">
        <f t="shared" si="93"/>
        <v>3632</v>
      </c>
      <c r="B99" s="19" t="str">
        <f t="shared" si="93"/>
        <v>TAMU</v>
      </c>
      <c r="C99" s="90">
        <f t="shared" si="95"/>
        <v>1</v>
      </c>
      <c r="D99" s="91">
        <f t="shared" si="96"/>
        <v>0.2</v>
      </c>
      <c r="E99" s="92">
        <f t="shared" si="94"/>
        <v>0.25</v>
      </c>
      <c r="F99" s="92">
        <f t="shared" si="94"/>
        <v>0.25</v>
      </c>
      <c r="G99" s="93">
        <f t="shared" si="94"/>
        <v>0.2</v>
      </c>
      <c r="H99" s="94">
        <f t="shared" si="94"/>
        <v>0.2</v>
      </c>
      <c r="I99" s="95">
        <f t="shared" si="94"/>
        <v>0.2</v>
      </c>
      <c r="J99" s="96">
        <f t="shared" si="94"/>
        <v>8.0000000000000016E-2</v>
      </c>
      <c r="K99" s="94">
        <f t="shared" si="94"/>
        <v>7.0000000000000007E-2</v>
      </c>
      <c r="L99" s="97">
        <f t="shared" si="94"/>
        <v>0.09</v>
      </c>
      <c r="M99" s="95">
        <f t="shared" si="94"/>
        <v>0.14000000000000001</v>
      </c>
      <c r="N99" s="89">
        <v>1</v>
      </c>
    </row>
    <row r="100" spans="1:14" outlineLevel="1" x14ac:dyDescent="0.2">
      <c r="A100" s="20">
        <f t="shared" si="93"/>
        <v>10298</v>
      </c>
      <c r="B100" s="19" t="str">
        <f t="shared" si="93"/>
        <v>TAMUG</v>
      </c>
      <c r="C100" s="90">
        <f t="shared" si="95"/>
        <v>1.5</v>
      </c>
      <c r="D100" s="91">
        <f>SUMIF($N$131:$N$136,$N100,D$131:D$136)*1.5</f>
        <v>0.52499999999999991</v>
      </c>
      <c r="E100" s="92">
        <f t="shared" ref="E100:M100" si="97">SUMIF($N$131:$N$136,$N100,E$131:E$136)*1.5</f>
        <v>0.12</v>
      </c>
      <c r="F100" s="92">
        <f t="shared" si="97"/>
        <v>0.255</v>
      </c>
      <c r="G100" s="93">
        <f t="shared" si="97"/>
        <v>0.52499999999999991</v>
      </c>
      <c r="H100" s="91">
        <f t="shared" si="97"/>
        <v>0.52499999999999991</v>
      </c>
      <c r="I100" s="93">
        <f t="shared" si="97"/>
        <v>0.52499999999999991</v>
      </c>
      <c r="J100" s="98">
        <f t="shared" si="97"/>
        <v>0.20999999999999996</v>
      </c>
      <c r="K100" s="91">
        <f t="shared" si="97"/>
        <v>0.15000000000000002</v>
      </c>
      <c r="L100" s="92">
        <f t="shared" si="97"/>
        <v>0.19500000000000001</v>
      </c>
      <c r="M100" s="93">
        <f t="shared" si="97"/>
        <v>0.255</v>
      </c>
      <c r="N100" s="89">
        <v>6</v>
      </c>
    </row>
    <row r="101" spans="1:14" outlineLevel="1" x14ac:dyDescent="0.2">
      <c r="A101" s="20">
        <f t="shared" si="93"/>
        <v>3630</v>
      </c>
      <c r="B101" s="19" t="str">
        <f t="shared" si="93"/>
        <v>Prairie View</v>
      </c>
      <c r="C101" s="90">
        <f t="shared" si="95"/>
        <v>1</v>
      </c>
      <c r="D101" s="91">
        <f t="shared" si="96"/>
        <v>0.3</v>
      </c>
      <c r="E101" s="92">
        <f t="shared" si="94"/>
        <v>0.15</v>
      </c>
      <c r="F101" s="92">
        <f t="shared" si="94"/>
        <v>0.15</v>
      </c>
      <c r="G101" s="93">
        <f t="shared" si="94"/>
        <v>0.3</v>
      </c>
      <c r="H101" s="91">
        <f t="shared" si="94"/>
        <v>0.3</v>
      </c>
      <c r="I101" s="93">
        <f t="shared" si="94"/>
        <v>0.3</v>
      </c>
      <c r="J101" s="98">
        <f t="shared" si="94"/>
        <v>0.12</v>
      </c>
      <c r="K101" s="91">
        <f t="shared" si="94"/>
        <v>0.1</v>
      </c>
      <c r="L101" s="92">
        <f t="shared" si="94"/>
        <v>0.13</v>
      </c>
      <c r="M101" s="93">
        <f t="shared" si="94"/>
        <v>0.17</v>
      </c>
      <c r="N101" s="89">
        <v>3</v>
      </c>
    </row>
    <row r="102" spans="1:14" outlineLevel="1" x14ac:dyDescent="0.2">
      <c r="A102" s="20">
        <f t="shared" si="93"/>
        <v>3631</v>
      </c>
      <c r="B102" s="19" t="str">
        <f t="shared" si="93"/>
        <v>Tarleton</v>
      </c>
      <c r="C102" s="90">
        <f t="shared" si="95"/>
        <v>1</v>
      </c>
      <c r="D102" s="91">
        <f t="shared" si="96"/>
        <v>0.3</v>
      </c>
      <c r="E102" s="92">
        <f t="shared" si="94"/>
        <v>0.15</v>
      </c>
      <c r="F102" s="92">
        <f t="shared" si="94"/>
        <v>0.15</v>
      </c>
      <c r="G102" s="93">
        <f t="shared" si="94"/>
        <v>0.3</v>
      </c>
      <c r="H102" s="91">
        <f t="shared" si="94"/>
        <v>0.3</v>
      </c>
      <c r="I102" s="93">
        <f t="shared" si="94"/>
        <v>0.3</v>
      </c>
      <c r="J102" s="98">
        <f t="shared" si="94"/>
        <v>0.12</v>
      </c>
      <c r="K102" s="91">
        <f t="shared" si="94"/>
        <v>0.1</v>
      </c>
      <c r="L102" s="92">
        <f t="shared" si="94"/>
        <v>0.13</v>
      </c>
      <c r="M102" s="93">
        <f t="shared" si="94"/>
        <v>0.17</v>
      </c>
      <c r="N102" s="89">
        <v>3</v>
      </c>
    </row>
    <row r="103" spans="1:14" outlineLevel="1" x14ac:dyDescent="0.2">
      <c r="A103" s="27">
        <f t="shared" si="93"/>
        <v>103631</v>
      </c>
      <c r="B103" s="19" t="str">
        <f t="shared" si="93"/>
        <v>TAMUCT</v>
      </c>
      <c r="C103" s="90">
        <f t="shared" si="95"/>
        <v>1</v>
      </c>
      <c r="D103" s="91">
        <f t="shared" si="96"/>
        <v>0.3</v>
      </c>
      <c r="E103" s="92">
        <f t="shared" si="94"/>
        <v>0.15</v>
      </c>
      <c r="F103" s="92">
        <f t="shared" si="94"/>
        <v>0.15</v>
      </c>
      <c r="G103" s="93">
        <f t="shared" si="94"/>
        <v>0.3</v>
      </c>
      <c r="H103" s="91">
        <f t="shared" si="94"/>
        <v>0.3</v>
      </c>
      <c r="I103" s="93">
        <f t="shared" si="94"/>
        <v>0.3</v>
      </c>
      <c r="J103" s="98">
        <f t="shared" si="94"/>
        <v>0.12</v>
      </c>
      <c r="K103" s="91">
        <f t="shared" si="94"/>
        <v>0.1</v>
      </c>
      <c r="L103" s="92">
        <f t="shared" si="94"/>
        <v>0.13</v>
      </c>
      <c r="M103" s="93">
        <f t="shared" si="94"/>
        <v>0.17</v>
      </c>
      <c r="N103" s="89">
        <v>4</v>
      </c>
    </row>
    <row r="104" spans="1:14" outlineLevel="1" x14ac:dyDescent="0.2">
      <c r="A104" s="20">
        <f t="shared" si="93"/>
        <v>11161</v>
      </c>
      <c r="B104" s="19" t="str">
        <f t="shared" si="93"/>
        <v>TAMUCC</v>
      </c>
      <c r="C104" s="90">
        <f t="shared" si="95"/>
        <v>1</v>
      </c>
      <c r="D104" s="91">
        <f t="shared" si="96"/>
        <v>0.3</v>
      </c>
      <c r="E104" s="92">
        <f t="shared" si="94"/>
        <v>0.15</v>
      </c>
      <c r="F104" s="92">
        <f t="shared" si="94"/>
        <v>0.15</v>
      </c>
      <c r="G104" s="93">
        <f t="shared" si="94"/>
        <v>0.3</v>
      </c>
      <c r="H104" s="91">
        <f t="shared" si="94"/>
        <v>0.3</v>
      </c>
      <c r="I104" s="93">
        <f t="shared" si="94"/>
        <v>0.3</v>
      </c>
      <c r="J104" s="98">
        <f t="shared" si="94"/>
        <v>0.12</v>
      </c>
      <c r="K104" s="91">
        <f t="shared" si="94"/>
        <v>0.1</v>
      </c>
      <c r="L104" s="92">
        <f t="shared" si="94"/>
        <v>0.13</v>
      </c>
      <c r="M104" s="93">
        <f t="shared" si="94"/>
        <v>0.17</v>
      </c>
      <c r="N104" s="89">
        <v>3</v>
      </c>
    </row>
    <row r="105" spans="1:14" outlineLevel="1" x14ac:dyDescent="0.2">
      <c r="A105" s="20">
        <f t="shared" si="93"/>
        <v>3639</v>
      </c>
      <c r="B105" s="19" t="str">
        <f t="shared" si="93"/>
        <v>TAMUK</v>
      </c>
      <c r="C105" s="90">
        <f t="shared" si="95"/>
        <v>1</v>
      </c>
      <c r="D105" s="91">
        <f t="shared" si="96"/>
        <v>0.3</v>
      </c>
      <c r="E105" s="92">
        <f t="shared" si="94"/>
        <v>0.15</v>
      </c>
      <c r="F105" s="92">
        <f t="shared" si="94"/>
        <v>0.15</v>
      </c>
      <c r="G105" s="93">
        <f t="shared" si="94"/>
        <v>0.3</v>
      </c>
      <c r="H105" s="91">
        <f t="shared" si="94"/>
        <v>0.3</v>
      </c>
      <c r="I105" s="93">
        <f t="shared" si="94"/>
        <v>0.3</v>
      </c>
      <c r="J105" s="98">
        <f t="shared" si="94"/>
        <v>0.12</v>
      </c>
      <c r="K105" s="91">
        <f t="shared" si="94"/>
        <v>0.1</v>
      </c>
      <c r="L105" s="92">
        <f t="shared" si="94"/>
        <v>0.13</v>
      </c>
      <c r="M105" s="93">
        <f t="shared" si="94"/>
        <v>0.17</v>
      </c>
      <c r="N105" s="89">
        <v>3</v>
      </c>
    </row>
    <row r="106" spans="1:14" outlineLevel="1" x14ac:dyDescent="0.2">
      <c r="A106" s="27">
        <f t="shared" si="93"/>
        <v>103639</v>
      </c>
      <c r="B106" s="19" t="str">
        <f t="shared" si="93"/>
        <v>TAMUSA</v>
      </c>
      <c r="C106" s="90">
        <f t="shared" si="95"/>
        <v>1</v>
      </c>
      <c r="D106" s="91">
        <f t="shared" si="96"/>
        <v>0.3</v>
      </c>
      <c r="E106" s="92">
        <f t="shared" si="96"/>
        <v>0.15</v>
      </c>
      <c r="F106" s="92">
        <f t="shared" si="96"/>
        <v>0.15</v>
      </c>
      <c r="G106" s="93">
        <f t="shared" si="96"/>
        <v>0.3</v>
      </c>
      <c r="H106" s="91">
        <f t="shared" si="96"/>
        <v>0.3</v>
      </c>
      <c r="I106" s="93">
        <f t="shared" si="96"/>
        <v>0.3</v>
      </c>
      <c r="J106" s="98">
        <f t="shared" si="96"/>
        <v>0.12</v>
      </c>
      <c r="K106" s="91">
        <f t="shared" si="96"/>
        <v>0.1</v>
      </c>
      <c r="L106" s="92">
        <f t="shared" si="96"/>
        <v>0.13</v>
      </c>
      <c r="M106" s="93">
        <f t="shared" si="96"/>
        <v>0.17</v>
      </c>
      <c r="N106" s="89">
        <v>5</v>
      </c>
    </row>
    <row r="107" spans="1:14" outlineLevel="1" x14ac:dyDescent="0.2">
      <c r="A107" s="20">
        <f t="shared" si="93"/>
        <v>9651</v>
      </c>
      <c r="B107" s="19" t="str">
        <f t="shared" si="93"/>
        <v>TAMI</v>
      </c>
      <c r="C107" s="90">
        <f t="shared" si="95"/>
        <v>1</v>
      </c>
      <c r="D107" s="91">
        <f t="shared" ref="D107:M122" si="98">SUMIF($N$131:$N$136,$N107,D$131:D$136)</f>
        <v>0.3</v>
      </c>
      <c r="E107" s="92">
        <f t="shared" si="98"/>
        <v>0.15</v>
      </c>
      <c r="F107" s="92">
        <f t="shared" si="98"/>
        <v>0.15</v>
      </c>
      <c r="G107" s="93">
        <f t="shared" si="98"/>
        <v>0.3</v>
      </c>
      <c r="H107" s="91">
        <f t="shared" si="98"/>
        <v>0.3</v>
      </c>
      <c r="I107" s="93">
        <f t="shared" si="98"/>
        <v>0.3</v>
      </c>
      <c r="J107" s="98">
        <f t="shared" si="98"/>
        <v>0.12</v>
      </c>
      <c r="K107" s="91">
        <f t="shared" si="98"/>
        <v>0.1</v>
      </c>
      <c r="L107" s="92">
        <f t="shared" si="98"/>
        <v>0.13</v>
      </c>
      <c r="M107" s="93">
        <f t="shared" si="98"/>
        <v>0.17</v>
      </c>
      <c r="N107" s="89">
        <v>3</v>
      </c>
    </row>
    <row r="108" spans="1:14" outlineLevel="1" x14ac:dyDescent="0.2">
      <c r="A108" s="20">
        <f t="shared" si="93"/>
        <v>3665</v>
      </c>
      <c r="B108" s="19" t="str">
        <f t="shared" si="93"/>
        <v>WTAMU</v>
      </c>
      <c r="C108" s="90">
        <f t="shared" si="95"/>
        <v>1</v>
      </c>
      <c r="D108" s="91">
        <f t="shared" si="98"/>
        <v>0.3</v>
      </c>
      <c r="E108" s="92">
        <f t="shared" si="98"/>
        <v>0.15</v>
      </c>
      <c r="F108" s="92">
        <f t="shared" si="98"/>
        <v>0.15</v>
      </c>
      <c r="G108" s="93">
        <f t="shared" si="98"/>
        <v>0.3</v>
      </c>
      <c r="H108" s="91">
        <f t="shared" si="98"/>
        <v>0.3</v>
      </c>
      <c r="I108" s="93">
        <f t="shared" si="98"/>
        <v>0.3</v>
      </c>
      <c r="J108" s="98">
        <f t="shared" si="98"/>
        <v>0.12</v>
      </c>
      <c r="K108" s="91">
        <f t="shared" si="98"/>
        <v>0.1</v>
      </c>
      <c r="L108" s="92">
        <f t="shared" si="98"/>
        <v>0.13</v>
      </c>
      <c r="M108" s="93">
        <f t="shared" si="98"/>
        <v>0.17</v>
      </c>
      <c r="N108" s="89">
        <v>3</v>
      </c>
    </row>
    <row r="109" spans="1:14" outlineLevel="1" x14ac:dyDescent="0.2">
      <c r="A109" s="20">
        <f t="shared" si="93"/>
        <v>3565</v>
      </c>
      <c r="B109" s="19" t="str">
        <f t="shared" si="93"/>
        <v>TAMUC</v>
      </c>
      <c r="C109" s="90">
        <f t="shared" si="95"/>
        <v>1</v>
      </c>
      <c r="D109" s="91">
        <f t="shared" si="98"/>
        <v>0.3</v>
      </c>
      <c r="E109" s="92">
        <f t="shared" si="98"/>
        <v>0.15</v>
      </c>
      <c r="F109" s="92">
        <f t="shared" si="98"/>
        <v>0.15</v>
      </c>
      <c r="G109" s="93">
        <f t="shared" si="98"/>
        <v>0.3</v>
      </c>
      <c r="H109" s="91">
        <f t="shared" si="98"/>
        <v>0.3</v>
      </c>
      <c r="I109" s="93">
        <f t="shared" si="98"/>
        <v>0.3</v>
      </c>
      <c r="J109" s="98">
        <f t="shared" si="98"/>
        <v>0.12</v>
      </c>
      <c r="K109" s="91">
        <f t="shared" si="98"/>
        <v>0.1</v>
      </c>
      <c r="L109" s="92">
        <f t="shared" si="98"/>
        <v>0.13</v>
      </c>
      <c r="M109" s="93">
        <f t="shared" si="98"/>
        <v>0.17</v>
      </c>
      <c r="N109" s="89">
        <v>3</v>
      </c>
    </row>
    <row r="110" spans="1:14" outlineLevel="1" x14ac:dyDescent="0.2">
      <c r="A110" s="20">
        <f t="shared" ref="A110:B127" si="99">A25</f>
        <v>29269</v>
      </c>
      <c r="B110" s="19" t="str">
        <f t="shared" si="99"/>
        <v>TAMUT</v>
      </c>
      <c r="C110" s="90">
        <f t="shared" si="95"/>
        <v>1</v>
      </c>
      <c r="D110" s="91">
        <f t="shared" si="98"/>
        <v>0.3</v>
      </c>
      <c r="E110" s="92">
        <f t="shared" si="98"/>
        <v>0.15</v>
      </c>
      <c r="F110" s="92">
        <f t="shared" si="98"/>
        <v>0.15</v>
      </c>
      <c r="G110" s="93">
        <f t="shared" si="98"/>
        <v>0.3</v>
      </c>
      <c r="H110" s="91">
        <f t="shared" si="98"/>
        <v>0.3</v>
      </c>
      <c r="I110" s="93">
        <f t="shared" si="98"/>
        <v>0.3</v>
      </c>
      <c r="J110" s="98">
        <f t="shared" si="98"/>
        <v>0.12</v>
      </c>
      <c r="K110" s="91">
        <f t="shared" si="98"/>
        <v>0.1</v>
      </c>
      <c r="L110" s="92">
        <f t="shared" si="98"/>
        <v>0.13</v>
      </c>
      <c r="M110" s="93">
        <f t="shared" si="98"/>
        <v>0.17</v>
      </c>
      <c r="N110" s="89">
        <v>4</v>
      </c>
    </row>
    <row r="111" spans="1:14" outlineLevel="1" x14ac:dyDescent="0.2">
      <c r="A111" s="20">
        <f t="shared" si="99"/>
        <v>3652</v>
      </c>
      <c r="B111" s="19" t="str">
        <f t="shared" si="99"/>
        <v>UH</v>
      </c>
      <c r="C111" s="90">
        <f t="shared" si="95"/>
        <v>1</v>
      </c>
      <c r="D111" s="91">
        <f t="shared" si="98"/>
        <v>0.2</v>
      </c>
      <c r="E111" s="92">
        <f t="shared" si="98"/>
        <v>0.25</v>
      </c>
      <c r="F111" s="92">
        <f t="shared" si="98"/>
        <v>0.25</v>
      </c>
      <c r="G111" s="93">
        <f t="shared" si="98"/>
        <v>0.2</v>
      </c>
      <c r="H111" s="94">
        <f t="shared" si="98"/>
        <v>0.2</v>
      </c>
      <c r="I111" s="95">
        <f t="shared" si="98"/>
        <v>0.2</v>
      </c>
      <c r="J111" s="96">
        <f t="shared" si="98"/>
        <v>8.0000000000000016E-2</v>
      </c>
      <c r="K111" s="94">
        <f t="shared" si="98"/>
        <v>7.0000000000000007E-2</v>
      </c>
      <c r="L111" s="97">
        <f t="shared" si="98"/>
        <v>0.09</v>
      </c>
      <c r="M111" s="95">
        <f t="shared" si="98"/>
        <v>0.14000000000000001</v>
      </c>
      <c r="N111" s="89">
        <v>1</v>
      </c>
    </row>
    <row r="112" spans="1:14" outlineLevel="1" x14ac:dyDescent="0.2">
      <c r="A112" s="20">
        <f t="shared" si="99"/>
        <v>11711</v>
      </c>
      <c r="B112" s="19" t="str">
        <f t="shared" si="99"/>
        <v>UHCL</v>
      </c>
      <c r="C112" s="90">
        <f t="shared" si="95"/>
        <v>1</v>
      </c>
      <c r="D112" s="91">
        <f t="shared" si="98"/>
        <v>0.3</v>
      </c>
      <c r="E112" s="92">
        <f t="shared" si="98"/>
        <v>0.15</v>
      </c>
      <c r="F112" s="92">
        <f t="shared" si="98"/>
        <v>0.15</v>
      </c>
      <c r="G112" s="93">
        <f t="shared" si="98"/>
        <v>0.3</v>
      </c>
      <c r="H112" s="91">
        <f t="shared" si="98"/>
        <v>0.3</v>
      </c>
      <c r="I112" s="93">
        <f t="shared" si="98"/>
        <v>0.3</v>
      </c>
      <c r="J112" s="98">
        <f t="shared" si="98"/>
        <v>0.12</v>
      </c>
      <c r="K112" s="91">
        <f t="shared" si="98"/>
        <v>0.1</v>
      </c>
      <c r="L112" s="92">
        <f t="shared" si="98"/>
        <v>0.13</v>
      </c>
      <c r="M112" s="93">
        <f t="shared" si="98"/>
        <v>0.17</v>
      </c>
      <c r="N112" s="89">
        <v>3</v>
      </c>
    </row>
    <row r="113" spans="1:14" outlineLevel="1" x14ac:dyDescent="0.2">
      <c r="A113" s="20">
        <f t="shared" si="99"/>
        <v>12826</v>
      </c>
      <c r="B113" s="19" t="str">
        <f t="shared" si="99"/>
        <v>UHD</v>
      </c>
      <c r="C113" s="90">
        <f t="shared" si="95"/>
        <v>1</v>
      </c>
      <c r="D113" s="91">
        <f t="shared" si="98"/>
        <v>0.3</v>
      </c>
      <c r="E113" s="92">
        <f t="shared" si="98"/>
        <v>0.15</v>
      </c>
      <c r="F113" s="92">
        <f t="shared" si="98"/>
        <v>0.15</v>
      </c>
      <c r="G113" s="93">
        <f t="shared" si="98"/>
        <v>0.3</v>
      </c>
      <c r="H113" s="91">
        <f t="shared" si="98"/>
        <v>0.3</v>
      </c>
      <c r="I113" s="93">
        <f t="shared" si="98"/>
        <v>0.3</v>
      </c>
      <c r="J113" s="98">
        <f t="shared" si="98"/>
        <v>0.12</v>
      </c>
      <c r="K113" s="91">
        <f t="shared" si="98"/>
        <v>0.1</v>
      </c>
      <c r="L113" s="92">
        <f t="shared" si="98"/>
        <v>0.13</v>
      </c>
      <c r="M113" s="93">
        <f t="shared" si="98"/>
        <v>0.17</v>
      </c>
      <c r="N113" s="89">
        <v>5</v>
      </c>
    </row>
    <row r="114" spans="1:14" outlineLevel="1" x14ac:dyDescent="0.2">
      <c r="A114" s="20">
        <f t="shared" si="99"/>
        <v>13231</v>
      </c>
      <c r="B114" s="19" t="str">
        <f t="shared" si="99"/>
        <v>UHV</v>
      </c>
      <c r="C114" s="90">
        <f t="shared" si="95"/>
        <v>1</v>
      </c>
      <c r="D114" s="91">
        <f t="shared" si="98"/>
        <v>0.3</v>
      </c>
      <c r="E114" s="92">
        <f t="shared" si="98"/>
        <v>0.15</v>
      </c>
      <c r="F114" s="92">
        <f t="shared" si="98"/>
        <v>0.15</v>
      </c>
      <c r="G114" s="93">
        <f t="shared" si="98"/>
        <v>0.3</v>
      </c>
      <c r="H114" s="91">
        <f t="shared" si="98"/>
        <v>0.3</v>
      </c>
      <c r="I114" s="93">
        <f t="shared" si="98"/>
        <v>0.3</v>
      </c>
      <c r="J114" s="98">
        <f t="shared" si="98"/>
        <v>0.12</v>
      </c>
      <c r="K114" s="91">
        <f t="shared" si="98"/>
        <v>0.1</v>
      </c>
      <c r="L114" s="92">
        <f t="shared" si="98"/>
        <v>0.13</v>
      </c>
      <c r="M114" s="93">
        <f t="shared" si="98"/>
        <v>0.17</v>
      </c>
      <c r="N114" s="89">
        <v>4</v>
      </c>
    </row>
    <row r="115" spans="1:14" outlineLevel="1" x14ac:dyDescent="0.2">
      <c r="A115" s="20">
        <f t="shared" si="99"/>
        <v>3592</v>
      </c>
      <c r="B115" s="19" t="str">
        <f t="shared" si="99"/>
        <v>Midwestern</v>
      </c>
      <c r="C115" s="90">
        <f t="shared" si="95"/>
        <v>1</v>
      </c>
      <c r="D115" s="91">
        <f t="shared" si="98"/>
        <v>0.3</v>
      </c>
      <c r="E115" s="92">
        <f t="shared" si="98"/>
        <v>0.15</v>
      </c>
      <c r="F115" s="92">
        <f t="shared" si="98"/>
        <v>0.15</v>
      </c>
      <c r="G115" s="93">
        <f t="shared" si="98"/>
        <v>0.3</v>
      </c>
      <c r="H115" s="91">
        <f t="shared" si="98"/>
        <v>0.3</v>
      </c>
      <c r="I115" s="93">
        <f t="shared" si="98"/>
        <v>0.3</v>
      </c>
      <c r="J115" s="98">
        <f t="shared" si="98"/>
        <v>0.12</v>
      </c>
      <c r="K115" s="91">
        <f t="shared" si="98"/>
        <v>0.1</v>
      </c>
      <c r="L115" s="92">
        <f t="shared" si="98"/>
        <v>0.13</v>
      </c>
      <c r="M115" s="93">
        <f t="shared" si="98"/>
        <v>0.17</v>
      </c>
      <c r="N115" s="89">
        <v>3</v>
      </c>
    </row>
    <row r="116" spans="1:14" outlineLevel="1" x14ac:dyDescent="0.2">
      <c r="A116" s="20">
        <f t="shared" si="99"/>
        <v>3594</v>
      </c>
      <c r="B116" s="19" t="str">
        <f t="shared" si="99"/>
        <v>UNT</v>
      </c>
      <c r="C116" s="90">
        <f t="shared" si="95"/>
        <v>1</v>
      </c>
      <c r="D116" s="91">
        <f t="shared" si="98"/>
        <v>0.2</v>
      </c>
      <c r="E116" s="92">
        <f t="shared" si="98"/>
        <v>0.25</v>
      </c>
      <c r="F116" s="92">
        <f t="shared" si="98"/>
        <v>0.25</v>
      </c>
      <c r="G116" s="93">
        <f t="shared" si="98"/>
        <v>0.2</v>
      </c>
      <c r="H116" s="94">
        <f t="shared" si="98"/>
        <v>0.2</v>
      </c>
      <c r="I116" s="95">
        <f t="shared" si="98"/>
        <v>0.2</v>
      </c>
      <c r="J116" s="96">
        <f t="shared" si="98"/>
        <v>8.0000000000000016E-2</v>
      </c>
      <c r="K116" s="94">
        <f t="shared" si="98"/>
        <v>7.0000000000000007E-2</v>
      </c>
      <c r="L116" s="97">
        <f t="shared" si="98"/>
        <v>0.09</v>
      </c>
      <c r="M116" s="95">
        <f t="shared" si="98"/>
        <v>0.14000000000000001</v>
      </c>
      <c r="N116" s="89">
        <v>1</v>
      </c>
    </row>
    <row r="117" spans="1:14" outlineLevel="1" x14ac:dyDescent="0.2">
      <c r="A117" s="27">
        <f t="shared" si="99"/>
        <v>113594</v>
      </c>
      <c r="B117" s="19" t="str">
        <f t="shared" si="99"/>
        <v>UNTD</v>
      </c>
      <c r="C117" s="90">
        <f t="shared" si="95"/>
        <v>1</v>
      </c>
      <c r="D117" s="91">
        <f t="shared" si="98"/>
        <v>0.35</v>
      </c>
      <c r="E117" s="92">
        <f t="shared" si="98"/>
        <v>0.08</v>
      </c>
      <c r="F117" s="92">
        <f t="shared" si="98"/>
        <v>0.17</v>
      </c>
      <c r="G117" s="93">
        <f t="shared" si="98"/>
        <v>0.35</v>
      </c>
      <c r="H117" s="91">
        <f t="shared" si="98"/>
        <v>0.35</v>
      </c>
      <c r="I117" s="93">
        <f t="shared" si="98"/>
        <v>0.35</v>
      </c>
      <c r="J117" s="98">
        <f t="shared" si="98"/>
        <v>0.13999999999999999</v>
      </c>
      <c r="K117" s="91">
        <f t="shared" si="98"/>
        <v>0.1</v>
      </c>
      <c r="L117" s="92">
        <f t="shared" si="98"/>
        <v>0.13</v>
      </c>
      <c r="M117" s="93">
        <f t="shared" si="98"/>
        <v>0.17</v>
      </c>
      <c r="N117" s="89">
        <v>6</v>
      </c>
    </row>
    <row r="118" spans="1:14" outlineLevel="1" x14ac:dyDescent="0.2">
      <c r="A118" s="20">
        <f t="shared" si="99"/>
        <v>3624</v>
      </c>
      <c r="B118" s="19" t="str">
        <f t="shared" si="99"/>
        <v>SFA</v>
      </c>
      <c r="C118" s="90">
        <f t="shared" si="95"/>
        <v>1</v>
      </c>
      <c r="D118" s="91">
        <f t="shared" si="98"/>
        <v>0.3</v>
      </c>
      <c r="E118" s="92">
        <f t="shared" si="98"/>
        <v>0.15</v>
      </c>
      <c r="F118" s="92">
        <f t="shared" si="98"/>
        <v>0.15</v>
      </c>
      <c r="G118" s="93">
        <f t="shared" si="98"/>
        <v>0.3</v>
      </c>
      <c r="H118" s="91">
        <f t="shared" si="98"/>
        <v>0.3</v>
      </c>
      <c r="I118" s="93">
        <f t="shared" si="98"/>
        <v>0.3</v>
      </c>
      <c r="J118" s="98">
        <f t="shared" si="98"/>
        <v>0.12</v>
      </c>
      <c r="K118" s="91">
        <f t="shared" si="98"/>
        <v>0.1</v>
      </c>
      <c r="L118" s="92">
        <f t="shared" si="98"/>
        <v>0.13</v>
      </c>
      <c r="M118" s="93">
        <f t="shared" si="98"/>
        <v>0.17</v>
      </c>
      <c r="N118" s="89">
        <v>3</v>
      </c>
    </row>
    <row r="119" spans="1:14" outlineLevel="1" x14ac:dyDescent="0.2">
      <c r="A119" s="20">
        <f t="shared" si="99"/>
        <v>3642</v>
      </c>
      <c r="B119" s="19" t="str">
        <f t="shared" si="99"/>
        <v>TSU</v>
      </c>
      <c r="C119" s="90">
        <f t="shared" si="95"/>
        <v>1</v>
      </c>
      <c r="D119" s="91">
        <f t="shared" si="98"/>
        <v>0.3</v>
      </c>
      <c r="E119" s="92">
        <f t="shared" si="98"/>
        <v>0.15</v>
      </c>
      <c r="F119" s="92">
        <f t="shared" si="98"/>
        <v>0.15</v>
      </c>
      <c r="G119" s="93">
        <f t="shared" si="98"/>
        <v>0.3</v>
      </c>
      <c r="H119" s="91">
        <f t="shared" si="98"/>
        <v>0.3</v>
      </c>
      <c r="I119" s="93">
        <f t="shared" si="98"/>
        <v>0.3</v>
      </c>
      <c r="J119" s="98">
        <f t="shared" si="98"/>
        <v>0.12</v>
      </c>
      <c r="K119" s="91">
        <f t="shared" si="98"/>
        <v>0.1</v>
      </c>
      <c r="L119" s="92">
        <f t="shared" si="98"/>
        <v>0.13</v>
      </c>
      <c r="M119" s="93">
        <f t="shared" si="98"/>
        <v>0.17</v>
      </c>
      <c r="N119" s="89">
        <v>3</v>
      </c>
    </row>
    <row r="120" spans="1:14" outlineLevel="1" x14ac:dyDescent="0.2">
      <c r="A120" s="20">
        <f t="shared" si="99"/>
        <v>3644</v>
      </c>
      <c r="B120" s="19" t="str">
        <f t="shared" si="99"/>
        <v>TTU</v>
      </c>
      <c r="C120" s="90">
        <f t="shared" si="95"/>
        <v>1</v>
      </c>
      <c r="D120" s="91">
        <f t="shared" si="98"/>
        <v>0.2</v>
      </c>
      <c r="E120" s="92">
        <f t="shared" si="98"/>
        <v>0.25</v>
      </c>
      <c r="F120" s="92">
        <f t="shared" si="98"/>
        <v>0.25</v>
      </c>
      <c r="G120" s="93">
        <f t="shared" si="98"/>
        <v>0.2</v>
      </c>
      <c r="H120" s="94">
        <f t="shared" si="98"/>
        <v>0.2</v>
      </c>
      <c r="I120" s="95">
        <f t="shared" si="98"/>
        <v>0.2</v>
      </c>
      <c r="J120" s="96">
        <f t="shared" si="98"/>
        <v>8.0000000000000016E-2</v>
      </c>
      <c r="K120" s="94">
        <f t="shared" si="98"/>
        <v>7.0000000000000007E-2</v>
      </c>
      <c r="L120" s="97">
        <f t="shared" si="98"/>
        <v>0.09</v>
      </c>
      <c r="M120" s="95">
        <f t="shared" si="98"/>
        <v>0.14000000000000001</v>
      </c>
      <c r="N120" s="89">
        <v>1</v>
      </c>
    </row>
    <row r="121" spans="1:14" outlineLevel="1" x14ac:dyDescent="0.2">
      <c r="A121" s="20">
        <f t="shared" si="99"/>
        <v>3541</v>
      </c>
      <c r="B121" s="19" t="str">
        <f t="shared" si="99"/>
        <v>Angelo</v>
      </c>
      <c r="C121" s="90">
        <f t="shared" si="95"/>
        <v>1</v>
      </c>
      <c r="D121" s="91">
        <f t="shared" si="98"/>
        <v>0.3</v>
      </c>
      <c r="E121" s="92">
        <f t="shared" si="98"/>
        <v>0.15</v>
      </c>
      <c r="F121" s="92">
        <f t="shared" si="98"/>
        <v>0.15</v>
      </c>
      <c r="G121" s="93">
        <f t="shared" si="98"/>
        <v>0.3</v>
      </c>
      <c r="H121" s="91">
        <f t="shared" si="98"/>
        <v>0.3</v>
      </c>
      <c r="I121" s="93">
        <f t="shared" si="98"/>
        <v>0.3</v>
      </c>
      <c r="J121" s="98">
        <f t="shared" si="98"/>
        <v>0.12</v>
      </c>
      <c r="K121" s="91">
        <f t="shared" si="98"/>
        <v>0.1</v>
      </c>
      <c r="L121" s="92">
        <f t="shared" si="98"/>
        <v>0.13</v>
      </c>
      <c r="M121" s="93">
        <f t="shared" si="98"/>
        <v>0.17</v>
      </c>
      <c r="N121" s="89">
        <v>3</v>
      </c>
    </row>
    <row r="122" spans="1:14" outlineLevel="1" x14ac:dyDescent="0.2">
      <c r="A122" s="20">
        <f t="shared" si="99"/>
        <v>3646</v>
      </c>
      <c r="B122" s="19" t="str">
        <f t="shared" si="99"/>
        <v>TWU</v>
      </c>
      <c r="C122" s="90">
        <f t="shared" si="95"/>
        <v>1</v>
      </c>
      <c r="D122" s="91">
        <f t="shared" si="98"/>
        <v>0.3</v>
      </c>
      <c r="E122" s="92">
        <f t="shared" si="98"/>
        <v>0.2</v>
      </c>
      <c r="F122" s="92">
        <f t="shared" si="98"/>
        <v>0.2</v>
      </c>
      <c r="G122" s="93">
        <f t="shared" si="98"/>
        <v>0.3</v>
      </c>
      <c r="H122" s="91">
        <f t="shared" si="98"/>
        <v>0.3</v>
      </c>
      <c r="I122" s="93">
        <f t="shared" si="98"/>
        <v>0.3</v>
      </c>
      <c r="J122" s="98">
        <f t="shared" si="98"/>
        <v>0.12</v>
      </c>
      <c r="K122" s="91">
        <f t="shared" si="98"/>
        <v>7.0000000000000007E-2</v>
      </c>
      <c r="L122" s="92">
        <f t="shared" si="98"/>
        <v>0.09</v>
      </c>
      <c r="M122" s="93">
        <f t="shared" si="98"/>
        <v>0.14000000000000001</v>
      </c>
      <c r="N122" s="89">
        <v>2</v>
      </c>
    </row>
    <row r="123" spans="1:14" outlineLevel="1" x14ac:dyDescent="0.2">
      <c r="A123" s="20">
        <f t="shared" si="99"/>
        <v>3581</v>
      </c>
      <c r="B123" s="19" t="str">
        <f t="shared" si="99"/>
        <v>Lamar</v>
      </c>
      <c r="C123" s="90">
        <f t="shared" si="95"/>
        <v>1</v>
      </c>
      <c r="D123" s="91">
        <f t="shared" ref="D123:M127" si="100">SUMIF($N$131:$N$136,$N123,D$131:D$136)</f>
        <v>0.3</v>
      </c>
      <c r="E123" s="92">
        <f t="shared" si="100"/>
        <v>0.15</v>
      </c>
      <c r="F123" s="92">
        <f t="shared" si="100"/>
        <v>0.15</v>
      </c>
      <c r="G123" s="93">
        <f t="shared" si="100"/>
        <v>0.3</v>
      </c>
      <c r="H123" s="91">
        <f t="shared" si="100"/>
        <v>0.3</v>
      </c>
      <c r="I123" s="93">
        <f t="shared" si="100"/>
        <v>0.3</v>
      </c>
      <c r="J123" s="98">
        <f t="shared" si="100"/>
        <v>0.12</v>
      </c>
      <c r="K123" s="91">
        <f t="shared" si="100"/>
        <v>0.1</v>
      </c>
      <c r="L123" s="92">
        <f t="shared" si="100"/>
        <v>0.13</v>
      </c>
      <c r="M123" s="93">
        <f t="shared" si="100"/>
        <v>0.17</v>
      </c>
      <c r="N123" s="89">
        <v>3</v>
      </c>
    </row>
    <row r="124" spans="1:14" outlineLevel="1" x14ac:dyDescent="0.2">
      <c r="A124" s="20">
        <f t="shared" si="99"/>
        <v>3606</v>
      </c>
      <c r="B124" s="19" t="str">
        <f t="shared" si="99"/>
        <v>SHSU</v>
      </c>
      <c r="C124" s="90">
        <f t="shared" si="95"/>
        <v>1</v>
      </c>
      <c r="D124" s="91">
        <f t="shared" si="100"/>
        <v>0.3</v>
      </c>
      <c r="E124" s="92">
        <f t="shared" si="100"/>
        <v>0.15</v>
      </c>
      <c r="F124" s="92">
        <f t="shared" si="100"/>
        <v>0.15</v>
      </c>
      <c r="G124" s="93">
        <f t="shared" si="100"/>
        <v>0.3</v>
      </c>
      <c r="H124" s="91">
        <f t="shared" si="100"/>
        <v>0.3</v>
      </c>
      <c r="I124" s="93">
        <f t="shared" si="100"/>
        <v>0.3</v>
      </c>
      <c r="J124" s="98">
        <f t="shared" si="100"/>
        <v>0.12</v>
      </c>
      <c r="K124" s="91">
        <f t="shared" si="100"/>
        <v>0.1</v>
      </c>
      <c r="L124" s="92">
        <f t="shared" si="100"/>
        <v>0.13</v>
      </c>
      <c r="M124" s="93">
        <f t="shared" si="100"/>
        <v>0.17</v>
      </c>
      <c r="N124" s="89">
        <v>3</v>
      </c>
    </row>
    <row r="125" spans="1:14" outlineLevel="1" x14ac:dyDescent="0.2">
      <c r="A125" s="20">
        <f t="shared" si="99"/>
        <v>3615</v>
      </c>
      <c r="B125" s="19" t="str">
        <f t="shared" si="99"/>
        <v>TXST</v>
      </c>
      <c r="C125" s="90">
        <f t="shared" si="95"/>
        <v>1</v>
      </c>
      <c r="D125" s="91">
        <f t="shared" si="100"/>
        <v>0.3</v>
      </c>
      <c r="E125" s="92">
        <f t="shared" si="100"/>
        <v>0.15</v>
      </c>
      <c r="F125" s="92">
        <f t="shared" si="100"/>
        <v>0.15</v>
      </c>
      <c r="G125" s="93">
        <f t="shared" si="100"/>
        <v>0.3</v>
      </c>
      <c r="H125" s="91">
        <f t="shared" si="100"/>
        <v>0.3</v>
      </c>
      <c r="I125" s="93">
        <f t="shared" si="100"/>
        <v>0.3</v>
      </c>
      <c r="J125" s="98">
        <f t="shared" si="100"/>
        <v>0.12</v>
      </c>
      <c r="K125" s="91">
        <f t="shared" si="100"/>
        <v>0.1</v>
      </c>
      <c r="L125" s="92">
        <f t="shared" si="100"/>
        <v>0.13</v>
      </c>
      <c r="M125" s="93">
        <f t="shared" si="100"/>
        <v>0.17</v>
      </c>
      <c r="N125" s="89">
        <v>3</v>
      </c>
    </row>
    <row r="126" spans="1:14" outlineLevel="1" x14ac:dyDescent="0.2">
      <c r="A126" s="20">
        <f t="shared" si="99"/>
        <v>3625</v>
      </c>
      <c r="B126" s="19" t="str">
        <f t="shared" si="99"/>
        <v>SRSU</v>
      </c>
      <c r="C126" s="90">
        <f t="shared" si="95"/>
        <v>1</v>
      </c>
      <c r="D126" s="91">
        <f t="shared" si="100"/>
        <v>0.3</v>
      </c>
      <c r="E126" s="92">
        <f t="shared" si="100"/>
        <v>0.15</v>
      </c>
      <c r="F126" s="92">
        <f t="shared" si="100"/>
        <v>0.15</v>
      </c>
      <c r="G126" s="93">
        <f t="shared" si="100"/>
        <v>0.3</v>
      </c>
      <c r="H126" s="91">
        <f t="shared" si="100"/>
        <v>0.3</v>
      </c>
      <c r="I126" s="93">
        <f t="shared" si="100"/>
        <v>0.3</v>
      </c>
      <c r="J126" s="98">
        <f t="shared" si="100"/>
        <v>0.12</v>
      </c>
      <c r="K126" s="91">
        <f t="shared" si="100"/>
        <v>0.1</v>
      </c>
      <c r="L126" s="92">
        <f t="shared" si="100"/>
        <v>0.13</v>
      </c>
      <c r="M126" s="93">
        <f t="shared" si="100"/>
        <v>0.17</v>
      </c>
      <c r="N126" s="89">
        <v>3</v>
      </c>
    </row>
    <row r="127" spans="1:14" outlineLevel="1" x14ac:dyDescent="0.2">
      <c r="A127" s="20">
        <f t="shared" si="99"/>
        <v>20</v>
      </c>
      <c r="B127" s="19" t="str">
        <f t="shared" si="99"/>
        <v>SRRG</v>
      </c>
      <c r="C127" s="90">
        <f t="shared" si="95"/>
        <v>1</v>
      </c>
      <c r="D127" s="91">
        <f t="shared" si="100"/>
        <v>0.3</v>
      </c>
      <c r="E127" s="92">
        <f t="shared" si="100"/>
        <v>0.15</v>
      </c>
      <c r="F127" s="92">
        <f t="shared" si="100"/>
        <v>0.15</v>
      </c>
      <c r="G127" s="93">
        <f t="shared" si="100"/>
        <v>0.3</v>
      </c>
      <c r="H127" s="91">
        <f t="shared" si="100"/>
        <v>0.3</v>
      </c>
      <c r="I127" s="93">
        <f t="shared" si="100"/>
        <v>0.3</v>
      </c>
      <c r="J127" s="98">
        <f t="shared" si="100"/>
        <v>0.12</v>
      </c>
      <c r="K127" s="91">
        <f t="shared" si="100"/>
        <v>0.1</v>
      </c>
      <c r="L127" s="92">
        <f t="shared" si="100"/>
        <v>0.13</v>
      </c>
      <c r="M127" s="93">
        <f t="shared" si="100"/>
        <v>0.17</v>
      </c>
      <c r="N127" s="89">
        <v>5</v>
      </c>
    </row>
    <row r="128" spans="1:14" ht="13.5" thickBot="1" x14ac:dyDescent="0.25">
      <c r="A128" s="118" t="s">
        <v>90</v>
      </c>
      <c r="B128" s="72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20"/>
    </row>
    <row r="129" spans="1:14" x14ac:dyDescent="0.2">
      <c r="A129" s="118"/>
      <c r="B129" s="72"/>
      <c r="C129" s="181" t="s">
        <v>77</v>
      </c>
      <c r="D129" s="183" t="s">
        <v>35</v>
      </c>
      <c r="E129" s="184"/>
      <c r="F129" s="184"/>
      <c r="G129" s="185"/>
      <c r="H129" s="186" t="s">
        <v>18</v>
      </c>
      <c r="I129" s="195" t="s">
        <v>17</v>
      </c>
      <c r="J129" s="197" t="s">
        <v>16</v>
      </c>
      <c r="K129" s="199" t="s">
        <v>34</v>
      </c>
      <c r="L129" s="200"/>
      <c r="M129" s="200"/>
      <c r="N129" s="212" t="s">
        <v>106</v>
      </c>
    </row>
    <row r="130" spans="1:14" ht="51.75" thickBot="1" x14ac:dyDescent="0.25">
      <c r="A130" s="118"/>
      <c r="B130" s="72"/>
      <c r="C130" s="182"/>
      <c r="D130" s="68"/>
      <c r="E130" s="67" t="s">
        <v>33</v>
      </c>
      <c r="F130" s="67" t="s">
        <v>32</v>
      </c>
      <c r="G130" s="115" t="s">
        <v>31</v>
      </c>
      <c r="H130" s="187"/>
      <c r="I130" s="196"/>
      <c r="J130" s="198"/>
      <c r="K130" s="44" t="s">
        <v>14</v>
      </c>
      <c r="L130" s="43" t="s">
        <v>13</v>
      </c>
      <c r="M130" s="42" t="s">
        <v>12</v>
      </c>
      <c r="N130" s="213"/>
    </row>
    <row r="131" spans="1:14" x14ac:dyDescent="0.2">
      <c r="A131" s="118"/>
      <c r="B131" s="72"/>
      <c r="C131" s="143">
        <v>1</v>
      </c>
      <c r="D131" s="144">
        <v>0.2</v>
      </c>
      <c r="E131" s="145">
        <v>0.25</v>
      </c>
      <c r="F131" s="145">
        <v>0.25</v>
      </c>
      <c r="G131" s="146">
        <v>0.2</v>
      </c>
      <c r="H131" s="147">
        <v>0.2</v>
      </c>
      <c r="I131" s="148">
        <v>0.2</v>
      </c>
      <c r="J131" s="149">
        <v>8.0000000000000016E-2</v>
      </c>
      <c r="K131" s="147">
        <v>7.0000000000000007E-2</v>
      </c>
      <c r="L131" s="150">
        <v>0.09</v>
      </c>
      <c r="M131" s="148">
        <v>0.14000000000000001</v>
      </c>
      <c r="N131" s="88">
        <v>1</v>
      </c>
    </row>
    <row r="132" spans="1:14" x14ac:dyDescent="0.2">
      <c r="A132" s="118"/>
      <c r="B132" s="72"/>
      <c r="C132" s="143">
        <v>1</v>
      </c>
      <c r="D132" s="151">
        <v>0.3</v>
      </c>
      <c r="E132" s="152">
        <v>0.2</v>
      </c>
      <c r="F132" s="152">
        <v>0.2</v>
      </c>
      <c r="G132" s="153">
        <v>0.3</v>
      </c>
      <c r="H132" s="151">
        <v>0.3</v>
      </c>
      <c r="I132" s="153">
        <v>0.3</v>
      </c>
      <c r="J132" s="154">
        <v>0.12</v>
      </c>
      <c r="K132" s="144">
        <v>7.0000000000000007E-2</v>
      </c>
      <c r="L132" s="155">
        <v>0.09</v>
      </c>
      <c r="M132" s="146">
        <v>0.14000000000000001</v>
      </c>
      <c r="N132" s="89">
        <v>2</v>
      </c>
    </row>
    <row r="133" spans="1:14" x14ac:dyDescent="0.2">
      <c r="A133" s="118"/>
      <c r="B133" s="72"/>
      <c r="C133" s="143">
        <v>1</v>
      </c>
      <c r="D133" s="151">
        <v>0.3</v>
      </c>
      <c r="E133" s="156">
        <v>0.15</v>
      </c>
      <c r="F133" s="156">
        <v>0.15</v>
      </c>
      <c r="G133" s="153">
        <v>0.3</v>
      </c>
      <c r="H133" s="151">
        <v>0.3</v>
      </c>
      <c r="I133" s="153">
        <v>0.3</v>
      </c>
      <c r="J133" s="154">
        <v>0.12</v>
      </c>
      <c r="K133" s="151">
        <v>0.1</v>
      </c>
      <c r="L133" s="156">
        <v>0.13</v>
      </c>
      <c r="M133" s="153">
        <v>0.17</v>
      </c>
      <c r="N133" s="89">
        <v>3</v>
      </c>
    </row>
    <row r="134" spans="1:14" x14ac:dyDescent="0.2">
      <c r="A134" s="118"/>
      <c r="B134" s="72"/>
      <c r="C134" s="143">
        <v>1</v>
      </c>
      <c r="D134" s="151">
        <v>0.3</v>
      </c>
      <c r="E134" s="156">
        <v>0.15</v>
      </c>
      <c r="F134" s="156">
        <v>0.15</v>
      </c>
      <c r="G134" s="153">
        <v>0.3</v>
      </c>
      <c r="H134" s="151">
        <v>0.3</v>
      </c>
      <c r="I134" s="153">
        <v>0.3</v>
      </c>
      <c r="J134" s="154">
        <v>0.12</v>
      </c>
      <c r="K134" s="151">
        <v>0.1</v>
      </c>
      <c r="L134" s="156">
        <v>0.13</v>
      </c>
      <c r="M134" s="153">
        <v>0.17</v>
      </c>
      <c r="N134" s="89">
        <v>4</v>
      </c>
    </row>
    <row r="135" spans="1:14" x14ac:dyDescent="0.2">
      <c r="A135" s="118"/>
      <c r="B135" s="72"/>
      <c r="C135" s="143">
        <v>1</v>
      </c>
      <c r="D135" s="151">
        <v>0.3</v>
      </c>
      <c r="E135" s="156">
        <v>0.15</v>
      </c>
      <c r="F135" s="156">
        <v>0.15</v>
      </c>
      <c r="G135" s="153">
        <v>0.3</v>
      </c>
      <c r="H135" s="151">
        <v>0.3</v>
      </c>
      <c r="I135" s="153">
        <v>0.3</v>
      </c>
      <c r="J135" s="154">
        <v>0.12</v>
      </c>
      <c r="K135" s="151">
        <v>0.1</v>
      </c>
      <c r="L135" s="156">
        <v>0.13</v>
      </c>
      <c r="M135" s="153">
        <v>0.17</v>
      </c>
      <c r="N135" s="89">
        <v>5</v>
      </c>
    </row>
    <row r="136" spans="1:14" x14ac:dyDescent="0.2">
      <c r="A136" s="118"/>
      <c r="B136" s="72"/>
      <c r="C136" s="143">
        <v>1</v>
      </c>
      <c r="D136" s="157">
        <v>0.35</v>
      </c>
      <c r="E136" s="155">
        <v>0.08</v>
      </c>
      <c r="F136" s="155">
        <v>0.17</v>
      </c>
      <c r="G136" s="158">
        <v>0.35</v>
      </c>
      <c r="H136" s="157">
        <v>0.35</v>
      </c>
      <c r="I136" s="158">
        <v>0.35</v>
      </c>
      <c r="J136" s="159">
        <v>0.13999999999999999</v>
      </c>
      <c r="K136" s="151">
        <v>0.1</v>
      </c>
      <c r="L136" s="156">
        <v>0.13</v>
      </c>
      <c r="M136" s="153">
        <v>0.17</v>
      </c>
      <c r="N136" s="89">
        <v>6</v>
      </c>
    </row>
    <row r="137" spans="1:14" ht="13.5" thickBot="1" x14ac:dyDescent="0.25">
      <c r="A137" s="69" t="s">
        <v>75</v>
      </c>
    </row>
    <row r="138" spans="1:14" ht="12.75" customHeight="1" outlineLevel="1" x14ac:dyDescent="0.2">
      <c r="A138" s="177" t="s">
        <v>24</v>
      </c>
      <c r="B138" s="179" t="s">
        <v>23</v>
      </c>
      <c r="C138" s="181" t="s">
        <v>36</v>
      </c>
      <c r="D138" s="183" t="s">
        <v>35</v>
      </c>
      <c r="E138" s="184"/>
      <c r="F138" s="184"/>
      <c r="G138" s="185"/>
      <c r="H138" s="186" t="s">
        <v>18</v>
      </c>
      <c r="I138" s="195" t="s">
        <v>17</v>
      </c>
      <c r="J138" s="197" t="s">
        <v>16</v>
      </c>
      <c r="K138" s="199" t="s">
        <v>34</v>
      </c>
      <c r="L138" s="200"/>
      <c r="M138" s="200"/>
    </row>
    <row r="139" spans="1:14" ht="51.75" outlineLevel="1" thickBot="1" x14ac:dyDescent="0.25">
      <c r="A139" s="178"/>
      <c r="B139" s="180"/>
      <c r="C139" s="182"/>
      <c r="D139" s="68"/>
      <c r="E139" s="67" t="s">
        <v>33</v>
      </c>
      <c r="F139" s="67" t="s">
        <v>32</v>
      </c>
      <c r="G139" s="66" t="s">
        <v>31</v>
      </c>
      <c r="H139" s="187"/>
      <c r="I139" s="196"/>
      <c r="J139" s="198"/>
      <c r="K139" s="44" t="s">
        <v>14</v>
      </c>
      <c r="L139" s="43" t="s">
        <v>13</v>
      </c>
      <c r="M139" s="42" t="s">
        <v>12</v>
      </c>
    </row>
    <row r="140" spans="1:14" outlineLevel="1" x14ac:dyDescent="0.2">
      <c r="A140" s="207" t="s">
        <v>79</v>
      </c>
      <c r="B140" s="208"/>
      <c r="C140" s="209"/>
      <c r="D140" s="62">
        <v>1</v>
      </c>
      <c r="E140" s="61">
        <v>1</v>
      </c>
      <c r="F140" s="61">
        <v>50</v>
      </c>
      <c r="G140" s="60">
        <v>1</v>
      </c>
      <c r="H140" s="65">
        <v>1</v>
      </c>
      <c r="I140" s="64">
        <v>1</v>
      </c>
      <c r="J140" s="63">
        <v>0.4</v>
      </c>
      <c r="K140" s="62">
        <v>1</v>
      </c>
      <c r="L140" s="61">
        <v>1</v>
      </c>
      <c r="M140" s="60">
        <v>1</v>
      </c>
    </row>
    <row r="141" spans="1:14" outlineLevel="1" x14ac:dyDescent="0.2">
      <c r="A141" s="20">
        <f t="shared" ref="A141:B160" si="101">A5</f>
        <v>3656</v>
      </c>
      <c r="B141" s="19" t="str">
        <f t="shared" si="101"/>
        <v>UTA</v>
      </c>
      <c r="C141" s="58">
        <f t="shared" ref="C141:C178" si="102">SUM(D141:M141)</f>
        <v>34784.139413902456</v>
      </c>
      <c r="D141" s="15">
        <f t="shared" ref="D141:D150" si="103">D183*D$140</f>
        <v>5018</v>
      </c>
      <c r="E141" s="14">
        <f t="shared" ref="E141:E150" si="104">D183*E183*E$140</f>
        <v>2600.9966666666669</v>
      </c>
      <c r="F141" s="14">
        <f t="shared" ref="F141:F150" si="105">IFERROR(D183/F183*100*F$140,0)</f>
        <v>1480.1894139024141</v>
      </c>
      <c r="G141" s="13">
        <f t="shared" ref="G141:M150" si="106">G183*G$140</f>
        <v>10418.553333333379</v>
      </c>
      <c r="H141" s="36">
        <f t="shared" si="106"/>
        <v>1531.3333333333333</v>
      </c>
      <c r="I141" s="35">
        <f t="shared" si="106"/>
        <v>35</v>
      </c>
      <c r="J141" s="34">
        <f t="shared" si="106"/>
        <v>1246.4000000000001</v>
      </c>
      <c r="K141" s="36">
        <f t="shared" si="106"/>
        <v>6836.333333333333</v>
      </c>
      <c r="L141" s="59">
        <f t="shared" si="106"/>
        <v>3833.6666666666665</v>
      </c>
      <c r="M141" s="35">
        <f t="shared" si="106"/>
        <v>1783.6666666666667</v>
      </c>
    </row>
    <row r="142" spans="1:14" outlineLevel="1" x14ac:dyDescent="0.2">
      <c r="A142" s="20">
        <f t="shared" si="101"/>
        <v>3658</v>
      </c>
      <c r="B142" s="19" t="str">
        <f t="shared" si="101"/>
        <v>UT</v>
      </c>
      <c r="C142" s="58">
        <f t="shared" si="102"/>
        <v>66060.878269723427</v>
      </c>
      <c r="D142" s="15">
        <f t="shared" si="103"/>
        <v>8946.3333333333339</v>
      </c>
      <c r="E142" s="14">
        <f t="shared" si="104"/>
        <v>7416.5103333333345</v>
      </c>
      <c r="F142" s="14">
        <f t="shared" si="105"/>
        <v>1324.8846030562338</v>
      </c>
      <c r="G142" s="13">
        <f t="shared" si="106"/>
        <v>19398.350000000519</v>
      </c>
      <c r="H142" s="15">
        <f t="shared" si="106"/>
        <v>1876.3333333333333</v>
      </c>
      <c r="I142" s="13">
        <f t="shared" si="106"/>
        <v>66</v>
      </c>
      <c r="J142" s="16">
        <f t="shared" si="106"/>
        <v>1388.1333333333334</v>
      </c>
      <c r="K142" s="15">
        <f t="shared" si="106"/>
        <v>9598.3333333333339</v>
      </c>
      <c r="L142" s="14">
        <f t="shared" si="106"/>
        <v>9005.6666666666661</v>
      </c>
      <c r="M142" s="13">
        <f t="shared" si="106"/>
        <v>7040.333333333333</v>
      </c>
    </row>
    <row r="143" spans="1:14" outlineLevel="1" x14ac:dyDescent="0.2">
      <c r="A143" s="20">
        <f t="shared" si="101"/>
        <v>9741</v>
      </c>
      <c r="B143" s="19" t="str">
        <f t="shared" si="101"/>
        <v>UTD</v>
      </c>
      <c r="C143" s="58">
        <f t="shared" si="102"/>
        <v>17970.17035916535</v>
      </c>
      <c r="D143" s="15">
        <f t="shared" si="103"/>
        <v>2393</v>
      </c>
      <c r="E143" s="14">
        <f t="shared" si="104"/>
        <v>1682.279</v>
      </c>
      <c r="F143" s="14">
        <f t="shared" si="105"/>
        <v>1341.4880258319133</v>
      </c>
      <c r="G143" s="13">
        <f t="shared" si="106"/>
        <v>5101.2033333334393</v>
      </c>
      <c r="H143" s="15">
        <f t="shared" si="106"/>
        <v>421.66666666666669</v>
      </c>
      <c r="I143" s="13">
        <f t="shared" si="106"/>
        <v>32</v>
      </c>
      <c r="J143" s="16">
        <f t="shared" si="106"/>
        <v>527.86666666666667</v>
      </c>
      <c r="K143" s="15">
        <f t="shared" si="106"/>
        <v>3315</v>
      </c>
      <c r="L143" s="14">
        <f t="shared" si="106"/>
        <v>2134.3333333333335</v>
      </c>
      <c r="M143" s="13">
        <f t="shared" si="106"/>
        <v>1021.3333333333334</v>
      </c>
    </row>
    <row r="144" spans="1:14" outlineLevel="1" x14ac:dyDescent="0.2">
      <c r="A144" s="20">
        <f t="shared" si="101"/>
        <v>3661</v>
      </c>
      <c r="B144" s="19" t="str">
        <f t="shared" si="101"/>
        <v>UTEP</v>
      </c>
      <c r="C144" s="58">
        <f t="shared" si="102"/>
        <v>23098.251393467981</v>
      </c>
      <c r="D144" s="15">
        <f t="shared" si="103"/>
        <v>3057</v>
      </c>
      <c r="E144" s="14">
        <f t="shared" si="104"/>
        <v>1192.2299999999998</v>
      </c>
      <c r="F144" s="14">
        <f t="shared" si="105"/>
        <v>1143.5447268011671</v>
      </c>
      <c r="G144" s="13">
        <f t="shared" si="106"/>
        <v>6298.0766666668133</v>
      </c>
      <c r="H144" s="15">
        <f t="shared" si="106"/>
        <v>655</v>
      </c>
      <c r="I144" s="13">
        <f t="shared" si="106"/>
        <v>90</v>
      </c>
      <c r="J144" s="16">
        <f t="shared" si="106"/>
        <v>985.73333333333346</v>
      </c>
      <c r="K144" s="15">
        <f t="shared" si="106"/>
        <v>4362.666666666667</v>
      </c>
      <c r="L144" s="14">
        <f t="shared" si="106"/>
        <v>3358</v>
      </c>
      <c r="M144" s="13">
        <f t="shared" si="106"/>
        <v>1956</v>
      </c>
    </row>
    <row r="145" spans="1:13" outlineLevel="1" x14ac:dyDescent="0.2">
      <c r="A145" s="20">
        <f t="shared" si="101"/>
        <v>3599</v>
      </c>
      <c r="B145" s="19" t="str">
        <f t="shared" si="101"/>
        <v>UTPA</v>
      </c>
      <c r="C145" s="58">
        <f t="shared" si="102"/>
        <v>20445.104524975006</v>
      </c>
      <c r="D145" s="15">
        <f t="shared" si="103"/>
        <v>2580</v>
      </c>
      <c r="E145" s="14">
        <f t="shared" si="104"/>
        <v>1111.98</v>
      </c>
      <c r="F145" s="14">
        <f t="shared" si="105"/>
        <v>1024.6245249748918</v>
      </c>
      <c r="G145" s="13">
        <f t="shared" si="106"/>
        <v>5134.1666666667797</v>
      </c>
      <c r="H145" s="15">
        <f t="shared" si="106"/>
        <v>520.33333333333337</v>
      </c>
      <c r="I145" s="13">
        <f t="shared" si="106"/>
        <v>28</v>
      </c>
      <c r="J145" s="16">
        <f t="shared" si="106"/>
        <v>935.33333333333348</v>
      </c>
      <c r="K145" s="15">
        <f t="shared" si="106"/>
        <v>4075.3333333333335</v>
      </c>
      <c r="L145" s="14">
        <f t="shared" si="106"/>
        <v>3096</v>
      </c>
      <c r="M145" s="13">
        <f t="shared" si="106"/>
        <v>1939.3333333333333</v>
      </c>
    </row>
    <row r="146" spans="1:13" outlineLevel="1" x14ac:dyDescent="0.2">
      <c r="A146" s="20">
        <f t="shared" si="101"/>
        <v>30646</v>
      </c>
      <c r="B146" s="19" t="str">
        <f t="shared" si="101"/>
        <v>UTB</v>
      </c>
      <c r="C146" s="58">
        <f t="shared" si="102"/>
        <v>8041.6927429498728</v>
      </c>
      <c r="D146" s="15">
        <f t="shared" si="103"/>
        <v>1092</v>
      </c>
      <c r="E146" s="14">
        <f t="shared" si="104"/>
        <v>628.17092451302005</v>
      </c>
      <c r="F146" s="14">
        <f t="shared" si="105"/>
        <v>1723.0618184368313</v>
      </c>
      <c r="G146" s="13">
        <f t="shared" si="106"/>
        <v>2097.7933333333553</v>
      </c>
      <c r="H146" s="15">
        <f t="shared" si="106"/>
        <v>124.33333333333333</v>
      </c>
      <c r="I146" s="13">
        <f t="shared" si="106"/>
        <v>18.333333333333332</v>
      </c>
      <c r="J146" s="16">
        <f t="shared" si="106"/>
        <v>374.66666666666669</v>
      </c>
      <c r="K146" s="15">
        <f t="shared" si="106"/>
        <v>1326.3333333333333</v>
      </c>
      <c r="L146" s="14">
        <f t="shared" si="106"/>
        <v>556.33333333333337</v>
      </c>
      <c r="M146" s="13">
        <f t="shared" si="106"/>
        <v>100.66666666666667</v>
      </c>
    </row>
    <row r="147" spans="1:13" outlineLevel="1" x14ac:dyDescent="0.2">
      <c r="A147" s="20">
        <f t="shared" si="101"/>
        <v>9930</v>
      </c>
      <c r="B147" s="19" t="str">
        <f t="shared" si="101"/>
        <v>UTPB</v>
      </c>
      <c r="C147" s="58">
        <f t="shared" si="102"/>
        <v>4610.5087321623041</v>
      </c>
      <c r="D147" s="15">
        <f t="shared" si="103"/>
        <v>533.33333333333337</v>
      </c>
      <c r="E147" s="14">
        <f t="shared" si="104"/>
        <v>236.8</v>
      </c>
      <c r="F147" s="14">
        <f t="shared" si="105"/>
        <v>1156.2587321623005</v>
      </c>
      <c r="G147" s="13">
        <f t="shared" si="106"/>
        <v>1001.5166666666704</v>
      </c>
      <c r="H147" s="15">
        <f t="shared" si="106"/>
        <v>41.333333333333336</v>
      </c>
      <c r="I147" s="13">
        <f t="shared" si="106"/>
        <v>10</v>
      </c>
      <c r="J147" s="16">
        <f t="shared" si="106"/>
        <v>159.60000000000002</v>
      </c>
      <c r="K147" s="15">
        <f t="shared" si="106"/>
        <v>785.66666666666663</v>
      </c>
      <c r="L147" s="14">
        <f t="shared" si="106"/>
        <v>491.66666666666669</v>
      </c>
      <c r="M147" s="13">
        <f t="shared" si="106"/>
        <v>194.33333333333334</v>
      </c>
    </row>
    <row r="148" spans="1:13" outlineLevel="1" x14ac:dyDescent="0.2">
      <c r="A148" s="20">
        <f t="shared" si="101"/>
        <v>10115</v>
      </c>
      <c r="B148" s="19" t="str">
        <f t="shared" si="101"/>
        <v>UTSA</v>
      </c>
      <c r="C148" s="58">
        <f t="shared" si="102"/>
        <v>30858.191149512757</v>
      </c>
      <c r="D148" s="15">
        <f t="shared" si="103"/>
        <v>4119.666666666667</v>
      </c>
      <c r="E148" s="14">
        <f t="shared" si="104"/>
        <v>1737.1261111111112</v>
      </c>
      <c r="F148" s="14">
        <f t="shared" si="105"/>
        <v>1012.0517050684201</v>
      </c>
      <c r="G148" s="13">
        <f t="shared" si="106"/>
        <v>8414.213333333224</v>
      </c>
      <c r="H148" s="15">
        <f t="shared" si="106"/>
        <v>392</v>
      </c>
      <c r="I148" s="13">
        <f t="shared" si="106"/>
        <v>49.666666666666664</v>
      </c>
      <c r="J148" s="16">
        <f t="shared" si="106"/>
        <v>1249.4666666666667</v>
      </c>
      <c r="K148" s="15">
        <f t="shared" si="106"/>
        <v>6809.666666666667</v>
      </c>
      <c r="L148" s="14">
        <f t="shared" si="106"/>
        <v>4458.666666666667</v>
      </c>
      <c r="M148" s="13">
        <f t="shared" si="106"/>
        <v>2615.6666666666665</v>
      </c>
    </row>
    <row r="149" spans="1:13" outlineLevel="1" x14ac:dyDescent="0.2">
      <c r="A149" s="20">
        <f t="shared" si="101"/>
        <v>11163</v>
      </c>
      <c r="B149" s="19" t="str">
        <f t="shared" si="101"/>
        <v>UTT</v>
      </c>
      <c r="C149" s="58">
        <f t="shared" si="102"/>
        <v>9110.3570258576055</v>
      </c>
      <c r="D149" s="15">
        <f t="shared" si="103"/>
        <v>1190</v>
      </c>
      <c r="E149" s="14">
        <f t="shared" si="104"/>
        <v>613.64333333333343</v>
      </c>
      <c r="F149" s="14">
        <f t="shared" si="105"/>
        <v>1462.7870258575947</v>
      </c>
      <c r="G149" s="13">
        <f t="shared" si="106"/>
        <v>2362.6600000000103</v>
      </c>
      <c r="H149" s="15">
        <f t="shared" si="106"/>
        <v>376.66666666666669</v>
      </c>
      <c r="I149" s="13">
        <f t="shared" si="106"/>
        <v>14</v>
      </c>
      <c r="J149" s="16">
        <f t="shared" si="106"/>
        <v>376.93333333333339</v>
      </c>
      <c r="K149" s="15">
        <f t="shared" si="106"/>
        <v>1436.3333333333333</v>
      </c>
      <c r="L149" s="14">
        <f t="shared" si="106"/>
        <v>890</v>
      </c>
      <c r="M149" s="13">
        <f t="shared" si="106"/>
        <v>387.33333333333331</v>
      </c>
    </row>
    <row r="150" spans="1:13" outlineLevel="1" x14ac:dyDescent="0.2">
      <c r="A150" s="20">
        <f t="shared" si="101"/>
        <v>3632</v>
      </c>
      <c r="B150" s="19" t="str">
        <f t="shared" si="101"/>
        <v>TAMU</v>
      </c>
      <c r="C150" s="58">
        <f t="shared" si="102"/>
        <v>66697.990772986712</v>
      </c>
      <c r="D150" s="15">
        <f t="shared" si="103"/>
        <v>8739.6666666666661</v>
      </c>
      <c r="E150" s="14">
        <f t="shared" si="104"/>
        <v>7347.1464444444427</v>
      </c>
      <c r="F150" s="14">
        <f t="shared" si="105"/>
        <v>1262.094328542134</v>
      </c>
      <c r="G150" s="13">
        <f t="shared" si="106"/>
        <v>20104.8166666668</v>
      </c>
      <c r="H150" s="15">
        <f t="shared" si="106"/>
        <v>1763</v>
      </c>
      <c r="I150" s="13">
        <f t="shared" si="106"/>
        <v>126</v>
      </c>
      <c r="J150" s="16">
        <f t="shared" si="106"/>
        <v>1489.6000000000001</v>
      </c>
      <c r="K150" s="15">
        <f t="shared" si="106"/>
        <v>10060.666666666666</v>
      </c>
      <c r="L150" s="14">
        <f t="shared" si="106"/>
        <v>8907.3333333333339</v>
      </c>
      <c r="M150" s="13">
        <f t="shared" si="106"/>
        <v>6897.666666666667</v>
      </c>
    </row>
    <row r="151" spans="1:13" outlineLevel="1" x14ac:dyDescent="0.2">
      <c r="A151" s="20">
        <f t="shared" si="101"/>
        <v>10298</v>
      </c>
      <c r="B151" s="19" t="str">
        <f t="shared" si="101"/>
        <v>TAMUG</v>
      </c>
      <c r="C151" s="58">
        <f t="shared" si="102"/>
        <v>4843.3762524354061</v>
      </c>
      <c r="D151" s="15">
        <f>D193*D$140*1.5</f>
        <v>413</v>
      </c>
      <c r="E151" s="14">
        <f>D193*E193*E$140*1.5</f>
        <v>259.08866666666665</v>
      </c>
      <c r="F151" s="14">
        <f>IFERROR(D193/F193*100*F$140,0)*1.5</f>
        <v>1229.9475857687421</v>
      </c>
      <c r="G151" s="13">
        <f t="shared" ref="G151:M151" si="107">G193*G$140*1.5</f>
        <v>1056.0399999999968</v>
      </c>
      <c r="H151" s="15">
        <f t="shared" si="107"/>
        <v>56</v>
      </c>
      <c r="I151" s="13">
        <f t="shared" si="107"/>
        <v>0</v>
      </c>
      <c r="J151" s="16">
        <f t="shared" si="107"/>
        <v>94.800000000000011</v>
      </c>
      <c r="K151" s="15">
        <f t="shared" si="107"/>
        <v>888.5</v>
      </c>
      <c r="L151" s="14">
        <f t="shared" si="107"/>
        <v>477</v>
      </c>
      <c r="M151" s="13">
        <f t="shared" si="107"/>
        <v>369</v>
      </c>
    </row>
    <row r="152" spans="1:13" outlineLevel="1" x14ac:dyDescent="0.2">
      <c r="A152" s="20">
        <f t="shared" si="101"/>
        <v>3630</v>
      </c>
      <c r="B152" s="19" t="str">
        <f t="shared" si="101"/>
        <v>Prairie View</v>
      </c>
      <c r="C152" s="58">
        <f t="shared" si="102"/>
        <v>8549.1549568204082</v>
      </c>
      <c r="D152" s="15">
        <f t="shared" ref="D152:D178" si="108">D194*D$140</f>
        <v>936.33333333333337</v>
      </c>
      <c r="E152" s="14">
        <f t="shared" ref="E152:E178" si="109">D194*E194*E$140</f>
        <v>348.00388888888887</v>
      </c>
      <c r="F152" s="14">
        <f t="shared" ref="F152:F178" si="110">IFERROR(D194/F194*100*F$140,0)</f>
        <v>791.18440126484359</v>
      </c>
      <c r="G152" s="13">
        <f t="shared" ref="G152:M161" si="111">G194*G$140</f>
        <v>2072.9000000000092</v>
      </c>
      <c r="H152" s="15">
        <f t="shared" si="111"/>
        <v>315.66666666666669</v>
      </c>
      <c r="I152" s="13">
        <f t="shared" si="111"/>
        <v>9.6666666666666661</v>
      </c>
      <c r="J152" s="16">
        <f t="shared" si="111"/>
        <v>321.06666666666666</v>
      </c>
      <c r="K152" s="15">
        <f t="shared" si="111"/>
        <v>1668</v>
      </c>
      <c r="L152" s="14">
        <f t="shared" si="111"/>
        <v>1181</v>
      </c>
      <c r="M152" s="13">
        <f t="shared" si="111"/>
        <v>905.33333333333337</v>
      </c>
    </row>
    <row r="153" spans="1:13" outlineLevel="1" x14ac:dyDescent="0.2">
      <c r="A153" s="20">
        <f t="shared" si="101"/>
        <v>3631</v>
      </c>
      <c r="B153" s="19" t="str">
        <f t="shared" si="101"/>
        <v>Tarleton</v>
      </c>
      <c r="C153" s="58">
        <f t="shared" si="102"/>
        <v>11708.867720949642</v>
      </c>
      <c r="D153" s="15">
        <f t="shared" si="108"/>
        <v>1545.3333333333333</v>
      </c>
      <c r="E153" s="14">
        <f t="shared" si="109"/>
        <v>738.66933333333338</v>
      </c>
      <c r="F153" s="14">
        <f t="shared" si="110"/>
        <v>1227.988387616283</v>
      </c>
      <c r="G153" s="13">
        <f t="shared" si="111"/>
        <v>3122.5433333333599</v>
      </c>
      <c r="H153" s="15">
        <f t="shared" si="111"/>
        <v>203</v>
      </c>
      <c r="I153" s="13">
        <f t="shared" si="111"/>
        <v>47.666666666666664</v>
      </c>
      <c r="J153" s="16">
        <f t="shared" si="111"/>
        <v>478</v>
      </c>
      <c r="K153" s="15">
        <f t="shared" si="111"/>
        <v>2154.3333333333335</v>
      </c>
      <c r="L153" s="14">
        <f t="shared" si="111"/>
        <v>1328.6666666666667</v>
      </c>
      <c r="M153" s="13">
        <f t="shared" si="111"/>
        <v>862.66666666666663</v>
      </c>
    </row>
    <row r="154" spans="1:13" outlineLevel="1" x14ac:dyDescent="0.2">
      <c r="A154" s="27">
        <f t="shared" si="101"/>
        <v>103631</v>
      </c>
      <c r="B154" s="19" t="str">
        <f t="shared" si="101"/>
        <v>TAMUCT</v>
      </c>
      <c r="C154" s="58">
        <f t="shared" si="102"/>
        <v>5746.8484761003619</v>
      </c>
      <c r="D154" s="15">
        <f t="shared" si="108"/>
        <v>460.33333333333331</v>
      </c>
      <c r="E154" s="14">
        <f t="shared" si="109"/>
        <v>220.03933333333333</v>
      </c>
      <c r="F154" s="14">
        <f t="shared" si="110"/>
        <v>3379.3924761003623</v>
      </c>
      <c r="G154" s="13">
        <f t="shared" si="111"/>
        <v>853.61666666666588</v>
      </c>
      <c r="H154" s="15">
        <f t="shared" si="111"/>
        <v>40.666666666666664</v>
      </c>
      <c r="I154" s="13">
        <f t="shared" si="111"/>
        <v>0</v>
      </c>
      <c r="J154" s="16">
        <f t="shared" si="111"/>
        <v>130.80000000000001</v>
      </c>
      <c r="K154" s="15">
        <f t="shared" si="111"/>
        <v>495</v>
      </c>
      <c r="L154" s="14">
        <f t="shared" si="111"/>
        <v>133</v>
      </c>
      <c r="M154" s="13">
        <f t="shared" si="111"/>
        <v>34</v>
      </c>
    </row>
    <row r="155" spans="1:13" outlineLevel="1" x14ac:dyDescent="0.2">
      <c r="A155" s="20">
        <f t="shared" si="101"/>
        <v>11161</v>
      </c>
      <c r="B155" s="19" t="str">
        <f t="shared" si="101"/>
        <v>TAMUCC</v>
      </c>
      <c r="C155" s="58">
        <f t="shared" si="102"/>
        <v>11090.965703141053</v>
      </c>
      <c r="D155" s="15">
        <f t="shared" si="108"/>
        <v>1388.3333333333333</v>
      </c>
      <c r="E155" s="14">
        <f t="shared" si="109"/>
        <v>705.27333333333331</v>
      </c>
      <c r="F155" s="14">
        <f t="shared" si="110"/>
        <v>1068.8257031410387</v>
      </c>
      <c r="G155" s="13">
        <f t="shared" si="111"/>
        <v>2804.2000000000139</v>
      </c>
      <c r="H155" s="15">
        <f t="shared" si="111"/>
        <v>266.33333333333331</v>
      </c>
      <c r="I155" s="13">
        <f t="shared" si="111"/>
        <v>25.666666666666668</v>
      </c>
      <c r="J155" s="16">
        <f t="shared" si="111"/>
        <v>432</v>
      </c>
      <c r="K155" s="15">
        <f t="shared" si="111"/>
        <v>2054</v>
      </c>
      <c r="L155" s="14">
        <f t="shared" si="111"/>
        <v>1468</v>
      </c>
      <c r="M155" s="13">
        <f t="shared" si="111"/>
        <v>878.33333333333337</v>
      </c>
    </row>
    <row r="156" spans="1:13" outlineLevel="1" x14ac:dyDescent="0.2">
      <c r="A156" s="20">
        <f t="shared" si="101"/>
        <v>3639</v>
      </c>
      <c r="B156" s="19" t="str">
        <f t="shared" si="101"/>
        <v>TAMUK</v>
      </c>
      <c r="C156" s="58">
        <f t="shared" si="102"/>
        <v>6907.2055164319308</v>
      </c>
      <c r="D156" s="15">
        <f t="shared" si="108"/>
        <v>761.66666666666663</v>
      </c>
      <c r="E156" s="14">
        <f t="shared" si="109"/>
        <v>306.44388888888892</v>
      </c>
      <c r="F156" s="14">
        <f t="shared" si="110"/>
        <v>893.97496087636932</v>
      </c>
      <c r="G156" s="13">
        <f t="shared" si="111"/>
        <v>1763.4533333333395</v>
      </c>
      <c r="H156" s="15">
        <f t="shared" si="111"/>
        <v>260</v>
      </c>
      <c r="I156" s="13">
        <f t="shared" si="111"/>
        <v>16.666666666666668</v>
      </c>
      <c r="J156" s="16">
        <f t="shared" si="111"/>
        <v>259.33333333333337</v>
      </c>
      <c r="K156" s="15">
        <f t="shared" si="111"/>
        <v>1227.3333333333333</v>
      </c>
      <c r="L156" s="14">
        <f t="shared" si="111"/>
        <v>859.66666666666663</v>
      </c>
      <c r="M156" s="13">
        <f t="shared" si="111"/>
        <v>558.66666666666663</v>
      </c>
    </row>
    <row r="157" spans="1:13" outlineLevel="1" x14ac:dyDescent="0.2">
      <c r="A157" s="27">
        <f t="shared" si="101"/>
        <v>103639</v>
      </c>
      <c r="B157" s="19" t="str">
        <f t="shared" si="101"/>
        <v>TAMUSA</v>
      </c>
      <c r="C157" s="58">
        <f t="shared" si="102"/>
        <v>4942.8430131574396</v>
      </c>
      <c r="D157" s="15">
        <f t="shared" si="108"/>
        <v>587.66666666666663</v>
      </c>
      <c r="E157" s="14">
        <f t="shared" si="109"/>
        <v>236.43788888888889</v>
      </c>
      <c r="F157" s="14">
        <f t="shared" si="110"/>
        <v>2079.9251242685459</v>
      </c>
      <c r="G157" s="13">
        <f t="shared" si="111"/>
        <v>1026.0133333333379</v>
      </c>
      <c r="H157" s="15">
        <f t="shared" si="111"/>
        <v>5</v>
      </c>
      <c r="I157" s="13">
        <f t="shared" si="111"/>
        <v>2</v>
      </c>
      <c r="J157" s="16">
        <f t="shared" si="111"/>
        <v>196.13333333333333</v>
      </c>
      <c r="K157" s="15">
        <f t="shared" si="111"/>
        <v>729.66666666666663</v>
      </c>
      <c r="L157" s="14">
        <f t="shared" si="111"/>
        <v>77.333333333333329</v>
      </c>
      <c r="M157" s="13">
        <f t="shared" si="111"/>
        <v>2.6666666666666665</v>
      </c>
    </row>
    <row r="158" spans="1:13" outlineLevel="1" x14ac:dyDescent="0.2">
      <c r="A158" s="20">
        <f t="shared" si="101"/>
        <v>9651</v>
      </c>
      <c r="B158" s="19" t="str">
        <f t="shared" si="101"/>
        <v>TAMI</v>
      </c>
      <c r="C158" s="58">
        <f t="shared" si="102"/>
        <v>6907.3132729646004</v>
      </c>
      <c r="D158" s="15">
        <f t="shared" si="108"/>
        <v>789.66666666666663</v>
      </c>
      <c r="E158" s="14">
        <f t="shared" si="109"/>
        <v>373.77555555555551</v>
      </c>
      <c r="F158" s="14">
        <f t="shared" si="110"/>
        <v>966.30771740903901</v>
      </c>
      <c r="G158" s="13">
        <f t="shared" si="111"/>
        <v>1458.4966666666717</v>
      </c>
      <c r="H158" s="15">
        <f t="shared" si="111"/>
        <v>115.66666666666667</v>
      </c>
      <c r="I158" s="13">
        <f t="shared" si="111"/>
        <v>22.333333333333332</v>
      </c>
      <c r="J158" s="16">
        <f t="shared" si="111"/>
        <v>285.06666666666666</v>
      </c>
      <c r="K158" s="15">
        <f t="shared" si="111"/>
        <v>1406.6666666666667</v>
      </c>
      <c r="L158" s="14">
        <f t="shared" si="111"/>
        <v>1015.6666666666666</v>
      </c>
      <c r="M158" s="13">
        <f t="shared" si="111"/>
        <v>473.66666666666669</v>
      </c>
    </row>
    <row r="159" spans="1:13" outlineLevel="1" x14ac:dyDescent="0.2">
      <c r="A159" s="20">
        <f t="shared" si="101"/>
        <v>3665</v>
      </c>
      <c r="B159" s="19" t="str">
        <f t="shared" si="101"/>
        <v>WTAMU</v>
      </c>
      <c r="C159" s="58">
        <f t="shared" si="102"/>
        <v>9783.3632038127744</v>
      </c>
      <c r="D159" s="15">
        <f t="shared" si="108"/>
        <v>1255.6666666666667</v>
      </c>
      <c r="E159" s="14">
        <f t="shared" si="109"/>
        <v>591.00044444444438</v>
      </c>
      <c r="F159" s="14">
        <f t="shared" si="110"/>
        <v>1159.3860927016435</v>
      </c>
      <c r="G159" s="13">
        <f t="shared" si="111"/>
        <v>2503.5766666666836</v>
      </c>
      <c r="H159" s="15">
        <f t="shared" si="111"/>
        <v>191.66666666666666</v>
      </c>
      <c r="I159" s="13">
        <f t="shared" si="111"/>
        <v>60.666666666666664</v>
      </c>
      <c r="J159" s="16">
        <f t="shared" si="111"/>
        <v>355.73333333333335</v>
      </c>
      <c r="K159" s="15">
        <f t="shared" si="111"/>
        <v>1791.6666666666667</v>
      </c>
      <c r="L159" s="14">
        <f t="shared" si="111"/>
        <v>1212.6666666666667</v>
      </c>
      <c r="M159" s="13">
        <f t="shared" si="111"/>
        <v>661.33333333333337</v>
      </c>
    </row>
    <row r="160" spans="1:13" outlineLevel="1" x14ac:dyDescent="0.2">
      <c r="A160" s="20">
        <f t="shared" si="101"/>
        <v>3565</v>
      </c>
      <c r="B160" s="19" t="str">
        <f t="shared" si="101"/>
        <v>TAMUC</v>
      </c>
      <c r="C160" s="58">
        <f t="shared" si="102"/>
        <v>9856.371768134617</v>
      </c>
      <c r="D160" s="15">
        <f t="shared" si="108"/>
        <v>1324.3333333333333</v>
      </c>
      <c r="E160" s="14">
        <f t="shared" si="109"/>
        <v>582.70666666666659</v>
      </c>
      <c r="F160" s="14">
        <f t="shared" si="110"/>
        <v>1409.7717681345925</v>
      </c>
      <c r="G160" s="13">
        <f t="shared" si="111"/>
        <v>2501.8266666666914</v>
      </c>
      <c r="H160" s="15">
        <f t="shared" si="111"/>
        <v>73</v>
      </c>
      <c r="I160" s="13">
        <f t="shared" si="111"/>
        <v>74.333333333333329</v>
      </c>
      <c r="J160" s="16">
        <f t="shared" si="111"/>
        <v>407.73333333333335</v>
      </c>
      <c r="K160" s="15">
        <f t="shared" si="111"/>
        <v>1893</v>
      </c>
      <c r="L160" s="14">
        <f t="shared" si="111"/>
        <v>1137.3333333333333</v>
      </c>
      <c r="M160" s="13">
        <f t="shared" si="111"/>
        <v>452.33333333333331</v>
      </c>
    </row>
    <row r="161" spans="1:13" outlineLevel="1" x14ac:dyDescent="0.2">
      <c r="A161" s="20">
        <f t="shared" ref="A161:B178" si="112">A25</f>
        <v>29269</v>
      </c>
      <c r="B161" s="19" t="str">
        <f t="shared" si="112"/>
        <v>TAMUT</v>
      </c>
      <c r="C161" s="58">
        <f t="shared" si="102"/>
        <v>3862.1880195561812</v>
      </c>
      <c r="D161" s="15">
        <f t="shared" si="108"/>
        <v>345.66666666666669</v>
      </c>
      <c r="E161" s="14">
        <f t="shared" si="109"/>
        <v>187.3602625468375</v>
      </c>
      <c r="F161" s="14">
        <f t="shared" si="110"/>
        <v>1938.3177570093458</v>
      </c>
      <c r="G161" s="13">
        <f t="shared" si="111"/>
        <v>619.90999999999826</v>
      </c>
      <c r="H161" s="15">
        <f t="shared" si="111"/>
        <v>41.666666666666664</v>
      </c>
      <c r="I161" s="13">
        <f t="shared" si="111"/>
        <v>19.333333333333332</v>
      </c>
      <c r="J161" s="16">
        <f t="shared" si="111"/>
        <v>95.600000000000009</v>
      </c>
      <c r="K161" s="15">
        <f t="shared" si="111"/>
        <v>432.66666666666669</v>
      </c>
      <c r="L161" s="14">
        <f t="shared" si="111"/>
        <v>181</v>
      </c>
      <c r="M161" s="13">
        <f t="shared" si="111"/>
        <v>0.66666666666666663</v>
      </c>
    </row>
    <row r="162" spans="1:13" outlineLevel="1" x14ac:dyDescent="0.2">
      <c r="A162" s="20">
        <f t="shared" si="112"/>
        <v>3652</v>
      </c>
      <c r="B162" s="19" t="str">
        <f t="shared" si="112"/>
        <v>UH</v>
      </c>
      <c r="C162" s="58">
        <f t="shared" si="102"/>
        <v>38233.6173727895</v>
      </c>
      <c r="D162" s="15">
        <f t="shared" si="108"/>
        <v>5098.666666666667</v>
      </c>
      <c r="E162" s="14">
        <f t="shared" si="109"/>
        <v>2734.5848888888891</v>
      </c>
      <c r="F162" s="14">
        <f t="shared" si="110"/>
        <v>1071.2524839013313</v>
      </c>
      <c r="G162" s="13">
        <f t="shared" ref="G162:M171" si="113">G204*G$140</f>
        <v>10580.246666665944</v>
      </c>
      <c r="H162" s="15">
        <f t="shared" si="113"/>
        <v>737</v>
      </c>
      <c r="I162" s="13">
        <f t="shared" si="113"/>
        <v>62.666666666666664</v>
      </c>
      <c r="J162" s="16">
        <f t="shared" si="113"/>
        <v>1349.2</v>
      </c>
      <c r="K162" s="15">
        <f t="shared" si="113"/>
        <v>7602.333333333333</v>
      </c>
      <c r="L162" s="14">
        <f t="shared" si="113"/>
        <v>5690.333333333333</v>
      </c>
      <c r="M162" s="13">
        <f t="shared" si="113"/>
        <v>3307.3333333333335</v>
      </c>
    </row>
    <row r="163" spans="1:13" outlineLevel="1" x14ac:dyDescent="0.2">
      <c r="A163" s="20">
        <f t="shared" si="112"/>
        <v>11711</v>
      </c>
      <c r="B163" s="19" t="str">
        <f t="shared" si="112"/>
        <v>UHCL</v>
      </c>
      <c r="C163" s="58">
        <f t="shared" si="102"/>
        <v>8904.3756784305024</v>
      </c>
      <c r="D163" s="15">
        <f t="shared" si="108"/>
        <v>1190.6666666666667</v>
      </c>
      <c r="E163" s="14">
        <f t="shared" si="109"/>
        <v>619.34267935898833</v>
      </c>
      <c r="F163" s="14">
        <f t="shared" si="110"/>
        <v>1984.6796657381617</v>
      </c>
      <c r="G163" s="13">
        <f t="shared" si="113"/>
        <v>2282.9533333333529</v>
      </c>
      <c r="H163" s="15">
        <f t="shared" si="113"/>
        <v>106.66666666666667</v>
      </c>
      <c r="I163" s="13">
        <f t="shared" si="113"/>
        <v>8.3333333333333339</v>
      </c>
      <c r="J163" s="16">
        <f t="shared" si="113"/>
        <v>309.73333333333335</v>
      </c>
      <c r="K163" s="15">
        <f t="shared" si="113"/>
        <v>1391.3333333333333</v>
      </c>
      <c r="L163" s="14">
        <f t="shared" si="113"/>
        <v>953.66666666666663</v>
      </c>
      <c r="M163" s="13">
        <f t="shared" si="113"/>
        <v>57</v>
      </c>
    </row>
    <row r="164" spans="1:13" outlineLevel="1" x14ac:dyDescent="0.2">
      <c r="A164" s="20">
        <f t="shared" si="112"/>
        <v>12826</v>
      </c>
      <c r="B164" s="19" t="str">
        <f t="shared" si="112"/>
        <v>UHD</v>
      </c>
      <c r="C164" s="58">
        <f t="shared" si="102"/>
        <v>14980.011593154361</v>
      </c>
      <c r="D164" s="15">
        <f t="shared" si="108"/>
        <v>2382.3333333333335</v>
      </c>
      <c r="E164" s="14">
        <f t="shared" si="109"/>
        <v>452.64333333333343</v>
      </c>
      <c r="F164" s="14">
        <f t="shared" si="110"/>
        <v>1491.6515931543067</v>
      </c>
      <c r="G164" s="13">
        <f t="shared" si="113"/>
        <v>4271.3166666667212</v>
      </c>
      <c r="H164" s="15">
        <f t="shared" si="113"/>
        <v>129.66666666666666</v>
      </c>
      <c r="I164" s="13">
        <f t="shared" si="113"/>
        <v>1.6666666666666667</v>
      </c>
      <c r="J164" s="16">
        <f t="shared" si="113"/>
        <v>672.40000000000009</v>
      </c>
      <c r="K164" s="15">
        <f t="shared" si="113"/>
        <v>3105.3333333333335</v>
      </c>
      <c r="L164" s="14">
        <f t="shared" si="113"/>
        <v>1868.3333333333333</v>
      </c>
      <c r="M164" s="13">
        <f t="shared" si="113"/>
        <v>604.66666666666663</v>
      </c>
    </row>
    <row r="165" spans="1:13" outlineLevel="1" x14ac:dyDescent="0.2">
      <c r="A165" s="20">
        <f t="shared" si="112"/>
        <v>13231</v>
      </c>
      <c r="B165" s="19" t="str">
        <f t="shared" si="112"/>
        <v>UHV</v>
      </c>
      <c r="C165" s="58">
        <f t="shared" si="102"/>
        <v>5253.5079074618034</v>
      </c>
      <c r="D165" s="15">
        <f t="shared" si="108"/>
        <v>576.66666666666663</v>
      </c>
      <c r="E165" s="14">
        <f t="shared" si="109"/>
        <v>300.19546283886069</v>
      </c>
      <c r="F165" s="14">
        <f t="shared" si="110"/>
        <v>2004.2324446229416</v>
      </c>
      <c r="G165" s="13">
        <f t="shared" si="113"/>
        <v>1084.4800000000012</v>
      </c>
      <c r="H165" s="15">
        <f t="shared" si="113"/>
        <v>108</v>
      </c>
      <c r="I165" s="13">
        <f t="shared" si="113"/>
        <v>7.333333333333333</v>
      </c>
      <c r="J165" s="16">
        <f t="shared" si="113"/>
        <v>153.60000000000002</v>
      </c>
      <c r="K165" s="15">
        <f t="shared" si="113"/>
        <v>716</v>
      </c>
      <c r="L165" s="14">
        <f t="shared" si="113"/>
        <v>296.33333333333331</v>
      </c>
      <c r="M165" s="13">
        <f t="shared" si="113"/>
        <v>6.666666666666667</v>
      </c>
    </row>
    <row r="166" spans="1:13" outlineLevel="1" x14ac:dyDescent="0.2">
      <c r="A166" s="20">
        <f t="shared" si="112"/>
        <v>3592</v>
      </c>
      <c r="B166" s="19" t="str">
        <f t="shared" si="112"/>
        <v>Midwestern</v>
      </c>
      <c r="C166" s="58">
        <f t="shared" si="102"/>
        <v>8441.1716629572893</v>
      </c>
      <c r="D166" s="15">
        <f t="shared" si="108"/>
        <v>1031.6666666666667</v>
      </c>
      <c r="E166" s="14">
        <f t="shared" si="109"/>
        <v>453.24555555555554</v>
      </c>
      <c r="F166" s="14">
        <f t="shared" si="110"/>
        <v>1206.12610740173</v>
      </c>
      <c r="G166" s="13">
        <f t="shared" si="113"/>
        <v>1962.0000000000034</v>
      </c>
      <c r="H166" s="15">
        <f t="shared" si="113"/>
        <v>333.33333333333331</v>
      </c>
      <c r="I166" s="13">
        <f t="shared" si="113"/>
        <v>15</v>
      </c>
      <c r="J166" s="16">
        <f t="shared" si="113"/>
        <v>276.13333333333338</v>
      </c>
      <c r="K166" s="15">
        <f t="shared" si="113"/>
        <v>1438</v>
      </c>
      <c r="L166" s="14">
        <f t="shared" si="113"/>
        <v>1046</v>
      </c>
      <c r="M166" s="13">
        <f t="shared" si="113"/>
        <v>679.66666666666663</v>
      </c>
    </row>
    <row r="167" spans="1:13" outlineLevel="1" x14ac:dyDescent="0.2">
      <c r="A167" s="20">
        <f t="shared" si="112"/>
        <v>3594</v>
      </c>
      <c r="B167" s="19" t="str">
        <f t="shared" si="112"/>
        <v>UNT</v>
      </c>
      <c r="C167" s="58">
        <f t="shared" si="102"/>
        <v>40942.172783858958</v>
      </c>
      <c r="D167" s="15">
        <f t="shared" si="108"/>
        <v>6016.666666666667</v>
      </c>
      <c r="E167" s="14">
        <f t="shared" si="109"/>
        <v>3467.6055555555558</v>
      </c>
      <c r="F167" s="14">
        <f t="shared" si="110"/>
        <v>1294.3472283042063</v>
      </c>
      <c r="G167" s="13">
        <f t="shared" si="113"/>
        <v>11411.553333332529</v>
      </c>
      <c r="H167" s="15">
        <f t="shared" si="113"/>
        <v>336.66666666666669</v>
      </c>
      <c r="I167" s="13">
        <f t="shared" si="113"/>
        <v>43.333333333333336</v>
      </c>
      <c r="J167" s="16">
        <f t="shared" si="113"/>
        <v>1528</v>
      </c>
      <c r="K167" s="15">
        <f t="shared" si="113"/>
        <v>7864.666666666667</v>
      </c>
      <c r="L167" s="14">
        <f t="shared" si="113"/>
        <v>5642.333333333333</v>
      </c>
      <c r="M167" s="13">
        <f t="shared" si="113"/>
        <v>3337</v>
      </c>
    </row>
    <row r="168" spans="1:13" outlineLevel="1" x14ac:dyDescent="0.2">
      <c r="A168" s="27">
        <f t="shared" si="112"/>
        <v>113594</v>
      </c>
      <c r="B168" s="19" t="str">
        <f t="shared" si="112"/>
        <v>UNTD</v>
      </c>
      <c r="C168" s="58">
        <f t="shared" si="102"/>
        <v>4170.6445532694452</v>
      </c>
      <c r="D168" s="15">
        <f t="shared" si="108"/>
        <v>403.5</v>
      </c>
      <c r="E168" s="14">
        <f t="shared" si="109"/>
        <v>233.02125000000001</v>
      </c>
      <c r="F168" s="14">
        <f t="shared" si="110"/>
        <v>2132.3633032694474</v>
      </c>
      <c r="G168" s="13">
        <f t="shared" si="113"/>
        <v>705.85999999999717</v>
      </c>
      <c r="H168" s="15">
        <f t="shared" si="113"/>
        <v>12</v>
      </c>
      <c r="I168" s="13">
        <f t="shared" si="113"/>
        <v>0</v>
      </c>
      <c r="J168" s="16">
        <f t="shared" si="113"/>
        <v>123.4</v>
      </c>
      <c r="K168" s="15">
        <f t="shared" si="113"/>
        <v>478</v>
      </c>
      <c r="L168" s="14">
        <f t="shared" si="113"/>
        <v>71.5</v>
      </c>
      <c r="M168" s="13">
        <f t="shared" si="113"/>
        <v>11</v>
      </c>
    </row>
    <row r="169" spans="1:13" outlineLevel="1" x14ac:dyDescent="0.2">
      <c r="A169" s="20">
        <f t="shared" si="112"/>
        <v>3624</v>
      </c>
      <c r="B169" s="19" t="str">
        <f t="shared" si="112"/>
        <v>SFA</v>
      </c>
      <c r="C169" s="58">
        <f t="shared" si="102"/>
        <v>14839.350548837534</v>
      </c>
      <c r="D169" s="15">
        <f t="shared" si="108"/>
        <v>1921.6666666666667</v>
      </c>
      <c r="E169" s="14">
        <f t="shared" si="109"/>
        <v>1064.6033333333332</v>
      </c>
      <c r="F169" s="14">
        <f t="shared" si="110"/>
        <v>1012.8772155041958</v>
      </c>
      <c r="G169" s="13">
        <f t="shared" si="113"/>
        <v>3721.736666666669</v>
      </c>
      <c r="H169" s="15">
        <f t="shared" si="113"/>
        <v>248</v>
      </c>
      <c r="I169" s="13">
        <f t="shared" si="113"/>
        <v>44.666666666666664</v>
      </c>
      <c r="J169" s="16">
        <f t="shared" si="113"/>
        <v>584.13333333333333</v>
      </c>
      <c r="K169" s="15">
        <f t="shared" si="113"/>
        <v>2769.3333333333335</v>
      </c>
      <c r="L169" s="14">
        <f t="shared" si="113"/>
        <v>2075</v>
      </c>
      <c r="M169" s="13">
        <f t="shared" si="113"/>
        <v>1397.3333333333333</v>
      </c>
    </row>
    <row r="170" spans="1:13" outlineLevel="1" x14ac:dyDescent="0.2">
      <c r="A170" s="20">
        <f t="shared" si="112"/>
        <v>3642</v>
      </c>
      <c r="B170" s="19" t="str">
        <f t="shared" si="112"/>
        <v>TSU</v>
      </c>
      <c r="C170" s="58">
        <f t="shared" si="102"/>
        <v>7025.4846061001936</v>
      </c>
      <c r="D170" s="15">
        <f t="shared" si="108"/>
        <v>758.33333333333337</v>
      </c>
      <c r="E170" s="14">
        <f t="shared" si="109"/>
        <v>108.94722222222221</v>
      </c>
      <c r="F170" s="14">
        <f t="shared" si="110"/>
        <v>646.68405054463585</v>
      </c>
      <c r="G170" s="13">
        <f t="shared" si="113"/>
        <v>1488.6533333333352</v>
      </c>
      <c r="H170" s="15">
        <f t="shared" si="113"/>
        <v>134.33333333333334</v>
      </c>
      <c r="I170" s="13">
        <f t="shared" si="113"/>
        <v>3</v>
      </c>
      <c r="J170" s="16">
        <f t="shared" si="113"/>
        <v>266.53333333333336</v>
      </c>
      <c r="K170" s="15">
        <f t="shared" si="113"/>
        <v>1637.3333333333333</v>
      </c>
      <c r="L170" s="14">
        <f t="shared" si="113"/>
        <v>1133</v>
      </c>
      <c r="M170" s="13">
        <f t="shared" si="113"/>
        <v>848.66666666666663</v>
      </c>
    </row>
    <row r="171" spans="1:13" outlineLevel="1" x14ac:dyDescent="0.2">
      <c r="A171" s="20">
        <f t="shared" si="112"/>
        <v>3644</v>
      </c>
      <c r="B171" s="19" t="str">
        <f t="shared" si="112"/>
        <v>TTU</v>
      </c>
      <c r="C171" s="58">
        <f t="shared" si="102"/>
        <v>36881.743489684348</v>
      </c>
      <c r="D171" s="15">
        <f t="shared" si="108"/>
        <v>4674</v>
      </c>
      <c r="E171" s="14">
        <f t="shared" si="109"/>
        <v>3421.3679999999995</v>
      </c>
      <c r="F171" s="14">
        <f t="shared" si="110"/>
        <v>1053.0621563516677</v>
      </c>
      <c r="G171" s="13">
        <f t="shared" si="113"/>
        <v>10128.113333332682</v>
      </c>
      <c r="H171" s="15">
        <f t="shared" si="113"/>
        <v>727.33333333333337</v>
      </c>
      <c r="I171" s="13">
        <f t="shared" si="113"/>
        <v>57.333333333333336</v>
      </c>
      <c r="J171" s="16">
        <f t="shared" si="113"/>
        <v>1111.2</v>
      </c>
      <c r="K171" s="15">
        <f t="shared" si="113"/>
        <v>6485.333333333333</v>
      </c>
      <c r="L171" s="14">
        <f t="shared" si="113"/>
        <v>5278.333333333333</v>
      </c>
      <c r="M171" s="13">
        <f t="shared" si="113"/>
        <v>3945.6666666666665</v>
      </c>
    </row>
    <row r="172" spans="1:13" outlineLevel="1" x14ac:dyDescent="0.2">
      <c r="A172" s="20">
        <f t="shared" si="112"/>
        <v>3541</v>
      </c>
      <c r="B172" s="19" t="str">
        <f t="shared" si="112"/>
        <v>Angelo</v>
      </c>
      <c r="C172" s="58">
        <f t="shared" si="102"/>
        <v>8152.7779243021087</v>
      </c>
      <c r="D172" s="15">
        <f t="shared" si="108"/>
        <v>991.33333333333337</v>
      </c>
      <c r="E172" s="14">
        <f t="shared" si="109"/>
        <v>425.94288888888889</v>
      </c>
      <c r="F172" s="14">
        <f t="shared" si="110"/>
        <v>1015.2850354132148</v>
      </c>
      <c r="G172" s="13">
        <f t="shared" ref="G172:M178" si="114">G214*G$140</f>
        <v>1977.3500000000051</v>
      </c>
      <c r="H172" s="15">
        <f t="shared" si="114"/>
        <v>254.33333333333334</v>
      </c>
      <c r="I172" s="13">
        <f t="shared" si="114"/>
        <v>19.333333333333332</v>
      </c>
      <c r="J172" s="16">
        <f t="shared" si="114"/>
        <v>289.2</v>
      </c>
      <c r="K172" s="15">
        <f t="shared" si="114"/>
        <v>1438.6666666666667</v>
      </c>
      <c r="L172" s="14">
        <f t="shared" si="114"/>
        <v>1033.6666666666667</v>
      </c>
      <c r="M172" s="13">
        <f t="shared" si="114"/>
        <v>707.66666666666663</v>
      </c>
    </row>
    <row r="173" spans="1:13" outlineLevel="1" x14ac:dyDescent="0.2">
      <c r="A173" s="20">
        <f t="shared" si="112"/>
        <v>3646</v>
      </c>
      <c r="B173" s="19" t="str">
        <f t="shared" si="112"/>
        <v>TWU</v>
      </c>
      <c r="C173" s="58">
        <f t="shared" si="102"/>
        <v>12828.998881418664</v>
      </c>
      <c r="D173" s="15">
        <f t="shared" si="108"/>
        <v>1806</v>
      </c>
      <c r="E173" s="14">
        <f t="shared" si="109"/>
        <v>945.74200000000008</v>
      </c>
      <c r="F173" s="14">
        <f t="shared" si="110"/>
        <v>1377.2802147519981</v>
      </c>
      <c r="G173" s="13">
        <f t="shared" si="114"/>
        <v>3452.1766666666658</v>
      </c>
      <c r="H173" s="15">
        <f t="shared" si="114"/>
        <v>569.33333333333337</v>
      </c>
      <c r="I173" s="13">
        <f t="shared" si="114"/>
        <v>31.666666666666668</v>
      </c>
      <c r="J173" s="16">
        <f t="shared" si="114"/>
        <v>498.8</v>
      </c>
      <c r="K173" s="15">
        <f t="shared" si="114"/>
        <v>2196</v>
      </c>
      <c r="L173" s="14">
        <f t="shared" si="114"/>
        <v>1292.3333333333333</v>
      </c>
      <c r="M173" s="13">
        <f t="shared" si="114"/>
        <v>659.66666666666663</v>
      </c>
    </row>
    <row r="174" spans="1:13" outlineLevel="1" x14ac:dyDescent="0.2">
      <c r="A174" s="20">
        <f t="shared" si="112"/>
        <v>3581</v>
      </c>
      <c r="B174" s="19" t="str">
        <f t="shared" si="112"/>
        <v>Lamar</v>
      </c>
      <c r="C174" s="58">
        <f t="shared" si="102"/>
        <v>10776.924902667066</v>
      </c>
      <c r="D174" s="15">
        <f t="shared" si="108"/>
        <v>1335.3333333333333</v>
      </c>
      <c r="E174" s="14">
        <f t="shared" si="109"/>
        <v>467.81177777777776</v>
      </c>
      <c r="F174" s="14">
        <f t="shared" si="110"/>
        <v>917.74645822260493</v>
      </c>
      <c r="G174" s="13">
        <f t="shared" si="114"/>
        <v>2684.9000000000165</v>
      </c>
      <c r="H174" s="15">
        <f t="shared" si="114"/>
        <v>330</v>
      </c>
      <c r="I174" s="13">
        <f t="shared" si="114"/>
        <v>17</v>
      </c>
      <c r="J174" s="16">
        <f t="shared" si="114"/>
        <v>379.4666666666667</v>
      </c>
      <c r="K174" s="15">
        <f t="shared" si="114"/>
        <v>2144.6666666666665</v>
      </c>
      <c r="L174" s="14">
        <f t="shared" si="114"/>
        <v>1489</v>
      </c>
      <c r="M174" s="13">
        <f t="shared" si="114"/>
        <v>1011</v>
      </c>
    </row>
    <row r="175" spans="1:13" outlineLevel="1" x14ac:dyDescent="0.2">
      <c r="A175" s="20">
        <f t="shared" si="112"/>
        <v>3606</v>
      </c>
      <c r="B175" s="19" t="str">
        <f t="shared" si="112"/>
        <v>SHSU</v>
      </c>
      <c r="C175" s="58">
        <f t="shared" si="102"/>
        <v>21680.557156409614</v>
      </c>
      <c r="D175" s="15">
        <f t="shared" si="108"/>
        <v>3077.6666666666665</v>
      </c>
      <c r="E175" s="14">
        <f t="shared" si="109"/>
        <v>1805.5644444444445</v>
      </c>
      <c r="F175" s="14">
        <f t="shared" si="110"/>
        <v>1223.7827119650508</v>
      </c>
      <c r="G175" s="13">
        <f t="shared" si="114"/>
        <v>5837.0766666667887</v>
      </c>
      <c r="H175" s="15">
        <f t="shared" si="114"/>
        <v>167</v>
      </c>
      <c r="I175" s="13">
        <f t="shared" si="114"/>
        <v>61</v>
      </c>
      <c r="J175" s="16">
        <f t="shared" si="114"/>
        <v>885.4666666666667</v>
      </c>
      <c r="K175" s="15">
        <f t="shared" si="114"/>
        <v>3894.3333333333335</v>
      </c>
      <c r="L175" s="14">
        <f t="shared" si="114"/>
        <v>2965.3333333333335</v>
      </c>
      <c r="M175" s="13">
        <f t="shared" si="114"/>
        <v>1763.3333333333333</v>
      </c>
    </row>
    <row r="176" spans="1:13" outlineLevel="1" x14ac:dyDescent="0.2">
      <c r="A176" s="20">
        <f t="shared" si="112"/>
        <v>3615</v>
      </c>
      <c r="B176" s="19" t="str">
        <f t="shared" si="112"/>
        <v>TXST</v>
      </c>
      <c r="C176" s="58">
        <f t="shared" si="102"/>
        <v>38754.300909322017</v>
      </c>
      <c r="D176" s="15">
        <f t="shared" si="108"/>
        <v>5361</v>
      </c>
      <c r="E176" s="14">
        <f t="shared" si="109"/>
        <v>3393.5129999999999</v>
      </c>
      <c r="F176" s="14">
        <f t="shared" si="110"/>
        <v>1170.3445759893198</v>
      </c>
      <c r="G176" s="13">
        <f t="shared" si="114"/>
        <v>10437.309999999357</v>
      </c>
      <c r="H176" s="15">
        <f t="shared" si="114"/>
        <v>488.66666666666669</v>
      </c>
      <c r="I176" s="13">
        <f t="shared" si="114"/>
        <v>66.666666666666671</v>
      </c>
      <c r="J176" s="16">
        <f t="shared" si="114"/>
        <v>1470.1333333333334</v>
      </c>
      <c r="K176" s="15">
        <f t="shared" si="114"/>
        <v>7470.333333333333</v>
      </c>
      <c r="L176" s="14">
        <f t="shared" si="114"/>
        <v>5579</v>
      </c>
      <c r="M176" s="13">
        <f t="shared" si="114"/>
        <v>3317.3333333333335</v>
      </c>
    </row>
    <row r="177" spans="1:14" outlineLevel="1" x14ac:dyDescent="0.2">
      <c r="A177" s="20">
        <f t="shared" si="112"/>
        <v>3625</v>
      </c>
      <c r="B177" s="19" t="str">
        <f t="shared" si="112"/>
        <v>SRSU</v>
      </c>
      <c r="C177" s="58">
        <f t="shared" si="102"/>
        <v>2126.1281504162034</v>
      </c>
      <c r="D177" s="15">
        <f t="shared" si="108"/>
        <v>189.33333333333334</v>
      </c>
      <c r="E177" s="14">
        <f t="shared" si="109"/>
        <v>56.989333333333335</v>
      </c>
      <c r="F177" s="14">
        <f t="shared" si="110"/>
        <v>775.94215041620384</v>
      </c>
      <c r="G177" s="13">
        <f t="shared" si="114"/>
        <v>394.32999999999964</v>
      </c>
      <c r="H177" s="15">
        <f t="shared" si="114"/>
        <v>12.666666666666666</v>
      </c>
      <c r="I177" s="13">
        <f t="shared" si="114"/>
        <v>6.333333333333333</v>
      </c>
      <c r="J177" s="16">
        <f t="shared" si="114"/>
        <v>65.2</v>
      </c>
      <c r="K177" s="15">
        <f t="shared" si="114"/>
        <v>300</v>
      </c>
      <c r="L177" s="14">
        <f t="shared" si="114"/>
        <v>193.66666666666666</v>
      </c>
      <c r="M177" s="13">
        <f t="shared" si="114"/>
        <v>131.66666666666666</v>
      </c>
    </row>
    <row r="178" spans="1:14" outlineLevel="1" x14ac:dyDescent="0.2">
      <c r="A178" s="20">
        <f t="shared" si="112"/>
        <v>20</v>
      </c>
      <c r="B178" s="19" t="str">
        <f t="shared" si="112"/>
        <v>SRRG</v>
      </c>
      <c r="C178" s="58">
        <f t="shared" si="102"/>
        <v>2718.6230567866896</v>
      </c>
      <c r="D178" s="15">
        <f t="shared" si="108"/>
        <v>161.66666666666666</v>
      </c>
      <c r="E178" s="14">
        <f t="shared" si="109"/>
        <v>51.365976618337754</v>
      </c>
      <c r="F178" s="14">
        <f t="shared" si="110"/>
        <v>1829.8204135016854</v>
      </c>
      <c r="G178" s="13">
        <f t="shared" si="114"/>
        <v>279.16999999999979</v>
      </c>
      <c r="H178" s="15">
        <f t="shared" si="114"/>
        <v>6.333333333333333</v>
      </c>
      <c r="I178" s="13">
        <f t="shared" si="114"/>
        <v>5.666666666666667</v>
      </c>
      <c r="J178" s="16">
        <f t="shared" si="114"/>
        <v>57.6</v>
      </c>
      <c r="K178" s="15">
        <f t="shared" si="114"/>
        <v>230</v>
      </c>
      <c r="L178" s="14">
        <f t="shared" si="114"/>
        <v>92.666666666666671</v>
      </c>
      <c r="M178" s="13">
        <f t="shared" si="114"/>
        <v>4.333333333333333</v>
      </c>
    </row>
    <row r="179" spans="1:14" ht="13.5" outlineLevel="1" thickBot="1" x14ac:dyDescent="0.25">
      <c r="A179" s="12"/>
      <c r="B179" s="11" t="s">
        <v>11</v>
      </c>
      <c r="C179" s="57">
        <f t="shared" ref="C179:M179" si="115">SUM(C141:C178)</f>
        <v>642586.17346607405</v>
      </c>
      <c r="D179" s="9">
        <f t="shared" si="115"/>
        <v>84453.499999999985</v>
      </c>
      <c r="E179" s="7">
        <f t="shared" si="115"/>
        <v>49118.168778098283</v>
      </c>
      <c r="F179" s="7">
        <f t="shared" si="115"/>
        <v>51283.484687977412</v>
      </c>
      <c r="G179" s="3">
        <f t="shared" si="115"/>
        <v>172813.15333333181</v>
      </c>
      <c r="H179" s="5">
        <f t="shared" si="115"/>
        <v>13971.999999999998</v>
      </c>
      <c r="I179" s="3">
        <f t="shared" si="115"/>
        <v>1198.3333333333335</v>
      </c>
      <c r="J179" s="6">
        <f t="shared" si="115"/>
        <v>21810.200000000004</v>
      </c>
      <c r="K179" s="5">
        <f t="shared" si="115"/>
        <v>114508.83333333331</v>
      </c>
      <c r="L179" s="4">
        <f t="shared" si="115"/>
        <v>82503.5</v>
      </c>
      <c r="M179" s="3">
        <f t="shared" si="115"/>
        <v>50924.999999999993</v>
      </c>
    </row>
    <row r="180" spans="1:14" ht="13.5" thickBot="1" x14ac:dyDescent="0.25">
      <c r="A180" s="45" t="s">
        <v>29</v>
      </c>
      <c r="B180" s="45"/>
      <c r="C180" s="54"/>
      <c r="D180" s="54"/>
      <c r="E180" s="54"/>
      <c r="F180" s="56"/>
      <c r="H180" s="56"/>
    </row>
    <row r="181" spans="1:14" ht="12.75" customHeight="1" outlineLevel="1" x14ac:dyDescent="0.2">
      <c r="A181" s="177" t="s">
        <v>24</v>
      </c>
      <c r="B181" s="179" t="s">
        <v>23</v>
      </c>
      <c r="C181" s="181"/>
      <c r="D181" s="210" t="s">
        <v>28</v>
      </c>
      <c r="E181" s="205" t="s">
        <v>21</v>
      </c>
      <c r="F181" s="179" t="s">
        <v>20</v>
      </c>
      <c r="G181" s="201" t="s">
        <v>19</v>
      </c>
      <c r="H181" s="203" t="s">
        <v>18</v>
      </c>
      <c r="I181" s="195" t="s">
        <v>17</v>
      </c>
      <c r="J181" s="197" t="s">
        <v>16</v>
      </c>
      <c r="K181" s="199" t="s">
        <v>15</v>
      </c>
      <c r="L181" s="200"/>
      <c r="M181" s="200"/>
    </row>
    <row r="182" spans="1:14" s="41" customFormat="1" ht="41.25" customHeight="1" outlineLevel="1" thickBot="1" x14ac:dyDescent="0.25">
      <c r="A182" s="178"/>
      <c r="B182" s="180"/>
      <c r="C182" s="182"/>
      <c r="D182" s="211"/>
      <c r="E182" s="206"/>
      <c r="F182" s="180"/>
      <c r="G182" s="202"/>
      <c r="H182" s="204"/>
      <c r="I182" s="196"/>
      <c r="J182" s="198"/>
      <c r="K182" s="44" t="s">
        <v>14</v>
      </c>
      <c r="L182" s="43" t="s">
        <v>13</v>
      </c>
      <c r="M182" s="42" t="s">
        <v>12</v>
      </c>
    </row>
    <row r="183" spans="1:14" outlineLevel="1" x14ac:dyDescent="0.2">
      <c r="A183" s="20">
        <f t="shared" ref="A183:B202" si="116">A141</f>
        <v>3656</v>
      </c>
      <c r="B183" s="19" t="str">
        <f t="shared" si="116"/>
        <v>UTA</v>
      </c>
      <c r="C183" s="38"/>
      <c r="D183" s="33">
        <f t="shared" ref="D183:M183" si="117">AVERAGE(D225,D267,D309)</f>
        <v>5018</v>
      </c>
      <c r="E183" s="37">
        <f t="shared" si="117"/>
        <v>0.51833333333333342</v>
      </c>
      <c r="F183" s="32">
        <f t="shared" si="117"/>
        <v>16950.533333333333</v>
      </c>
      <c r="G183" s="31">
        <f t="shared" si="117"/>
        <v>10418.553333333379</v>
      </c>
      <c r="H183" s="36">
        <f t="shared" si="117"/>
        <v>1531.3333333333333</v>
      </c>
      <c r="I183" s="35">
        <f t="shared" si="117"/>
        <v>35</v>
      </c>
      <c r="J183" s="34">
        <f t="shared" si="117"/>
        <v>3116</v>
      </c>
      <c r="K183" s="33">
        <f t="shared" si="117"/>
        <v>6836.333333333333</v>
      </c>
      <c r="L183" s="32">
        <f t="shared" si="117"/>
        <v>3833.6666666666665</v>
      </c>
      <c r="M183" s="31">
        <f t="shared" si="117"/>
        <v>1783.6666666666667</v>
      </c>
      <c r="N183" s="55"/>
    </row>
    <row r="184" spans="1:14" outlineLevel="1" x14ac:dyDescent="0.2">
      <c r="A184" s="20">
        <f t="shared" si="116"/>
        <v>3658</v>
      </c>
      <c r="B184" s="19" t="str">
        <f t="shared" si="116"/>
        <v>UT</v>
      </c>
      <c r="C184" s="18"/>
      <c r="D184" s="15">
        <f t="shared" ref="D184:M184" si="118">AVERAGE(D226,D268,D310)</f>
        <v>8946.3333333333339</v>
      </c>
      <c r="E184" s="21">
        <f t="shared" si="118"/>
        <v>0.82900000000000007</v>
      </c>
      <c r="F184" s="14">
        <f t="shared" si="118"/>
        <v>33762.688888888893</v>
      </c>
      <c r="G184" s="13">
        <f t="shared" si="118"/>
        <v>19398.350000000519</v>
      </c>
      <c r="H184" s="15">
        <f t="shared" si="118"/>
        <v>1876.3333333333333</v>
      </c>
      <c r="I184" s="13">
        <f t="shared" si="118"/>
        <v>66</v>
      </c>
      <c r="J184" s="16">
        <f t="shared" si="118"/>
        <v>3470.3333333333335</v>
      </c>
      <c r="K184" s="15">
        <f t="shared" si="118"/>
        <v>9598.3333333333339</v>
      </c>
      <c r="L184" s="14">
        <f t="shared" si="118"/>
        <v>9005.6666666666661</v>
      </c>
      <c r="M184" s="13">
        <f t="shared" si="118"/>
        <v>7040.333333333333</v>
      </c>
      <c r="N184" s="55"/>
    </row>
    <row r="185" spans="1:14" outlineLevel="1" x14ac:dyDescent="0.2">
      <c r="A185" s="20">
        <f t="shared" si="116"/>
        <v>9741</v>
      </c>
      <c r="B185" s="19" t="str">
        <f t="shared" si="116"/>
        <v>UTD</v>
      </c>
      <c r="C185" s="18"/>
      <c r="D185" s="15">
        <f t="shared" ref="D185:M185" si="119">AVERAGE(D227,D269,D311)</f>
        <v>2393</v>
      </c>
      <c r="E185" s="21">
        <f t="shared" si="119"/>
        <v>0.70299999999999996</v>
      </c>
      <c r="F185" s="14">
        <f t="shared" si="119"/>
        <v>8919.1999999999989</v>
      </c>
      <c r="G185" s="13">
        <f t="shared" si="119"/>
        <v>5101.2033333334393</v>
      </c>
      <c r="H185" s="15">
        <f t="shared" si="119"/>
        <v>421.66666666666669</v>
      </c>
      <c r="I185" s="13">
        <f t="shared" si="119"/>
        <v>32</v>
      </c>
      <c r="J185" s="16">
        <f t="shared" si="119"/>
        <v>1319.6666666666667</v>
      </c>
      <c r="K185" s="15">
        <f t="shared" si="119"/>
        <v>3315</v>
      </c>
      <c r="L185" s="14">
        <f t="shared" si="119"/>
        <v>2134.3333333333335</v>
      </c>
      <c r="M185" s="13">
        <f t="shared" si="119"/>
        <v>1021.3333333333334</v>
      </c>
      <c r="N185" s="55"/>
    </row>
    <row r="186" spans="1:14" outlineLevel="1" x14ac:dyDescent="0.2">
      <c r="A186" s="20">
        <f t="shared" si="116"/>
        <v>3661</v>
      </c>
      <c r="B186" s="19" t="str">
        <f t="shared" si="116"/>
        <v>UTEP</v>
      </c>
      <c r="C186" s="18"/>
      <c r="D186" s="15">
        <f t="shared" ref="D186:M186" si="120">AVERAGE(D228,D270,D312)</f>
        <v>3057</v>
      </c>
      <c r="E186" s="21">
        <f t="shared" si="120"/>
        <v>0.38999999999999996</v>
      </c>
      <c r="F186" s="14">
        <f t="shared" si="120"/>
        <v>13366.333333333334</v>
      </c>
      <c r="G186" s="13">
        <f t="shared" si="120"/>
        <v>6298.0766666668133</v>
      </c>
      <c r="H186" s="15">
        <f t="shared" si="120"/>
        <v>655</v>
      </c>
      <c r="I186" s="13">
        <f t="shared" si="120"/>
        <v>90</v>
      </c>
      <c r="J186" s="16">
        <f t="shared" si="120"/>
        <v>2464.3333333333335</v>
      </c>
      <c r="K186" s="15">
        <f t="shared" si="120"/>
        <v>4362.666666666667</v>
      </c>
      <c r="L186" s="14">
        <f t="shared" si="120"/>
        <v>3358</v>
      </c>
      <c r="M186" s="13">
        <f t="shared" si="120"/>
        <v>1956</v>
      </c>
      <c r="N186" s="55"/>
    </row>
    <row r="187" spans="1:14" outlineLevel="1" x14ac:dyDescent="0.2">
      <c r="A187" s="20">
        <f t="shared" si="116"/>
        <v>3599</v>
      </c>
      <c r="B187" s="19" t="str">
        <f t="shared" si="116"/>
        <v>UTPA</v>
      </c>
      <c r="C187" s="18"/>
      <c r="D187" s="15">
        <f t="shared" ref="D187:M187" si="121">AVERAGE(D229,D271,D313)</f>
        <v>2580</v>
      </c>
      <c r="E187" s="21">
        <f t="shared" si="121"/>
        <v>0.43099999999999999</v>
      </c>
      <c r="F187" s="14">
        <f t="shared" si="121"/>
        <v>12589.977777777778</v>
      </c>
      <c r="G187" s="13">
        <f t="shared" si="121"/>
        <v>5134.1666666667797</v>
      </c>
      <c r="H187" s="15">
        <f t="shared" si="121"/>
        <v>520.33333333333337</v>
      </c>
      <c r="I187" s="13">
        <f t="shared" si="121"/>
        <v>28</v>
      </c>
      <c r="J187" s="16">
        <f t="shared" si="121"/>
        <v>2338.3333333333335</v>
      </c>
      <c r="K187" s="15">
        <f t="shared" si="121"/>
        <v>4075.3333333333335</v>
      </c>
      <c r="L187" s="14">
        <f t="shared" si="121"/>
        <v>3096</v>
      </c>
      <c r="M187" s="13">
        <f t="shared" si="121"/>
        <v>1939.3333333333333</v>
      </c>
      <c r="N187" s="55"/>
    </row>
    <row r="188" spans="1:14" outlineLevel="1" x14ac:dyDescent="0.2">
      <c r="A188" s="20">
        <f t="shared" si="116"/>
        <v>30646</v>
      </c>
      <c r="B188" s="19" t="str">
        <f t="shared" si="116"/>
        <v>UTB</v>
      </c>
      <c r="C188" s="18"/>
      <c r="D188" s="15">
        <f t="shared" ref="D188:M188" si="122">AVERAGE(D230,D272,D314)</f>
        <v>1092</v>
      </c>
      <c r="E188" s="21">
        <f t="shared" si="122"/>
        <v>0.57524809937089749</v>
      </c>
      <c r="F188" s="14">
        <f t="shared" si="122"/>
        <v>3168.7777777777778</v>
      </c>
      <c r="G188" s="13">
        <f t="shared" si="122"/>
        <v>2097.7933333333553</v>
      </c>
      <c r="H188" s="15">
        <f t="shared" si="122"/>
        <v>124.33333333333333</v>
      </c>
      <c r="I188" s="13">
        <f t="shared" si="122"/>
        <v>18.333333333333332</v>
      </c>
      <c r="J188" s="16">
        <f t="shared" si="122"/>
        <v>936.66666666666663</v>
      </c>
      <c r="K188" s="15">
        <f t="shared" si="122"/>
        <v>1326.3333333333333</v>
      </c>
      <c r="L188" s="14">
        <f t="shared" si="122"/>
        <v>556.33333333333337</v>
      </c>
      <c r="M188" s="13">
        <f t="shared" si="122"/>
        <v>100.66666666666667</v>
      </c>
      <c r="N188" s="55"/>
    </row>
    <row r="189" spans="1:14" outlineLevel="1" x14ac:dyDescent="0.2">
      <c r="A189" s="20">
        <f t="shared" si="116"/>
        <v>9930</v>
      </c>
      <c r="B189" s="19" t="str">
        <f t="shared" si="116"/>
        <v>UTPB</v>
      </c>
      <c r="C189" s="18"/>
      <c r="D189" s="15">
        <f t="shared" ref="D189:M189" si="123">AVERAGE(D231,D273,D315)</f>
        <v>533.33333333333337</v>
      </c>
      <c r="E189" s="21">
        <f t="shared" si="123"/>
        <v>0.44400000000000001</v>
      </c>
      <c r="F189" s="14">
        <f t="shared" si="123"/>
        <v>2306.2888888888888</v>
      </c>
      <c r="G189" s="13">
        <f t="shared" si="123"/>
        <v>1001.5166666666704</v>
      </c>
      <c r="H189" s="15">
        <f t="shared" si="123"/>
        <v>41.333333333333336</v>
      </c>
      <c r="I189" s="13">
        <f t="shared" si="123"/>
        <v>10</v>
      </c>
      <c r="J189" s="16">
        <f t="shared" si="123"/>
        <v>399</v>
      </c>
      <c r="K189" s="15">
        <f t="shared" si="123"/>
        <v>785.66666666666663</v>
      </c>
      <c r="L189" s="14">
        <f t="shared" si="123"/>
        <v>491.66666666666669</v>
      </c>
      <c r="M189" s="13">
        <f t="shared" si="123"/>
        <v>194.33333333333334</v>
      </c>
      <c r="N189" s="55"/>
    </row>
    <row r="190" spans="1:14" outlineLevel="1" x14ac:dyDescent="0.2">
      <c r="A190" s="20">
        <f t="shared" si="116"/>
        <v>10115</v>
      </c>
      <c r="B190" s="19" t="str">
        <f t="shared" si="116"/>
        <v>UTSA</v>
      </c>
      <c r="C190" s="18"/>
      <c r="D190" s="15">
        <f t="shared" ref="D190:M190" si="124">AVERAGE(D232,D274,D316)</f>
        <v>4119.666666666667</v>
      </c>
      <c r="E190" s="21">
        <f t="shared" si="124"/>
        <v>0.42166666666666663</v>
      </c>
      <c r="F190" s="14">
        <f t="shared" si="124"/>
        <v>20353.044444444444</v>
      </c>
      <c r="G190" s="13">
        <f t="shared" si="124"/>
        <v>8414.213333333224</v>
      </c>
      <c r="H190" s="15">
        <f t="shared" si="124"/>
        <v>392</v>
      </c>
      <c r="I190" s="13">
        <f t="shared" si="124"/>
        <v>49.666666666666664</v>
      </c>
      <c r="J190" s="16">
        <f t="shared" si="124"/>
        <v>3123.6666666666665</v>
      </c>
      <c r="K190" s="15">
        <f t="shared" si="124"/>
        <v>6809.666666666667</v>
      </c>
      <c r="L190" s="14">
        <f t="shared" si="124"/>
        <v>4458.666666666667</v>
      </c>
      <c r="M190" s="13">
        <f t="shared" si="124"/>
        <v>2615.6666666666665</v>
      </c>
      <c r="N190" s="55"/>
    </row>
    <row r="191" spans="1:14" outlineLevel="1" x14ac:dyDescent="0.2">
      <c r="A191" s="20">
        <f t="shared" si="116"/>
        <v>11163</v>
      </c>
      <c r="B191" s="19" t="str">
        <f t="shared" si="116"/>
        <v>UTT</v>
      </c>
      <c r="C191" s="18"/>
      <c r="D191" s="15">
        <f t="shared" ref="D191:M191" si="125">AVERAGE(D233,D275,D317)</f>
        <v>1190</v>
      </c>
      <c r="E191" s="21">
        <f t="shared" si="125"/>
        <v>0.51566666666666672</v>
      </c>
      <c r="F191" s="14">
        <f t="shared" si="125"/>
        <v>4067.577777777778</v>
      </c>
      <c r="G191" s="13">
        <f t="shared" si="125"/>
        <v>2362.6600000000103</v>
      </c>
      <c r="H191" s="15">
        <f t="shared" si="125"/>
        <v>376.66666666666669</v>
      </c>
      <c r="I191" s="13">
        <f t="shared" si="125"/>
        <v>14</v>
      </c>
      <c r="J191" s="16">
        <f t="shared" si="125"/>
        <v>942.33333333333337</v>
      </c>
      <c r="K191" s="15">
        <f t="shared" si="125"/>
        <v>1436.3333333333333</v>
      </c>
      <c r="L191" s="14">
        <f t="shared" si="125"/>
        <v>890</v>
      </c>
      <c r="M191" s="13">
        <f t="shared" si="125"/>
        <v>387.33333333333331</v>
      </c>
      <c r="N191" s="55"/>
    </row>
    <row r="192" spans="1:14" outlineLevel="1" x14ac:dyDescent="0.2">
      <c r="A192" s="20">
        <f t="shared" si="116"/>
        <v>3632</v>
      </c>
      <c r="B192" s="19" t="str">
        <f t="shared" si="116"/>
        <v>TAMU</v>
      </c>
      <c r="C192" s="18"/>
      <c r="D192" s="15">
        <f t="shared" ref="D192:M192" si="126">AVERAGE(D234,D276,D318)</f>
        <v>8739.6666666666661</v>
      </c>
      <c r="E192" s="21">
        <f t="shared" si="126"/>
        <v>0.84066666666666656</v>
      </c>
      <c r="F192" s="14">
        <f t="shared" si="126"/>
        <v>34623.666666666664</v>
      </c>
      <c r="G192" s="13">
        <f t="shared" si="126"/>
        <v>20104.8166666668</v>
      </c>
      <c r="H192" s="15">
        <f t="shared" si="126"/>
        <v>1763</v>
      </c>
      <c r="I192" s="13">
        <f t="shared" si="126"/>
        <v>126</v>
      </c>
      <c r="J192" s="16">
        <f t="shared" si="126"/>
        <v>3724</v>
      </c>
      <c r="K192" s="15">
        <f t="shared" si="126"/>
        <v>10060.666666666666</v>
      </c>
      <c r="L192" s="14">
        <f t="shared" si="126"/>
        <v>8907.3333333333339</v>
      </c>
      <c r="M192" s="13">
        <f t="shared" si="126"/>
        <v>6897.666666666667</v>
      </c>
      <c r="N192" s="55"/>
    </row>
    <row r="193" spans="1:14" outlineLevel="1" x14ac:dyDescent="0.2">
      <c r="A193" s="20">
        <f t="shared" si="116"/>
        <v>10298</v>
      </c>
      <c r="B193" s="19" t="str">
        <f t="shared" si="116"/>
        <v>TAMUG</v>
      </c>
      <c r="C193" s="18"/>
      <c r="D193" s="15">
        <f t="shared" ref="D193:M193" si="127">AVERAGE(D235,D277,D319)</f>
        <v>275.33333333333331</v>
      </c>
      <c r="E193" s="21">
        <f t="shared" si="127"/>
        <v>0.62733333333333341</v>
      </c>
      <c r="F193" s="14">
        <f t="shared" si="127"/>
        <v>1678.9333333333334</v>
      </c>
      <c r="G193" s="13">
        <f t="shared" si="127"/>
        <v>704.02666666666448</v>
      </c>
      <c r="H193" s="15">
        <f t="shared" si="127"/>
        <v>37.333333333333336</v>
      </c>
      <c r="I193" s="13">
        <f t="shared" si="127"/>
        <v>0</v>
      </c>
      <c r="J193" s="16">
        <f t="shared" si="127"/>
        <v>158</v>
      </c>
      <c r="K193" s="15">
        <f t="shared" si="127"/>
        <v>592.33333333333337</v>
      </c>
      <c r="L193" s="14">
        <f t="shared" si="127"/>
        <v>318</v>
      </c>
      <c r="M193" s="13">
        <f t="shared" si="127"/>
        <v>246</v>
      </c>
      <c r="N193" s="55"/>
    </row>
    <row r="194" spans="1:14" outlineLevel="1" x14ac:dyDescent="0.2">
      <c r="A194" s="20">
        <f t="shared" si="116"/>
        <v>3630</v>
      </c>
      <c r="B194" s="19" t="str">
        <f t="shared" si="116"/>
        <v>Prairie View</v>
      </c>
      <c r="C194" s="18"/>
      <c r="D194" s="15">
        <f t="shared" ref="D194:M194" si="128">AVERAGE(D236,D278,D320)</f>
        <v>936.33333333333337</v>
      </c>
      <c r="E194" s="21">
        <f t="shared" si="128"/>
        <v>0.37166666666666665</v>
      </c>
      <c r="F194" s="14">
        <f t="shared" si="128"/>
        <v>5917.2888888888883</v>
      </c>
      <c r="G194" s="13">
        <f t="shared" si="128"/>
        <v>2072.9000000000092</v>
      </c>
      <c r="H194" s="15">
        <f t="shared" si="128"/>
        <v>315.66666666666669</v>
      </c>
      <c r="I194" s="13">
        <f t="shared" si="128"/>
        <v>9.6666666666666661</v>
      </c>
      <c r="J194" s="16">
        <f t="shared" si="128"/>
        <v>802.66666666666663</v>
      </c>
      <c r="K194" s="15">
        <f t="shared" si="128"/>
        <v>1668</v>
      </c>
      <c r="L194" s="14">
        <f t="shared" si="128"/>
        <v>1181</v>
      </c>
      <c r="M194" s="13">
        <f t="shared" si="128"/>
        <v>905.33333333333337</v>
      </c>
      <c r="N194" s="55"/>
    </row>
    <row r="195" spans="1:14" outlineLevel="1" x14ac:dyDescent="0.2">
      <c r="A195" s="20">
        <f t="shared" si="116"/>
        <v>3631</v>
      </c>
      <c r="B195" s="19" t="str">
        <f t="shared" si="116"/>
        <v>Tarleton</v>
      </c>
      <c r="C195" s="18"/>
      <c r="D195" s="15">
        <f t="shared" ref="D195:M195" si="129">AVERAGE(D237,D279,D321)</f>
        <v>1545.3333333333333</v>
      </c>
      <c r="E195" s="21">
        <f t="shared" si="129"/>
        <v>0.47800000000000004</v>
      </c>
      <c r="F195" s="14">
        <f t="shared" si="129"/>
        <v>6292.1333333333323</v>
      </c>
      <c r="G195" s="13">
        <f t="shared" si="129"/>
        <v>3122.5433333333599</v>
      </c>
      <c r="H195" s="15">
        <f t="shared" si="129"/>
        <v>203</v>
      </c>
      <c r="I195" s="13">
        <f t="shared" si="129"/>
        <v>47.666666666666664</v>
      </c>
      <c r="J195" s="16">
        <f t="shared" si="129"/>
        <v>1195</v>
      </c>
      <c r="K195" s="15">
        <f t="shared" si="129"/>
        <v>2154.3333333333335</v>
      </c>
      <c r="L195" s="14">
        <f t="shared" si="129"/>
        <v>1328.6666666666667</v>
      </c>
      <c r="M195" s="13">
        <f t="shared" si="129"/>
        <v>862.66666666666663</v>
      </c>
      <c r="N195" s="55"/>
    </row>
    <row r="196" spans="1:14" outlineLevel="1" x14ac:dyDescent="0.2">
      <c r="A196" s="27">
        <f t="shared" si="116"/>
        <v>103631</v>
      </c>
      <c r="B196" s="19" t="str">
        <f t="shared" si="116"/>
        <v>TAMUCT</v>
      </c>
      <c r="C196" s="18"/>
      <c r="D196" s="15">
        <f t="shared" ref="D196:M196" si="130">AVERAGE(D238,D280,D322)</f>
        <v>460.33333333333331</v>
      </c>
      <c r="E196" s="21">
        <f t="shared" si="130"/>
        <v>0.47800000000000004</v>
      </c>
      <c r="F196" s="14">
        <f t="shared" si="130"/>
        <v>681.08888888888885</v>
      </c>
      <c r="G196" s="13">
        <f t="shared" si="130"/>
        <v>853.61666666666588</v>
      </c>
      <c r="H196" s="15">
        <f t="shared" si="130"/>
        <v>40.666666666666664</v>
      </c>
      <c r="I196" s="13">
        <f t="shared" si="130"/>
        <v>0</v>
      </c>
      <c r="J196" s="16">
        <f t="shared" si="130"/>
        <v>327</v>
      </c>
      <c r="K196" s="15">
        <f t="shared" si="130"/>
        <v>495</v>
      </c>
      <c r="L196" s="14">
        <f t="shared" si="130"/>
        <v>133</v>
      </c>
      <c r="M196" s="13">
        <f t="shared" si="130"/>
        <v>34</v>
      </c>
      <c r="N196" s="55"/>
    </row>
    <row r="197" spans="1:14" outlineLevel="1" x14ac:dyDescent="0.2">
      <c r="A197" s="20">
        <f t="shared" si="116"/>
        <v>11161</v>
      </c>
      <c r="B197" s="19" t="str">
        <f t="shared" si="116"/>
        <v>TAMUCC</v>
      </c>
      <c r="C197" s="18"/>
      <c r="D197" s="15">
        <f t="shared" ref="D197:M197" si="131">AVERAGE(D239,D281,D323)</f>
        <v>1388.3333333333333</v>
      </c>
      <c r="E197" s="21">
        <f t="shared" si="131"/>
        <v>0.50800000000000001</v>
      </c>
      <c r="F197" s="14">
        <f t="shared" si="131"/>
        <v>6494.666666666667</v>
      </c>
      <c r="G197" s="13">
        <f t="shared" si="131"/>
        <v>2804.2000000000139</v>
      </c>
      <c r="H197" s="15">
        <f t="shared" si="131"/>
        <v>266.33333333333331</v>
      </c>
      <c r="I197" s="13">
        <f t="shared" si="131"/>
        <v>25.666666666666668</v>
      </c>
      <c r="J197" s="16">
        <f t="shared" si="131"/>
        <v>1080</v>
      </c>
      <c r="K197" s="15">
        <f t="shared" si="131"/>
        <v>2054</v>
      </c>
      <c r="L197" s="14">
        <f t="shared" si="131"/>
        <v>1468</v>
      </c>
      <c r="M197" s="13">
        <f t="shared" si="131"/>
        <v>878.33333333333337</v>
      </c>
      <c r="N197" s="55"/>
    </row>
    <row r="198" spans="1:14" outlineLevel="1" x14ac:dyDescent="0.2">
      <c r="A198" s="20">
        <f t="shared" si="116"/>
        <v>3639</v>
      </c>
      <c r="B198" s="19" t="str">
        <f t="shared" si="116"/>
        <v>TAMUK</v>
      </c>
      <c r="C198" s="18"/>
      <c r="D198" s="15">
        <f t="shared" ref="D198:M198" si="132">AVERAGE(D240,D282,D324)</f>
        <v>761.66666666666663</v>
      </c>
      <c r="E198" s="21">
        <f t="shared" si="132"/>
        <v>0.40233333333333338</v>
      </c>
      <c r="F198" s="14">
        <f t="shared" si="132"/>
        <v>4260</v>
      </c>
      <c r="G198" s="13">
        <f t="shared" si="132"/>
        <v>1763.4533333333395</v>
      </c>
      <c r="H198" s="15">
        <f t="shared" si="132"/>
        <v>260</v>
      </c>
      <c r="I198" s="13">
        <f t="shared" si="132"/>
        <v>16.666666666666668</v>
      </c>
      <c r="J198" s="16">
        <f t="shared" si="132"/>
        <v>648.33333333333337</v>
      </c>
      <c r="K198" s="15">
        <f t="shared" si="132"/>
        <v>1227.3333333333333</v>
      </c>
      <c r="L198" s="14">
        <f t="shared" si="132"/>
        <v>859.66666666666663</v>
      </c>
      <c r="M198" s="13">
        <f t="shared" si="132"/>
        <v>558.66666666666663</v>
      </c>
      <c r="N198" s="55"/>
    </row>
    <row r="199" spans="1:14" outlineLevel="1" x14ac:dyDescent="0.2">
      <c r="A199" s="27">
        <f t="shared" si="116"/>
        <v>103639</v>
      </c>
      <c r="B199" s="19" t="str">
        <f t="shared" si="116"/>
        <v>TAMUSA</v>
      </c>
      <c r="C199" s="18"/>
      <c r="D199" s="15">
        <f t="shared" ref="D199:M199" si="133">AVERAGE(D241,D283,D325)</f>
        <v>587.66666666666663</v>
      </c>
      <c r="E199" s="21">
        <f t="shared" si="133"/>
        <v>0.40233333333333338</v>
      </c>
      <c r="F199" s="14">
        <f t="shared" si="133"/>
        <v>1412.711111111111</v>
      </c>
      <c r="G199" s="13">
        <f t="shared" si="133"/>
        <v>1026.0133333333379</v>
      </c>
      <c r="H199" s="15">
        <f t="shared" si="133"/>
        <v>5</v>
      </c>
      <c r="I199" s="13">
        <f t="shared" si="133"/>
        <v>2</v>
      </c>
      <c r="J199" s="16">
        <f t="shared" si="133"/>
        <v>490.33333333333331</v>
      </c>
      <c r="K199" s="15">
        <f t="shared" si="133"/>
        <v>729.66666666666663</v>
      </c>
      <c r="L199" s="14">
        <f t="shared" si="133"/>
        <v>77.333333333333329</v>
      </c>
      <c r="M199" s="13">
        <f t="shared" si="133"/>
        <v>2.6666666666666665</v>
      </c>
      <c r="N199" s="55"/>
    </row>
    <row r="200" spans="1:14" outlineLevel="1" x14ac:dyDescent="0.2">
      <c r="A200" s="20">
        <f t="shared" si="116"/>
        <v>9651</v>
      </c>
      <c r="B200" s="19" t="str">
        <f t="shared" si="116"/>
        <v>TAMI</v>
      </c>
      <c r="C200" s="18"/>
      <c r="D200" s="15">
        <f t="shared" ref="D200:M200" si="134">AVERAGE(D242,D284,D326)</f>
        <v>789.66666666666663</v>
      </c>
      <c r="E200" s="21">
        <f t="shared" si="134"/>
        <v>0.47333333333333333</v>
      </c>
      <c r="F200" s="14">
        <f t="shared" si="134"/>
        <v>4086</v>
      </c>
      <c r="G200" s="13">
        <f t="shared" si="134"/>
        <v>1458.4966666666717</v>
      </c>
      <c r="H200" s="15">
        <f t="shared" si="134"/>
        <v>115.66666666666667</v>
      </c>
      <c r="I200" s="13">
        <f t="shared" si="134"/>
        <v>22.333333333333332</v>
      </c>
      <c r="J200" s="16">
        <f t="shared" si="134"/>
        <v>712.66666666666663</v>
      </c>
      <c r="K200" s="15">
        <f t="shared" si="134"/>
        <v>1406.6666666666667</v>
      </c>
      <c r="L200" s="14">
        <f t="shared" si="134"/>
        <v>1015.6666666666666</v>
      </c>
      <c r="M200" s="13">
        <f t="shared" si="134"/>
        <v>473.66666666666669</v>
      </c>
      <c r="N200" s="55"/>
    </row>
    <row r="201" spans="1:14" outlineLevel="1" x14ac:dyDescent="0.2">
      <c r="A201" s="20">
        <f t="shared" si="116"/>
        <v>3665</v>
      </c>
      <c r="B201" s="19" t="str">
        <f t="shared" si="116"/>
        <v>WTAMU</v>
      </c>
      <c r="C201" s="18"/>
      <c r="D201" s="15">
        <f t="shared" ref="D201:M201" si="135">AVERAGE(D243,D285,D327)</f>
        <v>1255.6666666666667</v>
      </c>
      <c r="E201" s="21">
        <f t="shared" si="135"/>
        <v>0.47066666666666662</v>
      </c>
      <c r="F201" s="14">
        <f t="shared" si="135"/>
        <v>5415.2222222222226</v>
      </c>
      <c r="G201" s="13">
        <f t="shared" si="135"/>
        <v>2503.5766666666836</v>
      </c>
      <c r="H201" s="15">
        <f t="shared" si="135"/>
        <v>191.66666666666666</v>
      </c>
      <c r="I201" s="13">
        <f t="shared" si="135"/>
        <v>60.666666666666664</v>
      </c>
      <c r="J201" s="16">
        <f t="shared" si="135"/>
        <v>889.33333333333337</v>
      </c>
      <c r="K201" s="15">
        <f t="shared" si="135"/>
        <v>1791.6666666666667</v>
      </c>
      <c r="L201" s="14">
        <f t="shared" si="135"/>
        <v>1212.6666666666667</v>
      </c>
      <c r="M201" s="13">
        <f t="shared" si="135"/>
        <v>661.33333333333337</v>
      </c>
      <c r="N201" s="55"/>
    </row>
    <row r="202" spans="1:14" outlineLevel="1" x14ac:dyDescent="0.2">
      <c r="A202" s="20">
        <f t="shared" si="116"/>
        <v>3565</v>
      </c>
      <c r="B202" s="19" t="str">
        <f t="shared" si="116"/>
        <v>TAMUC</v>
      </c>
      <c r="C202" s="18"/>
      <c r="D202" s="15">
        <f t="shared" ref="D202:M202" si="136">AVERAGE(D244,D286,D328)</f>
        <v>1324.3333333333333</v>
      </c>
      <c r="E202" s="21">
        <f t="shared" si="136"/>
        <v>0.44</v>
      </c>
      <c r="F202" s="14">
        <f t="shared" si="136"/>
        <v>4696.9777777777772</v>
      </c>
      <c r="G202" s="13">
        <f t="shared" si="136"/>
        <v>2501.8266666666914</v>
      </c>
      <c r="H202" s="15">
        <f t="shared" si="136"/>
        <v>73</v>
      </c>
      <c r="I202" s="13">
        <f t="shared" si="136"/>
        <v>74.333333333333329</v>
      </c>
      <c r="J202" s="16">
        <f t="shared" si="136"/>
        <v>1019.3333333333334</v>
      </c>
      <c r="K202" s="15">
        <f t="shared" si="136"/>
        <v>1893</v>
      </c>
      <c r="L202" s="14">
        <f t="shared" si="136"/>
        <v>1137.3333333333333</v>
      </c>
      <c r="M202" s="13">
        <f t="shared" si="136"/>
        <v>452.33333333333331</v>
      </c>
      <c r="N202" s="55"/>
    </row>
    <row r="203" spans="1:14" outlineLevel="1" x14ac:dyDescent="0.2">
      <c r="A203" s="20">
        <f t="shared" ref="A203:B220" si="137">A161</f>
        <v>29269</v>
      </c>
      <c r="B203" s="19" t="str">
        <f t="shared" si="137"/>
        <v>TAMUT</v>
      </c>
      <c r="C203" s="18"/>
      <c r="D203" s="15">
        <f t="shared" ref="D203:M203" si="138">AVERAGE(D245,D287,D329)</f>
        <v>345.66666666666669</v>
      </c>
      <c r="E203" s="21">
        <f t="shared" si="138"/>
        <v>0.54202583186163211</v>
      </c>
      <c r="F203" s="14">
        <f t="shared" si="138"/>
        <v>891.66666666666663</v>
      </c>
      <c r="G203" s="13">
        <f t="shared" si="138"/>
        <v>619.90999999999826</v>
      </c>
      <c r="H203" s="15">
        <f t="shared" si="138"/>
        <v>41.666666666666664</v>
      </c>
      <c r="I203" s="13">
        <f t="shared" si="138"/>
        <v>19.333333333333332</v>
      </c>
      <c r="J203" s="16">
        <f t="shared" si="138"/>
        <v>239</v>
      </c>
      <c r="K203" s="15">
        <f t="shared" si="138"/>
        <v>432.66666666666669</v>
      </c>
      <c r="L203" s="14">
        <f t="shared" si="138"/>
        <v>181</v>
      </c>
      <c r="M203" s="13">
        <f t="shared" si="138"/>
        <v>0.66666666666666663</v>
      </c>
      <c r="N203" s="55"/>
    </row>
    <row r="204" spans="1:14" outlineLevel="1" x14ac:dyDescent="0.2">
      <c r="A204" s="20">
        <f t="shared" si="137"/>
        <v>3652</v>
      </c>
      <c r="B204" s="19" t="str">
        <f t="shared" si="137"/>
        <v>UH</v>
      </c>
      <c r="C204" s="18"/>
      <c r="D204" s="15">
        <f t="shared" ref="D204:M204" si="139">AVERAGE(D246,D288,D330)</f>
        <v>5098.666666666667</v>
      </c>
      <c r="E204" s="21">
        <f t="shared" si="139"/>
        <v>0.53633333333333333</v>
      </c>
      <c r="F204" s="14">
        <f t="shared" si="139"/>
        <v>23797.68888888889</v>
      </c>
      <c r="G204" s="13">
        <f t="shared" si="139"/>
        <v>10580.246666665944</v>
      </c>
      <c r="H204" s="15">
        <f t="shared" si="139"/>
        <v>737</v>
      </c>
      <c r="I204" s="13">
        <f t="shared" si="139"/>
        <v>62.666666666666664</v>
      </c>
      <c r="J204" s="16">
        <f t="shared" si="139"/>
        <v>3373</v>
      </c>
      <c r="K204" s="15">
        <f t="shared" si="139"/>
        <v>7602.333333333333</v>
      </c>
      <c r="L204" s="14">
        <f t="shared" si="139"/>
        <v>5690.333333333333</v>
      </c>
      <c r="M204" s="13">
        <f t="shared" si="139"/>
        <v>3307.3333333333335</v>
      </c>
      <c r="N204" s="55"/>
    </row>
    <row r="205" spans="1:14" outlineLevel="1" x14ac:dyDescent="0.2">
      <c r="A205" s="20">
        <f t="shared" si="137"/>
        <v>11711</v>
      </c>
      <c r="B205" s="19" t="str">
        <f t="shared" si="137"/>
        <v>UHCL</v>
      </c>
      <c r="C205" s="18"/>
      <c r="D205" s="15">
        <f t="shared" ref="D205:M205" si="140">AVERAGE(D247,D289,D331)</f>
        <v>1190.6666666666667</v>
      </c>
      <c r="E205" s="21">
        <f t="shared" si="140"/>
        <v>0.52016462432165866</v>
      </c>
      <c r="F205" s="14">
        <f t="shared" si="140"/>
        <v>2999.6444444444446</v>
      </c>
      <c r="G205" s="13">
        <f t="shared" si="140"/>
        <v>2282.9533333333529</v>
      </c>
      <c r="H205" s="15">
        <f t="shared" si="140"/>
        <v>106.66666666666667</v>
      </c>
      <c r="I205" s="13">
        <f t="shared" si="140"/>
        <v>8.3333333333333339</v>
      </c>
      <c r="J205" s="16">
        <f t="shared" si="140"/>
        <v>774.33333333333337</v>
      </c>
      <c r="K205" s="15">
        <f t="shared" si="140"/>
        <v>1391.3333333333333</v>
      </c>
      <c r="L205" s="14">
        <f t="shared" si="140"/>
        <v>953.66666666666663</v>
      </c>
      <c r="M205" s="13">
        <f t="shared" si="140"/>
        <v>57</v>
      </c>
      <c r="N205" s="55"/>
    </row>
    <row r="206" spans="1:14" outlineLevel="1" x14ac:dyDescent="0.2">
      <c r="A206" s="20">
        <f t="shared" si="137"/>
        <v>12826</v>
      </c>
      <c r="B206" s="19" t="str">
        <f t="shared" si="137"/>
        <v>UHD</v>
      </c>
      <c r="C206" s="18"/>
      <c r="D206" s="15">
        <f t="shared" ref="D206:M206" si="141">AVERAGE(D248,D290,D332)</f>
        <v>2382.3333333333335</v>
      </c>
      <c r="E206" s="21">
        <f t="shared" si="141"/>
        <v>0.19000000000000003</v>
      </c>
      <c r="F206" s="14">
        <f t="shared" si="141"/>
        <v>7985.5555555555547</v>
      </c>
      <c r="G206" s="13">
        <f t="shared" si="141"/>
        <v>4271.3166666667212</v>
      </c>
      <c r="H206" s="15">
        <f t="shared" si="141"/>
        <v>129.66666666666666</v>
      </c>
      <c r="I206" s="13">
        <f t="shared" si="141"/>
        <v>1.6666666666666667</v>
      </c>
      <c r="J206" s="16">
        <f t="shared" si="141"/>
        <v>1681</v>
      </c>
      <c r="K206" s="15">
        <f t="shared" si="141"/>
        <v>3105.3333333333335</v>
      </c>
      <c r="L206" s="14">
        <f t="shared" si="141"/>
        <v>1868.3333333333333</v>
      </c>
      <c r="M206" s="13">
        <f t="shared" si="141"/>
        <v>604.66666666666663</v>
      </c>
      <c r="N206" s="55"/>
    </row>
    <row r="207" spans="1:14" outlineLevel="1" x14ac:dyDescent="0.2">
      <c r="A207" s="20">
        <f t="shared" si="137"/>
        <v>13231</v>
      </c>
      <c r="B207" s="19" t="str">
        <f t="shared" si="137"/>
        <v>UHV</v>
      </c>
      <c r="C207" s="18"/>
      <c r="D207" s="15">
        <f t="shared" ref="D207:M207" si="142">AVERAGE(D249,D291,D333)</f>
        <v>576.66666666666663</v>
      </c>
      <c r="E207" s="21">
        <f t="shared" si="142"/>
        <v>0.52057016677259083</v>
      </c>
      <c r="F207" s="14">
        <f t="shared" si="142"/>
        <v>1438.6222222222223</v>
      </c>
      <c r="G207" s="13">
        <f t="shared" si="142"/>
        <v>1084.4800000000012</v>
      </c>
      <c r="H207" s="15">
        <f t="shared" si="142"/>
        <v>108</v>
      </c>
      <c r="I207" s="13">
        <f t="shared" si="142"/>
        <v>7.333333333333333</v>
      </c>
      <c r="J207" s="16">
        <f t="shared" si="142"/>
        <v>384</v>
      </c>
      <c r="K207" s="15">
        <f t="shared" si="142"/>
        <v>716</v>
      </c>
      <c r="L207" s="14">
        <f t="shared" si="142"/>
        <v>296.33333333333331</v>
      </c>
      <c r="M207" s="13">
        <f t="shared" si="142"/>
        <v>6.666666666666667</v>
      </c>
      <c r="N207" s="55"/>
    </row>
    <row r="208" spans="1:14" outlineLevel="1" x14ac:dyDescent="0.2">
      <c r="A208" s="20">
        <f t="shared" si="137"/>
        <v>3592</v>
      </c>
      <c r="B208" s="19" t="str">
        <f t="shared" si="137"/>
        <v>Midwestern</v>
      </c>
      <c r="C208" s="18"/>
      <c r="D208" s="15">
        <f t="shared" ref="D208:M208" si="143">AVERAGE(D250,D292,D334)</f>
        <v>1031.6666666666667</v>
      </c>
      <c r="E208" s="21">
        <f t="shared" si="143"/>
        <v>0.4393333333333333</v>
      </c>
      <c r="F208" s="14">
        <f t="shared" si="143"/>
        <v>4276.7777777777783</v>
      </c>
      <c r="G208" s="13">
        <f t="shared" si="143"/>
        <v>1962.0000000000034</v>
      </c>
      <c r="H208" s="15">
        <f t="shared" si="143"/>
        <v>333.33333333333331</v>
      </c>
      <c r="I208" s="13">
        <f t="shared" si="143"/>
        <v>15</v>
      </c>
      <c r="J208" s="16">
        <f t="shared" si="143"/>
        <v>690.33333333333337</v>
      </c>
      <c r="K208" s="15">
        <f t="shared" si="143"/>
        <v>1438</v>
      </c>
      <c r="L208" s="14">
        <f t="shared" si="143"/>
        <v>1046</v>
      </c>
      <c r="M208" s="13">
        <f t="shared" si="143"/>
        <v>679.66666666666663</v>
      </c>
      <c r="N208" s="55"/>
    </row>
    <row r="209" spans="1:14" outlineLevel="1" x14ac:dyDescent="0.2">
      <c r="A209" s="20">
        <f t="shared" si="137"/>
        <v>3594</v>
      </c>
      <c r="B209" s="19" t="str">
        <f t="shared" si="137"/>
        <v>UNT</v>
      </c>
      <c r="C209" s="18"/>
      <c r="D209" s="15">
        <f t="shared" ref="D209:M209" si="144">AVERAGE(D251,D293,D335)</f>
        <v>6016.666666666667</v>
      </c>
      <c r="E209" s="21">
        <f t="shared" si="144"/>
        <v>0.57633333333333336</v>
      </c>
      <c r="F209" s="14">
        <f t="shared" si="144"/>
        <v>23242.088888888899</v>
      </c>
      <c r="G209" s="13">
        <f t="shared" si="144"/>
        <v>11411.553333332529</v>
      </c>
      <c r="H209" s="15">
        <f t="shared" si="144"/>
        <v>336.66666666666669</v>
      </c>
      <c r="I209" s="13">
        <f t="shared" si="144"/>
        <v>43.333333333333336</v>
      </c>
      <c r="J209" s="16">
        <f t="shared" si="144"/>
        <v>3820</v>
      </c>
      <c r="K209" s="15">
        <f t="shared" si="144"/>
        <v>7864.666666666667</v>
      </c>
      <c r="L209" s="14">
        <f t="shared" si="144"/>
        <v>5642.333333333333</v>
      </c>
      <c r="M209" s="13">
        <f t="shared" si="144"/>
        <v>3337</v>
      </c>
      <c r="N209" s="55"/>
    </row>
    <row r="210" spans="1:14" outlineLevel="1" x14ac:dyDescent="0.2">
      <c r="A210" s="27">
        <f t="shared" si="137"/>
        <v>113594</v>
      </c>
      <c r="B210" s="19" t="str">
        <f t="shared" si="137"/>
        <v>UNTD</v>
      </c>
      <c r="C210" s="18"/>
      <c r="D210" s="15">
        <f t="shared" ref="D210:M210" si="145">AVERAGE(D252,D294,D336)</f>
        <v>403.5</v>
      </c>
      <c r="E210" s="21">
        <f t="shared" si="145"/>
        <v>0.57750000000000001</v>
      </c>
      <c r="F210" s="14">
        <f t="shared" si="145"/>
        <v>946.13333333333333</v>
      </c>
      <c r="G210" s="13">
        <f t="shared" si="145"/>
        <v>705.85999999999717</v>
      </c>
      <c r="H210" s="15">
        <f t="shared" si="145"/>
        <v>12</v>
      </c>
      <c r="I210" s="13">
        <f t="shared" si="145"/>
        <v>0</v>
      </c>
      <c r="J210" s="16">
        <f t="shared" si="145"/>
        <v>308.5</v>
      </c>
      <c r="K210" s="15">
        <f t="shared" si="145"/>
        <v>478</v>
      </c>
      <c r="L210" s="14">
        <f t="shared" si="145"/>
        <v>71.5</v>
      </c>
      <c r="M210" s="13">
        <f t="shared" si="145"/>
        <v>11</v>
      </c>
      <c r="N210" s="55"/>
    </row>
    <row r="211" spans="1:14" outlineLevel="1" x14ac:dyDescent="0.2">
      <c r="A211" s="20">
        <f t="shared" si="137"/>
        <v>3624</v>
      </c>
      <c r="B211" s="19" t="str">
        <f t="shared" si="137"/>
        <v>SFA</v>
      </c>
      <c r="C211" s="18"/>
      <c r="D211" s="15">
        <f t="shared" ref="D211:M211" si="146">AVERAGE(D253,D295,D337)</f>
        <v>1921.6666666666667</v>
      </c>
      <c r="E211" s="21">
        <f t="shared" si="146"/>
        <v>0.55399999999999994</v>
      </c>
      <c r="F211" s="14">
        <f t="shared" si="146"/>
        <v>9486.177777777777</v>
      </c>
      <c r="G211" s="13">
        <f t="shared" si="146"/>
        <v>3721.736666666669</v>
      </c>
      <c r="H211" s="15">
        <f t="shared" si="146"/>
        <v>248</v>
      </c>
      <c r="I211" s="13">
        <f t="shared" si="146"/>
        <v>44.666666666666664</v>
      </c>
      <c r="J211" s="16">
        <f t="shared" si="146"/>
        <v>1460.3333333333333</v>
      </c>
      <c r="K211" s="15">
        <f t="shared" si="146"/>
        <v>2769.3333333333335</v>
      </c>
      <c r="L211" s="14">
        <f t="shared" si="146"/>
        <v>2075</v>
      </c>
      <c r="M211" s="13">
        <f t="shared" si="146"/>
        <v>1397.3333333333333</v>
      </c>
      <c r="N211" s="55"/>
    </row>
    <row r="212" spans="1:14" outlineLevel="1" x14ac:dyDescent="0.2">
      <c r="A212" s="20">
        <f t="shared" si="137"/>
        <v>3642</v>
      </c>
      <c r="B212" s="19" t="str">
        <f t="shared" si="137"/>
        <v>TSU</v>
      </c>
      <c r="C212" s="18"/>
      <c r="D212" s="15">
        <f t="shared" ref="D212:M212" si="147">AVERAGE(D254,D296,D338)</f>
        <v>758.33333333333337</v>
      </c>
      <c r="E212" s="21">
        <f t="shared" si="147"/>
        <v>0.14366666666666664</v>
      </c>
      <c r="F212" s="14">
        <f t="shared" si="147"/>
        <v>5863.2444444444445</v>
      </c>
      <c r="G212" s="13">
        <f t="shared" si="147"/>
        <v>1488.6533333333352</v>
      </c>
      <c r="H212" s="15">
        <f t="shared" si="147"/>
        <v>134.33333333333334</v>
      </c>
      <c r="I212" s="13">
        <f t="shared" si="147"/>
        <v>3</v>
      </c>
      <c r="J212" s="16">
        <f t="shared" si="147"/>
        <v>666.33333333333337</v>
      </c>
      <c r="K212" s="15">
        <f t="shared" si="147"/>
        <v>1637.3333333333333</v>
      </c>
      <c r="L212" s="14">
        <f t="shared" si="147"/>
        <v>1133</v>
      </c>
      <c r="M212" s="13">
        <f t="shared" si="147"/>
        <v>848.66666666666663</v>
      </c>
      <c r="N212" s="55"/>
    </row>
    <row r="213" spans="1:14" outlineLevel="1" x14ac:dyDescent="0.2">
      <c r="A213" s="20">
        <f t="shared" si="137"/>
        <v>3644</v>
      </c>
      <c r="B213" s="19" t="str">
        <f t="shared" si="137"/>
        <v>TTU</v>
      </c>
      <c r="C213" s="18"/>
      <c r="D213" s="15">
        <f t="shared" ref="D213:M213" si="148">AVERAGE(D255,D297,D339)</f>
        <v>4674</v>
      </c>
      <c r="E213" s="21">
        <f t="shared" si="148"/>
        <v>0.73199999999999987</v>
      </c>
      <c r="F213" s="14">
        <f t="shared" si="148"/>
        <v>22192.42222222222</v>
      </c>
      <c r="G213" s="13">
        <f t="shared" si="148"/>
        <v>10128.113333332682</v>
      </c>
      <c r="H213" s="15">
        <f t="shared" si="148"/>
        <v>727.33333333333337</v>
      </c>
      <c r="I213" s="13">
        <f t="shared" si="148"/>
        <v>57.333333333333336</v>
      </c>
      <c r="J213" s="16">
        <f t="shared" si="148"/>
        <v>2778</v>
      </c>
      <c r="K213" s="15">
        <f t="shared" si="148"/>
        <v>6485.333333333333</v>
      </c>
      <c r="L213" s="14">
        <f t="shared" si="148"/>
        <v>5278.333333333333</v>
      </c>
      <c r="M213" s="13">
        <f t="shared" si="148"/>
        <v>3945.6666666666665</v>
      </c>
      <c r="N213" s="55"/>
    </row>
    <row r="214" spans="1:14" outlineLevel="1" x14ac:dyDescent="0.2">
      <c r="A214" s="20">
        <f t="shared" si="137"/>
        <v>3541</v>
      </c>
      <c r="B214" s="19" t="str">
        <f t="shared" si="137"/>
        <v>Angelo</v>
      </c>
      <c r="C214" s="18"/>
      <c r="D214" s="15">
        <f t="shared" ref="D214:M214" si="149">AVERAGE(D256,D298,D340)</f>
        <v>991.33333333333337</v>
      </c>
      <c r="E214" s="21">
        <f t="shared" si="149"/>
        <v>0.42966666666666664</v>
      </c>
      <c r="F214" s="14">
        <f t="shared" si="149"/>
        <v>4882.0444444444447</v>
      </c>
      <c r="G214" s="13">
        <f t="shared" si="149"/>
        <v>1977.3500000000051</v>
      </c>
      <c r="H214" s="15">
        <f t="shared" si="149"/>
        <v>254.33333333333334</v>
      </c>
      <c r="I214" s="13">
        <f t="shared" si="149"/>
        <v>19.333333333333332</v>
      </c>
      <c r="J214" s="16">
        <f t="shared" si="149"/>
        <v>723</v>
      </c>
      <c r="K214" s="15">
        <f t="shared" si="149"/>
        <v>1438.6666666666667</v>
      </c>
      <c r="L214" s="14">
        <f t="shared" si="149"/>
        <v>1033.6666666666667</v>
      </c>
      <c r="M214" s="13">
        <f t="shared" si="149"/>
        <v>707.66666666666663</v>
      </c>
      <c r="N214" s="55"/>
    </row>
    <row r="215" spans="1:14" outlineLevel="1" x14ac:dyDescent="0.2">
      <c r="A215" s="20">
        <f t="shared" si="137"/>
        <v>3646</v>
      </c>
      <c r="B215" s="19" t="str">
        <f t="shared" si="137"/>
        <v>TWU</v>
      </c>
      <c r="C215" s="18"/>
      <c r="D215" s="15">
        <f t="shared" ref="D215:M215" si="150">AVERAGE(D257,D299,D341)</f>
        <v>1806</v>
      </c>
      <c r="E215" s="21">
        <f t="shared" si="150"/>
        <v>0.52366666666666672</v>
      </c>
      <c r="F215" s="14">
        <f t="shared" si="150"/>
        <v>6556.4000000000005</v>
      </c>
      <c r="G215" s="13">
        <f t="shared" si="150"/>
        <v>3452.1766666666658</v>
      </c>
      <c r="H215" s="15">
        <f t="shared" si="150"/>
        <v>569.33333333333337</v>
      </c>
      <c r="I215" s="13">
        <f t="shared" si="150"/>
        <v>31.666666666666668</v>
      </c>
      <c r="J215" s="16">
        <f t="shared" si="150"/>
        <v>1247</v>
      </c>
      <c r="K215" s="15">
        <f t="shared" si="150"/>
        <v>2196</v>
      </c>
      <c r="L215" s="14">
        <f t="shared" si="150"/>
        <v>1292.3333333333333</v>
      </c>
      <c r="M215" s="13">
        <f t="shared" si="150"/>
        <v>659.66666666666663</v>
      </c>
      <c r="N215" s="55"/>
    </row>
    <row r="216" spans="1:14" outlineLevel="1" x14ac:dyDescent="0.2">
      <c r="A216" s="20">
        <f t="shared" si="137"/>
        <v>3581</v>
      </c>
      <c r="B216" s="19" t="str">
        <f t="shared" si="137"/>
        <v>Lamar</v>
      </c>
      <c r="C216" s="18"/>
      <c r="D216" s="15">
        <f t="shared" ref="D216:M216" si="151">AVERAGE(D258,D300,D342)</f>
        <v>1335.3333333333333</v>
      </c>
      <c r="E216" s="21">
        <f t="shared" si="151"/>
        <v>0.35033333333333333</v>
      </c>
      <c r="F216" s="14">
        <f t="shared" si="151"/>
        <v>7275.0666666666666</v>
      </c>
      <c r="G216" s="13">
        <f t="shared" si="151"/>
        <v>2684.9000000000165</v>
      </c>
      <c r="H216" s="15">
        <f t="shared" si="151"/>
        <v>330</v>
      </c>
      <c r="I216" s="13">
        <f t="shared" si="151"/>
        <v>17</v>
      </c>
      <c r="J216" s="16">
        <f t="shared" si="151"/>
        <v>948.66666666666663</v>
      </c>
      <c r="K216" s="15">
        <f t="shared" si="151"/>
        <v>2144.6666666666665</v>
      </c>
      <c r="L216" s="14">
        <f t="shared" si="151"/>
        <v>1489</v>
      </c>
      <c r="M216" s="13">
        <f t="shared" si="151"/>
        <v>1011</v>
      </c>
      <c r="N216" s="55"/>
    </row>
    <row r="217" spans="1:14" outlineLevel="1" x14ac:dyDescent="0.2">
      <c r="A217" s="20">
        <f t="shared" si="137"/>
        <v>3606</v>
      </c>
      <c r="B217" s="19" t="str">
        <f t="shared" si="137"/>
        <v>SHSU</v>
      </c>
      <c r="C217" s="18"/>
      <c r="D217" s="15">
        <f t="shared" ref="D217:M217" si="152">AVERAGE(D259,D301,D343)</f>
        <v>3077.6666666666665</v>
      </c>
      <c r="E217" s="21">
        <f t="shared" si="152"/>
        <v>0.58666666666666667</v>
      </c>
      <c r="F217" s="14">
        <f t="shared" si="152"/>
        <v>12574.4</v>
      </c>
      <c r="G217" s="13">
        <f t="shared" si="152"/>
        <v>5837.0766666667887</v>
      </c>
      <c r="H217" s="15">
        <f t="shared" si="152"/>
        <v>167</v>
      </c>
      <c r="I217" s="13">
        <f t="shared" si="152"/>
        <v>61</v>
      </c>
      <c r="J217" s="16">
        <f t="shared" si="152"/>
        <v>2213.6666666666665</v>
      </c>
      <c r="K217" s="15">
        <f t="shared" si="152"/>
        <v>3894.3333333333335</v>
      </c>
      <c r="L217" s="14">
        <f t="shared" si="152"/>
        <v>2965.3333333333335</v>
      </c>
      <c r="M217" s="13">
        <f t="shared" si="152"/>
        <v>1763.3333333333333</v>
      </c>
      <c r="N217" s="55"/>
    </row>
    <row r="218" spans="1:14" outlineLevel="1" x14ac:dyDescent="0.2">
      <c r="A218" s="20">
        <f t="shared" si="137"/>
        <v>3615</v>
      </c>
      <c r="B218" s="19" t="str">
        <f t="shared" si="137"/>
        <v>TXST</v>
      </c>
      <c r="C218" s="18"/>
      <c r="D218" s="15">
        <f t="shared" ref="D218:M218" si="153">AVERAGE(D260,D302,D344)</f>
        <v>5361</v>
      </c>
      <c r="E218" s="21">
        <f t="shared" si="153"/>
        <v>0.63300000000000001</v>
      </c>
      <c r="F218" s="14">
        <f t="shared" si="153"/>
        <v>22903.511111111107</v>
      </c>
      <c r="G218" s="13">
        <f t="shared" si="153"/>
        <v>10437.309999999357</v>
      </c>
      <c r="H218" s="15">
        <f t="shared" si="153"/>
        <v>488.66666666666669</v>
      </c>
      <c r="I218" s="13">
        <f t="shared" si="153"/>
        <v>66.666666666666671</v>
      </c>
      <c r="J218" s="16">
        <f t="shared" si="153"/>
        <v>3675.3333333333335</v>
      </c>
      <c r="K218" s="15">
        <f t="shared" si="153"/>
        <v>7470.333333333333</v>
      </c>
      <c r="L218" s="14">
        <f t="shared" si="153"/>
        <v>5579</v>
      </c>
      <c r="M218" s="13">
        <f t="shared" si="153"/>
        <v>3317.3333333333335</v>
      </c>
      <c r="N218" s="55"/>
    </row>
    <row r="219" spans="1:14" outlineLevel="1" x14ac:dyDescent="0.2">
      <c r="A219" s="20">
        <f t="shared" si="137"/>
        <v>3625</v>
      </c>
      <c r="B219" s="19" t="str">
        <f t="shared" si="137"/>
        <v>SRSU</v>
      </c>
      <c r="C219" s="18"/>
      <c r="D219" s="15">
        <f t="shared" ref="D219:M219" si="154">AVERAGE(D261,D303,D345)</f>
        <v>189.33333333333334</v>
      </c>
      <c r="E219" s="21">
        <f t="shared" si="154"/>
        <v>0.30099999999999999</v>
      </c>
      <c r="F219" s="14">
        <f t="shared" si="154"/>
        <v>1220.0222222222221</v>
      </c>
      <c r="G219" s="13">
        <f t="shared" si="154"/>
        <v>394.32999999999964</v>
      </c>
      <c r="H219" s="15">
        <f t="shared" si="154"/>
        <v>12.666666666666666</v>
      </c>
      <c r="I219" s="13">
        <f t="shared" si="154"/>
        <v>6.333333333333333</v>
      </c>
      <c r="J219" s="16">
        <f t="shared" si="154"/>
        <v>163</v>
      </c>
      <c r="K219" s="15">
        <f t="shared" si="154"/>
        <v>300</v>
      </c>
      <c r="L219" s="14">
        <f t="shared" si="154"/>
        <v>193.66666666666666</v>
      </c>
      <c r="M219" s="13">
        <f t="shared" si="154"/>
        <v>131.66666666666666</v>
      </c>
      <c r="N219" s="55"/>
    </row>
    <row r="220" spans="1:14" outlineLevel="1" x14ac:dyDescent="0.2">
      <c r="A220" s="20">
        <f t="shared" si="137"/>
        <v>20</v>
      </c>
      <c r="B220" s="19" t="str">
        <f t="shared" si="137"/>
        <v>SRRG</v>
      </c>
      <c r="C220" s="18"/>
      <c r="D220" s="15">
        <f t="shared" ref="D220:M220" si="155">AVERAGE(D262,D304,D346)</f>
        <v>161.66666666666666</v>
      </c>
      <c r="E220" s="21">
        <f t="shared" si="155"/>
        <v>0.31772769042270776</v>
      </c>
      <c r="F220" s="14">
        <f t="shared" si="155"/>
        <v>441.75555555555553</v>
      </c>
      <c r="G220" s="13">
        <f t="shared" si="155"/>
        <v>279.16999999999979</v>
      </c>
      <c r="H220" s="15">
        <f t="shared" si="155"/>
        <v>6.333333333333333</v>
      </c>
      <c r="I220" s="13">
        <f t="shared" si="155"/>
        <v>5.666666666666667</v>
      </c>
      <c r="J220" s="16">
        <f t="shared" si="155"/>
        <v>144</v>
      </c>
      <c r="K220" s="15">
        <f t="shared" si="155"/>
        <v>230</v>
      </c>
      <c r="L220" s="14">
        <f t="shared" si="155"/>
        <v>92.666666666666671</v>
      </c>
      <c r="M220" s="13">
        <f t="shared" si="155"/>
        <v>4.333333333333333</v>
      </c>
      <c r="N220" s="55"/>
    </row>
    <row r="221" spans="1:14" ht="13.5" outlineLevel="1" thickBot="1" x14ac:dyDescent="0.25">
      <c r="A221" s="12"/>
      <c r="B221" s="11" t="s">
        <v>11</v>
      </c>
      <c r="C221" s="10"/>
      <c r="D221" s="9">
        <f>SUM(D183:D220)</f>
        <v>84315.833333333314</v>
      </c>
      <c r="E221" s="8">
        <v>0.55900000000000005</v>
      </c>
      <c r="F221" s="7">
        <f t="shared" ref="F221:M221" si="156">SUM(F183:F220)</f>
        <v>350016.33333333331</v>
      </c>
      <c r="G221" s="3">
        <f t="shared" si="156"/>
        <v>172461.13999999844</v>
      </c>
      <c r="H221" s="5">
        <f t="shared" si="156"/>
        <v>13953.333333333332</v>
      </c>
      <c r="I221" s="3">
        <f t="shared" si="156"/>
        <v>1198.3333333333335</v>
      </c>
      <c r="J221" s="6">
        <f t="shared" si="156"/>
        <v>54446.500000000007</v>
      </c>
      <c r="K221" s="5">
        <f t="shared" si="156"/>
        <v>114212.66666666664</v>
      </c>
      <c r="L221" s="4">
        <f t="shared" si="156"/>
        <v>82344.5</v>
      </c>
      <c r="M221" s="3">
        <f t="shared" si="156"/>
        <v>50801.999999999993</v>
      </c>
      <c r="N221" s="55"/>
    </row>
    <row r="222" spans="1:14" ht="13.5" thickBot="1" x14ac:dyDescent="0.25">
      <c r="A222" s="45" t="s">
        <v>27</v>
      </c>
      <c r="B222" s="45"/>
      <c r="C222" s="45"/>
      <c r="D222" s="54"/>
      <c r="F222" s="54"/>
      <c r="J222" s="54"/>
    </row>
    <row r="223" spans="1:14" ht="12.75" customHeight="1" outlineLevel="1" x14ac:dyDescent="0.2">
      <c r="A223" s="177" t="s">
        <v>24</v>
      </c>
      <c r="B223" s="179" t="s">
        <v>23</v>
      </c>
      <c r="C223" s="181"/>
      <c r="D223" s="210" t="s">
        <v>22</v>
      </c>
      <c r="E223" s="205" t="s">
        <v>21</v>
      </c>
      <c r="F223" s="179" t="s">
        <v>20</v>
      </c>
      <c r="G223" s="201" t="s">
        <v>19</v>
      </c>
      <c r="H223" s="203" t="s">
        <v>18</v>
      </c>
      <c r="I223" s="195" t="s">
        <v>17</v>
      </c>
      <c r="J223" s="197" t="s">
        <v>16</v>
      </c>
      <c r="K223" s="199" t="s">
        <v>15</v>
      </c>
      <c r="L223" s="200"/>
      <c r="M223" s="200"/>
    </row>
    <row r="224" spans="1:14" s="41" customFormat="1" ht="36" customHeight="1" outlineLevel="1" thickBot="1" x14ac:dyDescent="0.25">
      <c r="A224" s="178"/>
      <c r="B224" s="180"/>
      <c r="C224" s="182"/>
      <c r="D224" s="211"/>
      <c r="E224" s="206"/>
      <c r="F224" s="180"/>
      <c r="G224" s="202"/>
      <c r="H224" s="204"/>
      <c r="I224" s="196"/>
      <c r="J224" s="198"/>
      <c r="K224" s="44" t="s">
        <v>14</v>
      </c>
      <c r="L224" s="43" t="s">
        <v>13</v>
      </c>
      <c r="M224" s="42" t="s">
        <v>12</v>
      </c>
    </row>
    <row r="225" spans="1:13" outlineLevel="1" x14ac:dyDescent="0.2">
      <c r="A225" s="40">
        <f t="shared" ref="A225:B244" si="157">A183</f>
        <v>3656</v>
      </c>
      <c r="B225" s="39" t="str">
        <f t="shared" si="157"/>
        <v>UTA</v>
      </c>
      <c r="C225" s="38"/>
      <c r="D225" s="33">
        <v>5773</v>
      </c>
      <c r="E225" s="37">
        <v>0.55500000000000005</v>
      </c>
      <c r="F225" s="32">
        <v>17781.466666666667</v>
      </c>
      <c r="G225" s="51">
        <v>12087.560000000249</v>
      </c>
      <c r="H225" s="36">
        <v>2140</v>
      </c>
      <c r="I225" s="35">
        <v>43</v>
      </c>
      <c r="J225" s="34">
        <v>3528</v>
      </c>
      <c r="K225" s="53">
        <v>6893</v>
      </c>
      <c r="L225" s="52">
        <v>3962</v>
      </c>
      <c r="M225" s="51">
        <v>1894</v>
      </c>
    </row>
    <row r="226" spans="1:13" outlineLevel="1" x14ac:dyDescent="0.2">
      <c r="A226" s="20">
        <f t="shared" si="157"/>
        <v>3658</v>
      </c>
      <c r="B226" s="19" t="str">
        <f t="shared" si="157"/>
        <v>UT</v>
      </c>
      <c r="C226" s="18"/>
      <c r="D226" s="15">
        <v>8860</v>
      </c>
      <c r="E226" s="21">
        <v>0.82499999999999996</v>
      </c>
      <c r="F226" s="14">
        <v>33841.466666666667</v>
      </c>
      <c r="G226" s="28">
        <v>19542.67999999996</v>
      </c>
      <c r="H226" s="15">
        <v>1981</v>
      </c>
      <c r="I226" s="13">
        <v>83</v>
      </c>
      <c r="J226" s="16">
        <v>3501</v>
      </c>
      <c r="K226" s="30">
        <v>9260</v>
      </c>
      <c r="L226" s="29">
        <v>8373</v>
      </c>
      <c r="M226" s="28">
        <v>6348</v>
      </c>
    </row>
    <row r="227" spans="1:13" outlineLevel="1" x14ac:dyDescent="0.2">
      <c r="A227" s="20">
        <f t="shared" si="157"/>
        <v>9741</v>
      </c>
      <c r="B227" s="19" t="str">
        <f t="shared" si="157"/>
        <v>UTD</v>
      </c>
      <c r="C227" s="18"/>
      <c r="D227" s="15">
        <v>2510</v>
      </c>
      <c r="E227" s="21">
        <v>0.71900000000000008</v>
      </c>
      <c r="F227" s="14">
        <v>9826.5333333333328</v>
      </c>
      <c r="G227" s="28">
        <v>5443.8700000002518</v>
      </c>
      <c r="H227" s="15">
        <v>449</v>
      </c>
      <c r="I227" s="13">
        <v>33</v>
      </c>
      <c r="J227" s="16">
        <v>1410</v>
      </c>
      <c r="K227" s="30">
        <v>3522</v>
      </c>
      <c r="L227" s="29">
        <v>2348</v>
      </c>
      <c r="M227" s="28">
        <v>1065</v>
      </c>
    </row>
    <row r="228" spans="1:13" outlineLevel="1" x14ac:dyDescent="0.2">
      <c r="A228" s="20">
        <f t="shared" si="157"/>
        <v>3661</v>
      </c>
      <c r="B228" s="19" t="str">
        <f t="shared" si="157"/>
        <v>UTEP</v>
      </c>
      <c r="C228" s="18"/>
      <c r="D228" s="15">
        <v>3132</v>
      </c>
      <c r="E228" s="21">
        <v>0.41200000000000003</v>
      </c>
      <c r="F228" s="14">
        <v>13931.066666666668</v>
      </c>
      <c r="G228" s="28">
        <v>6456.0600000003096</v>
      </c>
      <c r="H228" s="15">
        <v>643</v>
      </c>
      <c r="I228" s="13">
        <v>86</v>
      </c>
      <c r="J228" s="16">
        <v>2590</v>
      </c>
      <c r="K228" s="30">
        <v>4400</v>
      </c>
      <c r="L228" s="29">
        <v>3304</v>
      </c>
      <c r="M228" s="28">
        <v>1986</v>
      </c>
    </row>
    <row r="229" spans="1:13" outlineLevel="1" x14ac:dyDescent="0.2">
      <c r="A229" s="20">
        <f t="shared" si="157"/>
        <v>3599</v>
      </c>
      <c r="B229" s="19" t="str">
        <f t="shared" si="157"/>
        <v>UTPA</v>
      </c>
      <c r="C229" s="18"/>
      <c r="D229" s="15">
        <v>2462</v>
      </c>
      <c r="E229" s="21">
        <v>0.44</v>
      </c>
      <c r="F229" s="14">
        <v>12698.333333333334</v>
      </c>
      <c r="G229" s="28">
        <v>5000.2800000001325</v>
      </c>
      <c r="H229" s="15">
        <v>547</v>
      </c>
      <c r="I229" s="13">
        <v>19</v>
      </c>
      <c r="J229" s="16">
        <v>2247</v>
      </c>
      <c r="K229" s="30">
        <v>3730</v>
      </c>
      <c r="L229" s="29">
        <v>2862</v>
      </c>
      <c r="M229" s="28">
        <v>1896</v>
      </c>
    </row>
    <row r="230" spans="1:13" outlineLevel="1" x14ac:dyDescent="0.2">
      <c r="A230" s="20">
        <f t="shared" si="157"/>
        <v>30646</v>
      </c>
      <c r="B230" s="19" t="str">
        <f t="shared" si="157"/>
        <v>UTB</v>
      </c>
      <c r="C230" s="18"/>
      <c r="D230" s="15">
        <v>1149</v>
      </c>
      <c r="E230" s="17">
        <v>0.52783109404990403</v>
      </c>
      <c r="F230" s="14">
        <v>3400.5333333333333</v>
      </c>
      <c r="G230" s="28">
        <v>2236.3100000000127</v>
      </c>
      <c r="H230" s="15">
        <v>133</v>
      </c>
      <c r="I230" s="13">
        <v>21</v>
      </c>
      <c r="J230" s="16">
        <v>978</v>
      </c>
      <c r="K230" s="30">
        <v>1243</v>
      </c>
      <c r="L230" s="29">
        <v>486</v>
      </c>
      <c r="M230" s="28">
        <v>99</v>
      </c>
    </row>
    <row r="231" spans="1:13" outlineLevel="1" x14ac:dyDescent="0.2">
      <c r="A231" s="20">
        <f t="shared" si="157"/>
        <v>9930</v>
      </c>
      <c r="B231" s="19" t="str">
        <f t="shared" si="157"/>
        <v>UTPB</v>
      </c>
      <c r="C231" s="18"/>
      <c r="D231" s="15">
        <v>546</v>
      </c>
      <c r="E231" s="21">
        <v>0.47899999999999998</v>
      </c>
      <c r="F231" s="14">
        <v>2343.2666666666669</v>
      </c>
      <c r="G231" s="28">
        <v>1054.6599999999951</v>
      </c>
      <c r="H231" s="15">
        <v>51</v>
      </c>
      <c r="I231" s="13">
        <v>7</v>
      </c>
      <c r="J231" s="16">
        <v>411</v>
      </c>
      <c r="K231" s="30">
        <v>742</v>
      </c>
      <c r="L231" s="29">
        <v>535</v>
      </c>
      <c r="M231" s="28">
        <v>210</v>
      </c>
    </row>
    <row r="232" spans="1:13" outlineLevel="1" x14ac:dyDescent="0.2">
      <c r="A232" s="20">
        <f t="shared" si="157"/>
        <v>10115</v>
      </c>
      <c r="B232" s="19" t="str">
        <f t="shared" si="157"/>
        <v>UTSA</v>
      </c>
      <c r="C232" s="18"/>
      <c r="D232" s="15">
        <v>4243</v>
      </c>
      <c r="E232" s="21">
        <v>0.43099999999999999</v>
      </c>
      <c r="F232" s="14">
        <v>21066.866666666665</v>
      </c>
      <c r="G232" s="28">
        <v>8736.7000000001954</v>
      </c>
      <c r="H232" s="15">
        <v>407</v>
      </c>
      <c r="I232" s="13">
        <v>63</v>
      </c>
      <c r="J232" s="16">
        <v>3204</v>
      </c>
      <c r="K232" s="30">
        <v>6815</v>
      </c>
      <c r="L232" s="29">
        <v>4371</v>
      </c>
      <c r="M232" s="28">
        <v>2560</v>
      </c>
    </row>
    <row r="233" spans="1:13" outlineLevel="1" x14ac:dyDescent="0.2">
      <c r="A233" s="20">
        <f t="shared" si="157"/>
        <v>11163</v>
      </c>
      <c r="B233" s="19" t="str">
        <f t="shared" si="157"/>
        <v>UTT</v>
      </c>
      <c r="C233" s="18"/>
      <c r="D233" s="15">
        <v>1144</v>
      </c>
      <c r="E233" s="21">
        <v>0.51800000000000002</v>
      </c>
      <c r="F233" s="14">
        <v>4086.7333333333331</v>
      </c>
      <c r="G233" s="28">
        <v>2263.8699999999944</v>
      </c>
      <c r="H233" s="15">
        <v>392</v>
      </c>
      <c r="I233" s="13">
        <v>23</v>
      </c>
      <c r="J233" s="16">
        <v>886</v>
      </c>
      <c r="K233" s="30">
        <v>1409</v>
      </c>
      <c r="L233" s="29">
        <v>844</v>
      </c>
      <c r="M233" s="28">
        <v>383</v>
      </c>
    </row>
    <row r="234" spans="1:13" outlineLevel="1" x14ac:dyDescent="0.2">
      <c r="A234" s="20">
        <f t="shared" si="157"/>
        <v>3632</v>
      </c>
      <c r="B234" s="19" t="str">
        <f t="shared" si="157"/>
        <v>TAMU</v>
      </c>
      <c r="C234" s="18"/>
      <c r="D234" s="15">
        <v>9020</v>
      </c>
      <c r="E234" s="21">
        <v>0.84200000000000008</v>
      </c>
      <c r="F234" s="14">
        <v>35116.666666666664</v>
      </c>
      <c r="G234" s="28">
        <v>21108.189999999984</v>
      </c>
      <c r="H234" s="15">
        <v>1934</v>
      </c>
      <c r="I234" s="13">
        <v>137</v>
      </c>
      <c r="J234" s="16">
        <v>3915</v>
      </c>
      <c r="K234" s="30">
        <v>10547</v>
      </c>
      <c r="L234" s="29">
        <v>8924</v>
      </c>
      <c r="M234" s="28">
        <v>6938</v>
      </c>
    </row>
    <row r="235" spans="1:13" outlineLevel="1" x14ac:dyDescent="0.2">
      <c r="A235" s="20">
        <f t="shared" si="157"/>
        <v>10298</v>
      </c>
      <c r="B235" s="19" t="str">
        <f t="shared" si="157"/>
        <v>TAMUG</v>
      </c>
      <c r="C235" s="18"/>
      <c r="D235" s="15">
        <v>314</v>
      </c>
      <c r="E235" s="21">
        <v>0.626</v>
      </c>
      <c r="F235" s="14">
        <v>1769.4666666666667</v>
      </c>
      <c r="G235" s="28">
        <v>826.3399999999923</v>
      </c>
      <c r="H235" s="15">
        <v>46</v>
      </c>
      <c r="I235" s="13">
        <v>0</v>
      </c>
      <c r="J235" s="16">
        <v>186</v>
      </c>
      <c r="K235" s="30">
        <v>607</v>
      </c>
      <c r="L235" s="29">
        <v>296</v>
      </c>
      <c r="M235" s="28">
        <v>263</v>
      </c>
    </row>
    <row r="236" spans="1:13" outlineLevel="1" x14ac:dyDescent="0.2">
      <c r="A236" s="20">
        <f t="shared" si="157"/>
        <v>3630</v>
      </c>
      <c r="B236" s="19" t="str">
        <f t="shared" si="157"/>
        <v>Prairie View</v>
      </c>
      <c r="C236" s="18"/>
      <c r="D236" s="15">
        <v>1026</v>
      </c>
      <c r="E236" s="21">
        <v>0.40299999999999997</v>
      </c>
      <c r="F236" s="14">
        <v>5822.8</v>
      </c>
      <c r="G236" s="28">
        <v>2288.9700000000062</v>
      </c>
      <c r="H236" s="15">
        <v>373</v>
      </c>
      <c r="I236" s="13">
        <v>11</v>
      </c>
      <c r="J236" s="16">
        <v>877</v>
      </c>
      <c r="K236" s="30">
        <v>1701</v>
      </c>
      <c r="L236" s="29">
        <v>1132</v>
      </c>
      <c r="M236" s="28">
        <v>871</v>
      </c>
    </row>
    <row r="237" spans="1:13" outlineLevel="1" x14ac:dyDescent="0.2">
      <c r="A237" s="20">
        <f t="shared" si="157"/>
        <v>3631</v>
      </c>
      <c r="B237" s="19" t="str">
        <f t="shared" si="157"/>
        <v>Tarleton</v>
      </c>
      <c r="C237" s="18"/>
      <c r="D237" s="15">
        <v>1662</v>
      </c>
      <c r="E237" s="21">
        <v>0.47600000000000003</v>
      </c>
      <c r="F237" s="14">
        <v>6766.4</v>
      </c>
      <c r="G237" s="28">
        <v>3337.2399999999966</v>
      </c>
      <c r="H237" s="15">
        <v>229</v>
      </c>
      <c r="I237" s="13">
        <v>49</v>
      </c>
      <c r="J237" s="16">
        <v>1296</v>
      </c>
      <c r="K237" s="30">
        <v>2227</v>
      </c>
      <c r="L237" s="29">
        <v>1216</v>
      </c>
      <c r="M237" s="28">
        <v>845</v>
      </c>
    </row>
    <row r="238" spans="1:13" outlineLevel="1" x14ac:dyDescent="0.2">
      <c r="A238" s="27">
        <f t="shared" si="157"/>
        <v>103631</v>
      </c>
      <c r="B238" s="19" t="str">
        <f t="shared" si="157"/>
        <v>TAMUCT</v>
      </c>
      <c r="C238" s="18"/>
      <c r="D238" s="15">
        <v>469</v>
      </c>
      <c r="E238" s="21">
        <f>E237</f>
        <v>0.47600000000000003</v>
      </c>
      <c r="F238" s="14">
        <v>684.13333333333333</v>
      </c>
      <c r="G238" s="28">
        <v>882.20999999999208</v>
      </c>
      <c r="H238" s="15">
        <v>42</v>
      </c>
      <c r="I238" s="13">
        <v>0</v>
      </c>
      <c r="J238" s="16">
        <v>329</v>
      </c>
      <c r="K238" s="30">
        <v>550</v>
      </c>
      <c r="L238" s="29">
        <v>119</v>
      </c>
      <c r="M238" s="28">
        <v>5</v>
      </c>
    </row>
    <row r="239" spans="1:13" outlineLevel="1" x14ac:dyDescent="0.2">
      <c r="A239" s="20">
        <f t="shared" si="157"/>
        <v>11161</v>
      </c>
      <c r="B239" s="19" t="str">
        <f t="shared" si="157"/>
        <v>TAMUCC</v>
      </c>
      <c r="C239" s="18"/>
      <c r="D239" s="15">
        <v>1515</v>
      </c>
      <c r="E239" s="21">
        <v>0.51</v>
      </c>
      <c r="F239" s="14">
        <v>6742.2</v>
      </c>
      <c r="G239" s="28">
        <v>3028.8999999999978</v>
      </c>
      <c r="H239" s="15">
        <v>310</v>
      </c>
      <c r="I239" s="13">
        <v>23</v>
      </c>
      <c r="J239" s="16">
        <v>1182</v>
      </c>
      <c r="K239" s="30">
        <v>1957</v>
      </c>
      <c r="L239" s="29">
        <v>1470</v>
      </c>
      <c r="M239" s="28">
        <v>959</v>
      </c>
    </row>
    <row r="240" spans="1:13" outlineLevel="1" x14ac:dyDescent="0.2">
      <c r="A240" s="20">
        <f t="shared" si="157"/>
        <v>3639</v>
      </c>
      <c r="B240" s="19" t="str">
        <f t="shared" si="157"/>
        <v>TAMUK</v>
      </c>
      <c r="C240" s="18"/>
      <c r="D240" s="15">
        <v>855</v>
      </c>
      <c r="E240" s="21">
        <v>0.39200000000000002</v>
      </c>
      <c r="F240" s="14">
        <v>4577.5333333333338</v>
      </c>
      <c r="G240" s="28">
        <v>1952.6200000000099</v>
      </c>
      <c r="H240" s="15">
        <v>298</v>
      </c>
      <c r="I240" s="13">
        <v>19</v>
      </c>
      <c r="J240" s="16">
        <v>742</v>
      </c>
      <c r="K240" s="30">
        <v>1343</v>
      </c>
      <c r="L240" s="29">
        <v>910</v>
      </c>
      <c r="M240" s="28">
        <v>571</v>
      </c>
    </row>
    <row r="241" spans="1:13" outlineLevel="1" x14ac:dyDescent="0.2">
      <c r="A241" s="27">
        <f t="shared" si="157"/>
        <v>103639</v>
      </c>
      <c r="B241" s="19" t="str">
        <f t="shared" si="157"/>
        <v>TAMUSA</v>
      </c>
      <c r="C241" s="18"/>
      <c r="D241" s="15">
        <v>647</v>
      </c>
      <c r="E241" s="21">
        <f>E240</f>
        <v>0.39200000000000002</v>
      </c>
      <c r="F241" s="14">
        <v>1673.0666666666666</v>
      </c>
      <c r="G241" s="28">
        <v>1155.5399999999984</v>
      </c>
      <c r="H241" s="15">
        <v>10</v>
      </c>
      <c r="I241" s="13">
        <v>4</v>
      </c>
      <c r="J241" s="16">
        <v>549</v>
      </c>
      <c r="K241" s="30">
        <v>887</v>
      </c>
      <c r="L241" s="29">
        <v>190</v>
      </c>
      <c r="M241" s="28">
        <v>1</v>
      </c>
    </row>
    <row r="242" spans="1:13" outlineLevel="1" x14ac:dyDescent="0.2">
      <c r="A242" s="20">
        <f t="shared" si="157"/>
        <v>9651</v>
      </c>
      <c r="B242" s="19" t="str">
        <f t="shared" si="157"/>
        <v>TAMI</v>
      </c>
      <c r="C242" s="18"/>
      <c r="D242" s="15">
        <v>805</v>
      </c>
      <c r="E242" s="21">
        <v>0.45700000000000002</v>
      </c>
      <c r="F242" s="14">
        <v>4312.1333333333332</v>
      </c>
      <c r="G242" s="28">
        <v>1498.7699999999936</v>
      </c>
      <c r="H242" s="15">
        <v>142</v>
      </c>
      <c r="I242" s="13">
        <v>23</v>
      </c>
      <c r="J242" s="16">
        <v>737</v>
      </c>
      <c r="K242" s="30">
        <v>1292</v>
      </c>
      <c r="L242" s="29">
        <v>1039</v>
      </c>
      <c r="M242" s="28">
        <v>488</v>
      </c>
    </row>
    <row r="243" spans="1:13" outlineLevel="1" x14ac:dyDescent="0.2">
      <c r="A243" s="20">
        <f t="shared" si="157"/>
        <v>3665</v>
      </c>
      <c r="B243" s="19" t="str">
        <f t="shared" si="157"/>
        <v>WTAMU</v>
      </c>
      <c r="C243" s="18"/>
      <c r="D243" s="15">
        <v>1253</v>
      </c>
      <c r="E243" s="21">
        <v>0.48200000000000004</v>
      </c>
      <c r="F243" s="14">
        <v>5523.2</v>
      </c>
      <c r="G243" s="28">
        <v>2523.9800000000132</v>
      </c>
      <c r="H243" s="15">
        <v>175</v>
      </c>
      <c r="I243" s="13">
        <v>60</v>
      </c>
      <c r="J243" s="16">
        <v>902</v>
      </c>
      <c r="K243" s="30">
        <v>1631</v>
      </c>
      <c r="L243" s="29">
        <v>1213</v>
      </c>
      <c r="M243" s="28">
        <v>689</v>
      </c>
    </row>
    <row r="244" spans="1:13" outlineLevel="1" x14ac:dyDescent="0.2">
      <c r="A244" s="20">
        <f t="shared" si="157"/>
        <v>3565</v>
      </c>
      <c r="B244" s="19" t="str">
        <f t="shared" si="157"/>
        <v>TAMUC</v>
      </c>
      <c r="C244" s="18"/>
      <c r="D244" s="15">
        <v>1507</v>
      </c>
      <c r="E244" s="21">
        <v>0.44600000000000001</v>
      </c>
      <c r="F244" s="14">
        <v>5135.2666666666664</v>
      </c>
      <c r="G244" s="28">
        <v>2861.9500000000121</v>
      </c>
      <c r="H244" s="15">
        <v>89</v>
      </c>
      <c r="I244" s="13">
        <v>81</v>
      </c>
      <c r="J244" s="16">
        <v>1172</v>
      </c>
      <c r="K244" s="30">
        <v>2056</v>
      </c>
      <c r="L244" s="29">
        <v>1174</v>
      </c>
      <c r="M244" s="28">
        <v>457</v>
      </c>
    </row>
    <row r="245" spans="1:13" outlineLevel="1" x14ac:dyDescent="0.2">
      <c r="A245" s="20">
        <f t="shared" ref="A245:B262" si="158">A203</f>
        <v>29269</v>
      </c>
      <c r="B245" s="19" t="str">
        <f t="shared" si="158"/>
        <v>TAMUT</v>
      </c>
      <c r="C245" s="18"/>
      <c r="D245" s="15">
        <v>376</v>
      </c>
      <c r="E245" s="17">
        <v>0.49242424242424243</v>
      </c>
      <c r="F245" s="14">
        <v>1101.2666666666667</v>
      </c>
      <c r="G245" s="28">
        <v>680.4399999999946</v>
      </c>
      <c r="H245" s="15">
        <v>47</v>
      </c>
      <c r="I245" s="13">
        <v>25</v>
      </c>
      <c r="J245" s="16">
        <v>277</v>
      </c>
      <c r="K245" s="30">
        <v>484</v>
      </c>
      <c r="L245" s="29">
        <v>219</v>
      </c>
      <c r="M245" s="28">
        <v>1</v>
      </c>
    </row>
    <row r="246" spans="1:13" outlineLevel="1" x14ac:dyDescent="0.2">
      <c r="A246" s="20">
        <f t="shared" si="158"/>
        <v>3652</v>
      </c>
      <c r="B246" s="19" t="str">
        <f t="shared" si="158"/>
        <v>UH</v>
      </c>
      <c r="C246" s="18"/>
      <c r="D246" s="15">
        <v>5426</v>
      </c>
      <c r="E246" s="21">
        <v>0.53600000000000003</v>
      </c>
      <c r="F246" s="14">
        <v>24760.400000000001</v>
      </c>
      <c r="G246" s="28">
        <v>11378.949999999324</v>
      </c>
      <c r="H246" s="15">
        <v>835</v>
      </c>
      <c r="I246" s="13">
        <v>60</v>
      </c>
      <c r="J246" s="16">
        <v>3688</v>
      </c>
      <c r="K246" s="30">
        <v>7823</v>
      </c>
      <c r="L246" s="29">
        <v>5667</v>
      </c>
      <c r="M246" s="28">
        <v>3232</v>
      </c>
    </row>
    <row r="247" spans="1:13" outlineLevel="1" x14ac:dyDescent="0.2">
      <c r="A247" s="20">
        <f t="shared" si="158"/>
        <v>11711</v>
      </c>
      <c r="B247" s="19" t="str">
        <f t="shared" si="158"/>
        <v>UHCL</v>
      </c>
      <c r="C247" s="18"/>
      <c r="D247" s="15">
        <v>1251</v>
      </c>
      <c r="E247" s="17">
        <v>0.51671732522796354</v>
      </c>
      <c r="F247" s="14">
        <v>3079.2666666666669</v>
      </c>
      <c r="G247" s="28">
        <v>2423.7000000000025</v>
      </c>
      <c r="H247" s="15">
        <v>119</v>
      </c>
      <c r="I247" s="13">
        <v>9</v>
      </c>
      <c r="J247" s="16">
        <v>839</v>
      </c>
      <c r="K247" s="30">
        <v>1391</v>
      </c>
      <c r="L247" s="29">
        <v>1014</v>
      </c>
      <c r="M247" s="28">
        <v>37</v>
      </c>
    </row>
    <row r="248" spans="1:13" outlineLevel="1" x14ac:dyDescent="0.2">
      <c r="A248" s="20">
        <f t="shared" si="158"/>
        <v>12826</v>
      </c>
      <c r="B248" s="19" t="str">
        <f t="shared" si="158"/>
        <v>UHD</v>
      </c>
      <c r="C248" s="18"/>
      <c r="D248" s="15">
        <v>2351</v>
      </c>
      <c r="E248" s="21">
        <v>0.17399999999999999</v>
      </c>
      <c r="F248" s="14">
        <v>8043.8</v>
      </c>
      <c r="G248" s="28">
        <v>4292.430000000033</v>
      </c>
      <c r="H248" s="15">
        <v>134</v>
      </c>
      <c r="I248" s="13">
        <v>3</v>
      </c>
      <c r="J248" s="16">
        <v>1694</v>
      </c>
      <c r="K248" s="30">
        <v>3011</v>
      </c>
      <c r="L248" s="29">
        <v>1820</v>
      </c>
      <c r="M248" s="28">
        <v>590</v>
      </c>
    </row>
    <row r="249" spans="1:13" outlineLevel="1" x14ac:dyDescent="0.2">
      <c r="A249" s="20">
        <f t="shared" si="158"/>
        <v>13231</v>
      </c>
      <c r="B249" s="19" t="str">
        <f t="shared" si="158"/>
        <v>UHV</v>
      </c>
      <c r="C249" s="18"/>
      <c r="D249" s="15">
        <v>619</v>
      </c>
      <c r="E249" s="17">
        <v>0.47520661157024796</v>
      </c>
      <c r="F249" s="14">
        <v>1685.8666666666666</v>
      </c>
      <c r="G249" s="28">
        <v>1187.5899999999924</v>
      </c>
      <c r="H249" s="15">
        <v>134</v>
      </c>
      <c r="I249" s="13">
        <v>9</v>
      </c>
      <c r="J249" s="16">
        <v>418</v>
      </c>
      <c r="K249" s="30">
        <v>776</v>
      </c>
      <c r="L249" s="29">
        <v>334</v>
      </c>
      <c r="M249" s="28">
        <v>6</v>
      </c>
    </row>
    <row r="250" spans="1:13" outlineLevel="1" x14ac:dyDescent="0.2">
      <c r="A250" s="20">
        <f t="shared" si="158"/>
        <v>3592</v>
      </c>
      <c r="B250" s="19" t="str">
        <f t="shared" si="158"/>
        <v>Midwestern</v>
      </c>
      <c r="C250" s="18"/>
      <c r="D250" s="15">
        <v>1066</v>
      </c>
      <c r="E250" s="21">
        <v>0.46299999999999997</v>
      </c>
      <c r="F250" s="14">
        <v>4147.7333333333336</v>
      </c>
      <c r="G250" s="28">
        <v>2062.1399999999949</v>
      </c>
      <c r="H250" s="15">
        <v>358</v>
      </c>
      <c r="I250" s="13">
        <v>15</v>
      </c>
      <c r="J250" s="16">
        <v>723</v>
      </c>
      <c r="K250" s="30">
        <v>1310</v>
      </c>
      <c r="L250" s="29">
        <v>979</v>
      </c>
      <c r="M250" s="28">
        <v>683</v>
      </c>
    </row>
    <row r="251" spans="1:13" outlineLevel="1" x14ac:dyDescent="0.2">
      <c r="A251" s="20">
        <f t="shared" si="158"/>
        <v>3594</v>
      </c>
      <c r="B251" s="19" t="str">
        <f t="shared" si="158"/>
        <v>UNT</v>
      </c>
      <c r="C251" s="18"/>
      <c r="D251" s="15">
        <v>5843</v>
      </c>
      <c r="E251" s="21">
        <v>0.56799999999999995</v>
      </c>
      <c r="F251" s="14">
        <v>23213.466666666667</v>
      </c>
      <c r="G251" s="28">
        <v>11338.869999999399</v>
      </c>
      <c r="H251" s="15">
        <v>368</v>
      </c>
      <c r="I251" s="13">
        <v>56</v>
      </c>
      <c r="J251" s="16">
        <v>3771</v>
      </c>
      <c r="K251" s="30">
        <v>7310</v>
      </c>
      <c r="L251" s="29">
        <v>5432</v>
      </c>
      <c r="M251" s="28">
        <v>3116</v>
      </c>
    </row>
    <row r="252" spans="1:13" outlineLevel="1" x14ac:dyDescent="0.2">
      <c r="A252" s="27">
        <f t="shared" si="158"/>
        <v>113594</v>
      </c>
      <c r="B252" s="19" t="str">
        <f t="shared" si="158"/>
        <v>UNTD</v>
      </c>
      <c r="C252" s="18"/>
      <c r="D252" s="15">
        <v>419</v>
      </c>
      <c r="E252" s="21">
        <f>E251</f>
        <v>0.56799999999999995</v>
      </c>
      <c r="F252" s="14">
        <v>983.4666666666667</v>
      </c>
      <c r="G252" s="28">
        <v>742.11999999999398</v>
      </c>
      <c r="H252" s="15">
        <v>14</v>
      </c>
      <c r="I252" s="13">
        <v>0</v>
      </c>
      <c r="J252" s="16">
        <v>313</v>
      </c>
      <c r="K252" s="30">
        <v>469</v>
      </c>
      <c r="L252" s="29">
        <v>80</v>
      </c>
      <c r="M252" s="28">
        <v>4</v>
      </c>
    </row>
    <row r="253" spans="1:13" outlineLevel="1" x14ac:dyDescent="0.2">
      <c r="A253" s="20">
        <f t="shared" si="158"/>
        <v>3624</v>
      </c>
      <c r="B253" s="19" t="str">
        <f t="shared" si="158"/>
        <v>SFA</v>
      </c>
      <c r="C253" s="18"/>
      <c r="D253" s="15">
        <v>2011</v>
      </c>
      <c r="E253" s="21">
        <v>0.55299999999999994</v>
      </c>
      <c r="F253" s="14">
        <v>9507.3333333333339</v>
      </c>
      <c r="G253" s="28">
        <v>3932.9399999999569</v>
      </c>
      <c r="H253" s="15">
        <v>273</v>
      </c>
      <c r="I253" s="13">
        <v>42</v>
      </c>
      <c r="J253" s="16">
        <v>1513</v>
      </c>
      <c r="K253" s="30">
        <v>2605</v>
      </c>
      <c r="L253" s="29">
        <v>2125</v>
      </c>
      <c r="M253" s="28">
        <v>1473</v>
      </c>
    </row>
    <row r="254" spans="1:13" outlineLevel="1" x14ac:dyDescent="0.2">
      <c r="A254" s="20">
        <f t="shared" si="158"/>
        <v>3642</v>
      </c>
      <c r="B254" s="19" t="str">
        <f t="shared" si="158"/>
        <v>TSU</v>
      </c>
      <c r="C254" s="18"/>
      <c r="D254" s="15">
        <v>737</v>
      </c>
      <c r="E254" s="21">
        <v>0.14099999999999999</v>
      </c>
      <c r="F254" s="14">
        <v>5767.1333333333332</v>
      </c>
      <c r="G254" s="28">
        <v>1478.8299999999929</v>
      </c>
      <c r="H254" s="15">
        <v>154</v>
      </c>
      <c r="I254" s="13">
        <v>5</v>
      </c>
      <c r="J254" s="16">
        <v>641</v>
      </c>
      <c r="K254" s="30">
        <v>1349</v>
      </c>
      <c r="L254" s="29">
        <v>988</v>
      </c>
      <c r="M254" s="28">
        <v>760</v>
      </c>
    </row>
    <row r="255" spans="1:13" outlineLevel="1" x14ac:dyDescent="0.2">
      <c r="A255" s="20">
        <f t="shared" si="158"/>
        <v>3644</v>
      </c>
      <c r="B255" s="19" t="str">
        <f t="shared" si="158"/>
        <v>TTU</v>
      </c>
      <c r="C255" s="18"/>
      <c r="D255" s="15">
        <v>4941</v>
      </c>
      <c r="E255" s="21">
        <v>0.73599999999999999</v>
      </c>
      <c r="F255" s="14">
        <v>22627.599999999999</v>
      </c>
      <c r="G255" s="28">
        <v>10741.019999999262</v>
      </c>
      <c r="H255" s="15">
        <v>839</v>
      </c>
      <c r="I255" s="13">
        <v>67</v>
      </c>
      <c r="J255" s="16">
        <v>3071</v>
      </c>
      <c r="K255" s="30">
        <v>6449</v>
      </c>
      <c r="L255" s="29">
        <v>5332</v>
      </c>
      <c r="M255" s="28">
        <v>4048</v>
      </c>
    </row>
    <row r="256" spans="1:13" outlineLevel="1" x14ac:dyDescent="0.2">
      <c r="A256" s="20">
        <f t="shared" si="158"/>
        <v>3541</v>
      </c>
      <c r="B256" s="19" t="str">
        <f t="shared" si="158"/>
        <v>Angelo</v>
      </c>
      <c r="C256" s="18"/>
      <c r="D256" s="15">
        <v>1073</v>
      </c>
      <c r="E256" s="21">
        <v>0.40799999999999997</v>
      </c>
      <c r="F256" s="14">
        <v>4921.333333333333</v>
      </c>
      <c r="G256" s="28">
        <v>2141.5100000000025</v>
      </c>
      <c r="H256" s="15">
        <v>304</v>
      </c>
      <c r="I256" s="13">
        <v>19</v>
      </c>
      <c r="J256" s="16">
        <v>773</v>
      </c>
      <c r="K256" s="30">
        <v>1398</v>
      </c>
      <c r="L256" s="29">
        <v>1022</v>
      </c>
      <c r="M256" s="28">
        <v>707</v>
      </c>
    </row>
    <row r="257" spans="1:13" outlineLevel="1" x14ac:dyDescent="0.2">
      <c r="A257" s="20">
        <f t="shared" si="158"/>
        <v>3646</v>
      </c>
      <c r="B257" s="19" t="str">
        <f t="shared" si="158"/>
        <v>TWU</v>
      </c>
      <c r="C257" s="18"/>
      <c r="D257" s="15">
        <v>1919</v>
      </c>
      <c r="E257" s="21">
        <v>0.54200000000000004</v>
      </c>
      <c r="F257" s="14">
        <v>6999.5333333333338</v>
      </c>
      <c r="G257" s="28">
        <v>3704.3199999999606</v>
      </c>
      <c r="H257" s="15">
        <v>571</v>
      </c>
      <c r="I257" s="13">
        <v>30</v>
      </c>
      <c r="J257" s="16">
        <v>1326</v>
      </c>
      <c r="K257" s="30">
        <v>2425</v>
      </c>
      <c r="L257" s="29">
        <v>1247</v>
      </c>
      <c r="M257" s="28">
        <v>703</v>
      </c>
    </row>
    <row r="258" spans="1:13" outlineLevel="1" x14ac:dyDescent="0.2">
      <c r="A258" s="20">
        <f t="shared" si="158"/>
        <v>3581</v>
      </c>
      <c r="B258" s="19" t="str">
        <f t="shared" si="158"/>
        <v>Lamar</v>
      </c>
      <c r="C258" s="18"/>
      <c r="D258" s="15">
        <v>1380</v>
      </c>
      <c r="E258" s="21">
        <v>0.35899999999999999</v>
      </c>
      <c r="F258" s="14">
        <v>7404.4666666666662</v>
      </c>
      <c r="G258" s="28">
        <v>2721.5300000000057</v>
      </c>
      <c r="H258" s="15">
        <v>318</v>
      </c>
      <c r="I258" s="13">
        <v>18</v>
      </c>
      <c r="J258" s="16">
        <v>995</v>
      </c>
      <c r="K258" s="30">
        <v>2074</v>
      </c>
      <c r="L258" s="29">
        <v>1486</v>
      </c>
      <c r="M258" s="28">
        <v>1002</v>
      </c>
    </row>
    <row r="259" spans="1:13" outlineLevel="1" x14ac:dyDescent="0.2">
      <c r="A259" s="20">
        <f t="shared" si="158"/>
        <v>3606</v>
      </c>
      <c r="B259" s="19" t="str">
        <f t="shared" si="158"/>
        <v>SHSU</v>
      </c>
      <c r="C259" s="18"/>
      <c r="D259" s="15">
        <v>2978</v>
      </c>
      <c r="E259" s="21">
        <v>0.57799999999999996</v>
      </c>
      <c r="F259" s="14">
        <v>12574.466666666667</v>
      </c>
      <c r="G259" s="28">
        <v>5694.020000000286</v>
      </c>
      <c r="H259" s="15">
        <v>172</v>
      </c>
      <c r="I259" s="13">
        <v>51</v>
      </c>
      <c r="J259" s="16">
        <v>2163</v>
      </c>
      <c r="K259" s="30">
        <v>3894</v>
      </c>
      <c r="L259" s="29">
        <v>2915</v>
      </c>
      <c r="M259" s="28">
        <v>1704</v>
      </c>
    </row>
    <row r="260" spans="1:13" outlineLevel="1" x14ac:dyDescent="0.2">
      <c r="A260" s="20">
        <f t="shared" si="158"/>
        <v>3615</v>
      </c>
      <c r="B260" s="19" t="str">
        <f t="shared" si="158"/>
        <v>TXST</v>
      </c>
      <c r="C260" s="18"/>
      <c r="D260" s="15">
        <v>5435</v>
      </c>
      <c r="E260" s="21">
        <v>0.61399999999999999</v>
      </c>
      <c r="F260" s="14">
        <v>24028</v>
      </c>
      <c r="G260" s="28">
        <v>10677.06999999951</v>
      </c>
      <c r="H260" s="15">
        <v>582</v>
      </c>
      <c r="I260" s="13">
        <v>67</v>
      </c>
      <c r="J260" s="16">
        <v>3816</v>
      </c>
      <c r="K260" s="30">
        <v>7425</v>
      </c>
      <c r="L260" s="29">
        <v>5561</v>
      </c>
      <c r="M260" s="28">
        <v>3333</v>
      </c>
    </row>
    <row r="261" spans="1:13" outlineLevel="1" x14ac:dyDescent="0.2">
      <c r="A261" s="20">
        <f t="shared" si="158"/>
        <v>3625</v>
      </c>
      <c r="B261" s="19" t="str">
        <f t="shared" si="158"/>
        <v>SRSU</v>
      </c>
      <c r="C261" s="18"/>
      <c r="D261" s="15">
        <v>191</v>
      </c>
      <c r="E261" s="21">
        <v>0.32600000000000001</v>
      </c>
      <c r="F261" s="14">
        <v>1229</v>
      </c>
      <c r="G261" s="28">
        <v>409.0499999999999</v>
      </c>
      <c r="H261" s="15">
        <v>10</v>
      </c>
      <c r="I261" s="13">
        <v>5</v>
      </c>
      <c r="J261" s="16">
        <v>167</v>
      </c>
      <c r="K261" s="30">
        <v>284</v>
      </c>
      <c r="L261" s="29">
        <v>188</v>
      </c>
      <c r="M261" s="28">
        <v>144</v>
      </c>
    </row>
    <row r="262" spans="1:13" outlineLevel="1" x14ac:dyDescent="0.2">
      <c r="A262" s="20">
        <f t="shared" si="158"/>
        <v>20</v>
      </c>
      <c r="B262" s="19" t="str">
        <f t="shared" si="158"/>
        <v>SRRG</v>
      </c>
      <c r="C262" s="18"/>
      <c r="D262" s="15">
        <v>154</v>
      </c>
      <c r="E262" s="17">
        <v>0.25423728813559321</v>
      </c>
      <c r="F262" s="14">
        <v>436.8</v>
      </c>
      <c r="G262" s="28">
        <v>268.06000000000023</v>
      </c>
      <c r="H262" s="15">
        <v>6</v>
      </c>
      <c r="I262" s="13">
        <v>1</v>
      </c>
      <c r="J262" s="16">
        <v>138</v>
      </c>
      <c r="K262" s="30">
        <v>215</v>
      </c>
      <c r="L262" s="29">
        <v>91</v>
      </c>
      <c r="M262" s="28">
        <v>6</v>
      </c>
    </row>
    <row r="263" spans="1:13" ht="13.5" outlineLevel="1" thickBot="1" x14ac:dyDescent="0.25">
      <c r="A263" s="12"/>
      <c r="B263" s="11" t="s">
        <v>11</v>
      </c>
      <c r="C263" s="10"/>
      <c r="D263" s="9">
        <f>SUM(D225:D262)</f>
        <v>87062</v>
      </c>
      <c r="E263" s="8">
        <v>0.58700000000000008</v>
      </c>
      <c r="F263" s="7">
        <f t="shared" ref="F263:M263" si="159">SUM(F225:F262)</f>
        <v>359610.06666666665</v>
      </c>
      <c r="G263" s="3">
        <f t="shared" si="159"/>
        <v>180161.28999999876</v>
      </c>
      <c r="H263" s="5">
        <f t="shared" si="159"/>
        <v>15629</v>
      </c>
      <c r="I263" s="3">
        <f t="shared" si="159"/>
        <v>1267</v>
      </c>
      <c r="J263" s="6">
        <f t="shared" si="159"/>
        <v>56968</v>
      </c>
      <c r="K263" s="5">
        <f t="shared" si="159"/>
        <v>113504</v>
      </c>
      <c r="L263" s="4">
        <f t="shared" si="159"/>
        <v>81268</v>
      </c>
      <c r="M263" s="3">
        <f t="shared" si="159"/>
        <v>50077</v>
      </c>
    </row>
    <row r="264" spans="1:13" ht="13.5" thickBot="1" x14ac:dyDescent="0.25">
      <c r="A264" s="45" t="s">
        <v>26</v>
      </c>
      <c r="B264" s="45"/>
      <c r="C264" s="45"/>
      <c r="D264" s="45"/>
      <c r="F264" s="45"/>
      <c r="J264" s="45"/>
    </row>
    <row r="265" spans="1:13" ht="12.75" customHeight="1" outlineLevel="1" x14ac:dyDescent="0.2">
      <c r="A265" s="177" t="s">
        <v>24</v>
      </c>
      <c r="B265" s="179" t="s">
        <v>23</v>
      </c>
      <c r="C265" s="181"/>
      <c r="D265" s="210" t="s">
        <v>22</v>
      </c>
      <c r="E265" s="205" t="s">
        <v>21</v>
      </c>
      <c r="F265" s="179" t="s">
        <v>20</v>
      </c>
      <c r="G265" s="201" t="s">
        <v>19</v>
      </c>
      <c r="H265" s="203" t="s">
        <v>18</v>
      </c>
      <c r="I265" s="195" t="s">
        <v>17</v>
      </c>
      <c r="J265" s="197" t="s">
        <v>16</v>
      </c>
      <c r="K265" s="199" t="s">
        <v>15</v>
      </c>
      <c r="L265" s="200"/>
      <c r="M265" s="200"/>
    </row>
    <row r="266" spans="1:13" s="41" customFormat="1" ht="40.5" customHeight="1" outlineLevel="1" thickBot="1" x14ac:dyDescent="0.25">
      <c r="A266" s="178"/>
      <c r="B266" s="180"/>
      <c r="C266" s="182"/>
      <c r="D266" s="211"/>
      <c r="E266" s="206"/>
      <c r="F266" s="180"/>
      <c r="G266" s="202"/>
      <c r="H266" s="204"/>
      <c r="I266" s="196"/>
      <c r="J266" s="198"/>
      <c r="K266" s="44" t="s">
        <v>14</v>
      </c>
      <c r="L266" s="43" t="s">
        <v>13</v>
      </c>
      <c r="M266" s="42" t="s">
        <v>12</v>
      </c>
    </row>
    <row r="267" spans="1:13" outlineLevel="1" x14ac:dyDescent="0.2">
      <c r="A267" s="40">
        <f t="shared" ref="A267:B286" si="160">A225</f>
        <v>3656</v>
      </c>
      <c r="B267" s="39" t="str">
        <f t="shared" si="160"/>
        <v>UTA</v>
      </c>
      <c r="C267" s="38"/>
      <c r="D267" s="33">
        <v>5103</v>
      </c>
      <c r="E267" s="37">
        <v>0.49299999999999999</v>
      </c>
      <c r="F267" s="32">
        <v>17372</v>
      </c>
      <c r="G267" s="31">
        <v>10527.860000000002</v>
      </c>
      <c r="H267" s="36">
        <v>1620</v>
      </c>
      <c r="I267" s="35">
        <v>26</v>
      </c>
      <c r="J267" s="34">
        <v>3158</v>
      </c>
      <c r="K267" s="33">
        <v>6986</v>
      </c>
      <c r="L267" s="32">
        <v>3903</v>
      </c>
      <c r="M267" s="31">
        <v>1733</v>
      </c>
    </row>
    <row r="268" spans="1:13" outlineLevel="1" x14ac:dyDescent="0.2">
      <c r="A268" s="20">
        <f t="shared" si="160"/>
        <v>3658</v>
      </c>
      <c r="B268" s="19" t="str">
        <f t="shared" si="160"/>
        <v>UT</v>
      </c>
      <c r="C268" s="18"/>
      <c r="D268" s="15">
        <v>9027</v>
      </c>
      <c r="E268" s="21">
        <v>0.83299999999999996</v>
      </c>
      <c r="F268" s="14">
        <v>33709.866666666669</v>
      </c>
      <c r="G268" s="13">
        <v>19422.050000001858</v>
      </c>
      <c r="H268" s="15">
        <v>1894</v>
      </c>
      <c r="I268" s="13">
        <v>60</v>
      </c>
      <c r="J268" s="16">
        <v>3475</v>
      </c>
      <c r="K268" s="15">
        <v>9939</v>
      </c>
      <c r="L268" s="14">
        <v>8895</v>
      </c>
      <c r="M268" s="13">
        <v>7485</v>
      </c>
    </row>
    <row r="269" spans="1:13" outlineLevel="1" x14ac:dyDescent="0.2">
      <c r="A269" s="20">
        <f t="shared" si="160"/>
        <v>9741</v>
      </c>
      <c r="B269" s="19" t="str">
        <f t="shared" si="160"/>
        <v>UTD</v>
      </c>
      <c r="C269" s="18"/>
      <c r="D269" s="15">
        <v>2314</v>
      </c>
      <c r="E269" s="21">
        <v>0.68299999999999994</v>
      </c>
      <c r="F269" s="14">
        <v>8822.2000000000007</v>
      </c>
      <c r="G269" s="13">
        <v>4904.1700000000228</v>
      </c>
      <c r="H269" s="15">
        <v>424</v>
      </c>
      <c r="I269" s="13">
        <v>27</v>
      </c>
      <c r="J269" s="16">
        <v>1294</v>
      </c>
      <c r="K269" s="15">
        <v>3345</v>
      </c>
      <c r="L269" s="14">
        <v>2105</v>
      </c>
      <c r="M269" s="13">
        <v>1076</v>
      </c>
    </row>
    <row r="270" spans="1:13" outlineLevel="1" x14ac:dyDescent="0.2">
      <c r="A270" s="20">
        <f t="shared" si="160"/>
        <v>3661</v>
      </c>
      <c r="B270" s="19" t="str">
        <f t="shared" si="160"/>
        <v>UTEP</v>
      </c>
      <c r="C270" s="18"/>
      <c r="D270" s="15">
        <v>3008</v>
      </c>
      <c r="E270" s="21">
        <v>0.38400000000000001</v>
      </c>
      <c r="F270" s="14">
        <v>13376</v>
      </c>
      <c r="G270" s="13">
        <v>6142.7200000000885</v>
      </c>
      <c r="H270" s="15">
        <v>613</v>
      </c>
      <c r="I270" s="13">
        <v>91</v>
      </c>
      <c r="J270" s="16">
        <v>2409</v>
      </c>
      <c r="K270" s="15">
        <v>4488</v>
      </c>
      <c r="L270" s="14">
        <v>3404</v>
      </c>
      <c r="M270" s="13">
        <v>1910</v>
      </c>
    </row>
    <row r="271" spans="1:13" outlineLevel="1" x14ac:dyDescent="0.2">
      <c r="A271" s="20">
        <f t="shared" si="160"/>
        <v>3599</v>
      </c>
      <c r="B271" s="19" t="str">
        <f t="shared" si="160"/>
        <v>UTPA</v>
      </c>
      <c r="C271" s="18"/>
      <c r="D271" s="15">
        <v>2658</v>
      </c>
      <c r="E271" s="21">
        <v>0.46399999999999997</v>
      </c>
      <c r="F271" s="14">
        <v>12499.266666666666</v>
      </c>
      <c r="G271" s="13">
        <v>5231.3300000001427</v>
      </c>
      <c r="H271" s="15">
        <v>534</v>
      </c>
      <c r="I271" s="13">
        <v>34</v>
      </c>
      <c r="J271" s="16">
        <v>2427</v>
      </c>
      <c r="K271" s="15">
        <v>4142</v>
      </c>
      <c r="L271" s="14">
        <v>3290</v>
      </c>
      <c r="M271" s="13">
        <v>1998</v>
      </c>
    </row>
    <row r="272" spans="1:13" outlineLevel="1" x14ac:dyDescent="0.2">
      <c r="A272" s="20">
        <f t="shared" si="160"/>
        <v>30646</v>
      </c>
      <c r="B272" s="19" t="str">
        <f t="shared" si="160"/>
        <v>UTB</v>
      </c>
      <c r="C272" s="18"/>
      <c r="D272" s="15">
        <v>1075</v>
      </c>
      <c r="E272" s="17">
        <v>0.55124653739612184</v>
      </c>
      <c r="F272" s="14">
        <v>3116.2</v>
      </c>
      <c r="G272" s="13">
        <v>2052.0600000000218</v>
      </c>
      <c r="H272" s="15">
        <v>132</v>
      </c>
      <c r="I272" s="13">
        <v>15</v>
      </c>
      <c r="J272" s="16">
        <v>916</v>
      </c>
      <c r="K272" s="15">
        <v>1359</v>
      </c>
      <c r="L272" s="14">
        <v>600</v>
      </c>
      <c r="M272" s="13">
        <v>131</v>
      </c>
    </row>
    <row r="273" spans="1:13" outlineLevel="1" x14ac:dyDescent="0.2">
      <c r="A273" s="20">
        <f t="shared" si="160"/>
        <v>9930</v>
      </c>
      <c r="B273" s="19" t="str">
        <f t="shared" si="160"/>
        <v>UTPB</v>
      </c>
      <c r="C273" s="18"/>
      <c r="D273" s="15">
        <v>541</v>
      </c>
      <c r="E273" s="21">
        <v>0.40700000000000003</v>
      </c>
      <c r="F273" s="14">
        <v>2416</v>
      </c>
      <c r="G273" s="13">
        <v>1005.1500000000051</v>
      </c>
      <c r="H273" s="15">
        <v>40</v>
      </c>
      <c r="I273" s="13">
        <v>10</v>
      </c>
      <c r="J273" s="16">
        <v>407</v>
      </c>
      <c r="K273" s="15">
        <v>908</v>
      </c>
      <c r="L273" s="14">
        <v>490</v>
      </c>
      <c r="M273" s="13">
        <v>191</v>
      </c>
    </row>
    <row r="274" spans="1:13" outlineLevel="1" x14ac:dyDescent="0.2">
      <c r="A274" s="20">
        <f t="shared" si="160"/>
        <v>10115</v>
      </c>
      <c r="B274" s="19" t="str">
        <f t="shared" si="160"/>
        <v>UTSA</v>
      </c>
      <c r="C274" s="18"/>
      <c r="D274" s="15">
        <v>4148</v>
      </c>
      <c r="E274" s="21">
        <v>0.39400000000000002</v>
      </c>
      <c r="F274" s="14">
        <v>20284.733333333334</v>
      </c>
      <c r="G274" s="13">
        <v>8398.8499999997166</v>
      </c>
      <c r="H274" s="15">
        <v>394</v>
      </c>
      <c r="I274" s="13">
        <v>47</v>
      </c>
      <c r="J274" s="16">
        <v>3211</v>
      </c>
      <c r="K274" s="15">
        <v>6802</v>
      </c>
      <c r="L274" s="14">
        <v>4390</v>
      </c>
      <c r="M274" s="13">
        <v>2699</v>
      </c>
    </row>
    <row r="275" spans="1:13" outlineLevel="1" x14ac:dyDescent="0.2">
      <c r="A275" s="20">
        <f t="shared" si="160"/>
        <v>11163</v>
      </c>
      <c r="B275" s="19" t="str">
        <f t="shared" si="160"/>
        <v>UTT</v>
      </c>
      <c r="C275" s="18"/>
      <c r="D275" s="15">
        <v>1188</v>
      </c>
      <c r="E275" s="21">
        <v>0.53300000000000003</v>
      </c>
      <c r="F275" s="14">
        <v>4030.7333333333331</v>
      </c>
      <c r="G275" s="13">
        <v>2364.9800000000037</v>
      </c>
      <c r="H275" s="15">
        <v>366</v>
      </c>
      <c r="I275" s="13">
        <v>9</v>
      </c>
      <c r="J275" s="16">
        <v>939</v>
      </c>
      <c r="K275" s="15">
        <v>1496</v>
      </c>
      <c r="L275" s="14">
        <v>905</v>
      </c>
      <c r="M275" s="13">
        <v>401</v>
      </c>
    </row>
    <row r="276" spans="1:13" outlineLevel="1" x14ac:dyDescent="0.2">
      <c r="A276" s="20">
        <f t="shared" si="160"/>
        <v>3632</v>
      </c>
      <c r="B276" s="19" t="str">
        <f t="shared" si="160"/>
        <v>TAMU</v>
      </c>
      <c r="C276" s="18"/>
      <c r="D276" s="15">
        <v>8748</v>
      </c>
      <c r="E276" s="21">
        <v>0.84399999999999997</v>
      </c>
      <c r="F276" s="14">
        <v>34425.133333333331</v>
      </c>
      <c r="G276" s="13">
        <v>20060.050000001262</v>
      </c>
      <c r="H276" s="15">
        <v>1775</v>
      </c>
      <c r="I276" s="13">
        <v>133</v>
      </c>
      <c r="J276" s="16">
        <v>3727</v>
      </c>
      <c r="K276" s="15">
        <v>9623</v>
      </c>
      <c r="L276" s="14">
        <v>8962</v>
      </c>
      <c r="M276" s="13">
        <v>6823</v>
      </c>
    </row>
    <row r="277" spans="1:13" outlineLevel="1" x14ac:dyDescent="0.2">
      <c r="A277" s="20">
        <f t="shared" si="160"/>
        <v>10298</v>
      </c>
      <c r="B277" s="19" t="str">
        <f t="shared" si="160"/>
        <v>TAMUG</v>
      </c>
      <c r="C277" s="18"/>
      <c r="D277" s="15">
        <v>250</v>
      </c>
      <c r="E277" s="21">
        <v>0.66400000000000003</v>
      </c>
      <c r="F277" s="14">
        <v>1668.1333333333334</v>
      </c>
      <c r="G277" s="13">
        <v>648.89999999999895</v>
      </c>
      <c r="H277" s="15">
        <v>35</v>
      </c>
      <c r="I277" s="13">
        <v>0</v>
      </c>
      <c r="J277" s="16">
        <v>151</v>
      </c>
      <c r="K277" s="15">
        <v>600</v>
      </c>
      <c r="L277" s="14">
        <v>336</v>
      </c>
      <c r="M277" s="13">
        <v>234</v>
      </c>
    </row>
    <row r="278" spans="1:13" outlineLevel="1" x14ac:dyDescent="0.2">
      <c r="A278" s="20">
        <f t="shared" si="160"/>
        <v>3630</v>
      </c>
      <c r="B278" s="19" t="str">
        <f t="shared" si="160"/>
        <v>Prairie View</v>
      </c>
      <c r="C278" s="18"/>
      <c r="D278" s="15">
        <v>904</v>
      </c>
      <c r="E278" s="21">
        <v>0.37</v>
      </c>
      <c r="F278" s="49">
        <v>6088.2666666666664</v>
      </c>
      <c r="G278" s="13">
        <v>1934.240000000003</v>
      </c>
      <c r="H278" s="15">
        <v>279</v>
      </c>
      <c r="I278" s="13">
        <v>10</v>
      </c>
      <c r="J278" s="16">
        <v>775</v>
      </c>
      <c r="K278" s="15">
        <v>1660</v>
      </c>
      <c r="L278" s="14">
        <v>1237</v>
      </c>
      <c r="M278" s="13">
        <v>905</v>
      </c>
    </row>
    <row r="279" spans="1:13" outlineLevel="1" x14ac:dyDescent="0.2">
      <c r="A279" s="20">
        <f t="shared" si="160"/>
        <v>3631</v>
      </c>
      <c r="B279" s="19" t="str">
        <f t="shared" si="160"/>
        <v>Tarleton</v>
      </c>
      <c r="C279" s="18"/>
      <c r="D279" s="15">
        <v>1552</v>
      </c>
      <c r="E279" s="21">
        <v>0.48299999999999998</v>
      </c>
      <c r="F279" s="49">
        <v>6264.4666666666662</v>
      </c>
      <c r="G279" s="13">
        <v>3063.9600000000341</v>
      </c>
      <c r="H279" s="15">
        <v>197</v>
      </c>
      <c r="I279" s="48">
        <v>56</v>
      </c>
      <c r="J279" s="16">
        <v>1196</v>
      </c>
      <c r="K279" s="50">
        <v>2096</v>
      </c>
      <c r="L279" s="49">
        <v>1464</v>
      </c>
      <c r="M279" s="48">
        <v>840</v>
      </c>
    </row>
    <row r="280" spans="1:13" outlineLevel="1" x14ac:dyDescent="0.2">
      <c r="A280" s="27">
        <f t="shared" si="160"/>
        <v>103631</v>
      </c>
      <c r="B280" s="19" t="str">
        <f t="shared" si="160"/>
        <v>TAMUCT</v>
      </c>
      <c r="C280" s="18"/>
      <c r="D280" s="15">
        <v>462</v>
      </c>
      <c r="E280" s="21">
        <v>0.48299999999999998</v>
      </c>
      <c r="F280" s="49">
        <v>700.66666666666663</v>
      </c>
      <c r="G280" s="13">
        <v>846.68000000000006</v>
      </c>
      <c r="H280" s="15">
        <v>36</v>
      </c>
      <c r="I280" s="48">
        <v>0</v>
      </c>
      <c r="J280" s="16">
        <v>330</v>
      </c>
      <c r="K280" s="50">
        <v>555</v>
      </c>
      <c r="L280" s="49">
        <v>143</v>
      </c>
      <c r="M280" s="48">
        <v>66</v>
      </c>
    </row>
    <row r="281" spans="1:13" outlineLevel="1" x14ac:dyDescent="0.2">
      <c r="A281" s="20">
        <f t="shared" si="160"/>
        <v>11161</v>
      </c>
      <c r="B281" s="19" t="str">
        <f t="shared" si="160"/>
        <v>TAMUCC</v>
      </c>
      <c r="C281" s="18"/>
      <c r="D281" s="15">
        <v>1315</v>
      </c>
      <c r="E281" s="21">
        <v>0.51100000000000001</v>
      </c>
      <c r="F281" s="49">
        <v>6609.8666666666668</v>
      </c>
      <c r="G281" s="13">
        <v>2639.1300000000101</v>
      </c>
      <c r="H281" s="15">
        <v>252</v>
      </c>
      <c r="I281" s="48">
        <v>25</v>
      </c>
      <c r="J281" s="16">
        <v>1034</v>
      </c>
      <c r="K281" s="15">
        <v>2126</v>
      </c>
      <c r="L281" s="14">
        <v>1577</v>
      </c>
      <c r="M281" s="13">
        <v>864</v>
      </c>
    </row>
    <row r="282" spans="1:13" outlineLevel="1" x14ac:dyDescent="0.2">
      <c r="A282" s="20">
        <f t="shared" si="160"/>
        <v>3639</v>
      </c>
      <c r="B282" s="19" t="str">
        <f t="shared" si="160"/>
        <v>TAMUK</v>
      </c>
      <c r="C282" s="18"/>
      <c r="D282" s="15">
        <v>738</v>
      </c>
      <c r="E282" s="21">
        <v>0.39799999999999996</v>
      </c>
      <c r="F282" s="49">
        <v>4394.2</v>
      </c>
      <c r="G282" s="13">
        <v>1735.8600000000065</v>
      </c>
      <c r="H282" s="15">
        <v>246</v>
      </c>
      <c r="I282" s="48">
        <v>16</v>
      </c>
      <c r="J282" s="16">
        <v>613</v>
      </c>
      <c r="K282" s="50">
        <v>1180</v>
      </c>
      <c r="L282" s="49">
        <v>879</v>
      </c>
      <c r="M282" s="48">
        <v>555</v>
      </c>
    </row>
    <row r="283" spans="1:13" outlineLevel="1" x14ac:dyDescent="0.2">
      <c r="A283" s="27">
        <f t="shared" si="160"/>
        <v>103639</v>
      </c>
      <c r="B283" s="19" t="str">
        <f t="shared" si="160"/>
        <v>TAMUSA</v>
      </c>
      <c r="C283" s="18"/>
      <c r="D283" s="15">
        <v>620</v>
      </c>
      <c r="E283" s="21">
        <v>0.39799999999999996</v>
      </c>
      <c r="F283" s="49">
        <v>1492.4</v>
      </c>
      <c r="G283" s="13">
        <v>1078.0000000000073</v>
      </c>
      <c r="H283" s="15">
        <v>1</v>
      </c>
      <c r="I283" s="48">
        <v>0</v>
      </c>
      <c r="J283" s="16">
        <v>520</v>
      </c>
      <c r="K283" s="50">
        <v>995</v>
      </c>
      <c r="L283" s="49">
        <v>37</v>
      </c>
      <c r="M283" s="48">
        <v>2</v>
      </c>
    </row>
    <row r="284" spans="1:13" outlineLevel="1" x14ac:dyDescent="0.2">
      <c r="A284" s="20">
        <f t="shared" si="160"/>
        <v>9651</v>
      </c>
      <c r="B284" s="19" t="str">
        <f t="shared" si="160"/>
        <v>TAMI</v>
      </c>
      <c r="C284" s="18"/>
      <c r="D284" s="15">
        <v>766</v>
      </c>
      <c r="E284" s="21">
        <v>0.503</v>
      </c>
      <c r="F284" s="14">
        <v>4126.8</v>
      </c>
      <c r="G284" s="13">
        <v>1400.4200000000046</v>
      </c>
      <c r="H284" s="15">
        <v>120</v>
      </c>
      <c r="I284" s="13">
        <v>18</v>
      </c>
      <c r="J284" s="16">
        <v>688</v>
      </c>
      <c r="K284" s="15">
        <v>1515</v>
      </c>
      <c r="L284" s="14">
        <v>1027</v>
      </c>
      <c r="M284" s="13">
        <v>486</v>
      </c>
    </row>
    <row r="285" spans="1:13" outlineLevel="1" x14ac:dyDescent="0.2">
      <c r="A285" s="20">
        <f t="shared" si="160"/>
        <v>3665</v>
      </c>
      <c r="B285" s="19" t="str">
        <f t="shared" si="160"/>
        <v>WTAMU</v>
      </c>
      <c r="C285" s="18"/>
      <c r="D285" s="15">
        <v>1294</v>
      </c>
      <c r="E285" s="21">
        <v>0.47399999999999998</v>
      </c>
      <c r="F285" s="14">
        <v>5457.666666666667</v>
      </c>
      <c r="G285" s="13">
        <v>2570.7800000000157</v>
      </c>
      <c r="H285" s="15">
        <v>184</v>
      </c>
      <c r="I285" s="13">
        <v>58</v>
      </c>
      <c r="J285" s="16">
        <v>913</v>
      </c>
      <c r="K285" s="15">
        <v>1871</v>
      </c>
      <c r="L285" s="14">
        <v>1264</v>
      </c>
      <c r="M285" s="13">
        <v>664</v>
      </c>
    </row>
    <row r="286" spans="1:13" outlineLevel="1" x14ac:dyDescent="0.2">
      <c r="A286" s="20">
        <f t="shared" si="160"/>
        <v>3565</v>
      </c>
      <c r="B286" s="19" t="str">
        <f t="shared" si="160"/>
        <v>TAMUC</v>
      </c>
      <c r="C286" s="18"/>
      <c r="D286" s="15">
        <v>1313</v>
      </c>
      <c r="E286" s="21">
        <v>0.42600000000000005</v>
      </c>
      <c r="F286" s="14">
        <v>4783.5333333333338</v>
      </c>
      <c r="G286" s="13">
        <v>2463.6900000000296</v>
      </c>
      <c r="H286" s="15">
        <v>71</v>
      </c>
      <c r="I286" s="13">
        <v>77</v>
      </c>
      <c r="J286" s="16">
        <v>1002</v>
      </c>
      <c r="K286" s="15">
        <v>1911</v>
      </c>
      <c r="L286" s="14">
        <v>1200</v>
      </c>
      <c r="M286" s="13">
        <v>477</v>
      </c>
    </row>
    <row r="287" spans="1:13" outlineLevel="1" x14ac:dyDescent="0.2">
      <c r="A287" s="20">
        <f t="shared" ref="A287:B304" si="161">A245</f>
        <v>29269</v>
      </c>
      <c r="B287" s="19" t="str">
        <f t="shared" si="161"/>
        <v>TAMUT</v>
      </c>
      <c r="C287" s="18"/>
      <c r="D287" s="15">
        <v>335</v>
      </c>
      <c r="E287" s="17">
        <v>0.56028368794326244</v>
      </c>
      <c r="F287" s="14">
        <v>879.13333333333333</v>
      </c>
      <c r="G287" s="13">
        <v>609.83000000000015</v>
      </c>
      <c r="H287" s="15">
        <v>48</v>
      </c>
      <c r="I287" s="13">
        <v>18</v>
      </c>
      <c r="J287" s="16">
        <v>230</v>
      </c>
      <c r="K287" s="15">
        <v>411</v>
      </c>
      <c r="L287" s="14">
        <v>186</v>
      </c>
      <c r="M287" s="13">
        <v>1</v>
      </c>
    </row>
    <row r="288" spans="1:13" outlineLevel="1" x14ac:dyDescent="0.2">
      <c r="A288" s="20">
        <f t="shared" si="161"/>
        <v>3652</v>
      </c>
      <c r="B288" s="19" t="str">
        <f t="shared" si="161"/>
        <v>UH</v>
      </c>
      <c r="C288" s="18"/>
      <c r="D288" s="15">
        <v>5092</v>
      </c>
      <c r="E288" s="21">
        <v>0.54200000000000004</v>
      </c>
      <c r="F288" s="14">
        <v>23853.933333333334</v>
      </c>
      <c r="G288" s="13">
        <v>10569.339999999527</v>
      </c>
      <c r="H288" s="15">
        <v>720</v>
      </c>
      <c r="I288" s="13">
        <v>74</v>
      </c>
      <c r="J288" s="16">
        <v>3340</v>
      </c>
      <c r="K288" s="15">
        <v>7467</v>
      </c>
      <c r="L288" s="14">
        <v>5804</v>
      </c>
      <c r="M288" s="13">
        <v>3314</v>
      </c>
    </row>
    <row r="289" spans="1:13" outlineLevel="1" x14ac:dyDescent="0.2">
      <c r="A289" s="20">
        <f t="shared" si="161"/>
        <v>11711</v>
      </c>
      <c r="B289" s="19" t="str">
        <f t="shared" si="161"/>
        <v>UHCL</v>
      </c>
      <c r="C289" s="18"/>
      <c r="D289" s="15">
        <v>1197</v>
      </c>
      <c r="E289" s="17">
        <v>0.53820033955857383</v>
      </c>
      <c r="F289" s="14">
        <v>3046.8</v>
      </c>
      <c r="G289" s="13">
        <v>2293.9500000000248</v>
      </c>
      <c r="H289" s="15">
        <v>113</v>
      </c>
      <c r="I289" s="13">
        <v>8</v>
      </c>
      <c r="J289" s="16">
        <v>777</v>
      </c>
      <c r="K289" s="15">
        <v>1434</v>
      </c>
      <c r="L289" s="14">
        <v>959</v>
      </c>
      <c r="M289" s="13">
        <v>53</v>
      </c>
    </row>
    <row r="290" spans="1:13" outlineLevel="1" x14ac:dyDescent="0.2">
      <c r="A290" s="20">
        <f t="shared" si="161"/>
        <v>12826</v>
      </c>
      <c r="B290" s="19" t="str">
        <f t="shared" si="161"/>
        <v>UHD</v>
      </c>
      <c r="C290" s="18"/>
      <c r="D290" s="15">
        <v>2437</v>
      </c>
      <c r="E290" s="21">
        <v>0.215</v>
      </c>
      <c r="F290" s="14">
        <v>7949.2666666666664</v>
      </c>
      <c r="G290" s="13">
        <v>4368.2100000000464</v>
      </c>
      <c r="H290" s="15">
        <v>143</v>
      </c>
      <c r="I290" s="13">
        <v>0</v>
      </c>
      <c r="J290" s="16">
        <v>1730</v>
      </c>
      <c r="K290" s="15">
        <v>3223</v>
      </c>
      <c r="L290" s="14">
        <v>1896</v>
      </c>
      <c r="M290" s="13">
        <v>618</v>
      </c>
    </row>
    <row r="291" spans="1:13" outlineLevel="1" x14ac:dyDescent="0.2">
      <c r="A291" s="20">
        <f t="shared" si="161"/>
        <v>13231</v>
      </c>
      <c r="B291" s="19" t="str">
        <f t="shared" si="161"/>
        <v>UHV</v>
      </c>
      <c r="C291" s="18"/>
      <c r="D291" s="15">
        <v>596</v>
      </c>
      <c r="E291" s="17">
        <v>0.5339366515837104</v>
      </c>
      <c r="F291" s="14">
        <v>1494.2</v>
      </c>
      <c r="G291" s="13">
        <v>1103.6999999999998</v>
      </c>
      <c r="H291" s="15">
        <v>118</v>
      </c>
      <c r="I291" s="13">
        <v>11</v>
      </c>
      <c r="J291" s="16">
        <v>397</v>
      </c>
      <c r="K291" s="15">
        <v>718</v>
      </c>
      <c r="L291" s="14">
        <v>286</v>
      </c>
      <c r="M291" s="13">
        <v>6</v>
      </c>
    </row>
    <row r="292" spans="1:13" outlineLevel="1" x14ac:dyDescent="0.2">
      <c r="A292" s="20">
        <f t="shared" si="161"/>
        <v>3592</v>
      </c>
      <c r="B292" s="19" t="str">
        <f t="shared" si="161"/>
        <v>Midwestern</v>
      </c>
      <c r="C292" s="18"/>
      <c r="D292" s="15">
        <v>1027</v>
      </c>
      <c r="E292" s="21">
        <v>0.443</v>
      </c>
      <c r="F292" s="14">
        <v>4387.7333333333336</v>
      </c>
      <c r="G292" s="13">
        <v>1924.84</v>
      </c>
      <c r="H292" s="15">
        <v>340</v>
      </c>
      <c r="I292" s="13">
        <v>11</v>
      </c>
      <c r="J292" s="16">
        <v>675</v>
      </c>
      <c r="K292" s="15">
        <v>1507</v>
      </c>
      <c r="L292" s="14">
        <v>1079</v>
      </c>
      <c r="M292" s="13">
        <v>734</v>
      </c>
    </row>
    <row r="293" spans="1:13" outlineLevel="1" x14ac:dyDescent="0.2">
      <c r="A293" s="20">
        <f t="shared" si="161"/>
        <v>3594</v>
      </c>
      <c r="B293" s="19" t="str">
        <f t="shared" si="161"/>
        <v>UNT</v>
      </c>
      <c r="C293" s="18"/>
      <c r="D293" s="15">
        <v>6183</v>
      </c>
      <c r="E293" s="21">
        <v>0.58700000000000008</v>
      </c>
      <c r="F293" s="14">
        <v>23168.733333333334</v>
      </c>
      <c r="G293" s="13">
        <v>11731.089999999795</v>
      </c>
      <c r="H293" s="15">
        <v>345</v>
      </c>
      <c r="I293" s="13">
        <v>47</v>
      </c>
      <c r="J293" s="16">
        <v>3942</v>
      </c>
      <c r="K293" s="15">
        <v>7957</v>
      </c>
      <c r="L293" s="14">
        <v>5891</v>
      </c>
      <c r="M293" s="13">
        <v>3310</v>
      </c>
    </row>
    <row r="294" spans="1:13" outlineLevel="1" x14ac:dyDescent="0.2">
      <c r="A294" s="27">
        <f t="shared" si="161"/>
        <v>113594</v>
      </c>
      <c r="B294" s="19" t="str">
        <f t="shared" si="161"/>
        <v>UNTD</v>
      </c>
      <c r="C294" s="18"/>
      <c r="D294" s="30">
        <v>388</v>
      </c>
      <c r="E294" s="47">
        <v>0.58700000000000008</v>
      </c>
      <c r="F294" s="29">
        <v>908.8</v>
      </c>
      <c r="G294" s="28">
        <v>669.60000000000036</v>
      </c>
      <c r="H294" s="30">
        <v>10</v>
      </c>
      <c r="I294" s="28"/>
      <c r="J294" s="46">
        <v>304</v>
      </c>
      <c r="K294" s="30">
        <v>487</v>
      </c>
      <c r="L294" s="29">
        <v>63</v>
      </c>
      <c r="M294" s="28">
        <v>18</v>
      </c>
    </row>
    <row r="295" spans="1:13" outlineLevel="1" x14ac:dyDescent="0.2">
      <c r="A295" s="20">
        <f t="shared" si="161"/>
        <v>3624</v>
      </c>
      <c r="B295" s="19" t="str">
        <f t="shared" si="161"/>
        <v>SFA</v>
      </c>
      <c r="C295" s="18"/>
      <c r="D295" s="15">
        <v>1880</v>
      </c>
      <c r="E295" s="21">
        <v>0.53900000000000003</v>
      </c>
      <c r="F295" s="14">
        <v>9440.9333333333325</v>
      </c>
      <c r="G295" s="13">
        <v>3606.8600000000297</v>
      </c>
      <c r="H295" s="15">
        <v>241</v>
      </c>
      <c r="I295" s="13">
        <v>49</v>
      </c>
      <c r="J295" s="16">
        <v>1446</v>
      </c>
      <c r="K295" s="15">
        <v>3040</v>
      </c>
      <c r="L295" s="14">
        <v>2166</v>
      </c>
      <c r="M295" s="13">
        <v>1402</v>
      </c>
    </row>
    <row r="296" spans="1:13" outlineLevel="1" x14ac:dyDescent="0.2">
      <c r="A296" s="20">
        <f t="shared" si="161"/>
        <v>3642</v>
      </c>
      <c r="B296" s="19" t="str">
        <f t="shared" si="161"/>
        <v>TSU</v>
      </c>
      <c r="C296" s="18"/>
      <c r="D296" s="15">
        <v>721</v>
      </c>
      <c r="E296" s="21">
        <v>0.14099999999999999</v>
      </c>
      <c r="F296" s="14">
        <v>5912.8</v>
      </c>
      <c r="G296" s="13">
        <v>1385.6100000000063</v>
      </c>
      <c r="H296" s="15">
        <v>122</v>
      </c>
      <c r="I296" s="13">
        <v>2</v>
      </c>
      <c r="J296" s="16">
        <v>635</v>
      </c>
      <c r="K296" s="15">
        <v>1692</v>
      </c>
      <c r="L296" s="14">
        <v>1274</v>
      </c>
      <c r="M296" s="13">
        <v>870</v>
      </c>
    </row>
    <row r="297" spans="1:13" outlineLevel="1" x14ac:dyDescent="0.2">
      <c r="A297" s="20">
        <f t="shared" si="161"/>
        <v>3644</v>
      </c>
      <c r="B297" s="19" t="str">
        <f t="shared" si="161"/>
        <v>TTU</v>
      </c>
      <c r="C297" s="18"/>
      <c r="D297" s="15">
        <v>4605</v>
      </c>
      <c r="E297" s="21">
        <v>0.7320000000000001</v>
      </c>
      <c r="F297" s="14">
        <v>22527.466666666667</v>
      </c>
      <c r="G297" s="13">
        <v>9815.7899999997753</v>
      </c>
      <c r="H297" s="15">
        <v>687</v>
      </c>
      <c r="I297" s="13">
        <v>62</v>
      </c>
      <c r="J297" s="16">
        <v>2724</v>
      </c>
      <c r="K297" s="15">
        <v>6577</v>
      </c>
      <c r="L297" s="14">
        <v>5355</v>
      </c>
      <c r="M297" s="13">
        <v>3957</v>
      </c>
    </row>
    <row r="298" spans="1:13" outlineLevel="1" x14ac:dyDescent="0.2">
      <c r="A298" s="20">
        <f t="shared" si="161"/>
        <v>3541</v>
      </c>
      <c r="B298" s="19" t="str">
        <f t="shared" si="161"/>
        <v>Angelo</v>
      </c>
      <c r="C298" s="18"/>
      <c r="D298" s="15">
        <v>960</v>
      </c>
      <c r="E298" s="21">
        <v>0.441</v>
      </c>
      <c r="F298" s="14">
        <v>4895.666666666667</v>
      </c>
      <c r="G298" s="13">
        <v>1856.9499999999953</v>
      </c>
      <c r="H298" s="15">
        <v>242</v>
      </c>
      <c r="I298" s="13">
        <v>21</v>
      </c>
      <c r="J298" s="16">
        <v>720</v>
      </c>
      <c r="K298" s="15">
        <v>1444</v>
      </c>
      <c r="L298" s="14">
        <v>1071</v>
      </c>
      <c r="M298" s="13">
        <v>708</v>
      </c>
    </row>
    <row r="299" spans="1:13" outlineLevel="1" x14ac:dyDescent="0.2">
      <c r="A299" s="20">
        <f t="shared" si="161"/>
        <v>3646</v>
      </c>
      <c r="B299" s="19" t="str">
        <f t="shared" si="161"/>
        <v>TWU</v>
      </c>
      <c r="C299" s="18"/>
      <c r="D299" s="15">
        <v>1725</v>
      </c>
      <c r="E299" s="21">
        <v>0.48399999999999999</v>
      </c>
      <c r="F299" s="14">
        <v>6598.2</v>
      </c>
      <c r="G299" s="13">
        <v>3227.0100000000139</v>
      </c>
      <c r="H299" s="15">
        <v>523</v>
      </c>
      <c r="I299" s="13">
        <v>34</v>
      </c>
      <c r="J299" s="16">
        <v>1201</v>
      </c>
      <c r="K299" s="15">
        <v>2121</v>
      </c>
      <c r="L299" s="14">
        <v>1259</v>
      </c>
      <c r="M299" s="13">
        <v>608</v>
      </c>
    </row>
    <row r="300" spans="1:13" outlineLevel="1" x14ac:dyDescent="0.2">
      <c r="A300" s="20">
        <f t="shared" si="161"/>
        <v>3581</v>
      </c>
      <c r="B300" s="19" t="str">
        <f t="shared" si="161"/>
        <v>Lamar</v>
      </c>
      <c r="C300" s="18"/>
      <c r="D300" s="15">
        <v>1340</v>
      </c>
      <c r="E300" s="21">
        <v>0.35399999999999998</v>
      </c>
      <c r="F300" s="14">
        <v>7247.8</v>
      </c>
      <c r="G300" s="13">
        <v>2695.0800000000122</v>
      </c>
      <c r="H300" s="15">
        <v>358</v>
      </c>
      <c r="I300" s="13">
        <v>16</v>
      </c>
      <c r="J300" s="16">
        <v>943</v>
      </c>
      <c r="K300" s="15">
        <v>2317</v>
      </c>
      <c r="L300" s="14">
        <v>1577</v>
      </c>
      <c r="M300" s="13">
        <v>1000</v>
      </c>
    </row>
    <row r="301" spans="1:13" outlineLevel="1" x14ac:dyDescent="0.2">
      <c r="A301" s="20">
        <f t="shared" si="161"/>
        <v>3606</v>
      </c>
      <c r="B301" s="19" t="str">
        <f t="shared" si="161"/>
        <v>SHSU</v>
      </c>
      <c r="C301" s="18"/>
      <c r="D301" s="15">
        <v>3013</v>
      </c>
      <c r="E301" s="21">
        <v>0.60299999999999998</v>
      </c>
      <c r="F301" s="14">
        <v>12631.666666666666</v>
      </c>
      <c r="G301" s="13">
        <v>5628.5800000000427</v>
      </c>
      <c r="H301" s="15">
        <v>166</v>
      </c>
      <c r="I301" s="13">
        <v>63</v>
      </c>
      <c r="J301" s="16">
        <v>2160</v>
      </c>
      <c r="K301" s="15">
        <v>3940</v>
      </c>
      <c r="L301" s="14">
        <v>2970</v>
      </c>
      <c r="M301" s="13">
        <v>1716</v>
      </c>
    </row>
    <row r="302" spans="1:13" outlineLevel="1" x14ac:dyDescent="0.2">
      <c r="A302" s="20">
        <f t="shared" si="161"/>
        <v>3615</v>
      </c>
      <c r="B302" s="19" t="str">
        <f t="shared" si="161"/>
        <v>TXST</v>
      </c>
      <c r="C302" s="18"/>
      <c r="D302" s="15">
        <v>5349</v>
      </c>
      <c r="E302" s="21">
        <v>0.6409999999999999</v>
      </c>
      <c r="F302" s="14">
        <v>22917.933333333334</v>
      </c>
      <c r="G302" s="13">
        <v>10250.389999999717</v>
      </c>
      <c r="H302" s="15">
        <v>445</v>
      </c>
      <c r="I302" s="13">
        <v>65</v>
      </c>
      <c r="J302" s="16">
        <v>3665</v>
      </c>
      <c r="K302" s="15">
        <v>7685</v>
      </c>
      <c r="L302" s="14">
        <v>5748</v>
      </c>
      <c r="M302" s="13">
        <v>3317</v>
      </c>
    </row>
    <row r="303" spans="1:13" outlineLevel="1" x14ac:dyDescent="0.2">
      <c r="A303" s="20">
        <f t="shared" si="161"/>
        <v>3625</v>
      </c>
      <c r="B303" s="19" t="str">
        <f t="shared" si="161"/>
        <v>SRSU</v>
      </c>
      <c r="C303" s="18"/>
      <c r="D303" s="15">
        <v>196</v>
      </c>
      <c r="E303" s="21">
        <v>0.29199999999999998</v>
      </c>
      <c r="F303" s="14">
        <v>1200.1333333333334</v>
      </c>
      <c r="G303" s="13">
        <v>405.49999999999949</v>
      </c>
      <c r="H303" s="15">
        <v>18</v>
      </c>
      <c r="I303" s="13">
        <v>4</v>
      </c>
      <c r="J303" s="16">
        <v>166</v>
      </c>
      <c r="K303" s="15">
        <v>298</v>
      </c>
      <c r="L303" s="14">
        <v>217</v>
      </c>
      <c r="M303" s="13">
        <v>136</v>
      </c>
    </row>
    <row r="304" spans="1:13" outlineLevel="1" x14ac:dyDescent="0.2">
      <c r="A304" s="20">
        <f t="shared" si="161"/>
        <v>20</v>
      </c>
      <c r="B304" s="19" t="str">
        <f t="shared" si="161"/>
        <v>SRRG</v>
      </c>
      <c r="C304" s="18"/>
      <c r="D304" s="15">
        <v>163</v>
      </c>
      <c r="E304" s="17">
        <v>0.33750000000000002</v>
      </c>
      <c r="F304" s="14">
        <v>472.13333333333333</v>
      </c>
      <c r="G304" s="13">
        <v>281.52999999999975</v>
      </c>
      <c r="H304" s="15">
        <v>5</v>
      </c>
      <c r="I304" s="13">
        <v>7</v>
      </c>
      <c r="J304" s="16">
        <v>145</v>
      </c>
      <c r="K304" s="15">
        <v>224</v>
      </c>
      <c r="L304" s="14">
        <v>97</v>
      </c>
      <c r="M304" s="13">
        <v>2</v>
      </c>
    </row>
    <row r="305" spans="1:15" ht="13.5" outlineLevel="1" thickBot="1" x14ac:dyDescent="0.25">
      <c r="A305" s="12"/>
      <c r="B305" s="11" t="s">
        <v>11</v>
      </c>
      <c r="C305" s="10"/>
      <c r="D305" s="9">
        <f>SUM(D267:D304)</f>
        <v>84231</v>
      </c>
      <c r="E305" s="8">
        <v>0.58399999999999996</v>
      </c>
      <c r="F305" s="7">
        <f t="shared" ref="F305:M305" si="162">SUM(F267:F304)</f>
        <v>351171.46666666673</v>
      </c>
      <c r="G305" s="3">
        <f t="shared" si="162"/>
        <v>170914.74000000223</v>
      </c>
      <c r="H305" s="5">
        <f t="shared" si="162"/>
        <v>13857</v>
      </c>
      <c r="I305" s="3">
        <f t="shared" si="162"/>
        <v>1204</v>
      </c>
      <c r="J305" s="6">
        <f t="shared" si="162"/>
        <v>54385</v>
      </c>
      <c r="K305" s="5">
        <f t="shared" si="162"/>
        <v>116139</v>
      </c>
      <c r="L305" s="4">
        <f t="shared" si="162"/>
        <v>84006</v>
      </c>
      <c r="M305" s="3">
        <f t="shared" si="162"/>
        <v>51310</v>
      </c>
    </row>
    <row r="306" spans="1:15" ht="13.5" thickBot="1" x14ac:dyDescent="0.25">
      <c r="A306" s="45" t="s">
        <v>25</v>
      </c>
      <c r="B306" s="45"/>
      <c r="C306" s="45"/>
      <c r="D306" s="45"/>
      <c r="F306" s="45"/>
      <c r="J306" s="45"/>
    </row>
    <row r="307" spans="1:15" ht="12.75" customHeight="1" outlineLevel="1" x14ac:dyDescent="0.2">
      <c r="A307" s="177" t="s">
        <v>24</v>
      </c>
      <c r="B307" s="179" t="s">
        <v>23</v>
      </c>
      <c r="C307" s="181"/>
      <c r="D307" s="210" t="s">
        <v>22</v>
      </c>
      <c r="E307" s="205" t="s">
        <v>21</v>
      </c>
      <c r="F307" s="179" t="s">
        <v>20</v>
      </c>
      <c r="G307" s="201" t="s">
        <v>19</v>
      </c>
      <c r="H307" s="203" t="s">
        <v>18</v>
      </c>
      <c r="I307" s="195" t="s">
        <v>17</v>
      </c>
      <c r="J307" s="197" t="s">
        <v>16</v>
      </c>
      <c r="K307" s="199" t="s">
        <v>15</v>
      </c>
      <c r="L307" s="200"/>
      <c r="M307" s="200"/>
    </row>
    <row r="308" spans="1:15" s="41" customFormat="1" ht="39.75" customHeight="1" outlineLevel="1" thickBot="1" x14ac:dyDescent="0.25">
      <c r="A308" s="178"/>
      <c r="B308" s="180"/>
      <c r="C308" s="182"/>
      <c r="D308" s="211"/>
      <c r="E308" s="206"/>
      <c r="F308" s="180"/>
      <c r="G308" s="202"/>
      <c r="H308" s="204"/>
      <c r="I308" s="196"/>
      <c r="J308" s="198"/>
      <c r="K308" s="44" t="s">
        <v>14</v>
      </c>
      <c r="L308" s="43" t="s">
        <v>13</v>
      </c>
      <c r="M308" s="42" t="s">
        <v>12</v>
      </c>
    </row>
    <row r="309" spans="1:15" outlineLevel="1" x14ac:dyDescent="0.2">
      <c r="A309" s="40">
        <f t="shared" ref="A309:B328" si="163">A267</f>
        <v>3656</v>
      </c>
      <c r="B309" s="39" t="str">
        <f t="shared" si="163"/>
        <v>UTA</v>
      </c>
      <c r="C309" s="38"/>
      <c r="D309" s="33">
        <v>4178</v>
      </c>
      <c r="E309" s="37">
        <v>0.50700000000000001</v>
      </c>
      <c r="F309" s="32">
        <v>15698.133333333333</v>
      </c>
      <c r="G309" s="31">
        <v>8640.2399999998797</v>
      </c>
      <c r="H309" s="36">
        <v>834</v>
      </c>
      <c r="I309" s="35">
        <v>36</v>
      </c>
      <c r="J309" s="34">
        <v>2662</v>
      </c>
      <c r="K309" s="33">
        <v>6630</v>
      </c>
      <c r="L309" s="32">
        <v>3636</v>
      </c>
      <c r="M309" s="31">
        <v>1724</v>
      </c>
    </row>
    <row r="310" spans="1:15" outlineLevel="1" x14ac:dyDescent="0.2">
      <c r="A310" s="20">
        <f t="shared" si="163"/>
        <v>3658</v>
      </c>
      <c r="B310" s="19" t="str">
        <f t="shared" si="163"/>
        <v>UT</v>
      </c>
      <c r="C310" s="18"/>
      <c r="D310" s="15">
        <v>8952</v>
      </c>
      <c r="E310" s="21">
        <v>0.82899999999999996</v>
      </c>
      <c r="F310" s="14">
        <v>33736.73333333333</v>
      </c>
      <c r="G310" s="13">
        <v>19230.319999999745</v>
      </c>
      <c r="H310" s="15">
        <v>1754</v>
      </c>
      <c r="I310" s="13">
        <v>55</v>
      </c>
      <c r="J310" s="16">
        <v>3435</v>
      </c>
      <c r="K310" s="15">
        <v>9596</v>
      </c>
      <c r="L310" s="14">
        <v>9749</v>
      </c>
      <c r="M310" s="13">
        <v>7288</v>
      </c>
      <c r="O310" s="2"/>
    </row>
    <row r="311" spans="1:15" outlineLevel="1" x14ac:dyDescent="0.2">
      <c r="A311" s="20">
        <f t="shared" si="163"/>
        <v>9741</v>
      </c>
      <c r="B311" s="19" t="str">
        <f t="shared" si="163"/>
        <v>UTD</v>
      </c>
      <c r="C311" s="18"/>
      <c r="D311" s="15">
        <v>2355</v>
      </c>
      <c r="E311" s="21">
        <v>0.70699999999999996</v>
      </c>
      <c r="F311" s="14">
        <v>8108.8666666666668</v>
      </c>
      <c r="G311" s="13">
        <v>4955.5700000000443</v>
      </c>
      <c r="H311" s="15">
        <v>392</v>
      </c>
      <c r="I311" s="13">
        <v>36</v>
      </c>
      <c r="J311" s="16">
        <v>1255</v>
      </c>
      <c r="K311" s="15">
        <v>3078</v>
      </c>
      <c r="L311" s="14">
        <v>1950</v>
      </c>
      <c r="M311" s="13">
        <v>923</v>
      </c>
      <c r="O311" s="2"/>
    </row>
    <row r="312" spans="1:15" outlineLevel="1" x14ac:dyDescent="0.2">
      <c r="A312" s="20">
        <f t="shared" si="163"/>
        <v>3661</v>
      </c>
      <c r="B312" s="19" t="str">
        <f t="shared" si="163"/>
        <v>UTEP</v>
      </c>
      <c r="C312" s="18"/>
      <c r="D312" s="15">
        <v>3031</v>
      </c>
      <c r="E312" s="21">
        <v>0.374</v>
      </c>
      <c r="F312" s="14">
        <v>12791.933333333332</v>
      </c>
      <c r="G312" s="13">
        <v>6295.4500000000389</v>
      </c>
      <c r="H312" s="15">
        <v>709</v>
      </c>
      <c r="I312" s="13">
        <v>93</v>
      </c>
      <c r="J312" s="16">
        <v>2394</v>
      </c>
      <c r="K312" s="15">
        <v>4200</v>
      </c>
      <c r="L312" s="14">
        <v>3366</v>
      </c>
      <c r="M312" s="13">
        <v>1972</v>
      </c>
      <c r="O312" s="2"/>
    </row>
    <row r="313" spans="1:15" outlineLevel="1" x14ac:dyDescent="0.2">
      <c r="A313" s="20">
        <f t="shared" si="163"/>
        <v>3599</v>
      </c>
      <c r="B313" s="19" t="str">
        <f t="shared" si="163"/>
        <v>UTPA</v>
      </c>
      <c r="C313" s="18"/>
      <c r="D313" s="15">
        <v>2620</v>
      </c>
      <c r="E313" s="21">
        <v>0.38900000000000001</v>
      </c>
      <c r="F313" s="14">
        <v>12572.333333333334</v>
      </c>
      <c r="G313" s="13">
        <v>5170.8900000000631</v>
      </c>
      <c r="H313" s="15">
        <v>480</v>
      </c>
      <c r="I313" s="13">
        <v>31</v>
      </c>
      <c r="J313" s="16">
        <v>2341</v>
      </c>
      <c r="K313" s="15">
        <v>4354</v>
      </c>
      <c r="L313" s="14">
        <v>3136</v>
      </c>
      <c r="M313" s="13">
        <v>1924</v>
      </c>
      <c r="O313" s="2"/>
    </row>
    <row r="314" spans="1:15" outlineLevel="1" x14ac:dyDescent="0.2">
      <c r="A314" s="20">
        <f t="shared" si="163"/>
        <v>30646</v>
      </c>
      <c r="B314" s="19" t="str">
        <f t="shared" si="163"/>
        <v>UTB</v>
      </c>
      <c r="C314" s="18"/>
      <c r="D314" s="15">
        <v>1052</v>
      </c>
      <c r="E314" s="17">
        <v>0.64666666666666661</v>
      </c>
      <c r="F314" s="14">
        <v>2989.6</v>
      </c>
      <c r="G314" s="13">
        <v>2005.0100000000309</v>
      </c>
      <c r="H314" s="15">
        <v>108</v>
      </c>
      <c r="I314" s="13">
        <v>19</v>
      </c>
      <c r="J314" s="16">
        <v>916</v>
      </c>
      <c r="K314" s="15">
        <v>1377</v>
      </c>
      <c r="L314" s="14">
        <v>583</v>
      </c>
      <c r="M314" s="13">
        <v>72</v>
      </c>
      <c r="O314" s="2"/>
    </row>
    <row r="315" spans="1:15" outlineLevel="1" x14ac:dyDescent="0.2">
      <c r="A315" s="20">
        <f t="shared" si="163"/>
        <v>9930</v>
      </c>
      <c r="B315" s="19" t="str">
        <f t="shared" si="163"/>
        <v>UTPB</v>
      </c>
      <c r="C315" s="18"/>
      <c r="D315" s="15">
        <v>513</v>
      </c>
      <c r="E315" s="21">
        <v>0.44600000000000001</v>
      </c>
      <c r="F315" s="14">
        <v>2159.6</v>
      </c>
      <c r="G315" s="13">
        <v>944.74000000001092</v>
      </c>
      <c r="H315" s="15">
        <v>33</v>
      </c>
      <c r="I315" s="13">
        <v>13</v>
      </c>
      <c r="J315" s="16">
        <v>379</v>
      </c>
      <c r="K315" s="15">
        <v>707</v>
      </c>
      <c r="L315" s="14">
        <v>450</v>
      </c>
      <c r="M315" s="13">
        <v>182</v>
      </c>
      <c r="O315" s="2"/>
    </row>
    <row r="316" spans="1:15" outlineLevel="1" x14ac:dyDescent="0.2">
      <c r="A316" s="20">
        <f t="shared" si="163"/>
        <v>10115</v>
      </c>
      <c r="B316" s="19" t="str">
        <f t="shared" si="163"/>
        <v>UTSA</v>
      </c>
      <c r="C316" s="18"/>
      <c r="D316" s="15">
        <v>3968</v>
      </c>
      <c r="E316" s="21">
        <v>0.44</v>
      </c>
      <c r="F316" s="14">
        <v>19707.533333333333</v>
      </c>
      <c r="G316" s="13">
        <v>8107.0899999997582</v>
      </c>
      <c r="H316" s="15">
        <v>375</v>
      </c>
      <c r="I316" s="13">
        <v>39</v>
      </c>
      <c r="J316" s="16">
        <v>2956</v>
      </c>
      <c r="K316" s="15">
        <v>6812</v>
      </c>
      <c r="L316" s="14">
        <v>4615</v>
      </c>
      <c r="M316" s="13">
        <v>2588</v>
      </c>
      <c r="O316" s="2"/>
    </row>
    <row r="317" spans="1:15" outlineLevel="1" x14ac:dyDescent="0.2">
      <c r="A317" s="20">
        <f t="shared" si="163"/>
        <v>11163</v>
      </c>
      <c r="B317" s="19" t="str">
        <f t="shared" si="163"/>
        <v>UTT</v>
      </c>
      <c r="C317" s="18"/>
      <c r="D317" s="15">
        <v>1238</v>
      </c>
      <c r="E317" s="21">
        <v>0.496</v>
      </c>
      <c r="F317" s="14">
        <v>4085.2666666666669</v>
      </c>
      <c r="G317" s="13">
        <v>2459.1300000000315</v>
      </c>
      <c r="H317" s="15">
        <v>372</v>
      </c>
      <c r="I317" s="13">
        <v>10</v>
      </c>
      <c r="J317" s="16">
        <v>1002</v>
      </c>
      <c r="K317" s="15">
        <v>1404</v>
      </c>
      <c r="L317" s="14">
        <v>921</v>
      </c>
      <c r="M317" s="13">
        <v>378</v>
      </c>
      <c r="O317" s="2"/>
    </row>
    <row r="318" spans="1:15" outlineLevel="1" x14ac:dyDescent="0.2">
      <c r="A318" s="20">
        <f t="shared" si="163"/>
        <v>3632</v>
      </c>
      <c r="B318" s="19" t="str">
        <f t="shared" si="163"/>
        <v>TAMU</v>
      </c>
      <c r="C318" s="18"/>
      <c r="D318" s="15">
        <v>8451</v>
      </c>
      <c r="E318" s="21">
        <v>0.83599999999999997</v>
      </c>
      <c r="F318" s="14">
        <v>34329.199999999997</v>
      </c>
      <c r="G318" s="13">
        <v>19146.209999999159</v>
      </c>
      <c r="H318" s="15">
        <v>1580</v>
      </c>
      <c r="I318" s="13">
        <v>108</v>
      </c>
      <c r="J318" s="16">
        <v>3530</v>
      </c>
      <c r="K318" s="15">
        <v>10012</v>
      </c>
      <c r="L318" s="14">
        <v>8836</v>
      </c>
      <c r="M318" s="13">
        <v>6932</v>
      </c>
      <c r="O318" s="2"/>
    </row>
    <row r="319" spans="1:15" outlineLevel="1" x14ac:dyDescent="0.2">
      <c r="A319" s="20">
        <f t="shared" si="163"/>
        <v>10298</v>
      </c>
      <c r="B319" s="19" t="str">
        <f t="shared" si="163"/>
        <v>TAMUG</v>
      </c>
      <c r="C319" s="18"/>
      <c r="D319" s="15">
        <v>262</v>
      </c>
      <c r="E319" s="21">
        <v>0.59199999999999997</v>
      </c>
      <c r="F319" s="14">
        <v>1599.2</v>
      </c>
      <c r="G319" s="13">
        <v>636.84000000000231</v>
      </c>
      <c r="H319" s="15">
        <v>31</v>
      </c>
      <c r="I319" s="13">
        <v>0</v>
      </c>
      <c r="J319" s="16">
        <v>137</v>
      </c>
      <c r="K319" s="15">
        <v>570</v>
      </c>
      <c r="L319" s="14">
        <v>322</v>
      </c>
      <c r="M319" s="13">
        <v>241</v>
      </c>
      <c r="O319" s="2"/>
    </row>
    <row r="320" spans="1:15" outlineLevel="1" x14ac:dyDescent="0.2">
      <c r="A320" s="20">
        <f t="shared" si="163"/>
        <v>3630</v>
      </c>
      <c r="B320" s="19" t="str">
        <f t="shared" si="163"/>
        <v>Prairie View</v>
      </c>
      <c r="C320" s="18"/>
      <c r="D320" s="15">
        <v>879</v>
      </c>
      <c r="E320" s="21">
        <v>0.34200000000000003</v>
      </c>
      <c r="F320" s="14">
        <v>5840.8</v>
      </c>
      <c r="G320" s="13">
        <v>1995.4900000000189</v>
      </c>
      <c r="H320" s="15">
        <v>295</v>
      </c>
      <c r="I320" s="13">
        <v>8</v>
      </c>
      <c r="J320" s="16">
        <v>756</v>
      </c>
      <c r="K320" s="15">
        <v>1643</v>
      </c>
      <c r="L320" s="14">
        <v>1174</v>
      </c>
      <c r="M320" s="13">
        <v>940</v>
      </c>
      <c r="O320" s="2"/>
    </row>
    <row r="321" spans="1:15" outlineLevel="1" x14ac:dyDescent="0.2">
      <c r="A321" s="20">
        <f t="shared" si="163"/>
        <v>3631</v>
      </c>
      <c r="B321" s="19" t="str">
        <f t="shared" si="163"/>
        <v>Tarleton</v>
      </c>
      <c r="C321" s="18"/>
      <c r="D321" s="15">
        <v>1422</v>
      </c>
      <c r="E321" s="21">
        <v>0.47499999999999998</v>
      </c>
      <c r="F321" s="14">
        <v>5845.5333333333338</v>
      </c>
      <c r="G321" s="13">
        <v>2966.430000000048</v>
      </c>
      <c r="H321" s="15">
        <v>183</v>
      </c>
      <c r="I321" s="13">
        <v>38</v>
      </c>
      <c r="J321" s="16">
        <v>1093</v>
      </c>
      <c r="K321" s="15">
        <v>2140</v>
      </c>
      <c r="L321" s="14">
        <v>1306</v>
      </c>
      <c r="M321" s="13">
        <v>903</v>
      </c>
      <c r="O321" s="2"/>
    </row>
    <row r="322" spans="1:15" outlineLevel="1" x14ac:dyDescent="0.2">
      <c r="A322" s="27">
        <f t="shared" si="163"/>
        <v>103631</v>
      </c>
      <c r="B322" s="19" t="str">
        <f t="shared" si="163"/>
        <v>TAMUCT</v>
      </c>
      <c r="C322" s="18"/>
      <c r="D322" s="15">
        <v>450</v>
      </c>
      <c r="E322" s="21">
        <v>0.47499999999999998</v>
      </c>
      <c r="F322" s="14">
        <v>658.4666666666667</v>
      </c>
      <c r="G322" s="13">
        <v>831.96000000000549</v>
      </c>
      <c r="H322" s="15">
        <v>44</v>
      </c>
      <c r="I322" s="13"/>
      <c r="J322" s="16">
        <v>322</v>
      </c>
      <c r="K322" s="15">
        <v>380</v>
      </c>
      <c r="L322" s="14">
        <v>137</v>
      </c>
      <c r="M322" s="13">
        <v>31</v>
      </c>
      <c r="O322" s="2"/>
    </row>
    <row r="323" spans="1:15" outlineLevel="1" x14ac:dyDescent="0.2">
      <c r="A323" s="20">
        <f t="shared" si="163"/>
        <v>11161</v>
      </c>
      <c r="B323" s="19" t="str">
        <f t="shared" si="163"/>
        <v>TAMUCC</v>
      </c>
      <c r="C323" s="18"/>
      <c r="D323" s="15">
        <v>1335</v>
      </c>
      <c r="E323" s="21">
        <v>0.503</v>
      </c>
      <c r="F323" s="14">
        <v>6131.9333333333334</v>
      </c>
      <c r="G323" s="13">
        <v>2744.5700000000347</v>
      </c>
      <c r="H323" s="15">
        <v>237</v>
      </c>
      <c r="I323" s="13">
        <v>29</v>
      </c>
      <c r="J323" s="16">
        <v>1024</v>
      </c>
      <c r="K323" s="15">
        <v>2079</v>
      </c>
      <c r="L323" s="14">
        <v>1357</v>
      </c>
      <c r="M323" s="13">
        <v>812</v>
      </c>
      <c r="O323" s="2"/>
    </row>
    <row r="324" spans="1:15" outlineLevel="1" x14ac:dyDescent="0.2">
      <c r="A324" s="20">
        <f t="shared" si="163"/>
        <v>3639</v>
      </c>
      <c r="B324" s="19" t="str">
        <f t="shared" si="163"/>
        <v>TAMUK</v>
      </c>
      <c r="C324" s="18"/>
      <c r="D324" s="15">
        <v>692</v>
      </c>
      <c r="E324" s="21">
        <v>0.41699999999999998</v>
      </c>
      <c r="F324" s="14">
        <v>3808.2666666666669</v>
      </c>
      <c r="G324" s="13">
        <v>1601.8800000000022</v>
      </c>
      <c r="H324" s="15">
        <v>236</v>
      </c>
      <c r="I324" s="13">
        <v>15</v>
      </c>
      <c r="J324" s="16">
        <v>590</v>
      </c>
      <c r="K324" s="15">
        <v>1159</v>
      </c>
      <c r="L324" s="14">
        <v>790</v>
      </c>
      <c r="M324" s="13">
        <v>550</v>
      </c>
      <c r="O324" s="2"/>
    </row>
    <row r="325" spans="1:15" outlineLevel="1" x14ac:dyDescent="0.2">
      <c r="A325" s="27">
        <f t="shared" si="163"/>
        <v>103639</v>
      </c>
      <c r="B325" s="19" t="str">
        <f t="shared" si="163"/>
        <v>TAMUSA</v>
      </c>
      <c r="C325" s="18"/>
      <c r="D325" s="15">
        <v>496</v>
      </c>
      <c r="E325" s="21">
        <v>0.41699999999999998</v>
      </c>
      <c r="F325" s="14">
        <v>1072.6666666666667</v>
      </c>
      <c r="G325" s="13">
        <v>844.50000000000807</v>
      </c>
      <c r="H325" s="15">
        <v>4</v>
      </c>
      <c r="I325" s="13"/>
      <c r="J325" s="16">
        <v>402</v>
      </c>
      <c r="K325" s="15">
        <v>307</v>
      </c>
      <c r="L325" s="14">
        <v>5</v>
      </c>
      <c r="M325" s="13">
        <v>5</v>
      </c>
      <c r="O325" s="2"/>
    </row>
    <row r="326" spans="1:15" outlineLevel="1" x14ac:dyDescent="0.2">
      <c r="A326" s="20">
        <f t="shared" si="163"/>
        <v>9651</v>
      </c>
      <c r="B326" s="19" t="str">
        <f t="shared" si="163"/>
        <v>TAMI</v>
      </c>
      <c r="C326" s="18"/>
      <c r="D326" s="15">
        <v>798</v>
      </c>
      <c r="E326" s="21">
        <v>0.46</v>
      </c>
      <c r="F326" s="14">
        <v>3819.0666666666666</v>
      </c>
      <c r="G326" s="13">
        <v>1476.3000000000168</v>
      </c>
      <c r="H326" s="15">
        <v>85</v>
      </c>
      <c r="I326" s="13">
        <v>26</v>
      </c>
      <c r="J326" s="16">
        <v>713</v>
      </c>
      <c r="K326" s="15">
        <v>1413</v>
      </c>
      <c r="L326" s="14">
        <v>981</v>
      </c>
      <c r="M326" s="13">
        <v>447</v>
      </c>
      <c r="O326" s="2"/>
    </row>
    <row r="327" spans="1:15" outlineLevel="1" x14ac:dyDescent="0.2">
      <c r="A327" s="20">
        <f t="shared" si="163"/>
        <v>3665</v>
      </c>
      <c r="B327" s="19" t="str">
        <f t="shared" si="163"/>
        <v>WTAMU</v>
      </c>
      <c r="C327" s="18"/>
      <c r="D327" s="15">
        <v>1220</v>
      </c>
      <c r="E327" s="21">
        <v>0.45600000000000002</v>
      </c>
      <c r="F327" s="14">
        <v>5264.8</v>
      </c>
      <c r="G327" s="13">
        <v>2415.9700000000216</v>
      </c>
      <c r="H327" s="15">
        <v>216</v>
      </c>
      <c r="I327" s="13">
        <v>64</v>
      </c>
      <c r="J327" s="16">
        <v>853</v>
      </c>
      <c r="K327" s="15">
        <v>1873</v>
      </c>
      <c r="L327" s="14">
        <v>1161</v>
      </c>
      <c r="M327" s="13">
        <v>631</v>
      </c>
      <c r="O327" s="2"/>
    </row>
    <row r="328" spans="1:15" outlineLevel="1" x14ac:dyDescent="0.2">
      <c r="A328" s="20">
        <f t="shared" si="163"/>
        <v>3565</v>
      </c>
      <c r="B328" s="19" t="str">
        <f t="shared" si="163"/>
        <v>TAMUC</v>
      </c>
      <c r="C328" s="18"/>
      <c r="D328" s="15">
        <v>1153</v>
      </c>
      <c r="E328" s="21">
        <v>0.44800000000000001</v>
      </c>
      <c r="F328" s="14">
        <v>4172.1333333333332</v>
      </c>
      <c r="G328" s="13">
        <v>2179.8400000000324</v>
      </c>
      <c r="H328" s="15">
        <v>59</v>
      </c>
      <c r="I328" s="13">
        <v>65</v>
      </c>
      <c r="J328" s="16">
        <v>884</v>
      </c>
      <c r="K328" s="15">
        <v>1712</v>
      </c>
      <c r="L328" s="14">
        <v>1038</v>
      </c>
      <c r="M328" s="13">
        <v>423</v>
      </c>
      <c r="O328" s="2"/>
    </row>
    <row r="329" spans="1:15" outlineLevel="1" x14ac:dyDescent="0.2">
      <c r="A329" s="20">
        <f t="shared" ref="A329:B346" si="164">A287</f>
        <v>29269</v>
      </c>
      <c r="B329" s="19" t="str">
        <f t="shared" si="164"/>
        <v>TAMUT</v>
      </c>
      <c r="C329" s="18"/>
      <c r="D329" s="15">
        <v>326</v>
      </c>
      <c r="E329" s="17">
        <v>0.57336956521739135</v>
      </c>
      <c r="F329" s="14">
        <v>694.6</v>
      </c>
      <c r="G329" s="13">
        <v>569.46</v>
      </c>
      <c r="H329" s="15">
        <v>30</v>
      </c>
      <c r="I329" s="13">
        <v>15</v>
      </c>
      <c r="J329" s="16">
        <v>210</v>
      </c>
      <c r="K329" s="15">
        <v>403</v>
      </c>
      <c r="L329" s="14">
        <v>138</v>
      </c>
      <c r="M329" s="13">
        <v>0</v>
      </c>
      <c r="O329" s="2"/>
    </row>
    <row r="330" spans="1:15" outlineLevel="1" x14ac:dyDescent="0.2">
      <c r="A330" s="20">
        <f t="shared" si="164"/>
        <v>3652</v>
      </c>
      <c r="B330" s="19" t="str">
        <f t="shared" si="164"/>
        <v>UH</v>
      </c>
      <c r="C330" s="18"/>
      <c r="D330" s="15">
        <v>4778</v>
      </c>
      <c r="E330" s="21">
        <v>0.53100000000000003</v>
      </c>
      <c r="F330" s="14">
        <v>22778.733333333334</v>
      </c>
      <c r="G330" s="13">
        <v>9792.4499999989821</v>
      </c>
      <c r="H330" s="15">
        <v>656</v>
      </c>
      <c r="I330" s="13">
        <v>54</v>
      </c>
      <c r="J330" s="16">
        <v>3091</v>
      </c>
      <c r="K330" s="15">
        <v>7517</v>
      </c>
      <c r="L330" s="14">
        <v>5600</v>
      </c>
      <c r="M330" s="13">
        <v>3376</v>
      </c>
      <c r="O330" s="2"/>
    </row>
    <row r="331" spans="1:15" outlineLevel="1" x14ac:dyDescent="0.2">
      <c r="A331" s="20">
        <f t="shared" si="164"/>
        <v>11711</v>
      </c>
      <c r="B331" s="19" t="str">
        <f t="shared" si="164"/>
        <v>UHCL</v>
      </c>
      <c r="C331" s="18"/>
      <c r="D331" s="15">
        <v>1124</v>
      </c>
      <c r="E331" s="17">
        <v>0.50557620817843862</v>
      </c>
      <c r="F331" s="14">
        <v>2872.8666666666668</v>
      </c>
      <c r="G331" s="13">
        <v>2131.2100000000323</v>
      </c>
      <c r="H331" s="15">
        <v>88</v>
      </c>
      <c r="I331" s="13">
        <v>8</v>
      </c>
      <c r="J331" s="16">
        <v>707</v>
      </c>
      <c r="K331" s="15">
        <v>1349</v>
      </c>
      <c r="L331" s="14">
        <v>888</v>
      </c>
      <c r="M331" s="13">
        <v>81</v>
      </c>
      <c r="O331" s="2"/>
    </row>
    <row r="332" spans="1:15" outlineLevel="1" x14ac:dyDescent="0.2">
      <c r="A332" s="20">
        <f t="shared" si="164"/>
        <v>12826</v>
      </c>
      <c r="B332" s="19" t="str">
        <f t="shared" si="164"/>
        <v>UHD</v>
      </c>
      <c r="C332" s="18"/>
      <c r="D332" s="15">
        <v>2359</v>
      </c>
      <c r="E332" s="21">
        <v>0.18099999999999999</v>
      </c>
      <c r="F332" s="14">
        <v>7963.6</v>
      </c>
      <c r="G332" s="13">
        <v>4153.3100000000841</v>
      </c>
      <c r="H332" s="15">
        <v>112</v>
      </c>
      <c r="I332" s="13">
        <v>2</v>
      </c>
      <c r="J332" s="16">
        <v>1619</v>
      </c>
      <c r="K332" s="15">
        <v>3082</v>
      </c>
      <c r="L332" s="14">
        <v>1889</v>
      </c>
      <c r="M332" s="13">
        <v>606</v>
      </c>
      <c r="O332" s="2"/>
    </row>
    <row r="333" spans="1:15" outlineLevel="1" x14ac:dyDescent="0.2">
      <c r="A333" s="20">
        <f t="shared" si="164"/>
        <v>13231</v>
      </c>
      <c r="B333" s="19" t="str">
        <f t="shared" si="164"/>
        <v>UHV</v>
      </c>
      <c r="C333" s="18"/>
      <c r="D333" s="15">
        <v>515</v>
      </c>
      <c r="E333" s="17">
        <v>0.55256723716381417</v>
      </c>
      <c r="F333" s="14">
        <v>1135.8</v>
      </c>
      <c r="G333" s="13">
        <v>962.15000000001089</v>
      </c>
      <c r="H333" s="15">
        <v>72</v>
      </c>
      <c r="I333" s="13">
        <v>2</v>
      </c>
      <c r="J333" s="16">
        <v>337</v>
      </c>
      <c r="K333" s="15">
        <v>654</v>
      </c>
      <c r="L333" s="14">
        <v>269</v>
      </c>
      <c r="M333" s="13">
        <v>8</v>
      </c>
      <c r="O333" s="2"/>
    </row>
    <row r="334" spans="1:15" outlineLevel="1" x14ac:dyDescent="0.2">
      <c r="A334" s="20">
        <f t="shared" si="164"/>
        <v>3592</v>
      </c>
      <c r="B334" s="19" t="str">
        <f t="shared" si="164"/>
        <v>Midwestern</v>
      </c>
      <c r="C334" s="18"/>
      <c r="D334" s="15">
        <v>1002</v>
      </c>
      <c r="E334" s="21">
        <v>0.41199999999999998</v>
      </c>
      <c r="F334" s="14">
        <v>4294.8666666666668</v>
      </c>
      <c r="G334" s="13">
        <v>1899.0200000000148</v>
      </c>
      <c r="H334" s="15">
        <v>302</v>
      </c>
      <c r="I334" s="13">
        <v>19</v>
      </c>
      <c r="J334" s="16">
        <v>673</v>
      </c>
      <c r="K334" s="15">
        <v>1497</v>
      </c>
      <c r="L334" s="14">
        <v>1080</v>
      </c>
      <c r="M334" s="13">
        <v>622</v>
      </c>
      <c r="O334" s="2"/>
    </row>
    <row r="335" spans="1:15" outlineLevel="1" x14ac:dyDescent="0.2">
      <c r="A335" s="20">
        <f t="shared" si="164"/>
        <v>3594</v>
      </c>
      <c r="B335" s="19" t="str">
        <f t="shared" si="164"/>
        <v>UNT</v>
      </c>
      <c r="C335" s="18"/>
      <c r="D335" s="15">
        <v>6024</v>
      </c>
      <c r="E335" s="21">
        <v>0.57399999999999995</v>
      </c>
      <c r="F335" s="14">
        <f>22506.0666666667+838</f>
        <v>23344.066666666698</v>
      </c>
      <c r="G335" s="13">
        <v>11164.699999998398</v>
      </c>
      <c r="H335" s="15">
        <v>297</v>
      </c>
      <c r="I335" s="13">
        <v>27</v>
      </c>
      <c r="J335" s="16">
        <v>3747</v>
      </c>
      <c r="K335" s="30">
        <v>8327</v>
      </c>
      <c r="L335" s="29">
        <v>5604</v>
      </c>
      <c r="M335" s="28">
        <v>3585</v>
      </c>
      <c r="O335" s="2"/>
    </row>
    <row r="336" spans="1:15" outlineLevel="1" x14ac:dyDescent="0.2">
      <c r="A336" s="27">
        <f t="shared" si="164"/>
        <v>113594</v>
      </c>
      <c r="B336" s="19" t="str">
        <f t="shared" si="164"/>
        <v>UNTD</v>
      </c>
      <c r="C336" s="18"/>
      <c r="D336" s="24"/>
      <c r="E336" s="26"/>
      <c r="F336" s="23"/>
      <c r="G336" s="22"/>
      <c r="H336" s="24"/>
      <c r="I336" s="22"/>
      <c r="J336" s="25"/>
      <c r="K336" s="24"/>
      <c r="L336" s="23"/>
      <c r="M336" s="22"/>
      <c r="O336" s="2"/>
    </row>
    <row r="337" spans="1:15" outlineLevel="1" x14ac:dyDescent="0.2">
      <c r="A337" s="20">
        <f t="shared" si="164"/>
        <v>3624</v>
      </c>
      <c r="B337" s="19" t="str">
        <f t="shared" si="164"/>
        <v>SFA</v>
      </c>
      <c r="C337" s="18"/>
      <c r="D337" s="15">
        <v>1874</v>
      </c>
      <c r="E337" s="21">
        <v>0.56999999999999995</v>
      </c>
      <c r="F337" s="14">
        <v>9510.2666666666664</v>
      </c>
      <c r="G337" s="13">
        <v>3625.4100000000203</v>
      </c>
      <c r="H337" s="15">
        <v>230</v>
      </c>
      <c r="I337" s="13">
        <v>43</v>
      </c>
      <c r="J337" s="16">
        <v>1422</v>
      </c>
      <c r="K337" s="15">
        <v>2663</v>
      </c>
      <c r="L337" s="14">
        <v>1934</v>
      </c>
      <c r="M337" s="13">
        <v>1317</v>
      </c>
      <c r="O337" s="2"/>
    </row>
    <row r="338" spans="1:15" outlineLevel="1" x14ac:dyDescent="0.2">
      <c r="A338" s="20">
        <f t="shared" si="164"/>
        <v>3642</v>
      </c>
      <c r="B338" s="19" t="str">
        <f t="shared" si="164"/>
        <v>TSU</v>
      </c>
      <c r="C338" s="18"/>
      <c r="D338" s="15">
        <v>817</v>
      </c>
      <c r="E338" s="21">
        <v>0.14899999999999999</v>
      </c>
      <c r="F338" s="14">
        <v>5909.8</v>
      </c>
      <c r="G338" s="13">
        <v>1601.5200000000066</v>
      </c>
      <c r="H338" s="15">
        <v>127</v>
      </c>
      <c r="I338" s="13">
        <v>2</v>
      </c>
      <c r="J338" s="16">
        <v>723</v>
      </c>
      <c r="K338" s="15">
        <v>1871</v>
      </c>
      <c r="L338" s="14">
        <v>1137</v>
      </c>
      <c r="M338" s="13">
        <v>916</v>
      </c>
      <c r="O338" s="2"/>
    </row>
    <row r="339" spans="1:15" outlineLevel="1" x14ac:dyDescent="0.2">
      <c r="A339" s="20">
        <f t="shared" si="164"/>
        <v>3644</v>
      </c>
      <c r="B339" s="19" t="str">
        <f t="shared" si="164"/>
        <v>TTU</v>
      </c>
      <c r="C339" s="18"/>
      <c r="D339" s="15">
        <v>4476</v>
      </c>
      <c r="E339" s="21">
        <v>0.72799999999999998</v>
      </c>
      <c r="F339" s="14">
        <v>21422.2</v>
      </c>
      <c r="G339" s="13">
        <v>9827.5299999990111</v>
      </c>
      <c r="H339" s="15">
        <v>656</v>
      </c>
      <c r="I339" s="13">
        <v>43</v>
      </c>
      <c r="J339" s="16">
        <v>2539</v>
      </c>
      <c r="K339" s="15">
        <v>6430</v>
      </c>
      <c r="L339" s="14">
        <v>5148</v>
      </c>
      <c r="M339" s="13">
        <v>3832</v>
      </c>
      <c r="O339" s="2"/>
    </row>
    <row r="340" spans="1:15" outlineLevel="1" x14ac:dyDescent="0.2">
      <c r="A340" s="20">
        <f t="shared" si="164"/>
        <v>3541</v>
      </c>
      <c r="B340" s="19" t="str">
        <f t="shared" si="164"/>
        <v>Angelo</v>
      </c>
      <c r="C340" s="18"/>
      <c r="D340" s="15">
        <v>941</v>
      </c>
      <c r="E340" s="21">
        <v>0.44</v>
      </c>
      <c r="F340" s="14">
        <v>4829.1333333333332</v>
      </c>
      <c r="G340" s="13">
        <v>1933.5900000000179</v>
      </c>
      <c r="H340" s="15">
        <v>217</v>
      </c>
      <c r="I340" s="13">
        <v>18</v>
      </c>
      <c r="J340" s="16">
        <v>676</v>
      </c>
      <c r="K340" s="15">
        <v>1474</v>
      </c>
      <c r="L340" s="14">
        <v>1008</v>
      </c>
      <c r="M340" s="13">
        <v>708</v>
      </c>
      <c r="O340" s="2"/>
    </row>
    <row r="341" spans="1:15" outlineLevel="1" x14ac:dyDescent="0.2">
      <c r="A341" s="20">
        <f t="shared" si="164"/>
        <v>3646</v>
      </c>
      <c r="B341" s="19" t="str">
        <f t="shared" si="164"/>
        <v>TWU</v>
      </c>
      <c r="C341" s="18"/>
      <c r="D341" s="15">
        <v>1774</v>
      </c>
      <c r="E341" s="21">
        <v>0.54500000000000004</v>
      </c>
      <c r="F341" s="14">
        <v>6071.4666666666662</v>
      </c>
      <c r="G341" s="13">
        <v>3425.2000000000221</v>
      </c>
      <c r="H341" s="15">
        <v>614</v>
      </c>
      <c r="I341" s="13">
        <v>31</v>
      </c>
      <c r="J341" s="16">
        <v>1214</v>
      </c>
      <c r="K341" s="15">
        <v>2042</v>
      </c>
      <c r="L341" s="14">
        <v>1371</v>
      </c>
      <c r="M341" s="13">
        <v>668</v>
      </c>
      <c r="O341" s="2"/>
    </row>
    <row r="342" spans="1:15" outlineLevel="1" x14ac:dyDescent="0.2">
      <c r="A342" s="20">
        <f t="shared" si="164"/>
        <v>3581</v>
      </c>
      <c r="B342" s="19" t="str">
        <f t="shared" si="164"/>
        <v>Lamar</v>
      </c>
      <c r="C342" s="18"/>
      <c r="D342" s="15">
        <v>1286</v>
      </c>
      <c r="E342" s="21">
        <v>0.33800000000000002</v>
      </c>
      <c r="F342" s="14">
        <v>7172.9333333333334</v>
      </c>
      <c r="G342" s="13">
        <v>2638.0900000000311</v>
      </c>
      <c r="H342" s="15">
        <v>314</v>
      </c>
      <c r="I342" s="13">
        <v>17</v>
      </c>
      <c r="J342" s="16">
        <v>908</v>
      </c>
      <c r="K342" s="15">
        <v>2043</v>
      </c>
      <c r="L342" s="14">
        <v>1404</v>
      </c>
      <c r="M342" s="13">
        <v>1031</v>
      </c>
      <c r="O342" s="2"/>
    </row>
    <row r="343" spans="1:15" outlineLevel="1" x14ac:dyDescent="0.2">
      <c r="A343" s="20">
        <f t="shared" si="164"/>
        <v>3606</v>
      </c>
      <c r="B343" s="19" t="str">
        <f t="shared" si="164"/>
        <v>SHSU</v>
      </c>
      <c r="C343" s="18"/>
      <c r="D343" s="15">
        <v>3242</v>
      </c>
      <c r="E343" s="21">
        <v>0.57899999999999996</v>
      </c>
      <c r="F343" s="14">
        <v>12517.066666666668</v>
      </c>
      <c r="G343" s="13">
        <v>6188.6300000000374</v>
      </c>
      <c r="H343" s="15">
        <v>163</v>
      </c>
      <c r="I343" s="13">
        <v>69</v>
      </c>
      <c r="J343" s="16">
        <v>2318</v>
      </c>
      <c r="K343" s="15">
        <v>3849</v>
      </c>
      <c r="L343" s="14">
        <v>3011</v>
      </c>
      <c r="M343" s="13">
        <v>1870</v>
      </c>
      <c r="O343" s="2"/>
    </row>
    <row r="344" spans="1:15" outlineLevel="1" x14ac:dyDescent="0.2">
      <c r="A344" s="20">
        <f t="shared" si="164"/>
        <v>3615</v>
      </c>
      <c r="B344" s="19" t="str">
        <f t="shared" si="164"/>
        <v>TXST</v>
      </c>
      <c r="C344" s="18"/>
      <c r="D344" s="15">
        <v>5299</v>
      </c>
      <c r="E344" s="21">
        <v>0.64400000000000002</v>
      </c>
      <c r="F344" s="14">
        <v>21764.6</v>
      </c>
      <c r="G344" s="13">
        <v>10384.469999998846</v>
      </c>
      <c r="H344" s="15">
        <v>439</v>
      </c>
      <c r="I344" s="13">
        <v>68</v>
      </c>
      <c r="J344" s="16">
        <v>3545</v>
      </c>
      <c r="K344" s="15">
        <v>7301</v>
      </c>
      <c r="L344" s="14">
        <v>5428</v>
      </c>
      <c r="M344" s="13">
        <v>3302</v>
      </c>
      <c r="O344" s="2"/>
    </row>
    <row r="345" spans="1:15" outlineLevel="1" x14ac:dyDescent="0.2">
      <c r="A345" s="20">
        <f t="shared" si="164"/>
        <v>3625</v>
      </c>
      <c r="B345" s="19" t="str">
        <f t="shared" si="164"/>
        <v>SRSU</v>
      </c>
      <c r="C345" s="18"/>
      <c r="D345" s="15">
        <v>181</v>
      </c>
      <c r="E345" s="21">
        <v>0.28499999999999998</v>
      </c>
      <c r="F345" s="14">
        <v>1230.9333333333334</v>
      </c>
      <c r="G345" s="13">
        <v>368.43999999999954</v>
      </c>
      <c r="H345" s="15">
        <v>10</v>
      </c>
      <c r="I345" s="13">
        <v>10</v>
      </c>
      <c r="J345" s="16">
        <v>156</v>
      </c>
      <c r="K345" s="15">
        <v>318</v>
      </c>
      <c r="L345" s="14">
        <v>176</v>
      </c>
      <c r="M345" s="13">
        <v>115</v>
      </c>
      <c r="O345" s="2"/>
    </row>
    <row r="346" spans="1:15" outlineLevel="1" x14ac:dyDescent="0.2">
      <c r="A346" s="20">
        <f t="shared" si="164"/>
        <v>20</v>
      </c>
      <c r="B346" s="19" t="str">
        <f t="shared" si="164"/>
        <v>SRRG</v>
      </c>
      <c r="C346" s="18"/>
      <c r="D346" s="15">
        <v>168</v>
      </c>
      <c r="E346" s="17">
        <v>0.36144578313253012</v>
      </c>
      <c r="F346" s="14">
        <v>416.33333333333331</v>
      </c>
      <c r="G346" s="13">
        <v>287.9199999999995</v>
      </c>
      <c r="H346" s="15">
        <v>8</v>
      </c>
      <c r="I346" s="13">
        <v>9</v>
      </c>
      <c r="J346" s="16">
        <v>149</v>
      </c>
      <c r="K346" s="15">
        <v>251</v>
      </c>
      <c r="L346" s="14">
        <v>90</v>
      </c>
      <c r="M346" s="13">
        <v>5</v>
      </c>
      <c r="O346" s="2"/>
    </row>
    <row r="347" spans="1:15" ht="13.5" outlineLevel="1" thickBot="1" x14ac:dyDescent="0.25">
      <c r="A347" s="12"/>
      <c r="B347" s="11" t="s">
        <v>11</v>
      </c>
      <c r="C347" s="10"/>
      <c r="D347" s="9">
        <f>SUM(D309:D346)</f>
        <v>81251</v>
      </c>
      <c r="E347" s="8">
        <v>0.56799999999999995</v>
      </c>
      <c r="F347" s="7">
        <f t="shared" ref="F347:M347" si="165">SUM(F309:F346)</f>
        <v>338321.33333333337</v>
      </c>
      <c r="G347" s="3">
        <f t="shared" si="165"/>
        <v>165601.52999999447</v>
      </c>
      <c r="H347" s="5">
        <f t="shared" si="165"/>
        <v>12362</v>
      </c>
      <c r="I347" s="3">
        <f t="shared" si="165"/>
        <v>1122</v>
      </c>
      <c r="J347" s="6">
        <f t="shared" si="165"/>
        <v>51678</v>
      </c>
      <c r="K347" s="5">
        <f t="shared" si="165"/>
        <v>112517</v>
      </c>
      <c r="L347" s="4">
        <f t="shared" si="165"/>
        <v>81688</v>
      </c>
      <c r="M347" s="3">
        <f t="shared" si="165"/>
        <v>51008</v>
      </c>
      <c r="O347" s="2"/>
    </row>
    <row r="348" spans="1:15" x14ac:dyDescent="0.2">
      <c r="O348" s="2"/>
    </row>
    <row r="350" spans="1:15" x14ac:dyDescent="0.2">
      <c r="A350" s="1" t="s">
        <v>10</v>
      </c>
    </row>
    <row r="351" spans="1:15" x14ac:dyDescent="0.2">
      <c r="A351" s="1" t="s">
        <v>9</v>
      </c>
    </row>
    <row r="352" spans="1:15" x14ac:dyDescent="0.2">
      <c r="A352" s="1" t="s">
        <v>8</v>
      </c>
    </row>
    <row r="353" spans="1:1" x14ac:dyDescent="0.2">
      <c r="A353" s="1" t="s">
        <v>7</v>
      </c>
    </row>
    <row r="354" spans="1:1" x14ac:dyDescent="0.2">
      <c r="A354" s="1" t="s">
        <v>6</v>
      </c>
    </row>
    <row r="355" spans="1:1" x14ac:dyDescent="0.2">
      <c r="A355" s="1" t="s">
        <v>5</v>
      </c>
    </row>
    <row r="356" spans="1:1" x14ac:dyDescent="0.2">
      <c r="A356" s="1" t="s">
        <v>4</v>
      </c>
    </row>
    <row r="357" spans="1:1" x14ac:dyDescent="0.2">
      <c r="A357" s="1" t="s">
        <v>3</v>
      </c>
    </row>
    <row r="358" spans="1:1" x14ac:dyDescent="0.2">
      <c r="A358" s="1" t="s">
        <v>2</v>
      </c>
    </row>
    <row r="359" spans="1:1" x14ac:dyDescent="0.2">
      <c r="A359" s="1" t="s">
        <v>1</v>
      </c>
    </row>
    <row r="360" spans="1:1" x14ac:dyDescent="0.2">
      <c r="A360" s="1" t="s">
        <v>0</v>
      </c>
    </row>
  </sheetData>
  <autoFilter ref="A88:N347">
    <filterColumn colId="3" showButton="0"/>
    <filterColumn colId="4" showButton="0"/>
    <filterColumn colId="5" showButton="0"/>
    <filterColumn colId="10" showButton="0"/>
    <filterColumn colId="11" showButton="0"/>
  </autoFilter>
  <mergeCells count="89">
    <mergeCell ref="K129:M129"/>
    <mergeCell ref="N129:N130"/>
    <mergeCell ref="C129:C130"/>
    <mergeCell ref="D129:G129"/>
    <mergeCell ref="H129:H130"/>
    <mergeCell ref="I129:I130"/>
    <mergeCell ref="J129:J130"/>
    <mergeCell ref="B138:B139"/>
    <mergeCell ref="C138:C139"/>
    <mergeCell ref="D138:G138"/>
    <mergeCell ref="H138:H139"/>
    <mergeCell ref="A1:M1"/>
    <mergeCell ref="A3:A4"/>
    <mergeCell ref="B3:B4"/>
    <mergeCell ref="C3:C4"/>
    <mergeCell ref="D3:G3"/>
    <mergeCell ref="H3:H4"/>
    <mergeCell ref="I3:I4"/>
    <mergeCell ref="J3:J4"/>
    <mergeCell ref="K3:M3"/>
    <mergeCell ref="I138:I139"/>
    <mergeCell ref="J138:J139"/>
    <mergeCell ref="K138:M138"/>
    <mergeCell ref="A140:C140"/>
    <mergeCell ref="A181:A182"/>
    <mergeCell ref="B181:B182"/>
    <mergeCell ref="C181:C182"/>
    <mergeCell ref="D181:D182"/>
    <mergeCell ref="E181:E182"/>
    <mergeCell ref="F181:F182"/>
    <mergeCell ref="G181:G182"/>
    <mergeCell ref="I181:I182"/>
    <mergeCell ref="J181:J182"/>
    <mergeCell ref="K181:M181"/>
    <mergeCell ref="H181:H182"/>
    <mergeCell ref="A138:A139"/>
    <mergeCell ref="F223:F224"/>
    <mergeCell ref="A265:A266"/>
    <mergeCell ref="B265:B266"/>
    <mergeCell ref="C265:C266"/>
    <mergeCell ref="D265:D266"/>
    <mergeCell ref="E265:E266"/>
    <mergeCell ref="A223:A224"/>
    <mergeCell ref="B223:B224"/>
    <mergeCell ref="C223:C224"/>
    <mergeCell ref="D223:D224"/>
    <mergeCell ref="E223:E224"/>
    <mergeCell ref="K265:M265"/>
    <mergeCell ref="G223:G224"/>
    <mergeCell ref="H223:H224"/>
    <mergeCell ref="I223:I224"/>
    <mergeCell ref="J223:J224"/>
    <mergeCell ref="K223:M223"/>
    <mergeCell ref="J265:J266"/>
    <mergeCell ref="F265:F266"/>
    <mergeCell ref="G265:G266"/>
    <mergeCell ref="H265:H266"/>
    <mergeCell ref="I265:I266"/>
    <mergeCell ref="G307:G308"/>
    <mergeCell ref="H307:H308"/>
    <mergeCell ref="I307:I308"/>
    <mergeCell ref="J307:J308"/>
    <mergeCell ref="K307:M307"/>
    <mergeCell ref="A307:A308"/>
    <mergeCell ref="B307:B308"/>
    <mergeCell ref="C307:C308"/>
    <mergeCell ref="D307:D308"/>
    <mergeCell ref="E307:E308"/>
    <mergeCell ref="F307:F308"/>
    <mergeCell ref="A88:A89"/>
    <mergeCell ref="B88:B89"/>
    <mergeCell ref="C88:C89"/>
    <mergeCell ref="D88:G88"/>
    <mergeCell ref="A46:A47"/>
    <mergeCell ref="B46:B47"/>
    <mergeCell ref="C46:C47"/>
    <mergeCell ref="D46:G46"/>
    <mergeCell ref="N88:N89"/>
    <mergeCell ref="O46:O47"/>
    <mergeCell ref="P46:P47"/>
    <mergeCell ref="H88:H89"/>
    <mergeCell ref="I88:I89"/>
    <mergeCell ref="J88:J89"/>
    <mergeCell ref="K88:M88"/>
    <mergeCell ref="H46:H47"/>
    <mergeCell ref="I46:I47"/>
    <mergeCell ref="J46:J47"/>
    <mergeCell ref="K46:M46"/>
    <mergeCell ref="N46:N47"/>
  </mergeCells>
  <pageMargins left="0.25" right="0.25" top="0.5" bottom="0.2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Below="0" summaryRight="0"/>
  </sheetPr>
  <dimension ref="A1:R360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outlineLevelRow="1" x14ac:dyDescent="0.2"/>
  <cols>
    <col min="1" max="1" width="7.28515625" style="1" customWidth="1"/>
    <col min="2" max="2" width="10.85546875" style="1" bestFit="1" customWidth="1"/>
    <col min="3" max="3" width="13.7109375" style="1" bestFit="1" customWidth="1"/>
    <col min="4" max="4" width="13.140625" style="1" customWidth="1"/>
    <col min="5" max="5" width="12.5703125" style="1" customWidth="1"/>
    <col min="6" max="6" width="13" style="1" customWidth="1"/>
    <col min="7" max="7" width="12.42578125" style="1" customWidth="1"/>
    <col min="8" max="10" width="12.85546875" style="1" customWidth="1"/>
    <col min="11" max="11" width="12.28515625" style="1" customWidth="1"/>
    <col min="12" max="12" width="12.42578125" style="1" customWidth="1"/>
    <col min="13" max="15" width="12.5703125" style="1" bestFit="1" customWidth="1"/>
    <col min="16" max="16" width="11.5703125" style="1" customWidth="1"/>
    <col min="17" max="17" width="16.42578125" style="1" customWidth="1"/>
    <col min="18" max="18" width="15.140625" style="1" customWidth="1"/>
    <col min="19" max="20" width="9.140625" style="1"/>
    <col min="21" max="22" width="12.5703125" style="1" customWidth="1"/>
    <col min="23" max="16384" width="9.140625" style="1"/>
  </cols>
  <sheetData>
    <row r="1" spans="1:15" ht="41.25" customHeight="1" x14ac:dyDescent="0.2">
      <c r="A1" s="216" t="s">
        <v>113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ht="13.5" thickBot="1" x14ac:dyDescent="0.25">
      <c r="A2" s="86"/>
      <c r="B2" s="85"/>
      <c r="C2" s="85"/>
      <c r="D2" s="85"/>
      <c r="E2" s="85"/>
      <c r="F2" s="85"/>
      <c r="G2" s="85"/>
      <c r="H2" s="85"/>
      <c r="I2" s="85"/>
      <c r="J2" s="85"/>
    </row>
    <row r="3" spans="1:15" ht="12.75" customHeight="1" x14ac:dyDescent="0.2">
      <c r="A3" s="189" t="s">
        <v>24</v>
      </c>
      <c r="B3" s="191" t="s">
        <v>23</v>
      </c>
      <c r="C3" s="193" t="s">
        <v>74</v>
      </c>
      <c r="D3" s="184" t="s">
        <v>35</v>
      </c>
      <c r="E3" s="184"/>
      <c r="F3" s="184"/>
      <c r="G3" s="184"/>
      <c r="H3" s="186" t="s">
        <v>85</v>
      </c>
      <c r="I3" s="186" t="s">
        <v>89</v>
      </c>
      <c r="J3" s="186" t="s">
        <v>18</v>
      </c>
      <c r="K3" s="195" t="s">
        <v>17</v>
      </c>
      <c r="L3" s="197" t="s">
        <v>16</v>
      </c>
      <c r="M3" s="199" t="s">
        <v>34</v>
      </c>
      <c r="N3" s="200"/>
      <c r="O3" s="200"/>
    </row>
    <row r="4" spans="1:15" ht="54" customHeight="1" thickBot="1" x14ac:dyDescent="0.25">
      <c r="A4" s="190"/>
      <c r="B4" s="192"/>
      <c r="C4" s="194"/>
      <c r="D4" s="84"/>
      <c r="E4" s="67" t="s">
        <v>33</v>
      </c>
      <c r="F4" s="67" t="s">
        <v>32</v>
      </c>
      <c r="G4" s="42" t="s">
        <v>31</v>
      </c>
      <c r="H4" s="187"/>
      <c r="I4" s="187"/>
      <c r="J4" s="187"/>
      <c r="K4" s="196"/>
      <c r="L4" s="198"/>
      <c r="M4" s="44" t="s">
        <v>14</v>
      </c>
      <c r="N4" s="43" t="s">
        <v>13</v>
      </c>
      <c r="O4" s="42" t="s">
        <v>12</v>
      </c>
    </row>
    <row r="5" spans="1:15" x14ac:dyDescent="0.2">
      <c r="A5" s="40">
        <v>3656</v>
      </c>
      <c r="B5" s="39" t="s">
        <v>73</v>
      </c>
      <c r="C5" s="83">
        <f>SUM(D5:O5)</f>
        <v>13724593.929393722</v>
      </c>
      <c r="D5" s="103">
        <f t="shared" ref="D5:O5" si="0">D48*$Q48*$C$44</f>
        <v>1823846.9668047915</v>
      </c>
      <c r="E5" s="80">
        <f t="shared" si="0"/>
        <v>1260480.9037250895</v>
      </c>
      <c r="F5" s="80">
        <f t="shared" si="0"/>
        <v>717321.36916234368</v>
      </c>
      <c r="G5" s="79">
        <f t="shared" si="0"/>
        <v>3786737.1254471969</v>
      </c>
      <c r="H5" s="81">
        <f t="shared" si="0"/>
        <v>3051860.3091412727</v>
      </c>
      <c r="I5" s="81">
        <f t="shared" si="0"/>
        <v>681691.17398841691</v>
      </c>
      <c r="J5" s="81">
        <f t="shared" si="0"/>
        <v>556579.84359646693</v>
      </c>
      <c r="K5" s="79">
        <f t="shared" si="0"/>
        <v>12721.132689949723</v>
      </c>
      <c r="L5" s="82">
        <f t="shared" si="0"/>
        <v>181207.08325432384</v>
      </c>
      <c r="M5" s="81">
        <f t="shared" si="0"/>
        <v>662597.35958902561</v>
      </c>
      <c r="N5" s="80">
        <f t="shared" si="0"/>
        <v>557355.22692233056</v>
      </c>
      <c r="O5" s="79">
        <f t="shared" si="0"/>
        <v>432195.43507251411</v>
      </c>
    </row>
    <row r="6" spans="1:15" x14ac:dyDescent="0.2">
      <c r="A6" s="20">
        <v>3658</v>
      </c>
      <c r="B6" s="19" t="s">
        <v>72</v>
      </c>
      <c r="C6" s="58">
        <f t="shared" ref="C6:C42" si="1">SUM(D6:O6)</f>
        <v>29593214.157270286</v>
      </c>
      <c r="D6" s="15">
        <f t="shared" ref="D6:O6" si="2">D49*$Q49*$C$44</f>
        <v>3251642.6691958155</v>
      </c>
      <c r="E6" s="14">
        <f t="shared" si="2"/>
        <v>3594149.0303511089</v>
      </c>
      <c r="F6" s="14">
        <f t="shared" si="2"/>
        <v>642058.39368951321</v>
      </c>
      <c r="G6" s="13">
        <f t="shared" si="2"/>
        <v>7050542.4090312235</v>
      </c>
      <c r="H6" s="15">
        <f t="shared" si="2"/>
        <v>3641474.7131833853</v>
      </c>
      <c r="I6" s="15">
        <f t="shared" si="2"/>
        <v>6560066.0131918527</v>
      </c>
      <c r="J6" s="15">
        <f t="shared" si="2"/>
        <v>681973.86582597136</v>
      </c>
      <c r="K6" s="13">
        <f t="shared" si="2"/>
        <v>23988.421643905196</v>
      </c>
      <c r="L6" s="16">
        <f t="shared" si="2"/>
        <v>201812.89513914904</v>
      </c>
      <c r="M6" s="15">
        <f t="shared" si="2"/>
        <v>930298.45284343453</v>
      </c>
      <c r="N6" s="14">
        <f t="shared" si="2"/>
        <v>1309283.2071785587</v>
      </c>
      <c r="O6" s="13">
        <f t="shared" si="2"/>
        <v>1705924.0859963687</v>
      </c>
    </row>
    <row r="7" spans="1:15" x14ac:dyDescent="0.2">
      <c r="A7" s="20">
        <v>9741</v>
      </c>
      <c r="B7" s="19" t="s">
        <v>71</v>
      </c>
      <c r="C7" s="58">
        <f t="shared" si="1"/>
        <v>8625491.5022903625</v>
      </c>
      <c r="D7" s="15">
        <f t="shared" ref="D7:O7" si="3">D50*$Q50*$C$44</f>
        <v>869762.01505856251</v>
      </c>
      <c r="E7" s="14">
        <f t="shared" si="3"/>
        <v>815256.92878155923</v>
      </c>
      <c r="F7" s="14">
        <f t="shared" si="3"/>
        <v>650104.65442234173</v>
      </c>
      <c r="G7" s="13">
        <f t="shared" si="3"/>
        <v>1854088.1280499573</v>
      </c>
      <c r="H7" s="15">
        <f t="shared" si="3"/>
        <v>2430342.1120037278</v>
      </c>
      <c r="I7" s="15">
        <f t="shared" si="3"/>
        <v>885229.29702761245</v>
      </c>
      <c r="J7" s="15">
        <f t="shared" si="3"/>
        <v>153259.36050272762</v>
      </c>
      <c r="K7" s="13">
        <f t="shared" si="3"/>
        <v>11630.749887954033</v>
      </c>
      <c r="L7" s="16">
        <f t="shared" si="3"/>
        <v>76743.564677350034</v>
      </c>
      <c r="M7" s="15">
        <f t="shared" si="3"/>
        <v>321299.46565473016</v>
      </c>
      <c r="N7" s="14">
        <f t="shared" si="3"/>
        <v>310298.71471904032</v>
      </c>
      <c r="O7" s="13">
        <f t="shared" si="3"/>
        <v>247476.51150479968</v>
      </c>
    </row>
    <row r="8" spans="1:15" x14ac:dyDescent="0.2">
      <c r="A8" s="20">
        <v>3661</v>
      </c>
      <c r="B8" s="19" t="s">
        <v>70</v>
      </c>
      <c r="C8" s="58">
        <f t="shared" si="1"/>
        <v>7809298.1652607648</v>
      </c>
      <c r="D8" s="15">
        <f t="shared" ref="D8:O8" si="4">D51*$Q51*$C$44</f>
        <v>1420434.3521498165</v>
      </c>
      <c r="E8" s="14">
        <f t="shared" si="4"/>
        <v>332381.638403057</v>
      </c>
      <c r="F8" s="14">
        <f t="shared" si="4"/>
        <v>318808.67775626195</v>
      </c>
      <c r="G8" s="13">
        <f t="shared" si="4"/>
        <v>2926399.8854454532</v>
      </c>
      <c r="H8" s="15">
        <f t="shared" si="4"/>
        <v>958107.82928783831</v>
      </c>
      <c r="I8" s="15">
        <f t="shared" si="4"/>
        <v>261442.93822144697</v>
      </c>
      <c r="J8" s="15">
        <f t="shared" si="4"/>
        <v>304345.60047698062</v>
      </c>
      <c r="K8" s="13">
        <f t="shared" si="4"/>
        <v>41818.479454852299</v>
      </c>
      <c r="L8" s="16">
        <f t="shared" si="4"/>
        <v>183208.30732428035</v>
      </c>
      <c r="M8" s="15">
        <f t="shared" si="4"/>
        <v>324337.93132154486</v>
      </c>
      <c r="N8" s="14">
        <f t="shared" si="4"/>
        <v>374470.54402505071</v>
      </c>
      <c r="O8" s="13">
        <f t="shared" si="4"/>
        <v>363541.98139418272</v>
      </c>
    </row>
    <row r="9" spans="1:15" x14ac:dyDescent="0.2">
      <c r="A9" s="20">
        <v>3599</v>
      </c>
      <c r="B9" s="19" t="s">
        <v>69</v>
      </c>
      <c r="C9" s="58">
        <f t="shared" si="1"/>
        <v>6169066.2140018828</v>
      </c>
      <c r="D9" s="15">
        <f t="shared" ref="D9:O9" si="5">D52*$Q52*$C$44</f>
        <v>1111224.1068273513</v>
      </c>
      <c r="E9" s="14">
        <f t="shared" si="5"/>
        <v>191575.03601703534</v>
      </c>
      <c r="F9" s="14">
        <f t="shared" si="5"/>
        <v>176525.18955017414</v>
      </c>
      <c r="G9" s="13">
        <f t="shared" si="5"/>
        <v>2211321.6156858723</v>
      </c>
      <c r="H9" s="15">
        <f t="shared" si="5"/>
        <v>616198.17396679474</v>
      </c>
      <c r="I9" s="15">
        <f t="shared" si="5"/>
        <v>42496.425790813439</v>
      </c>
      <c r="J9" s="15">
        <f t="shared" si="5"/>
        <v>224111.21844412084</v>
      </c>
      <c r="K9" s="13">
        <f t="shared" si="5"/>
        <v>12059.796508203812</v>
      </c>
      <c r="L9" s="16">
        <f t="shared" si="5"/>
        <v>161141.85239057097</v>
      </c>
      <c r="M9" s="15">
        <f t="shared" si="5"/>
        <v>421265.92031228513</v>
      </c>
      <c r="N9" s="14">
        <f t="shared" si="5"/>
        <v>533387.57127712853</v>
      </c>
      <c r="O9" s="13">
        <f t="shared" si="5"/>
        <v>467759.30723153183</v>
      </c>
    </row>
    <row r="10" spans="1:15" x14ac:dyDescent="0.2">
      <c r="A10" s="20">
        <v>30646</v>
      </c>
      <c r="B10" s="19" t="s">
        <v>68</v>
      </c>
      <c r="C10" s="58">
        <f t="shared" si="1"/>
        <v>2362017.2854832793</v>
      </c>
      <c r="D10" s="15">
        <f t="shared" ref="D10:O10" si="6">D53*$Q53*$C$44</f>
        <v>470332.06381994858</v>
      </c>
      <c r="E10" s="14">
        <f t="shared" si="6"/>
        <v>108223.05031424685</v>
      </c>
      <c r="F10" s="14">
        <f t="shared" si="6"/>
        <v>296853.92716291151</v>
      </c>
      <c r="G10" s="13">
        <f t="shared" si="6"/>
        <v>903534.31129524403</v>
      </c>
      <c r="H10" s="15">
        <f t="shared" si="6"/>
        <v>183768.32774405807</v>
      </c>
      <c r="I10" s="15">
        <f t="shared" si="6"/>
        <v>16079.728677605082</v>
      </c>
      <c r="J10" s="15">
        <f t="shared" si="6"/>
        <v>53551.239256666922</v>
      </c>
      <c r="K10" s="13">
        <f t="shared" si="6"/>
        <v>7896.2953327524947</v>
      </c>
      <c r="L10" s="16">
        <f t="shared" si="6"/>
        <v>64548.625120100405</v>
      </c>
      <c r="M10" s="15">
        <f t="shared" si="6"/>
        <v>137102.65801755132</v>
      </c>
      <c r="N10" s="14">
        <f t="shared" si="6"/>
        <v>95846.668439010304</v>
      </c>
      <c r="O10" s="13">
        <f t="shared" si="6"/>
        <v>24280.390303183674</v>
      </c>
    </row>
    <row r="11" spans="1:15" x14ac:dyDescent="0.2">
      <c r="A11" s="20">
        <v>9930</v>
      </c>
      <c r="B11" s="19" t="s">
        <v>67</v>
      </c>
      <c r="C11" s="58">
        <f t="shared" si="1"/>
        <v>1298998.0785515811</v>
      </c>
      <c r="D11" s="15">
        <f t="shared" ref="D11:O11" si="7">D54*$Q54*$C$44</f>
        <v>229710.40968007263</v>
      </c>
      <c r="E11" s="14">
        <f t="shared" si="7"/>
        <v>40796.568759180896</v>
      </c>
      <c r="F11" s="14">
        <f t="shared" si="7"/>
        <v>199203.50029587251</v>
      </c>
      <c r="G11" s="13">
        <f t="shared" si="7"/>
        <v>431360.25712766539</v>
      </c>
      <c r="H11" s="15">
        <f t="shared" si="7"/>
        <v>135529.14171124285</v>
      </c>
      <c r="I11" s="15">
        <f t="shared" si="7"/>
        <v>0</v>
      </c>
      <c r="J11" s="15">
        <f t="shared" si="7"/>
        <v>17802.556750205626</v>
      </c>
      <c r="K11" s="13">
        <f t="shared" si="7"/>
        <v>4307.0701815013608</v>
      </c>
      <c r="L11" s="16">
        <f t="shared" si="7"/>
        <v>27496.336038704692</v>
      </c>
      <c r="M11" s="15">
        <f t="shared" si="7"/>
        <v>81214.115342389647</v>
      </c>
      <c r="N11" s="14">
        <f t="shared" si="7"/>
        <v>84705.713569526779</v>
      </c>
      <c r="O11" s="13">
        <f t="shared" si="7"/>
        <v>46872.40909521882</v>
      </c>
    </row>
    <row r="12" spans="1:15" x14ac:dyDescent="0.2">
      <c r="A12" s="20">
        <v>10115</v>
      </c>
      <c r="B12" s="19" t="s">
        <v>66</v>
      </c>
      <c r="C12" s="58">
        <f t="shared" si="1"/>
        <v>9730106.9737008661</v>
      </c>
      <c r="D12" s="15">
        <f t="shared" ref="D12:O12" si="8">D55*$Q55*$C$44</f>
        <v>1914202.176231554</v>
      </c>
      <c r="E12" s="14">
        <f t="shared" si="8"/>
        <v>484293.15058658319</v>
      </c>
      <c r="F12" s="14">
        <f t="shared" si="8"/>
        <v>282149.7562376798</v>
      </c>
      <c r="G12" s="13">
        <f t="shared" si="8"/>
        <v>3909662.3045415529</v>
      </c>
      <c r="H12" s="15">
        <f t="shared" si="8"/>
        <v>956249.23020095588</v>
      </c>
      <c r="I12" s="15">
        <f t="shared" si="8"/>
        <v>256486.67398976078</v>
      </c>
      <c r="J12" s="15">
        <f t="shared" si="8"/>
        <v>182142.71051446779</v>
      </c>
      <c r="K12" s="13">
        <f t="shared" si="8"/>
        <v>23077.605328788861</v>
      </c>
      <c r="L12" s="16">
        <f t="shared" si="8"/>
        <v>232225.76057565687</v>
      </c>
      <c r="M12" s="15">
        <f t="shared" si="8"/>
        <v>506257.60994558677</v>
      </c>
      <c r="N12" s="14">
        <f t="shared" si="8"/>
        <v>497212.42772275949</v>
      </c>
      <c r="O12" s="13">
        <f t="shared" si="8"/>
        <v>486147.56782552006</v>
      </c>
    </row>
    <row r="13" spans="1:15" x14ac:dyDescent="0.2">
      <c r="A13" s="20">
        <v>11163</v>
      </c>
      <c r="B13" s="19" t="s">
        <v>65</v>
      </c>
      <c r="C13" s="58">
        <f t="shared" si="1"/>
        <v>2880410.0990878572</v>
      </c>
      <c r="D13" s="15">
        <f t="shared" ref="D13:O13" si="9">D56*$Q56*$C$44</f>
        <v>512541.35159866192</v>
      </c>
      <c r="E13" s="14">
        <f t="shared" si="9"/>
        <v>105720.19612308402</v>
      </c>
      <c r="F13" s="14">
        <f t="shared" si="9"/>
        <v>252013.05523833228</v>
      </c>
      <c r="G13" s="13">
        <f t="shared" si="9"/>
        <v>1017614.2435026051</v>
      </c>
      <c r="H13" s="15">
        <f t="shared" si="9"/>
        <v>341119.95837490779</v>
      </c>
      <c r="I13" s="15">
        <f t="shared" si="9"/>
        <v>22971.040968007263</v>
      </c>
      <c r="J13" s="15">
        <f t="shared" si="9"/>
        <v>162232.97683655127</v>
      </c>
      <c r="K13" s="13">
        <f t="shared" si="9"/>
        <v>6029.8982541019059</v>
      </c>
      <c r="L13" s="16">
        <f t="shared" si="9"/>
        <v>64939.132816556536</v>
      </c>
      <c r="M13" s="15">
        <f t="shared" si="9"/>
        <v>148473.32329671489</v>
      </c>
      <c r="N13" s="14">
        <f t="shared" si="9"/>
        <v>153331.69846144845</v>
      </c>
      <c r="O13" s="13">
        <f t="shared" si="9"/>
        <v>93423.223616885516</v>
      </c>
    </row>
    <row r="14" spans="1:15" x14ac:dyDescent="0.2">
      <c r="A14" s="20">
        <v>3632</v>
      </c>
      <c r="B14" s="19" t="s">
        <v>64</v>
      </c>
      <c r="C14" s="58">
        <f t="shared" si="1"/>
        <v>25712954.900477417</v>
      </c>
      <c r="D14" s="15">
        <f t="shared" ref="D14:O14" si="10">D57*$Q57*$C$44</f>
        <v>3176527.4095027787</v>
      </c>
      <c r="E14" s="14">
        <f t="shared" si="10"/>
        <v>3560534.2785626696</v>
      </c>
      <c r="F14" s="14">
        <f t="shared" si="10"/>
        <v>611629.31126161851</v>
      </c>
      <c r="G14" s="13">
        <f t="shared" si="10"/>
        <v>7307315.443536601</v>
      </c>
      <c r="H14" s="15">
        <f t="shared" si="10"/>
        <v>2579361.0949431392</v>
      </c>
      <c r="I14" s="15">
        <f t="shared" si="10"/>
        <v>3632993.958056753</v>
      </c>
      <c r="J14" s="15">
        <f t="shared" si="10"/>
        <v>640781.62663946743</v>
      </c>
      <c r="K14" s="13">
        <f t="shared" si="10"/>
        <v>45796.077683819</v>
      </c>
      <c r="L14" s="16">
        <f t="shared" si="10"/>
        <v>216564.56291370408</v>
      </c>
      <c r="M14" s="15">
        <f t="shared" si="10"/>
        <v>975109.14755063516</v>
      </c>
      <c r="N14" s="14">
        <f t="shared" si="10"/>
        <v>1294987.0771079487</v>
      </c>
      <c r="O14" s="13">
        <f t="shared" si="10"/>
        <v>1671354.9127182837</v>
      </c>
    </row>
    <row r="15" spans="1:15" x14ac:dyDescent="0.2">
      <c r="A15" s="20">
        <v>10298</v>
      </c>
      <c r="B15" s="19" t="s">
        <v>63</v>
      </c>
      <c r="C15" s="58">
        <f t="shared" si="1"/>
        <v>2151971.0414288854</v>
      </c>
      <c r="D15" s="15">
        <f t="shared" ref="D15:O15" si="11">D58*$Q58*$C$44</f>
        <v>310664.48228835291</v>
      </c>
      <c r="E15" s="14">
        <f t="shared" si="11"/>
        <v>32481.697537037795</v>
      </c>
      <c r="F15" s="14">
        <f t="shared" si="11"/>
        <v>462592.0459741595</v>
      </c>
      <c r="G15" s="13">
        <f t="shared" si="11"/>
        <v>794368.328997073</v>
      </c>
      <c r="H15" s="15">
        <f t="shared" si="11"/>
        <v>20685.891677795895</v>
      </c>
      <c r="I15" s="15">
        <f t="shared" si="11"/>
        <v>0</v>
      </c>
      <c r="J15" s="15">
        <f t="shared" si="11"/>
        <v>42123.997598420727</v>
      </c>
      <c r="K15" s="13">
        <f t="shared" si="11"/>
        <v>0</v>
      </c>
      <c r="L15" s="16">
        <f t="shared" si="11"/>
        <v>28523.96408807347</v>
      </c>
      <c r="M15" s="15">
        <f t="shared" si="11"/>
        <v>178224.62793427057</v>
      </c>
      <c r="N15" s="14">
        <f t="shared" si="11"/>
        <v>143522.47753176207</v>
      </c>
      <c r="O15" s="13">
        <f t="shared" si="11"/>
        <v>138783.52780193975</v>
      </c>
    </row>
    <row r="16" spans="1:15" x14ac:dyDescent="0.2">
      <c r="A16" s="20">
        <v>3630</v>
      </c>
      <c r="B16" s="19" t="s">
        <v>62</v>
      </c>
      <c r="C16" s="58">
        <f t="shared" si="1"/>
        <v>2767597.8118823883</v>
      </c>
      <c r="D16" s="15">
        <f t="shared" ref="D16:O16" si="12">D59*$Q59*$C$44</f>
        <v>403285.33799457742</v>
      </c>
      <c r="E16" s="14">
        <f t="shared" si="12"/>
        <v>59955.086915193846</v>
      </c>
      <c r="F16" s="14">
        <f t="shared" si="12"/>
        <v>136307.46971027262</v>
      </c>
      <c r="G16" s="13">
        <f t="shared" si="12"/>
        <v>892812.57792342105</v>
      </c>
      <c r="H16" s="15">
        <f t="shared" si="12"/>
        <v>439608.2965252389</v>
      </c>
      <c r="I16" s="15">
        <f t="shared" si="12"/>
        <v>45942.081936014525</v>
      </c>
      <c r="J16" s="15">
        <f t="shared" si="12"/>
        <v>135959.84872939298</v>
      </c>
      <c r="K16" s="13">
        <f t="shared" si="12"/>
        <v>4163.5011754513152</v>
      </c>
      <c r="L16" s="16">
        <f t="shared" si="12"/>
        <v>55314.266650961486</v>
      </c>
      <c r="M16" s="15">
        <f t="shared" si="12"/>
        <v>172420.6335058625</v>
      </c>
      <c r="N16" s="14">
        <f t="shared" si="12"/>
        <v>203465.99537412432</v>
      </c>
      <c r="O16" s="13">
        <f t="shared" si="12"/>
        <v>218362.71544187702</v>
      </c>
    </row>
    <row r="17" spans="1:15" x14ac:dyDescent="0.2">
      <c r="A17" s="20">
        <v>3631</v>
      </c>
      <c r="B17" s="19" t="s">
        <v>61</v>
      </c>
      <c r="C17" s="58">
        <f t="shared" si="1"/>
        <v>3539840.1790468646</v>
      </c>
      <c r="D17" s="15">
        <f t="shared" ref="D17:O17" si="13">D60*$Q60*$C$44</f>
        <v>665585.91204801027</v>
      </c>
      <c r="E17" s="14">
        <f t="shared" si="13"/>
        <v>127260.02638357956</v>
      </c>
      <c r="F17" s="14">
        <f t="shared" si="13"/>
        <v>211561.28670128112</v>
      </c>
      <c r="G17" s="13">
        <f t="shared" si="13"/>
        <v>1344901.3281445978</v>
      </c>
      <c r="H17" s="15">
        <f t="shared" si="13"/>
        <v>307237.6729470971</v>
      </c>
      <c r="I17" s="15">
        <f t="shared" si="13"/>
        <v>33308.009403610522</v>
      </c>
      <c r="J17" s="15">
        <f t="shared" si="13"/>
        <v>87433.524684477627</v>
      </c>
      <c r="K17" s="13">
        <f t="shared" si="13"/>
        <v>20530.367865156488</v>
      </c>
      <c r="L17" s="16">
        <f t="shared" si="13"/>
        <v>82351.181870306027</v>
      </c>
      <c r="M17" s="15">
        <f t="shared" si="13"/>
        <v>222692.75666434638</v>
      </c>
      <c r="N17" s="14">
        <f t="shared" si="13"/>
        <v>228906.42324619234</v>
      </c>
      <c r="O17" s="13">
        <f t="shared" si="13"/>
        <v>208071.68908820977</v>
      </c>
    </row>
    <row r="18" spans="1:15" x14ac:dyDescent="0.2">
      <c r="A18" s="78">
        <v>103631</v>
      </c>
      <c r="B18" s="19" t="s">
        <v>60</v>
      </c>
      <c r="C18" s="58">
        <f t="shared" si="1"/>
        <v>1717306.0236694759</v>
      </c>
      <c r="D18" s="15">
        <f t="shared" ref="D18:O18" si="14">D61*$Q61*$C$44</f>
        <v>224454.74223038382</v>
      </c>
      <c r="E18" s="14">
        <f t="shared" si="14"/>
        <v>42915.746714449393</v>
      </c>
      <c r="F18" s="14">
        <f t="shared" si="14"/>
        <v>659105.57606233633</v>
      </c>
      <c r="G18" s="13">
        <f t="shared" si="14"/>
        <v>416216.45665508899</v>
      </c>
      <c r="H18" s="15">
        <f t="shared" si="14"/>
        <v>210964.70341422028</v>
      </c>
      <c r="I18" s="15">
        <f t="shared" si="14"/>
        <v>0</v>
      </c>
      <c r="J18" s="15">
        <f t="shared" si="14"/>
        <v>19828.731753878947</v>
      </c>
      <c r="K18" s="13">
        <f t="shared" si="14"/>
        <v>0</v>
      </c>
      <c r="L18" s="16">
        <f t="shared" si="14"/>
        <v>25510.801115482296</v>
      </c>
      <c r="M18" s="15">
        <f t="shared" si="14"/>
        <v>77234.535487239977</v>
      </c>
      <c r="N18" s="14">
        <f t="shared" si="14"/>
        <v>31127.858241827016</v>
      </c>
      <c r="O18" s="13">
        <f t="shared" si="14"/>
        <v>9946.8719945687826</v>
      </c>
    </row>
    <row r="19" spans="1:15" x14ac:dyDescent="0.2">
      <c r="A19" s="20">
        <v>11161</v>
      </c>
      <c r="B19" s="19" t="s">
        <v>59</v>
      </c>
      <c r="C19" s="58">
        <f t="shared" si="1"/>
        <v>3512415.5670154658</v>
      </c>
      <c r="D19" s="15">
        <f t="shared" ref="D19:O19" si="15">D62*$Q62*$C$44</f>
        <v>597964.91019843891</v>
      </c>
      <c r="E19" s="14">
        <f t="shared" si="15"/>
        <v>121506.46975232278</v>
      </c>
      <c r="F19" s="14">
        <f t="shared" si="15"/>
        <v>184140.29260883972</v>
      </c>
      <c r="G19" s="13">
        <f t="shared" si="15"/>
        <v>1207788.6202966177</v>
      </c>
      <c r="H19" s="15">
        <f t="shared" si="15"/>
        <v>431855.57019853644</v>
      </c>
      <c r="I19" s="15">
        <f t="shared" si="15"/>
        <v>91884.16387202905</v>
      </c>
      <c r="J19" s="15">
        <f t="shared" si="15"/>
        <v>114711.63583398625</v>
      </c>
      <c r="K19" s="13">
        <f t="shared" si="15"/>
        <v>11054.813465853493</v>
      </c>
      <c r="L19" s="16">
        <f t="shared" si="15"/>
        <v>74426.17273634352</v>
      </c>
      <c r="M19" s="15">
        <f t="shared" si="15"/>
        <v>212321.33166729109</v>
      </c>
      <c r="N19" s="14">
        <f t="shared" si="15"/>
        <v>252911.16105775995</v>
      </c>
      <c r="O19" s="13">
        <f t="shared" si="15"/>
        <v>211850.42532744698</v>
      </c>
    </row>
    <row r="20" spans="1:15" x14ac:dyDescent="0.2">
      <c r="A20" s="20">
        <v>3639</v>
      </c>
      <c r="B20" s="19" t="s">
        <v>58</v>
      </c>
      <c r="C20" s="58">
        <f t="shared" si="1"/>
        <v>2299817.9271254279</v>
      </c>
      <c r="D20" s="15">
        <f t="shared" ref="D20:O20" si="16">D63*$Q63*$C$44</f>
        <v>328055.17882435361</v>
      </c>
      <c r="E20" s="14">
        <f t="shared" si="16"/>
        <v>52795.013445465993</v>
      </c>
      <c r="F20" s="14">
        <f t="shared" si="16"/>
        <v>154016.51587997825</v>
      </c>
      <c r="G20" s="13">
        <f t="shared" si="16"/>
        <v>759531.72684692068</v>
      </c>
      <c r="H20" s="15">
        <f t="shared" si="16"/>
        <v>352605.47885891143</v>
      </c>
      <c r="I20" s="15">
        <f t="shared" si="16"/>
        <v>79250.09133962504</v>
      </c>
      <c r="J20" s="15">
        <f t="shared" si="16"/>
        <v>111983.82471903539</v>
      </c>
      <c r="K20" s="13">
        <f t="shared" si="16"/>
        <v>7178.4503025022696</v>
      </c>
      <c r="L20" s="16">
        <f t="shared" si="16"/>
        <v>44678.674682774123</v>
      </c>
      <c r="M20" s="15">
        <f t="shared" si="16"/>
        <v>126869.05926630407</v>
      </c>
      <c r="N20" s="14">
        <f t="shared" si="16"/>
        <v>148105.78664122682</v>
      </c>
      <c r="O20" s="13">
        <f t="shared" si="16"/>
        <v>134748.12631833059</v>
      </c>
    </row>
    <row r="21" spans="1:15" x14ac:dyDescent="0.2">
      <c r="A21" s="78">
        <v>103639</v>
      </c>
      <c r="B21" s="19" t="s">
        <v>57</v>
      </c>
      <c r="C21" s="58">
        <f t="shared" si="1"/>
        <v>1473989.1700468254</v>
      </c>
      <c r="D21" s="15">
        <f t="shared" ref="D21:O21" si="17">D64*$Q64*$C$44</f>
        <v>255093.8081797265</v>
      </c>
      <c r="E21" s="14">
        <f t="shared" si="17"/>
        <v>41053.096863057326</v>
      </c>
      <c r="F21" s="14">
        <f t="shared" si="17"/>
        <v>361140.79683155142</v>
      </c>
      <c r="G21" s="13">
        <f t="shared" si="17"/>
        <v>445370.92758339696</v>
      </c>
      <c r="H21" s="15">
        <f t="shared" si="17"/>
        <v>216074.92165724613</v>
      </c>
      <c r="I21" s="15">
        <f t="shared" si="17"/>
        <v>0</v>
      </c>
      <c r="J21" s="15">
        <f t="shared" si="17"/>
        <v>2170.3954184321597</v>
      </c>
      <c r="K21" s="13">
        <f t="shared" si="17"/>
        <v>868.15816737286389</v>
      </c>
      <c r="L21" s="16">
        <f t="shared" si="17"/>
        <v>34054.951045479538</v>
      </c>
      <c r="M21" s="15">
        <f t="shared" si="17"/>
        <v>101354.57218022396</v>
      </c>
      <c r="N21" s="14">
        <f t="shared" si="17"/>
        <v>16113.015586440351</v>
      </c>
      <c r="O21" s="13">
        <f t="shared" si="17"/>
        <v>694.52653389829106</v>
      </c>
    </row>
    <row r="22" spans="1:15" x14ac:dyDescent="0.2">
      <c r="A22" s="20">
        <v>9651</v>
      </c>
      <c r="B22" s="19" t="s">
        <v>56</v>
      </c>
      <c r="C22" s="58">
        <f t="shared" si="1"/>
        <v>1989870.7205233166</v>
      </c>
      <c r="D22" s="15">
        <f t="shared" ref="D22:O22" si="18">D65*$Q65*$C$44</f>
        <v>340114.97533255746</v>
      </c>
      <c r="E22" s="14">
        <f t="shared" si="18"/>
        <v>64395.101996297541</v>
      </c>
      <c r="F22" s="14">
        <f t="shared" si="18"/>
        <v>166478.20623228463</v>
      </c>
      <c r="G22" s="13">
        <f t="shared" si="18"/>
        <v>628184.75028191519</v>
      </c>
      <c r="H22" s="15">
        <f t="shared" si="18"/>
        <v>232581.78980107346</v>
      </c>
      <c r="I22" s="15">
        <f t="shared" si="18"/>
        <v>14931.17662920472</v>
      </c>
      <c r="J22" s="15">
        <f t="shared" si="18"/>
        <v>49818.445099365745</v>
      </c>
      <c r="K22" s="13">
        <f t="shared" si="18"/>
        <v>9619.1234053530388</v>
      </c>
      <c r="L22" s="16">
        <f t="shared" si="18"/>
        <v>49112.085589599519</v>
      </c>
      <c r="M22" s="15">
        <f t="shared" si="18"/>
        <v>145406.68932748595</v>
      </c>
      <c r="N22" s="14">
        <f t="shared" si="18"/>
        <v>174981.9045737953</v>
      </c>
      <c r="O22" s="13">
        <f t="shared" si="18"/>
        <v>114246.47225438412</v>
      </c>
    </row>
    <row r="23" spans="1:15" x14ac:dyDescent="0.2">
      <c r="A23" s="20">
        <v>3665</v>
      </c>
      <c r="B23" s="19" t="s">
        <v>55</v>
      </c>
      <c r="C23" s="58">
        <f t="shared" si="1"/>
        <v>2950962.4087063707</v>
      </c>
      <c r="D23" s="15">
        <f t="shared" ref="D23:O23" si="19">D66*$Q66*$C$44</f>
        <v>540824.44579052099</v>
      </c>
      <c r="E23" s="14">
        <f t="shared" si="19"/>
        <v>101819.21566082873</v>
      </c>
      <c r="F23" s="14">
        <f t="shared" si="19"/>
        <v>199742.29074890487</v>
      </c>
      <c r="G23" s="13">
        <f t="shared" si="19"/>
        <v>1078308.0408102646</v>
      </c>
      <c r="H23" s="15">
        <f t="shared" si="19"/>
        <v>298623.53258409438</v>
      </c>
      <c r="I23" s="15">
        <f t="shared" si="19"/>
        <v>8039.8643388025412</v>
      </c>
      <c r="J23" s="15">
        <f t="shared" si="19"/>
        <v>82552.178478776084</v>
      </c>
      <c r="K23" s="13">
        <f t="shared" si="19"/>
        <v>26129.559101108258</v>
      </c>
      <c r="L23" s="16">
        <f t="shared" si="19"/>
        <v>61286.737302643378</v>
      </c>
      <c r="M23" s="15">
        <f t="shared" si="19"/>
        <v>185204.01780455853</v>
      </c>
      <c r="N23" s="14">
        <f t="shared" si="19"/>
        <v>208921.61760402605</v>
      </c>
      <c r="O23" s="13">
        <f t="shared" si="19"/>
        <v>159510.90848184243</v>
      </c>
    </row>
    <row r="24" spans="1:15" x14ac:dyDescent="0.2">
      <c r="A24" s="20">
        <v>3565</v>
      </c>
      <c r="B24" s="19" t="s">
        <v>54</v>
      </c>
      <c r="C24" s="58">
        <f t="shared" si="1"/>
        <v>3825312.0522471028</v>
      </c>
      <c r="D24" s="15">
        <f t="shared" ref="D24:O24" si="20">D67*$Q67*$C$44</f>
        <v>570399.66103683016</v>
      </c>
      <c r="E24" s="14">
        <f t="shared" si="20"/>
        <v>100390.34034248212</v>
      </c>
      <c r="F24" s="14">
        <f t="shared" si="20"/>
        <v>242879.4378101982</v>
      </c>
      <c r="G24" s="13">
        <f t="shared" si="20"/>
        <v>1077554.3035285051</v>
      </c>
      <c r="H24" s="15">
        <f t="shared" si="20"/>
        <v>1053796.504407333</v>
      </c>
      <c r="I24" s="15">
        <f t="shared" si="20"/>
        <v>145866.11014684613</v>
      </c>
      <c r="J24" s="15">
        <f t="shared" si="20"/>
        <v>31441.612324959937</v>
      </c>
      <c r="K24" s="13">
        <f t="shared" si="20"/>
        <v>32015.888349160119</v>
      </c>
      <c r="L24" s="16">
        <f t="shared" si="20"/>
        <v>70245.443280166219</v>
      </c>
      <c r="M24" s="15">
        <f t="shared" si="20"/>
        <v>195678.81248596983</v>
      </c>
      <c r="N24" s="14">
        <f t="shared" si="20"/>
        <v>195942.97945710193</v>
      </c>
      <c r="O24" s="13">
        <f t="shared" si="20"/>
        <v>109100.95907755048</v>
      </c>
    </row>
    <row r="25" spans="1:15" x14ac:dyDescent="0.2">
      <c r="A25" s="20">
        <v>29269</v>
      </c>
      <c r="B25" s="19" t="s">
        <v>53</v>
      </c>
      <c r="C25" s="58">
        <f t="shared" si="1"/>
        <v>1204101.9499844706</v>
      </c>
      <c r="D25" s="15">
        <f t="shared" ref="D25:O25" si="21">D68*$Q68*$C$44</f>
        <v>168544.21990797104</v>
      </c>
      <c r="E25" s="14">
        <f t="shared" si="21"/>
        <v>36542.128400435147</v>
      </c>
      <c r="F25" s="14">
        <f t="shared" si="21"/>
        <v>378043.11007395381</v>
      </c>
      <c r="G25" s="13">
        <f t="shared" si="21"/>
        <v>302263.01069378026</v>
      </c>
      <c r="H25" s="15">
        <f t="shared" si="21"/>
        <v>160255.15991249707</v>
      </c>
      <c r="I25" s="15">
        <f t="shared" si="21"/>
        <v>0</v>
      </c>
      <c r="J25" s="15">
        <f t="shared" si="21"/>
        <v>20316.323518318593</v>
      </c>
      <c r="K25" s="13">
        <f t="shared" si="21"/>
        <v>9426.7741124998265</v>
      </c>
      <c r="L25" s="16">
        <f t="shared" si="21"/>
        <v>18645.509072172074</v>
      </c>
      <c r="M25" s="15">
        <f t="shared" si="21"/>
        <v>67508.705092550488</v>
      </c>
      <c r="N25" s="14">
        <f t="shared" si="21"/>
        <v>42361.972494516463</v>
      </c>
      <c r="O25" s="13">
        <f t="shared" si="21"/>
        <v>195.03670577585848</v>
      </c>
    </row>
    <row r="26" spans="1:15" x14ac:dyDescent="0.2">
      <c r="A26" s="20">
        <v>3652</v>
      </c>
      <c r="B26" s="19" t="s">
        <v>52</v>
      </c>
      <c r="C26" s="58">
        <f t="shared" si="1"/>
        <v>16452228.327054054</v>
      </c>
      <c r="D26" s="15">
        <f t="shared" ref="D26:O26" si="22">D69*$Q69*$C$44</f>
        <v>1853166.1488140093</v>
      </c>
      <c r="E26" s="14">
        <f t="shared" si="22"/>
        <v>1325219.7037518849</v>
      </c>
      <c r="F26" s="14">
        <f t="shared" si="22"/>
        <v>519144.57112941198</v>
      </c>
      <c r="G26" s="13">
        <f t="shared" si="22"/>
        <v>3845506.3354015928</v>
      </c>
      <c r="H26" s="15">
        <f t="shared" si="22"/>
        <v>2294650.0299775978</v>
      </c>
      <c r="I26" s="15">
        <f t="shared" si="22"/>
        <v>3762224.5123673542</v>
      </c>
      <c r="J26" s="15">
        <f t="shared" si="22"/>
        <v>267870.70835694129</v>
      </c>
      <c r="K26" s="13">
        <f t="shared" si="22"/>
        <v>22776.885197243311</v>
      </c>
      <c r="L26" s="16">
        <f t="shared" si="22"/>
        <v>196152.59686034475</v>
      </c>
      <c r="M26" s="15">
        <f t="shared" si="22"/>
        <v>736840.31304046558</v>
      </c>
      <c r="N26" s="14">
        <f t="shared" si="22"/>
        <v>827285.54723859695</v>
      </c>
      <c r="O26" s="13">
        <f t="shared" si="22"/>
        <v>801390.97491861053</v>
      </c>
    </row>
    <row r="27" spans="1:15" x14ac:dyDescent="0.2">
      <c r="A27" s="20">
        <v>11711</v>
      </c>
      <c r="B27" s="19" t="s">
        <v>51</v>
      </c>
      <c r="C27" s="58">
        <f t="shared" si="1"/>
        <v>3317920.9074341953</v>
      </c>
      <c r="D27" s="15">
        <f t="shared" ref="D27:O27" si="23">D70*$Q70*$C$44</f>
        <v>512828.48961076204</v>
      </c>
      <c r="E27" s="14">
        <f t="shared" si="23"/>
        <v>106702.09545593029</v>
      </c>
      <c r="F27" s="14">
        <f t="shared" si="23"/>
        <v>341926.18432531698</v>
      </c>
      <c r="G27" s="13">
        <f t="shared" si="23"/>
        <v>983284.0227759222</v>
      </c>
      <c r="H27" s="15">
        <f t="shared" si="23"/>
        <v>917405.94865978986</v>
      </c>
      <c r="I27" s="15">
        <f t="shared" si="23"/>
        <v>31010.905306809796</v>
      </c>
      <c r="J27" s="15">
        <f t="shared" si="23"/>
        <v>45942.081936014518</v>
      </c>
      <c r="K27" s="13">
        <f t="shared" si="23"/>
        <v>3589.2251512511348</v>
      </c>
      <c r="L27" s="16">
        <f t="shared" si="23"/>
        <v>53361.728168680871</v>
      </c>
      <c r="M27" s="15">
        <f t="shared" si="23"/>
        <v>143821.68750069343</v>
      </c>
      <c r="N27" s="14">
        <f t="shared" si="23"/>
        <v>164300.37052367191</v>
      </c>
      <c r="O27" s="13">
        <f t="shared" si="23"/>
        <v>13748.168019352346</v>
      </c>
    </row>
    <row r="28" spans="1:15" x14ac:dyDescent="0.2">
      <c r="A28" s="20">
        <v>12826</v>
      </c>
      <c r="B28" s="19" t="s">
        <v>50</v>
      </c>
      <c r="C28" s="58">
        <f t="shared" si="1"/>
        <v>4432849.9303204166</v>
      </c>
      <c r="D28" s="15">
        <f t="shared" ref="D28:O28" si="24">D71*$Q71*$C$44</f>
        <v>1034121.0703689764</v>
      </c>
      <c r="E28" s="14">
        <f t="shared" si="24"/>
        <v>78593.201348042232</v>
      </c>
      <c r="F28" s="14">
        <f t="shared" si="24"/>
        <v>258997.90269433116</v>
      </c>
      <c r="G28" s="13">
        <f t="shared" si="24"/>
        <v>1854089.2248012754</v>
      </c>
      <c r="H28" s="15">
        <f t="shared" si="24"/>
        <v>55176.274637475355</v>
      </c>
      <c r="I28" s="15">
        <f t="shared" si="24"/>
        <v>0</v>
      </c>
      <c r="J28" s="15">
        <f t="shared" si="24"/>
        <v>56285.587851340671</v>
      </c>
      <c r="K28" s="13">
        <f t="shared" si="24"/>
        <v>723.46513947738663</v>
      </c>
      <c r="L28" s="16">
        <f t="shared" si="24"/>
        <v>116749.91034830274</v>
      </c>
      <c r="M28" s="15">
        <f t="shared" si="24"/>
        <v>431347.27931976534</v>
      </c>
      <c r="N28" s="14">
        <f t="shared" si="24"/>
        <v>389282.12224999216</v>
      </c>
      <c r="O28" s="13">
        <f t="shared" si="24"/>
        <v>157483.89156143751</v>
      </c>
    </row>
    <row r="29" spans="1:15" x14ac:dyDescent="0.2">
      <c r="A29" s="20">
        <v>13231</v>
      </c>
      <c r="B29" s="19" t="s">
        <v>49</v>
      </c>
      <c r="C29" s="58">
        <f t="shared" si="1"/>
        <v>1923249.3961881062</v>
      </c>
      <c r="D29" s="15">
        <f t="shared" ref="D29:O29" si="25">D72*$Q72*$C$44</f>
        <v>281177.91749352933</v>
      </c>
      <c r="E29" s="14">
        <f t="shared" si="25"/>
        <v>58549.13416095054</v>
      </c>
      <c r="F29" s="14">
        <f t="shared" si="25"/>
        <v>390898.89360835432</v>
      </c>
      <c r="G29" s="13">
        <f t="shared" si="25"/>
        <v>528783.51669950818</v>
      </c>
      <c r="H29" s="15">
        <f t="shared" si="25"/>
        <v>394624.26801982039</v>
      </c>
      <c r="I29" s="15">
        <f t="shared" si="25"/>
        <v>0</v>
      </c>
      <c r="J29" s="15">
        <f t="shared" si="25"/>
        <v>52659.910559481796</v>
      </c>
      <c r="K29" s="13">
        <f t="shared" si="25"/>
        <v>3575.6729392240727</v>
      </c>
      <c r="L29" s="16">
        <f t="shared" si="25"/>
        <v>29957.638007171874</v>
      </c>
      <c r="M29" s="15">
        <f t="shared" si="25"/>
        <v>111717.02506841175</v>
      </c>
      <c r="N29" s="14">
        <f t="shared" si="25"/>
        <v>69355.052573895271</v>
      </c>
      <c r="O29" s="13">
        <f t="shared" si="25"/>
        <v>1950.3670577585849</v>
      </c>
    </row>
    <row r="30" spans="1:15" x14ac:dyDescent="0.2">
      <c r="A30" s="20">
        <v>3592</v>
      </c>
      <c r="B30" s="19" t="s">
        <v>48</v>
      </c>
      <c r="C30" s="58">
        <f t="shared" si="1"/>
        <v>2443688.9127527974</v>
      </c>
      <c r="D30" s="15">
        <f t="shared" ref="D30:O30" si="26">D73*$Q73*$C$44</f>
        <v>444346.07372489042</v>
      </c>
      <c r="E30" s="14">
        <f t="shared" si="26"/>
        <v>78086.416689254082</v>
      </c>
      <c r="F30" s="14">
        <f t="shared" si="26"/>
        <v>207794.791692812</v>
      </c>
      <c r="G30" s="13">
        <f t="shared" si="26"/>
        <v>845047.16961056844</v>
      </c>
      <c r="H30" s="15">
        <f t="shared" si="26"/>
        <v>178025.56750205625</v>
      </c>
      <c r="I30" s="15">
        <f t="shared" si="26"/>
        <v>0</v>
      </c>
      <c r="J30" s="15">
        <f t="shared" si="26"/>
        <v>143569.00605004537</v>
      </c>
      <c r="K30" s="13">
        <f t="shared" si="26"/>
        <v>6460.6052722520417</v>
      </c>
      <c r="L30" s="16">
        <f t="shared" si="26"/>
        <v>47573.025844743046</v>
      </c>
      <c r="M30" s="15">
        <f t="shared" si="26"/>
        <v>148645.60610397498</v>
      </c>
      <c r="N30" s="14">
        <f t="shared" si="26"/>
        <v>180207.81639401696</v>
      </c>
      <c r="O30" s="13">
        <f t="shared" si="26"/>
        <v>163932.83386818381</v>
      </c>
    </row>
    <row r="31" spans="1:15" x14ac:dyDescent="0.2">
      <c r="A31" s="20">
        <v>3594</v>
      </c>
      <c r="B31" s="19" t="s">
        <v>47</v>
      </c>
      <c r="C31" s="58">
        <f t="shared" si="1"/>
        <v>14712810.303663533</v>
      </c>
      <c r="D31" s="15">
        <f t="shared" ref="D31:O31" si="27">D74*$Q74*$C$44</f>
        <v>2186823.2862246903</v>
      </c>
      <c r="E31" s="14">
        <f t="shared" si="27"/>
        <v>1680452.2052811068</v>
      </c>
      <c r="F31" s="14">
        <f t="shared" si="27"/>
        <v>627259.53669053165</v>
      </c>
      <c r="G31" s="13">
        <f t="shared" si="27"/>
        <v>4147653.832907462</v>
      </c>
      <c r="H31" s="15">
        <f t="shared" si="27"/>
        <v>2217515.542873458</v>
      </c>
      <c r="I31" s="15">
        <f t="shared" si="27"/>
        <v>1101690.4754978681</v>
      </c>
      <c r="J31" s="15">
        <f t="shared" si="27"/>
        <v>122365.18111284972</v>
      </c>
      <c r="K31" s="13">
        <f t="shared" si="27"/>
        <v>15749.973806604421</v>
      </c>
      <c r="L31" s="16">
        <f t="shared" si="27"/>
        <v>222147.32285992202</v>
      </c>
      <c r="M31" s="15">
        <f t="shared" si="27"/>
        <v>762266.42460107629</v>
      </c>
      <c r="N31" s="14">
        <f t="shared" si="27"/>
        <v>820307.09730582451</v>
      </c>
      <c r="O31" s="13">
        <f t="shared" si="27"/>
        <v>808579.4245021377</v>
      </c>
    </row>
    <row r="32" spans="1:15" x14ac:dyDescent="0.2">
      <c r="A32" s="78">
        <v>113594</v>
      </c>
      <c r="B32" s="19" t="s">
        <v>46</v>
      </c>
      <c r="C32" s="58">
        <f t="shared" si="1"/>
        <v>1222250.4536815006</v>
      </c>
      <c r="D32" s="15">
        <f t="shared" ref="D32:O32" si="28">D75*$Q75*$C$44</f>
        <v>202345.63132098533</v>
      </c>
      <c r="E32" s="14">
        <f t="shared" si="28"/>
        <v>19475.767014644836</v>
      </c>
      <c r="F32" s="14">
        <f t="shared" si="28"/>
        <v>534664.68253501609</v>
      </c>
      <c r="G32" s="13">
        <f t="shared" si="28"/>
        <v>353971.96362882311</v>
      </c>
      <c r="H32" s="15">
        <f t="shared" si="28"/>
        <v>0</v>
      </c>
      <c r="I32" s="15">
        <f t="shared" si="28"/>
        <v>0</v>
      </c>
      <c r="J32" s="15">
        <f t="shared" si="28"/>
        <v>6017.7139426315334</v>
      </c>
      <c r="K32" s="13">
        <f t="shared" si="28"/>
        <v>0</v>
      </c>
      <c r="L32" s="16">
        <f t="shared" si="28"/>
        <v>24752.863350691041</v>
      </c>
      <c r="M32" s="15">
        <f t="shared" si="28"/>
        <v>63921.494768397177</v>
      </c>
      <c r="N32" s="14">
        <f t="shared" si="28"/>
        <v>14342.218229938489</v>
      </c>
      <c r="O32" s="13">
        <f t="shared" si="28"/>
        <v>2758.1188903727862</v>
      </c>
    </row>
    <row r="33" spans="1:18" x14ac:dyDescent="0.2">
      <c r="A33" s="20">
        <v>3624</v>
      </c>
      <c r="B33" s="19" t="s">
        <v>45</v>
      </c>
      <c r="C33" s="58">
        <f t="shared" si="1"/>
        <v>4418707.5251950631</v>
      </c>
      <c r="D33" s="15">
        <f t="shared" ref="D33:O33" si="29">D76*$Q76*$C$44</f>
        <v>827675.3198785116</v>
      </c>
      <c r="E33" s="14">
        <f t="shared" si="29"/>
        <v>183412.85088507814</v>
      </c>
      <c r="F33" s="14">
        <f t="shared" si="29"/>
        <v>174501.33009680998</v>
      </c>
      <c r="G33" s="13">
        <f t="shared" si="29"/>
        <v>1602978.1020400282</v>
      </c>
      <c r="H33" s="15">
        <f t="shared" si="29"/>
        <v>377873.62392371939</v>
      </c>
      <c r="I33" s="15">
        <f t="shared" si="29"/>
        <v>44793.529887614153</v>
      </c>
      <c r="J33" s="15">
        <f t="shared" si="29"/>
        <v>106815.34050123375</v>
      </c>
      <c r="K33" s="13">
        <f t="shared" si="29"/>
        <v>19238.246810706078</v>
      </c>
      <c r="L33" s="16">
        <f t="shared" si="29"/>
        <v>100636.1304808398</v>
      </c>
      <c r="M33" s="15">
        <f t="shared" si="29"/>
        <v>286265.11254330649</v>
      </c>
      <c r="N33" s="14">
        <f t="shared" si="29"/>
        <v>357486.82506461296</v>
      </c>
      <c r="O33" s="13">
        <f t="shared" si="29"/>
        <v>337031.1130826025</v>
      </c>
    </row>
    <row r="34" spans="1:18" x14ac:dyDescent="0.2">
      <c r="A34" s="20">
        <v>3642</v>
      </c>
      <c r="B34" s="19" t="s">
        <v>44</v>
      </c>
      <c r="C34" s="58">
        <f t="shared" si="1"/>
        <v>2959789.5599263492</v>
      </c>
      <c r="D34" s="15">
        <f t="shared" ref="D34:O34" si="30">D77*$Q77*$C$44</f>
        <v>326619.48876385321</v>
      </c>
      <c r="E34" s="14">
        <f t="shared" si="30"/>
        <v>18769.733287629428</v>
      </c>
      <c r="F34" s="14">
        <f t="shared" si="30"/>
        <v>111412.54363813282</v>
      </c>
      <c r="G34" s="13">
        <f t="shared" si="30"/>
        <v>641173.43825926143</v>
      </c>
      <c r="H34" s="15">
        <f t="shared" si="30"/>
        <v>200996.60847006351</v>
      </c>
      <c r="I34" s="15">
        <f t="shared" si="30"/>
        <v>986606.20957591175</v>
      </c>
      <c r="J34" s="15">
        <f t="shared" si="30"/>
        <v>57858.309438168289</v>
      </c>
      <c r="K34" s="13">
        <f t="shared" si="30"/>
        <v>1292.1210544504083</v>
      </c>
      <c r="L34" s="16">
        <f t="shared" si="30"/>
        <v>45919.11089504652</v>
      </c>
      <c r="M34" s="15">
        <f t="shared" si="30"/>
        <v>169250.62985227749</v>
      </c>
      <c r="N34" s="14">
        <f t="shared" si="30"/>
        <v>195196.42062564171</v>
      </c>
      <c r="O34" s="13">
        <f t="shared" si="30"/>
        <v>204694.94606591269</v>
      </c>
    </row>
    <row r="35" spans="1:18" x14ac:dyDescent="0.2">
      <c r="A35" s="20">
        <v>3644</v>
      </c>
      <c r="B35" s="19" t="s">
        <v>43</v>
      </c>
      <c r="C35" s="58">
        <f t="shared" si="1"/>
        <v>14252728.872405972</v>
      </c>
      <c r="D35" s="15">
        <f t="shared" ref="D35:O35" si="31">D78*$Q78*$C$44</f>
        <v>1698816.4055092859</v>
      </c>
      <c r="E35" s="14">
        <f t="shared" si="31"/>
        <v>1658044.8117770629</v>
      </c>
      <c r="F35" s="14">
        <f t="shared" si="31"/>
        <v>510329.27320815803</v>
      </c>
      <c r="G35" s="13">
        <f t="shared" si="31"/>
        <v>3681173.5317764007</v>
      </c>
      <c r="H35" s="15">
        <f t="shared" si="31"/>
        <v>1666670.3051245243</v>
      </c>
      <c r="I35" s="15">
        <f t="shared" si="31"/>
        <v>2238919.3534311512</v>
      </c>
      <c r="J35" s="15">
        <f t="shared" si="31"/>
        <v>264357.2526616219</v>
      </c>
      <c r="K35" s="13">
        <f t="shared" si="31"/>
        <v>20838.426882584306</v>
      </c>
      <c r="L35" s="16">
        <f t="shared" si="31"/>
        <v>161551.11594368151</v>
      </c>
      <c r="M35" s="15">
        <f t="shared" si="31"/>
        <v>628577.41616676014</v>
      </c>
      <c r="N35" s="14">
        <f t="shared" si="31"/>
        <v>767387.18531563377</v>
      </c>
      <c r="O35" s="13">
        <f t="shared" si="31"/>
        <v>956063.79460911022</v>
      </c>
    </row>
    <row r="36" spans="1:18" x14ac:dyDescent="0.2">
      <c r="A36" s="20">
        <v>3541</v>
      </c>
      <c r="B36" s="19" t="s">
        <v>42</v>
      </c>
      <c r="C36" s="58">
        <f t="shared" si="1"/>
        <v>2384779.3212223453</v>
      </c>
      <c r="D36" s="15">
        <f t="shared" ref="D36:O36" si="32">D79*$Q79*$C$44</f>
        <v>426974.22399283497</v>
      </c>
      <c r="E36" s="14">
        <f t="shared" si="32"/>
        <v>73382.636630235225</v>
      </c>
      <c r="F36" s="14">
        <f t="shared" si="32"/>
        <v>174916.15607011243</v>
      </c>
      <c r="G36" s="13">
        <f t="shared" si="32"/>
        <v>851658.52233917383</v>
      </c>
      <c r="H36" s="15">
        <f t="shared" si="32"/>
        <v>170847.11719955399</v>
      </c>
      <c r="I36" s="15">
        <f t="shared" si="32"/>
        <v>21822.488919606898</v>
      </c>
      <c r="J36" s="15">
        <f t="shared" si="32"/>
        <v>109543.15161618461</v>
      </c>
      <c r="K36" s="13">
        <f t="shared" si="32"/>
        <v>8327.0023509026305</v>
      </c>
      <c r="L36" s="16">
        <f t="shared" si="32"/>
        <v>49824.187859607744</v>
      </c>
      <c r="M36" s="15">
        <f t="shared" si="32"/>
        <v>148714.519226879</v>
      </c>
      <c r="N36" s="14">
        <f t="shared" si="32"/>
        <v>178082.99510447629</v>
      </c>
      <c r="O36" s="13">
        <f t="shared" si="32"/>
        <v>170686.31991277795</v>
      </c>
    </row>
    <row r="37" spans="1:18" x14ac:dyDescent="0.2">
      <c r="A37" s="20">
        <v>3646</v>
      </c>
      <c r="B37" s="19" t="s">
        <v>41</v>
      </c>
      <c r="C37" s="58">
        <f t="shared" si="1"/>
        <v>6130541.0721889809</v>
      </c>
      <c r="D37" s="15">
        <f t="shared" ref="D37:O37" si="33">D80*$Q80*$C$44</f>
        <v>839157.48772736953</v>
      </c>
      <c r="E37" s="14">
        <f t="shared" si="33"/>
        <v>263663.28264393954</v>
      </c>
      <c r="F37" s="14">
        <f t="shared" si="33"/>
        <v>383971.76242787327</v>
      </c>
      <c r="G37" s="13">
        <f t="shared" si="33"/>
        <v>1604053.100105783</v>
      </c>
      <c r="H37" s="15">
        <f t="shared" si="33"/>
        <v>1419969.7023780961</v>
      </c>
      <c r="I37" s="15">
        <f t="shared" si="33"/>
        <v>817783.59822822281</v>
      </c>
      <c r="J37" s="15">
        <f t="shared" si="33"/>
        <v>264540.60336625087</v>
      </c>
      <c r="K37" s="13">
        <f t="shared" si="33"/>
        <v>14713.909437818404</v>
      </c>
      <c r="L37" s="16">
        <f t="shared" si="33"/>
        <v>92706.922453690349</v>
      </c>
      <c r="M37" s="15">
        <f t="shared" si="33"/>
        <v>163259.34379174339</v>
      </c>
      <c r="N37" s="14">
        <f t="shared" si="33"/>
        <v>144115.77319685544</v>
      </c>
      <c r="O37" s="13">
        <f t="shared" si="33"/>
        <v>122605.58643133733</v>
      </c>
    </row>
    <row r="38" spans="1:18" x14ac:dyDescent="0.2">
      <c r="A38" s="20">
        <v>3581</v>
      </c>
      <c r="B38" s="19" t="s">
        <v>40</v>
      </c>
      <c r="C38" s="58">
        <f t="shared" si="1"/>
        <v>4936931.8010051511</v>
      </c>
      <c r="D38" s="15">
        <f t="shared" ref="D38:O38" si="34">D81*$Q81*$C$44</f>
        <v>575137.43823648174</v>
      </c>
      <c r="E38" s="14">
        <f t="shared" si="34"/>
        <v>80595.926344872307</v>
      </c>
      <c r="F38" s="14">
        <f t="shared" si="34"/>
        <v>158111.93617556267</v>
      </c>
      <c r="G38" s="13">
        <f t="shared" si="34"/>
        <v>1156405.2730313076</v>
      </c>
      <c r="H38" s="15">
        <f t="shared" si="34"/>
        <v>1924111.8190827081</v>
      </c>
      <c r="I38" s="15">
        <f t="shared" si="34"/>
        <v>105666.7884528334</v>
      </c>
      <c r="J38" s="15">
        <f t="shared" si="34"/>
        <v>142133.31598954494</v>
      </c>
      <c r="K38" s="13">
        <f t="shared" si="34"/>
        <v>7322.0193085523142</v>
      </c>
      <c r="L38" s="16">
        <f t="shared" si="34"/>
        <v>65375.582594948668</v>
      </c>
      <c r="M38" s="15">
        <f t="shared" si="34"/>
        <v>221693.51638223801</v>
      </c>
      <c r="N38" s="14">
        <f t="shared" si="34"/>
        <v>256529.1000102211</v>
      </c>
      <c r="O38" s="13">
        <f t="shared" si="34"/>
        <v>243849.08539588109</v>
      </c>
    </row>
    <row r="39" spans="1:18" x14ac:dyDescent="0.2">
      <c r="A39" s="20">
        <v>3606</v>
      </c>
      <c r="B39" s="19" t="s">
        <v>39</v>
      </c>
      <c r="C39" s="58">
        <f t="shared" si="1"/>
        <v>6825374.8630918721</v>
      </c>
      <c r="D39" s="15">
        <f t="shared" ref="D39:O39" si="35">D82*$Q82*$C$44</f>
        <v>1325572.6328600689</v>
      </c>
      <c r="E39" s="14">
        <f t="shared" si="35"/>
        <v>311067.71117782948</v>
      </c>
      <c r="F39" s="14">
        <f t="shared" si="35"/>
        <v>210836.72109366156</v>
      </c>
      <c r="G39" s="13">
        <f t="shared" si="35"/>
        <v>2514069.8858137885</v>
      </c>
      <c r="H39" s="15">
        <f t="shared" si="35"/>
        <v>725023.48055272899</v>
      </c>
      <c r="I39" s="15">
        <f t="shared" si="35"/>
        <v>149311.76629204722</v>
      </c>
      <c r="J39" s="15">
        <f t="shared" si="35"/>
        <v>71928.072031072734</v>
      </c>
      <c r="K39" s="13">
        <f t="shared" si="35"/>
        <v>26273.128107158303</v>
      </c>
      <c r="L39" s="16">
        <f t="shared" si="35"/>
        <v>152550.68306853625</v>
      </c>
      <c r="M39" s="15">
        <f t="shared" si="35"/>
        <v>402556.00744384318</v>
      </c>
      <c r="N39" s="14">
        <f t="shared" si="35"/>
        <v>510875.95112848142</v>
      </c>
      <c r="O39" s="13">
        <f t="shared" si="35"/>
        <v>425308.82352265436</v>
      </c>
    </row>
    <row r="40" spans="1:18" x14ac:dyDescent="0.2">
      <c r="A40" s="20">
        <v>3615</v>
      </c>
      <c r="B40" s="19" t="s">
        <v>105</v>
      </c>
      <c r="C40" s="58">
        <f t="shared" si="1"/>
        <v>11932347.299675435</v>
      </c>
      <c r="D40" s="15">
        <f t="shared" ref="D40:O40" si="36">D83*$Q83*$C$44</f>
        <v>2309020.3243028796</v>
      </c>
      <c r="E40" s="14">
        <f t="shared" si="36"/>
        <v>584643.94611348922</v>
      </c>
      <c r="F40" s="14">
        <f t="shared" si="36"/>
        <v>201630.24901301812</v>
      </c>
      <c r="G40" s="13">
        <f t="shared" si="36"/>
        <v>4495422.6676083207</v>
      </c>
      <c r="H40" s="15">
        <f t="shared" si="36"/>
        <v>1127303.8355049563</v>
      </c>
      <c r="I40" s="15">
        <f t="shared" si="36"/>
        <v>188362.53593765953</v>
      </c>
      <c r="J40" s="15">
        <f t="shared" si="36"/>
        <v>210472.1628693665</v>
      </c>
      <c r="K40" s="13">
        <f t="shared" si="36"/>
        <v>28713.801210009078</v>
      </c>
      <c r="L40" s="16">
        <f t="shared" si="36"/>
        <v>253278.69771324808</v>
      </c>
      <c r="M40" s="15">
        <f t="shared" si="36"/>
        <v>772205.99870101595</v>
      </c>
      <c r="N40" s="14">
        <f t="shared" si="36"/>
        <v>961165.78170384362</v>
      </c>
      <c r="O40" s="13">
        <f t="shared" si="36"/>
        <v>800127.29899762897</v>
      </c>
    </row>
    <row r="41" spans="1:18" x14ac:dyDescent="0.2">
      <c r="A41" s="20">
        <v>3625</v>
      </c>
      <c r="B41" s="19" t="s">
        <v>38</v>
      </c>
      <c r="C41" s="58">
        <f t="shared" si="1"/>
        <v>664056.58348208864</v>
      </c>
      <c r="D41" s="15">
        <f t="shared" ref="D41:O41" si="37">D84*$Q84*$C$44</f>
        <v>81547.195436425769</v>
      </c>
      <c r="E41" s="14">
        <f t="shared" si="37"/>
        <v>9818.2823305456641</v>
      </c>
      <c r="F41" s="14">
        <f t="shared" si="37"/>
        <v>133681.49194510703</v>
      </c>
      <c r="G41" s="13">
        <f t="shared" si="37"/>
        <v>169840.69846714303</v>
      </c>
      <c r="H41" s="15">
        <f t="shared" si="37"/>
        <v>153618.83647354855</v>
      </c>
      <c r="I41" s="15">
        <f t="shared" si="37"/>
        <v>0</v>
      </c>
      <c r="J41" s="15">
        <f t="shared" si="37"/>
        <v>5455.6222299017245</v>
      </c>
      <c r="K41" s="13">
        <f t="shared" si="37"/>
        <v>2727.8111149508622</v>
      </c>
      <c r="L41" s="16">
        <f t="shared" si="37"/>
        <v>11232.839033355549</v>
      </c>
      <c r="M41" s="15">
        <f t="shared" si="37"/>
        <v>31010.905306809796</v>
      </c>
      <c r="N41" s="14">
        <f t="shared" si="37"/>
        <v>33365.437006030545</v>
      </c>
      <c r="O41" s="13">
        <f t="shared" si="37"/>
        <v>31757.464138270036</v>
      </c>
    </row>
    <row r="42" spans="1:18" x14ac:dyDescent="0.2">
      <c r="A42" s="20">
        <v>20</v>
      </c>
      <c r="B42" s="19" t="s">
        <v>37</v>
      </c>
      <c r="C42" s="77">
        <f t="shared" si="1"/>
        <v>650408.71351754724</v>
      </c>
      <c r="D42" s="15">
        <f t="shared" ref="D42:O42" si="38">D85*$Q85*$C$44</f>
        <v>70176.118529306492</v>
      </c>
      <c r="E42" s="14">
        <f t="shared" si="38"/>
        <v>8918.7584252586967</v>
      </c>
      <c r="F42" s="14">
        <f t="shared" si="38"/>
        <v>317714.70736141584</v>
      </c>
      <c r="G42" s="13">
        <f t="shared" si="38"/>
        <v>121181.85779274112</v>
      </c>
      <c r="H42" s="15">
        <f t="shared" si="38"/>
        <v>64822.47649717384</v>
      </c>
      <c r="I42" s="15">
        <f t="shared" si="38"/>
        <v>0</v>
      </c>
      <c r="J42" s="15">
        <f t="shared" si="38"/>
        <v>2749.1675300140687</v>
      </c>
      <c r="K42" s="13">
        <f t="shared" si="38"/>
        <v>2459.7814742231144</v>
      </c>
      <c r="L42" s="16">
        <f t="shared" si="38"/>
        <v>10001.182088135392</v>
      </c>
      <c r="M42" s="15">
        <f t="shared" si="38"/>
        <v>31948.220559321395</v>
      </c>
      <c r="N42" s="14">
        <f t="shared" si="38"/>
        <v>19307.837642372495</v>
      </c>
      <c r="O42" s="13">
        <f t="shared" si="38"/>
        <v>1128.6056175847229</v>
      </c>
    </row>
    <row r="43" spans="1:18" ht="13.5" thickBot="1" x14ac:dyDescent="0.25">
      <c r="A43" s="12"/>
      <c r="B43" s="11" t="s">
        <v>11</v>
      </c>
      <c r="C43" s="75">
        <f t="shared" ref="C43:O43" si="39">SUM(C5:C42)</f>
        <v>235000000.00000003</v>
      </c>
      <c r="D43" s="75">
        <f t="shared" si="39"/>
        <v>34180716.44749593</v>
      </c>
      <c r="E43" s="74">
        <f t="shared" si="39"/>
        <v>17813921.168952517</v>
      </c>
      <c r="F43" s="74">
        <f t="shared" si="39"/>
        <v>12560467.597116433</v>
      </c>
      <c r="G43" s="73">
        <f t="shared" si="39"/>
        <v>69742168.938484058</v>
      </c>
      <c r="H43" s="75">
        <f t="shared" ref="H43:I43" si="40">SUM(H5:H42)</f>
        <v>32506935.849418629</v>
      </c>
      <c r="I43" s="75">
        <f t="shared" si="40"/>
        <v>22226870.91147548</v>
      </c>
      <c r="J43" s="75">
        <f t="shared" si="39"/>
        <v>5605684.7050453369</v>
      </c>
      <c r="K43" s="73">
        <f t="shared" si="39"/>
        <v>495094.23816769425</v>
      </c>
      <c r="L43" s="76">
        <f t="shared" si="39"/>
        <v>3587809.4452553447</v>
      </c>
      <c r="M43" s="75">
        <f t="shared" si="39"/>
        <v>11446913.225666983</v>
      </c>
      <c r="N43" s="74">
        <f t="shared" si="39"/>
        <v>12745833.572545679</v>
      </c>
      <c r="O43" s="73">
        <f t="shared" si="39"/>
        <v>12087583.900375927</v>
      </c>
    </row>
    <row r="44" spans="1:18" ht="13.5" thickBot="1" x14ac:dyDescent="0.25">
      <c r="A44" s="72"/>
      <c r="C44" s="104">
        <f>235000000/R86</f>
        <v>2.6864221064312594E-2</v>
      </c>
      <c r="D44" s="71" t="s">
        <v>80</v>
      </c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</row>
    <row r="45" spans="1:18" ht="13.5" thickBot="1" x14ac:dyDescent="0.25">
      <c r="A45" s="69" t="s">
        <v>76</v>
      </c>
    </row>
    <row r="46" spans="1:18" ht="12.75" customHeight="1" outlineLevel="1" x14ac:dyDescent="0.2">
      <c r="A46" s="177" t="s">
        <v>24</v>
      </c>
      <c r="B46" s="179" t="s">
        <v>23</v>
      </c>
      <c r="C46" s="181" t="s">
        <v>36</v>
      </c>
      <c r="D46" s="183" t="s">
        <v>35</v>
      </c>
      <c r="E46" s="184"/>
      <c r="F46" s="184"/>
      <c r="G46" s="185"/>
      <c r="H46" s="186" t="str">
        <f>H3</f>
        <v>Master's</v>
      </c>
      <c r="I46" s="186" t="str">
        <f>I3</f>
        <v>Doctoral and Professional Practice</v>
      </c>
      <c r="J46" s="186" t="s">
        <v>18</v>
      </c>
      <c r="K46" s="195" t="s">
        <v>17</v>
      </c>
      <c r="L46" s="197" t="s">
        <v>16</v>
      </c>
      <c r="M46" s="199" t="s">
        <v>34</v>
      </c>
      <c r="N46" s="200"/>
      <c r="O46" s="200"/>
      <c r="P46" s="212" t="s">
        <v>106</v>
      </c>
      <c r="Q46" s="214" t="s">
        <v>107</v>
      </c>
      <c r="R46" s="217" t="s">
        <v>108</v>
      </c>
    </row>
    <row r="47" spans="1:18" ht="51.75" outlineLevel="1" thickBot="1" x14ac:dyDescent="0.25">
      <c r="A47" s="178"/>
      <c r="B47" s="180"/>
      <c r="C47" s="182"/>
      <c r="D47" s="68"/>
      <c r="E47" s="67" t="s">
        <v>33</v>
      </c>
      <c r="F47" s="67" t="s">
        <v>32</v>
      </c>
      <c r="G47" s="114" t="s">
        <v>31</v>
      </c>
      <c r="H47" s="187"/>
      <c r="I47" s="187"/>
      <c r="J47" s="187"/>
      <c r="K47" s="196"/>
      <c r="L47" s="198"/>
      <c r="M47" s="44" t="s">
        <v>14</v>
      </c>
      <c r="N47" s="43" t="s">
        <v>13</v>
      </c>
      <c r="O47" s="42" t="s">
        <v>12</v>
      </c>
      <c r="P47" s="213"/>
      <c r="Q47" s="215"/>
      <c r="R47" s="218"/>
    </row>
    <row r="48" spans="1:18" outlineLevel="1" x14ac:dyDescent="0.2">
      <c r="A48" s="20">
        <f t="shared" ref="A48:B63" si="41">A5</f>
        <v>3656</v>
      </c>
      <c r="B48" s="19" t="str">
        <f t="shared" si="41"/>
        <v>UTA</v>
      </c>
      <c r="C48" s="58">
        <f t="shared" ref="C48:C85" si="42">SUM(D48:O48)</f>
        <v>5664.1275494471556</v>
      </c>
      <c r="D48" s="15">
        <f t="shared" ref="D48:D85" si="43">D90*D141</f>
        <v>752.69999999999993</v>
      </c>
      <c r="E48" s="14">
        <f t="shared" ref="E48:O48" si="44">E90*E141</f>
        <v>520.19933333333336</v>
      </c>
      <c r="F48" s="14">
        <f t="shared" si="44"/>
        <v>296.03788278048285</v>
      </c>
      <c r="G48" s="13">
        <f t="shared" si="44"/>
        <v>1562.7830000000067</v>
      </c>
      <c r="H48" s="36">
        <f t="shared" ref="H48:I48" si="45">H90*H141</f>
        <v>1259.5000000000002</v>
      </c>
      <c r="I48" s="36">
        <f t="shared" si="45"/>
        <v>281.33333333333331</v>
      </c>
      <c r="J48" s="36">
        <f t="shared" si="44"/>
        <v>229.7</v>
      </c>
      <c r="K48" s="35">
        <f t="shared" si="44"/>
        <v>5.25</v>
      </c>
      <c r="L48" s="34">
        <f t="shared" si="44"/>
        <v>74.784000000000006</v>
      </c>
      <c r="M48" s="36">
        <f t="shared" si="44"/>
        <v>273.45333333333332</v>
      </c>
      <c r="N48" s="59">
        <f t="shared" si="44"/>
        <v>230.01999999999998</v>
      </c>
      <c r="O48" s="35">
        <f t="shared" si="44"/>
        <v>178.36666666666667</v>
      </c>
      <c r="P48" s="99">
        <v>1</v>
      </c>
      <c r="Q48" s="100">
        <v>90197.027768754284</v>
      </c>
      <c r="R48" s="58">
        <f t="shared" ref="R48:R85" si="46">Q48*C48</f>
        <v>510887469.86325127</v>
      </c>
    </row>
    <row r="49" spans="1:18" outlineLevel="1" x14ac:dyDescent="0.2">
      <c r="A49" s="20">
        <f t="shared" si="41"/>
        <v>3658</v>
      </c>
      <c r="B49" s="19" t="str">
        <f t="shared" si="41"/>
        <v>UT</v>
      </c>
      <c r="C49" s="58">
        <f t="shared" si="42"/>
        <v>12213.092820611324</v>
      </c>
      <c r="D49" s="15">
        <f t="shared" si="43"/>
        <v>1341.95</v>
      </c>
      <c r="E49" s="14">
        <f t="shared" ref="E49:G68" si="47">E91*E142</f>
        <v>1483.3020666666671</v>
      </c>
      <c r="F49" s="14">
        <f t="shared" si="47"/>
        <v>264.97692061124678</v>
      </c>
      <c r="G49" s="13">
        <f t="shared" si="47"/>
        <v>2909.7525000000778</v>
      </c>
      <c r="H49" s="15">
        <f t="shared" ref="H49:I49" si="48">H91*H142</f>
        <v>1502.8333333333333</v>
      </c>
      <c r="I49" s="15">
        <f t="shared" si="48"/>
        <v>2707.3333333333339</v>
      </c>
      <c r="J49" s="15">
        <f t="shared" ref="J49:O58" si="49">J91*J142</f>
        <v>281.45</v>
      </c>
      <c r="K49" s="13">
        <f t="shared" si="49"/>
        <v>9.9</v>
      </c>
      <c r="L49" s="16">
        <f t="shared" si="49"/>
        <v>83.287999999999997</v>
      </c>
      <c r="M49" s="15">
        <f t="shared" si="49"/>
        <v>383.93333333333339</v>
      </c>
      <c r="N49" s="14">
        <f t="shared" si="49"/>
        <v>540.33999999999992</v>
      </c>
      <c r="O49" s="13">
        <f t="shared" si="49"/>
        <v>704.0333333333333</v>
      </c>
      <c r="P49" s="87">
        <v>1</v>
      </c>
      <c r="Q49" s="13">
        <v>90197.027768754284</v>
      </c>
      <c r="R49" s="58">
        <f t="shared" si="46"/>
        <v>1101584672.2830532</v>
      </c>
    </row>
    <row r="50" spans="1:18" outlineLevel="1" x14ac:dyDescent="0.2">
      <c r="A50" s="20">
        <f t="shared" si="41"/>
        <v>9741</v>
      </c>
      <c r="B50" s="19" t="str">
        <f t="shared" si="41"/>
        <v>UTD</v>
      </c>
      <c r="C50" s="58">
        <f t="shared" si="42"/>
        <v>3559.7325718330653</v>
      </c>
      <c r="D50" s="15">
        <f t="shared" si="43"/>
        <v>358.95</v>
      </c>
      <c r="E50" s="14">
        <f t="shared" si="47"/>
        <v>336.45580000000001</v>
      </c>
      <c r="F50" s="14">
        <f t="shared" si="47"/>
        <v>268.29760516638265</v>
      </c>
      <c r="G50" s="13">
        <f t="shared" si="47"/>
        <v>765.18050000001585</v>
      </c>
      <c r="H50" s="15">
        <f t="shared" ref="H50:I50" si="50">H92*H143</f>
        <v>1003</v>
      </c>
      <c r="I50" s="15">
        <f t="shared" si="50"/>
        <v>365.33333333333331</v>
      </c>
      <c r="J50" s="15">
        <f t="shared" si="49"/>
        <v>63.25</v>
      </c>
      <c r="K50" s="13">
        <f t="shared" si="49"/>
        <v>4.8</v>
      </c>
      <c r="L50" s="16">
        <f t="shared" si="49"/>
        <v>31.672000000000001</v>
      </c>
      <c r="M50" s="15">
        <f t="shared" si="49"/>
        <v>132.6</v>
      </c>
      <c r="N50" s="14">
        <f t="shared" si="49"/>
        <v>128.06</v>
      </c>
      <c r="O50" s="13">
        <f t="shared" si="49"/>
        <v>102.13333333333334</v>
      </c>
      <c r="P50" s="87">
        <v>1</v>
      </c>
      <c r="Q50" s="13">
        <v>90197.027768754284</v>
      </c>
      <c r="R50" s="58">
        <f t="shared" si="46"/>
        <v>321077297.63096607</v>
      </c>
    </row>
    <row r="51" spans="1:18" outlineLevel="1" x14ac:dyDescent="0.2">
      <c r="A51" s="20">
        <f t="shared" si="41"/>
        <v>3661</v>
      </c>
      <c r="B51" s="19" t="str">
        <f t="shared" si="41"/>
        <v>UTEP</v>
      </c>
      <c r="C51" s="58">
        <f t="shared" si="42"/>
        <v>4201.7120423535453</v>
      </c>
      <c r="D51" s="15">
        <f t="shared" si="43"/>
        <v>764.25</v>
      </c>
      <c r="E51" s="14">
        <f t="shared" si="47"/>
        <v>178.83449999999996</v>
      </c>
      <c r="F51" s="14">
        <f t="shared" si="47"/>
        <v>171.53170902017507</v>
      </c>
      <c r="G51" s="13">
        <f t="shared" si="47"/>
        <v>1574.5191666667033</v>
      </c>
      <c r="H51" s="15">
        <f t="shared" ref="H51:I51" si="51">H93*H144</f>
        <v>515.5</v>
      </c>
      <c r="I51" s="15">
        <f t="shared" si="51"/>
        <v>140.66666666666666</v>
      </c>
      <c r="J51" s="15">
        <f t="shared" si="49"/>
        <v>163.75</v>
      </c>
      <c r="K51" s="13">
        <f t="shared" si="49"/>
        <v>22.5</v>
      </c>
      <c r="L51" s="16">
        <f t="shared" si="49"/>
        <v>98.573333333333352</v>
      </c>
      <c r="M51" s="15">
        <f t="shared" si="49"/>
        <v>174.50666666666669</v>
      </c>
      <c r="N51" s="14">
        <f t="shared" si="49"/>
        <v>201.48</v>
      </c>
      <c r="O51" s="13">
        <f t="shared" si="49"/>
        <v>195.60000000000002</v>
      </c>
      <c r="P51" s="87">
        <v>2</v>
      </c>
      <c r="Q51" s="13">
        <v>69184.923785166247</v>
      </c>
      <c r="R51" s="58">
        <f t="shared" si="46"/>
        <v>290695127.41744524</v>
      </c>
    </row>
    <row r="52" spans="1:18" outlineLevel="1" x14ac:dyDescent="0.2">
      <c r="A52" s="20">
        <f t="shared" si="41"/>
        <v>3599</v>
      </c>
      <c r="B52" s="19" t="str">
        <f t="shared" si="41"/>
        <v>UTPA</v>
      </c>
      <c r="C52" s="58">
        <f t="shared" si="42"/>
        <v>3580.7787858308507</v>
      </c>
      <c r="D52" s="15">
        <f t="shared" si="43"/>
        <v>645</v>
      </c>
      <c r="E52" s="14">
        <f t="shared" si="47"/>
        <v>111.19800000000001</v>
      </c>
      <c r="F52" s="14">
        <f t="shared" si="47"/>
        <v>102.46245249748918</v>
      </c>
      <c r="G52" s="13">
        <f t="shared" si="47"/>
        <v>1283.5416666666949</v>
      </c>
      <c r="H52" s="15">
        <f t="shared" ref="H52:I52" si="52">H94*H145</f>
        <v>357.66666666666669</v>
      </c>
      <c r="I52" s="15">
        <f t="shared" si="52"/>
        <v>24.666666666666671</v>
      </c>
      <c r="J52" s="15">
        <f t="shared" si="49"/>
        <v>130.08333333333334</v>
      </c>
      <c r="K52" s="13">
        <f t="shared" si="49"/>
        <v>7</v>
      </c>
      <c r="L52" s="16">
        <f t="shared" si="49"/>
        <v>93.53333333333336</v>
      </c>
      <c r="M52" s="15">
        <f t="shared" si="49"/>
        <v>244.52</v>
      </c>
      <c r="N52" s="14">
        <f t="shared" si="49"/>
        <v>309.60000000000002</v>
      </c>
      <c r="O52" s="13">
        <f t="shared" si="49"/>
        <v>271.50666666666666</v>
      </c>
      <c r="P52" s="87">
        <v>3</v>
      </c>
      <c r="Q52" s="13">
        <v>64130.952037511772</v>
      </c>
      <c r="R52" s="58">
        <f t="shared" si="46"/>
        <v>229638752.57105792</v>
      </c>
    </row>
    <row r="53" spans="1:18" outlineLevel="1" x14ac:dyDescent="0.2">
      <c r="A53" s="20">
        <f t="shared" si="41"/>
        <v>30646</v>
      </c>
      <c r="B53" s="19" t="str">
        <f t="shared" si="41"/>
        <v>UTB</v>
      </c>
      <c r="C53" s="58">
        <f t="shared" si="42"/>
        <v>1371.0116076283239</v>
      </c>
      <c r="D53" s="15">
        <f t="shared" si="43"/>
        <v>273</v>
      </c>
      <c r="E53" s="14">
        <f t="shared" si="47"/>
        <v>62.81709245130201</v>
      </c>
      <c r="F53" s="14">
        <f t="shared" si="47"/>
        <v>172.30618184368313</v>
      </c>
      <c r="G53" s="13">
        <f t="shared" si="47"/>
        <v>524.44833333333884</v>
      </c>
      <c r="H53" s="15">
        <f t="shared" ref="H53:I53" si="53">H95*H146</f>
        <v>106.66666666666667</v>
      </c>
      <c r="I53" s="15">
        <f t="shared" si="53"/>
        <v>9.3333333333333339</v>
      </c>
      <c r="J53" s="15">
        <f t="shared" si="49"/>
        <v>31.083333333333332</v>
      </c>
      <c r="K53" s="13">
        <f t="shared" si="49"/>
        <v>4.583333333333333</v>
      </c>
      <c r="L53" s="16">
        <f t="shared" si="49"/>
        <v>37.466666666666669</v>
      </c>
      <c r="M53" s="15">
        <f t="shared" si="49"/>
        <v>79.58</v>
      </c>
      <c r="N53" s="14">
        <f t="shared" si="49"/>
        <v>55.63333333333334</v>
      </c>
      <c r="O53" s="13">
        <f t="shared" si="49"/>
        <v>14.093333333333335</v>
      </c>
      <c r="P53" s="87">
        <v>3</v>
      </c>
      <c r="Q53" s="13">
        <v>64130.952037511772</v>
      </c>
      <c r="R53" s="58">
        <f t="shared" si="46"/>
        <v>87924279.651683941</v>
      </c>
    </row>
    <row r="54" spans="1:18" outlineLevel="1" x14ac:dyDescent="0.2">
      <c r="A54" s="20">
        <f t="shared" si="41"/>
        <v>9930</v>
      </c>
      <c r="B54" s="19" t="str">
        <f t="shared" si="41"/>
        <v>UTPB</v>
      </c>
      <c r="C54" s="58">
        <f t="shared" si="42"/>
        <v>753.99170654956436</v>
      </c>
      <c r="D54" s="15">
        <f t="shared" si="43"/>
        <v>133.33333333333334</v>
      </c>
      <c r="E54" s="14">
        <f t="shared" si="47"/>
        <v>23.680000000000003</v>
      </c>
      <c r="F54" s="14">
        <f t="shared" si="47"/>
        <v>115.62587321623005</v>
      </c>
      <c r="G54" s="13">
        <f t="shared" si="47"/>
        <v>250.3791666666676</v>
      </c>
      <c r="H54" s="15">
        <f t="shared" ref="H54:I54" si="54">H96*H147</f>
        <v>78.666666666666671</v>
      </c>
      <c r="I54" s="15">
        <f t="shared" si="54"/>
        <v>0</v>
      </c>
      <c r="J54" s="15">
        <f t="shared" si="49"/>
        <v>10.333333333333334</v>
      </c>
      <c r="K54" s="13">
        <f t="shared" si="49"/>
        <v>2.5</v>
      </c>
      <c r="L54" s="16">
        <f t="shared" si="49"/>
        <v>15.960000000000003</v>
      </c>
      <c r="M54" s="15">
        <f t="shared" si="49"/>
        <v>47.139999999999993</v>
      </c>
      <c r="N54" s="14">
        <f t="shared" si="49"/>
        <v>49.166666666666671</v>
      </c>
      <c r="O54" s="13">
        <f t="shared" si="49"/>
        <v>27.206666666666671</v>
      </c>
      <c r="P54" s="87">
        <v>3</v>
      </c>
      <c r="Q54" s="13">
        <v>64130.952037511772</v>
      </c>
      <c r="R54" s="58">
        <f t="shared" si="46"/>
        <v>48354205.969411761</v>
      </c>
    </row>
    <row r="55" spans="1:18" outlineLevel="1" x14ac:dyDescent="0.2">
      <c r="A55" s="20">
        <f t="shared" si="41"/>
        <v>10115</v>
      </c>
      <c r="B55" s="19" t="str">
        <f t="shared" si="41"/>
        <v>UTSA</v>
      </c>
      <c r="C55" s="58">
        <f t="shared" si="42"/>
        <v>5235.183339093569</v>
      </c>
      <c r="D55" s="15">
        <f t="shared" si="43"/>
        <v>1029.9166666666667</v>
      </c>
      <c r="E55" s="14">
        <f t="shared" si="47"/>
        <v>260.56891666666667</v>
      </c>
      <c r="F55" s="14">
        <f t="shared" si="47"/>
        <v>151.80775576026301</v>
      </c>
      <c r="G55" s="13">
        <f t="shared" si="47"/>
        <v>2103.553333333306</v>
      </c>
      <c r="H55" s="15">
        <f t="shared" ref="H55:I55" si="55">H97*H148</f>
        <v>514.5</v>
      </c>
      <c r="I55" s="15">
        <f t="shared" si="55"/>
        <v>138</v>
      </c>
      <c r="J55" s="15">
        <f t="shared" si="49"/>
        <v>98</v>
      </c>
      <c r="K55" s="13">
        <f t="shared" si="49"/>
        <v>12.416666666666666</v>
      </c>
      <c r="L55" s="16">
        <f t="shared" si="49"/>
        <v>124.94666666666667</v>
      </c>
      <c r="M55" s="15">
        <f t="shared" si="49"/>
        <v>272.38666666666666</v>
      </c>
      <c r="N55" s="14">
        <f t="shared" si="49"/>
        <v>267.52</v>
      </c>
      <c r="O55" s="13">
        <f t="shared" si="49"/>
        <v>261.56666666666666</v>
      </c>
      <c r="P55" s="87">
        <v>2</v>
      </c>
      <c r="Q55" s="13">
        <v>69184.923785166247</v>
      </c>
      <c r="R55" s="58">
        <f t="shared" si="46"/>
        <v>362195760.31656075</v>
      </c>
    </row>
    <row r="56" spans="1:18" outlineLevel="1" x14ac:dyDescent="0.2">
      <c r="A56" s="20">
        <f t="shared" si="41"/>
        <v>11163</v>
      </c>
      <c r="B56" s="19" t="str">
        <f t="shared" si="41"/>
        <v>UTT</v>
      </c>
      <c r="C56" s="58">
        <f t="shared" si="42"/>
        <v>1671.9080359190955</v>
      </c>
      <c r="D56" s="15">
        <f t="shared" si="43"/>
        <v>297.5</v>
      </c>
      <c r="E56" s="14">
        <f t="shared" si="47"/>
        <v>61.364333333333349</v>
      </c>
      <c r="F56" s="14">
        <f t="shared" si="47"/>
        <v>146.27870258575948</v>
      </c>
      <c r="G56" s="13">
        <f t="shared" si="47"/>
        <v>590.66500000000258</v>
      </c>
      <c r="H56" s="15">
        <f t="shared" ref="H56:I56" si="56">H98*H149</f>
        <v>198</v>
      </c>
      <c r="I56" s="15">
        <f t="shared" si="56"/>
        <v>13.333333333333336</v>
      </c>
      <c r="J56" s="15">
        <f t="shared" si="49"/>
        <v>94.166666666666671</v>
      </c>
      <c r="K56" s="13">
        <f t="shared" si="49"/>
        <v>3.5</v>
      </c>
      <c r="L56" s="16">
        <f t="shared" si="49"/>
        <v>37.693333333333342</v>
      </c>
      <c r="M56" s="15">
        <f t="shared" si="49"/>
        <v>86.179999999999993</v>
      </c>
      <c r="N56" s="14">
        <f t="shared" si="49"/>
        <v>89</v>
      </c>
      <c r="O56" s="13">
        <f t="shared" si="49"/>
        <v>54.226666666666667</v>
      </c>
      <c r="P56" s="87">
        <v>3</v>
      </c>
      <c r="Q56" s="13">
        <v>64130.952037511772</v>
      </c>
      <c r="R56" s="58">
        <f t="shared" si="46"/>
        <v>107221054.06265803</v>
      </c>
    </row>
    <row r="57" spans="1:18" outlineLevel="1" x14ac:dyDescent="0.2">
      <c r="A57" s="20">
        <f t="shared" si="41"/>
        <v>3632</v>
      </c>
      <c r="B57" s="19" t="str">
        <f t="shared" si="41"/>
        <v>TAMU</v>
      </c>
      <c r="C57" s="58">
        <f t="shared" si="42"/>
        <v>10611.713321264002</v>
      </c>
      <c r="D57" s="15">
        <f t="shared" si="43"/>
        <v>1310.9499999999998</v>
      </c>
      <c r="E57" s="14">
        <f t="shared" si="47"/>
        <v>1469.4292888888885</v>
      </c>
      <c r="F57" s="14">
        <f t="shared" si="47"/>
        <v>252.41886570842681</v>
      </c>
      <c r="G57" s="13">
        <f t="shared" si="47"/>
        <v>3015.7225000000199</v>
      </c>
      <c r="H57" s="15">
        <f t="shared" ref="H57:I57" si="57">H99*H150</f>
        <v>1064.5</v>
      </c>
      <c r="I57" s="15">
        <f t="shared" si="57"/>
        <v>1499.3333333333333</v>
      </c>
      <c r="J57" s="15">
        <f t="shared" si="49"/>
        <v>264.45</v>
      </c>
      <c r="K57" s="13">
        <f t="shared" si="49"/>
        <v>18.899999999999999</v>
      </c>
      <c r="L57" s="16">
        <f t="shared" si="49"/>
        <v>89.376000000000005</v>
      </c>
      <c r="M57" s="15">
        <f t="shared" si="49"/>
        <v>402.42666666666668</v>
      </c>
      <c r="N57" s="14">
        <f t="shared" si="49"/>
        <v>534.44000000000005</v>
      </c>
      <c r="O57" s="13">
        <f t="shared" si="49"/>
        <v>689.76666666666677</v>
      </c>
      <c r="P57" s="87">
        <v>1</v>
      </c>
      <c r="Q57" s="13">
        <v>90197.027768754284</v>
      </c>
      <c r="R57" s="58">
        <f t="shared" si="46"/>
        <v>957145001.11210895</v>
      </c>
    </row>
    <row r="58" spans="1:18" outlineLevel="1" x14ac:dyDescent="0.2">
      <c r="A58" s="20">
        <f t="shared" si="41"/>
        <v>10298</v>
      </c>
      <c r="B58" s="19" t="str">
        <f t="shared" si="41"/>
        <v>TAMUG</v>
      </c>
      <c r="C58" s="58">
        <f t="shared" si="42"/>
        <v>1287.3818567979654</v>
      </c>
      <c r="D58" s="15">
        <f t="shared" si="43"/>
        <v>185.85</v>
      </c>
      <c r="E58" s="14">
        <f t="shared" si="47"/>
        <v>19.431650000000001</v>
      </c>
      <c r="F58" s="14">
        <f t="shared" si="47"/>
        <v>276.73820679796694</v>
      </c>
      <c r="G58" s="13">
        <f t="shared" si="47"/>
        <v>475.21799999999848</v>
      </c>
      <c r="H58" s="15">
        <f t="shared" ref="H58:I58" si="58">H100*H151</f>
        <v>12.375</v>
      </c>
      <c r="I58" s="15">
        <f t="shared" si="58"/>
        <v>0</v>
      </c>
      <c r="J58" s="15">
        <f t="shared" si="49"/>
        <v>25.199999999999996</v>
      </c>
      <c r="K58" s="13">
        <f t="shared" si="49"/>
        <v>0</v>
      </c>
      <c r="L58" s="16">
        <f t="shared" si="49"/>
        <v>17.064</v>
      </c>
      <c r="M58" s="15">
        <f t="shared" si="49"/>
        <v>106.61999999999999</v>
      </c>
      <c r="N58" s="14">
        <f t="shared" si="49"/>
        <v>85.86</v>
      </c>
      <c r="O58" s="13">
        <f t="shared" si="49"/>
        <v>83.024999999999991</v>
      </c>
      <c r="P58" s="87">
        <v>6</v>
      </c>
      <c r="Q58" s="13">
        <v>62223.550136993705</v>
      </c>
      <c r="R58" s="58">
        <f t="shared" si="46"/>
        <v>80105469.511924252</v>
      </c>
    </row>
    <row r="59" spans="1:18" outlineLevel="1" x14ac:dyDescent="0.2">
      <c r="A59" s="20">
        <f t="shared" si="41"/>
        <v>3630</v>
      </c>
      <c r="B59" s="19" t="str">
        <f t="shared" si="41"/>
        <v>Prairie View</v>
      </c>
      <c r="C59" s="58">
        <f t="shared" si="42"/>
        <v>1606.4271623487089</v>
      </c>
      <c r="D59" s="15">
        <f t="shared" si="43"/>
        <v>234.08333333333334</v>
      </c>
      <c r="E59" s="14">
        <f t="shared" si="47"/>
        <v>34.800388888888889</v>
      </c>
      <c r="F59" s="14">
        <f t="shared" si="47"/>
        <v>79.118440126484359</v>
      </c>
      <c r="G59" s="13">
        <f t="shared" si="47"/>
        <v>518.2250000000023</v>
      </c>
      <c r="H59" s="15">
        <f t="shared" ref="H59:I59" si="59">H101*H152</f>
        <v>255.16666666666666</v>
      </c>
      <c r="I59" s="15">
        <f t="shared" si="59"/>
        <v>26.666666666666671</v>
      </c>
      <c r="J59" s="15">
        <f t="shared" ref="J59:O68" si="60">J101*J152</f>
        <v>78.916666666666671</v>
      </c>
      <c r="K59" s="13">
        <f t="shared" si="60"/>
        <v>2.4166666666666665</v>
      </c>
      <c r="L59" s="16">
        <f t="shared" si="60"/>
        <v>32.106666666666669</v>
      </c>
      <c r="M59" s="15">
        <f t="shared" si="60"/>
        <v>100.08</v>
      </c>
      <c r="N59" s="14">
        <f t="shared" si="60"/>
        <v>118.10000000000001</v>
      </c>
      <c r="O59" s="13">
        <f t="shared" si="60"/>
        <v>126.74666666666668</v>
      </c>
      <c r="P59" s="87">
        <v>3</v>
      </c>
      <c r="Q59" s="13">
        <v>64130.952037511772</v>
      </c>
      <c r="R59" s="58">
        <f t="shared" si="46"/>
        <v>103021703.30034119</v>
      </c>
    </row>
    <row r="60" spans="1:18" outlineLevel="1" x14ac:dyDescent="0.2">
      <c r="A60" s="20">
        <f t="shared" si="41"/>
        <v>3631</v>
      </c>
      <c r="B60" s="19" t="str">
        <f t="shared" si="41"/>
        <v>Tarleton</v>
      </c>
      <c r="C60" s="58">
        <f t="shared" si="42"/>
        <v>2054.6682720949684</v>
      </c>
      <c r="D60" s="15">
        <f t="shared" si="43"/>
        <v>386.33333333333331</v>
      </c>
      <c r="E60" s="14">
        <f t="shared" si="47"/>
        <v>73.866933333333336</v>
      </c>
      <c r="F60" s="14">
        <f t="shared" si="47"/>
        <v>122.7988387616283</v>
      </c>
      <c r="G60" s="13">
        <f t="shared" si="47"/>
        <v>780.63583333333997</v>
      </c>
      <c r="H60" s="15">
        <f t="shared" ref="H60:I60" si="61">H102*H153</f>
        <v>178.33333333333334</v>
      </c>
      <c r="I60" s="15">
        <f t="shared" si="61"/>
        <v>19.333333333333332</v>
      </c>
      <c r="J60" s="15">
        <f t="shared" si="60"/>
        <v>50.75</v>
      </c>
      <c r="K60" s="13">
        <f t="shared" si="60"/>
        <v>11.916666666666666</v>
      </c>
      <c r="L60" s="16">
        <f t="shared" si="60"/>
        <v>47.800000000000004</v>
      </c>
      <c r="M60" s="15">
        <f t="shared" si="60"/>
        <v>129.26</v>
      </c>
      <c r="N60" s="14">
        <f t="shared" si="60"/>
        <v>132.86666666666667</v>
      </c>
      <c r="O60" s="13">
        <f t="shared" si="60"/>
        <v>120.77333333333334</v>
      </c>
      <c r="P60" s="87">
        <v>3</v>
      </c>
      <c r="Q60" s="13">
        <v>64130.952037511772</v>
      </c>
      <c r="R60" s="58">
        <f t="shared" si="46"/>
        <v>131767832.4107196</v>
      </c>
    </row>
    <row r="61" spans="1:18" outlineLevel="1" x14ac:dyDescent="0.2">
      <c r="A61" s="27">
        <f t="shared" si="41"/>
        <v>103631</v>
      </c>
      <c r="B61" s="19" t="str">
        <f t="shared" si="41"/>
        <v>TAMUCT</v>
      </c>
      <c r="C61" s="58">
        <f t="shared" si="42"/>
        <v>880.50401427670283</v>
      </c>
      <c r="D61" s="15">
        <f t="shared" si="43"/>
        <v>115.08333333333333</v>
      </c>
      <c r="E61" s="14">
        <f t="shared" si="47"/>
        <v>22.003933333333336</v>
      </c>
      <c r="F61" s="14">
        <f t="shared" si="47"/>
        <v>337.93924761003626</v>
      </c>
      <c r="G61" s="13">
        <f t="shared" si="47"/>
        <v>213.40416666666647</v>
      </c>
      <c r="H61" s="15">
        <f t="shared" ref="H61:I61" si="62">H103*H154</f>
        <v>108.16666666666667</v>
      </c>
      <c r="I61" s="15">
        <f t="shared" si="62"/>
        <v>0</v>
      </c>
      <c r="J61" s="15">
        <f t="shared" si="60"/>
        <v>10.166666666666666</v>
      </c>
      <c r="K61" s="13">
        <f t="shared" si="60"/>
        <v>0</v>
      </c>
      <c r="L61" s="16">
        <f t="shared" si="60"/>
        <v>13.080000000000002</v>
      </c>
      <c r="M61" s="15">
        <f t="shared" si="60"/>
        <v>39.6</v>
      </c>
      <c r="N61" s="14">
        <f t="shared" si="60"/>
        <v>15.959999999999999</v>
      </c>
      <c r="O61" s="13">
        <f t="shared" si="60"/>
        <v>5.0999999999999996</v>
      </c>
      <c r="P61" s="87">
        <v>4</v>
      </c>
      <c r="Q61" s="13">
        <v>72600.916032124354</v>
      </c>
      <c r="R61" s="58">
        <f t="shared" si="46"/>
        <v>63925398.006451324</v>
      </c>
    </row>
    <row r="62" spans="1:18" outlineLevel="1" x14ac:dyDescent="0.2">
      <c r="A62" s="20">
        <f t="shared" si="41"/>
        <v>11161</v>
      </c>
      <c r="B62" s="19" t="str">
        <f t="shared" si="41"/>
        <v>TAMUCC</v>
      </c>
      <c r="C62" s="58">
        <f t="shared" si="42"/>
        <v>2038.7499036474408</v>
      </c>
      <c r="D62" s="15">
        <f t="shared" si="43"/>
        <v>347.08333333333331</v>
      </c>
      <c r="E62" s="14">
        <f t="shared" si="47"/>
        <v>70.527333333333331</v>
      </c>
      <c r="F62" s="14">
        <f t="shared" si="47"/>
        <v>106.88257031410387</v>
      </c>
      <c r="G62" s="13">
        <f t="shared" si="47"/>
        <v>701.05000000000348</v>
      </c>
      <c r="H62" s="15">
        <f t="shared" ref="H62:I62" si="63">H104*H155</f>
        <v>250.66666666666666</v>
      </c>
      <c r="I62" s="15">
        <f t="shared" si="63"/>
        <v>53.333333333333343</v>
      </c>
      <c r="J62" s="15">
        <f t="shared" si="60"/>
        <v>66.583333333333329</v>
      </c>
      <c r="K62" s="13">
        <f t="shared" si="60"/>
        <v>6.416666666666667</v>
      </c>
      <c r="L62" s="16">
        <f t="shared" si="60"/>
        <v>43.2</v>
      </c>
      <c r="M62" s="15">
        <f t="shared" si="60"/>
        <v>123.24</v>
      </c>
      <c r="N62" s="14">
        <f t="shared" si="60"/>
        <v>146.80000000000001</v>
      </c>
      <c r="O62" s="13">
        <f t="shared" si="60"/>
        <v>122.96666666666668</v>
      </c>
      <c r="P62" s="87">
        <v>3</v>
      </c>
      <c r="Q62" s="13">
        <v>64130.952037511772</v>
      </c>
      <c r="R62" s="58">
        <f t="shared" si="46"/>
        <v>130746972.28729577</v>
      </c>
    </row>
    <row r="63" spans="1:18" outlineLevel="1" x14ac:dyDescent="0.2">
      <c r="A63" s="20">
        <f t="shared" si="41"/>
        <v>3639</v>
      </c>
      <c r="B63" s="19" t="str">
        <f t="shared" si="41"/>
        <v>TAMUK</v>
      </c>
      <c r="C63" s="58">
        <f t="shared" si="42"/>
        <v>1334.9085516431944</v>
      </c>
      <c r="D63" s="15">
        <f t="shared" si="43"/>
        <v>190.41666666666666</v>
      </c>
      <c r="E63" s="14">
        <f t="shared" si="47"/>
        <v>30.644388888888894</v>
      </c>
      <c r="F63" s="14">
        <f t="shared" si="47"/>
        <v>89.397496087636938</v>
      </c>
      <c r="G63" s="13">
        <f t="shared" si="47"/>
        <v>440.86333333333488</v>
      </c>
      <c r="H63" s="15">
        <f t="shared" ref="H63:I63" si="64">H105*H156</f>
        <v>204.66666666666666</v>
      </c>
      <c r="I63" s="15">
        <f t="shared" si="64"/>
        <v>46</v>
      </c>
      <c r="J63" s="15">
        <f t="shared" si="60"/>
        <v>65</v>
      </c>
      <c r="K63" s="13">
        <f t="shared" si="60"/>
        <v>4.166666666666667</v>
      </c>
      <c r="L63" s="16">
        <f t="shared" si="60"/>
        <v>25.933333333333337</v>
      </c>
      <c r="M63" s="15">
        <f t="shared" si="60"/>
        <v>73.639999999999986</v>
      </c>
      <c r="N63" s="14">
        <f t="shared" si="60"/>
        <v>85.966666666666669</v>
      </c>
      <c r="O63" s="13">
        <f t="shared" si="60"/>
        <v>78.213333333333338</v>
      </c>
      <c r="P63" s="87">
        <v>3</v>
      </c>
      <c r="Q63" s="13">
        <v>64130.952037511772</v>
      </c>
      <c r="R63" s="58">
        <f t="shared" si="46"/>
        <v>85608956.299894005</v>
      </c>
    </row>
    <row r="64" spans="1:18" outlineLevel="1" x14ac:dyDescent="0.2">
      <c r="A64" s="27">
        <f t="shared" ref="A64:B79" si="65">A21</f>
        <v>103639</v>
      </c>
      <c r="B64" s="19" t="str">
        <f t="shared" si="65"/>
        <v>TAMUSA</v>
      </c>
      <c r="C64" s="58">
        <f t="shared" si="42"/>
        <v>848.91741242685566</v>
      </c>
      <c r="D64" s="15">
        <f t="shared" si="43"/>
        <v>146.91666666666666</v>
      </c>
      <c r="E64" s="14">
        <f t="shared" si="47"/>
        <v>23.643788888888892</v>
      </c>
      <c r="F64" s="14">
        <f t="shared" si="47"/>
        <v>207.9925124268546</v>
      </c>
      <c r="G64" s="13">
        <f t="shared" si="47"/>
        <v>256.50333333333447</v>
      </c>
      <c r="H64" s="15">
        <f t="shared" ref="H64:I64" si="66">H106*H157</f>
        <v>124.44444444444444</v>
      </c>
      <c r="I64" s="15">
        <f t="shared" si="66"/>
        <v>0</v>
      </c>
      <c r="J64" s="15">
        <f t="shared" si="60"/>
        <v>1.25</v>
      </c>
      <c r="K64" s="13">
        <f t="shared" si="60"/>
        <v>0.5</v>
      </c>
      <c r="L64" s="16">
        <f t="shared" si="60"/>
        <v>19.613333333333333</v>
      </c>
      <c r="M64" s="15">
        <f t="shared" si="60"/>
        <v>58.373333333333335</v>
      </c>
      <c r="N64" s="14">
        <f t="shared" si="60"/>
        <v>9.2799999999999994</v>
      </c>
      <c r="O64" s="13">
        <f t="shared" si="60"/>
        <v>0.39999999999999997</v>
      </c>
      <c r="P64" s="87">
        <v>5</v>
      </c>
      <c r="Q64" s="13">
        <v>64633.042238187707</v>
      </c>
      <c r="R64" s="58">
        <f t="shared" si="46"/>
        <v>54868114.974117979</v>
      </c>
    </row>
    <row r="65" spans="1:18" outlineLevel="1" x14ac:dyDescent="0.2">
      <c r="A65" s="20">
        <f t="shared" si="65"/>
        <v>9651</v>
      </c>
      <c r="B65" s="19" t="str">
        <f t="shared" si="65"/>
        <v>TAMI</v>
      </c>
      <c r="C65" s="58">
        <f t="shared" si="42"/>
        <v>1155.0024939631271</v>
      </c>
      <c r="D65" s="15">
        <f t="shared" si="43"/>
        <v>197.41666666666666</v>
      </c>
      <c r="E65" s="14">
        <f t="shared" si="47"/>
        <v>37.377555555555553</v>
      </c>
      <c r="F65" s="14">
        <f t="shared" si="47"/>
        <v>96.63077174090391</v>
      </c>
      <c r="G65" s="13">
        <f t="shared" si="47"/>
        <v>364.62416666666792</v>
      </c>
      <c r="H65" s="15">
        <f t="shared" ref="H65:I65" si="67">H107*H158</f>
        <v>135</v>
      </c>
      <c r="I65" s="15">
        <f t="shared" si="67"/>
        <v>8.6666666666666661</v>
      </c>
      <c r="J65" s="15">
        <f t="shared" si="60"/>
        <v>28.916666666666668</v>
      </c>
      <c r="K65" s="13">
        <f t="shared" si="60"/>
        <v>5.583333333333333</v>
      </c>
      <c r="L65" s="16">
        <f t="shared" si="60"/>
        <v>28.506666666666668</v>
      </c>
      <c r="M65" s="15">
        <f t="shared" si="60"/>
        <v>84.4</v>
      </c>
      <c r="N65" s="14">
        <f t="shared" si="60"/>
        <v>101.56666666666666</v>
      </c>
      <c r="O65" s="13">
        <f t="shared" si="60"/>
        <v>66.313333333333347</v>
      </c>
      <c r="P65" s="87">
        <v>3</v>
      </c>
      <c r="Q65" s="13">
        <v>64130.952037511772</v>
      </c>
      <c r="R65" s="58">
        <f t="shared" si="46"/>
        <v>74071409.543555781</v>
      </c>
    </row>
    <row r="66" spans="1:18" outlineLevel="1" x14ac:dyDescent="0.2">
      <c r="A66" s="20">
        <f t="shared" si="65"/>
        <v>3665</v>
      </c>
      <c r="B66" s="19" t="str">
        <f t="shared" si="65"/>
        <v>WTAMU</v>
      </c>
      <c r="C66" s="58">
        <f t="shared" si="42"/>
        <v>1712.8594870479465</v>
      </c>
      <c r="D66" s="15">
        <f t="shared" si="43"/>
        <v>313.91666666666669</v>
      </c>
      <c r="E66" s="14">
        <f t="shared" si="47"/>
        <v>59.100044444444443</v>
      </c>
      <c r="F66" s="14">
        <f t="shared" si="47"/>
        <v>115.93860927016436</v>
      </c>
      <c r="G66" s="13">
        <f t="shared" si="47"/>
        <v>625.89416666667091</v>
      </c>
      <c r="H66" s="15">
        <f t="shared" ref="H66:I66" si="68">H108*H159</f>
        <v>173.33333333333334</v>
      </c>
      <c r="I66" s="15">
        <f t="shared" si="68"/>
        <v>4.666666666666667</v>
      </c>
      <c r="J66" s="15">
        <f t="shared" si="60"/>
        <v>47.916666666666664</v>
      </c>
      <c r="K66" s="13">
        <f t="shared" si="60"/>
        <v>15.166666666666666</v>
      </c>
      <c r="L66" s="16">
        <f t="shared" si="60"/>
        <v>35.573333333333338</v>
      </c>
      <c r="M66" s="15">
        <f t="shared" si="60"/>
        <v>107.5</v>
      </c>
      <c r="N66" s="14">
        <f t="shared" si="60"/>
        <v>121.26666666666668</v>
      </c>
      <c r="O66" s="13">
        <f t="shared" si="60"/>
        <v>92.586666666666687</v>
      </c>
      <c r="P66" s="87">
        <v>3</v>
      </c>
      <c r="Q66" s="13">
        <v>64130.952037511772</v>
      </c>
      <c r="R66" s="58">
        <f t="shared" si="46"/>
        <v>109847309.61086887</v>
      </c>
    </row>
    <row r="67" spans="1:18" outlineLevel="1" x14ac:dyDescent="0.2">
      <c r="A67" s="20">
        <f t="shared" si="65"/>
        <v>3565</v>
      </c>
      <c r="B67" s="19" t="str">
        <f t="shared" si="65"/>
        <v>TAMUC</v>
      </c>
      <c r="C67" s="58">
        <f t="shared" si="42"/>
        <v>2220.3678434801323</v>
      </c>
      <c r="D67" s="15">
        <f t="shared" si="43"/>
        <v>331.08333333333331</v>
      </c>
      <c r="E67" s="14">
        <f t="shared" si="47"/>
        <v>58.270666666666664</v>
      </c>
      <c r="F67" s="14">
        <f t="shared" si="47"/>
        <v>140.97717681345927</v>
      </c>
      <c r="G67" s="13">
        <f t="shared" si="47"/>
        <v>625.45666666667285</v>
      </c>
      <c r="H67" s="15">
        <f t="shared" ref="H67:I67" si="69">H109*H160</f>
        <v>611.66666666666663</v>
      </c>
      <c r="I67" s="15">
        <f t="shared" si="69"/>
        <v>84.666666666666686</v>
      </c>
      <c r="J67" s="15">
        <f t="shared" si="60"/>
        <v>18.25</v>
      </c>
      <c r="K67" s="13">
        <f t="shared" si="60"/>
        <v>18.583333333333332</v>
      </c>
      <c r="L67" s="16">
        <f t="shared" si="60"/>
        <v>40.773333333333341</v>
      </c>
      <c r="M67" s="15">
        <f t="shared" si="60"/>
        <v>113.58</v>
      </c>
      <c r="N67" s="14">
        <f t="shared" si="60"/>
        <v>113.73333333333333</v>
      </c>
      <c r="O67" s="13">
        <f t="shared" si="60"/>
        <v>63.326666666666668</v>
      </c>
      <c r="P67" s="87">
        <v>3</v>
      </c>
      <c r="Q67" s="13">
        <v>64130.952037511772</v>
      </c>
      <c r="R67" s="58">
        <f t="shared" si="46"/>
        <v>142394303.67585781</v>
      </c>
    </row>
    <row r="68" spans="1:18" outlineLevel="1" x14ac:dyDescent="0.2">
      <c r="A68" s="20">
        <f t="shared" si="65"/>
        <v>29269</v>
      </c>
      <c r="B68" s="19" t="str">
        <f t="shared" si="65"/>
        <v>TAMUT</v>
      </c>
      <c r="C68" s="58">
        <f t="shared" si="42"/>
        <v>617.37196862228461</v>
      </c>
      <c r="D68" s="15">
        <f t="shared" si="43"/>
        <v>86.416666666666671</v>
      </c>
      <c r="E68" s="14">
        <f t="shared" si="47"/>
        <v>18.73602625468375</v>
      </c>
      <c r="F68" s="14">
        <f t="shared" si="47"/>
        <v>193.8317757009346</v>
      </c>
      <c r="G68" s="13">
        <f t="shared" si="47"/>
        <v>154.97749999999957</v>
      </c>
      <c r="H68" s="15">
        <f t="shared" ref="H68:I68" si="70">H110*H161</f>
        <v>82.166666666666671</v>
      </c>
      <c r="I68" s="15">
        <f t="shared" si="70"/>
        <v>0</v>
      </c>
      <c r="J68" s="15">
        <f t="shared" si="60"/>
        <v>10.416666666666666</v>
      </c>
      <c r="K68" s="13">
        <f t="shared" si="60"/>
        <v>4.833333333333333</v>
      </c>
      <c r="L68" s="16">
        <f t="shared" si="60"/>
        <v>9.56</v>
      </c>
      <c r="M68" s="15">
        <f t="shared" si="60"/>
        <v>34.613333333333337</v>
      </c>
      <c r="N68" s="14">
        <f t="shared" si="60"/>
        <v>21.72</v>
      </c>
      <c r="O68" s="13">
        <f t="shared" si="60"/>
        <v>9.9999999999999992E-2</v>
      </c>
      <c r="P68" s="87">
        <v>4</v>
      </c>
      <c r="Q68" s="13">
        <v>72600.916032124354</v>
      </c>
      <c r="R68" s="58">
        <f t="shared" si="46"/>
        <v>44821770.4545338</v>
      </c>
    </row>
    <row r="69" spans="1:18" outlineLevel="1" x14ac:dyDescent="0.2">
      <c r="A69" s="20">
        <f t="shared" si="65"/>
        <v>3652</v>
      </c>
      <c r="B69" s="19" t="str">
        <f t="shared" si="65"/>
        <v>UH</v>
      </c>
      <c r="C69" s="58">
        <f t="shared" si="42"/>
        <v>6789.8198078912692</v>
      </c>
      <c r="D69" s="15">
        <f t="shared" si="43"/>
        <v>764.80000000000007</v>
      </c>
      <c r="E69" s="14">
        <f t="shared" ref="E69:G85" si="71">E111*E162</f>
        <v>546.91697777777779</v>
      </c>
      <c r="F69" s="14">
        <f t="shared" si="71"/>
        <v>214.25049678026627</v>
      </c>
      <c r="G69" s="13">
        <f t="shared" si="71"/>
        <v>1587.0369999998916</v>
      </c>
      <c r="H69" s="15">
        <f t="shared" ref="H69:I69" si="72">H111*H162</f>
        <v>947</v>
      </c>
      <c r="I69" s="15">
        <f t="shared" si="72"/>
        <v>1552.666666666667</v>
      </c>
      <c r="J69" s="15">
        <f t="shared" ref="J69:O78" si="73">J111*J162</f>
        <v>110.55</v>
      </c>
      <c r="K69" s="13">
        <f t="shared" si="73"/>
        <v>9.3999999999999986</v>
      </c>
      <c r="L69" s="16">
        <f t="shared" si="73"/>
        <v>80.951999999999998</v>
      </c>
      <c r="M69" s="15">
        <f t="shared" si="73"/>
        <v>304.09333333333331</v>
      </c>
      <c r="N69" s="14">
        <f t="shared" si="73"/>
        <v>341.41999999999996</v>
      </c>
      <c r="O69" s="13">
        <f t="shared" si="73"/>
        <v>330.73333333333335</v>
      </c>
      <c r="P69" s="87">
        <v>1</v>
      </c>
      <c r="Q69" s="13">
        <v>90197.027768754284</v>
      </c>
      <c r="R69" s="58">
        <f t="shared" si="46"/>
        <v>612421565.75720668</v>
      </c>
    </row>
    <row r="70" spans="1:18" outlineLevel="1" x14ac:dyDescent="0.2">
      <c r="A70" s="20">
        <f t="shared" si="65"/>
        <v>11711</v>
      </c>
      <c r="B70" s="19" t="str">
        <f t="shared" si="65"/>
        <v>UHCL</v>
      </c>
      <c r="C70" s="58">
        <f t="shared" si="42"/>
        <v>1925.85723450972</v>
      </c>
      <c r="D70" s="15">
        <f t="shared" si="43"/>
        <v>297.66666666666669</v>
      </c>
      <c r="E70" s="14">
        <f t="shared" si="71"/>
        <v>61.934267935898838</v>
      </c>
      <c r="F70" s="14">
        <f t="shared" si="71"/>
        <v>198.46796657381617</v>
      </c>
      <c r="G70" s="13">
        <f t="shared" si="71"/>
        <v>570.73833333333823</v>
      </c>
      <c r="H70" s="15">
        <f t="shared" ref="H70:I70" si="74">H112*H163</f>
        <v>532.5</v>
      </c>
      <c r="I70" s="15">
        <f t="shared" si="74"/>
        <v>18</v>
      </c>
      <c r="J70" s="15">
        <f t="shared" si="73"/>
        <v>26.666666666666668</v>
      </c>
      <c r="K70" s="13">
        <f t="shared" si="73"/>
        <v>2.0833333333333335</v>
      </c>
      <c r="L70" s="16">
        <f t="shared" si="73"/>
        <v>30.973333333333336</v>
      </c>
      <c r="M70" s="15">
        <f t="shared" si="73"/>
        <v>83.47999999999999</v>
      </c>
      <c r="N70" s="14">
        <f t="shared" si="73"/>
        <v>95.366666666666674</v>
      </c>
      <c r="O70" s="13">
        <f t="shared" si="73"/>
        <v>7.98</v>
      </c>
      <c r="P70" s="87">
        <v>3</v>
      </c>
      <c r="Q70" s="13">
        <v>64130.952037511772</v>
      </c>
      <c r="R70" s="58">
        <f t="shared" si="46"/>
        <v>123507057.93743791</v>
      </c>
    </row>
    <row r="71" spans="1:18" outlineLevel="1" x14ac:dyDescent="0.2">
      <c r="A71" s="20">
        <f t="shared" si="65"/>
        <v>12826</v>
      </c>
      <c r="B71" s="19" t="str">
        <f t="shared" si="65"/>
        <v>UHD</v>
      </c>
      <c r="C71" s="58">
        <f t="shared" si="42"/>
        <v>2553.0197704265552</v>
      </c>
      <c r="D71" s="15">
        <f t="shared" si="43"/>
        <v>595.58333333333337</v>
      </c>
      <c r="E71" s="14">
        <f t="shared" si="71"/>
        <v>45.264333333333347</v>
      </c>
      <c r="F71" s="14">
        <f t="shared" si="71"/>
        <v>149.16515931543069</v>
      </c>
      <c r="G71" s="13">
        <f t="shared" si="71"/>
        <v>1067.8291666666803</v>
      </c>
      <c r="H71" s="15">
        <f t="shared" ref="H71:I71" si="75">H113*H164</f>
        <v>31.777777777777779</v>
      </c>
      <c r="I71" s="15">
        <f t="shared" si="75"/>
        <v>0</v>
      </c>
      <c r="J71" s="15">
        <f t="shared" si="73"/>
        <v>32.416666666666664</v>
      </c>
      <c r="K71" s="13">
        <f t="shared" si="73"/>
        <v>0.41666666666666669</v>
      </c>
      <c r="L71" s="16">
        <f t="shared" si="73"/>
        <v>67.240000000000009</v>
      </c>
      <c r="M71" s="15">
        <f t="shared" si="73"/>
        <v>248.42666666666668</v>
      </c>
      <c r="N71" s="14">
        <f t="shared" si="73"/>
        <v>224.2</v>
      </c>
      <c r="O71" s="13">
        <f t="shared" si="73"/>
        <v>90.699999999999989</v>
      </c>
      <c r="P71" s="87">
        <v>5</v>
      </c>
      <c r="Q71" s="13">
        <v>64633.042238187707</v>
      </c>
      <c r="R71" s="58">
        <f t="shared" si="46"/>
        <v>165009434.65690783</v>
      </c>
    </row>
    <row r="72" spans="1:18" outlineLevel="1" x14ac:dyDescent="0.2">
      <c r="A72" s="20">
        <f t="shared" si="65"/>
        <v>13231</v>
      </c>
      <c r="B72" s="19" t="str">
        <f t="shared" si="65"/>
        <v>UHV</v>
      </c>
      <c r="C72" s="58">
        <f t="shared" si="42"/>
        <v>986.09612407951386</v>
      </c>
      <c r="D72" s="15">
        <f t="shared" si="43"/>
        <v>144.16666666666666</v>
      </c>
      <c r="E72" s="14">
        <f t="shared" si="71"/>
        <v>30.019546283886072</v>
      </c>
      <c r="F72" s="14">
        <f t="shared" si="71"/>
        <v>200.42324446229418</v>
      </c>
      <c r="G72" s="13">
        <f t="shared" si="71"/>
        <v>271.12000000000029</v>
      </c>
      <c r="H72" s="15">
        <f t="shared" ref="H72:I72" si="76">H114*H165</f>
        <v>202.33333333333334</v>
      </c>
      <c r="I72" s="15">
        <f t="shared" si="76"/>
        <v>0</v>
      </c>
      <c r="J72" s="15">
        <f t="shared" si="73"/>
        <v>27</v>
      </c>
      <c r="K72" s="13">
        <f t="shared" si="73"/>
        <v>1.8333333333333333</v>
      </c>
      <c r="L72" s="16">
        <f t="shared" si="73"/>
        <v>15.360000000000003</v>
      </c>
      <c r="M72" s="15">
        <f t="shared" si="73"/>
        <v>57.28</v>
      </c>
      <c r="N72" s="14">
        <f t="shared" si="73"/>
        <v>35.559999999999995</v>
      </c>
      <c r="O72" s="13">
        <f t="shared" si="73"/>
        <v>1</v>
      </c>
      <c r="P72" s="87">
        <v>4</v>
      </c>
      <c r="Q72" s="13">
        <v>72600.916032124354</v>
      </c>
      <c r="R72" s="58">
        <f t="shared" si="46"/>
        <v>71591481.903900057</v>
      </c>
    </row>
    <row r="73" spans="1:18" outlineLevel="1" x14ac:dyDescent="0.2">
      <c r="A73" s="20">
        <f t="shared" si="65"/>
        <v>3592</v>
      </c>
      <c r="B73" s="19" t="str">
        <f t="shared" si="65"/>
        <v>Midwestern</v>
      </c>
      <c r="C73" s="58">
        <f t="shared" si="42"/>
        <v>1418.4171662957294</v>
      </c>
      <c r="D73" s="15">
        <f t="shared" si="43"/>
        <v>257.91666666666669</v>
      </c>
      <c r="E73" s="14">
        <f t="shared" si="71"/>
        <v>45.324555555555555</v>
      </c>
      <c r="F73" s="14">
        <f t="shared" si="71"/>
        <v>120.61261074017301</v>
      </c>
      <c r="G73" s="13">
        <f t="shared" si="71"/>
        <v>490.50000000000085</v>
      </c>
      <c r="H73" s="15">
        <f t="shared" ref="H73:I73" si="77">H115*H166</f>
        <v>103.33333333333333</v>
      </c>
      <c r="I73" s="15">
        <f t="shared" si="77"/>
        <v>0</v>
      </c>
      <c r="J73" s="15">
        <f t="shared" si="73"/>
        <v>83.333333333333329</v>
      </c>
      <c r="K73" s="13">
        <f t="shared" si="73"/>
        <v>3.75</v>
      </c>
      <c r="L73" s="16">
        <f t="shared" si="73"/>
        <v>27.61333333333334</v>
      </c>
      <c r="M73" s="15">
        <f t="shared" si="73"/>
        <v>86.28</v>
      </c>
      <c r="N73" s="14">
        <f t="shared" si="73"/>
        <v>104.60000000000001</v>
      </c>
      <c r="O73" s="13">
        <f t="shared" si="73"/>
        <v>95.153333333333336</v>
      </c>
      <c r="P73" s="87">
        <v>3</v>
      </c>
      <c r="Q73" s="13">
        <v>64130.952037511772</v>
      </c>
      <c r="R73" s="58">
        <f t="shared" si="46"/>
        <v>90964443.26089479</v>
      </c>
    </row>
    <row r="74" spans="1:18" outlineLevel="1" x14ac:dyDescent="0.2">
      <c r="A74" s="20">
        <f t="shared" si="65"/>
        <v>3594</v>
      </c>
      <c r="B74" s="19" t="str">
        <f t="shared" si="65"/>
        <v>UNT</v>
      </c>
      <c r="C74" s="58">
        <f t="shared" si="42"/>
        <v>6071.9635567718333</v>
      </c>
      <c r="D74" s="15">
        <f t="shared" si="43"/>
        <v>902.5</v>
      </c>
      <c r="E74" s="14">
        <f t="shared" si="71"/>
        <v>693.52111111111117</v>
      </c>
      <c r="F74" s="14">
        <f t="shared" si="71"/>
        <v>258.86944566084128</v>
      </c>
      <c r="G74" s="13">
        <f t="shared" si="71"/>
        <v>1711.7329999998794</v>
      </c>
      <c r="H74" s="15">
        <f t="shared" ref="H74:I74" si="78">H116*H167</f>
        <v>915.16666666666663</v>
      </c>
      <c r="I74" s="15">
        <f t="shared" si="78"/>
        <v>454.66666666666674</v>
      </c>
      <c r="J74" s="15">
        <f t="shared" si="73"/>
        <v>50.5</v>
      </c>
      <c r="K74" s="13">
        <f t="shared" si="73"/>
        <v>6.5</v>
      </c>
      <c r="L74" s="16">
        <f t="shared" si="73"/>
        <v>91.679999999999993</v>
      </c>
      <c r="M74" s="15">
        <f t="shared" si="73"/>
        <v>314.5866666666667</v>
      </c>
      <c r="N74" s="14">
        <f t="shared" si="73"/>
        <v>338.53999999999996</v>
      </c>
      <c r="O74" s="13">
        <f t="shared" si="73"/>
        <v>333.70000000000005</v>
      </c>
      <c r="P74" s="87">
        <v>1</v>
      </c>
      <c r="Q74" s="13">
        <v>90197.027768754284</v>
      </c>
      <c r="R74" s="58">
        <f t="shared" si="46"/>
        <v>547673065.54101312</v>
      </c>
    </row>
    <row r="75" spans="1:18" outlineLevel="1" x14ac:dyDescent="0.2">
      <c r="A75" s="27">
        <f t="shared" si="65"/>
        <v>113594</v>
      </c>
      <c r="B75" s="19" t="str">
        <f t="shared" si="65"/>
        <v>UNTD</v>
      </c>
      <c r="C75" s="58">
        <f t="shared" si="42"/>
        <v>731.1915579904163</v>
      </c>
      <c r="D75" s="15">
        <f t="shared" si="43"/>
        <v>121.05</v>
      </c>
      <c r="E75" s="14">
        <f t="shared" si="71"/>
        <v>11.651062500000002</v>
      </c>
      <c r="F75" s="14">
        <f t="shared" si="71"/>
        <v>319.85449549041709</v>
      </c>
      <c r="G75" s="13">
        <f t="shared" si="71"/>
        <v>211.75799999999916</v>
      </c>
      <c r="H75" s="15">
        <f t="shared" ref="H75:I75" si="79">H117*H168</f>
        <v>0</v>
      </c>
      <c r="I75" s="15">
        <f t="shared" si="79"/>
        <v>0</v>
      </c>
      <c r="J75" s="15">
        <f t="shared" si="73"/>
        <v>3.5999999999999996</v>
      </c>
      <c r="K75" s="13">
        <f t="shared" si="73"/>
        <v>0</v>
      </c>
      <c r="L75" s="16">
        <f t="shared" si="73"/>
        <v>14.808</v>
      </c>
      <c r="M75" s="15">
        <f t="shared" si="73"/>
        <v>38.24</v>
      </c>
      <c r="N75" s="14">
        <f t="shared" si="73"/>
        <v>8.58</v>
      </c>
      <c r="O75" s="13">
        <f t="shared" si="73"/>
        <v>1.65</v>
      </c>
      <c r="P75" s="87" t="s">
        <v>78</v>
      </c>
      <c r="Q75" s="13">
        <v>62223.550136993705</v>
      </c>
      <c r="R75" s="58">
        <f t="shared" si="46"/>
        <v>45497334.568363212</v>
      </c>
    </row>
    <row r="76" spans="1:18" outlineLevel="1" x14ac:dyDescent="0.2">
      <c r="A76" s="20">
        <f t="shared" si="65"/>
        <v>3624</v>
      </c>
      <c r="B76" s="19" t="str">
        <f t="shared" si="65"/>
        <v>SFA</v>
      </c>
      <c r="C76" s="58">
        <f t="shared" si="42"/>
        <v>2564.7988882170866</v>
      </c>
      <c r="D76" s="15">
        <f t="shared" si="43"/>
        <v>480.41666666666669</v>
      </c>
      <c r="E76" s="14">
        <f t="shared" si="71"/>
        <v>106.46033333333332</v>
      </c>
      <c r="F76" s="14">
        <f t="shared" si="71"/>
        <v>101.28772155041958</v>
      </c>
      <c r="G76" s="13">
        <f t="shared" si="71"/>
        <v>930.43416666666724</v>
      </c>
      <c r="H76" s="15">
        <f t="shared" ref="H76:I76" si="80">H118*H169</f>
        <v>219.33333333333334</v>
      </c>
      <c r="I76" s="15">
        <f t="shared" si="80"/>
        <v>26</v>
      </c>
      <c r="J76" s="15">
        <f t="shared" si="73"/>
        <v>62</v>
      </c>
      <c r="K76" s="13">
        <f t="shared" si="73"/>
        <v>11.166666666666666</v>
      </c>
      <c r="L76" s="16">
        <f t="shared" si="73"/>
        <v>58.413333333333334</v>
      </c>
      <c r="M76" s="15">
        <f t="shared" si="73"/>
        <v>166.16</v>
      </c>
      <c r="N76" s="14">
        <f t="shared" si="73"/>
        <v>207.5</v>
      </c>
      <c r="O76" s="13">
        <f t="shared" si="73"/>
        <v>195.62666666666667</v>
      </c>
      <c r="P76" s="87">
        <v>3</v>
      </c>
      <c r="Q76" s="13">
        <v>64130.952037511772</v>
      </c>
      <c r="R76" s="58">
        <f t="shared" si="46"/>
        <v>164482994.48611349</v>
      </c>
    </row>
    <row r="77" spans="1:18" outlineLevel="1" x14ac:dyDescent="0.2">
      <c r="A77" s="20">
        <f t="shared" si="65"/>
        <v>3642</v>
      </c>
      <c r="B77" s="19" t="str">
        <f t="shared" si="65"/>
        <v>TSU</v>
      </c>
      <c r="C77" s="58">
        <f t="shared" si="42"/>
        <v>1717.9831272766862</v>
      </c>
      <c r="D77" s="15">
        <f t="shared" si="43"/>
        <v>189.58333333333334</v>
      </c>
      <c r="E77" s="14">
        <f t="shared" si="71"/>
        <v>10.894722222222221</v>
      </c>
      <c r="F77" s="14">
        <f t="shared" si="71"/>
        <v>64.668405054463591</v>
      </c>
      <c r="G77" s="13">
        <f t="shared" si="71"/>
        <v>372.16333333333381</v>
      </c>
      <c r="H77" s="15">
        <f t="shared" ref="H77:I77" si="81">H119*H170</f>
        <v>116.66666666666667</v>
      </c>
      <c r="I77" s="15">
        <f t="shared" si="81"/>
        <v>572.66666666666663</v>
      </c>
      <c r="J77" s="15">
        <f t="shared" si="73"/>
        <v>33.583333333333336</v>
      </c>
      <c r="K77" s="13">
        <f t="shared" si="73"/>
        <v>0.75</v>
      </c>
      <c r="L77" s="16">
        <f t="shared" si="73"/>
        <v>26.653333333333336</v>
      </c>
      <c r="M77" s="15">
        <f t="shared" si="73"/>
        <v>98.24</v>
      </c>
      <c r="N77" s="14">
        <f t="shared" si="73"/>
        <v>113.30000000000001</v>
      </c>
      <c r="O77" s="13">
        <f t="shared" si="73"/>
        <v>118.81333333333333</v>
      </c>
      <c r="P77" s="87">
        <v>3</v>
      </c>
      <c r="Q77" s="13">
        <v>64130.952037511772</v>
      </c>
      <c r="R77" s="58">
        <f t="shared" si="46"/>
        <v>110175893.53663565</v>
      </c>
    </row>
    <row r="78" spans="1:18" outlineLevel="1" x14ac:dyDescent="0.2">
      <c r="A78" s="20">
        <f t="shared" si="65"/>
        <v>3644</v>
      </c>
      <c r="B78" s="19" t="str">
        <f t="shared" si="65"/>
        <v>TTU</v>
      </c>
      <c r="C78" s="58">
        <f t="shared" si="42"/>
        <v>5882.0883646035691</v>
      </c>
      <c r="D78" s="15">
        <f t="shared" si="43"/>
        <v>701.1</v>
      </c>
      <c r="E78" s="14">
        <f t="shared" si="71"/>
        <v>684.27359999999999</v>
      </c>
      <c r="F78" s="14">
        <f t="shared" si="71"/>
        <v>210.61243127033356</v>
      </c>
      <c r="G78" s="13">
        <f t="shared" si="71"/>
        <v>1519.2169999999021</v>
      </c>
      <c r="H78" s="15">
        <f t="shared" ref="H78:I78" si="82">H120*H171</f>
        <v>687.83333333333337</v>
      </c>
      <c r="I78" s="15">
        <f t="shared" si="82"/>
        <v>924</v>
      </c>
      <c r="J78" s="15">
        <f t="shared" si="73"/>
        <v>109.10000000000001</v>
      </c>
      <c r="K78" s="13">
        <f t="shared" si="73"/>
        <v>8.6</v>
      </c>
      <c r="L78" s="16">
        <f t="shared" si="73"/>
        <v>66.671999999999997</v>
      </c>
      <c r="M78" s="15">
        <f t="shared" si="73"/>
        <v>259.4133333333333</v>
      </c>
      <c r="N78" s="14">
        <f t="shared" si="73"/>
        <v>316.7</v>
      </c>
      <c r="O78" s="13">
        <f t="shared" si="73"/>
        <v>394.56666666666666</v>
      </c>
      <c r="P78" s="87">
        <v>1</v>
      </c>
      <c r="Q78" s="13">
        <v>90197.027768754284</v>
      </c>
      <c r="R78" s="58">
        <f t="shared" si="46"/>
        <v>530546887.56041461</v>
      </c>
    </row>
    <row r="79" spans="1:18" outlineLevel="1" x14ac:dyDescent="0.2">
      <c r="A79" s="20">
        <f t="shared" si="65"/>
        <v>3541</v>
      </c>
      <c r="B79" s="19" t="str">
        <f t="shared" si="65"/>
        <v>Angelo</v>
      </c>
      <c r="C79" s="58">
        <f t="shared" si="42"/>
        <v>1384.2236257635445</v>
      </c>
      <c r="D79" s="15">
        <f t="shared" si="43"/>
        <v>247.83333333333334</v>
      </c>
      <c r="E79" s="14">
        <f t="shared" si="71"/>
        <v>42.59428888888889</v>
      </c>
      <c r="F79" s="14">
        <f t="shared" si="71"/>
        <v>101.52850354132148</v>
      </c>
      <c r="G79" s="13">
        <f t="shared" si="71"/>
        <v>494.33750000000128</v>
      </c>
      <c r="H79" s="15">
        <f t="shared" ref="H79:I79" si="83">H121*H172</f>
        <v>99.166666666666671</v>
      </c>
      <c r="I79" s="15">
        <f t="shared" si="83"/>
        <v>12.666666666666666</v>
      </c>
      <c r="J79" s="15">
        <f t="shared" ref="J79:O85" si="84">J121*J172</f>
        <v>63.583333333333336</v>
      </c>
      <c r="K79" s="13">
        <f t="shared" si="84"/>
        <v>4.833333333333333</v>
      </c>
      <c r="L79" s="16">
        <f t="shared" si="84"/>
        <v>28.92</v>
      </c>
      <c r="M79" s="15">
        <f t="shared" si="84"/>
        <v>86.320000000000007</v>
      </c>
      <c r="N79" s="14">
        <f t="shared" si="84"/>
        <v>103.36666666666667</v>
      </c>
      <c r="O79" s="13">
        <f t="shared" si="84"/>
        <v>99.073333333333338</v>
      </c>
      <c r="P79" s="87">
        <v>3</v>
      </c>
      <c r="Q79" s="13">
        <v>64130.952037511772</v>
      </c>
      <c r="R79" s="58">
        <f t="shared" si="46"/>
        <v>88771578.953032523</v>
      </c>
    </row>
    <row r="80" spans="1:18" outlineLevel="1" x14ac:dyDescent="0.2">
      <c r="A80" s="20">
        <f t="shared" ref="A80:B85" si="85">A37</f>
        <v>3646</v>
      </c>
      <c r="B80" s="19" t="str">
        <f t="shared" si="85"/>
        <v>TWU</v>
      </c>
      <c r="C80" s="58">
        <f t="shared" si="42"/>
        <v>3298.474165546133</v>
      </c>
      <c r="D80" s="15">
        <f t="shared" si="43"/>
        <v>451.5</v>
      </c>
      <c r="E80" s="14">
        <f t="shared" si="71"/>
        <v>141.8613</v>
      </c>
      <c r="F80" s="14">
        <f t="shared" si="71"/>
        <v>206.59203221279969</v>
      </c>
      <c r="G80" s="13">
        <f t="shared" si="71"/>
        <v>863.04416666666646</v>
      </c>
      <c r="H80" s="15">
        <f t="shared" ref="H80:I80" si="86">H122*H173</f>
        <v>764.00000000000011</v>
      </c>
      <c r="I80" s="15">
        <f t="shared" si="86"/>
        <v>440</v>
      </c>
      <c r="J80" s="15">
        <f t="shared" si="84"/>
        <v>142.33333333333334</v>
      </c>
      <c r="K80" s="13">
        <f t="shared" si="84"/>
        <v>7.916666666666667</v>
      </c>
      <c r="L80" s="16">
        <f t="shared" si="84"/>
        <v>49.88</v>
      </c>
      <c r="M80" s="15">
        <f t="shared" si="84"/>
        <v>87.84</v>
      </c>
      <c r="N80" s="14">
        <f t="shared" si="84"/>
        <v>77.539999999999992</v>
      </c>
      <c r="O80" s="13">
        <f t="shared" si="84"/>
        <v>65.966666666666669</v>
      </c>
      <c r="P80" s="87">
        <v>2</v>
      </c>
      <c r="Q80" s="13">
        <v>69184.923785166247</v>
      </c>
      <c r="R80" s="58">
        <f t="shared" si="46"/>
        <v>228204683.75064903</v>
      </c>
    </row>
    <row r="81" spans="1:18" outlineLevel="1" x14ac:dyDescent="0.2">
      <c r="A81" s="20">
        <f t="shared" si="85"/>
        <v>3581</v>
      </c>
      <c r="B81" s="19" t="str">
        <f t="shared" si="85"/>
        <v>Lamar</v>
      </c>
      <c r="C81" s="58">
        <f t="shared" si="42"/>
        <v>2865.597490266709</v>
      </c>
      <c r="D81" s="15">
        <f t="shared" si="43"/>
        <v>333.83333333333331</v>
      </c>
      <c r="E81" s="14">
        <f t="shared" si="71"/>
        <v>46.781177777777778</v>
      </c>
      <c r="F81" s="14">
        <f t="shared" si="71"/>
        <v>91.774645822260496</v>
      </c>
      <c r="G81" s="13">
        <f t="shared" si="71"/>
        <v>671.22500000000412</v>
      </c>
      <c r="H81" s="15">
        <f t="shared" ref="H81:I81" si="87">H123*H174</f>
        <v>1116.8333333333333</v>
      </c>
      <c r="I81" s="15">
        <f t="shared" si="87"/>
        <v>61.333333333333343</v>
      </c>
      <c r="J81" s="15">
        <f t="shared" si="84"/>
        <v>82.5</v>
      </c>
      <c r="K81" s="13">
        <f t="shared" si="84"/>
        <v>4.25</v>
      </c>
      <c r="L81" s="16">
        <f t="shared" si="84"/>
        <v>37.946666666666673</v>
      </c>
      <c r="M81" s="15">
        <f t="shared" si="84"/>
        <v>128.67999999999998</v>
      </c>
      <c r="N81" s="14">
        <f t="shared" si="84"/>
        <v>148.9</v>
      </c>
      <c r="O81" s="13">
        <f t="shared" si="84"/>
        <v>141.54000000000002</v>
      </c>
      <c r="P81" s="87">
        <v>3</v>
      </c>
      <c r="Q81" s="13">
        <v>64130.952037511772</v>
      </c>
      <c r="R81" s="58">
        <f t="shared" si="46"/>
        <v>183773495.20710841</v>
      </c>
    </row>
    <row r="82" spans="1:18" outlineLevel="1" x14ac:dyDescent="0.2">
      <c r="A82" s="20">
        <f t="shared" si="85"/>
        <v>3606</v>
      </c>
      <c r="B82" s="19" t="str">
        <f t="shared" si="85"/>
        <v>SHSU</v>
      </c>
      <c r="C82" s="58">
        <f t="shared" si="42"/>
        <v>3961.7272156409799</v>
      </c>
      <c r="D82" s="15">
        <f t="shared" si="43"/>
        <v>769.41666666666663</v>
      </c>
      <c r="E82" s="14">
        <f t="shared" si="71"/>
        <v>180.55644444444445</v>
      </c>
      <c r="F82" s="14">
        <f t="shared" si="71"/>
        <v>122.37827119650508</v>
      </c>
      <c r="G82" s="13">
        <f t="shared" si="71"/>
        <v>1459.2691666666972</v>
      </c>
      <c r="H82" s="15">
        <f t="shared" ref="H82:I82" si="88">H124*H175</f>
        <v>420.83333333333331</v>
      </c>
      <c r="I82" s="15">
        <f t="shared" si="88"/>
        <v>86.666666666666686</v>
      </c>
      <c r="J82" s="15">
        <f t="shared" si="84"/>
        <v>41.75</v>
      </c>
      <c r="K82" s="13">
        <f t="shared" si="84"/>
        <v>15.25</v>
      </c>
      <c r="L82" s="16">
        <f t="shared" si="84"/>
        <v>88.546666666666681</v>
      </c>
      <c r="M82" s="15">
        <f t="shared" si="84"/>
        <v>233.66</v>
      </c>
      <c r="N82" s="14">
        <f t="shared" si="84"/>
        <v>296.53333333333336</v>
      </c>
      <c r="O82" s="13">
        <f t="shared" si="84"/>
        <v>246.86666666666667</v>
      </c>
      <c r="P82" s="87">
        <v>3</v>
      </c>
      <c r="Q82" s="13">
        <v>64130.952037511772</v>
      </c>
      <c r="R82" s="58">
        <f t="shared" si="46"/>
        <v>254069338.05197674</v>
      </c>
    </row>
    <row r="83" spans="1:18" outlineLevel="1" x14ac:dyDescent="0.2">
      <c r="A83" s="20">
        <f t="shared" si="85"/>
        <v>3615</v>
      </c>
      <c r="B83" s="19" t="str">
        <f t="shared" si="85"/>
        <v>TXST</v>
      </c>
      <c r="C83" s="58">
        <f t="shared" si="42"/>
        <v>6926.023257598772</v>
      </c>
      <c r="D83" s="15">
        <f t="shared" si="43"/>
        <v>1340.25</v>
      </c>
      <c r="E83" s="14">
        <f t="shared" si="71"/>
        <v>339.35130000000004</v>
      </c>
      <c r="F83" s="14">
        <f t="shared" si="71"/>
        <v>117.03445759893198</v>
      </c>
      <c r="G83" s="13">
        <f t="shared" si="71"/>
        <v>2609.3274999998393</v>
      </c>
      <c r="H83" s="15">
        <f t="shared" ref="H83:I83" si="89">H125*H176</f>
        <v>654.33333333333337</v>
      </c>
      <c r="I83" s="15">
        <f t="shared" si="89"/>
        <v>109.33333333333333</v>
      </c>
      <c r="J83" s="15">
        <f t="shared" si="84"/>
        <v>122.16666666666667</v>
      </c>
      <c r="K83" s="13">
        <f t="shared" si="84"/>
        <v>16.666666666666668</v>
      </c>
      <c r="L83" s="16">
        <f t="shared" si="84"/>
        <v>147.01333333333335</v>
      </c>
      <c r="M83" s="15">
        <f t="shared" si="84"/>
        <v>448.21999999999997</v>
      </c>
      <c r="N83" s="14">
        <f t="shared" si="84"/>
        <v>557.9</v>
      </c>
      <c r="O83" s="13">
        <f t="shared" si="84"/>
        <v>464.42666666666673</v>
      </c>
      <c r="P83" s="87">
        <v>3</v>
      </c>
      <c r="Q83" s="13">
        <v>64130.952037511772</v>
      </c>
      <c r="R83" s="58">
        <f t="shared" si="46"/>
        <v>444172465.34375787</v>
      </c>
    </row>
    <row r="84" spans="1:18" outlineLevel="1" x14ac:dyDescent="0.2">
      <c r="A84" s="20">
        <f t="shared" si="85"/>
        <v>3625</v>
      </c>
      <c r="B84" s="19" t="str">
        <f t="shared" si="85"/>
        <v>SRSU</v>
      </c>
      <c r="C84" s="58">
        <f t="shared" si="42"/>
        <v>385.44564837495363</v>
      </c>
      <c r="D84" s="15">
        <f t="shared" si="43"/>
        <v>47.333333333333336</v>
      </c>
      <c r="E84" s="14">
        <f t="shared" si="71"/>
        <v>5.6989333333333336</v>
      </c>
      <c r="F84" s="14">
        <f t="shared" si="71"/>
        <v>77.594215041620387</v>
      </c>
      <c r="G84" s="13">
        <f t="shared" si="71"/>
        <v>98.582499999999911</v>
      </c>
      <c r="H84" s="15">
        <f t="shared" ref="H84:I84" si="90">H126*H177</f>
        <v>89.166666666666671</v>
      </c>
      <c r="I84" s="15">
        <f t="shared" si="90"/>
        <v>0</v>
      </c>
      <c r="J84" s="15">
        <f t="shared" si="84"/>
        <v>3.1666666666666665</v>
      </c>
      <c r="K84" s="13">
        <f t="shared" si="84"/>
        <v>1.5833333333333333</v>
      </c>
      <c r="L84" s="16">
        <f t="shared" si="84"/>
        <v>6.5200000000000005</v>
      </c>
      <c r="M84" s="15">
        <f t="shared" si="84"/>
        <v>18</v>
      </c>
      <c r="N84" s="14">
        <f t="shared" si="84"/>
        <v>19.366666666666667</v>
      </c>
      <c r="O84" s="13">
        <f t="shared" si="84"/>
        <v>18.433333333333334</v>
      </c>
      <c r="P84" s="87">
        <v>3</v>
      </c>
      <c r="Q84" s="13">
        <v>64130.952037511772</v>
      </c>
      <c r="R84" s="58">
        <f t="shared" si="46"/>
        <v>24718996.389001779</v>
      </c>
    </row>
    <row r="85" spans="1:18" outlineLevel="1" x14ac:dyDescent="0.2">
      <c r="A85" s="20">
        <f t="shared" si="85"/>
        <v>20</v>
      </c>
      <c r="B85" s="19" t="str">
        <f t="shared" si="85"/>
        <v>SRRG</v>
      </c>
      <c r="C85" s="58">
        <f t="shared" si="42"/>
        <v>374.5911390120022</v>
      </c>
      <c r="D85" s="15">
        <f t="shared" si="43"/>
        <v>40.416666666666664</v>
      </c>
      <c r="E85" s="14">
        <f t="shared" si="71"/>
        <v>5.1365976618337754</v>
      </c>
      <c r="F85" s="14">
        <f t="shared" si="71"/>
        <v>182.98204135016854</v>
      </c>
      <c r="G85" s="13">
        <f t="shared" si="71"/>
        <v>69.792499999999947</v>
      </c>
      <c r="H85" s="15">
        <f t="shared" ref="H85:I85" si="91">H127*H178</f>
        <v>37.333333333333336</v>
      </c>
      <c r="I85" s="15">
        <f t="shared" si="91"/>
        <v>0</v>
      </c>
      <c r="J85" s="15">
        <f t="shared" si="84"/>
        <v>1.5833333333333333</v>
      </c>
      <c r="K85" s="13">
        <f t="shared" si="84"/>
        <v>1.4166666666666667</v>
      </c>
      <c r="L85" s="16">
        <f t="shared" si="84"/>
        <v>5.7600000000000007</v>
      </c>
      <c r="M85" s="15">
        <f t="shared" si="84"/>
        <v>18.400000000000002</v>
      </c>
      <c r="N85" s="14">
        <f t="shared" si="84"/>
        <v>11.120000000000001</v>
      </c>
      <c r="O85" s="13">
        <f t="shared" si="84"/>
        <v>0.64999999999999991</v>
      </c>
      <c r="P85" s="87">
        <v>5</v>
      </c>
      <c r="Q85" s="13">
        <v>64633.042238187707</v>
      </c>
      <c r="R85" s="58">
        <f t="shared" si="46"/>
        <v>24210964.909813583</v>
      </c>
    </row>
    <row r="86" spans="1:18" ht="13.5" outlineLevel="1" thickBot="1" x14ac:dyDescent="0.25">
      <c r="A86" s="12"/>
      <c r="B86" s="11" t="s">
        <v>11</v>
      </c>
      <c r="C86" s="57">
        <f t="shared" ref="C86:O86" si="92">SUM(C48:C85)</f>
        <v>114457.72888714528</v>
      </c>
      <c r="D86" s="9">
        <f t="shared" si="92"/>
        <v>17127.516666666663</v>
      </c>
      <c r="E86" s="7">
        <f t="shared" si="92"/>
        <v>7954.4925930876052</v>
      </c>
      <c r="F86" s="7">
        <f t="shared" si="92"/>
        <v>6448.0857385023755</v>
      </c>
      <c r="G86" s="3">
        <f t="shared" si="92"/>
        <v>34735.505666666431</v>
      </c>
      <c r="H86" s="5">
        <f t="shared" ref="H86:I86" si="93">SUM(H48:H85)</f>
        <v>15674.430555555558</v>
      </c>
      <c r="I86" s="5">
        <f t="shared" si="93"/>
        <v>9680.6666666666679</v>
      </c>
      <c r="J86" s="5">
        <f t="shared" si="92"/>
        <v>2765.4666666666676</v>
      </c>
      <c r="K86" s="3">
        <f t="shared" si="92"/>
        <v>257.35000000000002</v>
      </c>
      <c r="L86" s="6">
        <f t="shared" si="92"/>
        <v>1845.4560000000004</v>
      </c>
      <c r="M86" s="5">
        <f t="shared" si="92"/>
        <v>5744.953333333332</v>
      </c>
      <c r="N86" s="4">
        <f t="shared" si="92"/>
        <v>6358.8733333333339</v>
      </c>
      <c r="O86" s="3">
        <f t="shared" si="92"/>
        <v>5864.9316666666664</v>
      </c>
      <c r="P86" s="101"/>
      <c r="Q86" s="102"/>
      <c r="R86" s="57">
        <f>SUM(R48:R85)</f>
        <v>8747694542.7679844</v>
      </c>
    </row>
    <row r="87" spans="1:18" ht="13.5" thickBot="1" x14ac:dyDescent="0.25">
      <c r="A87" s="69" t="s">
        <v>30</v>
      </c>
    </row>
    <row r="88" spans="1:18" ht="12.75" customHeight="1" outlineLevel="1" x14ac:dyDescent="0.2">
      <c r="A88" s="177" t="s">
        <v>24</v>
      </c>
      <c r="B88" s="179" t="s">
        <v>23</v>
      </c>
      <c r="C88" s="181" t="s">
        <v>77</v>
      </c>
      <c r="D88" s="183" t="s">
        <v>35</v>
      </c>
      <c r="E88" s="184"/>
      <c r="F88" s="184"/>
      <c r="G88" s="185"/>
      <c r="H88" s="186" t="str">
        <f>H3</f>
        <v>Master's</v>
      </c>
      <c r="I88" s="186" t="str">
        <f>I3</f>
        <v>Doctoral and Professional Practice</v>
      </c>
      <c r="J88" s="186" t="s">
        <v>18</v>
      </c>
      <c r="K88" s="195" t="s">
        <v>17</v>
      </c>
      <c r="L88" s="197" t="s">
        <v>16</v>
      </c>
      <c r="M88" s="199" t="s">
        <v>34</v>
      </c>
      <c r="N88" s="200"/>
      <c r="O88" s="200"/>
      <c r="P88" s="212" t="s">
        <v>106</v>
      </c>
    </row>
    <row r="89" spans="1:18" ht="51.75" customHeight="1" outlineLevel="1" thickBot="1" x14ac:dyDescent="0.25">
      <c r="A89" s="178"/>
      <c r="B89" s="180"/>
      <c r="C89" s="182"/>
      <c r="D89" s="68"/>
      <c r="E89" s="67" t="s">
        <v>33</v>
      </c>
      <c r="F89" s="67" t="s">
        <v>32</v>
      </c>
      <c r="G89" s="114" t="s">
        <v>31</v>
      </c>
      <c r="H89" s="187"/>
      <c r="I89" s="187"/>
      <c r="J89" s="187"/>
      <c r="K89" s="196"/>
      <c r="L89" s="198"/>
      <c r="M89" s="44" t="s">
        <v>14</v>
      </c>
      <c r="N89" s="43" t="s">
        <v>13</v>
      </c>
      <c r="O89" s="42" t="s">
        <v>12</v>
      </c>
      <c r="P89" s="213"/>
    </row>
    <row r="90" spans="1:18" ht="12.75" customHeight="1" outlineLevel="1" x14ac:dyDescent="0.2">
      <c r="A90" s="20">
        <f t="shared" ref="A90:B105" si="94">A5</f>
        <v>3656</v>
      </c>
      <c r="B90" s="19" t="str">
        <f t="shared" si="94"/>
        <v>UTA</v>
      </c>
      <c r="C90" s="90">
        <f>D90+E90+F90+M90+H90+I90+N90+O90</f>
        <v>1.0000000000000002</v>
      </c>
      <c r="D90" s="91">
        <f>SUMIF($P$131:$P$136,$P90,D$131:D$136)</f>
        <v>0.15</v>
      </c>
      <c r="E90" s="92">
        <f t="shared" ref="E90:O105" si="95">SUMIF($P$131:$P$136,$P90,E$131:E$136)</f>
        <v>0.2</v>
      </c>
      <c r="F90" s="92">
        <f t="shared" si="95"/>
        <v>0.2</v>
      </c>
      <c r="G90" s="93">
        <f t="shared" si="95"/>
        <v>0.15</v>
      </c>
      <c r="H90" s="94">
        <f t="shared" si="95"/>
        <v>0.15</v>
      </c>
      <c r="I90" s="94">
        <f t="shared" si="95"/>
        <v>0.1</v>
      </c>
      <c r="J90" s="94">
        <f t="shared" si="95"/>
        <v>0.15</v>
      </c>
      <c r="K90" s="95">
        <f t="shared" si="95"/>
        <v>0.15</v>
      </c>
      <c r="L90" s="96">
        <f t="shared" si="95"/>
        <v>0.06</v>
      </c>
      <c r="M90" s="94">
        <f t="shared" si="95"/>
        <v>0.04</v>
      </c>
      <c r="N90" s="97">
        <f t="shared" si="95"/>
        <v>0.06</v>
      </c>
      <c r="O90" s="95">
        <f t="shared" si="95"/>
        <v>0.1</v>
      </c>
      <c r="P90" s="88">
        <v>1</v>
      </c>
    </row>
    <row r="91" spans="1:18" ht="12.75" customHeight="1" outlineLevel="1" x14ac:dyDescent="0.2">
      <c r="A91" s="20">
        <f t="shared" si="94"/>
        <v>3658</v>
      </c>
      <c r="B91" s="19" t="str">
        <f t="shared" si="94"/>
        <v>UT</v>
      </c>
      <c r="C91" s="90">
        <f t="shared" ref="C91:C127" si="96">D91+E91+F91+M91+H91+I91+N91+O91</f>
        <v>1.0000000000000002</v>
      </c>
      <c r="D91" s="91">
        <f t="shared" ref="D91:O106" si="97">SUMIF($P$131:$P$136,$P91,D$131:D$136)</f>
        <v>0.15</v>
      </c>
      <c r="E91" s="92">
        <f t="shared" si="95"/>
        <v>0.2</v>
      </c>
      <c r="F91" s="92">
        <f t="shared" si="95"/>
        <v>0.2</v>
      </c>
      <c r="G91" s="93">
        <f t="shared" si="95"/>
        <v>0.15</v>
      </c>
      <c r="H91" s="94">
        <f t="shared" si="95"/>
        <v>0.15</v>
      </c>
      <c r="I91" s="94">
        <f t="shared" si="95"/>
        <v>0.1</v>
      </c>
      <c r="J91" s="94">
        <f t="shared" si="95"/>
        <v>0.15</v>
      </c>
      <c r="K91" s="95">
        <f t="shared" si="95"/>
        <v>0.15</v>
      </c>
      <c r="L91" s="96">
        <f t="shared" si="95"/>
        <v>0.06</v>
      </c>
      <c r="M91" s="94">
        <f t="shared" si="95"/>
        <v>0.04</v>
      </c>
      <c r="N91" s="97">
        <f t="shared" si="95"/>
        <v>0.06</v>
      </c>
      <c r="O91" s="95">
        <f t="shared" si="95"/>
        <v>0.1</v>
      </c>
      <c r="P91" s="89">
        <v>1</v>
      </c>
    </row>
    <row r="92" spans="1:18" ht="12.75" customHeight="1" outlineLevel="1" x14ac:dyDescent="0.2">
      <c r="A92" s="20">
        <f t="shared" si="94"/>
        <v>9741</v>
      </c>
      <c r="B92" s="19" t="str">
        <f t="shared" si="94"/>
        <v>UTD</v>
      </c>
      <c r="C92" s="90">
        <f t="shared" si="96"/>
        <v>1.0000000000000002</v>
      </c>
      <c r="D92" s="91">
        <f t="shared" si="97"/>
        <v>0.15</v>
      </c>
      <c r="E92" s="92">
        <f t="shared" si="95"/>
        <v>0.2</v>
      </c>
      <c r="F92" s="92">
        <f t="shared" si="95"/>
        <v>0.2</v>
      </c>
      <c r="G92" s="93">
        <f t="shared" si="95"/>
        <v>0.15</v>
      </c>
      <c r="H92" s="94">
        <f t="shared" si="95"/>
        <v>0.15</v>
      </c>
      <c r="I92" s="94">
        <f t="shared" si="95"/>
        <v>0.1</v>
      </c>
      <c r="J92" s="94">
        <f t="shared" si="95"/>
        <v>0.15</v>
      </c>
      <c r="K92" s="95">
        <f t="shared" si="95"/>
        <v>0.15</v>
      </c>
      <c r="L92" s="96">
        <f t="shared" si="95"/>
        <v>0.06</v>
      </c>
      <c r="M92" s="94">
        <f t="shared" si="95"/>
        <v>0.04</v>
      </c>
      <c r="N92" s="97">
        <f t="shared" si="95"/>
        <v>0.06</v>
      </c>
      <c r="O92" s="95">
        <f t="shared" si="95"/>
        <v>0.1</v>
      </c>
      <c r="P92" s="89">
        <v>1</v>
      </c>
    </row>
    <row r="93" spans="1:18" ht="12.75" customHeight="1" outlineLevel="1" x14ac:dyDescent="0.2">
      <c r="A93" s="20">
        <f t="shared" si="94"/>
        <v>3661</v>
      </c>
      <c r="B93" s="19" t="str">
        <f t="shared" si="94"/>
        <v>UTEP</v>
      </c>
      <c r="C93" s="90">
        <f t="shared" si="96"/>
        <v>1.0000000000000002</v>
      </c>
      <c r="D93" s="91">
        <f t="shared" si="97"/>
        <v>0.25</v>
      </c>
      <c r="E93" s="92">
        <f t="shared" si="95"/>
        <v>0.15</v>
      </c>
      <c r="F93" s="92">
        <f t="shared" si="95"/>
        <v>0.15</v>
      </c>
      <c r="G93" s="93">
        <f t="shared" si="95"/>
        <v>0.25</v>
      </c>
      <c r="H93" s="91">
        <f t="shared" si="95"/>
        <v>0.15</v>
      </c>
      <c r="I93" s="91">
        <f t="shared" si="95"/>
        <v>0.1</v>
      </c>
      <c r="J93" s="91">
        <f t="shared" si="95"/>
        <v>0.25</v>
      </c>
      <c r="K93" s="93">
        <f t="shared" si="95"/>
        <v>0.25</v>
      </c>
      <c r="L93" s="98">
        <f t="shared" si="95"/>
        <v>0.1</v>
      </c>
      <c r="M93" s="91">
        <f t="shared" si="95"/>
        <v>0.04</v>
      </c>
      <c r="N93" s="92">
        <f t="shared" si="95"/>
        <v>0.06</v>
      </c>
      <c r="O93" s="93">
        <f t="shared" si="95"/>
        <v>0.1</v>
      </c>
      <c r="P93" s="89">
        <v>2</v>
      </c>
    </row>
    <row r="94" spans="1:18" ht="12.75" customHeight="1" outlineLevel="1" x14ac:dyDescent="0.2">
      <c r="A94" s="20">
        <f t="shared" si="94"/>
        <v>3599</v>
      </c>
      <c r="B94" s="19" t="str">
        <f t="shared" si="94"/>
        <v>UTPA</v>
      </c>
      <c r="C94" s="90">
        <f t="shared" si="96"/>
        <v>1</v>
      </c>
      <c r="D94" s="91">
        <f t="shared" si="97"/>
        <v>0.25</v>
      </c>
      <c r="E94" s="92">
        <f t="shared" si="95"/>
        <v>0.1</v>
      </c>
      <c r="F94" s="92">
        <f t="shared" si="95"/>
        <v>0.1</v>
      </c>
      <c r="G94" s="93">
        <f t="shared" si="95"/>
        <v>0.25</v>
      </c>
      <c r="H94" s="91">
        <f t="shared" si="95"/>
        <v>0.15</v>
      </c>
      <c r="I94" s="91">
        <f t="shared" si="95"/>
        <v>0.1</v>
      </c>
      <c r="J94" s="91">
        <f t="shared" si="95"/>
        <v>0.25</v>
      </c>
      <c r="K94" s="93">
        <f t="shared" si="95"/>
        <v>0.25</v>
      </c>
      <c r="L94" s="98">
        <f t="shared" si="95"/>
        <v>0.1</v>
      </c>
      <c r="M94" s="91">
        <f t="shared" si="95"/>
        <v>0.06</v>
      </c>
      <c r="N94" s="92">
        <f t="shared" si="95"/>
        <v>0.1</v>
      </c>
      <c r="O94" s="93">
        <f t="shared" si="95"/>
        <v>0.14000000000000001</v>
      </c>
      <c r="P94" s="89">
        <v>3</v>
      </c>
    </row>
    <row r="95" spans="1:18" ht="12.75" customHeight="1" outlineLevel="1" x14ac:dyDescent="0.2">
      <c r="A95" s="20">
        <f t="shared" si="94"/>
        <v>30646</v>
      </c>
      <c r="B95" s="19" t="str">
        <f t="shared" si="94"/>
        <v>UTB</v>
      </c>
      <c r="C95" s="90">
        <f t="shared" si="96"/>
        <v>1</v>
      </c>
      <c r="D95" s="91">
        <f t="shared" si="97"/>
        <v>0.25</v>
      </c>
      <c r="E95" s="92">
        <f t="shared" si="95"/>
        <v>0.1</v>
      </c>
      <c r="F95" s="92">
        <f t="shared" si="95"/>
        <v>0.1</v>
      </c>
      <c r="G95" s="93">
        <f t="shared" si="95"/>
        <v>0.25</v>
      </c>
      <c r="H95" s="91">
        <f t="shared" si="95"/>
        <v>0.15</v>
      </c>
      <c r="I95" s="91">
        <f t="shared" si="95"/>
        <v>0.1</v>
      </c>
      <c r="J95" s="91">
        <f t="shared" si="95"/>
        <v>0.25</v>
      </c>
      <c r="K95" s="93">
        <f t="shared" si="95"/>
        <v>0.25</v>
      </c>
      <c r="L95" s="98">
        <f t="shared" si="95"/>
        <v>0.1</v>
      </c>
      <c r="M95" s="91">
        <f t="shared" si="95"/>
        <v>0.06</v>
      </c>
      <c r="N95" s="92">
        <f t="shared" si="95"/>
        <v>0.1</v>
      </c>
      <c r="O95" s="93">
        <f t="shared" si="95"/>
        <v>0.14000000000000001</v>
      </c>
      <c r="P95" s="89">
        <v>3</v>
      </c>
    </row>
    <row r="96" spans="1:18" ht="12.75" customHeight="1" outlineLevel="1" x14ac:dyDescent="0.2">
      <c r="A96" s="20">
        <f t="shared" si="94"/>
        <v>9930</v>
      </c>
      <c r="B96" s="19" t="str">
        <f t="shared" si="94"/>
        <v>UTPB</v>
      </c>
      <c r="C96" s="90">
        <f t="shared" si="96"/>
        <v>1</v>
      </c>
      <c r="D96" s="91">
        <f t="shared" si="97"/>
        <v>0.25</v>
      </c>
      <c r="E96" s="92">
        <f t="shared" si="95"/>
        <v>0.1</v>
      </c>
      <c r="F96" s="92">
        <f t="shared" si="95"/>
        <v>0.1</v>
      </c>
      <c r="G96" s="93">
        <f t="shared" si="95"/>
        <v>0.25</v>
      </c>
      <c r="H96" s="91">
        <f t="shared" si="95"/>
        <v>0.15</v>
      </c>
      <c r="I96" s="91">
        <f t="shared" si="95"/>
        <v>0.1</v>
      </c>
      <c r="J96" s="91">
        <f t="shared" si="95"/>
        <v>0.25</v>
      </c>
      <c r="K96" s="93">
        <f t="shared" si="95"/>
        <v>0.25</v>
      </c>
      <c r="L96" s="98">
        <f t="shared" si="95"/>
        <v>0.1</v>
      </c>
      <c r="M96" s="91">
        <f t="shared" si="95"/>
        <v>0.06</v>
      </c>
      <c r="N96" s="92">
        <f t="shared" si="95"/>
        <v>0.1</v>
      </c>
      <c r="O96" s="93">
        <f t="shared" si="95"/>
        <v>0.14000000000000001</v>
      </c>
      <c r="P96" s="89">
        <v>3</v>
      </c>
    </row>
    <row r="97" spans="1:16" ht="12.75" customHeight="1" outlineLevel="1" x14ac:dyDescent="0.2">
      <c r="A97" s="20">
        <f t="shared" si="94"/>
        <v>10115</v>
      </c>
      <c r="B97" s="19" t="str">
        <f t="shared" si="94"/>
        <v>UTSA</v>
      </c>
      <c r="C97" s="90">
        <f t="shared" si="96"/>
        <v>1.0000000000000002</v>
      </c>
      <c r="D97" s="91">
        <f t="shared" si="97"/>
        <v>0.25</v>
      </c>
      <c r="E97" s="92">
        <f t="shared" si="95"/>
        <v>0.15</v>
      </c>
      <c r="F97" s="92">
        <f t="shared" si="95"/>
        <v>0.15</v>
      </c>
      <c r="G97" s="93">
        <f t="shared" si="95"/>
        <v>0.25</v>
      </c>
      <c r="H97" s="91">
        <f t="shared" si="95"/>
        <v>0.15</v>
      </c>
      <c r="I97" s="91">
        <f t="shared" si="95"/>
        <v>0.1</v>
      </c>
      <c r="J97" s="91">
        <f t="shared" si="95"/>
        <v>0.25</v>
      </c>
      <c r="K97" s="93">
        <f t="shared" si="95"/>
        <v>0.25</v>
      </c>
      <c r="L97" s="98">
        <f t="shared" si="95"/>
        <v>0.1</v>
      </c>
      <c r="M97" s="91">
        <f t="shared" si="95"/>
        <v>0.04</v>
      </c>
      <c r="N97" s="92">
        <f t="shared" si="95"/>
        <v>0.06</v>
      </c>
      <c r="O97" s="93">
        <f t="shared" si="95"/>
        <v>0.1</v>
      </c>
      <c r="P97" s="89">
        <v>2</v>
      </c>
    </row>
    <row r="98" spans="1:16" ht="12.75" customHeight="1" outlineLevel="1" x14ac:dyDescent="0.2">
      <c r="A98" s="20">
        <f t="shared" si="94"/>
        <v>11163</v>
      </c>
      <c r="B98" s="19" t="str">
        <f t="shared" si="94"/>
        <v>UTT</v>
      </c>
      <c r="C98" s="90">
        <f t="shared" si="96"/>
        <v>1</v>
      </c>
      <c r="D98" s="91">
        <f t="shared" si="97"/>
        <v>0.25</v>
      </c>
      <c r="E98" s="92">
        <f t="shared" si="95"/>
        <v>0.1</v>
      </c>
      <c r="F98" s="92">
        <f t="shared" si="95"/>
        <v>0.1</v>
      </c>
      <c r="G98" s="93">
        <f t="shared" si="95"/>
        <v>0.25</v>
      </c>
      <c r="H98" s="91">
        <f t="shared" si="95"/>
        <v>0.15</v>
      </c>
      <c r="I98" s="91">
        <f t="shared" si="95"/>
        <v>0.1</v>
      </c>
      <c r="J98" s="91">
        <f t="shared" si="95"/>
        <v>0.25</v>
      </c>
      <c r="K98" s="93">
        <f t="shared" si="95"/>
        <v>0.25</v>
      </c>
      <c r="L98" s="98">
        <f t="shared" si="95"/>
        <v>0.1</v>
      </c>
      <c r="M98" s="91">
        <f t="shared" si="95"/>
        <v>0.06</v>
      </c>
      <c r="N98" s="92">
        <f t="shared" si="95"/>
        <v>0.1</v>
      </c>
      <c r="O98" s="93">
        <f t="shared" si="95"/>
        <v>0.14000000000000001</v>
      </c>
      <c r="P98" s="89">
        <v>3</v>
      </c>
    </row>
    <row r="99" spans="1:16" ht="12.75" customHeight="1" outlineLevel="1" x14ac:dyDescent="0.2">
      <c r="A99" s="20">
        <f t="shared" si="94"/>
        <v>3632</v>
      </c>
      <c r="B99" s="19" t="str">
        <f t="shared" si="94"/>
        <v>TAMU</v>
      </c>
      <c r="C99" s="90">
        <f t="shared" si="96"/>
        <v>1.0000000000000002</v>
      </c>
      <c r="D99" s="91">
        <f t="shared" si="97"/>
        <v>0.15</v>
      </c>
      <c r="E99" s="92">
        <f t="shared" si="95"/>
        <v>0.2</v>
      </c>
      <c r="F99" s="92">
        <f t="shared" si="95"/>
        <v>0.2</v>
      </c>
      <c r="G99" s="93">
        <f t="shared" si="95"/>
        <v>0.15</v>
      </c>
      <c r="H99" s="94">
        <f t="shared" si="95"/>
        <v>0.15</v>
      </c>
      <c r="I99" s="94">
        <f t="shared" si="95"/>
        <v>0.1</v>
      </c>
      <c r="J99" s="94">
        <f t="shared" si="95"/>
        <v>0.15</v>
      </c>
      <c r="K99" s="95">
        <f t="shared" si="95"/>
        <v>0.15</v>
      </c>
      <c r="L99" s="96">
        <f t="shared" si="95"/>
        <v>0.06</v>
      </c>
      <c r="M99" s="94">
        <f t="shared" si="95"/>
        <v>0.04</v>
      </c>
      <c r="N99" s="97">
        <f t="shared" si="95"/>
        <v>0.06</v>
      </c>
      <c r="O99" s="95">
        <f t="shared" si="95"/>
        <v>0.1</v>
      </c>
      <c r="P99" s="89">
        <v>1</v>
      </c>
    </row>
    <row r="100" spans="1:16" ht="12.75" customHeight="1" outlineLevel="1" x14ac:dyDescent="0.2">
      <c r="A100" s="20">
        <f t="shared" si="94"/>
        <v>10298</v>
      </c>
      <c r="B100" s="19" t="str">
        <f t="shared" si="94"/>
        <v>TAMUG</v>
      </c>
      <c r="C100" s="90">
        <f t="shared" si="96"/>
        <v>1.4999999999999996</v>
      </c>
      <c r="D100" s="91">
        <f>SUMIF($P$131:$P$136,$P100,D$131:D$136)*1.5</f>
        <v>0.44999999999999996</v>
      </c>
      <c r="E100" s="92">
        <f t="shared" ref="E100:O100" si="98">SUMIF($P$131:$P$136,$P100,E$131:E$136)*1.5</f>
        <v>7.5000000000000011E-2</v>
      </c>
      <c r="F100" s="92">
        <f t="shared" si="98"/>
        <v>0.22499999999999998</v>
      </c>
      <c r="G100" s="93">
        <f t="shared" si="98"/>
        <v>0.44999999999999996</v>
      </c>
      <c r="H100" s="91">
        <f t="shared" si="98"/>
        <v>0.22499999999999998</v>
      </c>
      <c r="I100" s="91">
        <f t="shared" si="98"/>
        <v>0</v>
      </c>
      <c r="J100" s="91">
        <f t="shared" si="98"/>
        <v>0.44999999999999996</v>
      </c>
      <c r="K100" s="93">
        <f t="shared" si="98"/>
        <v>0.44999999999999996</v>
      </c>
      <c r="L100" s="98">
        <f t="shared" si="98"/>
        <v>0.18</v>
      </c>
      <c r="M100" s="91">
        <f t="shared" si="98"/>
        <v>0.12</v>
      </c>
      <c r="N100" s="92">
        <f t="shared" si="98"/>
        <v>0.18</v>
      </c>
      <c r="O100" s="93">
        <f t="shared" si="98"/>
        <v>0.22499999999999998</v>
      </c>
      <c r="P100" s="89">
        <v>6</v>
      </c>
    </row>
    <row r="101" spans="1:16" ht="12.75" customHeight="1" outlineLevel="1" x14ac:dyDescent="0.2">
      <c r="A101" s="20">
        <f t="shared" si="94"/>
        <v>3630</v>
      </c>
      <c r="B101" s="19" t="str">
        <f t="shared" si="94"/>
        <v>Prairie View</v>
      </c>
      <c r="C101" s="90">
        <f t="shared" si="96"/>
        <v>1</v>
      </c>
      <c r="D101" s="91">
        <f t="shared" si="97"/>
        <v>0.25</v>
      </c>
      <c r="E101" s="92">
        <f t="shared" si="95"/>
        <v>0.1</v>
      </c>
      <c r="F101" s="92">
        <f t="shared" si="95"/>
        <v>0.1</v>
      </c>
      <c r="G101" s="93">
        <f t="shared" si="95"/>
        <v>0.25</v>
      </c>
      <c r="H101" s="91">
        <f t="shared" si="95"/>
        <v>0.15</v>
      </c>
      <c r="I101" s="91">
        <f t="shared" si="95"/>
        <v>0.1</v>
      </c>
      <c r="J101" s="91">
        <f t="shared" si="95"/>
        <v>0.25</v>
      </c>
      <c r="K101" s="93">
        <f t="shared" si="95"/>
        <v>0.25</v>
      </c>
      <c r="L101" s="98">
        <f t="shared" si="95"/>
        <v>0.1</v>
      </c>
      <c r="M101" s="91">
        <f t="shared" si="95"/>
        <v>0.06</v>
      </c>
      <c r="N101" s="92">
        <f t="shared" si="95"/>
        <v>0.1</v>
      </c>
      <c r="O101" s="93">
        <f t="shared" si="95"/>
        <v>0.14000000000000001</v>
      </c>
      <c r="P101" s="89">
        <v>3</v>
      </c>
    </row>
    <row r="102" spans="1:16" ht="12.75" customHeight="1" outlineLevel="1" x14ac:dyDescent="0.2">
      <c r="A102" s="20">
        <f t="shared" si="94"/>
        <v>3631</v>
      </c>
      <c r="B102" s="19" t="str">
        <f t="shared" si="94"/>
        <v>Tarleton</v>
      </c>
      <c r="C102" s="90">
        <f t="shared" si="96"/>
        <v>1</v>
      </c>
      <c r="D102" s="91">
        <f t="shared" si="97"/>
        <v>0.25</v>
      </c>
      <c r="E102" s="92">
        <f t="shared" si="95"/>
        <v>0.1</v>
      </c>
      <c r="F102" s="92">
        <f t="shared" si="95"/>
        <v>0.1</v>
      </c>
      <c r="G102" s="93">
        <f t="shared" si="95"/>
        <v>0.25</v>
      </c>
      <c r="H102" s="91">
        <f t="shared" si="95"/>
        <v>0.15</v>
      </c>
      <c r="I102" s="91">
        <f t="shared" si="95"/>
        <v>0.1</v>
      </c>
      <c r="J102" s="91">
        <f t="shared" si="95"/>
        <v>0.25</v>
      </c>
      <c r="K102" s="93">
        <f t="shared" si="95"/>
        <v>0.25</v>
      </c>
      <c r="L102" s="98">
        <f t="shared" si="95"/>
        <v>0.1</v>
      </c>
      <c r="M102" s="91">
        <f t="shared" si="95"/>
        <v>0.06</v>
      </c>
      <c r="N102" s="92">
        <f t="shared" si="95"/>
        <v>0.1</v>
      </c>
      <c r="O102" s="93">
        <f t="shared" si="95"/>
        <v>0.14000000000000001</v>
      </c>
      <c r="P102" s="89">
        <v>3</v>
      </c>
    </row>
    <row r="103" spans="1:16" ht="12.75" customHeight="1" outlineLevel="1" x14ac:dyDescent="0.2">
      <c r="A103" s="27">
        <f t="shared" si="94"/>
        <v>103631</v>
      </c>
      <c r="B103" s="19" t="str">
        <f t="shared" si="94"/>
        <v>TAMUCT</v>
      </c>
      <c r="C103" s="90">
        <f t="shared" si="96"/>
        <v>1</v>
      </c>
      <c r="D103" s="91">
        <f t="shared" si="97"/>
        <v>0.25</v>
      </c>
      <c r="E103" s="92">
        <f t="shared" si="95"/>
        <v>0.1</v>
      </c>
      <c r="F103" s="92">
        <f t="shared" si="95"/>
        <v>0.1</v>
      </c>
      <c r="G103" s="93">
        <f t="shared" si="95"/>
        <v>0.25</v>
      </c>
      <c r="H103" s="91">
        <f t="shared" si="95"/>
        <v>0.15</v>
      </c>
      <c r="I103" s="91">
        <f t="shared" si="95"/>
        <v>0.05</v>
      </c>
      <c r="J103" s="91">
        <f t="shared" si="95"/>
        <v>0.25</v>
      </c>
      <c r="K103" s="93">
        <f t="shared" si="95"/>
        <v>0.25</v>
      </c>
      <c r="L103" s="98">
        <f t="shared" si="95"/>
        <v>0.1</v>
      </c>
      <c r="M103" s="91">
        <f t="shared" si="95"/>
        <v>0.08</v>
      </c>
      <c r="N103" s="92">
        <f t="shared" si="95"/>
        <v>0.12</v>
      </c>
      <c r="O103" s="93">
        <f t="shared" si="95"/>
        <v>0.15</v>
      </c>
      <c r="P103" s="89">
        <v>4</v>
      </c>
    </row>
    <row r="104" spans="1:16" ht="12.75" customHeight="1" outlineLevel="1" x14ac:dyDescent="0.2">
      <c r="A104" s="20">
        <f t="shared" si="94"/>
        <v>11161</v>
      </c>
      <c r="B104" s="19" t="str">
        <f t="shared" si="94"/>
        <v>TAMUCC</v>
      </c>
      <c r="C104" s="90">
        <f t="shared" si="96"/>
        <v>1</v>
      </c>
      <c r="D104" s="91">
        <f t="shared" si="97"/>
        <v>0.25</v>
      </c>
      <c r="E104" s="92">
        <f t="shared" si="95"/>
        <v>0.1</v>
      </c>
      <c r="F104" s="92">
        <f t="shared" si="95"/>
        <v>0.1</v>
      </c>
      <c r="G104" s="93">
        <f t="shared" si="95"/>
        <v>0.25</v>
      </c>
      <c r="H104" s="91">
        <f t="shared" si="95"/>
        <v>0.15</v>
      </c>
      <c r="I104" s="91">
        <f t="shared" si="95"/>
        <v>0.1</v>
      </c>
      <c r="J104" s="91">
        <f t="shared" si="95"/>
        <v>0.25</v>
      </c>
      <c r="K104" s="93">
        <f t="shared" si="95"/>
        <v>0.25</v>
      </c>
      <c r="L104" s="98">
        <f t="shared" si="95"/>
        <v>0.1</v>
      </c>
      <c r="M104" s="91">
        <f t="shared" si="95"/>
        <v>0.06</v>
      </c>
      <c r="N104" s="92">
        <f t="shared" si="95"/>
        <v>0.1</v>
      </c>
      <c r="O104" s="93">
        <f t="shared" si="95"/>
        <v>0.14000000000000001</v>
      </c>
      <c r="P104" s="89">
        <v>3</v>
      </c>
    </row>
    <row r="105" spans="1:16" ht="12.75" customHeight="1" outlineLevel="1" x14ac:dyDescent="0.2">
      <c r="A105" s="20">
        <f t="shared" si="94"/>
        <v>3639</v>
      </c>
      <c r="B105" s="19" t="str">
        <f t="shared" si="94"/>
        <v>TAMUK</v>
      </c>
      <c r="C105" s="90">
        <f t="shared" si="96"/>
        <v>1</v>
      </c>
      <c r="D105" s="91">
        <f t="shared" si="97"/>
        <v>0.25</v>
      </c>
      <c r="E105" s="92">
        <f t="shared" si="95"/>
        <v>0.1</v>
      </c>
      <c r="F105" s="92">
        <f t="shared" si="95"/>
        <v>0.1</v>
      </c>
      <c r="G105" s="93">
        <f t="shared" si="95"/>
        <v>0.25</v>
      </c>
      <c r="H105" s="91">
        <f t="shared" si="95"/>
        <v>0.15</v>
      </c>
      <c r="I105" s="91">
        <f t="shared" si="95"/>
        <v>0.1</v>
      </c>
      <c r="J105" s="91">
        <f t="shared" si="95"/>
        <v>0.25</v>
      </c>
      <c r="K105" s="93">
        <f t="shared" si="95"/>
        <v>0.25</v>
      </c>
      <c r="L105" s="98">
        <f t="shared" si="95"/>
        <v>0.1</v>
      </c>
      <c r="M105" s="91">
        <f t="shared" si="95"/>
        <v>0.06</v>
      </c>
      <c r="N105" s="92">
        <f t="shared" si="95"/>
        <v>0.1</v>
      </c>
      <c r="O105" s="93">
        <f t="shared" si="95"/>
        <v>0.14000000000000001</v>
      </c>
      <c r="P105" s="89">
        <v>3</v>
      </c>
    </row>
    <row r="106" spans="1:16" outlineLevel="1" x14ac:dyDescent="0.2">
      <c r="A106" s="27">
        <f t="shared" ref="A106:B121" si="99">A21</f>
        <v>103639</v>
      </c>
      <c r="B106" s="19" t="str">
        <f t="shared" si="99"/>
        <v>TAMUSA</v>
      </c>
      <c r="C106" s="90">
        <f t="shared" si="96"/>
        <v>1</v>
      </c>
      <c r="D106" s="91">
        <f t="shared" si="97"/>
        <v>0.25</v>
      </c>
      <c r="E106" s="92">
        <f t="shared" si="97"/>
        <v>0.1</v>
      </c>
      <c r="F106" s="92">
        <f t="shared" si="97"/>
        <v>0.1</v>
      </c>
      <c r="G106" s="93">
        <f t="shared" si="97"/>
        <v>0.25</v>
      </c>
      <c r="H106" s="91">
        <f t="shared" si="97"/>
        <v>0.2</v>
      </c>
      <c r="I106" s="91">
        <f t="shared" si="97"/>
        <v>0</v>
      </c>
      <c r="J106" s="91">
        <f t="shared" si="97"/>
        <v>0.25</v>
      </c>
      <c r="K106" s="93">
        <f t="shared" si="97"/>
        <v>0.25</v>
      </c>
      <c r="L106" s="98">
        <f t="shared" si="97"/>
        <v>0.1</v>
      </c>
      <c r="M106" s="91">
        <f t="shared" si="97"/>
        <v>0.08</v>
      </c>
      <c r="N106" s="92">
        <f t="shared" si="97"/>
        <v>0.12</v>
      </c>
      <c r="O106" s="93">
        <f t="shared" si="97"/>
        <v>0.15</v>
      </c>
      <c r="P106" s="89">
        <v>5</v>
      </c>
    </row>
    <row r="107" spans="1:16" ht="12.75" customHeight="1" outlineLevel="1" x14ac:dyDescent="0.2">
      <c r="A107" s="20">
        <f t="shared" si="99"/>
        <v>9651</v>
      </c>
      <c r="B107" s="19" t="str">
        <f t="shared" si="99"/>
        <v>TAMI</v>
      </c>
      <c r="C107" s="90">
        <f t="shared" si="96"/>
        <v>1</v>
      </c>
      <c r="D107" s="91">
        <f t="shared" ref="D107:O122" si="100">SUMIF($P$131:$P$136,$P107,D$131:D$136)</f>
        <v>0.25</v>
      </c>
      <c r="E107" s="92">
        <f t="shared" si="100"/>
        <v>0.1</v>
      </c>
      <c r="F107" s="92">
        <f t="shared" si="100"/>
        <v>0.1</v>
      </c>
      <c r="G107" s="93">
        <f t="shared" si="100"/>
        <v>0.25</v>
      </c>
      <c r="H107" s="91">
        <f t="shared" si="100"/>
        <v>0.15</v>
      </c>
      <c r="I107" s="91">
        <f t="shared" si="100"/>
        <v>0.1</v>
      </c>
      <c r="J107" s="91">
        <f t="shared" si="100"/>
        <v>0.25</v>
      </c>
      <c r="K107" s="93">
        <f t="shared" si="100"/>
        <v>0.25</v>
      </c>
      <c r="L107" s="98">
        <f t="shared" si="100"/>
        <v>0.1</v>
      </c>
      <c r="M107" s="91">
        <f t="shared" si="100"/>
        <v>0.06</v>
      </c>
      <c r="N107" s="92">
        <f t="shared" si="100"/>
        <v>0.1</v>
      </c>
      <c r="O107" s="93">
        <f t="shared" si="100"/>
        <v>0.14000000000000001</v>
      </c>
      <c r="P107" s="89">
        <v>3</v>
      </c>
    </row>
    <row r="108" spans="1:16" ht="12.75" customHeight="1" outlineLevel="1" x14ac:dyDescent="0.2">
      <c r="A108" s="20">
        <f t="shared" si="99"/>
        <v>3665</v>
      </c>
      <c r="B108" s="19" t="str">
        <f t="shared" si="99"/>
        <v>WTAMU</v>
      </c>
      <c r="C108" s="90">
        <f t="shared" si="96"/>
        <v>1</v>
      </c>
      <c r="D108" s="91">
        <f t="shared" si="100"/>
        <v>0.25</v>
      </c>
      <c r="E108" s="92">
        <f t="shared" si="100"/>
        <v>0.1</v>
      </c>
      <c r="F108" s="92">
        <f t="shared" si="100"/>
        <v>0.1</v>
      </c>
      <c r="G108" s="93">
        <f t="shared" si="100"/>
        <v>0.25</v>
      </c>
      <c r="H108" s="91">
        <f t="shared" si="100"/>
        <v>0.15</v>
      </c>
      <c r="I108" s="91">
        <f t="shared" si="100"/>
        <v>0.1</v>
      </c>
      <c r="J108" s="91">
        <f t="shared" si="100"/>
        <v>0.25</v>
      </c>
      <c r="K108" s="93">
        <f t="shared" si="100"/>
        <v>0.25</v>
      </c>
      <c r="L108" s="98">
        <f t="shared" si="100"/>
        <v>0.1</v>
      </c>
      <c r="M108" s="91">
        <f t="shared" si="100"/>
        <v>0.06</v>
      </c>
      <c r="N108" s="92">
        <f t="shared" si="100"/>
        <v>0.1</v>
      </c>
      <c r="O108" s="93">
        <f t="shared" si="100"/>
        <v>0.14000000000000001</v>
      </c>
      <c r="P108" s="89">
        <v>3</v>
      </c>
    </row>
    <row r="109" spans="1:16" ht="12.75" customHeight="1" outlineLevel="1" x14ac:dyDescent="0.2">
      <c r="A109" s="20">
        <f t="shared" si="99"/>
        <v>3565</v>
      </c>
      <c r="B109" s="19" t="str">
        <f t="shared" si="99"/>
        <v>TAMUC</v>
      </c>
      <c r="C109" s="90">
        <f t="shared" si="96"/>
        <v>1</v>
      </c>
      <c r="D109" s="91">
        <f t="shared" si="100"/>
        <v>0.25</v>
      </c>
      <c r="E109" s="92">
        <f t="shared" si="100"/>
        <v>0.1</v>
      </c>
      <c r="F109" s="92">
        <f t="shared" si="100"/>
        <v>0.1</v>
      </c>
      <c r="G109" s="93">
        <f t="shared" si="100"/>
        <v>0.25</v>
      </c>
      <c r="H109" s="91">
        <f t="shared" si="100"/>
        <v>0.15</v>
      </c>
      <c r="I109" s="91">
        <f t="shared" si="100"/>
        <v>0.1</v>
      </c>
      <c r="J109" s="91">
        <f t="shared" si="100"/>
        <v>0.25</v>
      </c>
      <c r="K109" s="93">
        <f t="shared" si="100"/>
        <v>0.25</v>
      </c>
      <c r="L109" s="98">
        <f t="shared" si="100"/>
        <v>0.1</v>
      </c>
      <c r="M109" s="91">
        <f t="shared" si="100"/>
        <v>0.06</v>
      </c>
      <c r="N109" s="92">
        <f t="shared" si="100"/>
        <v>0.1</v>
      </c>
      <c r="O109" s="93">
        <f t="shared" si="100"/>
        <v>0.14000000000000001</v>
      </c>
      <c r="P109" s="89">
        <v>3</v>
      </c>
    </row>
    <row r="110" spans="1:16" ht="12.75" customHeight="1" outlineLevel="1" x14ac:dyDescent="0.2">
      <c r="A110" s="20">
        <f t="shared" si="99"/>
        <v>29269</v>
      </c>
      <c r="B110" s="19" t="str">
        <f t="shared" si="99"/>
        <v>TAMUT</v>
      </c>
      <c r="C110" s="90">
        <f t="shared" si="96"/>
        <v>1</v>
      </c>
      <c r="D110" s="91">
        <f t="shared" si="100"/>
        <v>0.25</v>
      </c>
      <c r="E110" s="92">
        <f t="shared" si="100"/>
        <v>0.1</v>
      </c>
      <c r="F110" s="92">
        <f t="shared" si="100"/>
        <v>0.1</v>
      </c>
      <c r="G110" s="93">
        <f t="shared" si="100"/>
        <v>0.25</v>
      </c>
      <c r="H110" s="91">
        <f t="shared" si="100"/>
        <v>0.15</v>
      </c>
      <c r="I110" s="91">
        <f t="shared" si="100"/>
        <v>0.05</v>
      </c>
      <c r="J110" s="91">
        <f t="shared" si="100"/>
        <v>0.25</v>
      </c>
      <c r="K110" s="93">
        <f t="shared" si="100"/>
        <v>0.25</v>
      </c>
      <c r="L110" s="98">
        <f t="shared" si="100"/>
        <v>0.1</v>
      </c>
      <c r="M110" s="91">
        <f t="shared" si="100"/>
        <v>0.08</v>
      </c>
      <c r="N110" s="92">
        <f t="shared" si="100"/>
        <v>0.12</v>
      </c>
      <c r="O110" s="93">
        <f t="shared" si="100"/>
        <v>0.15</v>
      </c>
      <c r="P110" s="89">
        <v>4</v>
      </c>
    </row>
    <row r="111" spans="1:16" ht="12.75" customHeight="1" outlineLevel="1" x14ac:dyDescent="0.2">
      <c r="A111" s="20">
        <f t="shared" si="99"/>
        <v>3652</v>
      </c>
      <c r="B111" s="19" t="str">
        <f t="shared" si="99"/>
        <v>UH</v>
      </c>
      <c r="C111" s="90">
        <f t="shared" si="96"/>
        <v>1.0000000000000002</v>
      </c>
      <c r="D111" s="91">
        <f t="shared" si="100"/>
        <v>0.15</v>
      </c>
      <c r="E111" s="92">
        <f t="shared" si="100"/>
        <v>0.2</v>
      </c>
      <c r="F111" s="92">
        <f t="shared" si="100"/>
        <v>0.2</v>
      </c>
      <c r="G111" s="93">
        <f t="shared" si="100"/>
        <v>0.15</v>
      </c>
      <c r="H111" s="94">
        <f t="shared" si="100"/>
        <v>0.15</v>
      </c>
      <c r="I111" s="94">
        <f t="shared" si="100"/>
        <v>0.1</v>
      </c>
      <c r="J111" s="94">
        <f t="shared" si="100"/>
        <v>0.15</v>
      </c>
      <c r="K111" s="95">
        <f t="shared" si="100"/>
        <v>0.15</v>
      </c>
      <c r="L111" s="96">
        <f t="shared" si="100"/>
        <v>0.06</v>
      </c>
      <c r="M111" s="94">
        <f t="shared" si="100"/>
        <v>0.04</v>
      </c>
      <c r="N111" s="97">
        <f t="shared" si="100"/>
        <v>0.06</v>
      </c>
      <c r="O111" s="95">
        <f t="shared" si="100"/>
        <v>0.1</v>
      </c>
      <c r="P111" s="89">
        <v>1</v>
      </c>
    </row>
    <row r="112" spans="1:16" ht="12.75" customHeight="1" outlineLevel="1" x14ac:dyDescent="0.2">
      <c r="A112" s="20">
        <f t="shared" si="99"/>
        <v>11711</v>
      </c>
      <c r="B112" s="19" t="str">
        <f t="shared" si="99"/>
        <v>UHCL</v>
      </c>
      <c r="C112" s="90">
        <f t="shared" si="96"/>
        <v>1</v>
      </c>
      <c r="D112" s="91">
        <f t="shared" si="100"/>
        <v>0.25</v>
      </c>
      <c r="E112" s="92">
        <f t="shared" si="100"/>
        <v>0.1</v>
      </c>
      <c r="F112" s="92">
        <f t="shared" si="100"/>
        <v>0.1</v>
      </c>
      <c r="G112" s="93">
        <f t="shared" si="100"/>
        <v>0.25</v>
      </c>
      <c r="H112" s="91">
        <f t="shared" si="100"/>
        <v>0.15</v>
      </c>
      <c r="I112" s="91">
        <f t="shared" si="100"/>
        <v>0.1</v>
      </c>
      <c r="J112" s="91">
        <f t="shared" si="100"/>
        <v>0.25</v>
      </c>
      <c r="K112" s="93">
        <f t="shared" si="100"/>
        <v>0.25</v>
      </c>
      <c r="L112" s="98">
        <f t="shared" si="100"/>
        <v>0.1</v>
      </c>
      <c r="M112" s="91">
        <f t="shared" si="100"/>
        <v>0.06</v>
      </c>
      <c r="N112" s="92">
        <f t="shared" si="100"/>
        <v>0.1</v>
      </c>
      <c r="O112" s="93">
        <f t="shared" si="100"/>
        <v>0.14000000000000001</v>
      </c>
      <c r="P112" s="89">
        <v>3</v>
      </c>
    </row>
    <row r="113" spans="1:16" outlineLevel="1" x14ac:dyDescent="0.2">
      <c r="A113" s="20">
        <f t="shared" si="99"/>
        <v>12826</v>
      </c>
      <c r="B113" s="19" t="str">
        <f t="shared" si="99"/>
        <v>UHD</v>
      </c>
      <c r="C113" s="90">
        <f t="shared" si="96"/>
        <v>1</v>
      </c>
      <c r="D113" s="91">
        <f t="shared" si="100"/>
        <v>0.25</v>
      </c>
      <c r="E113" s="92">
        <f t="shared" si="100"/>
        <v>0.1</v>
      </c>
      <c r="F113" s="92">
        <f t="shared" si="100"/>
        <v>0.1</v>
      </c>
      <c r="G113" s="93">
        <f t="shared" si="100"/>
        <v>0.25</v>
      </c>
      <c r="H113" s="91">
        <f t="shared" si="100"/>
        <v>0.2</v>
      </c>
      <c r="I113" s="91">
        <f t="shared" si="100"/>
        <v>0</v>
      </c>
      <c r="J113" s="91">
        <f t="shared" si="100"/>
        <v>0.25</v>
      </c>
      <c r="K113" s="93">
        <f t="shared" si="100"/>
        <v>0.25</v>
      </c>
      <c r="L113" s="98">
        <f t="shared" si="100"/>
        <v>0.1</v>
      </c>
      <c r="M113" s="91">
        <f t="shared" si="100"/>
        <v>0.08</v>
      </c>
      <c r="N113" s="92">
        <f t="shared" si="100"/>
        <v>0.12</v>
      </c>
      <c r="O113" s="93">
        <f t="shared" si="100"/>
        <v>0.15</v>
      </c>
      <c r="P113" s="89">
        <v>5</v>
      </c>
    </row>
    <row r="114" spans="1:16" ht="12.75" customHeight="1" outlineLevel="1" x14ac:dyDescent="0.2">
      <c r="A114" s="20">
        <f t="shared" si="99"/>
        <v>13231</v>
      </c>
      <c r="B114" s="19" t="str">
        <f t="shared" si="99"/>
        <v>UHV</v>
      </c>
      <c r="C114" s="90">
        <f t="shared" si="96"/>
        <v>1</v>
      </c>
      <c r="D114" s="91">
        <f t="shared" si="100"/>
        <v>0.25</v>
      </c>
      <c r="E114" s="92">
        <f t="shared" si="100"/>
        <v>0.1</v>
      </c>
      <c r="F114" s="92">
        <f t="shared" si="100"/>
        <v>0.1</v>
      </c>
      <c r="G114" s="93">
        <f t="shared" si="100"/>
        <v>0.25</v>
      </c>
      <c r="H114" s="91">
        <f t="shared" si="100"/>
        <v>0.15</v>
      </c>
      <c r="I114" s="91">
        <f t="shared" si="100"/>
        <v>0.05</v>
      </c>
      <c r="J114" s="91">
        <f t="shared" si="100"/>
        <v>0.25</v>
      </c>
      <c r="K114" s="93">
        <f t="shared" si="100"/>
        <v>0.25</v>
      </c>
      <c r="L114" s="98">
        <f t="shared" si="100"/>
        <v>0.1</v>
      </c>
      <c r="M114" s="91">
        <f t="shared" si="100"/>
        <v>0.08</v>
      </c>
      <c r="N114" s="92">
        <f t="shared" si="100"/>
        <v>0.12</v>
      </c>
      <c r="O114" s="93">
        <f t="shared" si="100"/>
        <v>0.15</v>
      </c>
      <c r="P114" s="89">
        <v>4</v>
      </c>
    </row>
    <row r="115" spans="1:16" ht="12.75" customHeight="1" outlineLevel="1" x14ac:dyDescent="0.2">
      <c r="A115" s="20">
        <f t="shared" si="99"/>
        <v>3592</v>
      </c>
      <c r="B115" s="19" t="str">
        <f t="shared" si="99"/>
        <v>Midwestern</v>
      </c>
      <c r="C115" s="90">
        <f t="shared" si="96"/>
        <v>1</v>
      </c>
      <c r="D115" s="91">
        <f t="shared" si="100"/>
        <v>0.25</v>
      </c>
      <c r="E115" s="92">
        <f t="shared" si="100"/>
        <v>0.1</v>
      </c>
      <c r="F115" s="92">
        <f t="shared" si="100"/>
        <v>0.1</v>
      </c>
      <c r="G115" s="93">
        <f t="shared" si="100"/>
        <v>0.25</v>
      </c>
      <c r="H115" s="91">
        <f t="shared" si="100"/>
        <v>0.15</v>
      </c>
      <c r="I115" s="91">
        <f t="shared" si="100"/>
        <v>0.1</v>
      </c>
      <c r="J115" s="91">
        <f t="shared" si="100"/>
        <v>0.25</v>
      </c>
      <c r="K115" s="93">
        <f t="shared" si="100"/>
        <v>0.25</v>
      </c>
      <c r="L115" s="98">
        <f t="shared" si="100"/>
        <v>0.1</v>
      </c>
      <c r="M115" s="91">
        <f t="shared" si="100"/>
        <v>0.06</v>
      </c>
      <c r="N115" s="92">
        <f t="shared" si="100"/>
        <v>0.1</v>
      </c>
      <c r="O115" s="93">
        <f t="shared" si="100"/>
        <v>0.14000000000000001</v>
      </c>
      <c r="P115" s="89">
        <v>3</v>
      </c>
    </row>
    <row r="116" spans="1:16" ht="12.75" customHeight="1" outlineLevel="1" x14ac:dyDescent="0.2">
      <c r="A116" s="20">
        <f t="shared" si="99"/>
        <v>3594</v>
      </c>
      <c r="B116" s="19" t="str">
        <f t="shared" si="99"/>
        <v>UNT</v>
      </c>
      <c r="C116" s="90">
        <f t="shared" si="96"/>
        <v>1.0000000000000002</v>
      </c>
      <c r="D116" s="91">
        <f t="shared" si="100"/>
        <v>0.15</v>
      </c>
      <c r="E116" s="92">
        <f t="shared" si="100"/>
        <v>0.2</v>
      </c>
      <c r="F116" s="92">
        <f t="shared" si="100"/>
        <v>0.2</v>
      </c>
      <c r="G116" s="93">
        <f t="shared" si="100"/>
        <v>0.15</v>
      </c>
      <c r="H116" s="94">
        <f t="shared" si="100"/>
        <v>0.15</v>
      </c>
      <c r="I116" s="94">
        <f t="shared" si="100"/>
        <v>0.1</v>
      </c>
      <c r="J116" s="94">
        <f t="shared" si="100"/>
        <v>0.15</v>
      </c>
      <c r="K116" s="95">
        <f t="shared" si="100"/>
        <v>0.15</v>
      </c>
      <c r="L116" s="96">
        <f t="shared" si="100"/>
        <v>0.06</v>
      </c>
      <c r="M116" s="94">
        <f t="shared" si="100"/>
        <v>0.04</v>
      </c>
      <c r="N116" s="97">
        <f t="shared" si="100"/>
        <v>0.06</v>
      </c>
      <c r="O116" s="95">
        <f t="shared" si="100"/>
        <v>0.1</v>
      </c>
      <c r="P116" s="89">
        <v>1</v>
      </c>
    </row>
    <row r="117" spans="1:16" ht="12.75" customHeight="1" outlineLevel="1" x14ac:dyDescent="0.2">
      <c r="A117" s="27">
        <f t="shared" si="99"/>
        <v>113594</v>
      </c>
      <c r="B117" s="19" t="str">
        <f t="shared" si="99"/>
        <v>UNTD</v>
      </c>
      <c r="C117" s="90">
        <f t="shared" si="96"/>
        <v>1</v>
      </c>
      <c r="D117" s="91">
        <f t="shared" si="100"/>
        <v>0.3</v>
      </c>
      <c r="E117" s="92">
        <f t="shared" si="100"/>
        <v>0.05</v>
      </c>
      <c r="F117" s="92">
        <f t="shared" si="100"/>
        <v>0.15</v>
      </c>
      <c r="G117" s="93">
        <f t="shared" si="100"/>
        <v>0.3</v>
      </c>
      <c r="H117" s="91">
        <f t="shared" si="100"/>
        <v>0.15</v>
      </c>
      <c r="I117" s="91">
        <f t="shared" si="100"/>
        <v>0</v>
      </c>
      <c r="J117" s="91">
        <f t="shared" si="100"/>
        <v>0.3</v>
      </c>
      <c r="K117" s="93">
        <f t="shared" si="100"/>
        <v>0.3</v>
      </c>
      <c r="L117" s="98">
        <f t="shared" si="100"/>
        <v>0.12</v>
      </c>
      <c r="M117" s="91">
        <f t="shared" si="100"/>
        <v>0.08</v>
      </c>
      <c r="N117" s="92">
        <f t="shared" si="100"/>
        <v>0.12</v>
      </c>
      <c r="O117" s="93">
        <f t="shared" si="100"/>
        <v>0.15</v>
      </c>
      <c r="P117" s="89">
        <v>6</v>
      </c>
    </row>
    <row r="118" spans="1:16" ht="12.75" customHeight="1" outlineLevel="1" x14ac:dyDescent="0.2">
      <c r="A118" s="20">
        <f t="shared" si="99"/>
        <v>3624</v>
      </c>
      <c r="B118" s="19" t="str">
        <f t="shared" si="99"/>
        <v>SFA</v>
      </c>
      <c r="C118" s="90">
        <f t="shared" si="96"/>
        <v>1</v>
      </c>
      <c r="D118" s="91">
        <f t="shared" si="100"/>
        <v>0.25</v>
      </c>
      <c r="E118" s="92">
        <f t="shared" si="100"/>
        <v>0.1</v>
      </c>
      <c r="F118" s="92">
        <f t="shared" si="100"/>
        <v>0.1</v>
      </c>
      <c r="G118" s="93">
        <f t="shared" si="100"/>
        <v>0.25</v>
      </c>
      <c r="H118" s="91">
        <f t="shared" si="100"/>
        <v>0.15</v>
      </c>
      <c r="I118" s="91">
        <f t="shared" si="100"/>
        <v>0.1</v>
      </c>
      <c r="J118" s="91">
        <f t="shared" si="100"/>
        <v>0.25</v>
      </c>
      <c r="K118" s="93">
        <f t="shared" si="100"/>
        <v>0.25</v>
      </c>
      <c r="L118" s="98">
        <f t="shared" si="100"/>
        <v>0.1</v>
      </c>
      <c r="M118" s="91">
        <f t="shared" si="100"/>
        <v>0.06</v>
      </c>
      <c r="N118" s="92">
        <f t="shared" si="100"/>
        <v>0.1</v>
      </c>
      <c r="O118" s="93">
        <f t="shared" si="100"/>
        <v>0.14000000000000001</v>
      </c>
      <c r="P118" s="89">
        <v>3</v>
      </c>
    </row>
    <row r="119" spans="1:16" ht="12.75" customHeight="1" outlineLevel="1" x14ac:dyDescent="0.2">
      <c r="A119" s="20">
        <f t="shared" si="99"/>
        <v>3642</v>
      </c>
      <c r="B119" s="19" t="str">
        <f t="shared" si="99"/>
        <v>TSU</v>
      </c>
      <c r="C119" s="90">
        <f t="shared" si="96"/>
        <v>1</v>
      </c>
      <c r="D119" s="91">
        <f t="shared" si="100"/>
        <v>0.25</v>
      </c>
      <c r="E119" s="92">
        <f t="shared" si="100"/>
        <v>0.1</v>
      </c>
      <c r="F119" s="92">
        <f t="shared" si="100"/>
        <v>0.1</v>
      </c>
      <c r="G119" s="93">
        <f t="shared" si="100"/>
        <v>0.25</v>
      </c>
      <c r="H119" s="91">
        <f t="shared" si="100"/>
        <v>0.15</v>
      </c>
      <c r="I119" s="91">
        <f t="shared" si="100"/>
        <v>0.1</v>
      </c>
      <c r="J119" s="91">
        <f t="shared" si="100"/>
        <v>0.25</v>
      </c>
      <c r="K119" s="93">
        <f t="shared" si="100"/>
        <v>0.25</v>
      </c>
      <c r="L119" s="98">
        <f t="shared" si="100"/>
        <v>0.1</v>
      </c>
      <c r="M119" s="91">
        <f t="shared" si="100"/>
        <v>0.06</v>
      </c>
      <c r="N119" s="92">
        <f t="shared" si="100"/>
        <v>0.1</v>
      </c>
      <c r="O119" s="93">
        <f t="shared" si="100"/>
        <v>0.14000000000000001</v>
      </c>
      <c r="P119" s="89">
        <v>3</v>
      </c>
    </row>
    <row r="120" spans="1:16" ht="12.75" customHeight="1" outlineLevel="1" x14ac:dyDescent="0.2">
      <c r="A120" s="20">
        <f t="shared" si="99"/>
        <v>3644</v>
      </c>
      <c r="B120" s="19" t="str">
        <f t="shared" si="99"/>
        <v>TTU</v>
      </c>
      <c r="C120" s="90">
        <f t="shared" si="96"/>
        <v>1.0000000000000002</v>
      </c>
      <c r="D120" s="91">
        <f t="shared" si="100"/>
        <v>0.15</v>
      </c>
      <c r="E120" s="92">
        <f t="shared" si="100"/>
        <v>0.2</v>
      </c>
      <c r="F120" s="92">
        <f t="shared" si="100"/>
        <v>0.2</v>
      </c>
      <c r="G120" s="93">
        <f t="shared" si="100"/>
        <v>0.15</v>
      </c>
      <c r="H120" s="94">
        <f t="shared" si="100"/>
        <v>0.15</v>
      </c>
      <c r="I120" s="94">
        <f t="shared" si="100"/>
        <v>0.1</v>
      </c>
      <c r="J120" s="94">
        <f t="shared" si="100"/>
        <v>0.15</v>
      </c>
      <c r="K120" s="95">
        <f t="shared" si="100"/>
        <v>0.15</v>
      </c>
      <c r="L120" s="96">
        <f t="shared" si="100"/>
        <v>0.06</v>
      </c>
      <c r="M120" s="94">
        <f t="shared" si="100"/>
        <v>0.04</v>
      </c>
      <c r="N120" s="97">
        <f t="shared" si="100"/>
        <v>0.06</v>
      </c>
      <c r="O120" s="95">
        <f t="shared" si="100"/>
        <v>0.1</v>
      </c>
      <c r="P120" s="89">
        <v>1</v>
      </c>
    </row>
    <row r="121" spans="1:16" ht="12.75" customHeight="1" outlineLevel="1" x14ac:dyDescent="0.2">
      <c r="A121" s="20">
        <f t="shared" si="99"/>
        <v>3541</v>
      </c>
      <c r="B121" s="19" t="str">
        <f t="shared" si="99"/>
        <v>Angelo</v>
      </c>
      <c r="C121" s="90">
        <f t="shared" si="96"/>
        <v>1</v>
      </c>
      <c r="D121" s="91">
        <f t="shared" si="100"/>
        <v>0.25</v>
      </c>
      <c r="E121" s="92">
        <f t="shared" si="100"/>
        <v>0.1</v>
      </c>
      <c r="F121" s="92">
        <f t="shared" si="100"/>
        <v>0.1</v>
      </c>
      <c r="G121" s="93">
        <f t="shared" si="100"/>
        <v>0.25</v>
      </c>
      <c r="H121" s="91">
        <f t="shared" si="100"/>
        <v>0.15</v>
      </c>
      <c r="I121" s="91">
        <f t="shared" si="100"/>
        <v>0.1</v>
      </c>
      <c r="J121" s="91">
        <f t="shared" si="100"/>
        <v>0.25</v>
      </c>
      <c r="K121" s="93">
        <f t="shared" si="100"/>
        <v>0.25</v>
      </c>
      <c r="L121" s="98">
        <f t="shared" si="100"/>
        <v>0.1</v>
      </c>
      <c r="M121" s="91">
        <f t="shared" si="100"/>
        <v>0.06</v>
      </c>
      <c r="N121" s="92">
        <f t="shared" si="100"/>
        <v>0.1</v>
      </c>
      <c r="O121" s="93">
        <f t="shared" si="100"/>
        <v>0.14000000000000001</v>
      </c>
      <c r="P121" s="89">
        <v>3</v>
      </c>
    </row>
    <row r="122" spans="1:16" ht="12.75" customHeight="1" outlineLevel="1" x14ac:dyDescent="0.2">
      <c r="A122" s="20">
        <f t="shared" ref="A122:B127" si="101">A37</f>
        <v>3646</v>
      </c>
      <c r="B122" s="19" t="str">
        <f t="shared" si="101"/>
        <v>TWU</v>
      </c>
      <c r="C122" s="90">
        <f t="shared" si="96"/>
        <v>1.0000000000000002</v>
      </c>
      <c r="D122" s="91">
        <f t="shared" si="100"/>
        <v>0.25</v>
      </c>
      <c r="E122" s="92">
        <f t="shared" si="100"/>
        <v>0.15</v>
      </c>
      <c r="F122" s="92">
        <f t="shared" si="100"/>
        <v>0.15</v>
      </c>
      <c r="G122" s="93">
        <f t="shared" si="100"/>
        <v>0.25</v>
      </c>
      <c r="H122" s="91">
        <f t="shared" si="100"/>
        <v>0.15</v>
      </c>
      <c r="I122" s="91">
        <f t="shared" si="100"/>
        <v>0.1</v>
      </c>
      <c r="J122" s="91">
        <f t="shared" si="100"/>
        <v>0.25</v>
      </c>
      <c r="K122" s="93">
        <f t="shared" si="100"/>
        <v>0.25</v>
      </c>
      <c r="L122" s="98">
        <f t="shared" si="100"/>
        <v>0.1</v>
      </c>
      <c r="M122" s="91">
        <f t="shared" si="100"/>
        <v>0.04</v>
      </c>
      <c r="N122" s="92">
        <f t="shared" si="100"/>
        <v>0.06</v>
      </c>
      <c r="O122" s="93">
        <f t="shared" si="100"/>
        <v>0.1</v>
      </c>
      <c r="P122" s="89">
        <v>2</v>
      </c>
    </row>
    <row r="123" spans="1:16" ht="12.75" customHeight="1" outlineLevel="1" x14ac:dyDescent="0.2">
      <c r="A123" s="20">
        <f t="shared" si="101"/>
        <v>3581</v>
      </c>
      <c r="B123" s="19" t="str">
        <f t="shared" si="101"/>
        <v>Lamar</v>
      </c>
      <c r="C123" s="90">
        <f t="shared" si="96"/>
        <v>1</v>
      </c>
      <c r="D123" s="91">
        <f t="shared" ref="D123:O127" si="102">SUMIF($P$131:$P$136,$P123,D$131:D$136)</f>
        <v>0.25</v>
      </c>
      <c r="E123" s="92">
        <f t="shared" si="102"/>
        <v>0.1</v>
      </c>
      <c r="F123" s="92">
        <f t="shared" si="102"/>
        <v>0.1</v>
      </c>
      <c r="G123" s="93">
        <f t="shared" si="102"/>
        <v>0.25</v>
      </c>
      <c r="H123" s="91">
        <f t="shared" si="102"/>
        <v>0.15</v>
      </c>
      <c r="I123" s="91">
        <f t="shared" si="102"/>
        <v>0.1</v>
      </c>
      <c r="J123" s="91">
        <f t="shared" si="102"/>
        <v>0.25</v>
      </c>
      <c r="K123" s="93">
        <f t="shared" si="102"/>
        <v>0.25</v>
      </c>
      <c r="L123" s="98">
        <f t="shared" si="102"/>
        <v>0.1</v>
      </c>
      <c r="M123" s="91">
        <f t="shared" si="102"/>
        <v>0.06</v>
      </c>
      <c r="N123" s="92">
        <f t="shared" si="102"/>
        <v>0.1</v>
      </c>
      <c r="O123" s="93">
        <f t="shared" si="102"/>
        <v>0.14000000000000001</v>
      </c>
      <c r="P123" s="89">
        <v>3</v>
      </c>
    </row>
    <row r="124" spans="1:16" ht="12.75" customHeight="1" outlineLevel="1" x14ac:dyDescent="0.2">
      <c r="A124" s="20">
        <f t="shared" si="101"/>
        <v>3606</v>
      </c>
      <c r="B124" s="19" t="str">
        <f t="shared" si="101"/>
        <v>SHSU</v>
      </c>
      <c r="C124" s="90">
        <f t="shared" si="96"/>
        <v>1</v>
      </c>
      <c r="D124" s="91">
        <f t="shared" si="102"/>
        <v>0.25</v>
      </c>
      <c r="E124" s="92">
        <f t="shared" si="102"/>
        <v>0.1</v>
      </c>
      <c r="F124" s="92">
        <f t="shared" si="102"/>
        <v>0.1</v>
      </c>
      <c r="G124" s="93">
        <f t="shared" si="102"/>
        <v>0.25</v>
      </c>
      <c r="H124" s="91">
        <f t="shared" si="102"/>
        <v>0.15</v>
      </c>
      <c r="I124" s="91">
        <f t="shared" si="102"/>
        <v>0.1</v>
      </c>
      <c r="J124" s="91">
        <f t="shared" si="102"/>
        <v>0.25</v>
      </c>
      <c r="K124" s="93">
        <f t="shared" si="102"/>
        <v>0.25</v>
      </c>
      <c r="L124" s="98">
        <f t="shared" si="102"/>
        <v>0.1</v>
      </c>
      <c r="M124" s="91">
        <f t="shared" si="102"/>
        <v>0.06</v>
      </c>
      <c r="N124" s="92">
        <f t="shared" si="102"/>
        <v>0.1</v>
      </c>
      <c r="O124" s="93">
        <f t="shared" si="102"/>
        <v>0.14000000000000001</v>
      </c>
      <c r="P124" s="89">
        <v>3</v>
      </c>
    </row>
    <row r="125" spans="1:16" ht="12.75" customHeight="1" outlineLevel="1" x14ac:dyDescent="0.2">
      <c r="A125" s="20">
        <f t="shared" si="101"/>
        <v>3615</v>
      </c>
      <c r="B125" s="19" t="str">
        <f t="shared" si="101"/>
        <v>TXST</v>
      </c>
      <c r="C125" s="90">
        <f t="shared" si="96"/>
        <v>1</v>
      </c>
      <c r="D125" s="91">
        <f t="shared" si="102"/>
        <v>0.25</v>
      </c>
      <c r="E125" s="92">
        <f t="shared" si="102"/>
        <v>0.1</v>
      </c>
      <c r="F125" s="92">
        <f t="shared" si="102"/>
        <v>0.1</v>
      </c>
      <c r="G125" s="93">
        <f t="shared" si="102"/>
        <v>0.25</v>
      </c>
      <c r="H125" s="91">
        <f t="shared" si="102"/>
        <v>0.15</v>
      </c>
      <c r="I125" s="91">
        <f t="shared" si="102"/>
        <v>0.1</v>
      </c>
      <c r="J125" s="91">
        <f t="shared" si="102"/>
        <v>0.25</v>
      </c>
      <c r="K125" s="93">
        <f t="shared" si="102"/>
        <v>0.25</v>
      </c>
      <c r="L125" s="98">
        <f t="shared" si="102"/>
        <v>0.1</v>
      </c>
      <c r="M125" s="91">
        <f t="shared" si="102"/>
        <v>0.06</v>
      </c>
      <c r="N125" s="92">
        <f t="shared" si="102"/>
        <v>0.1</v>
      </c>
      <c r="O125" s="93">
        <f t="shared" si="102"/>
        <v>0.14000000000000001</v>
      </c>
      <c r="P125" s="89">
        <v>3</v>
      </c>
    </row>
    <row r="126" spans="1:16" ht="12.75" customHeight="1" outlineLevel="1" x14ac:dyDescent="0.2">
      <c r="A126" s="20">
        <f t="shared" si="101"/>
        <v>3625</v>
      </c>
      <c r="B126" s="19" t="str">
        <f t="shared" si="101"/>
        <v>SRSU</v>
      </c>
      <c r="C126" s="90">
        <f t="shared" si="96"/>
        <v>1</v>
      </c>
      <c r="D126" s="91">
        <f t="shared" si="102"/>
        <v>0.25</v>
      </c>
      <c r="E126" s="92">
        <f t="shared" si="102"/>
        <v>0.1</v>
      </c>
      <c r="F126" s="92">
        <f t="shared" si="102"/>
        <v>0.1</v>
      </c>
      <c r="G126" s="93">
        <f t="shared" si="102"/>
        <v>0.25</v>
      </c>
      <c r="H126" s="91">
        <f t="shared" si="102"/>
        <v>0.15</v>
      </c>
      <c r="I126" s="91">
        <f t="shared" si="102"/>
        <v>0.1</v>
      </c>
      <c r="J126" s="91">
        <f t="shared" si="102"/>
        <v>0.25</v>
      </c>
      <c r="K126" s="93">
        <f t="shared" si="102"/>
        <v>0.25</v>
      </c>
      <c r="L126" s="98">
        <f t="shared" si="102"/>
        <v>0.1</v>
      </c>
      <c r="M126" s="91">
        <f t="shared" si="102"/>
        <v>0.06</v>
      </c>
      <c r="N126" s="92">
        <f t="shared" si="102"/>
        <v>0.1</v>
      </c>
      <c r="O126" s="93">
        <f t="shared" si="102"/>
        <v>0.14000000000000001</v>
      </c>
      <c r="P126" s="89">
        <v>3</v>
      </c>
    </row>
    <row r="127" spans="1:16" outlineLevel="1" x14ac:dyDescent="0.2">
      <c r="A127" s="20">
        <f t="shared" si="101"/>
        <v>20</v>
      </c>
      <c r="B127" s="19" t="str">
        <f t="shared" si="101"/>
        <v>SRRG</v>
      </c>
      <c r="C127" s="90">
        <f t="shared" si="96"/>
        <v>1</v>
      </c>
      <c r="D127" s="91">
        <f t="shared" si="102"/>
        <v>0.25</v>
      </c>
      <c r="E127" s="92">
        <f t="shared" si="102"/>
        <v>0.1</v>
      </c>
      <c r="F127" s="92">
        <f t="shared" si="102"/>
        <v>0.1</v>
      </c>
      <c r="G127" s="93">
        <f t="shared" si="102"/>
        <v>0.25</v>
      </c>
      <c r="H127" s="91">
        <f t="shared" si="102"/>
        <v>0.2</v>
      </c>
      <c r="I127" s="91">
        <f t="shared" si="102"/>
        <v>0</v>
      </c>
      <c r="J127" s="91">
        <f t="shared" si="102"/>
        <v>0.25</v>
      </c>
      <c r="K127" s="93">
        <f t="shared" si="102"/>
        <v>0.25</v>
      </c>
      <c r="L127" s="98">
        <f t="shared" si="102"/>
        <v>0.1</v>
      </c>
      <c r="M127" s="91">
        <f t="shared" si="102"/>
        <v>0.08</v>
      </c>
      <c r="N127" s="92">
        <f t="shared" si="102"/>
        <v>0.12</v>
      </c>
      <c r="O127" s="93">
        <f t="shared" si="102"/>
        <v>0.15</v>
      </c>
      <c r="P127" s="89">
        <v>5</v>
      </c>
    </row>
    <row r="128" spans="1:16" ht="13.5" thickBot="1" x14ac:dyDescent="0.25">
      <c r="A128" s="121" t="s">
        <v>90</v>
      </c>
      <c r="B128" s="72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20"/>
    </row>
    <row r="129" spans="1:16" ht="12.75" customHeight="1" x14ac:dyDescent="0.2">
      <c r="A129" s="118"/>
      <c r="B129" s="72"/>
      <c r="C129" s="181" t="s">
        <v>77</v>
      </c>
      <c r="D129" s="183" t="s">
        <v>35</v>
      </c>
      <c r="E129" s="184"/>
      <c r="F129" s="184"/>
      <c r="G129" s="185"/>
      <c r="H129" s="186" t="s">
        <v>85</v>
      </c>
      <c r="I129" s="186" t="s">
        <v>89</v>
      </c>
      <c r="J129" s="186" t="s">
        <v>18</v>
      </c>
      <c r="K129" s="195" t="s">
        <v>17</v>
      </c>
      <c r="L129" s="197" t="s">
        <v>16</v>
      </c>
      <c r="M129" s="199" t="s">
        <v>34</v>
      </c>
      <c r="N129" s="200"/>
      <c r="O129" s="200"/>
      <c r="P129" s="212" t="s">
        <v>106</v>
      </c>
    </row>
    <row r="130" spans="1:16" ht="51.75" thickBot="1" x14ac:dyDescent="0.25">
      <c r="A130" s="118"/>
      <c r="B130" s="72"/>
      <c r="C130" s="182"/>
      <c r="D130" s="68"/>
      <c r="E130" s="67" t="s">
        <v>33</v>
      </c>
      <c r="F130" s="67" t="s">
        <v>32</v>
      </c>
      <c r="G130" s="115" t="s">
        <v>31</v>
      </c>
      <c r="H130" s="187"/>
      <c r="I130" s="187"/>
      <c r="J130" s="187"/>
      <c r="K130" s="196"/>
      <c r="L130" s="198"/>
      <c r="M130" s="44" t="s">
        <v>14</v>
      </c>
      <c r="N130" s="43" t="s">
        <v>13</v>
      </c>
      <c r="O130" s="42" t="s">
        <v>12</v>
      </c>
      <c r="P130" s="213"/>
    </row>
    <row r="131" spans="1:16" x14ac:dyDescent="0.2">
      <c r="A131" s="118"/>
      <c r="B131" s="72"/>
      <c r="C131" s="122">
        <f t="shared" ref="C131:C136" si="103">D131+E131+F131+M131+H131+I131+N131+O131</f>
        <v>1.0000000000000002</v>
      </c>
      <c r="D131" s="123">
        <v>0.15</v>
      </c>
      <c r="E131" s="124">
        <v>0.2</v>
      </c>
      <c r="F131" s="125">
        <v>0.2</v>
      </c>
      <c r="G131" s="126">
        <f t="shared" ref="G131:G136" si="104">D131</f>
        <v>0.15</v>
      </c>
      <c r="H131" s="127">
        <v>0.15</v>
      </c>
      <c r="I131" s="128">
        <v>0.1</v>
      </c>
      <c r="J131" s="127">
        <f t="shared" ref="J131:J136" si="105">D131</f>
        <v>0.15</v>
      </c>
      <c r="K131" s="129">
        <f t="shared" ref="K131:K136" si="106">D131</f>
        <v>0.15</v>
      </c>
      <c r="L131" s="130">
        <f t="shared" ref="L131:L136" si="107">D131*0.4</f>
        <v>0.06</v>
      </c>
      <c r="M131" s="127">
        <v>0.04</v>
      </c>
      <c r="N131" s="131">
        <v>0.06</v>
      </c>
      <c r="O131" s="129">
        <v>0.1</v>
      </c>
      <c r="P131" s="88">
        <v>1</v>
      </c>
    </row>
    <row r="132" spans="1:16" x14ac:dyDescent="0.2">
      <c r="A132" s="118"/>
      <c r="B132" s="72"/>
      <c r="C132" s="122">
        <f t="shared" si="103"/>
        <v>1.0000000000000002</v>
      </c>
      <c r="D132" s="132">
        <v>0.25</v>
      </c>
      <c r="E132" s="125">
        <v>0.15</v>
      </c>
      <c r="F132" s="133">
        <v>0.15</v>
      </c>
      <c r="G132" s="134">
        <f t="shared" si="104"/>
        <v>0.25</v>
      </c>
      <c r="H132" s="127">
        <v>0.15</v>
      </c>
      <c r="I132" s="128">
        <v>0.1</v>
      </c>
      <c r="J132" s="135">
        <f t="shared" si="105"/>
        <v>0.25</v>
      </c>
      <c r="K132" s="136">
        <f t="shared" si="106"/>
        <v>0.25</v>
      </c>
      <c r="L132" s="137">
        <f t="shared" si="107"/>
        <v>0.1</v>
      </c>
      <c r="M132" s="127">
        <v>0.04</v>
      </c>
      <c r="N132" s="131">
        <v>0.06</v>
      </c>
      <c r="O132" s="129">
        <v>0.1</v>
      </c>
      <c r="P132" s="89">
        <v>2</v>
      </c>
    </row>
    <row r="133" spans="1:16" x14ac:dyDescent="0.2">
      <c r="A133" s="118"/>
      <c r="B133" s="72"/>
      <c r="C133" s="122">
        <f t="shared" si="103"/>
        <v>1</v>
      </c>
      <c r="D133" s="132">
        <v>0.25</v>
      </c>
      <c r="E133" s="133">
        <v>0.1</v>
      </c>
      <c r="F133" s="138">
        <v>0.1</v>
      </c>
      <c r="G133" s="134">
        <f t="shared" si="104"/>
        <v>0.25</v>
      </c>
      <c r="H133" s="123">
        <v>0.15</v>
      </c>
      <c r="I133" s="139">
        <v>0.1</v>
      </c>
      <c r="J133" s="132">
        <f t="shared" si="105"/>
        <v>0.25</v>
      </c>
      <c r="K133" s="134">
        <f t="shared" si="106"/>
        <v>0.25</v>
      </c>
      <c r="L133" s="140">
        <f t="shared" si="107"/>
        <v>0.1</v>
      </c>
      <c r="M133" s="132">
        <v>0.06</v>
      </c>
      <c r="N133" s="133">
        <v>0.1</v>
      </c>
      <c r="O133" s="134">
        <v>0.14000000000000001</v>
      </c>
      <c r="P133" s="89">
        <v>3</v>
      </c>
    </row>
    <row r="134" spans="1:16" x14ac:dyDescent="0.2">
      <c r="A134" s="118"/>
      <c r="B134" s="72"/>
      <c r="C134" s="122">
        <f t="shared" si="103"/>
        <v>1</v>
      </c>
      <c r="D134" s="132">
        <v>0.25</v>
      </c>
      <c r="E134" s="133">
        <v>0.1</v>
      </c>
      <c r="F134" s="138">
        <v>0.1</v>
      </c>
      <c r="G134" s="134">
        <f t="shared" si="104"/>
        <v>0.25</v>
      </c>
      <c r="H134" s="123">
        <v>0.15</v>
      </c>
      <c r="I134" s="132">
        <v>0.05</v>
      </c>
      <c r="J134" s="132">
        <f t="shared" si="105"/>
        <v>0.25</v>
      </c>
      <c r="K134" s="134">
        <f t="shared" si="106"/>
        <v>0.25</v>
      </c>
      <c r="L134" s="140">
        <f t="shared" si="107"/>
        <v>0.1</v>
      </c>
      <c r="M134" s="139">
        <v>0.08</v>
      </c>
      <c r="N134" s="125">
        <v>0.12</v>
      </c>
      <c r="O134" s="141">
        <v>0.15</v>
      </c>
      <c r="P134" s="89">
        <v>4</v>
      </c>
    </row>
    <row r="135" spans="1:16" x14ac:dyDescent="0.2">
      <c r="A135" s="118"/>
      <c r="B135" s="72"/>
      <c r="C135" s="122">
        <f t="shared" si="103"/>
        <v>1</v>
      </c>
      <c r="D135" s="132">
        <v>0.25</v>
      </c>
      <c r="E135" s="133">
        <v>0.1</v>
      </c>
      <c r="F135" s="138">
        <v>0.1</v>
      </c>
      <c r="G135" s="134">
        <f t="shared" si="104"/>
        <v>0.25</v>
      </c>
      <c r="H135" s="132">
        <v>0.2</v>
      </c>
      <c r="I135" s="123">
        <v>0</v>
      </c>
      <c r="J135" s="132">
        <f t="shared" si="105"/>
        <v>0.25</v>
      </c>
      <c r="K135" s="134">
        <f t="shared" si="106"/>
        <v>0.25</v>
      </c>
      <c r="L135" s="140">
        <f t="shared" si="107"/>
        <v>0.1</v>
      </c>
      <c r="M135" s="139">
        <v>0.08</v>
      </c>
      <c r="N135" s="125">
        <v>0.12</v>
      </c>
      <c r="O135" s="141">
        <v>0.15</v>
      </c>
      <c r="P135" s="89">
        <v>5</v>
      </c>
    </row>
    <row r="136" spans="1:16" x14ac:dyDescent="0.2">
      <c r="A136" s="118"/>
      <c r="B136" s="72"/>
      <c r="C136" s="122">
        <f t="shared" si="103"/>
        <v>1</v>
      </c>
      <c r="D136" s="139">
        <v>0.3</v>
      </c>
      <c r="E136" s="138">
        <v>0.05</v>
      </c>
      <c r="F136" s="133">
        <v>0.15</v>
      </c>
      <c r="G136" s="141">
        <f t="shared" si="104"/>
        <v>0.3</v>
      </c>
      <c r="H136" s="123">
        <v>0.15</v>
      </c>
      <c r="I136" s="123">
        <v>0</v>
      </c>
      <c r="J136" s="139">
        <f t="shared" si="105"/>
        <v>0.3</v>
      </c>
      <c r="K136" s="141">
        <f t="shared" si="106"/>
        <v>0.3</v>
      </c>
      <c r="L136" s="142">
        <f t="shared" si="107"/>
        <v>0.12</v>
      </c>
      <c r="M136" s="139">
        <v>0.08</v>
      </c>
      <c r="N136" s="125">
        <v>0.12</v>
      </c>
      <c r="O136" s="141">
        <v>0.15</v>
      </c>
      <c r="P136" s="89">
        <v>6</v>
      </c>
    </row>
    <row r="137" spans="1:16" ht="12.75" customHeight="1" thickBot="1" x14ac:dyDescent="0.25">
      <c r="A137" s="69" t="s">
        <v>75</v>
      </c>
    </row>
    <row r="138" spans="1:16" ht="12.75" customHeight="1" outlineLevel="1" x14ac:dyDescent="0.2">
      <c r="A138" s="177" t="s">
        <v>24</v>
      </c>
      <c r="B138" s="179" t="s">
        <v>23</v>
      </c>
      <c r="C138" s="181" t="s">
        <v>36</v>
      </c>
      <c r="D138" s="183" t="s">
        <v>35</v>
      </c>
      <c r="E138" s="184"/>
      <c r="F138" s="184"/>
      <c r="G138" s="185"/>
      <c r="H138" s="186" t="str">
        <f>H3</f>
        <v>Master's</v>
      </c>
      <c r="I138" s="186" t="str">
        <f>I3</f>
        <v>Doctoral and Professional Practice</v>
      </c>
      <c r="J138" s="186" t="s">
        <v>18</v>
      </c>
      <c r="K138" s="195" t="s">
        <v>17</v>
      </c>
      <c r="L138" s="197" t="s">
        <v>16</v>
      </c>
      <c r="M138" s="199" t="s">
        <v>34</v>
      </c>
      <c r="N138" s="200"/>
      <c r="O138" s="200"/>
    </row>
    <row r="139" spans="1:16" ht="51.75" customHeight="1" outlineLevel="1" thickBot="1" x14ac:dyDescent="0.25">
      <c r="A139" s="178"/>
      <c r="B139" s="180"/>
      <c r="C139" s="182"/>
      <c r="D139" s="68"/>
      <c r="E139" s="67" t="s">
        <v>33</v>
      </c>
      <c r="F139" s="67" t="s">
        <v>32</v>
      </c>
      <c r="G139" s="114" t="s">
        <v>31</v>
      </c>
      <c r="H139" s="187"/>
      <c r="I139" s="187"/>
      <c r="J139" s="187"/>
      <c r="K139" s="196"/>
      <c r="L139" s="198"/>
      <c r="M139" s="44" t="s">
        <v>14</v>
      </c>
      <c r="N139" s="43" t="s">
        <v>13</v>
      </c>
      <c r="O139" s="42" t="s">
        <v>12</v>
      </c>
    </row>
    <row r="140" spans="1:16" ht="12.75" customHeight="1" outlineLevel="1" x14ac:dyDescent="0.2">
      <c r="A140" s="207" t="s">
        <v>79</v>
      </c>
      <c r="B140" s="208"/>
      <c r="C140" s="209"/>
      <c r="D140" s="62">
        <v>1</v>
      </c>
      <c r="E140" s="61">
        <v>1</v>
      </c>
      <c r="F140" s="61">
        <v>50</v>
      </c>
      <c r="G140" s="60">
        <v>1</v>
      </c>
      <c r="H140" s="65">
        <v>3.3333333333333335</v>
      </c>
      <c r="I140" s="65">
        <v>20</v>
      </c>
      <c r="J140" s="65">
        <v>1</v>
      </c>
      <c r="K140" s="64">
        <v>1</v>
      </c>
      <c r="L140" s="63">
        <v>0.4</v>
      </c>
      <c r="M140" s="62">
        <v>1</v>
      </c>
      <c r="N140" s="61">
        <v>1</v>
      </c>
      <c r="O140" s="60">
        <v>1</v>
      </c>
    </row>
    <row r="141" spans="1:16" ht="12.75" customHeight="1" outlineLevel="1" x14ac:dyDescent="0.2">
      <c r="A141" s="20">
        <f t="shared" ref="A141:B160" si="108">A5</f>
        <v>3656</v>
      </c>
      <c r="B141" s="19" t="str">
        <f t="shared" si="108"/>
        <v>UTA</v>
      </c>
      <c r="C141" s="58">
        <f t="shared" ref="C141:C178" si="109">SUM(D141:O141)</f>
        <v>45994.139413902456</v>
      </c>
      <c r="D141" s="15">
        <f t="shared" ref="D141:D150" si="110">D183*D$140</f>
        <v>5018</v>
      </c>
      <c r="E141" s="14">
        <f t="shared" ref="E141:E150" si="111">D183*E183*E$140</f>
        <v>2600.9966666666669</v>
      </c>
      <c r="F141" s="14">
        <f t="shared" ref="F141:F150" si="112">IFERROR(D183/F183*100*F$140,0)</f>
        <v>1480.1894139024141</v>
      </c>
      <c r="G141" s="13">
        <f t="shared" ref="G141:O150" si="113">G183*G$140</f>
        <v>10418.553333333379</v>
      </c>
      <c r="H141" s="36">
        <f t="shared" ref="H141:I141" si="114">H183*H$140</f>
        <v>8396.6666666666679</v>
      </c>
      <c r="I141" s="36">
        <f t="shared" si="114"/>
        <v>2813.333333333333</v>
      </c>
      <c r="J141" s="36">
        <f t="shared" si="113"/>
        <v>1531.3333333333333</v>
      </c>
      <c r="K141" s="35">
        <f t="shared" si="113"/>
        <v>35</v>
      </c>
      <c r="L141" s="34">
        <f t="shared" si="113"/>
        <v>1246.4000000000001</v>
      </c>
      <c r="M141" s="36">
        <f t="shared" si="113"/>
        <v>6836.333333333333</v>
      </c>
      <c r="N141" s="59">
        <f t="shared" si="113"/>
        <v>3833.6666666666665</v>
      </c>
      <c r="O141" s="35">
        <f t="shared" si="113"/>
        <v>1783.6666666666667</v>
      </c>
    </row>
    <row r="142" spans="1:16" ht="12.75" customHeight="1" outlineLevel="1" x14ac:dyDescent="0.2">
      <c r="A142" s="20">
        <f t="shared" si="108"/>
        <v>3658</v>
      </c>
      <c r="B142" s="19" t="str">
        <f t="shared" si="108"/>
        <v>UT</v>
      </c>
      <c r="C142" s="58">
        <f t="shared" si="109"/>
        <v>103153.10049194563</v>
      </c>
      <c r="D142" s="15">
        <f t="shared" si="110"/>
        <v>8946.3333333333339</v>
      </c>
      <c r="E142" s="14">
        <f t="shared" si="111"/>
        <v>7416.5103333333345</v>
      </c>
      <c r="F142" s="14">
        <f t="shared" si="112"/>
        <v>1324.8846030562338</v>
      </c>
      <c r="G142" s="13">
        <f t="shared" si="113"/>
        <v>19398.350000000519</v>
      </c>
      <c r="H142" s="15">
        <f t="shared" ref="H142:I142" si="115">H184*H$140</f>
        <v>10018.888888888889</v>
      </c>
      <c r="I142" s="15">
        <f t="shared" si="115"/>
        <v>27073.333333333336</v>
      </c>
      <c r="J142" s="15">
        <f t="shared" si="113"/>
        <v>1876.3333333333333</v>
      </c>
      <c r="K142" s="13">
        <f t="shared" si="113"/>
        <v>66</v>
      </c>
      <c r="L142" s="16">
        <f t="shared" si="113"/>
        <v>1388.1333333333334</v>
      </c>
      <c r="M142" s="15">
        <f t="shared" si="113"/>
        <v>9598.3333333333339</v>
      </c>
      <c r="N142" s="14">
        <f t="shared" si="113"/>
        <v>9005.6666666666661</v>
      </c>
      <c r="O142" s="13">
        <f t="shared" si="113"/>
        <v>7040.333333333333</v>
      </c>
    </row>
    <row r="143" spans="1:16" ht="12.75" customHeight="1" outlineLevel="1" x14ac:dyDescent="0.2">
      <c r="A143" s="20">
        <f t="shared" si="108"/>
        <v>9741</v>
      </c>
      <c r="B143" s="19" t="str">
        <f t="shared" si="108"/>
        <v>UTD</v>
      </c>
      <c r="C143" s="58">
        <f t="shared" si="109"/>
        <v>28310.17035916535</v>
      </c>
      <c r="D143" s="15">
        <f t="shared" si="110"/>
        <v>2393</v>
      </c>
      <c r="E143" s="14">
        <f t="shared" si="111"/>
        <v>1682.279</v>
      </c>
      <c r="F143" s="14">
        <f t="shared" si="112"/>
        <v>1341.4880258319133</v>
      </c>
      <c r="G143" s="13">
        <f t="shared" si="113"/>
        <v>5101.2033333334393</v>
      </c>
      <c r="H143" s="15">
        <f t="shared" ref="H143:I143" si="116">H185*H$140</f>
        <v>6686.666666666667</v>
      </c>
      <c r="I143" s="15">
        <f t="shared" si="116"/>
        <v>3653.333333333333</v>
      </c>
      <c r="J143" s="15">
        <f t="shared" si="113"/>
        <v>421.66666666666669</v>
      </c>
      <c r="K143" s="13">
        <f t="shared" si="113"/>
        <v>32</v>
      </c>
      <c r="L143" s="16">
        <f t="shared" si="113"/>
        <v>527.86666666666667</v>
      </c>
      <c r="M143" s="15">
        <f t="shared" si="113"/>
        <v>3315</v>
      </c>
      <c r="N143" s="14">
        <f t="shared" si="113"/>
        <v>2134.3333333333335</v>
      </c>
      <c r="O143" s="13">
        <f t="shared" si="113"/>
        <v>1021.3333333333334</v>
      </c>
    </row>
    <row r="144" spans="1:16" ht="12.75" customHeight="1" outlineLevel="1" x14ac:dyDescent="0.2">
      <c r="A144" s="20">
        <f t="shared" si="108"/>
        <v>3661</v>
      </c>
      <c r="B144" s="19" t="str">
        <f t="shared" si="108"/>
        <v>UTEP</v>
      </c>
      <c r="C144" s="58">
        <f t="shared" si="109"/>
        <v>27941.584726801317</v>
      </c>
      <c r="D144" s="15">
        <f t="shared" si="110"/>
        <v>3057</v>
      </c>
      <c r="E144" s="14">
        <f t="shared" si="111"/>
        <v>1192.2299999999998</v>
      </c>
      <c r="F144" s="14">
        <f t="shared" si="112"/>
        <v>1143.5447268011671</v>
      </c>
      <c r="G144" s="13">
        <f t="shared" si="113"/>
        <v>6298.0766666668133</v>
      </c>
      <c r="H144" s="15">
        <f t="shared" ref="H144:I144" si="117">H186*H$140</f>
        <v>3436.666666666667</v>
      </c>
      <c r="I144" s="15">
        <f t="shared" si="117"/>
        <v>1406.6666666666665</v>
      </c>
      <c r="J144" s="15">
        <f t="shared" si="113"/>
        <v>655</v>
      </c>
      <c r="K144" s="13">
        <f t="shared" si="113"/>
        <v>90</v>
      </c>
      <c r="L144" s="16">
        <f t="shared" si="113"/>
        <v>985.73333333333346</v>
      </c>
      <c r="M144" s="15">
        <f t="shared" si="113"/>
        <v>4362.666666666667</v>
      </c>
      <c r="N144" s="14">
        <f t="shared" si="113"/>
        <v>3358</v>
      </c>
      <c r="O144" s="13">
        <f t="shared" si="113"/>
        <v>1956</v>
      </c>
    </row>
    <row r="145" spans="1:15" ht="12.75" customHeight="1" outlineLevel="1" x14ac:dyDescent="0.2">
      <c r="A145" s="20">
        <f t="shared" si="108"/>
        <v>3599</v>
      </c>
      <c r="B145" s="19" t="str">
        <f t="shared" si="108"/>
        <v>UTPA</v>
      </c>
      <c r="C145" s="58">
        <f t="shared" si="109"/>
        <v>23076.215636086115</v>
      </c>
      <c r="D145" s="15">
        <f t="shared" si="110"/>
        <v>2580</v>
      </c>
      <c r="E145" s="14">
        <f t="shared" si="111"/>
        <v>1111.98</v>
      </c>
      <c r="F145" s="14">
        <f t="shared" si="112"/>
        <v>1024.6245249748918</v>
      </c>
      <c r="G145" s="13">
        <f t="shared" si="113"/>
        <v>5134.1666666667797</v>
      </c>
      <c r="H145" s="15">
        <f t="shared" ref="H145:I145" si="118">H187*H$140</f>
        <v>2384.4444444444448</v>
      </c>
      <c r="I145" s="15">
        <f t="shared" si="118"/>
        <v>246.66666666666669</v>
      </c>
      <c r="J145" s="15">
        <f t="shared" si="113"/>
        <v>520.33333333333337</v>
      </c>
      <c r="K145" s="13">
        <f t="shared" si="113"/>
        <v>28</v>
      </c>
      <c r="L145" s="16">
        <f t="shared" si="113"/>
        <v>935.33333333333348</v>
      </c>
      <c r="M145" s="15">
        <f t="shared" si="113"/>
        <v>4075.3333333333335</v>
      </c>
      <c r="N145" s="14">
        <f t="shared" si="113"/>
        <v>3096</v>
      </c>
      <c r="O145" s="13">
        <f t="shared" si="113"/>
        <v>1939.3333333333333</v>
      </c>
    </row>
    <row r="146" spans="1:15" ht="12.75" customHeight="1" outlineLevel="1" x14ac:dyDescent="0.2">
      <c r="A146" s="20">
        <f t="shared" si="108"/>
        <v>30646</v>
      </c>
      <c r="B146" s="19" t="str">
        <f t="shared" si="108"/>
        <v>UTB</v>
      </c>
      <c r="C146" s="58">
        <f t="shared" si="109"/>
        <v>8846.1371873943172</v>
      </c>
      <c r="D146" s="15">
        <f t="shared" si="110"/>
        <v>1092</v>
      </c>
      <c r="E146" s="14">
        <f t="shared" si="111"/>
        <v>628.17092451302005</v>
      </c>
      <c r="F146" s="14">
        <f t="shared" si="112"/>
        <v>1723.0618184368313</v>
      </c>
      <c r="G146" s="13">
        <f t="shared" si="113"/>
        <v>2097.7933333333553</v>
      </c>
      <c r="H146" s="15">
        <f t="shared" ref="H146:I146" si="119">H188*H$140</f>
        <v>711.1111111111112</v>
      </c>
      <c r="I146" s="15">
        <f t="shared" si="119"/>
        <v>93.333333333333343</v>
      </c>
      <c r="J146" s="15">
        <f t="shared" si="113"/>
        <v>124.33333333333333</v>
      </c>
      <c r="K146" s="13">
        <f t="shared" si="113"/>
        <v>18.333333333333332</v>
      </c>
      <c r="L146" s="16">
        <f t="shared" si="113"/>
        <v>374.66666666666669</v>
      </c>
      <c r="M146" s="15">
        <f t="shared" si="113"/>
        <v>1326.3333333333333</v>
      </c>
      <c r="N146" s="14">
        <f t="shared" si="113"/>
        <v>556.33333333333337</v>
      </c>
      <c r="O146" s="13">
        <f t="shared" si="113"/>
        <v>100.66666666666667</v>
      </c>
    </row>
    <row r="147" spans="1:15" ht="12.75" customHeight="1" outlineLevel="1" x14ac:dyDescent="0.2">
      <c r="A147" s="20">
        <f t="shared" si="108"/>
        <v>9930</v>
      </c>
      <c r="B147" s="19" t="str">
        <f t="shared" si="108"/>
        <v>UTPB</v>
      </c>
      <c r="C147" s="58">
        <f t="shared" si="109"/>
        <v>5134.9531766067485</v>
      </c>
      <c r="D147" s="15">
        <f t="shared" si="110"/>
        <v>533.33333333333337</v>
      </c>
      <c r="E147" s="14">
        <f t="shared" si="111"/>
        <v>236.8</v>
      </c>
      <c r="F147" s="14">
        <f t="shared" si="112"/>
        <v>1156.2587321623005</v>
      </c>
      <c r="G147" s="13">
        <f t="shared" si="113"/>
        <v>1001.5166666666704</v>
      </c>
      <c r="H147" s="15">
        <f t="shared" ref="H147:I147" si="120">H189*H$140</f>
        <v>524.44444444444446</v>
      </c>
      <c r="I147" s="15">
        <f t="shared" si="120"/>
        <v>0</v>
      </c>
      <c r="J147" s="15">
        <f t="shared" si="113"/>
        <v>41.333333333333336</v>
      </c>
      <c r="K147" s="13">
        <f t="shared" si="113"/>
        <v>10</v>
      </c>
      <c r="L147" s="16">
        <f t="shared" si="113"/>
        <v>159.60000000000002</v>
      </c>
      <c r="M147" s="15">
        <f t="shared" si="113"/>
        <v>785.66666666666663</v>
      </c>
      <c r="N147" s="14">
        <f t="shared" si="113"/>
        <v>491.66666666666669</v>
      </c>
      <c r="O147" s="13">
        <f t="shared" si="113"/>
        <v>194.33333333333334</v>
      </c>
    </row>
    <row r="148" spans="1:15" ht="12.75" customHeight="1" outlineLevel="1" x14ac:dyDescent="0.2">
      <c r="A148" s="20">
        <f t="shared" si="108"/>
        <v>10115</v>
      </c>
      <c r="B148" s="19" t="str">
        <f t="shared" si="108"/>
        <v>UTSA</v>
      </c>
      <c r="C148" s="58">
        <f t="shared" si="109"/>
        <v>35668.191149512757</v>
      </c>
      <c r="D148" s="15">
        <f t="shared" si="110"/>
        <v>4119.666666666667</v>
      </c>
      <c r="E148" s="14">
        <f t="shared" si="111"/>
        <v>1737.1261111111112</v>
      </c>
      <c r="F148" s="14">
        <f t="shared" si="112"/>
        <v>1012.0517050684201</v>
      </c>
      <c r="G148" s="13">
        <f t="shared" si="113"/>
        <v>8414.213333333224</v>
      </c>
      <c r="H148" s="15">
        <f t="shared" ref="H148:I148" si="121">H190*H$140</f>
        <v>3430</v>
      </c>
      <c r="I148" s="15">
        <f t="shared" si="121"/>
        <v>1380</v>
      </c>
      <c r="J148" s="15">
        <f t="shared" si="113"/>
        <v>392</v>
      </c>
      <c r="K148" s="13">
        <f t="shared" si="113"/>
        <v>49.666666666666664</v>
      </c>
      <c r="L148" s="16">
        <f t="shared" si="113"/>
        <v>1249.4666666666667</v>
      </c>
      <c r="M148" s="15">
        <f t="shared" si="113"/>
        <v>6809.666666666667</v>
      </c>
      <c r="N148" s="14">
        <f t="shared" si="113"/>
        <v>4458.666666666667</v>
      </c>
      <c r="O148" s="13">
        <f t="shared" si="113"/>
        <v>2615.6666666666665</v>
      </c>
    </row>
    <row r="149" spans="1:15" ht="12.75" customHeight="1" outlineLevel="1" x14ac:dyDescent="0.2">
      <c r="A149" s="20">
        <f t="shared" si="108"/>
        <v>11163</v>
      </c>
      <c r="B149" s="19" t="str">
        <f t="shared" si="108"/>
        <v>UTT</v>
      </c>
      <c r="C149" s="58">
        <f t="shared" si="109"/>
        <v>10563.690359190939</v>
      </c>
      <c r="D149" s="15">
        <f t="shared" si="110"/>
        <v>1190</v>
      </c>
      <c r="E149" s="14">
        <f t="shared" si="111"/>
        <v>613.64333333333343</v>
      </c>
      <c r="F149" s="14">
        <f t="shared" si="112"/>
        <v>1462.7870258575947</v>
      </c>
      <c r="G149" s="13">
        <f t="shared" si="113"/>
        <v>2362.6600000000103</v>
      </c>
      <c r="H149" s="15">
        <f t="shared" ref="H149:I149" si="122">H191*H$140</f>
        <v>1320</v>
      </c>
      <c r="I149" s="15">
        <f t="shared" si="122"/>
        <v>133.33333333333334</v>
      </c>
      <c r="J149" s="15">
        <f t="shared" si="113"/>
        <v>376.66666666666669</v>
      </c>
      <c r="K149" s="13">
        <f t="shared" si="113"/>
        <v>14</v>
      </c>
      <c r="L149" s="16">
        <f t="shared" si="113"/>
        <v>376.93333333333339</v>
      </c>
      <c r="M149" s="15">
        <f t="shared" si="113"/>
        <v>1436.3333333333333</v>
      </c>
      <c r="N149" s="14">
        <f t="shared" si="113"/>
        <v>890</v>
      </c>
      <c r="O149" s="13">
        <f t="shared" si="113"/>
        <v>387.33333333333331</v>
      </c>
    </row>
    <row r="150" spans="1:15" ht="12.75" customHeight="1" outlineLevel="1" x14ac:dyDescent="0.2">
      <c r="A150" s="20">
        <f t="shared" si="108"/>
        <v>3632</v>
      </c>
      <c r="B150" s="19" t="str">
        <f t="shared" si="108"/>
        <v>TAMU</v>
      </c>
      <c r="C150" s="58">
        <f t="shared" si="109"/>
        <v>88787.990772986697</v>
      </c>
      <c r="D150" s="15">
        <f t="shared" si="110"/>
        <v>8739.6666666666661</v>
      </c>
      <c r="E150" s="14">
        <f t="shared" si="111"/>
        <v>7347.1464444444427</v>
      </c>
      <c r="F150" s="14">
        <f t="shared" si="112"/>
        <v>1262.094328542134</v>
      </c>
      <c r="G150" s="13">
        <f t="shared" si="113"/>
        <v>20104.8166666668</v>
      </c>
      <c r="H150" s="15">
        <f t="shared" ref="H150:I150" si="123">H192*H$140</f>
        <v>7096.666666666667</v>
      </c>
      <c r="I150" s="15">
        <f t="shared" si="123"/>
        <v>14993.333333333332</v>
      </c>
      <c r="J150" s="15">
        <f t="shared" si="113"/>
        <v>1763</v>
      </c>
      <c r="K150" s="13">
        <f t="shared" si="113"/>
        <v>126</v>
      </c>
      <c r="L150" s="16">
        <f t="shared" si="113"/>
        <v>1489.6000000000001</v>
      </c>
      <c r="M150" s="15">
        <f t="shared" si="113"/>
        <v>10060.666666666666</v>
      </c>
      <c r="N150" s="14">
        <f t="shared" si="113"/>
        <v>8907.3333333333339</v>
      </c>
      <c r="O150" s="13">
        <f t="shared" si="113"/>
        <v>6897.666666666667</v>
      </c>
    </row>
    <row r="151" spans="1:15" ht="12.75" customHeight="1" outlineLevel="1" x14ac:dyDescent="0.2">
      <c r="A151" s="20">
        <f t="shared" si="108"/>
        <v>10298</v>
      </c>
      <c r="B151" s="19" t="str">
        <f t="shared" si="108"/>
        <v>TAMUG</v>
      </c>
      <c r="C151" s="58">
        <f t="shared" si="109"/>
        <v>4918.3762524354061</v>
      </c>
      <c r="D151" s="15">
        <f>D193*D$140*1.5</f>
        <v>413</v>
      </c>
      <c r="E151" s="14">
        <f>D193*E193*E$140*1.5</f>
        <v>259.08866666666665</v>
      </c>
      <c r="F151" s="14">
        <f>IFERROR(D193/F193*100*F$140,0)*1.5</f>
        <v>1229.9475857687421</v>
      </c>
      <c r="G151" s="13">
        <f t="shared" ref="G151:O151" si="124">G193*G$140*1.5</f>
        <v>1056.0399999999968</v>
      </c>
      <c r="H151" s="15">
        <f t="shared" ref="H151:I151" si="125">H193*H$140*1.5</f>
        <v>55.000000000000007</v>
      </c>
      <c r="I151" s="15">
        <f t="shared" si="125"/>
        <v>20</v>
      </c>
      <c r="J151" s="15">
        <f t="shared" si="124"/>
        <v>56</v>
      </c>
      <c r="K151" s="13">
        <f t="shared" si="124"/>
        <v>0</v>
      </c>
      <c r="L151" s="16">
        <f t="shared" si="124"/>
        <v>94.800000000000011</v>
      </c>
      <c r="M151" s="15">
        <f t="shared" si="124"/>
        <v>888.5</v>
      </c>
      <c r="N151" s="14">
        <f t="shared" si="124"/>
        <v>477</v>
      </c>
      <c r="O151" s="13">
        <f t="shared" si="124"/>
        <v>369</v>
      </c>
    </row>
    <row r="152" spans="1:15" ht="12.75" customHeight="1" outlineLevel="1" x14ac:dyDescent="0.2">
      <c r="A152" s="20">
        <f t="shared" si="108"/>
        <v>3630</v>
      </c>
      <c r="B152" s="19" t="str">
        <f t="shared" si="108"/>
        <v>Prairie View</v>
      </c>
      <c r="C152" s="58">
        <f t="shared" si="109"/>
        <v>10516.932734598187</v>
      </c>
      <c r="D152" s="15">
        <f t="shared" ref="D152:D178" si="126">D194*D$140</f>
        <v>936.33333333333337</v>
      </c>
      <c r="E152" s="14">
        <f t="shared" ref="E152:E178" si="127">D194*E194*E$140</f>
        <v>348.00388888888887</v>
      </c>
      <c r="F152" s="14">
        <f t="shared" ref="F152:F178" si="128">IFERROR(D194/F194*100*F$140,0)</f>
        <v>791.18440126484359</v>
      </c>
      <c r="G152" s="13">
        <f t="shared" ref="G152:O167" si="129">G194*G$140</f>
        <v>2072.9000000000092</v>
      </c>
      <c r="H152" s="15">
        <f t="shared" ref="H152:I152" si="130">H194*H$140</f>
        <v>1701.1111111111111</v>
      </c>
      <c r="I152" s="15">
        <f t="shared" si="130"/>
        <v>266.66666666666669</v>
      </c>
      <c r="J152" s="15">
        <f t="shared" si="129"/>
        <v>315.66666666666669</v>
      </c>
      <c r="K152" s="13">
        <f t="shared" si="129"/>
        <v>9.6666666666666661</v>
      </c>
      <c r="L152" s="16">
        <f t="shared" si="129"/>
        <v>321.06666666666666</v>
      </c>
      <c r="M152" s="15">
        <f t="shared" si="129"/>
        <v>1668</v>
      </c>
      <c r="N152" s="14">
        <f t="shared" si="129"/>
        <v>1181</v>
      </c>
      <c r="O152" s="13">
        <f t="shared" si="129"/>
        <v>905.33333333333337</v>
      </c>
    </row>
    <row r="153" spans="1:15" ht="12.75" customHeight="1" outlineLevel="1" x14ac:dyDescent="0.2">
      <c r="A153" s="20">
        <f t="shared" si="108"/>
        <v>3631</v>
      </c>
      <c r="B153" s="19" t="str">
        <f t="shared" si="108"/>
        <v>Tarleton</v>
      </c>
      <c r="C153" s="58">
        <f t="shared" si="109"/>
        <v>13091.089943171864</v>
      </c>
      <c r="D153" s="15">
        <f t="shared" si="126"/>
        <v>1545.3333333333333</v>
      </c>
      <c r="E153" s="14">
        <f t="shared" si="127"/>
        <v>738.66933333333338</v>
      </c>
      <c r="F153" s="14">
        <f t="shared" si="128"/>
        <v>1227.988387616283</v>
      </c>
      <c r="G153" s="13">
        <f t="shared" si="129"/>
        <v>3122.5433333333599</v>
      </c>
      <c r="H153" s="15">
        <f t="shared" ref="H153:I153" si="131">H195*H$140</f>
        <v>1188.8888888888889</v>
      </c>
      <c r="I153" s="15">
        <f t="shared" si="131"/>
        <v>193.33333333333331</v>
      </c>
      <c r="J153" s="15">
        <f t="shared" si="129"/>
        <v>203</v>
      </c>
      <c r="K153" s="13">
        <f t="shared" si="129"/>
        <v>47.666666666666664</v>
      </c>
      <c r="L153" s="16">
        <f t="shared" si="129"/>
        <v>478</v>
      </c>
      <c r="M153" s="15">
        <f t="shared" si="129"/>
        <v>2154.3333333333335</v>
      </c>
      <c r="N153" s="14">
        <f t="shared" si="129"/>
        <v>1328.6666666666667</v>
      </c>
      <c r="O153" s="13">
        <f t="shared" si="129"/>
        <v>862.66666666666663</v>
      </c>
    </row>
    <row r="154" spans="1:15" ht="12.75" customHeight="1" outlineLevel="1" x14ac:dyDescent="0.2">
      <c r="A154" s="27">
        <f t="shared" si="108"/>
        <v>103631</v>
      </c>
      <c r="B154" s="19" t="str">
        <f t="shared" si="108"/>
        <v>TAMUCT</v>
      </c>
      <c r="C154" s="58">
        <f t="shared" si="109"/>
        <v>6467.9595872114733</v>
      </c>
      <c r="D154" s="15">
        <f t="shared" si="126"/>
        <v>460.33333333333331</v>
      </c>
      <c r="E154" s="14">
        <f t="shared" si="127"/>
        <v>220.03933333333333</v>
      </c>
      <c r="F154" s="14">
        <f t="shared" si="128"/>
        <v>3379.3924761003623</v>
      </c>
      <c r="G154" s="13">
        <f t="shared" si="129"/>
        <v>853.61666666666588</v>
      </c>
      <c r="H154" s="15">
        <f t="shared" ref="H154:I154" si="132">H196*H$140</f>
        <v>721.1111111111112</v>
      </c>
      <c r="I154" s="15">
        <f t="shared" si="132"/>
        <v>0</v>
      </c>
      <c r="J154" s="15">
        <f t="shared" si="129"/>
        <v>40.666666666666664</v>
      </c>
      <c r="K154" s="13">
        <f t="shared" si="129"/>
        <v>0</v>
      </c>
      <c r="L154" s="16">
        <f t="shared" si="129"/>
        <v>130.80000000000001</v>
      </c>
      <c r="M154" s="15">
        <f t="shared" si="129"/>
        <v>495</v>
      </c>
      <c r="N154" s="14">
        <f t="shared" si="129"/>
        <v>133</v>
      </c>
      <c r="O154" s="13">
        <f t="shared" si="129"/>
        <v>34</v>
      </c>
    </row>
    <row r="155" spans="1:15" ht="12.75" customHeight="1" outlineLevel="1" x14ac:dyDescent="0.2">
      <c r="A155" s="20">
        <f t="shared" si="108"/>
        <v>11161</v>
      </c>
      <c r="B155" s="19" t="str">
        <f t="shared" si="108"/>
        <v>TAMUCC</v>
      </c>
      <c r="C155" s="58">
        <f t="shared" si="109"/>
        <v>13295.410147585497</v>
      </c>
      <c r="D155" s="15">
        <f t="shared" si="126"/>
        <v>1388.3333333333333</v>
      </c>
      <c r="E155" s="14">
        <f t="shared" si="127"/>
        <v>705.27333333333331</v>
      </c>
      <c r="F155" s="14">
        <f t="shared" si="128"/>
        <v>1068.8257031410387</v>
      </c>
      <c r="G155" s="13">
        <f t="shared" si="129"/>
        <v>2804.2000000000139</v>
      </c>
      <c r="H155" s="15">
        <f t="shared" ref="H155:I155" si="133">H197*H$140</f>
        <v>1671.1111111111111</v>
      </c>
      <c r="I155" s="15">
        <f t="shared" si="133"/>
        <v>533.33333333333337</v>
      </c>
      <c r="J155" s="15">
        <f t="shared" si="129"/>
        <v>266.33333333333331</v>
      </c>
      <c r="K155" s="13">
        <f t="shared" si="129"/>
        <v>25.666666666666668</v>
      </c>
      <c r="L155" s="16">
        <f t="shared" si="129"/>
        <v>432</v>
      </c>
      <c r="M155" s="15">
        <f t="shared" si="129"/>
        <v>2054</v>
      </c>
      <c r="N155" s="14">
        <f t="shared" si="129"/>
        <v>1468</v>
      </c>
      <c r="O155" s="13">
        <f t="shared" si="129"/>
        <v>878.33333333333337</v>
      </c>
    </row>
    <row r="156" spans="1:15" ht="12.75" customHeight="1" outlineLevel="1" x14ac:dyDescent="0.2">
      <c r="A156" s="20">
        <f t="shared" si="108"/>
        <v>3639</v>
      </c>
      <c r="B156" s="19" t="str">
        <f t="shared" si="108"/>
        <v>TAMUK</v>
      </c>
      <c r="C156" s="58">
        <f t="shared" si="109"/>
        <v>8731.6499608763752</v>
      </c>
      <c r="D156" s="15">
        <f t="shared" si="126"/>
        <v>761.66666666666663</v>
      </c>
      <c r="E156" s="14">
        <f t="shared" si="127"/>
        <v>306.44388888888892</v>
      </c>
      <c r="F156" s="14">
        <f t="shared" si="128"/>
        <v>893.97496087636932</v>
      </c>
      <c r="G156" s="13">
        <f t="shared" si="129"/>
        <v>1763.4533333333395</v>
      </c>
      <c r="H156" s="15">
        <f t="shared" ref="H156:I156" si="134">H198*H$140</f>
        <v>1364.4444444444443</v>
      </c>
      <c r="I156" s="15">
        <f t="shared" si="134"/>
        <v>460</v>
      </c>
      <c r="J156" s="15">
        <f t="shared" si="129"/>
        <v>260</v>
      </c>
      <c r="K156" s="13">
        <f t="shared" si="129"/>
        <v>16.666666666666668</v>
      </c>
      <c r="L156" s="16">
        <f t="shared" si="129"/>
        <v>259.33333333333337</v>
      </c>
      <c r="M156" s="15">
        <f t="shared" si="129"/>
        <v>1227.3333333333333</v>
      </c>
      <c r="N156" s="14">
        <f t="shared" si="129"/>
        <v>859.66666666666663</v>
      </c>
      <c r="O156" s="13">
        <f t="shared" si="129"/>
        <v>558.66666666666663</v>
      </c>
    </row>
    <row r="157" spans="1:15" ht="12.75" customHeight="1" outlineLevel="1" x14ac:dyDescent="0.2">
      <c r="A157" s="27">
        <f t="shared" si="108"/>
        <v>103639</v>
      </c>
      <c r="B157" s="19" t="str">
        <f t="shared" si="108"/>
        <v>TAMUSA</v>
      </c>
      <c r="C157" s="58">
        <f t="shared" si="109"/>
        <v>5565.0652353796622</v>
      </c>
      <c r="D157" s="15">
        <f t="shared" si="126"/>
        <v>587.66666666666663</v>
      </c>
      <c r="E157" s="14">
        <f t="shared" si="127"/>
        <v>236.43788888888889</v>
      </c>
      <c r="F157" s="14">
        <f t="shared" si="128"/>
        <v>2079.9251242685459</v>
      </c>
      <c r="G157" s="13">
        <f t="shared" si="129"/>
        <v>1026.0133333333379</v>
      </c>
      <c r="H157" s="15">
        <f t="shared" ref="H157:I157" si="135">H199*H$140</f>
        <v>622.22222222222217</v>
      </c>
      <c r="I157" s="15">
        <f t="shared" si="135"/>
        <v>0</v>
      </c>
      <c r="J157" s="15">
        <f t="shared" si="129"/>
        <v>5</v>
      </c>
      <c r="K157" s="13">
        <f t="shared" si="129"/>
        <v>2</v>
      </c>
      <c r="L157" s="16">
        <f t="shared" si="129"/>
        <v>196.13333333333333</v>
      </c>
      <c r="M157" s="15">
        <f t="shared" si="129"/>
        <v>729.66666666666663</v>
      </c>
      <c r="N157" s="14">
        <f t="shared" si="129"/>
        <v>77.333333333333329</v>
      </c>
      <c r="O157" s="13">
        <f t="shared" si="129"/>
        <v>2.6666666666666665</v>
      </c>
    </row>
    <row r="158" spans="1:15" ht="12.75" customHeight="1" outlineLevel="1" x14ac:dyDescent="0.2">
      <c r="A158" s="20">
        <f t="shared" si="108"/>
        <v>9651</v>
      </c>
      <c r="B158" s="19" t="str">
        <f t="shared" si="108"/>
        <v>TAMI</v>
      </c>
      <c r="C158" s="58">
        <f t="shared" si="109"/>
        <v>7893.9799396312674</v>
      </c>
      <c r="D158" s="15">
        <f t="shared" si="126"/>
        <v>789.66666666666663</v>
      </c>
      <c r="E158" s="14">
        <f t="shared" si="127"/>
        <v>373.77555555555551</v>
      </c>
      <c r="F158" s="14">
        <f t="shared" si="128"/>
        <v>966.30771740903901</v>
      </c>
      <c r="G158" s="13">
        <f t="shared" si="129"/>
        <v>1458.4966666666717</v>
      </c>
      <c r="H158" s="15">
        <f t="shared" ref="H158:I158" si="136">H200*H$140</f>
        <v>900</v>
      </c>
      <c r="I158" s="15">
        <f t="shared" si="136"/>
        <v>86.666666666666657</v>
      </c>
      <c r="J158" s="15">
        <f t="shared" si="129"/>
        <v>115.66666666666667</v>
      </c>
      <c r="K158" s="13">
        <f t="shared" si="129"/>
        <v>22.333333333333332</v>
      </c>
      <c r="L158" s="16">
        <f t="shared" si="129"/>
        <v>285.06666666666666</v>
      </c>
      <c r="M158" s="15">
        <f t="shared" si="129"/>
        <v>1406.6666666666667</v>
      </c>
      <c r="N158" s="14">
        <f t="shared" si="129"/>
        <v>1015.6666666666666</v>
      </c>
      <c r="O158" s="13">
        <f t="shared" si="129"/>
        <v>473.66666666666669</v>
      </c>
    </row>
    <row r="159" spans="1:15" ht="12.75" customHeight="1" outlineLevel="1" x14ac:dyDescent="0.2">
      <c r="A159" s="20">
        <f t="shared" si="108"/>
        <v>3665</v>
      </c>
      <c r="B159" s="19" t="str">
        <f t="shared" si="108"/>
        <v>WTAMU</v>
      </c>
      <c r="C159" s="58">
        <f t="shared" si="109"/>
        <v>10985.585426034995</v>
      </c>
      <c r="D159" s="15">
        <f t="shared" si="126"/>
        <v>1255.6666666666667</v>
      </c>
      <c r="E159" s="14">
        <f t="shared" si="127"/>
        <v>591.00044444444438</v>
      </c>
      <c r="F159" s="14">
        <f t="shared" si="128"/>
        <v>1159.3860927016435</v>
      </c>
      <c r="G159" s="13">
        <f t="shared" si="129"/>
        <v>2503.5766666666836</v>
      </c>
      <c r="H159" s="15">
        <f t="shared" ref="H159:I159" si="137">H201*H$140</f>
        <v>1155.5555555555557</v>
      </c>
      <c r="I159" s="15">
        <f t="shared" si="137"/>
        <v>46.666666666666671</v>
      </c>
      <c r="J159" s="15">
        <f t="shared" si="129"/>
        <v>191.66666666666666</v>
      </c>
      <c r="K159" s="13">
        <f t="shared" si="129"/>
        <v>60.666666666666664</v>
      </c>
      <c r="L159" s="16">
        <f t="shared" si="129"/>
        <v>355.73333333333335</v>
      </c>
      <c r="M159" s="15">
        <f t="shared" si="129"/>
        <v>1791.6666666666667</v>
      </c>
      <c r="N159" s="14">
        <f t="shared" si="129"/>
        <v>1212.6666666666667</v>
      </c>
      <c r="O159" s="13">
        <f t="shared" si="129"/>
        <v>661.33333333333337</v>
      </c>
    </row>
    <row r="160" spans="1:15" ht="12.75" customHeight="1" outlineLevel="1" x14ac:dyDescent="0.2">
      <c r="A160" s="20">
        <f t="shared" si="108"/>
        <v>3565</v>
      </c>
      <c r="B160" s="19" t="str">
        <f t="shared" si="108"/>
        <v>TAMUC</v>
      </c>
      <c r="C160" s="58">
        <f t="shared" si="109"/>
        <v>14780.816212579062</v>
      </c>
      <c r="D160" s="15">
        <f t="shared" si="126"/>
        <v>1324.3333333333333</v>
      </c>
      <c r="E160" s="14">
        <f t="shared" si="127"/>
        <v>582.70666666666659</v>
      </c>
      <c r="F160" s="14">
        <f t="shared" si="128"/>
        <v>1409.7717681345925</v>
      </c>
      <c r="G160" s="13">
        <f t="shared" si="129"/>
        <v>2501.8266666666914</v>
      </c>
      <c r="H160" s="15">
        <f t="shared" ref="H160:I160" si="138">H202*H$140</f>
        <v>4077.7777777777778</v>
      </c>
      <c r="I160" s="15">
        <f t="shared" si="138"/>
        <v>846.66666666666674</v>
      </c>
      <c r="J160" s="15">
        <f t="shared" si="129"/>
        <v>73</v>
      </c>
      <c r="K160" s="13">
        <f t="shared" si="129"/>
        <v>74.333333333333329</v>
      </c>
      <c r="L160" s="16">
        <f t="shared" si="129"/>
        <v>407.73333333333335</v>
      </c>
      <c r="M160" s="15">
        <f t="shared" si="129"/>
        <v>1893</v>
      </c>
      <c r="N160" s="14">
        <f t="shared" si="129"/>
        <v>1137.3333333333333</v>
      </c>
      <c r="O160" s="13">
        <f t="shared" si="129"/>
        <v>452.33333333333331</v>
      </c>
    </row>
    <row r="161" spans="1:15" ht="12.75" customHeight="1" outlineLevel="1" x14ac:dyDescent="0.2">
      <c r="A161" s="20">
        <f t="shared" ref="A161:B178" si="139">A25</f>
        <v>29269</v>
      </c>
      <c r="B161" s="19" t="str">
        <f t="shared" si="139"/>
        <v>TAMUT</v>
      </c>
      <c r="C161" s="58">
        <f t="shared" si="109"/>
        <v>4409.9657973339599</v>
      </c>
      <c r="D161" s="15">
        <f t="shared" si="126"/>
        <v>345.66666666666669</v>
      </c>
      <c r="E161" s="14">
        <f t="shared" si="127"/>
        <v>187.3602625468375</v>
      </c>
      <c r="F161" s="14">
        <f t="shared" si="128"/>
        <v>1938.3177570093458</v>
      </c>
      <c r="G161" s="13">
        <f t="shared" si="129"/>
        <v>619.90999999999826</v>
      </c>
      <c r="H161" s="15">
        <f t="shared" ref="H161:I161" si="140">H203*H$140</f>
        <v>547.77777777777783</v>
      </c>
      <c r="I161" s="15">
        <f t="shared" si="140"/>
        <v>0</v>
      </c>
      <c r="J161" s="15">
        <f t="shared" si="129"/>
        <v>41.666666666666664</v>
      </c>
      <c r="K161" s="13">
        <f t="shared" si="129"/>
        <v>19.333333333333332</v>
      </c>
      <c r="L161" s="16">
        <f t="shared" si="129"/>
        <v>95.600000000000009</v>
      </c>
      <c r="M161" s="15">
        <f t="shared" si="129"/>
        <v>432.66666666666669</v>
      </c>
      <c r="N161" s="14">
        <f t="shared" si="129"/>
        <v>181</v>
      </c>
      <c r="O161" s="13">
        <f t="shared" si="129"/>
        <v>0.66666666666666663</v>
      </c>
    </row>
    <row r="162" spans="1:15" ht="12.75" customHeight="1" outlineLevel="1" x14ac:dyDescent="0.2">
      <c r="A162" s="20">
        <f t="shared" si="139"/>
        <v>3652</v>
      </c>
      <c r="B162" s="19" t="str">
        <f t="shared" si="139"/>
        <v>UH</v>
      </c>
      <c r="C162" s="58">
        <f t="shared" si="109"/>
        <v>60073.617372789507</v>
      </c>
      <c r="D162" s="15">
        <f t="shared" si="126"/>
        <v>5098.666666666667</v>
      </c>
      <c r="E162" s="14">
        <f t="shared" si="127"/>
        <v>2734.5848888888891</v>
      </c>
      <c r="F162" s="14">
        <f t="shared" si="128"/>
        <v>1071.2524839013313</v>
      </c>
      <c r="G162" s="13">
        <f t="shared" si="129"/>
        <v>10580.246666665944</v>
      </c>
      <c r="H162" s="15">
        <f t="shared" ref="H162:I162" si="141">H204*H$140</f>
        <v>6313.3333333333339</v>
      </c>
      <c r="I162" s="15">
        <f t="shared" si="141"/>
        <v>15526.666666666668</v>
      </c>
      <c r="J162" s="15">
        <f t="shared" si="129"/>
        <v>737</v>
      </c>
      <c r="K162" s="13">
        <f t="shared" si="129"/>
        <v>62.666666666666664</v>
      </c>
      <c r="L162" s="16">
        <f t="shared" si="129"/>
        <v>1349.2</v>
      </c>
      <c r="M162" s="15">
        <f t="shared" si="129"/>
        <v>7602.333333333333</v>
      </c>
      <c r="N162" s="14">
        <f t="shared" si="129"/>
        <v>5690.333333333333</v>
      </c>
      <c r="O162" s="13">
        <f t="shared" si="129"/>
        <v>3307.3333333333335</v>
      </c>
    </row>
    <row r="163" spans="1:15" ht="12.75" customHeight="1" outlineLevel="1" x14ac:dyDescent="0.2">
      <c r="A163" s="20">
        <f t="shared" si="139"/>
        <v>11711</v>
      </c>
      <c r="B163" s="19" t="str">
        <f t="shared" si="139"/>
        <v>UHCL</v>
      </c>
      <c r="C163" s="58">
        <f t="shared" si="109"/>
        <v>12634.375678430504</v>
      </c>
      <c r="D163" s="15">
        <f t="shared" si="126"/>
        <v>1190.6666666666667</v>
      </c>
      <c r="E163" s="14">
        <f t="shared" si="127"/>
        <v>619.34267935898833</v>
      </c>
      <c r="F163" s="14">
        <f t="shared" si="128"/>
        <v>1984.6796657381617</v>
      </c>
      <c r="G163" s="13">
        <f t="shared" si="129"/>
        <v>2282.9533333333529</v>
      </c>
      <c r="H163" s="15">
        <f t="shared" ref="H163:I163" si="142">H205*H$140</f>
        <v>3550</v>
      </c>
      <c r="I163" s="15">
        <f t="shared" si="142"/>
        <v>180</v>
      </c>
      <c r="J163" s="15">
        <f t="shared" si="129"/>
        <v>106.66666666666667</v>
      </c>
      <c r="K163" s="13">
        <f t="shared" si="129"/>
        <v>8.3333333333333339</v>
      </c>
      <c r="L163" s="16">
        <f t="shared" si="129"/>
        <v>309.73333333333335</v>
      </c>
      <c r="M163" s="15">
        <f t="shared" si="129"/>
        <v>1391.3333333333333</v>
      </c>
      <c r="N163" s="14">
        <f t="shared" si="129"/>
        <v>953.66666666666663</v>
      </c>
      <c r="O163" s="13">
        <f t="shared" si="129"/>
        <v>57</v>
      </c>
    </row>
    <row r="164" spans="1:15" ht="12.75" customHeight="1" outlineLevel="1" x14ac:dyDescent="0.2">
      <c r="A164" s="20">
        <f t="shared" si="139"/>
        <v>12826</v>
      </c>
      <c r="B164" s="19" t="str">
        <f t="shared" si="139"/>
        <v>UHD</v>
      </c>
      <c r="C164" s="58">
        <f t="shared" si="109"/>
        <v>15138.900482043249</v>
      </c>
      <c r="D164" s="15">
        <f t="shared" si="126"/>
        <v>2382.3333333333335</v>
      </c>
      <c r="E164" s="14">
        <f t="shared" si="127"/>
        <v>452.64333333333343</v>
      </c>
      <c r="F164" s="14">
        <f t="shared" si="128"/>
        <v>1491.6515931543067</v>
      </c>
      <c r="G164" s="13">
        <f t="shared" si="129"/>
        <v>4271.3166666667212</v>
      </c>
      <c r="H164" s="15">
        <f t="shared" ref="H164:I164" si="143">H206*H$140</f>
        <v>158.88888888888889</v>
      </c>
      <c r="I164" s="15">
        <f t="shared" si="143"/>
        <v>0</v>
      </c>
      <c r="J164" s="15">
        <f t="shared" si="129"/>
        <v>129.66666666666666</v>
      </c>
      <c r="K164" s="13">
        <f t="shared" si="129"/>
        <v>1.6666666666666667</v>
      </c>
      <c r="L164" s="16">
        <f t="shared" si="129"/>
        <v>672.40000000000009</v>
      </c>
      <c r="M164" s="15">
        <f t="shared" si="129"/>
        <v>3105.3333333333335</v>
      </c>
      <c r="N164" s="14">
        <f t="shared" si="129"/>
        <v>1868.3333333333333</v>
      </c>
      <c r="O164" s="13">
        <f t="shared" si="129"/>
        <v>604.66666666666663</v>
      </c>
    </row>
    <row r="165" spans="1:15" ht="12.75" customHeight="1" outlineLevel="1" x14ac:dyDescent="0.2">
      <c r="A165" s="20">
        <f t="shared" si="139"/>
        <v>13231</v>
      </c>
      <c r="B165" s="19" t="str">
        <f t="shared" si="139"/>
        <v>UHV</v>
      </c>
      <c r="C165" s="58">
        <f t="shared" si="109"/>
        <v>6602.3967963506921</v>
      </c>
      <c r="D165" s="15">
        <f t="shared" si="126"/>
        <v>576.66666666666663</v>
      </c>
      <c r="E165" s="14">
        <f t="shared" si="127"/>
        <v>300.19546283886069</v>
      </c>
      <c r="F165" s="14">
        <f t="shared" si="128"/>
        <v>2004.2324446229416</v>
      </c>
      <c r="G165" s="13">
        <f t="shared" si="129"/>
        <v>1084.4800000000012</v>
      </c>
      <c r="H165" s="15">
        <f t="shared" ref="H165:I165" si="144">H207*H$140</f>
        <v>1348.8888888888889</v>
      </c>
      <c r="I165" s="15">
        <f t="shared" si="144"/>
        <v>0</v>
      </c>
      <c r="J165" s="15">
        <f t="shared" si="129"/>
        <v>108</v>
      </c>
      <c r="K165" s="13">
        <f t="shared" si="129"/>
        <v>7.333333333333333</v>
      </c>
      <c r="L165" s="16">
        <f t="shared" si="129"/>
        <v>153.60000000000002</v>
      </c>
      <c r="M165" s="15">
        <f t="shared" si="129"/>
        <v>716</v>
      </c>
      <c r="N165" s="14">
        <f t="shared" si="129"/>
        <v>296.33333333333331</v>
      </c>
      <c r="O165" s="13">
        <f t="shared" si="129"/>
        <v>6.666666666666667</v>
      </c>
    </row>
    <row r="166" spans="1:15" ht="12.75" customHeight="1" outlineLevel="1" x14ac:dyDescent="0.2">
      <c r="A166" s="20">
        <f t="shared" si="139"/>
        <v>3592</v>
      </c>
      <c r="B166" s="19" t="str">
        <f t="shared" si="139"/>
        <v>Midwestern</v>
      </c>
      <c r="C166" s="58">
        <f t="shared" si="109"/>
        <v>9130.0605518461762</v>
      </c>
      <c r="D166" s="15">
        <f t="shared" si="126"/>
        <v>1031.6666666666667</v>
      </c>
      <c r="E166" s="14">
        <f t="shared" si="127"/>
        <v>453.24555555555554</v>
      </c>
      <c r="F166" s="14">
        <f t="shared" si="128"/>
        <v>1206.12610740173</v>
      </c>
      <c r="G166" s="13">
        <f t="shared" si="129"/>
        <v>1962.0000000000034</v>
      </c>
      <c r="H166" s="15">
        <f t="shared" ref="H166:I166" si="145">H208*H$140</f>
        <v>688.88888888888891</v>
      </c>
      <c r="I166" s="15">
        <f t="shared" si="145"/>
        <v>0</v>
      </c>
      <c r="J166" s="15">
        <f t="shared" si="129"/>
        <v>333.33333333333331</v>
      </c>
      <c r="K166" s="13">
        <f t="shared" si="129"/>
        <v>15</v>
      </c>
      <c r="L166" s="16">
        <f t="shared" si="129"/>
        <v>276.13333333333338</v>
      </c>
      <c r="M166" s="15">
        <f t="shared" si="129"/>
        <v>1438</v>
      </c>
      <c r="N166" s="14">
        <f t="shared" si="129"/>
        <v>1046</v>
      </c>
      <c r="O166" s="13">
        <f t="shared" si="129"/>
        <v>679.66666666666663</v>
      </c>
    </row>
    <row r="167" spans="1:15" ht="12.75" customHeight="1" outlineLevel="1" x14ac:dyDescent="0.2">
      <c r="A167" s="20">
        <f t="shared" si="139"/>
        <v>3594</v>
      </c>
      <c r="B167" s="19" t="str">
        <f t="shared" si="139"/>
        <v>UNT</v>
      </c>
      <c r="C167" s="58">
        <f t="shared" si="109"/>
        <v>51589.950561636731</v>
      </c>
      <c r="D167" s="15">
        <f t="shared" si="126"/>
        <v>6016.666666666667</v>
      </c>
      <c r="E167" s="14">
        <f t="shared" si="127"/>
        <v>3467.6055555555558</v>
      </c>
      <c r="F167" s="14">
        <f t="shared" si="128"/>
        <v>1294.3472283042063</v>
      </c>
      <c r="G167" s="13">
        <f t="shared" si="129"/>
        <v>11411.553333332529</v>
      </c>
      <c r="H167" s="15">
        <f t="shared" ref="H167:I167" si="146">H209*H$140</f>
        <v>6101.1111111111113</v>
      </c>
      <c r="I167" s="15">
        <f t="shared" si="146"/>
        <v>4546.666666666667</v>
      </c>
      <c r="J167" s="15">
        <f t="shared" si="129"/>
        <v>336.66666666666669</v>
      </c>
      <c r="K167" s="13">
        <f t="shared" si="129"/>
        <v>43.333333333333336</v>
      </c>
      <c r="L167" s="16">
        <f t="shared" si="129"/>
        <v>1528</v>
      </c>
      <c r="M167" s="15">
        <f t="shared" si="129"/>
        <v>7864.666666666667</v>
      </c>
      <c r="N167" s="14">
        <f t="shared" si="129"/>
        <v>5642.333333333333</v>
      </c>
      <c r="O167" s="13">
        <f t="shared" si="129"/>
        <v>3337</v>
      </c>
    </row>
    <row r="168" spans="1:15" ht="12.75" customHeight="1" outlineLevel="1" x14ac:dyDescent="0.2">
      <c r="A168" s="27">
        <f t="shared" si="139"/>
        <v>113594</v>
      </c>
      <c r="B168" s="19" t="str">
        <f t="shared" si="139"/>
        <v>UNTD</v>
      </c>
      <c r="C168" s="58">
        <f t="shared" si="109"/>
        <v>4170.6445532694452</v>
      </c>
      <c r="D168" s="15">
        <f t="shared" si="126"/>
        <v>403.5</v>
      </c>
      <c r="E168" s="14">
        <f t="shared" si="127"/>
        <v>233.02125000000001</v>
      </c>
      <c r="F168" s="14">
        <f t="shared" si="128"/>
        <v>2132.3633032694474</v>
      </c>
      <c r="G168" s="13">
        <f t="shared" ref="G168:O178" si="147">G210*G$140</f>
        <v>705.85999999999717</v>
      </c>
      <c r="H168" s="15">
        <f t="shared" ref="H168:I168" si="148">H210*H$140</f>
        <v>0</v>
      </c>
      <c r="I168" s="15">
        <f t="shared" si="148"/>
        <v>0</v>
      </c>
      <c r="J168" s="15">
        <f t="shared" si="147"/>
        <v>12</v>
      </c>
      <c r="K168" s="13">
        <f t="shared" si="147"/>
        <v>0</v>
      </c>
      <c r="L168" s="16">
        <f t="shared" si="147"/>
        <v>123.4</v>
      </c>
      <c r="M168" s="15">
        <f t="shared" si="147"/>
        <v>478</v>
      </c>
      <c r="N168" s="14">
        <f t="shared" si="147"/>
        <v>71.5</v>
      </c>
      <c r="O168" s="13">
        <f t="shared" si="147"/>
        <v>11</v>
      </c>
    </row>
    <row r="169" spans="1:15" ht="12.75" customHeight="1" outlineLevel="1" x14ac:dyDescent="0.2">
      <c r="A169" s="20">
        <f t="shared" si="139"/>
        <v>3624</v>
      </c>
      <c r="B169" s="19" t="str">
        <f t="shared" si="139"/>
        <v>SFA</v>
      </c>
      <c r="C169" s="58">
        <f t="shared" si="109"/>
        <v>16561.572771059753</v>
      </c>
      <c r="D169" s="15">
        <f t="shared" si="126"/>
        <v>1921.6666666666667</v>
      </c>
      <c r="E169" s="14">
        <f t="shared" si="127"/>
        <v>1064.6033333333332</v>
      </c>
      <c r="F169" s="14">
        <f t="shared" si="128"/>
        <v>1012.8772155041958</v>
      </c>
      <c r="G169" s="13">
        <f t="shared" si="147"/>
        <v>3721.736666666669</v>
      </c>
      <c r="H169" s="15">
        <f t="shared" ref="H169:I169" si="149">H211*H$140</f>
        <v>1462.2222222222224</v>
      </c>
      <c r="I169" s="15">
        <f t="shared" si="149"/>
        <v>260</v>
      </c>
      <c r="J169" s="15">
        <f t="shared" si="147"/>
        <v>248</v>
      </c>
      <c r="K169" s="13">
        <f t="shared" si="147"/>
        <v>44.666666666666664</v>
      </c>
      <c r="L169" s="16">
        <f t="shared" si="147"/>
        <v>584.13333333333333</v>
      </c>
      <c r="M169" s="15">
        <f t="shared" si="147"/>
        <v>2769.3333333333335</v>
      </c>
      <c r="N169" s="14">
        <f t="shared" si="147"/>
        <v>2075</v>
      </c>
      <c r="O169" s="13">
        <f t="shared" si="147"/>
        <v>1397.3333333333333</v>
      </c>
    </row>
    <row r="170" spans="1:15" ht="12.75" customHeight="1" outlineLevel="1" x14ac:dyDescent="0.2">
      <c r="A170" s="20">
        <f t="shared" si="139"/>
        <v>3642</v>
      </c>
      <c r="B170" s="19" t="str">
        <f t="shared" si="139"/>
        <v>TSU</v>
      </c>
      <c r="C170" s="58">
        <f t="shared" si="109"/>
        <v>13529.929050544637</v>
      </c>
      <c r="D170" s="15">
        <f t="shared" si="126"/>
        <v>758.33333333333337</v>
      </c>
      <c r="E170" s="14">
        <f t="shared" si="127"/>
        <v>108.94722222222221</v>
      </c>
      <c r="F170" s="14">
        <f t="shared" si="128"/>
        <v>646.68405054463585</v>
      </c>
      <c r="G170" s="13">
        <f t="shared" si="147"/>
        <v>1488.6533333333352</v>
      </c>
      <c r="H170" s="15">
        <f t="shared" ref="H170:I170" si="150">H212*H$140</f>
        <v>777.77777777777783</v>
      </c>
      <c r="I170" s="15">
        <f t="shared" si="150"/>
        <v>5726.6666666666661</v>
      </c>
      <c r="J170" s="15">
        <f t="shared" si="147"/>
        <v>134.33333333333334</v>
      </c>
      <c r="K170" s="13">
        <f t="shared" si="147"/>
        <v>3</v>
      </c>
      <c r="L170" s="16">
        <f t="shared" si="147"/>
        <v>266.53333333333336</v>
      </c>
      <c r="M170" s="15">
        <f t="shared" si="147"/>
        <v>1637.3333333333333</v>
      </c>
      <c r="N170" s="14">
        <f t="shared" si="147"/>
        <v>1133</v>
      </c>
      <c r="O170" s="13">
        <f t="shared" si="147"/>
        <v>848.66666666666663</v>
      </c>
    </row>
    <row r="171" spans="1:15" ht="12.75" customHeight="1" outlineLevel="1" x14ac:dyDescent="0.2">
      <c r="A171" s="20">
        <f t="shared" si="139"/>
        <v>3644</v>
      </c>
      <c r="B171" s="19" t="str">
        <f t="shared" si="139"/>
        <v>TTU</v>
      </c>
      <c r="C171" s="58">
        <f t="shared" si="109"/>
        <v>50707.29904523991</v>
      </c>
      <c r="D171" s="15">
        <f t="shared" si="126"/>
        <v>4674</v>
      </c>
      <c r="E171" s="14">
        <f t="shared" si="127"/>
        <v>3421.3679999999995</v>
      </c>
      <c r="F171" s="14">
        <f t="shared" si="128"/>
        <v>1053.0621563516677</v>
      </c>
      <c r="G171" s="13">
        <f t="shared" si="147"/>
        <v>10128.113333332682</v>
      </c>
      <c r="H171" s="15">
        <f t="shared" ref="H171:I171" si="151">H213*H$140</f>
        <v>4585.5555555555557</v>
      </c>
      <c r="I171" s="15">
        <f t="shared" si="151"/>
        <v>9240</v>
      </c>
      <c r="J171" s="15">
        <f t="shared" si="147"/>
        <v>727.33333333333337</v>
      </c>
      <c r="K171" s="13">
        <f t="shared" si="147"/>
        <v>57.333333333333336</v>
      </c>
      <c r="L171" s="16">
        <f t="shared" si="147"/>
        <v>1111.2</v>
      </c>
      <c r="M171" s="15">
        <f t="shared" si="147"/>
        <v>6485.333333333333</v>
      </c>
      <c r="N171" s="14">
        <f t="shared" si="147"/>
        <v>5278.333333333333</v>
      </c>
      <c r="O171" s="13">
        <f t="shared" si="147"/>
        <v>3945.6666666666665</v>
      </c>
    </row>
    <row r="172" spans="1:15" ht="12.75" customHeight="1" outlineLevel="1" x14ac:dyDescent="0.2">
      <c r="A172" s="20">
        <f t="shared" si="139"/>
        <v>3541</v>
      </c>
      <c r="B172" s="19" t="str">
        <f t="shared" si="139"/>
        <v>Angelo</v>
      </c>
      <c r="C172" s="58">
        <f t="shared" si="109"/>
        <v>8940.555702079886</v>
      </c>
      <c r="D172" s="15">
        <f t="shared" si="126"/>
        <v>991.33333333333337</v>
      </c>
      <c r="E172" s="14">
        <f t="shared" si="127"/>
        <v>425.94288888888889</v>
      </c>
      <c r="F172" s="14">
        <f t="shared" si="128"/>
        <v>1015.2850354132148</v>
      </c>
      <c r="G172" s="13">
        <f t="shared" si="147"/>
        <v>1977.3500000000051</v>
      </c>
      <c r="H172" s="15">
        <f t="shared" ref="H172:I172" si="152">H214*H$140</f>
        <v>661.1111111111112</v>
      </c>
      <c r="I172" s="15">
        <f t="shared" si="152"/>
        <v>126.66666666666666</v>
      </c>
      <c r="J172" s="15">
        <f t="shared" si="147"/>
        <v>254.33333333333334</v>
      </c>
      <c r="K172" s="13">
        <f t="shared" si="147"/>
        <v>19.333333333333332</v>
      </c>
      <c r="L172" s="16">
        <f t="shared" si="147"/>
        <v>289.2</v>
      </c>
      <c r="M172" s="15">
        <f t="shared" si="147"/>
        <v>1438.6666666666667</v>
      </c>
      <c r="N172" s="14">
        <f t="shared" si="147"/>
        <v>1033.6666666666667</v>
      </c>
      <c r="O172" s="13">
        <f t="shared" si="147"/>
        <v>707.66666666666663</v>
      </c>
    </row>
    <row r="173" spans="1:15" ht="12.75" customHeight="1" outlineLevel="1" x14ac:dyDescent="0.2">
      <c r="A173" s="20">
        <f t="shared" si="139"/>
        <v>3646</v>
      </c>
      <c r="B173" s="19" t="str">
        <f t="shared" si="139"/>
        <v>TWU</v>
      </c>
      <c r="C173" s="58">
        <f t="shared" si="109"/>
        <v>22322.332214751998</v>
      </c>
      <c r="D173" s="15">
        <f t="shared" si="126"/>
        <v>1806</v>
      </c>
      <c r="E173" s="14">
        <f t="shared" si="127"/>
        <v>945.74200000000008</v>
      </c>
      <c r="F173" s="14">
        <f t="shared" si="128"/>
        <v>1377.2802147519981</v>
      </c>
      <c r="G173" s="13">
        <f t="shared" si="147"/>
        <v>3452.1766666666658</v>
      </c>
      <c r="H173" s="15">
        <f t="shared" ref="H173:I173" si="153">H215*H$140</f>
        <v>5093.3333333333339</v>
      </c>
      <c r="I173" s="15">
        <f t="shared" si="153"/>
        <v>4400</v>
      </c>
      <c r="J173" s="15">
        <f t="shared" si="147"/>
        <v>569.33333333333337</v>
      </c>
      <c r="K173" s="13">
        <f t="shared" si="147"/>
        <v>31.666666666666668</v>
      </c>
      <c r="L173" s="16">
        <f t="shared" si="147"/>
        <v>498.8</v>
      </c>
      <c r="M173" s="15">
        <f t="shared" si="147"/>
        <v>2196</v>
      </c>
      <c r="N173" s="14">
        <f t="shared" si="147"/>
        <v>1292.3333333333333</v>
      </c>
      <c r="O173" s="13">
        <f t="shared" si="147"/>
        <v>659.66666666666663</v>
      </c>
    </row>
    <row r="174" spans="1:15" ht="12.75" customHeight="1" outlineLevel="1" x14ac:dyDescent="0.2">
      <c r="A174" s="20">
        <f t="shared" si="139"/>
        <v>3581</v>
      </c>
      <c r="B174" s="19" t="str">
        <f t="shared" si="139"/>
        <v>Lamar</v>
      </c>
      <c r="C174" s="58">
        <f t="shared" si="109"/>
        <v>18835.813791555956</v>
      </c>
      <c r="D174" s="15">
        <f t="shared" si="126"/>
        <v>1335.3333333333333</v>
      </c>
      <c r="E174" s="14">
        <f t="shared" si="127"/>
        <v>467.81177777777776</v>
      </c>
      <c r="F174" s="14">
        <f t="shared" si="128"/>
        <v>917.74645822260493</v>
      </c>
      <c r="G174" s="13">
        <f t="shared" si="147"/>
        <v>2684.9000000000165</v>
      </c>
      <c r="H174" s="15">
        <f t="shared" ref="H174:I174" si="154">H216*H$140</f>
        <v>7445.5555555555557</v>
      </c>
      <c r="I174" s="15">
        <f t="shared" si="154"/>
        <v>613.33333333333337</v>
      </c>
      <c r="J174" s="15">
        <f t="shared" si="147"/>
        <v>330</v>
      </c>
      <c r="K174" s="13">
        <f t="shared" si="147"/>
        <v>17</v>
      </c>
      <c r="L174" s="16">
        <f t="shared" si="147"/>
        <v>379.4666666666667</v>
      </c>
      <c r="M174" s="15">
        <f t="shared" si="147"/>
        <v>2144.6666666666665</v>
      </c>
      <c r="N174" s="14">
        <f t="shared" si="147"/>
        <v>1489</v>
      </c>
      <c r="O174" s="13">
        <f t="shared" si="147"/>
        <v>1011</v>
      </c>
    </row>
    <row r="175" spans="1:15" ht="12.75" customHeight="1" outlineLevel="1" x14ac:dyDescent="0.2">
      <c r="A175" s="20">
        <f t="shared" si="139"/>
        <v>3606</v>
      </c>
      <c r="B175" s="19" t="str">
        <f t="shared" si="139"/>
        <v>SHSU</v>
      </c>
      <c r="C175" s="58">
        <f t="shared" si="109"/>
        <v>25352.779378631833</v>
      </c>
      <c r="D175" s="15">
        <f t="shared" si="126"/>
        <v>3077.6666666666665</v>
      </c>
      <c r="E175" s="14">
        <f t="shared" si="127"/>
        <v>1805.5644444444445</v>
      </c>
      <c r="F175" s="14">
        <f t="shared" si="128"/>
        <v>1223.7827119650508</v>
      </c>
      <c r="G175" s="13">
        <f t="shared" si="147"/>
        <v>5837.0766666667887</v>
      </c>
      <c r="H175" s="15">
        <f t="shared" ref="H175:I175" si="155">H217*H$140</f>
        <v>2805.5555555555557</v>
      </c>
      <c r="I175" s="15">
        <f t="shared" si="155"/>
        <v>866.66666666666674</v>
      </c>
      <c r="J175" s="15">
        <f t="shared" si="147"/>
        <v>167</v>
      </c>
      <c r="K175" s="13">
        <f t="shared" si="147"/>
        <v>61</v>
      </c>
      <c r="L175" s="16">
        <f t="shared" si="147"/>
        <v>885.4666666666667</v>
      </c>
      <c r="M175" s="15">
        <f t="shared" si="147"/>
        <v>3894.3333333333335</v>
      </c>
      <c r="N175" s="14">
        <f t="shared" si="147"/>
        <v>2965.3333333333335</v>
      </c>
      <c r="O175" s="13">
        <f t="shared" si="147"/>
        <v>1763.3333333333333</v>
      </c>
    </row>
    <row r="176" spans="1:15" ht="12.75" customHeight="1" outlineLevel="1" x14ac:dyDescent="0.2">
      <c r="A176" s="20">
        <f t="shared" si="139"/>
        <v>3615</v>
      </c>
      <c r="B176" s="19" t="str">
        <f t="shared" si="139"/>
        <v>TXST</v>
      </c>
      <c r="C176" s="58">
        <f t="shared" si="109"/>
        <v>44209.856464877572</v>
      </c>
      <c r="D176" s="15">
        <f t="shared" si="126"/>
        <v>5361</v>
      </c>
      <c r="E176" s="14">
        <f t="shared" si="127"/>
        <v>3393.5129999999999</v>
      </c>
      <c r="F176" s="14">
        <f t="shared" si="128"/>
        <v>1170.3445759893198</v>
      </c>
      <c r="G176" s="13">
        <f t="shared" si="147"/>
        <v>10437.309999999357</v>
      </c>
      <c r="H176" s="15">
        <f t="shared" ref="H176:I176" si="156">H218*H$140</f>
        <v>4362.2222222222226</v>
      </c>
      <c r="I176" s="15">
        <f t="shared" si="156"/>
        <v>1093.3333333333333</v>
      </c>
      <c r="J176" s="15">
        <f t="shared" si="147"/>
        <v>488.66666666666669</v>
      </c>
      <c r="K176" s="13">
        <f t="shared" si="147"/>
        <v>66.666666666666671</v>
      </c>
      <c r="L176" s="16">
        <f t="shared" si="147"/>
        <v>1470.1333333333334</v>
      </c>
      <c r="M176" s="15">
        <f t="shared" si="147"/>
        <v>7470.333333333333</v>
      </c>
      <c r="N176" s="14">
        <f t="shared" si="147"/>
        <v>5579</v>
      </c>
      <c r="O176" s="13">
        <f t="shared" si="147"/>
        <v>3317.3333333333335</v>
      </c>
    </row>
    <row r="177" spans="1:16" ht="12.75" customHeight="1" outlineLevel="1" x14ac:dyDescent="0.2">
      <c r="A177" s="20">
        <f t="shared" si="139"/>
        <v>3625</v>
      </c>
      <c r="B177" s="19" t="str">
        <f t="shared" si="139"/>
        <v>SRSU</v>
      </c>
      <c r="C177" s="58">
        <f t="shared" si="109"/>
        <v>2720.5725948606473</v>
      </c>
      <c r="D177" s="15">
        <f t="shared" si="126"/>
        <v>189.33333333333334</v>
      </c>
      <c r="E177" s="14">
        <f t="shared" si="127"/>
        <v>56.989333333333335</v>
      </c>
      <c r="F177" s="14">
        <f t="shared" si="128"/>
        <v>775.94215041620384</v>
      </c>
      <c r="G177" s="13">
        <f t="shared" si="147"/>
        <v>394.32999999999964</v>
      </c>
      <c r="H177" s="15">
        <f t="shared" ref="H177:I177" si="157">H219*H$140</f>
        <v>594.44444444444446</v>
      </c>
      <c r="I177" s="15">
        <f t="shared" si="157"/>
        <v>0</v>
      </c>
      <c r="J177" s="15">
        <f t="shared" si="147"/>
        <v>12.666666666666666</v>
      </c>
      <c r="K177" s="13">
        <f t="shared" si="147"/>
        <v>6.333333333333333</v>
      </c>
      <c r="L177" s="16">
        <f t="shared" si="147"/>
        <v>65.2</v>
      </c>
      <c r="M177" s="15">
        <f t="shared" si="147"/>
        <v>300</v>
      </c>
      <c r="N177" s="14">
        <f t="shared" si="147"/>
        <v>193.66666666666666</v>
      </c>
      <c r="O177" s="13">
        <f t="shared" si="147"/>
        <v>131.66666666666666</v>
      </c>
    </row>
    <row r="178" spans="1:16" ht="12.75" customHeight="1" outlineLevel="1" x14ac:dyDescent="0.2">
      <c r="A178" s="20">
        <f t="shared" si="139"/>
        <v>20</v>
      </c>
      <c r="B178" s="19" t="str">
        <f t="shared" si="139"/>
        <v>SRRG</v>
      </c>
      <c r="C178" s="58">
        <f t="shared" si="109"/>
        <v>2905.2897234533561</v>
      </c>
      <c r="D178" s="15">
        <f t="shared" si="126"/>
        <v>161.66666666666666</v>
      </c>
      <c r="E178" s="14">
        <f t="shared" si="127"/>
        <v>51.365976618337754</v>
      </c>
      <c r="F178" s="14">
        <f t="shared" si="128"/>
        <v>1829.8204135016854</v>
      </c>
      <c r="G178" s="13">
        <f t="shared" si="147"/>
        <v>279.16999999999979</v>
      </c>
      <c r="H178" s="15">
        <f t="shared" ref="H178:I178" si="158">H220*H$140</f>
        <v>186.66666666666669</v>
      </c>
      <c r="I178" s="15">
        <f t="shared" si="158"/>
        <v>0</v>
      </c>
      <c r="J178" s="15">
        <f t="shared" si="147"/>
        <v>6.333333333333333</v>
      </c>
      <c r="K178" s="13">
        <f t="shared" si="147"/>
        <v>5.666666666666667</v>
      </c>
      <c r="L178" s="16">
        <f t="shared" si="147"/>
        <v>57.6</v>
      </c>
      <c r="M178" s="15">
        <f t="shared" si="147"/>
        <v>230</v>
      </c>
      <c r="N178" s="14">
        <f t="shared" si="147"/>
        <v>92.666666666666671</v>
      </c>
      <c r="O178" s="13">
        <f t="shared" si="147"/>
        <v>4.333333333333333</v>
      </c>
    </row>
    <row r="179" spans="1:16" ht="13.5" customHeight="1" outlineLevel="1" thickBot="1" x14ac:dyDescent="0.25">
      <c r="A179" s="12"/>
      <c r="B179" s="11" t="s">
        <v>11</v>
      </c>
      <c r="C179" s="57">
        <f t="shared" ref="C179:O179" si="159">SUM(C141:C178)</f>
        <v>843558.95124385203</v>
      </c>
      <c r="D179" s="9">
        <f t="shared" si="159"/>
        <v>84453.499999999985</v>
      </c>
      <c r="E179" s="7">
        <f t="shared" si="159"/>
        <v>49118.168778098283</v>
      </c>
      <c r="F179" s="7">
        <f t="shared" si="159"/>
        <v>51283.484687977412</v>
      </c>
      <c r="G179" s="3">
        <f t="shared" si="159"/>
        <v>172813.15333333181</v>
      </c>
      <c r="H179" s="5">
        <f t="shared" ref="H179:I179" si="160">SUM(H141:H178)</f>
        <v>104146.11111111112</v>
      </c>
      <c r="I179" s="5">
        <f t="shared" si="160"/>
        <v>96826.666666666672</v>
      </c>
      <c r="J179" s="5">
        <f t="shared" si="159"/>
        <v>13971.999999999998</v>
      </c>
      <c r="K179" s="3">
        <f t="shared" si="159"/>
        <v>1198.3333333333335</v>
      </c>
      <c r="L179" s="6">
        <f t="shared" si="159"/>
        <v>21810.200000000004</v>
      </c>
      <c r="M179" s="5">
        <f t="shared" si="159"/>
        <v>114508.83333333331</v>
      </c>
      <c r="N179" s="4">
        <f t="shared" si="159"/>
        <v>82503.5</v>
      </c>
      <c r="O179" s="3">
        <f t="shared" si="159"/>
        <v>50924.999999999993</v>
      </c>
    </row>
    <row r="180" spans="1:16" ht="12.75" customHeight="1" thickBot="1" x14ac:dyDescent="0.25">
      <c r="A180" s="45" t="s">
        <v>29</v>
      </c>
      <c r="B180" s="45"/>
      <c r="C180" s="54"/>
      <c r="D180" s="54"/>
      <c r="E180" s="54"/>
      <c r="F180" s="56"/>
      <c r="H180" s="56"/>
      <c r="I180" s="56"/>
      <c r="J180" s="56"/>
    </row>
    <row r="181" spans="1:16" ht="12.75" customHeight="1" outlineLevel="1" x14ac:dyDescent="0.2">
      <c r="A181" s="177" t="s">
        <v>24</v>
      </c>
      <c r="B181" s="179" t="s">
        <v>23</v>
      </c>
      <c r="C181" s="181"/>
      <c r="D181" s="210" t="s">
        <v>28</v>
      </c>
      <c r="E181" s="205" t="s">
        <v>21</v>
      </c>
      <c r="F181" s="179" t="s">
        <v>20</v>
      </c>
      <c r="G181" s="201" t="s">
        <v>19</v>
      </c>
      <c r="H181" s="203" t="str">
        <f>H3</f>
        <v>Master's</v>
      </c>
      <c r="I181" s="203" t="str">
        <f>I3</f>
        <v>Doctoral and Professional Practice</v>
      </c>
      <c r="J181" s="203" t="s">
        <v>18</v>
      </c>
      <c r="K181" s="195" t="s">
        <v>17</v>
      </c>
      <c r="L181" s="197" t="s">
        <v>16</v>
      </c>
      <c r="M181" s="199" t="s">
        <v>15</v>
      </c>
      <c r="N181" s="200"/>
      <c r="O181" s="200"/>
    </row>
    <row r="182" spans="1:16" s="41" customFormat="1" ht="41.25" customHeight="1" outlineLevel="1" thickBot="1" x14ac:dyDescent="0.25">
      <c r="A182" s="178"/>
      <c r="B182" s="180"/>
      <c r="C182" s="182"/>
      <c r="D182" s="211"/>
      <c r="E182" s="206"/>
      <c r="F182" s="180"/>
      <c r="G182" s="202"/>
      <c r="H182" s="204"/>
      <c r="I182" s="204"/>
      <c r="J182" s="204"/>
      <c r="K182" s="196"/>
      <c r="L182" s="198"/>
      <c r="M182" s="44" t="s">
        <v>14</v>
      </c>
      <c r="N182" s="43" t="s">
        <v>13</v>
      </c>
      <c r="O182" s="42" t="s">
        <v>12</v>
      </c>
    </row>
    <row r="183" spans="1:16" ht="12.75" customHeight="1" outlineLevel="1" x14ac:dyDescent="0.2">
      <c r="A183" s="20">
        <f t="shared" ref="A183:B198" si="161">A141</f>
        <v>3656</v>
      </c>
      <c r="B183" s="19" t="str">
        <f t="shared" si="161"/>
        <v>UTA</v>
      </c>
      <c r="C183" s="38"/>
      <c r="D183" s="33">
        <f t="shared" ref="D183:O198" si="162">AVERAGE(D225,D267,D309)</f>
        <v>5018</v>
      </c>
      <c r="E183" s="37">
        <f t="shared" si="162"/>
        <v>0.51833333333333342</v>
      </c>
      <c r="F183" s="32">
        <f t="shared" si="162"/>
        <v>16950.533333333333</v>
      </c>
      <c r="G183" s="31">
        <f t="shared" si="162"/>
        <v>10418.553333333379</v>
      </c>
      <c r="H183" s="36">
        <f t="shared" ref="H183:I183" si="163">AVERAGE(H225,H267,H309)</f>
        <v>2519</v>
      </c>
      <c r="I183" s="36">
        <f t="shared" si="163"/>
        <v>140.66666666666666</v>
      </c>
      <c r="J183" s="36">
        <f t="shared" si="162"/>
        <v>1531.3333333333333</v>
      </c>
      <c r="K183" s="35">
        <f t="shared" si="162"/>
        <v>35</v>
      </c>
      <c r="L183" s="34">
        <f t="shared" si="162"/>
        <v>3116</v>
      </c>
      <c r="M183" s="33">
        <f t="shared" si="162"/>
        <v>6836.333333333333</v>
      </c>
      <c r="N183" s="32">
        <f t="shared" si="162"/>
        <v>3833.6666666666665</v>
      </c>
      <c r="O183" s="31">
        <f t="shared" si="162"/>
        <v>1783.6666666666667</v>
      </c>
      <c r="P183" s="55"/>
    </row>
    <row r="184" spans="1:16" ht="12.75" customHeight="1" outlineLevel="1" x14ac:dyDescent="0.2">
      <c r="A184" s="20">
        <f t="shared" si="161"/>
        <v>3658</v>
      </c>
      <c r="B184" s="19" t="str">
        <f t="shared" si="161"/>
        <v>UT</v>
      </c>
      <c r="C184" s="18"/>
      <c r="D184" s="15">
        <f t="shared" si="162"/>
        <v>8946.3333333333339</v>
      </c>
      <c r="E184" s="21">
        <f t="shared" si="162"/>
        <v>0.82900000000000007</v>
      </c>
      <c r="F184" s="14">
        <f t="shared" si="162"/>
        <v>33762.688888888893</v>
      </c>
      <c r="G184" s="13">
        <f t="shared" si="162"/>
        <v>19398.350000000519</v>
      </c>
      <c r="H184" s="15">
        <f t="shared" ref="H184:I184" si="164">AVERAGE(H226,H268,H310)</f>
        <v>3005.6666666666665</v>
      </c>
      <c r="I184" s="15">
        <f t="shared" si="164"/>
        <v>1353.6666666666667</v>
      </c>
      <c r="J184" s="15">
        <f t="shared" si="162"/>
        <v>1876.3333333333333</v>
      </c>
      <c r="K184" s="13">
        <f t="shared" si="162"/>
        <v>66</v>
      </c>
      <c r="L184" s="16">
        <f t="shared" si="162"/>
        <v>3470.3333333333335</v>
      </c>
      <c r="M184" s="15">
        <f t="shared" si="162"/>
        <v>9598.3333333333339</v>
      </c>
      <c r="N184" s="14">
        <f t="shared" si="162"/>
        <v>9005.6666666666661</v>
      </c>
      <c r="O184" s="13">
        <f t="shared" si="162"/>
        <v>7040.333333333333</v>
      </c>
      <c r="P184" s="55"/>
    </row>
    <row r="185" spans="1:16" ht="12.75" customHeight="1" outlineLevel="1" x14ac:dyDescent="0.2">
      <c r="A185" s="20">
        <f t="shared" si="161"/>
        <v>9741</v>
      </c>
      <c r="B185" s="19" t="str">
        <f t="shared" si="161"/>
        <v>UTD</v>
      </c>
      <c r="C185" s="18"/>
      <c r="D185" s="15">
        <f t="shared" si="162"/>
        <v>2393</v>
      </c>
      <c r="E185" s="21">
        <f t="shared" si="162"/>
        <v>0.70299999999999996</v>
      </c>
      <c r="F185" s="14">
        <f t="shared" si="162"/>
        <v>8919.1999999999989</v>
      </c>
      <c r="G185" s="13">
        <f t="shared" si="162"/>
        <v>5101.2033333334393</v>
      </c>
      <c r="H185" s="15">
        <f t="shared" ref="H185:I185" si="165">AVERAGE(H227,H269,H311)</f>
        <v>2006</v>
      </c>
      <c r="I185" s="15">
        <f t="shared" si="165"/>
        <v>182.66666666666666</v>
      </c>
      <c r="J185" s="15">
        <f t="shared" si="162"/>
        <v>421.66666666666669</v>
      </c>
      <c r="K185" s="13">
        <f t="shared" si="162"/>
        <v>32</v>
      </c>
      <c r="L185" s="16">
        <f t="shared" si="162"/>
        <v>1319.6666666666667</v>
      </c>
      <c r="M185" s="15">
        <f t="shared" si="162"/>
        <v>3315</v>
      </c>
      <c r="N185" s="14">
        <f t="shared" si="162"/>
        <v>2134.3333333333335</v>
      </c>
      <c r="O185" s="13">
        <f t="shared" si="162"/>
        <v>1021.3333333333334</v>
      </c>
      <c r="P185" s="55"/>
    </row>
    <row r="186" spans="1:16" ht="12.75" customHeight="1" outlineLevel="1" x14ac:dyDescent="0.2">
      <c r="A186" s="20">
        <f t="shared" si="161"/>
        <v>3661</v>
      </c>
      <c r="B186" s="19" t="str">
        <f t="shared" si="161"/>
        <v>UTEP</v>
      </c>
      <c r="C186" s="18"/>
      <c r="D186" s="15">
        <f t="shared" si="162"/>
        <v>3057</v>
      </c>
      <c r="E186" s="21">
        <f t="shared" si="162"/>
        <v>0.38999999999999996</v>
      </c>
      <c r="F186" s="14">
        <f t="shared" si="162"/>
        <v>13366.333333333334</v>
      </c>
      <c r="G186" s="13">
        <f t="shared" si="162"/>
        <v>6298.0766666668133</v>
      </c>
      <c r="H186" s="15">
        <f t="shared" ref="H186:I186" si="166">AVERAGE(H228,H270,H312)</f>
        <v>1031</v>
      </c>
      <c r="I186" s="15">
        <f t="shared" si="166"/>
        <v>70.333333333333329</v>
      </c>
      <c r="J186" s="15">
        <f t="shared" si="162"/>
        <v>655</v>
      </c>
      <c r="K186" s="13">
        <f t="shared" si="162"/>
        <v>90</v>
      </c>
      <c r="L186" s="16">
        <f t="shared" si="162"/>
        <v>2464.3333333333335</v>
      </c>
      <c r="M186" s="15">
        <f t="shared" si="162"/>
        <v>4362.666666666667</v>
      </c>
      <c r="N186" s="14">
        <f t="shared" si="162"/>
        <v>3358</v>
      </c>
      <c r="O186" s="13">
        <f t="shared" si="162"/>
        <v>1956</v>
      </c>
      <c r="P186" s="55"/>
    </row>
    <row r="187" spans="1:16" ht="12.75" customHeight="1" outlineLevel="1" x14ac:dyDescent="0.2">
      <c r="A187" s="20">
        <f t="shared" si="161"/>
        <v>3599</v>
      </c>
      <c r="B187" s="19" t="str">
        <f t="shared" si="161"/>
        <v>UTPA</v>
      </c>
      <c r="C187" s="18"/>
      <c r="D187" s="15">
        <f t="shared" si="162"/>
        <v>2580</v>
      </c>
      <c r="E187" s="21">
        <f t="shared" si="162"/>
        <v>0.43099999999999999</v>
      </c>
      <c r="F187" s="14">
        <f t="shared" si="162"/>
        <v>12589.977777777778</v>
      </c>
      <c r="G187" s="13">
        <f t="shared" si="162"/>
        <v>5134.1666666667797</v>
      </c>
      <c r="H187" s="15">
        <f t="shared" ref="H187:I187" si="167">AVERAGE(H229,H271,H313)</f>
        <v>715.33333333333337</v>
      </c>
      <c r="I187" s="15">
        <f t="shared" si="167"/>
        <v>12.333333333333334</v>
      </c>
      <c r="J187" s="15">
        <f t="shared" si="162"/>
        <v>520.33333333333337</v>
      </c>
      <c r="K187" s="13">
        <f t="shared" si="162"/>
        <v>28</v>
      </c>
      <c r="L187" s="16">
        <f t="shared" si="162"/>
        <v>2338.3333333333335</v>
      </c>
      <c r="M187" s="15">
        <f t="shared" si="162"/>
        <v>4075.3333333333335</v>
      </c>
      <c r="N187" s="14">
        <f t="shared" si="162"/>
        <v>3096</v>
      </c>
      <c r="O187" s="13">
        <f t="shared" si="162"/>
        <v>1939.3333333333333</v>
      </c>
      <c r="P187" s="55"/>
    </row>
    <row r="188" spans="1:16" ht="12.75" customHeight="1" outlineLevel="1" x14ac:dyDescent="0.2">
      <c r="A188" s="20">
        <f t="shared" si="161"/>
        <v>30646</v>
      </c>
      <c r="B188" s="19" t="str">
        <f t="shared" si="161"/>
        <v>UTB</v>
      </c>
      <c r="C188" s="18"/>
      <c r="D188" s="15">
        <f t="shared" si="162"/>
        <v>1092</v>
      </c>
      <c r="E188" s="21">
        <f t="shared" si="162"/>
        <v>0.57524809937089749</v>
      </c>
      <c r="F188" s="14">
        <f t="shared" si="162"/>
        <v>3168.7777777777778</v>
      </c>
      <c r="G188" s="13">
        <f t="shared" si="162"/>
        <v>2097.7933333333553</v>
      </c>
      <c r="H188" s="15">
        <f t="shared" ref="H188:I188" si="168">AVERAGE(H230,H272,H314)</f>
        <v>213.33333333333334</v>
      </c>
      <c r="I188" s="15">
        <f t="shared" si="168"/>
        <v>4.666666666666667</v>
      </c>
      <c r="J188" s="15">
        <f t="shared" si="162"/>
        <v>124.33333333333333</v>
      </c>
      <c r="K188" s="13">
        <f t="shared" si="162"/>
        <v>18.333333333333332</v>
      </c>
      <c r="L188" s="16">
        <f t="shared" si="162"/>
        <v>936.66666666666663</v>
      </c>
      <c r="M188" s="15">
        <f t="shared" si="162"/>
        <v>1326.3333333333333</v>
      </c>
      <c r="N188" s="14">
        <f t="shared" si="162"/>
        <v>556.33333333333337</v>
      </c>
      <c r="O188" s="13">
        <f t="shared" si="162"/>
        <v>100.66666666666667</v>
      </c>
      <c r="P188" s="55"/>
    </row>
    <row r="189" spans="1:16" ht="12.75" customHeight="1" outlineLevel="1" x14ac:dyDescent="0.2">
      <c r="A189" s="20">
        <f t="shared" si="161"/>
        <v>9930</v>
      </c>
      <c r="B189" s="19" t="str">
        <f t="shared" si="161"/>
        <v>UTPB</v>
      </c>
      <c r="C189" s="18"/>
      <c r="D189" s="15">
        <f t="shared" si="162"/>
        <v>533.33333333333337</v>
      </c>
      <c r="E189" s="21">
        <f t="shared" si="162"/>
        <v>0.44400000000000001</v>
      </c>
      <c r="F189" s="14">
        <f t="shared" si="162"/>
        <v>2306.2888888888888</v>
      </c>
      <c r="G189" s="13">
        <f t="shared" si="162"/>
        <v>1001.5166666666704</v>
      </c>
      <c r="H189" s="15">
        <f t="shared" ref="H189:I189" si="169">AVERAGE(H231,H273,H315)</f>
        <v>157.33333333333334</v>
      </c>
      <c r="I189" s="15">
        <f t="shared" si="169"/>
        <v>0</v>
      </c>
      <c r="J189" s="15">
        <f t="shared" si="162"/>
        <v>41.333333333333336</v>
      </c>
      <c r="K189" s="13">
        <f t="shared" si="162"/>
        <v>10</v>
      </c>
      <c r="L189" s="16">
        <f t="shared" si="162"/>
        <v>399</v>
      </c>
      <c r="M189" s="15">
        <f t="shared" si="162"/>
        <v>785.66666666666663</v>
      </c>
      <c r="N189" s="14">
        <f t="shared" si="162"/>
        <v>491.66666666666669</v>
      </c>
      <c r="O189" s="13">
        <f t="shared" si="162"/>
        <v>194.33333333333334</v>
      </c>
      <c r="P189" s="55"/>
    </row>
    <row r="190" spans="1:16" ht="12.75" customHeight="1" outlineLevel="1" x14ac:dyDescent="0.2">
      <c r="A190" s="20">
        <f t="shared" si="161"/>
        <v>10115</v>
      </c>
      <c r="B190" s="19" t="str">
        <f t="shared" si="161"/>
        <v>UTSA</v>
      </c>
      <c r="C190" s="18"/>
      <c r="D190" s="15">
        <f t="shared" si="162"/>
        <v>4119.666666666667</v>
      </c>
      <c r="E190" s="21">
        <f t="shared" si="162"/>
        <v>0.42166666666666663</v>
      </c>
      <c r="F190" s="14">
        <f t="shared" si="162"/>
        <v>20353.044444444444</v>
      </c>
      <c r="G190" s="13">
        <f t="shared" si="162"/>
        <v>8414.213333333224</v>
      </c>
      <c r="H190" s="15">
        <f t="shared" ref="H190:I190" si="170">AVERAGE(H232,H274,H316)</f>
        <v>1029</v>
      </c>
      <c r="I190" s="15">
        <f t="shared" si="170"/>
        <v>69</v>
      </c>
      <c r="J190" s="15">
        <f t="shared" si="162"/>
        <v>392</v>
      </c>
      <c r="K190" s="13">
        <f t="shared" si="162"/>
        <v>49.666666666666664</v>
      </c>
      <c r="L190" s="16">
        <f t="shared" si="162"/>
        <v>3123.6666666666665</v>
      </c>
      <c r="M190" s="15">
        <f t="shared" si="162"/>
        <v>6809.666666666667</v>
      </c>
      <c r="N190" s="14">
        <f t="shared" si="162"/>
        <v>4458.666666666667</v>
      </c>
      <c r="O190" s="13">
        <f t="shared" si="162"/>
        <v>2615.6666666666665</v>
      </c>
      <c r="P190" s="55"/>
    </row>
    <row r="191" spans="1:16" ht="12.75" customHeight="1" outlineLevel="1" x14ac:dyDescent="0.2">
      <c r="A191" s="20">
        <f t="shared" si="161"/>
        <v>11163</v>
      </c>
      <c r="B191" s="19" t="str">
        <f t="shared" si="161"/>
        <v>UTT</v>
      </c>
      <c r="C191" s="18"/>
      <c r="D191" s="15">
        <f t="shared" si="162"/>
        <v>1190</v>
      </c>
      <c r="E191" s="21">
        <f t="shared" si="162"/>
        <v>0.51566666666666672</v>
      </c>
      <c r="F191" s="14">
        <f t="shared" si="162"/>
        <v>4067.577777777778</v>
      </c>
      <c r="G191" s="13">
        <f t="shared" si="162"/>
        <v>2362.6600000000103</v>
      </c>
      <c r="H191" s="15">
        <f t="shared" ref="H191:I191" si="171">AVERAGE(H233,H275,H317)</f>
        <v>396</v>
      </c>
      <c r="I191" s="15">
        <f t="shared" si="171"/>
        <v>6.666666666666667</v>
      </c>
      <c r="J191" s="15">
        <f t="shared" si="162"/>
        <v>376.66666666666669</v>
      </c>
      <c r="K191" s="13">
        <f t="shared" si="162"/>
        <v>14</v>
      </c>
      <c r="L191" s="16">
        <f t="shared" si="162"/>
        <v>942.33333333333337</v>
      </c>
      <c r="M191" s="15">
        <f t="shared" si="162"/>
        <v>1436.3333333333333</v>
      </c>
      <c r="N191" s="14">
        <f t="shared" si="162"/>
        <v>890</v>
      </c>
      <c r="O191" s="13">
        <f t="shared" si="162"/>
        <v>387.33333333333331</v>
      </c>
      <c r="P191" s="55"/>
    </row>
    <row r="192" spans="1:16" ht="12.75" customHeight="1" outlineLevel="1" x14ac:dyDescent="0.2">
      <c r="A192" s="20">
        <f t="shared" si="161"/>
        <v>3632</v>
      </c>
      <c r="B192" s="19" t="str">
        <f t="shared" si="161"/>
        <v>TAMU</v>
      </c>
      <c r="C192" s="18"/>
      <c r="D192" s="15">
        <f t="shared" si="162"/>
        <v>8739.6666666666661</v>
      </c>
      <c r="E192" s="21">
        <f t="shared" si="162"/>
        <v>0.84066666666666656</v>
      </c>
      <c r="F192" s="14">
        <f t="shared" si="162"/>
        <v>34623.666666666664</v>
      </c>
      <c r="G192" s="13">
        <f t="shared" si="162"/>
        <v>20104.8166666668</v>
      </c>
      <c r="H192" s="15">
        <f t="shared" ref="H192:I192" si="172">AVERAGE(H234,H276,H318)</f>
        <v>2129</v>
      </c>
      <c r="I192" s="15">
        <f t="shared" si="172"/>
        <v>749.66666666666663</v>
      </c>
      <c r="J192" s="15">
        <f t="shared" si="162"/>
        <v>1763</v>
      </c>
      <c r="K192" s="13">
        <f t="shared" si="162"/>
        <v>126</v>
      </c>
      <c r="L192" s="16">
        <f t="shared" si="162"/>
        <v>3724</v>
      </c>
      <c r="M192" s="15">
        <f t="shared" si="162"/>
        <v>10060.666666666666</v>
      </c>
      <c r="N192" s="14">
        <f t="shared" si="162"/>
        <v>8907.3333333333339</v>
      </c>
      <c r="O192" s="13">
        <f t="shared" si="162"/>
        <v>6897.666666666667</v>
      </c>
      <c r="P192" s="55"/>
    </row>
    <row r="193" spans="1:16" ht="12.75" customHeight="1" outlineLevel="1" x14ac:dyDescent="0.2">
      <c r="A193" s="20">
        <f t="shared" si="161"/>
        <v>10298</v>
      </c>
      <c r="B193" s="19" t="str">
        <f t="shared" si="161"/>
        <v>TAMUG</v>
      </c>
      <c r="C193" s="18"/>
      <c r="D193" s="15">
        <f t="shared" si="162"/>
        <v>275.33333333333331</v>
      </c>
      <c r="E193" s="21">
        <f t="shared" si="162"/>
        <v>0.62733333333333341</v>
      </c>
      <c r="F193" s="14">
        <f t="shared" si="162"/>
        <v>1678.9333333333334</v>
      </c>
      <c r="G193" s="13">
        <f t="shared" si="162"/>
        <v>704.02666666666448</v>
      </c>
      <c r="H193" s="15">
        <f t="shared" ref="H193:I193" si="173">AVERAGE(H235,H277,H319)</f>
        <v>11</v>
      </c>
      <c r="I193" s="15">
        <f t="shared" si="173"/>
        <v>0.66666666666666663</v>
      </c>
      <c r="J193" s="15">
        <f t="shared" si="162"/>
        <v>37.333333333333336</v>
      </c>
      <c r="K193" s="13">
        <f t="shared" si="162"/>
        <v>0</v>
      </c>
      <c r="L193" s="16">
        <f t="shared" si="162"/>
        <v>158</v>
      </c>
      <c r="M193" s="15">
        <f t="shared" si="162"/>
        <v>592.33333333333337</v>
      </c>
      <c r="N193" s="14">
        <f t="shared" si="162"/>
        <v>318</v>
      </c>
      <c r="O193" s="13">
        <f t="shared" si="162"/>
        <v>246</v>
      </c>
      <c r="P193" s="55"/>
    </row>
    <row r="194" spans="1:16" ht="12.75" customHeight="1" outlineLevel="1" x14ac:dyDescent="0.2">
      <c r="A194" s="20">
        <f t="shared" si="161"/>
        <v>3630</v>
      </c>
      <c r="B194" s="19" t="str">
        <f t="shared" si="161"/>
        <v>Prairie View</v>
      </c>
      <c r="C194" s="18"/>
      <c r="D194" s="15">
        <f t="shared" si="162"/>
        <v>936.33333333333337</v>
      </c>
      <c r="E194" s="21">
        <f t="shared" si="162"/>
        <v>0.37166666666666665</v>
      </c>
      <c r="F194" s="14">
        <f t="shared" si="162"/>
        <v>5917.2888888888883</v>
      </c>
      <c r="G194" s="13">
        <f t="shared" si="162"/>
        <v>2072.9000000000092</v>
      </c>
      <c r="H194" s="15">
        <f t="shared" ref="H194:I194" si="174">AVERAGE(H236,H278,H320)</f>
        <v>510.33333333333331</v>
      </c>
      <c r="I194" s="15">
        <f t="shared" si="174"/>
        <v>13.333333333333334</v>
      </c>
      <c r="J194" s="15">
        <f t="shared" si="162"/>
        <v>315.66666666666669</v>
      </c>
      <c r="K194" s="13">
        <f t="shared" si="162"/>
        <v>9.6666666666666661</v>
      </c>
      <c r="L194" s="16">
        <f t="shared" si="162"/>
        <v>802.66666666666663</v>
      </c>
      <c r="M194" s="15">
        <f t="shared" si="162"/>
        <v>1668</v>
      </c>
      <c r="N194" s="14">
        <f t="shared" si="162"/>
        <v>1181</v>
      </c>
      <c r="O194" s="13">
        <f t="shared" si="162"/>
        <v>905.33333333333337</v>
      </c>
      <c r="P194" s="55"/>
    </row>
    <row r="195" spans="1:16" ht="12.75" customHeight="1" outlineLevel="1" x14ac:dyDescent="0.2">
      <c r="A195" s="20">
        <f t="shared" si="161"/>
        <v>3631</v>
      </c>
      <c r="B195" s="19" t="str">
        <f t="shared" si="161"/>
        <v>Tarleton</v>
      </c>
      <c r="C195" s="18"/>
      <c r="D195" s="15">
        <f t="shared" si="162"/>
        <v>1545.3333333333333</v>
      </c>
      <c r="E195" s="21">
        <f t="shared" si="162"/>
        <v>0.47800000000000004</v>
      </c>
      <c r="F195" s="14">
        <f t="shared" si="162"/>
        <v>6292.1333333333323</v>
      </c>
      <c r="G195" s="13">
        <f t="shared" si="162"/>
        <v>3122.5433333333599</v>
      </c>
      <c r="H195" s="15">
        <f t="shared" ref="H195:I195" si="175">AVERAGE(H237,H279,H321)</f>
        <v>356.66666666666669</v>
      </c>
      <c r="I195" s="15">
        <f t="shared" si="175"/>
        <v>9.6666666666666661</v>
      </c>
      <c r="J195" s="15">
        <f t="shared" si="162"/>
        <v>203</v>
      </c>
      <c r="K195" s="13">
        <f t="shared" si="162"/>
        <v>47.666666666666664</v>
      </c>
      <c r="L195" s="16">
        <f t="shared" si="162"/>
        <v>1195</v>
      </c>
      <c r="M195" s="15">
        <f t="shared" si="162"/>
        <v>2154.3333333333335</v>
      </c>
      <c r="N195" s="14">
        <f t="shared" si="162"/>
        <v>1328.6666666666667</v>
      </c>
      <c r="O195" s="13">
        <f t="shared" si="162"/>
        <v>862.66666666666663</v>
      </c>
      <c r="P195" s="55"/>
    </row>
    <row r="196" spans="1:16" ht="12.75" customHeight="1" outlineLevel="1" x14ac:dyDescent="0.2">
      <c r="A196" s="27">
        <f t="shared" si="161"/>
        <v>103631</v>
      </c>
      <c r="B196" s="19" t="str">
        <f t="shared" si="161"/>
        <v>TAMUCT</v>
      </c>
      <c r="C196" s="18"/>
      <c r="D196" s="15">
        <f t="shared" si="162"/>
        <v>460.33333333333331</v>
      </c>
      <c r="E196" s="21">
        <f t="shared" si="162"/>
        <v>0.47800000000000004</v>
      </c>
      <c r="F196" s="14">
        <f t="shared" si="162"/>
        <v>681.08888888888885</v>
      </c>
      <c r="G196" s="13">
        <f t="shared" si="162"/>
        <v>853.61666666666588</v>
      </c>
      <c r="H196" s="15">
        <f t="shared" ref="H196:I196" si="176">AVERAGE(H238,H280,H322)</f>
        <v>216.33333333333334</v>
      </c>
      <c r="I196" s="15">
        <f t="shared" si="176"/>
        <v>0</v>
      </c>
      <c r="J196" s="15">
        <f t="shared" si="162"/>
        <v>40.666666666666664</v>
      </c>
      <c r="K196" s="13">
        <f t="shared" si="162"/>
        <v>0</v>
      </c>
      <c r="L196" s="16">
        <f t="shared" si="162"/>
        <v>327</v>
      </c>
      <c r="M196" s="15">
        <f t="shared" si="162"/>
        <v>495</v>
      </c>
      <c r="N196" s="14">
        <f t="shared" si="162"/>
        <v>133</v>
      </c>
      <c r="O196" s="13">
        <f t="shared" si="162"/>
        <v>34</v>
      </c>
      <c r="P196" s="55"/>
    </row>
    <row r="197" spans="1:16" ht="12.75" customHeight="1" outlineLevel="1" x14ac:dyDescent="0.2">
      <c r="A197" s="20">
        <f t="shared" si="161"/>
        <v>11161</v>
      </c>
      <c r="B197" s="19" t="str">
        <f t="shared" si="161"/>
        <v>TAMUCC</v>
      </c>
      <c r="C197" s="18"/>
      <c r="D197" s="15">
        <f t="shared" si="162"/>
        <v>1388.3333333333333</v>
      </c>
      <c r="E197" s="21">
        <f t="shared" si="162"/>
        <v>0.50800000000000001</v>
      </c>
      <c r="F197" s="14">
        <f t="shared" si="162"/>
        <v>6494.666666666667</v>
      </c>
      <c r="G197" s="13">
        <f t="shared" si="162"/>
        <v>2804.2000000000139</v>
      </c>
      <c r="H197" s="15">
        <f t="shared" ref="H197:I197" si="177">AVERAGE(H239,H281,H323)</f>
        <v>501.33333333333331</v>
      </c>
      <c r="I197" s="15">
        <f t="shared" si="177"/>
        <v>26.666666666666668</v>
      </c>
      <c r="J197" s="15">
        <f t="shared" si="162"/>
        <v>266.33333333333331</v>
      </c>
      <c r="K197" s="13">
        <f t="shared" si="162"/>
        <v>25.666666666666668</v>
      </c>
      <c r="L197" s="16">
        <f t="shared" si="162"/>
        <v>1080</v>
      </c>
      <c r="M197" s="15">
        <f t="shared" si="162"/>
        <v>2054</v>
      </c>
      <c r="N197" s="14">
        <f t="shared" si="162"/>
        <v>1468</v>
      </c>
      <c r="O197" s="13">
        <f t="shared" si="162"/>
        <v>878.33333333333337</v>
      </c>
      <c r="P197" s="55"/>
    </row>
    <row r="198" spans="1:16" ht="12.75" customHeight="1" outlineLevel="1" x14ac:dyDescent="0.2">
      <c r="A198" s="20">
        <f t="shared" si="161"/>
        <v>3639</v>
      </c>
      <c r="B198" s="19" t="str">
        <f t="shared" si="161"/>
        <v>TAMUK</v>
      </c>
      <c r="C198" s="18"/>
      <c r="D198" s="15">
        <f t="shared" si="162"/>
        <v>761.66666666666663</v>
      </c>
      <c r="E198" s="21">
        <f t="shared" si="162"/>
        <v>0.40233333333333338</v>
      </c>
      <c r="F198" s="14">
        <f t="shared" si="162"/>
        <v>4260</v>
      </c>
      <c r="G198" s="13">
        <f t="shared" si="162"/>
        <v>1763.4533333333395</v>
      </c>
      <c r="H198" s="15">
        <f t="shared" ref="H198:I198" si="178">AVERAGE(H240,H282,H324)</f>
        <v>409.33333333333331</v>
      </c>
      <c r="I198" s="15">
        <f t="shared" si="178"/>
        <v>23</v>
      </c>
      <c r="J198" s="15">
        <f t="shared" si="162"/>
        <v>260</v>
      </c>
      <c r="K198" s="13">
        <f t="shared" si="162"/>
        <v>16.666666666666668</v>
      </c>
      <c r="L198" s="16">
        <f t="shared" si="162"/>
        <v>648.33333333333337</v>
      </c>
      <c r="M198" s="15">
        <f t="shared" si="162"/>
        <v>1227.3333333333333</v>
      </c>
      <c r="N198" s="14">
        <f t="shared" si="162"/>
        <v>859.66666666666663</v>
      </c>
      <c r="O198" s="13">
        <f t="shared" si="162"/>
        <v>558.66666666666663</v>
      </c>
      <c r="P198" s="55"/>
    </row>
    <row r="199" spans="1:16" ht="12.75" customHeight="1" outlineLevel="1" x14ac:dyDescent="0.2">
      <c r="A199" s="27">
        <f t="shared" ref="A199:B214" si="179">A157</f>
        <v>103639</v>
      </c>
      <c r="B199" s="19" t="str">
        <f t="shared" si="179"/>
        <v>TAMUSA</v>
      </c>
      <c r="C199" s="18"/>
      <c r="D199" s="15">
        <f t="shared" ref="D199:O214" si="180">AVERAGE(D241,D283,D325)</f>
        <v>587.66666666666663</v>
      </c>
      <c r="E199" s="21">
        <f t="shared" si="180"/>
        <v>0.40233333333333338</v>
      </c>
      <c r="F199" s="14">
        <f t="shared" si="180"/>
        <v>1412.711111111111</v>
      </c>
      <c r="G199" s="13">
        <f t="shared" si="180"/>
        <v>1026.0133333333379</v>
      </c>
      <c r="H199" s="15">
        <f t="shared" ref="H199:I199" si="181">AVERAGE(H241,H283,H325)</f>
        <v>186.66666666666666</v>
      </c>
      <c r="I199" s="15">
        <f t="shared" si="181"/>
        <v>0</v>
      </c>
      <c r="J199" s="15">
        <f t="shared" si="180"/>
        <v>5</v>
      </c>
      <c r="K199" s="13">
        <f t="shared" si="180"/>
        <v>2</v>
      </c>
      <c r="L199" s="16">
        <f t="shared" si="180"/>
        <v>490.33333333333331</v>
      </c>
      <c r="M199" s="15">
        <f t="shared" si="180"/>
        <v>729.66666666666663</v>
      </c>
      <c r="N199" s="14">
        <f t="shared" si="180"/>
        <v>77.333333333333329</v>
      </c>
      <c r="O199" s="13">
        <f t="shared" si="180"/>
        <v>2.6666666666666665</v>
      </c>
      <c r="P199" s="55"/>
    </row>
    <row r="200" spans="1:16" ht="12.75" customHeight="1" outlineLevel="1" x14ac:dyDescent="0.2">
      <c r="A200" s="20">
        <f t="shared" si="179"/>
        <v>9651</v>
      </c>
      <c r="B200" s="19" t="str">
        <f t="shared" si="179"/>
        <v>TAMI</v>
      </c>
      <c r="C200" s="18"/>
      <c r="D200" s="15">
        <f t="shared" si="180"/>
        <v>789.66666666666663</v>
      </c>
      <c r="E200" s="21">
        <f t="shared" si="180"/>
        <v>0.47333333333333333</v>
      </c>
      <c r="F200" s="14">
        <f t="shared" si="180"/>
        <v>4086</v>
      </c>
      <c r="G200" s="13">
        <f t="shared" si="180"/>
        <v>1458.4966666666717</v>
      </c>
      <c r="H200" s="15">
        <f t="shared" ref="H200:I200" si="182">AVERAGE(H242,H284,H326)</f>
        <v>270</v>
      </c>
      <c r="I200" s="15">
        <f t="shared" si="182"/>
        <v>4.333333333333333</v>
      </c>
      <c r="J200" s="15">
        <f t="shared" si="180"/>
        <v>115.66666666666667</v>
      </c>
      <c r="K200" s="13">
        <f t="shared" si="180"/>
        <v>22.333333333333332</v>
      </c>
      <c r="L200" s="16">
        <f t="shared" si="180"/>
        <v>712.66666666666663</v>
      </c>
      <c r="M200" s="15">
        <f t="shared" si="180"/>
        <v>1406.6666666666667</v>
      </c>
      <c r="N200" s="14">
        <f t="shared" si="180"/>
        <v>1015.6666666666666</v>
      </c>
      <c r="O200" s="13">
        <f t="shared" si="180"/>
        <v>473.66666666666669</v>
      </c>
      <c r="P200" s="55"/>
    </row>
    <row r="201" spans="1:16" ht="12.75" customHeight="1" outlineLevel="1" x14ac:dyDescent="0.2">
      <c r="A201" s="20">
        <f t="shared" si="179"/>
        <v>3665</v>
      </c>
      <c r="B201" s="19" t="str">
        <f t="shared" si="179"/>
        <v>WTAMU</v>
      </c>
      <c r="C201" s="18"/>
      <c r="D201" s="15">
        <f t="shared" si="180"/>
        <v>1255.6666666666667</v>
      </c>
      <c r="E201" s="21">
        <f t="shared" si="180"/>
        <v>0.47066666666666662</v>
      </c>
      <c r="F201" s="14">
        <f t="shared" si="180"/>
        <v>5415.2222222222226</v>
      </c>
      <c r="G201" s="13">
        <f t="shared" si="180"/>
        <v>2503.5766666666836</v>
      </c>
      <c r="H201" s="15">
        <f t="shared" ref="H201:I201" si="183">AVERAGE(H243,H285,H327)</f>
        <v>346.66666666666669</v>
      </c>
      <c r="I201" s="15">
        <f t="shared" si="183"/>
        <v>2.3333333333333335</v>
      </c>
      <c r="J201" s="15">
        <f t="shared" si="180"/>
        <v>191.66666666666666</v>
      </c>
      <c r="K201" s="13">
        <f t="shared" si="180"/>
        <v>60.666666666666664</v>
      </c>
      <c r="L201" s="16">
        <f t="shared" si="180"/>
        <v>889.33333333333337</v>
      </c>
      <c r="M201" s="15">
        <f t="shared" si="180"/>
        <v>1791.6666666666667</v>
      </c>
      <c r="N201" s="14">
        <f t="shared" si="180"/>
        <v>1212.6666666666667</v>
      </c>
      <c r="O201" s="13">
        <f t="shared" si="180"/>
        <v>661.33333333333337</v>
      </c>
      <c r="P201" s="55"/>
    </row>
    <row r="202" spans="1:16" ht="12.75" customHeight="1" outlineLevel="1" x14ac:dyDescent="0.2">
      <c r="A202" s="20">
        <f t="shared" si="179"/>
        <v>3565</v>
      </c>
      <c r="B202" s="19" t="str">
        <f t="shared" si="179"/>
        <v>TAMUC</v>
      </c>
      <c r="C202" s="18"/>
      <c r="D202" s="15">
        <f t="shared" si="180"/>
        <v>1324.3333333333333</v>
      </c>
      <c r="E202" s="21">
        <f t="shared" si="180"/>
        <v>0.44</v>
      </c>
      <c r="F202" s="14">
        <f t="shared" si="180"/>
        <v>4696.9777777777772</v>
      </c>
      <c r="G202" s="13">
        <f t="shared" si="180"/>
        <v>2501.8266666666914</v>
      </c>
      <c r="H202" s="15">
        <f t="shared" ref="H202:I202" si="184">AVERAGE(H244,H286,H328)</f>
        <v>1223.3333333333333</v>
      </c>
      <c r="I202" s="15">
        <f t="shared" si="184"/>
        <v>42.333333333333336</v>
      </c>
      <c r="J202" s="15">
        <f t="shared" si="180"/>
        <v>73</v>
      </c>
      <c r="K202" s="13">
        <f t="shared" si="180"/>
        <v>74.333333333333329</v>
      </c>
      <c r="L202" s="16">
        <f t="shared" si="180"/>
        <v>1019.3333333333334</v>
      </c>
      <c r="M202" s="15">
        <f t="shared" si="180"/>
        <v>1893</v>
      </c>
      <c r="N202" s="14">
        <f t="shared" si="180"/>
        <v>1137.3333333333333</v>
      </c>
      <c r="O202" s="13">
        <f t="shared" si="180"/>
        <v>452.33333333333331</v>
      </c>
      <c r="P202" s="55"/>
    </row>
    <row r="203" spans="1:16" ht="12.75" customHeight="1" outlineLevel="1" x14ac:dyDescent="0.2">
      <c r="A203" s="20">
        <f t="shared" si="179"/>
        <v>29269</v>
      </c>
      <c r="B203" s="19" t="str">
        <f t="shared" si="179"/>
        <v>TAMUT</v>
      </c>
      <c r="C203" s="18"/>
      <c r="D203" s="15">
        <f t="shared" si="180"/>
        <v>345.66666666666669</v>
      </c>
      <c r="E203" s="21">
        <f t="shared" si="180"/>
        <v>0.54202583186163211</v>
      </c>
      <c r="F203" s="14">
        <f t="shared" si="180"/>
        <v>891.66666666666663</v>
      </c>
      <c r="G203" s="13">
        <f t="shared" si="180"/>
        <v>619.90999999999826</v>
      </c>
      <c r="H203" s="15">
        <f t="shared" ref="H203:I203" si="185">AVERAGE(H245,H287,H329)</f>
        <v>164.33333333333334</v>
      </c>
      <c r="I203" s="15">
        <f t="shared" si="185"/>
        <v>0</v>
      </c>
      <c r="J203" s="15">
        <f t="shared" si="180"/>
        <v>41.666666666666664</v>
      </c>
      <c r="K203" s="13">
        <f t="shared" si="180"/>
        <v>19.333333333333332</v>
      </c>
      <c r="L203" s="16">
        <f t="shared" si="180"/>
        <v>239</v>
      </c>
      <c r="M203" s="15">
        <f t="shared" si="180"/>
        <v>432.66666666666669</v>
      </c>
      <c r="N203" s="14">
        <f t="shared" si="180"/>
        <v>181</v>
      </c>
      <c r="O203" s="13">
        <f t="shared" si="180"/>
        <v>0.66666666666666663</v>
      </c>
      <c r="P203" s="55"/>
    </row>
    <row r="204" spans="1:16" ht="12.75" customHeight="1" outlineLevel="1" x14ac:dyDescent="0.2">
      <c r="A204" s="20">
        <f t="shared" si="179"/>
        <v>3652</v>
      </c>
      <c r="B204" s="19" t="str">
        <f t="shared" si="179"/>
        <v>UH</v>
      </c>
      <c r="C204" s="18"/>
      <c r="D204" s="15">
        <f t="shared" si="180"/>
        <v>5098.666666666667</v>
      </c>
      <c r="E204" s="21">
        <f t="shared" si="180"/>
        <v>0.53633333333333333</v>
      </c>
      <c r="F204" s="14">
        <f t="shared" si="180"/>
        <v>23797.68888888889</v>
      </c>
      <c r="G204" s="13">
        <f t="shared" si="180"/>
        <v>10580.246666665944</v>
      </c>
      <c r="H204" s="15">
        <f t="shared" ref="H204:I204" si="186">AVERAGE(H246,H288,H330)</f>
        <v>1894</v>
      </c>
      <c r="I204" s="15">
        <f t="shared" si="186"/>
        <v>776.33333333333337</v>
      </c>
      <c r="J204" s="15">
        <f t="shared" si="180"/>
        <v>737</v>
      </c>
      <c r="K204" s="13">
        <f t="shared" si="180"/>
        <v>62.666666666666664</v>
      </c>
      <c r="L204" s="16">
        <f t="shared" si="180"/>
        <v>3373</v>
      </c>
      <c r="M204" s="15">
        <f t="shared" si="180"/>
        <v>7602.333333333333</v>
      </c>
      <c r="N204" s="14">
        <f t="shared" si="180"/>
        <v>5690.333333333333</v>
      </c>
      <c r="O204" s="13">
        <f t="shared" si="180"/>
        <v>3307.3333333333335</v>
      </c>
      <c r="P204" s="55"/>
    </row>
    <row r="205" spans="1:16" ht="12.75" customHeight="1" outlineLevel="1" x14ac:dyDescent="0.2">
      <c r="A205" s="20">
        <f t="shared" si="179"/>
        <v>11711</v>
      </c>
      <c r="B205" s="19" t="str">
        <f t="shared" si="179"/>
        <v>UHCL</v>
      </c>
      <c r="C205" s="18"/>
      <c r="D205" s="15">
        <f t="shared" si="180"/>
        <v>1190.6666666666667</v>
      </c>
      <c r="E205" s="21">
        <f t="shared" si="180"/>
        <v>0.52016462432165866</v>
      </c>
      <c r="F205" s="14">
        <f t="shared" si="180"/>
        <v>2999.6444444444446</v>
      </c>
      <c r="G205" s="13">
        <f t="shared" si="180"/>
        <v>2282.9533333333529</v>
      </c>
      <c r="H205" s="15">
        <f t="shared" ref="H205:I205" si="187">AVERAGE(H247,H289,H331)</f>
        <v>1065</v>
      </c>
      <c r="I205" s="15">
        <f t="shared" si="187"/>
        <v>9</v>
      </c>
      <c r="J205" s="15">
        <f t="shared" si="180"/>
        <v>106.66666666666667</v>
      </c>
      <c r="K205" s="13">
        <f t="shared" si="180"/>
        <v>8.3333333333333339</v>
      </c>
      <c r="L205" s="16">
        <f t="shared" si="180"/>
        <v>774.33333333333337</v>
      </c>
      <c r="M205" s="15">
        <f t="shared" si="180"/>
        <v>1391.3333333333333</v>
      </c>
      <c r="N205" s="14">
        <f t="shared" si="180"/>
        <v>953.66666666666663</v>
      </c>
      <c r="O205" s="13">
        <f t="shared" si="180"/>
        <v>57</v>
      </c>
      <c r="P205" s="55"/>
    </row>
    <row r="206" spans="1:16" ht="12.75" customHeight="1" outlineLevel="1" x14ac:dyDescent="0.2">
      <c r="A206" s="20">
        <f t="shared" si="179"/>
        <v>12826</v>
      </c>
      <c r="B206" s="19" t="str">
        <f t="shared" si="179"/>
        <v>UHD</v>
      </c>
      <c r="C206" s="18"/>
      <c r="D206" s="15">
        <f t="shared" si="180"/>
        <v>2382.3333333333335</v>
      </c>
      <c r="E206" s="21">
        <f t="shared" si="180"/>
        <v>0.19000000000000003</v>
      </c>
      <c r="F206" s="14">
        <f t="shared" si="180"/>
        <v>7985.5555555555547</v>
      </c>
      <c r="G206" s="13">
        <f t="shared" si="180"/>
        <v>4271.3166666667212</v>
      </c>
      <c r="H206" s="15">
        <f t="shared" ref="H206:I206" si="188">AVERAGE(H248,H290,H332)</f>
        <v>47.666666666666664</v>
      </c>
      <c r="I206" s="15">
        <f t="shared" si="188"/>
        <v>0</v>
      </c>
      <c r="J206" s="15">
        <f t="shared" si="180"/>
        <v>129.66666666666666</v>
      </c>
      <c r="K206" s="13">
        <f t="shared" si="180"/>
        <v>1.6666666666666667</v>
      </c>
      <c r="L206" s="16">
        <f t="shared" si="180"/>
        <v>1681</v>
      </c>
      <c r="M206" s="15">
        <f t="shared" si="180"/>
        <v>3105.3333333333335</v>
      </c>
      <c r="N206" s="14">
        <f t="shared" si="180"/>
        <v>1868.3333333333333</v>
      </c>
      <c r="O206" s="13">
        <f t="shared" si="180"/>
        <v>604.66666666666663</v>
      </c>
      <c r="P206" s="55"/>
    </row>
    <row r="207" spans="1:16" ht="12.75" customHeight="1" outlineLevel="1" x14ac:dyDescent="0.2">
      <c r="A207" s="20">
        <f t="shared" si="179"/>
        <v>13231</v>
      </c>
      <c r="B207" s="19" t="str">
        <f t="shared" si="179"/>
        <v>UHV</v>
      </c>
      <c r="C207" s="18"/>
      <c r="D207" s="15">
        <f t="shared" si="180"/>
        <v>576.66666666666663</v>
      </c>
      <c r="E207" s="21">
        <f t="shared" si="180"/>
        <v>0.52057016677259083</v>
      </c>
      <c r="F207" s="14">
        <f t="shared" si="180"/>
        <v>1438.6222222222223</v>
      </c>
      <c r="G207" s="13">
        <f t="shared" si="180"/>
        <v>1084.4800000000012</v>
      </c>
      <c r="H207" s="15">
        <f t="shared" ref="H207:I207" si="189">AVERAGE(H249,H291,H333)</f>
        <v>404.66666666666669</v>
      </c>
      <c r="I207" s="15">
        <f t="shared" si="189"/>
        <v>0</v>
      </c>
      <c r="J207" s="15">
        <f t="shared" si="180"/>
        <v>108</v>
      </c>
      <c r="K207" s="13">
        <f t="shared" si="180"/>
        <v>7.333333333333333</v>
      </c>
      <c r="L207" s="16">
        <f t="shared" si="180"/>
        <v>384</v>
      </c>
      <c r="M207" s="15">
        <f t="shared" si="180"/>
        <v>716</v>
      </c>
      <c r="N207" s="14">
        <f t="shared" si="180"/>
        <v>296.33333333333331</v>
      </c>
      <c r="O207" s="13">
        <f t="shared" si="180"/>
        <v>6.666666666666667</v>
      </c>
      <c r="P207" s="55"/>
    </row>
    <row r="208" spans="1:16" ht="12.75" customHeight="1" outlineLevel="1" x14ac:dyDescent="0.2">
      <c r="A208" s="20">
        <f t="shared" si="179"/>
        <v>3592</v>
      </c>
      <c r="B208" s="19" t="str">
        <f t="shared" si="179"/>
        <v>Midwestern</v>
      </c>
      <c r="C208" s="18"/>
      <c r="D208" s="15">
        <f t="shared" si="180"/>
        <v>1031.6666666666667</v>
      </c>
      <c r="E208" s="21">
        <f t="shared" si="180"/>
        <v>0.4393333333333333</v>
      </c>
      <c r="F208" s="14">
        <f t="shared" si="180"/>
        <v>4276.7777777777783</v>
      </c>
      <c r="G208" s="13">
        <f t="shared" si="180"/>
        <v>1962.0000000000034</v>
      </c>
      <c r="H208" s="15">
        <f t="shared" ref="H208:I208" si="190">AVERAGE(H250,H292,H334)</f>
        <v>206.66666666666666</v>
      </c>
      <c r="I208" s="15">
        <f t="shared" si="190"/>
        <v>0</v>
      </c>
      <c r="J208" s="15">
        <f t="shared" si="180"/>
        <v>333.33333333333331</v>
      </c>
      <c r="K208" s="13">
        <f t="shared" si="180"/>
        <v>15</v>
      </c>
      <c r="L208" s="16">
        <f t="shared" si="180"/>
        <v>690.33333333333337</v>
      </c>
      <c r="M208" s="15">
        <f t="shared" si="180"/>
        <v>1438</v>
      </c>
      <c r="N208" s="14">
        <f t="shared" si="180"/>
        <v>1046</v>
      </c>
      <c r="O208" s="13">
        <f t="shared" si="180"/>
        <v>679.66666666666663</v>
      </c>
      <c r="P208" s="55"/>
    </row>
    <row r="209" spans="1:16" ht="12.75" customHeight="1" outlineLevel="1" x14ac:dyDescent="0.2">
      <c r="A209" s="20">
        <f t="shared" si="179"/>
        <v>3594</v>
      </c>
      <c r="B209" s="19" t="str">
        <f t="shared" si="179"/>
        <v>UNT</v>
      </c>
      <c r="C209" s="18"/>
      <c r="D209" s="15">
        <f t="shared" si="180"/>
        <v>6016.666666666667</v>
      </c>
      <c r="E209" s="21">
        <f t="shared" si="180"/>
        <v>0.57633333333333336</v>
      </c>
      <c r="F209" s="14">
        <f t="shared" si="180"/>
        <v>23242.088888888899</v>
      </c>
      <c r="G209" s="13">
        <f t="shared" si="180"/>
        <v>11411.553333332529</v>
      </c>
      <c r="H209" s="15">
        <f t="shared" ref="H209:I209" si="191">AVERAGE(H251,H293,H335)</f>
        <v>1830.3333333333333</v>
      </c>
      <c r="I209" s="15">
        <f t="shared" si="191"/>
        <v>227.33333333333334</v>
      </c>
      <c r="J209" s="15">
        <f t="shared" si="180"/>
        <v>336.66666666666669</v>
      </c>
      <c r="K209" s="13">
        <f t="shared" si="180"/>
        <v>43.333333333333336</v>
      </c>
      <c r="L209" s="16">
        <f t="shared" si="180"/>
        <v>3820</v>
      </c>
      <c r="M209" s="15">
        <f t="shared" si="180"/>
        <v>7864.666666666667</v>
      </c>
      <c r="N209" s="14">
        <f t="shared" si="180"/>
        <v>5642.333333333333</v>
      </c>
      <c r="O209" s="13">
        <f t="shared" si="180"/>
        <v>3337</v>
      </c>
      <c r="P209" s="55"/>
    </row>
    <row r="210" spans="1:16" ht="12.75" customHeight="1" outlineLevel="1" x14ac:dyDescent="0.2">
      <c r="A210" s="27">
        <f t="shared" si="179"/>
        <v>113594</v>
      </c>
      <c r="B210" s="19" t="str">
        <f t="shared" si="179"/>
        <v>UNTD</v>
      </c>
      <c r="C210" s="18"/>
      <c r="D210" s="15">
        <f t="shared" si="180"/>
        <v>403.5</v>
      </c>
      <c r="E210" s="21">
        <f t="shared" si="180"/>
        <v>0.57750000000000001</v>
      </c>
      <c r="F210" s="14">
        <f t="shared" si="180"/>
        <v>946.13333333333333</v>
      </c>
      <c r="G210" s="13">
        <f t="shared" si="180"/>
        <v>705.85999999999717</v>
      </c>
      <c r="H210" s="15">
        <f t="shared" ref="H210:I210" si="192">AVERAGE(H252,H294,H336)</f>
        <v>0</v>
      </c>
      <c r="I210" s="15">
        <f t="shared" si="192"/>
        <v>0</v>
      </c>
      <c r="J210" s="15">
        <f t="shared" si="180"/>
        <v>12</v>
      </c>
      <c r="K210" s="13">
        <f t="shared" si="180"/>
        <v>0</v>
      </c>
      <c r="L210" s="16">
        <f t="shared" si="180"/>
        <v>308.5</v>
      </c>
      <c r="M210" s="15">
        <f t="shared" si="180"/>
        <v>478</v>
      </c>
      <c r="N210" s="14">
        <f t="shared" si="180"/>
        <v>71.5</v>
      </c>
      <c r="O210" s="13">
        <f t="shared" si="180"/>
        <v>11</v>
      </c>
      <c r="P210" s="55"/>
    </row>
    <row r="211" spans="1:16" ht="12.75" customHeight="1" outlineLevel="1" x14ac:dyDescent="0.2">
      <c r="A211" s="20">
        <f t="shared" si="179"/>
        <v>3624</v>
      </c>
      <c r="B211" s="19" t="str">
        <f t="shared" si="179"/>
        <v>SFA</v>
      </c>
      <c r="C211" s="18"/>
      <c r="D211" s="15">
        <f t="shared" si="180"/>
        <v>1921.6666666666667</v>
      </c>
      <c r="E211" s="21">
        <f t="shared" si="180"/>
        <v>0.55399999999999994</v>
      </c>
      <c r="F211" s="14">
        <f t="shared" si="180"/>
        <v>9486.177777777777</v>
      </c>
      <c r="G211" s="13">
        <f t="shared" si="180"/>
        <v>3721.736666666669</v>
      </c>
      <c r="H211" s="15">
        <f t="shared" ref="H211:I211" si="193">AVERAGE(H253,H295,H337)</f>
        <v>438.66666666666669</v>
      </c>
      <c r="I211" s="15">
        <f t="shared" si="193"/>
        <v>13</v>
      </c>
      <c r="J211" s="15">
        <f t="shared" si="180"/>
        <v>248</v>
      </c>
      <c r="K211" s="13">
        <f t="shared" si="180"/>
        <v>44.666666666666664</v>
      </c>
      <c r="L211" s="16">
        <f t="shared" si="180"/>
        <v>1460.3333333333333</v>
      </c>
      <c r="M211" s="15">
        <f t="shared" si="180"/>
        <v>2769.3333333333335</v>
      </c>
      <c r="N211" s="14">
        <f t="shared" si="180"/>
        <v>2075</v>
      </c>
      <c r="O211" s="13">
        <f t="shared" si="180"/>
        <v>1397.3333333333333</v>
      </c>
      <c r="P211" s="55"/>
    </row>
    <row r="212" spans="1:16" ht="12.75" customHeight="1" outlineLevel="1" x14ac:dyDescent="0.2">
      <c r="A212" s="20">
        <f t="shared" si="179"/>
        <v>3642</v>
      </c>
      <c r="B212" s="19" t="str">
        <f t="shared" si="179"/>
        <v>TSU</v>
      </c>
      <c r="C212" s="18"/>
      <c r="D212" s="15">
        <f t="shared" si="180"/>
        <v>758.33333333333337</v>
      </c>
      <c r="E212" s="21">
        <f t="shared" si="180"/>
        <v>0.14366666666666664</v>
      </c>
      <c r="F212" s="14">
        <f t="shared" si="180"/>
        <v>5863.2444444444445</v>
      </c>
      <c r="G212" s="13">
        <f t="shared" si="180"/>
        <v>1488.6533333333352</v>
      </c>
      <c r="H212" s="15">
        <f t="shared" ref="H212:I212" si="194">AVERAGE(H254,H296,H338)</f>
        <v>233.33333333333334</v>
      </c>
      <c r="I212" s="15">
        <f t="shared" si="194"/>
        <v>286.33333333333331</v>
      </c>
      <c r="J212" s="15">
        <f t="shared" si="180"/>
        <v>134.33333333333334</v>
      </c>
      <c r="K212" s="13">
        <f t="shared" si="180"/>
        <v>3</v>
      </c>
      <c r="L212" s="16">
        <f t="shared" si="180"/>
        <v>666.33333333333337</v>
      </c>
      <c r="M212" s="15">
        <f t="shared" si="180"/>
        <v>1637.3333333333333</v>
      </c>
      <c r="N212" s="14">
        <f t="shared" si="180"/>
        <v>1133</v>
      </c>
      <c r="O212" s="13">
        <f t="shared" si="180"/>
        <v>848.66666666666663</v>
      </c>
      <c r="P212" s="55"/>
    </row>
    <row r="213" spans="1:16" ht="12.75" customHeight="1" outlineLevel="1" x14ac:dyDescent="0.2">
      <c r="A213" s="20">
        <f t="shared" si="179"/>
        <v>3644</v>
      </c>
      <c r="B213" s="19" t="str">
        <f t="shared" si="179"/>
        <v>TTU</v>
      </c>
      <c r="C213" s="18"/>
      <c r="D213" s="15">
        <f t="shared" si="180"/>
        <v>4674</v>
      </c>
      <c r="E213" s="21">
        <f t="shared" si="180"/>
        <v>0.73199999999999987</v>
      </c>
      <c r="F213" s="14">
        <f t="shared" si="180"/>
        <v>22192.42222222222</v>
      </c>
      <c r="G213" s="13">
        <f t="shared" si="180"/>
        <v>10128.113333332682</v>
      </c>
      <c r="H213" s="15">
        <f t="shared" ref="H213:I213" si="195">AVERAGE(H255,H297,H339)</f>
        <v>1375.6666666666667</v>
      </c>
      <c r="I213" s="15">
        <f t="shared" si="195"/>
        <v>462</v>
      </c>
      <c r="J213" s="15">
        <f t="shared" si="180"/>
        <v>727.33333333333337</v>
      </c>
      <c r="K213" s="13">
        <f t="shared" si="180"/>
        <v>57.333333333333336</v>
      </c>
      <c r="L213" s="16">
        <f t="shared" si="180"/>
        <v>2778</v>
      </c>
      <c r="M213" s="15">
        <f t="shared" si="180"/>
        <v>6485.333333333333</v>
      </c>
      <c r="N213" s="14">
        <f t="shared" si="180"/>
        <v>5278.333333333333</v>
      </c>
      <c r="O213" s="13">
        <f t="shared" si="180"/>
        <v>3945.6666666666665</v>
      </c>
      <c r="P213" s="55"/>
    </row>
    <row r="214" spans="1:16" ht="12.75" customHeight="1" outlineLevel="1" x14ac:dyDescent="0.2">
      <c r="A214" s="20">
        <f t="shared" si="179"/>
        <v>3541</v>
      </c>
      <c r="B214" s="19" t="str">
        <f t="shared" si="179"/>
        <v>Angelo</v>
      </c>
      <c r="C214" s="18"/>
      <c r="D214" s="15">
        <f t="shared" si="180"/>
        <v>991.33333333333337</v>
      </c>
      <c r="E214" s="21">
        <f t="shared" si="180"/>
        <v>0.42966666666666664</v>
      </c>
      <c r="F214" s="14">
        <f t="shared" si="180"/>
        <v>4882.0444444444447</v>
      </c>
      <c r="G214" s="13">
        <f t="shared" si="180"/>
        <v>1977.3500000000051</v>
      </c>
      <c r="H214" s="15">
        <f t="shared" ref="H214:I214" si="196">AVERAGE(H256,H298,H340)</f>
        <v>198.33333333333334</v>
      </c>
      <c r="I214" s="15">
        <f t="shared" si="196"/>
        <v>6.333333333333333</v>
      </c>
      <c r="J214" s="15">
        <f t="shared" si="180"/>
        <v>254.33333333333334</v>
      </c>
      <c r="K214" s="13">
        <f t="shared" si="180"/>
        <v>19.333333333333332</v>
      </c>
      <c r="L214" s="16">
        <f t="shared" si="180"/>
        <v>723</v>
      </c>
      <c r="M214" s="15">
        <f t="shared" si="180"/>
        <v>1438.6666666666667</v>
      </c>
      <c r="N214" s="14">
        <f t="shared" si="180"/>
        <v>1033.6666666666667</v>
      </c>
      <c r="O214" s="13">
        <f t="shared" si="180"/>
        <v>707.66666666666663</v>
      </c>
      <c r="P214" s="55"/>
    </row>
    <row r="215" spans="1:16" ht="12.75" customHeight="1" outlineLevel="1" x14ac:dyDescent="0.2">
      <c r="A215" s="20">
        <f t="shared" ref="A215:B220" si="197">A173</f>
        <v>3646</v>
      </c>
      <c r="B215" s="19" t="str">
        <f t="shared" si="197"/>
        <v>TWU</v>
      </c>
      <c r="C215" s="18"/>
      <c r="D215" s="15">
        <f t="shared" ref="D215:O220" si="198">AVERAGE(D257,D299,D341)</f>
        <v>1806</v>
      </c>
      <c r="E215" s="21">
        <f t="shared" si="198"/>
        <v>0.52366666666666672</v>
      </c>
      <c r="F215" s="14">
        <f t="shared" si="198"/>
        <v>6556.4000000000005</v>
      </c>
      <c r="G215" s="13">
        <f t="shared" si="198"/>
        <v>3452.1766666666658</v>
      </c>
      <c r="H215" s="15">
        <f t="shared" ref="H215:I215" si="199">AVERAGE(H257,H299,H341)</f>
        <v>1528</v>
      </c>
      <c r="I215" s="15">
        <f t="shared" si="199"/>
        <v>220</v>
      </c>
      <c r="J215" s="15">
        <f t="shared" si="198"/>
        <v>569.33333333333337</v>
      </c>
      <c r="K215" s="13">
        <f t="shared" si="198"/>
        <v>31.666666666666668</v>
      </c>
      <c r="L215" s="16">
        <f t="shared" si="198"/>
        <v>1247</v>
      </c>
      <c r="M215" s="15">
        <f t="shared" si="198"/>
        <v>2196</v>
      </c>
      <c r="N215" s="14">
        <f t="shared" si="198"/>
        <v>1292.3333333333333</v>
      </c>
      <c r="O215" s="13">
        <f t="shared" si="198"/>
        <v>659.66666666666663</v>
      </c>
      <c r="P215" s="55"/>
    </row>
    <row r="216" spans="1:16" ht="12.75" customHeight="1" outlineLevel="1" x14ac:dyDescent="0.2">
      <c r="A216" s="20">
        <f t="shared" si="197"/>
        <v>3581</v>
      </c>
      <c r="B216" s="19" t="str">
        <f t="shared" si="197"/>
        <v>Lamar</v>
      </c>
      <c r="C216" s="18"/>
      <c r="D216" s="15">
        <f t="shared" si="198"/>
        <v>1335.3333333333333</v>
      </c>
      <c r="E216" s="21">
        <f t="shared" si="198"/>
        <v>0.35033333333333333</v>
      </c>
      <c r="F216" s="14">
        <f t="shared" si="198"/>
        <v>7275.0666666666666</v>
      </c>
      <c r="G216" s="13">
        <f t="shared" si="198"/>
        <v>2684.9000000000165</v>
      </c>
      <c r="H216" s="15">
        <f t="shared" ref="H216:I216" si="200">AVERAGE(H258,H300,H342)</f>
        <v>2233.6666666666665</v>
      </c>
      <c r="I216" s="15">
        <f t="shared" si="200"/>
        <v>30.666666666666668</v>
      </c>
      <c r="J216" s="15">
        <f t="shared" si="198"/>
        <v>330</v>
      </c>
      <c r="K216" s="13">
        <f t="shared" si="198"/>
        <v>17</v>
      </c>
      <c r="L216" s="16">
        <f t="shared" si="198"/>
        <v>948.66666666666663</v>
      </c>
      <c r="M216" s="15">
        <f t="shared" si="198"/>
        <v>2144.6666666666665</v>
      </c>
      <c r="N216" s="14">
        <f t="shared" si="198"/>
        <v>1489</v>
      </c>
      <c r="O216" s="13">
        <f t="shared" si="198"/>
        <v>1011</v>
      </c>
      <c r="P216" s="55"/>
    </row>
    <row r="217" spans="1:16" ht="12.75" customHeight="1" outlineLevel="1" x14ac:dyDescent="0.2">
      <c r="A217" s="20">
        <f t="shared" si="197"/>
        <v>3606</v>
      </c>
      <c r="B217" s="19" t="str">
        <f t="shared" si="197"/>
        <v>SHSU</v>
      </c>
      <c r="C217" s="18"/>
      <c r="D217" s="15">
        <f t="shared" si="198"/>
        <v>3077.6666666666665</v>
      </c>
      <c r="E217" s="21">
        <f t="shared" si="198"/>
        <v>0.58666666666666667</v>
      </c>
      <c r="F217" s="14">
        <f t="shared" si="198"/>
        <v>12574.4</v>
      </c>
      <c r="G217" s="13">
        <f t="shared" si="198"/>
        <v>5837.0766666667887</v>
      </c>
      <c r="H217" s="15">
        <f t="shared" ref="H217:I217" si="201">AVERAGE(H259,H301,H343)</f>
        <v>841.66666666666663</v>
      </c>
      <c r="I217" s="15">
        <f t="shared" si="201"/>
        <v>43.333333333333336</v>
      </c>
      <c r="J217" s="15">
        <f t="shared" si="198"/>
        <v>167</v>
      </c>
      <c r="K217" s="13">
        <f t="shared" si="198"/>
        <v>61</v>
      </c>
      <c r="L217" s="16">
        <f t="shared" si="198"/>
        <v>2213.6666666666665</v>
      </c>
      <c r="M217" s="15">
        <f t="shared" si="198"/>
        <v>3894.3333333333335</v>
      </c>
      <c r="N217" s="14">
        <f t="shared" si="198"/>
        <v>2965.3333333333335</v>
      </c>
      <c r="O217" s="13">
        <f t="shared" si="198"/>
        <v>1763.3333333333333</v>
      </c>
      <c r="P217" s="55"/>
    </row>
    <row r="218" spans="1:16" ht="12.75" customHeight="1" outlineLevel="1" x14ac:dyDescent="0.2">
      <c r="A218" s="20">
        <f t="shared" si="197"/>
        <v>3615</v>
      </c>
      <c r="B218" s="19" t="str">
        <f t="shared" si="197"/>
        <v>TXST</v>
      </c>
      <c r="C218" s="18"/>
      <c r="D218" s="15">
        <f t="shared" si="198"/>
        <v>5361</v>
      </c>
      <c r="E218" s="21">
        <f t="shared" si="198"/>
        <v>0.63300000000000001</v>
      </c>
      <c r="F218" s="14">
        <f t="shared" si="198"/>
        <v>22903.511111111107</v>
      </c>
      <c r="G218" s="13">
        <f t="shared" si="198"/>
        <v>10437.309999999357</v>
      </c>
      <c r="H218" s="15">
        <f t="shared" ref="H218:I218" si="202">AVERAGE(H260,H302,H344)</f>
        <v>1308.6666666666667</v>
      </c>
      <c r="I218" s="15">
        <f t="shared" si="202"/>
        <v>54.666666666666664</v>
      </c>
      <c r="J218" s="15">
        <f t="shared" si="198"/>
        <v>488.66666666666669</v>
      </c>
      <c r="K218" s="13">
        <f t="shared" si="198"/>
        <v>66.666666666666671</v>
      </c>
      <c r="L218" s="16">
        <f t="shared" si="198"/>
        <v>3675.3333333333335</v>
      </c>
      <c r="M218" s="15">
        <f t="shared" si="198"/>
        <v>7470.333333333333</v>
      </c>
      <c r="N218" s="14">
        <f t="shared" si="198"/>
        <v>5579</v>
      </c>
      <c r="O218" s="13">
        <f t="shared" si="198"/>
        <v>3317.3333333333335</v>
      </c>
      <c r="P218" s="55"/>
    </row>
    <row r="219" spans="1:16" ht="12.75" customHeight="1" outlineLevel="1" x14ac:dyDescent="0.2">
      <c r="A219" s="20">
        <f t="shared" si="197"/>
        <v>3625</v>
      </c>
      <c r="B219" s="19" t="str">
        <f t="shared" si="197"/>
        <v>SRSU</v>
      </c>
      <c r="C219" s="18"/>
      <c r="D219" s="15">
        <f t="shared" si="198"/>
        <v>189.33333333333334</v>
      </c>
      <c r="E219" s="21">
        <f t="shared" si="198"/>
        <v>0.30099999999999999</v>
      </c>
      <c r="F219" s="14">
        <f t="shared" si="198"/>
        <v>1220.0222222222221</v>
      </c>
      <c r="G219" s="13">
        <f t="shared" si="198"/>
        <v>394.32999999999964</v>
      </c>
      <c r="H219" s="15">
        <f t="shared" ref="H219:I219" si="203">AVERAGE(H261,H303,H345)</f>
        <v>178.33333333333334</v>
      </c>
      <c r="I219" s="15">
        <f t="shared" si="203"/>
        <v>0</v>
      </c>
      <c r="J219" s="15">
        <f t="shared" si="198"/>
        <v>12.666666666666666</v>
      </c>
      <c r="K219" s="13">
        <f t="shared" si="198"/>
        <v>6.333333333333333</v>
      </c>
      <c r="L219" s="16">
        <f t="shared" si="198"/>
        <v>163</v>
      </c>
      <c r="M219" s="15">
        <f t="shared" si="198"/>
        <v>300</v>
      </c>
      <c r="N219" s="14">
        <f t="shared" si="198"/>
        <v>193.66666666666666</v>
      </c>
      <c r="O219" s="13">
        <f t="shared" si="198"/>
        <v>131.66666666666666</v>
      </c>
      <c r="P219" s="55"/>
    </row>
    <row r="220" spans="1:16" ht="12.75" customHeight="1" outlineLevel="1" x14ac:dyDescent="0.2">
      <c r="A220" s="20">
        <f t="shared" si="197"/>
        <v>20</v>
      </c>
      <c r="B220" s="19" t="str">
        <f t="shared" si="197"/>
        <v>SRRG</v>
      </c>
      <c r="C220" s="18"/>
      <c r="D220" s="15">
        <f t="shared" si="198"/>
        <v>161.66666666666666</v>
      </c>
      <c r="E220" s="21">
        <f t="shared" si="198"/>
        <v>0.31772769042270776</v>
      </c>
      <c r="F220" s="14">
        <f t="shared" si="198"/>
        <v>441.75555555555553</v>
      </c>
      <c r="G220" s="13">
        <f t="shared" si="198"/>
        <v>279.16999999999979</v>
      </c>
      <c r="H220" s="15">
        <f t="shared" ref="H220:I220" si="204">AVERAGE(H262,H304,H346)</f>
        <v>56</v>
      </c>
      <c r="I220" s="15">
        <f t="shared" si="204"/>
        <v>0</v>
      </c>
      <c r="J220" s="15">
        <f t="shared" si="198"/>
        <v>6.333333333333333</v>
      </c>
      <c r="K220" s="13">
        <f t="shared" si="198"/>
        <v>5.666666666666667</v>
      </c>
      <c r="L220" s="16">
        <f t="shared" si="198"/>
        <v>144</v>
      </c>
      <c r="M220" s="15">
        <f t="shared" si="198"/>
        <v>230</v>
      </c>
      <c r="N220" s="14">
        <f t="shared" si="198"/>
        <v>92.666666666666671</v>
      </c>
      <c r="O220" s="13">
        <f t="shared" si="198"/>
        <v>4.333333333333333</v>
      </c>
      <c r="P220" s="55"/>
    </row>
    <row r="221" spans="1:16" ht="13.5" customHeight="1" outlineLevel="1" thickBot="1" x14ac:dyDescent="0.25">
      <c r="A221" s="12"/>
      <c r="B221" s="11" t="s">
        <v>11</v>
      </c>
      <c r="C221" s="10"/>
      <c r="D221" s="9">
        <f>SUM(D183:D220)</f>
        <v>84315.833333333314</v>
      </c>
      <c r="E221" s="8">
        <v>0.55900000000000005</v>
      </c>
      <c r="F221" s="7">
        <f t="shared" ref="F221:O221" si="205">SUM(F183:F220)</f>
        <v>350016.33333333331</v>
      </c>
      <c r="G221" s="3">
        <f t="shared" si="205"/>
        <v>172461.13999999844</v>
      </c>
      <c r="H221" s="5">
        <f t="shared" ref="H221:I221" si="206">SUM(H183:H220)</f>
        <v>31238.333333333339</v>
      </c>
      <c r="I221" s="5">
        <f t="shared" si="206"/>
        <v>4841.0000000000009</v>
      </c>
      <c r="J221" s="5">
        <f t="shared" si="205"/>
        <v>13953.333333333332</v>
      </c>
      <c r="K221" s="3">
        <f t="shared" si="205"/>
        <v>1198.3333333333335</v>
      </c>
      <c r="L221" s="6">
        <f t="shared" si="205"/>
        <v>54446.500000000007</v>
      </c>
      <c r="M221" s="5">
        <f t="shared" si="205"/>
        <v>114212.66666666664</v>
      </c>
      <c r="N221" s="4">
        <f t="shared" si="205"/>
        <v>82344.5</v>
      </c>
      <c r="O221" s="3">
        <f t="shared" si="205"/>
        <v>50801.999999999993</v>
      </c>
      <c r="P221" s="55"/>
    </row>
    <row r="222" spans="1:16" ht="12.75" customHeight="1" thickBot="1" x14ac:dyDescent="0.25">
      <c r="A222" s="45" t="s">
        <v>27</v>
      </c>
      <c r="B222" s="45"/>
      <c r="C222" s="45"/>
      <c r="D222" s="54"/>
      <c r="F222" s="54"/>
      <c r="L222" s="54"/>
    </row>
    <row r="223" spans="1:16" ht="12.75" customHeight="1" outlineLevel="1" x14ac:dyDescent="0.2">
      <c r="A223" s="177" t="s">
        <v>24</v>
      </c>
      <c r="B223" s="179" t="s">
        <v>23</v>
      </c>
      <c r="C223" s="181"/>
      <c r="D223" s="210" t="s">
        <v>22</v>
      </c>
      <c r="E223" s="205" t="s">
        <v>21</v>
      </c>
      <c r="F223" s="179" t="s">
        <v>20</v>
      </c>
      <c r="G223" s="201" t="s">
        <v>19</v>
      </c>
      <c r="H223" s="203" t="str">
        <f>H3</f>
        <v>Master's</v>
      </c>
      <c r="I223" s="203" t="str">
        <f>I3</f>
        <v>Doctoral and Professional Practice</v>
      </c>
      <c r="J223" s="203" t="s">
        <v>18</v>
      </c>
      <c r="K223" s="195" t="s">
        <v>17</v>
      </c>
      <c r="L223" s="197" t="s">
        <v>16</v>
      </c>
      <c r="M223" s="199" t="s">
        <v>15</v>
      </c>
      <c r="N223" s="200"/>
      <c r="O223" s="200"/>
    </row>
    <row r="224" spans="1:16" s="41" customFormat="1" ht="36" customHeight="1" outlineLevel="1" thickBot="1" x14ac:dyDescent="0.25">
      <c r="A224" s="178"/>
      <c r="B224" s="180"/>
      <c r="C224" s="182"/>
      <c r="D224" s="211"/>
      <c r="E224" s="206"/>
      <c r="F224" s="180"/>
      <c r="G224" s="202"/>
      <c r="H224" s="204"/>
      <c r="I224" s="204"/>
      <c r="J224" s="204"/>
      <c r="K224" s="196"/>
      <c r="L224" s="198"/>
      <c r="M224" s="44" t="s">
        <v>14</v>
      </c>
      <c r="N224" s="43" t="s">
        <v>13</v>
      </c>
      <c r="O224" s="42" t="s">
        <v>12</v>
      </c>
    </row>
    <row r="225" spans="1:15" ht="12.75" customHeight="1" outlineLevel="1" x14ac:dyDescent="0.2">
      <c r="A225" s="40">
        <f t="shared" ref="A225:B240" si="207">A183</f>
        <v>3656</v>
      </c>
      <c r="B225" s="39" t="str">
        <f t="shared" si="207"/>
        <v>UTA</v>
      </c>
      <c r="C225" s="38"/>
      <c r="D225" s="33">
        <v>5773</v>
      </c>
      <c r="E225" s="37">
        <v>0.55500000000000005</v>
      </c>
      <c r="F225" s="32">
        <v>17781.466666666667</v>
      </c>
      <c r="G225" s="51">
        <v>12087.560000000249</v>
      </c>
      <c r="H225" s="36">
        <v>3280</v>
      </c>
      <c r="I225" s="36">
        <v>168</v>
      </c>
      <c r="J225" s="36">
        <v>2140</v>
      </c>
      <c r="K225" s="35">
        <v>43</v>
      </c>
      <c r="L225" s="34">
        <v>3528</v>
      </c>
      <c r="M225" s="53">
        <v>6893</v>
      </c>
      <c r="N225" s="52">
        <v>3962</v>
      </c>
      <c r="O225" s="51">
        <v>1894</v>
      </c>
    </row>
    <row r="226" spans="1:15" ht="12.75" customHeight="1" outlineLevel="1" x14ac:dyDescent="0.2">
      <c r="A226" s="20">
        <f t="shared" si="207"/>
        <v>3658</v>
      </c>
      <c r="B226" s="19" t="str">
        <f t="shared" si="207"/>
        <v>UT</v>
      </c>
      <c r="C226" s="18"/>
      <c r="D226" s="15">
        <v>8860</v>
      </c>
      <c r="E226" s="21">
        <v>0.82499999999999996</v>
      </c>
      <c r="F226" s="14">
        <v>33841.466666666667</v>
      </c>
      <c r="G226" s="28">
        <v>19542.67999999996</v>
      </c>
      <c r="H226" s="15">
        <v>3130</v>
      </c>
      <c r="I226" s="15">
        <v>1347</v>
      </c>
      <c r="J226" s="15">
        <v>1981</v>
      </c>
      <c r="K226" s="13">
        <v>83</v>
      </c>
      <c r="L226" s="16">
        <v>3501</v>
      </c>
      <c r="M226" s="30">
        <v>9260</v>
      </c>
      <c r="N226" s="29">
        <v>8373</v>
      </c>
      <c r="O226" s="28">
        <v>6348</v>
      </c>
    </row>
    <row r="227" spans="1:15" ht="12.75" customHeight="1" outlineLevel="1" x14ac:dyDescent="0.2">
      <c r="A227" s="20">
        <f t="shared" si="207"/>
        <v>9741</v>
      </c>
      <c r="B227" s="19" t="str">
        <f t="shared" si="207"/>
        <v>UTD</v>
      </c>
      <c r="C227" s="18"/>
      <c r="D227" s="15">
        <v>2510</v>
      </c>
      <c r="E227" s="21">
        <v>0.71900000000000008</v>
      </c>
      <c r="F227" s="14">
        <v>9826.5333333333328</v>
      </c>
      <c r="G227" s="28">
        <v>5443.8700000002518</v>
      </c>
      <c r="H227" s="15">
        <v>2219</v>
      </c>
      <c r="I227" s="15">
        <v>179</v>
      </c>
      <c r="J227" s="15">
        <v>449</v>
      </c>
      <c r="K227" s="13">
        <v>33</v>
      </c>
      <c r="L227" s="16">
        <v>1410</v>
      </c>
      <c r="M227" s="30">
        <v>3522</v>
      </c>
      <c r="N227" s="29">
        <v>2348</v>
      </c>
      <c r="O227" s="28">
        <v>1065</v>
      </c>
    </row>
    <row r="228" spans="1:15" ht="12.75" customHeight="1" outlineLevel="1" x14ac:dyDescent="0.2">
      <c r="A228" s="20">
        <f t="shared" si="207"/>
        <v>3661</v>
      </c>
      <c r="B228" s="19" t="str">
        <f t="shared" si="207"/>
        <v>UTEP</v>
      </c>
      <c r="C228" s="18"/>
      <c r="D228" s="15">
        <v>3132</v>
      </c>
      <c r="E228" s="21">
        <v>0.41200000000000003</v>
      </c>
      <c r="F228" s="14">
        <v>13931.066666666668</v>
      </c>
      <c r="G228" s="28">
        <v>6456.0600000003096</v>
      </c>
      <c r="H228" s="15">
        <v>1134</v>
      </c>
      <c r="I228" s="15">
        <v>79</v>
      </c>
      <c r="J228" s="15">
        <v>643</v>
      </c>
      <c r="K228" s="13">
        <v>86</v>
      </c>
      <c r="L228" s="16">
        <v>2590</v>
      </c>
      <c r="M228" s="30">
        <v>4400</v>
      </c>
      <c r="N228" s="29">
        <v>3304</v>
      </c>
      <c r="O228" s="28">
        <v>1986</v>
      </c>
    </row>
    <row r="229" spans="1:15" ht="12.75" customHeight="1" outlineLevel="1" x14ac:dyDescent="0.2">
      <c r="A229" s="20">
        <f t="shared" si="207"/>
        <v>3599</v>
      </c>
      <c r="B229" s="19" t="str">
        <f t="shared" si="207"/>
        <v>UTPA</v>
      </c>
      <c r="C229" s="18"/>
      <c r="D229" s="15">
        <v>2462</v>
      </c>
      <c r="E229" s="21">
        <v>0.44</v>
      </c>
      <c r="F229" s="14">
        <v>12698.333333333334</v>
      </c>
      <c r="G229" s="28">
        <v>5000.2800000001325</v>
      </c>
      <c r="H229" s="15">
        <v>685</v>
      </c>
      <c r="I229" s="15">
        <v>18</v>
      </c>
      <c r="J229" s="15">
        <v>547</v>
      </c>
      <c r="K229" s="13">
        <v>19</v>
      </c>
      <c r="L229" s="16">
        <v>2247</v>
      </c>
      <c r="M229" s="30">
        <v>3730</v>
      </c>
      <c r="N229" s="29">
        <v>2862</v>
      </c>
      <c r="O229" s="28">
        <v>1896</v>
      </c>
    </row>
    <row r="230" spans="1:15" ht="12.75" customHeight="1" outlineLevel="1" x14ac:dyDescent="0.2">
      <c r="A230" s="20">
        <f t="shared" si="207"/>
        <v>30646</v>
      </c>
      <c r="B230" s="19" t="str">
        <f t="shared" si="207"/>
        <v>UTB</v>
      </c>
      <c r="C230" s="18"/>
      <c r="D230" s="15">
        <v>1149</v>
      </c>
      <c r="E230" s="17">
        <v>0.52783109404990403</v>
      </c>
      <c r="F230" s="14">
        <v>3400.5333333333333</v>
      </c>
      <c r="G230" s="28">
        <v>2236.3100000000127</v>
      </c>
      <c r="H230" s="15">
        <v>234</v>
      </c>
      <c r="I230" s="15">
        <v>8</v>
      </c>
      <c r="J230" s="15">
        <v>133</v>
      </c>
      <c r="K230" s="13">
        <v>21</v>
      </c>
      <c r="L230" s="16">
        <v>978</v>
      </c>
      <c r="M230" s="30">
        <v>1243</v>
      </c>
      <c r="N230" s="29">
        <v>486</v>
      </c>
      <c r="O230" s="28">
        <v>99</v>
      </c>
    </row>
    <row r="231" spans="1:15" ht="12.75" customHeight="1" outlineLevel="1" x14ac:dyDescent="0.2">
      <c r="A231" s="20">
        <f t="shared" si="207"/>
        <v>9930</v>
      </c>
      <c r="B231" s="19" t="str">
        <f t="shared" si="207"/>
        <v>UTPB</v>
      </c>
      <c r="C231" s="18"/>
      <c r="D231" s="15">
        <v>546</v>
      </c>
      <c r="E231" s="21">
        <v>0.47899999999999998</v>
      </c>
      <c r="F231" s="14">
        <v>2343.2666666666669</v>
      </c>
      <c r="G231" s="28">
        <v>1054.6599999999951</v>
      </c>
      <c r="H231" s="15">
        <v>152</v>
      </c>
      <c r="I231" s="15">
        <v>0</v>
      </c>
      <c r="J231" s="15">
        <v>51</v>
      </c>
      <c r="K231" s="13">
        <v>7</v>
      </c>
      <c r="L231" s="16">
        <v>411</v>
      </c>
      <c r="M231" s="30">
        <v>742</v>
      </c>
      <c r="N231" s="29">
        <v>535</v>
      </c>
      <c r="O231" s="28">
        <v>210</v>
      </c>
    </row>
    <row r="232" spans="1:15" ht="12.75" customHeight="1" outlineLevel="1" x14ac:dyDescent="0.2">
      <c r="A232" s="20">
        <f t="shared" si="207"/>
        <v>10115</v>
      </c>
      <c r="B232" s="19" t="str">
        <f t="shared" si="207"/>
        <v>UTSA</v>
      </c>
      <c r="C232" s="18"/>
      <c r="D232" s="15">
        <v>4243</v>
      </c>
      <c r="E232" s="21">
        <v>0.43099999999999999</v>
      </c>
      <c r="F232" s="14">
        <v>21066.866666666665</v>
      </c>
      <c r="G232" s="28">
        <v>8736.7000000001954</v>
      </c>
      <c r="H232" s="15">
        <v>1169</v>
      </c>
      <c r="I232" s="15">
        <v>79</v>
      </c>
      <c r="J232" s="15">
        <v>407</v>
      </c>
      <c r="K232" s="13">
        <v>63</v>
      </c>
      <c r="L232" s="16">
        <v>3204</v>
      </c>
      <c r="M232" s="30">
        <v>6815</v>
      </c>
      <c r="N232" s="29">
        <v>4371</v>
      </c>
      <c r="O232" s="28">
        <v>2560</v>
      </c>
    </row>
    <row r="233" spans="1:15" ht="12.75" customHeight="1" outlineLevel="1" x14ac:dyDescent="0.2">
      <c r="A233" s="20">
        <f t="shared" si="207"/>
        <v>11163</v>
      </c>
      <c r="B233" s="19" t="str">
        <f t="shared" si="207"/>
        <v>UTT</v>
      </c>
      <c r="C233" s="18"/>
      <c r="D233" s="15">
        <v>1144</v>
      </c>
      <c r="E233" s="21">
        <v>0.51800000000000002</v>
      </c>
      <c r="F233" s="14">
        <v>4086.7333333333331</v>
      </c>
      <c r="G233" s="28">
        <v>2263.8699999999944</v>
      </c>
      <c r="H233" s="15">
        <v>469</v>
      </c>
      <c r="I233" s="15">
        <v>16</v>
      </c>
      <c r="J233" s="15">
        <v>392</v>
      </c>
      <c r="K233" s="13">
        <v>23</v>
      </c>
      <c r="L233" s="16">
        <v>886</v>
      </c>
      <c r="M233" s="30">
        <v>1409</v>
      </c>
      <c r="N233" s="29">
        <v>844</v>
      </c>
      <c r="O233" s="28">
        <v>383</v>
      </c>
    </row>
    <row r="234" spans="1:15" ht="12.75" customHeight="1" outlineLevel="1" x14ac:dyDescent="0.2">
      <c r="A234" s="20">
        <f t="shared" si="207"/>
        <v>3632</v>
      </c>
      <c r="B234" s="19" t="str">
        <f t="shared" si="207"/>
        <v>TAMU</v>
      </c>
      <c r="C234" s="18"/>
      <c r="D234" s="15">
        <v>9020</v>
      </c>
      <c r="E234" s="21">
        <v>0.84200000000000008</v>
      </c>
      <c r="F234" s="14">
        <v>35116.666666666664</v>
      </c>
      <c r="G234" s="28">
        <v>21108.189999999984</v>
      </c>
      <c r="H234" s="15">
        <v>2105</v>
      </c>
      <c r="I234" s="15">
        <v>807</v>
      </c>
      <c r="J234" s="15">
        <v>1934</v>
      </c>
      <c r="K234" s="13">
        <v>137</v>
      </c>
      <c r="L234" s="16">
        <v>3915</v>
      </c>
      <c r="M234" s="30">
        <v>10547</v>
      </c>
      <c r="N234" s="29">
        <v>8924</v>
      </c>
      <c r="O234" s="28">
        <v>6938</v>
      </c>
    </row>
    <row r="235" spans="1:15" ht="12.75" customHeight="1" outlineLevel="1" x14ac:dyDescent="0.2">
      <c r="A235" s="20">
        <f t="shared" si="207"/>
        <v>10298</v>
      </c>
      <c r="B235" s="19" t="str">
        <f t="shared" si="207"/>
        <v>TAMUG</v>
      </c>
      <c r="C235" s="18"/>
      <c r="D235" s="15">
        <v>314</v>
      </c>
      <c r="E235" s="21">
        <v>0.626</v>
      </c>
      <c r="F235" s="14">
        <v>1769.4666666666667</v>
      </c>
      <c r="G235" s="28">
        <v>826.3399999999923</v>
      </c>
      <c r="H235" s="15">
        <v>12</v>
      </c>
      <c r="I235" s="15">
        <v>2</v>
      </c>
      <c r="J235" s="15">
        <v>46</v>
      </c>
      <c r="K235" s="13">
        <v>0</v>
      </c>
      <c r="L235" s="16">
        <v>186</v>
      </c>
      <c r="M235" s="30">
        <v>607</v>
      </c>
      <c r="N235" s="29">
        <v>296</v>
      </c>
      <c r="O235" s="28">
        <v>263</v>
      </c>
    </row>
    <row r="236" spans="1:15" ht="12.75" customHeight="1" outlineLevel="1" x14ac:dyDescent="0.2">
      <c r="A236" s="20">
        <f t="shared" si="207"/>
        <v>3630</v>
      </c>
      <c r="B236" s="19" t="str">
        <f t="shared" si="207"/>
        <v>Prairie View</v>
      </c>
      <c r="C236" s="18"/>
      <c r="D236" s="15">
        <v>1026</v>
      </c>
      <c r="E236" s="21">
        <v>0.40299999999999997</v>
      </c>
      <c r="F236" s="14">
        <v>5822.8</v>
      </c>
      <c r="G236" s="28">
        <v>2288.9700000000062</v>
      </c>
      <c r="H236" s="15">
        <v>445</v>
      </c>
      <c r="I236" s="15">
        <v>17</v>
      </c>
      <c r="J236" s="15">
        <v>373</v>
      </c>
      <c r="K236" s="13">
        <v>11</v>
      </c>
      <c r="L236" s="16">
        <v>877</v>
      </c>
      <c r="M236" s="30">
        <v>1701</v>
      </c>
      <c r="N236" s="29">
        <v>1132</v>
      </c>
      <c r="O236" s="28">
        <v>871</v>
      </c>
    </row>
    <row r="237" spans="1:15" ht="12.75" customHeight="1" outlineLevel="1" x14ac:dyDescent="0.2">
      <c r="A237" s="20">
        <f t="shared" si="207"/>
        <v>3631</v>
      </c>
      <c r="B237" s="19" t="str">
        <f t="shared" si="207"/>
        <v>Tarleton</v>
      </c>
      <c r="C237" s="18"/>
      <c r="D237" s="15">
        <v>1662</v>
      </c>
      <c r="E237" s="21">
        <v>0.47600000000000003</v>
      </c>
      <c r="F237" s="14">
        <v>6766.4</v>
      </c>
      <c r="G237" s="28">
        <v>3337.2399999999966</v>
      </c>
      <c r="H237" s="15">
        <v>428</v>
      </c>
      <c r="I237" s="15">
        <v>8</v>
      </c>
      <c r="J237" s="15">
        <v>229</v>
      </c>
      <c r="K237" s="13">
        <v>49</v>
      </c>
      <c r="L237" s="16">
        <v>1296</v>
      </c>
      <c r="M237" s="30">
        <v>2227</v>
      </c>
      <c r="N237" s="29">
        <v>1216</v>
      </c>
      <c r="O237" s="28">
        <v>845</v>
      </c>
    </row>
    <row r="238" spans="1:15" ht="12.75" customHeight="1" outlineLevel="1" x14ac:dyDescent="0.2">
      <c r="A238" s="27">
        <f t="shared" si="207"/>
        <v>103631</v>
      </c>
      <c r="B238" s="19" t="str">
        <f t="shared" si="207"/>
        <v>TAMUCT</v>
      </c>
      <c r="C238" s="18"/>
      <c r="D238" s="15">
        <v>469</v>
      </c>
      <c r="E238" s="21">
        <f>E237</f>
        <v>0.47600000000000003</v>
      </c>
      <c r="F238" s="14">
        <v>684.13333333333333</v>
      </c>
      <c r="G238" s="28">
        <v>882.20999999999208</v>
      </c>
      <c r="H238" s="15">
        <v>186</v>
      </c>
      <c r="I238" s="15">
        <v>0</v>
      </c>
      <c r="J238" s="15">
        <v>42</v>
      </c>
      <c r="K238" s="13">
        <v>0</v>
      </c>
      <c r="L238" s="16">
        <v>329</v>
      </c>
      <c r="M238" s="30">
        <v>550</v>
      </c>
      <c r="N238" s="29">
        <v>119</v>
      </c>
      <c r="O238" s="28">
        <v>5</v>
      </c>
    </row>
    <row r="239" spans="1:15" ht="12.75" customHeight="1" outlineLevel="1" x14ac:dyDescent="0.2">
      <c r="A239" s="20">
        <f t="shared" si="207"/>
        <v>11161</v>
      </c>
      <c r="B239" s="19" t="str">
        <f t="shared" si="207"/>
        <v>TAMUCC</v>
      </c>
      <c r="C239" s="18"/>
      <c r="D239" s="15">
        <v>1515</v>
      </c>
      <c r="E239" s="21">
        <v>0.51</v>
      </c>
      <c r="F239" s="14">
        <v>6742.2</v>
      </c>
      <c r="G239" s="28">
        <v>3028.8999999999978</v>
      </c>
      <c r="H239" s="15">
        <v>527</v>
      </c>
      <c r="I239" s="15">
        <v>29</v>
      </c>
      <c r="J239" s="15">
        <v>310</v>
      </c>
      <c r="K239" s="13">
        <v>23</v>
      </c>
      <c r="L239" s="16">
        <v>1182</v>
      </c>
      <c r="M239" s="30">
        <v>1957</v>
      </c>
      <c r="N239" s="29">
        <v>1470</v>
      </c>
      <c r="O239" s="28">
        <v>959</v>
      </c>
    </row>
    <row r="240" spans="1:15" ht="12.75" customHeight="1" outlineLevel="1" x14ac:dyDescent="0.2">
      <c r="A240" s="20">
        <f t="shared" si="207"/>
        <v>3639</v>
      </c>
      <c r="B240" s="19" t="str">
        <f t="shared" si="207"/>
        <v>TAMUK</v>
      </c>
      <c r="C240" s="18"/>
      <c r="D240" s="15">
        <v>855</v>
      </c>
      <c r="E240" s="21">
        <v>0.39200000000000002</v>
      </c>
      <c r="F240" s="14">
        <v>4577.5333333333338</v>
      </c>
      <c r="G240" s="28">
        <v>1952.6200000000099</v>
      </c>
      <c r="H240" s="15">
        <v>399</v>
      </c>
      <c r="I240" s="15">
        <v>29</v>
      </c>
      <c r="J240" s="15">
        <v>298</v>
      </c>
      <c r="K240" s="13">
        <v>19</v>
      </c>
      <c r="L240" s="16">
        <v>742</v>
      </c>
      <c r="M240" s="30">
        <v>1343</v>
      </c>
      <c r="N240" s="29">
        <v>910</v>
      </c>
      <c r="O240" s="28">
        <v>571</v>
      </c>
    </row>
    <row r="241" spans="1:15" ht="12.75" customHeight="1" outlineLevel="1" x14ac:dyDescent="0.2">
      <c r="A241" s="27">
        <f t="shared" ref="A241:B256" si="208">A199</f>
        <v>103639</v>
      </c>
      <c r="B241" s="19" t="str">
        <f t="shared" si="208"/>
        <v>TAMUSA</v>
      </c>
      <c r="C241" s="18"/>
      <c r="D241" s="15">
        <v>647</v>
      </c>
      <c r="E241" s="21">
        <f>E240</f>
        <v>0.39200000000000002</v>
      </c>
      <c r="F241" s="14">
        <v>1673.0666666666666</v>
      </c>
      <c r="G241" s="28">
        <v>1155.5399999999984</v>
      </c>
      <c r="H241" s="15">
        <v>241</v>
      </c>
      <c r="I241" s="15">
        <v>0</v>
      </c>
      <c r="J241" s="15">
        <v>10</v>
      </c>
      <c r="K241" s="13">
        <v>4</v>
      </c>
      <c r="L241" s="16">
        <v>549</v>
      </c>
      <c r="M241" s="30">
        <v>887</v>
      </c>
      <c r="N241" s="29">
        <v>190</v>
      </c>
      <c r="O241" s="28">
        <v>1</v>
      </c>
    </row>
    <row r="242" spans="1:15" ht="12.75" customHeight="1" outlineLevel="1" x14ac:dyDescent="0.2">
      <c r="A242" s="20">
        <f t="shared" si="208"/>
        <v>9651</v>
      </c>
      <c r="B242" s="19" t="str">
        <f t="shared" si="208"/>
        <v>TAMI</v>
      </c>
      <c r="C242" s="18"/>
      <c r="D242" s="15">
        <v>805</v>
      </c>
      <c r="E242" s="21">
        <v>0.45700000000000002</v>
      </c>
      <c r="F242" s="14">
        <v>4312.1333333333332</v>
      </c>
      <c r="G242" s="28">
        <v>1498.7699999999936</v>
      </c>
      <c r="H242" s="15">
        <v>248</v>
      </c>
      <c r="I242" s="15">
        <v>5</v>
      </c>
      <c r="J242" s="15">
        <v>142</v>
      </c>
      <c r="K242" s="13">
        <v>23</v>
      </c>
      <c r="L242" s="16">
        <v>737</v>
      </c>
      <c r="M242" s="30">
        <v>1292</v>
      </c>
      <c r="N242" s="29">
        <v>1039</v>
      </c>
      <c r="O242" s="28">
        <v>488</v>
      </c>
    </row>
    <row r="243" spans="1:15" ht="12.75" customHeight="1" outlineLevel="1" x14ac:dyDescent="0.2">
      <c r="A243" s="20">
        <f t="shared" si="208"/>
        <v>3665</v>
      </c>
      <c r="B243" s="19" t="str">
        <f t="shared" si="208"/>
        <v>WTAMU</v>
      </c>
      <c r="C243" s="18"/>
      <c r="D243" s="15">
        <v>1253</v>
      </c>
      <c r="E243" s="21">
        <v>0.48200000000000004</v>
      </c>
      <c r="F243" s="14">
        <v>5523.2</v>
      </c>
      <c r="G243" s="28">
        <v>2523.9800000000132</v>
      </c>
      <c r="H243" s="15">
        <v>343</v>
      </c>
      <c r="I243" s="15">
        <v>5</v>
      </c>
      <c r="J243" s="15">
        <v>175</v>
      </c>
      <c r="K243" s="13">
        <v>60</v>
      </c>
      <c r="L243" s="16">
        <v>902</v>
      </c>
      <c r="M243" s="30">
        <v>1631</v>
      </c>
      <c r="N243" s="29">
        <v>1213</v>
      </c>
      <c r="O243" s="28">
        <v>689</v>
      </c>
    </row>
    <row r="244" spans="1:15" ht="12.75" customHeight="1" outlineLevel="1" x14ac:dyDescent="0.2">
      <c r="A244" s="20">
        <f t="shared" si="208"/>
        <v>3565</v>
      </c>
      <c r="B244" s="19" t="str">
        <f t="shared" si="208"/>
        <v>TAMUC</v>
      </c>
      <c r="C244" s="18"/>
      <c r="D244" s="15">
        <v>1507</v>
      </c>
      <c r="E244" s="21">
        <v>0.44600000000000001</v>
      </c>
      <c r="F244" s="14">
        <v>5135.2666666666664</v>
      </c>
      <c r="G244" s="28">
        <v>2861.9500000000121</v>
      </c>
      <c r="H244" s="15">
        <v>1403</v>
      </c>
      <c r="I244" s="15">
        <v>34</v>
      </c>
      <c r="J244" s="15">
        <v>89</v>
      </c>
      <c r="K244" s="13">
        <v>81</v>
      </c>
      <c r="L244" s="16">
        <v>1172</v>
      </c>
      <c r="M244" s="30">
        <v>2056</v>
      </c>
      <c r="N244" s="29">
        <v>1174</v>
      </c>
      <c r="O244" s="28">
        <v>457</v>
      </c>
    </row>
    <row r="245" spans="1:15" ht="12.75" customHeight="1" outlineLevel="1" x14ac:dyDescent="0.2">
      <c r="A245" s="20">
        <f t="shared" si="208"/>
        <v>29269</v>
      </c>
      <c r="B245" s="19" t="str">
        <f t="shared" si="208"/>
        <v>TAMUT</v>
      </c>
      <c r="C245" s="18"/>
      <c r="D245" s="15">
        <v>376</v>
      </c>
      <c r="E245" s="17">
        <v>0.49242424242424243</v>
      </c>
      <c r="F245" s="14">
        <v>1101.2666666666667</v>
      </c>
      <c r="G245" s="28">
        <v>680.4399999999946</v>
      </c>
      <c r="H245" s="15">
        <v>121</v>
      </c>
      <c r="I245" s="15">
        <v>0</v>
      </c>
      <c r="J245" s="15">
        <v>47</v>
      </c>
      <c r="K245" s="13">
        <v>25</v>
      </c>
      <c r="L245" s="16">
        <v>277</v>
      </c>
      <c r="M245" s="30">
        <v>484</v>
      </c>
      <c r="N245" s="29">
        <v>219</v>
      </c>
      <c r="O245" s="28">
        <v>1</v>
      </c>
    </row>
    <row r="246" spans="1:15" ht="12.75" customHeight="1" outlineLevel="1" x14ac:dyDescent="0.2">
      <c r="A246" s="20">
        <f t="shared" si="208"/>
        <v>3652</v>
      </c>
      <c r="B246" s="19" t="str">
        <f t="shared" si="208"/>
        <v>UH</v>
      </c>
      <c r="C246" s="18"/>
      <c r="D246" s="15">
        <v>5426</v>
      </c>
      <c r="E246" s="21">
        <v>0.53600000000000003</v>
      </c>
      <c r="F246" s="14">
        <v>24760.400000000001</v>
      </c>
      <c r="G246" s="28">
        <v>11378.949999999324</v>
      </c>
      <c r="H246" s="15">
        <v>2033</v>
      </c>
      <c r="I246" s="15">
        <v>783</v>
      </c>
      <c r="J246" s="15">
        <v>835</v>
      </c>
      <c r="K246" s="13">
        <v>60</v>
      </c>
      <c r="L246" s="16">
        <v>3688</v>
      </c>
      <c r="M246" s="30">
        <v>7823</v>
      </c>
      <c r="N246" s="29">
        <v>5667</v>
      </c>
      <c r="O246" s="28">
        <v>3232</v>
      </c>
    </row>
    <row r="247" spans="1:15" ht="12.75" customHeight="1" outlineLevel="1" x14ac:dyDescent="0.2">
      <c r="A247" s="20">
        <f t="shared" si="208"/>
        <v>11711</v>
      </c>
      <c r="B247" s="19" t="str">
        <f t="shared" si="208"/>
        <v>UHCL</v>
      </c>
      <c r="C247" s="18"/>
      <c r="D247" s="15">
        <v>1251</v>
      </c>
      <c r="E247" s="17">
        <v>0.51671732522796354</v>
      </c>
      <c r="F247" s="14">
        <v>3079.2666666666669</v>
      </c>
      <c r="G247" s="28">
        <v>2423.7000000000025</v>
      </c>
      <c r="H247" s="15">
        <v>1059</v>
      </c>
      <c r="I247" s="15">
        <v>15</v>
      </c>
      <c r="J247" s="15">
        <v>119</v>
      </c>
      <c r="K247" s="13">
        <v>9</v>
      </c>
      <c r="L247" s="16">
        <v>839</v>
      </c>
      <c r="M247" s="30">
        <v>1391</v>
      </c>
      <c r="N247" s="29">
        <v>1014</v>
      </c>
      <c r="O247" s="28">
        <v>37</v>
      </c>
    </row>
    <row r="248" spans="1:15" ht="12.75" customHeight="1" outlineLevel="1" x14ac:dyDescent="0.2">
      <c r="A248" s="20">
        <f t="shared" si="208"/>
        <v>12826</v>
      </c>
      <c r="B248" s="19" t="str">
        <f t="shared" si="208"/>
        <v>UHD</v>
      </c>
      <c r="C248" s="18"/>
      <c r="D248" s="15">
        <v>2351</v>
      </c>
      <c r="E248" s="21">
        <v>0.17399999999999999</v>
      </c>
      <c r="F248" s="14">
        <v>8043.8</v>
      </c>
      <c r="G248" s="28">
        <v>4292.430000000033</v>
      </c>
      <c r="H248" s="15">
        <v>56</v>
      </c>
      <c r="I248" s="15">
        <v>0</v>
      </c>
      <c r="J248" s="15">
        <v>134</v>
      </c>
      <c r="K248" s="13">
        <v>3</v>
      </c>
      <c r="L248" s="16">
        <v>1694</v>
      </c>
      <c r="M248" s="30">
        <v>3011</v>
      </c>
      <c r="N248" s="29">
        <v>1820</v>
      </c>
      <c r="O248" s="28">
        <v>590</v>
      </c>
    </row>
    <row r="249" spans="1:15" ht="12.75" customHeight="1" outlineLevel="1" x14ac:dyDescent="0.2">
      <c r="A249" s="20">
        <f t="shared" si="208"/>
        <v>13231</v>
      </c>
      <c r="B249" s="19" t="str">
        <f t="shared" si="208"/>
        <v>UHV</v>
      </c>
      <c r="C249" s="18"/>
      <c r="D249" s="15">
        <v>619</v>
      </c>
      <c r="E249" s="17">
        <v>0.47520661157024796</v>
      </c>
      <c r="F249" s="14">
        <v>1685.8666666666666</v>
      </c>
      <c r="G249" s="28">
        <v>1187.5899999999924</v>
      </c>
      <c r="H249" s="15">
        <v>432</v>
      </c>
      <c r="I249" s="15">
        <v>0</v>
      </c>
      <c r="J249" s="15">
        <v>134</v>
      </c>
      <c r="K249" s="13">
        <v>9</v>
      </c>
      <c r="L249" s="16">
        <v>418</v>
      </c>
      <c r="M249" s="30">
        <v>776</v>
      </c>
      <c r="N249" s="29">
        <v>334</v>
      </c>
      <c r="O249" s="28">
        <v>6</v>
      </c>
    </row>
    <row r="250" spans="1:15" ht="12.75" customHeight="1" outlineLevel="1" x14ac:dyDescent="0.2">
      <c r="A250" s="20">
        <f t="shared" si="208"/>
        <v>3592</v>
      </c>
      <c r="B250" s="19" t="str">
        <f t="shared" si="208"/>
        <v>Midwestern</v>
      </c>
      <c r="C250" s="18"/>
      <c r="D250" s="15">
        <v>1066</v>
      </c>
      <c r="E250" s="21">
        <v>0.46299999999999997</v>
      </c>
      <c r="F250" s="14">
        <v>4147.7333333333336</v>
      </c>
      <c r="G250" s="28">
        <v>2062.1399999999949</v>
      </c>
      <c r="H250" s="15">
        <v>233</v>
      </c>
      <c r="I250" s="15">
        <v>0</v>
      </c>
      <c r="J250" s="15">
        <v>358</v>
      </c>
      <c r="K250" s="13">
        <v>15</v>
      </c>
      <c r="L250" s="16">
        <v>723</v>
      </c>
      <c r="M250" s="30">
        <v>1310</v>
      </c>
      <c r="N250" s="29">
        <v>979</v>
      </c>
      <c r="O250" s="28">
        <v>683</v>
      </c>
    </row>
    <row r="251" spans="1:15" ht="12.75" customHeight="1" outlineLevel="1" x14ac:dyDescent="0.2">
      <c r="A251" s="20">
        <f t="shared" si="208"/>
        <v>3594</v>
      </c>
      <c r="B251" s="19" t="str">
        <f t="shared" si="208"/>
        <v>UNT</v>
      </c>
      <c r="C251" s="18"/>
      <c r="D251" s="15">
        <v>5843</v>
      </c>
      <c r="E251" s="21">
        <v>0.56799999999999995</v>
      </c>
      <c r="F251" s="14">
        <v>23213.466666666667</v>
      </c>
      <c r="G251" s="28">
        <v>11338.869999999399</v>
      </c>
      <c r="H251" s="15">
        <v>2002</v>
      </c>
      <c r="I251" s="15">
        <v>235</v>
      </c>
      <c r="J251" s="15">
        <v>368</v>
      </c>
      <c r="K251" s="13">
        <v>56</v>
      </c>
      <c r="L251" s="16">
        <v>3771</v>
      </c>
      <c r="M251" s="30">
        <v>7310</v>
      </c>
      <c r="N251" s="29">
        <v>5432</v>
      </c>
      <c r="O251" s="28">
        <v>3116</v>
      </c>
    </row>
    <row r="252" spans="1:15" ht="12.75" customHeight="1" outlineLevel="1" x14ac:dyDescent="0.2">
      <c r="A252" s="27">
        <f t="shared" si="208"/>
        <v>113594</v>
      </c>
      <c r="B252" s="19" t="str">
        <f t="shared" si="208"/>
        <v>UNTD</v>
      </c>
      <c r="C252" s="18"/>
      <c r="D252" s="15">
        <v>419</v>
      </c>
      <c r="E252" s="21">
        <f>E251</f>
        <v>0.56799999999999995</v>
      </c>
      <c r="F252" s="14">
        <v>983.4666666666667</v>
      </c>
      <c r="G252" s="28">
        <v>742.11999999999398</v>
      </c>
      <c r="H252" s="15">
        <v>0</v>
      </c>
      <c r="I252" s="15">
        <v>0</v>
      </c>
      <c r="J252" s="15">
        <v>14</v>
      </c>
      <c r="K252" s="13">
        <v>0</v>
      </c>
      <c r="L252" s="16">
        <v>313</v>
      </c>
      <c r="M252" s="30">
        <v>469</v>
      </c>
      <c r="N252" s="29">
        <v>80</v>
      </c>
      <c r="O252" s="28">
        <v>4</v>
      </c>
    </row>
    <row r="253" spans="1:15" ht="12.75" customHeight="1" outlineLevel="1" x14ac:dyDescent="0.2">
      <c r="A253" s="20">
        <f t="shared" si="208"/>
        <v>3624</v>
      </c>
      <c r="B253" s="19" t="str">
        <f t="shared" si="208"/>
        <v>SFA</v>
      </c>
      <c r="C253" s="18"/>
      <c r="D253" s="15">
        <v>2011</v>
      </c>
      <c r="E253" s="21">
        <v>0.55299999999999994</v>
      </c>
      <c r="F253" s="14">
        <v>9507.3333333333339</v>
      </c>
      <c r="G253" s="28">
        <v>3932.9399999999569</v>
      </c>
      <c r="H253" s="15">
        <v>445</v>
      </c>
      <c r="I253" s="15">
        <v>15</v>
      </c>
      <c r="J253" s="15">
        <v>273</v>
      </c>
      <c r="K253" s="13">
        <v>42</v>
      </c>
      <c r="L253" s="16">
        <v>1513</v>
      </c>
      <c r="M253" s="30">
        <v>2605</v>
      </c>
      <c r="N253" s="29">
        <v>2125</v>
      </c>
      <c r="O253" s="28">
        <v>1473</v>
      </c>
    </row>
    <row r="254" spans="1:15" ht="12.75" customHeight="1" outlineLevel="1" x14ac:dyDescent="0.2">
      <c r="A254" s="20">
        <f t="shared" si="208"/>
        <v>3642</v>
      </c>
      <c r="B254" s="19" t="str">
        <f t="shared" si="208"/>
        <v>TSU</v>
      </c>
      <c r="C254" s="18"/>
      <c r="D254" s="15">
        <v>737</v>
      </c>
      <c r="E254" s="21">
        <v>0.14099999999999999</v>
      </c>
      <c r="F254" s="14">
        <v>5767.1333333333332</v>
      </c>
      <c r="G254" s="28">
        <v>1478.8299999999929</v>
      </c>
      <c r="H254" s="15">
        <v>280</v>
      </c>
      <c r="I254" s="15">
        <v>311</v>
      </c>
      <c r="J254" s="15">
        <v>154</v>
      </c>
      <c r="K254" s="13">
        <v>5</v>
      </c>
      <c r="L254" s="16">
        <v>641</v>
      </c>
      <c r="M254" s="30">
        <v>1349</v>
      </c>
      <c r="N254" s="29">
        <v>988</v>
      </c>
      <c r="O254" s="28">
        <v>760</v>
      </c>
    </row>
    <row r="255" spans="1:15" ht="12.75" customHeight="1" outlineLevel="1" x14ac:dyDescent="0.2">
      <c r="A255" s="20">
        <f t="shared" si="208"/>
        <v>3644</v>
      </c>
      <c r="B255" s="19" t="str">
        <f t="shared" si="208"/>
        <v>TTU</v>
      </c>
      <c r="C255" s="18"/>
      <c r="D255" s="15">
        <v>4941</v>
      </c>
      <c r="E255" s="21">
        <v>0.73599999999999999</v>
      </c>
      <c r="F255" s="14">
        <v>22627.599999999999</v>
      </c>
      <c r="G255" s="28">
        <v>10741.019999999262</v>
      </c>
      <c r="H255" s="15">
        <v>1605</v>
      </c>
      <c r="I255" s="15">
        <v>469</v>
      </c>
      <c r="J255" s="15">
        <v>839</v>
      </c>
      <c r="K255" s="13">
        <v>67</v>
      </c>
      <c r="L255" s="16">
        <v>3071</v>
      </c>
      <c r="M255" s="30">
        <v>6449</v>
      </c>
      <c r="N255" s="29">
        <v>5332</v>
      </c>
      <c r="O255" s="28">
        <v>4048</v>
      </c>
    </row>
    <row r="256" spans="1:15" ht="12.75" customHeight="1" outlineLevel="1" x14ac:dyDescent="0.2">
      <c r="A256" s="20">
        <f t="shared" si="208"/>
        <v>3541</v>
      </c>
      <c r="B256" s="19" t="str">
        <f t="shared" si="208"/>
        <v>Angelo</v>
      </c>
      <c r="C256" s="18"/>
      <c r="D256" s="15">
        <v>1073</v>
      </c>
      <c r="E256" s="21">
        <v>0.40799999999999997</v>
      </c>
      <c r="F256" s="14">
        <v>4921.333333333333</v>
      </c>
      <c r="G256" s="28">
        <v>2141.5100000000025</v>
      </c>
      <c r="H256" s="15">
        <v>251</v>
      </c>
      <c r="I256" s="15">
        <v>19</v>
      </c>
      <c r="J256" s="15">
        <v>304</v>
      </c>
      <c r="K256" s="13">
        <v>19</v>
      </c>
      <c r="L256" s="16">
        <v>773</v>
      </c>
      <c r="M256" s="30">
        <v>1398</v>
      </c>
      <c r="N256" s="29">
        <v>1022</v>
      </c>
      <c r="O256" s="28">
        <v>707</v>
      </c>
    </row>
    <row r="257" spans="1:15" ht="12.75" customHeight="1" outlineLevel="1" x14ac:dyDescent="0.2">
      <c r="A257" s="20">
        <f t="shared" ref="A257:B262" si="209">A215</f>
        <v>3646</v>
      </c>
      <c r="B257" s="19" t="str">
        <f t="shared" si="209"/>
        <v>TWU</v>
      </c>
      <c r="C257" s="18"/>
      <c r="D257" s="15">
        <v>1919</v>
      </c>
      <c r="E257" s="21">
        <v>0.54200000000000004</v>
      </c>
      <c r="F257" s="14">
        <v>6999.5333333333338</v>
      </c>
      <c r="G257" s="28">
        <v>3704.3199999999606</v>
      </c>
      <c r="H257" s="15">
        <v>1558</v>
      </c>
      <c r="I257" s="15">
        <v>186</v>
      </c>
      <c r="J257" s="15">
        <v>571</v>
      </c>
      <c r="K257" s="13">
        <v>30</v>
      </c>
      <c r="L257" s="16">
        <v>1326</v>
      </c>
      <c r="M257" s="30">
        <v>2425</v>
      </c>
      <c r="N257" s="29">
        <v>1247</v>
      </c>
      <c r="O257" s="28">
        <v>703</v>
      </c>
    </row>
    <row r="258" spans="1:15" ht="12.75" customHeight="1" outlineLevel="1" x14ac:dyDescent="0.2">
      <c r="A258" s="20">
        <f t="shared" si="209"/>
        <v>3581</v>
      </c>
      <c r="B258" s="19" t="str">
        <f t="shared" si="209"/>
        <v>Lamar</v>
      </c>
      <c r="C258" s="18"/>
      <c r="D258" s="15">
        <v>1380</v>
      </c>
      <c r="E258" s="21">
        <v>0.35899999999999999</v>
      </c>
      <c r="F258" s="14">
        <v>7404.4666666666662</v>
      </c>
      <c r="G258" s="28">
        <v>2721.5300000000057</v>
      </c>
      <c r="H258" s="15">
        <v>1593</v>
      </c>
      <c r="I258" s="15">
        <v>37</v>
      </c>
      <c r="J258" s="15">
        <v>318</v>
      </c>
      <c r="K258" s="13">
        <v>18</v>
      </c>
      <c r="L258" s="16">
        <v>995</v>
      </c>
      <c r="M258" s="30">
        <v>2074</v>
      </c>
      <c r="N258" s="29">
        <v>1486</v>
      </c>
      <c r="O258" s="28">
        <v>1002</v>
      </c>
    </row>
    <row r="259" spans="1:15" ht="12.75" customHeight="1" outlineLevel="1" x14ac:dyDescent="0.2">
      <c r="A259" s="20">
        <f t="shared" si="209"/>
        <v>3606</v>
      </c>
      <c r="B259" s="19" t="str">
        <f t="shared" si="209"/>
        <v>SHSU</v>
      </c>
      <c r="C259" s="18"/>
      <c r="D259" s="15">
        <v>2978</v>
      </c>
      <c r="E259" s="21">
        <v>0.57799999999999996</v>
      </c>
      <c r="F259" s="14">
        <v>12574.466666666667</v>
      </c>
      <c r="G259" s="28">
        <v>5694.020000000286</v>
      </c>
      <c r="H259" s="15">
        <v>894</v>
      </c>
      <c r="I259" s="15">
        <v>53</v>
      </c>
      <c r="J259" s="15">
        <v>172</v>
      </c>
      <c r="K259" s="13">
        <v>51</v>
      </c>
      <c r="L259" s="16">
        <v>2163</v>
      </c>
      <c r="M259" s="30">
        <v>3894</v>
      </c>
      <c r="N259" s="29">
        <v>2915</v>
      </c>
      <c r="O259" s="28">
        <v>1704</v>
      </c>
    </row>
    <row r="260" spans="1:15" ht="12.75" customHeight="1" outlineLevel="1" x14ac:dyDescent="0.2">
      <c r="A260" s="20">
        <f t="shared" si="209"/>
        <v>3615</v>
      </c>
      <c r="B260" s="19" t="str">
        <f t="shared" si="209"/>
        <v>TXST</v>
      </c>
      <c r="C260" s="18"/>
      <c r="D260" s="15">
        <v>5435</v>
      </c>
      <c r="E260" s="21">
        <v>0.61399999999999999</v>
      </c>
      <c r="F260" s="14">
        <v>24028</v>
      </c>
      <c r="G260" s="28">
        <v>10677.06999999951</v>
      </c>
      <c r="H260" s="15">
        <v>1341</v>
      </c>
      <c r="I260" s="15">
        <v>74</v>
      </c>
      <c r="J260" s="15">
        <v>582</v>
      </c>
      <c r="K260" s="13">
        <v>67</v>
      </c>
      <c r="L260" s="16">
        <v>3816</v>
      </c>
      <c r="M260" s="30">
        <v>7425</v>
      </c>
      <c r="N260" s="29">
        <v>5561</v>
      </c>
      <c r="O260" s="28">
        <v>3333</v>
      </c>
    </row>
    <row r="261" spans="1:15" ht="12.75" customHeight="1" outlineLevel="1" x14ac:dyDescent="0.2">
      <c r="A261" s="20">
        <f t="shared" si="209"/>
        <v>3625</v>
      </c>
      <c r="B261" s="19" t="str">
        <f t="shared" si="209"/>
        <v>SRSU</v>
      </c>
      <c r="C261" s="18"/>
      <c r="D261" s="15">
        <v>191</v>
      </c>
      <c r="E261" s="21">
        <v>0.32600000000000001</v>
      </c>
      <c r="F261" s="14">
        <v>1229</v>
      </c>
      <c r="G261" s="28">
        <v>409.0499999999999</v>
      </c>
      <c r="H261" s="15">
        <v>177</v>
      </c>
      <c r="I261" s="15">
        <v>0</v>
      </c>
      <c r="J261" s="15">
        <v>10</v>
      </c>
      <c r="K261" s="13">
        <v>5</v>
      </c>
      <c r="L261" s="16">
        <v>167</v>
      </c>
      <c r="M261" s="30">
        <v>284</v>
      </c>
      <c r="N261" s="29">
        <v>188</v>
      </c>
      <c r="O261" s="28">
        <v>144</v>
      </c>
    </row>
    <row r="262" spans="1:15" ht="12.75" customHeight="1" outlineLevel="1" x14ac:dyDescent="0.2">
      <c r="A262" s="20">
        <f t="shared" si="209"/>
        <v>20</v>
      </c>
      <c r="B262" s="19" t="str">
        <f t="shared" si="209"/>
        <v>SRRG</v>
      </c>
      <c r="C262" s="18"/>
      <c r="D262" s="15">
        <v>154</v>
      </c>
      <c r="E262" s="17">
        <v>0.25423728813559321</v>
      </c>
      <c r="F262" s="14">
        <v>436.8</v>
      </c>
      <c r="G262" s="28">
        <v>268.06000000000023</v>
      </c>
      <c r="H262" s="15">
        <v>77</v>
      </c>
      <c r="I262" s="15">
        <v>0</v>
      </c>
      <c r="J262" s="15">
        <v>6</v>
      </c>
      <c r="K262" s="13">
        <v>1</v>
      </c>
      <c r="L262" s="16">
        <v>138</v>
      </c>
      <c r="M262" s="30">
        <v>215</v>
      </c>
      <c r="N262" s="29">
        <v>91</v>
      </c>
      <c r="O262" s="28">
        <v>6</v>
      </c>
    </row>
    <row r="263" spans="1:15" ht="13.5" customHeight="1" outlineLevel="1" thickBot="1" x14ac:dyDescent="0.25">
      <c r="A263" s="12"/>
      <c r="B263" s="11" t="s">
        <v>11</v>
      </c>
      <c r="C263" s="10"/>
      <c r="D263" s="9">
        <f>SUM(D225:D262)</f>
        <v>87062</v>
      </c>
      <c r="E263" s="8">
        <v>0.58700000000000008</v>
      </c>
      <c r="F263" s="7">
        <f t="shared" ref="F263:O263" si="210">SUM(F225:F262)</f>
        <v>359610.06666666665</v>
      </c>
      <c r="G263" s="3">
        <f t="shared" si="210"/>
        <v>180161.28999999876</v>
      </c>
      <c r="H263" s="5">
        <f t="shared" ref="H263:I263" si="211">SUM(H225:H262)</f>
        <v>32966</v>
      </c>
      <c r="I263" s="5">
        <f t="shared" si="211"/>
        <v>5027</v>
      </c>
      <c r="J263" s="5">
        <f t="shared" si="210"/>
        <v>15629</v>
      </c>
      <c r="K263" s="3">
        <f t="shared" si="210"/>
        <v>1267</v>
      </c>
      <c r="L263" s="6">
        <f t="shared" si="210"/>
        <v>56968</v>
      </c>
      <c r="M263" s="5">
        <f t="shared" si="210"/>
        <v>113504</v>
      </c>
      <c r="N263" s="4">
        <f t="shared" si="210"/>
        <v>81268</v>
      </c>
      <c r="O263" s="3">
        <f t="shared" si="210"/>
        <v>50077</v>
      </c>
    </row>
    <row r="264" spans="1:15" ht="12.75" customHeight="1" thickBot="1" x14ac:dyDescent="0.25">
      <c r="A264" s="45" t="s">
        <v>26</v>
      </c>
      <c r="B264" s="45"/>
      <c r="C264" s="45"/>
      <c r="D264" s="45"/>
      <c r="F264" s="45"/>
      <c r="L264" s="45"/>
    </row>
    <row r="265" spans="1:15" ht="12.75" customHeight="1" outlineLevel="1" x14ac:dyDescent="0.2">
      <c r="A265" s="177" t="s">
        <v>24</v>
      </c>
      <c r="B265" s="179" t="s">
        <v>23</v>
      </c>
      <c r="C265" s="181"/>
      <c r="D265" s="210" t="s">
        <v>22</v>
      </c>
      <c r="E265" s="205" t="s">
        <v>21</v>
      </c>
      <c r="F265" s="179" t="s">
        <v>20</v>
      </c>
      <c r="G265" s="201" t="s">
        <v>19</v>
      </c>
      <c r="H265" s="203" t="str">
        <f>H3</f>
        <v>Master's</v>
      </c>
      <c r="I265" s="203" t="str">
        <f>I3</f>
        <v>Doctoral and Professional Practice</v>
      </c>
      <c r="J265" s="203" t="s">
        <v>18</v>
      </c>
      <c r="K265" s="195" t="s">
        <v>17</v>
      </c>
      <c r="L265" s="197" t="s">
        <v>16</v>
      </c>
      <c r="M265" s="199" t="s">
        <v>15</v>
      </c>
      <c r="N265" s="200"/>
      <c r="O265" s="200"/>
    </row>
    <row r="266" spans="1:15" s="41" customFormat="1" ht="40.5" customHeight="1" outlineLevel="1" thickBot="1" x14ac:dyDescent="0.25">
      <c r="A266" s="178"/>
      <c r="B266" s="180"/>
      <c r="C266" s="182"/>
      <c r="D266" s="211"/>
      <c r="E266" s="206"/>
      <c r="F266" s="180"/>
      <c r="G266" s="202"/>
      <c r="H266" s="204"/>
      <c r="I266" s="204"/>
      <c r="J266" s="204"/>
      <c r="K266" s="196"/>
      <c r="L266" s="198"/>
      <c r="M266" s="44" t="s">
        <v>14</v>
      </c>
      <c r="N266" s="43" t="s">
        <v>13</v>
      </c>
      <c r="O266" s="42" t="s">
        <v>12</v>
      </c>
    </row>
    <row r="267" spans="1:15" ht="12.75" customHeight="1" outlineLevel="1" x14ac:dyDescent="0.2">
      <c r="A267" s="40">
        <f t="shared" ref="A267:B282" si="212">A225</f>
        <v>3656</v>
      </c>
      <c r="B267" s="39" t="str">
        <f t="shared" si="212"/>
        <v>UTA</v>
      </c>
      <c r="C267" s="38"/>
      <c r="D267" s="33">
        <v>5103</v>
      </c>
      <c r="E267" s="37">
        <v>0.49299999999999999</v>
      </c>
      <c r="F267" s="32">
        <v>17372</v>
      </c>
      <c r="G267" s="31">
        <v>10527.860000000002</v>
      </c>
      <c r="H267" s="36">
        <v>2417</v>
      </c>
      <c r="I267" s="36">
        <v>127</v>
      </c>
      <c r="J267" s="36">
        <v>1620</v>
      </c>
      <c r="K267" s="35">
        <v>26</v>
      </c>
      <c r="L267" s="34">
        <v>3158</v>
      </c>
      <c r="M267" s="33">
        <v>6986</v>
      </c>
      <c r="N267" s="32">
        <v>3903</v>
      </c>
      <c r="O267" s="31">
        <v>1733</v>
      </c>
    </row>
    <row r="268" spans="1:15" ht="12.75" customHeight="1" outlineLevel="1" x14ac:dyDescent="0.2">
      <c r="A268" s="20">
        <f t="shared" si="212"/>
        <v>3658</v>
      </c>
      <c r="B268" s="19" t="str">
        <f t="shared" si="212"/>
        <v>UT</v>
      </c>
      <c r="C268" s="18"/>
      <c r="D268" s="15">
        <v>9027</v>
      </c>
      <c r="E268" s="21">
        <v>0.83299999999999996</v>
      </c>
      <c r="F268" s="14">
        <v>33709.866666666669</v>
      </c>
      <c r="G268" s="13">
        <v>19422.050000001858</v>
      </c>
      <c r="H268" s="15">
        <v>2986</v>
      </c>
      <c r="I268" s="15">
        <v>1352</v>
      </c>
      <c r="J268" s="15">
        <v>1894</v>
      </c>
      <c r="K268" s="13">
        <v>60</v>
      </c>
      <c r="L268" s="16">
        <v>3475</v>
      </c>
      <c r="M268" s="15">
        <v>9939</v>
      </c>
      <c r="N268" s="14">
        <v>8895</v>
      </c>
      <c r="O268" s="13">
        <v>7485</v>
      </c>
    </row>
    <row r="269" spans="1:15" ht="12.75" customHeight="1" outlineLevel="1" x14ac:dyDescent="0.2">
      <c r="A269" s="20">
        <f t="shared" si="212"/>
        <v>9741</v>
      </c>
      <c r="B269" s="19" t="str">
        <f t="shared" si="212"/>
        <v>UTD</v>
      </c>
      <c r="C269" s="18"/>
      <c r="D269" s="15">
        <v>2314</v>
      </c>
      <c r="E269" s="21">
        <v>0.68299999999999994</v>
      </c>
      <c r="F269" s="14">
        <v>8822.2000000000007</v>
      </c>
      <c r="G269" s="13">
        <v>4904.1700000000228</v>
      </c>
      <c r="H269" s="15">
        <v>1994</v>
      </c>
      <c r="I269" s="15">
        <v>166</v>
      </c>
      <c r="J269" s="15">
        <v>424</v>
      </c>
      <c r="K269" s="13">
        <v>27</v>
      </c>
      <c r="L269" s="16">
        <v>1294</v>
      </c>
      <c r="M269" s="15">
        <v>3345</v>
      </c>
      <c r="N269" s="14">
        <v>2105</v>
      </c>
      <c r="O269" s="13">
        <v>1076</v>
      </c>
    </row>
    <row r="270" spans="1:15" ht="12.75" customHeight="1" outlineLevel="1" x14ac:dyDescent="0.2">
      <c r="A270" s="20">
        <f t="shared" si="212"/>
        <v>3661</v>
      </c>
      <c r="B270" s="19" t="str">
        <f t="shared" si="212"/>
        <v>UTEP</v>
      </c>
      <c r="C270" s="18"/>
      <c r="D270" s="15">
        <v>3008</v>
      </c>
      <c r="E270" s="21">
        <v>0.38400000000000001</v>
      </c>
      <c r="F270" s="14">
        <v>13376</v>
      </c>
      <c r="G270" s="13">
        <v>6142.7200000000885</v>
      </c>
      <c r="H270" s="15">
        <v>1071</v>
      </c>
      <c r="I270" s="15">
        <v>78</v>
      </c>
      <c r="J270" s="15">
        <v>613</v>
      </c>
      <c r="K270" s="13">
        <v>91</v>
      </c>
      <c r="L270" s="16">
        <v>2409</v>
      </c>
      <c r="M270" s="15">
        <v>4488</v>
      </c>
      <c r="N270" s="14">
        <v>3404</v>
      </c>
      <c r="O270" s="13">
        <v>1910</v>
      </c>
    </row>
    <row r="271" spans="1:15" ht="12.75" customHeight="1" outlineLevel="1" x14ac:dyDescent="0.2">
      <c r="A271" s="20">
        <f t="shared" si="212"/>
        <v>3599</v>
      </c>
      <c r="B271" s="19" t="str">
        <f t="shared" si="212"/>
        <v>UTPA</v>
      </c>
      <c r="C271" s="18"/>
      <c r="D271" s="15">
        <v>2658</v>
      </c>
      <c r="E271" s="21">
        <v>0.46399999999999997</v>
      </c>
      <c r="F271" s="14">
        <v>12499.266666666666</v>
      </c>
      <c r="G271" s="13">
        <v>5231.3300000001427</v>
      </c>
      <c r="H271" s="15">
        <v>818</v>
      </c>
      <c r="I271" s="15">
        <v>10</v>
      </c>
      <c r="J271" s="15">
        <v>534</v>
      </c>
      <c r="K271" s="13">
        <v>34</v>
      </c>
      <c r="L271" s="16">
        <v>2427</v>
      </c>
      <c r="M271" s="15">
        <v>4142</v>
      </c>
      <c r="N271" s="14">
        <v>3290</v>
      </c>
      <c r="O271" s="13">
        <v>1998</v>
      </c>
    </row>
    <row r="272" spans="1:15" ht="12.75" customHeight="1" outlineLevel="1" x14ac:dyDescent="0.2">
      <c r="A272" s="20">
        <f t="shared" si="212"/>
        <v>30646</v>
      </c>
      <c r="B272" s="19" t="str">
        <f t="shared" si="212"/>
        <v>UTB</v>
      </c>
      <c r="C272" s="18"/>
      <c r="D272" s="15">
        <v>1075</v>
      </c>
      <c r="E272" s="17">
        <v>0.55124653739612184</v>
      </c>
      <c r="F272" s="14">
        <v>3116.2</v>
      </c>
      <c r="G272" s="13">
        <v>2052.0600000000218</v>
      </c>
      <c r="H272" s="15">
        <v>205</v>
      </c>
      <c r="I272" s="15">
        <v>6</v>
      </c>
      <c r="J272" s="15">
        <v>132</v>
      </c>
      <c r="K272" s="13">
        <v>15</v>
      </c>
      <c r="L272" s="16">
        <v>916</v>
      </c>
      <c r="M272" s="15">
        <v>1359</v>
      </c>
      <c r="N272" s="14">
        <v>600</v>
      </c>
      <c r="O272" s="13">
        <v>131</v>
      </c>
    </row>
    <row r="273" spans="1:15" ht="12.75" customHeight="1" outlineLevel="1" x14ac:dyDescent="0.2">
      <c r="A273" s="20">
        <f t="shared" si="212"/>
        <v>9930</v>
      </c>
      <c r="B273" s="19" t="str">
        <f t="shared" si="212"/>
        <v>UTPB</v>
      </c>
      <c r="C273" s="18"/>
      <c r="D273" s="15">
        <v>541</v>
      </c>
      <c r="E273" s="21">
        <v>0.40700000000000003</v>
      </c>
      <c r="F273" s="14">
        <v>2416</v>
      </c>
      <c r="G273" s="13">
        <v>1005.1500000000051</v>
      </c>
      <c r="H273" s="15">
        <v>151</v>
      </c>
      <c r="I273" s="15">
        <v>0</v>
      </c>
      <c r="J273" s="15">
        <v>40</v>
      </c>
      <c r="K273" s="13">
        <v>10</v>
      </c>
      <c r="L273" s="16">
        <v>407</v>
      </c>
      <c r="M273" s="15">
        <v>908</v>
      </c>
      <c r="N273" s="14">
        <v>490</v>
      </c>
      <c r="O273" s="13">
        <v>191</v>
      </c>
    </row>
    <row r="274" spans="1:15" ht="12.75" customHeight="1" outlineLevel="1" x14ac:dyDescent="0.2">
      <c r="A274" s="20">
        <f t="shared" si="212"/>
        <v>10115</v>
      </c>
      <c r="B274" s="19" t="str">
        <f t="shared" si="212"/>
        <v>UTSA</v>
      </c>
      <c r="C274" s="18"/>
      <c r="D274" s="15">
        <v>4148</v>
      </c>
      <c r="E274" s="21">
        <v>0.39400000000000002</v>
      </c>
      <c r="F274" s="14">
        <v>20284.733333333334</v>
      </c>
      <c r="G274" s="13">
        <v>8398.8499999997166</v>
      </c>
      <c r="H274" s="15">
        <v>1007</v>
      </c>
      <c r="I274" s="15">
        <v>68</v>
      </c>
      <c r="J274" s="15">
        <v>394</v>
      </c>
      <c r="K274" s="13">
        <v>47</v>
      </c>
      <c r="L274" s="16">
        <v>3211</v>
      </c>
      <c r="M274" s="15">
        <v>6802</v>
      </c>
      <c r="N274" s="14">
        <v>4390</v>
      </c>
      <c r="O274" s="13">
        <v>2699</v>
      </c>
    </row>
    <row r="275" spans="1:15" ht="12.75" customHeight="1" outlineLevel="1" x14ac:dyDescent="0.2">
      <c r="A275" s="20">
        <f t="shared" si="212"/>
        <v>11163</v>
      </c>
      <c r="B275" s="19" t="str">
        <f t="shared" si="212"/>
        <v>UTT</v>
      </c>
      <c r="C275" s="18"/>
      <c r="D275" s="15">
        <v>1188</v>
      </c>
      <c r="E275" s="21">
        <v>0.53300000000000003</v>
      </c>
      <c r="F275" s="14">
        <v>4030.7333333333331</v>
      </c>
      <c r="G275" s="13">
        <v>2364.9800000000037</v>
      </c>
      <c r="H275" s="15">
        <v>448</v>
      </c>
      <c r="I275" s="15">
        <v>4</v>
      </c>
      <c r="J275" s="15">
        <v>366</v>
      </c>
      <c r="K275" s="13">
        <v>9</v>
      </c>
      <c r="L275" s="16">
        <v>939</v>
      </c>
      <c r="M275" s="15">
        <v>1496</v>
      </c>
      <c r="N275" s="14">
        <v>905</v>
      </c>
      <c r="O275" s="13">
        <v>401</v>
      </c>
    </row>
    <row r="276" spans="1:15" ht="12.75" customHeight="1" outlineLevel="1" x14ac:dyDescent="0.2">
      <c r="A276" s="20">
        <f t="shared" si="212"/>
        <v>3632</v>
      </c>
      <c r="B276" s="19" t="str">
        <f t="shared" si="212"/>
        <v>TAMU</v>
      </c>
      <c r="C276" s="18"/>
      <c r="D276" s="15">
        <v>8748</v>
      </c>
      <c r="E276" s="21">
        <v>0.84399999999999997</v>
      </c>
      <c r="F276" s="14">
        <v>34425.133333333331</v>
      </c>
      <c r="G276" s="13">
        <v>20060.050000001262</v>
      </c>
      <c r="H276" s="15">
        <v>2231</v>
      </c>
      <c r="I276" s="15">
        <v>739</v>
      </c>
      <c r="J276" s="15">
        <v>1775</v>
      </c>
      <c r="K276" s="13">
        <v>133</v>
      </c>
      <c r="L276" s="16">
        <v>3727</v>
      </c>
      <c r="M276" s="15">
        <v>9623</v>
      </c>
      <c r="N276" s="14">
        <v>8962</v>
      </c>
      <c r="O276" s="13">
        <v>6823</v>
      </c>
    </row>
    <row r="277" spans="1:15" ht="12.75" customHeight="1" outlineLevel="1" x14ac:dyDescent="0.2">
      <c r="A277" s="20">
        <f t="shared" si="212"/>
        <v>10298</v>
      </c>
      <c r="B277" s="19" t="str">
        <f t="shared" si="212"/>
        <v>TAMUG</v>
      </c>
      <c r="C277" s="18"/>
      <c r="D277" s="15">
        <v>250</v>
      </c>
      <c r="E277" s="21">
        <v>0.66400000000000003</v>
      </c>
      <c r="F277" s="14">
        <v>1668.1333333333334</v>
      </c>
      <c r="G277" s="13">
        <v>648.89999999999895</v>
      </c>
      <c r="H277" s="15">
        <v>9</v>
      </c>
      <c r="I277" s="15">
        <v>0</v>
      </c>
      <c r="J277" s="15">
        <v>35</v>
      </c>
      <c r="K277" s="13">
        <v>0</v>
      </c>
      <c r="L277" s="16">
        <v>151</v>
      </c>
      <c r="M277" s="15">
        <v>600</v>
      </c>
      <c r="N277" s="14">
        <v>336</v>
      </c>
      <c r="O277" s="13">
        <v>234</v>
      </c>
    </row>
    <row r="278" spans="1:15" ht="12.75" customHeight="1" outlineLevel="1" x14ac:dyDescent="0.2">
      <c r="A278" s="20">
        <f t="shared" si="212"/>
        <v>3630</v>
      </c>
      <c r="B278" s="19" t="str">
        <f t="shared" si="212"/>
        <v>Prairie View</v>
      </c>
      <c r="C278" s="18"/>
      <c r="D278" s="15">
        <v>904</v>
      </c>
      <c r="E278" s="21">
        <v>0.37</v>
      </c>
      <c r="F278" s="49">
        <v>6088.2666666666664</v>
      </c>
      <c r="G278" s="13">
        <v>1934.240000000003</v>
      </c>
      <c r="H278" s="15">
        <v>534</v>
      </c>
      <c r="I278" s="15">
        <v>15</v>
      </c>
      <c r="J278" s="15">
        <v>279</v>
      </c>
      <c r="K278" s="13">
        <v>10</v>
      </c>
      <c r="L278" s="16">
        <v>775</v>
      </c>
      <c r="M278" s="15">
        <v>1660</v>
      </c>
      <c r="N278" s="14">
        <v>1237</v>
      </c>
      <c r="O278" s="13">
        <v>905</v>
      </c>
    </row>
    <row r="279" spans="1:15" ht="12.75" customHeight="1" outlineLevel="1" x14ac:dyDescent="0.2">
      <c r="A279" s="20">
        <f t="shared" si="212"/>
        <v>3631</v>
      </c>
      <c r="B279" s="19" t="str">
        <f t="shared" si="212"/>
        <v>Tarleton</v>
      </c>
      <c r="C279" s="18"/>
      <c r="D279" s="15">
        <v>1552</v>
      </c>
      <c r="E279" s="21">
        <v>0.48299999999999998</v>
      </c>
      <c r="F279" s="49">
        <v>6264.4666666666662</v>
      </c>
      <c r="G279" s="13">
        <v>3063.9600000000341</v>
      </c>
      <c r="H279" s="15">
        <v>313</v>
      </c>
      <c r="I279" s="15">
        <v>12</v>
      </c>
      <c r="J279" s="15">
        <v>197</v>
      </c>
      <c r="K279" s="48">
        <v>56</v>
      </c>
      <c r="L279" s="16">
        <v>1196</v>
      </c>
      <c r="M279" s="50">
        <v>2096</v>
      </c>
      <c r="N279" s="49">
        <v>1464</v>
      </c>
      <c r="O279" s="48">
        <v>840</v>
      </c>
    </row>
    <row r="280" spans="1:15" ht="12.75" customHeight="1" outlineLevel="1" x14ac:dyDescent="0.2">
      <c r="A280" s="27">
        <f t="shared" si="212"/>
        <v>103631</v>
      </c>
      <c r="B280" s="19" t="str">
        <f t="shared" si="212"/>
        <v>TAMUCT</v>
      </c>
      <c r="C280" s="18"/>
      <c r="D280" s="15">
        <v>462</v>
      </c>
      <c r="E280" s="21">
        <v>0.48299999999999998</v>
      </c>
      <c r="F280" s="49">
        <v>700.66666666666663</v>
      </c>
      <c r="G280" s="13">
        <v>846.68000000000006</v>
      </c>
      <c r="H280" s="15">
        <v>221</v>
      </c>
      <c r="I280" s="15">
        <v>0</v>
      </c>
      <c r="J280" s="15">
        <v>36</v>
      </c>
      <c r="K280" s="48">
        <v>0</v>
      </c>
      <c r="L280" s="16">
        <v>330</v>
      </c>
      <c r="M280" s="50">
        <v>555</v>
      </c>
      <c r="N280" s="49">
        <v>143</v>
      </c>
      <c r="O280" s="48">
        <v>66</v>
      </c>
    </row>
    <row r="281" spans="1:15" ht="12.75" customHeight="1" outlineLevel="1" x14ac:dyDescent="0.2">
      <c r="A281" s="20">
        <f t="shared" si="212"/>
        <v>11161</v>
      </c>
      <c r="B281" s="19" t="str">
        <f t="shared" si="212"/>
        <v>TAMUCC</v>
      </c>
      <c r="C281" s="18"/>
      <c r="D281" s="15">
        <v>1315</v>
      </c>
      <c r="E281" s="21">
        <v>0.51100000000000001</v>
      </c>
      <c r="F281" s="49">
        <v>6609.8666666666668</v>
      </c>
      <c r="G281" s="13">
        <v>2639.1300000000101</v>
      </c>
      <c r="H281" s="15">
        <v>532</v>
      </c>
      <c r="I281" s="15">
        <v>30</v>
      </c>
      <c r="J281" s="15">
        <v>252</v>
      </c>
      <c r="K281" s="48">
        <v>25</v>
      </c>
      <c r="L281" s="16">
        <v>1034</v>
      </c>
      <c r="M281" s="15">
        <v>2126</v>
      </c>
      <c r="N281" s="14">
        <v>1577</v>
      </c>
      <c r="O281" s="13">
        <v>864</v>
      </c>
    </row>
    <row r="282" spans="1:15" ht="12.75" customHeight="1" outlineLevel="1" x14ac:dyDescent="0.2">
      <c r="A282" s="20">
        <f t="shared" si="212"/>
        <v>3639</v>
      </c>
      <c r="B282" s="19" t="str">
        <f t="shared" si="212"/>
        <v>TAMUK</v>
      </c>
      <c r="C282" s="18"/>
      <c r="D282" s="15">
        <v>738</v>
      </c>
      <c r="E282" s="21">
        <v>0.39799999999999996</v>
      </c>
      <c r="F282" s="49">
        <v>4394.2</v>
      </c>
      <c r="G282" s="13">
        <v>1735.8600000000065</v>
      </c>
      <c r="H282" s="15">
        <v>464</v>
      </c>
      <c r="I282" s="15">
        <v>22</v>
      </c>
      <c r="J282" s="15">
        <v>246</v>
      </c>
      <c r="K282" s="48">
        <v>16</v>
      </c>
      <c r="L282" s="16">
        <v>613</v>
      </c>
      <c r="M282" s="50">
        <v>1180</v>
      </c>
      <c r="N282" s="49">
        <v>879</v>
      </c>
      <c r="O282" s="48">
        <v>555</v>
      </c>
    </row>
    <row r="283" spans="1:15" ht="12.75" customHeight="1" outlineLevel="1" x14ac:dyDescent="0.2">
      <c r="A283" s="27">
        <f t="shared" ref="A283:B298" si="213">A241</f>
        <v>103639</v>
      </c>
      <c r="B283" s="19" t="str">
        <f t="shared" si="213"/>
        <v>TAMUSA</v>
      </c>
      <c r="C283" s="18"/>
      <c r="D283" s="15">
        <v>620</v>
      </c>
      <c r="E283" s="21">
        <v>0.39799999999999996</v>
      </c>
      <c r="F283" s="49">
        <v>1492.4</v>
      </c>
      <c r="G283" s="13">
        <v>1078.0000000000073</v>
      </c>
      <c r="H283" s="15">
        <v>187</v>
      </c>
      <c r="I283" s="15">
        <v>0</v>
      </c>
      <c r="J283" s="15">
        <v>1</v>
      </c>
      <c r="K283" s="48">
        <v>0</v>
      </c>
      <c r="L283" s="16">
        <v>520</v>
      </c>
      <c r="M283" s="50">
        <v>995</v>
      </c>
      <c r="N283" s="49">
        <v>37</v>
      </c>
      <c r="O283" s="48">
        <v>2</v>
      </c>
    </row>
    <row r="284" spans="1:15" ht="12.75" customHeight="1" outlineLevel="1" x14ac:dyDescent="0.2">
      <c r="A284" s="20">
        <f t="shared" si="213"/>
        <v>9651</v>
      </c>
      <c r="B284" s="19" t="str">
        <f t="shared" si="213"/>
        <v>TAMI</v>
      </c>
      <c r="C284" s="18"/>
      <c r="D284" s="15">
        <v>766</v>
      </c>
      <c r="E284" s="21">
        <v>0.503</v>
      </c>
      <c r="F284" s="14">
        <v>4126.8</v>
      </c>
      <c r="G284" s="13">
        <v>1400.4200000000046</v>
      </c>
      <c r="H284" s="15">
        <v>261</v>
      </c>
      <c r="I284" s="15">
        <v>2</v>
      </c>
      <c r="J284" s="15">
        <v>120</v>
      </c>
      <c r="K284" s="13">
        <v>18</v>
      </c>
      <c r="L284" s="16">
        <v>688</v>
      </c>
      <c r="M284" s="15">
        <v>1515</v>
      </c>
      <c r="N284" s="14">
        <v>1027</v>
      </c>
      <c r="O284" s="13">
        <v>486</v>
      </c>
    </row>
    <row r="285" spans="1:15" ht="12.75" customHeight="1" outlineLevel="1" x14ac:dyDescent="0.2">
      <c r="A285" s="20">
        <f t="shared" si="213"/>
        <v>3665</v>
      </c>
      <c r="B285" s="19" t="str">
        <f t="shared" si="213"/>
        <v>WTAMU</v>
      </c>
      <c r="C285" s="18"/>
      <c r="D285" s="15">
        <v>1294</v>
      </c>
      <c r="E285" s="21">
        <v>0.47399999999999998</v>
      </c>
      <c r="F285" s="14">
        <v>5457.666666666667</v>
      </c>
      <c r="G285" s="13">
        <v>2570.7800000000157</v>
      </c>
      <c r="H285" s="15">
        <v>320</v>
      </c>
      <c r="I285" s="15">
        <v>1</v>
      </c>
      <c r="J285" s="15">
        <v>184</v>
      </c>
      <c r="K285" s="13">
        <v>58</v>
      </c>
      <c r="L285" s="16">
        <v>913</v>
      </c>
      <c r="M285" s="15">
        <v>1871</v>
      </c>
      <c r="N285" s="14">
        <v>1264</v>
      </c>
      <c r="O285" s="13">
        <v>664</v>
      </c>
    </row>
    <row r="286" spans="1:15" ht="12.75" customHeight="1" outlineLevel="1" x14ac:dyDescent="0.2">
      <c r="A286" s="20">
        <f t="shared" si="213"/>
        <v>3565</v>
      </c>
      <c r="B286" s="19" t="str">
        <f t="shared" si="213"/>
        <v>TAMUC</v>
      </c>
      <c r="C286" s="18"/>
      <c r="D286" s="15">
        <v>1313</v>
      </c>
      <c r="E286" s="21">
        <v>0.42600000000000005</v>
      </c>
      <c r="F286" s="14">
        <v>4783.5333333333338</v>
      </c>
      <c r="G286" s="13">
        <v>2463.6900000000296</v>
      </c>
      <c r="H286" s="15">
        <v>1196</v>
      </c>
      <c r="I286" s="15">
        <v>51</v>
      </c>
      <c r="J286" s="15">
        <v>71</v>
      </c>
      <c r="K286" s="13">
        <v>77</v>
      </c>
      <c r="L286" s="16">
        <v>1002</v>
      </c>
      <c r="M286" s="15">
        <v>1911</v>
      </c>
      <c r="N286" s="14">
        <v>1200</v>
      </c>
      <c r="O286" s="13">
        <v>477</v>
      </c>
    </row>
    <row r="287" spans="1:15" ht="12.75" customHeight="1" outlineLevel="1" x14ac:dyDescent="0.2">
      <c r="A287" s="20">
        <f t="shared" si="213"/>
        <v>29269</v>
      </c>
      <c r="B287" s="19" t="str">
        <f t="shared" si="213"/>
        <v>TAMUT</v>
      </c>
      <c r="C287" s="18"/>
      <c r="D287" s="15">
        <v>335</v>
      </c>
      <c r="E287" s="17">
        <v>0.56028368794326244</v>
      </c>
      <c r="F287" s="14">
        <v>879.13333333333333</v>
      </c>
      <c r="G287" s="13">
        <v>609.83000000000015</v>
      </c>
      <c r="H287" s="15">
        <v>164</v>
      </c>
      <c r="I287" s="15">
        <v>0</v>
      </c>
      <c r="J287" s="15">
        <v>48</v>
      </c>
      <c r="K287" s="13">
        <v>18</v>
      </c>
      <c r="L287" s="16">
        <v>230</v>
      </c>
      <c r="M287" s="15">
        <v>411</v>
      </c>
      <c r="N287" s="14">
        <v>186</v>
      </c>
      <c r="O287" s="13">
        <v>1</v>
      </c>
    </row>
    <row r="288" spans="1:15" ht="12.75" customHeight="1" outlineLevel="1" x14ac:dyDescent="0.2">
      <c r="A288" s="20">
        <f t="shared" si="213"/>
        <v>3652</v>
      </c>
      <c r="B288" s="19" t="str">
        <f t="shared" si="213"/>
        <v>UH</v>
      </c>
      <c r="C288" s="18"/>
      <c r="D288" s="15">
        <v>5092</v>
      </c>
      <c r="E288" s="21">
        <v>0.54200000000000004</v>
      </c>
      <c r="F288" s="14">
        <v>23853.933333333334</v>
      </c>
      <c r="G288" s="13">
        <v>10569.339999999527</v>
      </c>
      <c r="H288" s="15">
        <v>1927</v>
      </c>
      <c r="I288" s="15">
        <v>816</v>
      </c>
      <c r="J288" s="15">
        <v>720</v>
      </c>
      <c r="K288" s="13">
        <v>74</v>
      </c>
      <c r="L288" s="16">
        <v>3340</v>
      </c>
      <c r="M288" s="15">
        <v>7467</v>
      </c>
      <c r="N288" s="14">
        <v>5804</v>
      </c>
      <c r="O288" s="13">
        <v>3314</v>
      </c>
    </row>
    <row r="289" spans="1:15" ht="12.75" customHeight="1" outlineLevel="1" x14ac:dyDescent="0.2">
      <c r="A289" s="20">
        <f t="shared" si="213"/>
        <v>11711</v>
      </c>
      <c r="B289" s="19" t="str">
        <f t="shared" si="213"/>
        <v>UHCL</v>
      </c>
      <c r="C289" s="18"/>
      <c r="D289" s="15">
        <v>1197</v>
      </c>
      <c r="E289" s="17">
        <v>0.53820033955857383</v>
      </c>
      <c r="F289" s="14">
        <v>3046.8</v>
      </c>
      <c r="G289" s="13">
        <v>2293.9500000000248</v>
      </c>
      <c r="H289" s="15">
        <v>1096</v>
      </c>
      <c r="I289" s="15">
        <v>9</v>
      </c>
      <c r="J289" s="15">
        <v>113</v>
      </c>
      <c r="K289" s="13">
        <v>8</v>
      </c>
      <c r="L289" s="16">
        <v>777</v>
      </c>
      <c r="M289" s="15">
        <v>1434</v>
      </c>
      <c r="N289" s="14">
        <v>959</v>
      </c>
      <c r="O289" s="13">
        <v>53</v>
      </c>
    </row>
    <row r="290" spans="1:15" ht="12.75" customHeight="1" outlineLevel="1" x14ac:dyDescent="0.2">
      <c r="A290" s="20">
        <f t="shared" si="213"/>
        <v>12826</v>
      </c>
      <c r="B290" s="19" t="str">
        <f t="shared" si="213"/>
        <v>UHD</v>
      </c>
      <c r="C290" s="18"/>
      <c r="D290" s="15">
        <v>2437</v>
      </c>
      <c r="E290" s="21">
        <v>0.215</v>
      </c>
      <c r="F290" s="14">
        <v>7949.2666666666664</v>
      </c>
      <c r="G290" s="13">
        <v>4368.2100000000464</v>
      </c>
      <c r="H290" s="15">
        <v>43</v>
      </c>
      <c r="I290" s="15">
        <v>0</v>
      </c>
      <c r="J290" s="15">
        <v>143</v>
      </c>
      <c r="K290" s="13">
        <v>0</v>
      </c>
      <c r="L290" s="16">
        <v>1730</v>
      </c>
      <c r="M290" s="15">
        <v>3223</v>
      </c>
      <c r="N290" s="14">
        <v>1896</v>
      </c>
      <c r="O290" s="13">
        <v>618</v>
      </c>
    </row>
    <row r="291" spans="1:15" ht="12.75" customHeight="1" outlineLevel="1" x14ac:dyDescent="0.2">
      <c r="A291" s="20">
        <f t="shared" si="213"/>
        <v>13231</v>
      </c>
      <c r="B291" s="19" t="str">
        <f t="shared" si="213"/>
        <v>UHV</v>
      </c>
      <c r="C291" s="18"/>
      <c r="D291" s="15">
        <v>596</v>
      </c>
      <c r="E291" s="17">
        <v>0.5339366515837104</v>
      </c>
      <c r="F291" s="14">
        <v>1494.2</v>
      </c>
      <c r="G291" s="13">
        <v>1103.6999999999998</v>
      </c>
      <c r="H291" s="15">
        <v>429</v>
      </c>
      <c r="I291" s="15">
        <v>0</v>
      </c>
      <c r="J291" s="15">
        <v>118</v>
      </c>
      <c r="K291" s="13">
        <v>11</v>
      </c>
      <c r="L291" s="16">
        <v>397</v>
      </c>
      <c r="M291" s="15">
        <v>718</v>
      </c>
      <c r="N291" s="14">
        <v>286</v>
      </c>
      <c r="O291" s="13">
        <v>6</v>
      </c>
    </row>
    <row r="292" spans="1:15" ht="12.75" customHeight="1" outlineLevel="1" x14ac:dyDescent="0.2">
      <c r="A292" s="20">
        <f t="shared" si="213"/>
        <v>3592</v>
      </c>
      <c r="B292" s="19" t="str">
        <f t="shared" si="213"/>
        <v>Midwestern</v>
      </c>
      <c r="C292" s="18"/>
      <c r="D292" s="15">
        <v>1027</v>
      </c>
      <c r="E292" s="21">
        <v>0.443</v>
      </c>
      <c r="F292" s="14">
        <v>4387.7333333333336</v>
      </c>
      <c r="G292" s="13">
        <v>1924.84</v>
      </c>
      <c r="H292" s="15">
        <v>204</v>
      </c>
      <c r="I292" s="15">
        <v>0</v>
      </c>
      <c r="J292" s="15">
        <v>340</v>
      </c>
      <c r="K292" s="13">
        <v>11</v>
      </c>
      <c r="L292" s="16">
        <v>675</v>
      </c>
      <c r="M292" s="15">
        <v>1507</v>
      </c>
      <c r="N292" s="14">
        <v>1079</v>
      </c>
      <c r="O292" s="13">
        <v>734</v>
      </c>
    </row>
    <row r="293" spans="1:15" ht="12.75" customHeight="1" outlineLevel="1" x14ac:dyDescent="0.2">
      <c r="A293" s="20">
        <f t="shared" si="213"/>
        <v>3594</v>
      </c>
      <c r="B293" s="19" t="str">
        <f t="shared" si="213"/>
        <v>UNT</v>
      </c>
      <c r="C293" s="18"/>
      <c r="D293" s="15">
        <v>6183</v>
      </c>
      <c r="E293" s="21">
        <v>0.58700000000000008</v>
      </c>
      <c r="F293" s="14">
        <v>23168.733333333334</v>
      </c>
      <c r="G293" s="13">
        <v>11731.089999999795</v>
      </c>
      <c r="H293" s="15">
        <v>1820</v>
      </c>
      <c r="I293" s="15">
        <v>217</v>
      </c>
      <c r="J293" s="15">
        <v>345</v>
      </c>
      <c r="K293" s="13">
        <v>47</v>
      </c>
      <c r="L293" s="16">
        <v>3942</v>
      </c>
      <c r="M293" s="15">
        <v>7957</v>
      </c>
      <c r="N293" s="14">
        <v>5891</v>
      </c>
      <c r="O293" s="13">
        <v>3310</v>
      </c>
    </row>
    <row r="294" spans="1:15" ht="12.75" customHeight="1" outlineLevel="1" x14ac:dyDescent="0.2">
      <c r="A294" s="27">
        <f t="shared" si="213"/>
        <v>113594</v>
      </c>
      <c r="B294" s="19" t="str">
        <f t="shared" si="213"/>
        <v>UNTD</v>
      </c>
      <c r="C294" s="18"/>
      <c r="D294" s="30">
        <v>388</v>
      </c>
      <c r="E294" s="47">
        <v>0.58700000000000008</v>
      </c>
      <c r="F294" s="29">
        <v>908.8</v>
      </c>
      <c r="G294" s="28">
        <v>669.60000000000036</v>
      </c>
      <c r="H294" s="30">
        <v>0</v>
      </c>
      <c r="I294" s="30">
        <v>0</v>
      </c>
      <c r="J294" s="30">
        <v>10</v>
      </c>
      <c r="K294" s="28"/>
      <c r="L294" s="46">
        <v>304</v>
      </c>
      <c r="M294" s="30">
        <v>487</v>
      </c>
      <c r="N294" s="29">
        <v>63</v>
      </c>
      <c r="O294" s="28">
        <v>18</v>
      </c>
    </row>
    <row r="295" spans="1:15" ht="12.75" customHeight="1" outlineLevel="1" x14ac:dyDescent="0.2">
      <c r="A295" s="20">
        <f t="shared" si="213"/>
        <v>3624</v>
      </c>
      <c r="B295" s="19" t="str">
        <f t="shared" si="213"/>
        <v>SFA</v>
      </c>
      <c r="C295" s="18"/>
      <c r="D295" s="15">
        <v>1880</v>
      </c>
      <c r="E295" s="21">
        <v>0.53900000000000003</v>
      </c>
      <c r="F295" s="14">
        <v>9440.9333333333325</v>
      </c>
      <c r="G295" s="13">
        <v>3606.8600000000297</v>
      </c>
      <c r="H295" s="15">
        <v>435</v>
      </c>
      <c r="I295" s="15">
        <v>13</v>
      </c>
      <c r="J295" s="15">
        <v>241</v>
      </c>
      <c r="K295" s="13">
        <v>49</v>
      </c>
      <c r="L295" s="16">
        <v>1446</v>
      </c>
      <c r="M295" s="15">
        <v>3040</v>
      </c>
      <c r="N295" s="14">
        <v>2166</v>
      </c>
      <c r="O295" s="13">
        <v>1402</v>
      </c>
    </row>
    <row r="296" spans="1:15" ht="12.75" customHeight="1" outlineLevel="1" x14ac:dyDescent="0.2">
      <c r="A296" s="20">
        <f t="shared" si="213"/>
        <v>3642</v>
      </c>
      <c r="B296" s="19" t="str">
        <f t="shared" si="213"/>
        <v>TSU</v>
      </c>
      <c r="C296" s="18"/>
      <c r="D296" s="15">
        <v>721</v>
      </c>
      <c r="E296" s="21">
        <v>0.14099999999999999</v>
      </c>
      <c r="F296" s="14">
        <v>5912.8</v>
      </c>
      <c r="G296" s="13">
        <v>1385.6100000000063</v>
      </c>
      <c r="H296" s="15">
        <v>261</v>
      </c>
      <c r="I296" s="15">
        <v>295</v>
      </c>
      <c r="J296" s="15">
        <v>122</v>
      </c>
      <c r="K296" s="13">
        <v>2</v>
      </c>
      <c r="L296" s="16">
        <v>635</v>
      </c>
      <c r="M296" s="15">
        <v>1692</v>
      </c>
      <c r="N296" s="14">
        <v>1274</v>
      </c>
      <c r="O296" s="13">
        <v>870</v>
      </c>
    </row>
    <row r="297" spans="1:15" ht="12.75" customHeight="1" outlineLevel="1" x14ac:dyDescent="0.2">
      <c r="A297" s="20">
        <f t="shared" si="213"/>
        <v>3644</v>
      </c>
      <c r="B297" s="19" t="str">
        <f t="shared" si="213"/>
        <v>TTU</v>
      </c>
      <c r="C297" s="18"/>
      <c r="D297" s="15">
        <v>4605</v>
      </c>
      <c r="E297" s="21">
        <v>0.7320000000000001</v>
      </c>
      <c r="F297" s="14">
        <v>22527.466666666667</v>
      </c>
      <c r="G297" s="13">
        <v>9815.7899999997753</v>
      </c>
      <c r="H297" s="15">
        <v>1300</v>
      </c>
      <c r="I297" s="15">
        <v>464</v>
      </c>
      <c r="J297" s="15">
        <v>687</v>
      </c>
      <c r="K297" s="13">
        <v>62</v>
      </c>
      <c r="L297" s="16">
        <v>2724</v>
      </c>
      <c r="M297" s="15">
        <v>6577</v>
      </c>
      <c r="N297" s="14">
        <v>5355</v>
      </c>
      <c r="O297" s="13">
        <v>3957</v>
      </c>
    </row>
    <row r="298" spans="1:15" ht="12.75" customHeight="1" outlineLevel="1" x14ac:dyDescent="0.2">
      <c r="A298" s="20">
        <f t="shared" si="213"/>
        <v>3541</v>
      </c>
      <c r="B298" s="19" t="str">
        <f t="shared" si="213"/>
        <v>Angelo</v>
      </c>
      <c r="C298" s="18"/>
      <c r="D298" s="15">
        <v>960</v>
      </c>
      <c r="E298" s="21">
        <v>0.441</v>
      </c>
      <c r="F298" s="14">
        <v>4895.666666666667</v>
      </c>
      <c r="G298" s="13">
        <v>1856.9499999999953</v>
      </c>
      <c r="H298" s="15">
        <v>187</v>
      </c>
      <c r="I298" s="15">
        <v>0</v>
      </c>
      <c r="J298" s="15">
        <v>242</v>
      </c>
      <c r="K298" s="13">
        <v>21</v>
      </c>
      <c r="L298" s="16">
        <v>720</v>
      </c>
      <c r="M298" s="15">
        <v>1444</v>
      </c>
      <c r="N298" s="14">
        <v>1071</v>
      </c>
      <c r="O298" s="13">
        <v>708</v>
      </c>
    </row>
    <row r="299" spans="1:15" ht="12.75" customHeight="1" outlineLevel="1" x14ac:dyDescent="0.2">
      <c r="A299" s="20">
        <f t="shared" ref="A299:B304" si="214">A257</f>
        <v>3646</v>
      </c>
      <c r="B299" s="19" t="str">
        <f t="shared" si="214"/>
        <v>TWU</v>
      </c>
      <c r="C299" s="18"/>
      <c r="D299" s="15">
        <v>1725</v>
      </c>
      <c r="E299" s="21">
        <v>0.48399999999999999</v>
      </c>
      <c r="F299" s="14">
        <v>6598.2</v>
      </c>
      <c r="G299" s="13">
        <v>3227.0100000000139</v>
      </c>
      <c r="H299" s="15">
        <v>1606</v>
      </c>
      <c r="I299" s="15">
        <v>219</v>
      </c>
      <c r="J299" s="15">
        <v>523</v>
      </c>
      <c r="K299" s="13">
        <v>34</v>
      </c>
      <c r="L299" s="16">
        <v>1201</v>
      </c>
      <c r="M299" s="15">
        <v>2121</v>
      </c>
      <c r="N299" s="14">
        <v>1259</v>
      </c>
      <c r="O299" s="13">
        <v>608</v>
      </c>
    </row>
    <row r="300" spans="1:15" ht="12.75" customHeight="1" outlineLevel="1" x14ac:dyDescent="0.2">
      <c r="A300" s="20">
        <f t="shared" si="214"/>
        <v>3581</v>
      </c>
      <c r="B300" s="19" t="str">
        <f t="shared" si="214"/>
        <v>Lamar</v>
      </c>
      <c r="C300" s="18"/>
      <c r="D300" s="15">
        <v>1340</v>
      </c>
      <c r="E300" s="21">
        <v>0.35399999999999998</v>
      </c>
      <c r="F300" s="14">
        <v>7247.8</v>
      </c>
      <c r="G300" s="13">
        <v>2695.0800000000122</v>
      </c>
      <c r="H300" s="15">
        <v>2313</v>
      </c>
      <c r="I300" s="15">
        <v>32</v>
      </c>
      <c r="J300" s="15">
        <v>358</v>
      </c>
      <c r="K300" s="13">
        <v>16</v>
      </c>
      <c r="L300" s="16">
        <v>943</v>
      </c>
      <c r="M300" s="15">
        <v>2317</v>
      </c>
      <c r="N300" s="14">
        <v>1577</v>
      </c>
      <c r="O300" s="13">
        <v>1000</v>
      </c>
    </row>
    <row r="301" spans="1:15" ht="12.75" customHeight="1" outlineLevel="1" x14ac:dyDescent="0.2">
      <c r="A301" s="20">
        <f t="shared" si="214"/>
        <v>3606</v>
      </c>
      <c r="B301" s="19" t="str">
        <f t="shared" si="214"/>
        <v>SHSU</v>
      </c>
      <c r="C301" s="18"/>
      <c r="D301" s="15">
        <v>3013</v>
      </c>
      <c r="E301" s="21">
        <v>0.60299999999999998</v>
      </c>
      <c r="F301" s="14">
        <v>12631.666666666666</v>
      </c>
      <c r="G301" s="13">
        <v>5628.5800000000427</v>
      </c>
      <c r="H301" s="15">
        <v>875</v>
      </c>
      <c r="I301" s="15">
        <v>43</v>
      </c>
      <c r="J301" s="15">
        <v>166</v>
      </c>
      <c r="K301" s="13">
        <v>63</v>
      </c>
      <c r="L301" s="16">
        <v>2160</v>
      </c>
      <c r="M301" s="15">
        <v>3940</v>
      </c>
      <c r="N301" s="14">
        <v>2970</v>
      </c>
      <c r="O301" s="13">
        <v>1716</v>
      </c>
    </row>
    <row r="302" spans="1:15" ht="12.75" customHeight="1" outlineLevel="1" x14ac:dyDescent="0.2">
      <c r="A302" s="20">
        <f t="shared" si="214"/>
        <v>3615</v>
      </c>
      <c r="B302" s="19" t="str">
        <f t="shared" si="214"/>
        <v>TXST</v>
      </c>
      <c r="C302" s="18"/>
      <c r="D302" s="15">
        <v>5349</v>
      </c>
      <c r="E302" s="21">
        <v>0.6409999999999999</v>
      </c>
      <c r="F302" s="14">
        <v>22917.933333333334</v>
      </c>
      <c r="G302" s="13">
        <v>10250.389999999717</v>
      </c>
      <c r="H302" s="15">
        <v>1339</v>
      </c>
      <c r="I302" s="15">
        <v>64</v>
      </c>
      <c r="J302" s="15">
        <v>445</v>
      </c>
      <c r="K302" s="13">
        <v>65</v>
      </c>
      <c r="L302" s="16">
        <v>3665</v>
      </c>
      <c r="M302" s="15">
        <v>7685</v>
      </c>
      <c r="N302" s="14">
        <v>5748</v>
      </c>
      <c r="O302" s="13">
        <v>3317</v>
      </c>
    </row>
    <row r="303" spans="1:15" ht="12.75" customHeight="1" outlineLevel="1" x14ac:dyDescent="0.2">
      <c r="A303" s="20">
        <f t="shared" si="214"/>
        <v>3625</v>
      </c>
      <c r="B303" s="19" t="str">
        <f t="shared" si="214"/>
        <v>SRSU</v>
      </c>
      <c r="C303" s="18"/>
      <c r="D303" s="15">
        <v>196</v>
      </c>
      <c r="E303" s="21">
        <v>0.29199999999999998</v>
      </c>
      <c r="F303" s="14">
        <v>1200.1333333333334</v>
      </c>
      <c r="G303" s="13">
        <v>405.49999999999949</v>
      </c>
      <c r="H303" s="15">
        <v>173</v>
      </c>
      <c r="I303" s="15">
        <v>0</v>
      </c>
      <c r="J303" s="15">
        <v>18</v>
      </c>
      <c r="K303" s="13">
        <v>4</v>
      </c>
      <c r="L303" s="16">
        <v>166</v>
      </c>
      <c r="M303" s="15">
        <v>298</v>
      </c>
      <c r="N303" s="14">
        <v>217</v>
      </c>
      <c r="O303" s="13">
        <v>136</v>
      </c>
    </row>
    <row r="304" spans="1:15" ht="12.75" customHeight="1" outlineLevel="1" x14ac:dyDescent="0.2">
      <c r="A304" s="20">
        <f t="shared" si="214"/>
        <v>20</v>
      </c>
      <c r="B304" s="19" t="str">
        <f t="shared" si="214"/>
        <v>SRRG</v>
      </c>
      <c r="C304" s="18"/>
      <c r="D304" s="15">
        <v>163</v>
      </c>
      <c r="E304" s="17">
        <v>0.33750000000000002</v>
      </c>
      <c r="F304" s="14">
        <v>472.13333333333333</v>
      </c>
      <c r="G304" s="13">
        <v>281.52999999999975</v>
      </c>
      <c r="H304" s="15">
        <v>36</v>
      </c>
      <c r="I304" s="15">
        <v>0</v>
      </c>
      <c r="J304" s="15">
        <v>5</v>
      </c>
      <c r="K304" s="13">
        <v>7</v>
      </c>
      <c r="L304" s="16">
        <v>145</v>
      </c>
      <c r="M304" s="15">
        <v>224</v>
      </c>
      <c r="N304" s="14">
        <v>97</v>
      </c>
      <c r="O304" s="13">
        <v>2</v>
      </c>
    </row>
    <row r="305" spans="1:17" ht="13.5" customHeight="1" outlineLevel="1" thickBot="1" x14ac:dyDescent="0.25">
      <c r="A305" s="12"/>
      <c r="B305" s="11" t="s">
        <v>11</v>
      </c>
      <c r="C305" s="10"/>
      <c r="D305" s="9">
        <f>SUM(D267:D304)</f>
        <v>84231</v>
      </c>
      <c r="E305" s="8">
        <v>0.58399999999999996</v>
      </c>
      <c r="F305" s="7">
        <f t="shared" ref="F305:O305" si="215">SUM(F267:F304)</f>
        <v>351171.46666666673</v>
      </c>
      <c r="G305" s="3">
        <f t="shared" si="215"/>
        <v>170914.74000000223</v>
      </c>
      <c r="H305" s="5">
        <f t="shared" ref="H305:I305" si="216">SUM(H267:H304)</f>
        <v>31573</v>
      </c>
      <c r="I305" s="5">
        <f t="shared" si="216"/>
        <v>4855</v>
      </c>
      <c r="J305" s="5">
        <f t="shared" si="215"/>
        <v>13857</v>
      </c>
      <c r="K305" s="3">
        <f t="shared" si="215"/>
        <v>1204</v>
      </c>
      <c r="L305" s="6">
        <f t="shared" si="215"/>
        <v>54385</v>
      </c>
      <c r="M305" s="5">
        <f t="shared" si="215"/>
        <v>116139</v>
      </c>
      <c r="N305" s="4">
        <f t="shared" si="215"/>
        <v>84006</v>
      </c>
      <c r="O305" s="3">
        <f t="shared" si="215"/>
        <v>51310</v>
      </c>
    </row>
    <row r="306" spans="1:17" ht="12.75" customHeight="1" thickBot="1" x14ac:dyDescent="0.25">
      <c r="A306" s="45" t="s">
        <v>25</v>
      </c>
      <c r="B306" s="45"/>
      <c r="C306" s="45"/>
      <c r="D306" s="45"/>
      <c r="F306" s="45"/>
      <c r="L306" s="45"/>
    </row>
    <row r="307" spans="1:17" ht="12.75" customHeight="1" outlineLevel="1" x14ac:dyDescent="0.2">
      <c r="A307" s="177" t="s">
        <v>24</v>
      </c>
      <c r="B307" s="179" t="s">
        <v>23</v>
      </c>
      <c r="C307" s="181"/>
      <c r="D307" s="210" t="s">
        <v>22</v>
      </c>
      <c r="E307" s="205" t="s">
        <v>21</v>
      </c>
      <c r="F307" s="179" t="s">
        <v>20</v>
      </c>
      <c r="G307" s="201" t="s">
        <v>19</v>
      </c>
      <c r="H307" s="203" t="str">
        <f>H3</f>
        <v>Master's</v>
      </c>
      <c r="I307" s="203" t="str">
        <f>I3</f>
        <v>Doctoral and Professional Practice</v>
      </c>
      <c r="J307" s="203" t="s">
        <v>18</v>
      </c>
      <c r="K307" s="195" t="s">
        <v>17</v>
      </c>
      <c r="L307" s="197" t="s">
        <v>16</v>
      </c>
      <c r="M307" s="199" t="s">
        <v>15</v>
      </c>
      <c r="N307" s="200"/>
      <c r="O307" s="200"/>
    </row>
    <row r="308" spans="1:17" s="41" customFormat="1" ht="39.75" customHeight="1" outlineLevel="1" thickBot="1" x14ac:dyDescent="0.25">
      <c r="A308" s="178"/>
      <c r="B308" s="180"/>
      <c r="C308" s="182"/>
      <c r="D308" s="211"/>
      <c r="E308" s="206"/>
      <c r="F308" s="180"/>
      <c r="G308" s="202"/>
      <c r="H308" s="204"/>
      <c r="I308" s="204"/>
      <c r="J308" s="204"/>
      <c r="K308" s="196"/>
      <c r="L308" s="198"/>
      <c r="M308" s="44" t="s">
        <v>14</v>
      </c>
      <c r="N308" s="43" t="s">
        <v>13</v>
      </c>
      <c r="O308" s="42" t="s">
        <v>12</v>
      </c>
    </row>
    <row r="309" spans="1:17" ht="12.75" customHeight="1" outlineLevel="1" x14ac:dyDescent="0.2">
      <c r="A309" s="40">
        <f t="shared" ref="A309:B324" si="217">A267</f>
        <v>3656</v>
      </c>
      <c r="B309" s="39" t="str">
        <f t="shared" si="217"/>
        <v>UTA</v>
      </c>
      <c r="C309" s="38"/>
      <c r="D309" s="33">
        <v>4178</v>
      </c>
      <c r="E309" s="37">
        <v>0.50700000000000001</v>
      </c>
      <c r="F309" s="32">
        <v>15698.133333333333</v>
      </c>
      <c r="G309" s="31">
        <v>8640.2399999998797</v>
      </c>
      <c r="H309" s="36">
        <v>1860</v>
      </c>
      <c r="I309" s="36">
        <v>127</v>
      </c>
      <c r="J309" s="36">
        <v>834</v>
      </c>
      <c r="K309" s="35">
        <v>36</v>
      </c>
      <c r="L309" s="34">
        <v>2662</v>
      </c>
      <c r="M309" s="33">
        <v>6630</v>
      </c>
      <c r="N309" s="32">
        <v>3636</v>
      </c>
      <c r="O309" s="31">
        <v>1724</v>
      </c>
    </row>
    <row r="310" spans="1:17" ht="12.75" customHeight="1" outlineLevel="1" x14ac:dyDescent="0.2">
      <c r="A310" s="20">
        <f t="shared" si="217"/>
        <v>3658</v>
      </c>
      <c r="B310" s="19" t="str">
        <f t="shared" si="217"/>
        <v>UT</v>
      </c>
      <c r="C310" s="18"/>
      <c r="D310" s="15">
        <v>8952</v>
      </c>
      <c r="E310" s="21">
        <v>0.82899999999999996</v>
      </c>
      <c r="F310" s="14">
        <v>33736.73333333333</v>
      </c>
      <c r="G310" s="13">
        <v>19230.319999999745</v>
      </c>
      <c r="H310" s="15">
        <v>2901</v>
      </c>
      <c r="I310" s="15">
        <v>1362</v>
      </c>
      <c r="J310" s="15">
        <v>1754</v>
      </c>
      <c r="K310" s="13">
        <v>55</v>
      </c>
      <c r="L310" s="16">
        <v>3435</v>
      </c>
      <c r="M310" s="15">
        <v>9596</v>
      </c>
      <c r="N310" s="14">
        <v>9749</v>
      </c>
      <c r="O310" s="13">
        <v>7288</v>
      </c>
      <c r="Q310" s="2"/>
    </row>
    <row r="311" spans="1:17" ht="12.75" customHeight="1" outlineLevel="1" x14ac:dyDescent="0.2">
      <c r="A311" s="20">
        <f t="shared" si="217"/>
        <v>9741</v>
      </c>
      <c r="B311" s="19" t="str">
        <f t="shared" si="217"/>
        <v>UTD</v>
      </c>
      <c r="C311" s="18"/>
      <c r="D311" s="15">
        <v>2355</v>
      </c>
      <c r="E311" s="21">
        <v>0.70699999999999996</v>
      </c>
      <c r="F311" s="14">
        <v>8108.8666666666668</v>
      </c>
      <c r="G311" s="13">
        <v>4955.5700000000443</v>
      </c>
      <c r="H311" s="15">
        <v>1805</v>
      </c>
      <c r="I311" s="15">
        <v>203</v>
      </c>
      <c r="J311" s="15">
        <v>392</v>
      </c>
      <c r="K311" s="13">
        <v>36</v>
      </c>
      <c r="L311" s="16">
        <v>1255</v>
      </c>
      <c r="M311" s="15">
        <v>3078</v>
      </c>
      <c r="N311" s="14">
        <v>1950</v>
      </c>
      <c r="O311" s="13">
        <v>923</v>
      </c>
      <c r="Q311" s="2"/>
    </row>
    <row r="312" spans="1:17" ht="12.75" customHeight="1" outlineLevel="1" x14ac:dyDescent="0.2">
      <c r="A312" s="20">
        <f t="shared" si="217"/>
        <v>3661</v>
      </c>
      <c r="B312" s="19" t="str">
        <f t="shared" si="217"/>
        <v>UTEP</v>
      </c>
      <c r="C312" s="18"/>
      <c r="D312" s="15">
        <v>3031</v>
      </c>
      <c r="E312" s="21">
        <v>0.374</v>
      </c>
      <c r="F312" s="14">
        <v>12791.933333333332</v>
      </c>
      <c r="G312" s="13">
        <v>6295.4500000000389</v>
      </c>
      <c r="H312" s="15">
        <v>888</v>
      </c>
      <c r="I312" s="15">
        <v>54</v>
      </c>
      <c r="J312" s="15">
        <v>709</v>
      </c>
      <c r="K312" s="13">
        <v>93</v>
      </c>
      <c r="L312" s="16">
        <v>2394</v>
      </c>
      <c r="M312" s="15">
        <v>4200</v>
      </c>
      <c r="N312" s="14">
        <v>3366</v>
      </c>
      <c r="O312" s="13">
        <v>1972</v>
      </c>
      <c r="Q312" s="2"/>
    </row>
    <row r="313" spans="1:17" ht="12.75" customHeight="1" outlineLevel="1" x14ac:dyDescent="0.2">
      <c r="A313" s="20">
        <f t="shared" si="217"/>
        <v>3599</v>
      </c>
      <c r="B313" s="19" t="str">
        <f t="shared" si="217"/>
        <v>UTPA</v>
      </c>
      <c r="C313" s="18"/>
      <c r="D313" s="15">
        <v>2620</v>
      </c>
      <c r="E313" s="21">
        <v>0.38900000000000001</v>
      </c>
      <c r="F313" s="14">
        <v>12572.333333333334</v>
      </c>
      <c r="G313" s="13">
        <v>5170.8900000000631</v>
      </c>
      <c r="H313" s="15">
        <v>643</v>
      </c>
      <c r="I313" s="15">
        <v>9</v>
      </c>
      <c r="J313" s="15">
        <v>480</v>
      </c>
      <c r="K313" s="13">
        <v>31</v>
      </c>
      <c r="L313" s="16">
        <v>2341</v>
      </c>
      <c r="M313" s="15">
        <v>4354</v>
      </c>
      <c r="N313" s="14">
        <v>3136</v>
      </c>
      <c r="O313" s="13">
        <v>1924</v>
      </c>
      <c r="Q313" s="2"/>
    </row>
    <row r="314" spans="1:17" ht="12.75" customHeight="1" outlineLevel="1" x14ac:dyDescent="0.2">
      <c r="A314" s="20">
        <f t="shared" si="217"/>
        <v>30646</v>
      </c>
      <c r="B314" s="19" t="str">
        <f t="shared" si="217"/>
        <v>UTB</v>
      </c>
      <c r="C314" s="18"/>
      <c r="D314" s="15">
        <v>1052</v>
      </c>
      <c r="E314" s="17">
        <v>0.64666666666666661</v>
      </c>
      <c r="F314" s="14">
        <v>2989.6</v>
      </c>
      <c r="G314" s="13">
        <v>2005.0100000000309</v>
      </c>
      <c r="H314" s="15">
        <v>201</v>
      </c>
      <c r="I314" s="15">
        <v>0</v>
      </c>
      <c r="J314" s="15">
        <v>108</v>
      </c>
      <c r="K314" s="13">
        <v>19</v>
      </c>
      <c r="L314" s="16">
        <v>916</v>
      </c>
      <c r="M314" s="15">
        <v>1377</v>
      </c>
      <c r="N314" s="14">
        <v>583</v>
      </c>
      <c r="O314" s="13">
        <v>72</v>
      </c>
      <c r="Q314" s="2"/>
    </row>
    <row r="315" spans="1:17" ht="12.75" customHeight="1" outlineLevel="1" x14ac:dyDescent="0.2">
      <c r="A315" s="20">
        <f t="shared" si="217"/>
        <v>9930</v>
      </c>
      <c r="B315" s="19" t="str">
        <f t="shared" si="217"/>
        <v>UTPB</v>
      </c>
      <c r="C315" s="18"/>
      <c r="D315" s="15">
        <v>513</v>
      </c>
      <c r="E315" s="21">
        <v>0.44600000000000001</v>
      </c>
      <c r="F315" s="14">
        <v>2159.6</v>
      </c>
      <c r="G315" s="13">
        <v>944.74000000001092</v>
      </c>
      <c r="H315" s="15">
        <v>169</v>
      </c>
      <c r="I315" s="15">
        <v>0</v>
      </c>
      <c r="J315" s="15">
        <v>33</v>
      </c>
      <c r="K315" s="13">
        <v>13</v>
      </c>
      <c r="L315" s="16">
        <v>379</v>
      </c>
      <c r="M315" s="15">
        <v>707</v>
      </c>
      <c r="N315" s="14">
        <v>450</v>
      </c>
      <c r="O315" s="13">
        <v>182</v>
      </c>
      <c r="Q315" s="2"/>
    </row>
    <row r="316" spans="1:17" ht="12.75" customHeight="1" outlineLevel="1" x14ac:dyDescent="0.2">
      <c r="A316" s="20">
        <f t="shared" si="217"/>
        <v>10115</v>
      </c>
      <c r="B316" s="19" t="str">
        <f t="shared" si="217"/>
        <v>UTSA</v>
      </c>
      <c r="C316" s="18"/>
      <c r="D316" s="15">
        <v>3968</v>
      </c>
      <c r="E316" s="21">
        <v>0.44</v>
      </c>
      <c r="F316" s="14">
        <v>19707.533333333333</v>
      </c>
      <c r="G316" s="13">
        <v>8107.0899999997582</v>
      </c>
      <c r="H316" s="15">
        <v>911</v>
      </c>
      <c r="I316" s="15">
        <v>60</v>
      </c>
      <c r="J316" s="15">
        <v>375</v>
      </c>
      <c r="K316" s="13">
        <v>39</v>
      </c>
      <c r="L316" s="16">
        <v>2956</v>
      </c>
      <c r="M316" s="15">
        <v>6812</v>
      </c>
      <c r="N316" s="14">
        <v>4615</v>
      </c>
      <c r="O316" s="13">
        <v>2588</v>
      </c>
      <c r="Q316" s="2"/>
    </row>
    <row r="317" spans="1:17" ht="12.75" customHeight="1" outlineLevel="1" x14ac:dyDescent="0.2">
      <c r="A317" s="20">
        <f t="shared" si="217"/>
        <v>11163</v>
      </c>
      <c r="B317" s="19" t="str">
        <f t="shared" si="217"/>
        <v>UTT</v>
      </c>
      <c r="C317" s="18"/>
      <c r="D317" s="15">
        <v>1238</v>
      </c>
      <c r="E317" s="21">
        <v>0.496</v>
      </c>
      <c r="F317" s="14">
        <v>4085.2666666666669</v>
      </c>
      <c r="G317" s="13">
        <v>2459.1300000000315</v>
      </c>
      <c r="H317" s="15">
        <v>271</v>
      </c>
      <c r="I317" s="15">
        <v>0</v>
      </c>
      <c r="J317" s="15">
        <v>372</v>
      </c>
      <c r="K317" s="13">
        <v>10</v>
      </c>
      <c r="L317" s="16">
        <v>1002</v>
      </c>
      <c r="M317" s="15">
        <v>1404</v>
      </c>
      <c r="N317" s="14">
        <v>921</v>
      </c>
      <c r="O317" s="13">
        <v>378</v>
      </c>
      <c r="Q317" s="2"/>
    </row>
    <row r="318" spans="1:17" ht="12.75" customHeight="1" outlineLevel="1" x14ac:dyDescent="0.2">
      <c r="A318" s="20">
        <f t="shared" si="217"/>
        <v>3632</v>
      </c>
      <c r="B318" s="19" t="str">
        <f t="shared" si="217"/>
        <v>TAMU</v>
      </c>
      <c r="C318" s="18"/>
      <c r="D318" s="15">
        <v>8451</v>
      </c>
      <c r="E318" s="21">
        <v>0.83599999999999997</v>
      </c>
      <c r="F318" s="14">
        <v>34329.199999999997</v>
      </c>
      <c r="G318" s="13">
        <v>19146.209999999159</v>
      </c>
      <c r="H318" s="15">
        <v>2051</v>
      </c>
      <c r="I318" s="15">
        <v>703</v>
      </c>
      <c r="J318" s="15">
        <v>1580</v>
      </c>
      <c r="K318" s="13">
        <v>108</v>
      </c>
      <c r="L318" s="16">
        <v>3530</v>
      </c>
      <c r="M318" s="15">
        <v>10012</v>
      </c>
      <c r="N318" s="14">
        <v>8836</v>
      </c>
      <c r="O318" s="13">
        <v>6932</v>
      </c>
      <c r="Q318" s="2"/>
    </row>
    <row r="319" spans="1:17" ht="12.75" customHeight="1" outlineLevel="1" x14ac:dyDescent="0.2">
      <c r="A319" s="20">
        <f t="shared" si="217"/>
        <v>10298</v>
      </c>
      <c r="B319" s="19" t="str">
        <f t="shared" si="217"/>
        <v>TAMUG</v>
      </c>
      <c r="C319" s="18"/>
      <c r="D319" s="15">
        <v>262</v>
      </c>
      <c r="E319" s="21">
        <v>0.59199999999999997</v>
      </c>
      <c r="F319" s="14">
        <v>1599.2</v>
      </c>
      <c r="G319" s="13">
        <v>636.84000000000231</v>
      </c>
      <c r="H319" s="15">
        <v>12</v>
      </c>
      <c r="I319" s="15">
        <v>0</v>
      </c>
      <c r="J319" s="15">
        <v>31</v>
      </c>
      <c r="K319" s="13">
        <v>0</v>
      </c>
      <c r="L319" s="16">
        <v>137</v>
      </c>
      <c r="M319" s="15">
        <v>570</v>
      </c>
      <c r="N319" s="14">
        <v>322</v>
      </c>
      <c r="O319" s="13">
        <v>241</v>
      </c>
      <c r="Q319" s="2"/>
    </row>
    <row r="320" spans="1:17" ht="12.75" customHeight="1" outlineLevel="1" x14ac:dyDescent="0.2">
      <c r="A320" s="20">
        <f t="shared" si="217"/>
        <v>3630</v>
      </c>
      <c r="B320" s="19" t="str">
        <f t="shared" si="217"/>
        <v>Prairie View</v>
      </c>
      <c r="C320" s="18"/>
      <c r="D320" s="15">
        <v>879</v>
      </c>
      <c r="E320" s="21">
        <v>0.34200000000000003</v>
      </c>
      <c r="F320" s="14">
        <v>5840.8</v>
      </c>
      <c r="G320" s="13">
        <v>1995.4900000000189</v>
      </c>
      <c r="H320" s="15">
        <v>552</v>
      </c>
      <c r="I320" s="15">
        <v>8</v>
      </c>
      <c r="J320" s="15">
        <v>295</v>
      </c>
      <c r="K320" s="13">
        <v>8</v>
      </c>
      <c r="L320" s="16">
        <v>756</v>
      </c>
      <c r="M320" s="15">
        <v>1643</v>
      </c>
      <c r="N320" s="14">
        <v>1174</v>
      </c>
      <c r="O320" s="13">
        <v>940</v>
      </c>
      <c r="Q320" s="2"/>
    </row>
    <row r="321" spans="1:17" ht="12.75" customHeight="1" outlineLevel="1" x14ac:dyDescent="0.2">
      <c r="A321" s="20">
        <f t="shared" si="217"/>
        <v>3631</v>
      </c>
      <c r="B321" s="19" t="str">
        <f t="shared" si="217"/>
        <v>Tarleton</v>
      </c>
      <c r="C321" s="18"/>
      <c r="D321" s="15">
        <v>1422</v>
      </c>
      <c r="E321" s="21">
        <v>0.47499999999999998</v>
      </c>
      <c r="F321" s="14">
        <v>5845.5333333333338</v>
      </c>
      <c r="G321" s="13">
        <v>2966.430000000048</v>
      </c>
      <c r="H321" s="15">
        <v>329</v>
      </c>
      <c r="I321" s="15">
        <v>9</v>
      </c>
      <c r="J321" s="15">
        <v>183</v>
      </c>
      <c r="K321" s="13">
        <v>38</v>
      </c>
      <c r="L321" s="16">
        <v>1093</v>
      </c>
      <c r="M321" s="15">
        <v>2140</v>
      </c>
      <c r="N321" s="14">
        <v>1306</v>
      </c>
      <c r="O321" s="13">
        <v>903</v>
      </c>
      <c r="Q321" s="2"/>
    </row>
    <row r="322" spans="1:17" ht="12.75" customHeight="1" outlineLevel="1" x14ac:dyDescent="0.2">
      <c r="A322" s="27">
        <f t="shared" si="217"/>
        <v>103631</v>
      </c>
      <c r="B322" s="19" t="str">
        <f t="shared" si="217"/>
        <v>TAMUCT</v>
      </c>
      <c r="C322" s="18"/>
      <c r="D322" s="15">
        <v>450</v>
      </c>
      <c r="E322" s="21">
        <v>0.47499999999999998</v>
      </c>
      <c r="F322" s="14">
        <v>658.4666666666667</v>
      </c>
      <c r="G322" s="13">
        <v>831.96000000000549</v>
      </c>
      <c r="H322" s="15">
        <v>242</v>
      </c>
      <c r="I322" s="15">
        <v>0</v>
      </c>
      <c r="J322" s="15">
        <v>44</v>
      </c>
      <c r="K322" s="13"/>
      <c r="L322" s="16">
        <v>322</v>
      </c>
      <c r="M322" s="15">
        <v>380</v>
      </c>
      <c r="N322" s="14">
        <v>137</v>
      </c>
      <c r="O322" s="13">
        <v>31</v>
      </c>
      <c r="Q322" s="2"/>
    </row>
    <row r="323" spans="1:17" ht="12.75" customHeight="1" outlineLevel="1" x14ac:dyDescent="0.2">
      <c r="A323" s="20">
        <f t="shared" si="217"/>
        <v>11161</v>
      </c>
      <c r="B323" s="19" t="str">
        <f t="shared" si="217"/>
        <v>TAMUCC</v>
      </c>
      <c r="C323" s="18"/>
      <c r="D323" s="15">
        <v>1335</v>
      </c>
      <c r="E323" s="21">
        <v>0.503</v>
      </c>
      <c r="F323" s="14">
        <v>6131.9333333333334</v>
      </c>
      <c r="G323" s="13">
        <v>2744.5700000000347</v>
      </c>
      <c r="H323" s="15">
        <v>445</v>
      </c>
      <c r="I323" s="15">
        <v>21</v>
      </c>
      <c r="J323" s="15">
        <v>237</v>
      </c>
      <c r="K323" s="13">
        <v>29</v>
      </c>
      <c r="L323" s="16">
        <v>1024</v>
      </c>
      <c r="M323" s="15">
        <v>2079</v>
      </c>
      <c r="N323" s="14">
        <v>1357</v>
      </c>
      <c r="O323" s="13">
        <v>812</v>
      </c>
      <c r="Q323" s="2"/>
    </row>
    <row r="324" spans="1:17" ht="12.75" customHeight="1" outlineLevel="1" x14ac:dyDescent="0.2">
      <c r="A324" s="20">
        <f t="shared" si="217"/>
        <v>3639</v>
      </c>
      <c r="B324" s="19" t="str">
        <f t="shared" si="217"/>
        <v>TAMUK</v>
      </c>
      <c r="C324" s="18"/>
      <c r="D324" s="15">
        <v>692</v>
      </c>
      <c r="E324" s="21">
        <v>0.41699999999999998</v>
      </c>
      <c r="F324" s="14">
        <v>3808.2666666666669</v>
      </c>
      <c r="G324" s="13">
        <v>1601.8800000000022</v>
      </c>
      <c r="H324" s="15">
        <v>365</v>
      </c>
      <c r="I324" s="15">
        <v>18</v>
      </c>
      <c r="J324" s="15">
        <v>236</v>
      </c>
      <c r="K324" s="13">
        <v>15</v>
      </c>
      <c r="L324" s="16">
        <v>590</v>
      </c>
      <c r="M324" s="15">
        <v>1159</v>
      </c>
      <c r="N324" s="14">
        <v>790</v>
      </c>
      <c r="O324" s="13">
        <v>550</v>
      </c>
      <c r="Q324" s="2"/>
    </row>
    <row r="325" spans="1:17" ht="12.75" customHeight="1" outlineLevel="1" x14ac:dyDescent="0.2">
      <c r="A325" s="27">
        <f t="shared" ref="A325:B340" si="218">A283</f>
        <v>103639</v>
      </c>
      <c r="B325" s="19" t="str">
        <f t="shared" si="218"/>
        <v>TAMUSA</v>
      </c>
      <c r="C325" s="18"/>
      <c r="D325" s="15">
        <v>496</v>
      </c>
      <c r="E325" s="21">
        <v>0.41699999999999998</v>
      </c>
      <c r="F325" s="14">
        <v>1072.6666666666667</v>
      </c>
      <c r="G325" s="13">
        <v>844.50000000000807</v>
      </c>
      <c r="H325" s="15">
        <v>132</v>
      </c>
      <c r="I325" s="15">
        <v>0</v>
      </c>
      <c r="J325" s="15">
        <v>4</v>
      </c>
      <c r="K325" s="13"/>
      <c r="L325" s="16">
        <v>402</v>
      </c>
      <c r="M325" s="15">
        <v>307</v>
      </c>
      <c r="N325" s="14">
        <v>5</v>
      </c>
      <c r="O325" s="13">
        <v>5</v>
      </c>
      <c r="Q325" s="2"/>
    </row>
    <row r="326" spans="1:17" ht="12.75" customHeight="1" outlineLevel="1" x14ac:dyDescent="0.2">
      <c r="A326" s="20">
        <f t="shared" si="218"/>
        <v>9651</v>
      </c>
      <c r="B326" s="19" t="str">
        <f t="shared" si="218"/>
        <v>TAMI</v>
      </c>
      <c r="C326" s="18"/>
      <c r="D326" s="15">
        <v>798</v>
      </c>
      <c r="E326" s="21">
        <v>0.46</v>
      </c>
      <c r="F326" s="14">
        <v>3819.0666666666666</v>
      </c>
      <c r="G326" s="13">
        <v>1476.3000000000168</v>
      </c>
      <c r="H326" s="15">
        <v>301</v>
      </c>
      <c r="I326" s="15">
        <v>6</v>
      </c>
      <c r="J326" s="15">
        <v>85</v>
      </c>
      <c r="K326" s="13">
        <v>26</v>
      </c>
      <c r="L326" s="16">
        <v>713</v>
      </c>
      <c r="M326" s="15">
        <v>1413</v>
      </c>
      <c r="N326" s="14">
        <v>981</v>
      </c>
      <c r="O326" s="13">
        <v>447</v>
      </c>
      <c r="Q326" s="2"/>
    </row>
    <row r="327" spans="1:17" ht="12.75" customHeight="1" outlineLevel="1" x14ac:dyDescent="0.2">
      <c r="A327" s="20">
        <f t="shared" si="218"/>
        <v>3665</v>
      </c>
      <c r="B327" s="19" t="str">
        <f t="shared" si="218"/>
        <v>WTAMU</v>
      </c>
      <c r="C327" s="18"/>
      <c r="D327" s="15">
        <v>1220</v>
      </c>
      <c r="E327" s="21">
        <v>0.45600000000000002</v>
      </c>
      <c r="F327" s="14">
        <v>5264.8</v>
      </c>
      <c r="G327" s="13">
        <v>2415.9700000000216</v>
      </c>
      <c r="H327" s="15">
        <v>377</v>
      </c>
      <c r="I327" s="15">
        <v>1</v>
      </c>
      <c r="J327" s="15">
        <v>216</v>
      </c>
      <c r="K327" s="13">
        <v>64</v>
      </c>
      <c r="L327" s="16">
        <v>853</v>
      </c>
      <c r="M327" s="15">
        <v>1873</v>
      </c>
      <c r="N327" s="14">
        <v>1161</v>
      </c>
      <c r="O327" s="13">
        <v>631</v>
      </c>
      <c r="Q327" s="2"/>
    </row>
    <row r="328" spans="1:17" ht="12.75" customHeight="1" outlineLevel="1" x14ac:dyDescent="0.2">
      <c r="A328" s="20">
        <f t="shared" si="218"/>
        <v>3565</v>
      </c>
      <c r="B328" s="19" t="str">
        <f t="shared" si="218"/>
        <v>TAMUC</v>
      </c>
      <c r="C328" s="18"/>
      <c r="D328" s="15">
        <v>1153</v>
      </c>
      <c r="E328" s="21">
        <v>0.44800000000000001</v>
      </c>
      <c r="F328" s="14">
        <v>4172.1333333333332</v>
      </c>
      <c r="G328" s="13">
        <v>2179.8400000000324</v>
      </c>
      <c r="H328" s="15">
        <v>1071</v>
      </c>
      <c r="I328" s="15">
        <v>42</v>
      </c>
      <c r="J328" s="15">
        <v>59</v>
      </c>
      <c r="K328" s="13">
        <v>65</v>
      </c>
      <c r="L328" s="16">
        <v>884</v>
      </c>
      <c r="M328" s="15">
        <v>1712</v>
      </c>
      <c r="N328" s="14">
        <v>1038</v>
      </c>
      <c r="O328" s="13">
        <v>423</v>
      </c>
      <c r="Q328" s="2"/>
    </row>
    <row r="329" spans="1:17" ht="12.75" customHeight="1" outlineLevel="1" x14ac:dyDescent="0.2">
      <c r="A329" s="20">
        <f t="shared" si="218"/>
        <v>29269</v>
      </c>
      <c r="B329" s="19" t="str">
        <f t="shared" si="218"/>
        <v>TAMUT</v>
      </c>
      <c r="C329" s="18"/>
      <c r="D329" s="15">
        <v>326</v>
      </c>
      <c r="E329" s="17">
        <v>0.57336956521739135</v>
      </c>
      <c r="F329" s="14">
        <v>694.6</v>
      </c>
      <c r="G329" s="13">
        <v>569.46</v>
      </c>
      <c r="H329" s="15">
        <v>208</v>
      </c>
      <c r="I329" s="15">
        <v>0</v>
      </c>
      <c r="J329" s="15">
        <v>30</v>
      </c>
      <c r="K329" s="13">
        <v>15</v>
      </c>
      <c r="L329" s="16">
        <v>210</v>
      </c>
      <c r="M329" s="15">
        <v>403</v>
      </c>
      <c r="N329" s="14">
        <v>138</v>
      </c>
      <c r="O329" s="13">
        <v>0</v>
      </c>
      <c r="Q329" s="2"/>
    </row>
    <row r="330" spans="1:17" ht="12.75" customHeight="1" outlineLevel="1" x14ac:dyDescent="0.2">
      <c r="A330" s="20">
        <f t="shared" si="218"/>
        <v>3652</v>
      </c>
      <c r="B330" s="19" t="str">
        <f t="shared" si="218"/>
        <v>UH</v>
      </c>
      <c r="C330" s="18"/>
      <c r="D330" s="15">
        <v>4778</v>
      </c>
      <c r="E330" s="21">
        <v>0.53100000000000003</v>
      </c>
      <c r="F330" s="14">
        <v>22778.733333333334</v>
      </c>
      <c r="G330" s="13">
        <v>9792.4499999989821</v>
      </c>
      <c r="H330" s="15">
        <v>1722</v>
      </c>
      <c r="I330" s="15">
        <v>730</v>
      </c>
      <c r="J330" s="15">
        <v>656</v>
      </c>
      <c r="K330" s="13">
        <v>54</v>
      </c>
      <c r="L330" s="16">
        <v>3091</v>
      </c>
      <c r="M330" s="15">
        <v>7517</v>
      </c>
      <c r="N330" s="14">
        <v>5600</v>
      </c>
      <c r="O330" s="13">
        <v>3376</v>
      </c>
      <c r="Q330" s="2"/>
    </row>
    <row r="331" spans="1:17" ht="12.75" customHeight="1" outlineLevel="1" x14ac:dyDescent="0.2">
      <c r="A331" s="20">
        <f t="shared" si="218"/>
        <v>11711</v>
      </c>
      <c r="B331" s="19" t="str">
        <f t="shared" si="218"/>
        <v>UHCL</v>
      </c>
      <c r="C331" s="18"/>
      <c r="D331" s="15">
        <v>1124</v>
      </c>
      <c r="E331" s="17">
        <v>0.50557620817843862</v>
      </c>
      <c r="F331" s="14">
        <v>2872.8666666666668</v>
      </c>
      <c r="G331" s="13">
        <v>2131.2100000000323</v>
      </c>
      <c r="H331" s="15">
        <v>1040</v>
      </c>
      <c r="I331" s="15">
        <v>3</v>
      </c>
      <c r="J331" s="15">
        <v>88</v>
      </c>
      <c r="K331" s="13">
        <v>8</v>
      </c>
      <c r="L331" s="16">
        <v>707</v>
      </c>
      <c r="M331" s="15">
        <v>1349</v>
      </c>
      <c r="N331" s="14">
        <v>888</v>
      </c>
      <c r="O331" s="13">
        <v>81</v>
      </c>
      <c r="Q331" s="2"/>
    </row>
    <row r="332" spans="1:17" ht="12.75" customHeight="1" outlineLevel="1" x14ac:dyDescent="0.2">
      <c r="A332" s="20">
        <f t="shared" si="218"/>
        <v>12826</v>
      </c>
      <c r="B332" s="19" t="str">
        <f t="shared" si="218"/>
        <v>UHD</v>
      </c>
      <c r="C332" s="18"/>
      <c r="D332" s="15">
        <v>2359</v>
      </c>
      <c r="E332" s="21">
        <v>0.18099999999999999</v>
      </c>
      <c r="F332" s="14">
        <v>7963.6</v>
      </c>
      <c r="G332" s="13">
        <v>4153.3100000000841</v>
      </c>
      <c r="H332" s="15">
        <v>44</v>
      </c>
      <c r="I332" s="15">
        <v>0</v>
      </c>
      <c r="J332" s="15">
        <v>112</v>
      </c>
      <c r="K332" s="13">
        <v>2</v>
      </c>
      <c r="L332" s="16">
        <v>1619</v>
      </c>
      <c r="M332" s="15">
        <v>3082</v>
      </c>
      <c r="N332" s="14">
        <v>1889</v>
      </c>
      <c r="O332" s="13">
        <v>606</v>
      </c>
      <c r="Q332" s="2"/>
    </row>
    <row r="333" spans="1:17" ht="12.75" customHeight="1" outlineLevel="1" x14ac:dyDescent="0.2">
      <c r="A333" s="20">
        <f t="shared" si="218"/>
        <v>13231</v>
      </c>
      <c r="B333" s="19" t="str">
        <f t="shared" si="218"/>
        <v>UHV</v>
      </c>
      <c r="C333" s="18"/>
      <c r="D333" s="15">
        <v>515</v>
      </c>
      <c r="E333" s="17">
        <v>0.55256723716381417</v>
      </c>
      <c r="F333" s="14">
        <v>1135.8</v>
      </c>
      <c r="G333" s="13">
        <v>962.15000000001089</v>
      </c>
      <c r="H333" s="15">
        <v>353</v>
      </c>
      <c r="I333" s="15">
        <v>0</v>
      </c>
      <c r="J333" s="15">
        <v>72</v>
      </c>
      <c r="K333" s="13">
        <v>2</v>
      </c>
      <c r="L333" s="16">
        <v>337</v>
      </c>
      <c r="M333" s="15">
        <v>654</v>
      </c>
      <c r="N333" s="14">
        <v>269</v>
      </c>
      <c r="O333" s="13">
        <v>8</v>
      </c>
      <c r="Q333" s="2"/>
    </row>
    <row r="334" spans="1:17" ht="12.75" customHeight="1" outlineLevel="1" x14ac:dyDescent="0.2">
      <c r="A334" s="20">
        <f t="shared" si="218"/>
        <v>3592</v>
      </c>
      <c r="B334" s="19" t="str">
        <f t="shared" si="218"/>
        <v>Midwestern</v>
      </c>
      <c r="C334" s="18"/>
      <c r="D334" s="15">
        <v>1002</v>
      </c>
      <c r="E334" s="21">
        <v>0.41199999999999998</v>
      </c>
      <c r="F334" s="14">
        <v>4294.8666666666668</v>
      </c>
      <c r="G334" s="13">
        <v>1899.0200000000148</v>
      </c>
      <c r="H334" s="15">
        <v>183</v>
      </c>
      <c r="I334" s="15">
        <v>0</v>
      </c>
      <c r="J334" s="15">
        <v>302</v>
      </c>
      <c r="K334" s="13">
        <v>19</v>
      </c>
      <c r="L334" s="16">
        <v>673</v>
      </c>
      <c r="M334" s="15">
        <v>1497</v>
      </c>
      <c r="N334" s="14">
        <v>1080</v>
      </c>
      <c r="O334" s="13">
        <v>622</v>
      </c>
      <c r="Q334" s="2"/>
    </row>
    <row r="335" spans="1:17" ht="12.75" customHeight="1" outlineLevel="1" x14ac:dyDescent="0.2">
      <c r="A335" s="20">
        <f t="shared" si="218"/>
        <v>3594</v>
      </c>
      <c r="B335" s="19" t="str">
        <f t="shared" si="218"/>
        <v>UNT</v>
      </c>
      <c r="C335" s="18"/>
      <c r="D335" s="15">
        <v>6024</v>
      </c>
      <c r="E335" s="21">
        <v>0.57399999999999995</v>
      </c>
      <c r="F335" s="14">
        <f>22506.0666666667+838</f>
        <v>23344.066666666698</v>
      </c>
      <c r="G335" s="13">
        <v>11164.699999998398</v>
      </c>
      <c r="H335" s="15">
        <v>1669</v>
      </c>
      <c r="I335" s="15">
        <v>230</v>
      </c>
      <c r="J335" s="15">
        <v>297</v>
      </c>
      <c r="K335" s="13">
        <v>27</v>
      </c>
      <c r="L335" s="16">
        <v>3747</v>
      </c>
      <c r="M335" s="30">
        <v>8327</v>
      </c>
      <c r="N335" s="29">
        <v>5604</v>
      </c>
      <c r="O335" s="28">
        <v>3585</v>
      </c>
      <c r="Q335" s="2"/>
    </row>
    <row r="336" spans="1:17" ht="12.75" customHeight="1" outlineLevel="1" x14ac:dyDescent="0.2">
      <c r="A336" s="27">
        <f t="shared" si="218"/>
        <v>113594</v>
      </c>
      <c r="B336" s="19" t="str">
        <f t="shared" si="218"/>
        <v>UNTD</v>
      </c>
      <c r="C336" s="18"/>
      <c r="D336" s="24"/>
      <c r="E336" s="26"/>
      <c r="F336" s="23"/>
      <c r="G336" s="22"/>
      <c r="H336" s="24"/>
      <c r="I336" s="24"/>
      <c r="J336" s="24"/>
      <c r="K336" s="22"/>
      <c r="L336" s="25"/>
      <c r="M336" s="24"/>
      <c r="N336" s="23"/>
      <c r="O336" s="22"/>
      <c r="Q336" s="2"/>
    </row>
    <row r="337" spans="1:17" ht="12.75" customHeight="1" outlineLevel="1" x14ac:dyDescent="0.2">
      <c r="A337" s="20">
        <f t="shared" si="218"/>
        <v>3624</v>
      </c>
      <c r="B337" s="19" t="str">
        <f t="shared" si="218"/>
        <v>SFA</v>
      </c>
      <c r="C337" s="18"/>
      <c r="D337" s="15">
        <v>1874</v>
      </c>
      <c r="E337" s="21">
        <v>0.56999999999999995</v>
      </c>
      <c r="F337" s="14">
        <v>9510.2666666666664</v>
      </c>
      <c r="G337" s="13">
        <v>3625.4100000000203</v>
      </c>
      <c r="H337" s="15">
        <v>436</v>
      </c>
      <c r="I337" s="15">
        <v>11</v>
      </c>
      <c r="J337" s="15">
        <v>230</v>
      </c>
      <c r="K337" s="13">
        <v>43</v>
      </c>
      <c r="L337" s="16">
        <v>1422</v>
      </c>
      <c r="M337" s="15">
        <v>2663</v>
      </c>
      <c r="N337" s="14">
        <v>1934</v>
      </c>
      <c r="O337" s="13">
        <v>1317</v>
      </c>
      <c r="Q337" s="2"/>
    </row>
    <row r="338" spans="1:17" ht="12.75" customHeight="1" outlineLevel="1" x14ac:dyDescent="0.2">
      <c r="A338" s="20">
        <f t="shared" si="218"/>
        <v>3642</v>
      </c>
      <c r="B338" s="19" t="str">
        <f t="shared" si="218"/>
        <v>TSU</v>
      </c>
      <c r="C338" s="18"/>
      <c r="D338" s="15">
        <v>817</v>
      </c>
      <c r="E338" s="21">
        <v>0.14899999999999999</v>
      </c>
      <c r="F338" s="14">
        <v>5909.8</v>
      </c>
      <c r="G338" s="13">
        <v>1601.5200000000066</v>
      </c>
      <c r="H338" s="15">
        <v>159</v>
      </c>
      <c r="I338" s="15">
        <v>253</v>
      </c>
      <c r="J338" s="15">
        <v>127</v>
      </c>
      <c r="K338" s="13">
        <v>2</v>
      </c>
      <c r="L338" s="16">
        <v>723</v>
      </c>
      <c r="M338" s="15">
        <v>1871</v>
      </c>
      <c r="N338" s="14">
        <v>1137</v>
      </c>
      <c r="O338" s="13">
        <v>916</v>
      </c>
      <c r="Q338" s="2"/>
    </row>
    <row r="339" spans="1:17" ht="12.75" customHeight="1" outlineLevel="1" x14ac:dyDescent="0.2">
      <c r="A339" s="20">
        <f t="shared" si="218"/>
        <v>3644</v>
      </c>
      <c r="B339" s="19" t="str">
        <f t="shared" si="218"/>
        <v>TTU</v>
      </c>
      <c r="C339" s="18"/>
      <c r="D339" s="15">
        <v>4476</v>
      </c>
      <c r="E339" s="21">
        <v>0.72799999999999998</v>
      </c>
      <c r="F339" s="14">
        <v>21422.2</v>
      </c>
      <c r="G339" s="13">
        <v>9827.5299999990111</v>
      </c>
      <c r="H339" s="15">
        <v>1222</v>
      </c>
      <c r="I339" s="15">
        <v>453</v>
      </c>
      <c r="J339" s="15">
        <v>656</v>
      </c>
      <c r="K339" s="13">
        <v>43</v>
      </c>
      <c r="L339" s="16">
        <v>2539</v>
      </c>
      <c r="M339" s="15">
        <v>6430</v>
      </c>
      <c r="N339" s="14">
        <v>5148</v>
      </c>
      <c r="O339" s="13">
        <v>3832</v>
      </c>
      <c r="Q339" s="2"/>
    </row>
    <row r="340" spans="1:17" ht="12.75" customHeight="1" outlineLevel="1" x14ac:dyDescent="0.2">
      <c r="A340" s="20">
        <f t="shared" si="218"/>
        <v>3541</v>
      </c>
      <c r="B340" s="19" t="str">
        <f t="shared" si="218"/>
        <v>Angelo</v>
      </c>
      <c r="C340" s="18"/>
      <c r="D340" s="15">
        <v>941</v>
      </c>
      <c r="E340" s="21">
        <v>0.44</v>
      </c>
      <c r="F340" s="14">
        <v>4829.1333333333332</v>
      </c>
      <c r="G340" s="13">
        <v>1933.5900000000179</v>
      </c>
      <c r="H340" s="15">
        <v>157</v>
      </c>
      <c r="I340" s="15">
        <v>0</v>
      </c>
      <c r="J340" s="15">
        <v>217</v>
      </c>
      <c r="K340" s="13">
        <v>18</v>
      </c>
      <c r="L340" s="16">
        <v>676</v>
      </c>
      <c r="M340" s="15">
        <v>1474</v>
      </c>
      <c r="N340" s="14">
        <v>1008</v>
      </c>
      <c r="O340" s="13">
        <v>708</v>
      </c>
      <c r="Q340" s="2"/>
    </row>
    <row r="341" spans="1:17" ht="12.75" customHeight="1" outlineLevel="1" x14ac:dyDescent="0.2">
      <c r="A341" s="20">
        <f t="shared" ref="A341:B346" si="219">A299</f>
        <v>3646</v>
      </c>
      <c r="B341" s="19" t="str">
        <f t="shared" si="219"/>
        <v>TWU</v>
      </c>
      <c r="C341" s="18"/>
      <c r="D341" s="15">
        <v>1774</v>
      </c>
      <c r="E341" s="21">
        <v>0.54500000000000004</v>
      </c>
      <c r="F341" s="14">
        <v>6071.4666666666662</v>
      </c>
      <c r="G341" s="13">
        <v>3425.2000000000221</v>
      </c>
      <c r="H341" s="15">
        <v>1420</v>
      </c>
      <c r="I341" s="15">
        <v>255</v>
      </c>
      <c r="J341" s="15">
        <v>614</v>
      </c>
      <c r="K341" s="13">
        <v>31</v>
      </c>
      <c r="L341" s="16">
        <v>1214</v>
      </c>
      <c r="M341" s="15">
        <v>2042</v>
      </c>
      <c r="N341" s="14">
        <v>1371</v>
      </c>
      <c r="O341" s="13">
        <v>668</v>
      </c>
      <c r="Q341" s="2"/>
    </row>
    <row r="342" spans="1:17" ht="12.75" customHeight="1" outlineLevel="1" x14ac:dyDescent="0.2">
      <c r="A342" s="20">
        <f t="shared" si="219"/>
        <v>3581</v>
      </c>
      <c r="B342" s="19" t="str">
        <f t="shared" si="219"/>
        <v>Lamar</v>
      </c>
      <c r="C342" s="18"/>
      <c r="D342" s="15">
        <v>1286</v>
      </c>
      <c r="E342" s="21">
        <v>0.33800000000000002</v>
      </c>
      <c r="F342" s="14">
        <v>7172.9333333333334</v>
      </c>
      <c r="G342" s="13">
        <v>2638.0900000000311</v>
      </c>
      <c r="H342" s="15">
        <v>2795</v>
      </c>
      <c r="I342" s="15">
        <v>23</v>
      </c>
      <c r="J342" s="15">
        <v>314</v>
      </c>
      <c r="K342" s="13">
        <v>17</v>
      </c>
      <c r="L342" s="16">
        <v>908</v>
      </c>
      <c r="M342" s="15">
        <v>2043</v>
      </c>
      <c r="N342" s="14">
        <v>1404</v>
      </c>
      <c r="O342" s="13">
        <v>1031</v>
      </c>
      <c r="Q342" s="2"/>
    </row>
    <row r="343" spans="1:17" ht="12.75" customHeight="1" outlineLevel="1" x14ac:dyDescent="0.2">
      <c r="A343" s="20">
        <f t="shared" si="219"/>
        <v>3606</v>
      </c>
      <c r="B343" s="19" t="str">
        <f t="shared" si="219"/>
        <v>SHSU</v>
      </c>
      <c r="C343" s="18"/>
      <c r="D343" s="15">
        <v>3242</v>
      </c>
      <c r="E343" s="21">
        <v>0.57899999999999996</v>
      </c>
      <c r="F343" s="14">
        <v>12517.066666666668</v>
      </c>
      <c r="G343" s="13">
        <v>6188.6300000000374</v>
      </c>
      <c r="H343" s="15">
        <v>756</v>
      </c>
      <c r="I343" s="15">
        <v>34</v>
      </c>
      <c r="J343" s="15">
        <v>163</v>
      </c>
      <c r="K343" s="13">
        <v>69</v>
      </c>
      <c r="L343" s="16">
        <v>2318</v>
      </c>
      <c r="M343" s="15">
        <v>3849</v>
      </c>
      <c r="N343" s="14">
        <v>3011</v>
      </c>
      <c r="O343" s="13">
        <v>1870</v>
      </c>
      <c r="Q343" s="2"/>
    </row>
    <row r="344" spans="1:17" ht="12.75" customHeight="1" outlineLevel="1" x14ac:dyDescent="0.2">
      <c r="A344" s="20">
        <f t="shared" si="219"/>
        <v>3615</v>
      </c>
      <c r="B344" s="19" t="str">
        <f t="shared" si="219"/>
        <v>TXST</v>
      </c>
      <c r="C344" s="18"/>
      <c r="D344" s="15">
        <v>5299</v>
      </c>
      <c r="E344" s="21">
        <v>0.64400000000000002</v>
      </c>
      <c r="F344" s="14">
        <v>21764.6</v>
      </c>
      <c r="G344" s="13">
        <v>10384.469999998846</v>
      </c>
      <c r="H344" s="15">
        <v>1246</v>
      </c>
      <c r="I344" s="15">
        <v>26</v>
      </c>
      <c r="J344" s="15">
        <v>439</v>
      </c>
      <c r="K344" s="13">
        <v>68</v>
      </c>
      <c r="L344" s="16">
        <v>3545</v>
      </c>
      <c r="M344" s="15">
        <v>7301</v>
      </c>
      <c r="N344" s="14">
        <v>5428</v>
      </c>
      <c r="O344" s="13">
        <v>3302</v>
      </c>
      <c r="Q344" s="2"/>
    </row>
    <row r="345" spans="1:17" ht="12.75" customHeight="1" outlineLevel="1" x14ac:dyDescent="0.2">
      <c r="A345" s="20">
        <f t="shared" si="219"/>
        <v>3625</v>
      </c>
      <c r="B345" s="19" t="str">
        <f t="shared" si="219"/>
        <v>SRSU</v>
      </c>
      <c r="C345" s="18"/>
      <c r="D345" s="15">
        <v>181</v>
      </c>
      <c r="E345" s="21">
        <v>0.28499999999999998</v>
      </c>
      <c r="F345" s="14">
        <v>1230.9333333333334</v>
      </c>
      <c r="G345" s="13">
        <v>368.43999999999954</v>
      </c>
      <c r="H345" s="15">
        <v>185</v>
      </c>
      <c r="I345" s="15">
        <v>0</v>
      </c>
      <c r="J345" s="15">
        <v>10</v>
      </c>
      <c r="K345" s="13">
        <v>10</v>
      </c>
      <c r="L345" s="16">
        <v>156</v>
      </c>
      <c r="M345" s="15">
        <v>318</v>
      </c>
      <c r="N345" s="14">
        <v>176</v>
      </c>
      <c r="O345" s="13">
        <v>115</v>
      </c>
      <c r="Q345" s="2"/>
    </row>
    <row r="346" spans="1:17" ht="12.75" customHeight="1" outlineLevel="1" x14ac:dyDescent="0.2">
      <c r="A346" s="20">
        <f t="shared" si="219"/>
        <v>20</v>
      </c>
      <c r="B346" s="19" t="str">
        <f t="shared" si="219"/>
        <v>SRRG</v>
      </c>
      <c r="C346" s="18"/>
      <c r="D346" s="15">
        <v>168</v>
      </c>
      <c r="E346" s="17">
        <v>0.36144578313253012</v>
      </c>
      <c r="F346" s="14">
        <v>416.33333333333331</v>
      </c>
      <c r="G346" s="13">
        <v>287.9199999999995</v>
      </c>
      <c r="H346" s="15">
        <v>55</v>
      </c>
      <c r="I346" s="15">
        <v>0</v>
      </c>
      <c r="J346" s="15">
        <v>8</v>
      </c>
      <c r="K346" s="13">
        <v>9</v>
      </c>
      <c r="L346" s="16">
        <v>149</v>
      </c>
      <c r="M346" s="15">
        <v>251</v>
      </c>
      <c r="N346" s="14">
        <v>90</v>
      </c>
      <c r="O346" s="13">
        <v>5</v>
      </c>
      <c r="Q346" s="2"/>
    </row>
    <row r="347" spans="1:17" ht="13.5" customHeight="1" outlineLevel="1" thickBot="1" x14ac:dyDescent="0.25">
      <c r="A347" s="12"/>
      <c r="B347" s="11" t="s">
        <v>11</v>
      </c>
      <c r="C347" s="10"/>
      <c r="D347" s="9">
        <f>SUM(D309:D346)</f>
        <v>81251</v>
      </c>
      <c r="E347" s="8">
        <v>0.56799999999999995</v>
      </c>
      <c r="F347" s="7">
        <f t="shared" ref="F347:O347" si="220">SUM(F309:F346)</f>
        <v>338321.33333333337</v>
      </c>
      <c r="G347" s="3">
        <f t="shared" si="220"/>
        <v>165601.52999999447</v>
      </c>
      <c r="H347" s="5">
        <f t="shared" ref="H347:I347" si="221">SUM(H309:H346)</f>
        <v>29176</v>
      </c>
      <c r="I347" s="5">
        <f t="shared" si="221"/>
        <v>4641</v>
      </c>
      <c r="J347" s="5">
        <f t="shared" si="220"/>
        <v>12362</v>
      </c>
      <c r="K347" s="3">
        <f t="shared" si="220"/>
        <v>1122</v>
      </c>
      <c r="L347" s="6">
        <f t="shared" si="220"/>
        <v>51678</v>
      </c>
      <c r="M347" s="5">
        <f t="shared" si="220"/>
        <v>112517</v>
      </c>
      <c r="N347" s="4">
        <f t="shared" si="220"/>
        <v>81688</v>
      </c>
      <c r="O347" s="3">
        <f t="shared" si="220"/>
        <v>51008</v>
      </c>
      <c r="Q347" s="2"/>
    </row>
    <row r="348" spans="1:17" x14ac:dyDescent="0.2">
      <c r="Q348" s="2"/>
    </row>
    <row r="350" spans="1:17" x14ac:dyDescent="0.2">
      <c r="A350" s="1" t="s">
        <v>10</v>
      </c>
    </row>
    <row r="351" spans="1:17" x14ac:dyDescent="0.2">
      <c r="A351" s="1" t="s">
        <v>9</v>
      </c>
    </row>
    <row r="352" spans="1:17" x14ac:dyDescent="0.2">
      <c r="A352" s="1" t="s">
        <v>8</v>
      </c>
    </row>
    <row r="353" spans="1:1" x14ac:dyDescent="0.2">
      <c r="A353" s="1" t="s">
        <v>7</v>
      </c>
    </row>
    <row r="354" spans="1:1" x14ac:dyDescent="0.2">
      <c r="A354" s="1" t="s">
        <v>6</v>
      </c>
    </row>
    <row r="355" spans="1:1" x14ac:dyDescent="0.2">
      <c r="A355" s="1" t="s">
        <v>5</v>
      </c>
    </row>
    <row r="356" spans="1:1" x14ac:dyDescent="0.2">
      <c r="A356" s="1" t="s">
        <v>4</v>
      </c>
    </row>
    <row r="357" spans="1:1" x14ac:dyDescent="0.2">
      <c r="A357" s="1" t="s">
        <v>3</v>
      </c>
    </row>
    <row r="358" spans="1:1" x14ac:dyDescent="0.2">
      <c r="A358" s="1" t="s">
        <v>2</v>
      </c>
    </row>
    <row r="359" spans="1:1" x14ac:dyDescent="0.2">
      <c r="A359" s="1" t="s">
        <v>1</v>
      </c>
    </row>
    <row r="360" spans="1:1" x14ac:dyDescent="0.2">
      <c r="A360" s="1" t="s">
        <v>0</v>
      </c>
    </row>
  </sheetData>
  <autoFilter ref="A88:P347">
    <filterColumn colId="3" showButton="0"/>
    <filterColumn colId="4" showButton="0"/>
    <filterColumn colId="5" showButton="0"/>
    <filterColumn colId="12" showButton="0"/>
    <filterColumn colId="13" showButton="0"/>
  </autoFilter>
  <mergeCells count="107">
    <mergeCell ref="P129:P130"/>
    <mergeCell ref="R46:R47"/>
    <mergeCell ref="Q46:Q47"/>
    <mergeCell ref="C129:C130"/>
    <mergeCell ref="D129:G129"/>
    <mergeCell ref="L129:L130"/>
    <mergeCell ref="M129:O129"/>
    <mergeCell ref="J129:J130"/>
    <mergeCell ref="K129:K130"/>
    <mergeCell ref="H129:H130"/>
    <mergeCell ref="I129:I130"/>
    <mergeCell ref="K46:K47"/>
    <mergeCell ref="A1:O1"/>
    <mergeCell ref="A3:A4"/>
    <mergeCell ref="B3:B4"/>
    <mergeCell ref="C3:C4"/>
    <mergeCell ref="D3:G3"/>
    <mergeCell ref="J3:J4"/>
    <mergeCell ref="K3:K4"/>
    <mergeCell ref="L3:L4"/>
    <mergeCell ref="M3:O3"/>
    <mergeCell ref="H3:H4"/>
    <mergeCell ref="I3:I4"/>
    <mergeCell ref="L46:L47"/>
    <mergeCell ref="M46:O46"/>
    <mergeCell ref="P46:P47"/>
    <mergeCell ref="K88:K89"/>
    <mergeCell ref="L88:L89"/>
    <mergeCell ref="M88:O88"/>
    <mergeCell ref="P88:P89"/>
    <mergeCell ref="H46:H47"/>
    <mergeCell ref="I46:I47"/>
    <mergeCell ref="A88:A89"/>
    <mergeCell ref="B88:B89"/>
    <mergeCell ref="C88:C89"/>
    <mergeCell ref="D88:G88"/>
    <mergeCell ref="J88:J89"/>
    <mergeCell ref="H88:H89"/>
    <mergeCell ref="I88:I89"/>
    <mergeCell ref="A46:A47"/>
    <mergeCell ref="B46:B47"/>
    <mergeCell ref="C46:C47"/>
    <mergeCell ref="D46:G46"/>
    <mergeCell ref="J46:J47"/>
    <mergeCell ref="L138:L139"/>
    <mergeCell ref="M138:O138"/>
    <mergeCell ref="A140:C140"/>
    <mergeCell ref="A181:A182"/>
    <mergeCell ref="B181:B182"/>
    <mergeCell ref="C181:C182"/>
    <mergeCell ref="D181:D182"/>
    <mergeCell ref="E181:E182"/>
    <mergeCell ref="F181:F182"/>
    <mergeCell ref="G181:G182"/>
    <mergeCell ref="J181:J182"/>
    <mergeCell ref="K181:K182"/>
    <mergeCell ref="L181:L182"/>
    <mergeCell ref="M181:O181"/>
    <mergeCell ref="H138:H139"/>
    <mergeCell ref="H181:H182"/>
    <mergeCell ref="I138:I139"/>
    <mergeCell ref="I181:I182"/>
    <mergeCell ref="A138:A139"/>
    <mergeCell ref="B138:B139"/>
    <mergeCell ref="C138:C139"/>
    <mergeCell ref="D138:G138"/>
    <mergeCell ref="J138:J139"/>
    <mergeCell ref="K138:K139"/>
    <mergeCell ref="A223:A224"/>
    <mergeCell ref="B223:B224"/>
    <mergeCell ref="C223:C224"/>
    <mergeCell ref="D223:D224"/>
    <mergeCell ref="E223:E224"/>
    <mergeCell ref="F223:F224"/>
    <mergeCell ref="A265:A266"/>
    <mergeCell ref="B265:B266"/>
    <mergeCell ref="C265:C266"/>
    <mergeCell ref="D265:D266"/>
    <mergeCell ref="E265:E266"/>
    <mergeCell ref="L265:L266"/>
    <mergeCell ref="M265:O265"/>
    <mergeCell ref="G223:G224"/>
    <mergeCell ref="J223:J224"/>
    <mergeCell ref="K223:K224"/>
    <mergeCell ref="L223:L224"/>
    <mergeCell ref="M223:O223"/>
    <mergeCell ref="F307:F308"/>
    <mergeCell ref="F265:F266"/>
    <mergeCell ref="G265:G266"/>
    <mergeCell ref="J265:J266"/>
    <mergeCell ref="K265:K266"/>
    <mergeCell ref="M307:O307"/>
    <mergeCell ref="I223:I224"/>
    <mergeCell ref="I265:I266"/>
    <mergeCell ref="H223:H224"/>
    <mergeCell ref="H265:H266"/>
    <mergeCell ref="A307:A308"/>
    <mergeCell ref="B307:B308"/>
    <mergeCell ref="C307:C308"/>
    <mergeCell ref="D307:D308"/>
    <mergeCell ref="E307:E308"/>
    <mergeCell ref="G307:G308"/>
    <mergeCell ref="J307:J308"/>
    <mergeCell ref="K307:K308"/>
    <mergeCell ref="L307:L308"/>
    <mergeCell ref="H307:H308"/>
    <mergeCell ref="I307:I308"/>
  </mergeCells>
  <pageMargins left="0.25" right="0.25" top="0.5" bottom="0.2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Comparisons</vt:lpstr>
      <vt:lpstr>Option 1</vt:lpstr>
      <vt:lpstr>Option 2</vt:lpstr>
      <vt:lpstr>Option 3</vt:lpstr>
      <vt:lpstr>Option 4</vt:lpstr>
      <vt:lpstr>Option 5</vt:lpstr>
      <vt:lpstr>'Option 1'!Print_Area</vt:lpstr>
      <vt:lpstr>'Option 2'!Print_Area</vt:lpstr>
      <vt:lpstr>'Option 3'!Print_Area</vt:lpstr>
      <vt:lpstr>'Option 4'!Print_Area</vt:lpstr>
      <vt:lpstr>'Option 5'!Print_Area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Turcotte</dc:creator>
  <cp:lastModifiedBy>Paul Turcotte</cp:lastModifiedBy>
  <cp:lastPrinted>2013-11-01T16:58:07Z</cp:lastPrinted>
  <dcterms:created xsi:type="dcterms:W3CDTF">2013-07-25T15:22:00Z</dcterms:created>
  <dcterms:modified xsi:type="dcterms:W3CDTF">2013-11-12T17:13:51Z</dcterms:modified>
</cp:coreProperties>
</file>