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35" yWindow="-240" windowWidth="13620" windowHeight="910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H30" i="1"/>
  <c r="H31"/>
  <c r="H32"/>
  <c r="H33"/>
  <c r="H34"/>
  <c r="H35"/>
  <c r="H29"/>
  <c r="H36"/>
  <c r="H58"/>
  <c r="H41"/>
  <c r="H42"/>
  <c r="H52"/>
  <c r="H59"/>
  <c r="H43"/>
  <c r="H44"/>
  <c r="H45"/>
  <c r="H46"/>
  <c r="H47"/>
  <c r="H48"/>
  <c r="H49"/>
  <c r="H50"/>
  <c r="H51"/>
  <c r="H141"/>
  <c r="H14"/>
  <c r="H15"/>
  <c r="H16"/>
  <c r="H17"/>
  <c r="H18"/>
  <c r="H19"/>
  <c r="H20"/>
  <c r="H21"/>
  <c r="H22"/>
  <c r="H23"/>
  <c r="H24"/>
  <c r="H70"/>
  <c r="H79"/>
  <c r="H96"/>
  <c r="H104"/>
  <c r="H118"/>
  <c r="N130"/>
  <c r="H131"/>
  <c r="H145"/>
  <c r="H149"/>
  <c r="H153"/>
  <c r="H155"/>
  <c r="H156"/>
  <c r="H25"/>
  <c r="H55"/>
  <c r="H57"/>
  <c r="H61"/>
  <c r="H63"/>
  <c r="H134"/>
  <c r="H161"/>
  <c r="H133"/>
  <c r="H160"/>
  <c r="D169"/>
  <c r="D170"/>
  <c r="H162"/>
  <c r="D172"/>
  <c r="D176"/>
  <c r="H163"/>
</calcChain>
</file>

<file path=xl/sharedStrings.xml><?xml version="1.0" encoding="utf-8"?>
<sst xmlns="http://schemas.openxmlformats.org/spreadsheetml/2006/main" count="95" uniqueCount="70">
  <si>
    <t>Personnel</t>
  </si>
  <si>
    <t>Annual Salary</t>
  </si>
  <si>
    <t>Name</t>
  </si>
  <si>
    <t>% Effort</t>
  </si>
  <si>
    <t>Year 1</t>
  </si>
  <si>
    <t>Subtotals</t>
  </si>
  <si>
    <t>Rate Per Hour</t>
  </si>
  <si>
    <t>Hrs. Worked</t>
  </si>
  <si>
    <t>Subtotal Personnel</t>
  </si>
  <si>
    <t>F&amp;A Rate</t>
  </si>
  <si>
    <t>Total Personnel</t>
  </si>
  <si>
    <t>Subtotal Fringe</t>
  </si>
  <si>
    <t>Consultants</t>
  </si>
  <si>
    <t xml:space="preserve"> </t>
  </si>
  <si>
    <t>(Itemize)</t>
  </si>
  <si>
    <t xml:space="preserve">Subtotals </t>
  </si>
  <si>
    <t>Travel</t>
  </si>
  <si>
    <t>Other</t>
  </si>
  <si>
    <t>Total Tuition</t>
  </si>
  <si>
    <t>Subawards</t>
  </si>
  <si>
    <t>Direct</t>
  </si>
  <si>
    <t>Indirect</t>
  </si>
  <si>
    <t>Subawardee #1</t>
  </si>
  <si>
    <t>Subawardee #2</t>
  </si>
  <si>
    <t>Subawardee #4</t>
  </si>
  <si>
    <t>Total Direct Subawards</t>
  </si>
  <si>
    <t>Total Indirect Subawards</t>
  </si>
  <si>
    <t>Total Direct</t>
  </si>
  <si>
    <t>F&amp;A Base</t>
  </si>
  <si>
    <t>Total F&amp;A</t>
  </si>
  <si>
    <t>Total Costs</t>
  </si>
  <si>
    <t>Proposal Budget Worksheet, 1 Year</t>
  </si>
  <si>
    <t>Equipment (&gt;$5,000 each)</t>
  </si>
  <si>
    <t>(Itemize, budget in year desired)</t>
  </si>
  <si>
    <t>This worksheet assumes that UNCW will be issued a new agreement or contract each year.</t>
  </si>
  <si>
    <t>Banner</t>
  </si>
  <si>
    <t>Budget #</t>
  </si>
  <si>
    <t>C&amp;G participant Travel</t>
  </si>
  <si>
    <t>Foreign Travel</t>
  </si>
  <si>
    <t>Domestic Travel</t>
  </si>
  <si>
    <t>Purchased Services</t>
  </si>
  <si>
    <t>Subtotal Direct Cost</t>
  </si>
  <si>
    <t>Grants State Aid &amp; Assit (tuition)</t>
  </si>
  <si>
    <t>Supplies &amp; Materials</t>
  </si>
  <si>
    <t>Permanent UNCW Faculty &amp; Staff</t>
  </si>
  <si>
    <t>list names</t>
  </si>
  <si>
    <t>include details here</t>
  </si>
  <si>
    <t>include details here  - Travel to Conference for PI</t>
  </si>
  <si>
    <t>Time-limited and Graduate Students</t>
  </si>
  <si>
    <t>Fringe Time Limited &amp; Graduate students</t>
  </si>
  <si>
    <t>Direct:</t>
  </si>
  <si>
    <t>F&amp;A base</t>
  </si>
  <si>
    <t>F&amp;A amount</t>
  </si>
  <si>
    <t>Information for Ramses BUDGET screen</t>
  </si>
  <si>
    <t>Sammy Seahawk</t>
  </si>
  <si>
    <t>Samantha Seahawk, Lead PI</t>
  </si>
  <si>
    <t>Fringe Permanent UNCW Faculty &amp; Staff</t>
  </si>
  <si>
    <t>Permanent UNCW Faculty &amp; Staff Fringe</t>
  </si>
  <si>
    <t>Time-Limited/Graduate &amp; Undergraduate Students Fringe Rate</t>
  </si>
  <si>
    <t>Personnel - percentage to increase salary amounts each year - actual costs dependent upon NC state legislature approval</t>
  </si>
  <si>
    <t>F&amp;A Rate - Research</t>
  </si>
  <si>
    <t>include subawardee budget &amp; budget justification</t>
  </si>
  <si>
    <t>F&amp;A Rate 2</t>
  </si>
  <si>
    <t>F&amp;A Base 2</t>
  </si>
  <si>
    <t>F&amp;A Amount 2</t>
  </si>
  <si>
    <t>Initial Funds Req</t>
  </si>
  <si>
    <t xml:space="preserve">Salary Increment Rate </t>
  </si>
  <si>
    <t>Fringe Hourly - Time Limited and/or Students</t>
  </si>
  <si>
    <t>Hourly - Time Limited and/or Students</t>
  </si>
  <si>
    <t>For projects beginning after 1 July 2013, please use new rate of 46.5%</t>
  </si>
</sst>
</file>

<file path=xl/styles.xml><?xml version="1.0" encoding="utf-8"?>
<styleSheet xmlns="http://schemas.openxmlformats.org/spreadsheetml/2006/main">
  <numFmts count="3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</numFmts>
  <fonts count="13">
    <font>
      <sz val="10"/>
      <name val="Arial"/>
    </font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indexed="9"/>
      <name val="Arial"/>
      <family val="2"/>
    </font>
    <font>
      <sz val="16"/>
      <name val="Arial"/>
      <family val="2"/>
    </font>
    <font>
      <i/>
      <sz val="16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3" fontId="0" fillId="0" borderId="0" xfId="0" applyNumberFormat="1" applyProtection="1">
      <protection locked="0"/>
    </xf>
    <xf numFmtId="3" fontId="0" fillId="2" borderId="0" xfId="0" applyNumberFormat="1" applyFill="1" applyProtection="1">
      <protection locked="0"/>
    </xf>
    <xf numFmtId="3" fontId="5" fillId="0" borderId="0" xfId="0" applyNumberFormat="1" applyFont="1" applyProtection="1">
      <protection locked="0"/>
    </xf>
    <xf numFmtId="3" fontId="5" fillId="2" borderId="0" xfId="0" applyNumberFormat="1" applyFont="1" applyFill="1" applyProtection="1">
      <protection locked="0"/>
    </xf>
    <xf numFmtId="5" fontId="5" fillId="2" borderId="1" xfId="0" applyNumberFormat="1" applyFont="1" applyFill="1" applyBorder="1" applyAlignment="1" applyProtection="1">
      <alignment horizontal="right"/>
      <protection locked="0"/>
    </xf>
    <xf numFmtId="5" fontId="5" fillId="2" borderId="2" xfId="0" applyNumberFormat="1" applyFont="1" applyFill="1" applyBorder="1" applyAlignment="1" applyProtection="1">
      <alignment horizontal="right"/>
      <protection locked="0"/>
    </xf>
    <xf numFmtId="3" fontId="5" fillId="2" borderId="3" xfId="0" applyNumberFormat="1" applyFont="1" applyFill="1" applyBorder="1" applyProtection="1">
      <protection locked="0"/>
    </xf>
    <xf numFmtId="5" fontId="5" fillId="2" borderId="4" xfId="0" applyNumberFormat="1" applyFont="1" applyFill="1" applyBorder="1" applyAlignment="1" applyProtection="1">
      <alignment horizontal="right"/>
      <protection locked="0"/>
    </xf>
    <xf numFmtId="5" fontId="5" fillId="2" borderId="0" xfId="0" applyNumberFormat="1" applyFont="1" applyFill="1" applyBorder="1" applyAlignment="1" applyProtection="1">
      <alignment horizontal="right"/>
      <protection locked="0"/>
    </xf>
    <xf numFmtId="3" fontId="5" fillId="2" borderId="5" xfId="0" applyNumberFormat="1" applyFont="1" applyFill="1" applyBorder="1" applyProtection="1">
      <protection locked="0"/>
    </xf>
    <xf numFmtId="5" fontId="5" fillId="2" borderId="6" xfId="0" applyNumberFormat="1" applyFont="1" applyFill="1" applyBorder="1" applyAlignment="1" applyProtection="1">
      <alignment horizontal="right"/>
      <protection locked="0"/>
    </xf>
    <xf numFmtId="5" fontId="5" fillId="2" borderId="7" xfId="0" applyNumberFormat="1" applyFont="1" applyFill="1" applyBorder="1" applyAlignment="1" applyProtection="1">
      <alignment horizontal="right"/>
      <protection locked="0"/>
    </xf>
    <xf numFmtId="3" fontId="5" fillId="2" borderId="8" xfId="0" applyNumberFormat="1" applyFont="1" applyFill="1" applyBorder="1" applyProtection="1">
      <protection locked="0"/>
    </xf>
    <xf numFmtId="0" fontId="7" fillId="2" borderId="0" xfId="0" applyFont="1" applyFill="1" applyBorder="1" applyProtection="1">
      <protection locked="0"/>
    </xf>
    <xf numFmtId="0" fontId="0" fillId="2" borderId="0" xfId="0" applyFill="1" applyBorder="1" applyProtection="1">
      <protection locked="0"/>
    </xf>
    <xf numFmtId="0" fontId="0" fillId="2" borderId="9" xfId="0" applyFill="1" applyBorder="1" applyProtection="1">
      <protection locked="0"/>
    </xf>
    <xf numFmtId="0" fontId="2" fillId="2" borderId="0" xfId="0" applyFont="1" applyFill="1" applyBorder="1" applyProtection="1">
      <protection locked="0"/>
    </xf>
    <xf numFmtId="0" fontId="2" fillId="2" borderId="0" xfId="0" applyFont="1" applyFill="1" applyBorder="1" applyAlignment="1" applyProtection="1">
      <alignment horizontal="center"/>
      <protection locked="0"/>
    </xf>
    <xf numFmtId="0" fontId="3" fillId="2" borderId="9" xfId="0" applyFont="1" applyFill="1" applyBorder="1" applyProtection="1">
      <protection locked="0"/>
    </xf>
    <xf numFmtId="0" fontId="3" fillId="2" borderId="0" xfId="0" applyFont="1" applyFill="1" applyBorder="1" applyProtection="1">
      <protection locked="0"/>
    </xf>
    <xf numFmtId="0" fontId="2" fillId="2" borderId="9" xfId="0" applyFont="1" applyFill="1" applyBorder="1" applyAlignment="1" applyProtection="1">
      <alignment horizontal="center"/>
      <protection locked="0"/>
    </xf>
    <xf numFmtId="9" fontId="0" fillId="2" borderId="0" xfId="3" applyFont="1" applyFill="1" applyBorder="1" applyProtection="1">
      <protection locked="0"/>
    </xf>
    <xf numFmtId="3" fontId="0" fillId="2" borderId="0" xfId="1" applyNumberFormat="1" applyFont="1" applyFill="1" applyBorder="1" applyProtection="1">
      <protection locked="0"/>
    </xf>
    <xf numFmtId="3" fontId="0" fillId="2" borderId="0" xfId="2" applyNumberFormat="1" applyFont="1" applyFill="1" applyBorder="1" applyProtection="1">
      <protection locked="0"/>
    </xf>
    <xf numFmtId="3" fontId="0" fillId="2" borderId="0" xfId="0" applyNumberFormat="1" applyFill="1" applyBorder="1" applyProtection="1">
      <protection locked="0"/>
    </xf>
    <xf numFmtId="9" fontId="0" fillId="2" borderId="9" xfId="3" applyFont="1" applyFill="1" applyBorder="1" applyProtection="1">
      <protection locked="0"/>
    </xf>
    <xf numFmtId="3" fontId="0" fillId="2" borderId="9" xfId="1" applyNumberFormat="1" applyFont="1" applyFill="1" applyBorder="1" applyProtection="1">
      <protection locked="0"/>
    </xf>
    <xf numFmtId="3" fontId="0" fillId="2" borderId="9" xfId="2" applyNumberFormat="1" applyFont="1" applyFill="1" applyBorder="1" applyProtection="1">
      <protection locked="0"/>
    </xf>
    <xf numFmtId="3" fontId="2" fillId="2" borderId="0" xfId="2" applyNumberFormat="1" applyFont="1" applyFill="1" applyBorder="1" applyProtection="1">
      <protection locked="0"/>
    </xf>
    <xf numFmtId="3" fontId="2" fillId="2" borderId="0" xfId="0" applyNumberFormat="1" applyFont="1" applyFill="1" applyBorder="1" applyProtection="1"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3" fontId="0" fillId="2" borderId="9" xfId="0" applyNumberFormat="1" applyFill="1" applyBorder="1" applyProtection="1">
      <protection locked="0"/>
    </xf>
    <xf numFmtId="0" fontId="0" fillId="2" borderId="0" xfId="0" applyFill="1" applyBorder="1" applyAlignment="1" applyProtection="1">
      <alignment horizontal="right"/>
      <protection locked="0"/>
    </xf>
    <xf numFmtId="3" fontId="6" fillId="2" borderId="0" xfId="0" applyNumberFormat="1" applyFont="1" applyFill="1" applyBorder="1" applyProtection="1">
      <protection locked="0"/>
    </xf>
    <xf numFmtId="0" fontId="6" fillId="2" borderId="0" xfId="0" applyFont="1" applyFill="1" applyBorder="1" applyProtection="1">
      <protection locked="0"/>
    </xf>
    <xf numFmtId="3" fontId="6" fillId="2" borderId="0" xfId="0" applyNumberFormat="1" applyFont="1" applyFill="1" applyAlignment="1" applyProtection="1">
      <alignment horizontal="right"/>
      <protection locked="0"/>
    </xf>
    <xf numFmtId="0" fontId="4" fillId="2" borderId="0" xfId="0" applyFont="1" applyFill="1" applyBorder="1" applyAlignment="1" applyProtection="1">
      <alignment horizontal="center"/>
      <protection locked="0"/>
    </xf>
    <xf numFmtId="0" fontId="5" fillId="2" borderId="0" xfId="0" applyFont="1" applyFill="1" applyBorder="1" applyProtection="1">
      <protection locked="0"/>
    </xf>
    <xf numFmtId="3" fontId="5" fillId="2" borderId="0" xfId="0" applyNumberFormat="1" applyFont="1" applyFill="1" applyBorder="1" applyProtection="1">
      <protection locked="0"/>
    </xf>
    <xf numFmtId="0" fontId="8" fillId="2" borderId="0" xfId="0" applyFont="1" applyFill="1" applyBorder="1" applyProtection="1">
      <protection locked="0"/>
    </xf>
    <xf numFmtId="0" fontId="9" fillId="2" borderId="0" xfId="0" applyFont="1" applyFill="1" applyBorder="1" applyProtection="1">
      <protection locked="0"/>
    </xf>
    <xf numFmtId="10" fontId="9" fillId="2" borderId="0" xfId="0" applyNumberFormat="1" applyFont="1" applyFill="1" applyProtection="1"/>
    <xf numFmtId="10" fontId="9" fillId="0" borderId="0" xfId="0" applyNumberFormat="1" applyFont="1" applyProtection="1"/>
    <xf numFmtId="0" fontId="0" fillId="2" borderId="10" xfId="0" applyFill="1" applyBorder="1" applyProtection="1">
      <protection locked="0"/>
    </xf>
    <xf numFmtId="0" fontId="2" fillId="2" borderId="11" xfId="0" applyFont="1" applyFill="1" applyBorder="1" applyProtection="1">
      <protection locked="0"/>
    </xf>
    <xf numFmtId="0" fontId="2" fillId="2" borderId="11" xfId="0" applyFont="1" applyFill="1" applyBorder="1" applyAlignment="1" applyProtection="1">
      <alignment horizontal="right"/>
      <protection locked="0"/>
    </xf>
    <xf numFmtId="0" fontId="0" fillId="2" borderId="12" xfId="0" applyFill="1" applyBorder="1" applyProtection="1">
      <protection locked="0"/>
    </xf>
    <xf numFmtId="0" fontId="0" fillId="2" borderId="11" xfId="0" applyFill="1" applyBorder="1" applyProtection="1">
      <protection locked="0"/>
    </xf>
    <xf numFmtId="0" fontId="10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alignment horizont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3" fillId="2" borderId="0" xfId="0" applyFont="1" applyFill="1" applyBorder="1" applyAlignment="1" applyProtection="1">
      <alignment horizontal="left"/>
      <protection locked="0"/>
    </xf>
    <xf numFmtId="0" fontId="3" fillId="2" borderId="13" xfId="0" applyFont="1" applyFill="1" applyBorder="1" applyAlignment="1" applyProtection="1">
      <alignment horizontal="center"/>
      <protection locked="0"/>
    </xf>
    <xf numFmtId="3" fontId="2" fillId="2" borderId="9" xfId="2" applyNumberFormat="1" applyFont="1" applyFill="1" applyBorder="1" applyAlignment="1" applyProtection="1">
      <alignment horizontal="center"/>
      <protection locked="0"/>
    </xf>
    <xf numFmtId="10" fontId="5" fillId="2" borderId="5" xfId="0" applyNumberFormat="1" applyFont="1" applyFill="1" applyBorder="1" applyProtection="1">
      <protection locked="0"/>
    </xf>
    <xf numFmtId="0" fontId="11" fillId="2" borderId="0" xfId="0" applyFont="1" applyFill="1" applyBorder="1" applyAlignment="1" applyProtection="1">
      <alignment horizontal="center"/>
      <protection locked="0"/>
    </xf>
    <xf numFmtId="0" fontId="12" fillId="2" borderId="0" xfId="0" applyFont="1" applyFill="1" applyBorder="1" applyProtection="1">
      <protection locked="0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176"/>
  <sheetViews>
    <sheetView tabSelected="1" topLeftCell="A4" workbookViewId="0">
      <selection activeCell="F8" sqref="F8"/>
    </sheetView>
  </sheetViews>
  <sheetFormatPr defaultRowHeight="12.75"/>
  <cols>
    <col min="1" max="1" width="15.5703125" style="15" customWidth="1"/>
    <col min="2" max="2" width="34.28515625" style="15" customWidth="1"/>
    <col min="3" max="3" width="2.28515625" style="15" customWidth="1"/>
    <col min="4" max="4" width="13.5703125" style="15" customWidth="1"/>
    <col min="5" max="5" width="2.28515625" style="15" customWidth="1"/>
    <col min="6" max="6" width="12.5703125" style="15" customWidth="1"/>
    <col min="7" max="7" width="2.28515625" style="15" customWidth="1"/>
    <col min="8" max="8" width="14.140625" style="15" customWidth="1"/>
    <col min="9" max="13" width="2.28515625" style="15" customWidth="1"/>
    <col min="14" max="14" width="10.85546875" style="15" customWidth="1"/>
    <col min="15" max="16384" width="9.140625" style="15"/>
  </cols>
  <sheetData>
    <row r="1" spans="1:12" ht="22.5" customHeight="1">
      <c r="A1" s="14" t="s">
        <v>31</v>
      </c>
      <c r="H1" s="40"/>
    </row>
    <row r="2" spans="1:12">
      <c r="A2" s="15" t="s">
        <v>34</v>
      </c>
    </row>
    <row r="5" spans="1:12" s="41" customFormat="1" ht="15">
      <c r="A5" s="41" t="s">
        <v>66</v>
      </c>
      <c r="D5" s="43">
        <v>0.04</v>
      </c>
      <c r="F5" s="41" t="s">
        <v>59</v>
      </c>
    </row>
    <row r="6" spans="1:12" s="41" customFormat="1" ht="15">
      <c r="A6" s="41" t="s">
        <v>57</v>
      </c>
      <c r="D6" s="42">
        <v>0.3</v>
      </c>
    </row>
    <row r="7" spans="1:12" s="41" customFormat="1" ht="15">
      <c r="A7" s="41" t="s">
        <v>58</v>
      </c>
      <c r="D7" s="43">
        <v>0.09</v>
      </c>
    </row>
    <row r="8" spans="1:12" s="41" customFormat="1" ht="15.75">
      <c r="A8" s="41" t="s">
        <v>60</v>
      </c>
      <c r="D8" s="42">
        <v>0.45500000000000002</v>
      </c>
      <c r="F8" s="57" t="s">
        <v>69</v>
      </c>
    </row>
    <row r="9" spans="1:12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</row>
    <row r="10" spans="1:12">
      <c r="A10" s="44"/>
      <c r="B10" s="17"/>
      <c r="C10" s="17"/>
    </row>
    <row r="11" spans="1:12">
      <c r="A11" s="45" t="s">
        <v>35</v>
      </c>
      <c r="B11" s="17" t="s">
        <v>0</v>
      </c>
      <c r="C11" s="17"/>
    </row>
    <row r="12" spans="1:12">
      <c r="A12" s="46" t="s">
        <v>36</v>
      </c>
      <c r="B12" s="18" t="s">
        <v>44</v>
      </c>
      <c r="C12" s="18"/>
    </row>
    <row r="13" spans="1:12">
      <c r="A13" s="47"/>
      <c r="B13" s="19" t="s">
        <v>2</v>
      </c>
      <c r="C13" s="20"/>
      <c r="D13" s="19" t="s">
        <v>3</v>
      </c>
      <c r="E13" s="20"/>
      <c r="F13" s="19" t="s">
        <v>1</v>
      </c>
      <c r="H13" s="21" t="s">
        <v>4</v>
      </c>
    </row>
    <row r="14" spans="1:12">
      <c r="A14" s="44">
        <v>915000</v>
      </c>
      <c r="B14" s="49" t="s">
        <v>55</v>
      </c>
      <c r="D14" s="22">
        <v>0</v>
      </c>
      <c r="F14" s="23">
        <v>0</v>
      </c>
      <c r="H14" s="24">
        <f t="shared" ref="H14:H24" si="0">D14*F14</f>
        <v>0</v>
      </c>
      <c r="I14" s="25"/>
      <c r="J14" s="25"/>
      <c r="K14" s="25"/>
      <c r="L14" s="25"/>
    </row>
    <row r="15" spans="1:12">
      <c r="A15" s="48"/>
      <c r="D15" s="22">
        <v>0</v>
      </c>
      <c r="F15" s="23">
        <v>0</v>
      </c>
      <c r="H15" s="24">
        <f t="shared" si="0"/>
        <v>0</v>
      </c>
      <c r="I15" s="25"/>
      <c r="J15" s="25"/>
      <c r="K15" s="25"/>
      <c r="L15" s="25"/>
    </row>
    <row r="16" spans="1:12">
      <c r="A16" s="48"/>
      <c r="D16" s="22">
        <v>0</v>
      </c>
      <c r="F16" s="23">
        <v>0</v>
      </c>
      <c r="H16" s="24">
        <f t="shared" si="0"/>
        <v>0</v>
      </c>
      <c r="I16" s="25"/>
      <c r="J16" s="25"/>
      <c r="K16" s="25"/>
      <c r="L16" s="25"/>
    </row>
    <row r="17" spans="1:12">
      <c r="A17" s="48"/>
      <c r="D17" s="22">
        <v>0</v>
      </c>
      <c r="F17" s="23">
        <v>0</v>
      </c>
      <c r="H17" s="24">
        <f t="shared" si="0"/>
        <v>0</v>
      </c>
      <c r="I17" s="25"/>
      <c r="J17" s="25"/>
      <c r="K17" s="25"/>
      <c r="L17" s="25"/>
    </row>
    <row r="18" spans="1:12">
      <c r="A18" s="48"/>
      <c r="D18" s="22">
        <v>0</v>
      </c>
      <c r="F18" s="23">
        <v>0</v>
      </c>
      <c r="H18" s="24">
        <f t="shared" si="0"/>
        <v>0</v>
      </c>
      <c r="I18" s="25"/>
      <c r="J18" s="25"/>
      <c r="K18" s="25"/>
      <c r="L18" s="25"/>
    </row>
    <row r="19" spans="1:12">
      <c r="A19" s="48"/>
      <c r="D19" s="22">
        <v>0</v>
      </c>
      <c r="F19" s="23">
        <v>0</v>
      </c>
      <c r="H19" s="24">
        <f t="shared" si="0"/>
        <v>0</v>
      </c>
      <c r="I19" s="25"/>
      <c r="J19" s="25"/>
      <c r="K19" s="25"/>
      <c r="L19" s="25"/>
    </row>
    <row r="20" spans="1:12">
      <c r="A20" s="48"/>
      <c r="D20" s="22">
        <v>0</v>
      </c>
      <c r="F20" s="23">
        <v>0</v>
      </c>
      <c r="H20" s="24">
        <f t="shared" si="0"/>
        <v>0</v>
      </c>
      <c r="I20" s="25"/>
      <c r="J20" s="25"/>
      <c r="K20" s="25"/>
      <c r="L20" s="25"/>
    </row>
    <row r="21" spans="1:12">
      <c r="A21" s="48"/>
      <c r="D21" s="22">
        <v>0</v>
      </c>
      <c r="F21" s="23">
        <v>0</v>
      </c>
      <c r="H21" s="24">
        <f t="shared" si="0"/>
        <v>0</v>
      </c>
      <c r="I21" s="25"/>
      <c r="J21" s="25"/>
      <c r="K21" s="25"/>
      <c r="L21" s="25"/>
    </row>
    <row r="22" spans="1:12">
      <c r="A22" s="48"/>
      <c r="D22" s="22">
        <v>0</v>
      </c>
      <c r="F22" s="23">
        <v>0</v>
      </c>
      <c r="H22" s="24">
        <f t="shared" si="0"/>
        <v>0</v>
      </c>
      <c r="I22" s="25"/>
      <c r="J22" s="25"/>
      <c r="K22" s="25"/>
      <c r="L22" s="25"/>
    </row>
    <row r="23" spans="1:12">
      <c r="A23" s="48"/>
      <c r="D23" s="22">
        <v>0</v>
      </c>
      <c r="F23" s="23">
        <v>0</v>
      </c>
      <c r="H23" s="24">
        <f t="shared" si="0"/>
        <v>0</v>
      </c>
      <c r="I23" s="25"/>
      <c r="J23" s="25"/>
      <c r="K23" s="25"/>
      <c r="L23" s="25"/>
    </row>
    <row r="24" spans="1:12">
      <c r="A24" s="48"/>
      <c r="D24" s="26">
        <v>0</v>
      </c>
      <c r="F24" s="27">
        <v>0</v>
      </c>
      <c r="H24" s="28">
        <f t="shared" si="0"/>
        <v>0</v>
      </c>
      <c r="I24" s="25"/>
      <c r="J24" s="25"/>
      <c r="K24" s="25"/>
      <c r="L24" s="25"/>
    </row>
    <row r="25" spans="1:12">
      <c r="A25" s="48"/>
      <c r="B25" s="18" t="s">
        <v>5</v>
      </c>
      <c r="H25" s="29">
        <f>SUM(H14:H24)</f>
        <v>0</v>
      </c>
      <c r="I25" s="29"/>
      <c r="J25" s="29"/>
      <c r="K25" s="29"/>
      <c r="L25" s="29"/>
    </row>
    <row r="26" spans="1:12">
      <c r="A26" s="48"/>
      <c r="B26" s="18"/>
      <c r="H26" s="29"/>
      <c r="I26" s="29"/>
      <c r="J26" s="29"/>
      <c r="K26" s="29"/>
      <c r="L26" s="29"/>
    </row>
    <row r="27" spans="1:12">
      <c r="A27" s="48"/>
      <c r="B27" s="18" t="s">
        <v>48</v>
      </c>
      <c r="I27" s="29"/>
      <c r="J27" s="29"/>
      <c r="K27" s="29"/>
      <c r="L27" s="29"/>
    </row>
    <row r="28" spans="1:12">
      <c r="A28" s="48">
        <v>915000</v>
      </c>
      <c r="B28" s="53" t="s">
        <v>2</v>
      </c>
      <c r="D28" s="19" t="s">
        <v>3</v>
      </c>
      <c r="F28" s="19" t="s">
        <v>1</v>
      </c>
      <c r="H28" s="54" t="s">
        <v>4</v>
      </c>
      <c r="I28" s="29"/>
      <c r="J28" s="29"/>
      <c r="K28" s="29"/>
      <c r="L28" s="29"/>
    </row>
    <row r="29" spans="1:12">
      <c r="A29" s="48"/>
      <c r="B29" s="50" t="s">
        <v>54</v>
      </c>
      <c r="D29" s="22">
        <v>0</v>
      </c>
      <c r="F29" s="15">
        <v>0</v>
      </c>
      <c r="H29" s="24">
        <f t="shared" ref="H29:H35" si="1">D29*F29</f>
        <v>0</v>
      </c>
      <c r="I29" s="29"/>
      <c r="J29" s="29"/>
      <c r="K29" s="29"/>
      <c r="L29" s="29"/>
    </row>
    <row r="30" spans="1:12">
      <c r="A30" s="48"/>
      <c r="B30" s="18"/>
      <c r="D30" s="22">
        <v>0</v>
      </c>
      <c r="F30" s="15">
        <v>0</v>
      </c>
      <c r="H30" s="24">
        <f t="shared" si="1"/>
        <v>0</v>
      </c>
      <c r="I30" s="29"/>
      <c r="J30" s="29"/>
      <c r="K30" s="29"/>
      <c r="L30" s="29"/>
    </row>
    <row r="31" spans="1:12">
      <c r="A31" s="48"/>
      <c r="B31" s="18"/>
      <c r="D31" s="22">
        <v>0</v>
      </c>
      <c r="F31" s="15">
        <v>0</v>
      </c>
      <c r="H31" s="24">
        <f t="shared" si="1"/>
        <v>0</v>
      </c>
      <c r="I31" s="29"/>
      <c r="J31" s="29"/>
      <c r="K31" s="29"/>
      <c r="L31" s="29"/>
    </row>
    <row r="32" spans="1:12">
      <c r="A32" s="48"/>
      <c r="B32" s="18"/>
      <c r="D32" s="22">
        <v>0</v>
      </c>
      <c r="F32" s="15">
        <v>0</v>
      </c>
      <c r="H32" s="24">
        <f t="shared" si="1"/>
        <v>0</v>
      </c>
      <c r="I32" s="29"/>
      <c r="J32" s="29"/>
      <c r="K32" s="29"/>
      <c r="L32" s="29"/>
    </row>
    <row r="33" spans="1:12">
      <c r="A33" s="48"/>
      <c r="B33" s="18"/>
      <c r="D33" s="22">
        <v>0</v>
      </c>
      <c r="F33" s="15">
        <v>0</v>
      </c>
      <c r="H33" s="24">
        <f t="shared" si="1"/>
        <v>0</v>
      </c>
      <c r="I33" s="29"/>
      <c r="J33" s="29"/>
      <c r="K33" s="29"/>
      <c r="L33" s="29"/>
    </row>
    <row r="34" spans="1:12">
      <c r="A34" s="48"/>
      <c r="B34" s="18"/>
      <c r="D34" s="22">
        <v>0</v>
      </c>
      <c r="F34" s="15">
        <v>0</v>
      </c>
      <c r="H34" s="24">
        <f t="shared" si="1"/>
        <v>0</v>
      </c>
      <c r="I34" s="29"/>
      <c r="J34" s="29"/>
      <c r="K34" s="29"/>
      <c r="L34" s="29"/>
    </row>
    <row r="35" spans="1:12">
      <c r="A35" s="48"/>
      <c r="B35" s="18"/>
      <c r="D35" s="26">
        <v>0</v>
      </c>
      <c r="F35" s="16">
        <v>0</v>
      </c>
      <c r="H35" s="28">
        <f t="shared" si="1"/>
        <v>0</v>
      </c>
      <c r="I35" s="29"/>
      <c r="J35" s="29"/>
      <c r="K35" s="29"/>
      <c r="L35" s="29"/>
    </row>
    <row r="36" spans="1:12">
      <c r="A36" s="48"/>
      <c r="B36" s="18" t="s">
        <v>5</v>
      </c>
      <c r="H36" s="29">
        <f>SUM(H29:H35)</f>
        <v>0</v>
      </c>
      <c r="I36" s="29"/>
      <c r="J36" s="29"/>
      <c r="K36" s="29"/>
      <c r="L36" s="29"/>
    </row>
    <row r="37" spans="1:12">
      <c r="A37" s="48"/>
      <c r="B37" s="18"/>
      <c r="H37" s="29"/>
      <c r="I37" s="29"/>
      <c r="J37" s="29"/>
      <c r="K37" s="29"/>
      <c r="L37" s="29"/>
    </row>
    <row r="38" spans="1:12">
      <c r="A38" s="48"/>
    </row>
    <row r="39" spans="1:12">
      <c r="A39" s="48"/>
      <c r="B39" s="18" t="s">
        <v>68</v>
      </c>
      <c r="C39" s="18"/>
    </row>
    <row r="40" spans="1:12">
      <c r="A40" s="48"/>
      <c r="B40" s="19" t="s">
        <v>2</v>
      </c>
      <c r="D40" s="19" t="s">
        <v>7</v>
      </c>
      <c r="F40" s="19" t="s">
        <v>6</v>
      </c>
      <c r="H40" s="21" t="s">
        <v>4</v>
      </c>
    </row>
    <row r="41" spans="1:12">
      <c r="A41" s="48">
        <v>915000</v>
      </c>
      <c r="B41" s="49"/>
      <c r="D41" s="23">
        <v>0</v>
      </c>
      <c r="F41" s="23">
        <v>0</v>
      </c>
      <c r="H41" s="24">
        <f>D41*F41</f>
        <v>0</v>
      </c>
      <c r="J41" s="25"/>
      <c r="K41" s="25"/>
      <c r="L41" s="25"/>
    </row>
    <row r="42" spans="1:12">
      <c r="A42" s="48"/>
      <c r="D42" s="23">
        <v>0</v>
      </c>
      <c r="F42" s="23">
        <v>0</v>
      </c>
      <c r="H42" s="24">
        <f>D42*F42</f>
        <v>0</v>
      </c>
      <c r="J42" s="25"/>
      <c r="K42" s="25"/>
      <c r="L42" s="25"/>
    </row>
    <row r="43" spans="1:12">
      <c r="A43" s="48"/>
      <c r="D43" s="23">
        <v>0</v>
      </c>
      <c r="F43" s="23">
        <v>0</v>
      </c>
      <c r="H43" s="24">
        <f>D43*F43</f>
        <v>0</v>
      </c>
      <c r="J43" s="25"/>
      <c r="K43" s="25"/>
      <c r="L43" s="25"/>
    </row>
    <row r="44" spans="1:12">
      <c r="A44" s="48"/>
      <c r="D44" s="23">
        <v>0</v>
      </c>
      <c r="F44" s="23">
        <v>0</v>
      </c>
      <c r="H44" s="24">
        <f>D44*F44</f>
        <v>0</v>
      </c>
      <c r="J44" s="25"/>
      <c r="K44" s="25"/>
      <c r="L44" s="25"/>
    </row>
    <row r="45" spans="1:12">
      <c r="A45" s="48"/>
      <c r="D45" s="23">
        <v>0</v>
      </c>
      <c r="F45" s="23">
        <v>0</v>
      </c>
      <c r="H45" s="24">
        <f t="shared" ref="H45:H50" si="2">D45*F45</f>
        <v>0</v>
      </c>
      <c r="J45" s="25"/>
      <c r="K45" s="25"/>
      <c r="L45" s="25"/>
    </row>
    <row r="46" spans="1:12">
      <c r="A46" s="48"/>
      <c r="D46" s="23">
        <v>0</v>
      </c>
      <c r="F46" s="23">
        <v>0</v>
      </c>
      <c r="H46" s="24">
        <f t="shared" si="2"/>
        <v>0</v>
      </c>
      <c r="J46" s="25"/>
      <c r="K46" s="25"/>
      <c r="L46" s="25"/>
    </row>
    <row r="47" spans="1:12">
      <c r="A47" s="48"/>
      <c r="D47" s="23">
        <v>0</v>
      </c>
      <c r="F47" s="23">
        <v>0</v>
      </c>
      <c r="H47" s="24">
        <f t="shared" si="2"/>
        <v>0</v>
      </c>
      <c r="J47" s="25"/>
      <c r="K47" s="25"/>
      <c r="L47" s="25"/>
    </row>
    <row r="48" spans="1:12">
      <c r="A48" s="48"/>
      <c r="D48" s="23">
        <v>0</v>
      </c>
      <c r="F48" s="23">
        <v>0</v>
      </c>
      <c r="H48" s="24">
        <f t="shared" si="2"/>
        <v>0</v>
      </c>
      <c r="J48" s="25"/>
      <c r="K48" s="25"/>
      <c r="L48" s="25"/>
    </row>
    <row r="49" spans="1:12">
      <c r="A49" s="48"/>
      <c r="D49" s="23">
        <v>0</v>
      </c>
      <c r="F49" s="23">
        <v>0</v>
      </c>
      <c r="H49" s="24">
        <f t="shared" si="2"/>
        <v>0</v>
      </c>
      <c r="J49" s="25"/>
      <c r="K49" s="25"/>
      <c r="L49" s="25"/>
    </row>
    <row r="50" spans="1:12">
      <c r="A50" s="48"/>
      <c r="D50" s="23">
        <v>0</v>
      </c>
      <c r="F50" s="23">
        <v>0</v>
      </c>
      <c r="H50" s="24">
        <f t="shared" si="2"/>
        <v>0</v>
      </c>
      <c r="J50" s="25"/>
      <c r="K50" s="25"/>
      <c r="L50" s="25"/>
    </row>
    <row r="51" spans="1:12">
      <c r="A51" s="48"/>
      <c r="D51" s="27">
        <v>0</v>
      </c>
      <c r="F51" s="27">
        <v>0</v>
      </c>
      <c r="H51" s="28">
        <f>D51*F51</f>
        <v>0</v>
      </c>
      <c r="J51" s="25"/>
      <c r="K51" s="25"/>
      <c r="L51" s="25"/>
    </row>
    <row r="52" spans="1:12">
      <c r="A52" s="48"/>
      <c r="B52" s="18" t="s">
        <v>5</v>
      </c>
      <c r="H52" s="30">
        <f>SUM(H41:H51)</f>
        <v>0</v>
      </c>
      <c r="I52" s="17"/>
      <c r="J52" s="17"/>
      <c r="K52" s="17"/>
      <c r="L52" s="17"/>
    </row>
    <row r="53" spans="1:12">
      <c r="A53" s="48"/>
    </row>
    <row r="54" spans="1:12">
      <c r="A54" s="48"/>
    </row>
    <row r="55" spans="1:12">
      <c r="A55" s="48"/>
      <c r="B55" s="17" t="s">
        <v>8</v>
      </c>
      <c r="H55" s="30">
        <f>SUM(H25+H36+H52)</f>
        <v>0</v>
      </c>
      <c r="I55" s="17"/>
      <c r="J55" s="17"/>
      <c r="K55" s="17"/>
      <c r="L55" s="17"/>
    </row>
    <row r="56" spans="1:12">
      <c r="A56" s="48"/>
      <c r="B56" s="17"/>
      <c r="H56" s="30"/>
      <c r="I56" s="17"/>
      <c r="J56" s="17"/>
      <c r="K56" s="17"/>
      <c r="L56" s="17"/>
    </row>
    <row r="57" spans="1:12">
      <c r="A57" s="48">
        <v>918000</v>
      </c>
      <c r="B57" s="49" t="s">
        <v>56</v>
      </c>
      <c r="H57" s="1">
        <f>SUM(H25*0.3)</f>
        <v>0</v>
      </c>
    </row>
    <row r="58" spans="1:12">
      <c r="A58" s="48">
        <v>918000</v>
      </c>
      <c r="B58" s="49" t="s">
        <v>49</v>
      </c>
      <c r="H58" s="1">
        <f>SUM(H36*0.09)</f>
        <v>0</v>
      </c>
    </row>
    <row r="59" spans="1:12">
      <c r="A59" s="48">
        <v>918000</v>
      </c>
      <c r="B59" s="49" t="s">
        <v>67</v>
      </c>
      <c r="H59" s="2">
        <f>SUM(H52*0.09)</f>
        <v>0</v>
      </c>
    </row>
    <row r="60" spans="1:12">
      <c r="A60" s="48"/>
      <c r="H60" s="16"/>
    </row>
    <row r="61" spans="1:12">
      <c r="A61" s="48"/>
      <c r="B61" s="17" t="s">
        <v>11</v>
      </c>
      <c r="H61" s="30">
        <f>SUM(H57:H60)</f>
        <v>0</v>
      </c>
    </row>
    <row r="62" spans="1:12">
      <c r="A62" s="48"/>
      <c r="B62" s="17"/>
    </row>
    <row r="63" spans="1:12">
      <c r="A63" s="48"/>
      <c r="B63" s="18" t="s">
        <v>10</v>
      </c>
      <c r="H63" s="30">
        <f>H55+H61</f>
        <v>0</v>
      </c>
    </row>
    <row r="64" spans="1:12">
      <c r="A64" s="48"/>
    </row>
    <row r="65" spans="1:11">
      <c r="A65" s="48"/>
      <c r="B65" s="18" t="s">
        <v>12</v>
      </c>
    </row>
    <row r="66" spans="1:11">
      <c r="B66" s="31" t="s">
        <v>45</v>
      </c>
    </row>
    <row r="67" spans="1:11">
      <c r="A67" s="48">
        <v>921000</v>
      </c>
      <c r="B67" s="50"/>
      <c r="H67" s="25">
        <v>0</v>
      </c>
    </row>
    <row r="68" spans="1:11">
      <c r="A68" s="48"/>
      <c r="H68" s="25">
        <v>0</v>
      </c>
    </row>
    <row r="69" spans="1:11">
      <c r="A69" s="48"/>
      <c r="H69" s="32">
        <v>0</v>
      </c>
    </row>
    <row r="70" spans="1:11">
      <c r="A70" s="48"/>
      <c r="B70" s="18" t="s">
        <v>5</v>
      </c>
      <c r="H70" s="30">
        <f>SUM(H67:H69)</f>
        <v>0</v>
      </c>
    </row>
    <row r="71" spans="1:11">
      <c r="A71" s="48"/>
      <c r="B71" s="15" t="s">
        <v>13</v>
      </c>
      <c r="H71" s="25"/>
    </row>
    <row r="72" spans="1:11">
      <c r="A72" s="48"/>
      <c r="H72" s="25"/>
    </row>
    <row r="73" spans="1:11">
      <c r="A73" s="48"/>
      <c r="B73" s="18" t="s">
        <v>32</v>
      </c>
      <c r="H73" s="25"/>
    </row>
    <row r="74" spans="1:11">
      <c r="A74" s="48">
        <v>940000</v>
      </c>
      <c r="B74" s="31" t="s">
        <v>33</v>
      </c>
      <c r="H74" s="25"/>
    </row>
    <row r="75" spans="1:11">
      <c r="A75" s="48"/>
      <c r="B75" s="49"/>
      <c r="H75" s="25">
        <v>0</v>
      </c>
      <c r="J75" s="15" t="s">
        <v>13</v>
      </c>
      <c r="K75" s="15" t="s">
        <v>13</v>
      </c>
    </row>
    <row r="76" spans="1:11">
      <c r="A76" s="48"/>
      <c r="H76" s="25">
        <v>0</v>
      </c>
    </row>
    <row r="77" spans="1:11">
      <c r="A77" s="48"/>
      <c r="H77" s="25">
        <v>0</v>
      </c>
    </row>
    <row r="78" spans="1:11">
      <c r="A78" s="48"/>
      <c r="H78" s="32">
        <v>0</v>
      </c>
    </row>
    <row r="79" spans="1:11">
      <c r="A79" s="48"/>
      <c r="B79" s="18" t="s">
        <v>5</v>
      </c>
      <c r="H79" s="30">
        <f>SUM(H75:H78)</f>
        <v>0</v>
      </c>
    </row>
    <row r="80" spans="1:11">
      <c r="A80" s="48"/>
      <c r="H80" s="25"/>
    </row>
    <row r="81" spans="1:8">
      <c r="A81" s="48"/>
      <c r="H81" s="25"/>
    </row>
    <row r="82" spans="1:8">
      <c r="A82" s="48"/>
      <c r="B82" s="18" t="s">
        <v>43</v>
      </c>
      <c r="H82" s="25"/>
    </row>
    <row r="83" spans="1:8">
      <c r="A83" s="48">
        <v>930000</v>
      </c>
      <c r="B83" s="31" t="s">
        <v>14</v>
      </c>
      <c r="H83" s="25"/>
    </row>
    <row r="84" spans="1:8">
      <c r="A84" s="48"/>
      <c r="B84" s="49"/>
      <c r="H84" s="25">
        <v>0</v>
      </c>
    </row>
    <row r="85" spans="1:8">
      <c r="A85" s="48"/>
      <c r="B85" s="49"/>
      <c r="H85" s="25">
        <v>0</v>
      </c>
    </row>
    <row r="86" spans="1:8">
      <c r="A86" s="48"/>
      <c r="B86" s="49"/>
      <c r="H86" s="25">
        <v>0</v>
      </c>
    </row>
    <row r="87" spans="1:8">
      <c r="A87" s="48"/>
      <c r="H87" s="25">
        <v>0</v>
      </c>
    </row>
    <row r="88" spans="1:8">
      <c r="A88" s="48"/>
      <c r="H88" s="25">
        <v>0</v>
      </c>
    </row>
    <row r="89" spans="1:8">
      <c r="A89" s="48"/>
      <c r="H89" s="25">
        <v>0</v>
      </c>
    </row>
    <row r="90" spans="1:8">
      <c r="A90" s="48"/>
      <c r="H90" s="25">
        <v>0</v>
      </c>
    </row>
    <row r="91" spans="1:8">
      <c r="A91" s="48"/>
      <c r="H91" s="25">
        <v>0</v>
      </c>
    </row>
    <row r="92" spans="1:8">
      <c r="A92" s="48"/>
      <c r="H92" s="25">
        <v>0</v>
      </c>
    </row>
    <row r="93" spans="1:8">
      <c r="A93" s="48"/>
      <c r="H93" s="25">
        <v>0</v>
      </c>
    </row>
    <row r="94" spans="1:8">
      <c r="A94" s="48"/>
      <c r="H94" s="25">
        <v>0</v>
      </c>
    </row>
    <row r="95" spans="1:8">
      <c r="A95" s="48"/>
      <c r="H95" s="32">
        <v>0</v>
      </c>
    </row>
    <row r="96" spans="1:8">
      <c r="A96" s="48"/>
      <c r="B96" s="18" t="s">
        <v>5</v>
      </c>
      <c r="H96" s="30">
        <f>SUM(H84:H95)</f>
        <v>0</v>
      </c>
    </row>
    <row r="97" spans="1:8">
      <c r="A97" s="48"/>
      <c r="H97" s="25"/>
    </row>
    <row r="98" spans="1:8">
      <c r="A98" s="48"/>
      <c r="H98" s="25"/>
    </row>
    <row r="99" spans="1:8">
      <c r="A99" s="48">
        <v>920000</v>
      </c>
      <c r="B99" s="18" t="s">
        <v>40</v>
      </c>
      <c r="H99" s="25"/>
    </row>
    <row r="100" spans="1:8">
      <c r="A100" s="48"/>
      <c r="B100" s="31" t="s">
        <v>14</v>
      </c>
      <c r="H100" s="25">
        <v>0</v>
      </c>
    </row>
    <row r="101" spans="1:8">
      <c r="A101" s="48"/>
      <c r="B101" s="31"/>
      <c r="H101" s="25">
        <v>0</v>
      </c>
    </row>
    <row r="102" spans="1:8">
      <c r="A102" s="48"/>
      <c r="B102" s="31"/>
      <c r="H102" s="25">
        <v>0</v>
      </c>
    </row>
    <row r="103" spans="1:8">
      <c r="A103" s="48"/>
      <c r="B103" s="33"/>
      <c r="H103" s="32">
        <v>0</v>
      </c>
    </row>
    <row r="104" spans="1:8">
      <c r="A104" s="48"/>
      <c r="B104" s="18" t="s">
        <v>15</v>
      </c>
      <c r="H104" s="30">
        <f>SUM(H100:H103)</f>
        <v>0</v>
      </c>
    </row>
    <row r="105" spans="1:8">
      <c r="A105" s="48"/>
      <c r="H105" s="25"/>
    </row>
    <row r="106" spans="1:8">
      <c r="A106" s="48"/>
      <c r="H106" s="25"/>
    </row>
    <row r="107" spans="1:8">
      <c r="A107" s="48"/>
      <c r="H107" s="25"/>
    </row>
    <row r="108" spans="1:8">
      <c r="A108" s="48"/>
      <c r="H108" s="25"/>
    </row>
    <row r="109" spans="1:8">
      <c r="A109" s="48"/>
      <c r="B109" s="18" t="s">
        <v>16</v>
      </c>
      <c r="H109" s="25"/>
    </row>
    <row r="110" spans="1:8">
      <c r="A110" s="48"/>
      <c r="B110" s="18"/>
      <c r="H110" s="25"/>
    </row>
    <row r="111" spans="1:8">
      <c r="A111" s="48">
        <v>920100</v>
      </c>
      <c r="B111" s="51" t="s">
        <v>39</v>
      </c>
      <c r="H111" s="25">
        <v>0</v>
      </c>
    </row>
    <row r="112" spans="1:8">
      <c r="A112" s="48"/>
      <c r="B112" s="52" t="s">
        <v>47</v>
      </c>
      <c r="H112" s="25"/>
    </row>
    <row r="113" spans="1:8">
      <c r="A113" s="48"/>
      <c r="B113" s="52"/>
      <c r="H113" s="25"/>
    </row>
    <row r="114" spans="1:8">
      <c r="A114" s="48">
        <v>920100</v>
      </c>
      <c r="B114" s="49" t="s">
        <v>38</v>
      </c>
      <c r="H114" s="25">
        <v>0</v>
      </c>
    </row>
    <row r="115" spans="1:8">
      <c r="A115" s="48"/>
      <c r="B115" s="20" t="s">
        <v>46</v>
      </c>
      <c r="H115" s="25"/>
    </row>
    <row r="116" spans="1:8">
      <c r="A116" s="48">
        <v>920200</v>
      </c>
      <c r="B116" s="49" t="s">
        <v>37</v>
      </c>
      <c r="H116" s="32">
        <v>0</v>
      </c>
    </row>
    <row r="117" spans="1:8">
      <c r="A117" s="48"/>
      <c r="B117" s="20" t="s">
        <v>46</v>
      </c>
    </row>
    <row r="118" spans="1:8">
      <c r="A118" s="48"/>
      <c r="B118" s="18" t="s">
        <v>5</v>
      </c>
      <c r="H118" s="30">
        <f>SUM(H111:H116)</f>
        <v>0</v>
      </c>
    </row>
    <row r="119" spans="1:8">
      <c r="A119" s="48"/>
      <c r="B119" s="15" t="s">
        <v>13</v>
      </c>
      <c r="H119" s="25"/>
    </row>
    <row r="120" spans="1:8">
      <c r="A120" s="48"/>
      <c r="H120" s="25"/>
    </row>
    <row r="121" spans="1:8">
      <c r="A121" s="48"/>
      <c r="B121" s="18" t="s">
        <v>17</v>
      </c>
      <c r="H121" s="25"/>
    </row>
    <row r="122" spans="1:8">
      <c r="A122" s="48"/>
      <c r="B122" s="51"/>
      <c r="H122" s="25">
        <v>0</v>
      </c>
    </row>
    <row r="123" spans="1:8">
      <c r="A123" s="48"/>
      <c r="B123" s="49"/>
      <c r="H123" s="25">
        <v>0</v>
      </c>
    </row>
    <row r="124" spans="1:8">
      <c r="A124" s="48"/>
      <c r="B124" s="49"/>
      <c r="H124" s="25">
        <v>0</v>
      </c>
    </row>
    <row r="125" spans="1:8">
      <c r="A125" s="48"/>
      <c r="B125" s="49"/>
      <c r="H125" s="25">
        <v>0</v>
      </c>
    </row>
    <row r="126" spans="1:8">
      <c r="A126" s="48"/>
      <c r="B126" s="49"/>
      <c r="H126" s="25">
        <v>0</v>
      </c>
    </row>
    <row r="127" spans="1:8">
      <c r="A127" s="48"/>
      <c r="B127" s="49"/>
      <c r="H127" s="25">
        <v>0</v>
      </c>
    </row>
    <row r="128" spans="1:8">
      <c r="A128" s="48"/>
      <c r="H128" s="25">
        <v>0</v>
      </c>
    </row>
    <row r="129" spans="1:14">
      <c r="A129" s="48"/>
      <c r="H129" s="25">
        <v>0</v>
      </c>
      <c r="N129" s="15" t="s">
        <v>18</v>
      </c>
    </row>
    <row r="130" spans="1:14">
      <c r="A130" s="48">
        <v>960000</v>
      </c>
      <c r="B130" s="50" t="s">
        <v>42</v>
      </c>
      <c r="H130" s="32">
        <v>0</v>
      </c>
      <c r="N130" s="25">
        <f>SUM(H130:L130)</f>
        <v>0</v>
      </c>
    </row>
    <row r="131" spans="1:14">
      <c r="A131" s="48"/>
      <c r="B131" s="18" t="s">
        <v>5</v>
      </c>
      <c r="H131" s="30">
        <f>SUM(H122:H130)</f>
        <v>0</v>
      </c>
    </row>
    <row r="132" spans="1:14">
      <c r="A132" s="48"/>
    </row>
    <row r="133" spans="1:14">
      <c r="A133" s="48"/>
      <c r="B133" s="17" t="s">
        <v>41</v>
      </c>
      <c r="H133" s="30">
        <f>SUM(H63+H70+H79+H96+H104+H118+H131)</f>
        <v>0</v>
      </c>
      <c r="I133" s="30"/>
      <c r="J133" s="30"/>
      <c r="K133" s="30"/>
      <c r="L133" s="30"/>
    </row>
    <row r="134" spans="1:14">
      <c r="A134" s="48"/>
      <c r="H134" s="34">
        <f>SUM(H63+H70+H96+H104+H118+H131-H130)</f>
        <v>0</v>
      </c>
      <c r="I134" s="35"/>
      <c r="J134" s="35"/>
      <c r="K134" s="35"/>
      <c r="L134" s="35"/>
    </row>
    <row r="135" spans="1:14">
      <c r="A135" s="48"/>
    </row>
    <row r="136" spans="1:14">
      <c r="A136" s="48"/>
      <c r="B136" s="18" t="s">
        <v>19</v>
      </c>
    </row>
    <row r="137" spans="1:14">
      <c r="A137" s="48"/>
      <c r="B137" s="56" t="s">
        <v>61</v>
      </c>
    </row>
    <row r="138" spans="1:14">
      <c r="A138" s="48">
        <v>921000</v>
      </c>
      <c r="B138" s="33" t="s">
        <v>22</v>
      </c>
    </row>
    <row r="139" spans="1:14">
      <c r="A139" s="48"/>
      <c r="B139" s="49"/>
      <c r="F139" s="20" t="s">
        <v>20</v>
      </c>
      <c r="H139" s="16">
        <v>0</v>
      </c>
      <c r="I139" s="16"/>
      <c r="J139" s="16"/>
      <c r="K139" s="16"/>
      <c r="L139" s="16"/>
    </row>
    <row r="140" spans="1:14">
      <c r="A140" s="48"/>
      <c r="F140" s="20" t="s">
        <v>21</v>
      </c>
      <c r="H140" s="15">
        <v>0</v>
      </c>
    </row>
    <row r="141" spans="1:14">
      <c r="A141" s="48"/>
      <c r="H141" s="36">
        <f>IF(H139+H140&gt;=25000,"25,000",H139+H140)</f>
        <v>0</v>
      </c>
      <c r="I141" s="34"/>
      <c r="J141" s="34"/>
      <c r="K141" s="34"/>
      <c r="L141" s="34"/>
    </row>
    <row r="142" spans="1:14">
      <c r="A142" s="48"/>
      <c r="B142" s="33" t="s">
        <v>23</v>
      </c>
    </row>
    <row r="143" spans="1:14">
      <c r="A143" s="48"/>
      <c r="B143" s="49"/>
      <c r="F143" s="20" t="s">
        <v>20</v>
      </c>
      <c r="H143" s="16">
        <v>0</v>
      </c>
      <c r="I143" s="16"/>
      <c r="J143" s="16"/>
      <c r="K143" s="16"/>
      <c r="L143" s="16"/>
    </row>
    <row r="144" spans="1:14">
      <c r="A144" s="48"/>
      <c r="F144" s="20" t="s">
        <v>21</v>
      </c>
      <c r="H144" s="15">
        <v>0</v>
      </c>
    </row>
    <row r="145" spans="1:12">
      <c r="A145" s="48"/>
      <c r="H145" s="36">
        <f>IF(H143+H144&gt;=25000,"25,000",H143+H144)</f>
        <v>0</v>
      </c>
      <c r="I145" s="34"/>
      <c r="J145" s="34"/>
      <c r="K145" s="34"/>
      <c r="L145" s="34"/>
    </row>
    <row r="146" spans="1:12">
      <c r="A146" s="48"/>
      <c r="B146" s="33" t="s">
        <v>24</v>
      </c>
    </row>
    <row r="147" spans="1:12">
      <c r="A147" s="48"/>
      <c r="F147" s="20" t="s">
        <v>20</v>
      </c>
      <c r="H147" s="16">
        <v>0</v>
      </c>
      <c r="I147" s="16"/>
      <c r="J147" s="16"/>
      <c r="K147" s="16"/>
      <c r="L147" s="16"/>
    </row>
    <row r="148" spans="1:12">
      <c r="A148" s="48"/>
      <c r="F148" s="20" t="s">
        <v>21</v>
      </c>
      <c r="H148" s="15">
        <v>0</v>
      </c>
    </row>
    <row r="149" spans="1:12">
      <c r="A149" s="48"/>
      <c r="H149" s="36">
        <f>IF(H147+H148&gt;=25000,"25,000",H147+H148)</f>
        <v>0</v>
      </c>
      <c r="I149" s="34"/>
      <c r="J149" s="34"/>
      <c r="K149" s="34"/>
      <c r="L149" s="34"/>
    </row>
    <row r="150" spans="1:12">
      <c r="A150" s="48"/>
      <c r="B150" s="33" t="s">
        <v>24</v>
      </c>
    </row>
    <row r="151" spans="1:12">
      <c r="A151" s="48"/>
      <c r="F151" s="20" t="s">
        <v>20</v>
      </c>
      <c r="H151" s="16">
        <v>0</v>
      </c>
      <c r="I151" s="16"/>
      <c r="J151" s="16"/>
      <c r="K151" s="16"/>
      <c r="L151" s="16"/>
    </row>
    <row r="152" spans="1:12">
      <c r="A152" s="48"/>
      <c r="F152" s="20" t="s">
        <v>21</v>
      </c>
      <c r="H152" s="15">
        <v>0</v>
      </c>
    </row>
    <row r="153" spans="1:12">
      <c r="A153" s="48"/>
      <c r="H153" s="36">
        <f>IF(H151+H152&gt;=25000,"25,000",H151+H152)</f>
        <v>0</v>
      </c>
      <c r="I153" s="34"/>
      <c r="J153" s="34"/>
      <c r="K153" s="34"/>
      <c r="L153" s="34"/>
    </row>
    <row r="155" spans="1:12">
      <c r="B155" s="17" t="s">
        <v>25</v>
      </c>
      <c r="C155" s="17"/>
      <c r="D155" s="17"/>
      <c r="E155" s="17"/>
      <c r="F155" s="17"/>
      <c r="G155" s="17"/>
      <c r="H155" s="17">
        <f>SUM(H139+H143+H147+H151)</f>
        <v>0</v>
      </c>
      <c r="I155" s="17"/>
      <c r="J155" s="17"/>
      <c r="K155" s="17"/>
      <c r="L155" s="17"/>
    </row>
    <row r="156" spans="1:12">
      <c r="B156" s="17" t="s">
        <v>26</v>
      </c>
      <c r="C156" s="17"/>
      <c r="D156" s="17"/>
      <c r="E156" s="17"/>
      <c r="F156" s="17"/>
      <c r="G156" s="17"/>
      <c r="H156" s="17">
        <f>SUM(H140+H144+H148+H152)</f>
        <v>0</v>
      </c>
      <c r="I156" s="17"/>
      <c r="J156" s="17"/>
      <c r="K156" s="17"/>
      <c r="L156" s="17"/>
    </row>
    <row r="160" spans="1:12" s="38" customFormat="1" ht="18.75" customHeight="1">
      <c r="B160" s="37" t="s">
        <v>27</v>
      </c>
      <c r="H160" s="39">
        <f>SUM(H133+H155+H156)</f>
        <v>0</v>
      </c>
    </row>
    <row r="161" spans="1:8" s="38" customFormat="1" ht="18.75" customHeight="1">
      <c r="B161" s="37" t="s">
        <v>28</v>
      </c>
      <c r="H161" s="3">
        <f>IF(H141&gt;25000,"25000",H141)+IF(H145&gt;25000,"25000",H145)+IF(H149&gt;25000,"25000",H149)+IF(H153&gt;25000,"25000",H153)+H134</f>
        <v>0</v>
      </c>
    </row>
    <row r="162" spans="1:8" s="38" customFormat="1" ht="18.75" customHeight="1">
      <c r="A162" s="38">
        <v>954800</v>
      </c>
      <c r="B162" s="37" t="s">
        <v>29</v>
      </c>
      <c r="H162" s="4">
        <f>ROUND(+H161*$D$8,0)</f>
        <v>0</v>
      </c>
    </row>
    <row r="163" spans="1:8" s="38" customFormat="1" ht="18.75" customHeight="1">
      <c r="B163" s="37" t="s">
        <v>30</v>
      </c>
      <c r="H163" s="39">
        <f>SUM(H160+H162)</f>
        <v>0</v>
      </c>
    </row>
    <row r="167" spans="1:8">
      <c r="B167" s="17" t="s">
        <v>53</v>
      </c>
    </row>
    <row r="168" spans="1:8" ht="13.5" thickBot="1"/>
    <row r="169" spans="1:8" ht="18">
      <c r="B169" s="5" t="s">
        <v>50</v>
      </c>
      <c r="C169" s="6"/>
      <c r="D169" s="7">
        <f>SUM(H160)</f>
        <v>0</v>
      </c>
    </row>
    <row r="170" spans="1:8" ht="18">
      <c r="B170" s="8" t="s">
        <v>51</v>
      </c>
      <c r="C170" s="9"/>
      <c r="D170" s="10">
        <f>SUM(H161)</f>
        <v>0</v>
      </c>
    </row>
    <row r="171" spans="1:8" ht="18">
      <c r="B171" s="8" t="s">
        <v>9</v>
      </c>
      <c r="C171" s="9"/>
      <c r="D171" s="55">
        <v>0.45500000000000002</v>
      </c>
    </row>
    <row r="172" spans="1:8" ht="18">
      <c r="B172" s="8" t="s">
        <v>52</v>
      </c>
      <c r="C172" s="9"/>
      <c r="D172" s="10">
        <f>SUM(H162)</f>
        <v>0</v>
      </c>
    </row>
    <row r="173" spans="1:8" ht="18">
      <c r="B173" s="8" t="s">
        <v>63</v>
      </c>
      <c r="C173" s="9"/>
      <c r="D173" s="10">
        <v>0</v>
      </c>
    </row>
    <row r="174" spans="1:8" ht="18">
      <c r="B174" s="8" t="s">
        <v>62</v>
      </c>
      <c r="C174" s="9"/>
      <c r="D174" s="10">
        <v>0</v>
      </c>
    </row>
    <row r="175" spans="1:8" ht="18">
      <c r="B175" s="8" t="s">
        <v>64</v>
      </c>
      <c r="C175" s="9"/>
      <c r="D175" s="10">
        <v>0</v>
      </c>
    </row>
    <row r="176" spans="1:8" ht="18.75" thickBot="1">
      <c r="B176" s="11" t="s">
        <v>65</v>
      </c>
      <c r="C176" s="12"/>
      <c r="D176" s="13">
        <f>(D169+D172)</f>
        <v>0</v>
      </c>
    </row>
  </sheetData>
  <phoneticPr fontId="0" type="noConversion"/>
  <pageMargins left="0.25" right="0.25" top="0.5" bottom="0.5" header="0.5" footer="0.5"/>
  <pageSetup scale="89" fitToHeight="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Virginia Commonwealth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ahamm</dc:creator>
  <cp:lastModifiedBy>UNC - General Administration</cp:lastModifiedBy>
  <cp:lastPrinted>2011-03-10T15:52:05Z</cp:lastPrinted>
  <dcterms:created xsi:type="dcterms:W3CDTF">1999-04-02T14:11:48Z</dcterms:created>
  <dcterms:modified xsi:type="dcterms:W3CDTF">2013-01-24T17:03:12Z</dcterms:modified>
</cp:coreProperties>
</file>