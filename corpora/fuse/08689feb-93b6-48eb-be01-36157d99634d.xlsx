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Bid Proposal " sheetId="6" r:id="rId1"/>
  </sheets>
  <definedNames>
    <definedName name="_xlnm.Print_Area" localSheetId="0">'Bid Proposal '!$A$1:$F$268</definedName>
  </definedNames>
  <calcPr calcId="125725"/>
</workbook>
</file>

<file path=xl/calcChain.xml><?xml version="1.0" encoding="utf-8"?>
<calcChain xmlns="http://schemas.openxmlformats.org/spreadsheetml/2006/main">
  <c r="F253" i="6"/>
  <c r="F252"/>
  <c r="F251"/>
  <c r="F249"/>
  <c r="F248"/>
  <c r="F247"/>
  <c r="F246"/>
  <c r="F245"/>
  <c r="F244"/>
  <c r="F243"/>
  <c r="F242"/>
  <c r="F241"/>
  <c r="F240"/>
  <c r="F239"/>
  <c r="F238"/>
  <c r="F237"/>
  <c r="F236"/>
  <c r="F235"/>
  <c r="F234"/>
  <c r="F233"/>
  <c r="F232"/>
  <c r="F231"/>
  <c r="F230"/>
  <c r="F229"/>
  <c r="F228"/>
  <c r="F227"/>
  <c r="F226"/>
  <c r="F225"/>
  <c r="F224"/>
  <c r="F223"/>
  <c r="F222"/>
  <c r="F221"/>
  <c r="F220"/>
  <c r="F219"/>
  <c r="F218"/>
  <c r="F217"/>
  <c r="F216"/>
  <c r="F215"/>
  <c r="F214"/>
  <c r="F213"/>
  <c r="F212"/>
  <c r="F211"/>
  <c r="F210"/>
  <c r="F209"/>
  <c r="F208"/>
  <c r="F207"/>
  <c r="F206"/>
  <c r="F205"/>
  <c r="F204"/>
  <c r="F203"/>
  <c r="F202"/>
  <c r="F201"/>
  <c r="F200"/>
  <c r="F199"/>
  <c r="F198"/>
  <c r="F197"/>
  <c r="F196"/>
  <c r="F195"/>
  <c r="F194"/>
  <c r="F193"/>
  <c r="F192"/>
  <c r="F191"/>
  <c r="F190"/>
  <c r="F189"/>
  <c r="F188"/>
  <c r="F187"/>
  <c r="F186"/>
  <c r="F185"/>
  <c r="F184"/>
  <c r="F183"/>
  <c r="F182"/>
  <c r="F181"/>
  <c r="F180"/>
  <c r="F179"/>
  <c r="F178"/>
  <c r="F177"/>
  <c r="F176"/>
  <c r="F175"/>
  <c r="F174"/>
  <c r="F173"/>
  <c r="F172"/>
  <c r="F171"/>
  <c r="F170"/>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107"/>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F44"/>
  <c r="F43"/>
  <c r="F42"/>
  <c r="F41"/>
  <c r="F40"/>
  <c r="F39"/>
  <c r="F38"/>
  <c r="F37"/>
  <c r="F36"/>
  <c r="F35"/>
  <c r="F34"/>
  <c r="F33"/>
  <c r="F32"/>
  <c r="F31"/>
  <c r="F30"/>
  <c r="F29"/>
  <c r="F28"/>
  <c r="F27"/>
  <c r="F26"/>
  <c r="F25"/>
  <c r="F24"/>
  <c r="F23"/>
  <c r="F22"/>
  <c r="F21"/>
  <c r="F20"/>
  <c r="F19"/>
  <c r="F18"/>
  <c r="F17"/>
  <c r="F16"/>
  <c r="F15"/>
  <c r="F14"/>
  <c r="F13"/>
  <c r="F12"/>
  <c r="F11"/>
  <c r="F10"/>
  <c r="F9"/>
  <c r="F8"/>
  <c r="F7"/>
  <c r="F6"/>
  <c r="F5"/>
  <c r="F4"/>
  <c r="F3"/>
  <c r="F2"/>
  <c r="A252"/>
  <c r="A251"/>
  <c r="A3"/>
  <c r="A4" s="1"/>
  <c r="A5" s="1"/>
  <c r="A6" s="1"/>
  <c r="A7" s="1"/>
  <c r="A8" s="1"/>
  <c r="A9" s="1"/>
  <c r="A10" s="1"/>
  <c r="A11" s="1"/>
  <c r="A12" s="1"/>
  <c r="A13" s="1"/>
  <c r="A14" s="1"/>
  <c r="A15" s="1"/>
  <c r="A16" s="1"/>
  <c r="A17" s="1"/>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81" s="1"/>
  <c r="A82" s="1"/>
  <c r="A83" s="1"/>
  <c r="A84" s="1"/>
  <c r="A85" s="1"/>
  <c r="A86" s="1"/>
  <c r="A87" s="1"/>
  <c r="A88" s="1"/>
  <c r="A89" s="1"/>
  <c r="A90" s="1"/>
  <c r="A91" s="1"/>
  <c r="A92" s="1"/>
  <c r="A93" s="1"/>
  <c r="A94" s="1"/>
  <c r="A95" s="1"/>
  <c r="A96" s="1"/>
  <c r="A97" s="1"/>
  <c r="A98" s="1"/>
  <c r="A99" s="1"/>
  <c r="A100" s="1"/>
  <c r="A101" s="1"/>
  <c r="A102" s="1"/>
  <c r="A103" s="1"/>
  <c r="A104" s="1"/>
  <c r="A105" s="1"/>
  <c r="A106" s="1"/>
  <c r="A107" s="1"/>
  <c r="A108" s="1"/>
  <c r="A109" s="1"/>
  <c r="A110" s="1"/>
  <c r="A111" s="1"/>
  <c r="A112" s="1"/>
  <c r="A113" s="1"/>
  <c r="A114" s="1"/>
  <c r="A115" s="1"/>
  <c r="A116" s="1"/>
  <c r="A117" s="1"/>
  <c r="A118" s="1"/>
  <c r="A119" s="1"/>
  <c r="A120" s="1"/>
  <c r="A121" s="1"/>
  <c r="A122" s="1"/>
  <c r="A123" s="1"/>
  <c r="A124" s="1"/>
  <c r="A125" s="1"/>
  <c r="A126" s="1"/>
  <c r="A127" s="1"/>
  <c r="A128" s="1"/>
  <c r="A129" s="1"/>
  <c r="A130" s="1"/>
  <c r="A131" s="1"/>
  <c r="A132" s="1"/>
  <c r="A133" s="1"/>
  <c r="A134" s="1"/>
  <c r="A135" s="1"/>
  <c r="A136" s="1"/>
  <c r="A137" s="1"/>
  <c r="A138" s="1"/>
  <c r="A139" s="1"/>
  <c r="A140" s="1"/>
  <c r="A141" s="1"/>
  <c r="A142" s="1"/>
  <c r="A143" s="1"/>
  <c r="A144" s="1"/>
  <c r="A145" s="1"/>
  <c r="A146" s="1"/>
  <c r="A147" s="1"/>
  <c r="A148" s="1"/>
  <c r="A149" s="1"/>
  <c r="A150" s="1"/>
  <c r="A151" s="1"/>
  <c r="A152" s="1"/>
  <c r="A153" s="1"/>
  <c r="A154" s="1"/>
  <c r="A155" s="1"/>
  <c r="A156" s="1"/>
  <c r="A157" s="1"/>
  <c r="A158" s="1"/>
  <c r="A159" s="1"/>
  <c r="A160" s="1"/>
  <c r="A161" s="1"/>
  <c r="A162" s="1"/>
  <c r="A163" s="1"/>
  <c r="A164" s="1"/>
  <c r="A165" s="1"/>
  <c r="A166" s="1"/>
  <c r="A167" s="1"/>
  <c r="A168" s="1"/>
  <c r="A169" s="1"/>
  <c r="A170" s="1"/>
  <c r="A171" s="1"/>
  <c r="A172" s="1"/>
  <c r="A173" s="1"/>
  <c r="A174" s="1"/>
  <c r="A175" s="1"/>
  <c r="A176" s="1"/>
  <c r="A177" s="1"/>
  <c r="A178" s="1"/>
  <c r="A179" s="1"/>
  <c r="A180" s="1"/>
  <c r="A181" s="1"/>
  <c r="A182" s="1"/>
  <c r="A183" s="1"/>
  <c r="A184" s="1"/>
  <c r="A185" s="1"/>
  <c r="A186" s="1"/>
  <c r="A187" s="1"/>
  <c r="A188" s="1"/>
  <c r="A189" s="1"/>
  <c r="A190" s="1"/>
  <c r="A191" s="1"/>
  <c r="A192" s="1"/>
  <c r="A193" s="1"/>
  <c r="A194" s="1"/>
  <c r="A195" s="1"/>
  <c r="A196" s="1"/>
  <c r="A197" s="1"/>
  <c r="A198" s="1"/>
  <c r="A199" s="1"/>
  <c r="A200" s="1"/>
  <c r="A201" s="1"/>
  <c r="A202" s="1"/>
  <c r="A203" s="1"/>
  <c r="A204" s="1"/>
  <c r="A205" s="1"/>
  <c r="A206" s="1"/>
  <c r="A207" s="1"/>
  <c r="A208" s="1"/>
  <c r="A209" s="1"/>
  <c r="A210" s="1"/>
  <c r="A211" s="1"/>
  <c r="A212" s="1"/>
  <c r="A213" s="1"/>
  <c r="A214" s="1"/>
  <c r="A215" s="1"/>
  <c r="A216" s="1"/>
  <c r="A217" s="1"/>
  <c r="A218" s="1"/>
  <c r="A219" s="1"/>
  <c r="A220" s="1"/>
  <c r="A221" s="1"/>
  <c r="A222" s="1"/>
  <c r="A223" s="1"/>
  <c r="A224" s="1"/>
  <c r="A225" s="1"/>
  <c r="A226" s="1"/>
  <c r="A227" s="1"/>
  <c r="A228" s="1"/>
  <c r="A229" s="1"/>
  <c r="A230" s="1"/>
  <c r="A231" s="1"/>
  <c r="A232" s="1"/>
  <c r="A233" s="1"/>
  <c r="A234" s="1"/>
  <c r="A235" s="1"/>
  <c r="A236" s="1"/>
  <c r="A237" s="1"/>
  <c r="A238" s="1"/>
  <c r="A239" s="1"/>
  <c r="A240" s="1"/>
  <c r="A241" s="1"/>
  <c r="A242" s="1"/>
  <c r="A243" s="1"/>
  <c r="A244" s="1"/>
  <c r="A245" s="1"/>
  <c r="A246" s="1"/>
  <c r="A247" s="1"/>
  <c r="A248" s="1"/>
  <c r="A249" s="1"/>
  <c r="A250" s="1"/>
</calcChain>
</file>

<file path=xl/sharedStrings.xml><?xml version="1.0" encoding="utf-8"?>
<sst xmlns="http://schemas.openxmlformats.org/spreadsheetml/2006/main" count="514" uniqueCount="274">
  <si>
    <t>ITEM</t>
  </si>
  <si>
    <t xml:space="preserve">          DESCRIPTION</t>
  </si>
  <si>
    <t>UNIT</t>
  </si>
  <si>
    <t xml:space="preserve">  QTY</t>
  </si>
  <si>
    <t>UNIT PRICE</t>
  </si>
  <si>
    <t>TOTAL</t>
  </si>
  <si>
    <t>4" PVC SEWER SDR-35*</t>
  </si>
  <si>
    <t>LF</t>
  </si>
  <si>
    <t>4" PVC SCHEDULE 40*</t>
  </si>
  <si>
    <t>6" PVC SEWER SDR-35*</t>
  </si>
  <si>
    <t>6" C900 SDR 18 SEWER PIPE (PURPLE PIPE)*</t>
  </si>
  <si>
    <t>8" PVC SEWER SDR-35*</t>
  </si>
  <si>
    <t>8" PVC C900 SDR 18 SEWER (PURPLE PIPE)*</t>
  </si>
  <si>
    <t>10" PVC SEWER SDR-35*</t>
  </si>
  <si>
    <t>10" PVC  C900 SDR 18 SEWER (PURPLE PIPE)*</t>
  </si>
  <si>
    <t>12" PVC SEWER SDR-35*</t>
  </si>
  <si>
    <t>12" PVC  C900  SDR 18 SEWER (PURPLE PIPE)*</t>
  </si>
  <si>
    <t>15" PVC SEWER SDR-35*</t>
  </si>
  <si>
    <t>18" PVC SEWER SDR-35*</t>
  </si>
  <si>
    <t>21" PVC SEWER SDR-35*</t>
  </si>
  <si>
    <t>24" PVC SEWER SDR-35*</t>
  </si>
  <si>
    <t>36"  SEWER PIPE *</t>
  </si>
  <si>
    <t xml:space="preserve"> TRANSPORT &amp; INSTALL CITY FURNISHED 8" PVC SEWER*</t>
  </si>
  <si>
    <t>8" PVC SEWER SDR-35 (MATERIAL ONLY)</t>
  </si>
  <si>
    <t>TRENCH &amp; BACKFILL  0'- 6' DEEP</t>
  </si>
  <si>
    <t>TRENCH &amp; BACKFILL  6'- 8' DEEP</t>
  </si>
  <si>
    <t>TRENCH &amp; BACKFILL 8'-10' DEEP</t>
  </si>
  <si>
    <t>TRENCH &amp; BACKFILL  10'-12' DEEP</t>
  </si>
  <si>
    <t>TRENCH &amp; BACKFILL  12'-14' DEEP</t>
  </si>
  <si>
    <t>TRENCH &amp; BACKFILL  14'-16' DEEP</t>
  </si>
  <si>
    <t>TRENCH &amp; BACKFILL  16'-18' DEEP</t>
  </si>
  <si>
    <t>TRENCH &amp; BACKFILL  18'- 20' DEEP</t>
  </si>
  <si>
    <t xml:space="preserve">TRENCH &amp; BACKFILL OVER 20' DEEP </t>
  </si>
  <si>
    <t>4" PVC SEWER SERVICE, 0'- 25' PVC</t>
  </si>
  <si>
    <t>EA</t>
  </si>
  <si>
    <t>4" SEWER SERVICE TAPPING SADDLE</t>
  </si>
  <si>
    <t>SEWER SERVICE CLEANOUT 3" OR 4" CIP/PVC SINGLE</t>
  </si>
  <si>
    <t>SEWER SERVICE CLEANOUT 3" OR 4" CIP/PVC DOUBLE</t>
  </si>
  <si>
    <t>SEWER SERVICE REPAIRS SLIPPED TAPS 0'- 6'</t>
  </si>
  <si>
    <t>SEWER SERVICE RPRS SLIPPED TAPS 6'- 8'</t>
  </si>
  <si>
    <t>SEWER SERVICE RPRS SLIPPED TAPS 8'-10'</t>
  </si>
  <si>
    <t>SEWER SERVICE RPRS SLIPPED TAPS 10'-12'</t>
  </si>
  <si>
    <t>SEWER SERVICE RPRS SLIPPED TAPS OVER 12' DEEP</t>
  </si>
  <si>
    <t>SEWER MAINLINE REPAIR LENGTH UP TO 20LF - DEPTH 0'- 6'</t>
  </si>
  <si>
    <t>SEWER MAINLINE REPAIR LENGTH UP TO 20LF - DEPTH 6.1'- 8'</t>
  </si>
  <si>
    <t>SEWER MAINLINE REPAIR LENGTH UP TO 20LF - DEPTH 8.1'- 10'</t>
  </si>
  <si>
    <t>SEWER MAINLINE REPAIR LENGTH UP TO 20LF - DEPTH 10.1'- 12'</t>
  </si>
  <si>
    <t>SEWER MAINLINE REPAIR LENGTH UP TO 20LF - DEPTH OVER 12.1'</t>
  </si>
  <si>
    <t>1 1/4" HDPE - SDR-7*</t>
  </si>
  <si>
    <t>2" HDPE - SDR-7*</t>
  </si>
  <si>
    <t>3" HDPE - SDR-7*</t>
  </si>
  <si>
    <t>4" HDPE - SDR-7*</t>
  </si>
  <si>
    <t>6" HDPE - SDR-7*</t>
  </si>
  <si>
    <t>8" HDPE - SDR-11*</t>
  </si>
  <si>
    <t>FITTINGS FOR HDPE - SIZE 1 1/4" THRU 3" - ALL TYPES</t>
  </si>
  <si>
    <t>VALVE FOR HDPE - SIZE 1 1/4" THRU 3"  - ALL TYPES</t>
  </si>
  <si>
    <t>FITTINGS FOR HDPE - SIZE 4" - ALL TYPES</t>
  </si>
  <si>
    <t>VALVE FOR HDPE - SIZE 4" - ALL TYPES</t>
  </si>
  <si>
    <t>FITTINGS FOR HDPE - SIZE 6" - ALL TYPES</t>
  </si>
  <si>
    <t>VALVE FOR HDPE - SIZE 6" - ALL TYPES</t>
  </si>
  <si>
    <t>FITTINGS FOR HDPE - SIZE 8" - ALL TYPES</t>
  </si>
  <si>
    <t>VALVE FOR HDPE - SIZE 8" - ALL TYPES</t>
  </si>
  <si>
    <t>TYPE-A  M.H. 4' DIAMETER 0'- 3'</t>
  </si>
  <si>
    <t>TYPE-B  M.H. 4' DIAMETER 3'- 6'</t>
  </si>
  <si>
    <t>TYPE-E  M.H. 4' DIAMETER 6'- 8'</t>
  </si>
  <si>
    <t>ADDITIONAL DEPTH PER FOOT, TYPE E M.H.</t>
  </si>
  <si>
    <t>VF</t>
  </si>
  <si>
    <t>FURNISH &amp; INSTALL RELINER BRAND DROP BOWL COMP IN PLACE NEW OR REHAB - ALL TYPE MANHOLES</t>
  </si>
  <si>
    <t>TYPE-B  M.H. 6' DIAMETER 3'- 6'</t>
  </si>
  <si>
    <t>TYPE-E  M.H. 6' DIAMETER 6'- 8'</t>
  </si>
  <si>
    <t>RESHAPE MANHOLE INVERTS</t>
  </si>
  <si>
    <t>PUMP SEWAGE BETWEEN M.H.</t>
  </si>
  <si>
    <t>HR</t>
  </si>
  <si>
    <t>REMOVE &amp; REPLACE EXISTING M.H. RING &amp; COVER</t>
  </si>
  <si>
    <t>REPLACE M.H. CONES/FLATTOP W/ RING &amp; COVER 4' DIA .</t>
  </si>
  <si>
    <t>REPLACE M.H. CONES/FLATTOPS W/O RING &amp; COVER</t>
  </si>
  <si>
    <t>RECONSTRUCT M.H.-LESS BASE "A"  4' DIA. 0'-3'</t>
  </si>
  <si>
    <t>RECONSTRUCT M.H.-LESS BASE "A" 6' DIA. 0'-3'</t>
  </si>
  <si>
    <t>RECONSTRUCT M.H.-LESS BASE "B" 4' DIA. 3'-6'</t>
  </si>
  <si>
    <t>RECONSTRUCT M.H.-LESS BASE "B" 6' DIA. 3'-6'</t>
  </si>
  <si>
    <t xml:space="preserve">RECONSTRUCT M.H.-LESS BASE "E" 4' DIA. 6'-8' </t>
  </si>
  <si>
    <t>RECONSTRUCT M.H.-LESS BASE "E" 6' DIA. 6'-8'</t>
  </si>
  <si>
    <t xml:space="preserve">REMOVE OR ABANDON M.H. </t>
  </si>
  <si>
    <t>8" THRU 15" WET OR DRY CONN. NEW SEWER TO EXISTING M.H .</t>
  </si>
  <si>
    <t>18" THRU 24" WET OR DRY CONN. NEW SEWER TO EXISTING M.H.</t>
  </si>
  <si>
    <t>8"PVC PERFORATED SDR-35*</t>
  </si>
  <si>
    <t>12" RCP*</t>
  </si>
  <si>
    <t>12" SMOOTH INTERIOR POLYETHYLENE, ADS N-12*</t>
  </si>
  <si>
    <t>15" RCP*</t>
  </si>
  <si>
    <t>15" SMOOTH INTERIOR POLYETHYLENE, ADS N-12*</t>
  </si>
  <si>
    <t>18" RCP*</t>
  </si>
  <si>
    <t>18" SMOOTH INTERIOR POLYETHYLENE, ADS N-12*</t>
  </si>
  <si>
    <t>24" RCP*</t>
  </si>
  <si>
    <t>24" SMOOTH INTERIOR POLYETHYLENE, ADS N-12*</t>
  </si>
  <si>
    <t>30" RCP*</t>
  </si>
  <si>
    <t>30" SMOOTH INTERIOR POLYETHYLENE, ADS N-12*</t>
  </si>
  <si>
    <t>36" RCP*</t>
  </si>
  <si>
    <t>36" SMOOTH INTERIOR POLYETHYLENE, ADS N-12*</t>
  </si>
  <si>
    <t>48" RCP*</t>
  </si>
  <si>
    <t>48" SMOOTH INTERIOR POLYETHYLENE, ADS N-12*</t>
  </si>
  <si>
    <t>54" RCP *</t>
  </si>
  <si>
    <t>60" SMOOTH INTERIOR POLYETHYLENE, ADS N-12*</t>
  </si>
  <si>
    <t>INSTALL CITY FURNISHED PIPE ALL TYPES &lt;40" INSIDE DIA.*</t>
  </si>
  <si>
    <t>INSTALL CITY FURNISHED PIPE ALL TYPES &gt;40" INSIDE DIA.*</t>
  </si>
  <si>
    <t>CURB INLET-SINGLE OR  SINGLE SURF. INLET</t>
  </si>
  <si>
    <t>CURB INLET-DOUBLE OR DBL SURF. INLET</t>
  </si>
  <si>
    <t>FURNISH &amp; INSTALL NEW DROP INLET FRAME &amp; GRATE REMOVE EXISTING FRAME &amp; GRATE</t>
  </si>
  <si>
    <t>PUMP WATER FROM EXCAVATION</t>
  </si>
  <si>
    <t>SEWER/WATER ENCASEMENT, 4" THRU 18" PIPE</t>
  </si>
  <si>
    <t>SEWER/WATER ENCASEMENT,  20" THRU 36"</t>
  </si>
  <si>
    <t>CONCRETE PIPE COLLAR  16" DIA. OR SMALLER</t>
  </si>
  <si>
    <t>CONCRETE PIPE COLLAR  OVER 16" DIA.</t>
  </si>
  <si>
    <t xml:space="preserve">4" WATER MAIN DR-18  </t>
  </si>
  <si>
    <t>6" PVC WATER MAIN DR-18</t>
  </si>
  <si>
    <t>6" DIP WATER MAIN CLASS 350</t>
  </si>
  <si>
    <t>8" PVC WATER MAIN DR-18</t>
  </si>
  <si>
    <t>8" DIP WATER MAIN CLASS 350</t>
  </si>
  <si>
    <t>10" PVC WATER MAIN DR-18</t>
  </si>
  <si>
    <t>10" DIP WATER MAIN CLASS 350</t>
  </si>
  <si>
    <t>12" PVC WATER MAIN DR-18</t>
  </si>
  <si>
    <t>12" DIP WATER MAIN CLASS 350</t>
  </si>
  <si>
    <t>16" DIP WATER MAIN CLASS 300</t>
  </si>
  <si>
    <t>18" DIP WATER MAIN CLASS 300</t>
  </si>
  <si>
    <t>24" DIP WATER MAIN CLASS 300</t>
  </si>
  <si>
    <t>TRANSPORT &amp; INSTALL CITY FURNISHED 6" PVC WATER</t>
  </si>
  <si>
    <t>TRANSPORT &amp; INSTALL CITY FURNISHED 8" PVC WATER</t>
  </si>
  <si>
    <t>TRANSPORT &amp; INSTALL CITY FURNISHED 12" PVC WATER</t>
  </si>
  <si>
    <t>TRANSPORT &amp; INSTALL CITY FURNISHED 24" PVC WATER</t>
  </si>
  <si>
    <t>6" PVC WATER DR-18 (MATERIAL ONLY)</t>
  </si>
  <si>
    <t>8" PVC WATER DR-18 (MATERIAL ONLY)</t>
  </si>
  <si>
    <t>12" PVC WATER DR-18 (MATERIAL ONLY)</t>
  </si>
  <si>
    <t>6" WET TAP (SADDLE SIZE)</t>
  </si>
  <si>
    <t>8" WET TAP (SADDLE SIZE)</t>
  </si>
  <si>
    <t>10" WET TAP (SADDLE SIZE)</t>
  </si>
  <si>
    <t>12" WET TAP (SADDLE SIZE)</t>
  </si>
  <si>
    <t>16" WET TAP (SADDLE SIZE)</t>
  </si>
  <si>
    <t>18" WET TAP (SADDLE SIZE)</t>
  </si>
  <si>
    <t>24" WET TAP (SADDLE SIZE)</t>
  </si>
  <si>
    <t>30" WET TAP (SADDLE SIZE)</t>
  </si>
  <si>
    <t>4"  GATE  VALVE  W/ BOX</t>
  </si>
  <si>
    <t>6" GATE VALVE W/ BOX</t>
  </si>
  <si>
    <t>8" GATE VALVE W/ BOX</t>
  </si>
  <si>
    <t>10" GATE VALVE W/ BOX</t>
  </si>
  <si>
    <t>12" GATE VALVE  W/ BOX</t>
  </si>
  <si>
    <t>12" BUTTERFLY W/ BOX</t>
  </si>
  <si>
    <t>16" BUTTERFLY W/ BOX</t>
  </si>
  <si>
    <t>18" BUTTERFLY W/BOX</t>
  </si>
  <si>
    <t>24" BUTTERFLY W/ BOX</t>
  </si>
  <si>
    <t>REMOVE &amp; REPLACE VALVE BOX W/ COVER</t>
  </si>
  <si>
    <t xml:space="preserve">INSTALL CITY FURNISHED VALVE ALL SIZES &amp; TYPES </t>
  </si>
  <si>
    <t>IRON FITTINGS,  12" DIA. &amp; UNDER</t>
  </si>
  <si>
    <t>LB</t>
  </si>
  <si>
    <t>IRON FITTINGS, 14" DIA. &amp; UP</t>
  </si>
  <si>
    <t>4" DRESSER COUPLING</t>
  </si>
  <si>
    <t>4" MEGALUG (DUCTILE OR PVC)</t>
  </si>
  <si>
    <t>6" MEGALUG (DUCTILE OR PVC)</t>
  </si>
  <si>
    <t>8" MEGALUG (DUCTILE OR PVC)</t>
  </si>
  <si>
    <t>10" MEGALUG (DUCTILE OR PVC)</t>
  </si>
  <si>
    <t>12" MEGALUG (DUCTILE OR PVC)</t>
  </si>
  <si>
    <t>16" MEGALUG (DUCTILE OR PVC)</t>
  </si>
  <si>
    <t>18" MEGALUG (DUCTILE OR PVC)</t>
  </si>
  <si>
    <t>24" MEGALUG (DUCTILE OR PVC)</t>
  </si>
  <si>
    <t>30" MEGALUG (DUCTILE OR PVC)</t>
  </si>
  <si>
    <t>ADD'L LENGTH OF SERVICE PIPE FOR  5/8" &amp; 1" SERVICES</t>
  </si>
  <si>
    <t>ADD'L LENGTH OF SERVICE PIPE FOR 1-1/2" &amp; 2" SERVICE</t>
  </si>
  <si>
    <t xml:space="preserve">1" CORPORATION STOP WITH SADDLE </t>
  </si>
  <si>
    <t>1.5" CORPORATION STOP WITH SADDLE</t>
  </si>
  <si>
    <t xml:space="preserve">2" CORPORATION STOP WITH SADDLE </t>
  </si>
  <si>
    <t>PHYS. SEPARATE EXISTING WATERLINE TO CUT IN VALVE OR FITTING</t>
  </si>
  <si>
    <t>CONNECT NEW MAIN TO EXISTING WATERLINE STUBOUT</t>
  </si>
  <si>
    <t>RECONNECT EXISTING WATER SERVICE TO NEW MAIN LINE 0-10'</t>
  </si>
  <si>
    <t>REMOVE/DISPOSE/REPLACE METER CAN</t>
  </si>
  <si>
    <t>RECONNECT WATER SERVICE TO EXISTING SERVICE (ALL SIZES &amp; MATL TYPES)</t>
  </si>
  <si>
    <t>REMOVE &amp; REPLACE EXISTING FIRE HYDRANT</t>
  </si>
  <si>
    <t>AIR RELIEF VALVE ASSEMBLY INC. VAULT PER D-208</t>
  </si>
  <si>
    <t>AIR RELIEF VALVE ASSEMBLY INC. VAULT PER D-209</t>
  </si>
  <si>
    <t>6" P. R. V.  WITH 6" PIPE &amp; APPURTENANCES W/ 8' MANHOLE **</t>
  </si>
  <si>
    <t>8" P. R. V.  WITH 8" PIPE &amp; APPURTENANCES W/ 8' MANHOLE **</t>
  </si>
  <si>
    <t>10" P. R. V.  WITH 10" PIPE &amp; APPURTENANCES W/ 8' MANHOLE**</t>
  </si>
  <si>
    <t>12" P. R. V.  WITH 12" PIPE &amp; APPURTENANCES W/ 8' MANHOLE**</t>
  </si>
  <si>
    <t>6' X 6' X 8' PRE-CAST BOX HS-20 LOADING ALT. TO 8' MANHOLE**</t>
  </si>
  <si>
    <t>CY</t>
  </si>
  <si>
    <t>LOAD, HAUL &amp; DISPOSE UNSUITABLE MATERIAL 10 MILE FREE HAUL</t>
  </si>
  <si>
    <t>TON</t>
  </si>
  <si>
    <t>TRENCH STABILIZATION 3/4 " to 1" AGGREGATE</t>
  </si>
  <si>
    <t xml:space="preserve">TRENCH DEWATERING  </t>
  </si>
  <si>
    <t xml:space="preserve">2' STANDARD CURB &amp; GUTTER; REM., DISP. &amp; RPLCE  </t>
  </si>
  <si>
    <t>CURB &amp; GUTTER WITH REBAR</t>
  </si>
  <si>
    <t xml:space="preserve">4" CONC. SIDEWALK OR SLOPE PAVEMENT REM., DISP. &amp; RPLCE </t>
  </si>
  <si>
    <t>SY</t>
  </si>
  <si>
    <t>4" CONC. SIDWALK OR SLOPE PAVEMENT-COLRD &amp; STMPD-REM., DISP. &amp; RPLCE</t>
  </si>
  <si>
    <t xml:space="preserve"> 6" DRIVEPAD OR VALLEY GUTTER REM., DISP. &amp; RPLCE </t>
  </si>
  <si>
    <t>4" CONCRETE HANDICAP RAMP</t>
  </si>
  <si>
    <t>DETECTABLE WARNING DEVICE</t>
  </si>
  <si>
    <t>SUBGRADE PREP</t>
  </si>
  <si>
    <t>BASE COURSE - IN PLACE</t>
  </si>
  <si>
    <t>ADJUST MANHOLE TO GRADE</t>
  </si>
  <si>
    <t>ADJUST VALVE BOX TO GRADE</t>
  </si>
  <si>
    <t>ASPHALT REMOVAL &amp; DISPOSAL, 10 MILE FREE HAUL</t>
  </si>
  <si>
    <t>PULVERIZE EXISTING PAVEMENT 0" TO 6"</t>
  </si>
  <si>
    <t>PULVERIZE EXISTING PAVEMENT 6.1" TO 12"</t>
  </si>
  <si>
    <t>ASPHALT SURFACE COURSE RPLMT. 3" NOM.</t>
  </si>
  <si>
    <t>ADDITIONAL ASPHALT SURFACE COURSE RPLMT. 1" INC.</t>
  </si>
  <si>
    <t>HOT MIX TYPE B,  PG (58-28) IN PLACE</t>
  </si>
  <si>
    <t>HOT MIX TYPE B,  PAC 20  IN PLACE</t>
  </si>
  <si>
    <t>POLYMER COLD MIX IN PLACE</t>
  </si>
  <si>
    <t>REMOVE COLD MIX, REPLACE W/ HOT MIX</t>
  </si>
  <si>
    <t>ASPHALT UNDER 400 TONS WITH LAYDOWN</t>
  </si>
  <si>
    <t>ASPHALT PLANT NIGHT OPENING 5 P.M. TO 8 A.M.</t>
  </si>
  <si>
    <t>TEST PITS WITH TRAFFIC CONTROL - ARTERIAL STREETS</t>
  </si>
  <si>
    <t>TEST PITS WITH TRAFFIC CONTROL - COLLECTOR STREETS</t>
  </si>
  <si>
    <t>VACUUM EXTRACTION TEST PITS (0' TO 6') WITH TRAFFIC CONTROL - ARTERIAL STREETS</t>
  </si>
  <si>
    <t>VACUUM EXTRACTION TEST PITS (0' TO 6') WITH TRAFFIC CONTROL - COLLECTOR STREETS</t>
  </si>
  <si>
    <t>FURNISH &amp; INSTALL FILTER CLOTH</t>
  </si>
  <si>
    <t>FLOWABLE FILL</t>
  </si>
  <si>
    <t>STRUCTURAL CONCRETE  3 C.Y.  OR  LESS PER WORK ORDER</t>
  </si>
  <si>
    <t>STRUCTURAL CONCRETE  GREATER THAN 3 C.Y. PER WORK ORDER</t>
  </si>
  <si>
    <t>CONCRETE FOR FOOTERS AND FOUNDATION</t>
  </si>
  <si>
    <t>STEEL CASING, BORED &amp; JACKED PER LINEAR FOOT</t>
  </si>
  <si>
    <t>DIA-IN</t>
  </si>
  <si>
    <t>LOOSE RIPRAP IN PLACE INCLUDING  EXCAVATION</t>
  </si>
  <si>
    <t>WIRE ENCLOSED RIPRAP INCLUDING EXCAVATION</t>
  </si>
  <si>
    <t>GABION BASKET (3' X 3' X 6')  (GALV.) FILLED W/ 6" TO 9" (NOM. DIA.) ROCK</t>
  </si>
  <si>
    <t>INSTALL CITY FURNISHED CONDUIT, SINGLE IN TRENCH ALL TYPES &amp; SIZES</t>
  </si>
  <si>
    <t>INSTALL CITY FURNISHED CONDUIT, 4 OR LESS, ALL TYPES &amp; SIZES</t>
  </si>
  <si>
    <t>INSTALL CITY FURNISHED PULL BOXES ALL SIZES &amp; TYPES</t>
  </si>
  <si>
    <t xml:space="preserve">PROJECT SIGN (4FT BY 4FT) </t>
  </si>
  <si>
    <t>TRAFFIC CONTROL COLLECTOR STREETS</t>
  </si>
  <si>
    <t>DAY</t>
  </si>
  <si>
    <t>TRAFFIC CONTROL ARTERIAL STREETS (MAJOR &amp; MINOR)</t>
  </si>
  <si>
    <t>FLAGMAN</t>
  </si>
  <si>
    <t>DOZER RENTAL D-8 OR EQUAL W/ OP. FUEL &amp; OIL</t>
  </si>
  <si>
    <t>LOADER CAT 950 OR EQUAL W/ OP. FUEL &amp; OIL</t>
  </si>
  <si>
    <t>TRACK HOE RENTAL JD690 OR EQUAL W/ OP. FUEL &amp; OIL</t>
  </si>
  <si>
    <t>WELDER AND HELPER WITH EQUIPMENT</t>
  </si>
  <si>
    <t>NIGHT WORK ADD'L COMP. PER NIGHT 8PM TO 6AM</t>
  </si>
  <si>
    <t>MOB FOR JOBS COSTING &lt; $400, &gt; 1/2 MILE FROM JOB</t>
  </si>
  <si>
    <t xml:space="preserve">SILT FENCE </t>
  </si>
  <si>
    <t xml:space="preserve">STRAW BALES </t>
  </si>
  <si>
    <t xml:space="preserve">STRAW WATTLES  (9" DIA.) </t>
  </si>
  <si>
    <t>TESTING ALLOWANCE</t>
  </si>
  <si>
    <t>LS</t>
  </si>
  <si>
    <t>PORTABLE TOILET</t>
  </si>
  <si>
    <t>NOTE: UNLESS OTHERWISE INDICATED, ALL ITEMS INCLUDE ALL LABOR, EQUIPMENT AND MATERIALS NECESSARY TO PROPERLY FURNISH, INSTALL AND/OR COMPLETE THE WORK.</t>
  </si>
  <si>
    <t>ASTERISK (*) ITEMS THUS INDICATED DO NOT INCLUDE TRENCHING AND BACKFILL .  SEE TECHNICAL SPECIFICATIONS FOR FURTHER INFORMATION</t>
  </si>
  <si>
    <t>DOUBLE ASTERISK (**) ITEMS REFER TO STD DET. D-204 OF THE 2007 TECHNICAL SPECIFICATIONS.  PRESSURE REDUCING VALVE (PRV) SIZES REFER TO CLA-VALVE  STANDARD SIZES.  PIPE SIZES REFER TO STANDARD PIPE DIAMETERS FOR DUCTILE IRON PIPE.  THE AIR RELIEF VALVE AND 4 " PRESSURE RELIEF VALVE SHALL NOT CHANGE REGARDLESS OF PRV AND PIPE SIZES.  ITEM NO. 134,  6'X6'X8' CONCRETE BOX, SHALL BE PAID  IN ADDITION TO, AND SHALL BE USED IN SUBSTITUTION OF,  THE 8 FOOT DIAMETER MANHOLE SPECIFIED IN ITEMS  131,132, 133  IF SPECIFIED BY THE ENGINEER.</t>
  </si>
  <si>
    <t>24" PVC WATER MAIN C-905 DR-18</t>
  </si>
  <si>
    <t>30" BUTTERFLY W/ BOX</t>
  </si>
  <si>
    <t>16" PVC WATER MAIN C-905 DR-18</t>
  </si>
  <si>
    <t>18" PVC WATER MAIN C-905 DR-18</t>
  </si>
  <si>
    <t>30" PVC WATER MAIN C-905 DR-18</t>
  </si>
  <si>
    <t>THE SUM OF ____________________________________________________________________DOLLARS AND _____________________CENTS.</t>
  </si>
  <si>
    <t>REM., SEP. &amp; DISP. PIPE 8" OR SMALLER PIPE, FITTINGS , VALVES, ALL TYPES &amp; DEPTHS  (EXCLUDES A.C. PIPE)</t>
  </si>
  <si>
    <t>REM., SEP. &amp; DISP. PIPE 10" OR LARGER PIPE, FITTINGS , VALVES, ALL TYPES &amp; DEPTHS  (EXCLUDES A.C. PIPE)</t>
  </si>
  <si>
    <t>WATER SERVICE CONNECTION 5/8" D-220, INCLUDES TRENCH AND BACKFILL,TAP SADDLE, CORP STOP AND UP TO 25' PIPE, CURB STOP, METER CAN AND COPPER METER YOKE, TRACE WIRE</t>
  </si>
  <si>
    <t>WATER SERVICE CONNECTION 5/8" D-220, INCLUDES TRENCH AND BACKFILL,TAP SADDLE, CORP STOP AND UP TO 25' AQUAPEX "A" PIPE, CURB STOP AND  TRACE WIRE</t>
  </si>
  <si>
    <t>WATER SERVICE CONNECTION 1" D-221, INCLUDES TRENCH AND BACKFILL,TAP SADDLE, CORP STOP AND UP TO 25' PIPE, CURB STOP, METER CAN AND COPPER METER YOKE, TRACE WIRE</t>
  </si>
  <si>
    <t>WATER SERVICE CONNECTION 1" D-221, INCLUDES TRENCH AND BACKFILL,TAP SADDLE, CORP STOP AND UP TO 25' AQUAPEX "A" PIPE, CURB STOP AND  TRACE WIRE</t>
  </si>
  <si>
    <t>WATER SERVICE CONNECTION 1 1/2" D-222, INCLUDES TRENCH AND BACKFILL,TAP SADDLE, CORP STOP AND UP TO 25' PIPE, CURB STOP, METER CAN AND COPPER METER YOKE, TRACE WIRE</t>
  </si>
  <si>
    <t>WATER SERVICE CONNECTION 1 1/2" D-222, INCLUDES TRENCH AND BACKFILL,TAP SADDLE, CORP STOP AND UP TO 25' AQUAPEX "A" PIPE, CURB STOP AND  TRACE WIRE</t>
  </si>
  <si>
    <t>WATER SERVICE CONNECTION 2" D-223, INCLUDES TRENCH AND BACKFILL,TAP SADDLE, CORP STOP AND UP TO 25' PIPE, CURB STOP, METER CAN AND COPPER METER YOKE, TRACE WIRE</t>
  </si>
  <si>
    <t>WATER SERVICE CONNECTION 2" D-223, INCLUDES TRENCH AND BACKFILL,TAP SADDLE, CORP STOP AND UP TO 25' AQUAPEX "A" PIPE, CURB STOP AND  TRACE WIRE</t>
  </si>
  <si>
    <t>FIRE HYDRANT (4', 5' OR 6')</t>
  </si>
  <si>
    <t>FIRE HYDRANT - 8" BARREL W/  2 - 4" STEAMER</t>
  </si>
  <si>
    <t>BLOW OFF VALVE ASSEMBLY, INC.- VALVE , FITTINGS , MEG-A-LUGS, STEEL PIPE, SPLASH PAD, TRENCH AND BACKFILL AND TRACE WIRE PER D-206</t>
  </si>
  <si>
    <t xml:space="preserve">PIPE BEDDING MATERIAL OR SELECT BACKFILL FOR PIPE TRENCH </t>
  </si>
  <si>
    <t>TEST PITS ON NON-ARTERIAL OR COLLECTOR STREETS</t>
  </si>
  <si>
    <r>
      <t xml:space="preserve">ROCK EXCAVATION, </t>
    </r>
    <r>
      <rPr>
        <u/>
        <sz val="14"/>
        <rFont val="Arial"/>
        <family val="2"/>
      </rPr>
      <t>PNEUMATIC</t>
    </r>
    <r>
      <rPr>
        <sz val="14"/>
        <rFont val="Arial"/>
        <family val="2"/>
      </rPr>
      <t xml:space="preserve"> EQUIPMENT</t>
    </r>
  </si>
  <si>
    <r>
      <t xml:space="preserve">ROCK EXCAVATION, </t>
    </r>
    <r>
      <rPr>
        <u/>
        <sz val="14"/>
        <rFont val="Arial"/>
        <family val="2"/>
      </rPr>
      <t>HYDRAULIC</t>
    </r>
    <r>
      <rPr>
        <sz val="14"/>
        <rFont val="Arial"/>
        <family val="2"/>
      </rPr>
      <t xml:space="preserve"> EQUIPMENT</t>
    </r>
  </si>
  <si>
    <r>
      <t xml:space="preserve">ASPHALT UNDER 400 TONS </t>
    </r>
    <r>
      <rPr>
        <u/>
        <sz val="14"/>
        <rFont val="Arial"/>
        <family val="2"/>
      </rPr>
      <t>WITHOUT</t>
    </r>
    <r>
      <rPr>
        <sz val="14"/>
        <rFont val="Arial"/>
        <family val="2"/>
      </rPr>
      <t xml:space="preserve"> LAYDOWN</t>
    </r>
  </si>
  <si>
    <t>NATIVE GRASS SEEDING</t>
  </si>
  <si>
    <t>ACRE</t>
  </si>
  <si>
    <t>TOTAL OF BASE BID ITEMS 1-251:</t>
  </si>
  <si>
    <t xml:space="preserve">TOTAL OF ITEMS 1 THROUGH 251 INCLUSIVE IN WORDS:  </t>
  </si>
</sst>
</file>

<file path=xl/styles.xml><?xml version="1.0" encoding="utf-8"?>
<styleSheet xmlns="http://schemas.openxmlformats.org/spreadsheetml/2006/main">
  <numFmts count="2">
    <numFmt numFmtId="44" formatCode="_(&quot;$&quot;* #,##0.00_);_(&quot;$&quot;* \(#,##0.00\);_(&quot;$&quot;* &quot;-&quot;??_);_(@_)"/>
    <numFmt numFmtId="164" formatCode="&quot;$&quot;#,##0.00"/>
  </numFmts>
  <fonts count="10">
    <font>
      <sz val="11"/>
      <color theme="1"/>
      <name val="Calibri"/>
      <family val="2"/>
      <scheme val="minor"/>
    </font>
    <font>
      <sz val="11"/>
      <color theme="1"/>
      <name val="Calibri"/>
      <family val="2"/>
      <scheme val="minor"/>
    </font>
    <font>
      <sz val="12"/>
      <name val="Arial"/>
      <family val="2"/>
    </font>
    <font>
      <b/>
      <sz val="14"/>
      <name val="Arial"/>
      <family val="2"/>
    </font>
    <font>
      <sz val="14"/>
      <name val="Arial"/>
      <family val="2"/>
    </font>
    <font>
      <sz val="16"/>
      <name val="Arial"/>
      <family val="2"/>
    </font>
    <font>
      <sz val="18"/>
      <name val="Calibri"/>
      <family val="2"/>
      <scheme val="minor"/>
    </font>
    <font>
      <sz val="18"/>
      <name val="Arial"/>
      <family val="2"/>
    </font>
    <font>
      <u/>
      <sz val="14"/>
      <name val="Arial"/>
      <family val="2"/>
    </font>
    <font>
      <sz val="14"/>
      <name val="Calibri"/>
      <family val="2"/>
      <scheme val="minor"/>
    </font>
  </fonts>
  <fills count="3">
    <fill>
      <patternFill patternType="none"/>
    </fill>
    <fill>
      <patternFill patternType="gray125"/>
    </fill>
    <fill>
      <patternFill patternType="solid">
        <fgColor indexed="9"/>
        <bgColor indexed="9"/>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48">
    <xf numFmtId="0" fontId="0" fillId="0" borderId="0" xfId="0"/>
    <xf numFmtId="0" fontId="2" fillId="0" borderId="0" xfId="0" applyFont="1" applyFill="1"/>
    <xf numFmtId="0" fontId="4" fillId="0" borderId="1" xfId="0" applyFont="1" applyFill="1" applyBorder="1" applyAlignment="1" applyProtection="1">
      <alignment horizontal="center"/>
    </xf>
    <xf numFmtId="0" fontId="4" fillId="0" borderId="1" xfId="0" applyFont="1" applyFill="1" applyBorder="1" applyAlignment="1" applyProtection="1"/>
    <xf numFmtId="0" fontId="4" fillId="0" borderId="1" xfId="0" applyFont="1" applyFill="1" applyBorder="1" applyAlignment="1">
      <alignment horizontal="center"/>
    </xf>
    <xf numFmtId="0" fontId="4" fillId="0" borderId="0" xfId="0" applyFont="1" applyFill="1" applyBorder="1"/>
    <xf numFmtId="0" fontId="4" fillId="0" borderId="0" xfId="0" applyFont="1" applyFill="1"/>
    <xf numFmtId="0" fontId="2" fillId="0" borderId="0" xfId="0" applyFont="1" applyFill="1" applyBorder="1"/>
    <xf numFmtId="0" fontId="2" fillId="0" borderId="0" xfId="0" applyFont="1" applyFill="1" applyAlignment="1">
      <alignment wrapText="1"/>
    </xf>
    <xf numFmtId="0" fontId="4" fillId="0" borderId="0" xfId="0" applyFont="1" applyFill="1" applyBorder="1" applyAlignment="1">
      <alignment horizontal="left" vertical="top"/>
    </xf>
    <xf numFmtId="0" fontId="3" fillId="0" borderId="0" xfId="0" applyFont="1" applyFill="1" applyAlignment="1">
      <alignment horizontal="center" vertical="center"/>
    </xf>
    <xf numFmtId="0" fontId="3" fillId="0" borderId="0" xfId="0" applyFont="1" applyFill="1"/>
    <xf numFmtId="0" fontId="3" fillId="0" borderId="0" xfId="0" applyFont="1" applyFill="1" applyAlignment="1">
      <alignment horizontal="center"/>
    </xf>
    <xf numFmtId="164" fontId="3" fillId="0" borderId="0" xfId="0" applyNumberFormat="1" applyFont="1" applyFill="1" applyBorder="1" applyAlignment="1">
      <alignment horizontal="right"/>
    </xf>
    <xf numFmtId="0" fontId="0" fillId="0" borderId="0" xfId="0" applyFill="1"/>
    <xf numFmtId="164" fontId="3" fillId="0" borderId="0" xfId="0" applyNumberFormat="1" applyFont="1" applyFill="1" applyAlignment="1">
      <alignment horizontal="right"/>
    </xf>
    <xf numFmtId="44" fontId="6" fillId="0" borderId="1" xfId="1" applyFont="1" applyFill="1" applyBorder="1" applyAlignment="1" applyProtection="1">
      <alignment horizontal="center"/>
      <protection locked="0"/>
    </xf>
    <xf numFmtId="164" fontId="6" fillId="0" borderId="1" xfId="1" applyNumberFormat="1" applyFont="1" applyFill="1" applyBorder="1" applyAlignment="1" applyProtection="1">
      <alignment horizontal="center"/>
    </xf>
    <xf numFmtId="44" fontId="6" fillId="0" borderId="1" xfId="1" applyFont="1" applyFill="1" applyBorder="1" applyAlignment="1" applyProtection="1">
      <alignment horizontal="center" wrapText="1"/>
      <protection locked="0"/>
    </xf>
    <xf numFmtId="0" fontId="2" fillId="0" borderId="0" xfId="0" applyFont="1" applyFill="1" applyBorder="1" applyAlignment="1">
      <alignment wrapText="1"/>
    </xf>
    <xf numFmtId="0" fontId="0" fillId="2" borderId="0" xfId="0" applyFill="1"/>
    <xf numFmtId="0" fontId="0" fillId="2" borderId="0" xfId="0" applyFill="1" applyBorder="1"/>
    <xf numFmtId="0" fontId="2" fillId="2" borderId="0" xfId="0" applyFont="1" applyFill="1" applyBorder="1" applyAlignment="1"/>
    <xf numFmtId="0" fontId="3" fillId="2" borderId="0" xfId="0" applyFont="1" applyFill="1"/>
    <xf numFmtId="0" fontId="4" fillId="0" borderId="3" xfId="0" applyFont="1" applyFill="1" applyBorder="1" applyAlignment="1">
      <alignment horizontal="center"/>
    </xf>
    <xf numFmtId="0" fontId="4" fillId="0" borderId="2" xfId="0" applyFont="1" applyFill="1" applyBorder="1" applyAlignment="1">
      <alignment horizontal="center" vertical="center"/>
    </xf>
    <xf numFmtId="0" fontId="4" fillId="0" borderId="2" xfId="0" applyFont="1" applyFill="1" applyBorder="1" applyAlignment="1">
      <alignment horizontal="center"/>
    </xf>
    <xf numFmtId="0" fontId="4" fillId="0" borderId="1" xfId="0" applyFont="1" applyFill="1" applyBorder="1" applyAlignment="1">
      <alignment horizontal="center" wrapText="1"/>
    </xf>
    <xf numFmtId="0" fontId="4" fillId="2" borderId="2" xfId="0" applyFont="1" applyFill="1" applyBorder="1" applyAlignment="1">
      <alignment horizontal="center" vertical="center"/>
    </xf>
    <xf numFmtId="44" fontId="9" fillId="0" borderId="1" xfId="1" applyFont="1" applyFill="1" applyBorder="1" applyAlignment="1" applyProtection="1">
      <alignment horizontal="center"/>
      <protection locked="0"/>
    </xf>
    <xf numFmtId="164" fontId="7" fillId="0" borderId="1" xfId="0" applyNumberFormat="1" applyFont="1" applyFill="1" applyBorder="1" applyAlignment="1" applyProtection="1">
      <alignment horizontal="right"/>
    </xf>
    <xf numFmtId="0" fontId="4" fillId="0" borderId="2" xfId="0" applyFont="1" applyFill="1" applyBorder="1" applyAlignment="1" applyProtection="1">
      <alignment vertical="center"/>
    </xf>
    <xf numFmtId="0" fontId="4" fillId="0" borderId="1" xfId="0" applyFont="1" applyFill="1" applyBorder="1" applyAlignment="1" applyProtection="1">
      <alignment vertical="center"/>
    </xf>
    <xf numFmtId="0" fontId="4" fillId="0" borderId="3" xfId="0" applyFont="1" applyFill="1" applyBorder="1" applyAlignment="1" applyProtection="1">
      <alignment vertical="center" wrapText="1"/>
    </xf>
    <xf numFmtId="0" fontId="4" fillId="0" borderId="1" xfId="0" applyFont="1" applyFill="1" applyBorder="1" applyAlignment="1" applyProtection="1">
      <alignment vertical="center" wrapText="1"/>
    </xf>
    <xf numFmtId="0" fontId="4" fillId="0" borderId="1" xfId="0" applyFont="1" applyFill="1" applyBorder="1" applyAlignment="1" applyProtection="1">
      <alignment horizontal="left" vertical="center" wrapText="1"/>
    </xf>
    <xf numFmtId="0" fontId="4" fillId="0" borderId="4" xfId="0" applyFont="1" applyFill="1" applyBorder="1" applyAlignment="1" applyProtection="1">
      <alignment vertical="center" wrapText="1"/>
    </xf>
    <xf numFmtId="0" fontId="2" fillId="2" borderId="0" xfId="0" applyFont="1" applyFill="1" applyBorder="1" applyAlignment="1">
      <alignment horizontal="left" wrapText="1"/>
    </xf>
    <xf numFmtId="0" fontId="2" fillId="2" borderId="0" xfId="0" applyFont="1" applyFill="1" applyBorder="1" applyAlignment="1">
      <alignment wrapText="1"/>
    </xf>
    <xf numFmtId="0" fontId="5" fillId="0" borderId="5" xfId="0" applyFont="1" applyFill="1" applyBorder="1" applyAlignment="1">
      <alignment horizontal="right"/>
    </xf>
    <xf numFmtId="0" fontId="0" fillId="0" borderId="6" xfId="0" applyFill="1" applyBorder="1" applyAlignment="1"/>
    <xf numFmtId="0" fontId="0" fillId="0" borderId="7" xfId="0" applyFill="1" applyBorder="1" applyAlignment="1"/>
    <xf numFmtId="0" fontId="4" fillId="0" borderId="0" xfId="0" applyFont="1" applyFill="1" applyBorder="1" applyAlignment="1">
      <alignment horizontal="left"/>
    </xf>
    <xf numFmtId="0" fontId="4" fillId="0" borderId="0" xfId="0" applyFont="1" applyFill="1" applyBorder="1" applyAlignment="1" applyProtection="1">
      <alignment horizontal="left" vertical="center"/>
      <protection locked="0"/>
    </xf>
    <xf numFmtId="0" fontId="4" fillId="0" borderId="0" xfId="0" applyFont="1" applyFill="1" applyBorder="1" applyAlignment="1" applyProtection="1">
      <alignment horizontal="left"/>
      <protection locked="0"/>
    </xf>
    <xf numFmtId="0" fontId="2" fillId="2" borderId="0" xfId="0" applyFont="1" applyFill="1" applyBorder="1" applyAlignment="1">
      <alignment horizontal="left" vertical="top" wrapText="1"/>
    </xf>
    <xf numFmtId="0" fontId="2" fillId="2" borderId="0" xfId="0" applyFont="1" applyFill="1" applyBorder="1" applyAlignment="1"/>
    <xf numFmtId="4" fontId="6" fillId="0" borderId="1" xfId="0" applyNumberFormat="1" applyFont="1" applyFill="1" applyBorder="1" applyAlignment="1" applyProtection="1">
      <alignment horizontal="right"/>
      <protection locked="0"/>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N278"/>
  <sheetViews>
    <sheetView tabSelected="1" view="pageLayout" zoomScaleNormal="100" workbookViewId="0">
      <selection activeCell="E2" sqref="E2:E252"/>
    </sheetView>
  </sheetViews>
  <sheetFormatPr defaultRowHeight="18"/>
  <cols>
    <col min="1" max="1" width="9.7109375" style="10" customWidth="1"/>
    <col min="2" max="2" width="100.28515625" style="11" customWidth="1"/>
    <col min="3" max="3" width="9.7109375" style="10" customWidth="1"/>
    <col min="4" max="4" width="9.7109375" style="11" customWidth="1"/>
    <col min="5" max="5" width="32.5703125" style="12" customWidth="1"/>
    <col min="6" max="6" width="43.5703125" style="15" customWidth="1"/>
    <col min="7" max="256" width="9.140625" style="14"/>
    <col min="257" max="257" width="9.7109375" style="14" customWidth="1"/>
    <col min="258" max="258" width="89.28515625" style="14" customWidth="1"/>
    <col min="259" max="260" width="9.7109375" style="14" customWidth="1"/>
    <col min="261" max="261" width="32.5703125" style="14" customWidth="1"/>
    <col min="262" max="262" width="37.85546875" style="14" customWidth="1"/>
    <col min="263" max="512" width="9.140625" style="14"/>
    <col min="513" max="513" width="9.7109375" style="14" customWidth="1"/>
    <col min="514" max="514" width="89.28515625" style="14" customWidth="1"/>
    <col min="515" max="516" width="9.7109375" style="14" customWidth="1"/>
    <col min="517" max="517" width="32.5703125" style="14" customWidth="1"/>
    <col min="518" max="518" width="37.85546875" style="14" customWidth="1"/>
    <col min="519" max="768" width="9.140625" style="14"/>
    <col min="769" max="769" width="9.7109375" style="14" customWidth="1"/>
    <col min="770" max="770" width="89.28515625" style="14" customWidth="1"/>
    <col min="771" max="772" width="9.7109375" style="14" customWidth="1"/>
    <col min="773" max="773" width="32.5703125" style="14" customWidth="1"/>
    <col min="774" max="774" width="37.85546875" style="14" customWidth="1"/>
    <col min="775" max="1024" width="9.140625" style="14"/>
    <col min="1025" max="1025" width="9.7109375" style="14" customWidth="1"/>
    <col min="1026" max="1026" width="89.28515625" style="14" customWidth="1"/>
    <col min="1027" max="1028" width="9.7109375" style="14" customWidth="1"/>
    <col min="1029" max="1029" width="32.5703125" style="14" customWidth="1"/>
    <col min="1030" max="1030" width="37.85546875" style="14" customWidth="1"/>
    <col min="1031" max="1280" width="9.140625" style="14"/>
    <col min="1281" max="1281" width="9.7109375" style="14" customWidth="1"/>
    <col min="1282" max="1282" width="89.28515625" style="14" customWidth="1"/>
    <col min="1283" max="1284" width="9.7109375" style="14" customWidth="1"/>
    <col min="1285" max="1285" width="32.5703125" style="14" customWidth="1"/>
    <col min="1286" max="1286" width="37.85546875" style="14" customWidth="1"/>
    <col min="1287" max="1536" width="9.140625" style="14"/>
    <col min="1537" max="1537" width="9.7109375" style="14" customWidth="1"/>
    <col min="1538" max="1538" width="89.28515625" style="14" customWidth="1"/>
    <col min="1539" max="1540" width="9.7109375" style="14" customWidth="1"/>
    <col min="1541" max="1541" width="32.5703125" style="14" customWidth="1"/>
    <col min="1542" max="1542" width="37.85546875" style="14" customWidth="1"/>
    <col min="1543" max="1792" width="9.140625" style="14"/>
    <col min="1793" max="1793" width="9.7109375" style="14" customWidth="1"/>
    <col min="1794" max="1794" width="89.28515625" style="14" customWidth="1"/>
    <col min="1795" max="1796" width="9.7109375" style="14" customWidth="1"/>
    <col min="1797" max="1797" width="32.5703125" style="14" customWidth="1"/>
    <col min="1798" max="1798" width="37.85546875" style="14" customWidth="1"/>
    <col min="1799" max="2048" width="9.140625" style="14"/>
    <col min="2049" max="2049" width="9.7109375" style="14" customWidth="1"/>
    <col min="2050" max="2050" width="89.28515625" style="14" customWidth="1"/>
    <col min="2051" max="2052" width="9.7109375" style="14" customWidth="1"/>
    <col min="2053" max="2053" width="32.5703125" style="14" customWidth="1"/>
    <col min="2054" max="2054" width="37.85546875" style="14" customWidth="1"/>
    <col min="2055" max="2304" width="9.140625" style="14"/>
    <col min="2305" max="2305" width="9.7109375" style="14" customWidth="1"/>
    <col min="2306" max="2306" width="89.28515625" style="14" customWidth="1"/>
    <col min="2307" max="2308" width="9.7109375" style="14" customWidth="1"/>
    <col min="2309" max="2309" width="32.5703125" style="14" customWidth="1"/>
    <col min="2310" max="2310" width="37.85546875" style="14" customWidth="1"/>
    <col min="2311" max="2560" width="9.140625" style="14"/>
    <col min="2561" max="2561" width="9.7109375" style="14" customWidth="1"/>
    <col min="2562" max="2562" width="89.28515625" style="14" customWidth="1"/>
    <col min="2563" max="2564" width="9.7109375" style="14" customWidth="1"/>
    <col min="2565" max="2565" width="32.5703125" style="14" customWidth="1"/>
    <col min="2566" max="2566" width="37.85546875" style="14" customWidth="1"/>
    <col min="2567" max="2816" width="9.140625" style="14"/>
    <col min="2817" max="2817" width="9.7109375" style="14" customWidth="1"/>
    <col min="2818" max="2818" width="89.28515625" style="14" customWidth="1"/>
    <col min="2819" max="2820" width="9.7109375" style="14" customWidth="1"/>
    <col min="2821" max="2821" width="32.5703125" style="14" customWidth="1"/>
    <col min="2822" max="2822" width="37.85546875" style="14" customWidth="1"/>
    <col min="2823" max="3072" width="9.140625" style="14"/>
    <col min="3073" max="3073" width="9.7109375" style="14" customWidth="1"/>
    <col min="3074" max="3074" width="89.28515625" style="14" customWidth="1"/>
    <col min="3075" max="3076" width="9.7109375" style="14" customWidth="1"/>
    <col min="3077" max="3077" width="32.5703125" style="14" customWidth="1"/>
    <col min="3078" max="3078" width="37.85546875" style="14" customWidth="1"/>
    <col min="3079" max="3328" width="9.140625" style="14"/>
    <col min="3329" max="3329" width="9.7109375" style="14" customWidth="1"/>
    <col min="3330" max="3330" width="89.28515625" style="14" customWidth="1"/>
    <col min="3331" max="3332" width="9.7109375" style="14" customWidth="1"/>
    <col min="3333" max="3333" width="32.5703125" style="14" customWidth="1"/>
    <col min="3334" max="3334" width="37.85546875" style="14" customWidth="1"/>
    <col min="3335" max="3584" width="9.140625" style="14"/>
    <col min="3585" max="3585" width="9.7109375" style="14" customWidth="1"/>
    <col min="3586" max="3586" width="89.28515625" style="14" customWidth="1"/>
    <col min="3587" max="3588" width="9.7109375" style="14" customWidth="1"/>
    <col min="3589" max="3589" width="32.5703125" style="14" customWidth="1"/>
    <col min="3590" max="3590" width="37.85546875" style="14" customWidth="1"/>
    <col min="3591" max="3840" width="9.140625" style="14"/>
    <col min="3841" max="3841" width="9.7109375" style="14" customWidth="1"/>
    <col min="3842" max="3842" width="89.28515625" style="14" customWidth="1"/>
    <col min="3843" max="3844" width="9.7109375" style="14" customWidth="1"/>
    <col min="3845" max="3845" width="32.5703125" style="14" customWidth="1"/>
    <col min="3846" max="3846" width="37.85546875" style="14" customWidth="1"/>
    <col min="3847" max="4096" width="9.140625" style="14"/>
    <col min="4097" max="4097" width="9.7109375" style="14" customWidth="1"/>
    <col min="4098" max="4098" width="89.28515625" style="14" customWidth="1"/>
    <col min="4099" max="4100" width="9.7109375" style="14" customWidth="1"/>
    <col min="4101" max="4101" width="32.5703125" style="14" customWidth="1"/>
    <col min="4102" max="4102" width="37.85546875" style="14" customWidth="1"/>
    <col min="4103" max="4352" width="9.140625" style="14"/>
    <col min="4353" max="4353" width="9.7109375" style="14" customWidth="1"/>
    <col min="4354" max="4354" width="89.28515625" style="14" customWidth="1"/>
    <col min="4355" max="4356" width="9.7109375" style="14" customWidth="1"/>
    <col min="4357" max="4357" width="32.5703125" style="14" customWidth="1"/>
    <col min="4358" max="4358" width="37.85546875" style="14" customWidth="1"/>
    <col min="4359" max="4608" width="9.140625" style="14"/>
    <col min="4609" max="4609" width="9.7109375" style="14" customWidth="1"/>
    <col min="4610" max="4610" width="89.28515625" style="14" customWidth="1"/>
    <col min="4611" max="4612" width="9.7109375" style="14" customWidth="1"/>
    <col min="4613" max="4613" width="32.5703125" style="14" customWidth="1"/>
    <col min="4614" max="4614" width="37.85546875" style="14" customWidth="1"/>
    <col min="4615" max="4864" width="9.140625" style="14"/>
    <col min="4865" max="4865" width="9.7109375" style="14" customWidth="1"/>
    <col min="4866" max="4866" width="89.28515625" style="14" customWidth="1"/>
    <col min="4867" max="4868" width="9.7109375" style="14" customWidth="1"/>
    <col min="4869" max="4869" width="32.5703125" style="14" customWidth="1"/>
    <col min="4870" max="4870" width="37.85546875" style="14" customWidth="1"/>
    <col min="4871" max="5120" width="9.140625" style="14"/>
    <col min="5121" max="5121" width="9.7109375" style="14" customWidth="1"/>
    <col min="5122" max="5122" width="89.28515625" style="14" customWidth="1"/>
    <col min="5123" max="5124" width="9.7109375" style="14" customWidth="1"/>
    <col min="5125" max="5125" width="32.5703125" style="14" customWidth="1"/>
    <col min="5126" max="5126" width="37.85546875" style="14" customWidth="1"/>
    <col min="5127" max="5376" width="9.140625" style="14"/>
    <col min="5377" max="5377" width="9.7109375" style="14" customWidth="1"/>
    <col min="5378" max="5378" width="89.28515625" style="14" customWidth="1"/>
    <col min="5379" max="5380" width="9.7109375" style="14" customWidth="1"/>
    <col min="5381" max="5381" width="32.5703125" style="14" customWidth="1"/>
    <col min="5382" max="5382" width="37.85546875" style="14" customWidth="1"/>
    <col min="5383" max="5632" width="9.140625" style="14"/>
    <col min="5633" max="5633" width="9.7109375" style="14" customWidth="1"/>
    <col min="5634" max="5634" width="89.28515625" style="14" customWidth="1"/>
    <col min="5635" max="5636" width="9.7109375" style="14" customWidth="1"/>
    <col min="5637" max="5637" width="32.5703125" style="14" customWidth="1"/>
    <col min="5638" max="5638" width="37.85546875" style="14" customWidth="1"/>
    <col min="5639" max="5888" width="9.140625" style="14"/>
    <col min="5889" max="5889" width="9.7109375" style="14" customWidth="1"/>
    <col min="5890" max="5890" width="89.28515625" style="14" customWidth="1"/>
    <col min="5891" max="5892" width="9.7109375" style="14" customWidth="1"/>
    <col min="5893" max="5893" width="32.5703125" style="14" customWidth="1"/>
    <col min="5894" max="5894" width="37.85546875" style="14" customWidth="1"/>
    <col min="5895" max="6144" width="9.140625" style="14"/>
    <col min="6145" max="6145" width="9.7109375" style="14" customWidth="1"/>
    <col min="6146" max="6146" width="89.28515625" style="14" customWidth="1"/>
    <col min="6147" max="6148" width="9.7109375" style="14" customWidth="1"/>
    <col min="6149" max="6149" width="32.5703125" style="14" customWidth="1"/>
    <col min="6150" max="6150" width="37.85546875" style="14" customWidth="1"/>
    <col min="6151" max="6400" width="9.140625" style="14"/>
    <col min="6401" max="6401" width="9.7109375" style="14" customWidth="1"/>
    <col min="6402" max="6402" width="89.28515625" style="14" customWidth="1"/>
    <col min="6403" max="6404" width="9.7109375" style="14" customWidth="1"/>
    <col min="6405" max="6405" width="32.5703125" style="14" customWidth="1"/>
    <col min="6406" max="6406" width="37.85546875" style="14" customWidth="1"/>
    <col min="6407" max="6656" width="9.140625" style="14"/>
    <col min="6657" max="6657" width="9.7109375" style="14" customWidth="1"/>
    <col min="6658" max="6658" width="89.28515625" style="14" customWidth="1"/>
    <col min="6659" max="6660" width="9.7109375" style="14" customWidth="1"/>
    <col min="6661" max="6661" width="32.5703125" style="14" customWidth="1"/>
    <col min="6662" max="6662" width="37.85546875" style="14" customWidth="1"/>
    <col min="6663" max="6912" width="9.140625" style="14"/>
    <col min="6913" max="6913" width="9.7109375" style="14" customWidth="1"/>
    <col min="6914" max="6914" width="89.28515625" style="14" customWidth="1"/>
    <col min="6915" max="6916" width="9.7109375" style="14" customWidth="1"/>
    <col min="6917" max="6917" width="32.5703125" style="14" customWidth="1"/>
    <col min="6918" max="6918" width="37.85546875" style="14" customWidth="1"/>
    <col min="6919" max="7168" width="9.140625" style="14"/>
    <col min="7169" max="7169" width="9.7109375" style="14" customWidth="1"/>
    <col min="7170" max="7170" width="89.28515625" style="14" customWidth="1"/>
    <col min="7171" max="7172" width="9.7109375" style="14" customWidth="1"/>
    <col min="7173" max="7173" width="32.5703125" style="14" customWidth="1"/>
    <col min="7174" max="7174" width="37.85546875" style="14" customWidth="1"/>
    <col min="7175" max="7424" width="9.140625" style="14"/>
    <col min="7425" max="7425" width="9.7109375" style="14" customWidth="1"/>
    <col min="7426" max="7426" width="89.28515625" style="14" customWidth="1"/>
    <col min="7427" max="7428" width="9.7109375" style="14" customWidth="1"/>
    <col min="7429" max="7429" width="32.5703125" style="14" customWidth="1"/>
    <col min="7430" max="7430" width="37.85546875" style="14" customWidth="1"/>
    <col min="7431" max="7680" width="9.140625" style="14"/>
    <col min="7681" max="7681" width="9.7109375" style="14" customWidth="1"/>
    <col min="7682" max="7682" width="89.28515625" style="14" customWidth="1"/>
    <col min="7683" max="7684" width="9.7109375" style="14" customWidth="1"/>
    <col min="7685" max="7685" width="32.5703125" style="14" customWidth="1"/>
    <col min="7686" max="7686" width="37.85546875" style="14" customWidth="1"/>
    <col min="7687" max="7936" width="9.140625" style="14"/>
    <col min="7937" max="7937" width="9.7109375" style="14" customWidth="1"/>
    <col min="7938" max="7938" width="89.28515625" style="14" customWidth="1"/>
    <col min="7939" max="7940" width="9.7109375" style="14" customWidth="1"/>
    <col min="7941" max="7941" width="32.5703125" style="14" customWidth="1"/>
    <col min="7942" max="7942" width="37.85546875" style="14" customWidth="1"/>
    <col min="7943" max="8192" width="9.140625" style="14"/>
    <col min="8193" max="8193" width="9.7109375" style="14" customWidth="1"/>
    <col min="8194" max="8194" width="89.28515625" style="14" customWidth="1"/>
    <col min="8195" max="8196" width="9.7109375" style="14" customWidth="1"/>
    <col min="8197" max="8197" width="32.5703125" style="14" customWidth="1"/>
    <col min="8198" max="8198" width="37.85546875" style="14" customWidth="1"/>
    <col min="8199" max="8448" width="9.140625" style="14"/>
    <col min="8449" max="8449" width="9.7109375" style="14" customWidth="1"/>
    <col min="8450" max="8450" width="89.28515625" style="14" customWidth="1"/>
    <col min="8451" max="8452" width="9.7109375" style="14" customWidth="1"/>
    <col min="8453" max="8453" width="32.5703125" style="14" customWidth="1"/>
    <col min="8454" max="8454" width="37.85546875" style="14" customWidth="1"/>
    <col min="8455" max="8704" width="9.140625" style="14"/>
    <col min="8705" max="8705" width="9.7109375" style="14" customWidth="1"/>
    <col min="8706" max="8706" width="89.28515625" style="14" customWidth="1"/>
    <col min="8707" max="8708" width="9.7109375" style="14" customWidth="1"/>
    <col min="8709" max="8709" width="32.5703125" style="14" customWidth="1"/>
    <col min="8710" max="8710" width="37.85546875" style="14" customWidth="1"/>
    <col min="8711" max="8960" width="9.140625" style="14"/>
    <col min="8961" max="8961" width="9.7109375" style="14" customWidth="1"/>
    <col min="8962" max="8962" width="89.28515625" style="14" customWidth="1"/>
    <col min="8963" max="8964" width="9.7109375" style="14" customWidth="1"/>
    <col min="8965" max="8965" width="32.5703125" style="14" customWidth="1"/>
    <col min="8966" max="8966" width="37.85546875" style="14" customWidth="1"/>
    <col min="8967" max="9216" width="9.140625" style="14"/>
    <col min="9217" max="9217" width="9.7109375" style="14" customWidth="1"/>
    <col min="9218" max="9218" width="89.28515625" style="14" customWidth="1"/>
    <col min="9219" max="9220" width="9.7109375" style="14" customWidth="1"/>
    <col min="9221" max="9221" width="32.5703125" style="14" customWidth="1"/>
    <col min="9222" max="9222" width="37.85546875" style="14" customWidth="1"/>
    <col min="9223" max="9472" width="9.140625" style="14"/>
    <col min="9473" max="9473" width="9.7109375" style="14" customWidth="1"/>
    <col min="9474" max="9474" width="89.28515625" style="14" customWidth="1"/>
    <col min="9475" max="9476" width="9.7109375" style="14" customWidth="1"/>
    <col min="9477" max="9477" width="32.5703125" style="14" customWidth="1"/>
    <col min="9478" max="9478" width="37.85546875" style="14" customWidth="1"/>
    <col min="9479" max="9728" width="9.140625" style="14"/>
    <col min="9729" max="9729" width="9.7109375" style="14" customWidth="1"/>
    <col min="9730" max="9730" width="89.28515625" style="14" customWidth="1"/>
    <col min="9731" max="9732" width="9.7109375" style="14" customWidth="1"/>
    <col min="9733" max="9733" width="32.5703125" style="14" customWidth="1"/>
    <col min="9734" max="9734" width="37.85546875" style="14" customWidth="1"/>
    <col min="9735" max="9984" width="9.140625" style="14"/>
    <col min="9985" max="9985" width="9.7109375" style="14" customWidth="1"/>
    <col min="9986" max="9986" width="89.28515625" style="14" customWidth="1"/>
    <col min="9987" max="9988" width="9.7109375" style="14" customWidth="1"/>
    <col min="9989" max="9989" width="32.5703125" style="14" customWidth="1"/>
    <col min="9990" max="9990" width="37.85546875" style="14" customWidth="1"/>
    <col min="9991" max="10240" width="9.140625" style="14"/>
    <col min="10241" max="10241" width="9.7109375" style="14" customWidth="1"/>
    <col min="10242" max="10242" width="89.28515625" style="14" customWidth="1"/>
    <col min="10243" max="10244" width="9.7109375" style="14" customWidth="1"/>
    <col min="10245" max="10245" width="32.5703125" style="14" customWidth="1"/>
    <col min="10246" max="10246" width="37.85546875" style="14" customWidth="1"/>
    <col min="10247" max="10496" width="9.140625" style="14"/>
    <col min="10497" max="10497" width="9.7109375" style="14" customWidth="1"/>
    <col min="10498" max="10498" width="89.28515625" style="14" customWidth="1"/>
    <col min="10499" max="10500" width="9.7109375" style="14" customWidth="1"/>
    <col min="10501" max="10501" width="32.5703125" style="14" customWidth="1"/>
    <col min="10502" max="10502" width="37.85546875" style="14" customWidth="1"/>
    <col min="10503" max="10752" width="9.140625" style="14"/>
    <col min="10753" max="10753" width="9.7109375" style="14" customWidth="1"/>
    <col min="10754" max="10754" width="89.28515625" style="14" customWidth="1"/>
    <col min="10755" max="10756" width="9.7109375" style="14" customWidth="1"/>
    <col min="10757" max="10757" width="32.5703125" style="14" customWidth="1"/>
    <col min="10758" max="10758" width="37.85546875" style="14" customWidth="1"/>
    <col min="10759" max="11008" width="9.140625" style="14"/>
    <col min="11009" max="11009" width="9.7109375" style="14" customWidth="1"/>
    <col min="11010" max="11010" width="89.28515625" style="14" customWidth="1"/>
    <col min="11011" max="11012" width="9.7109375" style="14" customWidth="1"/>
    <col min="11013" max="11013" width="32.5703125" style="14" customWidth="1"/>
    <col min="11014" max="11014" width="37.85546875" style="14" customWidth="1"/>
    <col min="11015" max="11264" width="9.140625" style="14"/>
    <col min="11265" max="11265" width="9.7109375" style="14" customWidth="1"/>
    <col min="11266" max="11266" width="89.28515625" style="14" customWidth="1"/>
    <col min="11267" max="11268" width="9.7109375" style="14" customWidth="1"/>
    <col min="11269" max="11269" width="32.5703125" style="14" customWidth="1"/>
    <col min="11270" max="11270" width="37.85546875" style="14" customWidth="1"/>
    <col min="11271" max="11520" width="9.140625" style="14"/>
    <col min="11521" max="11521" width="9.7109375" style="14" customWidth="1"/>
    <col min="11522" max="11522" width="89.28515625" style="14" customWidth="1"/>
    <col min="11523" max="11524" width="9.7109375" style="14" customWidth="1"/>
    <col min="11525" max="11525" width="32.5703125" style="14" customWidth="1"/>
    <col min="11526" max="11526" width="37.85546875" style="14" customWidth="1"/>
    <col min="11527" max="11776" width="9.140625" style="14"/>
    <col min="11777" max="11777" width="9.7109375" style="14" customWidth="1"/>
    <col min="11778" max="11778" width="89.28515625" style="14" customWidth="1"/>
    <col min="11779" max="11780" width="9.7109375" style="14" customWidth="1"/>
    <col min="11781" max="11781" width="32.5703125" style="14" customWidth="1"/>
    <col min="11782" max="11782" width="37.85546875" style="14" customWidth="1"/>
    <col min="11783" max="12032" width="9.140625" style="14"/>
    <col min="12033" max="12033" width="9.7109375" style="14" customWidth="1"/>
    <col min="12034" max="12034" width="89.28515625" style="14" customWidth="1"/>
    <col min="12035" max="12036" width="9.7109375" style="14" customWidth="1"/>
    <col min="12037" max="12037" width="32.5703125" style="14" customWidth="1"/>
    <col min="12038" max="12038" width="37.85546875" style="14" customWidth="1"/>
    <col min="12039" max="12288" width="9.140625" style="14"/>
    <col min="12289" max="12289" width="9.7109375" style="14" customWidth="1"/>
    <col min="12290" max="12290" width="89.28515625" style="14" customWidth="1"/>
    <col min="12291" max="12292" width="9.7109375" style="14" customWidth="1"/>
    <col min="12293" max="12293" width="32.5703125" style="14" customWidth="1"/>
    <col min="12294" max="12294" width="37.85546875" style="14" customWidth="1"/>
    <col min="12295" max="12544" width="9.140625" style="14"/>
    <col min="12545" max="12545" width="9.7109375" style="14" customWidth="1"/>
    <col min="12546" max="12546" width="89.28515625" style="14" customWidth="1"/>
    <col min="12547" max="12548" width="9.7109375" style="14" customWidth="1"/>
    <col min="12549" max="12549" width="32.5703125" style="14" customWidth="1"/>
    <col min="12550" max="12550" width="37.85546875" style="14" customWidth="1"/>
    <col min="12551" max="12800" width="9.140625" style="14"/>
    <col min="12801" max="12801" width="9.7109375" style="14" customWidth="1"/>
    <col min="12802" max="12802" width="89.28515625" style="14" customWidth="1"/>
    <col min="12803" max="12804" width="9.7109375" style="14" customWidth="1"/>
    <col min="12805" max="12805" width="32.5703125" style="14" customWidth="1"/>
    <col min="12806" max="12806" width="37.85546875" style="14" customWidth="1"/>
    <col min="12807" max="13056" width="9.140625" style="14"/>
    <col min="13057" max="13057" width="9.7109375" style="14" customWidth="1"/>
    <col min="13058" max="13058" width="89.28515625" style="14" customWidth="1"/>
    <col min="13059" max="13060" width="9.7109375" style="14" customWidth="1"/>
    <col min="13061" max="13061" width="32.5703125" style="14" customWidth="1"/>
    <col min="13062" max="13062" width="37.85546875" style="14" customWidth="1"/>
    <col min="13063" max="13312" width="9.140625" style="14"/>
    <col min="13313" max="13313" width="9.7109375" style="14" customWidth="1"/>
    <col min="13314" max="13314" width="89.28515625" style="14" customWidth="1"/>
    <col min="13315" max="13316" width="9.7109375" style="14" customWidth="1"/>
    <col min="13317" max="13317" width="32.5703125" style="14" customWidth="1"/>
    <col min="13318" max="13318" width="37.85546875" style="14" customWidth="1"/>
    <col min="13319" max="13568" width="9.140625" style="14"/>
    <col min="13569" max="13569" width="9.7109375" style="14" customWidth="1"/>
    <col min="13570" max="13570" width="89.28515625" style="14" customWidth="1"/>
    <col min="13571" max="13572" width="9.7109375" style="14" customWidth="1"/>
    <col min="13573" max="13573" width="32.5703125" style="14" customWidth="1"/>
    <col min="13574" max="13574" width="37.85546875" style="14" customWidth="1"/>
    <col min="13575" max="13824" width="9.140625" style="14"/>
    <col min="13825" max="13825" width="9.7109375" style="14" customWidth="1"/>
    <col min="13826" max="13826" width="89.28515625" style="14" customWidth="1"/>
    <col min="13827" max="13828" width="9.7109375" style="14" customWidth="1"/>
    <col min="13829" max="13829" width="32.5703125" style="14" customWidth="1"/>
    <col min="13830" max="13830" width="37.85546875" style="14" customWidth="1"/>
    <col min="13831" max="14080" width="9.140625" style="14"/>
    <col min="14081" max="14081" width="9.7109375" style="14" customWidth="1"/>
    <col min="14082" max="14082" width="89.28515625" style="14" customWidth="1"/>
    <col min="14083" max="14084" width="9.7109375" style="14" customWidth="1"/>
    <col min="14085" max="14085" width="32.5703125" style="14" customWidth="1"/>
    <col min="14086" max="14086" width="37.85546875" style="14" customWidth="1"/>
    <col min="14087" max="14336" width="9.140625" style="14"/>
    <col min="14337" max="14337" width="9.7109375" style="14" customWidth="1"/>
    <col min="14338" max="14338" width="89.28515625" style="14" customWidth="1"/>
    <col min="14339" max="14340" width="9.7109375" style="14" customWidth="1"/>
    <col min="14341" max="14341" width="32.5703125" style="14" customWidth="1"/>
    <col min="14342" max="14342" width="37.85546875" style="14" customWidth="1"/>
    <col min="14343" max="14592" width="9.140625" style="14"/>
    <col min="14593" max="14593" width="9.7109375" style="14" customWidth="1"/>
    <col min="14594" max="14594" width="89.28515625" style="14" customWidth="1"/>
    <col min="14595" max="14596" width="9.7109375" style="14" customWidth="1"/>
    <col min="14597" max="14597" width="32.5703125" style="14" customWidth="1"/>
    <col min="14598" max="14598" width="37.85546875" style="14" customWidth="1"/>
    <col min="14599" max="14848" width="9.140625" style="14"/>
    <col min="14849" max="14849" width="9.7109375" style="14" customWidth="1"/>
    <col min="14850" max="14850" width="89.28515625" style="14" customWidth="1"/>
    <col min="14851" max="14852" width="9.7109375" style="14" customWidth="1"/>
    <col min="14853" max="14853" width="32.5703125" style="14" customWidth="1"/>
    <col min="14854" max="14854" width="37.85546875" style="14" customWidth="1"/>
    <col min="14855" max="15104" width="9.140625" style="14"/>
    <col min="15105" max="15105" width="9.7109375" style="14" customWidth="1"/>
    <col min="15106" max="15106" width="89.28515625" style="14" customWidth="1"/>
    <col min="15107" max="15108" width="9.7109375" style="14" customWidth="1"/>
    <col min="15109" max="15109" width="32.5703125" style="14" customWidth="1"/>
    <col min="15110" max="15110" width="37.85546875" style="14" customWidth="1"/>
    <col min="15111" max="15360" width="9.140625" style="14"/>
    <col min="15361" max="15361" width="9.7109375" style="14" customWidth="1"/>
    <col min="15362" max="15362" width="89.28515625" style="14" customWidth="1"/>
    <col min="15363" max="15364" width="9.7109375" style="14" customWidth="1"/>
    <col min="15365" max="15365" width="32.5703125" style="14" customWidth="1"/>
    <col min="15366" max="15366" width="37.85546875" style="14" customWidth="1"/>
    <col min="15367" max="15616" width="9.140625" style="14"/>
    <col min="15617" max="15617" width="9.7109375" style="14" customWidth="1"/>
    <col min="15618" max="15618" width="89.28515625" style="14" customWidth="1"/>
    <col min="15619" max="15620" width="9.7109375" style="14" customWidth="1"/>
    <col min="15621" max="15621" width="32.5703125" style="14" customWidth="1"/>
    <col min="15622" max="15622" width="37.85546875" style="14" customWidth="1"/>
    <col min="15623" max="15872" width="9.140625" style="14"/>
    <col min="15873" max="15873" width="9.7109375" style="14" customWidth="1"/>
    <col min="15874" max="15874" width="89.28515625" style="14" customWidth="1"/>
    <col min="15875" max="15876" width="9.7109375" style="14" customWidth="1"/>
    <col min="15877" max="15877" width="32.5703125" style="14" customWidth="1"/>
    <col min="15878" max="15878" width="37.85546875" style="14" customWidth="1"/>
    <col min="15879" max="16128" width="9.140625" style="14"/>
    <col min="16129" max="16129" width="9.7109375" style="14" customWidth="1"/>
    <col min="16130" max="16130" width="89.28515625" style="14" customWidth="1"/>
    <col min="16131" max="16132" width="9.7109375" style="14" customWidth="1"/>
    <col min="16133" max="16133" width="32.5703125" style="14" customWidth="1"/>
    <col min="16134" max="16134" width="37.85546875" style="14" customWidth="1"/>
    <col min="16135" max="16384" width="9.140625" style="14"/>
  </cols>
  <sheetData>
    <row r="1" spans="1:7" s="6" customFormat="1">
      <c r="A1" s="2" t="s">
        <v>0</v>
      </c>
      <c r="B1" s="3" t="s">
        <v>1</v>
      </c>
      <c r="C1" s="2" t="s">
        <v>2</v>
      </c>
      <c r="D1" s="2" t="s">
        <v>3</v>
      </c>
      <c r="E1" s="4" t="s">
        <v>4</v>
      </c>
      <c r="F1" s="2" t="s">
        <v>5</v>
      </c>
      <c r="G1" s="5"/>
    </row>
    <row r="2" spans="1:7" s="1" customFormat="1" ht="23.25">
      <c r="A2" s="25">
        <v>1</v>
      </c>
      <c r="B2" s="31" t="s">
        <v>6</v>
      </c>
      <c r="C2" s="26" t="s">
        <v>7</v>
      </c>
      <c r="D2" s="26">
        <v>100</v>
      </c>
      <c r="E2" s="16"/>
      <c r="F2" s="17">
        <f>D2*E2</f>
        <v>0</v>
      </c>
      <c r="G2" s="7"/>
    </row>
    <row r="3" spans="1:7" s="1" customFormat="1" ht="23.25">
      <c r="A3" s="25">
        <f>A2+1</f>
        <v>2</v>
      </c>
      <c r="B3" s="31" t="s">
        <v>8</v>
      </c>
      <c r="C3" s="26" t="s">
        <v>7</v>
      </c>
      <c r="D3" s="26">
        <v>50</v>
      </c>
      <c r="E3" s="16"/>
      <c r="F3" s="17">
        <f t="shared" ref="F3:F66" si="0">D3*E3</f>
        <v>0</v>
      </c>
      <c r="G3" s="7"/>
    </row>
    <row r="4" spans="1:7" s="1" customFormat="1" ht="23.25">
      <c r="A4" s="25">
        <f t="shared" ref="A4:A67" si="1">A3+1</f>
        <v>3</v>
      </c>
      <c r="B4" s="32" t="s">
        <v>9</v>
      </c>
      <c r="C4" s="4" t="s">
        <v>7</v>
      </c>
      <c r="D4" s="4">
        <v>50</v>
      </c>
      <c r="E4" s="16"/>
      <c r="F4" s="17">
        <f t="shared" si="0"/>
        <v>0</v>
      </c>
      <c r="G4" s="7"/>
    </row>
    <row r="5" spans="1:7" s="1" customFormat="1" ht="23.25">
      <c r="A5" s="25">
        <f t="shared" si="1"/>
        <v>4</v>
      </c>
      <c r="B5" s="32" t="s">
        <v>10</v>
      </c>
      <c r="C5" s="4" t="s">
        <v>7</v>
      </c>
      <c r="D5" s="4">
        <v>20</v>
      </c>
      <c r="E5" s="16"/>
      <c r="F5" s="17">
        <f t="shared" si="0"/>
        <v>0</v>
      </c>
      <c r="G5" s="7"/>
    </row>
    <row r="6" spans="1:7" s="1" customFormat="1" ht="23.25">
      <c r="A6" s="25">
        <f t="shared" si="1"/>
        <v>5</v>
      </c>
      <c r="B6" s="32" t="s">
        <v>11</v>
      </c>
      <c r="C6" s="4" t="s">
        <v>7</v>
      </c>
      <c r="D6" s="4">
        <v>1500</v>
      </c>
      <c r="E6" s="16"/>
      <c r="F6" s="17">
        <f t="shared" si="0"/>
        <v>0</v>
      </c>
      <c r="G6" s="7"/>
    </row>
    <row r="7" spans="1:7" s="1" customFormat="1" ht="23.25">
      <c r="A7" s="25">
        <f t="shared" si="1"/>
        <v>6</v>
      </c>
      <c r="B7" s="32" t="s">
        <v>12</v>
      </c>
      <c r="C7" s="4" t="s">
        <v>7</v>
      </c>
      <c r="D7" s="4">
        <v>40</v>
      </c>
      <c r="E7" s="16"/>
      <c r="F7" s="17">
        <f t="shared" si="0"/>
        <v>0</v>
      </c>
      <c r="G7" s="7"/>
    </row>
    <row r="8" spans="1:7" s="1" customFormat="1" ht="23.25">
      <c r="A8" s="25">
        <f t="shared" si="1"/>
        <v>7</v>
      </c>
      <c r="B8" s="32" t="s">
        <v>13</v>
      </c>
      <c r="C8" s="4" t="s">
        <v>7</v>
      </c>
      <c r="D8" s="4">
        <v>20</v>
      </c>
      <c r="E8" s="16"/>
      <c r="F8" s="17">
        <f t="shared" si="0"/>
        <v>0</v>
      </c>
      <c r="G8" s="7"/>
    </row>
    <row r="9" spans="1:7" s="1" customFormat="1" ht="23.25">
      <c r="A9" s="25">
        <f t="shared" si="1"/>
        <v>8</v>
      </c>
      <c r="B9" s="32" t="s">
        <v>14</v>
      </c>
      <c r="C9" s="4" t="s">
        <v>7</v>
      </c>
      <c r="D9" s="4">
        <v>100</v>
      </c>
      <c r="E9" s="16"/>
      <c r="F9" s="17">
        <f t="shared" si="0"/>
        <v>0</v>
      </c>
      <c r="G9" s="7"/>
    </row>
    <row r="10" spans="1:7" s="1" customFormat="1" ht="23.25">
      <c r="A10" s="25">
        <f t="shared" si="1"/>
        <v>9</v>
      </c>
      <c r="B10" s="32" t="s">
        <v>15</v>
      </c>
      <c r="C10" s="4" t="s">
        <v>7</v>
      </c>
      <c r="D10" s="4">
        <v>1500</v>
      </c>
      <c r="E10" s="16"/>
      <c r="F10" s="17">
        <f t="shared" si="0"/>
        <v>0</v>
      </c>
      <c r="G10" s="7"/>
    </row>
    <row r="11" spans="1:7" s="1" customFormat="1" ht="23.25">
      <c r="A11" s="25">
        <f t="shared" si="1"/>
        <v>10</v>
      </c>
      <c r="B11" s="32" t="s">
        <v>16</v>
      </c>
      <c r="C11" s="4" t="s">
        <v>7</v>
      </c>
      <c r="D11" s="4">
        <v>250</v>
      </c>
      <c r="E11" s="16"/>
      <c r="F11" s="17">
        <f t="shared" si="0"/>
        <v>0</v>
      </c>
      <c r="G11" s="7"/>
    </row>
    <row r="12" spans="1:7" s="1" customFormat="1" ht="23.25">
      <c r="A12" s="25">
        <f t="shared" si="1"/>
        <v>11</v>
      </c>
      <c r="B12" s="32" t="s">
        <v>17</v>
      </c>
      <c r="C12" s="4" t="s">
        <v>7</v>
      </c>
      <c r="D12" s="4">
        <v>20</v>
      </c>
      <c r="E12" s="16"/>
      <c r="F12" s="17">
        <f t="shared" si="0"/>
        <v>0</v>
      </c>
      <c r="G12" s="7"/>
    </row>
    <row r="13" spans="1:7" s="1" customFormat="1" ht="23.25">
      <c r="A13" s="25">
        <f t="shared" si="1"/>
        <v>12</v>
      </c>
      <c r="B13" s="32" t="s">
        <v>18</v>
      </c>
      <c r="C13" s="4" t="s">
        <v>7</v>
      </c>
      <c r="D13" s="4">
        <v>500</v>
      </c>
      <c r="E13" s="16"/>
      <c r="F13" s="17">
        <f t="shared" si="0"/>
        <v>0</v>
      </c>
      <c r="G13" s="7"/>
    </row>
    <row r="14" spans="1:7" s="1" customFormat="1" ht="23.25">
      <c r="A14" s="25">
        <f t="shared" si="1"/>
        <v>13</v>
      </c>
      <c r="B14" s="32" t="s">
        <v>19</v>
      </c>
      <c r="C14" s="4" t="s">
        <v>7</v>
      </c>
      <c r="D14" s="4">
        <v>500</v>
      </c>
      <c r="E14" s="16"/>
      <c r="F14" s="17">
        <f t="shared" si="0"/>
        <v>0</v>
      </c>
      <c r="G14" s="7"/>
    </row>
    <row r="15" spans="1:7" s="1" customFormat="1" ht="23.25">
      <c r="A15" s="25">
        <f t="shared" si="1"/>
        <v>14</v>
      </c>
      <c r="B15" s="32" t="s">
        <v>20</v>
      </c>
      <c r="C15" s="4" t="s">
        <v>7</v>
      </c>
      <c r="D15" s="4">
        <v>20</v>
      </c>
      <c r="E15" s="16"/>
      <c r="F15" s="17">
        <f t="shared" si="0"/>
        <v>0</v>
      </c>
      <c r="G15" s="7"/>
    </row>
    <row r="16" spans="1:7" s="1" customFormat="1" ht="23.25">
      <c r="A16" s="25">
        <f t="shared" si="1"/>
        <v>15</v>
      </c>
      <c r="B16" s="32" t="s">
        <v>21</v>
      </c>
      <c r="C16" s="4" t="s">
        <v>7</v>
      </c>
      <c r="D16" s="4">
        <v>20</v>
      </c>
      <c r="E16" s="16"/>
      <c r="F16" s="17">
        <f t="shared" si="0"/>
        <v>0</v>
      </c>
      <c r="G16" s="7"/>
    </row>
    <row r="17" spans="1:7" s="1" customFormat="1" ht="23.25">
      <c r="A17" s="25">
        <f t="shared" si="1"/>
        <v>16</v>
      </c>
      <c r="B17" s="33" t="s">
        <v>22</v>
      </c>
      <c r="C17" s="24" t="s">
        <v>7</v>
      </c>
      <c r="D17" s="24">
        <v>250</v>
      </c>
      <c r="E17" s="16"/>
      <c r="F17" s="17">
        <f t="shared" si="0"/>
        <v>0</v>
      </c>
      <c r="G17" s="7"/>
    </row>
    <row r="18" spans="1:7" s="1" customFormat="1" ht="23.25">
      <c r="A18" s="25">
        <f t="shared" si="1"/>
        <v>17</v>
      </c>
      <c r="B18" s="33" t="s">
        <v>23</v>
      </c>
      <c r="C18" s="24" t="s">
        <v>7</v>
      </c>
      <c r="D18" s="24">
        <v>500</v>
      </c>
      <c r="E18" s="16"/>
      <c r="F18" s="17">
        <f t="shared" si="0"/>
        <v>0</v>
      </c>
      <c r="G18" s="7"/>
    </row>
    <row r="19" spans="1:7" s="1" customFormat="1" ht="23.25">
      <c r="A19" s="25">
        <f t="shared" si="1"/>
        <v>18</v>
      </c>
      <c r="B19" s="32" t="s">
        <v>24</v>
      </c>
      <c r="C19" s="4" t="s">
        <v>7</v>
      </c>
      <c r="D19" s="4">
        <v>2500</v>
      </c>
      <c r="E19" s="16"/>
      <c r="F19" s="17">
        <f t="shared" si="0"/>
        <v>0</v>
      </c>
      <c r="G19" s="7"/>
    </row>
    <row r="20" spans="1:7" s="1" customFormat="1" ht="23.25">
      <c r="A20" s="25">
        <f t="shared" si="1"/>
        <v>19</v>
      </c>
      <c r="B20" s="32" t="s">
        <v>25</v>
      </c>
      <c r="C20" s="4" t="s">
        <v>7</v>
      </c>
      <c r="D20" s="4">
        <v>1000</v>
      </c>
      <c r="E20" s="16"/>
      <c r="F20" s="17">
        <f t="shared" si="0"/>
        <v>0</v>
      </c>
      <c r="G20" s="7"/>
    </row>
    <row r="21" spans="1:7" s="1" customFormat="1" ht="23.25">
      <c r="A21" s="25">
        <f t="shared" si="1"/>
        <v>20</v>
      </c>
      <c r="B21" s="32" t="s">
        <v>26</v>
      </c>
      <c r="C21" s="4" t="s">
        <v>7</v>
      </c>
      <c r="D21" s="4">
        <v>750</v>
      </c>
      <c r="E21" s="16"/>
      <c r="F21" s="17">
        <f t="shared" si="0"/>
        <v>0</v>
      </c>
      <c r="G21" s="7"/>
    </row>
    <row r="22" spans="1:7" s="1" customFormat="1" ht="23.25">
      <c r="A22" s="25">
        <f t="shared" si="1"/>
        <v>21</v>
      </c>
      <c r="B22" s="32" t="s">
        <v>27</v>
      </c>
      <c r="C22" s="4" t="s">
        <v>7</v>
      </c>
      <c r="D22" s="4">
        <v>100</v>
      </c>
      <c r="E22" s="16"/>
      <c r="F22" s="17">
        <f t="shared" si="0"/>
        <v>0</v>
      </c>
      <c r="G22" s="7"/>
    </row>
    <row r="23" spans="1:7" s="1" customFormat="1" ht="23.25">
      <c r="A23" s="25">
        <f t="shared" si="1"/>
        <v>22</v>
      </c>
      <c r="B23" s="32" t="s">
        <v>28</v>
      </c>
      <c r="C23" s="4" t="s">
        <v>7</v>
      </c>
      <c r="D23" s="4">
        <v>100</v>
      </c>
      <c r="E23" s="16"/>
      <c r="F23" s="17">
        <f t="shared" si="0"/>
        <v>0</v>
      </c>
      <c r="G23" s="7"/>
    </row>
    <row r="24" spans="1:7" s="1" customFormat="1" ht="23.25">
      <c r="A24" s="25">
        <f t="shared" si="1"/>
        <v>23</v>
      </c>
      <c r="B24" s="32" t="s">
        <v>29</v>
      </c>
      <c r="C24" s="4" t="s">
        <v>7</v>
      </c>
      <c r="D24" s="4">
        <v>100</v>
      </c>
      <c r="E24" s="16"/>
      <c r="F24" s="17">
        <f t="shared" si="0"/>
        <v>0</v>
      </c>
      <c r="G24" s="7"/>
    </row>
    <row r="25" spans="1:7" s="1" customFormat="1" ht="23.25">
      <c r="A25" s="25">
        <f t="shared" si="1"/>
        <v>24</v>
      </c>
      <c r="B25" s="32" t="s">
        <v>30</v>
      </c>
      <c r="C25" s="4" t="s">
        <v>7</v>
      </c>
      <c r="D25" s="4">
        <v>50</v>
      </c>
      <c r="E25" s="16"/>
      <c r="F25" s="17">
        <f t="shared" si="0"/>
        <v>0</v>
      </c>
      <c r="G25" s="7"/>
    </row>
    <row r="26" spans="1:7" s="1" customFormat="1" ht="23.25">
      <c r="A26" s="25">
        <f t="shared" si="1"/>
        <v>25</v>
      </c>
      <c r="B26" s="32" t="s">
        <v>31</v>
      </c>
      <c r="C26" s="4" t="s">
        <v>7</v>
      </c>
      <c r="D26" s="4">
        <v>50</v>
      </c>
      <c r="E26" s="16"/>
      <c r="F26" s="17">
        <f t="shared" si="0"/>
        <v>0</v>
      </c>
      <c r="G26" s="7"/>
    </row>
    <row r="27" spans="1:7" s="1" customFormat="1" ht="23.25">
      <c r="A27" s="25">
        <f t="shared" si="1"/>
        <v>26</v>
      </c>
      <c r="B27" s="32" t="s">
        <v>32</v>
      </c>
      <c r="C27" s="4" t="s">
        <v>7</v>
      </c>
      <c r="D27" s="4">
        <v>50</v>
      </c>
      <c r="E27" s="16"/>
      <c r="F27" s="17">
        <f t="shared" si="0"/>
        <v>0</v>
      </c>
      <c r="G27" s="7"/>
    </row>
    <row r="28" spans="1:7" s="1" customFormat="1" ht="23.25">
      <c r="A28" s="25">
        <f t="shared" si="1"/>
        <v>27</v>
      </c>
      <c r="B28" s="32" t="s">
        <v>33</v>
      </c>
      <c r="C28" s="4" t="s">
        <v>34</v>
      </c>
      <c r="D28" s="4">
        <v>40</v>
      </c>
      <c r="E28" s="16"/>
      <c r="F28" s="17">
        <f t="shared" si="0"/>
        <v>0</v>
      </c>
      <c r="G28" s="7"/>
    </row>
    <row r="29" spans="1:7" s="1" customFormat="1" ht="23.25">
      <c r="A29" s="25">
        <f t="shared" si="1"/>
        <v>28</v>
      </c>
      <c r="B29" s="32" t="s">
        <v>35</v>
      </c>
      <c r="C29" s="4" t="s">
        <v>34</v>
      </c>
      <c r="D29" s="4">
        <v>40</v>
      </c>
      <c r="E29" s="16"/>
      <c r="F29" s="17">
        <f t="shared" si="0"/>
        <v>0</v>
      </c>
      <c r="G29" s="7"/>
    </row>
    <row r="30" spans="1:7" s="1" customFormat="1" ht="23.25">
      <c r="A30" s="25">
        <f t="shared" si="1"/>
        <v>29</v>
      </c>
      <c r="B30" s="32" t="s">
        <v>36</v>
      </c>
      <c r="C30" s="4" t="s">
        <v>34</v>
      </c>
      <c r="D30" s="4">
        <v>5</v>
      </c>
      <c r="E30" s="16"/>
      <c r="F30" s="17">
        <f t="shared" si="0"/>
        <v>0</v>
      </c>
      <c r="G30" s="7"/>
    </row>
    <row r="31" spans="1:7" s="1" customFormat="1" ht="23.25">
      <c r="A31" s="25">
        <f t="shared" si="1"/>
        <v>30</v>
      </c>
      <c r="B31" s="32" t="s">
        <v>37</v>
      </c>
      <c r="C31" s="4" t="s">
        <v>34</v>
      </c>
      <c r="D31" s="4">
        <v>5</v>
      </c>
      <c r="E31" s="16"/>
      <c r="F31" s="17">
        <f t="shared" si="0"/>
        <v>0</v>
      </c>
      <c r="G31" s="7"/>
    </row>
    <row r="32" spans="1:7" s="1" customFormat="1" ht="23.25">
      <c r="A32" s="25">
        <f t="shared" si="1"/>
        <v>31</v>
      </c>
      <c r="B32" s="32" t="s">
        <v>38</v>
      </c>
      <c r="C32" s="4" t="s">
        <v>34</v>
      </c>
      <c r="D32" s="4">
        <v>15</v>
      </c>
      <c r="E32" s="16"/>
      <c r="F32" s="17">
        <f t="shared" si="0"/>
        <v>0</v>
      </c>
      <c r="G32" s="7"/>
    </row>
    <row r="33" spans="1:7" s="1" customFormat="1" ht="23.25">
      <c r="A33" s="25">
        <f t="shared" si="1"/>
        <v>32</v>
      </c>
      <c r="B33" s="32" t="s">
        <v>39</v>
      </c>
      <c r="C33" s="4" t="s">
        <v>34</v>
      </c>
      <c r="D33" s="4">
        <v>10</v>
      </c>
      <c r="E33" s="16"/>
      <c r="F33" s="17">
        <f t="shared" si="0"/>
        <v>0</v>
      </c>
      <c r="G33" s="7"/>
    </row>
    <row r="34" spans="1:7" s="1" customFormat="1" ht="23.25">
      <c r="A34" s="25">
        <f t="shared" si="1"/>
        <v>33</v>
      </c>
      <c r="B34" s="32" t="s">
        <v>40</v>
      </c>
      <c r="C34" s="4" t="s">
        <v>34</v>
      </c>
      <c r="D34" s="4">
        <v>1</v>
      </c>
      <c r="E34" s="16"/>
      <c r="F34" s="17">
        <f t="shared" si="0"/>
        <v>0</v>
      </c>
      <c r="G34" s="7"/>
    </row>
    <row r="35" spans="1:7" s="1" customFormat="1" ht="23.25">
      <c r="A35" s="25">
        <f t="shared" si="1"/>
        <v>34</v>
      </c>
      <c r="B35" s="32" t="s">
        <v>41</v>
      </c>
      <c r="C35" s="4" t="s">
        <v>34</v>
      </c>
      <c r="D35" s="4">
        <v>1</v>
      </c>
      <c r="E35" s="16"/>
      <c r="F35" s="17">
        <f t="shared" si="0"/>
        <v>0</v>
      </c>
      <c r="G35" s="7"/>
    </row>
    <row r="36" spans="1:7" s="1" customFormat="1" ht="23.25">
      <c r="A36" s="25">
        <f t="shared" si="1"/>
        <v>35</v>
      </c>
      <c r="B36" s="32" t="s">
        <v>42</v>
      </c>
      <c r="C36" s="4" t="s">
        <v>34</v>
      </c>
      <c r="D36" s="4">
        <v>1</v>
      </c>
      <c r="E36" s="16"/>
      <c r="F36" s="17">
        <f t="shared" si="0"/>
        <v>0</v>
      </c>
      <c r="G36" s="7"/>
    </row>
    <row r="37" spans="1:7" s="1" customFormat="1" ht="23.25">
      <c r="A37" s="25">
        <f t="shared" si="1"/>
        <v>36</v>
      </c>
      <c r="B37" s="32" t="s">
        <v>43</v>
      </c>
      <c r="C37" s="4" t="s">
        <v>34</v>
      </c>
      <c r="D37" s="4">
        <v>10</v>
      </c>
      <c r="E37" s="16"/>
      <c r="F37" s="17">
        <f t="shared" si="0"/>
        <v>0</v>
      </c>
      <c r="G37" s="7"/>
    </row>
    <row r="38" spans="1:7" s="1" customFormat="1" ht="23.25">
      <c r="A38" s="25">
        <f t="shared" si="1"/>
        <v>37</v>
      </c>
      <c r="B38" s="32" t="s">
        <v>44</v>
      </c>
      <c r="C38" s="4" t="s">
        <v>34</v>
      </c>
      <c r="D38" s="4">
        <v>10</v>
      </c>
      <c r="E38" s="16"/>
      <c r="F38" s="17">
        <f t="shared" si="0"/>
        <v>0</v>
      </c>
      <c r="G38" s="7"/>
    </row>
    <row r="39" spans="1:7" s="1" customFormat="1" ht="23.25">
      <c r="A39" s="25">
        <f t="shared" si="1"/>
        <v>38</v>
      </c>
      <c r="B39" s="32" t="s">
        <v>45</v>
      </c>
      <c r="C39" s="4" t="s">
        <v>34</v>
      </c>
      <c r="D39" s="4">
        <v>5</v>
      </c>
      <c r="E39" s="16"/>
      <c r="F39" s="17">
        <f t="shared" si="0"/>
        <v>0</v>
      </c>
      <c r="G39" s="7"/>
    </row>
    <row r="40" spans="1:7" s="1" customFormat="1" ht="23.25">
      <c r="A40" s="25">
        <f t="shared" si="1"/>
        <v>39</v>
      </c>
      <c r="B40" s="32" t="s">
        <v>46</v>
      </c>
      <c r="C40" s="4" t="s">
        <v>34</v>
      </c>
      <c r="D40" s="4">
        <v>5</v>
      </c>
      <c r="E40" s="16"/>
      <c r="F40" s="17">
        <f t="shared" si="0"/>
        <v>0</v>
      </c>
      <c r="G40" s="7"/>
    </row>
    <row r="41" spans="1:7" s="1" customFormat="1" ht="23.25">
      <c r="A41" s="25">
        <f t="shared" si="1"/>
        <v>40</v>
      </c>
      <c r="B41" s="32" t="s">
        <v>47</v>
      </c>
      <c r="C41" s="4" t="s">
        <v>34</v>
      </c>
      <c r="D41" s="4">
        <v>5</v>
      </c>
      <c r="E41" s="16"/>
      <c r="F41" s="17">
        <f t="shared" si="0"/>
        <v>0</v>
      </c>
      <c r="G41" s="7"/>
    </row>
    <row r="42" spans="1:7" s="1" customFormat="1" ht="23.25">
      <c r="A42" s="25">
        <f t="shared" si="1"/>
        <v>41</v>
      </c>
      <c r="B42" s="34" t="s">
        <v>48</v>
      </c>
      <c r="C42" s="24" t="s">
        <v>7</v>
      </c>
      <c r="D42" s="24">
        <v>100</v>
      </c>
      <c r="E42" s="16"/>
      <c r="F42" s="17">
        <f t="shared" si="0"/>
        <v>0</v>
      </c>
      <c r="G42" s="7"/>
    </row>
    <row r="43" spans="1:7" s="1" customFormat="1" ht="23.25">
      <c r="A43" s="25">
        <f t="shared" si="1"/>
        <v>42</v>
      </c>
      <c r="B43" s="34" t="s">
        <v>49</v>
      </c>
      <c r="C43" s="24" t="s">
        <v>7</v>
      </c>
      <c r="D43" s="24">
        <v>500</v>
      </c>
      <c r="E43" s="16"/>
      <c r="F43" s="17">
        <f t="shared" si="0"/>
        <v>0</v>
      </c>
      <c r="G43" s="7"/>
    </row>
    <row r="44" spans="1:7" s="1" customFormat="1" ht="23.25">
      <c r="A44" s="25">
        <f t="shared" si="1"/>
        <v>43</v>
      </c>
      <c r="B44" s="34" t="s">
        <v>50</v>
      </c>
      <c r="C44" s="24" t="s">
        <v>7</v>
      </c>
      <c r="D44" s="24">
        <v>500</v>
      </c>
      <c r="E44" s="16"/>
      <c r="F44" s="17">
        <f t="shared" si="0"/>
        <v>0</v>
      </c>
      <c r="G44" s="7"/>
    </row>
    <row r="45" spans="1:7" s="1" customFormat="1" ht="23.25">
      <c r="A45" s="25">
        <f t="shared" si="1"/>
        <v>44</v>
      </c>
      <c r="B45" s="34" t="s">
        <v>51</v>
      </c>
      <c r="C45" s="24" t="s">
        <v>7</v>
      </c>
      <c r="D45" s="24">
        <v>500</v>
      </c>
      <c r="E45" s="16"/>
      <c r="F45" s="17">
        <f t="shared" si="0"/>
        <v>0</v>
      </c>
      <c r="G45" s="7"/>
    </row>
    <row r="46" spans="1:7" s="1" customFormat="1" ht="23.25">
      <c r="A46" s="25">
        <f t="shared" si="1"/>
        <v>45</v>
      </c>
      <c r="B46" s="34" t="s">
        <v>52</v>
      </c>
      <c r="C46" s="24" t="s">
        <v>7</v>
      </c>
      <c r="D46" s="24">
        <v>100</v>
      </c>
      <c r="E46" s="16"/>
      <c r="F46" s="17">
        <f t="shared" si="0"/>
        <v>0</v>
      </c>
      <c r="G46" s="7"/>
    </row>
    <row r="47" spans="1:7" s="1" customFormat="1" ht="23.25">
      <c r="A47" s="25">
        <f t="shared" si="1"/>
        <v>46</v>
      </c>
      <c r="B47" s="34" t="s">
        <v>53</v>
      </c>
      <c r="C47" s="24" t="s">
        <v>7</v>
      </c>
      <c r="D47" s="24">
        <v>250</v>
      </c>
      <c r="E47" s="16"/>
      <c r="F47" s="17">
        <f t="shared" si="0"/>
        <v>0</v>
      </c>
      <c r="G47" s="7"/>
    </row>
    <row r="48" spans="1:7" s="1" customFormat="1" ht="23.25">
      <c r="A48" s="25">
        <f t="shared" si="1"/>
        <v>47</v>
      </c>
      <c r="B48" s="34" t="s">
        <v>54</v>
      </c>
      <c r="C48" s="24" t="s">
        <v>34</v>
      </c>
      <c r="D48" s="24">
        <v>5</v>
      </c>
      <c r="E48" s="16"/>
      <c r="F48" s="17">
        <f t="shared" si="0"/>
        <v>0</v>
      </c>
      <c r="G48" s="7"/>
    </row>
    <row r="49" spans="1:7" s="1" customFormat="1" ht="23.25">
      <c r="A49" s="25">
        <f t="shared" si="1"/>
        <v>48</v>
      </c>
      <c r="B49" s="34" t="s">
        <v>55</v>
      </c>
      <c r="C49" s="4" t="s">
        <v>34</v>
      </c>
      <c r="D49" s="4">
        <v>5</v>
      </c>
      <c r="E49" s="16"/>
      <c r="F49" s="17">
        <f t="shared" si="0"/>
        <v>0</v>
      </c>
      <c r="G49" s="7"/>
    </row>
    <row r="50" spans="1:7" s="1" customFormat="1" ht="23.25">
      <c r="A50" s="25">
        <f t="shared" si="1"/>
        <v>49</v>
      </c>
      <c r="B50" s="34" t="s">
        <v>56</v>
      </c>
      <c r="C50" s="24" t="s">
        <v>34</v>
      </c>
      <c r="D50" s="24">
        <v>5</v>
      </c>
      <c r="E50" s="16"/>
      <c r="F50" s="17">
        <f t="shared" si="0"/>
        <v>0</v>
      </c>
      <c r="G50" s="7"/>
    </row>
    <row r="51" spans="1:7" s="1" customFormat="1" ht="23.25">
      <c r="A51" s="25">
        <f t="shared" si="1"/>
        <v>50</v>
      </c>
      <c r="B51" s="34" t="s">
        <v>57</v>
      </c>
      <c r="C51" s="24" t="s">
        <v>34</v>
      </c>
      <c r="D51" s="24">
        <v>5</v>
      </c>
      <c r="E51" s="16"/>
      <c r="F51" s="17">
        <f t="shared" si="0"/>
        <v>0</v>
      </c>
      <c r="G51" s="7"/>
    </row>
    <row r="52" spans="1:7" s="1" customFormat="1" ht="23.25">
      <c r="A52" s="25">
        <f t="shared" si="1"/>
        <v>51</v>
      </c>
      <c r="B52" s="34" t="s">
        <v>58</v>
      </c>
      <c r="C52" s="24" t="s">
        <v>34</v>
      </c>
      <c r="D52" s="24">
        <v>5</v>
      </c>
      <c r="E52" s="16"/>
      <c r="F52" s="17">
        <f t="shared" si="0"/>
        <v>0</v>
      </c>
      <c r="G52" s="7"/>
    </row>
    <row r="53" spans="1:7" s="1" customFormat="1" ht="23.25">
      <c r="A53" s="25">
        <f t="shared" si="1"/>
        <v>52</v>
      </c>
      <c r="B53" s="34" t="s">
        <v>59</v>
      </c>
      <c r="C53" s="24" t="s">
        <v>34</v>
      </c>
      <c r="D53" s="24">
        <v>5</v>
      </c>
      <c r="E53" s="16"/>
      <c r="F53" s="17">
        <f t="shared" si="0"/>
        <v>0</v>
      </c>
      <c r="G53" s="7"/>
    </row>
    <row r="54" spans="1:7" s="1" customFormat="1" ht="23.25">
      <c r="A54" s="25">
        <f t="shared" si="1"/>
        <v>53</v>
      </c>
      <c r="B54" s="34" t="s">
        <v>60</v>
      </c>
      <c r="C54" s="24" t="s">
        <v>34</v>
      </c>
      <c r="D54" s="24">
        <v>5</v>
      </c>
      <c r="E54" s="16"/>
      <c r="F54" s="17">
        <f t="shared" si="0"/>
        <v>0</v>
      </c>
      <c r="G54" s="7"/>
    </row>
    <row r="55" spans="1:7" s="1" customFormat="1" ht="23.25">
      <c r="A55" s="25">
        <f t="shared" si="1"/>
        <v>54</v>
      </c>
      <c r="B55" s="34" t="s">
        <v>61</v>
      </c>
      <c r="C55" s="24" t="s">
        <v>34</v>
      </c>
      <c r="D55" s="24">
        <v>5</v>
      </c>
      <c r="E55" s="16"/>
      <c r="F55" s="17">
        <f t="shared" si="0"/>
        <v>0</v>
      </c>
      <c r="G55" s="7"/>
    </row>
    <row r="56" spans="1:7" s="1" customFormat="1" ht="23.25">
      <c r="A56" s="25">
        <f t="shared" si="1"/>
        <v>55</v>
      </c>
      <c r="B56" s="32" t="s">
        <v>62</v>
      </c>
      <c r="C56" s="4" t="s">
        <v>34</v>
      </c>
      <c r="D56" s="4">
        <v>2</v>
      </c>
      <c r="E56" s="16"/>
      <c r="F56" s="17">
        <f t="shared" si="0"/>
        <v>0</v>
      </c>
      <c r="G56" s="7"/>
    </row>
    <row r="57" spans="1:7" s="1" customFormat="1" ht="23.25">
      <c r="A57" s="25">
        <f t="shared" si="1"/>
        <v>56</v>
      </c>
      <c r="B57" s="32" t="s">
        <v>63</v>
      </c>
      <c r="C57" s="4" t="s">
        <v>34</v>
      </c>
      <c r="D57" s="4">
        <v>5</v>
      </c>
      <c r="E57" s="16"/>
      <c r="F57" s="17">
        <f t="shared" si="0"/>
        <v>0</v>
      </c>
      <c r="G57" s="7"/>
    </row>
    <row r="58" spans="1:7" s="1" customFormat="1" ht="23.25">
      <c r="A58" s="25">
        <f t="shared" si="1"/>
        <v>57</v>
      </c>
      <c r="B58" s="32" t="s">
        <v>64</v>
      </c>
      <c r="C58" s="4" t="s">
        <v>34</v>
      </c>
      <c r="D58" s="4">
        <v>10</v>
      </c>
      <c r="E58" s="16"/>
      <c r="F58" s="17">
        <f t="shared" si="0"/>
        <v>0</v>
      </c>
      <c r="G58" s="7"/>
    </row>
    <row r="59" spans="1:7" s="1" customFormat="1" ht="23.25">
      <c r="A59" s="25">
        <f t="shared" si="1"/>
        <v>58</v>
      </c>
      <c r="B59" s="32" t="s">
        <v>65</v>
      </c>
      <c r="C59" s="4" t="s">
        <v>66</v>
      </c>
      <c r="D59" s="4">
        <v>10</v>
      </c>
      <c r="E59" s="16"/>
      <c r="F59" s="17">
        <f t="shared" si="0"/>
        <v>0</v>
      </c>
      <c r="G59" s="7"/>
    </row>
    <row r="60" spans="1:7" s="1" customFormat="1" ht="36">
      <c r="A60" s="25">
        <f t="shared" si="1"/>
        <v>59</v>
      </c>
      <c r="B60" s="35" t="s">
        <v>67</v>
      </c>
      <c r="C60" s="4" t="s">
        <v>34</v>
      </c>
      <c r="D60" s="4">
        <v>3</v>
      </c>
      <c r="E60" s="16"/>
      <c r="F60" s="17">
        <f t="shared" si="0"/>
        <v>0</v>
      </c>
      <c r="G60" s="7"/>
    </row>
    <row r="61" spans="1:7" s="1" customFormat="1" ht="23.25">
      <c r="A61" s="25">
        <f t="shared" si="1"/>
        <v>60</v>
      </c>
      <c r="B61" s="32" t="s">
        <v>68</v>
      </c>
      <c r="C61" s="4" t="s">
        <v>34</v>
      </c>
      <c r="D61" s="4">
        <v>1</v>
      </c>
      <c r="E61" s="16"/>
      <c r="F61" s="17">
        <f t="shared" si="0"/>
        <v>0</v>
      </c>
      <c r="G61" s="7"/>
    </row>
    <row r="62" spans="1:7" s="1" customFormat="1" ht="23.25">
      <c r="A62" s="25">
        <f t="shared" si="1"/>
        <v>61</v>
      </c>
      <c r="B62" s="32" t="s">
        <v>69</v>
      </c>
      <c r="C62" s="4" t="s">
        <v>34</v>
      </c>
      <c r="D62" s="4">
        <v>1</v>
      </c>
      <c r="E62" s="16"/>
      <c r="F62" s="17">
        <f t="shared" si="0"/>
        <v>0</v>
      </c>
      <c r="G62" s="7"/>
    </row>
    <row r="63" spans="1:7" s="1" customFormat="1" ht="23.25">
      <c r="A63" s="25">
        <f t="shared" si="1"/>
        <v>62</v>
      </c>
      <c r="B63" s="32" t="s">
        <v>65</v>
      </c>
      <c r="C63" s="4" t="s">
        <v>66</v>
      </c>
      <c r="D63" s="4">
        <v>5</v>
      </c>
      <c r="E63" s="16"/>
      <c r="F63" s="17">
        <f t="shared" si="0"/>
        <v>0</v>
      </c>
      <c r="G63" s="7"/>
    </row>
    <row r="64" spans="1:7" s="1" customFormat="1" ht="23.25">
      <c r="A64" s="25">
        <f t="shared" si="1"/>
        <v>63</v>
      </c>
      <c r="B64" s="32" t="s">
        <v>70</v>
      </c>
      <c r="C64" s="4" t="s">
        <v>34</v>
      </c>
      <c r="D64" s="4">
        <v>5</v>
      </c>
      <c r="E64" s="16"/>
      <c r="F64" s="17">
        <f t="shared" si="0"/>
        <v>0</v>
      </c>
      <c r="G64" s="7"/>
    </row>
    <row r="65" spans="1:7" s="1" customFormat="1" ht="23.25">
      <c r="A65" s="25">
        <f t="shared" si="1"/>
        <v>64</v>
      </c>
      <c r="B65" s="32" t="s">
        <v>71</v>
      </c>
      <c r="C65" s="4" t="s">
        <v>72</v>
      </c>
      <c r="D65" s="4">
        <v>50</v>
      </c>
      <c r="E65" s="16"/>
      <c r="F65" s="17">
        <f t="shared" si="0"/>
        <v>0</v>
      </c>
      <c r="G65" s="7"/>
    </row>
    <row r="66" spans="1:7" s="1" customFormat="1" ht="23.25">
      <c r="A66" s="25">
        <f t="shared" si="1"/>
        <v>65</v>
      </c>
      <c r="B66" s="32" t="s">
        <v>73</v>
      </c>
      <c r="C66" s="4" t="s">
        <v>34</v>
      </c>
      <c r="D66" s="4">
        <v>1</v>
      </c>
      <c r="E66" s="16"/>
      <c r="F66" s="17">
        <f t="shared" si="0"/>
        <v>0</v>
      </c>
      <c r="G66" s="7"/>
    </row>
    <row r="67" spans="1:7" s="1" customFormat="1" ht="23.25">
      <c r="A67" s="25">
        <f t="shared" si="1"/>
        <v>66</v>
      </c>
      <c r="B67" s="32" t="s">
        <v>74</v>
      </c>
      <c r="C67" s="4" t="s">
        <v>34</v>
      </c>
      <c r="D67" s="4">
        <v>1</v>
      </c>
      <c r="E67" s="16"/>
      <c r="F67" s="17">
        <f t="shared" ref="F67:F130" si="2">D67*E67</f>
        <v>0</v>
      </c>
      <c r="G67" s="7"/>
    </row>
    <row r="68" spans="1:7" s="1" customFormat="1" ht="23.25">
      <c r="A68" s="25">
        <f t="shared" ref="A68:A131" si="3">A67+1</f>
        <v>67</v>
      </c>
      <c r="B68" s="32" t="s">
        <v>75</v>
      </c>
      <c r="C68" s="4" t="s">
        <v>34</v>
      </c>
      <c r="D68" s="4">
        <v>1</v>
      </c>
      <c r="E68" s="16"/>
      <c r="F68" s="17">
        <f t="shared" si="2"/>
        <v>0</v>
      </c>
      <c r="G68" s="7"/>
    </row>
    <row r="69" spans="1:7" s="1" customFormat="1" ht="23.25">
      <c r="A69" s="25">
        <f t="shared" si="3"/>
        <v>68</v>
      </c>
      <c r="B69" s="32" t="s">
        <v>76</v>
      </c>
      <c r="C69" s="4" t="s">
        <v>34</v>
      </c>
      <c r="D69" s="4">
        <v>1</v>
      </c>
      <c r="E69" s="16"/>
      <c r="F69" s="17">
        <f t="shared" si="2"/>
        <v>0</v>
      </c>
      <c r="G69" s="7"/>
    </row>
    <row r="70" spans="1:7" s="1" customFormat="1" ht="23.25">
      <c r="A70" s="25">
        <f t="shared" si="3"/>
        <v>69</v>
      </c>
      <c r="B70" s="32" t="s">
        <v>77</v>
      </c>
      <c r="C70" s="4" t="s">
        <v>34</v>
      </c>
      <c r="D70" s="4">
        <v>1</v>
      </c>
      <c r="E70" s="16"/>
      <c r="F70" s="17">
        <f t="shared" si="2"/>
        <v>0</v>
      </c>
      <c r="G70" s="7"/>
    </row>
    <row r="71" spans="1:7" s="1" customFormat="1" ht="23.25">
      <c r="A71" s="25">
        <f t="shared" si="3"/>
        <v>70</v>
      </c>
      <c r="B71" s="32" t="s">
        <v>78</v>
      </c>
      <c r="C71" s="4" t="s">
        <v>34</v>
      </c>
      <c r="D71" s="4">
        <v>1</v>
      </c>
      <c r="E71" s="16"/>
      <c r="F71" s="17">
        <f t="shared" si="2"/>
        <v>0</v>
      </c>
      <c r="G71" s="7"/>
    </row>
    <row r="72" spans="1:7" s="1" customFormat="1" ht="23.25">
      <c r="A72" s="25">
        <f t="shared" si="3"/>
        <v>71</v>
      </c>
      <c r="B72" s="32" t="s">
        <v>79</v>
      </c>
      <c r="C72" s="4" t="s">
        <v>34</v>
      </c>
      <c r="D72" s="4">
        <v>1</v>
      </c>
      <c r="E72" s="18"/>
      <c r="F72" s="17">
        <f t="shared" si="2"/>
        <v>0</v>
      </c>
      <c r="G72" s="7"/>
    </row>
    <row r="73" spans="1:7" s="1" customFormat="1" ht="23.25">
      <c r="A73" s="25">
        <f t="shared" si="3"/>
        <v>72</v>
      </c>
      <c r="B73" s="32" t="s">
        <v>80</v>
      </c>
      <c r="C73" s="4" t="s">
        <v>34</v>
      </c>
      <c r="D73" s="4">
        <v>1</v>
      </c>
      <c r="E73" s="16"/>
      <c r="F73" s="17">
        <f t="shared" si="2"/>
        <v>0</v>
      </c>
      <c r="G73" s="7"/>
    </row>
    <row r="74" spans="1:7" s="1" customFormat="1" ht="23.25">
      <c r="A74" s="25">
        <f t="shared" si="3"/>
        <v>73</v>
      </c>
      <c r="B74" s="32" t="s">
        <v>81</v>
      </c>
      <c r="C74" s="4" t="s">
        <v>34</v>
      </c>
      <c r="D74" s="4">
        <v>1</v>
      </c>
      <c r="E74" s="16"/>
      <c r="F74" s="17">
        <f t="shared" si="2"/>
        <v>0</v>
      </c>
      <c r="G74" s="7"/>
    </row>
    <row r="75" spans="1:7" s="1" customFormat="1" ht="23.25">
      <c r="A75" s="25">
        <f t="shared" si="3"/>
        <v>74</v>
      </c>
      <c r="B75" s="32" t="s">
        <v>82</v>
      </c>
      <c r="C75" s="4" t="s">
        <v>34</v>
      </c>
      <c r="D75" s="4">
        <v>5</v>
      </c>
      <c r="E75" s="16"/>
      <c r="F75" s="17">
        <f t="shared" si="2"/>
        <v>0</v>
      </c>
      <c r="G75" s="7"/>
    </row>
    <row r="76" spans="1:7" s="1" customFormat="1" ht="23.25">
      <c r="A76" s="25">
        <f t="shared" si="3"/>
        <v>75</v>
      </c>
      <c r="B76" s="32" t="s">
        <v>83</v>
      </c>
      <c r="C76" s="4" t="s">
        <v>34</v>
      </c>
      <c r="D76" s="4">
        <v>15</v>
      </c>
      <c r="E76" s="16"/>
      <c r="F76" s="17">
        <f t="shared" si="2"/>
        <v>0</v>
      </c>
      <c r="G76" s="7"/>
    </row>
    <row r="77" spans="1:7" s="1" customFormat="1" ht="23.25">
      <c r="A77" s="25">
        <f t="shared" si="3"/>
        <v>76</v>
      </c>
      <c r="B77" s="32" t="s">
        <v>84</v>
      </c>
      <c r="C77" s="4" t="s">
        <v>34</v>
      </c>
      <c r="D77" s="4">
        <v>5</v>
      </c>
      <c r="E77" s="16"/>
      <c r="F77" s="17">
        <f t="shared" si="2"/>
        <v>0</v>
      </c>
      <c r="G77" s="7"/>
    </row>
    <row r="78" spans="1:7" s="1" customFormat="1" ht="23.25">
      <c r="A78" s="25">
        <f t="shared" si="3"/>
        <v>77</v>
      </c>
      <c r="B78" s="32" t="s">
        <v>85</v>
      </c>
      <c r="C78" s="4" t="s">
        <v>7</v>
      </c>
      <c r="D78" s="4">
        <v>50</v>
      </c>
      <c r="E78" s="16"/>
      <c r="F78" s="17">
        <f t="shared" si="2"/>
        <v>0</v>
      </c>
      <c r="G78" s="7"/>
    </row>
    <row r="79" spans="1:7" s="1" customFormat="1" ht="23.25">
      <c r="A79" s="25">
        <f t="shared" si="3"/>
        <v>78</v>
      </c>
      <c r="B79" s="32" t="s">
        <v>86</v>
      </c>
      <c r="C79" s="4" t="s">
        <v>7</v>
      </c>
      <c r="D79" s="4">
        <v>20</v>
      </c>
      <c r="E79" s="16"/>
      <c r="F79" s="17">
        <f t="shared" si="2"/>
        <v>0</v>
      </c>
      <c r="G79" s="7"/>
    </row>
    <row r="80" spans="1:7" s="1" customFormat="1" ht="23.25">
      <c r="A80" s="25">
        <f t="shared" si="3"/>
        <v>79</v>
      </c>
      <c r="B80" s="32" t="s">
        <v>87</v>
      </c>
      <c r="C80" s="4" t="s">
        <v>7</v>
      </c>
      <c r="D80" s="4">
        <v>20</v>
      </c>
      <c r="E80" s="16"/>
      <c r="F80" s="17">
        <f t="shared" si="2"/>
        <v>0</v>
      </c>
      <c r="G80" s="7"/>
    </row>
    <row r="81" spans="1:7" s="1" customFormat="1" ht="23.25">
      <c r="A81" s="25">
        <f t="shared" si="3"/>
        <v>80</v>
      </c>
      <c r="B81" s="32" t="s">
        <v>88</v>
      </c>
      <c r="C81" s="4" t="s">
        <v>7</v>
      </c>
      <c r="D81" s="4">
        <v>20</v>
      </c>
      <c r="E81" s="16"/>
      <c r="F81" s="17">
        <f t="shared" si="2"/>
        <v>0</v>
      </c>
      <c r="G81" s="7"/>
    </row>
    <row r="82" spans="1:7" s="1" customFormat="1" ht="23.25">
      <c r="A82" s="25">
        <f t="shared" si="3"/>
        <v>81</v>
      </c>
      <c r="B82" s="32" t="s">
        <v>89</v>
      </c>
      <c r="C82" s="4" t="s">
        <v>7</v>
      </c>
      <c r="D82" s="4">
        <v>20</v>
      </c>
      <c r="E82" s="16"/>
      <c r="F82" s="17">
        <f t="shared" si="2"/>
        <v>0</v>
      </c>
      <c r="G82" s="7"/>
    </row>
    <row r="83" spans="1:7" s="1" customFormat="1" ht="23.25">
      <c r="A83" s="25">
        <f t="shared" si="3"/>
        <v>82</v>
      </c>
      <c r="B83" s="32" t="s">
        <v>90</v>
      </c>
      <c r="C83" s="4" t="s">
        <v>7</v>
      </c>
      <c r="D83" s="4">
        <v>20</v>
      </c>
      <c r="E83" s="16"/>
      <c r="F83" s="17">
        <f t="shared" si="2"/>
        <v>0</v>
      </c>
      <c r="G83" s="7"/>
    </row>
    <row r="84" spans="1:7" s="1" customFormat="1" ht="23.25">
      <c r="A84" s="25">
        <f t="shared" si="3"/>
        <v>83</v>
      </c>
      <c r="B84" s="32" t="s">
        <v>91</v>
      </c>
      <c r="C84" s="4" t="s">
        <v>7</v>
      </c>
      <c r="D84" s="4">
        <v>100</v>
      </c>
      <c r="E84" s="16"/>
      <c r="F84" s="17">
        <f t="shared" si="2"/>
        <v>0</v>
      </c>
      <c r="G84" s="7"/>
    </row>
    <row r="85" spans="1:7" s="1" customFormat="1" ht="23.25">
      <c r="A85" s="25">
        <f t="shared" si="3"/>
        <v>84</v>
      </c>
      <c r="B85" s="32" t="s">
        <v>92</v>
      </c>
      <c r="C85" s="4" t="s">
        <v>7</v>
      </c>
      <c r="D85" s="4">
        <v>20</v>
      </c>
      <c r="E85" s="16"/>
      <c r="F85" s="17">
        <f t="shared" si="2"/>
        <v>0</v>
      </c>
      <c r="G85" s="7"/>
    </row>
    <row r="86" spans="1:7" s="1" customFormat="1" ht="23.25">
      <c r="A86" s="25">
        <f t="shared" si="3"/>
        <v>85</v>
      </c>
      <c r="B86" s="32" t="s">
        <v>93</v>
      </c>
      <c r="C86" s="4" t="s">
        <v>7</v>
      </c>
      <c r="D86" s="4">
        <v>200</v>
      </c>
      <c r="E86" s="16"/>
      <c r="F86" s="17">
        <f t="shared" si="2"/>
        <v>0</v>
      </c>
      <c r="G86" s="7"/>
    </row>
    <row r="87" spans="1:7" s="1" customFormat="1" ht="23.25">
      <c r="A87" s="25">
        <f t="shared" si="3"/>
        <v>86</v>
      </c>
      <c r="B87" s="32" t="s">
        <v>94</v>
      </c>
      <c r="C87" s="4" t="s">
        <v>7</v>
      </c>
      <c r="D87" s="4">
        <v>20</v>
      </c>
      <c r="E87" s="16"/>
      <c r="F87" s="17">
        <f t="shared" si="2"/>
        <v>0</v>
      </c>
      <c r="G87" s="7"/>
    </row>
    <row r="88" spans="1:7" s="1" customFormat="1" ht="23.25">
      <c r="A88" s="25">
        <f t="shared" si="3"/>
        <v>87</v>
      </c>
      <c r="B88" s="32" t="s">
        <v>95</v>
      </c>
      <c r="C88" s="4" t="s">
        <v>7</v>
      </c>
      <c r="D88" s="4">
        <v>20</v>
      </c>
      <c r="E88" s="16"/>
      <c r="F88" s="17">
        <f t="shared" si="2"/>
        <v>0</v>
      </c>
      <c r="G88" s="7"/>
    </row>
    <row r="89" spans="1:7" s="1" customFormat="1" ht="23.25">
      <c r="A89" s="25">
        <f t="shared" si="3"/>
        <v>88</v>
      </c>
      <c r="B89" s="32" t="s">
        <v>96</v>
      </c>
      <c r="C89" s="4" t="s">
        <v>7</v>
      </c>
      <c r="D89" s="4">
        <v>20</v>
      </c>
      <c r="E89" s="16"/>
      <c r="F89" s="17">
        <f t="shared" si="2"/>
        <v>0</v>
      </c>
      <c r="G89" s="7"/>
    </row>
    <row r="90" spans="1:7" s="1" customFormat="1" ht="23.25">
      <c r="A90" s="25">
        <f t="shared" si="3"/>
        <v>89</v>
      </c>
      <c r="B90" s="32" t="s">
        <v>97</v>
      </c>
      <c r="C90" s="4" t="s">
        <v>7</v>
      </c>
      <c r="D90" s="4">
        <v>20</v>
      </c>
      <c r="E90" s="16"/>
      <c r="F90" s="17">
        <f t="shared" si="2"/>
        <v>0</v>
      </c>
      <c r="G90" s="7"/>
    </row>
    <row r="91" spans="1:7" s="1" customFormat="1" ht="23.25">
      <c r="A91" s="25">
        <f t="shared" si="3"/>
        <v>90</v>
      </c>
      <c r="B91" s="32" t="s">
        <v>98</v>
      </c>
      <c r="C91" s="4" t="s">
        <v>7</v>
      </c>
      <c r="D91" s="4">
        <v>20</v>
      </c>
      <c r="E91" s="16"/>
      <c r="F91" s="17">
        <f t="shared" si="2"/>
        <v>0</v>
      </c>
      <c r="G91" s="7"/>
    </row>
    <row r="92" spans="1:7" s="1" customFormat="1" ht="23.25">
      <c r="A92" s="25">
        <f t="shared" si="3"/>
        <v>91</v>
      </c>
      <c r="B92" s="32" t="s">
        <v>99</v>
      </c>
      <c r="C92" s="4" t="s">
        <v>7</v>
      </c>
      <c r="D92" s="4">
        <v>200</v>
      </c>
      <c r="E92" s="16"/>
      <c r="F92" s="17">
        <f t="shared" si="2"/>
        <v>0</v>
      </c>
      <c r="G92" s="7"/>
    </row>
    <row r="93" spans="1:7" s="1" customFormat="1" ht="23.25">
      <c r="A93" s="25">
        <f t="shared" si="3"/>
        <v>92</v>
      </c>
      <c r="B93" s="32" t="s">
        <v>100</v>
      </c>
      <c r="C93" s="4" t="s">
        <v>7</v>
      </c>
      <c r="D93" s="27">
        <v>20</v>
      </c>
      <c r="E93" s="16"/>
      <c r="F93" s="17">
        <f t="shared" si="2"/>
        <v>0</v>
      </c>
      <c r="G93" s="7"/>
    </row>
    <row r="94" spans="1:7" s="1" customFormat="1" ht="23.25">
      <c r="A94" s="25">
        <f t="shared" si="3"/>
        <v>93</v>
      </c>
      <c r="B94" s="32" t="s">
        <v>101</v>
      </c>
      <c r="C94" s="4" t="s">
        <v>7</v>
      </c>
      <c r="D94" s="4">
        <v>100</v>
      </c>
      <c r="E94" s="16"/>
      <c r="F94" s="17">
        <f t="shared" si="2"/>
        <v>0</v>
      </c>
      <c r="G94" s="7"/>
    </row>
    <row r="95" spans="1:7" s="1" customFormat="1" ht="23.25">
      <c r="A95" s="25">
        <f t="shared" si="3"/>
        <v>94</v>
      </c>
      <c r="B95" s="32" t="s">
        <v>102</v>
      </c>
      <c r="C95" s="4" t="s">
        <v>7</v>
      </c>
      <c r="D95" s="4">
        <v>50</v>
      </c>
      <c r="E95" s="16"/>
      <c r="F95" s="17">
        <f t="shared" si="2"/>
        <v>0</v>
      </c>
      <c r="G95" s="7"/>
    </row>
    <row r="96" spans="1:7" s="1" customFormat="1" ht="23.25">
      <c r="A96" s="25">
        <f t="shared" si="3"/>
        <v>95</v>
      </c>
      <c r="B96" s="32" t="s">
        <v>103</v>
      </c>
      <c r="C96" s="4" t="s">
        <v>7</v>
      </c>
      <c r="D96" s="4">
        <v>50</v>
      </c>
      <c r="E96" s="16"/>
      <c r="F96" s="17">
        <f t="shared" si="2"/>
        <v>0</v>
      </c>
      <c r="G96" s="7"/>
    </row>
    <row r="97" spans="1:7" s="1" customFormat="1" ht="23.25">
      <c r="A97" s="25">
        <f t="shared" si="3"/>
        <v>96</v>
      </c>
      <c r="B97" s="32" t="s">
        <v>104</v>
      </c>
      <c r="C97" s="4" t="s">
        <v>34</v>
      </c>
      <c r="D97" s="4">
        <v>3</v>
      </c>
      <c r="E97" s="16"/>
      <c r="F97" s="17">
        <f t="shared" si="2"/>
        <v>0</v>
      </c>
      <c r="G97" s="7"/>
    </row>
    <row r="98" spans="1:7" s="1" customFormat="1" ht="23.25">
      <c r="A98" s="25">
        <f t="shared" si="3"/>
        <v>97</v>
      </c>
      <c r="B98" s="32" t="s">
        <v>105</v>
      </c>
      <c r="C98" s="4" t="s">
        <v>34</v>
      </c>
      <c r="D98" s="4">
        <v>3</v>
      </c>
      <c r="E98" s="16"/>
      <c r="F98" s="17">
        <f t="shared" si="2"/>
        <v>0</v>
      </c>
      <c r="G98" s="7"/>
    </row>
    <row r="99" spans="1:7" s="1" customFormat="1" ht="36">
      <c r="A99" s="25">
        <f t="shared" si="3"/>
        <v>98</v>
      </c>
      <c r="B99" s="34" t="s">
        <v>106</v>
      </c>
      <c r="C99" s="4" t="s">
        <v>34</v>
      </c>
      <c r="D99" s="4">
        <v>2</v>
      </c>
      <c r="E99" s="16"/>
      <c r="F99" s="17">
        <f t="shared" si="2"/>
        <v>0</v>
      </c>
      <c r="G99" s="7"/>
    </row>
    <row r="100" spans="1:7" s="1" customFormat="1" ht="36">
      <c r="A100" s="25">
        <f t="shared" si="3"/>
        <v>99</v>
      </c>
      <c r="B100" s="34" t="s">
        <v>252</v>
      </c>
      <c r="C100" s="4" t="s">
        <v>7</v>
      </c>
      <c r="D100" s="4">
        <v>3000</v>
      </c>
      <c r="E100" s="16"/>
      <c r="F100" s="17">
        <f t="shared" si="2"/>
        <v>0</v>
      </c>
      <c r="G100" s="7"/>
    </row>
    <row r="101" spans="1:7" s="1" customFormat="1" ht="36">
      <c r="A101" s="25">
        <f t="shared" si="3"/>
        <v>100</v>
      </c>
      <c r="B101" s="34" t="s">
        <v>253</v>
      </c>
      <c r="C101" s="4" t="s">
        <v>7</v>
      </c>
      <c r="D101" s="4">
        <v>500</v>
      </c>
      <c r="E101" s="16"/>
      <c r="F101" s="17">
        <f t="shared" si="2"/>
        <v>0</v>
      </c>
      <c r="G101" s="7"/>
    </row>
    <row r="102" spans="1:7" s="1" customFormat="1" ht="23.25">
      <c r="A102" s="25">
        <f t="shared" si="3"/>
        <v>101</v>
      </c>
      <c r="B102" s="32" t="s">
        <v>107</v>
      </c>
      <c r="C102" s="4" t="s">
        <v>72</v>
      </c>
      <c r="D102" s="4">
        <v>25</v>
      </c>
      <c r="E102" s="16"/>
      <c r="F102" s="17">
        <f t="shared" si="2"/>
        <v>0</v>
      </c>
      <c r="G102" s="7"/>
    </row>
    <row r="103" spans="1:7" s="1" customFormat="1" ht="23.25">
      <c r="A103" s="25">
        <f t="shared" si="3"/>
        <v>102</v>
      </c>
      <c r="B103" s="32" t="s">
        <v>108</v>
      </c>
      <c r="C103" s="4" t="s">
        <v>7</v>
      </c>
      <c r="D103" s="4">
        <v>20</v>
      </c>
      <c r="E103" s="16"/>
      <c r="F103" s="17">
        <f t="shared" si="2"/>
        <v>0</v>
      </c>
      <c r="G103" s="7"/>
    </row>
    <row r="104" spans="1:7" s="1" customFormat="1" ht="23.25">
      <c r="A104" s="25">
        <f t="shared" si="3"/>
        <v>103</v>
      </c>
      <c r="B104" s="32" t="s">
        <v>109</v>
      </c>
      <c r="C104" s="4" t="s">
        <v>7</v>
      </c>
      <c r="D104" s="4">
        <v>10</v>
      </c>
      <c r="E104" s="16"/>
      <c r="F104" s="17">
        <f t="shared" si="2"/>
        <v>0</v>
      </c>
      <c r="G104" s="7"/>
    </row>
    <row r="105" spans="1:7" s="1" customFormat="1" ht="23.25">
      <c r="A105" s="25">
        <f t="shared" si="3"/>
        <v>104</v>
      </c>
      <c r="B105" s="32" t="s">
        <v>110</v>
      </c>
      <c r="C105" s="4" t="s">
        <v>34</v>
      </c>
      <c r="D105" s="4">
        <v>2</v>
      </c>
      <c r="E105" s="16"/>
      <c r="F105" s="17">
        <f t="shared" si="2"/>
        <v>0</v>
      </c>
      <c r="G105" s="7"/>
    </row>
    <row r="106" spans="1:7" s="1" customFormat="1" ht="23.25">
      <c r="A106" s="25">
        <f t="shared" si="3"/>
        <v>105</v>
      </c>
      <c r="B106" s="32" t="s">
        <v>111</v>
      </c>
      <c r="C106" s="4" t="s">
        <v>34</v>
      </c>
      <c r="D106" s="4">
        <v>2</v>
      </c>
      <c r="E106" s="16"/>
      <c r="F106" s="17">
        <f t="shared" si="2"/>
        <v>0</v>
      </c>
      <c r="G106" s="7"/>
    </row>
    <row r="107" spans="1:7" s="1" customFormat="1" ht="23.25">
      <c r="A107" s="25">
        <f t="shared" si="3"/>
        <v>106</v>
      </c>
      <c r="B107" s="32" t="s">
        <v>112</v>
      </c>
      <c r="C107" s="4" t="s">
        <v>7</v>
      </c>
      <c r="D107" s="4">
        <v>100</v>
      </c>
      <c r="E107" s="16"/>
      <c r="F107" s="17">
        <f t="shared" si="2"/>
        <v>0</v>
      </c>
      <c r="G107" s="7"/>
    </row>
    <row r="108" spans="1:7" s="1" customFormat="1" ht="23.25">
      <c r="A108" s="25">
        <f t="shared" si="3"/>
        <v>107</v>
      </c>
      <c r="B108" s="32" t="s">
        <v>113</v>
      </c>
      <c r="C108" s="4" t="s">
        <v>7</v>
      </c>
      <c r="D108" s="4">
        <v>250</v>
      </c>
      <c r="E108" s="16"/>
      <c r="F108" s="17">
        <f t="shared" si="2"/>
        <v>0</v>
      </c>
      <c r="G108" s="7"/>
    </row>
    <row r="109" spans="1:7" s="1" customFormat="1" ht="23.25">
      <c r="A109" s="25">
        <f t="shared" si="3"/>
        <v>108</v>
      </c>
      <c r="B109" s="32" t="s">
        <v>114</v>
      </c>
      <c r="C109" s="4" t="s">
        <v>7</v>
      </c>
      <c r="D109" s="4">
        <v>50</v>
      </c>
      <c r="E109" s="16"/>
      <c r="F109" s="17">
        <f t="shared" si="2"/>
        <v>0</v>
      </c>
      <c r="G109" s="7"/>
    </row>
    <row r="110" spans="1:7" s="1" customFormat="1" ht="23.25">
      <c r="A110" s="25">
        <f t="shared" si="3"/>
        <v>109</v>
      </c>
      <c r="B110" s="32" t="s">
        <v>115</v>
      </c>
      <c r="C110" s="4" t="s">
        <v>7</v>
      </c>
      <c r="D110" s="4">
        <v>1000</v>
      </c>
      <c r="E110" s="16"/>
      <c r="F110" s="17">
        <f t="shared" si="2"/>
        <v>0</v>
      </c>
      <c r="G110" s="7"/>
    </row>
    <row r="111" spans="1:7" s="1" customFormat="1" ht="23.25">
      <c r="A111" s="25">
        <f t="shared" si="3"/>
        <v>110</v>
      </c>
      <c r="B111" s="32" t="s">
        <v>116</v>
      </c>
      <c r="C111" s="4" t="s">
        <v>7</v>
      </c>
      <c r="D111" s="4">
        <v>50</v>
      </c>
      <c r="E111" s="16"/>
      <c r="F111" s="17">
        <f t="shared" si="2"/>
        <v>0</v>
      </c>
      <c r="G111" s="7"/>
    </row>
    <row r="112" spans="1:7" s="1" customFormat="1" ht="23.25">
      <c r="A112" s="25">
        <f t="shared" si="3"/>
        <v>111</v>
      </c>
      <c r="B112" s="32" t="s">
        <v>117</v>
      </c>
      <c r="C112" s="4" t="s">
        <v>7</v>
      </c>
      <c r="D112" s="4">
        <v>100</v>
      </c>
      <c r="E112" s="16"/>
      <c r="F112" s="17">
        <f t="shared" si="2"/>
        <v>0</v>
      </c>
      <c r="G112" s="7"/>
    </row>
    <row r="113" spans="1:7" s="1" customFormat="1" ht="23.25">
      <c r="A113" s="25">
        <f t="shared" si="3"/>
        <v>112</v>
      </c>
      <c r="B113" s="32" t="s">
        <v>118</v>
      </c>
      <c r="C113" s="4" t="s">
        <v>7</v>
      </c>
      <c r="D113" s="4">
        <v>50</v>
      </c>
      <c r="E113" s="16"/>
      <c r="F113" s="17">
        <f t="shared" si="2"/>
        <v>0</v>
      </c>
      <c r="G113" s="7"/>
    </row>
    <row r="114" spans="1:7" s="1" customFormat="1" ht="23.25">
      <c r="A114" s="25">
        <f t="shared" si="3"/>
        <v>113</v>
      </c>
      <c r="B114" s="32" t="s">
        <v>119</v>
      </c>
      <c r="C114" s="4" t="s">
        <v>7</v>
      </c>
      <c r="D114" s="4">
        <v>3000</v>
      </c>
      <c r="E114" s="16"/>
      <c r="F114" s="17">
        <f t="shared" si="2"/>
        <v>0</v>
      </c>
      <c r="G114" s="7"/>
    </row>
    <row r="115" spans="1:7" s="1" customFormat="1" ht="23.25">
      <c r="A115" s="25">
        <f t="shared" si="3"/>
        <v>114</v>
      </c>
      <c r="B115" s="32" t="s">
        <v>120</v>
      </c>
      <c r="C115" s="4" t="s">
        <v>7</v>
      </c>
      <c r="D115" s="4">
        <v>20</v>
      </c>
      <c r="E115" s="16"/>
      <c r="F115" s="17">
        <f t="shared" si="2"/>
        <v>0</v>
      </c>
      <c r="G115" s="7"/>
    </row>
    <row r="116" spans="1:7" s="1" customFormat="1" ht="23.25">
      <c r="A116" s="25">
        <f t="shared" si="3"/>
        <v>115</v>
      </c>
      <c r="B116" s="32" t="s">
        <v>121</v>
      </c>
      <c r="C116" s="4" t="s">
        <v>7</v>
      </c>
      <c r="D116" s="4">
        <v>20</v>
      </c>
      <c r="E116" s="16"/>
      <c r="F116" s="17">
        <f t="shared" si="2"/>
        <v>0</v>
      </c>
      <c r="G116" s="7"/>
    </row>
    <row r="117" spans="1:7" s="1" customFormat="1" ht="23.25">
      <c r="A117" s="25">
        <f t="shared" si="3"/>
        <v>116</v>
      </c>
      <c r="B117" s="32" t="s">
        <v>248</v>
      </c>
      <c r="C117" s="4" t="s">
        <v>7</v>
      </c>
      <c r="D117" s="4">
        <v>750</v>
      </c>
      <c r="E117" s="16"/>
      <c r="F117" s="17">
        <f t="shared" si="2"/>
        <v>0</v>
      </c>
      <c r="G117" s="7"/>
    </row>
    <row r="118" spans="1:7" s="1" customFormat="1" ht="23.25">
      <c r="A118" s="25">
        <f t="shared" si="3"/>
        <v>117</v>
      </c>
      <c r="B118" s="33" t="s">
        <v>249</v>
      </c>
      <c r="C118" s="24" t="s">
        <v>7</v>
      </c>
      <c r="D118" s="24">
        <v>500</v>
      </c>
      <c r="E118" s="16"/>
      <c r="F118" s="17">
        <f t="shared" si="2"/>
        <v>0</v>
      </c>
      <c r="G118" s="7"/>
    </row>
    <row r="119" spans="1:7" s="1" customFormat="1" ht="23.25">
      <c r="A119" s="25">
        <f t="shared" si="3"/>
        <v>118</v>
      </c>
      <c r="B119" s="32" t="s">
        <v>122</v>
      </c>
      <c r="C119" s="4" t="s">
        <v>7</v>
      </c>
      <c r="D119" s="4">
        <v>20</v>
      </c>
      <c r="E119" s="16"/>
      <c r="F119" s="17">
        <f t="shared" si="2"/>
        <v>0</v>
      </c>
      <c r="G119" s="7"/>
    </row>
    <row r="120" spans="1:7" s="1" customFormat="1" ht="23.25">
      <c r="A120" s="25">
        <f t="shared" si="3"/>
        <v>119</v>
      </c>
      <c r="B120" s="33" t="s">
        <v>246</v>
      </c>
      <c r="C120" s="24" t="s">
        <v>7</v>
      </c>
      <c r="D120" s="24">
        <v>1000</v>
      </c>
      <c r="E120" s="16"/>
      <c r="F120" s="17">
        <f t="shared" si="2"/>
        <v>0</v>
      </c>
      <c r="G120" s="7"/>
    </row>
    <row r="121" spans="1:7" s="1" customFormat="1" ht="23.25">
      <c r="A121" s="25">
        <f t="shared" si="3"/>
        <v>120</v>
      </c>
      <c r="B121" s="32" t="s">
        <v>123</v>
      </c>
      <c r="C121" s="4" t="s">
        <v>7</v>
      </c>
      <c r="D121" s="4">
        <v>100</v>
      </c>
      <c r="E121" s="16"/>
      <c r="F121" s="17">
        <f t="shared" si="2"/>
        <v>0</v>
      </c>
      <c r="G121" s="7"/>
    </row>
    <row r="122" spans="1:7" s="1" customFormat="1" ht="23.25">
      <c r="A122" s="25">
        <f t="shared" si="3"/>
        <v>121</v>
      </c>
      <c r="B122" s="33" t="s">
        <v>250</v>
      </c>
      <c r="C122" s="24" t="s">
        <v>7</v>
      </c>
      <c r="D122" s="24">
        <v>100</v>
      </c>
      <c r="E122" s="16"/>
      <c r="F122" s="17">
        <f t="shared" si="2"/>
        <v>0</v>
      </c>
      <c r="G122" s="7"/>
    </row>
    <row r="123" spans="1:7" s="1" customFormat="1" ht="23.25">
      <c r="A123" s="25">
        <f t="shared" si="3"/>
        <v>122</v>
      </c>
      <c r="B123" s="33" t="s">
        <v>124</v>
      </c>
      <c r="C123" s="24" t="s">
        <v>7</v>
      </c>
      <c r="D123" s="24">
        <v>200</v>
      </c>
      <c r="E123" s="16"/>
      <c r="F123" s="17">
        <f t="shared" si="2"/>
        <v>0</v>
      </c>
      <c r="G123" s="7"/>
    </row>
    <row r="124" spans="1:7" s="1" customFormat="1" ht="23.25">
      <c r="A124" s="25">
        <f t="shared" si="3"/>
        <v>123</v>
      </c>
      <c r="B124" s="33" t="s">
        <v>125</v>
      </c>
      <c r="C124" s="24" t="s">
        <v>7</v>
      </c>
      <c r="D124" s="24">
        <v>200</v>
      </c>
      <c r="E124" s="16"/>
      <c r="F124" s="17">
        <f t="shared" si="2"/>
        <v>0</v>
      </c>
      <c r="G124" s="7"/>
    </row>
    <row r="125" spans="1:7" s="1" customFormat="1" ht="23.25">
      <c r="A125" s="25">
        <f t="shared" si="3"/>
        <v>124</v>
      </c>
      <c r="B125" s="33" t="s">
        <v>126</v>
      </c>
      <c r="C125" s="24" t="s">
        <v>7</v>
      </c>
      <c r="D125" s="24">
        <v>200</v>
      </c>
      <c r="E125" s="16"/>
      <c r="F125" s="17">
        <f t="shared" si="2"/>
        <v>0</v>
      </c>
      <c r="G125" s="7"/>
    </row>
    <row r="126" spans="1:7" s="1" customFormat="1" ht="23.25">
      <c r="A126" s="25">
        <f t="shared" si="3"/>
        <v>125</v>
      </c>
      <c r="B126" s="33" t="s">
        <v>127</v>
      </c>
      <c r="C126" s="24" t="s">
        <v>7</v>
      </c>
      <c r="D126" s="24">
        <v>200</v>
      </c>
      <c r="E126" s="16"/>
      <c r="F126" s="17">
        <f t="shared" si="2"/>
        <v>0</v>
      </c>
      <c r="G126" s="7"/>
    </row>
    <row r="127" spans="1:7" s="1" customFormat="1" ht="23.25">
      <c r="A127" s="25">
        <f t="shared" si="3"/>
        <v>126</v>
      </c>
      <c r="B127" s="33" t="s">
        <v>128</v>
      </c>
      <c r="C127" s="24" t="s">
        <v>7</v>
      </c>
      <c r="D127" s="24">
        <v>500</v>
      </c>
      <c r="E127" s="16"/>
      <c r="F127" s="17">
        <f t="shared" si="2"/>
        <v>0</v>
      </c>
      <c r="G127" s="7"/>
    </row>
    <row r="128" spans="1:7" s="1" customFormat="1" ht="23.25">
      <c r="A128" s="25">
        <f t="shared" si="3"/>
        <v>127</v>
      </c>
      <c r="B128" s="33" t="s">
        <v>129</v>
      </c>
      <c r="C128" s="24" t="s">
        <v>7</v>
      </c>
      <c r="D128" s="24">
        <v>500</v>
      </c>
      <c r="E128" s="16"/>
      <c r="F128" s="17">
        <f t="shared" si="2"/>
        <v>0</v>
      </c>
      <c r="G128" s="7"/>
    </row>
    <row r="129" spans="1:7" s="1" customFormat="1" ht="23.25">
      <c r="A129" s="25">
        <f t="shared" si="3"/>
        <v>128</v>
      </c>
      <c r="B129" s="33" t="s">
        <v>130</v>
      </c>
      <c r="C129" s="24" t="s">
        <v>7</v>
      </c>
      <c r="D129" s="24">
        <v>500</v>
      </c>
      <c r="E129" s="16"/>
      <c r="F129" s="17">
        <f t="shared" si="2"/>
        <v>0</v>
      </c>
      <c r="G129" s="7"/>
    </row>
    <row r="130" spans="1:7" s="1" customFormat="1" ht="23.25">
      <c r="A130" s="25">
        <f t="shared" si="3"/>
        <v>129</v>
      </c>
      <c r="B130" s="32" t="s">
        <v>131</v>
      </c>
      <c r="C130" s="4" t="s">
        <v>34</v>
      </c>
      <c r="D130" s="4">
        <v>5</v>
      </c>
      <c r="E130" s="16"/>
      <c r="F130" s="17">
        <f t="shared" si="2"/>
        <v>0</v>
      </c>
      <c r="G130" s="7"/>
    </row>
    <row r="131" spans="1:7" s="1" customFormat="1" ht="23.25">
      <c r="A131" s="25">
        <f t="shared" si="3"/>
        <v>130</v>
      </c>
      <c r="B131" s="32" t="s">
        <v>132</v>
      </c>
      <c r="C131" s="4" t="s">
        <v>34</v>
      </c>
      <c r="D131" s="4">
        <v>5</v>
      </c>
      <c r="E131" s="16"/>
      <c r="F131" s="17">
        <f t="shared" ref="F131:F194" si="4">D131*E131</f>
        <v>0</v>
      </c>
      <c r="G131" s="7"/>
    </row>
    <row r="132" spans="1:7" s="1" customFormat="1" ht="23.25">
      <c r="A132" s="25">
        <f t="shared" ref="A132:A195" si="5">A131+1</f>
        <v>131</v>
      </c>
      <c r="B132" s="32" t="s">
        <v>133</v>
      </c>
      <c r="C132" s="4" t="s">
        <v>34</v>
      </c>
      <c r="D132" s="4">
        <v>5</v>
      </c>
      <c r="E132" s="16"/>
      <c r="F132" s="17">
        <f t="shared" si="4"/>
        <v>0</v>
      </c>
      <c r="G132" s="7"/>
    </row>
    <row r="133" spans="1:7" s="1" customFormat="1" ht="23.25">
      <c r="A133" s="25">
        <f t="shared" si="5"/>
        <v>132</v>
      </c>
      <c r="B133" s="32" t="s">
        <v>134</v>
      </c>
      <c r="C133" s="4" t="s">
        <v>34</v>
      </c>
      <c r="D133" s="4">
        <v>2</v>
      </c>
      <c r="E133" s="16"/>
      <c r="F133" s="17">
        <f t="shared" si="4"/>
        <v>0</v>
      </c>
      <c r="G133" s="7"/>
    </row>
    <row r="134" spans="1:7" s="1" customFormat="1" ht="23.25">
      <c r="A134" s="25">
        <f t="shared" si="5"/>
        <v>133</v>
      </c>
      <c r="B134" s="32" t="s">
        <v>135</v>
      </c>
      <c r="C134" s="4" t="s">
        <v>34</v>
      </c>
      <c r="D134" s="4">
        <v>1</v>
      </c>
      <c r="E134" s="16"/>
      <c r="F134" s="17">
        <f t="shared" si="4"/>
        <v>0</v>
      </c>
      <c r="G134" s="7"/>
    </row>
    <row r="135" spans="1:7" s="1" customFormat="1" ht="23.25">
      <c r="A135" s="25">
        <f t="shared" si="5"/>
        <v>134</v>
      </c>
      <c r="B135" s="32" t="s">
        <v>136</v>
      </c>
      <c r="C135" s="4" t="s">
        <v>34</v>
      </c>
      <c r="D135" s="4">
        <v>1</v>
      </c>
      <c r="E135" s="16"/>
      <c r="F135" s="17">
        <f t="shared" si="4"/>
        <v>0</v>
      </c>
      <c r="G135" s="7"/>
    </row>
    <row r="136" spans="1:7" s="1" customFormat="1" ht="23.25">
      <c r="A136" s="25">
        <f t="shared" si="5"/>
        <v>135</v>
      </c>
      <c r="B136" s="32" t="s">
        <v>137</v>
      </c>
      <c r="C136" s="4" t="s">
        <v>34</v>
      </c>
      <c r="D136" s="4">
        <v>2</v>
      </c>
      <c r="E136" s="16"/>
      <c r="F136" s="17">
        <f t="shared" si="4"/>
        <v>0</v>
      </c>
      <c r="G136" s="7"/>
    </row>
    <row r="137" spans="1:7" s="1" customFormat="1" ht="23.25">
      <c r="A137" s="25">
        <f t="shared" si="5"/>
        <v>136</v>
      </c>
      <c r="B137" s="32" t="s">
        <v>138</v>
      </c>
      <c r="C137" s="4" t="s">
        <v>34</v>
      </c>
      <c r="D137" s="4">
        <v>1</v>
      </c>
      <c r="E137" s="16"/>
      <c r="F137" s="17">
        <f t="shared" si="4"/>
        <v>0</v>
      </c>
      <c r="G137" s="7"/>
    </row>
    <row r="138" spans="1:7" s="1" customFormat="1" ht="23.25">
      <c r="A138" s="25">
        <f t="shared" si="5"/>
        <v>137</v>
      </c>
      <c r="B138" s="32" t="s">
        <v>139</v>
      </c>
      <c r="C138" s="4" t="s">
        <v>34</v>
      </c>
      <c r="D138" s="4">
        <v>2</v>
      </c>
      <c r="E138" s="16"/>
      <c r="F138" s="17">
        <f t="shared" si="4"/>
        <v>0</v>
      </c>
      <c r="G138" s="7"/>
    </row>
    <row r="139" spans="1:7" s="1" customFormat="1" ht="23.25">
      <c r="A139" s="25">
        <f t="shared" si="5"/>
        <v>138</v>
      </c>
      <c r="B139" s="32" t="s">
        <v>140</v>
      </c>
      <c r="C139" s="4" t="s">
        <v>34</v>
      </c>
      <c r="D139" s="4">
        <v>10</v>
      </c>
      <c r="E139" s="16"/>
      <c r="F139" s="17">
        <f t="shared" si="4"/>
        <v>0</v>
      </c>
      <c r="G139" s="7"/>
    </row>
    <row r="140" spans="1:7" s="1" customFormat="1" ht="23.25">
      <c r="A140" s="25">
        <f t="shared" si="5"/>
        <v>139</v>
      </c>
      <c r="B140" s="32" t="s">
        <v>141</v>
      </c>
      <c r="C140" s="4" t="s">
        <v>34</v>
      </c>
      <c r="D140" s="4">
        <v>20</v>
      </c>
      <c r="E140" s="16"/>
      <c r="F140" s="17">
        <f t="shared" si="4"/>
        <v>0</v>
      </c>
      <c r="G140" s="7"/>
    </row>
    <row r="141" spans="1:7" s="1" customFormat="1" ht="23.25">
      <c r="A141" s="25">
        <f t="shared" si="5"/>
        <v>140</v>
      </c>
      <c r="B141" s="32" t="s">
        <v>142</v>
      </c>
      <c r="C141" s="4" t="s">
        <v>34</v>
      </c>
      <c r="D141" s="4">
        <v>1</v>
      </c>
      <c r="E141" s="16"/>
      <c r="F141" s="17">
        <f t="shared" si="4"/>
        <v>0</v>
      </c>
      <c r="G141" s="7"/>
    </row>
    <row r="142" spans="1:7" s="1" customFormat="1" ht="23.25">
      <c r="A142" s="25">
        <f t="shared" si="5"/>
        <v>141</v>
      </c>
      <c r="B142" s="32" t="s">
        <v>143</v>
      </c>
      <c r="C142" s="4" t="s">
        <v>34</v>
      </c>
      <c r="D142" s="4">
        <v>2</v>
      </c>
      <c r="E142" s="16"/>
      <c r="F142" s="17">
        <f t="shared" si="4"/>
        <v>0</v>
      </c>
      <c r="G142" s="7"/>
    </row>
    <row r="143" spans="1:7" s="1" customFormat="1" ht="23.25">
      <c r="A143" s="25">
        <f t="shared" si="5"/>
        <v>142</v>
      </c>
      <c r="B143" s="32" t="s">
        <v>144</v>
      </c>
      <c r="C143" s="4" t="s">
        <v>34</v>
      </c>
      <c r="D143" s="4">
        <v>5</v>
      </c>
      <c r="E143" s="16"/>
      <c r="F143" s="17">
        <f t="shared" si="4"/>
        <v>0</v>
      </c>
      <c r="G143" s="7"/>
    </row>
    <row r="144" spans="1:7" s="1" customFormat="1" ht="23.25">
      <c r="A144" s="25">
        <f t="shared" si="5"/>
        <v>143</v>
      </c>
      <c r="B144" s="32" t="s">
        <v>145</v>
      </c>
      <c r="C144" s="4" t="s">
        <v>34</v>
      </c>
      <c r="D144" s="4">
        <v>2</v>
      </c>
      <c r="E144" s="16"/>
      <c r="F144" s="17">
        <f t="shared" si="4"/>
        <v>0</v>
      </c>
      <c r="G144" s="7"/>
    </row>
    <row r="145" spans="1:7" s="1" customFormat="1" ht="23.25">
      <c r="A145" s="25">
        <f t="shared" si="5"/>
        <v>144</v>
      </c>
      <c r="B145" s="32" t="s">
        <v>146</v>
      </c>
      <c r="C145" s="4" t="s">
        <v>34</v>
      </c>
      <c r="D145" s="4">
        <v>2</v>
      </c>
      <c r="E145" s="16"/>
      <c r="F145" s="17">
        <f t="shared" si="4"/>
        <v>0</v>
      </c>
      <c r="G145" s="7"/>
    </row>
    <row r="146" spans="1:7" s="1" customFormat="1" ht="23.25">
      <c r="A146" s="25">
        <f t="shared" si="5"/>
        <v>145</v>
      </c>
      <c r="B146" s="32" t="s">
        <v>147</v>
      </c>
      <c r="C146" s="4" t="s">
        <v>34</v>
      </c>
      <c r="D146" s="4">
        <v>3</v>
      </c>
      <c r="E146" s="16"/>
      <c r="F146" s="17">
        <f t="shared" si="4"/>
        <v>0</v>
      </c>
      <c r="G146" s="7"/>
    </row>
    <row r="147" spans="1:7" s="1" customFormat="1" ht="23.25">
      <c r="A147" s="25">
        <f t="shared" si="5"/>
        <v>146</v>
      </c>
      <c r="B147" s="32" t="s">
        <v>247</v>
      </c>
      <c r="C147" s="4" t="s">
        <v>34</v>
      </c>
      <c r="D147" s="4">
        <v>1</v>
      </c>
      <c r="E147" s="47"/>
      <c r="F147" s="17">
        <f t="shared" si="4"/>
        <v>0</v>
      </c>
      <c r="G147" s="7"/>
    </row>
    <row r="148" spans="1:7" s="1" customFormat="1" ht="23.25">
      <c r="A148" s="25">
        <f t="shared" si="5"/>
        <v>147</v>
      </c>
      <c r="B148" s="32" t="s">
        <v>148</v>
      </c>
      <c r="C148" s="4" t="s">
        <v>34</v>
      </c>
      <c r="D148" s="4">
        <v>5</v>
      </c>
      <c r="E148" s="16"/>
      <c r="F148" s="17">
        <f t="shared" si="4"/>
        <v>0</v>
      </c>
      <c r="G148" s="7"/>
    </row>
    <row r="149" spans="1:7" s="1" customFormat="1" ht="23.25">
      <c r="A149" s="25">
        <f t="shared" si="5"/>
        <v>148</v>
      </c>
      <c r="B149" s="32" t="s">
        <v>149</v>
      </c>
      <c r="C149" s="4" t="s">
        <v>34</v>
      </c>
      <c r="D149" s="4">
        <v>1</v>
      </c>
      <c r="E149" s="16"/>
      <c r="F149" s="17">
        <f t="shared" si="4"/>
        <v>0</v>
      </c>
      <c r="G149" s="7"/>
    </row>
    <row r="150" spans="1:7" s="1" customFormat="1" ht="23.25">
      <c r="A150" s="25">
        <f t="shared" si="5"/>
        <v>149</v>
      </c>
      <c r="B150" s="32" t="s">
        <v>150</v>
      </c>
      <c r="C150" s="4" t="s">
        <v>151</v>
      </c>
      <c r="D150" s="4">
        <v>10000</v>
      </c>
      <c r="E150" s="16"/>
      <c r="F150" s="17">
        <f t="shared" si="4"/>
        <v>0</v>
      </c>
      <c r="G150" s="7"/>
    </row>
    <row r="151" spans="1:7" s="1" customFormat="1" ht="23.25">
      <c r="A151" s="25">
        <f t="shared" si="5"/>
        <v>150</v>
      </c>
      <c r="B151" s="32" t="s">
        <v>152</v>
      </c>
      <c r="C151" s="4" t="s">
        <v>151</v>
      </c>
      <c r="D151" s="4">
        <v>10000</v>
      </c>
      <c r="E151" s="16"/>
      <c r="F151" s="17">
        <f t="shared" si="4"/>
        <v>0</v>
      </c>
      <c r="G151" s="7"/>
    </row>
    <row r="152" spans="1:7" s="1" customFormat="1" ht="23.25">
      <c r="A152" s="25">
        <f t="shared" si="5"/>
        <v>151</v>
      </c>
      <c r="B152" s="32" t="s">
        <v>153</v>
      </c>
      <c r="C152" s="4" t="s">
        <v>34</v>
      </c>
      <c r="D152" s="4">
        <v>5</v>
      </c>
      <c r="E152" s="16"/>
      <c r="F152" s="17">
        <f t="shared" si="4"/>
        <v>0</v>
      </c>
      <c r="G152" s="7"/>
    </row>
    <row r="153" spans="1:7" s="1" customFormat="1" ht="23.25">
      <c r="A153" s="25">
        <f t="shared" si="5"/>
        <v>152</v>
      </c>
      <c r="B153" s="32" t="s">
        <v>154</v>
      </c>
      <c r="C153" s="4" t="s">
        <v>34</v>
      </c>
      <c r="D153" s="4">
        <v>15</v>
      </c>
      <c r="E153" s="16"/>
      <c r="F153" s="17">
        <f t="shared" si="4"/>
        <v>0</v>
      </c>
      <c r="G153" s="7"/>
    </row>
    <row r="154" spans="1:7" s="1" customFormat="1" ht="23.25">
      <c r="A154" s="25">
        <f t="shared" si="5"/>
        <v>153</v>
      </c>
      <c r="B154" s="32" t="s">
        <v>155</v>
      </c>
      <c r="C154" s="4" t="s">
        <v>34</v>
      </c>
      <c r="D154" s="4">
        <v>100</v>
      </c>
      <c r="E154" s="16"/>
      <c r="F154" s="17">
        <f t="shared" si="4"/>
        <v>0</v>
      </c>
      <c r="G154" s="7"/>
    </row>
    <row r="155" spans="1:7" s="1" customFormat="1" ht="23.25">
      <c r="A155" s="25">
        <f t="shared" si="5"/>
        <v>154</v>
      </c>
      <c r="B155" s="32" t="s">
        <v>156</v>
      </c>
      <c r="C155" s="4" t="s">
        <v>34</v>
      </c>
      <c r="D155" s="4">
        <v>200</v>
      </c>
      <c r="E155" s="16"/>
      <c r="F155" s="17">
        <f t="shared" si="4"/>
        <v>0</v>
      </c>
      <c r="G155" s="7"/>
    </row>
    <row r="156" spans="1:7" s="1" customFormat="1" ht="23.25">
      <c r="A156" s="25">
        <f t="shared" si="5"/>
        <v>155</v>
      </c>
      <c r="B156" s="32" t="s">
        <v>157</v>
      </c>
      <c r="C156" s="4" t="s">
        <v>34</v>
      </c>
      <c r="D156" s="4">
        <v>10</v>
      </c>
      <c r="E156" s="16"/>
      <c r="F156" s="17">
        <f t="shared" si="4"/>
        <v>0</v>
      </c>
      <c r="G156" s="7"/>
    </row>
    <row r="157" spans="1:7" s="1" customFormat="1" ht="23.25">
      <c r="A157" s="25">
        <f t="shared" si="5"/>
        <v>156</v>
      </c>
      <c r="B157" s="32" t="s">
        <v>158</v>
      </c>
      <c r="C157" s="4" t="s">
        <v>34</v>
      </c>
      <c r="D157" s="4">
        <v>50</v>
      </c>
      <c r="E157" s="16"/>
      <c r="F157" s="17">
        <f t="shared" si="4"/>
        <v>0</v>
      </c>
      <c r="G157" s="7"/>
    </row>
    <row r="158" spans="1:7" s="1" customFormat="1" ht="23.25">
      <c r="A158" s="25">
        <f t="shared" si="5"/>
        <v>157</v>
      </c>
      <c r="B158" s="32" t="s">
        <v>159</v>
      </c>
      <c r="C158" s="4" t="s">
        <v>34</v>
      </c>
      <c r="D158" s="4">
        <v>15</v>
      </c>
      <c r="E158" s="16"/>
      <c r="F158" s="17">
        <f t="shared" si="4"/>
        <v>0</v>
      </c>
      <c r="G158" s="7"/>
    </row>
    <row r="159" spans="1:7" s="1" customFormat="1" ht="23.25">
      <c r="A159" s="25">
        <f t="shared" si="5"/>
        <v>158</v>
      </c>
      <c r="B159" s="32" t="s">
        <v>160</v>
      </c>
      <c r="C159" s="4" t="s">
        <v>34</v>
      </c>
      <c r="D159" s="4">
        <v>5</v>
      </c>
      <c r="E159" s="16"/>
      <c r="F159" s="17">
        <f t="shared" si="4"/>
        <v>0</v>
      </c>
      <c r="G159" s="7"/>
    </row>
    <row r="160" spans="1:7" s="1" customFormat="1" ht="23.25">
      <c r="A160" s="25">
        <f t="shared" si="5"/>
        <v>159</v>
      </c>
      <c r="B160" s="32" t="s">
        <v>161</v>
      </c>
      <c r="C160" s="4" t="s">
        <v>34</v>
      </c>
      <c r="D160" s="4">
        <v>5</v>
      </c>
      <c r="E160" s="16"/>
      <c r="F160" s="17">
        <f t="shared" si="4"/>
        <v>0</v>
      </c>
      <c r="G160" s="7"/>
    </row>
    <row r="161" spans="1:7" s="1" customFormat="1" ht="23.25">
      <c r="A161" s="25">
        <f t="shared" si="5"/>
        <v>160</v>
      </c>
      <c r="B161" s="32" t="s">
        <v>162</v>
      </c>
      <c r="C161" s="4" t="s">
        <v>34</v>
      </c>
      <c r="D161" s="4">
        <v>5</v>
      </c>
      <c r="E161" s="16"/>
      <c r="F161" s="17">
        <f t="shared" si="4"/>
        <v>0</v>
      </c>
      <c r="G161" s="7"/>
    </row>
    <row r="162" spans="1:7" s="1" customFormat="1" ht="54">
      <c r="A162" s="25">
        <f t="shared" si="5"/>
        <v>161</v>
      </c>
      <c r="B162" s="34" t="s">
        <v>254</v>
      </c>
      <c r="C162" s="4" t="s">
        <v>34</v>
      </c>
      <c r="D162" s="4">
        <v>10</v>
      </c>
      <c r="E162" s="16"/>
      <c r="F162" s="17">
        <f t="shared" si="4"/>
        <v>0</v>
      </c>
      <c r="G162" s="7"/>
    </row>
    <row r="163" spans="1:7" s="1" customFormat="1" ht="54">
      <c r="A163" s="25">
        <f t="shared" si="5"/>
        <v>162</v>
      </c>
      <c r="B163" s="34" t="s">
        <v>255</v>
      </c>
      <c r="C163" s="4" t="s">
        <v>34</v>
      </c>
      <c r="D163" s="4">
        <v>25</v>
      </c>
      <c r="E163" s="16"/>
      <c r="F163" s="17">
        <f t="shared" si="4"/>
        <v>0</v>
      </c>
      <c r="G163" s="7"/>
    </row>
    <row r="164" spans="1:7" s="1" customFormat="1" ht="54">
      <c r="A164" s="25">
        <f t="shared" si="5"/>
        <v>163</v>
      </c>
      <c r="B164" s="34" t="s">
        <v>256</v>
      </c>
      <c r="C164" s="4" t="s">
        <v>34</v>
      </c>
      <c r="D164" s="4">
        <v>10</v>
      </c>
      <c r="E164" s="16"/>
      <c r="F164" s="17">
        <f t="shared" si="4"/>
        <v>0</v>
      </c>
      <c r="G164" s="7"/>
    </row>
    <row r="165" spans="1:7" s="1" customFormat="1" ht="54">
      <c r="A165" s="25">
        <f t="shared" si="5"/>
        <v>164</v>
      </c>
      <c r="B165" s="34" t="s">
        <v>257</v>
      </c>
      <c r="C165" s="4" t="s">
        <v>34</v>
      </c>
      <c r="D165" s="4">
        <v>25</v>
      </c>
      <c r="E165" s="16"/>
      <c r="F165" s="17">
        <f t="shared" si="4"/>
        <v>0</v>
      </c>
      <c r="G165" s="7"/>
    </row>
    <row r="166" spans="1:7" s="1" customFormat="1" ht="23.25">
      <c r="A166" s="25">
        <f t="shared" si="5"/>
        <v>165</v>
      </c>
      <c r="B166" s="32" t="s">
        <v>163</v>
      </c>
      <c r="C166" s="4" t="s">
        <v>7</v>
      </c>
      <c r="D166" s="4">
        <v>150</v>
      </c>
      <c r="E166" s="16"/>
      <c r="F166" s="17">
        <f t="shared" si="4"/>
        <v>0</v>
      </c>
      <c r="G166" s="7"/>
    </row>
    <row r="167" spans="1:7" s="1" customFormat="1" ht="54">
      <c r="A167" s="25">
        <f t="shared" si="5"/>
        <v>166</v>
      </c>
      <c r="B167" s="34" t="s">
        <v>258</v>
      </c>
      <c r="C167" s="4" t="s">
        <v>34</v>
      </c>
      <c r="D167" s="4">
        <v>2</v>
      </c>
      <c r="E167" s="16"/>
      <c r="F167" s="17">
        <f t="shared" si="4"/>
        <v>0</v>
      </c>
      <c r="G167" s="7"/>
    </row>
    <row r="168" spans="1:7" s="1" customFormat="1" ht="54">
      <c r="A168" s="25">
        <f t="shared" si="5"/>
        <v>167</v>
      </c>
      <c r="B168" s="34" t="s">
        <v>259</v>
      </c>
      <c r="C168" s="4" t="s">
        <v>34</v>
      </c>
      <c r="D168" s="4">
        <v>10</v>
      </c>
      <c r="E168" s="16"/>
      <c r="F168" s="17">
        <f t="shared" si="4"/>
        <v>0</v>
      </c>
      <c r="G168" s="7"/>
    </row>
    <row r="169" spans="1:7" s="1" customFormat="1" ht="54">
      <c r="A169" s="25">
        <f t="shared" si="5"/>
        <v>168</v>
      </c>
      <c r="B169" s="34" t="s">
        <v>260</v>
      </c>
      <c r="C169" s="4" t="s">
        <v>34</v>
      </c>
      <c r="D169" s="4">
        <v>2</v>
      </c>
      <c r="E169" s="16"/>
      <c r="F169" s="17">
        <f t="shared" si="4"/>
        <v>0</v>
      </c>
      <c r="G169" s="7"/>
    </row>
    <row r="170" spans="1:7" s="8" customFormat="1" ht="54">
      <c r="A170" s="25">
        <f t="shared" si="5"/>
        <v>169</v>
      </c>
      <c r="B170" s="34" t="s">
        <v>261</v>
      </c>
      <c r="C170" s="4" t="s">
        <v>34</v>
      </c>
      <c r="D170" s="4">
        <v>5</v>
      </c>
      <c r="E170" s="18"/>
      <c r="F170" s="17">
        <f t="shared" si="4"/>
        <v>0</v>
      </c>
      <c r="G170" s="19"/>
    </row>
    <row r="171" spans="1:7" s="8" customFormat="1" ht="23.25">
      <c r="A171" s="25">
        <f t="shared" si="5"/>
        <v>170</v>
      </c>
      <c r="B171" s="32" t="s">
        <v>164</v>
      </c>
      <c r="C171" s="4" t="s">
        <v>7</v>
      </c>
      <c r="D171" s="4">
        <v>150</v>
      </c>
      <c r="E171" s="18"/>
      <c r="F171" s="17">
        <f t="shared" si="4"/>
        <v>0</v>
      </c>
      <c r="G171" s="19"/>
    </row>
    <row r="172" spans="1:7" s="8" customFormat="1" ht="23.25">
      <c r="A172" s="25">
        <f t="shared" si="5"/>
        <v>171</v>
      </c>
      <c r="B172" s="32" t="s">
        <v>165</v>
      </c>
      <c r="C172" s="4" t="s">
        <v>34</v>
      </c>
      <c r="D172" s="4">
        <v>5</v>
      </c>
      <c r="E172" s="18"/>
      <c r="F172" s="17">
        <f t="shared" si="4"/>
        <v>0</v>
      </c>
      <c r="G172" s="19"/>
    </row>
    <row r="173" spans="1:7" s="1" customFormat="1" ht="23.25">
      <c r="A173" s="25">
        <f t="shared" si="5"/>
        <v>172</v>
      </c>
      <c r="B173" s="32" t="s">
        <v>166</v>
      </c>
      <c r="C173" s="4" t="s">
        <v>34</v>
      </c>
      <c r="D173" s="4">
        <v>2</v>
      </c>
      <c r="E173" s="16"/>
      <c r="F173" s="17">
        <f t="shared" si="4"/>
        <v>0</v>
      </c>
      <c r="G173" s="7"/>
    </row>
    <row r="174" spans="1:7" s="1" customFormat="1" ht="23.25">
      <c r="A174" s="25">
        <f t="shared" si="5"/>
        <v>173</v>
      </c>
      <c r="B174" s="32" t="s">
        <v>167</v>
      </c>
      <c r="C174" s="4" t="s">
        <v>34</v>
      </c>
      <c r="D174" s="4">
        <v>2</v>
      </c>
      <c r="E174" s="16"/>
      <c r="F174" s="17">
        <f t="shared" si="4"/>
        <v>0</v>
      </c>
      <c r="G174" s="7"/>
    </row>
    <row r="175" spans="1:7" s="1" customFormat="1" ht="23.25">
      <c r="A175" s="25">
        <f t="shared" si="5"/>
        <v>174</v>
      </c>
      <c r="B175" s="32" t="s">
        <v>168</v>
      </c>
      <c r="C175" s="4" t="s">
        <v>34</v>
      </c>
      <c r="D175" s="4">
        <v>10</v>
      </c>
      <c r="E175" s="16"/>
      <c r="F175" s="17">
        <f t="shared" si="4"/>
        <v>0</v>
      </c>
      <c r="G175" s="7"/>
    </row>
    <row r="176" spans="1:7" s="1" customFormat="1" ht="23.25">
      <c r="A176" s="25">
        <f t="shared" si="5"/>
        <v>175</v>
      </c>
      <c r="B176" s="32" t="s">
        <v>169</v>
      </c>
      <c r="C176" s="4" t="s">
        <v>34</v>
      </c>
      <c r="D176" s="4">
        <v>10</v>
      </c>
      <c r="E176" s="16"/>
      <c r="F176" s="17">
        <f t="shared" si="4"/>
        <v>0</v>
      </c>
      <c r="G176" s="7"/>
    </row>
    <row r="177" spans="1:7" s="1" customFormat="1" ht="23.25">
      <c r="A177" s="25">
        <f t="shared" si="5"/>
        <v>176</v>
      </c>
      <c r="B177" s="34" t="s">
        <v>170</v>
      </c>
      <c r="C177" s="24" t="s">
        <v>34</v>
      </c>
      <c r="D177" s="24">
        <v>25</v>
      </c>
      <c r="E177" s="16"/>
      <c r="F177" s="17">
        <f t="shared" si="4"/>
        <v>0</v>
      </c>
      <c r="G177" s="7"/>
    </row>
    <row r="178" spans="1:7" s="1" customFormat="1" ht="23.25">
      <c r="A178" s="25">
        <f t="shared" si="5"/>
        <v>177</v>
      </c>
      <c r="B178" s="32" t="s">
        <v>171</v>
      </c>
      <c r="C178" s="4" t="s">
        <v>34</v>
      </c>
      <c r="D178" s="4">
        <v>20</v>
      </c>
      <c r="E178" s="16"/>
      <c r="F178" s="17">
        <f t="shared" si="4"/>
        <v>0</v>
      </c>
      <c r="G178" s="7"/>
    </row>
    <row r="179" spans="1:7" s="1" customFormat="1" ht="36">
      <c r="A179" s="25">
        <f t="shared" si="5"/>
        <v>178</v>
      </c>
      <c r="B179" s="33" t="s">
        <v>172</v>
      </c>
      <c r="C179" s="24" t="s">
        <v>34</v>
      </c>
      <c r="D179" s="24">
        <v>15</v>
      </c>
      <c r="E179" s="16"/>
      <c r="F179" s="17">
        <f t="shared" si="4"/>
        <v>0</v>
      </c>
      <c r="G179" s="7"/>
    </row>
    <row r="180" spans="1:7" s="1" customFormat="1" ht="23.25">
      <c r="A180" s="25">
        <f t="shared" si="5"/>
        <v>179</v>
      </c>
      <c r="B180" s="32" t="s">
        <v>262</v>
      </c>
      <c r="C180" s="4" t="s">
        <v>34</v>
      </c>
      <c r="D180" s="4">
        <v>10</v>
      </c>
      <c r="E180" s="16"/>
      <c r="F180" s="17">
        <f t="shared" si="4"/>
        <v>0</v>
      </c>
      <c r="G180" s="7"/>
    </row>
    <row r="181" spans="1:7" s="1" customFormat="1" ht="23.25">
      <c r="A181" s="25">
        <f t="shared" si="5"/>
        <v>180</v>
      </c>
      <c r="B181" s="36" t="s">
        <v>263</v>
      </c>
      <c r="C181" s="24" t="s">
        <v>34</v>
      </c>
      <c r="D181" s="24">
        <v>10</v>
      </c>
      <c r="E181" s="16"/>
      <c r="F181" s="17">
        <f t="shared" si="4"/>
        <v>0</v>
      </c>
      <c r="G181" s="7"/>
    </row>
    <row r="182" spans="1:7" s="1" customFormat="1" ht="23.25">
      <c r="A182" s="25">
        <f t="shared" si="5"/>
        <v>181</v>
      </c>
      <c r="B182" s="32" t="s">
        <v>173</v>
      </c>
      <c r="C182" s="4" t="s">
        <v>34</v>
      </c>
      <c r="D182" s="4">
        <v>10</v>
      </c>
      <c r="E182" s="16"/>
      <c r="F182" s="17">
        <f t="shared" si="4"/>
        <v>0</v>
      </c>
      <c r="G182" s="7"/>
    </row>
    <row r="183" spans="1:7" s="1" customFormat="1" ht="23.25">
      <c r="A183" s="25">
        <f t="shared" si="5"/>
        <v>182</v>
      </c>
      <c r="B183" s="32" t="s">
        <v>174</v>
      </c>
      <c r="C183" s="4" t="s">
        <v>34</v>
      </c>
      <c r="D183" s="4">
        <v>1</v>
      </c>
      <c r="E183" s="16"/>
      <c r="F183" s="17">
        <f t="shared" si="4"/>
        <v>0</v>
      </c>
      <c r="G183" s="7"/>
    </row>
    <row r="184" spans="1:7" s="1" customFormat="1" ht="23.25">
      <c r="A184" s="25">
        <f t="shared" si="5"/>
        <v>183</v>
      </c>
      <c r="B184" s="32" t="s">
        <v>175</v>
      </c>
      <c r="C184" s="4" t="s">
        <v>34</v>
      </c>
      <c r="D184" s="4">
        <v>1</v>
      </c>
      <c r="E184" s="16"/>
      <c r="F184" s="17">
        <f t="shared" si="4"/>
        <v>0</v>
      </c>
      <c r="G184" s="7"/>
    </row>
    <row r="185" spans="1:7" s="1" customFormat="1" ht="54">
      <c r="A185" s="25">
        <f t="shared" si="5"/>
        <v>184</v>
      </c>
      <c r="B185" s="34" t="s">
        <v>264</v>
      </c>
      <c r="C185" s="4" t="s">
        <v>34</v>
      </c>
      <c r="D185" s="4">
        <v>1</v>
      </c>
      <c r="E185" s="16"/>
      <c r="F185" s="17">
        <f t="shared" si="4"/>
        <v>0</v>
      </c>
      <c r="G185" s="7"/>
    </row>
    <row r="186" spans="1:7" s="1" customFormat="1" ht="23.25">
      <c r="A186" s="25">
        <f t="shared" si="5"/>
        <v>185</v>
      </c>
      <c r="B186" s="32" t="s">
        <v>176</v>
      </c>
      <c r="C186" s="4" t="s">
        <v>34</v>
      </c>
      <c r="D186" s="4">
        <v>1</v>
      </c>
      <c r="E186" s="16"/>
      <c r="F186" s="17">
        <f t="shared" si="4"/>
        <v>0</v>
      </c>
      <c r="G186" s="7"/>
    </row>
    <row r="187" spans="1:7" s="1" customFormat="1" ht="23.25">
      <c r="A187" s="25">
        <f t="shared" si="5"/>
        <v>186</v>
      </c>
      <c r="B187" s="32" t="s">
        <v>177</v>
      </c>
      <c r="C187" s="4" t="s">
        <v>34</v>
      </c>
      <c r="D187" s="4">
        <v>1</v>
      </c>
      <c r="E187" s="16"/>
      <c r="F187" s="17">
        <f t="shared" si="4"/>
        <v>0</v>
      </c>
      <c r="G187" s="7"/>
    </row>
    <row r="188" spans="1:7" s="1" customFormat="1" ht="23.25">
      <c r="A188" s="25">
        <f t="shared" si="5"/>
        <v>187</v>
      </c>
      <c r="B188" s="32" t="s">
        <v>178</v>
      </c>
      <c r="C188" s="4" t="s">
        <v>34</v>
      </c>
      <c r="D188" s="4">
        <v>1</v>
      </c>
      <c r="E188" s="16"/>
      <c r="F188" s="17">
        <f t="shared" si="4"/>
        <v>0</v>
      </c>
      <c r="G188" s="7"/>
    </row>
    <row r="189" spans="1:7" s="1" customFormat="1" ht="23.25">
      <c r="A189" s="25">
        <f t="shared" si="5"/>
        <v>188</v>
      </c>
      <c r="B189" s="32" t="s">
        <v>179</v>
      </c>
      <c r="C189" s="4" t="s">
        <v>34</v>
      </c>
      <c r="D189" s="4">
        <v>2</v>
      </c>
      <c r="E189" s="16"/>
      <c r="F189" s="17">
        <f t="shared" si="4"/>
        <v>0</v>
      </c>
      <c r="G189" s="7"/>
    </row>
    <row r="190" spans="1:7" s="1" customFormat="1" ht="23.25">
      <c r="A190" s="25">
        <f t="shared" si="5"/>
        <v>189</v>
      </c>
      <c r="B190" s="32" t="s">
        <v>180</v>
      </c>
      <c r="C190" s="4" t="s">
        <v>34</v>
      </c>
      <c r="D190" s="4">
        <v>1</v>
      </c>
      <c r="E190" s="16"/>
      <c r="F190" s="17">
        <f t="shared" si="4"/>
        <v>0</v>
      </c>
      <c r="G190" s="7"/>
    </row>
    <row r="191" spans="1:7" s="1" customFormat="1" ht="23.25">
      <c r="A191" s="25">
        <f t="shared" si="5"/>
        <v>190</v>
      </c>
      <c r="B191" s="32" t="s">
        <v>267</v>
      </c>
      <c r="C191" s="4" t="s">
        <v>181</v>
      </c>
      <c r="D191" s="4">
        <v>100</v>
      </c>
      <c r="E191" s="16"/>
      <c r="F191" s="17">
        <f t="shared" si="4"/>
        <v>0</v>
      </c>
      <c r="G191" s="7"/>
    </row>
    <row r="192" spans="1:7" s="1" customFormat="1" ht="23.25">
      <c r="A192" s="25">
        <f t="shared" si="5"/>
        <v>191</v>
      </c>
      <c r="B192" s="32" t="s">
        <v>268</v>
      </c>
      <c r="C192" s="4" t="s">
        <v>181</v>
      </c>
      <c r="D192" s="4">
        <v>100</v>
      </c>
      <c r="E192" s="16"/>
      <c r="F192" s="17">
        <f t="shared" si="4"/>
        <v>0</v>
      </c>
      <c r="G192" s="7"/>
    </row>
    <row r="193" spans="1:7" s="1" customFormat="1" ht="23.25">
      <c r="A193" s="25">
        <f t="shared" si="5"/>
        <v>192</v>
      </c>
      <c r="B193" s="32" t="s">
        <v>182</v>
      </c>
      <c r="C193" s="4" t="s">
        <v>181</v>
      </c>
      <c r="D193" s="4">
        <v>3000</v>
      </c>
      <c r="E193" s="16"/>
      <c r="F193" s="17">
        <f t="shared" si="4"/>
        <v>0</v>
      </c>
      <c r="G193" s="7"/>
    </row>
    <row r="194" spans="1:7" s="1" customFormat="1" ht="23.25">
      <c r="A194" s="25">
        <f t="shared" si="5"/>
        <v>193</v>
      </c>
      <c r="B194" s="34" t="s">
        <v>265</v>
      </c>
      <c r="C194" s="4" t="s">
        <v>183</v>
      </c>
      <c r="D194" s="4">
        <v>2500</v>
      </c>
      <c r="E194" s="16"/>
      <c r="F194" s="17">
        <f t="shared" si="4"/>
        <v>0</v>
      </c>
      <c r="G194" s="7"/>
    </row>
    <row r="195" spans="1:7" s="1" customFormat="1" ht="23.25">
      <c r="A195" s="25">
        <f t="shared" si="5"/>
        <v>194</v>
      </c>
      <c r="B195" s="32" t="s">
        <v>184</v>
      </c>
      <c r="C195" s="4" t="s">
        <v>183</v>
      </c>
      <c r="D195" s="4">
        <v>1000</v>
      </c>
      <c r="E195" s="16"/>
      <c r="F195" s="17">
        <f t="shared" ref="F195:F249" si="6">D195*E195</f>
        <v>0</v>
      </c>
      <c r="G195" s="7"/>
    </row>
    <row r="196" spans="1:7" s="1" customFormat="1" ht="23.25">
      <c r="A196" s="25">
        <f t="shared" ref="A196:A250" si="7">A195+1</f>
        <v>195</v>
      </c>
      <c r="B196" s="32" t="s">
        <v>185</v>
      </c>
      <c r="C196" s="4" t="s">
        <v>72</v>
      </c>
      <c r="D196" s="4">
        <v>40</v>
      </c>
      <c r="E196" s="16"/>
      <c r="F196" s="17">
        <f t="shared" si="6"/>
        <v>0</v>
      </c>
      <c r="G196" s="7"/>
    </row>
    <row r="197" spans="1:7" s="1" customFormat="1" ht="23.25">
      <c r="A197" s="25">
        <f t="shared" si="7"/>
        <v>196</v>
      </c>
      <c r="B197" s="32" t="s">
        <v>186</v>
      </c>
      <c r="C197" s="4" t="s">
        <v>7</v>
      </c>
      <c r="D197" s="4">
        <v>500</v>
      </c>
      <c r="E197" s="16"/>
      <c r="F197" s="17">
        <f t="shared" si="6"/>
        <v>0</v>
      </c>
      <c r="G197" s="7"/>
    </row>
    <row r="198" spans="1:7" s="1" customFormat="1" ht="23.25">
      <c r="A198" s="25">
        <f t="shared" si="7"/>
        <v>197</v>
      </c>
      <c r="B198" s="32" t="s">
        <v>187</v>
      </c>
      <c r="C198" s="4" t="s">
        <v>7</v>
      </c>
      <c r="D198" s="4">
        <v>50</v>
      </c>
      <c r="E198" s="16"/>
      <c r="F198" s="17">
        <f t="shared" si="6"/>
        <v>0</v>
      </c>
      <c r="G198" s="7"/>
    </row>
    <row r="199" spans="1:7" s="1" customFormat="1" ht="23.25">
      <c r="A199" s="25">
        <f t="shared" si="7"/>
        <v>198</v>
      </c>
      <c r="B199" s="32" t="s">
        <v>188</v>
      </c>
      <c r="C199" s="4" t="s">
        <v>189</v>
      </c>
      <c r="D199" s="4">
        <v>2000</v>
      </c>
      <c r="E199" s="16"/>
      <c r="F199" s="17">
        <f t="shared" si="6"/>
        <v>0</v>
      </c>
      <c r="G199" s="7"/>
    </row>
    <row r="200" spans="1:7" s="1" customFormat="1" ht="36">
      <c r="A200" s="25">
        <f t="shared" si="7"/>
        <v>199</v>
      </c>
      <c r="B200" s="34" t="s">
        <v>190</v>
      </c>
      <c r="C200" s="4" t="s">
        <v>189</v>
      </c>
      <c r="D200" s="4">
        <v>50</v>
      </c>
      <c r="E200" s="16"/>
      <c r="F200" s="17">
        <f t="shared" si="6"/>
        <v>0</v>
      </c>
      <c r="G200" s="7"/>
    </row>
    <row r="201" spans="1:7" s="1" customFormat="1" ht="23.25">
      <c r="A201" s="25">
        <f t="shared" si="7"/>
        <v>200</v>
      </c>
      <c r="B201" s="32" t="s">
        <v>191</v>
      </c>
      <c r="C201" s="4" t="s">
        <v>189</v>
      </c>
      <c r="D201" s="4">
        <v>50</v>
      </c>
      <c r="E201" s="16"/>
      <c r="F201" s="17">
        <f t="shared" si="6"/>
        <v>0</v>
      </c>
      <c r="G201" s="7"/>
    </row>
    <row r="202" spans="1:7" s="1" customFormat="1" ht="23.25">
      <c r="A202" s="25">
        <f t="shared" si="7"/>
        <v>201</v>
      </c>
      <c r="B202" s="32" t="s">
        <v>192</v>
      </c>
      <c r="C202" s="4" t="s">
        <v>189</v>
      </c>
      <c r="D202" s="4">
        <v>50</v>
      </c>
      <c r="E202" s="16"/>
      <c r="F202" s="17">
        <f t="shared" si="6"/>
        <v>0</v>
      </c>
      <c r="G202" s="7"/>
    </row>
    <row r="203" spans="1:7" s="1" customFormat="1" ht="23.25">
      <c r="A203" s="25">
        <f t="shared" si="7"/>
        <v>202</v>
      </c>
      <c r="B203" s="32" t="s">
        <v>193</v>
      </c>
      <c r="C203" s="4" t="s">
        <v>34</v>
      </c>
      <c r="D203" s="4">
        <v>10</v>
      </c>
      <c r="E203" s="16"/>
      <c r="F203" s="17">
        <f t="shared" si="6"/>
        <v>0</v>
      </c>
      <c r="G203" s="7"/>
    </row>
    <row r="204" spans="1:7" s="1" customFormat="1" ht="23.25">
      <c r="A204" s="25">
        <f t="shared" si="7"/>
        <v>203</v>
      </c>
      <c r="B204" s="32" t="s">
        <v>194</v>
      </c>
      <c r="C204" s="4" t="s">
        <v>189</v>
      </c>
      <c r="D204" s="4">
        <v>2000</v>
      </c>
      <c r="E204" s="16"/>
      <c r="F204" s="17">
        <f t="shared" si="6"/>
        <v>0</v>
      </c>
      <c r="G204" s="7"/>
    </row>
    <row r="205" spans="1:7" s="1" customFormat="1" ht="23.25">
      <c r="A205" s="25">
        <f t="shared" si="7"/>
        <v>204</v>
      </c>
      <c r="B205" s="32" t="s">
        <v>195</v>
      </c>
      <c r="C205" s="4" t="s">
        <v>183</v>
      </c>
      <c r="D205" s="4">
        <v>2500</v>
      </c>
      <c r="E205" s="16"/>
      <c r="F205" s="17">
        <f t="shared" si="6"/>
        <v>0</v>
      </c>
      <c r="G205" s="7"/>
    </row>
    <row r="206" spans="1:7" s="1" customFormat="1" ht="23.25">
      <c r="A206" s="25">
        <f t="shared" si="7"/>
        <v>205</v>
      </c>
      <c r="B206" s="32" t="s">
        <v>196</v>
      </c>
      <c r="C206" s="4" t="s">
        <v>34</v>
      </c>
      <c r="D206" s="4">
        <v>40</v>
      </c>
      <c r="E206" s="16"/>
      <c r="F206" s="17">
        <f t="shared" si="6"/>
        <v>0</v>
      </c>
      <c r="G206" s="7"/>
    </row>
    <row r="207" spans="1:7" s="1" customFormat="1" ht="23.25">
      <c r="A207" s="25">
        <f t="shared" si="7"/>
        <v>206</v>
      </c>
      <c r="B207" s="32" t="s">
        <v>197</v>
      </c>
      <c r="C207" s="4" t="s">
        <v>34</v>
      </c>
      <c r="D207" s="4">
        <v>40</v>
      </c>
      <c r="E207" s="16"/>
      <c r="F207" s="17">
        <f t="shared" si="6"/>
        <v>0</v>
      </c>
      <c r="G207" s="7"/>
    </row>
    <row r="208" spans="1:7" s="1" customFormat="1" ht="23.25">
      <c r="A208" s="25">
        <f t="shared" si="7"/>
        <v>207</v>
      </c>
      <c r="B208" s="32" t="s">
        <v>198</v>
      </c>
      <c r="C208" s="4" t="s">
        <v>189</v>
      </c>
      <c r="D208" s="4">
        <v>2500</v>
      </c>
      <c r="E208" s="16"/>
      <c r="F208" s="17">
        <f t="shared" si="6"/>
        <v>0</v>
      </c>
      <c r="G208" s="7"/>
    </row>
    <row r="209" spans="1:7" s="1" customFormat="1" ht="23.25">
      <c r="A209" s="25">
        <f t="shared" si="7"/>
        <v>208</v>
      </c>
      <c r="B209" s="32" t="s">
        <v>199</v>
      </c>
      <c r="C209" s="4" t="s">
        <v>189</v>
      </c>
      <c r="D209" s="4">
        <v>1000</v>
      </c>
      <c r="E209" s="16"/>
      <c r="F209" s="17">
        <f t="shared" si="6"/>
        <v>0</v>
      </c>
      <c r="G209" s="7"/>
    </row>
    <row r="210" spans="1:7" s="1" customFormat="1" ht="23.25">
      <c r="A210" s="25">
        <f t="shared" si="7"/>
        <v>209</v>
      </c>
      <c r="B210" s="32" t="s">
        <v>200</v>
      </c>
      <c r="C210" s="4" t="s">
        <v>189</v>
      </c>
      <c r="D210" s="4">
        <v>500</v>
      </c>
      <c r="E210" s="16"/>
      <c r="F210" s="17">
        <f t="shared" si="6"/>
        <v>0</v>
      </c>
      <c r="G210" s="7"/>
    </row>
    <row r="211" spans="1:7" s="1" customFormat="1" ht="23.25">
      <c r="A211" s="25">
        <f t="shared" si="7"/>
        <v>210</v>
      </c>
      <c r="B211" s="32" t="s">
        <v>201</v>
      </c>
      <c r="C211" s="4" t="s">
        <v>189</v>
      </c>
      <c r="D211" s="4">
        <v>2000</v>
      </c>
      <c r="E211" s="16"/>
      <c r="F211" s="17">
        <f t="shared" si="6"/>
        <v>0</v>
      </c>
      <c r="G211" s="7"/>
    </row>
    <row r="212" spans="1:7" s="1" customFormat="1" ht="23.25">
      <c r="A212" s="25">
        <f t="shared" si="7"/>
        <v>211</v>
      </c>
      <c r="B212" s="32" t="s">
        <v>202</v>
      </c>
      <c r="C212" s="4" t="s">
        <v>189</v>
      </c>
      <c r="D212" s="4">
        <v>500</v>
      </c>
      <c r="E212" s="16"/>
      <c r="F212" s="17">
        <f t="shared" si="6"/>
        <v>0</v>
      </c>
      <c r="G212" s="7"/>
    </row>
    <row r="213" spans="1:7" s="1" customFormat="1" ht="23.25">
      <c r="A213" s="25">
        <f t="shared" si="7"/>
        <v>212</v>
      </c>
      <c r="B213" s="32" t="s">
        <v>203</v>
      </c>
      <c r="C213" s="4" t="s">
        <v>183</v>
      </c>
      <c r="D213" s="4">
        <v>1500</v>
      </c>
      <c r="E213" s="16"/>
      <c r="F213" s="17">
        <f t="shared" si="6"/>
        <v>0</v>
      </c>
      <c r="G213" s="7"/>
    </row>
    <row r="214" spans="1:7" s="1" customFormat="1" ht="23.25">
      <c r="A214" s="25">
        <f t="shared" si="7"/>
        <v>213</v>
      </c>
      <c r="B214" s="32" t="s">
        <v>204</v>
      </c>
      <c r="C214" s="4" t="s">
        <v>183</v>
      </c>
      <c r="D214" s="4">
        <v>100</v>
      </c>
      <c r="E214" s="16"/>
      <c r="F214" s="17">
        <f t="shared" si="6"/>
        <v>0</v>
      </c>
      <c r="G214" s="7"/>
    </row>
    <row r="215" spans="1:7" s="1" customFormat="1" ht="23.25">
      <c r="A215" s="25">
        <f t="shared" si="7"/>
        <v>214</v>
      </c>
      <c r="B215" s="32" t="s">
        <v>205</v>
      </c>
      <c r="C215" s="4" t="s">
        <v>189</v>
      </c>
      <c r="D215" s="4">
        <v>50</v>
      </c>
      <c r="E215" s="16"/>
      <c r="F215" s="17">
        <f t="shared" si="6"/>
        <v>0</v>
      </c>
      <c r="G215" s="7"/>
    </row>
    <row r="216" spans="1:7" s="1" customFormat="1" ht="23.25">
      <c r="A216" s="25">
        <f t="shared" si="7"/>
        <v>215</v>
      </c>
      <c r="B216" s="32" t="s">
        <v>206</v>
      </c>
      <c r="C216" s="4" t="s">
        <v>189</v>
      </c>
      <c r="D216" s="4">
        <v>50</v>
      </c>
      <c r="E216" s="16"/>
      <c r="F216" s="17">
        <f t="shared" si="6"/>
        <v>0</v>
      </c>
      <c r="G216" s="7"/>
    </row>
    <row r="217" spans="1:7" s="1" customFormat="1" ht="23.25">
      <c r="A217" s="25">
        <f t="shared" si="7"/>
        <v>216</v>
      </c>
      <c r="B217" s="36" t="s">
        <v>207</v>
      </c>
      <c r="C217" s="24" t="s">
        <v>183</v>
      </c>
      <c r="D217" s="24">
        <v>50</v>
      </c>
      <c r="E217" s="16"/>
      <c r="F217" s="17">
        <f t="shared" si="6"/>
        <v>0</v>
      </c>
      <c r="G217" s="7"/>
    </row>
    <row r="218" spans="1:7" s="1" customFormat="1" ht="23.25">
      <c r="A218" s="25">
        <f t="shared" si="7"/>
        <v>217</v>
      </c>
      <c r="B218" s="32" t="s">
        <v>269</v>
      </c>
      <c r="C218" s="4" t="s">
        <v>183</v>
      </c>
      <c r="D218" s="4">
        <v>50</v>
      </c>
      <c r="E218" s="16"/>
      <c r="F218" s="17">
        <f t="shared" si="6"/>
        <v>0</v>
      </c>
      <c r="G218" s="7"/>
    </row>
    <row r="219" spans="1:7" s="1" customFormat="1" ht="23.25">
      <c r="A219" s="25">
        <f t="shared" si="7"/>
        <v>218</v>
      </c>
      <c r="B219" s="32" t="s">
        <v>208</v>
      </c>
      <c r="C219" s="4" t="s">
        <v>34</v>
      </c>
      <c r="D219" s="4">
        <v>5</v>
      </c>
      <c r="E219" s="16"/>
      <c r="F219" s="17">
        <f t="shared" si="6"/>
        <v>0</v>
      </c>
      <c r="G219" s="7"/>
    </row>
    <row r="220" spans="1:7" s="1" customFormat="1" ht="23.25">
      <c r="A220" s="25">
        <f t="shared" si="7"/>
        <v>219</v>
      </c>
      <c r="B220" s="32" t="s">
        <v>266</v>
      </c>
      <c r="C220" s="4" t="s">
        <v>181</v>
      </c>
      <c r="D220" s="4">
        <v>50</v>
      </c>
      <c r="E220" s="16"/>
      <c r="F220" s="17">
        <f t="shared" si="6"/>
        <v>0</v>
      </c>
      <c r="G220" s="7"/>
    </row>
    <row r="221" spans="1:7" s="1" customFormat="1" ht="23.25">
      <c r="A221" s="25">
        <f t="shared" si="7"/>
        <v>220</v>
      </c>
      <c r="B221" s="32" t="s">
        <v>209</v>
      </c>
      <c r="C221" s="4" t="s">
        <v>181</v>
      </c>
      <c r="D221" s="4">
        <v>25</v>
      </c>
      <c r="E221" s="16"/>
      <c r="F221" s="17">
        <f t="shared" si="6"/>
        <v>0</v>
      </c>
      <c r="G221" s="7"/>
    </row>
    <row r="222" spans="1:7" s="1" customFormat="1" ht="23.25">
      <c r="A222" s="25">
        <f t="shared" si="7"/>
        <v>221</v>
      </c>
      <c r="B222" s="32" t="s">
        <v>210</v>
      </c>
      <c r="C222" s="4" t="s">
        <v>181</v>
      </c>
      <c r="D222" s="4">
        <v>25</v>
      </c>
      <c r="E222" s="16"/>
      <c r="F222" s="17">
        <f t="shared" si="6"/>
        <v>0</v>
      </c>
      <c r="G222" s="7"/>
    </row>
    <row r="223" spans="1:7" s="1" customFormat="1" ht="23.25">
      <c r="A223" s="25">
        <f t="shared" si="7"/>
        <v>222</v>
      </c>
      <c r="B223" s="32" t="s">
        <v>211</v>
      </c>
      <c r="C223" s="4" t="s">
        <v>34</v>
      </c>
      <c r="D223" s="4">
        <v>5</v>
      </c>
      <c r="E223" s="16"/>
      <c r="F223" s="17">
        <f t="shared" si="6"/>
        <v>0</v>
      </c>
      <c r="G223" s="7"/>
    </row>
    <row r="224" spans="1:7" s="1" customFormat="1" ht="23.25">
      <c r="A224" s="25">
        <f t="shared" si="7"/>
        <v>223</v>
      </c>
      <c r="B224" s="32" t="s">
        <v>212</v>
      </c>
      <c r="C224" s="4" t="s">
        <v>34</v>
      </c>
      <c r="D224" s="4">
        <v>5</v>
      </c>
      <c r="E224" s="16"/>
      <c r="F224" s="17">
        <f t="shared" si="6"/>
        <v>0</v>
      </c>
      <c r="G224" s="7"/>
    </row>
    <row r="225" spans="1:7" s="1" customFormat="1" ht="23.25">
      <c r="A225" s="25">
        <f t="shared" si="7"/>
        <v>224</v>
      </c>
      <c r="B225" s="32" t="s">
        <v>213</v>
      </c>
      <c r="C225" s="4" t="s">
        <v>189</v>
      </c>
      <c r="D225" s="4">
        <v>250</v>
      </c>
      <c r="E225" s="16"/>
      <c r="F225" s="17">
        <f t="shared" si="6"/>
        <v>0</v>
      </c>
      <c r="G225" s="7"/>
    </row>
    <row r="226" spans="1:7" s="1" customFormat="1" ht="23.25">
      <c r="A226" s="25">
        <f t="shared" si="7"/>
        <v>225</v>
      </c>
      <c r="B226" s="32" t="s">
        <v>214</v>
      </c>
      <c r="C226" s="4" t="s">
        <v>181</v>
      </c>
      <c r="D226" s="4">
        <v>20</v>
      </c>
      <c r="E226" s="16"/>
      <c r="F226" s="17">
        <f t="shared" si="6"/>
        <v>0</v>
      </c>
      <c r="G226" s="7"/>
    </row>
    <row r="227" spans="1:7" s="1" customFormat="1" ht="23.25">
      <c r="A227" s="25">
        <f t="shared" si="7"/>
        <v>226</v>
      </c>
      <c r="B227" s="34" t="s">
        <v>215</v>
      </c>
      <c r="C227" s="27" t="s">
        <v>181</v>
      </c>
      <c r="D227" s="27">
        <v>15</v>
      </c>
      <c r="E227" s="16"/>
      <c r="F227" s="17">
        <f t="shared" si="6"/>
        <v>0</v>
      </c>
      <c r="G227" s="7"/>
    </row>
    <row r="228" spans="1:7" s="1" customFormat="1" ht="23.25">
      <c r="A228" s="25">
        <f t="shared" si="7"/>
        <v>227</v>
      </c>
      <c r="B228" s="34" t="s">
        <v>216</v>
      </c>
      <c r="C228" s="27" t="s">
        <v>181</v>
      </c>
      <c r="D228" s="27">
        <v>15</v>
      </c>
      <c r="E228" s="16"/>
      <c r="F228" s="17">
        <f t="shared" si="6"/>
        <v>0</v>
      </c>
      <c r="G228" s="7"/>
    </row>
    <row r="229" spans="1:7" s="1" customFormat="1" ht="23.25">
      <c r="A229" s="25">
        <f t="shared" si="7"/>
        <v>228</v>
      </c>
      <c r="B229" s="34" t="s">
        <v>217</v>
      </c>
      <c r="C229" s="27" t="s">
        <v>181</v>
      </c>
      <c r="D229" s="27">
        <v>5</v>
      </c>
      <c r="E229" s="16"/>
      <c r="F229" s="17">
        <f t="shared" si="6"/>
        <v>0</v>
      </c>
      <c r="G229" s="7"/>
    </row>
    <row r="230" spans="1:7" s="1" customFormat="1" ht="23.25">
      <c r="A230" s="25">
        <f t="shared" si="7"/>
        <v>229</v>
      </c>
      <c r="B230" s="32" t="s">
        <v>218</v>
      </c>
      <c r="C230" s="4" t="s">
        <v>219</v>
      </c>
      <c r="D230" s="4">
        <v>1000</v>
      </c>
      <c r="E230" s="16"/>
      <c r="F230" s="17">
        <f t="shared" si="6"/>
        <v>0</v>
      </c>
      <c r="G230" s="7"/>
    </row>
    <row r="231" spans="1:7" s="1" customFormat="1" ht="23.25">
      <c r="A231" s="25">
        <f t="shared" si="7"/>
        <v>230</v>
      </c>
      <c r="B231" s="32" t="s">
        <v>220</v>
      </c>
      <c r="C231" s="4" t="s">
        <v>183</v>
      </c>
      <c r="D231" s="4">
        <v>5</v>
      </c>
      <c r="E231" s="16"/>
      <c r="F231" s="17">
        <f t="shared" si="6"/>
        <v>0</v>
      </c>
      <c r="G231" s="7"/>
    </row>
    <row r="232" spans="1:7" s="1" customFormat="1" ht="23.25">
      <c r="A232" s="25">
        <f t="shared" si="7"/>
        <v>231</v>
      </c>
      <c r="B232" s="32" t="s">
        <v>221</v>
      </c>
      <c r="C232" s="4" t="s">
        <v>181</v>
      </c>
      <c r="D232" s="4">
        <v>10</v>
      </c>
      <c r="E232" s="16"/>
      <c r="F232" s="17">
        <f t="shared" si="6"/>
        <v>0</v>
      </c>
      <c r="G232" s="7"/>
    </row>
    <row r="233" spans="1:7" s="1" customFormat="1" ht="36">
      <c r="A233" s="25">
        <f t="shared" si="7"/>
        <v>232</v>
      </c>
      <c r="B233" s="33" t="s">
        <v>222</v>
      </c>
      <c r="C233" s="24" t="s">
        <v>34</v>
      </c>
      <c r="D233" s="24">
        <v>10</v>
      </c>
      <c r="E233" s="16"/>
      <c r="F233" s="17">
        <f t="shared" si="6"/>
        <v>0</v>
      </c>
      <c r="G233" s="7"/>
    </row>
    <row r="234" spans="1:7" s="1" customFormat="1" ht="36">
      <c r="A234" s="25">
        <f t="shared" si="7"/>
        <v>233</v>
      </c>
      <c r="B234" s="34" t="s">
        <v>223</v>
      </c>
      <c r="C234" s="4" t="s">
        <v>7</v>
      </c>
      <c r="D234" s="4">
        <v>100</v>
      </c>
      <c r="E234" s="16"/>
      <c r="F234" s="17">
        <f t="shared" si="6"/>
        <v>0</v>
      </c>
      <c r="G234" s="7"/>
    </row>
    <row r="235" spans="1:7" s="1" customFormat="1" ht="23.25">
      <c r="A235" s="25">
        <f t="shared" si="7"/>
        <v>234</v>
      </c>
      <c r="B235" s="34" t="s">
        <v>224</v>
      </c>
      <c r="C235" s="4" t="s">
        <v>7</v>
      </c>
      <c r="D235" s="4">
        <v>150</v>
      </c>
      <c r="E235" s="16"/>
      <c r="F235" s="17">
        <f t="shared" si="6"/>
        <v>0</v>
      </c>
      <c r="G235" s="7"/>
    </row>
    <row r="236" spans="1:7" s="1" customFormat="1" ht="23.25">
      <c r="A236" s="25">
        <f t="shared" si="7"/>
        <v>235</v>
      </c>
      <c r="B236" s="32" t="s">
        <v>225</v>
      </c>
      <c r="C236" s="4" t="s">
        <v>34</v>
      </c>
      <c r="D236" s="4">
        <v>5</v>
      </c>
      <c r="E236" s="16"/>
      <c r="F236" s="17">
        <f t="shared" si="6"/>
        <v>0</v>
      </c>
      <c r="G236" s="7"/>
    </row>
    <row r="237" spans="1:7" s="1" customFormat="1" ht="23.25">
      <c r="A237" s="25">
        <f t="shared" si="7"/>
        <v>236</v>
      </c>
      <c r="B237" s="32" t="s">
        <v>226</v>
      </c>
      <c r="C237" s="4" t="s">
        <v>34</v>
      </c>
      <c r="D237" s="4">
        <v>4</v>
      </c>
      <c r="E237" s="16"/>
      <c r="F237" s="17">
        <f t="shared" si="6"/>
        <v>0</v>
      </c>
      <c r="G237" s="7"/>
    </row>
    <row r="238" spans="1:7" s="1" customFormat="1" ht="23.25">
      <c r="A238" s="25">
        <f t="shared" si="7"/>
        <v>237</v>
      </c>
      <c r="B238" s="32" t="s">
        <v>227</v>
      </c>
      <c r="C238" s="4" t="s">
        <v>228</v>
      </c>
      <c r="D238" s="4">
        <v>100</v>
      </c>
      <c r="E238" s="16"/>
      <c r="F238" s="17">
        <f t="shared" si="6"/>
        <v>0</v>
      </c>
      <c r="G238" s="7"/>
    </row>
    <row r="239" spans="1:7" s="1" customFormat="1" ht="23.25">
      <c r="A239" s="25">
        <f t="shared" si="7"/>
        <v>238</v>
      </c>
      <c r="B239" s="32" t="s">
        <v>229</v>
      </c>
      <c r="C239" s="4" t="s">
        <v>228</v>
      </c>
      <c r="D239" s="4">
        <v>100</v>
      </c>
      <c r="E239" s="16"/>
      <c r="F239" s="17">
        <f t="shared" si="6"/>
        <v>0</v>
      </c>
      <c r="G239" s="7"/>
    </row>
    <row r="240" spans="1:7" s="1" customFormat="1" ht="23.25">
      <c r="A240" s="25">
        <f t="shared" si="7"/>
        <v>239</v>
      </c>
      <c r="B240" s="32" t="s">
        <v>230</v>
      </c>
      <c r="C240" s="4" t="s">
        <v>72</v>
      </c>
      <c r="D240" s="4">
        <v>40</v>
      </c>
      <c r="E240" s="16"/>
      <c r="F240" s="17">
        <f t="shared" si="6"/>
        <v>0</v>
      </c>
      <c r="G240" s="7"/>
    </row>
    <row r="241" spans="1:14" s="1" customFormat="1" ht="23.25">
      <c r="A241" s="25">
        <f t="shared" si="7"/>
        <v>240</v>
      </c>
      <c r="B241" s="32" t="s">
        <v>231</v>
      </c>
      <c r="C241" s="4" t="s">
        <v>72</v>
      </c>
      <c r="D241" s="4">
        <v>40</v>
      </c>
      <c r="E241" s="16"/>
      <c r="F241" s="17">
        <f t="shared" si="6"/>
        <v>0</v>
      </c>
      <c r="G241" s="7"/>
    </row>
    <row r="242" spans="1:14" s="1" customFormat="1" ht="23.25">
      <c r="A242" s="25">
        <f t="shared" si="7"/>
        <v>241</v>
      </c>
      <c r="B242" s="32" t="s">
        <v>232</v>
      </c>
      <c r="C242" s="4" t="s">
        <v>72</v>
      </c>
      <c r="D242" s="4">
        <v>40</v>
      </c>
      <c r="E242" s="16"/>
      <c r="F242" s="17">
        <f t="shared" si="6"/>
        <v>0</v>
      </c>
      <c r="G242" s="7"/>
    </row>
    <row r="243" spans="1:14" s="1" customFormat="1" ht="23.25">
      <c r="A243" s="25">
        <f t="shared" si="7"/>
        <v>242</v>
      </c>
      <c r="B243" s="32" t="s">
        <v>233</v>
      </c>
      <c r="C243" s="4" t="s">
        <v>72</v>
      </c>
      <c r="D243" s="4">
        <v>40</v>
      </c>
      <c r="E243" s="16"/>
      <c r="F243" s="17">
        <f t="shared" si="6"/>
        <v>0</v>
      </c>
      <c r="G243" s="7"/>
    </row>
    <row r="244" spans="1:14" s="1" customFormat="1" ht="23.25">
      <c r="A244" s="25">
        <f t="shared" si="7"/>
        <v>243</v>
      </c>
      <c r="B244" s="32" t="s">
        <v>234</v>
      </c>
      <c r="C244" s="4" t="s">
        <v>72</v>
      </c>
      <c r="D244" s="4">
        <v>40</v>
      </c>
      <c r="E244" s="16"/>
      <c r="F244" s="17">
        <f t="shared" si="6"/>
        <v>0</v>
      </c>
      <c r="G244" s="7"/>
    </row>
    <row r="245" spans="1:14" s="1" customFormat="1" ht="23.25">
      <c r="A245" s="25">
        <f t="shared" si="7"/>
        <v>244</v>
      </c>
      <c r="B245" s="32" t="s">
        <v>235</v>
      </c>
      <c r="C245" s="4" t="s">
        <v>34</v>
      </c>
      <c r="D245" s="4">
        <v>20</v>
      </c>
      <c r="E245" s="16"/>
      <c r="F245" s="17">
        <f t="shared" si="6"/>
        <v>0</v>
      </c>
      <c r="G245" s="7"/>
    </row>
    <row r="246" spans="1:14" s="1" customFormat="1" ht="23.25">
      <c r="A246" s="25">
        <f t="shared" si="7"/>
        <v>245</v>
      </c>
      <c r="B246" s="33" t="s">
        <v>236</v>
      </c>
      <c r="C246" s="4" t="s">
        <v>34</v>
      </c>
      <c r="D246" s="4">
        <v>5</v>
      </c>
      <c r="E246" s="16"/>
      <c r="F246" s="17">
        <f t="shared" si="6"/>
        <v>0</v>
      </c>
      <c r="G246" s="7"/>
    </row>
    <row r="247" spans="1:14" s="1" customFormat="1" ht="23.25">
      <c r="A247" s="25">
        <f t="shared" si="7"/>
        <v>246</v>
      </c>
      <c r="B247" s="32" t="s">
        <v>237</v>
      </c>
      <c r="C247" s="4" t="s">
        <v>7</v>
      </c>
      <c r="D247" s="4">
        <v>50</v>
      </c>
      <c r="E247" s="16"/>
      <c r="F247" s="17">
        <f t="shared" si="6"/>
        <v>0</v>
      </c>
      <c r="G247" s="7"/>
    </row>
    <row r="248" spans="1:14" s="1" customFormat="1" ht="23.25">
      <c r="A248" s="25">
        <f t="shared" si="7"/>
        <v>247</v>
      </c>
      <c r="B248" s="32" t="s">
        <v>238</v>
      </c>
      <c r="C248" s="4" t="s">
        <v>34</v>
      </c>
      <c r="D248" s="4">
        <v>25</v>
      </c>
      <c r="E248" s="16"/>
      <c r="F248" s="17">
        <f t="shared" si="6"/>
        <v>0</v>
      </c>
      <c r="G248" s="7"/>
    </row>
    <row r="249" spans="1:14" s="1" customFormat="1" ht="23.25">
      <c r="A249" s="25">
        <f t="shared" si="7"/>
        <v>248</v>
      </c>
      <c r="B249" s="32" t="s">
        <v>239</v>
      </c>
      <c r="C249" s="4" t="s">
        <v>7</v>
      </c>
      <c r="D249" s="4">
        <v>500</v>
      </c>
      <c r="E249" s="16"/>
      <c r="F249" s="17">
        <f t="shared" si="6"/>
        <v>0</v>
      </c>
      <c r="G249" s="7"/>
    </row>
    <row r="250" spans="1:14" s="1" customFormat="1" ht="23.25">
      <c r="A250" s="25">
        <f t="shared" si="7"/>
        <v>249</v>
      </c>
      <c r="B250" s="32" t="s">
        <v>240</v>
      </c>
      <c r="C250" s="4" t="s">
        <v>241</v>
      </c>
      <c r="D250" s="4">
        <v>1</v>
      </c>
      <c r="E250" s="16">
        <v>20000</v>
      </c>
      <c r="F250" s="17">
        <v>20000</v>
      </c>
      <c r="G250" s="7"/>
    </row>
    <row r="251" spans="1:14" s="6" customFormat="1" ht="23.25">
      <c r="A251" s="28">
        <f>A250+1</f>
        <v>250</v>
      </c>
      <c r="B251" s="34" t="s">
        <v>270</v>
      </c>
      <c r="C251" s="4" t="s">
        <v>271</v>
      </c>
      <c r="D251" s="4">
        <v>5</v>
      </c>
      <c r="E251" s="29"/>
      <c r="F251" s="17">
        <f t="shared" ref="F251:F252" si="8">D251*E251</f>
        <v>0</v>
      </c>
      <c r="G251" s="5"/>
    </row>
    <row r="252" spans="1:14" s="1" customFormat="1" ht="23.25">
      <c r="A252" s="25">
        <f>A251+1</f>
        <v>251</v>
      </c>
      <c r="B252" s="34" t="s">
        <v>242</v>
      </c>
      <c r="C252" s="4" t="s">
        <v>228</v>
      </c>
      <c r="D252" s="4">
        <v>200</v>
      </c>
      <c r="E252" s="16"/>
      <c r="F252" s="17">
        <f t="shared" si="8"/>
        <v>0</v>
      </c>
      <c r="G252" s="7"/>
    </row>
    <row r="253" spans="1:14" s="1" customFormat="1" ht="23.25">
      <c r="A253" s="39" t="s">
        <v>272</v>
      </c>
      <c r="B253" s="40"/>
      <c r="C253" s="40"/>
      <c r="D253" s="40"/>
      <c r="E253" s="41"/>
      <c r="F253" s="30">
        <f>SUM(F2:F252)</f>
        <v>20000</v>
      </c>
      <c r="G253" s="7"/>
      <c r="N253" s="7"/>
    </row>
    <row r="254" spans="1:14" s="6" customFormat="1">
      <c r="A254" s="42" t="s">
        <v>273</v>
      </c>
      <c r="B254" s="42"/>
      <c r="C254" s="42"/>
      <c r="D254" s="42"/>
      <c r="E254" s="42"/>
      <c r="F254" s="42"/>
      <c r="G254" s="5"/>
      <c r="N254" s="5"/>
    </row>
    <row r="255" spans="1:14" s="6" customFormat="1">
      <c r="A255" s="43" t="s">
        <v>251</v>
      </c>
      <c r="B255" s="44"/>
      <c r="C255" s="44"/>
      <c r="D255" s="44"/>
      <c r="E255" s="44"/>
      <c r="F255" s="44"/>
      <c r="G255" s="5"/>
      <c r="N255" s="5"/>
    </row>
    <row r="256" spans="1:14" s="6" customFormat="1">
      <c r="A256" s="9"/>
      <c r="B256" s="9"/>
      <c r="C256" s="9"/>
      <c r="D256" s="9"/>
      <c r="E256" s="9"/>
      <c r="F256" s="9"/>
      <c r="G256" s="5"/>
      <c r="N256" s="5"/>
    </row>
    <row r="257" spans="1:13" s="20" customFormat="1" ht="15" customHeight="1">
      <c r="A257" s="45" t="s">
        <v>243</v>
      </c>
      <c r="B257" s="46"/>
      <c r="C257" s="46"/>
      <c r="D257" s="46"/>
      <c r="E257" s="46"/>
      <c r="F257" s="21"/>
      <c r="M257" s="21"/>
    </row>
    <row r="258" spans="1:13" s="20" customFormat="1" ht="15">
      <c r="A258" s="46"/>
      <c r="B258" s="46"/>
      <c r="C258" s="46"/>
      <c r="D258" s="46"/>
      <c r="E258" s="46"/>
      <c r="F258" s="21"/>
      <c r="M258" s="21"/>
    </row>
    <row r="259" spans="1:13" s="20" customFormat="1" ht="15.75">
      <c r="A259" s="22"/>
      <c r="B259" s="22"/>
      <c r="C259" s="22"/>
      <c r="D259" s="22"/>
      <c r="E259" s="22"/>
      <c r="G259" s="21"/>
      <c r="H259" s="21"/>
      <c r="I259" s="21"/>
      <c r="J259" s="21"/>
      <c r="K259" s="21"/>
      <c r="L259" s="21"/>
    </row>
    <row r="260" spans="1:13" s="20" customFormat="1" ht="15">
      <c r="A260" s="38" t="s">
        <v>244</v>
      </c>
      <c r="B260" s="38"/>
      <c r="C260" s="38"/>
      <c r="D260" s="38"/>
      <c r="E260" s="38"/>
    </row>
    <row r="261" spans="1:13" s="20" customFormat="1" ht="15" customHeight="1">
      <c r="A261" s="38"/>
      <c r="B261" s="38"/>
      <c r="C261" s="38"/>
      <c r="D261" s="38"/>
      <c r="E261" s="38"/>
    </row>
    <row r="262" spans="1:13" s="23" customFormat="1">
      <c r="A262" s="37" t="s">
        <v>245</v>
      </c>
      <c r="B262" s="37"/>
      <c r="C262" s="37"/>
      <c r="D262" s="37"/>
      <c r="E262" s="37"/>
    </row>
    <row r="263" spans="1:13" s="23" customFormat="1">
      <c r="A263" s="37"/>
      <c r="B263" s="37"/>
      <c r="C263" s="37"/>
      <c r="D263" s="37"/>
      <c r="E263" s="37"/>
    </row>
    <row r="264" spans="1:13" s="23" customFormat="1">
      <c r="A264" s="37"/>
      <c r="B264" s="37"/>
      <c r="C264" s="37"/>
      <c r="D264" s="37"/>
      <c r="E264" s="37"/>
    </row>
    <row r="265" spans="1:13" s="23" customFormat="1">
      <c r="A265" s="37"/>
      <c r="B265" s="37"/>
      <c r="C265" s="37"/>
      <c r="D265" s="37"/>
      <c r="E265" s="37"/>
    </row>
    <row r="266" spans="1:13" s="20" customFormat="1" ht="15">
      <c r="A266" s="37"/>
      <c r="B266" s="37"/>
      <c r="C266" s="37"/>
      <c r="D266" s="37"/>
      <c r="E266" s="37"/>
    </row>
    <row r="267" spans="1:13" s="20" customFormat="1" ht="15">
      <c r="A267" s="38"/>
      <c r="B267" s="38"/>
      <c r="C267" s="38"/>
      <c r="D267" s="38"/>
      <c r="E267" s="38"/>
    </row>
    <row r="268" spans="1:13">
      <c r="A268" s="14"/>
      <c r="B268" s="14"/>
      <c r="C268" s="14"/>
      <c r="D268" s="14"/>
      <c r="E268" s="14"/>
      <c r="F268" s="13"/>
    </row>
    <row r="269" spans="1:13">
      <c r="A269" s="14"/>
      <c r="B269" s="14"/>
      <c r="C269" s="14"/>
      <c r="D269" s="14"/>
      <c r="E269" s="14"/>
      <c r="F269" s="13"/>
    </row>
    <row r="270" spans="1:13">
      <c r="A270" s="14"/>
      <c r="B270" s="14"/>
      <c r="C270" s="14"/>
      <c r="D270" s="14"/>
      <c r="E270" s="14"/>
      <c r="F270" s="13"/>
    </row>
    <row r="271" spans="1:13">
      <c r="A271" s="14"/>
      <c r="B271" s="14"/>
      <c r="C271" s="14"/>
      <c r="D271" s="14"/>
      <c r="E271" s="14"/>
      <c r="F271" s="13"/>
    </row>
    <row r="272" spans="1:13">
      <c r="A272" s="14"/>
      <c r="B272" s="14"/>
      <c r="C272" s="14"/>
      <c r="D272" s="14"/>
      <c r="E272" s="14"/>
      <c r="F272" s="13"/>
    </row>
    <row r="273" spans="1:6">
      <c r="A273" s="14"/>
      <c r="B273" s="14"/>
      <c r="C273" s="14"/>
      <c r="D273" s="14"/>
      <c r="E273" s="14"/>
      <c r="F273" s="13"/>
    </row>
    <row r="274" spans="1:6">
      <c r="A274" s="14"/>
      <c r="B274" s="14"/>
      <c r="C274" s="14"/>
      <c r="D274" s="14"/>
      <c r="E274" s="14"/>
      <c r="F274" s="13"/>
    </row>
    <row r="275" spans="1:6">
      <c r="A275" s="14"/>
      <c r="B275" s="14"/>
      <c r="C275" s="14"/>
      <c r="D275" s="14"/>
      <c r="E275" s="14"/>
      <c r="F275" s="13"/>
    </row>
    <row r="276" spans="1:6">
      <c r="A276" s="14"/>
      <c r="B276" s="14"/>
      <c r="C276" s="14"/>
      <c r="D276" s="14"/>
      <c r="E276" s="14"/>
      <c r="F276" s="13"/>
    </row>
    <row r="277" spans="1:6">
      <c r="A277" s="14"/>
      <c r="B277" s="14"/>
      <c r="C277" s="14"/>
      <c r="D277" s="14"/>
      <c r="E277" s="14"/>
      <c r="F277" s="13"/>
    </row>
    <row r="278" spans="1:6">
      <c r="A278" s="14"/>
      <c r="B278" s="14"/>
      <c r="C278" s="14"/>
      <c r="D278" s="14"/>
      <c r="E278" s="14"/>
      <c r="F278" s="13"/>
    </row>
  </sheetData>
  <sheetProtection password="CAEC" sheet="1" objects="1" scenarios="1"/>
  <mergeCells count="6">
    <mergeCell ref="A262:E267"/>
    <mergeCell ref="A253:E253"/>
    <mergeCell ref="A254:F254"/>
    <mergeCell ref="A255:F255"/>
    <mergeCell ref="A257:E258"/>
    <mergeCell ref="A260:E261"/>
  </mergeCells>
  <printOptions horizontalCentered="1" verticalCentered="1"/>
  <pageMargins left="0.35" right="0.25" top="1.07" bottom="0.35" header="0.25" footer="0.25"/>
  <pageSetup scale="48" fitToHeight="5" orientation="portrait" verticalDpi="1200" r:id="rId1"/>
  <headerFooter>
    <oddHeader xml:space="preserve">&amp;L&amp;"Arial,Regular"&amp;16 2013 ANNUAL MUNICIPAL UTILITIES IMPROVEMENTS
PROJECT #13-01, CONTRACT CONTROL #13-98680
OPENING DATE: JULY 17, 2013 AT 2:00 P.M.&amp;C&amp;G&amp;R&amp;"Arial,Regular"&amp;16CITY OF FARMINGTON, NM
BID PROPOSAL, FORM AF-3&amp;"-,Regular"&amp;11
</oddHeader>
    <oddFooter>&amp;C&amp;"Arial,Regular"&amp;16&amp;P</oddFooter>
  </headerFooter>
  <rowBreaks count="4" manualBreakCount="4">
    <brk id="58" max="5" man="1"/>
    <brk id="115" max="5" man="1"/>
    <brk id="165" max="5" man="1"/>
    <brk id="216" max="5"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Bid Proposal </vt:lpstr>
      <vt:lpstr>'Bid Proposal '!Print_Area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2013-07-23T16:57:34Z</dcterms:modified>
</cp:coreProperties>
</file>