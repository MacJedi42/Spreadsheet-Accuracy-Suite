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0" windowWidth="19410" windowHeight="9630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Data!$A$1:$V$2019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J1983" i="2" l="1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1982" i="2"/>
  <c r="L2019" i="2" l="1"/>
  <c r="K2019" i="2"/>
  <c r="M2019" i="2"/>
  <c r="N2019" i="2" s="1"/>
  <c r="L2018" i="2"/>
  <c r="K2018" i="2"/>
  <c r="M2018" i="2"/>
  <c r="N2018" i="2" s="1"/>
  <c r="L2017" i="2"/>
  <c r="K2017" i="2"/>
  <c r="M2017" i="2"/>
  <c r="N2017" i="2" s="1"/>
  <c r="L2016" i="2"/>
  <c r="K2016" i="2"/>
  <c r="M2016" i="2"/>
  <c r="N2016" i="2" s="1"/>
  <c r="L2015" i="2"/>
  <c r="K2015" i="2"/>
  <c r="M2015" i="2"/>
  <c r="N2015" i="2" s="1"/>
  <c r="L2014" i="2"/>
  <c r="K2014" i="2"/>
  <c r="M2014" i="2"/>
  <c r="N2014" i="2" s="1"/>
  <c r="L2013" i="2"/>
  <c r="K2013" i="2"/>
  <c r="M2013" i="2"/>
  <c r="N2013" i="2" s="1"/>
  <c r="L2012" i="2"/>
  <c r="K2012" i="2"/>
  <c r="M2012" i="2"/>
  <c r="N2012" i="2" s="1"/>
  <c r="L2011" i="2"/>
  <c r="K2011" i="2"/>
  <c r="M2011" i="2"/>
  <c r="N2011" i="2" s="1"/>
  <c r="L2010" i="2"/>
  <c r="K2010" i="2"/>
  <c r="M2010" i="2"/>
  <c r="N2010" i="2" s="1"/>
  <c r="L2009" i="2"/>
  <c r="K2009" i="2"/>
  <c r="M2009" i="2"/>
  <c r="N2009" i="2" s="1"/>
  <c r="L2008" i="2"/>
  <c r="K2008" i="2"/>
  <c r="M2008" i="2"/>
  <c r="N2008" i="2" s="1"/>
  <c r="L2007" i="2"/>
  <c r="K2007" i="2"/>
  <c r="M2007" i="2"/>
  <c r="N2007" i="2" s="1"/>
  <c r="P2007" i="2" s="1"/>
  <c r="L2006" i="2"/>
  <c r="K2006" i="2"/>
  <c r="M2006" i="2"/>
  <c r="N2006" i="2" s="1"/>
  <c r="L2005" i="2"/>
  <c r="K2005" i="2"/>
  <c r="M2005" i="2"/>
  <c r="N2005" i="2" s="1"/>
  <c r="L2004" i="2"/>
  <c r="K2004" i="2"/>
  <c r="M2004" i="2"/>
  <c r="N2004" i="2" s="1"/>
  <c r="L2003" i="2"/>
  <c r="K2003" i="2"/>
  <c r="M2003" i="2"/>
  <c r="N2003" i="2" s="1"/>
  <c r="L2002" i="2"/>
  <c r="K2002" i="2"/>
  <c r="M2002" i="2"/>
  <c r="N2002" i="2" s="1"/>
  <c r="L2001" i="2"/>
  <c r="K2001" i="2"/>
  <c r="M2001" i="2"/>
  <c r="N2001" i="2" s="1"/>
  <c r="L2000" i="2"/>
  <c r="K2000" i="2"/>
  <c r="M2000" i="2"/>
  <c r="N2000" i="2" s="1"/>
  <c r="L1999" i="2"/>
  <c r="K1999" i="2"/>
  <c r="M1999" i="2"/>
  <c r="N1999" i="2" s="1"/>
  <c r="P1999" i="2" s="1"/>
  <c r="L1998" i="2"/>
  <c r="K1998" i="2"/>
  <c r="M1998" i="2"/>
  <c r="N1998" i="2" s="1"/>
  <c r="L1997" i="2"/>
  <c r="K1997" i="2"/>
  <c r="M1997" i="2"/>
  <c r="N1997" i="2" s="1"/>
  <c r="L1996" i="2"/>
  <c r="K1996" i="2"/>
  <c r="M1996" i="2"/>
  <c r="N1996" i="2" s="1"/>
  <c r="L1995" i="2"/>
  <c r="K1995" i="2"/>
  <c r="M1995" i="2"/>
  <c r="N1995" i="2" s="1"/>
  <c r="L1994" i="2"/>
  <c r="K1994" i="2"/>
  <c r="M1994" i="2"/>
  <c r="N1994" i="2" s="1"/>
  <c r="L1993" i="2"/>
  <c r="K1993" i="2"/>
  <c r="M1993" i="2"/>
  <c r="N1993" i="2" s="1"/>
  <c r="L1992" i="2"/>
  <c r="K1992" i="2"/>
  <c r="M1992" i="2"/>
  <c r="N1992" i="2" s="1"/>
  <c r="L1991" i="2"/>
  <c r="K1991" i="2"/>
  <c r="M1991" i="2"/>
  <c r="N1991" i="2" s="1"/>
  <c r="P1991" i="2" s="1"/>
  <c r="L1990" i="2"/>
  <c r="K1990" i="2"/>
  <c r="M1990" i="2"/>
  <c r="N1990" i="2" s="1"/>
  <c r="L1989" i="2"/>
  <c r="K1989" i="2"/>
  <c r="M1989" i="2"/>
  <c r="N1989" i="2" s="1"/>
  <c r="L1988" i="2"/>
  <c r="K1988" i="2"/>
  <c r="M1988" i="2"/>
  <c r="N1988" i="2" s="1"/>
  <c r="L1987" i="2"/>
  <c r="K1987" i="2"/>
  <c r="M1987" i="2"/>
  <c r="N1987" i="2" s="1"/>
  <c r="L1986" i="2"/>
  <c r="K1986" i="2"/>
  <c r="M1986" i="2"/>
  <c r="N1986" i="2" s="1"/>
  <c r="L1985" i="2"/>
  <c r="K1985" i="2"/>
  <c r="M1985" i="2"/>
  <c r="N1985" i="2" s="1"/>
  <c r="L1984" i="2"/>
  <c r="K1984" i="2"/>
  <c r="M1984" i="2"/>
  <c r="N1984" i="2" s="1"/>
  <c r="L1983" i="2"/>
  <c r="K1983" i="2"/>
  <c r="M1983" i="2"/>
  <c r="N1983" i="2" s="1"/>
  <c r="P1983" i="2" s="1"/>
  <c r="E1983" i="2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L1982" i="2"/>
  <c r="K1982" i="2"/>
  <c r="M1982" i="2"/>
  <c r="N1982" i="2" s="1"/>
  <c r="O2018" i="2" l="1"/>
  <c r="P2018" i="2"/>
  <c r="P1982" i="2"/>
  <c r="O1982" i="2"/>
  <c r="P1985" i="2"/>
  <c r="O1985" i="2"/>
  <c r="P1987" i="2"/>
  <c r="O1987" i="2"/>
  <c r="P1993" i="2"/>
  <c r="O1993" i="2"/>
  <c r="P1995" i="2"/>
  <c r="O1995" i="2"/>
  <c r="P2001" i="2"/>
  <c r="O2001" i="2"/>
  <c r="P2003" i="2"/>
  <c r="O2003" i="2"/>
  <c r="O2009" i="2"/>
  <c r="P2009" i="2"/>
  <c r="P2011" i="2"/>
  <c r="O2011" i="2"/>
  <c r="P2014" i="2"/>
  <c r="O2014" i="2"/>
  <c r="P1984" i="2"/>
  <c r="P1990" i="2"/>
  <c r="O1990" i="2"/>
  <c r="P1992" i="2"/>
  <c r="P1998" i="2"/>
  <c r="O1998" i="2"/>
  <c r="P2000" i="2"/>
  <c r="P2006" i="2"/>
  <c r="O2006" i="2"/>
  <c r="P2008" i="2"/>
  <c r="P2017" i="2"/>
  <c r="O2017" i="2"/>
  <c r="O2015" i="2"/>
  <c r="P2015" i="2"/>
  <c r="P2019" i="2"/>
  <c r="O2019" i="2"/>
  <c r="O1984" i="2"/>
  <c r="P1986" i="2"/>
  <c r="O1986" i="2"/>
  <c r="P1988" i="2"/>
  <c r="O1988" i="2"/>
  <c r="O1992" i="2"/>
  <c r="P1994" i="2"/>
  <c r="O1994" i="2"/>
  <c r="P1996" i="2"/>
  <c r="O1996" i="2"/>
  <c r="O2000" i="2"/>
  <c r="P2002" i="2"/>
  <c r="O2002" i="2"/>
  <c r="P2004" i="2"/>
  <c r="O2004" i="2"/>
  <c r="O2008" i="2"/>
  <c r="O2010" i="2"/>
  <c r="P2010" i="2"/>
  <c r="P2012" i="2"/>
  <c r="O2012" i="2"/>
  <c r="O1983" i="2"/>
  <c r="P1989" i="2"/>
  <c r="O1989" i="2"/>
  <c r="O1991" i="2"/>
  <c r="O1997" i="2"/>
  <c r="P1997" i="2"/>
  <c r="O1999" i="2"/>
  <c r="O2005" i="2"/>
  <c r="P2005" i="2"/>
  <c r="O2007" i="2"/>
  <c r="O2013" i="2"/>
  <c r="P2013" i="2"/>
  <c r="O2016" i="2"/>
  <c r="P2016" i="2"/>
  <c r="J1945" i="2"/>
  <c r="M1945" i="2" s="1"/>
  <c r="N1945" i="2" s="1"/>
  <c r="J1946" i="2"/>
  <c r="M1946" i="2" s="1"/>
  <c r="N1946" i="2" s="1"/>
  <c r="J1947" i="2"/>
  <c r="M1947" i="2" s="1"/>
  <c r="N1947" i="2" s="1"/>
  <c r="J1948" i="2"/>
  <c r="M1948" i="2" s="1"/>
  <c r="N1948" i="2" s="1"/>
  <c r="J1949" i="2"/>
  <c r="M1949" i="2" s="1"/>
  <c r="N1949" i="2" s="1"/>
  <c r="J1950" i="2"/>
  <c r="M1950" i="2" s="1"/>
  <c r="N1950" i="2" s="1"/>
  <c r="J1951" i="2"/>
  <c r="M1951" i="2" s="1"/>
  <c r="N1951" i="2" s="1"/>
  <c r="J1952" i="2"/>
  <c r="M1952" i="2" s="1"/>
  <c r="N1952" i="2" s="1"/>
  <c r="O1952" i="2" s="1"/>
  <c r="J1953" i="2"/>
  <c r="M1953" i="2" s="1"/>
  <c r="N1953" i="2" s="1"/>
  <c r="J1954" i="2"/>
  <c r="M1954" i="2" s="1"/>
  <c r="N1954" i="2" s="1"/>
  <c r="J1955" i="2"/>
  <c r="M1955" i="2" s="1"/>
  <c r="N1955" i="2" s="1"/>
  <c r="J1956" i="2"/>
  <c r="M1956" i="2" s="1"/>
  <c r="N1956" i="2" s="1"/>
  <c r="J1957" i="2"/>
  <c r="M1957" i="2" s="1"/>
  <c r="N1957" i="2" s="1"/>
  <c r="J1958" i="2"/>
  <c r="M1958" i="2" s="1"/>
  <c r="N1958" i="2" s="1"/>
  <c r="J1959" i="2"/>
  <c r="M1959" i="2" s="1"/>
  <c r="N1959" i="2" s="1"/>
  <c r="J1960" i="2"/>
  <c r="M1960" i="2" s="1"/>
  <c r="N1960" i="2" s="1"/>
  <c r="J1961" i="2"/>
  <c r="M1961" i="2" s="1"/>
  <c r="N1961" i="2" s="1"/>
  <c r="J1962" i="2"/>
  <c r="M1962" i="2" s="1"/>
  <c r="N1962" i="2" s="1"/>
  <c r="J1963" i="2"/>
  <c r="M1963" i="2" s="1"/>
  <c r="N1963" i="2" s="1"/>
  <c r="J1964" i="2"/>
  <c r="M1964" i="2" s="1"/>
  <c r="N1964" i="2" s="1"/>
  <c r="J1965" i="2"/>
  <c r="M1965" i="2" s="1"/>
  <c r="N1965" i="2" s="1"/>
  <c r="J1966" i="2"/>
  <c r="M1966" i="2" s="1"/>
  <c r="N1966" i="2" s="1"/>
  <c r="J1967" i="2"/>
  <c r="M1967" i="2" s="1"/>
  <c r="N1967" i="2" s="1"/>
  <c r="J1968" i="2"/>
  <c r="M1968" i="2" s="1"/>
  <c r="N1968" i="2" s="1"/>
  <c r="J1969" i="2"/>
  <c r="M1969" i="2" s="1"/>
  <c r="N1969" i="2" s="1"/>
  <c r="J1970" i="2"/>
  <c r="M1970" i="2" s="1"/>
  <c r="N1970" i="2" s="1"/>
  <c r="J1971" i="2"/>
  <c r="M1971" i="2" s="1"/>
  <c r="N1971" i="2" s="1"/>
  <c r="J1972" i="2"/>
  <c r="M1972" i="2" s="1"/>
  <c r="N1972" i="2" s="1"/>
  <c r="J1973" i="2"/>
  <c r="M1973" i="2" s="1"/>
  <c r="N1973" i="2" s="1"/>
  <c r="J1974" i="2"/>
  <c r="M1974" i="2" s="1"/>
  <c r="N1974" i="2" s="1"/>
  <c r="J1975" i="2"/>
  <c r="M1975" i="2" s="1"/>
  <c r="N1975" i="2" s="1"/>
  <c r="J1976" i="2"/>
  <c r="M1976" i="2" s="1"/>
  <c r="N1976" i="2" s="1"/>
  <c r="J1977" i="2"/>
  <c r="J1978" i="2"/>
  <c r="M1978" i="2" s="1"/>
  <c r="N1978" i="2" s="1"/>
  <c r="J1979" i="2"/>
  <c r="M1979" i="2" s="1"/>
  <c r="N1979" i="2" s="1"/>
  <c r="J1980" i="2"/>
  <c r="M1980" i="2" s="1"/>
  <c r="N1980" i="2" s="1"/>
  <c r="J1981" i="2"/>
  <c r="M1981" i="2" s="1"/>
  <c r="N1981" i="2" s="1"/>
  <c r="J1944" i="2"/>
  <c r="M1944" i="2" s="1"/>
  <c r="N1944" i="2" s="1"/>
  <c r="O1944" i="2" s="1"/>
  <c r="L1981" i="2"/>
  <c r="K1981" i="2"/>
  <c r="L1980" i="2"/>
  <c r="K1980" i="2"/>
  <c r="L1979" i="2"/>
  <c r="K1979" i="2"/>
  <c r="L1978" i="2"/>
  <c r="K1978" i="2"/>
  <c r="L1977" i="2"/>
  <c r="K1977" i="2"/>
  <c r="M1977" i="2"/>
  <c r="N1977" i="2" s="1"/>
  <c r="O1977" i="2" s="1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E1945" i="2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L1944" i="2"/>
  <c r="K1944" i="2"/>
  <c r="O1976" i="2" l="1"/>
  <c r="P1976" i="2"/>
  <c r="O1968" i="2"/>
  <c r="O1960" i="2"/>
  <c r="P1977" i="2"/>
  <c r="P1950" i="2"/>
  <c r="O1950" i="2"/>
  <c r="P1956" i="2"/>
  <c r="O1956" i="2"/>
  <c r="P1970" i="2"/>
  <c r="O1970" i="2"/>
  <c r="P1978" i="2"/>
  <c r="O1978" i="2"/>
  <c r="P1946" i="2"/>
  <c r="O1946" i="2"/>
  <c r="P1963" i="2"/>
  <c r="O1963" i="2"/>
  <c r="O1965" i="2"/>
  <c r="P1965" i="2"/>
  <c r="P1966" i="2"/>
  <c r="O1966" i="2"/>
  <c r="O1980" i="2"/>
  <c r="P1980" i="2"/>
  <c r="P1948" i="2"/>
  <c r="O1948" i="2"/>
  <c r="P1962" i="2"/>
  <c r="O1962" i="2"/>
  <c r="P1955" i="2"/>
  <c r="O1955" i="2"/>
  <c r="O1957" i="2"/>
  <c r="P1957" i="2"/>
  <c r="P1958" i="2"/>
  <c r="O1958" i="2"/>
  <c r="P1964" i="2"/>
  <c r="O1964" i="2"/>
  <c r="P1954" i="2"/>
  <c r="O1954" i="2"/>
  <c r="P1971" i="2"/>
  <c r="O1971" i="2"/>
  <c r="P1979" i="2"/>
  <c r="O1979" i="2"/>
  <c r="P1947" i="2"/>
  <c r="O1947" i="2"/>
  <c r="O1949" i="2"/>
  <c r="P1949" i="2"/>
  <c r="P1972" i="2"/>
  <c r="O1972" i="2"/>
  <c r="O1973" i="2"/>
  <c r="P1973" i="2"/>
  <c r="O1945" i="2"/>
  <c r="O1953" i="2"/>
  <c r="O1961" i="2"/>
  <c r="O1969" i="2"/>
  <c r="P1974" i="2"/>
  <c r="O1974" i="2"/>
  <c r="P1945" i="2"/>
  <c r="P1953" i="2"/>
  <c r="P1961" i="2"/>
  <c r="P1969" i="2"/>
  <c r="O1981" i="2"/>
  <c r="P1981" i="2"/>
  <c r="P1944" i="2"/>
  <c r="P1951" i="2"/>
  <c r="O1951" i="2"/>
  <c r="P1952" i="2"/>
  <c r="P1959" i="2"/>
  <c r="O1959" i="2"/>
  <c r="P1960" i="2"/>
  <c r="P1967" i="2"/>
  <c r="O1967" i="2"/>
  <c r="P1968" i="2"/>
  <c r="P1975" i="2"/>
  <c r="O1975" i="2"/>
  <c r="Y17" i="4"/>
  <c r="Z17" i="4"/>
  <c r="Y18" i="4"/>
  <c r="Z18" i="4"/>
  <c r="Y41" i="4"/>
  <c r="Z41" i="4"/>
  <c r="Y42" i="4"/>
  <c r="Z42" i="4"/>
  <c r="O17" i="4"/>
  <c r="P17" i="4"/>
  <c r="O18" i="4"/>
  <c r="P18" i="4"/>
  <c r="O41" i="4"/>
  <c r="P41" i="4"/>
  <c r="O42" i="4"/>
  <c r="P42" i="4"/>
  <c r="E41" i="4"/>
  <c r="F41" i="4" s="1"/>
  <c r="E42" i="4"/>
  <c r="F42" i="4"/>
  <c r="E17" i="4"/>
  <c r="F17" i="4"/>
  <c r="E18" i="4"/>
  <c r="F18" i="4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06" i="2"/>
  <c r="L1943" i="2" l="1"/>
  <c r="K1943" i="2"/>
  <c r="M1943" i="2"/>
  <c r="N1943" i="2" s="1"/>
  <c r="L1942" i="2"/>
  <c r="K1942" i="2"/>
  <c r="M1942" i="2"/>
  <c r="N1942" i="2" s="1"/>
  <c r="L1941" i="2"/>
  <c r="K1941" i="2"/>
  <c r="M1941" i="2"/>
  <c r="N1941" i="2" s="1"/>
  <c r="L1940" i="2"/>
  <c r="K1940" i="2"/>
  <c r="M1940" i="2"/>
  <c r="N1940" i="2" s="1"/>
  <c r="P1940" i="2" s="1"/>
  <c r="L1939" i="2"/>
  <c r="K1939" i="2"/>
  <c r="M1939" i="2"/>
  <c r="N1939" i="2" s="1"/>
  <c r="O1939" i="2" s="1"/>
  <c r="L1938" i="2"/>
  <c r="K1938" i="2"/>
  <c r="M1938" i="2"/>
  <c r="N1938" i="2" s="1"/>
  <c r="L1937" i="2"/>
  <c r="K1937" i="2"/>
  <c r="M1937" i="2"/>
  <c r="N1937" i="2" s="1"/>
  <c r="L1936" i="2"/>
  <c r="K1936" i="2"/>
  <c r="M1936" i="2"/>
  <c r="N1936" i="2" s="1"/>
  <c r="L1935" i="2"/>
  <c r="K1935" i="2"/>
  <c r="M1935" i="2"/>
  <c r="N1935" i="2" s="1"/>
  <c r="L1934" i="2"/>
  <c r="K1934" i="2"/>
  <c r="M1934" i="2"/>
  <c r="N1934" i="2" s="1"/>
  <c r="L1933" i="2"/>
  <c r="K1933" i="2"/>
  <c r="M1933" i="2"/>
  <c r="N1933" i="2" s="1"/>
  <c r="L1932" i="2"/>
  <c r="K1932" i="2"/>
  <c r="M1932" i="2"/>
  <c r="N1932" i="2" s="1"/>
  <c r="L1931" i="2"/>
  <c r="K1931" i="2"/>
  <c r="M1931" i="2"/>
  <c r="N1931" i="2" s="1"/>
  <c r="O1931" i="2" s="1"/>
  <c r="L1930" i="2"/>
  <c r="K1930" i="2"/>
  <c r="M1930" i="2"/>
  <c r="N1930" i="2" s="1"/>
  <c r="L1929" i="2"/>
  <c r="K1929" i="2"/>
  <c r="M1929" i="2"/>
  <c r="N1929" i="2" s="1"/>
  <c r="L1928" i="2"/>
  <c r="K1928" i="2"/>
  <c r="M1928" i="2"/>
  <c r="N1928" i="2" s="1"/>
  <c r="L1927" i="2"/>
  <c r="K1927" i="2"/>
  <c r="M1927" i="2"/>
  <c r="N1927" i="2" s="1"/>
  <c r="L1926" i="2"/>
  <c r="K1926" i="2"/>
  <c r="M1926" i="2"/>
  <c r="N1926" i="2" s="1"/>
  <c r="L1925" i="2"/>
  <c r="K1925" i="2"/>
  <c r="M1925" i="2"/>
  <c r="N1925" i="2" s="1"/>
  <c r="L1924" i="2"/>
  <c r="K1924" i="2"/>
  <c r="M1924" i="2"/>
  <c r="N1924" i="2" s="1"/>
  <c r="P1924" i="2" s="1"/>
  <c r="L1923" i="2"/>
  <c r="K1923" i="2"/>
  <c r="M1923" i="2"/>
  <c r="N1923" i="2" s="1"/>
  <c r="O1923" i="2" s="1"/>
  <c r="L1922" i="2"/>
  <c r="K1922" i="2"/>
  <c r="M1922" i="2"/>
  <c r="N1922" i="2" s="1"/>
  <c r="L1921" i="2"/>
  <c r="K1921" i="2"/>
  <c r="M1921" i="2"/>
  <c r="N1921" i="2" s="1"/>
  <c r="L1920" i="2"/>
  <c r="K1920" i="2"/>
  <c r="M1920" i="2"/>
  <c r="N1920" i="2" s="1"/>
  <c r="L1919" i="2"/>
  <c r="K1919" i="2"/>
  <c r="M1919" i="2"/>
  <c r="N1919" i="2" s="1"/>
  <c r="L1918" i="2"/>
  <c r="K1918" i="2"/>
  <c r="M1918" i="2"/>
  <c r="N1918" i="2" s="1"/>
  <c r="L1917" i="2"/>
  <c r="K1917" i="2"/>
  <c r="M1917" i="2"/>
  <c r="N1917" i="2" s="1"/>
  <c r="L1916" i="2"/>
  <c r="K1916" i="2"/>
  <c r="M1916" i="2"/>
  <c r="N1916" i="2" s="1"/>
  <c r="P1916" i="2" s="1"/>
  <c r="L1915" i="2"/>
  <c r="K1915" i="2"/>
  <c r="M1915" i="2"/>
  <c r="N1915" i="2" s="1"/>
  <c r="O1915" i="2" s="1"/>
  <c r="L1914" i="2"/>
  <c r="K1914" i="2"/>
  <c r="M1914" i="2"/>
  <c r="N1914" i="2" s="1"/>
  <c r="L1913" i="2"/>
  <c r="K1913" i="2"/>
  <c r="M1913" i="2"/>
  <c r="N1913" i="2" s="1"/>
  <c r="L1912" i="2"/>
  <c r="K1912" i="2"/>
  <c r="M1912" i="2"/>
  <c r="N1912" i="2" s="1"/>
  <c r="L1911" i="2"/>
  <c r="K1911" i="2"/>
  <c r="M1911" i="2"/>
  <c r="N1911" i="2" s="1"/>
  <c r="L1910" i="2"/>
  <c r="K1910" i="2"/>
  <c r="M1910" i="2"/>
  <c r="N1910" i="2" s="1"/>
  <c r="L1909" i="2"/>
  <c r="K1909" i="2"/>
  <c r="M1909" i="2"/>
  <c r="N1909" i="2" s="1"/>
  <c r="L1908" i="2"/>
  <c r="K1908" i="2"/>
  <c r="M1908" i="2"/>
  <c r="N1908" i="2" s="1"/>
  <c r="L1907" i="2"/>
  <c r="K1907" i="2"/>
  <c r="M1907" i="2"/>
  <c r="N1907" i="2" s="1"/>
  <c r="O1907" i="2" s="1"/>
  <c r="E1907" i="2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L1906" i="2"/>
  <c r="K1906" i="2"/>
  <c r="M1906" i="2"/>
  <c r="N1906" i="2" s="1"/>
  <c r="O1940" i="2" l="1"/>
  <c r="P1931" i="2"/>
  <c r="P1923" i="2"/>
  <c r="O1932" i="2"/>
  <c r="P1932" i="2"/>
  <c r="P1909" i="2"/>
  <c r="O1909" i="2"/>
  <c r="P1942" i="2"/>
  <c r="O1942" i="2"/>
  <c r="P1926" i="2"/>
  <c r="O1926" i="2"/>
  <c r="P1934" i="2"/>
  <c r="O1934" i="2"/>
  <c r="P1911" i="2"/>
  <c r="O1911" i="2"/>
  <c r="P1913" i="2"/>
  <c r="O1913" i="2"/>
  <c r="P1914" i="2"/>
  <c r="O1914" i="2"/>
  <c r="P1918" i="2"/>
  <c r="O1918" i="2"/>
  <c r="O1920" i="2"/>
  <c r="P1920" i="2"/>
  <c r="P1925" i="2"/>
  <c r="O1925" i="2"/>
  <c r="O1933" i="2"/>
  <c r="P1933" i="2"/>
  <c r="P1921" i="2"/>
  <c r="O1921" i="2"/>
  <c r="P1943" i="2"/>
  <c r="O1943" i="2"/>
  <c r="P1927" i="2"/>
  <c r="O1927" i="2"/>
  <c r="P1935" i="2"/>
  <c r="O1935" i="2"/>
  <c r="P1910" i="2"/>
  <c r="O1910" i="2"/>
  <c r="P1912" i="2"/>
  <c r="O1912" i="2"/>
  <c r="P1919" i="2"/>
  <c r="O1919" i="2"/>
  <c r="P1922" i="2"/>
  <c r="O1922" i="2"/>
  <c r="P1937" i="2"/>
  <c r="O1937" i="2"/>
  <c r="P1941" i="2"/>
  <c r="O1916" i="2"/>
  <c r="P1917" i="2"/>
  <c r="P1908" i="2"/>
  <c r="O1924" i="2"/>
  <c r="P1929" i="2"/>
  <c r="O1929" i="2"/>
  <c r="O1941" i="2"/>
  <c r="P1930" i="2"/>
  <c r="O1930" i="2"/>
  <c r="O1917" i="2"/>
  <c r="P1938" i="2"/>
  <c r="O1938" i="2"/>
  <c r="P1939" i="2"/>
  <c r="O1908" i="2"/>
  <c r="P1915" i="2"/>
  <c r="O1928" i="2"/>
  <c r="P1928" i="2"/>
  <c r="P1907" i="2"/>
  <c r="O1936" i="2"/>
  <c r="P1936" i="2"/>
  <c r="P1906" i="2"/>
  <c r="O1906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869" i="2"/>
  <c r="J1868" i="2"/>
  <c r="L1905" i="2" l="1"/>
  <c r="K1905" i="2"/>
  <c r="M1905" i="2"/>
  <c r="N1905" i="2" s="1"/>
  <c r="L1904" i="2"/>
  <c r="K1904" i="2"/>
  <c r="M1904" i="2"/>
  <c r="N1904" i="2" s="1"/>
  <c r="M1903" i="2"/>
  <c r="N1903" i="2" s="1"/>
  <c r="L1903" i="2"/>
  <c r="K1903" i="2"/>
  <c r="L1902" i="2"/>
  <c r="K1902" i="2"/>
  <c r="M1902" i="2"/>
  <c r="N1902" i="2" s="1"/>
  <c r="L1901" i="2"/>
  <c r="K1901" i="2"/>
  <c r="M1901" i="2"/>
  <c r="N1901" i="2" s="1"/>
  <c r="L1900" i="2"/>
  <c r="K1900" i="2"/>
  <c r="M1900" i="2"/>
  <c r="N1900" i="2" s="1"/>
  <c r="O1900" i="2" s="1"/>
  <c r="S1976" i="2" s="1"/>
  <c r="L1899" i="2"/>
  <c r="K1899" i="2"/>
  <c r="M1899" i="2"/>
  <c r="N1899" i="2" s="1"/>
  <c r="L1898" i="2"/>
  <c r="K1898" i="2"/>
  <c r="M1898" i="2"/>
  <c r="N1898" i="2" s="1"/>
  <c r="L1897" i="2"/>
  <c r="K1897" i="2"/>
  <c r="M1897" i="2"/>
  <c r="N1897" i="2" s="1"/>
  <c r="L1896" i="2"/>
  <c r="K1896" i="2"/>
  <c r="M1896" i="2"/>
  <c r="N1896" i="2" s="1"/>
  <c r="L1895" i="2"/>
  <c r="K1895" i="2"/>
  <c r="M1895" i="2"/>
  <c r="N1895" i="2" s="1"/>
  <c r="L1894" i="2"/>
  <c r="K1894" i="2"/>
  <c r="M1894" i="2"/>
  <c r="N1894" i="2" s="1"/>
  <c r="L1893" i="2"/>
  <c r="K1893" i="2"/>
  <c r="M1893" i="2"/>
  <c r="N1893" i="2" s="1"/>
  <c r="O1893" i="2" s="1"/>
  <c r="S1969" i="2" s="1"/>
  <c r="L1892" i="2"/>
  <c r="K1892" i="2"/>
  <c r="M1892" i="2"/>
  <c r="N1892" i="2" s="1"/>
  <c r="L1891" i="2"/>
  <c r="K1891" i="2"/>
  <c r="M1891" i="2"/>
  <c r="N1891" i="2" s="1"/>
  <c r="L1890" i="2"/>
  <c r="K1890" i="2"/>
  <c r="M1890" i="2"/>
  <c r="N1890" i="2" s="1"/>
  <c r="L1889" i="2"/>
  <c r="K1889" i="2"/>
  <c r="M1889" i="2"/>
  <c r="N1889" i="2" s="1"/>
  <c r="L1888" i="2"/>
  <c r="K1888" i="2"/>
  <c r="M1888" i="2"/>
  <c r="N1888" i="2" s="1"/>
  <c r="L1887" i="2"/>
  <c r="K1887" i="2"/>
  <c r="M1887" i="2"/>
  <c r="N1887" i="2" s="1"/>
  <c r="L1886" i="2"/>
  <c r="K1886" i="2"/>
  <c r="M1886" i="2"/>
  <c r="N1886" i="2" s="1"/>
  <c r="L1885" i="2"/>
  <c r="K1885" i="2"/>
  <c r="M1885" i="2"/>
  <c r="N1885" i="2" s="1"/>
  <c r="O1885" i="2" s="1"/>
  <c r="S1961" i="2" s="1"/>
  <c r="L1884" i="2"/>
  <c r="K1884" i="2"/>
  <c r="M1884" i="2"/>
  <c r="N1884" i="2" s="1"/>
  <c r="L1883" i="2"/>
  <c r="K1883" i="2"/>
  <c r="M1883" i="2"/>
  <c r="N1883" i="2" s="1"/>
  <c r="L1882" i="2"/>
  <c r="K1882" i="2"/>
  <c r="M1882" i="2"/>
  <c r="N1882" i="2" s="1"/>
  <c r="L1881" i="2"/>
  <c r="K1881" i="2"/>
  <c r="M1881" i="2"/>
  <c r="N1881" i="2" s="1"/>
  <c r="L1880" i="2"/>
  <c r="K1880" i="2"/>
  <c r="M1880" i="2"/>
  <c r="N1880" i="2" s="1"/>
  <c r="L1879" i="2"/>
  <c r="K1879" i="2"/>
  <c r="M1879" i="2"/>
  <c r="N1879" i="2" s="1"/>
  <c r="L1878" i="2"/>
  <c r="K1878" i="2"/>
  <c r="M1878" i="2"/>
  <c r="N1878" i="2" s="1"/>
  <c r="L1877" i="2"/>
  <c r="K1877" i="2"/>
  <c r="M1877" i="2"/>
  <c r="N1877" i="2" s="1"/>
  <c r="O1877" i="2" s="1"/>
  <c r="S1953" i="2" s="1"/>
  <c r="L1876" i="2"/>
  <c r="K1876" i="2"/>
  <c r="M1876" i="2"/>
  <c r="N1876" i="2" s="1"/>
  <c r="L1875" i="2"/>
  <c r="K1875" i="2"/>
  <c r="M1875" i="2"/>
  <c r="N1875" i="2" s="1"/>
  <c r="L1874" i="2"/>
  <c r="K1874" i="2"/>
  <c r="M1874" i="2"/>
  <c r="N1874" i="2" s="1"/>
  <c r="L1873" i="2"/>
  <c r="K1873" i="2"/>
  <c r="M1873" i="2"/>
  <c r="N1873" i="2" s="1"/>
  <c r="L1872" i="2"/>
  <c r="K1872" i="2"/>
  <c r="M1872" i="2"/>
  <c r="N1872" i="2" s="1"/>
  <c r="L1871" i="2"/>
  <c r="K1871" i="2"/>
  <c r="M1871" i="2"/>
  <c r="N1871" i="2" s="1"/>
  <c r="L1870" i="2"/>
  <c r="K1870" i="2"/>
  <c r="M1870" i="2"/>
  <c r="N1870" i="2" s="1"/>
  <c r="L1869" i="2"/>
  <c r="K1869" i="2"/>
  <c r="M1869" i="2"/>
  <c r="N1869" i="2" s="1"/>
  <c r="P1869" i="2" s="1"/>
  <c r="E1869" i="2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L1868" i="2"/>
  <c r="K1868" i="2"/>
  <c r="M1868" i="2"/>
  <c r="N1868" i="2" s="1"/>
  <c r="O1892" i="2" l="1"/>
  <c r="S1968" i="2" s="1"/>
  <c r="P1892" i="2"/>
  <c r="P1876" i="2"/>
  <c r="O1876" i="2"/>
  <c r="S1952" i="2" s="1"/>
  <c r="P1868" i="2"/>
  <c r="O1868" i="2"/>
  <c r="S1944" i="2" s="1"/>
  <c r="P1884" i="2"/>
  <c r="O1884" i="2"/>
  <c r="S1960" i="2" s="1"/>
  <c r="P1900" i="2"/>
  <c r="P1873" i="2"/>
  <c r="O1873" i="2"/>
  <c r="S1949" i="2" s="1"/>
  <c r="O1883" i="2"/>
  <c r="S1959" i="2" s="1"/>
  <c r="P1883" i="2"/>
  <c r="P1905" i="2"/>
  <c r="O1905" i="2"/>
  <c r="S1981" i="2" s="1"/>
  <c r="P1878" i="2"/>
  <c r="O1878" i="2"/>
  <c r="S1954" i="2" s="1"/>
  <c r="P1880" i="2"/>
  <c r="O1880" i="2"/>
  <c r="S1956" i="2" s="1"/>
  <c r="P1895" i="2"/>
  <c r="O1895" i="2"/>
  <c r="S1971" i="2" s="1"/>
  <c r="P1898" i="2"/>
  <c r="O1898" i="2"/>
  <c r="S1974" i="2" s="1"/>
  <c r="P1881" i="2"/>
  <c r="O1881" i="2"/>
  <c r="S1957" i="2" s="1"/>
  <c r="O1891" i="2"/>
  <c r="S1967" i="2" s="1"/>
  <c r="P1891" i="2"/>
  <c r="P1871" i="2"/>
  <c r="O1871" i="2"/>
  <c r="S1947" i="2" s="1"/>
  <c r="P1874" i="2"/>
  <c r="O1874" i="2"/>
  <c r="S1950" i="2" s="1"/>
  <c r="O1886" i="2"/>
  <c r="S1962" i="2" s="1"/>
  <c r="P1886" i="2"/>
  <c r="P1888" i="2"/>
  <c r="O1888" i="2"/>
  <c r="S1964" i="2" s="1"/>
  <c r="P1903" i="2"/>
  <c r="O1903" i="2"/>
  <c r="S1979" i="2" s="1"/>
  <c r="P1889" i="2"/>
  <c r="O1889" i="2"/>
  <c r="S1965" i="2" s="1"/>
  <c r="O1899" i="2"/>
  <c r="S1975" i="2" s="1"/>
  <c r="P1899" i="2"/>
  <c r="P1879" i="2"/>
  <c r="O1879" i="2"/>
  <c r="S1955" i="2" s="1"/>
  <c r="P1882" i="2"/>
  <c r="O1882" i="2"/>
  <c r="S1958" i="2" s="1"/>
  <c r="P1894" i="2"/>
  <c r="O1894" i="2"/>
  <c r="S1970" i="2" s="1"/>
  <c r="P1896" i="2"/>
  <c r="O1896" i="2"/>
  <c r="S1972" i="2" s="1"/>
  <c r="O1875" i="2"/>
  <c r="S1951" i="2" s="1"/>
  <c r="P1875" i="2"/>
  <c r="P1897" i="2"/>
  <c r="O1897" i="2"/>
  <c r="S1973" i="2" s="1"/>
  <c r="O1870" i="2"/>
  <c r="S1946" i="2" s="1"/>
  <c r="P1870" i="2"/>
  <c r="P1872" i="2"/>
  <c r="O1872" i="2"/>
  <c r="S1948" i="2" s="1"/>
  <c r="P1887" i="2"/>
  <c r="O1887" i="2"/>
  <c r="S1963" i="2" s="1"/>
  <c r="P1890" i="2"/>
  <c r="O1890" i="2"/>
  <c r="S1966" i="2" s="1"/>
  <c r="P1902" i="2"/>
  <c r="O1902" i="2"/>
  <c r="S1978" i="2" s="1"/>
  <c r="P1904" i="2"/>
  <c r="O1904" i="2"/>
  <c r="S1980" i="2" s="1"/>
  <c r="O1869" i="2"/>
  <c r="S1945" i="2" s="1"/>
  <c r="O1901" i="2"/>
  <c r="S1977" i="2" s="1"/>
  <c r="P1885" i="2"/>
  <c r="P1893" i="2"/>
  <c r="P1901" i="2"/>
  <c r="P1877" i="2"/>
  <c r="E11" i="4"/>
  <c r="H40" i="4"/>
  <c r="I40" i="4" s="1"/>
  <c r="E40" i="4"/>
  <c r="F40" i="4"/>
  <c r="R40" i="4"/>
  <c r="S40" i="4" s="1"/>
  <c r="O40" i="4"/>
  <c r="P40" i="4"/>
  <c r="R16" i="4"/>
  <c r="S16" i="4" s="1"/>
  <c r="O16" i="4"/>
  <c r="P16" i="4"/>
  <c r="H16" i="4"/>
  <c r="I16" i="4" s="1"/>
  <c r="E16" i="4"/>
  <c r="F16" i="4"/>
  <c r="AB16" i="4"/>
  <c r="AC16" i="4" s="1"/>
  <c r="AC40" i="4"/>
  <c r="AB40" i="4"/>
  <c r="Y40" i="4"/>
  <c r="Z40" i="4"/>
  <c r="Y16" i="4"/>
  <c r="Z16" i="4" s="1"/>
  <c r="J1831" i="2" l="1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30" i="2"/>
  <c r="L1867" i="2" l="1"/>
  <c r="K1867" i="2"/>
  <c r="M1867" i="2"/>
  <c r="N1867" i="2" s="1"/>
  <c r="M1866" i="2"/>
  <c r="N1866" i="2" s="1"/>
  <c r="L1866" i="2"/>
  <c r="K1866" i="2"/>
  <c r="L1865" i="2"/>
  <c r="K1865" i="2"/>
  <c r="M1865" i="2"/>
  <c r="N1865" i="2" s="1"/>
  <c r="L1864" i="2"/>
  <c r="K1864" i="2"/>
  <c r="M1864" i="2"/>
  <c r="N1864" i="2" s="1"/>
  <c r="L1863" i="2"/>
  <c r="K1863" i="2"/>
  <c r="M1863" i="2"/>
  <c r="N1863" i="2" s="1"/>
  <c r="L1862" i="2"/>
  <c r="K1862" i="2"/>
  <c r="M1862" i="2"/>
  <c r="N1862" i="2" s="1"/>
  <c r="L1861" i="2"/>
  <c r="K1861" i="2"/>
  <c r="M1861" i="2"/>
  <c r="N1861" i="2" s="1"/>
  <c r="L1860" i="2"/>
  <c r="K1860" i="2"/>
  <c r="M1860" i="2"/>
  <c r="N1860" i="2" s="1"/>
  <c r="L1859" i="2"/>
  <c r="K1859" i="2"/>
  <c r="M1859" i="2"/>
  <c r="N1859" i="2" s="1"/>
  <c r="L1858" i="2"/>
  <c r="K1858" i="2"/>
  <c r="M1858" i="2"/>
  <c r="N1858" i="2" s="1"/>
  <c r="L1857" i="2"/>
  <c r="K1857" i="2"/>
  <c r="M1857" i="2"/>
  <c r="N1857" i="2" s="1"/>
  <c r="L1856" i="2"/>
  <c r="K1856" i="2"/>
  <c r="M1856" i="2"/>
  <c r="N1856" i="2" s="1"/>
  <c r="L1855" i="2"/>
  <c r="K1855" i="2"/>
  <c r="M1855" i="2"/>
  <c r="N1855" i="2" s="1"/>
  <c r="L1854" i="2"/>
  <c r="K1854" i="2"/>
  <c r="M1854" i="2"/>
  <c r="N1854" i="2" s="1"/>
  <c r="L1853" i="2"/>
  <c r="K1853" i="2"/>
  <c r="M1853" i="2"/>
  <c r="N1853" i="2" s="1"/>
  <c r="L1852" i="2"/>
  <c r="K1852" i="2"/>
  <c r="M1852" i="2"/>
  <c r="N1852" i="2" s="1"/>
  <c r="L1851" i="2"/>
  <c r="K1851" i="2"/>
  <c r="M1851" i="2"/>
  <c r="N1851" i="2" s="1"/>
  <c r="L1850" i="2"/>
  <c r="K1850" i="2"/>
  <c r="M1850" i="2"/>
  <c r="N1850" i="2" s="1"/>
  <c r="L1849" i="2"/>
  <c r="K1849" i="2"/>
  <c r="M1849" i="2"/>
  <c r="N1849" i="2" s="1"/>
  <c r="L1848" i="2"/>
  <c r="K1848" i="2"/>
  <c r="M1848" i="2"/>
  <c r="N1848" i="2" s="1"/>
  <c r="L1847" i="2"/>
  <c r="K1847" i="2"/>
  <c r="M1847" i="2"/>
  <c r="N1847" i="2" s="1"/>
  <c r="L1846" i="2"/>
  <c r="K1846" i="2"/>
  <c r="M1846" i="2"/>
  <c r="N1846" i="2" s="1"/>
  <c r="L1845" i="2"/>
  <c r="K1845" i="2"/>
  <c r="M1845" i="2"/>
  <c r="N1845" i="2" s="1"/>
  <c r="L1844" i="2"/>
  <c r="K1844" i="2"/>
  <c r="M1844" i="2"/>
  <c r="N1844" i="2" s="1"/>
  <c r="L1843" i="2"/>
  <c r="K1843" i="2"/>
  <c r="M1843" i="2"/>
  <c r="N1843" i="2" s="1"/>
  <c r="L1842" i="2"/>
  <c r="K1842" i="2"/>
  <c r="M1842" i="2"/>
  <c r="N1842" i="2" s="1"/>
  <c r="L1841" i="2"/>
  <c r="K1841" i="2"/>
  <c r="M1841" i="2"/>
  <c r="N1841" i="2" s="1"/>
  <c r="L1840" i="2"/>
  <c r="K1840" i="2"/>
  <c r="M1840" i="2"/>
  <c r="N1840" i="2" s="1"/>
  <c r="L1839" i="2"/>
  <c r="K1839" i="2"/>
  <c r="M1839" i="2"/>
  <c r="N1839" i="2" s="1"/>
  <c r="L1838" i="2"/>
  <c r="K1838" i="2"/>
  <c r="M1838" i="2"/>
  <c r="N1838" i="2" s="1"/>
  <c r="L1837" i="2"/>
  <c r="K1837" i="2"/>
  <c r="M1837" i="2"/>
  <c r="N1837" i="2" s="1"/>
  <c r="L1836" i="2"/>
  <c r="K1836" i="2"/>
  <c r="M1836" i="2"/>
  <c r="N1836" i="2" s="1"/>
  <c r="M1835" i="2"/>
  <c r="N1835" i="2" s="1"/>
  <c r="L1835" i="2"/>
  <c r="K1835" i="2"/>
  <c r="L1834" i="2"/>
  <c r="K1834" i="2"/>
  <c r="M1834" i="2"/>
  <c r="N1834" i="2" s="1"/>
  <c r="L1833" i="2"/>
  <c r="K1833" i="2"/>
  <c r="M1833" i="2"/>
  <c r="N1833" i="2" s="1"/>
  <c r="L1832" i="2"/>
  <c r="K1832" i="2"/>
  <c r="M1832" i="2"/>
  <c r="N1832" i="2" s="1"/>
  <c r="L1831" i="2"/>
  <c r="K1831" i="2"/>
  <c r="M1831" i="2"/>
  <c r="N1831" i="2" s="1"/>
  <c r="O1831" i="2" s="1"/>
  <c r="E1831" i="2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L1830" i="2"/>
  <c r="K1830" i="2"/>
  <c r="M1830" i="2"/>
  <c r="N1830" i="2" s="1"/>
  <c r="P1831" i="2" l="1"/>
  <c r="P1857" i="2"/>
  <c r="O1857" i="2"/>
  <c r="P1841" i="2"/>
  <c r="O1841" i="2"/>
  <c r="P1865" i="2"/>
  <c r="O1865" i="2"/>
  <c r="P1849" i="2"/>
  <c r="O1849" i="2"/>
  <c r="O1833" i="2"/>
  <c r="P1833" i="2"/>
  <c r="O1837" i="2"/>
  <c r="P1837" i="2"/>
  <c r="O1839" i="2"/>
  <c r="P1845" i="2"/>
  <c r="O1845" i="2"/>
  <c r="O1847" i="2"/>
  <c r="O1853" i="2"/>
  <c r="P1853" i="2"/>
  <c r="O1855" i="2"/>
  <c r="O1861" i="2"/>
  <c r="P1861" i="2"/>
  <c r="O1863" i="2"/>
  <c r="P1830" i="2"/>
  <c r="O1830" i="2"/>
  <c r="O1835" i="2"/>
  <c r="P1835" i="2"/>
  <c r="P1839" i="2"/>
  <c r="O1843" i="2"/>
  <c r="P1843" i="2"/>
  <c r="P1847" i="2"/>
  <c r="O1851" i="2"/>
  <c r="P1851" i="2"/>
  <c r="P1855" i="2"/>
  <c r="P1859" i="2"/>
  <c r="O1859" i="2"/>
  <c r="P1863" i="2"/>
  <c r="P1867" i="2"/>
  <c r="O1867" i="2"/>
  <c r="P1832" i="2"/>
  <c r="P1838" i="2"/>
  <c r="O1838" i="2"/>
  <c r="P1840" i="2"/>
  <c r="P1846" i="2"/>
  <c r="O1846" i="2"/>
  <c r="P1848" i="2"/>
  <c r="P1854" i="2"/>
  <c r="O1854" i="2"/>
  <c r="P1856" i="2"/>
  <c r="P1862" i="2"/>
  <c r="O1862" i="2"/>
  <c r="P1864" i="2"/>
  <c r="O1832" i="2"/>
  <c r="O1834" i="2"/>
  <c r="P1834" i="2"/>
  <c r="P1836" i="2"/>
  <c r="O1836" i="2"/>
  <c r="O1840" i="2"/>
  <c r="P1842" i="2"/>
  <c r="O1842" i="2"/>
  <c r="O1844" i="2"/>
  <c r="P1844" i="2"/>
  <c r="O1848" i="2"/>
  <c r="P1850" i="2"/>
  <c r="O1850" i="2"/>
  <c r="P1852" i="2"/>
  <c r="O1852" i="2"/>
  <c r="O1856" i="2"/>
  <c r="P1858" i="2"/>
  <c r="O1858" i="2"/>
  <c r="P1860" i="2"/>
  <c r="O1860" i="2"/>
  <c r="O1864" i="2"/>
  <c r="P1866" i="2"/>
  <c r="O1866" i="2"/>
  <c r="E39" i="4"/>
  <c r="F39" i="4"/>
  <c r="O39" i="4"/>
  <c r="P39" i="4"/>
  <c r="O15" i="4"/>
  <c r="P15" i="4"/>
  <c r="E15" i="4"/>
  <c r="F15" i="4" s="1"/>
  <c r="J1793" i="2"/>
  <c r="M1793" i="2" s="1"/>
  <c r="N1793" i="2" s="1"/>
  <c r="J1794" i="2"/>
  <c r="M1794" i="2" s="1"/>
  <c r="N1794" i="2" s="1"/>
  <c r="O1794" i="2" s="1"/>
  <c r="J1795" i="2"/>
  <c r="M1795" i="2" s="1"/>
  <c r="N1795" i="2" s="1"/>
  <c r="P1795" i="2" s="1"/>
  <c r="J1796" i="2"/>
  <c r="M1796" i="2" s="1"/>
  <c r="N1796" i="2" s="1"/>
  <c r="J1797" i="2"/>
  <c r="M1797" i="2" s="1"/>
  <c r="N1797" i="2" s="1"/>
  <c r="J1798" i="2"/>
  <c r="M1798" i="2" s="1"/>
  <c r="N1798" i="2" s="1"/>
  <c r="J1799" i="2"/>
  <c r="M1799" i="2" s="1"/>
  <c r="N1799" i="2" s="1"/>
  <c r="J1800" i="2"/>
  <c r="M1800" i="2" s="1"/>
  <c r="N1800" i="2" s="1"/>
  <c r="J1801" i="2"/>
  <c r="M1801" i="2" s="1"/>
  <c r="N1801" i="2" s="1"/>
  <c r="J1802" i="2"/>
  <c r="M1802" i="2" s="1"/>
  <c r="N1802" i="2" s="1"/>
  <c r="O1802" i="2" s="1"/>
  <c r="J1803" i="2"/>
  <c r="M1803" i="2" s="1"/>
  <c r="N1803" i="2" s="1"/>
  <c r="J1804" i="2"/>
  <c r="M1804" i="2" s="1"/>
  <c r="N1804" i="2" s="1"/>
  <c r="J1805" i="2"/>
  <c r="M1805" i="2" s="1"/>
  <c r="N1805" i="2" s="1"/>
  <c r="J1806" i="2"/>
  <c r="M1806" i="2" s="1"/>
  <c r="N1806" i="2" s="1"/>
  <c r="J1807" i="2"/>
  <c r="M1807" i="2" s="1"/>
  <c r="N1807" i="2" s="1"/>
  <c r="J1808" i="2"/>
  <c r="M1808" i="2" s="1"/>
  <c r="N1808" i="2" s="1"/>
  <c r="J1809" i="2"/>
  <c r="M1809" i="2" s="1"/>
  <c r="N1809" i="2" s="1"/>
  <c r="J1810" i="2"/>
  <c r="M1810" i="2" s="1"/>
  <c r="N1810" i="2" s="1"/>
  <c r="O1810" i="2" s="1"/>
  <c r="J1811" i="2"/>
  <c r="M1811" i="2" s="1"/>
  <c r="N1811" i="2" s="1"/>
  <c r="J1812" i="2"/>
  <c r="M1812" i="2" s="1"/>
  <c r="N1812" i="2" s="1"/>
  <c r="J1813" i="2"/>
  <c r="M1813" i="2" s="1"/>
  <c r="N1813" i="2" s="1"/>
  <c r="J1814" i="2"/>
  <c r="M1814" i="2" s="1"/>
  <c r="N1814" i="2" s="1"/>
  <c r="J1815" i="2"/>
  <c r="M1815" i="2" s="1"/>
  <c r="N1815" i="2" s="1"/>
  <c r="J1816" i="2"/>
  <c r="M1816" i="2" s="1"/>
  <c r="N1816" i="2" s="1"/>
  <c r="J1817" i="2"/>
  <c r="M1817" i="2" s="1"/>
  <c r="N1817" i="2" s="1"/>
  <c r="J1818" i="2"/>
  <c r="M1818" i="2" s="1"/>
  <c r="N1818" i="2" s="1"/>
  <c r="O1818" i="2" s="1"/>
  <c r="J1819" i="2"/>
  <c r="M1819" i="2" s="1"/>
  <c r="N1819" i="2" s="1"/>
  <c r="J1820" i="2"/>
  <c r="M1820" i="2" s="1"/>
  <c r="N1820" i="2" s="1"/>
  <c r="P1820" i="2" s="1"/>
  <c r="J1821" i="2"/>
  <c r="M1821" i="2" s="1"/>
  <c r="N1821" i="2" s="1"/>
  <c r="J1822" i="2"/>
  <c r="M1822" i="2" s="1"/>
  <c r="N1822" i="2" s="1"/>
  <c r="J1823" i="2"/>
  <c r="M1823" i="2" s="1"/>
  <c r="N1823" i="2" s="1"/>
  <c r="J1824" i="2"/>
  <c r="M1824" i="2" s="1"/>
  <c r="N1824" i="2" s="1"/>
  <c r="J1825" i="2"/>
  <c r="M1825" i="2" s="1"/>
  <c r="N1825" i="2" s="1"/>
  <c r="J1826" i="2"/>
  <c r="M1826" i="2" s="1"/>
  <c r="N1826" i="2" s="1"/>
  <c r="J1827" i="2"/>
  <c r="M1827" i="2" s="1"/>
  <c r="N1827" i="2" s="1"/>
  <c r="J1828" i="2"/>
  <c r="M1828" i="2" s="1"/>
  <c r="N1828" i="2" s="1"/>
  <c r="J1829" i="2"/>
  <c r="M1829" i="2" s="1"/>
  <c r="N1829" i="2" s="1"/>
  <c r="J1792" i="2"/>
  <c r="M1792" i="2" s="1"/>
  <c r="N1792" i="2" s="1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E1793" i="2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L1792" i="2"/>
  <c r="K1792" i="2"/>
  <c r="Y39" i="4"/>
  <c r="Z39" i="4"/>
  <c r="Y15" i="4"/>
  <c r="Z15" i="4"/>
  <c r="O1826" i="2" l="1"/>
  <c r="P1826" i="2"/>
  <c r="P1794" i="2"/>
  <c r="P1796" i="2"/>
  <c r="O1796" i="2"/>
  <c r="P1813" i="2"/>
  <c r="O1813" i="2"/>
  <c r="P1824" i="2"/>
  <c r="O1824" i="2"/>
  <c r="P1798" i="2"/>
  <c r="O1798" i="2"/>
  <c r="P1800" i="2"/>
  <c r="O1800" i="2"/>
  <c r="P1812" i="2"/>
  <c r="O1812" i="2"/>
  <c r="P1816" i="2"/>
  <c r="O1816" i="2"/>
  <c r="P1805" i="2"/>
  <c r="O1805" i="2"/>
  <c r="P1792" i="2"/>
  <c r="O1792" i="2"/>
  <c r="P1814" i="2"/>
  <c r="O1814" i="2"/>
  <c r="P1804" i="2"/>
  <c r="O1804" i="2"/>
  <c r="P1808" i="2"/>
  <c r="O1808" i="2"/>
  <c r="O1829" i="2"/>
  <c r="P1829" i="2"/>
  <c r="P1797" i="2"/>
  <c r="O1797" i="2"/>
  <c r="P1799" i="2"/>
  <c r="O1799" i="2"/>
  <c r="P1806" i="2"/>
  <c r="O1806" i="2"/>
  <c r="P1828" i="2"/>
  <c r="O1828" i="2"/>
  <c r="P1815" i="2"/>
  <c r="O1815" i="2"/>
  <c r="P1825" i="2"/>
  <c r="O1825" i="2"/>
  <c r="P1793" i="2"/>
  <c r="O1793" i="2"/>
  <c r="O1819" i="2"/>
  <c r="O1823" i="2"/>
  <c r="P1823" i="2"/>
  <c r="O1803" i="2"/>
  <c r="O1811" i="2"/>
  <c r="P1819" i="2"/>
  <c r="P1803" i="2"/>
  <c r="P1811" i="2"/>
  <c r="P1822" i="2"/>
  <c r="O1795" i="2"/>
  <c r="P1802" i="2"/>
  <c r="P1809" i="2"/>
  <c r="O1809" i="2"/>
  <c r="P1810" i="2"/>
  <c r="P1817" i="2"/>
  <c r="O1817" i="2"/>
  <c r="P1818" i="2"/>
  <c r="O1822" i="2"/>
  <c r="O1827" i="2"/>
  <c r="P1827" i="2"/>
  <c r="P1801" i="2"/>
  <c r="O1801" i="2"/>
  <c r="P1807" i="2"/>
  <c r="O1807" i="2"/>
  <c r="O1821" i="2"/>
  <c r="P1821" i="2"/>
  <c r="O1820" i="2"/>
  <c r="I37" i="4" l="1"/>
  <c r="H37" i="4"/>
  <c r="F38" i="4"/>
  <c r="E36" i="4"/>
  <c r="E37" i="4"/>
  <c r="E38" i="4"/>
  <c r="E35" i="4"/>
  <c r="S37" i="4"/>
  <c r="P38" i="4"/>
  <c r="O38" i="4"/>
  <c r="O36" i="4"/>
  <c r="O37" i="4"/>
  <c r="O35" i="4"/>
  <c r="Y35" i="4"/>
  <c r="Y11" i="4"/>
  <c r="O11" i="4"/>
  <c r="P37" i="4"/>
  <c r="P36" i="4"/>
  <c r="P35" i="4"/>
  <c r="R37" i="4" s="1"/>
  <c r="P30" i="4"/>
  <c r="O14" i="4"/>
  <c r="P14" i="4" s="1"/>
  <c r="O13" i="4"/>
  <c r="P13" i="4" s="1"/>
  <c r="O12" i="4"/>
  <c r="P12" i="4" s="1"/>
  <c r="P11" i="4"/>
  <c r="P6" i="4"/>
  <c r="I13" i="4"/>
  <c r="H13" i="4"/>
  <c r="F12" i="4"/>
  <c r="F13" i="4"/>
  <c r="F14" i="4"/>
  <c r="F11" i="4"/>
  <c r="E14" i="4"/>
  <c r="E12" i="4"/>
  <c r="E13" i="4"/>
  <c r="R13" i="4" l="1"/>
  <c r="S13" i="4" s="1"/>
  <c r="F37" i="4" l="1"/>
  <c r="F36" i="4"/>
  <c r="F35" i="4"/>
  <c r="F30" i="4"/>
  <c r="Z14" i="4"/>
  <c r="Z11" i="4"/>
  <c r="Y12" i="4"/>
  <c r="Y13" i="4"/>
  <c r="Y14" i="4"/>
  <c r="Z38" i="4"/>
  <c r="Z37" i="4"/>
  <c r="Z35" i="4"/>
  <c r="Y38" i="4"/>
  <c r="Y36" i="4"/>
  <c r="Y37" i="4"/>
  <c r="Z36" i="4" l="1"/>
  <c r="AB37" i="4" s="1"/>
  <c r="AC37" i="4" s="1"/>
  <c r="Z13" i="4"/>
  <c r="Z12" i="4"/>
  <c r="AB13" i="4"/>
  <c r="AC13" i="4" s="1"/>
  <c r="F6" i="4"/>
  <c r="S73" i="4"/>
  <c r="I73" i="4"/>
  <c r="H73" i="4"/>
  <c r="J1756" i="2" l="1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55" i="2"/>
  <c r="J1754" i="2"/>
  <c r="L1791" i="2" l="1"/>
  <c r="K1791" i="2"/>
  <c r="M1791" i="2"/>
  <c r="N1791" i="2" s="1"/>
  <c r="L1790" i="2"/>
  <c r="K1790" i="2"/>
  <c r="M1790" i="2"/>
  <c r="N1790" i="2" s="1"/>
  <c r="L1789" i="2"/>
  <c r="K1789" i="2"/>
  <c r="M1789" i="2"/>
  <c r="N1789" i="2" s="1"/>
  <c r="L1788" i="2"/>
  <c r="K1788" i="2"/>
  <c r="M1788" i="2"/>
  <c r="N1788" i="2" s="1"/>
  <c r="L1787" i="2"/>
  <c r="K1787" i="2"/>
  <c r="M1787" i="2"/>
  <c r="N1787" i="2" s="1"/>
  <c r="L1786" i="2"/>
  <c r="K1786" i="2"/>
  <c r="M1786" i="2"/>
  <c r="N1786" i="2" s="1"/>
  <c r="L1785" i="2"/>
  <c r="K1785" i="2"/>
  <c r="M1785" i="2"/>
  <c r="N1785" i="2" s="1"/>
  <c r="L1784" i="2"/>
  <c r="K1784" i="2"/>
  <c r="M1784" i="2"/>
  <c r="N1784" i="2" s="1"/>
  <c r="L1783" i="2"/>
  <c r="K1783" i="2"/>
  <c r="M1783" i="2"/>
  <c r="N1783" i="2" s="1"/>
  <c r="L1782" i="2"/>
  <c r="K1782" i="2"/>
  <c r="M1782" i="2"/>
  <c r="N1782" i="2" s="1"/>
  <c r="L1781" i="2"/>
  <c r="K1781" i="2"/>
  <c r="M1781" i="2"/>
  <c r="N1781" i="2" s="1"/>
  <c r="P1781" i="2" s="1"/>
  <c r="L1780" i="2"/>
  <c r="K1780" i="2"/>
  <c r="M1780" i="2"/>
  <c r="N1780" i="2" s="1"/>
  <c r="L1779" i="2"/>
  <c r="K1779" i="2"/>
  <c r="M1779" i="2"/>
  <c r="N1779" i="2" s="1"/>
  <c r="L1778" i="2"/>
  <c r="K1778" i="2"/>
  <c r="M1778" i="2"/>
  <c r="N1778" i="2" s="1"/>
  <c r="L1777" i="2"/>
  <c r="K1777" i="2"/>
  <c r="M1777" i="2"/>
  <c r="N1777" i="2" s="1"/>
  <c r="L1776" i="2"/>
  <c r="K1776" i="2"/>
  <c r="M1776" i="2"/>
  <c r="N1776" i="2" s="1"/>
  <c r="L1775" i="2"/>
  <c r="K1775" i="2"/>
  <c r="M1775" i="2"/>
  <c r="N1775" i="2" s="1"/>
  <c r="L1774" i="2"/>
  <c r="K1774" i="2"/>
  <c r="M1774" i="2"/>
  <c r="N1774" i="2" s="1"/>
  <c r="L1773" i="2"/>
  <c r="K1773" i="2"/>
  <c r="M1773" i="2"/>
  <c r="N1773" i="2" s="1"/>
  <c r="P1773" i="2" s="1"/>
  <c r="L1772" i="2"/>
  <c r="K1772" i="2"/>
  <c r="M1772" i="2"/>
  <c r="N1772" i="2" s="1"/>
  <c r="L1771" i="2"/>
  <c r="K1771" i="2"/>
  <c r="M1771" i="2"/>
  <c r="N1771" i="2" s="1"/>
  <c r="L1770" i="2"/>
  <c r="K1770" i="2"/>
  <c r="M1770" i="2"/>
  <c r="N1770" i="2" s="1"/>
  <c r="L1769" i="2"/>
  <c r="K1769" i="2"/>
  <c r="M1769" i="2"/>
  <c r="N1769" i="2" s="1"/>
  <c r="L1768" i="2"/>
  <c r="K1768" i="2"/>
  <c r="M1768" i="2"/>
  <c r="N1768" i="2" s="1"/>
  <c r="L1767" i="2"/>
  <c r="K1767" i="2"/>
  <c r="M1767" i="2"/>
  <c r="N1767" i="2" s="1"/>
  <c r="L1766" i="2"/>
  <c r="K1766" i="2"/>
  <c r="M1766" i="2"/>
  <c r="N1766" i="2" s="1"/>
  <c r="L1765" i="2"/>
  <c r="K1765" i="2"/>
  <c r="M1765" i="2"/>
  <c r="N1765" i="2" s="1"/>
  <c r="P1765" i="2" s="1"/>
  <c r="L1764" i="2"/>
  <c r="K1764" i="2"/>
  <c r="M1764" i="2"/>
  <c r="N1764" i="2" s="1"/>
  <c r="L1763" i="2"/>
  <c r="K1763" i="2"/>
  <c r="M1763" i="2"/>
  <c r="N1763" i="2" s="1"/>
  <c r="L1762" i="2"/>
  <c r="K1762" i="2"/>
  <c r="M1762" i="2"/>
  <c r="N1762" i="2" s="1"/>
  <c r="L1761" i="2"/>
  <c r="K1761" i="2"/>
  <c r="M1761" i="2"/>
  <c r="N1761" i="2" s="1"/>
  <c r="L1760" i="2"/>
  <c r="K1760" i="2"/>
  <c r="M1760" i="2"/>
  <c r="N1760" i="2" s="1"/>
  <c r="L1759" i="2"/>
  <c r="K1759" i="2"/>
  <c r="M1759" i="2"/>
  <c r="N1759" i="2" s="1"/>
  <c r="L1758" i="2"/>
  <c r="K1758" i="2"/>
  <c r="M1758" i="2"/>
  <c r="N1758" i="2" s="1"/>
  <c r="L1757" i="2"/>
  <c r="K1757" i="2"/>
  <c r="M1757" i="2"/>
  <c r="N1757" i="2" s="1"/>
  <c r="L1756" i="2"/>
  <c r="K1756" i="2"/>
  <c r="M1756" i="2"/>
  <c r="N1756" i="2" s="1"/>
  <c r="L1755" i="2"/>
  <c r="K1755" i="2"/>
  <c r="M1755" i="2"/>
  <c r="N1755" i="2" s="1"/>
  <c r="E1755" i="2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L1754" i="2"/>
  <c r="K1754" i="2"/>
  <c r="M1754" i="2"/>
  <c r="N1754" i="2" s="1"/>
  <c r="P1759" i="2" l="1"/>
  <c r="O1759" i="2"/>
  <c r="S1835" i="2" s="1"/>
  <c r="O1774" i="2"/>
  <c r="S1850" i="2" s="1"/>
  <c r="P1774" i="2"/>
  <c r="O1764" i="2"/>
  <c r="S1840" i="2" s="1"/>
  <c r="P1764" i="2"/>
  <c r="P1755" i="2"/>
  <c r="O1755" i="2"/>
  <c r="S1831" i="2" s="1"/>
  <c r="O1772" i="2"/>
  <c r="S1848" i="2" s="1"/>
  <c r="P1772" i="2"/>
  <c r="O1779" i="2"/>
  <c r="S1855" i="2" s="1"/>
  <c r="P1779" i="2"/>
  <c r="O1785" i="2"/>
  <c r="S1861" i="2" s="1"/>
  <c r="P1785" i="2"/>
  <c r="P1762" i="2"/>
  <c r="O1762" i="2"/>
  <c r="S1838" i="2" s="1"/>
  <c r="P1776" i="2"/>
  <c r="O1776" i="2"/>
  <c r="S1852" i="2" s="1"/>
  <c r="O1777" i="2"/>
  <c r="S1853" i="2" s="1"/>
  <c r="P1777" i="2"/>
  <c r="P1768" i="2"/>
  <c r="O1768" i="2"/>
  <c r="S1844" i="2" s="1"/>
  <c r="P1786" i="2"/>
  <c r="O1786" i="2"/>
  <c r="S1862" i="2" s="1"/>
  <c r="O1790" i="2"/>
  <c r="S1866" i="2" s="1"/>
  <c r="P1790" i="2"/>
  <c r="O1763" i="2"/>
  <c r="S1839" i="2" s="1"/>
  <c r="P1763" i="2"/>
  <c r="O1788" i="2"/>
  <c r="S1864" i="2" s="1"/>
  <c r="P1788" i="2"/>
  <c r="P1778" i="2"/>
  <c r="O1778" i="2"/>
  <c r="S1854" i="2" s="1"/>
  <c r="P1789" i="2"/>
  <c r="O1789" i="2"/>
  <c r="S1865" i="2" s="1"/>
  <c r="P1771" i="2"/>
  <c r="O1771" i="2"/>
  <c r="S1847" i="2" s="1"/>
  <c r="O1766" i="2"/>
  <c r="S1842" i="2" s="1"/>
  <c r="P1766" i="2"/>
  <c r="P1783" i="2"/>
  <c r="O1783" i="2"/>
  <c r="S1859" i="2" s="1"/>
  <c r="P1754" i="2"/>
  <c r="O1754" i="2"/>
  <c r="S1830" i="2" s="1"/>
  <c r="O1769" i="2"/>
  <c r="S1845" i="2" s="1"/>
  <c r="P1769" i="2"/>
  <c r="O1758" i="2"/>
  <c r="S1834" i="2" s="1"/>
  <c r="P1758" i="2"/>
  <c r="P1760" i="2"/>
  <c r="O1760" i="2"/>
  <c r="S1836" i="2" s="1"/>
  <c r="P1775" i="2"/>
  <c r="O1775" i="2"/>
  <c r="S1851" i="2" s="1"/>
  <c r="O1756" i="2"/>
  <c r="S1832" i="2" s="1"/>
  <c r="P1756" i="2"/>
  <c r="O1761" i="2"/>
  <c r="S1837" i="2" s="1"/>
  <c r="P1761" i="2"/>
  <c r="P1780" i="2"/>
  <c r="O1780" i="2"/>
  <c r="S1856" i="2" s="1"/>
  <c r="P1787" i="2"/>
  <c r="O1787" i="2"/>
  <c r="S1863" i="2" s="1"/>
  <c r="O1757" i="2"/>
  <c r="S1833" i="2" s="1"/>
  <c r="P1757" i="2"/>
  <c r="P1767" i="2"/>
  <c r="O1767" i="2"/>
  <c r="S1843" i="2" s="1"/>
  <c r="P1770" i="2"/>
  <c r="O1770" i="2"/>
  <c r="S1846" i="2" s="1"/>
  <c r="P1782" i="2"/>
  <c r="O1782" i="2"/>
  <c r="S1858" i="2" s="1"/>
  <c r="P1784" i="2"/>
  <c r="O1784" i="2"/>
  <c r="S1860" i="2" s="1"/>
  <c r="P1791" i="2"/>
  <c r="O1791" i="2"/>
  <c r="S1867" i="2" s="1"/>
  <c r="O1781" i="2"/>
  <c r="S1857" i="2" s="1"/>
  <c r="O1765" i="2"/>
  <c r="S1841" i="2" s="1"/>
  <c r="O1773" i="2"/>
  <c r="S1849" i="2" s="1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M1649" i="2" s="1"/>
  <c r="N1649" i="2" s="1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M1673" i="2" s="1"/>
  <c r="N1673" i="2" s="1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P1635" i="2" l="1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L1601" i="2"/>
  <c r="K1601" i="2"/>
  <c r="M1600" i="2"/>
  <c r="N1600" i="2" s="1"/>
  <c r="L1600" i="2"/>
  <c r="K1600" i="2"/>
  <c r="M1599" i="2"/>
  <c r="N1599" i="2" s="1"/>
  <c r="L1599" i="2"/>
  <c r="K1599" i="2"/>
  <c r="L1598" i="2"/>
  <c r="K1598" i="2"/>
  <c r="M1598" i="2"/>
  <c r="N1598" i="2" s="1"/>
  <c r="L1597" i="2"/>
  <c r="K1597" i="2"/>
  <c r="M1597" i="2"/>
  <c r="N1597" i="2" s="1"/>
  <c r="M1596" i="2"/>
  <c r="N1596" i="2" s="1"/>
  <c r="L1596" i="2"/>
  <c r="K1596" i="2"/>
  <c r="L1595" i="2"/>
  <c r="K1595" i="2"/>
  <c r="M1595" i="2"/>
  <c r="N1595" i="2" s="1"/>
  <c r="L1594" i="2"/>
  <c r="K1594" i="2"/>
  <c r="M1594" i="2"/>
  <c r="N1594" i="2" s="1"/>
  <c r="M1593" i="2"/>
  <c r="N1593" i="2" s="1"/>
  <c r="P1593" i="2" s="1"/>
  <c r="L1593" i="2"/>
  <c r="K1593" i="2"/>
  <c r="M1592" i="2"/>
  <c r="N1592" i="2" s="1"/>
  <c r="L1592" i="2"/>
  <c r="K1592" i="2"/>
  <c r="M1591" i="2"/>
  <c r="N1591" i="2" s="1"/>
  <c r="L1591" i="2"/>
  <c r="K1591" i="2"/>
  <c r="L1590" i="2"/>
  <c r="K1590" i="2"/>
  <c r="M1590" i="2"/>
  <c r="N1590" i="2" s="1"/>
  <c r="L1589" i="2"/>
  <c r="K1589" i="2"/>
  <c r="M1589" i="2"/>
  <c r="N1589" i="2" s="1"/>
  <c r="M1588" i="2"/>
  <c r="N1588" i="2" s="1"/>
  <c r="L1588" i="2"/>
  <c r="K1588" i="2"/>
  <c r="L1587" i="2"/>
  <c r="K1587" i="2"/>
  <c r="M1587" i="2"/>
  <c r="N1587" i="2" s="1"/>
  <c r="L1586" i="2"/>
  <c r="K1586" i="2"/>
  <c r="M1586" i="2"/>
  <c r="N1586" i="2" s="1"/>
  <c r="M1585" i="2"/>
  <c r="N1585" i="2" s="1"/>
  <c r="O1585" i="2" s="1"/>
  <c r="L1585" i="2"/>
  <c r="K1585" i="2"/>
  <c r="M1584" i="2"/>
  <c r="N1584" i="2" s="1"/>
  <c r="L1584" i="2"/>
  <c r="K1584" i="2"/>
  <c r="M1583" i="2"/>
  <c r="N1583" i="2" s="1"/>
  <c r="L1583" i="2"/>
  <c r="K1583" i="2"/>
  <c r="L1582" i="2"/>
  <c r="K1582" i="2"/>
  <c r="M1582" i="2"/>
  <c r="N1582" i="2" s="1"/>
  <c r="L1581" i="2"/>
  <c r="K1581" i="2"/>
  <c r="M1581" i="2"/>
  <c r="N1581" i="2" s="1"/>
  <c r="L1580" i="2"/>
  <c r="K1580" i="2"/>
  <c r="M1580" i="2"/>
  <c r="N1580" i="2" s="1"/>
  <c r="L1579" i="2"/>
  <c r="K1579" i="2"/>
  <c r="M1579" i="2"/>
  <c r="N1579" i="2" s="1"/>
  <c r="L1578" i="2"/>
  <c r="K1578" i="2"/>
  <c r="M1578" i="2"/>
  <c r="N1578" i="2" s="1"/>
  <c r="M1577" i="2"/>
  <c r="N1577" i="2" s="1"/>
  <c r="L1577" i="2"/>
  <c r="K1577" i="2"/>
  <c r="M1576" i="2"/>
  <c r="N1576" i="2" s="1"/>
  <c r="L1576" i="2"/>
  <c r="K1576" i="2"/>
  <c r="M1575" i="2"/>
  <c r="N1575" i="2" s="1"/>
  <c r="L1575" i="2"/>
  <c r="K1575" i="2"/>
  <c r="L1574" i="2"/>
  <c r="K1574" i="2"/>
  <c r="M1574" i="2"/>
  <c r="N1574" i="2" s="1"/>
  <c r="L1573" i="2"/>
  <c r="K1573" i="2"/>
  <c r="M1573" i="2"/>
  <c r="N1573" i="2" s="1"/>
  <c r="L1572" i="2"/>
  <c r="K1572" i="2"/>
  <c r="M1572" i="2"/>
  <c r="N1572" i="2" s="1"/>
  <c r="L1571" i="2"/>
  <c r="K1571" i="2"/>
  <c r="M1571" i="2"/>
  <c r="N1571" i="2" s="1"/>
  <c r="L1570" i="2"/>
  <c r="K1570" i="2"/>
  <c r="M1570" i="2"/>
  <c r="N1570" i="2" s="1"/>
  <c r="M1569" i="2"/>
  <c r="N1569" i="2" s="1"/>
  <c r="L1569" i="2"/>
  <c r="K1569" i="2"/>
  <c r="M1568" i="2"/>
  <c r="N1568" i="2" s="1"/>
  <c r="L1568" i="2"/>
  <c r="K1568" i="2"/>
  <c r="M1567" i="2"/>
  <c r="N1567" i="2" s="1"/>
  <c r="L1567" i="2"/>
  <c r="K1567" i="2"/>
  <c r="L1566" i="2"/>
  <c r="K1566" i="2"/>
  <c r="M1566" i="2"/>
  <c r="N1566" i="2" s="1"/>
  <c r="L1565" i="2"/>
  <c r="K1565" i="2"/>
  <c r="M1565" i="2"/>
  <c r="N1565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P1571" i="2" l="1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R2019" i="2" s="1"/>
  <c r="L1563" i="2"/>
  <c r="K1563" i="2"/>
  <c r="M1562" i="2"/>
  <c r="N1562" i="2" s="1"/>
  <c r="R2018" i="2" s="1"/>
  <c r="L1562" i="2"/>
  <c r="K1562" i="2"/>
  <c r="L1561" i="2"/>
  <c r="K1561" i="2"/>
  <c r="M1561" i="2"/>
  <c r="N1561" i="2" s="1"/>
  <c r="R2017" i="2" s="1"/>
  <c r="L1560" i="2"/>
  <c r="K1560" i="2"/>
  <c r="M1560" i="2"/>
  <c r="N1560" i="2" s="1"/>
  <c r="L1559" i="2"/>
  <c r="K1559" i="2"/>
  <c r="M1559" i="2"/>
  <c r="N1559" i="2" s="1"/>
  <c r="L1558" i="2"/>
  <c r="K1558" i="2"/>
  <c r="M1558" i="2"/>
  <c r="N1558" i="2" s="1"/>
  <c r="R2014" i="2" s="1"/>
  <c r="L1557" i="2"/>
  <c r="K1557" i="2"/>
  <c r="M1557" i="2"/>
  <c r="N1557" i="2" s="1"/>
  <c r="R2013" i="2" s="1"/>
  <c r="M1556" i="2"/>
  <c r="N1556" i="2" s="1"/>
  <c r="R2012" i="2" s="1"/>
  <c r="L1556" i="2"/>
  <c r="K1556" i="2"/>
  <c r="M1555" i="2"/>
  <c r="N1555" i="2" s="1"/>
  <c r="R2011" i="2" s="1"/>
  <c r="L1555" i="2"/>
  <c r="K1555" i="2"/>
  <c r="M1554" i="2"/>
  <c r="N1554" i="2" s="1"/>
  <c r="R2010" i="2" s="1"/>
  <c r="L1554" i="2"/>
  <c r="K1554" i="2"/>
  <c r="L1553" i="2"/>
  <c r="K1553" i="2"/>
  <c r="M1553" i="2"/>
  <c r="N1553" i="2" s="1"/>
  <c r="R2009" i="2" s="1"/>
  <c r="L1552" i="2"/>
  <c r="K1552" i="2"/>
  <c r="M1552" i="2"/>
  <c r="N1552" i="2" s="1"/>
  <c r="L1551" i="2"/>
  <c r="K1551" i="2"/>
  <c r="M1551" i="2"/>
  <c r="N1551" i="2" s="1"/>
  <c r="L1550" i="2"/>
  <c r="K1550" i="2"/>
  <c r="M1550" i="2"/>
  <c r="N1550" i="2" s="1"/>
  <c r="R2006" i="2" s="1"/>
  <c r="L1549" i="2"/>
  <c r="K1549" i="2"/>
  <c r="M1549" i="2"/>
  <c r="N1549" i="2" s="1"/>
  <c r="R2005" i="2" s="1"/>
  <c r="M1548" i="2"/>
  <c r="N1548" i="2" s="1"/>
  <c r="R2004" i="2" s="1"/>
  <c r="L1548" i="2"/>
  <c r="K1548" i="2"/>
  <c r="M1547" i="2"/>
  <c r="N1547" i="2" s="1"/>
  <c r="R2003" i="2" s="1"/>
  <c r="L1547" i="2"/>
  <c r="K1547" i="2"/>
  <c r="M1546" i="2"/>
  <c r="N1546" i="2" s="1"/>
  <c r="R2002" i="2" s="1"/>
  <c r="L1546" i="2"/>
  <c r="K1546" i="2"/>
  <c r="L1545" i="2"/>
  <c r="K1545" i="2"/>
  <c r="M1545" i="2"/>
  <c r="N1545" i="2" s="1"/>
  <c r="R2001" i="2" s="1"/>
  <c r="L1544" i="2"/>
  <c r="K1544" i="2"/>
  <c r="M1544" i="2"/>
  <c r="N1544" i="2" s="1"/>
  <c r="R2000" i="2" s="1"/>
  <c r="L1543" i="2"/>
  <c r="K1543" i="2"/>
  <c r="M1543" i="2"/>
  <c r="N1543" i="2" s="1"/>
  <c r="L1542" i="2"/>
  <c r="K1542" i="2"/>
  <c r="M1542" i="2"/>
  <c r="N1542" i="2" s="1"/>
  <c r="R1998" i="2" s="1"/>
  <c r="L1541" i="2"/>
  <c r="K1541" i="2"/>
  <c r="M1541" i="2"/>
  <c r="N1541" i="2" s="1"/>
  <c r="R1997" i="2" s="1"/>
  <c r="M1540" i="2"/>
  <c r="N1540" i="2" s="1"/>
  <c r="R1996" i="2" s="1"/>
  <c r="L1540" i="2"/>
  <c r="K1540" i="2"/>
  <c r="M1539" i="2"/>
  <c r="N1539" i="2" s="1"/>
  <c r="R1995" i="2" s="1"/>
  <c r="L1539" i="2"/>
  <c r="K1539" i="2"/>
  <c r="M1538" i="2"/>
  <c r="N1538" i="2" s="1"/>
  <c r="R1994" i="2" s="1"/>
  <c r="L1538" i="2"/>
  <c r="K1538" i="2"/>
  <c r="L1537" i="2"/>
  <c r="K1537" i="2"/>
  <c r="M1537" i="2"/>
  <c r="N1537" i="2" s="1"/>
  <c r="R1993" i="2" s="1"/>
  <c r="L1536" i="2"/>
  <c r="K1536" i="2"/>
  <c r="M1536" i="2"/>
  <c r="N1536" i="2" s="1"/>
  <c r="R1992" i="2" s="1"/>
  <c r="L1535" i="2"/>
  <c r="K1535" i="2"/>
  <c r="M1535" i="2"/>
  <c r="N1535" i="2" s="1"/>
  <c r="L1534" i="2"/>
  <c r="K1534" i="2"/>
  <c r="M1534" i="2"/>
  <c r="N1534" i="2" s="1"/>
  <c r="R1990" i="2" s="1"/>
  <c r="L1533" i="2"/>
  <c r="K1533" i="2"/>
  <c r="M1533" i="2"/>
  <c r="N1533" i="2" s="1"/>
  <c r="R1989" i="2" s="1"/>
  <c r="M1532" i="2"/>
  <c r="N1532" i="2" s="1"/>
  <c r="R1988" i="2" s="1"/>
  <c r="L1532" i="2"/>
  <c r="K1532" i="2"/>
  <c r="M1531" i="2"/>
  <c r="N1531" i="2" s="1"/>
  <c r="R1987" i="2" s="1"/>
  <c r="L1531" i="2"/>
  <c r="K1531" i="2"/>
  <c r="M1530" i="2"/>
  <c r="N1530" i="2" s="1"/>
  <c r="R1986" i="2" s="1"/>
  <c r="L1530" i="2"/>
  <c r="K1530" i="2"/>
  <c r="L1529" i="2"/>
  <c r="K1529" i="2"/>
  <c r="M1529" i="2"/>
  <c r="N1529" i="2" s="1"/>
  <c r="R1985" i="2" s="1"/>
  <c r="L1528" i="2"/>
  <c r="K1528" i="2"/>
  <c r="M1528" i="2"/>
  <c r="N1528" i="2" s="1"/>
  <c r="R1984" i="2" s="1"/>
  <c r="L1527" i="2"/>
  <c r="K1527" i="2"/>
  <c r="M1527" i="2"/>
  <c r="N1527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R1982" i="2" s="1"/>
  <c r="L1526" i="2"/>
  <c r="K1526" i="2"/>
  <c r="O1527" i="2" l="1"/>
  <c r="S1603" i="2" s="1"/>
  <c r="R1983" i="2"/>
  <c r="O1551" i="2"/>
  <c r="S1627" i="2" s="1"/>
  <c r="R2007" i="2"/>
  <c r="O1535" i="2"/>
  <c r="S1611" i="2" s="1"/>
  <c r="R1991" i="2"/>
  <c r="O1559" i="2"/>
  <c r="S1635" i="2" s="1"/>
  <c r="R2015" i="2"/>
  <c r="O1560" i="2"/>
  <c r="S1636" i="2" s="1"/>
  <c r="R2016" i="2"/>
  <c r="O1543" i="2"/>
  <c r="S1619" i="2" s="1"/>
  <c r="R1999" i="2"/>
  <c r="P1552" i="2"/>
  <c r="R2008" i="2"/>
  <c r="O1552" i="2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R1945" i="2" s="1"/>
  <c r="J1490" i="2"/>
  <c r="M1490" i="2" s="1"/>
  <c r="N1490" i="2" s="1"/>
  <c r="R1946" i="2" s="1"/>
  <c r="J1491" i="2"/>
  <c r="M1491" i="2" s="1"/>
  <c r="N1491" i="2" s="1"/>
  <c r="R1947" i="2" s="1"/>
  <c r="J1492" i="2"/>
  <c r="M1492" i="2" s="1"/>
  <c r="N1492" i="2" s="1"/>
  <c r="R1948" i="2" s="1"/>
  <c r="J1493" i="2"/>
  <c r="M1493" i="2" s="1"/>
  <c r="N1493" i="2" s="1"/>
  <c r="R1949" i="2" s="1"/>
  <c r="J1494" i="2"/>
  <c r="M1494" i="2" s="1"/>
  <c r="N1494" i="2" s="1"/>
  <c r="R1950" i="2" s="1"/>
  <c r="J1495" i="2"/>
  <c r="M1495" i="2" s="1"/>
  <c r="N1495" i="2" s="1"/>
  <c r="R1951" i="2" s="1"/>
  <c r="J1496" i="2"/>
  <c r="M1496" i="2" s="1"/>
  <c r="N1496" i="2" s="1"/>
  <c r="R1952" i="2" s="1"/>
  <c r="J1497" i="2"/>
  <c r="M1497" i="2" s="1"/>
  <c r="N1497" i="2" s="1"/>
  <c r="R1953" i="2" s="1"/>
  <c r="J1498" i="2"/>
  <c r="M1498" i="2" s="1"/>
  <c r="N1498" i="2" s="1"/>
  <c r="R1954" i="2" s="1"/>
  <c r="J1499" i="2"/>
  <c r="M1499" i="2" s="1"/>
  <c r="N1499" i="2" s="1"/>
  <c r="R1955" i="2" s="1"/>
  <c r="J1500" i="2"/>
  <c r="M1500" i="2" s="1"/>
  <c r="N1500" i="2" s="1"/>
  <c r="R1956" i="2" s="1"/>
  <c r="J1501" i="2"/>
  <c r="M1501" i="2" s="1"/>
  <c r="N1501" i="2" s="1"/>
  <c r="R1957" i="2" s="1"/>
  <c r="J1502" i="2"/>
  <c r="M1502" i="2" s="1"/>
  <c r="N1502" i="2" s="1"/>
  <c r="R1958" i="2" s="1"/>
  <c r="J1503" i="2"/>
  <c r="M1503" i="2" s="1"/>
  <c r="N1503" i="2" s="1"/>
  <c r="R1959" i="2" s="1"/>
  <c r="J1504" i="2"/>
  <c r="M1504" i="2" s="1"/>
  <c r="N1504" i="2" s="1"/>
  <c r="R1960" i="2" s="1"/>
  <c r="J1505" i="2"/>
  <c r="M1505" i="2" s="1"/>
  <c r="N1505" i="2" s="1"/>
  <c r="R1961" i="2" s="1"/>
  <c r="J1506" i="2"/>
  <c r="M1506" i="2" s="1"/>
  <c r="N1506" i="2" s="1"/>
  <c r="R1962" i="2" s="1"/>
  <c r="J1507" i="2"/>
  <c r="M1507" i="2" s="1"/>
  <c r="N1507" i="2" s="1"/>
  <c r="R1963" i="2" s="1"/>
  <c r="J1508" i="2"/>
  <c r="M1508" i="2" s="1"/>
  <c r="N1508" i="2" s="1"/>
  <c r="R1964" i="2" s="1"/>
  <c r="J1509" i="2"/>
  <c r="M1509" i="2" s="1"/>
  <c r="N1509" i="2" s="1"/>
  <c r="R1965" i="2" s="1"/>
  <c r="J1510" i="2"/>
  <c r="M1510" i="2" s="1"/>
  <c r="N1510" i="2" s="1"/>
  <c r="R1966" i="2" s="1"/>
  <c r="J1511" i="2"/>
  <c r="M1511" i="2" s="1"/>
  <c r="N1511" i="2" s="1"/>
  <c r="R1967" i="2" s="1"/>
  <c r="J1512" i="2"/>
  <c r="M1512" i="2" s="1"/>
  <c r="N1512" i="2" s="1"/>
  <c r="R1968" i="2" s="1"/>
  <c r="J1513" i="2"/>
  <c r="M1513" i="2" s="1"/>
  <c r="N1513" i="2" s="1"/>
  <c r="R1969" i="2" s="1"/>
  <c r="J1514" i="2"/>
  <c r="M1514" i="2" s="1"/>
  <c r="N1514" i="2" s="1"/>
  <c r="R1970" i="2" s="1"/>
  <c r="J1515" i="2"/>
  <c r="M1515" i="2" s="1"/>
  <c r="N1515" i="2" s="1"/>
  <c r="R1971" i="2" s="1"/>
  <c r="J1516" i="2"/>
  <c r="M1516" i="2" s="1"/>
  <c r="N1516" i="2" s="1"/>
  <c r="R1972" i="2" s="1"/>
  <c r="J1517" i="2"/>
  <c r="M1517" i="2" s="1"/>
  <c r="N1517" i="2" s="1"/>
  <c r="R1973" i="2" s="1"/>
  <c r="J1518" i="2"/>
  <c r="M1518" i="2" s="1"/>
  <c r="N1518" i="2" s="1"/>
  <c r="R1974" i="2" s="1"/>
  <c r="J1519" i="2"/>
  <c r="M1519" i="2" s="1"/>
  <c r="N1519" i="2" s="1"/>
  <c r="R1975" i="2" s="1"/>
  <c r="J1520" i="2"/>
  <c r="M1520" i="2" s="1"/>
  <c r="N1520" i="2" s="1"/>
  <c r="R1976" i="2" s="1"/>
  <c r="J1521" i="2"/>
  <c r="M1521" i="2" s="1"/>
  <c r="N1521" i="2" s="1"/>
  <c r="R1977" i="2" s="1"/>
  <c r="J1522" i="2"/>
  <c r="M1522" i="2" s="1"/>
  <c r="N1522" i="2" s="1"/>
  <c r="R1978" i="2" s="1"/>
  <c r="J1523" i="2"/>
  <c r="M1523" i="2" s="1"/>
  <c r="N1523" i="2" s="1"/>
  <c r="R1979" i="2" s="1"/>
  <c r="J1524" i="2"/>
  <c r="M1524" i="2" s="1"/>
  <c r="N1524" i="2" s="1"/>
  <c r="R1980" i="2" s="1"/>
  <c r="J1525" i="2"/>
  <c r="M1525" i="2" s="1"/>
  <c r="N1525" i="2" s="1"/>
  <c r="R1981" i="2" s="1"/>
  <c r="J1488" i="2"/>
  <c r="M1488" i="2" s="1"/>
  <c r="N1488" i="2" s="1"/>
  <c r="R1944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R1943" i="2" s="1"/>
  <c r="L1487" i="2"/>
  <c r="K1487" i="2"/>
  <c r="M1486" i="2"/>
  <c r="N1486" i="2" s="1"/>
  <c r="R1942" i="2" s="1"/>
  <c r="L1486" i="2"/>
  <c r="K1486" i="2"/>
  <c r="L1485" i="2"/>
  <c r="K1485" i="2"/>
  <c r="M1485" i="2"/>
  <c r="N1485" i="2" s="1"/>
  <c r="R1941" i="2" s="1"/>
  <c r="L1484" i="2"/>
  <c r="K1484" i="2"/>
  <c r="M1484" i="2"/>
  <c r="N1484" i="2" s="1"/>
  <c r="M1483" i="2"/>
  <c r="N1483" i="2" s="1"/>
  <c r="R1939" i="2" s="1"/>
  <c r="L1483" i="2"/>
  <c r="K1483" i="2"/>
  <c r="L1482" i="2"/>
  <c r="K1482" i="2"/>
  <c r="M1482" i="2"/>
  <c r="N1482" i="2" s="1"/>
  <c r="R1938" i="2" s="1"/>
  <c r="L1481" i="2"/>
  <c r="K1481" i="2"/>
  <c r="M1481" i="2"/>
  <c r="N1481" i="2" s="1"/>
  <c r="R1937" i="2" s="1"/>
  <c r="M1480" i="2"/>
  <c r="N1480" i="2" s="1"/>
  <c r="R1936" i="2" s="1"/>
  <c r="L1480" i="2"/>
  <c r="K1480" i="2"/>
  <c r="M1479" i="2"/>
  <c r="N1479" i="2" s="1"/>
  <c r="R1935" i="2" s="1"/>
  <c r="L1479" i="2"/>
  <c r="K1479" i="2"/>
  <c r="M1478" i="2"/>
  <c r="N1478" i="2" s="1"/>
  <c r="R1934" i="2" s="1"/>
  <c r="L1478" i="2"/>
  <c r="K1478" i="2"/>
  <c r="L1477" i="2"/>
  <c r="K1477" i="2"/>
  <c r="M1477" i="2"/>
  <c r="N1477" i="2" s="1"/>
  <c r="R1933" i="2" s="1"/>
  <c r="L1476" i="2"/>
  <c r="K1476" i="2"/>
  <c r="M1476" i="2"/>
  <c r="N1476" i="2" s="1"/>
  <c r="L1475" i="2"/>
  <c r="K1475" i="2"/>
  <c r="M1475" i="2"/>
  <c r="N1475" i="2" s="1"/>
  <c r="R1931" i="2" s="1"/>
  <c r="L1474" i="2"/>
  <c r="K1474" i="2"/>
  <c r="M1474" i="2"/>
  <c r="N1474" i="2" s="1"/>
  <c r="R1930" i="2" s="1"/>
  <c r="L1473" i="2"/>
  <c r="K1473" i="2"/>
  <c r="M1473" i="2"/>
  <c r="N1473" i="2" s="1"/>
  <c r="R1929" i="2" s="1"/>
  <c r="M1472" i="2"/>
  <c r="N1472" i="2" s="1"/>
  <c r="R1928" i="2" s="1"/>
  <c r="L1472" i="2"/>
  <c r="K1472" i="2"/>
  <c r="M1471" i="2"/>
  <c r="N1471" i="2" s="1"/>
  <c r="R1927" i="2" s="1"/>
  <c r="L1471" i="2"/>
  <c r="K1471" i="2"/>
  <c r="M1470" i="2"/>
  <c r="N1470" i="2" s="1"/>
  <c r="R1926" i="2" s="1"/>
  <c r="L1470" i="2"/>
  <c r="K1470" i="2"/>
  <c r="L1469" i="2"/>
  <c r="K1469" i="2"/>
  <c r="M1469" i="2"/>
  <c r="N1469" i="2" s="1"/>
  <c r="R1925" i="2" s="1"/>
  <c r="L1468" i="2"/>
  <c r="K1468" i="2"/>
  <c r="M1468" i="2"/>
  <c r="N1468" i="2" s="1"/>
  <c r="L1467" i="2"/>
  <c r="K1467" i="2"/>
  <c r="M1467" i="2"/>
  <c r="N1467" i="2" s="1"/>
  <c r="R1923" i="2" s="1"/>
  <c r="L1466" i="2"/>
  <c r="K1466" i="2"/>
  <c r="M1466" i="2"/>
  <c r="N1466" i="2" s="1"/>
  <c r="R1922" i="2" s="1"/>
  <c r="L1465" i="2"/>
  <c r="K1465" i="2"/>
  <c r="M1465" i="2"/>
  <c r="N1465" i="2" s="1"/>
  <c r="R1921" i="2" s="1"/>
  <c r="M1464" i="2"/>
  <c r="N1464" i="2" s="1"/>
  <c r="R1920" i="2" s="1"/>
  <c r="L1464" i="2"/>
  <c r="K1464" i="2"/>
  <c r="M1463" i="2"/>
  <c r="N1463" i="2" s="1"/>
  <c r="R1919" i="2" s="1"/>
  <c r="L1463" i="2"/>
  <c r="K1463" i="2"/>
  <c r="M1462" i="2"/>
  <c r="N1462" i="2" s="1"/>
  <c r="R1918" i="2" s="1"/>
  <c r="L1462" i="2"/>
  <c r="K1462" i="2"/>
  <c r="L1461" i="2"/>
  <c r="K1461" i="2"/>
  <c r="M1461" i="2"/>
  <c r="N1461" i="2" s="1"/>
  <c r="R1917" i="2" s="1"/>
  <c r="L1460" i="2"/>
  <c r="K1460" i="2"/>
  <c r="M1460" i="2"/>
  <c r="N1460" i="2" s="1"/>
  <c r="L1459" i="2"/>
  <c r="K1459" i="2"/>
  <c r="M1459" i="2"/>
  <c r="N1459" i="2" s="1"/>
  <c r="L1458" i="2"/>
  <c r="K1458" i="2"/>
  <c r="M1458" i="2"/>
  <c r="N1458" i="2" s="1"/>
  <c r="R1914" i="2" s="1"/>
  <c r="L1457" i="2"/>
  <c r="K1457" i="2"/>
  <c r="M1457" i="2"/>
  <c r="N1457" i="2" s="1"/>
  <c r="R1913" i="2" s="1"/>
  <c r="M1456" i="2"/>
  <c r="N1456" i="2" s="1"/>
  <c r="R1912" i="2" s="1"/>
  <c r="L1456" i="2"/>
  <c r="K1456" i="2"/>
  <c r="M1455" i="2"/>
  <c r="N1455" i="2" s="1"/>
  <c r="R1911" i="2" s="1"/>
  <c r="L1455" i="2"/>
  <c r="K1455" i="2"/>
  <c r="M1454" i="2"/>
  <c r="N1454" i="2" s="1"/>
  <c r="R1910" i="2" s="1"/>
  <c r="L1454" i="2"/>
  <c r="K1454" i="2"/>
  <c r="L1453" i="2"/>
  <c r="K1453" i="2"/>
  <c r="M1453" i="2"/>
  <c r="N1453" i="2" s="1"/>
  <c r="L1452" i="2"/>
  <c r="K1452" i="2"/>
  <c r="M1452" i="2"/>
  <c r="N1452" i="2" s="1"/>
  <c r="R1908" i="2" s="1"/>
  <c r="L1451" i="2"/>
  <c r="K1451" i="2"/>
  <c r="M1451" i="2"/>
  <c r="N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R1906" i="2" s="1"/>
  <c r="O1453" i="2" l="1"/>
  <c r="R1909" i="2"/>
  <c r="O1459" i="2"/>
  <c r="R1915" i="2"/>
  <c r="O1451" i="2"/>
  <c r="R1907" i="2"/>
  <c r="O1468" i="2"/>
  <c r="R1924" i="2"/>
  <c r="O1476" i="2"/>
  <c r="R1932" i="2"/>
  <c r="O1484" i="2"/>
  <c r="R1940" i="2"/>
  <c r="O1460" i="2"/>
  <c r="R1916" i="2"/>
  <c r="O1469" i="2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R1905" i="2" s="1"/>
  <c r="L1449" i="2"/>
  <c r="K1449" i="2"/>
  <c r="M1448" i="2"/>
  <c r="N1448" i="2" s="1"/>
  <c r="R1904" i="2" s="1"/>
  <c r="L1448" i="2"/>
  <c r="K1448" i="2"/>
  <c r="L1447" i="2"/>
  <c r="K1447" i="2"/>
  <c r="M1447" i="2"/>
  <c r="N1447" i="2" s="1"/>
  <c r="R1903" i="2" s="1"/>
  <c r="L1446" i="2"/>
  <c r="K1446" i="2"/>
  <c r="M1446" i="2"/>
  <c r="N1446" i="2" s="1"/>
  <c r="R1902" i="2" s="1"/>
  <c r="L1445" i="2"/>
  <c r="K1445" i="2"/>
  <c r="M1445" i="2"/>
  <c r="N1445" i="2" s="1"/>
  <c r="L1444" i="2"/>
  <c r="K1444" i="2"/>
  <c r="M1444" i="2"/>
  <c r="N1444" i="2" s="1"/>
  <c r="R1900" i="2" s="1"/>
  <c r="L1443" i="2"/>
  <c r="K1443" i="2"/>
  <c r="M1443" i="2"/>
  <c r="N1443" i="2" s="1"/>
  <c r="M1442" i="2"/>
  <c r="N1442" i="2" s="1"/>
  <c r="R1898" i="2" s="1"/>
  <c r="L1442" i="2"/>
  <c r="K1442" i="2"/>
  <c r="M1441" i="2"/>
  <c r="N1441" i="2" s="1"/>
  <c r="R1897" i="2" s="1"/>
  <c r="L1441" i="2"/>
  <c r="K1441" i="2"/>
  <c r="M1440" i="2"/>
  <c r="N1440" i="2" s="1"/>
  <c r="R1896" i="2" s="1"/>
  <c r="L1440" i="2"/>
  <c r="K1440" i="2"/>
  <c r="L1439" i="2"/>
  <c r="K1439" i="2"/>
  <c r="M1439" i="2"/>
  <c r="N1439" i="2" s="1"/>
  <c r="R1895" i="2" s="1"/>
  <c r="L1438" i="2"/>
  <c r="K1438" i="2"/>
  <c r="M1438" i="2"/>
  <c r="N1438" i="2" s="1"/>
  <c r="L1437" i="2"/>
  <c r="K1437" i="2"/>
  <c r="M1437" i="2"/>
  <c r="N1437" i="2" s="1"/>
  <c r="R1893" i="2" s="1"/>
  <c r="L1436" i="2"/>
  <c r="K1436" i="2"/>
  <c r="M1436" i="2"/>
  <c r="N1436" i="2" s="1"/>
  <c r="R1892" i="2" s="1"/>
  <c r="L1435" i="2"/>
  <c r="K1435" i="2"/>
  <c r="M1435" i="2"/>
  <c r="N1435" i="2" s="1"/>
  <c r="R1891" i="2" s="1"/>
  <c r="M1434" i="2"/>
  <c r="N1434" i="2" s="1"/>
  <c r="R1890" i="2" s="1"/>
  <c r="L1434" i="2"/>
  <c r="K1434" i="2"/>
  <c r="M1433" i="2"/>
  <c r="N1433" i="2" s="1"/>
  <c r="R1889" i="2" s="1"/>
  <c r="L1433" i="2"/>
  <c r="K1433" i="2"/>
  <c r="M1432" i="2"/>
  <c r="N1432" i="2" s="1"/>
  <c r="R1888" i="2" s="1"/>
  <c r="L1432" i="2"/>
  <c r="K1432" i="2"/>
  <c r="L1431" i="2"/>
  <c r="K1431" i="2"/>
  <c r="M1431" i="2"/>
  <c r="N1431" i="2" s="1"/>
  <c r="L1430" i="2"/>
  <c r="K1430" i="2"/>
  <c r="M1430" i="2"/>
  <c r="N1430" i="2" s="1"/>
  <c r="R1886" i="2" s="1"/>
  <c r="L1429" i="2"/>
  <c r="K1429" i="2"/>
  <c r="M1429" i="2"/>
  <c r="N1429" i="2" s="1"/>
  <c r="L1428" i="2"/>
  <c r="K1428" i="2"/>
  <c r="M1428" i="2"/>
  <c r="N1428" i="2" s="1"/>
  <c r="R1884" i="2" s="1"/>
  <c r="M1427" i="2"/>
  <c r="N1427" i="2" s="1"/>
  <c r="R1883" i="2" s="1"/>
  <c r="L1427" i="2"/>
  <c r="K1427" i="2"/>
  <c r="M1426" i="2"/>
  <c r="N1426" i="2" s="1"/>
  <c r="R1882" i="2" s="1"/>
  <c r="L1426" i="2"/>
  <c r="K1426" i="2"/>
  <c r="M1425" i="2"/>
  <c r="N1425" i="2" s="1"/>
  <c r="R1881" i="2" s="1"/>
  <c r="L1425" i="2"/>
  <c r="K1425" i="2"/>
  <c r="M1424" i="2"/>
  <c r="N1424" i="2" s="1"/>
  <c r="R1880" i="2" s="1"/>
  <c r="L1424" i="2"/>
  <c r="K1424" i="2"/>
  <c r="L1423" i="2"/>
  <c r="K1423" i="2"/>
  <c r="M1423" i="2"/>
  <c r="N1423" i="2" s="1"/>
  <c r="R1879" i="2" s="1"/>
  <c r="L1422" i="2"/>
  <c r="K1422" i="2"/>
  <c r="M1422" i="2"/>
  <c r="N1422" i="2" s="1"/>
  <c r="R1878" i="2" s="1"/>
  <c r="L1421" i="2"/>
  <c r="K1421" i="2"/>
  <c r="M1421" i="2"/>
  <c r="N1421" i="2" s="1"/>
  <c r="M1420" i="2"/>
  <c r="N1420" i="2" s="1"/>
  <c r="R1876" i="2" s="1"/>
  <c r="L1420" i="2"/>
  <c r="K1420" i="2"/>
  <c r="M1419" i="2"/>
  <c r="N1419" i="2" s="1"/>
  <c r="R1875" i="2" s="1"/>
  <c r="L1419" i="2"/>
  <c r="K1419" i="2"/>
  <c r="M1418" i="2"/>
  <c r="N1418" i="2" s="1"/>
  <c r="R1874" i="2" s="1"/>
  <c r="L1418" i="2"/>
  <c r="K1418" i="2"/>
  <c r="M1417" i="2"/>
  <c r="N1417" i="2" s="1"/>
  <c r="R1873" i="2" s="1"/>
  <c r="L1417" i="2"/>
  <c r="K1417" i="2"/>
  <c r="M1416" i="2"/>
  <c r="N1416" i="2" s="1"/>
  <c r="R1872" i="2" s="1"/>
  <c r="L1416" i="2"/>
  <c r="K1416" i="2"/>
  <c r="L1415" i="2"/>
  <c r="K1415" i="2"/>
  <c r="M1415" i="2"/>
  <c r="N1415" i="2" s="1"/>
  <c r="R1871" i="2" s="1"/>
  <c r="L1414" i="2"/>
  <c r="K1414" i="2"/>
  <c r="M1414" i="2"/>
  <c r="N1414" i="2" s="1"/>
  <c r="L1413" i="2"/>
  <c r="K1413" i="2"/>
  <c r="M1413" i="2"/>
  <c r="N1413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R1868" i="2" s="1"/>
  <c r="L1412" i="2"/>
  <c r="K1412" i="2"/>
  <c r="P1438" i="2" l="1"/>
  <c r="R1894" i="2"/>
  <c r="O1445" i="2"/>
  <c r="S1521" i="2" s="1"/>
  <c r="R1901" i="2"/>
  <c r="P1443" i="2"/>
  <c r="R1899" i="2"/>
  <c r="P1414" i="2"/>
  <c r="R1870" i="2"/>
  <c r="O1413" i="2"/>
  <c r="S1489" i="2" s="1"/>
  <c r="R1869" i="2"/>
  <c r="O1429" i="2"/>
  <c r="S1505" i="2" s="1"/>
  <c r="R1885" i="2"/>
  <c r="O1421" i="2"/>
  <c r="S1497" i="2" s="1"/>
  <c r="R1877" i="2"/>
  <c r="O1431" i="2"/>
  <c r="S1507" i="2" s="1"/>
  <c r="R1887" i="2"/>
  <c r="P1445" i="2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L1410" i="2"/>
  <c r="K1410" i="2"/>
  <c r="M1410" i="2"/>
  <c r="N1410" i="2" s="1"/>
  <c r="R1866" i="2" s="1"/>
  <c r="L1409" i="2"/>
  <c r="K1409" i="2"/>
  <c r="M1409" i="2"/>
  <c r="N1409" i="2" s="1"/>
  <c r="R1865" i="2" s="1"/>
  <c r="L1408" i="2"/>
  <c r="K1408" i="2"/>
  <c r="M1408" i="2"/>
  <c r="N1408" i="2" s="1"/>
  <c r="R1864" i="2" s="1"/>
  <c r="L1407" i="2"/>
  <c r="K1407" i="2"/>
  <c r="M1407" i="2"/>
  <c r="N1407" i="2" s="1"/>
  <c r="R1863" i="2" s="1"/>
  <c r="L1406" i="2"/>
  <c r="K1406" i="2"/>
  <c r="M1406" i="2"/>
  <c r="N1406" i="2" s="1"/>
  <c r="L1405" i="2"/>
  <c r="K1405" i="2"/>
  <c r="M1405" i="2"/>
  <c r="N1405" i="2" s="1"/>
  <c r="R1861" i="2" s="1"/>
  <c r="L1404" i="2"/>
  <c r="K1404" i="2"/>
  <c r="M1404" i="2"/>
  <c r="N1404" i="2" s="1"/>
  <c r="R1860" i="2" s="1"/>
  <c r="L1403" i="2"/>
  <c r="K1403" i="2"/>
  <c r="M1403" i="2"/>
  <c r="N1403" i="2" s="1"/>
  <c r="R1859" i="2" s="1"/>
  <c r="L1402" i="2"/>
  <c r="K1402" i="2"/>
  <c r="M1402" i="2"/>
  <c r="N1402" i="2" s="1"/>
  <c r="R1858" i="2" s="1"/>
  <c r="L1401" i="2"/>
  <c r="K1401" i="2"/>
  <c r="M1401" i="2"/>
  <c r="N1401" i="2" s="1"/>
  <c r="R1857" i="2" s="1"/>
  <c r="L1400" i="2"/>
  <c r="K1400" i="2"/>
  <c r="M1400" i="2"/>
  <c r="N1400" i="2" s="1"/>
  <c r="R1856" i="2" s="1"/>
  <c r="L1399" i="2"/>
  <c r="K1399" i="2"/>
  <c r="M1399" i="2"/>
  <c r="N1399" i="2" s="1"/>
  <c r="R1855" i="2" s="1"/>
  <c r="L1398" i="2"/>
  <c r="K1398" i="2"/>
  <c r="M1398" i="2"/>
  <c r="N1398" i="2" s="1"/>
  <c r="L1397" i="2"/>
  <c r="K1397" i="2"/>
  <c r="M1397" i="2"/>
  <c r="N1397" i="2" s="1"/>
  <c r="R1853" i="2" s="1"/>
  <c r="L1396" i="2"/>
  <c r="K1396" i="2"/>
  <c r="M1396" i="2"/>
  <c r="N1396" i="2" s="1"/>
  <c r="R1852" i="2" s="1"/>
  <c r="L1395" i="2"/>
  <c r="K1395" i="2"/>
  <c r="M1395" i="2"/>
  <c r="N1395" i="2" s="1"/>
  <c r="R1851" i="2" s="1"/>
  <c r="L1394" i="2"/>
  <c r="K1394" i="2"/>
  <c r="M1394" i="2"/>
  <c r="N1394" i="2" s="1"/>
  <c r="R1850" i="2" s="1"/>
  <c r="L1393" i="2"/>
  <c r="K1393" i="2"/>
  <c r="M1393" i="2"/>
  <c r="N1393" i="2" s="1"/>
  <c r="R1849" i="2" s="1"/>
  <c r="L1392" i="2"/>
  <c r="K1392" i="2"/>
  <c r="M1392" i="2"/>
  <c r="N1392" i="2" s="1"/>
  <c r="R1848" i="2" s="1"/>
  <c r="L1391" i="2"/>
  <c r="K1391" i="2"/>
  <c r="M1391" i="2"/>
  <c r="N1391" i="2" s="1"/>
  <c r="R1847" i="2" s="1"/>
  <c r="L1390" i="2"/>
  <c r="K1390" i="2"/>
  <c r="M1390" i="2"/>
  <c r="N1390" i="2" s="1"/>
  <c r="L1389" i="2"/>
  <c r="K1389" i="2"/>
  <c r="M1389" i="2"/>
  <c r="N1389" i="2" s="1"/>
  <c r="R1845" i="2" s="1"/>
  <c r="L1388" i="2"/>
  <c r="K1388" i="2"/>
  <c r="M1388" i="2"/>
  <c r="N1388" i="2" s="1"/>
  <c r="R1844" i="2" s="1"/>
  <c r="L1387" i="2"/>
  <c r="K1387" i="2"/>
  <c r="M1387" i="2"/>
  <c r="N1387" i="2" s="1"/>
  <c r="R1843" i="2" s="1"/>
  <c r="L1386" i="2"/>
  <c r="K1386" i="2"/>
  <c r="M1386" i="2"/>
  <c r="N1386" i="2" s="1"/>
  <c r="R1842" i="2" s="1"/>
  <c r="L1385" i="2"/>
  <c r="K1385" i="2"/>
  <c r="M1385" i="2"/>
  <c r="N1385" i="2" s="1"/>
  <c r="R1841" i="2" s="1"/>
  <c r="L1384" i="2"/>
  <c r="K1384" i="2"/>
  <c r="M1384" i="2"/>
  <c r="N1384" i="2" s="1"/>
  <c r="R1840" i="2" s="1"/>
  <c r="L1383" i="2"/>
  <c r="K1383" i="2"/>
  <c r="M1383" i="2"/>
  <c r="N1383" i="2" s="1"/>
  <c r="L1382" i="2"/>
  <c r="K1382" i="2"/>
  <c r="M1382" i="2"/>
  <c r="N1382" i="2" s="1"/>
  <c r="L1381" i="2"/>
  <c r="K1381" i="2"/>
  <c r="M1381" i="2"/>
  <c r="N1381" i="2" s="1"/>
  <c r="R1837" i="2" s="1"/>
  <c r="L1380" i="2"/>
  <c r="K1380" i="2"/>
  <c r="M1380" i="2"/>
  <c r="N1380" i="2" s="1"/>
  <c r="R1836" i="2" s="1"/>
  <c r="L1379" i="2"/>
  <c r="K1379" i="2"/>
  <c r="M1379" i="2"/>
  <c r="N1379" i="2" s="1"/>
  <c r="R1835" i="2" s="1"/>
  <c r="L1378" i="2"/>
  <c r="K1378" i="2"/>
  <c r="M1378" i="2"/>
  <c r="N1378" i="2" s="1"/>
  <c r="R1834" i="2" s="1"/>
  <c r="L1377" i="2"/>
  <c r="K1377" i="2"/>
  <c r="M1377" i="2"/>
  <c r="N1377" i="2" s="1"/>
  <c r="R1833" i="2" s="1"/>
  <c r="L1376" i="2"/>
  <c r="K1376" i="2"/>
  <c r="M1376" i="2"/>
  <c r="N1376" i="2" s="1"/>
  <c r="L1375" i="2"/>
  <c r="K1375" i="2"/>
  <c r="M1375" i="2"/>
  <c r="N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90" i="2" l="1"/>
  <c r="R1846" i="2"/>
  <c r="O1406" i="2"/>
  <c r="R1862" i="2"/>
  <c r="O1376" i="2"/>
  <c r="R1832" i="2"/>
  <c r="O1374" i="2"/>
  <c r="R1830" i="2"/>
  <c r="P1411" i="2"/>
  <c r="R1867" i="2"/>
  <c r="O1382" i="2"/>
  <c r="R1838" i="2"/>
  <c r="P1375" i="2"/>
  <c r="R1831" i="2"/>
  <c r="O1383" i="2"/>
  <c r="R1839" i="2"/>
  <c r="O1398" i="2"/>
  <c r="R1854" i="2"/>
  <c r="P1390" i="2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R1829" i="2" s="1"/>
  <c r="L1373" i="2"/>
  <c r="K1373" i="2"/>
  <c r="L1372" i="2"/>
  <c r="K1372" i="2"/>
  <c r="M1372" i="2"/>
  <c r="N1372" i="2" s="1"/>
  <c r="R1828" i="2" s="1"/>
  <c r="L1371" i="2"/>
  <c r="K1371" i="2"/>
  <c r="M1371" i="2"/>
  <c r="N1371" i="2" s="1"/>
  <c r="R1827" i="2" s="1"/>
  <c r="L1370" i="2"/>
  <c r="K1370" i="2"/>
  <c r="M1370" i="2"/>
  <c r="N1370" i="2" s="1"/>
  <c r="R1826" i="2" s="1"/>
  <c r="L1369" i="2"/>
  <c r="K1369" i="2"/>
  <c r="M1369" i="2"/>
  <c r="N1369" i="2" s="1"/>
  <c r="R1825" i="2" s="1"/>
  <c r="L1368" i="2"/>
  <c r="K1368" i="2"/>
  <c r="M1368" i="2"/>
  <c r="N1368" i="2" s="1"/>
  <c r="R1824" i="2" s="1"/>
  <c r="L1367" i="2"/>
  <c r="K1367" i="2"/>
  <c r="M1367" i="2"/>
  <c r="N1367" i="2" s="1"/>
  <c r="R1823" i="2" s="1"/>
  <c r="M1366" i="2"/>
  <c r="N1366" i="2" s="1"/>
  <c r="R1822" i="2" s="1"/>
  <c r="L1366" i="2"/>
  <c r="K1366" i="2"/>
  <c r="M1365" i="2"/>
  <c r="N1365" i="2" s="1"/>
  <c r="R1821" i="2" s="1"/>
  <c r="L1365" i="2"/>
  <c r="K1365" i="2"/>
  <c r="L1364" i="2"/>
  <c r="K1364" i="2"/>
  <c r="M1364" i="2"/>
  <c r="N1364" i="2" s="1"/>
  <c r="R1820" i="2" s="1"/>
  <c r="L1363" i="2"/>
  <c r="K1363" i="2"/>
  <c r="M1363" i="2"/>
  <c r="N1363" i="2" s="1"/>
  <c r="R1819" i="2" s="1"/>
  <c r="L1362" i="2"/>
  <c r="K1362" i="2"/>
  <c r="M1362" i="2"/>
  <c r="N1362" i="2" s="1"/>
  <c r="R1818" i="2" s="1"/>
  <c r="L1361" i="2"/>
  <c r="K1361" i="2"/>
  <c r="M1361" i="2"/>
  <c r="N1361" i="2" s="1"/>
  <c r="R1817" i="2" s="1"/>
  <c r="L1360" i="2"/>
  <c r="K1360" i="2"/>
  <c r="M1360" i="2"/>
  <c r="N1360" i="2" s="1"/>
  <c r="R1816" i="2" s="1"/>
  <c r="L1359" i="2"/>
  <c r="K1359" i="2"/>
  <c r="M1359" i="2"/>
  <c r="N1359" i="2" s="1"/>
  <c r="R1815" i="2" s="1"/>
  <c r="M1358" i="2"/>
  <c r="N1358" i="2" s="1"/>
  <c r="R1814" i="2" s="1"/>
  <c r="L1358" i="2"/>
  <c r="K1358" i="2"/>
  <c r="M1357" i="2"/>
  <c r="N1357" i="2" s="1"/>
  <c r="R1813" i="2" s="1"/>
  <c r="L1357" i="2"/>
  <c r="K1357" i="2"/>
  <c r="M1356" i="2"/>
  <c r="N1356" i="2" s="1"/>
  <c r="L1356" i="2"/>
  <c r="K1356" i="2"/>
  <c r="L1355" i="2"/>
  <c r="K1355" i="2"/>
  <c r="M1355" i="2"/>
  <c r="N1355" i="2" s="1"/>
  <c r="R1811" i="2" s="1"/>
  <c r="L1354" i="2"/>
  <c r="K1354" i="2"/>
  <c r="M1354" i="2"/>
  <c r="N1354" i="2" s="1"/>
  <c r="R1810" i="2" s="1"/>
  <c r="L1353" i="2"/>
  <c r="K1353" i="2"/>
  <c r="M1353" i="2"/>
  <c r="N1353" i="2" s="1"/>
  <c r="R1809" i="2" s="1"/>
  <c r="L1352" i="2"/>
  <c r="K1352" i="2"/>
  <c r="M1352" i="2"/>
  <c r="N1352" i="2" s="1"/>
  <c r="R1808" i="2" s="1"/>
  <c r="L1351" i="2"/>
  <c r="K1351" i="2"/>
  <c r="M1351" i="2"/>
  <c r="N1351" i="2" s="1"/>
  <c r="R1807" i="2" s="1"/>
  <c r="M1350" i="2"/>
  <c r="N1350" i="2" s="1"/>
  <c r="R1806" i="2" s="1"/>
  <c r="L1350" i="2"/>
  <c r="K1350" i="2"/>
  <c r="M1349" i="2"/>
  <c r="N1349" i="2" s="1"/>
  <c r="R1805" i="2" s="1"/>
  <c r="L1349" i="2"/>
  <c r="K1349" i="2"/>
  <c r="M1348" i="2"/>
  <c r="N1348" i="2" s="1"/>
  <c r="L1348" i="2"/>
  <c r="K1348" i="2"/>
  <c r="L1347" i="2"/>
  <c r="K1347" i="2"/>
  <c r="M1347" i="2"/>
  <c r="N1347" i="2" s="1"/>
  <c r="R1803" i="2" s="1"/>
  <c r="L1346" i="2"/>
  <c r="K1346" i="2"/>
  <c r="M1346" i="2"/>
  <c r="N1346" i="2" s="1"/>
  <c r="R1802" i="2" s="1"/>
  <c r="L1345" i="2"/>
  <c r="K1345" i="2"/>
  <c r="M1345" i="2"/>
  <c r="N1345" i="2" s="1"/>
  <c r="R1801" i="2" s="1"/>
  <c r="L1344" i="2"/>
  <c r="K1344" i="2"/>
  <c r="M1344" i="2"/>
  <c r="N1344" i="2" s="1"/>
  <c r="R1800" i="2" s="1"/>
  <c r="L1343" i="2"/>
  <c r="K1343" i="2"/>
  <c r="M1343" i="2"/>
  <c r="N1343" i="2" s="1"/>
  <c r="R1799" i="2" s="1"/>
  <c r="M1342" i="2"/>
  <c r="N1342" i="2" s="1"/>
  <c r="R1798" i="2" s="1"/>
  <c r="L1342" i="2"/>
  <c r="K1342" i="2"/>
  <c r="M1341" i="2"/>
  <c r="N1341" i="2" s="1"/>
  <c r="R1797" i="2" s="1"/>
  <c r="L1341" i="2"/>
  <c r="K1341" i="2"/>
  <c r="M1340" i="2"/>
  <c r="N1340" i="2" s="1"/>
  <c r="R1796" i="2" s="1"/>
  <c r="L1340" i="2"/>
  <c r="K1340" i="2"/>
  <c r="L1339" i="2"/>
  <c r="K1339" i="2"/>
  <c r="M1339" i="2"/>
  <c r="N1339" i="2" s="1"/>
  <c r="R1795" i="2" s="1"/>
  <c r="L1338" i="2"/>
  <c r="K1338" i="2"/>
  <c r="M1338" i="2"/>
  <c r="N1338" i="2" s="1"/>
  <c r="R1794" i="2" s="1"/>
  <c r="L1337" i="2"/>
  <c r="K1337" i="2"/>
  <c r="M1337" i="2"/>
  <c r="N1337" i="2" s="1"/>
  <c r="R1793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R1792" i="2" s="1"/>
  <c r="P1348" i="2" l="1"/>
  <c r="R1804" i="2"/>
  <c r="P1356" i="2"/>
  <c r="R1812" i="2"/>
  <c r="O1341" i="2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R1791" i="2" s="1"/>
  <c r="L1335" i="2"/>
  <c r="K1335" i="2"/>
  <c r="M1334" i="2"/>
  <c r="N1334" i="2" s="1"/>
  <c r="R1790" i="2" s="1"/>
  <c r="L1334" i="2"/>
  <c r="K1334" i="2"/>
  <c r="L1333" i="2"/>
  <c r="K1333" i="2"/>
  <c r="M1333" i="2"/>
  <c r="N1333" i="2" s="1"/>
  <c r="R1789" i="2" s="1"/>
  <c r="L1332" i="2"/>
  <c r="K1332" i="2"/>
  <c r="M1332" i="2"/>
  <c r="N1332" i="2" s="1"/>
  <c r="R1788" i="2" s="1"/>
  <c r="L1331" i="2"/>
  <c r="K1331" i="2"/>
  <c r="M1331" i="2"/>
  <c r="N1331" i="2" s="1"/>
  <c r="R1787" i="2" s="1"/>
  <c r="L1330" i="2"/>
  <c r="K1330" i="2"/>
  <c r="M1330" i="2"/>
  <c r="N1330" i="2" s="1"/>
  <c r="R1786" i="2" s="1"/>
  <c r="M1329" i="2"/>
  <c r="N1329" i="2" s="1"/>
  <c r="R1785" i="2" s="1"/>
  <c r="L1329" i="2"/>
  <c r="K1329" i="2"/>
  <c r="M1328" i="2"/>
  <c r="N1328" i="2" s="1"/>
  <c r="R1784" i="2" s="1"/>
  <c r="L1328" i="2"/>
  <c r="K1328" i="2"/>
  <c r="M1327" i="2"/>
  <c r="N1327" i="2" s="1"/>
  <c r="R1783" i="2" s="1"/>
  <c r="L1327" i="2"/>
  <c r="K1327" i="2"/>
  <c r="M1326" i="2"/>
  <c r="N1326" i="2" s="1"/>
  <c r="R1782" i="2" s="1"/>
  <c r="L1326" i="2"/>
  <c r="K1326" i="2"/>
  <c r="L1325" i="2"/>
  <c r="K1325" i="2"/>
  <c r="M1325" i="2"/>
  <c r="N1325" i="2" s="1"/>
  <c r="R1781" i="2" s="1"/>
  <c r="L1324" i="2"/>
  <c r="K1324" i="2"/>
  <c r="M1324" i="2"/>
  <c r="N1324" i="2" s="1"/>
  <c r="R1780" i="2" s="1"/>
  <c r="L1323" i="2"/>
  <c r="K1323" i="2"/>
  <c r="M1323" i="2"/>
  <c r="N1323" i="2" s="1"/>
  <c r="R1779" i="2" s="1"/>
  <c r="L1322" i="2"/>
  <c r="K1322" i="2"/>
  <c r="M1322" i="2"/>
  <c r="N1322" i="2" s="1"/>
  <c r="R1778" i="2" s="1"/>
  <c r="M1321" i="2"/>
  <c r="N1321" i="2" s="1"/>
  <c r="R1777" i="2" s="1"/>
  <c r="L1321" i="2"/>
  <c r="K1321" i="2"/>
  <c r="M1320" i="2"/>
  <c r="N1320" i="2" s="1"/>
  <c r="R1776" i="2" s="1"/>
  <c r="L1320" i="2"/>
  <c r="K1320" i="2"/>
  <c r="M1319" i="2"/>
  <c r="N1319" i="2" s="1"/>
  <c r="R1775" i="2" s="1"/>
  <c r="L1319" i="2"/>
  <c r="K1319" i="2"/>
  <c r="M1318" i="2"/>
  <c r="N1318" i="2" s="1"/>
  <c r="R1774" i="2" s="1"/>
  <c r="L1318" i="2"/>
  <c r="K1318" i="2"/>
  <c r="L1317" i="2"/>
  <c r="K1317" i="2"/>
  <c r="M1317" i="2"/>
  <c r="N1317" i="2" s="1"/>
  <c r="R1773" i="2" s="1"/>
  <c r="L1316" i="2"/>
  <c r="K1316" i="2"/>
  <c r="M1316" i="2"/>
  <c r="N1316" i="2" s="1"/>
  <c r="L1315" i="2"/>
  <c r="K1315" i="2"/>
  <c r="M1315" i="2"/>
  <c r="N1315" i="2" s="1"/>
  <c r="R1771" i="2" s="1"/>
  <c r="L1314" i="2"/>
  <c r="K1314" i="2"/>
  <c r="M1314" i="2"/>
  <c r="N1314" i="2" s="1"/>
  <c r="R1770" i="2" s="1"/>
  <c r="M1313" i="2"/>
  <c r="N1313" i="2" s="1"/>
  <c r="R1769" i="2" s="1"/>
  <c r="L1313" i="2"/>
  <c r="K1313" i="2"/>
  <c r="M1312" i="2"/>
  <c r="N1312" i="2" s="1"/>
  <c r="R1768" i="2" s="1"/>
  <c r="L1312" i="2"/>
  <c r="K1312" i="2"/>
  <c r="M1311" i="2"/>
  <c r="N1311" i="2" s="1"/>
  <c r="R1767" i="2" s="1"/>
  <c r="L1311" i="2"/>
  <c r="K1311" i="2"/>
  <c r="M1310" i="2"/>
  <c r="N1310" i="2" s="1"/>
  <c r="R1766" i="2" s="1"/>
  <c r="L1310" i="2"/>
  <c r="K1310" i="2"/>
  <c r="L1309" i="2"/>
  <c r="K1309" i="2"/>
  <c r="M1309" i="2"/>
  <c r="N1309" i="2" s="1"/>
  <c r="R1765" i="2" s="1"/>
  <c r="L1308" i="2"/>
  <c r="K1308" i="2"/>
  <c r="M1308" i="2"/>
  <c r="N1308" i="2" s="1"/>
  <c r="L1307" i="2"/>
  <c r="K1307" i="2"/>
  <c r="M1307" i="2"/>
  <c r="N1307" i="2" s="1"/>
  <c r="R1763" i="2" s="1"/>
  <c r="L1306" i="2"/>
  <c r="K1306" i="2"/>
  <c r="M1306" i="2"/>
  <c r="N1306" i="2" s="1"/>
  <c r="R1762" i="2" s="1"/>
  <c r="M1305" i="2"/>
  <c r="N1305" i="2" s="1"/>
  <c r="R1761" i="2" s="1"/>
  <c r="L1305" i="2"/>
  <c r="K1305" i="2"/>
  <c r="M1304" i="2"/>
  <c r="N1304" i="2" s="1"/>
  <c r="R1760" i="2" s="1"/>
  <c r="L1304" i="2"/>
  <c r="K1304" i="2"/>
  <c r="M1303" i="2"/>
  <c r="N1303" i="2" s="1"/>
  <c r="R1759" i="2" s="1"/>
  <c r="L1303" i="2"/>
  <c r="K1303" i="2"/>
  <c r="M1302" i="2"/>
  <c r="N1302" i="2" s="1"/>
  <c r="R1758" i="2" s="1"/>
  <c r="L1302" i="2"/>
  <c r="K1302" i="2"/>
  <c r="L1301" i="2"/>
  <c r="K1301" i="2"/>
  <c r="M1301" i="2"/>
  <c r="N1301" i="2" s="1"/>
  <c r="R1757" i="2" s="1"/>
  <c r="L1300" i="2"/>
  <c r="K1300" i="2"/>
  <c r="M1300" i="2"/>
  <c r="N1300" i="2" s="1"/>
  <c r="L1299" i="2"/>
  <c r="K1299" i="2"/>
  <c r="M1299" i="2"/>
  <c r="N1299" i="2" s="1"/>
  <c r="R1755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R1754" i="2" s="1"/>
  <c r="P1308" i="2" l="1"/>
  <c r="R1764" i="2"/>
  <c r="P1300" i="2"/>
  <c r="R1756" i="2"/>
  <c r="P1316" i="2"/>
  <c r="R1772" i="2"/>
  <c r="P1322" i="2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303" i="4"/>
  <c r="S303" i="4" s="1"/>
  <c r="R300" i="4"/>
  <c r="S300" i="4" s="1"/>
  <c r="O300" i="4"/>
  <c r="P300" i="4" s="1"/>
  <c r="O301" i="4"/>
  <c r="P301" i="4"/>
  <c r="O302" i="4"/>
  <c r="P302" i="4"/>
  <c r="O303" i="4"/>
  <c r="P303" i="4"/>
  <c r="H303" i="4"/>
  <c r="I303" i="4" s="1"/>
  <c r="H300" i="4"/>
  <c r="I300" i="4" s="1"/>
  <c r="E300" i="4"/>
  <c r="F300" i="4"/>
  <c r="E301" i="4"/>
  <c r="F301" i="4"/>
  <c r="E302" i="4"/>
  <c r="F302" i="4"/>
  <c r="E303" i="4"/>
  <c r="F303" i="4" s="1"/>
  <c r="H241" i="4"/>
  <c r="I241" i="4" s="1"/>
  <c r="H238" i="4"/>
  <c r="I238" i="4" s="1"/>
  <c r="E238" i="4"/>
  <c r="F238" i="4" s="1"/>
  <c r="E239" i="4"/>
  <c r="F239" i="4"/>
  <c r="E240" i="4"/>
  <c r="F240" i="4"/>
  <c r="E241" i="4"/>
  <c r="F241" i="4" s="1"/>
  <c r="R241" i="4"/>
  <c r="S241" i="4" s="1"/>
  <c r="R238" i="4"/>
  <c r="S238" i="4" s="1"/>
  <c r="P241" i="4"/>
  <c r="P240" i="4"/>
  <c r="P239" i="4"/>
  <c r="P238" i="4"/>
  <c r="R179" i="4"/>
  <c r="S179" i="4" s="1"/>
  <c r="R176" i="4"/>
  <c r="S176" i="4" s="1"/>
  <c r="O176" i="4"/>
  <c r="P176" i="4"/>
  <c r="O177" i="4"/>
  <c r="P177" i="4" s="1"/>
  <c r="O178" i="4"/>
  <c r="P178" i="4"/>
  <c r="O179" i="4"/>
  <c r="P179" i="4"/>
  <c r="H179" i="4"/>
  <c r="I179" i="4" s="1"/>
  <c r="H176" i="4"/>
  <c r="I176" i="4" s="1"/>
  <c r="E176" i="4"/>
  <c r="F176" i="4"/>
  <c r="E177" i="4"/>
  <c r="F177" i="4"/>
  <c r="E178" i="4"/>
  <c r="F178" i="4"/>
  <c r="E179" i="4"/>
  <c r="F179" i="4" s="1"/>
  <c r="R118" i="4"/>
  <c r="S118" i="4" s="1"/>
  <c r="R115" i="4"/>
  <c r="S115" i="4" s="1"/>
  <c r="O115" i="4"/>
  <c r="P115" i="4"/>
  <c r="O116" i="4"/>
  <c r="P116" i="4"/>
  <c r="O117" i="4"/>
  <c r="P117" i="4"/>
  <c r="O118" i="4"/>
  <c r="P118" i="4" s="1"/>
  <c r="O241" i="4"/>
  <c r="O240" i="4"/>
  <c r="O239" i="4"/>
  <c r="O238" i="4"/>
  <c r="H118" i="4"/>
  <c r="I118" i="4" s="1"/>
  <c r="H115" i="4"/>
  <c r="I115" i="4" s="1"/>
  <c r="F118" i="4"/>
  <c r="F117" i="4"/>
  <c r="F116" i="4"/>
  <c r="E118" i="4"/>
  <c r="E117" i="4"/>
  <c r="E116" i="4"/>
  <c r="E115" i="4"/>
  <c r="F115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97" i="4"/>
  <c r="S297" i="4" s="1"/>
  <c r="O299" i="4"/>
  <c r="P299" i="4"/>
  <c r="O298" i="4"/>
  <c r="P298" i="4"/>
  <c r="O297" i="4"/>
  <c r="P297" i="4"/>
  <c r="O296" i="4"/>
  <c r="P296" i="4"/>
  <c r="O295" i="4"/>
  <c r="P295" i="4"/>
  <c r="H297" i="4"/>
  <c r="I297" i="4" s="1"/>
  <c r="E299" i="4"/>
  <c r="F299" i="4"/>
  <c r="E298" i="4"/>
  <c r="F298" i="4"/>
  <c r="E297" i="4"/>
  <c r="F297" i="4"/>
  <c r="E296" i="4"/>
  <c r="F296" i="4"/>
  <c r="E295" i="4"/>
  <c r="F295" i="4"/>
  <c r="R235" i="4"/>
  <c r="S235" i="4" s="1"/>
  <c r="O237" i="4"/>
  <c r="P237" i="4" s="1"/>
  <c r="O236" i="4"/>
  <c r="P236" i="4"/>
  <c r="O235" i="4"/>
  <c r="P235" i="4" s="1"/>
  <c r="O234" i="4"/>
  <c r="P234" i="4"/>
  <c r="O233" i="4"/>
  <c r="P233" i="4"/>
  <c r="H235" i="4"/>
  <c r="I235" i="4" s="1"/>
  <c r="E237" i="4"/>
  <c r="F237" i="4"/>
  <c r="E236" i="4"/>
  <c r="F236" i="4" s="1"/>
  <c r="E235" i="4"/>
  <c r="F235" i="4" s="1"/>
  <c r="E234" i="4"/>
  <c r="F234" i="4"/>
  <c r="E233" i="4"/>
  <c r="F233" i="4"/>
  <c r="S173" i="4"/>
  <c r="R173" i="4"/>
  <c r="O175" i="4"/>
  <c r="P175" i="4" s="1"/>
  <c r="O174" i="4"/>
  <c r="P174" i="4"/>
  <c r="O173" i="4"/>
  <c r="P173" i="4"/>
  <c r="O172" i="4"/>
  <c r="P172" i="4"/>
  <c r="O171" i="4"/>
  <c r="P171" i="4"/>
  <c r="H173" i="4"/>
  <c r="I173" i="4" s="1"/>
  <c r="E175" i="4"/>
  <c r="F175" i="4" s="1"/>
  <c r="E174" i="4"/>
  <c r="F174" i="4"/>
  <c r="E173" i="4"/>
  <c r="F173" i="4" s="1"/>
  <c r="E172" i="4"/>
  <c r="F172" i="4"/>
  <c r="E171" i="4"/>
  <c r="F171" i="4"/>
  <c r="R112" i="4"/>
  <c r="S112" i="4" s="1"/>
  <c r="O114" i="4"/>
  <c r="P114" i="4"/>
  <c r="O113" i="4"/>
  <c r="P113" i="4"/>
  <c r="O112" i="4"/>
  <c r="P112" i="4" s="1"/>
  <c r="O111" i="4"/>
  <c r="P111" i="4" s="1"/>
  <c r="O110" i="4"/>
  <c r="P110" i="4" s="1"/>
  <c r="H112" i="4"/>
  <c r="I112" i="4" s="1"/>
  <c r="E114" i="4"/>
  <c r="F114" i="4"/>
  <c r="E113" i="4"/>
  <c r="F113" i="4"/>
  <c r="E112" i="4"/>
  <c r="F112" i="4"/>
  <c r="E111" i="4"/>
  <c r="F111" i="4"/>
  <c r="E110" i="4"/>
  <c r="F110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94" i="4" l="1"/>
  <c r="S294" i="4" s="1"/>
  <c r="O294" i="4"/>
  <c r="P294" i="4"/>
  <c r="O293" i="4"/>
  <c r="P293" i="4"/>
  <c r="O292" i="4"/>
  <c r="P292" i="4"/>
  <c r="H294" i="4"/>
  <c r="I294" i="4" s="1"/>
  <c r="E294" i="4"/>
  <c r="F294" i="4"/>
  <c r="E293" i="4"/>
  <c r="F293" i="4"/>
  <c r="E292" i="4"/>
  <c r="F292" i="4"/>
  <c r="R232" i="4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 s="1"/>
  <c r="E230" i="4"/>
  <c r="F230" i="4" s="1"/>
  <c r="R170" i="4"/>
  <c r="S170" i="4" s="1"/>
  <c r="O170" i="4"/>
  <c r="P170" i="4"/>
  <c r="O169" i="4"/>
  <c r="P169" i="4" s="1"/>
  <c r="O168" i="4"/>
  <c r="P168" i="4" s="1"/>
  <c r="H170" i="4"/>
  <c r="I170" i="4" s="1"/>
  <c r="E170" i="4"/>
  <c r="F170" i="4" s="1"/>
  <c r="E169" i="4"/>
  <c r="F169" i="4"/>
  <c r="E168" i="4"/>
  <c r="F168" i="4"/>
  <c r="R109" i="4"/>
  <c r="S109" i="4" s="1"/>
  <c r="O109" i="4"/>
  <c r="P109" i="4" s="1"/>
  <c r="O108" i="4"/>
  <c r="P108" i="4"/>
  <c r="O107" i="4"/>
  <c r="P107" i="4" s="1"/>
  <c r="H109" i="4"/>
  <c r="I109" i="4" s="1"/>
  <c r="E109" i="4"/>
  <c r="F109" i="4"/>
  <c r="E108" i="4"/>
  <c r="F108" i="4" s="1"/>
  <c r="E107" i="4"/>
  <c r="F107" i="4" s="1"/>
  <c r="J917" i="2" l="1"/>
  <c r="M917" i="2" s="1"/>
  <c r="N917" i="2" s="1"/>
  <c r="R1373" i="2" s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91" i="4" l="1"/>
  <c r="S291" i="4" s="1"/>
  <c r="O291" i="4"/>
  <c r="P291" i="4"/>
  <c r="O290" i="4"/>
  <c r="P290" i="4"/>
  <c r="O289" i="4"/>
  <c r="P289" i="4"/>
  <c r="H291" i="4"/>
  <c r="I291" i="4" s="1"/>
  <c r="E291" i="4"/>
  <c r="F291" i="4"/>
  <c r="E290" i="4"/>
  <c r="F290" i="4"/>
  <c r="E289" i="4"/>
  <c r="F289" i="4"/>
  <c r="R229" i="4"/>
  <c r="S229" i="4" s="1"/>
  <c r="O229" i="4"/>
  <c r="P229" i="4" s="1"/>
  <c r="O228" i="4"/>
  <c r="P228" i="4"/>
  <c r="O227" i="4"/>
  <c r="P227" i="4"/>
  <c r="H229" i="4"/>
  <c r="I229" i="4" s="1"/>
  <c r="E229" i="4"/>
  <c r="F229" i="4"/>
  <c r="E228" i="4"/>
  <c r="F228" i="4" s="1"/>
  <c r="E227" i="4"/>
  <c r="F227" i="4"/>
  <c r="I167" i="4"/>
  <c r="H167" i="4"/>
  <c r="E167" i="4"/>
  <c r="F167" i="4"/>
  <c r="E166" i="4"/>
  <c r="F166" i="4" s="1"/>
  <c r="E165" i="4"/>
  <c r="F165" i="4"/>
  <c r="R167" i="4"/>
  <c r="S167" i="4" s="1"/>
  <c r="O167" i="4"/>
  <c r="P167" i="4" s="1"/>
  <c r="O166" i="4"/>
  <c r="P166" i="4"/>
  <c r="O165" i="4"/>
  <c r="P165" i="4"/>
  <c r="R106" i="4"/>
  <c r="S106" i="4" s="1"/>
  <c r="O106" i="4"/>
  <c r="P106" i="4" s="1"/>
  <c r="O105" i="4"/>
  <c r="P105" i="4"/>
  <c r="O104" i="4"/>
  <c r="P104" i="4"/>
  <c r="H106" i="4"/>
  <c r="I106" i="4" s="1"/>
  <c r="E106" i="4"/>
  <c r="F106" i="4" s="1"/>
  <c r="E105" i="4"/>
  <c r="F105" i="4" s="1"/>
  <c r="E104" i="4"/>
  <c r="F104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88" i="4" l="1"/>
  <c r="I288" i="4" s="1"/>
  <c r="E288" i="4"/>
  <c r="F288" i="4" s="1"/>
  <c r="E287" i="4"/>
  <c r="F287" i="4" s="1"/>
  <c r="S288" i="4"/>
  <c r="R288" i="4"/>
  <c r="O288" i="4"/>
  <c r="P288" i="4" s="1"/>
  <c r="O287" i="4"/>
  <c r="P287" i="4" s="1"/>
  <c r="R226" i="4"/>
  <c r="S226" i="4" s="1"/>
  <c r="O226" i="4"/>
  <c r="P226" i="4" s="1"/>
  <c r="O225" i="4"/>
  <c r="P225" i="4" s="1"/>
  <c r="I226" i="4"/>
  <c r="H226" i="4"/>
  <c r="E226" i="4"/>
  <c r="F226" i="4" s="1"/>
  <c r="E225" i="4"/>
  <c r="F225" i="4"/>
  <c r="S164" i="4"/>
  <c r="R164" i="4"/>
  <c r="O164" i="4"/>
  <c r="P164" i="4" s="1"/>
  <c r="O163" i="4"/>
  <c r="P163" i="4" s="1"/>
  <c r="I164" i="4"/>
  <c r="H164" i="4"/>
  <c r="E164" i="4"/>
  <c r="F164" i="4" s="1"/>
  <c r="E163" i="4"/>
  <c r="F163" i="4" s="1"/>
  <c r="S103" i="4"/>
  <c r="R103" i="4"/>
  <c r="O103" i="4"/>
  <c r="P103" i="4" s="1"/>
  <c r="O102" i="4"/>
  <c r="P102" i="4"/>
  <c r="H103" i="4"/>
  <c r="I103" i="4" s="1"/>
  <c r="E103" i="4"/>
  <c r="F103" i="4" s="1"/>
  <c r="E102" i="4"/>
  <c r="F102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86" i="4"/>
  <c r="P286" i="4" s="1"/>
  <c r="E286" i="4"/>
  <c r="F286" i="4"/>
  <c r="O285" i="4"/>
  <c r="P285" i="4" s="1"/>
  <c r="E285" i="4"/>
  <c r="F285" i="4"/>
  <c r="O284" i="4"/>
  <c r="P284" i="4" s="1"/>
  <c r="E284" i="4"/>
  <c r="F284" i="4"/>
  <c r="O224" i="4"/>
  <c r="P224" i="4" s="1"/>
  <c r="E224" i="4"/>
  <c r="F224" i="4"/>
  <c r="O223" i="4"/>
  <c r="P223" i="4" s="1"/>
  <c r="E223" i="4"/>
  <c r="F223" i="4"/>
  <c r="O222" i="4"/>
  <c r="P222" i="4"/>
  <c r="E222" i="4"/>
  <c r="F222" i="4" s="1"/>
  <c r="O162" i="4"/>
  <c r="P162" i="4"/>
  <c r="E162" i="4"/>
  <c r="F162" i="4" s="1"/>
  <c r="O161" i="4"/>
  <c r="P161" i="4" s="1"/>
  <c r="E161" i="4"/>
  <c r="F161" i="4"/>
  <c r="E160" i="4"/>
  <c r="F160" i="4" s="1"/>
  <c r="O160" i="4"/>
  <c r="P160" i="4"/>
  <c r="O101" i="4"/>
  <c r="P101" i="4" s="1"/>
  <c r="O100" i="4"/>
  <c r="P100" i="4"/>
  <c r="O99" i="4"/>
  <c r="P99" i="4" s="1"/>
  <c r="E101" i="4"/>
  <c r="F101" i="4"/>
  <c r="E100" i="4"/>
  <c r="F100" i="4" s="1"/>
  <c r="E99" i="4"/>
  <c r="F99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83" i="4"/>
  <c r="P283" i="4" s="1"/>
  <c r="R285" i="4" s="1"/>
  <c r="O282" i="4"/>
  <c r="P282" i="4" s="1"/>
  <c r="E283" i="4"/>
  <c r="F283" i="4" s="1"/>
  <c r="H285" i="4" s="1"/>
  <c r="E282" i="4"/>
  <c r="F282" i="4" s="1"/>
  <c r="O221" i="4"/>
  <c r="P221" i="4" s="1"/>
  <c r="R223" i="4" s="1"/>
  <c r="O220" i="4"/>
  <c r="P220" i="4"/>
  <c r="E221" i="4"/>
  <c r="F221" i="4" s="1"/>
  <c r="H223" i="4" s="1"/>
  <c r="E220" i="4"/>
  <c r="F220" i="4" s="1"/>
  <c r="O159" i="4"/>
  <c r="P159" i="4" s="1"/>
  <c r="R161" i="4" s="1"/>
  <c r="O158" i="4"/>
  <c r="P158" i="4" s="1"/>
  <c r="E159" i="4"/>
  <c r="F159" i="4" s="1"/>
  <c r="H161" i="4" s="1"/>
  <c r="E158" i="4"/>
  <c r="F158" i="4" s="1"/>
  <c r="O98" i="4"/>
  <c r="P98" i="4" s="1"/>
  <c r="R100" i="4" s="1"/>
  <c r="O97" i="4"/>
  <c r="P97" i="4" s="1"/>
  <c r="E98" i="4"/>
  <c r="F98" i="4" s="1"/>
  <c r="H100" i="4" s="1"/>
  <c r="E97" i="4"/>
  <c r="F97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96" i="4" l="1"/>
  <c r="P96" i="4" s="1"/>
  <c r="O95" i="4"/>
  <c r="P95" i="4" s="1"/>
  <c r="O94" i="4"/>
  <c r="P94" i="4"/>
  <c r="O93" i="4"/>
  <c r="P93" i="4" s="1"/>
  <c r="O92" i="4"/>
  <c r="P92" i="4"/>
  <c r="H94" i="4"/>
  <c r="I94" i="4" s="1"/>
  <c r="E96" i="4"/>
  <c r="F96" i="4" s="1"/>
  <c r="E95" i="4"/>
  <c r="F95" i="4" s="1"/>
  <c r="H97" i="4" s="1"/>
  <c r="E94" i="4"/>
  <c r="F94" i="4" s="1"/>
  <c r="E93" i="4"/>
  <c r="F93" i="4" s="1"/>
  <c r="E92" i="4"/>
  <c r="F92" i="4"/>
  <c r="O157" i="4"/>
  <c r="P157" i="4" s="1"/>
  <c r="O156" i="4"/>
  <c r="P156" i="4" s="1"/>
  <c r="R158" i="4" s="1"/>
  <c r="S158" i="4" s="1"/>
  <c r="E157" i="4"/>
  <c r="F157" i="4" s="1"/>
  <c r="E156" i="4"/>
  <c r="F156" i="4" s="1"/>
  <c r="H158" i="4" s="1"/>
  <c r="O219" i="4"/>
  <c r="P219" i="4" s="1"/>
  <c r="O218" i="4"/>
  <c r="P218" i="4" s="1"/>
  <c r="R220" i="4" s="1"/>
  <c r="S220" i="4" s="1"/>
  <c r="E219" i="4"/>
  <c r="F219" i="4" s="1"/>
  <c r="E218" i="4"/>
  <c r="F218" i="4"/>
  <c r="H220" i="4" s="1"/>
  <c r="I220" i="4" s="1"/>
  <c r="O281" i="4"/>
  <c r="P281" i="4" s="1"/>
  <c r="O280" i="4"/>
  <c r="P280" i="4" s="1"/>
  <c r="R282" i="4" s="1"/>
  <c r="S282" i="4" s="1"/>
  <c r="O279" i="4"/>
  <c r="P279" i="4" s="1"/>
  <c r="O278" i="4"/>
  <c r="P278" i="4" s="1"/>
  <c r="O277" i="4"/>
  <c r="P277" i="4" s="1"/>
  <c r="R279" i="4" s="1"/>
  <c r="S279" i="4" s="1"/>
  <c r="E281" i="4"/>
  <c r="F281" i="4" s="1"/>
  <c r="E280" i="4"/>
  <c r="F280" i="4"/>
  <c r="H282" i="4" s="1"/>
  <c r="E279" i="4"/>
  <c r="F279" i="4" s="1"/>
  <c r="E278" i="4"/>
  <c r="F278" i="4" s="1"/>
  <c r="E277" i="4"/>
  <c r="F277" i="4" s="1"/>
  <c r="H279" i="4" s="1"/>
  <c r="I279" i="4" s="1"/>
  <c r="R217" i="4"/>
  <c r="S217" i="4" s="1"/>
  <c r="O217" i="4"/>
  <c r="P217" i="4" s="1"/>
  <c r="O216" i="4"/>
  <c r="P216" i="4" s="1"/>
  <c r="O215" i="4"/>
  <c r="P215" i="4"/>
  <c r="E217" i="4"/>
  <c r="F217" i="4" s="1"/>
  <c r="E216" i="4"/>
  <c r="F216" i="4" s="1"/>
  <c r="E215" i="4"/>
  <c r="F215" i="4" s="1"/>
  <c r="H217" i="4" s="1"/>
  <c r="I217" i="4" s="1"/>
  <c r="O155" i="4"/>
  <c r="P155" i="4" s="1"/>
  <c r="O154" i="4"/>
  <c r="P154" i="4" s="1"/>
  <c r="O153" i="4"/>
  <c r="P153" i="4"/>
  <c r="R155" i="4" s="1"/>
  <c r="S155" i="4" s="1"/>
  <c r="F251" i="4"/>
  <c r="F189" i="4"/>
  <c r="F66" i="4"/>
  <c r="F127" i="4"/>
  <c r="E155" i="4"/>
  <c r="F155" i="4" s="1"/>
  <c r="E154" i="4"/>
  <c r="F154" i="4" s="1"/>
  <c r="E153" i="4"/>
  <c r="F153" i="4" s="1"/>
  <c r="H155" i="4" s="1"/>
  <c r="I155" i="4" s="1"/>
  <c r="I282" i="4" l="1"/>
  <c r="I158" i="4"/>
  <c r="I97" i="4"/>
  <c r="I285" i="4"/>
  <c r="I161" i="4"/>
  <c r="S223" i="4"/>
  <c r="S161" i="4"/>
  <c r="I223" i="4"/>
  <c r="S285" i="4"/>
  <c r="S100" i="4"/>
  <c r="I100" i="4"/>
  <c r="R97" i="4"/>
  <c r="S97" i="4" s="1"/>
  <c r="R94" i="4"/>
  <c r="S94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63" i="4"/>
  <c r="P265" i="4"/>
  <c r="P269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O264" i="4"/>
  <c r="P264" i="4" s="1"/>
  <c r="O265" i="4"/>
  <c r="O266" i="4"/>
  <c r="P266" i="4" s="1"/>
  <c r="O267" i="4"/>
  <c r="P267" i="4" s="1"/>
  <c r="O268" i="4"/>
  <c r="P268" i="4" s="1"/>
  <c r="O269" i="4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56" i="4"/>
  <c r="P256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61" i="4"/>
  <c r="R273" i="4"/>
  <c r="R276" i="4"/>
  <c r="R270" i="4"/>
  <c r="R264" i="4"/>
  <c r="R258" i="4"/>
  <c r="R267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206" i="4" l="1"/>
  <c r="P203" i="4"/>
  <c r="P211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O212" i="4"/>
  <c r="P212" i="4" s="1"/>
  <c r="O213" i="4"/>
  <c r="P213" i="4" s="1"/>
  <c r="O214" i="4"/>
  <c r="P214" i="4" s="1"/>
  <c r="O194" i="4"/>
  <c r="P194" i="4" s="1"/>
  <c r="F257" i="4"/>
  <c r="F259" i="4"/>
  <c r="F273" i="4"/>
  <c r="F275" i="4"/>
  <c r="E257" i="4"/>
  <c r="E258" i="4"/>
  <c r="F258" i="4" s="1"/>
  <c r="E259" i="4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F274" i="4" s="1"/>
  <c r="E275" i="4"/>
  <c r="E276" i="4"/>
  <c r="F276" i="4" s="1"/>
  <c r="E256" i="4"/>
  <c r="F256" i="4" s="1"/>
  <c r="F195" i="4"/>
  <c r="F197" i="4"/>
  <c r="F203" i="4"/>
  <c r="F211" i="4"/>
  <c r="F213" i="4"/>
  <c r="E195" i="4"/>
  <c r="E196" i="4"/>
  <c r="F196" i="4" s="1"/>
  <c r="E197" i="4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H211" i="4" s="1"/>
  <c r="E210" i="4"/>
  <c r="F210" i="4" s="1"/>
  <c r="E211" i="4"/>
  <c r="E212" i="4"/>
  <c r="F212" i="4" s="1"/>
  <c r="E213" i="4"/>
  <c r="E214" i="4"/>
  <c r="F214" i="4" s="1"/>
  <c r="E194" i="4"/>
  <c r="F194" i="4" s="1"/>
  <c r="P133" i="4"/>
  <c r="P135" i="4"/>
  <c r="P141" i="4"/>
  <c r="P149" i="4"/>
  <c r="P151" i="4"/>
  <c r="O133" i="4"/>
  <c r="O134" i="4"/>
  <c r="P134" i="4" s="1"/>
  <c r="O135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R149" i="4" s="1"/>
  <c r="O148" i="4"/>
  <c r="P148" i="4" s="1"/>
  <c r="O149" i="4"/>
  <c r="O150" i="4"/>
  <c r="P150" i="4" s="1"/>
  <c r="O151" i="4"/>
  <c r="O152" i="4"/>
  <c r="P152" i="4" s="1"/>
  <c r="O132" i="4"/>
  <c r="P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/>
  <c r="E150" i="4"/>
  <c r="F150" i="4" s="1"/>
  <c r="E151" i="4"/>
  <c r="F151" i="4"/>
  <c r="E152" i="4"/>
  <c r="F152" i="4"/>
  <c r="E132" i="4"/>
  <c r="F132" i="4" s="1"/>
  <c r="H143" i="4" l="1"/>
  <c r="H264" i="4"/>
  <c r="R211" i="4"/>
  <c r="S211" i="4" s="1"/>
  <c r="R137" i="4"/>
  <c r="H134" i="4"/>
  <c r="R202" i="4"/>
  <c r="H270" i="4"/>
  <c r="H199" i="4"/>
  <c r="H149" i="4"/>
  <c r="R143" i="4"/>
  <c r="H205" i="4"/>
  <c r="H276" i="4"/>
  <c r="R205" i="4"/>
  <c r="S205" i="4" s="1"/>
  <c r="H137" i="4"/>
  <c r="I205" i="4"/>
  <c r="I211" i="4"/>
  <c r="H152" i="4"/>
  <c r="H146" i="4"/>
  <c r="H140" i="4"/>
  <c r="R152" i="4"/>
  <c r="R146" i="4"/>
  <c r="R140" i="4"/>
  <c r="R134" i="4"/>
  <c r="H258" i="4"/>
  <c r="H267" i="4"/>
  <c r="R214" i="4"/>
  <c r="S214" i="4" s="1"/>
  <c r="R208" i="4"/>
  <c r="H214" i="4"/>
  <c r="I214" i="4" s="1"/>
  <c r="H208" i="4"/>
  <c r="H202" i="4"/>
  <c r="I202" i="4" s="1"/>
  <c r="H196" i="4"/>
  <c r="H273" i="4"/>
  <c r="H261" i="4"/>
  <c r="R196" i="4"/>
  <c r="S196" i="4" s="1"/>
  <c r="R199" i="4"/>
  <c r="S202" i="4"/>
  <c r="I134" i="4"/>
  <c r="P79" i="4"/>
  <c r="P87" i="4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O88" i="4"/>
  <c r="P88" i="4" s="1"/>
  <c r="O89" i="4"/>
  <c r="P89" i="4" s="1"/>
  <c r="O90" i="4"/>
  <c r="P90" i="4" s="1"/>
  <c r="O91" i="4"/>
  <c r="P91" i="4" s="1"/>
  <c r="O71" i="4"/>
  <c r="P71" i="4" s="1"/>
  <c r="F72" i="4"/>
  <c r="F76" i="4"/>
  <c r="F71" i="4"/>
  <c r="E72" i="4"/>
  <c r="E73" i="4"/>
  <c r="F73" i="4" s="1"/>
  <c r="E74" i="4"/>
  <c r="F74" i="4" s="1"/>
  <c r="E75" i="4"/>
  <c r="F75" i="4" s="1"/>
  <c r="E76" i="4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71" i="4"/>
  <c r="R85" i="4" l="1"/>
  <c r="S85" i="4" s="1"/>
  <c r="R73" i="4"/>
  <c r="R88" i="4"/>
  <c r="S88" i="4" s="1"/>
  <c r="R82" i="4"/>
  <c r="S82" i="4" s="1"/>
  <c r="R76" i="4"/>
  <c r="S76" i="4" s="1"/>
  <c r="R91" i="4"/>
  <c r="S91" i="4" s="1"/>
  <c r="R79" i="4"/>
  <c r="S79" i="4" s="1"/>
  <c r="H91" i="4"/>
  <c r="I91" i="4" s="1"/>
  <c r="H79" i="4"/>
  <c r="I79" i="4" s="1"/>
  <c r="S273" i="4"/>
  <c r="S261" i="4"/>
  <c r="S258" i="4"/>
  <c r="S267" i="4"/>
  <c r="S276" i="4"/>
  <c r="S270" i="4"/>
  <c r="S264" i="4"/>
  <c r="I273" i="4"/>
  <c r="I258" i="4"/>
  <c r="S140" i="4"/>
  <c r="S152" i="4"/>
  <c r="I146" i="4"/>
  <c r="S149" i="4"/>
  <c r="I149" i="4"/>
  <c r="I270" i="4"/>
  <c r="I143" i="4"/>
  <c r="S199" i="4"/>
  <c r="I261" i="4"/>
  <c r="I196" i="4"/>
  <c r="I208" i="4"/>
  <c r="S208" i="4"/>
  <c r="I267" i="4"/>
  <c r="S134" i="4"/>
  <c r="S146" i="4"/>
  <c r="I140" i="4"/>
  <c r="I152" i="4"/>
  <c r="I199" i="4"/>
  <c r="S137" i="4"/>
  <c r="I137" i="4"/>
  <c r="I264" i="4"/>
  <c r="I276" i="4"/>
  <c r="S143" i="4"/>
  <c r="H88" i="4"/>
  <c r="I88" i="4" s="1"/>
  <c r="H76" i="4"/>
  <c r="I76" i="4" s="1"/>
  <c r="H85" i="4"/>
  <c r="I85" i="4" s="1"/>
  <c r="H82" i="4"/>
  <c r="I82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5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9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<sst xmlns="http://schemas.openxmlformats.org/spreadsheetml/2006/main" count="11406" uniqueCount="306">
  <si>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</si>
  <si>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</si>
  <si>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</si>
  <si>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</si>
  <si>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</si>
  <si>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</si>
  <si>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</si>
  <si>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</si>
  <si>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</si>
  <si>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</si>
  <si>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</si>
  <si>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</si>
  <si>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</si>
  <si>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</si>
  <si>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</si>
  <si>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</si>
  <si>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</si>
  <si>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</si>
  <si>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</si>
  <si>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</si>
  <si>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</si>
  <si>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</si>
  <si>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</si>
  <si>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</si>
  <si>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</si>
  <si>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</si>
  <si>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</si>
  <si>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</si>
  <si>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</si>
  <si>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</si>
  <si>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</si>
  <si>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</si>
  <si>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</si>
  <si>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</si>
  <si>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</si>
  <si>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</si>
  <si>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</si>
  <si>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</si>
  <si>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</si>
  <si>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</si>
  <si>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</si>
  <si>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</si>
  <si>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</si>
  <si>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</si>
  <si>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</si>
  <si>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</si>
  <si>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</si>
  <si>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</si>
  <si>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</si>
  <si>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</si>
  <si>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</si>
  <si>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</si>
  <si>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</si>
  <si>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</si>
  <si>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</si>
  <si>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</si>
  <si>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</si>
  <si>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</si>
  <si>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</si>
  <si>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</si>
  <si>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</si>
  <si>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</si>
  <si>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</si>
  <si>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</si>
  <si>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</si>
  <si>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</si>
  <si>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</si>
  <si>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</si>
  <si>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</si>
  <si>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</si>
  <si>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</si>
  <si>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</si>
  <si>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</si>
  <si>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</si>
  <si>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</si>
  <si>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</si>
  <si>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</si>
  <si>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</si>
  <si>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</si>
  <si>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</si>
  <si>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</si>
  <si>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</si>
  <si>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</si>
  <si>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</si>
  <si>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</si>
  <si>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</si>
  <si>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</si>
  <si>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</si>
  <si>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</si>
  <si>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</si>
  <si>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</si>
  <si>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</si>
  <si>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</si>
  <si>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</si>
  <si>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</si>
  <si>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</si>
  <si>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</si>
  <si>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</si>
  <si>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</si>
  <si>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</si>
  <si>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</si>
  <si>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</si>
  <si>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</si>
  <si>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</si>
  <si>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</si>
  <si>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</si>
  <si>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</si>
  <si>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</si>
  <si>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</si>
  <si>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</si>
  <si>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</si>
  <si>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</si>
  <si>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</si>
  <si>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</si>
  <si>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</si>
  <si>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</si>
  <si>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</si>
  <si>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</si>
  <si>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</si>
  <si>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</si>
  <si>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</si>
  <si>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</si>
  <si>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</si>
  <si>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</si>
  <si>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</si>
  <si>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</si>
  <si>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</si>
  <si>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</si>
  <si>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</si>
  <si>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</si>
  <si>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</si>
  <si>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</si>
  <si>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</si>
  <si>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</si>
  <si>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</si>
  <si>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</si>
  <si>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</si>
  <si>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</si>
  <si>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</si>
  <si>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</si>
  <si>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</si>
  <si>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</si>
  <si>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</si>
  <si>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</si>
  <si>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</si>
  <si>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</si>
  <si>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</si>
  <si>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</si>
  <si>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</si>
  <si>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</si>
  <si>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</si>
  <si>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</si>
  <si>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</si>
  <si>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</si>
  <si>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</si>
  <si>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</si>
  <si>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</si>
  <si>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</si>
  <si>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</si>
  <si>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</si>
  <si>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</si>
  <si>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</si>
  <si>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</si>
  <si>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</si>
  <si>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</si>
  <si>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</si>
  <si>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</si>
  <si>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</si>
  <si>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</si>
  <si>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</si>
  <si>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</si>
  <si>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</si>
  <si>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</si>
  <si>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</si>
  <si>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</si>
  <si>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</si>
  <si>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</si>
  <si>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</si>
  <si>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</si>
  <si>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</si>
  <si>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</si>
  <si>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</si>
  <si>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</si>
  <si>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</si>
  <si>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</si>
  <si>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</si>
  <si>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</si>
  <si>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</si>
  <si>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</si>
  <si>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</si>
  <si>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</si>
  <si>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</si>
  <si>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</si>
  <si>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</si>
  <si>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</si>
  <si>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</si>
  <si>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</si>
  <si>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</si>
  <si>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</si>
  <si>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</si>
  <si>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</si>
  <si>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</si>
  <si>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</si>
  <si>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</si>
  <si>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</si>
  <si>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</si>
  <si>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</si>
  <si>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</si>
  <si>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</si>
  <si>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</si>
  <si>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</si>
  <si>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</si>
  <si>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</si>
  <si>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</si>
  <si>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</si>
  <si>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</si>
  <si>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</si>
  <si>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</si>
  <si>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</si>
  <si>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</si>
  <si>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</si>
  <si>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</si>
  <si>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</si>
  <si>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</si>
  <si>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</si>
  <si>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</si>
  <si>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</si>
  <si>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</si>
  <si>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</si>
  <si>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</si>
  <si>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</si>
  <si>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</si>
  <si>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</si>
  <si>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</si>
  <si>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</si>
  <si>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</si>
  <si>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</si>
  <si>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</si>
  <si>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</si>
  <si>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</si>
  <si>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</si>
  <si>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</si>
  <si>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</si>
  <si>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</si>
  <si>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</si>
  <si>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</si>
  <si>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</si>
  <si>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</si>
  <si>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</si>
  <si>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</si>
  <si>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</si>
  <si>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</si>
  <si>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</si>
  <si>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</si>
  <si>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</si>
  <si>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</si>
  <si>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</si>
  <si>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</si>
  <si>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</si>
  <si>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</si>
  <si>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</si>
  <si>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</si>
  <si>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</si>
  <si>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</si>
  <si>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</si>
  <si>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</si>
  <si>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</si>
  <si>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</si>
  <si>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</si>
  <si>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</si>
  <si>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</si>
  <si>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</si>
  <si>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</si>
  <si>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</si>
  <si>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</si>
  <si>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</si>
  <si>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</si>
  <si>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</si>
  <si>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</si>
  <si>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</si>
  <si>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</si>
  <si>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</si>
  <si>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</si>
  <si>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</si>
  <si>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</si>
  <si>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</si>
  <si>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</si>
  <si>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</si>
  <si>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</si>
  <si>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</si>
  <si>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</si>
  <si>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</si>
  <si>
    <t>Jan. 14</t>
  </si>
  <si>
    <t>Feb. 14</t>
  </si>
  <si>
    <t>Mar. 14</t>
  </si>
  <si>
    <t>Apr. 14</t>
  </si>
  <si>
    <t>Minneapolis, MN to St. Louis, MO</t>
  </si>
  <si>
    <t>Davenport, IA to St. Louis, MO</t>
  </si>
  <si>
    <t>(Clinton, IA)</t>
  </si>
  <si>
    <t>1Q 14</t>
  </si>
  <si>
    <t>Corn, Soybean</t>
  </si>
  <si>
    <t>May. 14</t>
  </si>
  <si>
    <t>Jun. 14</t>
  </si>
  <si>
    <t>2Q14</t>
  </si>
  <si>
    <t>Jul. 14</t>
  </si>
  <si>
    <t>Aug.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</si>
</sst>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2019"/>
  <sheetViews>
    <sheetView zoomScaleNormal="100" workbookViewId="0">
      <pane xSplit="4" ySplit="5" topLeftCell="E1984" activePane="bottomRight" state="frozen"/>
      <selection pane="topRight" activeCell="E1" sqref="E1"/>
      <selection pane="bottomLeft" activeCell="A6" sqref="A6"/>
      <selection pane="bottomRight" activeCell="M2022" sqref="M2022"/>
    </sheetView>
  </sheetViews>
  <sheetFormatPr defaultColWidth="8.85546875" defaultRowHeight="12.75" x14ac:dyDescent="0.2"/>
  <cols>
    <col min="1" max="1" width="10.140625" style="98" bestFit="1" customWidth="1"/>
    <col min="2" max="2" width="19.5703125" style="98" customWidth="1"/>
    <col min="3" max="3" width="20.140625" style="98" customWidth="1"/>
    <col min="4" max="4" width="8.85546875" style="98" customWidth="1"/>
    <col min="5" max="5" width="10.28515625" style="88" customWidth="1"/>
    <col min="6" max="6" width="9.85546875" style="53" bestFit="1" customWidth="1"/>
    <col min="7" max="16" width="8.85546875" style="98"/>
    <col min="17" max="17" width="11.42578125" style="98" bestFit="1" customWidth="1"/>
    <col min="18" max="18" width="11.5703125" style="98" bestFit="1" customWidth="1"/>
    <col min="19" max="19" width="9.42578125" style="98" bestFit="1" customWidth="1"/>
    <col min="20" max="20" width="11.28515625" style="98" bestFit="1" customWidth="1"/>
    <col min="21" max="21" width="12" style="98" bestFit="1" customWidth="1"/>
    <col min="22" max="16384" width="8.85546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ht="13.15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ht="13.15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ht="13.15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ht="13.15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ht="13.15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ht="13.15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ht="13.15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ht="13.15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ht="13.15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ht="13.15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ht="13.15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ht="13.15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ht="13.15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ht="13.15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ht="13.15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ht="13.15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ht="13.15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ht="13.15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ht="13.15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ht="13.15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ht="13.15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ht="13.15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ht="13.15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ht="13.15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ht="13.15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ht="13.15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ht="13.15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ht="13.15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ht="13.15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ht="13.15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ht="13.15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ht="13.15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ht="13.15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ht="13.15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ht="13.15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ht="13.15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ht="13.15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ht="13.15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ht="13.15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ht="13.15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ht="13.15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ht="13.15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ht="13.15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ht="13.15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ht="13.15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ht="13.15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ht="13.15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ht="13.15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ht="13.15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ht="13.15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ht="13.15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ht="13.15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ht="13.15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ht="13.15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ht="13.15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ht="13.15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ht="13.15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ht="13.15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ht="13.15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ht="13.15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ht="13.15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ht="13.15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ht="13.15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ht="13.15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ht="13.15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ht="13.15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ht="13.15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ht="13.15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ht="13.15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ht="13.15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ht="13.15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ht="13.15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ht="13.15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ht="13.15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ht="13.15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ht="13.15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ht="13.15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ht="13.15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ht="13.15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ht="13.15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ht="13.15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ht="13.15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ht="13.15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ht="13.15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ht="13.15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ht="13.15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ht="13.15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ht="13.15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ht="13.15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ht="13.15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ht="13.15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ht="13.15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ht="13.15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ht="13.15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ht="13.15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ht="13.15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ht="13.15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ht="13.15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ht="13.15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ht="13.15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ht="13.15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ht="13.15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ht="13.15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ht="13.15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ht="13.15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ht="13.15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ht="13.15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ht="13.15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ht="13.15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ht="13.15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ht="13.15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ht="13.15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ht="13.15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ht="13.15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ht="13.15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ht="13.15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ht="13.15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ht="13.15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ht="13.15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ht="13.15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ht="13.15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ht="13.15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ht="13.15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ht="13.15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ht="13.15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ht="13.15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ht="13.15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ht="13.15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ht="13.15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ht="13.15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ht="13.15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ht="13.15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ht="13.15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ht="13.15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ht="13.15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ht="13.15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ht="13.15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ht="13.15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ht="13.15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ht="13.15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ht="13.15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ht="13.15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ht="13.15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ht="13.15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ht="13.15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ht="13.15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ht="13.15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ht="13.15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ht="13.15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ht="13.15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ht="13.15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ht="13.15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ht="13.15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ht="13.15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ht="13.15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ht="13.15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ht="13.15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ht="13.15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ht="13.15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ht="13.15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ht="13.15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ht="13.15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ht="13.15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ht="13.15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ht="13.15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ht="13.15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ht="13.15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ht="13.15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ht="13.15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ht="13.15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ht="13.15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ht="13.15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ht="13.15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ht="13.15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ht="13.15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ht="13.15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ht="13.15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ht="13.15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ht="13.15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ht="13.15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ht="13.15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ht="13.15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ht="13.15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ht="13.15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ht="13.15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ht="13.15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ht="13.15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ht="13.15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ht="13.15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ht="13.15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ht="13.15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ht="13.15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ht="13.15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ht="13.15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ht="13.15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ht="13.15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ht="13.15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ht="13.15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ht="13.15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ht="13.15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ht="13.15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ht="13.15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ht="13.15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ht="13.15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ht="13.15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ht="13.15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ht="13.15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ht="13.15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ht="13.15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ht="13.15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ht="13.15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ht="13.15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ht="13.15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ht="13.15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ht="13.15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ht="13.15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ht="13.15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ht="13.15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ht="13.15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ht="13.15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ht="13.15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ht="13.15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ht="13.15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ht="13.15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ht="13.15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ht="13.15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ht="13.15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ht="13.15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ht="13.15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ht="13.15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ht="13.15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ht="13.15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ht="13.15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ht="13.15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ht="13.15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ht="13.15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ht="13.15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ht="13.15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ht="13.15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ht="13.15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ht="13.15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ht="13.15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ht="13.15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ht="13.15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ht="13.15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ht="13.15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ht="13.15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ht="13.15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ht="13.15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ht="13.15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ht="13.15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ht="13.15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ht="13.15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ht="13.15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ht="13.15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ht="13.15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ht="13.15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ht="13.15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ht="13.15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ht="13.15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ht="13.15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ht="13.15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ht="13.15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ht="13.15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ht="13.15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ht="13.15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ht="13.15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ht="13.15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ht="13.15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ht="13.15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ht="13.15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ht="13.15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ht="13.15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ht="13.15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ht="13.15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ht="13.15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ht="13.15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ht="13.15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ht="13.15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ht="13.15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ht="13.15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ht="13.15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ht="13.15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ht="13.15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ht="13.15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ht="13.15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ht="13.15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ht="13.15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ht="13.15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ht="13.15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ht="13.15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ht="13.15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ht="13.15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ht="13.15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ht="13.15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ht="13.15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ht="13.15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ht="13.15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ht="13.15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ht="13.15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ht="13.15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ht="13.15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ht="13.15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ht="13.15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ht="13.15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ht="13.15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ht="13.15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ht="13.15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ht="13.15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ht="13.15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ht="13.15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ht="13.15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ht="13.15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ht="13.15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ht="13.15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ht="13.15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ht="13.15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ht="13.15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ht="13.15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ht="13.15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ht="13.15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ht="13.15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ht="13.15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ht="13.15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ht="13.15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ht="13.15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ht="13.15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ht="13.15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ht="13.15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ht="13.15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ht="13.15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ht="13.15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ht="13.15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ht="13.15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ht="13.15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ht="13.15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ht="13.15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ht="13.15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ht="13.15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ht="13.15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ht="13.15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ht="13.15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ht="13.15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ht="13.15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ht="13.15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ht="13.15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ht="13.15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ht="13.15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ht="13.15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ht="13.15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ht="13.15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ht="13.15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ht="13.15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ht="13.15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ht="13.15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ht="13.15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ht="13.15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ht="13.15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ht="13.15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ht="13.15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ht="13.15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ht="13.15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ht="13.15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ht="13.15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ht="13.15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ht="13.15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ht="13.15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ht="13.15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ht="13.15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ht="13.15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ht="13.15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ht="13.15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ht="13.15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ht="13.15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ht="13.15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ht="13.15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ht="13.15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ht="13.15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ht="13.15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ht="13.15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ht="13.15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ht="13.15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ht="13.15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ht="13.15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ht="13.15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ht="13.15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ht="13.15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ht="13.15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ht="13.15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ht="13.15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ht="13.15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ht="13.15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ht="13.15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ht="13.15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ht="13.15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ht="13.15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ht="13.15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ht="13.15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ht="13.15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ht="13.15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ht="13.15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ht="13.15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ht="13.15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ht="13.15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ht="13.15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ht="13.15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ht="13.15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ht="13.15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ht="13.15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ht="13.15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ht="13.15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ht="13.15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ht="13.15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ht="13.15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ht="13.15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ht="13.15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ht="13.15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ht="13.15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ht="13.15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ht="13.15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ht="13.15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ht="13.15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5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5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5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5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5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5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5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5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5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5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5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5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5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5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5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5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5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5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5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5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5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5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5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5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5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5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5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5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5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5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5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5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5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5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5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5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5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5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5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5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5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5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5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5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5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5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5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5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5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5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5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5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5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5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5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5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5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5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5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5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5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5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5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5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5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5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5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5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5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5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5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5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5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5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5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5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5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5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5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5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5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5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5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5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5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5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5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5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5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5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5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5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5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5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5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5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5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5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5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5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5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5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5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5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5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5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5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5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5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5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5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5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5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5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5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5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5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5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5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5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5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5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5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5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5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5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5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5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5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5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5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5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5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5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5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5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5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5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5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5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5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5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5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5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5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5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5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5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5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5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5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5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5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5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5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5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5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5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5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5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5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5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5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5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5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5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5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5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5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5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5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5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5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5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5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5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5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5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5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5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5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5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5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5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5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5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5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5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5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5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5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5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5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5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5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5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5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5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5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5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5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5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5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5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5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5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5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5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5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5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5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5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5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5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5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5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5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5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5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5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5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5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5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5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5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5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5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5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5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5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5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5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5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5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5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5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5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5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5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5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5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5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5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5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5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5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5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5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5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5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5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5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5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5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5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5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5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5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5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5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5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5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5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5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6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6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5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5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5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5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5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5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5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5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5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5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5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5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5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5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5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5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6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6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6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6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6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6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6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6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6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6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6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6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6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6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6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6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6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6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6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6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6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6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6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6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6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6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6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6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6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6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6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6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6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6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6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6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5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5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5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5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5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5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5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5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5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5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5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5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5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5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5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5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5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5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5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5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5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5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5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5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5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5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5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5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5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5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5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5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5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5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5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5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5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5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5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5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5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5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5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5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5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5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5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5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5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5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5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5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5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5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5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5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5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5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5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5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5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5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5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5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5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5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5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5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5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5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5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5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5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5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5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5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5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5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5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5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5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5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5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5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5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5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5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5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5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5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5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5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5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5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5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5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5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5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5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5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5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5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5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5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5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5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5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5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5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5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5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5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5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5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5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5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5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5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5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5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5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5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5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5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5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5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5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5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5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5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5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5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5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5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5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5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5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5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5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5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5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5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5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5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5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5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5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5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5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5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5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5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5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5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5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5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5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5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5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5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5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5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5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5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5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5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5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5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5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5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5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5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5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5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5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5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5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5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5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5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5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5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5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5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5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5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5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5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5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5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5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5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5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5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5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5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5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5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5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5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5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5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5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5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5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5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5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5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5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5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5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5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5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5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6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6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6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6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6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6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6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6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6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6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6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6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6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6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6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6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6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6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6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6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6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6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6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6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6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6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6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6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6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6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6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6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5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5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5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5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5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5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5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5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5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5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5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5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5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5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5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5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5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5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5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5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5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5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5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5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5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5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5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5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5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5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5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5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6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6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6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6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6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6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6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6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6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6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6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6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5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5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5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5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5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5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5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5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5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5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5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5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5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5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5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5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5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5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5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5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5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5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5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5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5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5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5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5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5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5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5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5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5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5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5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5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5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5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5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5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5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5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5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5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5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5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5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5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5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5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5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5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5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5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5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5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5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5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5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5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5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5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5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5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5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5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5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5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5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5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5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5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5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5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5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5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5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5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5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5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5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5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5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5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5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5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5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5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5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5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5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5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5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5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5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5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5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5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5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5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5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5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5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5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5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5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5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5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5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5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5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5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5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5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5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5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5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5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5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5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5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5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5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5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5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5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5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5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5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5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5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5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5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5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5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5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5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5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5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5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5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5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6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6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6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6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6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6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6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6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6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6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6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6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6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6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6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6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6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6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6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6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6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6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6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6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6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6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6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6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6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6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6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6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6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6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5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5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5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5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5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5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5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5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5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5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5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5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5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5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5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5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5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5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5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5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5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5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5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5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5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5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5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5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5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5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5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5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5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5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5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5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5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5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5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5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5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5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5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5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5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5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5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5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5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5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5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5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5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5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5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5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5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5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5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5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5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5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5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5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5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5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5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5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5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5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5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5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5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5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5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5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5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5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5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5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5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5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5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5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5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5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5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5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5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5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5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5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5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5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5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5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5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5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5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5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5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5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5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5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5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5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5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5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5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5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5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5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5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5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5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5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5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5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5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5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5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5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5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5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5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5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5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5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5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5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5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5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5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5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5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5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5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5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5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5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5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5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5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5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5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5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5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5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5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5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5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5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5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5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5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5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5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5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5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5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5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5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5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5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5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5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5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5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5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5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5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5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5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5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5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5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5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5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5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5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5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5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5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5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5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5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5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5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5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5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5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5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5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5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5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5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5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5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5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5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5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5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5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5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5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5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5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5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5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5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5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5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5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5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5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5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5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5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5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5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5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5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5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5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5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5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5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5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5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5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5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5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5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5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5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5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5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5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5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5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5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5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5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5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5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5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5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5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5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5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5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5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5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5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5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5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5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5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5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5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5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5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5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5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5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5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5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5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5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5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5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5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5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5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5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5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5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5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5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5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5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5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5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5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5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5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5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5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5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5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5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5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5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5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5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5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5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5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5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5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5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5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5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5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5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5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5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5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5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5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5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5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5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5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5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5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5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5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5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5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5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5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5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5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5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5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5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5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5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5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5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5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5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5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5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5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5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5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5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5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5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5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5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5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5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5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5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5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5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5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5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5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5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5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5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5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5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5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5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5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5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5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5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5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5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5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5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5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5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5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5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5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5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5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5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5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5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5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5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5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5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5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5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5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5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5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5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5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5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5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5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5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5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5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5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5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5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5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5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5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5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5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5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5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5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5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5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5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5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5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5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5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5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5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5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5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5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5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5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5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5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5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5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5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5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5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5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5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5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5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5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5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5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5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5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5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5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5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5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5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5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5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5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5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5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5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5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5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5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5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5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5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5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5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5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5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5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5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5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5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5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5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5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5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5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5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5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5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5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5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5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5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5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5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5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5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5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5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5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5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5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5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5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5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5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5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5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5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5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5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5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5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5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5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5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5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5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5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5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5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5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5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5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5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5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5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5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5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5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5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5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5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5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5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5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5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5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5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5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5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5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5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5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5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5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5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5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5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5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5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5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5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5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5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5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5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5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5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5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5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5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5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5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5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5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5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  <row r="1754" spans="1:19" ht="14.45" x14ac:dyDescent="0.3">
      <c r="A1754" s="82" t="s">
        <v>1</v>
      </c>
      <c r="B1754" s="82" t="s">
        <v>2</v>
      </c>
      <c r="C1754" s="82" t="s">
        <v>3</v>
      </c>
      <c r="D1754" s="82" t="s">
        <v>90</v>
      </c>
      <c r="E1754" s="87">
        <v>41730</v>
      </c>
      <c r="F1754" s="83"/>
      <c r="G1754" s="92">
        <v>3191</v>
      </c>
      <c r="H1754" s="52">
        <v>506</v>
      </c>
      <c r="I1754" s="52" t="s">
        <v>92</v>
      </c>
      <c r="J1754" s="157">
        <f>IF(I1754="BNSF",0.38,IF(I1754="CN",0.3278,IF(I1754="CSX",0.5,0.38)))</f>
        <v>0.38</v>
      </c>
      <c r="K1754" s="101">
        <f t="shared" ref="K1754:K1791" si="402">G1754/100.7</f>
        <v>31.688182720953325</v>
      </c>
      <c r="L1754" s="101">
        <f t="shared" ref="L1754:L1791" si="403">IF(A1754="corn",G1754/(111*2000/56),G1754/(111*2000/60))</f>
        <v>0.86243243243243239</v>
      </c>
      <c r="M1754" s="133">
        <f t="shared" ref="M1754:M1791" si="404">H1754*J1754</f>
        <v>192.28</v>
      </c>
      <c r="N1754" s="133">
        <f t="shared" ref="N1754:N1791" si="405">G1754+M1754</f>
        <v>3383.28</v>
      </c>
      <c r="O1754" s="134">
        <f t="shared" ref="O1754:O1791" si="406">N1754/100.7</f>
        <v>33.597616683217481</v>
      </c>
      <c r="P1754" s="134">
        <f t="shared" ref="P1754:P1791" si="407">IF(A1754="corn",N1754/(111*2000/56),N1754/(111*2000/60))</f>
        <v>0.9144000000000001</v>
      </c>
      <c r="R1754" s="149">
        <f t="shared" ref="R1754:R1791" si="408">((N1754/N1298)-1)*100</f>
        <v>0.94943696180171955</v>
      </c>
    </row>
    <row r="1755" spans="1:19" ht="14.45" x14ac:dyDescent="0.3">
      <c r="A1755" s="82" t="s">
        <v>1</v>
      </c>
      <c r="B1755" s="82" t="s">
        <v>4</v>
      </c>
      <c r="C1755" s="82" t="s">
        <v>5</v>
      </c>
      <c r="D1755" s="82" t="s">
        <v>90</v>
      </c>
      <c r="E1755" s="87">
        <f>E1754</f>
        <v>41730</v>
      </c>
      <c r="F1755" s="83"/>
      <c r="G1755" s="92">
        <v>3596</v>
      </c>
      <c r="H1755" s="52">
        <v>298</v>
      </c>
      <c r="I1755" s="52" t="s">
        <v>93</v>
      </c>
      <c r="J1755" s="157">
        <f>IF(I1755="BNSF",0.38,IF(I1755="CN",0.3278,IF(I1755="CSX",0.5,0.38)))</f>
        <v>0.38</v>
      </c>
      <c r="K1755" s="101">
        <f t="shared" si="402"/>
        <v>35.710029791459782</v>
      </c>
      <c r="L1755" s="101">
        <f t="shared" si="403"/>
        <v>0.97189189189189185</v>
      </c>
      <c r="M1755" s="133">
        <f t="shared" si="404"/>
        <v>113.24</v>
      </c>
      <c r="N1755" s="133">
        <f t="shared" si="405"/>
        <v>3709.24</v>
      </c>
      <c r="O1755" s="134">
        <f t="shared" si="406"/>
        <v>36.834558093346573</v>
      </c>
      <c r="P1755" s="134">
        <f t="shared" si="407"/>
        <v>1.0024972972972972</v>
      </c>
      <c r="R1755" s="149">
        <f t="shared" si="408"/>
        <v>1.2021237701831833</v>
      </c>
    </row>
    <row r="1756" spans="1:19" ht="14.45" x14ac:dyDescent="0.3">
      <c r="A1756" s="82" t="s">
        <v>1</v>
      </c>
      <c r="B1756" s="82" t="s">
        <v>2</v>
      </c>
      <c r="C1756" s="82" t="s">
        <v>6</v>
      </c>
      <c r="D1756" s="82" t="s">
        <v>90</v>
      </c>
      <c r="E1756" s="87">
        <f t="shared" ref="E1756:E1791" si="409">E1755</f>
        <v>41730</v>
      </c>
      <c r="F1756" s="83"/>
      <c r="G1756" s="92">
        <v>6244</v>
      </c>
      <c r="H1756" s="52">
        <v>1530</v>
      </c>
      <c r="I1756" s="52" t="s">
        <v>93</v>
      </c>
      <c r="J1756" s="157">
        <f t="shared" ref="J1756:J1791" si="410">IF(I1756="BNSF",0.38,IF(I1756="CN",0.3278,IF(I1756="CSX",0.5,0.38)))</f>
        <v>0.38</v>
      </c>
      <c r="K1756" s="101">
        <f t="shared" si="402"/>
        <v>62.005958291956304</v>
      </c>
      <c r="L1756" s="101">
        <f t="shared" si="403"/>
        <v>1.6875675675675677</v>
      </c>
      <c r="M1756" s="133">
        <f t="shared" si="404"/>
        <v>581.4</v>
      </c>
      <c r="N1756" s="133">
        <f t="shared" si="405"/>
        <v>6825.4</v>
      </c>
      <c r="O1756" s="134">
        <f t="shared" si="406"/>
        <v>67.779543197616675</v>
      </c>
      <c r="P1756" s="134">
        <f t="shared" si="407"/>
        <v>1.8447027027027025</v>
      </c>
      <c r="R1756" s="149">
        <f t="shared" si="408"/>
        <v>2.5866863060436174</v>
      </c>
    </row>
    <row r="1757" spans="1:19" ht="14.45" x14ac:dyDescent="0.3">
      <c r="A1757" s="82" t="s">
        <v>1</v>
      </c>
      <c r="B1757" s="82" t="s">
        <v>2</v>
      </c>
      <c r="C1757" s="82" t="s">
        <v>7</v>
      </c>
      <c r="D1757" s="82" t="s">
        <v>90</v>
      </c>
      <c r="E1757" s="87">
        <f t="shared" si="409"/>
        <v>41730</v>
      </c>
      <c r="F1757" s="83"/>
      <c r="G1757" s="92">
        <v>3808</v>
      </c>
      <c r="H1757" s="52">
        <v>890</v>
      </c>
      <c r="I1757" s="52" t="s">
        <v>92</v>
      </c>
      <c r="J1757" s="157">
        <f t="shared" si="410"/>
        <v>0.38</v>
      </c>
      <c r="K1757" s="101">
        <f t="shared" si="402"/>
        <v>37.815292949354514</v>
      </c>
      <c r="L1757" s="101">
        <f t="shared" si="403"/>
        <v>1.0291891891891891</v>
      </c>
      <c r="M1757" s="133">
        <f t="shared" si="404"/>
        <v>338.2</v>
      </c>
      <c r="N1757" s="133">
        <f t="shared" si="405"/>
        <v>4146.2</v>
      </c>
      <c r="O1757" s="134">
        <f t="shared" si="406"/>
        <v>41.173783515392252</v>
      </c>
      <c r="P1757" s="134">
        <f t="shared" si="407"/>
        <v>1.1205945945945945</v>
      </c>
      <c r="R1757" s="149">
        <f t="shared" si="408"/>
        <v>3.3990872590338839</v>
      </c>
    </row>
    <row r="1758" spans="1:19" ht="14.45" x14ac:dyDescent="0.3">
      <c r="A1758" s="82" t="s">
        <v>1</v>
      </c>
      <c r="B1758" s="82" t="s">
        <v>8</v>
      </c>
      <c r="C1758" s="82" t="s">
        <v>9</v>
      </c>
      <c r="D1758" s="82" t="s">
        <v>90</v>
      </c>
      <c r="E1758" s="87">
        <f t="shared" si="409"/>
        <v>41730</v>
      </c>
      <c r="F1758" s="83"/>
      <c r="G1758" s="92">
        <v>5824</v>
      </c>
      <c r="H1758" s="52">
        <v>1256</v>
      </c>
      <c r="I1758" s="52" t="s">
        <v>93</v>
      </c>
      <c r="J1758" s="157">
        <f t="shared" si="410"/>
        <v>0.38</v>
      </c>
      <c r="K1758" s="101">
        <f t="shared" si="402"/>
        <v>57.835153922542204</v>
      </c>
      <c r="L1758" s="101">
        <f t="shared" si="403"/>
        <v>1.574054054054054</v>
      </c>
      <c r="M1758" s="133">
        <f t="shared" si="404"/>
        <v>477.28000000000003</v>
      </c>
      <c r="N1758" s="133">
        <f t="shared" si="405"/>
        <v>6301.28</v>
      </c>
      <c r="O1758" s="134">
        <f t="shared" si="406"/>
        <v>62.574776564051632</v>
      </c>
      <c r="P1758" s="134">
        <f t="shared" si="407"/>
        <v>1.7030486486486487</v>
      </c>
      <c r="R1758" s="149">
        <f t="shared" si="408"/>
        <v>3.5039652034507318</v>
      </c>
    </row>
    <row r="1759" spans="1:19" ht="14.45" x14ac:dyDescent="0.3">
      <c r="A1759" s="82" t="s">
        <v>1</v>
      </c>
      <c r="B1759" s="82" t="s">
        <v>10</v>
      </c>
      <c r="C1759" s="82" t="s">
        <v>9</v>
      </c>
      <c r="D1759" s="82" t="s">
        <v>90</v>
      </c>
      <c r="E1759" s="87">
        <f t="shared" si="409"/>
        <v>41730</v>
      </c>
      <c r="F1759" s="83"/>
      <c r="G1759" s="92">
        <v>4076</v>
      </c>
      <c r="H1759" s="52">
        <v>975</v>
      </c>
      <c r="I1759" s="52" t="s">
        <v>92</v>
      </c>
      <c r="J1759" s="157">
        <f t="shared" si="410"/>
        <v>0.38</v>
      </c>
      <c r="K1759" s="101">
        <f t="shared" si="402"/>
        <v>40.476663356504467</v>
      </c>
      <c r="L1759" s="101">
        <f t="shared" si="403"/>
        <v>1.1016216216216217</v>
      </c>
      <c r="M1759" s="133">
        <f t="shared" si="404"/>
        <v>370.5</v>
      </c>
      <c r="N1759" s="133">
        <f t="shared" si="405"/>
        <v>4446.5</v>
      </c>
      <c r="O1759" s="134">
        <f t="shared" si="406"/>
        <v>44.155908639523332</v>
      </c>
      <c r="P1759" s="134">
        <f t="shared" si="407"/>
        <v>1.2017567567567569</v>
      </c>
      <c r="R1759" s="149">
        <f t="shared" si="408"/>
        <v>3.1251811909317473</v>
      </c>
    </row>
    <row r="1760" spans="1:19" ht="14.45" x14ac:dyDescent="0.3">
      <c r="A1760" s="82" t="s">
        <v>1</v>
      </c>
      <c r="B1760" s="82" t="s">
        <v>11</v>
      </c>
      <c r="C1760" s="82" t="s">
        <v>6</v>
      </c>
      <c r="D1760" s="82" t="s">
        <v>90</v>
      </c>
      <c r="E1760" s="87">
        <f t="shared" si="409"/>
        <v>41730</v>
      </c>
      <c r="F1760" s="83"/>
      <c r="G1760" s="92">
        <v>4275</v>
      </c>
      <c r="H1760" s="52">
        <v>1357</v>
      </c>
      <c r="I1760" s="52" t="s">
        <v>92</v>
      </c>
      <c r="J1760" s="157">
        <f t="shared" si="410"/>
        <v>0.38</v>
      </c>
      <c r="K1760" s="101">
        <f t="shared" si="402"/>
        <v>42.452830188679243</v>
      </c>
      <c r="L1760" s="101">
        <f t="shared" si="403"/>
        <v>1.1554054054054055</v>
      </c>
      <c r="M1760" s="133">
        <f t="shared" si="404"/>
        <v>515.66</v>
      </c>
      <c r="N1760" s="133">
        <f t="shared" si="405"/>
        <v>4790.66</v>
      </c>
      <c r="O1760" s="134">
        <f t="shared" si="406"/>
        <v>47.573584905660375</v>
      </c>
      <c r="P1760" s="134">
        <f t="shared" si="407"/>
        <v>1.2947729729729729</v>
      </c>
      <c r="R1760" s="149">
        <f t="shared" si="408"/>
        <v>2.6195438664887272</v>
      </c>
    </row>
    <row r="1761" spans="1:18" ht="14.45" x14ac:dyDescent="0.3">
      <c r="A1761" s="82" t="s">
        <v>134</v>
      </c>
      <c r="B1761" s="82" t="s">
        <v>13</v>
      </c>
      <c r="C1761" s="82" t="s">
        <v>7</v>
      </c>
      <c r="D1761" s="82" t="s">
        <v>90</v>
      </c>
      <c r="E1761" s="87">
        <f t="shared" si="409"/>
        <v>41730</v>
      </c>
      <c r="F1761" s="83"/>
      <c r="G1761" s="92">
        <v>3192</v>
      </c>
      <c r="H1761" s="52">
        <v>1006</v>
      </c>
      <c r="I1761" s="52" t="s">
        <v>92</v>
      </c>
      <c r="J1761" s="157">
        <f t="shared" si="410"/>
        <v>0.38</v>
      </c>
      <c r="K1761" s="101">
        <f t="shared" si="402"/>
        <v>31.69811320754717</v>
      </c>
      <c r="L1761" s="101">
        <f t="shared" si="403"/>
        <v>0.80518918918918925</v>
      </c>
      <c r="M1761" s="133">
        <f t="shared" si="404"/>
        <v>382.28000000000003</v>
      </c>
      <c r="N1761" s="133">
        <f t="shared" si="405"/>
        <v>3574.28</v>
      </c>
      <c r="O1761" s="134">
        <f t="shared" si="406"/>
        <v>35.494339622641512</v>
      </c>
      <c r="P1761" s="134">
        <f t="shared" si="407"/>
        <v>0.9016201801801802</v>
      </c>
      <c r="R1761" s="149">
        <f t="shared" si="408"/>
        <v>1.4711309709691589</v>
      </c>
    </row>
    <row r="1762" spans="1:18" ht="14.45" x14ac:dyDescent="0.3">
      <c r="A1762" s="82" t="s">
        <v>134</v>
      </c>
      <c r="B1762" s="82" t="s">
        <v>14</v>
      </c>
      <c r="C1762" s="82" t="s">
        <v>15</v>
      </c>
      <c r="D1762" s="82" t="s">
        <v>90</v>
      </c>
      <c r="E1762" s="87">
        <f t="shared" si="409"/>
        <v>41730</v>
      </c>
      <c r="F1762" s="83"/>
      <c r="G1762" s="92">
        <v>4686</v>
      </c>
      <c r="H1762" s="52">
        <v>866</v>
      </c>
      <c r="I1762" s="52" t="s">
        <v>94</v>
      </c>
      <c r="J1762" s="157">
        <f t="shared" si="410"/>
        <v>0.5</v>
      </c>
      <c r="K1762" s="101">
        <f t="shared" si="402"/>
        <v>46.53426017874876</v>
      </c>
      <c r="L1762" s="101">
        <f t="shared" si="403"/>
        <v>1.1820540540540541</v>
      </c>
      <c r="M1762" s="133">
        <f t="shared" si="404"/>
        <v>433</v>
      </c>
      <c r="N1762" s="133">
        <f t="shared" si="405"/>
        <v>5119</v>
      </c>
      <c r="O1762" s="134">
        <f t="shared" si="406"/>
        <v>50.834160873882816</v>
      </c>
      <c r="P1762" s="134">
        <f t="shared" si="407"/>
        <v>1.2912792792792793</v>
      </c>
      <c r="R1762" s="149">
        <f t="shared" si="408"/>
        <v>3.0606122835203697</v>
      </c>
    </row>
    <row r="1763" spans="1:18" ht="14.45" x14ac:dyDescent="0.3">
      <c r="A1763" s="82" t="s">
        <v>134</v>
      </c>
      <c r="B1763" s="82" t="s">
        <v>16</v>
      </c>
      <c r="C1763" s="82" t="s">
        <v>17</v>
      </c>
      <c r="D1763" s="82" t="s">
        <v>90</v>
      </c>
      <c r="E1763" s="87">
        <f t="shared" si="409"/>
        <v>41730</v>
      </c>
      <c r="F1763" s="83"/>
      <c r="G1763" s="92">
        <v>2078</v>
      </c>
      <c r="H1763" s="52">
        <v>213</v>
      </c>
      <c r="I1763" s="52" t="s">
        <v>92</v>
      </c>
      <c r="J1763" s="157">
        <f t="shared" si="410"/>
        <v>0.38</v>
      </c>
      <c r="K1763" s="101">
        <f t="shared" si="402"/>
        <v>20.635551142005959</v>
      </c>
      <c r="L1763" s="101">
        <f t="shared" si="403"/>
        <v>0.5241801801801802</v>
      </c>
      <c r="M1763" s="133">
        <f t="shared" si="404"/>
        <v>80.94</v>
      </c>
      <c r="N1763" s="133">
        <f t="shared" si="405"/>
        <v>2158.94</v>
      </c>
      <c r="O1763" s="134">
        <f t="shared" si="406"/>
        <v>21.439324726911618</v>
      </c>
      <c r="P1763" s="134">
        <f t="shared" si="407"/>
        <v>0.54459747747747755</v>
      </c>
      <c r="R1763" s="149">
        <f t="shared" si="408"/>
        <v>3.1342406596188921</v>
      </c>
    </row>
    <row r="1764" spans="1:18" ht="14.45" x14ac:dyDescent="0.3">
      <c r="A1764" s="82" t="s">
        <v>134</v>
      </c>
      <c r="B1764" s="82" t="s">
        <v>18</v>
      </c>
      <c r="C1764" s="82" t="s">
        <v>19</v>
      </c>
      <c r="D1764" s="82" t="s">
        <v>90</v>
      </c>
      <c r="E1764" s="87">
        <f t="shared" si="409"/>
        <v>41730</v>
      </c>
      <c r="F1764" s="83"/>
      <c r="G1764" s="92">
        <v>4061</v>
      </c>
      <c r="H1764" s="52">
        <v>650</v>
      </c>
      <c r="I1764" s="52" t="s">
        <v>94</v>
      </c>
      <c r="J1764" s="157">
        <f t="shared" si="410"/>
        <v>0.5</v>
      </c>
      <c r="K1764" s="101">
        <f t="shared" si="402"/>
        <v>40.327706057596821</v>
      </c>
      <c r="L1764" s="101">
        <f t="shared" si="403"/>
        <v>1.0243963963963965</v>
      </c>
      <c r="M1764" s="133">
        <f t="shared" si="404"/>
        <v>325</v>
      </c>
      <c r="N1764" s="133">
        <f t="shared" si="405"/>
        <v>4386</v>
      </c>
      <c r="O1764" s="134">
        <f t="shared" si="406"/>
        <v>43.555114200595831</v>
      </c>
      <c r="P1764" s="134">
        <f t="shared" si="407"/>
        <v>1.1063783783783785</v>
      </c>
      <c r="R1764" s="149">
        <f t="shared" si="408"/>
        <v>2.8491030601477396</v>
      </c>
    </row>
    <row r="1765" spans="1:18" ht="14.45" x14ac:dyDescent="0.3">
      <c r="A1765" s="82" t="s">
        <v>134</v>
      </c>
      <c r="B1765" s="82" t="s">
        <v>18</v>
      </c>
      <c r="C1765" s="82" t="s">
        <v>20</v>
      </c>
      <c r="D1765" s="82" t="s">
        <v>90</v>
      </c>
      <c r="E1765" s="87">
        <f t="shared" si="409"/>
        <v>41730</v>
      </c>
      <c r="F1765" s="83"/>
      <c r="G1765" s="92">
        <v>3469</v>
      </c>
      <c r="H1765" s="52">
        <v>417</v>
      </c>
      <c r="I1765" s="52" t="s">
        <v>94</v>
      </c>
      <c r="J1765" s="157">
        <f t="shared" si="410"/>
        <v>0.5</v>
      </c>
      <c r="K1765" s="101">
        <f t="shared" si="402"/>
        <v>34.44885799404171</v>
      </c>
      <c r="L1765" s="101">
        <f t="shared" si="403"/>
        <v>0.87506306306306303</v>
      </c>
      <c r="M1765" s="133">
        <f t="shared" si="404"/>
        <v>208.5</v>
      </c>
      <c r="N1765" s="133">
        <f t="shared" si="405"/>
        <v>3677.5</v>
      </c>
      <c r="O1765" s="134">
        <f t="shared" si="406"/>
        <v>36.519364448857992</v>
      </c>
      <c r="P1765" s="134">
        <f t="shared" si="407"/>
        <v>0.92765765765765762</v>
      </c>
      <c r="R1765" s="149">
        <f t="shared" si="408"/>
        <v>2.8668451277059193</v>
      </c>
    </row>
    <row r="1766" spans="1:18" ht="14.45" x14ac:dyDescent="0.3">
      <c r="A1766" s="82" t="s">
        <v>134</v>
      </c>
      <c r="B1766" s="82" t="s">
        <v>16</v>
      </c>
      <c r="C1766" s="82" t="s">
        <v>21</v>
      </c>
      <c r="D1766" s="82" t="s">
        <v>90</v>
      </c>
      <c r="E1766" s="87">
        <f t="shared" si="409"/>
        <v>41730</v>
      </c>
      <c r="F1766" s="83"/>
      <c r="G1766" s="92">
        <v>3218</v>
      </c>
      <c r="H1766" s="52">
        <v>626</v>
      </c>
      <c r="I1766" s="52" t="s">
        <v>92</v>
      </c>
      <c r="J1766" s="157">
        <f t="shared" si="410"/>
        <v>0.38</v>
      </c>
      <c r="K1766" s="101">
        <f t="shared" si="402"/>
        <v>31.95630585898709</v>
      </c>
      <c r="L1766" s="101">
        <f t="shared" si="403"/>
        <v>0.81174774774774772</v>
      </c>
      <c r="M1766" s="133">
        <f t="shared" si="404"/>
        <v>237.88</v>
      </c>
      <c r="N1766" s="133">
        <f t="shared" si="405"/>
        <v>3455.88</v>
      </c>
      <c r="O1766" s="134">
        <f t="shared" si="406"/>
        <v>34.31857000993049</v>
      </c>
      <c r="P1766" s="134">
        <f t="shared" si="407"/>
        <v>0.8717535135135136</v>
      </c>
      <c r="R1766" s="149">
        <f t="shared" si="408"/>
        <v>1.3258430919528941</v>
      </c>
    </row>
    <row r="1767" spans="1:18" ht="14.45" x14ac:dyDescent="0.3">
      <c r="A1767" s="82" t="s">
        <v>134</v>
      </c>
      <c r="B1767" s="82" t="s">
        <v>16</v>
      </c>
      <c r="C1767" s="82" t="s">
        <v>6</v>
      </c>
      <c r="D1767" s="82" t="s">
        <v>90</v>
      </c>
      <c r="E1767" s="87">
        <f t="shared" si="409"/>
        <v>41730</v>
      </c>
      <c r="F1767" s="83"/>
      <c r="G1767" s="92">
        <v>5215</v>
      </c>
      <c r="H1767" s="52">
        <v>1823</v>
      </c>
      <c r="I1767" s="52" t="s">
        <v>92</v>
      </c>
      <c r="J1767" s="157">
        <f t="shared" si="410"/>
        <v>0.38</v>
      </c>
      <c r="K1767" s="101">
        <f t="shared" si="402"/>
        <v>51.787487586891757</v>
      </c>
      <c r="L1767" s="101">
        <f t="shared" si="403"/>
        <v>1.3154954954954956</v>
      </c>
      <c r="M1767" s="133">
        <f t="shared" si="404"/>
        <v>692.74</v>
      </c>
      <c r="N1767" s="133">
        <f t="shared" si="405"/>
        <v>5907.74</v>
      </c>
      <c r="O1767" s="134">
        <f t="shared" si="406"/>
        <v>58.666732869910625</v>
      </c>
      <c r="P1767" s="134">
        <f t="shared" si="407"/>
        <v>1.4902407207207207</v>
      </c>
      <c r="R1767" s="149">
        <f t="shared" si="408"/>
        <v>1.6397616831514528</v>
      </c>
    </row>
    <row r="1768" spans="1:18" ht="14.45" x14ac:dyDescent="0.3">
      <c r="A1768" s="82" t="s">
        <v>22</v>
      </c>
      <c r="B1768" s="82" t="s">
        <v>23</v>
      </c>
      <c r="C1768" s="82" t="s">
        <v>7</v>
      </c>
      <c r="D1768" s="82" t="s">
        <v>90</v>
      </c>
      <c r="E1768" s="87">
        <f t="shared" si="409"/>
        <v>41730</v>
      </c>
      <c r="F1768" s="83"/>
      <c r="G1768" s="92">
        <v>3424</v>
      </c>
      <c r="H1768" s="52">
        <v>1295</v>
      </c>
      <c r="I1768" s="52" t="s">
        <v>95</v>
      </c>
      <c r="J1768" s="157">
        <f t="shared" si="410"/>
        <v>0.32779999999999998</v>
      </c>
      <c r="K1768" s="101">
        <f t="shared" si="402"/>
        <v>34.00198609731877</v>
      </c>
      <c r="L1768" s="101">
        <f t="shared" si="403"/>
        <v>0.92540540540540539</v>
      </c>
      <c r="M1768" s="133">
        <f t="shared" si="404"/>
        <v>424.50099999999998</v>
      </c>
      <c r="N1768" s="133">
        <f t="shared" si="405"/>
        <v>3848.5010000000002</v>
      </c>
      <c r="O1768" s="134">
        <f t="shared" si="406"/>
        <v>38.217487586891757</v>
      </c>
      <c r="P1768" s="134">
        <f t="shared" si="407"/>
        <v>1.0401354054054055</v>
      </c>
      <c r="R1768" s="149">
        <f t="shared" si="408"/>
        <v>-2.0310384732679765</v>
      </c>
    </row>
    <row r="1769" spans="1:18" ht="14.45" x14ac:dyDescent="0.3">
      <c r="A1769" s="82" t="s">
        <v>22</v>
      </c>
      <c r="B1769" s="82" t="s">
        <v>14</v>
      </c>
      <c r="C1769" s="82" t="s">
        <v>24</v>
      </c>
      <c r="D1769" s="82" t="s">
        <v>90</v>
      </c>
      <c r="E1769" s="87">
        <f t="shared" si="409"/>
        <v>41730</v>
      </c>
      <c r="F1769" s="83"/>
      <c r="G1769" s="92">
        <v>3687</v>
      </c>
      <c r="H1769" s="52">
        <v>615</v>
      </c>
      <c r="I1769" s="52" t="s">
        <v>94</v>
      </c>
      <c r="J1769" s="157">
        <f t="shared" si="410"/>
        <v>0.5</v>
      </c>
      <c r="K1769" s="101">
        <f t="shared" si="402"/>
        <v>36.613704071499505</v>
      </c>
      <c r="L1769" s="101">
        <f t="shared" si="403"/>
        <v>0.99648648648648652</v>
      </c>
      <c r="M1769" s="133">
        <f t="shared" si="404"/>
        <v>307.5</v>
      </c>
      <c r="N1769" s="133">
        <f t="shared" si="405"/>
        <v>3994.5</v>
      </c>
      <c r="O1769" s="134">
        <f t="shared" si="406"/>
        <v>39.667328699106257</v>
      </c>
      <c r="P1769" s="134">
        <f t="shared" si="407"/>
        <v>1.0795945945945946</v>
      </c>
      <c r="R1769" s="149">
        <f t="shared" si="408"/>
        <v>2.3981337879234621</v>
      </c>
    </row>
    <row r="1770" spans="1:18" ht="14.45" x14ac:dyDescent="0.3">
      <c r="A1770" s="82" t="s">
        <v>22</v>
      </c>
      <c r="B1770" s="82" t="s">
        <v>18</v>
      </c>
      <c r="C1770" s="82" t="s">
        <v>15</v>
      </c>
      <c r="D1770" s="82" t="s">
        <v>90</v>
      </c>
      <c r="E1770" s="87">
        <f t="shared" si="409"/>
        <v>41730</v>
      </c>
      <c r="F1770" s="83"/>
      <c r="G1770" s="92">
        <v>4756</v>
      </c>
      <c r="H1770" s="52">
        <v>872</v>
      </c>
      <c r="I1770" s="52" t="s">
        <v>94</v>
      </c>
      <c r="J1770" s="157">
        <f t="shared" si="410"/>
        <v>0.5</v>
      </c>
      <c r="K1770" s="101">
        <f t="shared" si="402"/>
        <v>47.229394240317774</v>
      </c>
      <c r="L1770" s="101">
        <f t="shared" si="403"/>
        <v>1.2854054054054054</v>
      </c>
      <c r="M1770" s="133">
        <f t="shared" si="404"/>
        <v>436</v>
      </c>
      <c r="N1770" s="133">
        <f t="shared" si="405"/>
        <v>5192</v>
      </c>
      <c r="O1770" s="134">
        <f t="shared" si="406"/>
        <v>51.559086395233365</v>
      </c>
      <c r="P1770" s="134">
        <f t="shared" si="407"/>
        <v>1.4032432432432433</v>
      </c>
      <c r="R1770" s="149">
        <f t="shared" si="408"/>
        <v>3.0126027745150941</v>
      </c>
    </row>
    <row r="1771" spans="1:18" ht="14.45" x14ac:dyDescent="0.3">
      <c r="A1771" s="82" t="s">
        <v>22</v>
      </c>
      <c r="B1771" s="82" t="s">
        <v>18</v>
      </c>
      <c r="C1771" s="82" t="s">
        <v>24</v>
      </c>
      <c r="D1771" s="82" t="s">
        <v>90</v>
      </c>
      <c r="E1771" s="87">
        <f t="shared" si="409"/>
        <v>41730</v>
      </c>
      <c r="F1771" s="83"/>
      <c r="G1771" s="92">
        <v>3379</v>
      </c>
      <c r="H1771" s="52">
        <v>417</v>
      </c>
      <c r="I1771" s="52" t="s">
        <v>94</v>
      </c>
      <c r="J1771" s="157">
        <f t="shared" si="410"/>
        <v>0.5</v>
      </c>
      <c r="K1771" s="101">
        <f t="shared" si="402"/>
        <v>33.555114200595831</v>
      </c>
      <c r="L1771" s="101">
        <f t="shared" si="403"/>
        <v>0.91324324324324324</v>
      </c>
      <c r="M1771" s="133">
        <f t="shared" si="404"/>
        <v>208.5</v>
      </c>
      <c r="N1771" s="133">
        <f t="shared" si="405"/>
        <v>3587.5</v>
      </c>
      <c r="O1771" s="134">
        <f t="shared" si="406"/>
        <v>35.625620655412114</v>
      </c>
      <c r="P1771" s="134">
        <f t="shared" si="407"/>
        <v>0.96959459459459463</v>
      </c>
      <c r="R1771" s="149">
        <f t="shared" si="408"/>
        <v>2.8523427398430501</v>
      </c>
    </row>
    <row r="1772" spans="1:18" ht="14.45" x14ac:dyDescent="0.3">
      <c r="A1772" s="82" t="s">
        <v>22</v>
      </c>
      <c r="B1772" s="82" t="s">
        <v>13</v>
      </c>
      <c r="C1772" s="82" t="s">
        <v>7</v>
      </c>
      <c r="D1772" s="82" t="s">
        <v>90</v>
      </c>
      <c r="E1772" s="87">
        <f t="shared" si="409"/>
        <v>41730</v>
      </c>
      <c r="F1772" s="83"/>
      <c r="G1772" s="92">
        <v>3748</v>
      </c>
      <c r="H1772" s="52">
        <v>1006</v>
      </c>
      <c r="I1772" s="52" t="s">
        <v>92</v>
      </c>
      <c r="J1772" s="157">
        <f t="shared" si="410"/>
        <v>0.38</v>
      </c>
      <c r="K1772" s="101">
        <f t="shared" si="402"/>
        <v>37.219463753723929</v>
      </c>
      <c r="L1772" s="101">
        <f t="shared" si="403"/>
        <v>1.0129729729729731</v>
      </c>
      <c r="M1772" s="133">
        <f t="shared" si="404"/>
        <v>382.28000000000003</v>
      </c>
      <c r="N1772" s="133">
        <f t="shared" si="405"/>
        <v>4130.28</v>
      </c>
      <c r="O1772" s="134">
        <f t="shared" si="406"/>
        <v>41.015690168818267</v>
      </c>
      <c r="P1772" s="134">
        <f t="shared" si="407"/>
        <v>1.1162918918918918</v>
      </c>
      <c r="R1772" s="149">
        <f t="shared" si="408"/>
        <v>2.9620138303759758</v>
      </c>
    </row>
    <row r="1773" spans="1:18" ht="14.45" x14ac:dyDescent="0.3">
      <c r="A1773" s="82" t="s">
        <v>1</v>
      </c>
      <c r="B1773" s="82" t="s">
        <v>25</v>
      </c>
      <c r="C1773" s="82" t="s">
        <v>26</v>
      </c>
      <c r="D1773" s="82" t="s">
        <v>91</v>
      </c>
      <c r="E1773" s="87">
        <f t="shared" si="409"/>
        <v>41730</v>
      </c>
      <c r="F1773" s="83"/>
      <c r="G1773" s="92">
        <v>3678</v>
      </c>
      <c r="H1773" s="52">
        <v>880</v>
      </c>
      <c r="I1773" s="52" t="s">
        <v>93</v>
      </c>
      <c r="J1773" s="157">
        <f t="shared" si="410"/>
        <v>0.38</v>
      </c>
      <c r="K1773" s="101">
        <f t="shared" si="402"/>
        <v>36.524329692154915</v>
      </c>
      <c r="L1773" s="101">
        <f t="shared" si="403"/>
        <v>0.994054054054054</v>
      </c>
      <c r="M1773" s="133">
        <f t="shared" si="404"/>
        <v>334.4</v>
      </c>
      <c r="N1773" s="133">
        <f t="shared" si="405"/>
        <v>4012.4</v>
      </c>
      <c r="O1773" s="134">
        <f t="shared" si="406"/>
        <v>39.845084409136049</v>
      </c>
      <c r="P1773" s="134">
        <f t="shared" si="407"/>
        <v>1.0844324324324324</v>
      </c>
      <c r="R1773" s="149">
        <f t="shared" si="408"/>
        <v>1.8168899715793829</v>
      </c>
    </row>
    <row r="1774" spans="1:18" ht="14.45" x14ac:dyDescent="0.3">
      <c r="A1774" s="82" t="s">
        <v>1</v>
      </c>
      <c r="B1774" s="82" t="s">
        <v>2</v>
      </c>
      <c r="C1774" s="82" t="s">
        <v>9</v>
      </c>
      <c r="D1774" s="82" t="s">
        <v>91</v>
      </c>
      <c r="E1774" s="87">
        <f t="shared" si="409"/>
        <v>41730</v>
      </c>
      <c r="F1774" s="83"/>
      <c r="G1774" s="92">
        <v>3798</v>
      </c>
      <c r="H1774" s="52">
        <v>685</v>
      </c>
      <c r="I1774" s="52" t="s">
        <v>93</v>
      </c>
      <c r="J1774" s="157">
        <f t="shared" si="410"/>
        <v>0.38</v>
      </c>
      <c r="K1774" s="101">
        <f t="shared" si="402"/>
        <v>37.715988083416086</v>
      </c>
      <c r="L1774" s="101">
        <f t="shared" si="403"/>
        <v>1.0264864864864864</v>
      </c>
      <c r="M1774" s="133">
        <f t="shared" si="404"/>
        <v>260.3</v>
      </c>
      <c r="N1774" s="133">
        <f t="shared" si="405"/>
        <v>4058.3</v>
      </c>
      <c r="O1774" s="134">
        <f t="shared" si="406"/>
        <v>40.300893743793445</v>
      </c>
      <c r="P1774" s="134">
        <f t="shared" si="407"/>
        <v>1.0968378378378378</v>
      </c>
      <c r="R1774" s="149">
        <f t="shared" si="408"/>
        <v>3.6642527810771819</v>
      </c>
    </row>
    <row r="1775" spans="1:18" ht="14.45" x14ac:dyDescent="0.3">
      <c r="A1775" s="82" t="s">
        <v>1</v>
      </c>
      <c r="B1775" s="82" t="s">
        <v>27</v>
      </c>
      <c r="C1775" s="82" t="s">
        <v>28</v>
      </c>
      <c r="D1775" s="82" t="s">
        <v>91</v>
      </c>
      <c r="E1775" s="87">
        <f t="shared" si="409"/>
        <v>41730</v>
      </c>
      <c r="F1775" s="83"/>
      <c r="G1775" s="92">
        <v>3950</v>
      </c>
      <c r="H1775" s="52">
        <v>812</v>
      </c>
      <c r="I1775" s="52" t="s">
        <v>94</v>
      </c>
      <c r="J1775" s="157">
        <f t="shared" si="410"/>
        <v>0.5</v>
      </c>
      <c r="K1775" s="101">
        <f t="shared" si="402"/>
        <v>39.22542204568024</v>
      </c>
      <c r="L1775" s="101">
        <f t="shared" si="403"/>
        <v>1.0675675675675675</v>
      </c>
      <c r="M1775" s="133">
        <f t="shared" si="404"/>
        <v>406</v>
      </c>
      <c r="N1775" s="133">
        <f t="shared" si="405"/>
        <v>4356</v>
      </c>
      <c r="O1775" s="134">
        <f t="shared" si="406"/>
        <v>43.257199602780538</v>
      </c>
      <c r="P1775" s="134">
        <f t="shared" si="407"/>
        <v>1.1772972972972973</v>
      </c>
      <c r="R1775" s="149">
        <f t="shared" si="408"/>
        <v>3.6807129120094428</v>
      </c>
    </row>
    <row r="1776" spans="1:18" ht="14.45" x14ac:dyDescent="0.3">
      <c r="A1776" s="82" t="s">
        <v>1</v>
      </c>
      <c r="B1776" s="82" t="s">
        <v>4</v>
      </c>
      <c r="C1776" s="82" t="s">
        <v>26</v>
      </c>
      <c r="D1776" s="82" t="s">
        <v>91</v>
      </c>
      <c r="E1776" s="87">
        <f t="shared" si="409"/>
        <v>41730</v>
      </c>
      <c r="F1776" s="83"/>
      <c r="G1776" s="92">
        <v>5159</v>
      </c>
      <c r="H1776" s="52">
        <v>1520</v>
      </c>
      <c r="I1776" s="52" t="s">
        <v>93</v>
      </c>
      <c r="J1776" s="157">
        <f t="shared" si="410"/>
        <v>0.38</v>
      </c>
      <c r="K1776" s="101">
        <f t="shared" si="402"/>
        <v>51.231380337636544</v>
      </c>
      <c r="L1776" s="101">
        <f t="shared" si="403"/>
        <v>1.3943243243243244</v>
      </c>
      <c r="M1776" s="133">
        <f t="shared" si="404"/>
        <v>577.6</v>
      </c>
      <c r="N1776" s="133">
        <f t="shared" si="405"/>
        <v>5736.6</v>
      </c>
      <c r="O1776" s="134">
        <f t="shared" si="406"/>
        <v>56.96722939424032</v>
      </c>
      <c r="P1776" s="134">
        <f t="shared" si="407"/>
        <v>1.5504324324324326</v>
      </c>
      <c r="R1776" s="149">
        <f t="shared" si="408"/>
        <v>0.92185355898808385</v>
      </c>
    </row>
    <row r="1777" spans="1:18" ht="14.45" x14ac:dyDescent="0.3">
      <c r="A1777" s="82" t="s">
        <v>1</v>
      </c>
      <c r="B1777" s="82" t="s">
        <v>4</v>
      </c>
      <c r="C1777" s="82" t="s">
        <v>9</v>
      </c>
      <c r="D1777" s="82" t="s">
        <v>91</v>
      </c>
      <c r="E1777" s="87">
        <f t="shared" si="409"/>
        <v>41730</v>
      </c>
      <c r="F1777" s="83"/>
      <c r="G1777" s="92">
        <v>6084</v>
      </c>
      <c r="H1777" s="52">
        <v>1583</v>
      </c>
      <c r="I1777" s="52" t="s">
        <v>93</v>
      </c>
      <c r="J1777" s="157">
        <f t="shared" si="410"/>
        <v>0.38</v>
      </c>
      <c r="K1777" s="101">
        <f t="shared" si="402"/>
        <v>60.417080436941411</v>
      </c>
      <c r="L1777" s="101">
        <f t="shared" si="403"/>
        <v>1.6443243243243244</v>
      </c>
      <c r="M1777" s="133">
        <f t="shared" si="404"/>
        <v>601.54</v>
      </c>
      <c r="N1777" s="133">
        <f t="shared" si="405"/>
        <v>6685.54</v>
      </c>
      <c r="O1777" s="134">
        <f t="shared" si="406"/>
        <v>66.390665342601778</v>
      </c>
      <c r="P1777" s="134">
        <f t="shared" si="407"/>
        <v>1.8069027027027027</v>
      </c>
      <c r="R1777" s="149">
        <f t="shared" si="408"/>
        <v>-0.67582524517050269</v>
      </c>
    </row>
    <row r="1778" spans="1:18" ht="14.45" x14ac:dyDescent="0.3">
      <c r="A1778" s="82" t="s">
        <v>1</v>
      </c>
      <c r="B1778" s="82" t="s">
        <v>10</v>
      </c>
      <c r="C1778" s="82" t="s">
        <v>26</v>
      </c>
      <c r="D1778" s="82" t="s">
        <v>91</v>
      </c>
      <c r="E1778" s="87">
        <f t="shared" si="409"/>
        <v>41730</v>
      </c>
      <c r="F1778" s="83"/>
      <c r="G1778" s="92">
        <v>5043</v>
      </c>
      <c r="H1778" s="52">
        <v>1599</v>
      </c>
      <c r="I1778" s="52" t="s">
        <v>92</v>
      </c>
      <c r="J1778" s="157">
        <f t="shared" si="410"/>
        <v>0.38</v>
      </c>
      <c r="K1778" s="101">
        <f t="shared" si="402"/>
        <v>50.079443892750746</v>
      </c>
      <c r="L1778" s="101">
        <f t="shared" si="403"/>
        <v>1.3629729729729729</v>
      </c>
      <c r="M1778" s="133">
        <f t="shared" si="404"/>
        <v>607.62</v>
      </c>
      <c r="N1778" s="133">
        <f t="shared" si="405"/>
        <v>5650.62</v>
      </c>
      <c r="O1778" s="134">
        <f t="shared" si="406"/>
        <v>56.113406156901682</v>
      </c>
      <c r="P1778" s="134">
        <f t="shared" si="407"/>
        <v>1.5271945945945946</v>
      </c>
      <c r="R1778" s="149">
        <f t="shared" si="408"/>
        <v>2.0780079449525646</v>
      </c>
    </row>
    <row r="1779" spans="1:18" ht="14.45" x14ac:dyDescent="0.3">
      <c r="A1779" s="82" t="s">
        <v>134</v>
      </c>
      <c r="B1779" s="82" t="s">
        <v>23</v>
      </c>
      <c r="C1779" s="82" t="s">
        <v>26</v>
      </c>
      <c r="D1779" s="82" t="s">
        <v>91</v>
      </c>
      <c r="E1779" s="87">
        <f t="shared" si="409"/>
        <v>41730</v>
      </c>
      <c r="F1779" s="83"/>
      <c r="G1779" s="92">
        <v>5000</v>
      </c>
      <c r="H1779" s="52">
        <v>1851</v>
      </c>
      <c r="I1779" s="52" t="s">
        <v>93</v>
      </c>
      <c r="J1779" s="157">
        <f t="shared" si="410"/>
        <v>0.38</v>
      </c>
      <c r="K1779" s="101">
        <f t="shared" si="402"/>
        <v>49.652432969215489</v>
      </c>
      <c r="L1779" s="101">
        <f t="shared" si="403"/>
        <v>1.2612612612612613</v>
      </c>
      <c r="M1779" s="133">
        <f t="shared" si="404"/>
        <v>703.38</v>
      </c>
      <c r="N1779" s="133">
        <f t="shared" si="405"/>
        <v>5703.38</v>
      </c>
      <c r="O1779" s="134">
        <f t="shared" si="406"/>
        <v>56.637338629592847</v>
      </c>
      <c r="P1779" s="134">
        <f t="shared" si="407"/>
        <v>1.4386904504504505</v>
      </c>
      <c r="R1779" s="149">
        <f t="shared" si="408"/>
        <v>2.5988907897411595</v>
      </c>
    </row>
    <row r="1780" spans="1:18" ht="14.45" x14ac:dyDescent="0.3">
      <c r="A1780" s="82" t="s">
        <v>134</v>
      </c>
      <c r="B1780" s="82" t="s">
        <v>8</v>
      </c>
      <c r="C1780" s="82" t="s">
        <v>29</v>
      </c>
      <c r="D1780" s="82" t="s">
        <v>91</v>
      </c>
      <c r="E1780" s="87">
        <f t="shared" si="409"/>
        <v>41730</v>
      </c>
      <c r="F1780" s="83"/>
      <c r="G1780" s="92">
        <v>4960</v>
      </c>
      <c r="H1780" s="52">
        <v>1695</v>
      </c>
      <c r="I1780" s="52" t="s">
        <v>93</v>
      </c>
      <c r="J1780" s="157">
        <f t="shared" si="410"/>
        <v>0.38</v>
      </c>
      <c r="K1780" s="101">
        <f t="shared" si="402"/>
        <v>49.255213505461768</v>
      </c>
      <c r="L1780" s="101">
        <f t="shared" si="403"/>
        <v>1.2511711711711713</v>
      </c>
      <c r="M1780" s="133">
        <f t="shared" si="404"/>
        <v>644.1</v>
      </c>
      <c r="N1780" s="133">
        <f t="shared" si="405"/>
        <v>5604.1</v>
      </c>
      <c r="O1780" s="134">
        <f t="shared" si="406"/>
        <v>55.651439920556108</v>
      </c>
      <c r="P1780" s="134">
        <f t="shared" si="407"/>
        <v>1.413646846846847</v>
      </c>
      <c r="R1780" s="149">
        <f t="shared" si="408"/>
        <v>2.7342138791373038</v>
      </c>
    </row>
    <row r="1781" spans="1:18" ht="14.45" x14ac:dyDescent="0.3">
      <c r="A1781" s="82" t="s">
        <v>134</v>
      </c>
      <c r="B1781" s="82" t="s">
        <v>13</v>
      </c>
      <c r="C1781" s="82" t="s">
        <v>7</v>
      </c>
      <c r="D1781" s="82" t="s">
        <v>91</v>
      </c>
      <c r="E1781" s="87">
        <f t="shared" si="409"/>
        <v>41730</v>
      </c>
      <c r="F1781" s="83"/>
      <c r="G1781" s="92">
        <v>3011</v>
      </c>
      <c r="H1781" s="52">
        <v>1006</v>
      </c>
      <c r="I1781" s="52" t="s">
        <v>92</v>
      </c>
      <c r="J1781" s="157">
        <f t="shared" si="410"/>
        <v>0.38</v>
      </c>
      <c r="K1781" s="101">
        <f t="shared" si="402"/>
        <v>29.900695134061568</v>
      </c>
      <c r="L1781" s="101">
        <f t="shared" si="403"/>
        <v>0.75953153153153152</v>
      </c>
      <c r="M1781" s="133">
        <f t="shared" si="404"/>
        <v>382.28000000000003</v>
      </c>
      <c r="N1781" s="133">
        <f t="shared" si="405"/>
        <v>3393.28</v>
      </c>
      <c r="O1781" s="134">
        <f t="shared" si="406"/>
        <v>33.69692154915591</v>
      </c>
      <c r="P1781" s="134">
        <f t="shared" si="407"/>
        <v>0.85596252252252258</v>
      </c>
      <c r="R1781" s="149">
        <f t="shared" si="408"/>
        <v>1.5508191030268348</v>
      </c>
    </row>
    <row r="1782" spans="1:18" ht="14.45" x14ac:dyDescent="0.3">
      <c r="A1782" s="82" t="s">
        <v>134</v>
      </c>
      <c r="B1782" s="82" t="s">
        <v>30</v>
      </c>
      <c r="C1782" s="82" t="s">
        <v>9</v>
      </c>
      <c r="D1782" s="82" t="s">
        <v>91</v>
      </c>
      <c r="E1782" s="87">
        <f t="shared" si="409"/>
        <v>41730</v>
      </c>
      <c r="F1782" s="83"/>
      <c r="G1782" s="92">
        <v>3510</v>
      </c>
      <c r="H1782" s="52">
        <v>988</v>
      </c>
      <c r="I1782" s="52" t="s">
        <v>93</v>
      </c>
      <c r="J1782" s="157">
        <f t="shared" si="410"/>
        <v>0.38</v>
      </c>
      <c r="K1782" s="101">
        <f t="shared" si="402"/>
        <v>34.856007944389276</v>
      </c>
      <c r="L1782" s="101">
        <f t="shared" si="403"/>
        <v>0.88540540540540547</v>
      </c>
      <c r="M1782" s="133">
        <f t="shared" si="404"/>
        <v>375.44</v>
      </c>
      <c r="N1782" s="133">
        <f t="shared" si="405"/>
        <v>3885.44</v>
      </c>
      <c r="O1782" s="134">
        <f t="shared" si="406"/>
        <v>38.584309831181727</v>
      </c>
      <c r="P1782" s="134">
        <f t="shared" si="407"/>
        <v>0.98011099099099097</v>
      </c>
      <c r="R1782" s="149">
        <f t="shared" si="408"/>
        <v>4.5856347642581063</v>
      </c>
    </row>
    <row r="1783" spans="1:18" ht="14.45" x14ac:dyDescent="0.3">
      <c r="A1783" s="82" t="s">
        <v>134</v>
      </c>
      <c r="B1783" s="82" t="s">
        <v>16</v>
      </c>
      <c r="C1783" s="82" t="s">
        <v>11</v>
      </c>
      <c r="D1783" s="82" t="s">
        <v>91</v>
      </c>
      <c r="E1783" s="87">
        <f t="shared" si="409"/>
        <v>41730</v>
      </c>
      <c r="F1783" s="83"/>
      <c r="G1783" s="92">
        <v>3590</v>
      </c>
      <c r="H1783" s="52">
        <v>787</v>
      </c>
      <c r="I1783" s="52" t="s">
        <v>92</v>
      </c>
      <c r="J1783" s="157">
        <f t="shared" si="410"/>
        <v>0.38</v>
      </c>
      <c r="K1783" s="101">
        <f t="shared" si="402"/>
        <v>35.650446871896719</v>
      </c>
      <c r="L1783" s="101">
        <f t="shared" si="403"/>
        <v>0.90558558558558555</v>
      </c>
      <c r="M1783" s="133">
        <f t="shared" si="404"/>
        <v>299.06</v>
      </c>
      <c r="N1783" s="133">
        <f t="shared" si="405"/>
        <v>3889.06</v>
      </c>
      <c r="O1783" s="134">
        <f t="shared" si="406"/>
        <v>38.620258192651441</v>
      </c>
      <c r="P1783" s="134">
        <f t="shared" si="407"/>
        <v>0.98102414414414418</v>
      </c>
      <c r="R1783" s="149">
        <f t="shared" si="408"/>
        <v>1.4712980767976447</v>
      </c>
    </row>
    <row r="1784" spans="1:18" ht="14.45" x14ac:dyDescent="0.3">
      <c r="A1784" s="82" t="s">
        <v>134</v>
      </c>
      <c r="B1784" s="82" t="s">
        <v>23</v>
      </c>
      <c r="C1784" s="82" t="s">
        <v>29</v>
      </c>
      <c r="D1784" s="82" t="s">
        <v>91</v>
      </c>
      <c r="E1784" s="87">
        <f t="shared" si="409"/>
        <v>41730</v>
      </c>
      <c r="F1784" s="83"/>
      <c r="G1784" s="92">
        <v>5000</v>
      </c>
      <c r="H1784" s="52">
        <v>1836</v>
      </c>
      <c r="I1784" s="52" t="s">
        <v>93</v>
      </c>
      <c r="J1784" s="157">
        <f t="shared" si="410"/>
        <v>0.38</v>
      </c>
      <c r="K1784" s="101">
        <f t="shared" si="402"/>
        <v>49.652432969215489</v>
      </c>
      <c r="L1784" s="101">
        <f t="shared" si="403"/>
        <v>1.2612612612612613</v>
      </c>
      <c r="M1784" s="133">
        <f t="shared" si="404"/>
        <v>697.68000000000006</v>
      </c>
      <c r="N1784" s="133">
        <f t="shared" si="405"/>
        <v>5697.68</v>
      </c>
      <c r="O1784" s="134">
        <f t="shared" si="406"/>
        <v>56.580734856007943</v>
      </c>
      <c r="P1784" s="134">
        <f t="shared" si="407"/>
        <v>1.4372526126126126</v>
      </c>
      <c r="R1784" s="149">
        <f t="shared" si="408"/>
        <v>2.6098732882386511</v>
      </c>
    </row>
    <row r="1785" spans="1:18" ht="14.45" x14ac:dyDescent="0.3">
      <c r="A1785" s="82" t="s">
        <v>134</v>
      </c>
      <c r="B1785" s="82" t="s">
        <v>31</v>
      </c>
      <c r="C1785" s="82" t="s">
        <v>32</v>
      </c>
      <c r="D1785" s="82" t="s">
        <v>91</v>
      </c>
      <c r="E1785" s="87">
        <f t="shared" si="409"/>
        <v>41730</v>
      </c>
      <c r="F1785" s="83"/>
      <c r="G1785" s="92">
        <v>4400</v>
      </c>
      <c r="H1785" s="52">
        <v>1899</v>
      </c>
      <c r="I1785" s="52" t="s">
        <v>93</v>
      </c>
      <c r="J1785" s="157">
        <f t="shared" si="410"/>
        <v>0.38</v>
      </c>
      <c r="K1785" s="101">
        <f t="shared" si="402"/>
        <v>43.694141012909633</v>
      </c>
      <c r="L1785" s="101">
        <f t="shared" si="403"/>
        <v>1.1099099099099099</v>
      </c>
      <c r="M1785" s="133">
        <f t="shared" si="404"/>
        <v>721.62</v>
      </c>
      <c r="N1785" s="133">
        <f t="shared" si="405"/>
        <v>5121.62</v>
      </c>
      <c r="O1785" s="134">
        <f t="shared" si="406"/>
        <v>50.860178748758685</v>
      </c>
      <c r="P1785" s="134">
        <f t="shared" si="407"/>
        <v>1.2919401801801802</v>
      </c>
      <c r="R1785" s="149">
        <f t="shared" si="408"/>
        <v>2.8729017653592592</v>
      </c>
    </row>
    <row r="1786" spans="1:18" ht="14.45" x14ac:dyDescent="0.3">
      <c r="A1786" s="82" t="s">
        <v>22</v>
      </c>
      <c r="B1786" s="82" t="s">
        <v>8</v>
      </c>
      <c r="C1786" s="82" t="s">
        <v>29</v>
      </c>
      <c r="D1786" s="82" t="s">
        <v>91</v>
      </c>
      <c r="E1786" s="87">
        <f t="shared" si="409"/>
        <v>41730</v>
      </c>
      <c r="F1786" s="83"/>
      <c r="G1786" s="92">
        <v>5520</v>
      </c>
      <c r="H1786" s="52">
        <v>1695</v>
      </c>
      <c r="I1786" s="52" t="s">
        <v>93</v>
      </c>
      <c r="J1786" s="157">
        <f t="shared" si="410"/>
        <v>0.38</v>
      </c>
      <c r="K1786" s="101">
        <f t="shared" si="402"/>
        <v>54.816285998013903</v>
      </c>
      <c r="L1786" s="101">
        <f t="shared" si="403"/>
        <v>1.491891891891892</v>
      </c>
      <c r="M1786" s="133">
        <f t="shared" si="404"/>
        <v>644.1</v>
      </c>
      <c r="N1786" s="133">
        <f t="shared" si="405"/>
        <v>6164.1</v>
      </c>
      <c r="O1786" s="134">
        <f t="shared" si="406"/>
        <v>61.212512413108243</v>
      </c>
      <c r="P1786" s="134">
        <f t="shared" si="407"/>
        <v>1.6659729729729731</v>
      </c>
      <c r="R1786" s="149">
        <f t="shared" si="408"/>
        <v>2.479654859973901</v>
      </c>
    </row>
    <row r="1787" spans="1:18" ht="14.45" x14ac:dyDescent="0.3">
      <c r="A1787" s="82" t="s">
        <v>22</v>
      </c>
      <c r="B1787" s="82" t="s">
        <v>23</v>
      </c>
      <c r="C1787" s="82" t="s">
        <v>26</v>
      </c>
      <c r="D1787" s="82" t="s">
        <v>91</v>
      </c>
      <c r="E1787" s="87">
        <f t="shared" si="409"/>
        <v>41730</v>
      </c>
      <c r="F1787" s="83"/>
      <c r="G1787" s="92">
        <v>5530</v>
      </c>
      <c r="H1787" s="52">
        <v>1851</v>
      </c>
      <c r="I1787" s="52" t="s">
        <v>93</v>
      </c>
      <c r="J1787" s="157">
        <f t="shared" si="410"/>
        <v>0.38</v>
      </c>
      <c r="K1787" s="101">
        <f t="shared" si="402"/>
        <v>54.915590863952332</v>
      </c>
      <c r="L1787" s="101">
        <f t="shared" si="403"/>
        <v>1.4945945945945946</v>
      </c>
      <c r="M1787" s="133">
        <f t="shared" si="404"/>
        <v>703.38</v>
      </c>
      <c r="N1787" s="133">
        <f t="shared" si="405"/>
        <v>6233.38</v>
      </c>
      <c r="O1787" s="134">
        <f t="shared" si="406"/>
        <v>61.900496524329689</v>
      </c>
      <c r="P1787" s="134">
        <f t="shared" si="407"/>
        <v>1.6846972972972973</v>
      </c>
      <c r="R1787" s="149">
        <f t="shared" si="408"/>
        <v>2.3726742553265012</v>
      </c>
    </row>
    <row r="1788" spans="1:18" ht="14.45" x14ac:dyDescent="0.3">
      <c r="A1788" s="82" t="s">
        <v>22</v>
      </c>
      <c r="B1788" s="82" t="s">
        <v>33</v>
      </c>
      <c r="C1788" s="82" t="s">
        <v>29</v>
      </c>
      <c r="D1788" s="82" t="s">
        <v>91</v>
      </c>
      <c r="E1788" s="87">
        <f t="shared" si="409"/>
        <v>41730</v>
      </c>
      <c r="F1788" s="83"/>
      <c r="G1788" s="92">
        <v>5430</v>
      </c>
      <c r="H1788" s="52">
        <v>1507</v>
      </c>
      <c r="I1788" s="52" t="s">
        <v>93</v>
      </c>
      <c r="J1788" s="157">
        <f t="shared" si="410"/>
        <v>0.38</v>
      </c>
      <c r="K1788" s="101">
        <f t="shared" si="402"/>
        <v>53.922542204568025</v>
      </c>
      <c r="L1788" s="101">
        <f t="shared" si="403"/>
        <v>1.4675675675675677</v>
      </c>
      <c r="M1788" s="133">
        <f t="shared" si="404"/>
        <v>572.66</v>
      </c>
      <c r="N1788" s="133">
        <f t="shared" si="405"/>
        <v>6002.66</v>
      </c>
      <c r="O1788" s="134">
        <f t="shared" si="406"/>
        <v>59.609334657398207</v>
      </c>
      <c r="P1788" s="134">
        <f t="shared" si="407"/>
        <v>1.6223405405405404</v>
      </c>
      <c r="R1788" s="149">
        <f t="shared" si="408"/>
        <v>2.6469466660510532</v>
      </c>
    </row>
    <row r="1789" spans="1:18" ht="14.45" x14ac:dyDescent="0.3">
      <c r="A1789" s="82" t="s">
        <v>22</v>
      </c>
      <c r="B1789" s="82" t="s">
        <v>31</v>
      </c>
      <c r="C1789" s="82" t="s">
        <v>7</v>
      </c>
      <c r="D1789" s="82" t="s">
        <v>91</v>
      </c>
      <c r="E1789" s="87">
        <f t="shared" si="409"/>
        <v>41730</v>
      </c>
      <c r="F1789" s="83"/>
      <c r="G1789" s="92">
        <v>4175</v>
      </c>
      <c r="H1789" s="52">
        <v>1160</v>
      </c>
      <c r="I1789" s="52" t="s">
        <v>92</v>
      </c>
      <c r="J1789" s="157">
        <f t="shared" si="410"/>
        <v>0.38</v>
      </c>
      <c r="K1789" s="101">
        <f t="shared" si="402"/>
        <v>41.459781529294936</v>
      </c>
      <c r="L1789" s="101">
        <f t="shared" si="403"/>
        <v>1.1283783783783783</v>
      </c>
      <c r="M1789" s="133">
        <f t="shared" si="404"/>
        <v>440.8</v>
      </c>
      <c r="N1789" s="133">
        <f t="shared" si="405"/>
        <v>4615.8</v>
      </c>
      <c r="O1789" s="134">
        <f t="shared" si="406"/>
        <v>45.837140019860975</v>
      </c>
      <c r="P1789" s="134">
        <f t="shared" si="407"/>
        <v>1.2475135135135136</v>
      </c>
      <c r="R1789" s="149">
        <f t="shared" si="408"/>
        <v>4.297722342733179</v>
      </c>
    </row>
    <row r="1790" spans="1:18" ht="14.45" x14ac:dyDescent="0.3">
      <c r="A1790" s="82" t="s">
        <v>22</v>
      </c>
      <c r="B1790" s="82" t="s">
        <v>14</v>
      </c>
      <c r="C1790" s="82" t="s">
        <v>24</v>
      </c>
      <c r="D1790" s="82" t="s">
        <v>91</v>
      </c>
      <c r="E1790" s="87">
        <f t="shared" si="409"/>
        <v>41730</v>
      </c>
      <c r="F1790" s="83"/>
      <c r="G1790" s="92">
        <v>2862</v>
      </c>
      <c r="H1790" s="52">
        <v>615</v>
      </c>
      <c r="I1790" s="52" t="s">
        <v>94</v>
      </c>
      <c r="J1790" s="157">
        <f t="shared" si="410"/>
        <v>0.5</v>
      </c>
      <c r="K1790" s="101">
        <f t="shared" si="402"/>
        <v>28.421052631578945</v>
      </c>
      <c r="L1790" s="101">
        <f t="shared" si="403"/>
        <v>0.7735135135135135</v>
      </c>
      <c r="M1790" s="133">
        <f t="shared" si="404"/>
        <v>307.5</v>
      </c>
      <c r="N1790" s="133">
        <f t="shared" si="405"/>
        <v>3169.5</v>
      </c>
      <c r="O1790" s="134">
        <f t="shared" si="406"/>
        <v>31.4746772591857</v>
      </c>
      <c r="P1790" s="134">
        <f t="shared" si="407"/>
        <v>0.85662162162162159</v>
      </c>
      <c r="R1790" s="149">
        <f t="shared" si="408"/>
        <v>3.0413368227702131</v>
      </c>
    </row>
    <row r="1791" spans="1:18" ht="14.45" x14ac:dyDescent="0.3">
      <c r="A1791" s="118" t="s">
        <v>22</v>
      </c>
      <c r="B1791" s="118" t="s">
        <v>34</v>
      </c>
      <c r="C1791" s="118" t="s">
        <v>26</v>
      </c>
      <c r="D1791" s="118" t="s">
        <v>91</v>
      </c>
      <c r="E1791" s="119">
        <f t="shared" si="409"/>
        <v>41730</v>
      </c>
      <c r="F1791" s="120"/>
      <c r="G1791" s="105">
        <v>5110</v>
      </c>
      <c r="H1791" s="158">
        <v>1637</v>
      </c>
      <c r="I1791" s="158" t="s">
        <v>92</v>
      </c>
      <c r="J1791" s="122">
        <f t="shared" si="410"/>
        <v>0.38</v>
      </c>
      <c r="K1791" s="123">
        <f t="shared" si="402"/>
        <v>50.744786494538232</v>
      </c>
      <c r="L1791" s="123">
        <f t="shared" si="403"/>
        <v>1.3810810810810812</v>
      </c>
      <c r="M1791" s="115">
        <f t="shared" si="404"/>
        <v>622.06000000000006</v>
      </c>
      <c r="N1791" s="115">
        <f t="shared" si="405"/>
        <v>5732.06</v>
      </c>
      <c r="O1791" s="116">
        <f t="shared" si="406"/>
        <v>56.922144985104275</v>
      </c>
      <c r="P1791" s="116">
        <f t="shared" si="407"/>
        <v>1.5492054054054054</v>
      </c>
      <c r="Q1791" s="106"/>
      <c r="R1791" s="152">
        <f t="shared" si="408"/>
        <v>-2.2861594532718854</v>
      </c>
    </row>
    <row r="1792" spans="1:18" ht="14.45" x14ac:dyDescent="0.3">
      <c r="A1792" s="82" t="s">
        <v>1</v>
      </c>
      <c r="B1792" s="82" t="s">
        <v>2</v>
      </c>
      <c r="C1792" s="82" t="s">
        <v>3</v>
      </c>
      <c r="D1792" s="82" t="s">
        <v>90</v>
      </c>
      <c r="E1792" s="87">
        <v>41760</v>
      </c>
      <c r="F1792" s="83"/>
      <c r="G1792" s="92">
        <v>3191</v>
      </c>
      <c r="H1792" s="52">
        <v>506</v>
      </c>
      <c r="I1792" s="52" t="s">
        <v>92</v>
      </c>
      <c r="J1792" s="157">
        <f>IF(I1792="BNSF",0.38,IF(I1792="CN",0.3278,IF(I1792="CSX",0.51,0.39)))</f>
        <v>0.39</v>
      </c>
      <c r="K1792" s="101">
        <f t="shared" ref="K1792:K1829" si="411">G1792/100.7</f>
        <v>31.688182720953325</v>
      </c>
      <c r="L1792" s="101">
        <f t="shared" ref="L1792:L1829" si="412">IF(A1792="corn",G1792/(111*2000/56),G1792/(111*2000/60))</f>
        <v>0.86243243243243239</v>
      </c>
      <c r="M1792" s="133">
        <f t="shared" ref="M1792:M1829" si="413">H1792*J1792</f>
        <v>197.34</v>
      </c>
      <c r="N1792" s="133">
        <f t="shared" ref="N1792:N1829" si="414">G1792+M1792</f>
        <v>3388.34</v>
      </c>
      <c r="O1792" s="134">
        <f t="shared" ref="O1792:O1829" si="415">N1792/100.7</f>
        <v>33.647864945382324</v>
      </c>
      <c r="P1792" s="134">
        <f t="shared" ref="P1792:P1829" si="416">IF(A1792="corn",N1792/(111*2000/56),N1792/(111*2000/60))</f>
        <v>0.91576756756756761</v>
      </c>
      <c r="R1792" s="149">
        <f t="shared" ref="R1792:R1829" si="417">((N1792/N1336)-1)*100</f>
        <v>1.2532871145111146</v>
      </c>
    </row>
    <row r="1793" spans="1:18" ht="14.45" x14ac:dyDescent="0.3">
      <c r="A1793" s="82" t="s">
        <v>1</v>
      </c>
      <c r="B1793" s="82" t="s">
        <v>4</v>
      </c>
      <c r="C1793" s="82" t="s">
        <v>5</v>
      </c>
      <c r="D1793" s="82" t="s">
        <v>90</v>
      </c>
      <c r="E1793" s="87">
        <f>E1792</f>
        <v>41760</v>
      </c>
      <c r="F1793" s="83"/>
      <c r="G1793" s="92">
        <v>3596</v>
      </c>
      <c r="H1793" s="52">
        <v>298</v>
      </c>
      <c r="I1793" s="52" t="s">
        <v>93</v>
      </c>
      <c r="J1793" s="157">
        <f t="shared" ref="J1793:J1829" si="418">IF(I1793="BNSF",0.38,IF(I1793="CN",0.3278,IF(I1793="CSX",0.51,0.39)))</f>
        <v>0.38</v>
      </c>
      <c r="K1793" s="101">
        <f t="shared" si="411"/>
        <v>35.710029791459782</v>
      </c>
      <c r="L1793" s="101">
        <f t="shared" si="412"/>
        <v>0.97189189189189185</v>
      </c>
      <c r="M1793" s="133">
        <f t="shared" si="413"/>
        <v>113.24</v>
      </c>
      <c r="N1793" s="133">
        <f t="shared" si="414"/>
        <v>3709.24</v>
      </c>
      <c r="O1793" s="134">
        <f t="shared" si="415"/>
        <v>36.834558093346573</v>
      </c>
      <c r="P1793" s="134">
        <f t="shared" si="416"/>
        <v>1.0024972972972972</v>
      </c>
      <c r="R1793" s="149">
        <f t="shared" si="417"/>
        <v>1.2844738135546985</v>
      </c>
    </row>
    <row r="1794" spans="1:18" ht="14.45" x14ac:dyDescent="0.3">
      <c r="A1794" s="82" t="s">
        <v>1</v>
      </c>
      <c r="B1794" s="82" t="s">
        <v>2</v>
      </c>
      <c r="C1794" s="82" t="s">
        <v>6</v>
      </c>
      <c r="D1794" s="82" t="s">
        <v>90</v>
      </c>
      <c r="E1794" s="87">
        <f t="shared" ref="E1794:E1829" si="419">E1793</f>
        <v>41760</v>
      </c>
      <c r="F1794" s="83"/>
      <c r="G1794" s="92">
        <v>6244</v>
      </c>
      <c r="H1794" s="52">
        <v>1530</v>
      </c>
      <c r="I1794" s="52" t="s">
        <v>93</v>
      </c>
      <c r="J1794" s="157">
        <f t="shared" si="418"/>
        <v>0.38</v>
      </c>
      <c r="K1794" s="101">
        <f t="shared" si="411"/>
        <v>62.005958291956304</v>
      </c>
      <c r="L1794" s="101">
        <f t="shared" si="412"/>
        <v>1.6875675675675677</v>
      </c>
      <c r="M1794" s="133">
        <f t="shared" si="413"/>
        <v>581.4</v>
      </c>
      <c r="N1794" s="133">
        <f t="shared" si="414"/>
        <v>6825.4</v>
      </c>
      <c r="O1794" s="134">
        <f t="shared" si="415"/>
        <v>67.779543197616675</v>
      </c>
      <c r="P1794" s="134">
        <f t="shared" si="416"/>
        <v>1.8447027027027025</v>
      </c>
      <c r="R1794" s="149">
        <f t="shared" si="417"/>
        <v>2.8231394998493364</v>
      </c>
    </row>
    <row r="1795" spans="1:18" ht="14.45" x14ac:dyDescent="0.3">
      <c r="A1795" s="82" t="s">
        <v>1</v>
      </c>
      <c r="B1795" s="82" t="s">
        <v>2</v>
      </c>
      <c r="C1795" s="82" t="s">
        <v>7</v>
      </c>
      <c r="D1795" s="82" t="s">
        <v>90</v>
      </c>
      <c r="E1795" s="87">
        <f t="shared" si="419"/>
        <v>41760</v>
      </c>
      <c r="F1795" s="83"/>
      <c r="G1795" s="92">
        <v>3808</v>
      </c>
      <c r="H1795" s="52">
        <v>890</v>
      </c>
      <c r="I1795" s="52" t="s">
        <v>92</v>
      </c>
      <c r="J1795" s="157">
        <f t="shared" si="418"/>
        <v>0.39</v>
      </c>
      <c r="K1795" s="101">
        <f t="shared" si="411"/>
        <v>37.815292949354514</v>
      </c>
      <c r="L1795" s="101">
        <f t="shared" si="412"/>
        <v>1.0291891891891891</v>
      </c>
      <c r="M1795" s="133">
        <f t="shared" si="413"/>
        <v>347.1</v>
      </c>
      <c r="N1795" s="133">
        <f t="shared" si="414"/>
        <v>4155.1000000000004</v>
      </c>
      <c r="O1795" s="134">
        <f t="shared" si="415"/>
        <v>41.262164846077461</v>
      </c>
      <c r="P1795" s="134">
        <f t="shared" si="416"/>
        <v>1.123</v>
      </c>
      <c r="R1795" s="149">
        <f t="shared" si="417"/>
        <v>3.851537115721082</v>
      </c>
    </row>
    <row r="1796" spans="1:18" ht="14.45" x14ac:dyDescent="0.3">
      <c r="A1796" s="82" t="s">
        <v>1</v>
      </c>
      <c r="B1796" s="82" t="s">
        <v>8</v>
      </c>
      <c r="C1796" s="82" t="s">
        <v>9</v>
      </c>
      <c r="D1796" s="82" t="s">
        <v>90</v>
      </c>
      <c r="E1796" s="87">
        <f t="shared" si="419"/>
        <v>41760</v>
      </c>
      <c r="F1796" s="83"/>
      <c r="G1796" s="92">
        <v>5824</v>
      </c>
      <c r="H1796" s="52">
        <v>1256</v>
      </c>
      <c r="I1796" s="52" t="s">
        <v>93</v>
      </c>
      <c r="J1796" s="157">
        <f t="shared" si="418"/>
        <v>0.38</v>
      </c>
      <c r="K1796" s="101">
        <f t="shared" si="411"/>
        <v>57.835153922542204</v>
      </c>
      <c r="L1796" s="101">
        <f t="shared" si="412"/>
        <v>1.574054054054054</v>
      </c>
      <c r="M1796" s="133">
        <f t="shared" si="413"/>
        <v>477.28000000000003</v>
      </c>
      <c r="N1796" s="133">
        <f t="shared" si="414"/>
        <v>6301.28</v>
      </c>
      <c r="O1796" s="134">
        <f t="shared" si="415"/>
        <v>62.574776564051632</v>
      </c>
      <c r="P1796" s="134">
        <f t="shared" si="416"/>
        <v>1.7030486486486487</v>
      </c>
      <c r="R1796" s="149">
        <f t="shared" si="417"/>
        <v>3.71794449748164</v>
      </c>
    </row>
    <row r="1797" spans="1:18" ht="14.45" x14ac:dyDescent="0.3">
      <c r="A1797" s="82" t="s">
        <v>1</v>
      </c>
      <c r="B1797" s="82" t="s">
        <v>10</v>
      </c>
      <c r="C1797" s="82" t="s">
        <v>9</v>
      </c>
      <c r="D1797" s="82" t="s">
        <v>90</v>
      </c>
      <c r="E1797" s="87">
        <f t="shared" si="419"/>
        <v>41760</v>
      </c>
      <c r="F1797" s="83"/>
      <c r="G1797" s="92">
        <v>4076</v>
      </c>
      <c r="H1797" s="52">
        <v>975</v>
      </c>
      <c r="I1797" s="52" t="s">
        <v>92</v>
      </c>
      <c r="J1797" s="157">
        <f t="shared" si="418"/>
        <v>0.39</v>
      </c>
      <c r="K1797" s="101">
        <f t="shared" si="411"/>
        <v>40.476663356504467</v>
      </c>
      <c r="L1797" s="101">
        <f t="shared" si="412"/>
        <v>1.1016216216216217</v>
      </c>
      <c r="M1797" s="133">
        <f t="shared" si="413"/>
        <v>380.25</v>
      </c>
      <c r="N1797" s="133">
        <f t="shared" si="414"/>
        <v>4456.25</v>
      </c>
      <c r="O1797" s="134">
        <f t="shared" si="415"/>
        <v>44.252730883813307</v>
      </c>
      <c r="P1797" s="134">
        <f t="shared" si="416"/>
        <v>1.2043918918918919</v>
      </c>
      <c r="R1797" s="149">
        <f t="shared" si="417"/>
        <v>3.5855416085541547</v>
      </c>
    </row>
    <row r="1798" spans="1:18" ht="14.45" x14ac:dyDescent="0.3">
      <c r="A1798" s="82" t="s">
        <v>1</v>
      </c>
      <c r="B1798" s="82" t="s">
        <v>11</v>
      </c>
      <c r="C1798" s="82" t="s">
        <v>6</v>
      </c>
      <c r="D1798" s="82" t="s">
        <v>90</v>
      </c>
      <c r="E1798" s="87">
        <f t="shared" si="419"/>
        <v>41760</v>
      </c>
      <c r="F1798" s="83"/>
      <c r="G1798" s="92">
        <v>4275</v>
      </c>
      <c r="H1798" s="52">
        <v>1357</v>
      </c>
      <c r="I1798" s="52" t="s">
        <v>92</v>
      </c>
      <c r="J1798" s="157">
        <f t="shared" si="418"/>
        <v>0.39</v>
      </c>
      <c r="K1798" s="101">
        <f t="shared" si="411"/>
        <v>42.452830188679243</v>
      </c>
      <c r="L1798" s="101">
        <f t="shared" si="412"/>
        <v>1.1554054054054055</v>
      </c>
      <c r="M1798" s="133">
        <f t="shared" si="413"/>
        <v>529.23</v>
      </c>
      <c r="N1798" s="133">
        <f t="shared" si="414"/>
        <v>4804.2299999999996</v>
      </c>
      <c r="O1798" s="134">
        <f t="shared" si="415"/>
        <v>47.70834160873882</v>
      </c>
      <c r="P1798" s="134">
        <f t="shared" si="416"/>
        <v>1.2984405405405404</v>
      </c>
      <c r="R1798" s="149">
        <f t="shared" si="417"/>
        <v>3.2102345965454804</v>
      </c>
    </row>
    <row r="1799" spans="1:18" ht="14.45" x14ac:dyDescent="0.3">
      <c r="A1799" s="82" t="s">
        <v>134</v>
      </c>
      <c r="B1799" s="82" t="s">
        <v>13</v>
      </c>
      <c r="C1799" s="82" t="s">
        <v>7</v>
      </c>
      <c r="D1799" s="82" t="s">
        <v>90</v>
      </c>
      <c r="E1799" s="87">
        <f t="shared" si="419"/>
        <v>41760</v>
      </c>
      <c r="F1799" s="83"/>
      <c r="G1799" s="92">
        <v>3192</v>
      </c>
      <c r="H1799" s="52">
        <v>1006</v>
      </c>
      <c r="I1799" s="52" t="s">
        <v>92</v>
      </c>
      <c r="J1799" s="157">
        <f t="shared" si="418"/>
        <v>0.39</v>
      </c>
      <c r="K1799" s="101">
        <f t="shared" si="411"/>
        <v>31.69811320754717</v>
      </c>
      <c r="L1799" s="101">
        <f t="shared" si="412"/>
        <v>0.80518918918918925</v>
      </c>
      <c r="M1799" s="133">
        <f t="shared" si="413"/>
        <v>392.34000000000003</v>
      </c>
      <c r="N1799" s="133">
        <f t="shared" si="414"/>
        <v>3584.34</v>
      </c>
      <c r="O1799" s="134">
        <f t="shared" si="415"/>
        <v>35.594240317775572</v>
      </c>
      <c r="P1799" s="134">
        <f t="shared" si="416"/>
        <v>0.90415783783783787</v>
      </c>
      <c r="R1799" s="149">
        <f t="shared" si="417"/>
        <v>2.0481721899555883</v>
      </c>
    </row>
    <row r="1800" spans="1:18" ht="14.45" x14ac:dyDescent="0.3">
      <c r="A1800" s="82" t="s">
        <v>134</v>
      </c>
      <c r="B1800" s="82" t="s">
        <v>14</v>
      </c>
      <c r="C1800" s="82" t="s">
        <v>15</v>
      </c>
      <c r="D1800" s="82" t="s">
        <v>90</v>
      </c>
      <c r="E1800" s="87">
        <f t="shared" si="419"/>
        <v>41760</v>
      </c>
      <c r="F1800" s="83"/>
      <c r="G1800" s="92">
        <v>4686</v>
      </c>
      <c r="H1800" s="52">
        <v>866</v>
      </c>
      <c r="I1800" s="52" t="s">
        <v>94</v>
      </c>
      <c r="J1800" s="157">
        <f t="shared" si="418"/>
        <v>0.51</v>
      </c>
      <c r="K1800" s="101">
        <f t="shared" si="411"/>
        <v>46.53426017874876</v>
      </c>
      <c r="L1800" s="101">
        <f t="shared" si="412"/>
        <v>1.1820540540540541</v>
      </c>
      <c r="M1800" s="133">
        <f t="shared" si="413"/>
        <v>441.66</v>
      </c>
      <c r="N1800" s="133">
        <f t="shared" si="414"/>
        <v>5127.66</v>
      </c>
      <c r="O1800" s="134">
        <f t="shared" si="415"/>
        <v>50.920158887785497</v>
      </c>
      <c r="P1800" s="134">
        <f t="shared" si="416"/>
        <v>1.2934637837837837</v>
      </c>
      <c r="R1800" s="149">
        <f t="shared" si="417"/>
        <v>3.4152696881201816</v>
      </c>
    </row>
    <row r="1801" spans="1:18" ht="14.45" x14ac:dyDescent="0.3">
      <c r="A1801" s="82" t="s">
        <v>134</v>
      </c>
      <c r="B1801" s="82" t="s">
        <v>16</v>
      </c>
      <c r="C1801" s="82" t="s">
        <v>17</v>
      </c>
      <c r="D1801" s="82" t="s">
        <v>90</v>
      </c>
      <c r="E1801" s="87">
        <f t="shared" si="419"/>
        <v>41760</v>
      </c>
      <c r="F1801" s="83"/>
      <c r="G1801" s="92">
        <v>2078</v>
      </c>
      <c r="H1801" s="52">
        <v>213</v>
      </c>
      <c r="I1801" s="52" t="s">
        <v>92</v>
      </c>
      <c r="J1801" s="157">
        <f t="shared" si="418"/>
        <v>0.39</v>
      </c>
      <c r="K1801" s="101">
        <f t="shared" si="411"/>
        <v>20.635551142005959</v>
      </c>
      <c r="L1801" s="101">
        <f t="shared" si="412"/>
        <v>0.5241801801801802</v>
      </c>
      <c r="M1801" s="133">
        <f t="shared" si="413"/>
        <v>83.070000000000007</v>
      </c>
      <c r="N1801" s="133">
        <f t="shared" si="414"/>
        <v>2161.0700000000002</v>
      </c>
      <c r="O1801" s="134">
        <f t="shared" si="415"/>
        <v>21.460476663356506</v>
      </c>
      <c r="P1801" s="134">
        <f t="shared" si="416"/>
        <v>0.54513477477477479</v>
      </c>
      <c r="R1801" s="149">
        <f t="shared" si="417"/>
        <v>3.3411438408569305</v>
      </c>
    </row>
    <row r="1802" spans="1:18" ht="14.45" x14ac:dyDescent="0.3">
      <c r="A1802" s="82" t="s">
        <v>134</v>
      </c>
      <c r="B1802" s="82" t="s">
        <v>18</v>
      </c>
      <c r="C1802" s="82" t="s">
        <v>19</v>
      </c>
      <c r="D1802" s="82" t="s">
        <v>90</v>
      </c>
      <c r="E1802" s="87">
        <f t="shared" si="419"/>
        <v>41760</v>
      </c>
      <c r="F1802" s="83"/>
      <c r="G1802" s="92">
        <v>4061</v>
      </c>
      <c r="H1802" s="52">
        <v>650</v>
      </c>
      <c r="I1802" s="52" t="s">
        <v>94</v>
      </c>
      <c r="J1802" s="157">
        <f t="shared" si="418"/>
        <v>0.51</v>
      </c>
      <c r="K1802" s="101">
        <f t="shared" si="411"/>
        <v>40.327706057596821</v>
      </c>
      <c r="L1802" s="101">
        <f t="shared" si="412"/>
        <v>1.0243963963963965</v>
      </c>
      <c r="M1802" s="133">
        <f t="shared" si="413"/>
        <v>331.5</v>
      </c>
      <c r="N1802" s="133">
        <f t="shared" si="414"/>
        <v>4392.5</v>
      </c>
      <c r="O1802" s="134">
        <f t="shared" si="415"/>
        <v>43.619662363455809</v>
      </c>
      <c r="P1802" s="134">
        <f t="shared" si="416"/>
        <v>1.1080180180180181</v>
      </c>
      <c r="R1802" s="149">
        <f t="shared" si="417"/>
        <v>3.158759981211845</v>
      </c>
    </row>
    <row r="1803" spans="1:18" ht="14.45" x14ac:dyDescent="0.3">
      <c r="A1803" s="82" t="s">
        <v>134</v>
      </c>
      <c r="B1803" s="82" t="s">
        <v>18</v>
      </c>
      <c r="C1803" s="82" t="s">
        <v>20</v>
      </c>
      <c r="D1803" s="82" t="s">
        <v>90</v>
      </c>
      <c r="E1803" s="87">
        <f t="shared" si="419"/>
        <v>41760</v>
      </c>
      <c r="F1803" s="83"/>
      <c r="G1803" s="92">
        <v>3469</v>
      </c>
      <c r="H1803" s="52">
        <v>417</v>
      </c>
      <c r="I1803" s="52" t="s">
        <v>94</v>
      </c>
      <c r="J1803" s="157">
        <f t="shared" si="418"/>
        <v>0.51</v>
      </c>
      <c r="K1803" s="101">
        <f t="shared" si="411"/>
        <v>34.44885799404171</v>
      </c>
      <c r="L1803" s="101">
        <f t="shared" si="412"/>
        <v>0.87506306306306303</v>
      </c>
      <c r="M1803" s="133">
        <f t="shared" si="413"/>
        <v>212.67000000000002</v>
      </c>
      <c r="N1803" s="133">
        <f t="shared" si="414"/>
        <v>3681.67</v>
      </c>
      <c r="O1803" s="134">
        <f t="shared" si="415"/>
        <v>36.560774577954319</v>
      </c>
      <c r="P1803" s="134">
        <f t="shared" si="416"/>
        <v>0.92870954954954954</v>
      </c>
      <c r="R1803" s="149">
        <f t="shared" si="417"/>
        <v>3.1037514982469094</v>
      </c>
    </row>
    <row r="1804" spans="1:18" ht="14.45" x14ac:dyDescent="0.3">
      <c r="A1804" s="82" t="s">
        <v>134</v>
      </c>
      <c r="B1804" s="82" t="s">
        <v>16</v>
      </c>
      <c r="C1804" s="82" t="s">
        <v>21</v>
      </c>
      <c r="D1804" s="82" t="s">
        <v>90</v>
      </c>
      <c r="E1804" s="87">
        <f t="shared" si="419"/>
        <v>41760</v>
      </c>
      <c r="F1804" s="83"/>
      <c r="G1804" s="92">
        <v>3218</v>
      </c>
      <c r="H1804" s="52">
        <v>626</v>
      </c>
      <c r="I1804" s="52" t="s">
        <v>92</v>
      </c>
      <c r="J1804" s="157">
        <f t="shared" si="418"/>
        <v>0.39</v>
      </c>
      <c r="K1804" s="101">
        <f t="shared" si="411"/>
        <v>31.95630585898709</v>
      </c>
      <c r="L1804" s="101">
        <f t="shared" si="412"/>
        <v>0.81174774774774772</v>
      </c>
      <c r="M1804" s="133">
        <f t="shared" si="413"/>
        <v>244.14000000000001</v>
      </c>
      <c r="N1804" s="133">
        <f t="shared" si="414"/>
        <v>3462.14</v>
      </c>
      <c r="O1804" s="134">
        <f t="shared" si="415"/>
        <v>34.38073485600794</v>
      </c>
      <c r="P1804" s="134">
        <f t="shared" si="416"/>
        <v>0.87333261261261264</v>
      </c>
      <c r="R1804" s="149">
        <f t="shared" si="417"/>
        <v>1.6960404182822186</v>
      </c>
    </row>
    <row r="1805" spans="1:18" ht="14.45" x14ac:dyDescent="0.3">
      <c r="A1805" s="82" t="s">
        <v>134</v>
      </c>
      <c r="B1805" s="82" t="s">
        <v>16</v>
      </c>
      <c r="C1805" s="82" t="s">
        <v>6</v>
      </c>
      <c r="D1805" s="82" t="s">
        <v>90</v>
      </c>
      <c r="E1805" s="87">
        <f t="shared" si="419"/>
        <v>41760</v>
      </c>
      <c r="F1805" s="83"/>
      <c r="G1805" s="92">
        <v>5215</v>
      </c>
      <c r="H1805" s="52">
        <v>1823</v>
      </c>
      <c r="I1805" s="52" t="s">
        <v>92</v>
      </c>
      <c r="J1805" s="157">
        <f t="shared" si="418"/>
        <v>0.39</v>
      </c>
      <c r="K1805" s="101">
        <f t="shared" si="411"/>
        <v>51.787487586891757</v>
      </c>
      <c r="L1805" s="101">
        <f t="shared" si="412"/>
        <v>1.3154954954954956</v>
      </c>
      <c r="M1805" s="133">
        <f t="shared" si="413"/>
        <v>710.97</v>
      </c>
      <c r="N1805" s="133">
        <f t="shared" si="414"/>
        <v>5925.97</v>
      </c>
      <c r="O1805" s="134">
        <f t="shared" si="415"/>
        <v>58.847765640516386</v>
      </c>
      <c r="P1805" s="134">
        <f t="shared" si="416"/>
        <v>1.4948392792792793</v>
      </c>
      <c r="R1805" s="149">
        <f t="shared" si="417"/>
        <v>2.2741707224466001</v>
      </c>
    </row>
    <row r="1806" spans="1:18" ht="14.45" x14ac:dyDescent="0.3">
      <c r="A1806" s="82" t="s">
        <v>22</v>
      </c>
      <c r="B1806" s="82" t="s">
        <v>23</v>
      </c>
      <c r="C1806" s="82" t="s">
        <v>7</v>
      </c>
      <c r="D1806" s="82" t="s">
        <v>90</v>
      </c>
      <c r="E1806" s="87">
        <f t="shared" si="419"/>
        <v>41760</v>
      </c>
      <c r="F1806" s="83"/>
      <c r="G1806" s="92">
        <v>3414</v>
      </c>
      <c r="H1806" s="52">
        <v>1295</v>
      </c>
      <c r="I1806" s="52" t="s">
        <v>95</v>
      </c>
      <c r="J1806" s="157">
        <f t="shared" si="418"/>
        <v>0.32779999999999998</v>
      </c>
      <c r="K1806" s="101">
        <f t="shared" si="411"/>
        <v>33.902681231380335</v>
      </c>
      <c r="L1806" s="101">
        <f t="shared" si="412"/>
        <v>0.92270270270270272</v>
      </c>
      <c r="M1806" s="133">
        <f t="shared" si="413"/>
        <v>424.50099999999998</v>
      </c>
      <c r="N1806" s="133">
        <f t="shared" si="414"/>
        <v>3838.5010000000002</v>
      </c>
      <c r="O1806" s="134">
        <f t="shared" si="415"/>
        <v>38.118182720953328</v>
      </c>
      <c r="P1806" s="134">
        <f t="shared" si="416"/>
        <v>1.0374327027027028</v>
      </c>
      <c r="R1806" s="149">
        <f t="shared" si="417"/>
        <v>2.6778213689917951</v>
      </c>
    </row>
    <row r="1807" spans="1:18" ht="14.45" x14ac:dyDescent="0.3">
      <c r="A1807" s="82" t="s">
        <v>22</v>
      </c>
      <c r="B1807" s="82" t="s">
        <v>14</v>
      </c>
      <c r="C1807" s="82" t="s">
        <v>24</v>
      </c>
      <c r="D1807" s="82" t="s">
        <v>90</v>
      </c>
      <c r="E1807" s="87">
        <f t="shared" si="419"/>
        <v>41760</v>
      </c>
      <c r="F1807" s="83"/>
      <c r="G1807" s="92">
        <v>3687</v>
      </c>
      <c r="H1807" s="52">
        <v>615</v>
      </c>
      <c r="I1807" s="52" t="s">
        <v>94</v>
      </c>
      <c r="J1807" s="157">
        <f t="shared" si="418"/>
        <v>0.51</v>
      </c>
      <c r="K1807" s="101">
        <f t="shared" si="411"/>
        <v>36.613704071499505</v>
      </c>
      <c r="L1807" s="101">
        <f t="shared" si="412"/>
        <v>0.99648648648648652</v>
      </c>
      <c r="M1807" s="133">
        <f t="shared" si="413"/>
        <v>313.64999999999998</v>
      </c>
      <c r="N1807" s="133">
        <f t="shared" si="414"/>
        <v>4000.65</v>
      </c>
      <c r="O1807" s="134">
        <f t="shared" si="415"/>
        <v>39.728401191658392</v>
      </c>
      <c r="P1807" s="134">
        <f t="shared" si="416"/>
        <v>1.0812567567567568</v>
      </c>
      <c r="R1807" s="149">
        <f t="shared" si="417"/>
        <v>2.7177261990346091</v>
      </c>
    </row>
    <row r="1808" spans="1:18" ht="14.45" x14ac:dyDescent="0.3">
      <c r="A1808" s="82" t="s">
        <v>22</v>
      </c>
      <c r="B1808" s="82" t="s">
        <v>18</v>
      </c>
      <c r="C1808" s="82" t="s">
        <v>15</v>
      </c>
      <c r="D1808" s="82" t="s">
        <v>90</v>
      </c>
      <c r="E1808" s="87">
        <f t="shared" si="419"/>
        <v>41760</v>
      </c>
      <c r="F1808" s="83"/>
      <c r="G1808" s="92">
        <v>4756</v>
      </c>
      <c r="H1808" s="52">
        <v>872</v>
      </c>
      <c r="I1808" s="52" t="s">
        <v>94</v>
      </c>
      <c r="J1808" s="157">
        <f t="shared" si="418"/>
        <v>0.51</v>
      </c>
      <c r="K1808" s="101">
        <f t="shared" si="411"/>
        <v>47.229394240317774</v>
      </c>
      <c r="L1808" s="101">
        <f t="shared" si="412"/>
        <v>1.2854054054054054</v>
      </c>
      <c r="M1808" s="133">
        <f t="shared" si="413"/>
        <v>444.72</v>
      </c>
      <c r="N1808" s="133">
        <f t="shared" si="414"/>
        <v>5200.72</v>
      </c>
      <c r="O1808" s="134">
        <f t="shared" si="415"/>
        <v>51.645680238331678</v>
      </c>
      <c r="P1808" s="134">
        <f t="shared" si="416"/>
        <v>1.4056</v>
      </c>
      <c r="R1808" s="149">
        <f t="shared" si="417"/>
        <v>3.3644443737776975</v>
      </c>
    </row>
    <row r="1809" spans="1:18" ht="14.45" x14ac:dyDescent="0.3">
      <c r="A1809" s="82" t="s">
        <v>22</v>
      </c>
      <c r="B1809" s="82" t="s">
        <v>18</v>
      </c>
      <c r="C1809" s="82" t="s">
        <v>24</v>
      </c>
      <c r="D1809" s="82" t="s">
        <v>90</v>
      </c>
      <c r="E1809" s="87">
        <f t="shared" si="419"/>
        <v>41760</v>
      </c>
      <c r="F1809" s="83"/>
      <c r="G1809" s="92">
        <v>3379</v>
      </c>
      <c r="H1809" s="52">
        <v>417</v>
      </c>
      <c r="I1809" s="52" t="s">
        <v>94</v>
      </c>
      <c r="J1809" s="157">
        <f t="shared" si="418"/>
        <v>0.51</v>
      </c>
      <c r="K1809" s="101">
        <f t="shared" si="411"/>
        <v>33.555114200595831</v>
      </c>
      <c r="L1809" s="101">
        <f t="shared" si="412"/>
        <v>0.91324324324324324</v>
      </c>
      <c r="M1809" s="133">
        <f t="shared" si="413"/>
        <v>212.67000000000002</v>
      </c>
      <c r="N1809" s="133">
        <f t="shared" si="414"/>
        <v>3591.67</v>
      </c>
      <c r="O1809" s="134">
        <f t="shared" si="415"/>
        <v>35.667030784508441</v>
      </c>
      <c r="P1809" s="134">
        <f t="shared" si="416"/>
        <v>0.97072162162162168</v>
      </c>
      <c r="R1809" s="149">
        <f t="shared" si="417"/>
        <v>3.09514788279599</v>
      </c>
    </row>
    <row r="1810" spans="1:18" ht="14.45" x14ac:dyDescent="0.3">
      <c r="A1810" s="82" t="s">
        <v>22</v>
      </c>
      <c r="B1810" s="82" t="s">
        <v>13</v>
      </c>
      <c r="C1810" s="82" t="s">
        <v>7</v>
      </c>
      <c r="D1810" s="82" t="s">
        <v>90</v>
      </c>
      <c r="E1810" s="87">
        <f t="shared" si="419"/>
        <v>41760</v>
      </c>
      <c r="F1810" s="83"/>
      <c r="G1810" s="92">
        <v>3748</v>
      </c>
      <c r="H1810" s="52">
        <v>1006</v>
      </c>
      <c r="I1810" s="52" t="s">
        <v>92</v>
      </c>
      <c r="J1810" s="157">
        <f t="shared" si="418"/>
        <v>0.39</v>
      </c>
      <c r="K1810" s="101">
        <f t="shared" si="411"/>
        <v>37.219463753723929</v>
      </c>
      <c r="L1810" s="101">
        <f t="shared" si="412"/>
        <v>1.0129729729729731</v>
      </c>
      <c r="M1810" s="133">
        <f t="shared" si="413"/>
        <v>392.34000000000003</v>
      </c>
      <c r="N1810" s="133">
        <f t="shared" si="414"/>
        <v>4140.34</v>
      </c>
      <c r="O1810" s="134">
        <f t="shared" si="415"/>
        <v>41.115590863952335</v>
      </c>
      <c r="P1810" s="134">
        <f t="shared" si="416"/>
        <v>1.1190108108108108</v>
      </c>
      <c r="R1810" s="149">
        <f t="shared" si="417"/>
        <v>3.4722847003548774</v>
      </c>
    </row>
    <row r="1811" spans="1:18" ht="14.45" x14ac:dyDescent="0.3">
      <c r="A1811" s="82" t="s">
        <v>1</v>
      </c>
      <c r="B1811" s="82" t="s">
        <v>25</v>
      </c>
      <c r="C1811" s="82" t="s">
        <v>26</v>
      </c>
      <c r="D1811" s="82" t="s">
        <v>91</v>
      </c>
      <c r="E1811" s="87">
        <f t="shared" si="419"/>
        <v>41760</v>
      </c>
      <c r="F1811" s="83"/>
      <c r="G1811" s="92">
        <v>3678</v>
      </c>
      <c r="H1811" s="52">
        <v>880</v>
      </c>
      <c r="I1811" s="52" t="s">
        <v>93</v>
      </c>
      <c r="J1811" s="157">
        <f t="shared" si="418"/>
        <v>0.38</v>
      </c>
      <c r="K1811" s="101">
        <f t="shared" si="411"/>
        <v>36.524329692154915</v>
      </c>
      <c r="L1811" s="101">
        <f t="shared" si="412"/>
        <v>0.994054054054054</v>
      </c>
      <c r="M1811" s="133">
        <f t="shared" si="413"/>
        <v>334.4</v>
      </c>
      <c r="N1811" s="133">
        <f t="shared" si="414"/>
        <v>4012.4</v>
      </c>
      <c r="O1811" s="134">
        <f t="shared" si="415"/>
        <v>39.845084409136049</v>
      </c>
      <c r="P1811" s="134">
        <f t="shared" si="416"/>
        <v>1.0844324324324324</v>
      </c>
      <c r="R1811" s="149">
        <f t="shared" si="417"/>
        <v>2.0447609359104835</v>
      </c>
    </row>
    <row r="1812" spans="1:18" ht="14.45" x14ac:dyDescent="0.3">
      <c r="A1812" s="82" t="s">
        <v>1</v>
      </c>
      <c r="B1812" s="82" t="s">
        <v>2</v>
      </c>
      <c r="C1812" s="82" t="s">
        <v>9</v>
      </c>
      <c r="D1812" s="82" t="s">
        <v>91</v>
      </c>
      <c r="E1812" s="87">
        <f t="shared" si="419"/>
        <v>41760</v>
      </c>
      <c r="F1812" s="83"/>
      <c r="G1812" s="92">
        <v>3798</v>
      </c>
      <c r="H1812" s="52">
        <v>685</v>
      </c>
      <c r="I1812" s="52" t="s">
        <v>93</v>
      </c>
      <c r="J1812" s="157">
        <f t="shared" si="418"/>
        <v>0.38</v>
      </c>
      <c r="K1812" s="101">
        <f t="shared" si="411"/>
        <v>37.715988083416086</v>
      </c>
      <c r="L1812" s="101">
        <f t="shared" si="412"/>
        <v>1.0264864864864864</v>
      </c>
      <c r="M1812" s="133">
        <f t="shared" si="413"/>
        <v>260.3</v>
      </c>
      <c r="N1812" s="133">
        <f t="shared" si="414"/>
        <v>4058.3</v>
      </c>
      <c r="O1812" s="134">
        <f t="shared" si="415"/>
        <v>40.300893743793445</v>
      </c>
      <c r="P1812" s="134">
        <f t="shared" si="416"/>
        <v>1.0968378378378378</v>
      </c>
      <c r="R1812" s="149">
        <f t="shared" si="417"/>
        <v>3.8459570112589603</v>
      </c>
    </row>
    <row r="1813" spans="1:18" ht="14.45" x14ac:dyDescent="0.3">
      <c r="A1813" s="82" t="s">
        <v>1</v>
      </c>
      <c r="B1813" s="82" t="s">
        <v>27</v>
      </c>
      <c r="C1813" s="82" t="s">
        <v>28</v>
      </c>
      <c r="D1813" s="82" t="s">
        <v>91</v>
      </c>
      <c r="E1813" s="87">
        <f t="shared" si="419"/>
        <v>41760</v>
      </c>
      <c r="F1813" s="83"/>
      <c r="G1813" s="92">
        <v>3950</v>
      </c>
      <c r="H1813" s="52">
        <v>812</v>
      </c>
      <c r="I1813" s="52" t="s">
        <v>94</v>
      </c>
      <c r="J1813" s="157">
        <f t="shared" si="418"/>
        <v>0.51</v>
      </c>
      <c r="K1813" s="101">
        <f t="shared" si="411"/>
        <v>39.22542204568024</v>
      </c>
      <c r="L1813" s="101">
        <f t="shared" si="412"/>
        <v>1.0675675675675675</v>
      </c>
      <c r="M1813" s="133">
        <f t="shared" si="413"/>
        <v>414.12</v>
      </c>
      <c r="N1813" s="133">
        <f t="shared" si="414"/>
        <v>4364.12</v>
      </c>
      <c r="O1813" s="134">
        <f t="shared" si="415"/>
        <v>43.337835153922541</v>
      </c>
      <c r="P1813" s="134">
        <f t="shared" si="416"/>
        <v>1.179491891891892</v>
      </c>
      <c r="R1813" s="149">
        <f t="shared" si="417"/>
        <v>4.0751304480544981</v>
      </c>
    </row>
    <row r="1814" spans="1:18" ht="14.45" x14ac:dyDescent="0.3">
      <c r="A1814" s="82" t="s">
        <v>1</v>
      </c>
      <c r="B1814" s="82" t="s">
        <v>4</v>
      </c>
      <c r="C1814" s="82" t="s">
        <v>26</v>
      </c>
      <c r="D1814" s="82" t="s">
        <v>91</v>
      </c>
      <c r="E1814" s="87">
        <f t="shared" si="419"/>
        <v>41760</v>
      </c>
      <c r="F1814" s="83"/>
      <c r="G1814" s="92">
        <v>5159</v>
      </c>
      <c r="H1814" s="52">
        <v>1520</v>
      </c>
      <c r="I1814" s="52" t="s">
        <v>93</v>
      </c>
      <c r="J1814" s="157">
        <f t="shared" si="418"/>
        <v>0.38</v>
      </c>
      <c r="K1814" s="101">
        <f t="shared" si="411"/>
        <v>51.231380337636544</v>
      </c>
      <c r="L1814" s="101">
        <f t="shared" si="412"/>
        <v>1.3943243243243244</v>
      </c>
      <c r="M1814" s="133">
        <f t="shared" si="413"/>
        <v>577.6</v>
      </c>
      <c r="N1814" s="133">
        <f t="shared" si="414"/>
        <v>5736.6</v>
      </c>
      <c r="O1814" s="134">
        <f t="shared" si="415"/>
        <v>56.96722939424032</v>
      </c>
      <c r="P1814" s="134">
        <f t="shared" si="416"/>
        <v>1.5504324324324326</v>
      </c>
      <c r="R1814" s="149">
        <f t="shared" si="417"/>
        <v>1.1924501675780519</v>
      </c>
    </row>
    <row r="1815" spans="1:18" ht="14.45" x14ac:dyDescent="0.3">
      <c r="A1815" s="82" t="s">
        <v>1</v>
      </c>
      <c r="B1815" s="82" t="s">
        <v>4</v>
      </c>
      <c r="C1815" s="82" t="s">
        <v>9</v>
      </c>
      <c r="D1815" s="82" t="s">
        <v>91</v>
      </c>
      <c r="E1815" s="87">
        <f t="shared" si="419"/>
        <v>41760</v>
      </c>
      <c r="F1815" s="83"/>
      <c r="G1815" s="92">
        <v>6084</v>
      </c>
      <c r="H1815" s="52">
        <v>1583</v>
      </c>
      <c r="I1815" s="52" t="s">
        <v>93</v>
      </c>
      <c r="J1815" s="157">
        <f t="shared" si="418"/>
        <v>0.38</v>
      </c>
      <c r="K1815" s="101">
        <f t="shared" si="411"/>
        <v>60.417080436941411</v>
      </c>
      <c r="L1815" s="101">
        <f t="shared" si="412"/>
        <v>1.6443243243243244</v>
      </c>
      <c r="M1815" s="133">
        <f t="shared" si="413"/>
        <v>601.54</v>
      </c>
      <c r="N1815" s="133">
        <f t="shared" si="414"/>
        <v>6685.54</v>
      </c>
      <c r="O1815" s="134">
        <f t="shared" si="415"/>
        <v>66.390665342601778</v>
      </c>
      <c r="P1815" s="134">
        <f t="shared" si="416"/>
        <v>1.8069027027027027</v>
      </c>
      <c r="R1815" s="149">
        <f t="shared" si="417"/>
        <v>-0.44168453657373874</v>
      </c>
    </row>
    <row r="1816" spans="1:18" ht="14.45" x14ac:dyDescent="0.3">
      <c r="A1816" s="82" t="s">
        <v>1</v>
      </c>
      <c r="B1816" s="82" t="s">
        <v>10</v>
      </c>
      <c r="C1816" s="82" t="s">
        <v>26</v>
      </c>
      <c r="D1816" s="82" t="s">
        <v>91</v>
      </c>
      <c r="E1816" s="87">
        <f t="shared" si="419"/>
        <v>41760</v>
      </c>
      <c r="F1816" s="83"/>
      <c r="G1816" s="92">
        <v>5043</v>
      </c>
      <c r="H1816" s="52">
        <v>1599</v>
      </c>
      <c r="I1816" s="52" t="s">
        <v>92</v>
      </c>
      <c r="J1816" s="157">
        <f t="shared" si="418"/>
        <v>0.39</v>
      </c>
      <c r="K1816" s="101">
        <f t="shared" si="411"/>
        <v>50.079443892750746</v>
      </c>
      <c r="L1816" s="101">
        <f t="shared" si="412"/>
        <v>1.3629729729729729</v>
      </c>
      <c r="M1816" s="133">
        <f t="shared" si="413"/>
        <v>623.61</v>
      </c>
      <c r="N1816" s="133">
        <f t="shared" si="414"/>
        <v>5666.61</v>
      </c>
      <c r="O1816" s="134">
        <f t="shared" si="415"/>
        <v>56.272194637537233</v>
      </c>
      <c r="P1816" s="134">
        <f t="shared" si="416"/>
        <v>1.5315162162162161</v>
      </c>
      <c r="R1816" s="149">
        <f t="shared" si="417"/>
        <v>2.6634176389593422</v>
      </c>
    </row>
    <row r="1817" spans="1:18" ht="14.45" x14ac:dyDescent="0.3">
      <c r="A1817" s="82" t="s">
        <v>134</v>
      </c>
      <c r="B1817" s="82" t="s">
        <v>23</v>
      </c>
      <c r="C1817" s="82" t="s">
        <v>26</v>
      </c>
      <c r="D1817" s="82" t="s">
        <v>91</v>
      </c>
      <c r="E1817" s="87">
        <f t="shared" si="419"/>
        <v>41760</v>
      </c>
      <c r="F1817" s="83"/>
      <c r="G1817" s="92">
        <v>5000</v>
      </c>
      <c r="H1817" s="52">
        <v>1851</v>
      </c>
      <c r="I1817" s="52" t="s">
        <v>93</v>
      </c>
      <c r="J1817" s="157">
        <f t="shared" si="418"/>
        <v>0.38</v>
      </c>
      <c r="K1817" s="101">
        <f t="shared" si="411"/>
        <v>49.652432969215489</v>
      </c>
      <c r="L1817" s="101">
        <f t="shared" si="412"/>
        <v>1.2612612612612613</v>
      </c>
      <c r="M1817" s="133">
        <f t="shared" si="413"/>
        <v>703.38</v>
      </c>
      <c r="N1817" s="133">
        <f t="shared" si="414"/>
        <v>5703.38</v>
      </c>
      <c r="O1817" s="134">
        <f t="shared" si="415"/>
        <v>56.637338629592847</v>
      </c>
      <c r="P1817" s="134">
        <f t="shared" si="416"/>
        <v>1.4386904504504505</v>
      </c>
      <c r="R1817" s="149">
        <f t="shared" si="417"/>
        <v>2.9416648617428542</v>
      </c>
    </row>
    <row r="1818" spans="1:18" ht="14.45" x14ac:dyDescent="0.3">
      <c r="A1818" s="82" t="s">
        <v>134</v>
      </c>
      <c r="B1818" s="82" t="s">
        <v>8</v>
      </c>
      <c r="C1818" s="82" t="s">
        <v>29</v>
      </c>
      <c r="D1818" s="82" t="s">
        <v>91</v>
      </c>
      <c r="E1818" s="87">
        <f t="shared" si="419"/>
        <v>41760</v>
      </c>
      <c r="F1818" s="83"/>
      <c r="G1818" s="92">
        <v>4960</v>
      </c>
      <c r="H1818" s="52">
        <v>1695</v>
      </c>
      <c r="I1818" s="52" t="s">
        <v>93</v>
      </c>
      <c r="J1818" s="157">
        <f t="shared" si="418"/>
        <v>0.38</v>
      </c>
      <c r="K1818" s="101">
        <f t="shared" si="411"/>
        <v>49.255213505461768</v>
      </c>
      <c r="L1818" s="101">
        <f t="shared" si="412"/>
        <v>1.2511711711711713</v>
      </c>
      <c r="M1818" s="133">
        <f t="shared" si="413"/>
        <v>644.1</v>
      </c>
      <c r="N1818" s="133">
        <f t="shared" si="414"/>
        <v>5604.1</v>
      </c>
      <c r="O1818" s="134">
        <f t="shared" si="415"/>
        <v>55.651439920556108</v>
      </c>
      <c r="P1818" s="134">
        <f t="shared" si="416"/>
        <v>1.413646846846847</v>
      </c>
      <c r="R1818" s="149">
        <f t="shared" si="417"/>
        <v>3.0544317763883777</v>
      </c>
    </row>
    <row r="1819" spans="1:18" ht="14.45" x14ac:dyDescent="0.3">
      <c r="A1819" s="82" t="s">
        <v>134</v>
      </c>
      <c r="B1819" s="82" t="s">
        <v>13</v>
      </c>
      <c r="C1819" s="82" t="s">
        <v>7</v>
      </c>
      <c r="D1819" s="82" t="s">
        <v>91</v>
      </c>
      <c r="E1819" s="87">
        <f t="shared" si="419"/>
        <v>41760</v>
      </c>
      <c r="F1819" s="83"/>
      <c r="G1819" s="92">
        <v>3011</v>
      </c>
      <c r="H1819" s="52">
        <v>1006</v>
      </c>
      <c r="I1819" s="52" t="s">
        <v>92</v>
      </c>
      <c r="J1819" s="157">
        <f t="shared" si="418"/>
        <v>0.39</v>
      </c>
      <c r="K1819" s="101">
        <f t="shared" si="411"/>
        <v>29.900695134061568</v>
      </c>
      <c r="L1819" s="101">
        <f t="shared" si="412"/>
        <v>0.75953153153153152</v>
      </c>
      <c r="M1819" s="133">
        <f t="shared" si="413"/>
        <v>392.34000000000003</v>
      </c>
      <c r="N1819" s="133">
        <f t="shared" si="414"/>
        <v>3403.34</v>
      </c>
      <c r="O1819" s="134">
        <f t="shared" si="415"/>
        <v>33.79682224428997</v>
      </c>
      <c r="P1819" s="134">
        <f t="shared" si="416"/>
        <v>0.85850018018018026</v>
      </c>
      <c r="R1819" s="149">
        <f t="shared" si="417"/>
        <v>2.1594524824398276</v>
      </c>
    </row>
    <row r="1820" spans="1:18" ht="14.45" x14ac:dyDescent="0.3">
      <c r="A1820" s="82" t="s">
        <v>134</v>
      </c>
      <c r="B1820" s="82" t="s">
        <v>30</v>
      </c>
      <c r="C1820" s="82" t="s">
        <v>9</v>
      </c>
      <c r="D1820" s="82" t="s">
        <v>91</v>
      </c>
      <c r="E1820" s="87">
        <f t="shared" si="419"/>
        <v>41760</v>
      </c>
      <c r="F1820" s="83"/>
      <c r="G1820" s="92">
        <v>3510</v>
      </c>
      <c r="H1820" s="52">
        <v>988</v>
      </c>
      <c r="I1820" s="52" t="s">
        <v>93</v>
      </c>
      <c r="J1820" s="157">
        <f t="shared" si="418"/>
        <v>0.38</v>
      </c>
      <c r="K1820" s="101">
        <f t="shared" si="411"/>
        <v>34.856007944389276</v>
      </c>
      <c r="L1820" s="101">
        <f t="shared" si="412"/>
        <v>0.88540540540540547</v>
      </c>
      <c r="M1820" s="133">
        <f t="shared" si="413"/>
        <v>375.44</v>
      </c>
      <c r="N1820" s="133">
        <f t="shared" si="414"/>
        <v>3885.44</v>
      </c>
      <c r="O1820" s="134">
        <f t="shared" si="415"/>
        <v>38.584309831181727</v>
      </c>
      <c r="P1820" s="134">
        <f t="shared" si="416"/>
        <v>0.98011099099099097</v>
      </c>
      <c r="R1820" s="149">
        <f t="shared" si="417"/>
        <v>4.8645147360466545</v>
      </c>
    </row>
    <row r="1821" spans="1:18" ht="14.45" x14ac:dyDescent="0.3">
      <c r="A1821" s="82" t="s">
        <v>134</v>
      </c>
      <c r="B1821" s="82" t="s">
        <v>16</v>
      </c>
      <c r="C1821" s="82" t="s">
        <v>11</v>
      </c>
      <c r="D1821" s="82" t="s">
        <v>91</v>
      </c>
      <c r="E1821" s="87">
        <f t="shared" si="419"/>
        <v>41760</v>
      </c>
      <c r="F1821" s="83"/>
      <c r="G1821" s="92">
        <v>3590</v>
      </c>
      <c r="H1821" s="52">
        <v>787</v>
      </c>
      <c r="I1821" s="52" t="s">
        <v>92</v>
      </c>
      <c r="J1821" s="157">
        <f t="shared" si="418"/>
        <v>0.39</v>
      </c>
      <c r="K1821" s="101">
        <f t="shared" si="411"/>
        <v>35.650446871896719</v>
      </c>
      <c r="L1821" s="101">
        <f t="shared" si="412"/>
        <v>0.90558558558558555</v>
      </c>
      <c r="M1821" s="133">
        <f t="shared" si="413"/>
        <v>306.93</v>
      </c>
      <c r="N1821" s="133">
        <f t="shared" si="414"/>
        <v>3896.93</v>
      </c>
      <c r="O1821" s="134">
        <f t="shared" si="415"/>
        <v>38.698411122144982</v>
      </c>
      <c r="P1821" s="134">
        <f t="shared" si="416"/>
        <v>0.98300936936936933</v>
      </c>
      <c r="R1821" s="149">
        <f t="shared" si="417"/>
        <v>1.8858502405354471</v>
      </c>
    </row>
    <row r="1822" spans="1:18" ht="14.45" x14ac:dyDescent="0.3">
      <c r="A1822" s="82" t="s">
        <v>134</v>
      </c>
      <c r="B1822" s="82" t="s">
        <v>23</v>
      </c>
      <c r="C1822" s="82" t="s">
        <v>29</v>
      </c>
      <c r="D1822" s="82" t="s">
        <v>91</v>
      </c>
      <c r="E1822" s="87">
        <f t="shared" si="419"/>
        <v>41760</v>
      </c>
      <c r="F1822" s="83"/>
      <c r="G1822" s="92">
        <v>5000</v>
      </c>
      <c r="H1822" s="52">
        <v>1836</v>
      </c>
      <c r="I1822" s="52" t="s">
        <v>93</v>
      </c>
      <c r="J1822" s="157">
        <f t="shared" si="418"/>
        <v>0.38</v>
      </c>
      <c r="K1822" s="101">
        <f t="shared" si="411"/>
        <v>49.652432969215489</v>
      </c>
      <c r="L1822" s="101">
        <f t="shared" si="412"/>
        <v>1.2612612612612613</v>
      </c>
      <c r="M1822" s="133">
        <f t="shared" si="413"/>
        <v>697.68000000000006</v>
      </c>
      <c r="N1822" s="133">
        <f t="shared" si="414"/>
        <v>5697.68</v>
      </c>
      <c r="O1822" s="134">
        <f t="shared" si="415"/>
        <v>56.580734856007943</v>
      </c>
      <c r="P1822" s="134">
        <f t="shared" si="416"/>
        <v>1.4372526126126126</v>
      </c>
      <c r="R1822" s="149">
        <f t="shared" si="417"/>
        <v>2.9502746458514251</v>
      </c>
    </row>
    <row r="1823" spans="1:18" ht="14.45" x14ac:dyDescent="0.3">
      <c r="A1823" s="82" t="s">
        <v>134</v>
      </c>
      <c r="B1823" s="82" t="s">
        <v>31</v>
      </c>
      <c r="C1823" s="82" t="s">
        <v>32</v>
      </c>
      <c r="D1823" s="82" t="s">
        <v>91</v>
      </c>
      <c r="E1823" s="87">
        <f t="shared" si="419"/>
        <v>41760</v>
      </c>
      <c r="F1823" s="83"/>
      <c r="G1823" s="92">
        <v>4400</v>
      </c>
      <c r="H1823" s="52">
        <v>1899</v>
      </c>
      <c r="I1823" s="52" t="s">
        <v>93</v>
      </c>
      <c r="J1823" s="157">
        <f t="shared" si="418"/>
        <v>0.38</v>
      </c>
      <c r="K1823" s="101">
        <f t="shared" si="411"/>
        <v>43.694141012909633</v>
      </c>
      <c r="L1823" s="101">
        <f t="shared" si="412"/>
        <v>1.1099099099099099</v>
      </c>
      <c r="M1823" s="133">
        <f t="shared" si="413"/>
        <v>721.62</v>
      </c>
      <c r="N1823" s="133">
        <f t="shared" si="414"/>
        <v>5121.62</v>
      </c>
      <c r="O1823" s="134">
        <f t="shared" si="415"/>
        <v>50.860178748758685</v>
      </c>
      <c r="P1823" s="134">
        <f t="shared" si="416"/>
        <v>1.2919401801801802</v>
      </c>
      <c r="R1823" s="149">
        <f t="shared" si="417"/>
        <v>3.2667957093313937</v>
      </c>
    </row>
    <row r="1824" spans="1:18" ht="14.45" x14ac:dyDescent="0.3">
      <c r="A1824" s="82" t="s">
        <v>22</v>
      </c>
      <c r="B1824" s="82" t="s">
        <v>8</v>
      </c>
      <c r="C1824" s="82" t="s">
        <v>29</v>
      </c>
      <c r="D1824" s="82" t="s">
        <v>91</v>
      </c>
      <c r="E1824" s="87">
        <f t="shared" si="419"/>
        <v>41760</v>
      </c>
      <c r="F1824" s="83"/>
      <c r="G1824" s="92">
        <v>5520</v>
      </c>
      <c r="H1824" s="52">
        <v>1695</v>
      </c>
      <c r="I1824" s="52" t="s">
        <v>93</v>
      </c>
      <c r="J1824" s="157">
        <f t="shared" si="418"/>
        <v>0.38</v>
      </c>
      <c r="K1824" s="101">
        <f t="shared" si="411"/>
        <v>54.816285998013903</v>
      </c>
      <c r="L1824" s="101">
        <f t="shared" si="412"/>
        <v>1.491891891891892</v>
      </c>
      <c r="M1824" s="133">
        <f t="shared" si="413"/>
        <v>644.1</v>
      </c>
      <c r="N1824" s="133">
        <f t="shared" si="414"/>
        <v>6164.1</v>
      </c>
      <c r="O1824" s="134">
        <f t="shared" si="415"/>
        <v>61.212512413108243</v>
      </c>
      <c r="P1824" s="134">
        <f t="shared" si="416"/>
        <v>1.6659729729729731</v>
      </c>
      <c r="R1824" s="149">
        <f t="shared" si="417"/>
        <v>2.7692564188062763</v>
      </c>
    </row>
    <row r="1825" spans="1:19" ht="14.45" x14ac:dyDescent="0.3">
      <c r="A1825" s="82" t="s">
        <v>22</v>
      </c>
      <c r="B1825" s="82" t="s">
        <v>23</v>
      </c>
      <c r="C1825" s="82" t="s">
        <v>26</v>
      </c>
      <c r="D1825" s="82" t="s">
        <v>91</v>
      </c>
      <c r="E1825" s="87">
        <f t="shared" si="419"/>
        <v>41760</v>
      </c>
      <c r="F1825" s="83"/>
      <c r="G1825" s="92">
        <v>5530</v>
      </c>
      <c r="H1825" s="52">
        <v>1851</v>
      </c>
      <c r="I1825" s="52" t="s">
        <v>93</v>
      </c>
      <c r="J1825" s="157">
        <f t="shared" si="418"/>
        <v>0.38</v>
      </c>
      <c r="K1825" s="101">
        <f t="shared" si="411"/>
        <v>54.915590863952332</v>
      </c>
      <c r="L1825" s="101">
        <f t="shared" si="412"/>
        <v>1.4945945945945946</v>
      </c>
      <c r="M1825" s="133">
        <f t="shared" si="413"/>
        <v>703.38</v>
      </c>
      <c r="N1825" s="133">
        <f t="shared" si="414"/>
        <v>6233.38</v>
      </c>
      <c r="O1825" s="134">
        <f t="shared" si="415"/>
        <v>61.900496524329689</v>
      </c>
      <c r="P1825" s="134">
        <f t="shared" si="416"/>
        <v>1.6846972972972973</v>
      </c>
      <c r="R1825" s="149">
        <f t="shared" si="417"/>
        <v>2.6848313125988454</v>
      </c>
    </row>
    <row r="1826" spans="1:19" ht="14.45" x14ac:dyDescent="0.3">
      <c r="A1826" s="82" t="s">
        <v>22</v>
      </c>
      <c r="B1826" s="82" t="s">
        <v>33</v>
      </c>
      <c r="C1826" s="82" t="s">
        <v>29</v>
      </c>
      <c r="D1826" s="82" t="s">
        <v>91</v>
      </c>
      <c r="E1826" s="87">
        <f t="shared" si="419"/>
        <v>41760</v>
      </c>
      <c r="F1826" s="83"/>
      <c r="G1826" s="92">
        <v>5430</v>
      </c>
      <c r="H1826" s="52">
        <v>1507</v>
      </c>
      <c r="I1826" s="52" t="s">
        <v>93</v>
      </c>
      <c r="J1826" s="157">
        <f t="shared" si="418"/>
        <v>0.38</v>
      </c>
      <c r="K1826" s="101">
        <f t="shared" si="411"/>
        <v>53.922542204568025</v>
      </c>
      <c r="L1826" s="101">
        <f t="shared" si="412"/>
        <v>1.4675675675675677</v>
      </c>
      <c r="M1826" s="133">
        <f t="shared" si="413"/>
        <v>572.66</v>
      </c>
      <c r="N1826" s="133">
        <f t="shared" si="414"/>
        <v>6002.66</v>
      </c>
      <c r="O1826" s="134">
        <f t="shared" si="415"/>
        <v>59.609334657398207</v>
      </c>
      <c r="P1826" s="134">
        <f t="shared" si="416"/>
        <v>1.6223405405405404</v>
      </c>
      <c r="R1826" s="149">
        <f t="shared" si="417"/>
        <v>2.9121519681799324</v>
      </c>
    </row>
    <row r="1827" spans="1:19" ht="14.45" x14ac:dyDescent="0.3">
      <c r="A1827" s="82" t="s">
        <v>22</v>
      </c>
      <c r="B1827" s="82" t="s">
        <v>31</v>
      </c>
      <c r="C1827" s="82" t="s">
        <v>7</v>
      </c>
      <c r="D1827" s="82" t="s">
        <v>91</v>
      </c>
      <c r="E1827" s="87">
        <f t="shared" si="419"/>
        <v>41760</v>
      </c>
      <c r="F1827" s="83"/>
      <c r="G1827" s="92">
        <v>4175</v>
      </c>
      <c r="H1827" s="52">
        <v>1160</v>
      </c>
      <c r="I1827" s="52" t="s">
        <v>92</v>
      </c>
      <c r="J1827" s="157">
        <f t="shared" si="418"/>
        <v>0.39</v>
      </c>
      <c r="K1827" s="101">
        <f t="shared" si="411"/>
        <v>41.459781529294936</v>
      </c>
      <c r="L1827" s="101">
        <f t="shared" si="412"/>
        <v>1.1283783783783783</v>
      </c>
      <c r="M1827" s="133">
        <f t="shared" si="413"/>
        <v>452.40000000000003</v>
      </c>
      <c r="N1827" s="133">
        <f t="shared" si="414"/>
        <v>4627.3999999999996</v>
      </c>
      <c r="O1827" s="134">
        <f t="shared" si="415"/>
        <v>45.952333664349545</v>
      </c>
      <c r="P1827" s="134">
        <f t="shared" si="416"/>
        <v>1.2506486486486486</v>
      </c>
      <c r="R1827" s="149">
        <f t="shared" si="417"/>
        <v>16.735620585267409</v>
      </c>
    </row>
    <row r="1828" spans="1:19" ht="14.45" x14ac:dyDescent="0.3">
      <c r="A1828" s="82" t="s">
        <v>22</v>
      </c>
      <c r="B1828" s="82" t="s">
        <v>14</v>
      </c>
      <c r="C1828" s="82" t="s">
        <v>24</v>
      </c>
      <c r="D1828" s="82" t="s">
        <v>91</v>
      </c>
      <c r="E1828" s="87">
        <f t="shared" si="419"/>
        <v>41760</v>
      </c>
      <c r="F1828" s="83"/>
      <c r="G1828" s="92">
        <v>2862</v>
      </c>
      <c r="H1828" s="52">
        <v>615</v>
      </c>
      <c r="I1828" s="52" t="s">
        <v>94</v>
      </c>
      <c r="J1828" s="157">
        <f t="shared" si="418"/>
        <v>0.51</v>
      </c>
      <c r="K1828" s="101">
        <f t="shared" si="411"/>
        <v>28.421052631578945</v>
      </c>
      <c r="L1828" s="101">
        <f t="shared" si="412"/>
        <v>0.7735135135135135</v>
      </c>
      <c r="M1828" s="133">
        <f t="shared" si="413"/>
        <v>313.64999999999998</v>
      </c>
      <c r="N1828" s="133">
        <f t="shared" si="414"/>
        <v>3175.65</v>
      </c>
      <c r="O1828" s="134">
        <f t="shared" si="415"/>
        <v>31.535749751737836</v>
      </c>
      <c r="P1828" s="134">
        <f t="shared" si="416"/>
        <v>0.85828378378378378</v>
      </c>
      <c r="R1828" s="149">
        <f t="shared" si="417"/>
        <v>3.4481073685582064</v>
      </c>
    </row>
    <row r="1829" spans="1:19" ht="14.45" x14ac:dyDescent="0.3">
      <c r="A1829" s="118" t="s">
        <v>22</v>
      </c>
      <c r="B1829" s="118" t="s">
        <v>34</v>
      </c>
      <c r="C1829" s="118" t="s">
        <v>26</v>
      </c>
      <c r="D1829" s="118" t="s">
        <v>91</v>
      </c>
      <c r="E1829" s="119">
        <f t="shared" si="419"/>
        <v>41760</v>
      </c>
      <c r="F1829" s="120"/>
      <c r="G1829" s="105">
        <v>5110</v>
      </c>
      <c r="H1829" s="158">
        <v>1637</v>
      </c>
      <c r="I1829" s="158" t="s">
        <v>92</v>
      </c>
      <c r="J1829" s="122">
        <f t="shared" si="418"/>
        <v>0.39</v>
      </c>
      <c r="K1829" s="123">
        <f t="shared" si="411"/>
        <v>50.744786494538232</v>
      </c>
      <c r="L1829" s="123">
        <f t="shared" si="412"/>
        <v>1.3810810810810812</v>
      </c>
      <c r="M1829" s="115">
        <f t="shared" si="413"/>
        <v>638.43000000000006</v>
      </c>
      <c r="N1829" s="115">
        <f t="shared" si="414"/>
        <v>5748.43</v>
      </c>
      <c r="O1829" s="116">
        <f t="shared" si="415"/>
        <v>57.084707050645484</v>
      </c>
      <c r="P1829" s="116">
        <f t="shared" si="416"/>
        <v>1.5536297297297299</v>
      </c>
      <c r="Q1829" s="106"/>
      <c r="R1829" s="152">
        <f t="shared" si="417"/>
        <v>5.3829654616117883</v>
      </c>
    </row>
    <row r="1830" spans="1:19" ht="15" x14ac:dyDescent="0.25">
      <c r="A1830" s="60" t="s">
        <v>1</v>
      </c>
      <c r="B1830" s="60" t="s">
        <v>2</v>
      </c>
      <c r="C1830" s="60" t="s">
        <v>3</v>
      </c>
      <c r="D1830" s="60" t="s">
        <v>90</v>
      </c>
      <c r="E1830" s="89">
        <v>41791</v>
      </c>
      <c r="F1830" s="61"/>
      <c r="G1830" s="92">
        <v>3387</v>
      </c>
      <c r="H1830" s="138">
        <v>506</v>
      </c>
      <c r="I1830" s="138" t="s">
        <v>92</v>
      </c>
      <c r="J1830" s="141">
        <f>IF(I1830="BNSF",0.37,IF(I1830="CN",0.322,IF(I1830="CSX",0.5,0.38)))</f>
        <v>0.38</v>
      </c>
      <c r="K1830" s="95">
        <f t="shared" ref="K1830:K1867" si="420">G1830/100.7</f>
        <v>33.63455809334657</v>
      </c>
      <c r="L1830" s="95">
        <f t="shared" ref="L1830:L1867" si="421">IF(A1830="corn",G1830/(111*2000/56),G1830/(111*2000/60))</f>
        <v>0.91540540540540538</v>
      </c>
      <c r="M1830" s="133">
        <f t="shared" ref="M1830:M1867" si="422">H1830*J1830</f>
        <v>192.28</v>
      </c>
      <c r="N1830" s="133">
        <f t="shared" ref="N1830:N1867" si="423">G1830+M1830</f>
        <v>3579.28</v>
      </c>
      <c r="O1830" s="134">
        <f t="shared" ref="O1830:O1867" si="424">N1830/100.7</f>
        <v>35.543992055610723</v>
      </c>
      <c r="P1830" s="134">
        <f t="shared" ref="P1830:P1867" si="425">IF(A1830="corn",N1830/(111*2000/56),N1830/(111*2000/60))</f>
        <v>0.96737297297297298</v>
      </c>
      <c r="Q1830" s="160"/>
      <c r="R1830" s="149">
        <f t="shared" ref="R1830:R1867" si="426">((N1830/N1374)-1)*100</f>
        <v>5.9516550135870538</v>
      </c>
      <c r="S1830" s="140">
        <f>AVERAGE(O1754,O1792,O1830)</f>
        <v>34.263157894736842</v>
      </c>
    </row>
    <row r="1831" spans="1:19" ht="15" x14ac:dyDescent="0.25">
      <c r="A1831" s="60" t="s">
        <v>1</v>
      </c>
      <c r="B1831" s="60" t="s">
        <v>4</v>
      </c>
      <c r="C1831" s="60" t="s">
        <v>5</v>
      </c>
      <c r="D1831" s="60" t="s">
        <v>90</v>
      </c>
      <c r="E1831" s="89">
        <f>E1830</f>
        <v>41791</v>
      </c>
      <c r="F1831" s="61"/>
      <c r="G1831" s="92">
        <v>3596</v>
      </c>
      <c r="H1831" s="138">
        <v>298</v>
      </c>
      <c r="I1831" s="138" t="s">
        <v>93</v>
      </c>
      <c r="J1831" s="141">
        <f t="shared" ref="J1831:J1867" si="427">IF(I1831="BNSF",0.37,IF(I1831="CN",0.322,IF(I1831="CSX",0.5,0.38)))</f>
        <v>0.37</v>
      </c>
      <c r="K1831" s="95">
        <f t="shared" si="420"/>
        <v>35.710029791459782</v>
      </c>
      <c r="L1831" s="95">
        <f t="shared" si="421"/>
        <v>0.97189189189189185</v>
      </c>
      <c r="M1831" s="133">
        <f t="shared" si="422"/>
        <v>110.26</v>
      </c>
      <c r="N1831" s="133">
        <f t="shared" si="423"/>
        <v>3706.26</v>
      </c>
      <c r="O1831" s="134">
        <f t="shared" si="424"/>
        <v>36.80496524329692</v>
      </c>
      <c r="P1831" s="134">
        <f t="shared" si="425"/>
        <v>1.001691891891892</v>
      </c>
      <c r="Q1831" s="160"/>
      <c r="R1831" s="149">
        <f t="shared" si="426"/>
        <v>1.5335809855682392</v>
      </c>
      <c r="S1831" s="140">
        <f t="shared" ref="S1831:S1866" si="428">AVERAGE(O1755,O1793,O1831)</f>
        <v>36.824693809996688</v>
      </c>
    </row>
    <row r="1832" spans="1:19" ht="15" x14ac:dyDescent="0.25">
      <c r="A1832" s="60" t="s">
        <v>1</v>
      </c>
      <c r="B1832" s="60" t="s">
        <v>2</v>
      </c>
      <c r="C1832" s="60" t="s">
        <v>6</v>
      </c>
      <c r="D1832" s="60" t="s">
        <v>90</v>
      </c>
      <c r="E1832" s="89">
        <f t="shared" ref="E1832:E1867" si="429">E1831</f>
        <v>41791</v>
      </c>
      <c r="F1832" s="61"/>
      <c r="G1832" s="92">
        <v>6244</v>
      </c>
      <c r="H1832" s="138">
        <v>1530</v>
      </c>
      <c r="I1832" s="138" t="s">
        <v>93</v>
      </c>
      <c r="J1832" s="141">
        <f t="shared" si="427"/>
        <v>0.37</v>
      </c>
      <c r="K1832" s="95">
        <f t="shared" si="420"/>
        <v>62.005958291956304</v>
      </c>
      <c r="L1832" s="95">
        <f t="shared" si="421"/>
        <v>1.6875675675675677</v>
      </c>
      <c r="M1832" s="133">
        <f t="shared" si="422"/>
        <v>566.1</v>
      </c>
      <c r="N1832" s="133">
        <f t="shared" si="423"/>
        <v>6810.1</v>
      </c>
      <c r="O1832" s="134">
        <f t="shared" si="424"/>
        <v>67.627606752730884</v>
      </c>
      <c r="P1832" s="134">
        <f t="shared" si="425"/>
        <v>1.8405675675675677</v>
      </c>
      <c r="R1832" s="149">
        <f t="shared" si="426"/>
        <v>0.22517219049862369</v>
      </c>
      <c r="S1832" s="140">
        <f t="shared" si="428"/>
        <v>67.728897715988083</v>
      </c>
    </row>
    <row r="1833" spans="1:19" ht="15" x14ac:dyDescent="0.25">
      <c r="A1833" s="60" t="s">
        <v>1</v>
      </c>
      <c r="B1833" s="60" t="s">
        <v>2</v>
      </c>
      <c r="C1833" s="60" t="s">
        <v>7</v>
      </c>
      <c r="D1833" s="60" t="s">
        <v>90</v>
      </c>
      <c r="E1833" s="89">
        <f t="shared" si="429"/>
        <v>41791</v>
      </c>
      <c r="F1833" s="61"/>
      <c r="G1833" s="92">
        <v>4026</v>
      </c>
      <c r="H1833" s="138">
        <v>890</v>
      </c>
      <c r="I1833" s="138" t="s">
        <v>92</v>
      </c>
      <c r="J1833" s="141">
        <f t="shared" si="427"/>
        <v>0.38</v>
      </c>
      <c r="K1833" s="95">
        <f t="shared" si="420"/>
        <v>39.98013902681231</v>
      </c>
      <c r="L1833" s="95">
        <f t="shared" si="421"/>
        <v>1.0881081081081081</v>
      </c>
      <c r="M1833" s="133">
        <f t="shared" si="422"/>
        <v>338.2</v>
      </c>
      <c r="N1833" s="133">
        <f t="shared" si="423"/>
        <v>4364.2</v>
      </c>
      <c r="O1833" s="134">
        <f t="shared" si="424"/>
        <v>43.338629592850047</v>
      </c>
      <c r="P1833" s="134">
        <f t="shared" si="425"/>
        <v>1.1795135135135135</v>
      </c>
      <c r="R1833" s="149">
        <f t="shared" si="426"/>
        <v>5.4842530152514835</v>
      </c>
      <c r="S1833" s="140">
        <f t="shared" si="428"/>
        <v>41.924859318106591</v>
      </c>
    </row>
    <row r="1834" spans="1:19" ht="15" x14ac:dyDescent="0.25">
      <c r="A1834" s="60" t="s">
        <v>1</v>
      </c>
      <c r="B1834" s="60" t="s">
        <v>8</v>
      </c>
      <c r="C1834" s="60" t="s">
        <v>9</v>
      </c>
      <c r="D1834" s="60" t="s">
        <v>90</v>
      </c>
      <c r="E1834" s="89">
        <f t="shared" si="429"/>
        <v>41791</v>
      </c>
      <c r="F1834" s="61"/>
      <c r="G1834" s="92">
        <v>5824</v>
      </c>
      <c r="H1834" s="138">
        <v>1256</v>
      </c>
      <c r="I1834" s="138" t="s">
        <v>93</v>
      </c>
      <c r="J1834" s="141">
        <f t="shared" si="427"/>
        <v>0.37</v>
      </c>
      <c r="K1834" s="95">
        <f t="shared" si="420"/>
        <v>57.835153922542204</v>
      </c>
      <c r="L1834" s="95">
        <f t="shared" si="421"/>
        <v>1.574054054054054</v>
      </c>
      <c r="M1834" s="133">
        <f t="shared" si="422"/>
        <v>464.71999999999997</v>
      </c>
      <c r="N1834" s="133">
        <f t="shared" si="423"/>
        <v>6288.72</v>
      </c>
      <c r="O1834" s="134">
        <f t="shared" si="424"/>
        <v>62.450049652432973</v>
      </c>
      <c r="P1834" s="134">
        <f t="shared" si="425"/>
        <v>1.6996540540540541</v>
      </c>
      <c r="R1834" s="149">
        <f t="shared" si="426"/>
        <v>0.20012236781727921</v>
      </c>
      <c r="S1834" s="140">
        <f t="shared" si="428"/>
        <v>62.53320092684541</v>
      </c>
    </row>
    <row r="1835" spans="1:19" ht="15" x14ac:dyDescent="0.25">
      <c r="A1835" s="60" t="s">
        <v>1</v>
      </c>
      <c r="B1835" s="60" t="s">
        <v>10</v>
      </c>
      <c r="C1835" s="60" t="s">
        <v>9</v>
      </c>
      <c r="D1835" s="60" t="s">
        <v>90</v>
      </c>
      <c r="E1835" s="89">
        <f t="shared" si="429"/>
        <v>41791</v>
      </c>
      <c r="F1835" s="61"/>
      <c r="G1835" s="92">
        <v>4293</v>
      </c>
      <c r="H1835" s="138">
        <v>975</v>
      </c>
      <c r="I1835" s="138" t="s">
        <v>92</v>
      </c>
      <c r="J1835" s="141">
        <f t="shared" si="427"/>
        <v>0.38</v>
      </c>
      <c r="K1835" s="95">
        <f t="shared" si="420"/>
        <v>42.631578947368418</v>
      </c>
      <c r="L1835" s="95">
        <f t="shared" si="421"/>
        <v>1.1602702702702703</v>
      </c>
      <c r="M1835" s="133">
        <f t="shared" si="422"/>
        <v>370.5</v>
      </c>
      <c r="N1835" s="133">
        <f t="shared" si="423"/>
        <v>4663.5</v>
      </c>
      <c r="O1835" s="134">
        <f t="shared" si="424"/>
        <v>46.31082423038729</v>
      </c>
      <c r="P1835" s="134">
        <f t="shared" si="425"/>
        <v>1.2604054054054055</v>
      </c>
      <c r="R1835" s="149">
        <f t="shared" si="426"/>
        <v>5.1107229390882969</v>
      </c>
      <c r="S1835" s="140">
        <f t="shared" si="428"/>
        <v>44.906487917907974</v>
      </c>
    </row>
    <row r="1836" spans="1:19" ht="15" x14ac:dyDescent="0.25">
      <c r="A1836" s="60" t="s">
        <v>1</v>
      </c>
      <c r="B1836" s="60" t="s">
        <v>11</v>
      </c>
      <c r="C1836" s="60" t="s">
        <v>6</v>
      </c>
      <c r="D1836" s="60" t="s">
        <v>90</v>
      </c>
      <c r="E1836" s="89">
        <f t="shared" si="429"/>
        <v>41791</v>
      </c>
      <c r="F1836" s="61"/>
      <c r="G1836" s="92">
        <v>4492</v>
      </c>
      <c r="H1836" s="138">
        <v>1357</v>
      </c>
      <c r="I1836" s="138" t="s">
        <v>92</v>
      </c>
      <c r="J1836" s="141">
        <f t="shared" si="427"/>
        <v>0.38</v>
      </c>
      <c r="K1836" s="95">
        <f t="shared" si="420"/>
        <v>44.607745779543194</v>
      </c>
      <c r="L1836" s="95">
        <f t="shared" si="421"/>
        <v>1.2140540540540541</v>
      </c>
      <c r="M1836" s="133">
        <f t="shared" si="422"/>
        <v>515.66</v>
      </c>
      <c r="N1836" s="133">
        <f t="shared" si="423"/>
        <v>5007.66</v>
      </c>
      <c r="O1836" s="134">
        <f t="shared" si="424"/>
        <v>49.728500496524326</v>
      </c>
      <c r="P1836" s="134">
        <f t="shared" si="425"/>
        <v>1.3534216216216215</v>
      </c>
      <c r="R1836" s="149">
        <f t="shared" si="426"/>
        <v>4.8265785237456171</v>
      </c>
      <c r="S1836" s="140">
        <f t="shared" si="428"/>
        <v>48.336809003641179</v>
      </c>
    </row>
    <row r="1837" spans="1:19" ht="15" x14ac:dyDescent="0.25">
      <c r="A1837" s="60" t="s">
        <v>134</v>
      </c>
      <c r="B1837" s="60" t="s">
        <v>13</v>
      </c>
      <c r="C1837" s="60" t="s">
        <v>7</v>
      </c>
      <c r="D1837" s="60" t="s">
        <v>90</v>
      </c>
      <c r="E1837" s="89">
        <f t="shared" si="429"/>
        <v>41791</v>
      </c>
      <c r="F1837" s="61"/>
      <c r="G1837" s="92">
        <v>3192</v>
      </c>
      <c r="H1837" s="138">
        <v>1006</v>
      </c>
      <c r="I1837" s="138" t="s">
        <v>92</v>
      </c>
      <c r="J1837" s="141">
        <f t="shared" si="427"/>
        <v>0.38</v>
      </c>
      <c r="K1837" s="95">
        <f t="shared" si="420"/>
        <v>31.69811320754717</v>
      </c>
      <c r="L1837" s="95">
        <f t="shared" si="421"/>
        <v>0.80518918918918925</v>
      </c>
      <c r="M1837" s="133">
        <f t="shared" si="422"/>
        <v>382.28000000000003</v>
      </c>
      <c r="N1837" s="133">
        <f t="shared" si="423"/>
        <v>3574.28</v>
      </c>
      <c r="O1837" s="134">
        <f t="shared" si="424"/>
        <v>35.494339622641512</v>
      </c>
      <c r="P1837" s="134">
        <f t="shared" si="425"/>
        <v>0.9016201801801802</v>
      </c>
      <c r="R1837" s="149">
        <f t="shared" si="426"/>
        <v>2.6437157905014663</v>
      </c>
      <c r="S1837" s="140">
        <f t="shared" si="428"/>
        <v>35.527639854352863</v>
      </c>
    </row>
    <row r="1838" spans="1:19" ht="15" x14ac:dyDescent="0.25">
      <c r="A1838" s="60" t="s">
        <v>134</v>
      </c>
      <c r="B1838" s="60" t="s">
        <v>14</v>
      </c>
      <c r="C1838" s="60" t="s">
        <v>15</v>
      </c>
      <c r="D1838" s="60" t="s">
        <v>90</v>
      </c>
      <c r="E1838" s="89">
        <f t="shared" si="429"/>
        <v>41791</v>
      </c>
      <c r="F1838" s="61"/>
      <c r="G1838" s="92">
        <v>4686</v>
      </c>
      <c r="H1838" s="138">
        <v>866</v>
      </c>
      <c r="I1838" s="138" t="s">
        <v>94</v>
      </c>
      <c r="J1838" s="141">
        <f t="shared" si="427"/>
        <v>0.5</v>
      </c>
      <c r="K1838" s="95">
        <f t="shared" si="420"/>
        <v>46.53426017874876</v>
      </c>
      <c r="L1838" s="95">
        <f t="shared" si="421"/>
        <v>1.1820540540540541</v>
      </c>
      <c r="M1838" s="133">
        <f t="shared" si="422"/>
        <v>433</v>
      </c>
      <c r="N1838" s="133">
        <f t="shared" si="423"/>
        <v>5119</v>
      </c>
      <c r="O1838" s="134">
        <f t="shared" si="424"/>
        <v>50.834160873882816</v>
      </c>
      <c r="P1838" s="134">
        <f t="shared" si="425"/>
        <v>1.2912792792792793</v>
      </c>
      <c r="R1838" s="149">
        <f t="shared" si="426"/>
        <v>3.7844106448460479</v>
      </c>
      <c r="S1838" s="140">
        <f t="shared" si="428"/>
        <v>50.862826878517041</v>
      </c>
    </row>
    <row r="1839" spans="1:19" ht="15" x14ac:dyDescent="0.25">
      <c r="A1839" s="60" t="s">
        <v>134</v>
      </c>
      <c r="B1839" s="60" t="s">
        <v>16</v>
      </c>
      <c r="C1839" s="60" t="s">
        <v>17</v>
      </c>
      <c r="D1839" s="60" t="s">
        <v>90</v>
      </c>
      <c r="E1839" s="89">
        <f t="shared" si="429"/>
        <v>41791</v>
      </c>
      <c r="F1839" s="61"/>
      <c r="G1839" s="92">
        <v>2078</v>
      </c>
      <c r="H1839" s="138">
        <v>213</v>
      </c>
      <c r="I1839" s="138" t="s">
        <v>92</v>
      </c>
      <c r="J1839" s="141">
        <f t="shared" si="427"/>
        <v>0.38</v>
      </c>
      <c r="K1839" s="95">
        <f t="shared" si="420"/>
        <v>20.635551142005959</v>
      </c>
      <c r="L1839" s="95">
        <f t="shared" si="421"/>
        <v>0.5241801801801802</v>
      </c>
      <c r="M1839" s="133">
        <f t="shared" si="422"/>
        <v>80.94</v>
      </c>
      <c r="N1839" s="133">
        <f t="shared" si="423"/>
        <v>2158.94</v>
      </c>
      <c r="O1839" s="134">
        <f t="shared" si="424"/>
        <v>21.439324726911618</v>
      </c>
      <c r="P1839" s="134">
        <f t="shared" si="425"/>
        <v>0.54459747747747755</v>
      </c>
      <c r="R1839" s="149">
        <f t="shared" si="426"/>
        <v>3.5557197058724732</v>
      </c>
      <c r="S1839" s="140">
        <f t="shared" si="428"/>
        <v>21.446375372393248</v>
      </c>
    </row>
    <row r="1840" spans="1:19" ht="15" x14ac:dyDescent="0.25">
      <c r="A1840" s="60" t="s">
        <v>134</v>
      </c>
      <c r="B1840" s="60" t="s">
        <v>18</v>
      </c>
      <c r="C1840" s="60" t="s">
        <v>19</v>
      </c>
      <c r="D1840" s="60" t="s">
        <v>90</v>
      </c>
      <c r="E1840" s="89">
        <f t="shared" si="429"/>
        <v>41791</v>
      </c>
      <c r="F1840" s="61"/>
      <c r="G1840" s="92">
        <v>4061</v>
      </c>
      <c r="H1840" s="138">
        <v>650</v>
      </c>
      <c r="I1840" s="138" t="s">
        <v>94</v>
      </c>
      <c r="J1840" s="141">
        <f t="shared" si="427"/>
        <v>0.5</v>
      </c>
      <c r="K1840" s="95">
        <f t="shared" si="420"/>
        <v>40.327706057596821</v>
      </c>
      <c r="L1840" s="95">
        <f t="shared" si="421"/>
        <v>1.0243963963963965</v>
      </c>
      <c r="M1840" s="133">
        <f t="shared" si="422"/>
        <v>325</v>
      </c>
      <c r="N1840" s="133">
        <f t="shared" si="423"/>
        <v>4386</v>
      </c>
      <c r="O1840" s="134">
        <f t="shared" si="424"/>
        <v>43.555114200595831</v>
      </c>
      <c r="P1840" s="134">
        <f t="shared" si="425"/>
        <v>1.1063783783783785</v>
      </c>
      <c r="R1840" s="149">
        <f t="shared" si="426"/>
        <v>3.4800047186504646</v>
      </c>
      <c r="S1840" s="140">
        <f t="shared" si="428"/>
        <v>43.576630254882495</v>
      </c>
    </row>
    <row r="1841" spans="1:19" ht="15" x14ac:dyDescent="0.25">
      <c r="A1841" s="60" t="s">
        <v>134</v>
      </c>
      <c r="B1841" s="60" t="s">
        <v>18</v>
      </c>
      <c r="C1841" s="60" t="s">
        <v>20</v>
      </c>
      <c r="D1841" s="60" t="s">
        <v>90</v>
      </c>
      <c r="E1841" s="89">
        <f t="shared" si="429"/>
        <v>41791</v>
      </c>
      <c r="F1841" s="61"/>
      <c r="G1841" s="92">
        <v>3469</v>
      </c>
      <c r="H1841" s="138">
        <v>417</v>
      </c>
      <c r="I1841" s="138" t="s">
        <v>94</v>
      </c>
      <c r="J1841" s="141">
        <f t="shared" si="427"/>
        <v>0.5</v>
      </c>
      <c r="K1841" s="95">
        <f t="shared" si="420"/>
        <v>34.44885799404171</v>
      </c>
      <c r="L1841" s="95">
        <f t="shared" si="421"/>
        <v>0.87506306306306303</v>
      </c>
      <c r="M1841" s="133">
        <f t="shared" si="422"/>
        <v>208.5</v>
      </c>
      <c r="N1841" s="133">
        <f t="shared" si="423"/>
        <v>3677.5</v>
      </c>
      <c r="O1841" s="134">
        <f t="shared" si="424"/>
        <v>36.519364448857992</v>
      </c>
      <c r="P1841" s="134">
        <f t="shared" si="425"/>
        <v>0.92765765765765762</v>
      </c>
      <c r="R1841" s="149">
        <f t="shared" si="426"/>
        <v>3.3490429499231311</v>
      </c>
      <c r="S1841" s="140">
        <f t="shared" si="428"/>
        <v>36.533167825223437</v>
      </c>
    </row>
    <row r="1842" spans="1:19" ht="15" x14ac:dyDescent="0.25">
      <c r="A1842" s="60" t="s">
        <v>134</v>
      </c>
      <c r="B1842" s="60" t="s">
        <v>16</v>
      </c>
      <c r="C1842" s="60" t="s">
        <v>21</v>
      </c>
      <c r="D1842" s="60" t="s">
        <v>90</v>
      </c>
      <c r="E1842" s="89">
        <f t="shared" si="429"/>
        <v>41791</v>
      </c>
      <c r="F1842" s="61"/>
      <c r="G1842" s="92">
        <v>3218</v>
      </c>
      <c r="H1842" s="138">
        <v>626</v>
      </c>
      <c r="I1842" s="138" t="s">
        <v>92</v>
      </c>
      <c r="J1842" s="141">
        <f t="shared" si="427"/>
        <v>0.38</v>
      </c>
      <c r="K1842" s="95">
        <f t="shared" si="420"/>
        <v>31.95630585898709</v>
      </c>
      <c r="L1842" s="95">
        <f t="shared" si="421"/>
        <v>0.81174774774774772</v>
      </c>
      <c r="M1842" s="133">
        <f t="shared" si="422"/>
        <v>237.88</v>
      </c>
      <c r="N1842" s="133">
        <f t="shared" si="423"/>
        <v>3455.88</v>
      </c>
      <c r="O1842" s="134">
        <f t="shared" si="424"/>
        <v>34.31857000993049</v>
      </c>
      <c r="P1842" s="134">
        <f t="shared" si="425"/>
        <v>0.8717535135135136</v>
      </c>
      <c r="R1842" s="149">
        <f t="shared" si="426"/>
        <v>2.3170161237794806</v>
      </c>
      <c r="S1842" s="140">
        <f t="shared" si="428"/>
        <v>34.33929162528964</v>
      </c>
    </row>
    <row r="1843" spans="1:19" ht="15" x14ac:dyDescent="0.25">
      <c r="A1843" s="60" t="s">
        <v>134</v>
      </c>
      <c r="B1843" s="60" t="s">
        <v>16</v>
      </c>
      <c r="C1843" s="60" t="s">
        <v>6</v>
      </c>
      <c r="D1843" s="60" t="s">
        <v>90</v>
      </c>
      <c r="E1843" s="89">
        <f t="shared" si="429"/>
        <v>41791</v>
      </c>
      <c r="F1843" s="61"/>
      <c r="G1843" s="92">
        <v>5215</v>
      </c>
      <c r="H1843" s="138">
        <v>1823</v>
      </c>
      <c r="I1843" s="138" t="s">
        <v>92</v>
      </c>
      <c r="J1843" s="141">
        <f t="shared" si="427"/>
        <v>0.38</v>
      </c>
      <c r="K1843" s="95">
        <f t="shared" si="420"/>
        <v>51.787487586891757</v>
      </c>
      <c r="L1843" s="95">
        <f t="shared" si="421"/>
        <v>1.3154954954954956</v>
      </c>
      <c r="M1843" s="133">
        <f t="shared" si="422"/>
        <v>692.74</v>
      </c>
      <c r="N1843" s="133">
        <f t="shared" si="423"/>
        <v>5907.74</v>
      </c>
      <c r="O1843" s="134">
        <f t="shared" si="424"/>
        <v>58.666732869910625</v>
      </c>
      <c r="P1843" s="134">
        <f t="shared" si="425"/>
        <v>1.4902407207207207</v>
      </c>
      <c r="R1843" s="149">
        <f t="shared" si="426"/>
        <v>2.931086451630871</v>
      </c>
      <c r="S1843" s="140">
        <f t="shared" si="428"/>
        <v>58.727077126779214</v>
      </c>
    </row>
    <row r="1844" spans="1:19" ht="15" x14ac:dyDescent="0.25">
      <c r="A1844" s="60" t="s">
        <v>22</v>
      </c>
      <c r="B1844" s="60" t="s">
        <v>23</v>
      </c>
      <c r="C1844" s="60" t="s">
        <v>7</v>
      </c>
      <c r="D1844" s="60" t="s">
        <v>90</v>
      </c>
      <c r="E1844" s="89">
        <f t="shared" si="429"/>
        <v>41791</v>
      </c>
      <c r="F1844" s="61"/>
      <c r="G1844" s="92">
        <v>3414</v>
      </c>
      <c r="H1844" s="138">
        <v>1295</v>
      </c>
      <c r="I1844" s="138" t="s">
        <v>95</v>
      </c>
      <c r="J1844" s="141">
        <f t="shared" si="427"/>
        <v>0.32200000000000001</v>
      </c>
      <c r="K1844" s="95">
        <f t="shared" si="420"/>
        <v>33.902681231380335</v>
      </c>
      <c r="L1844" s="95">
        <f t="shared" si="421"/>
        <v>0.92270270270270272</v>
      </c>
      <c r="M1844" s="133">
        <f t="shared" si="422"/>
        <v>416.99</v>
      </c>
      <c r="N1844" s="133">
        <f t="shared" si="423"/>
        <v>3830.99</v>
      </c>
      <c r="O1844" s="134">
        <f t="shared" si="424"/>
        <v>38.043594836146966</v>
      </c>
      <c r="P1844" s="134">
        <f t="shared" si="425"/>
        <v>1.0354027027027026</v>
      </c>
      <c r="R1844" s="149">
        <f t="shared" si="426"/>
        <v>3.2999304186462242</v>
      </c>
      <c r="S1844" s="140">
        <f t="shared" si="428"/>
        <v>38.126421714664012</v>
      </c>
    </row>
    <row r="1845" spans="1:19" ht="15" x14ac:dyDescent="0.25">
      <c r="A1845" s="60" t="s">
        <v>22</v>
      </c>
      <c r="B1845" s="60" t="s">
        <v>14</v>
      </c>
      <c r="C1845" s="60" t="s">
        <v>24</v>
      </c>
      <c r="D1845" s="60" t="s">
        <v>90</v>
      </c>
      <c r="E1845" s="89">
        <f t="shared" si="429"/>
        <v>41791</v>
      </c>
      <c r="F1845" s="61"/>
      <c r="G1845" s="92">
        <v>3687</v>
      </c>
      <c r="H1845" s="138">
        <v>615</v>
      </c>
      <c r="I1845" s="138" t="s">
        <v>94</v>
      </c>
      <c r="J1845" s="141">
        <f t="shared" si="427"/>
        <v>0.5</v>
      </c>
      <c r="K1845" s="95">
        <f t="shared" si="420"/>
        <v>36.613704071499505</v>
      </c>
      <c r="L1845" s="95">
        <f t="shared" si="421"/>
        <v>0.99648648648648652</v>
      </c>
      <c r="M1845" s="133">
        <f t="shared" si="422"/>
        <v>307.5</v>
      </c>
      <c r="N1845" s="133">
        <f t="shared" si="423"/>
        <v>3994.5</v>
      </c>
      <c r="O1845" s="134">
        <f t="shared" si="424"/>
        <v>39.667328699106257</v>
      </c>
      <c r="P1845" s="134">
        <f t="shared" si="425"/>
        <v>1.0795945945945946</v>
      </c>
      <c r="R1845" s="149">
        <f t="shared" si="426"/>
        <v>3.0479703845112116</v>
      </c>
      <c r="S1845" s="140">
        <f t="shared" si="428"/>
        <v>39.687686196623638</v>
      </c>
    </row>
    <row r="1846" spans="1:19" ht="15" x14ac:dyDescent="0.25">
      <c r="A1846" s="60" t="s">
        <v>22</v>
      </c>
      <c r="B1846" s="60" t="s">
        <v>18</v>
      </c>
      <c r="C1846" s="60" t="s">
        <v>15</v>
      </c>
      <c r="D1846" s="60" t="s">
        <v>90</v>
      </c>
      <c r="E1846" s="89">
        <f t="shared" si="429"/>
        <v>41791</v>
      </c>
      <c r="F1846" s="61"/>
      <c r="G1846" s="92">
        <v>4756</v>
      </c>
      <c r="H1846" s="138">
        <v>872</v>
      </c>
      <c r="I1846" s="138" t="s">
        <v>94</v>
      </c>
      <c r="J1846" s="141">
        <f t="shared" si="427"/>
        <v>0.5</v>
      </c>
      <c r="K1846" s="95">
        <f t="shared" si="420"/>
        <v>47.229394240317774</v>
      </c>
      <c r="L1846" s="95">
        <f t="shared" si="421"/>
        <v>1.2854054054054054</v>
      </c>
      <c r="M1846" s="133">
        <f t="shared" si="422"/>
        <v>436</v>
      </c>
      <c r="N1846" s="133">
        <f t="shared" si="423"/>
        <v>5192</v>
      </c>
      <c r="O1846" s="134">
        <f t="shared" si="424"/>
        <v>51.559086395233365</v>
      </c>
      <c r="P1846" s="134">
        <f t="shared" si="425"/>
        <v>1.4032432432432433</v>
      </c>
      <c r="R1846" s="149">
        <f t="shared" si="426"/>
        <v>3.7304606335709645</v>
      </c>
      <c r="S1846" s="140">
        <f t="shared" si="428"/>
        <v>51.587951009599465</v>
      </c>
    </row>
    <row r="1847" spans="1:19" ht="15" x14ac:dyDescent="0.25">
      <c r="A1847" s="60" t="s">
        <v>22</v>
      </c>
      <c r="B1847" s="60" t="s">
        <v>18</v>
      </c>
      <c r="C1847" s="60" t="s">
        <v>24</v>
      </c>
      <c r="D1847" s="60" t="s">
        <v>90</v>
      </c>
      <c r="E1847" s="89">
        <f t="shared" si="429"/>
        <v>41791</v>
      </c>
      <c r="F1847" s="61"/>
      <c r="G1847" s="92">
        <v>3379</v>
      </c>
      <c r="H1847" s="138">
        <v>417</v>
      </c>
      <c r="I1847" s="138" t="s">
        <v>94</v>
      </c>
      <c r="J1847" s="141">
        <f t="shared" si="427"/>
        <v>0.5</v>
      </c>
      <c r="K1847" s="95">
        <f t="shared" si="420"/>
        <v>33.555114200595831</v>
      </c>
      <c r="L1847" s="95">
        <f t="shared" si="421"/>
        <v>0.91324324324324324</v>
      </c>
      <c r="M1847" s="133">
        <f t="shared" si="422"/>
        <v>208.5</v>
      </c>
      <c r="N1847" s="133">
        <f t="shared" si="423"/>
        <v>3587.5</v>
      </c>
      <c r="O1847" s="134">
        <f t="shared" si="424"/>
        <v>35.625620655412114</v>
      </c>
      <c r="P1847" s="134">
        <f t="shared" si="425"/>
        <v>0.96959459459459463</v>
      </c>
      <c r="R1847" s="149">
        <f t="shared" si="426"/>
        <v>3.3465559310120296</v>
      </c>
      <c r="S1847" s="140">
        <f t="shared" si="428"/>
        <v>35.639424031777558</v>
      </c>
    </row>
    <row r="1848" spans="1:19" ht="15" x14ac:dyDescent="0.25">
      <c r="A1848" s="60" t="s">
        <v>22</v>
      </c>
      <c r="B1848" s="60" t="s">
        <v>13</v>
      </c>
      <c r="C1848" s="60" t="s">
        <v>7</v>
      </c>
      <c r="D1848" s="60" t="s">
        <v>90</v>
      </c>
      <c r="E1848" s="89">
        <f t="shared" si="429"/>
        <v>41791</v>
      </c>
      <c r="F1848" s="61"/>
      <c r="G1848" s="92">
        <v>3748</v>
      </c>
      <c r="H1848" s="138">
        <v>1006</v>
      </c>
      <c r="I1848" s="138" t="s">
        <v>92</v>
      </c>
      <c r="J1848" s="141">
        <f t="shared" si="427"/>
        <v>0.38</v>
      </c>
      <c r="K1848" s="95">
        <f t="shared" si="420"/>
        <v>37.219463753723929</v>
      </c>
      <c r="L1848" s="95">
        <f t="shared" si="421"/>
        <v>1.0129729729729731</v>
      </c>
      <c r="M1848" s="133">
        <f t="shared" si="422"/>
        <v>382.28000000000003</v>
      </c>
      <c r="N1848" s="133">
        <f t="shared" si="423"/>
        <v>4130.28</v>
      </c>
      <c r="O1848" s="134">
        <f t="shared" si="424"/>
        <v>41.015690168818267</v>
      </c>
      <c r="P1848" s="134">
        <f t="shared" si="425"/>
        <v>1.1162918918918918</v>
      </c>
      <c r="R1848" s="149">
        <f t="shared" si="426"/>
        <v>4.0053182649160801</v>
      </c>
      <c r="S1848" s="140">
        <f t="shared" si="428"/>
        <v>41.048990400529625</v>
      </c>
    </row>
    <row r="1849" spans="1:19" ht="15" x14ac:dyDescent="0.25">
      <c r="A1849" s="60" t="s">
        <v>1</v>
      </c>
      <c r="B1849" s="60" t="s">
        <v>25</v>
      </c>
      <c r="C1849" s="60" t="s">
        <v>26</v>
      </c>
      <c r="D1849" s="60" t="s">
        <v>91</v>
      </c>
      <c r="E1849" s="89">
        <f t="shared" si="429"/>
        <v>41791</v>
      </c>
      <c r="F1849" s="61"/>
      <c r="G1849" s="92">
        <v>3678</v>
      </c>
      <c r="H1849" s="138">
        <v>880</v>
      </c>
      <c r="I1849" s="138" t="s">
        <v>93</v>
      </c>
      <c r="J1849" s="141">
        <f t="shared" si="427"/>
        <v>0.37</v>
      </c>
      <c r="K1849" s="95">
        <f t="shared" si="420"/>
        <v>36.524329692154915</v>
      </c>
      <c r="L1849" s="95">
        <f t="shared" si="421"/>
        <v>0.994054054054054</v>
      </c>
      <c r="M1849" s="133">
        <f t="shared" si="422"/>
        <v>325.60000000000002</v>
      </c>
      <c r="N1849" s="133">
        <f t="shared" si="423"/>
        <v>4003.6</v>
      </c>
      <c r="O1849" s="134">
        <f t="shared" si="424"/>
        <v>39.757696127110229</v>
      </c>
      <c r="P1849" s="134">
        <f t="shared" si="425"/>
        <v>1.082054054054054</v>
      </c>
      <c r="R1849" s="149">
        <f t="shared" si="426"/>
        <v>2.7407103264216692</v>
      </c>
      <c r="S1849" s="140">
        <f t="shared" si="428"/>
        <v>39.815954981794107</v>
      </c>
    </row>
    <row r="1850" spans="1:19" ht="15" x14ac:dyDescent="0.25">
      <c r="A1850" s="60" t="s">
        <v>1</v>
      </c>
      <c r="B1850" s="60" t="s">
        <v>2</v>
      </c>
      <c r="C1850" s="60" t="s">
        <v>9</v>
      </c>
      <c r="D1850" s="60" t="s">
        <v>91</v>
      </c>
      <c r="E1850" s="89">
        <f t="shared" si="429"/>
        <v>41791</v>
      </c>
      <c r="F1850" s="61"/>
      <c r="G1850" s="92">
        <v>3798</v>
      </c>
      <c r="H1850" s="138">
        <v>685</v>
      </c>
      <c r="I1850" s="138" t="s">
        <v>93</v>
      </c>
      <c r="J1850" s="141">
        <f t="shared" si="427"/>
        <v>0.37</v>
      </c>
      <c r="K1850" s="95">
        <f t="shared" si="420"/>
        <v>37.715988083416086</v>
      </c>
      <c r="L1850" s="95">
        <f t="shared" si="421"/>
        <v>1.0264864864864864</v>
      </c>
      <c r="M1850" s="133">
        <f t="shared" si="422"/>
        <v>253.45</v>
      </c>
      <c r="N1850" s="133">
        <f t="shared" si="423"/>
        <v>4051.45</v>
      </c>
      <c r="O1850" s="134">
        <f t="shared" si="424"/>
        <v>40.232869910625617</v>
      </c>
      <c r="P1850" s="134">
        <f t="shared" si="425"/>
        <v>1.0949864864864864</v>
      </c>
      <c r="R1850" s="149">
        <f t="shared" si="426"/>
        <v>0.16936161795975124</v>
      </c>
      <c r="S1850" s="140">
        <f t="shared" si="428"/>
        <v>40.278219132737497</v>
      </c>
    </row>
    <row r="1851" spans="1:19" ht="15" x14ac:dyDescent="0.25">
      <c r="A1851" s="60" t="s">
        <v>1</v>
      </c>
      <c r="B1851" s="60" t="s">
        <v>27</v>
      </c>
      <c r="C1851" s="60" t="s">
        <v>28</v>
      </c>
      <c r="D1851" s="60" t="s">
        <v>91</v>
      </c>
      <c r="E1851" s="89">
        <f t="shared" si="429"/>
        <v>41791</v>
      </c>
      <c r="F1851" s="61"/>
      <c r="G1851" s="92">
        <v>3950</v>
      </c>
      <c r="H1851" s="138">
        <v>812</v>
      </c>
      <c r="I1851" s="138" t="s">
        <v>94</v>
      </c>
      <c r="J1851" s="141">
        <f t="shared" si="427"/>
        <v>0.5</v>
      </c>
      <c r="K1851" s="95">
        <f t="shared" si="420"/>
        <v>39.22542204568024</v>
      </c>
      <c r="L1851" s="95">
        <f t="shared" si="421"/>
        <v>1.0675675675675675</v>
      </c>
      <c r="M1851" s="133">
        <f t="shared" si="422"/>
        <v>406</v>
      </c>
      <c r="N1851" s="133">
        <f t="shared" si="423"/>
        <v>4356</v>
      </c>
      <c r="O1851" s="134">
        <f t="shared" si="424"/>
        <v>43.257199602780538</v>
      </c>
      <c r="P1851" s="134">
        <f t="shared" si="425"/>
        <v>1.1772972972972973</v>
      </c>
      <c r="R1851" s="149">
        <f t="shared" si="426"/>
        <v>4.4884957110782775</v>
      </c>
      <c r="S1851" s="140">
        <f t="shared" si="428"/>
        <v>43.284078119827875</v>
      </c>
    </row>
    <row r="1852" spans="1:19" ht="15" x14ac:dyDescent="0.25">
      <c r="A1852" s="60" t="s">
        <v>1</v>
      </c>
      <c r="B1852" s="60" t="s">
        <v>4</v>
      </c>
      <c r="C1852" s="60" t="s">
        <v>26</v>
      </c>
      <c r="D1852" s="60" t="s">
        <v>91</v>
      </c>
      <c r="E1852" s="89">
        <f t="shared" si="429"/>
        <v>41791</v>
      </c>
      <c r="F1852" s="61"/>
      <c r="G1852" s="92">
        <v>5159</v>
      </c>
      <c r="H1852" s="138">
        <v>1520</v>
      </c>
      <c r="I1852" s="138" t="s">
        <v>93</v>
      </c>
      <c r="J1852" s="141">
        <f t="shared" si="427"/>
        <v>0.37</v>
      </c>
      <c r="K1852" s="95">
        <f t="shared" si="420"/>
        <v>51.231380337636544</v>
      </c>
      <c r="L1852" s="95">
        <f t="shared" si="421"/>
        <v>1.3943243243243244</v>
      </c>
      <c r="M1852" s="133">
        <f t="shared" si="422"/>
        <v>562.4</v>
      </c>
      <c r="N1852" s="133">
        <f t="shared" si="423"/>
        <v>5721.4</v>
      </c>
      <c r="O1852" s="134">
        <f t="shared" si="424"/>
        <v>56.816285998013896</v>
      </c>
      <c r="P1852" s="134">
        <f t="shared" si="425"/>
        <v>1.5463243243243243</v>
      </c>
      <c r="R1852" s="149">
        <f t="shared" si="426"/>
        <v>2.0184729503227361</v>
      </c>
      <c r="S1852" s="140">
        <f t="shared" si="428"/>
        <v>56.91691492883151</v>
      </c>
    </row>
    <row r="1853" spans="1:19" ht="15" x14ac:dyDescent="0.25">
      <c r="A1853" s="60" t="s">
        <v>1</v>
      </c>
      <c r="B1853" s="60" t="s">
        <v>4</v>
      </c>
      <c r="C1853" s="60" t="s">
        <v>9</v>
      </c>
      <c r="D1853" s="60" t="s">
        <v>91</v>
      </c>
      <c r="E1853" s="89">
        <f t="shared" si="429"/>
        <v>41791</v>
      </c>
      <c r="F1853" s="61"/>
      <c r="G1853" s="92">
        <v>6084</v>
      </c>
      <c r="H1853" s="138">
        <v>1583</v>
      </c>
      <c r="I1853" s="138" t="s">
        <v>93</v>
      </c>
      <c r="J1853" s="141">
        <f t="shared" si="427"/>
        <v>0.37</v>
      </c>
      <c r="K1853" s="95">
        <f t="shared" si="420"/>
        <v>60.417080436941411</v>
      </c>
      <c r="L1853" s="95">
        <f t="shared" si="421"/>
        <v>1.6443243243243244</v>
      </c>
      <c r="M1853" s="133">
        <f t="shared" si="422"/>
        <v>585.71</v>
      </c>
      <c r="N1853" s="133">
        <f t="shared" si="423"/>
        <v>6669.71</v>
      </c>
      <c r="O1853" s="134">
        <f t="shared" si="424"/>
        <v>66.233465739821256</v>
      </c>
      <c r="P1853" s="134">
        <f t="shared" si="425"/>
        <v>1.8026243243243243</v>
      </c>
      <c r="R1853" s="149">
        <f t="shared" si="426"/>
        <v>0.26804452275146495</v>
      </c>
      <c r="S1853" s="140">
        <f t="shared" si="428"/>
        <v>66.338265475008271</v>
      </c>
    </row>
    <row r="1854" spans="1:19" ht="15" x14ac:dyDescent="0.25">
      <c r="A1854" s="60" t="s">
        <v>1</v>
      </c>
      <c r="B1854" s="60" t="s">
        <v>10</v>
      </c>
      <c r="C1854" s="60" t="s">
        <v>26</v>
      </c>
      <c r="D1854" s="60" t="s">
        <v>91</v>
      </c>
      <c r="E1854" s="89">
        <f t="shared" si="429"/>
        <v>41791</v>
      </c>
      <c r="F1854" s="61"/>
      <c r="G1854" s="92">
        <v>5043</v>
      </c>
      <c r="H1854" s="138">
        <v>1599</v>
      </c>
      <c r="I1854" s="138" t="s">
        <v>92</v>
      </c>
      <c r="J1854" s="141">
        <f t="shared" si="427"/>
        <v>0.38</v>
      </c>
      <c r="K1854" s="95">
        <f t="shared" si="420"/>
        <v>50.079443892750746</v>
      </c>
      <c r="L1854" s="95">
        <f t="shared" si="421"/>
        <v>1.3629729729729729</v>
      </c>
      <c r="M1854" s="133">
        <f t="shared" si="422"/>
        <v>607.62</v>
      </c>
      <c r="N1854" s="133">
        <f t="shared" si="423"/>
        <v>5650.62</v>
      </c>
      <c r="O1854" s="134">
        <f t="shared" si="424"/>
        <v>56.113406156901682</v>
      </c>
      <c r="P1854" s="134">
        <f t="shared" si="425"/>
        <v>1.5271945945945946</v>
      </c>
      <c r="R1854" s="149">
        <f t="shared" si="426"/>
        <v>0.28378083387905484</v>
      </c>
      <c r="S1854" s="140">
        <f t="shared" si="428"/>
        <v>56.166335650446861</v>
      </c>
    </row>
    <row r="1855" spans="1:19" ht="15" x14ac:dyDescent="0.25">
      <c r="A1855" s="60" t="s">
        <v>134</v>
      </c>
      <c r="B1855" s="60" t="s">
        <v>23</v>
      </c>
      <c r="C1855" s="60" t="s">
        <v>26</v>
      </c>
      <c r="D1855" s="60" t="s">
        <v>91</v>
      </c>
      <c r="E1855" s="89">
        <f t="shared" si="429"/>
        <v>41791</v>
      </c>
      <c r="F1855" s="61"/>
      <c r="G1855" s="92">
        <v>5000</v>
      </c>
      <c r="H1855" s="138">
        <v>1851</v>
      </c>
      <c r="I1855" s="138" t="s">
        <v>93</v>
      </c>
      <c r="J1855" s="141">
        <f t="shared" si="427"/>
        <v>0.37</v>
      </c>
      <c r="K1855" s="95">
        <f t="shared" si="420"/>
        <v>49.652432969215489</v>
      </c>
      <c r="L1855" s="95">
        <f t="shared" si="421"/>
        <v>1.2612612612612613</v>
      </c>
      <c r="M1855" s="133">
        <f t="shared" si="422"/>
        <v>684.87</v>
      </c>
      <c r="N1855" s="133">
        <f t="shared" si="423"/>
        <v>5684.87</v>
      </c>
      <c r="O1855" s="134">
        <f t="shared" si="424"/>
        <v>56.453525322740809</v>
      </c>
      <c r="P1855" s="134">
        <f t="shared" si="425"/>
        <v>1.4340212612612613</v>
      </c>
      <c r="R1855" s="149">
        <f t="shared" si="426"/>
        <v>3.9973583883974095</v>
      </c>
      <c r="S1855" s="140">
        <f t="shared" si="428"/>
        <v>56.57606752730883</v>
      </c>
    </row>
    <row r="1856" spans="1:19" ht="15" x14ac:dyDescent="0.25">
      <c r="A1856" s="60" t="s">
        <v>134</v>
      </c>
      <c r="B1856" s="60" t="s">
        <v>8</v>
      </c>
      <c r="C1856" s="60" t="s">
        <v>29</v>
      </c>
      <c r="D1856" s="60" t="s">
        <v>91</v>
      </c>
      <c r="E1856" s="89">
        <f t="shared" si="429"/>
        <v>41791</v>
      </c>
      <c r="F1856" s="61"/>
      <c r="G1856" s="92">
        <v>4960</v>
      </c>
      <c r="H1856" s="138">
        <v>1695</v>
      </c>
      <c r="I1856" s="138" t="s">
        <v>93</v>
      </c>
      <c r="J1856" s="141">
        <f t="shared" si="427"/>
        <v>0.37</v>
      </c>
      <c r="K1856" s="95">
        <f t="shared" si="420"/>
        <v>49.255213505461768</v>
      </c>
      <c r="L1856" s="95">
        <f t="shared" si="421"/>
        <v>1.2511711711711713</v>
      </c>
      <c r="M1856" s="133">
        <f t="shared" si="422"/>
        <v>627.15</v>
      </c>
      <c r="N1856" s="133">
        <f t="shared" si="423"/>
        <v>5587.15</v>
      </c>
      <c r="O1856" s="134">
        <f t="shared" si="424"/>
        <v>55.483118172790462</v>
      </c>
      <c r="P1856" s="134">
        <f t="shared" si="425"/>
        <v>1.4093711711711712</v>
      </c>
      <c r="R1856" s="149">
        <f t="shared" si="426"/>
        <v>4.0398867826151763</v>
      </c>
      <c r="S1856" s="140">
        <f t="shared" si="428"/>
        <v>55.595332671300895</v>
      </c>
    </row>
    <row r="1857" spans="1:19" ht="15" x14ac:dyDescent="0.25">
      <c r="A1857" s="60" t="s">
        <v>134</v>
      </c>
      <c r="B1857" s="60" t="s">
        <v>13</v>
      </c>
      <c r="C1857" s="60" t="s">
        <v>7</v>
      </c>
      <c r="D1857" s="60" t="s">
        <v>91</v>
      </c>
      <c r="E1857" s="89">
        <f t="shared" si="429"/>
        <v>41791</v>
      </c>
      <c r="F1857" s="61"/>
      <c r="G1857" s="92">
        <v>3011</v>
      </c>
      <c r="H1857" s="138">
        <v>1006</v>
      </c>
      <c r="I1857" s="138" t="s">
        <v>92</v>
      </c>
      <c r="J1857" s="141">
        <f t="shared" si="427"/>
        <v>0.38</v>
      </c>
      <c r="K1857" s="95">
        <f t="shared" si="420"/>
        <v>29.900695134061568</v>
      </c>
      <c r="L1857" s="95">
        <f t="shared" si="421"/>
        <v>0.75953153153153152</v>
      </c>
      <c r="M1857" s="133">
        <f t="shared" si="422"/>
        <v>382.28000000000003</v>
      </c>
      <c r="N1857" s="133">
        <f t="shared" si="423"/>
        <v>3393.28</v>
      </c>
      <c r="O1857" s="134">
        <f t="shared" si="424"/>
        <v>33.69692154915591</v>
      </c>
      <c r="P1857" s="134">
        <f t="shared" si="425"/>
        <v>0.85596252252252258</v>
      </c>
      <c r="R1857" s="149">
        <f t="shared" si="426"/>
        <v>2.7886660083242143</v>
      </c>
      <c r="S1857" s="140">
        <f t="shared" si="428"/>
        <v>33.730221780867261</v>
      </c>
    </row>
    <row r="1858" spans="1:19" ht="15" x14ac:dyDescent="0.25">
      <c r="A1858" s="60" t="s">
        <v>134</v>
      </c>
      <c r="B1858" s="60" t="s">
        <v>30</v>
      </c>
      <c r="C1858" s="60" t="s">
        <v>9</v>
      </c>
      <c r="D1858" s="60" t="s">
        <v>91</v>
      </c>
      <c r="E1858" s="89">
        <f t="shared" si="429"/>
        <v>41791</v>
      </c>
      <c r="F1858" s="61"/>
      <c r="G1858" s="92">
        <v>3510</v>
      </c>
      <c r="H1858" s="138">
        <v>988</v>
      </c>
      <c r="I1858" s="138" t="s">
        <v>93</v>
      </c>
      <c r="J1858" s="141">
        <f t="shared" si="427"/>
        <v>0.37</v>
      </c>
      <c r="K1858" s="95">
        <f t="shared" si="420"/>
        <v>34.856007944389276</v>
      </c>
      <c r="L1858" s="95">
        <f t="shared" si="421"/>
        <v>0.88540540540540547</v>
      </c>
      <c r="M1858" s="133">
        <f t="shared" si="422"/>
        <v>365.56</v>
      </c>
      <c r="N1858" s="133">
        <f t="shared" si="423"/>
        <v>3875.56</v>
      </c>
      <c r="O1858" s="134">
        <f t="shared" si="424"/>
        <v>38.486196623634555</v>
      </c>
      <c r="P1858" s="134">
        <f t="shared" si="425"/>
        <v>0.97761873873873872</v>
      </c>
      <c r="R1858" s="149">
        <f t="shared" si="426"/>
        <v>5.725540690949571</v>
      </c>
      <c r="S1858" s="140">
        <f t="shared" si="428"/>
        <v>38.551605428666001</v>
      </c>
    </row>
    <row r="1859" spans="1:19" ht="15" x14ac:dyDescent="0.25">
      <c r="A1859" s="60" t="s">
        <v>134</v>
      </c>
      <c r="B1859" s="60" t="s">
        <v>16</v>
      </c>
      <c r="C1859" s="60" t="s">
        <v>11</v>
      </c>
      <c r="D1859" s="60" t="s">
        <v>91</v>
      </c>
      <c r="E1859" s="89">
        <f t="shared" si="429"/>
        <v>41791</v>
      </c>
      <c r="F1859" s="61"/>
      <c r="G1859" s="92">
        <v>3590</v>
      </c>
      <c r="H1859" s="138">
        <v>787</v>
      </c>
      <c r="I1859" s="138" t="s">
        <v>92</v>
      </c>
      <c r="J1859" s="141">
        <f t="shared" si="427"/>
        <v>0.38</v>
      </c>
      <c r="K1859" s="95">
        <f t="shared" si="420"/>
        <v>35.650446871896719</v>
      </c>
      <c r="L1859" s="95">
        <f t="shared" si="421"/>
        <v>0.90558558558558555</v>
      </c>
      <c r="M1859" s="133">
        <f t="shared" si="422"/>
        <v>299.06</v>
      </c>
      <c r="N1859" s="133">
        <f t="shared" si="423"/>
        <v>3889.06</v>
      </c>
      <c r="O1859" s="134">
        <f t="shared" si="424"/>
        <v>38.620258192651441</v>
      </c>
      <c r="P1859" s="134">
        <f t="shared" si="425"/>
        <v>0.98102414414414418</v>
      </c>
      <c r="R1859" s="149">
        <f t="shared" si="426"/>
        <v>2.3116445113240847</v>
      </c>
      <c r="S1859" s="140">
        <f t="shared" si="428"/>
        <v>38.646309169149283</v>
      </c>
    </row>
    <row r="1860" spans="1:19" ht="15" x14ac:dyDescent="0.25">
      <c r="A1860" s="60" t="s">
        <v>134</v>
      </c>
      <c r="B1860" s="60" t="s">
        <v>23</v>
      </c>
      <c r="C1860" s="60" t="s">
        <v>29</v>
      </c>
      <c r="D1860" s="60" t="s">
        <v>91</v>
      </c>
      <c r="E1860" s="89">
        <f t="shared" si="429"/>
        <v>41791</v>
      </c>
      <c r="F1860" s="61"/>
      <c r="G1860" s="92">
        <v>5000</v>
      </c>
      <c r="H1860" s="138">
        <v>1836</v>
      </c>
      <c r="I1860" s="138" t="s">
        <v>93</v>
      </c>
      <c r="J1860" s="141">
        <f t="shared" si="427"/>
        <v>0.37</v>
      </c>
      <c r="K1860" s="95">
        <f t="shared" si="420"/>
        <v>49.652432969215489</v>
      </c>
      <c r="L1860" s="95">
        <f t="shared" si="421"/>
        <v>1.2612612612612613</v>
      </c>
      <c r="M1860" s="133">
        <f t="shared" si="422"/>
        <v>679.31999999999994</v>
      </c>
      <c r="N1860" s="133">
        <f t="shared" si="423"/>
        <v>5679.32</v>
      </c>
      <c r="O1860" s="134">
        <f t="shared" si="424"/>
        <v>56.398411122144978</v>
      </c>
      <c r="P1860" s="134">
        <f t="shared" si="425"/>
        <v>1.4326212612612612</v>
      </c>
      <c r="R1860" s="149">
        <f t="shared" si="426"/>
        <v>3.9985643549852012</v>
      </c>
      <c r="S1860" s="140">
        <f t="shared" si="428"/>
        <v>56.519960278053624</v>
      </c>
    </row>
    <row r="1861" spans="1:19" ht="15" x14ac:dyDescent="0.25">
      <c r="A1861" s="60" t="s">
        <v>134</v>
      </c>
      <c r="B1861" s="60" t="s">
        <v>31</v>
      </c>
      <c r="C1861" s="60" t="s">
        <v>32</v>
      </c>
      <c r="D1861" s="60" t="s">
        <v>91</v>
      </c>
      <c r="E1861" s="89">
        <f t="shared" si="429"/>
        <v>41791</v>
      </c>
      <c r="F1861" s="61"/>
      <c r="G1861" s="92">
        <v>4400</v>
      </c>
      <c r="H1861" s="138">
        <v>1899</v>
      </c>
      <c r="I1861" s="138" t="s">
        <v>93</v>
      </c>
      <c r="J1861" s="141">
        <f t="shared" si="427"/>
        <v>0.37</v>
      </c>
      <c r="K1861" s="95">
        <f t="shared" si="420"/>
        <v>43.694141012909633</v>
      </c>
      <c r="L1861" s="95">
        <f t="shared" si="421"/>
        <v>1.1099099099099099</v>
      </c>
      <c r="M1861" s="133">
        <f t="shared" si="422"/>
        <v>702.63</v>
      </c>
      <c r="N1861" s="133">
        <f t="shared" si="423"/>
        <v>5102.63</v>
      </c>
      <c r="O1861" s="134">
        <f t="shared" si="424"/>
        <v>50.671598808341606</v>
      </c>
      <c r="P1861" s="134">
        <f t="shared" si="425"/>
        <v>1.28714990990991</v>
      </c>
      <c r="R1861" s="149">
        <f t="shared" si="426"/>
        <v>4.484155261239553</v>
      </c>
      <c r="S1861" s="140">
        <f t="shared" si="428"/>
        <v>50.797318768619654</v>
      </c>
    </row>
    <row r="1862" spans="1:19" ht="15" x14ac:dyDescent="0.25">
      <c r="A1862" s="60" t="s">
        <v>22</v>
      </c>
      <c r="B1862" s="60" t="s">
        <v>8</v>
      </c>
      <c r="C1862" s="60" t="s">
        <v>29</v>
      </c>
      <c r="D1862" s="60" t="s">
        <v>91</v>
      </c>
      <c r="E1862" s="89">
        <f t="shared" si="429"/>
        <v>41791</v>
      </c>
      <c r="F1862" s="61"/>
      <c r="G1862" s="92">
        <v>5520</v>
      </c>
      <c r="H1862" s="138">
        <v>1695</v>
      </c>
      <c r="I1862" s="138" t="s">
        <v>93</v>
      </c>
      <c r="J1862" s="141">
        <f t="shared" si="427"/>
        <v>0.37</v>
      </c>
      <c r="K1862" s="95">
        <f t="shared" si="420"/>
        <v>54.816285998013903</v>
      </c>
      <c r="L1862" s="95">
        <f t="shared" si="421"/>
        <v>1.491891891891892</v>
      </c>
      <c r="M1862" s="133">
        <f t="shared" si="422"/>
        <v>627.15</v>
      </c>
      <c r="N1862" s="133">
        <f t="shared" si="423"/>
        <v>6147.15</v>
      </c>
      <c r="O1862" s="134">
        <f t="shared" si="424"/>
        <v>61.044190665342597</v>
      </c>
      <c r="P1862" s="134">
        <f t="shared" si="425"/>
        <v>1.6613918918918917</v>
      </c>
      <c r="R1862" s="149">
        <f t="shared" si="426"/>
        <v>3.6583926343124906</v>
      </c>
      <c r="S1862" s="140">
        <f t="shared" si="428"/>
        <v>61.15640516385303</v>
      </c>
    </row>
    <row r="1863" spans="1:19" ht="15" x14ac:dyDescent="0.25">
      <c r="A1863" s="60" t="s">
        <v>22</v>
      </c>
      <c r="B1863" s="60" t="s">
        <v>23</v>
      </c>
      <c r="C1863" s="60" t="s">
        <v>26</v>
      </c>
      <c r="D1863" s="60" t="s">
        <v>91</v>
      </c>
      <c r="E1863" s="89">
        <f t="shared" si="429"/>
        <v>41791</v>
      </c>
      <c r="F1863" s="61"/>
      <c r="G1863" s="92">
        <v>5530</v>
      </c>
      <c r="H1863" s="138">
        <v>1851</v>
      </c>
      <c r="I1863" s="138" t="s">
        <v>93</v>
      </c>
      <c r="J1863" s="141">
        <f t="shared" si="427"/>
        <v>0.37</v>
      </c>
      <c r="K1863" s="95">
        <f t="shared" si="420"/>
        <v>54.915590863952332</v>
      </c>
      <c r="L1863" s="95">
        <f t="shared" si="421"/>
        <v>1.4945945945945946</v>
      </c>
      <c r="M1863" s="133">
        <f t="shared" si="422"/>
        <v>684.87</v>
      </c>
      <c r="N1863" s="133">
        <f t="shared" si="423"/>
        <v>6214.87</v>
      </c>
      <c r="O1863" s="134">
        <f t="shared" si="424"/>
        <v>61.716683217477652</v>
      </c>
      <c r="P1863" s="134">
        <f t="shared" si="425"/>
        <v>1.6796945945945945</v>
      </c>
      <c r="R1863" s="149">
        <f t="shared" si="426"/>
        <v>3.6440440533924034</v>
      </c>
      <c r="S1863" s="140">
        <f t="shared" si="428"/>
        <v>61.839225422045672</v>
      </c>
    </row>
    <row r="1864" spans="1:19" ht="15" x14ac:dyDescent="0.25">
      <c r="A1864" s="60" t="s">
        <v>22</v>
      </c>
      <c r="B1864" s="60" t="s">
        <v>33</v>
      </c>
      <c r="C1864" s="60" t="s">
        <v>29</v>
      </c>
      <c r="D1864" s="60" t="s">
        <v>91</v>
      </c>
      <c r="E1864" s="89">
        <f t="shared" si="429"/>
        <v>41791</v>
      </c>
      <c r="F1864" s="61"/>
      <c r="G1864" s="92">
        <v>5430</v>
      </c>
      <c r="H1864" s="138">
        <v>1507</v>
      </c>
      <c r="I1864" s="138" t="s">
        <v>93</v>
      </c>
      <c r="J1864" s="141">
        <f t="shared" si="427"/>
        <v>0.37</v>
      </c>
      <c r="K1864" s="95">
        <f t="shared" si="420"/>
        <v>53.922542204568025</v>
      </c>
      <c r="L1864" s="95">
        <f t="shared" si="421"/>
        <v>1.4675675675675677</v>
      </c>
      <c r="M1864" s="133">
        <f t="shared" si="422"/>
        <v>557.59</v>
      </c>
      <c r="N1864" s="133">
        <f t="shared" si="423"/>
        <v>5987.59</v>
      </c>
      <c r="O1864" s="134">
        <f t="shared" si="424"/>
        <v>59.459682224428995</v>
      </c>
      <c r="P1864" s="134">
        <f t="shared" si="425"/>
        <v>1.6182675675675675</v>
      </c>
      <c r="R1864" s="149">
        <f t="shared" si="426"/>
        <v>3.7257558224137677</v>
      </c>
      <c r="S1864" s="140">
        <f t="shared" si="428"/>
        <v>59.559450513075141</v>
      </c>
    </row>
    <row r="1865" spans="1:19" ht="15" x14ac:dyDescent="0.25">
      <c r="A1865" s="60" t="s">
        <v>22</v>
      </c>
      <c r="B1865" s="60" t="s">
        <v>31</v>
      </c>
      <c r="C1865" s="60" t="s">
        <v>7</v>
      </c>
      <c r="D1865" s="60" t="s">
        <v>91</v>
      </c>
      <c r="E1865" s="89">
        <f t="shared" si="429"/>
        <v>41791</v>
      </c>
      <c r="F1865" s="61"/>
      <c r="G1865" s="92">
        <v>4175</v>
      </c>
      <c r="H1865" s="138">
        <v>1160</v>
      </c>
      <c r="I1865" s="138" t="s">
        <v>92</v>
      </c>
      <c r="J1865" s="141">
        <f t="shared" si="427"/>
        <v>0.38</v>
      </c>
      <c r="K1865" s="95">
        <f t="shared" si="420"/>
        <v>41.459781529294936</v>
      </c>
      <c r="L1865" s="95">
        <f t="shared" si="421"/>
        <v>1.1283783783783783</v>
      </c>
      <c r="M1865" s="133">
        <f t="shared" si="422"/>
        <v>440.8</v>
      </c>
      <c r="N1865" s="133">
        <f t="shared" si="423"/>
        <v>4615.8</v>
      </c>
      <c r="O1865" s="134">
        <f t="shared" si="424"/>
        <v>45.837140019860975</v>
      </c>
      <c r="P1865" s="134">
        <f t="shared" si="425"/>
        <v>1.2475135135135136</v>
      </c>
      <c r="R1865" s="149">
        <f t="shared" si="426"/>
        <v>5.402813299232756</v>
      </c>
      <c r="S1865" s="140">
        <f t="shared" si="428"/>
        <v>45.87553790135717</v>
      </c>
    </row>
    <row r="1866" spans="1:19" ht="15" x14ac:dyDescent="0.25">
      <c r="A1866" s="60" t="s">
        <v>22</v>
      </c>
      <c r="B1866" s="60" t="s">
        <v>14</v>
      </c>
      <c r="C1866" s="60" t="s">
        <v>24</v>
      </c>
      <c r="D1866" s="60" t="s">
        <v>91</v>
      </c>
      <c r="E1866" s="89">
        <f t="shared" si="429"/>
        <v>41791</v>
      </c>
      <c r="F1866" s="61"/>
      <c r="G1866" s="92">
        <v>2862</v>
      </c>
      <c r="H1866" s="138">
        <v>615</v>
      </c>
      <c r="I1866" s="138" t="s">
        <v>94</v>
      </c>
      <c r="J1866" s="141">
        <f t="shared" si="427"/>
        <v>0.5</v>
      </c>
      <c r="K1866" s="95">
        <f t="shared" si="420"/>
        <v>28.421052631578945</v>
      </c>
      <c r="L1866" s="95">
        <f t="shared" si="421"/>
        <v>0.7735135135135135</v>
      </c>
      <c r="M1866" s="133">
        <f t="shared" si="422"/>
        <v>307.5</v>
      </c>
      <c r="N1866" s="133">
        <f t="shared" si="423"/>
        <v>3169.5</v>
      </c>
      <c r="O1866" s="134">
        <f t="shared" si="424"/>
        <v>31.4746772591857</v>
      </c>
      <c r="P1866" s="134">
        <f t="shared" si="425"/>
        <v>0.85662162162162159</v>
      </c>
      <c r="R1866" s="149">
        <f t="shared" si="426"/>
        <v>3.8720566306716719</v>
      </c>
      <c r="S1866" s="140">
        <f t="shared" si="428"/>
        <v>31.495034756703078</v>
      </c>
    </row>
    <row r="1867" spans="1:19" ht="15" x14ac:dyDescent="0.25">
      <c r="A1867" s="85" t="s">
        <v>22</v>
      </c>
      <c r="B1867" s="85" t="s">
        <v>34</v>
      </c>
      <c r="C1867" s="85" t="s">
        <v>26</v>
      </c>
      <c r="D1867" s="85" t="s">
        <v>91</v>
      </c>
      <c r="E1867" s="91">
        <f t="shared" si="429"/>
        <v>41791</v>
      </c>
      <c r="F1867" s="86"/>
      <c r="G1867" s="105">
        <v>5110</v>
      </c>
      <c r="H1867" s="143">
        <v>1637</v>
      </c>
      <c r="I1867" s="143" t="s">
        <v>92</v>
      </c>
      <c r="J1867" s="117">
        <f t="shared" si="427"/>
        <v>0.38</v>
      </c>
      <c r="K1867" s="108">
        <f t="shared" si="420"/>
        <v>50.744786494538232</v>
      </c>
      <c r="L1867" s="108">
        <f t="shared" si="421"/>
        <v>1.3810810810810812</v>
      </c>
      <c r="M1867" s="115">
        <f t="shared" si="422"/>
        <v>622.06000000000006</v>
      </c>
      <c r="N1867" s="115">
        <f t="shared" si="423"/>
        <v>5732.06</v>
      </c>
      <c r="O1867" s="116">
        <f t="shared" si="424"/>
        <v>56.922144985104275</v>
      </c>
      <c r="P1867" s="116">
        <f t="shared" si="425"/>
        <v>1.5492054054054054</v>
      </c>
      <c r="Q1867" s="106"/>
      <c r="R1867" s="152">
        <f t="shared" si="426"/>
        <v>2.9892070884292909</v>
      </c>
      <c r="S1867" s="108">
        <f>AVERAGE(O1791,O1829,O1867)</f>
        <v>56.976332340284678</v>
      </c>
    </row>
    <row r="1868" spans="1:19" ht="15" x14ac:dyDescent="0.25">
      <c r="A1868" s="82" t="s">
        <v>1</v>
      </c>
      <c r="B1868" s="82" t="s">
        <v>2</v>
      </c>
      <c r="C1868" s="82" t="s">
        <v>3</v>
      </c>
      <c r="D1868" s="82" t="s">
        <v>90</v>
      </c>
      <c r="E1868" s="87">
        <v>41821</v>
      </c>
      <c r="F1868" s="83"/>
      <c r="G1868" s="92">
        <v>3387</v>
      </c>
      <c r="H1868" s="52">
        <v>506</v>
      </c>
      <c r="I1868" s="52" t="s">
        <v>92</v>
      </c>
      <c r="J1868" s="157">
        <f>IF(I1868="BNSF",0.37,IF(I1868="CN",0.3163,IF(I1868="CSX",0.49,0.37)))</f>
        <v>0.37</v>
      </c>
      <c r="K1868" s="101">
        <f t="shared" ref="K1868:K1905" si="430">G1868/100.7</f>
        <v>33.63455809334657</v>
      </c>
      <c r="L1868" s="101">
        <f t="shared" ref="L1868:L1905" si="431">IF(A1868="corn",G1868/(111*2000/56),G1868/(111*2000/60))</f>
        <v>0.91540540540540538</v>
      </c>
      <c r="M1868" s="133">
        <f t="shared" ref="M1868:M1905" si="432">H1868*J1868</f>
        <v>187.22</v>
      </c>
      <c r="N1868" s="133">
        <f t="shared" ref="N1868:N1905" si="433">G1868+M1868</f>
        <v>3574.22</v>
      </c>
      <c r="O1868" s="134">
        <f t="shared" ref="O1868:O1905" si="434">N1868/100.7</f>
        <v>35.493743793445873</v>
      </c>
      <c r="P1868" s="134">
        <f t="shared" ref="P1868:P1905" si="435">IF(A1868="corn",N1868/(111*2000/56),N1868/(111*2000/60))</f>
        <v>0.96600540540540536</v>
      </c>
      <c r="Q1868" s="160"/>
      <c r="R1868" s="149">
        <f t="shared" ref="R1868:R1905" si="436">((N1868/N1412)-1)*100</f>
        <v>5.9605829548553757</v>
      </c>
    </row>
    <row r="1869" spans="1:19" ht="15" x14ac:dyDescent="0.25">
      <c r="A1869" s="82" t="s">
        <v>1</v>
      </c>
      <c r="B1869" s="82" t="s">
        <v>4</v>
      </c>
      <c r="C1869" s="82" t="s">
        <v>5</v>
      </c>
      <c r="D1869" s="82" t="s">
        <v>90</v>
      </c>
      <c r="E1869" s="87">
        <f>E1868</f>
        <v>41821</v>
      </c>
      <c r="F1869" s="83"/>
      <c r="G1869" s="92">
        <v>3596</v>
      </c>
      <c r="H1869" s="52">
        <v>298</v>
      </c>
      <c r="I1869" s="52" t="s">
        <v>93</v>
      </c>
      <c r="J1869" s="157">
        <f>IF(I1869="BNSF",0.37,IF(I1869="CN",0.3163,IF(I1869="CSX",0.49,0.37)))</f>
        <v>0.37</v>
      </c>
      <c r="K1869" s="101">
        <f t="shared" si="430"/>
        <v>35.710029791459782</v>
      </c>
      <c r="L1869" s="101">
        <f t="shared" si="431"/>
        <v>0.97189189189189185</v>
      </c>
      <c r="M1869" s="133">
        <f t="shared" si="432"/>
        <v>110.26</v>
      </c>
      <c r="N1869" s="133">
        <f t="shared" si="433"/>
        <v>3706.26</v>
      </c>
      <c r="O1869" s="134">
        <f t="shared" si="434"/>
        <v>36.80496524329692</v>
      </c>
      <c r="P1869" s="134">
        <f t="shared" si="435"/>
        <v>1.001691891891892</v>
      </c>
      <c r="Q1869" s="160"/>
      <c r="R1869" s="149">
        <f t="shared" si="436"/>
        <v>1.616538261179512</v>
      </c>
    </row>
    <row r="1870" spans="1:19" ht="15" x14ac:dyDescent="0.25">
      <c r="A1870" s="82" t="s">
        <v>1</v>
      </c>
      <c r="B1870" s="82" t="s">
        <v>2</v>
      </c>
      <c r="C1870" s="82" t="s">
        <v>6</v>
      </c>
      <c r="D1870" s="82" t="s">
        <v>90</v>
      </c>
      <c r="E1870" s="87">
        <f t="shared" ref="E1870:E1905" si="437">E1869</f>
        <v>41821</v>
      </c>
      <c r="F1870" s="83"/>
      <c r="G1870" s="92">
        <v>6244</v>
      </c>
      <c r="H1870" s="52">
        <v>1530</v>
      </c>
      <c r="I1870" s="52" t="s">
        <v>93</v>
      </c>
      <c r="J1870" s="157">
        <f t="shared" ref="J1870:J1905" si="438">IF(I1870="BNSF",0.37,IF(I1870="CN",0.3163,IF(I1870="CSX",0.49,0.37)))</f>
        <v>0.37</v>
      </c>
      <c r="K1870" s="101">
        <f t="shared" si="430"/>
        <v>62.005958291956304</v>
      </c>
      <c r="L1870" s="101">
        <f t="shared" si="431"/>
        <v>1.6875675675675677</v>
      </c>
      <c r="M1870" s="133">
        <f t="shared" si="432"/>
        <v>566.1</v>
      </c>
      <c r="N1870" s="133">
        <f t="shared" si="433"/>
        <v>6810.1</v>
      </c>
      <c r="O1870" s="134">
        <f t="shared" si="434"/>
        <v>67.627606752730884</v>
      </c>
      <c r="P1870" s="134">
        <f t="shared" si="435"/>
        <v>1.8405675675675677</v>
      </c>
      <c r="R1870" s="149">
        <f t="shared" si="436"/>
        <v>0.45136071981710657</v>
      </c>
    </row>
    <row r="1871" spans="1:19" ht="15" x14ac:dyDescent="0.25">
      <c r="A1871" s="82" t="s">
        <v>1</v>
      </c>
      <c r="B1871" s="82" t="s">
        <v>2</v>
      </c>
      <c r="C1871" s="82" t="s">
        <v>7</v>
      </c>
      <c r="D1871" s="82" t="s">
        <v>90</v>
      </c>
      <c r="E1871" s="87">
        <f t="shared" si="437"/>
        <v>41821</v>
      </c>
      <c r="F1871" s="83"/>
      <c r="G1871" s="92">
        <v>4026</v>
      </c>
      <c r="H1871" s="52">
        <v>890</v>
      </c>
      <c r="I1871" s="52" t="s">
        <v>92</v>
      </c>
      <c r="J1871" s="157">
        <f t="shared" si="438"/>
        <v>0.37</v>
      </c>
      <c r="K1871" s="101">
        <f t="shared" si="430"/>
        <v>39.98013902681231</v>
      </c>
      <c r="L1871" s="101">
        <f t="shared" si="431"/>
        <v>1.0881081081081081</v>
      </c>
      <c r="M1871" s="133">
        <f t="shared" si="432"/>
        <v>329.3</v>
      </c>
      <c r="N1871" s="133">
        <f t="shared" si="433"/>
        <v>4355.3</v>
      </c>
      <c r="O1871" s="134">
        <f t="shared" si="434"/>
        <v>43.250248262164845</v>
      </c>
      <c r="P1871" s="134">
        <f t="shared" si="435"/>
        <v>1.1771081081081081</v>
      </c>
      <c r="R1871" s="149">
        <f t="shared" si="436"/>
        <v>5.4960759616316412</v>
      </c>
    </row>
    <row r="1872" spans="1:19" ht="15" x14ac:dyDescent="0.25">
      <c r="A1872" s="82" t="s">
        <v>1</v>
      </c>
      <c r="B1872" s="82" t="s">
        <v>8</v>
      </c>
      <c r="C1872" s="82" t="s">
        <v>9</v>
      </c>
      <c r="D1872" s="82" t="s">
        <v>90</v>
      </c>
      <c r="E1872" s="87">
        <f t="shared" si="437"/>
        <v>41821</v>
      </c>
      <c r="F1872" s="83"/>
      <c r="G1872" s="92">
        <v>5824</v>
      </c>
      <c r="H1872" s="52">
        <v>1256</v>
      </c>
      <c r="I1872" s="52" t="s">
        <v>93</v>
      </c>
      <c r="J1872" s="157">
        <f t="shared" si="438"/>
        <v>0.37</v>
      </c>
      <c r="K1872" s="101">
        <f t="shared" si="430"/>
        <v>57.835153922542204</v>
      </c>
      <c r="L1872" s="101">
        <f t="shared" si="431"/>
        <v>1.574054054054054</v>
      </c>
      <c r="M1872" s="133">
        <f t="shared" si="432"/>
        <v>464.71999999999997</v>
      </c>
      <c r="N1872" s="133">
        <f t="shared" si="433"/>
        <v>6288.72</v>
      </c>
      <c r="O1872" s="134">
        <f t="shared" si="434"/>
        <v>62.450049652432973</v>
      </c>
      <c r="P1872" s="134">
        <f t="shared" si="435"/>
        <v>1.6996540540540541</v>
      </c>
      <c r="R1872" s="149">
        <f t="shared" si="436"/>
        <v>0.40104732102943519</v>
      </c>
    </row>
    <row r="1873" spans="1:18" ht="15" x14ac:dyDescent="0.25">
      <c r="A1873" s="82" t="s">
        <v>1</v>
      </c>
      <c r="B1873" s="82" t="s">
        <v>10</v>
      </c>
      <c r="C1873" s="82" t="s">
        <v>9</v>
      </c>
      <c r="D1873" s="82" t="s">
        <v>90</v>
      </c>
      <c r="E1873" s="87">
        <f t="shared" si="437"/>
        <v>41821</v>
      </c>
      <c r="F1873" s="83"/>
      <c r="G1873" s="92">
        <v>4293</v>
      </c>
      <c r="H1873" s="52">
        <v>975</v>
      </c>
      <c r="I1873" s="52" t="s">
        <v>92</v>
      </c>
      <c r="J1873" s="157">
        <f t="shared" si="438"/>
        <v>0.37</v>
      </c>
      <c r="K1873" s="101">
        <f t="shared" si="430"/>
        <v>42.631578947368418</v>
      </c>
      <c r="L1873" s="101">
        <f t="shared" si="431"/>
        <v>1.1602702702702703</v>
      </c>
      <c r="M1873" s="133">
        <f t="shared" si="432"/>
        <v>360.75</v>
      </c>
      <c r="N1873" s="133">
        <f t="shared" si="433"/>
        <v>4653.75</v>
      </c>
      <c r="O1873" s="134">
        <f t="shared" si="434"/>
        <v>46.214001986097315</v>
      </c>
      <c r="P1873" s="134">
        <f t="shared" si="435"/>
        <v>1.2577702702702702</v>
      </c>
      <c r="R1873" s="149">
        <f t="shared" si="436"/>
        <v>5.121978766659141</v>
      </c>
    </row>
    <row r="1874" spans="1:18" ht="15" x14ac:dyDescent="0.25">
      <c r="A1874" s="82" t="s">
        <v>1</v>
      </c>
      <c r="B1874" s="82" t="s">
        <v>11</v>
      </c>
      <c r="C1874" s="82" t="s">
        <v>6</v>
      </c>
      <c r="D1874" s="82" t="s">
        <v>90</v>
      </c>
      <c r="E1874" s="87">
        <f t="shared" si="437"/>
        <v>41821</v>
      </c>
      <c r="F1874" s="83"/>
      <c r="G1874" s="92">
        <v>4492</v>
      </c>
      <c r="H1874" s="52">
        <v>1357</v>
      </c>
      <c r="I1874" s="52" t="s">
        <v>92</v>
      </c>
      <c r="J1874" s="157">
        <f t="shared" si="438"/>
        <v>0.37</v>
      </c>
      <c r="K1874" s="101">
        <f t="shared" si="430"/>
        <v>44.607745779543194</v>
      </c>
      <c r="L1874" s="101">
        <f t="shared" si="431"/>
        <v>1.2140540540540541</v>
      </c>
      <c r="M1874" s="133">
        <f t="shared" si="432"/>
        <v>502.09</v>
      </c>
      <c r="N1874" s="133">
        <f t="shared" si="433"/>
        <v>4994.09</v>
      </c>
      <c r="O1874" s="134">
        <f t="shared" si="434"/>
        <v>49.593743793445881</v>
      </c>
      <c r="P1874" s="134">
        <f t="shared" si="435"/>
        <v>1.349754054054054</v>
      </c>
      <c r="R1874" s="149">
        <f t="shared" si="436"/>
        <v>4.8403281606878901</v>
      </c>
    </row>
    <row r="1875" spans="1:18" ht="15" x14ac:dyDescent="0.25">
      <c r="A1875" s="82" t="s">
        <v>134</v>
      </c>
      <c r="B1875" s="82" t="s">
        <v>13</v>
      </c>
      <c r="C1875" s="82" t="s">
        <v>7</v>
      </c>
      <c r="D1875" s="82" t="s">
        <v>90</v>
      </c>
      <c r="E1875" s="87">
        <f t="shared" si="437"/>
        <v>41821</v>
      </c>
      <c r="F1875" s="83"/>
      <c r="G1875" s="92">
        <v>3192</v>
      </c>
      <c r="H1875" s="52">
        <v>1006</v>
      </c>
      <c r="I1875" s="52" t="s">
        <v>92</v>
      </c>
      <c r="J1875" s="157">
        <f t="shared" si="438"/>
        <v>0.37</v>
      </c>
      <c r="K1875" s="101">
        <f t="shared" si="430"/>
        <v>31.69811320754717</v>
      </c>
      <c r="L1875" s="101">
        <f t="shared" si="431"/>
        <v>0.80518918918918925</v>
      </c>
      <c r="M1875" s="133">
        <f t="shared" si="432"/>
        <v>372.21999999999997</v>
      </c>
      <c r="N1875" s="133">
        <f t="shared" si="433"/>
        <v>3564.22</v>
      </c>
      <c r="O1875" s="134">
        <f t="shared" si="434"/>
        <v>35.394438927507444</v>
      </c>
      <c r="P1875" s="134">
        <f t="shared" si="435"/>
        <v>0.89908252252252252</v>
      </c>
      <c r="R1875" s="149">
        <f t="shared" si="436"/>
        <v>2.6513755126491789</v>
      </c>
    </row>
    <row r="1876" spans="1:18" ht="15" x14ac:dyDescent="0.25">
      <c r="A1876" s="82" t="s">
        <v>134</v>
      </c>
      <c r="B1876" s="82" t="s">
        <v>14</v>
      </c>
      <c r="C1876" s="82" t="s">
        <v>15</v>
      </c>
      <c r="D1876" s="82" t="s">
        <v>90</v>
      </c>
      <c r="E1876" s="87">
        <f t="shared" si="437"/>
        <v>41821</v>
      </c>
      <c r="F1876" s="83"/>
      <c r="G1876" s="92">
        <v>4686</v>
      </c>
      <c r="H1876" s="52">
        <v>866</v>
      </c>
      <c r="I1876" s="52" t="s">
        <v>94</v>
      </c>
      <c r="J1876" s="157">
        <f t="shared" si="438"/>
        <v>0.49</v>
      </c>
      <c r="K1876" s="101">
        <f t="shared" si="430"/>
        <v>46.53426017874876</v>
      </c>
      <c r="L1876" s="101">
        <f t="shared" si="431"/>
        <v>1.1820540540540541</v>
      </c>
      <c r="M1876" s="133">
        <f t="shared" si="432"/>
        <v>424.34</v>
      </c>
      <c r="N1876" s="133">
        <f t="shared" si="433"/>
        <v>5110.34</v>
      </c>
      <c r="O1876" s="134">
        <f t="shared" si="434"/>
        <v>50.748162859980141</v>
      </c>
      <c r="P1876" s="134">
        <f t="shared" si="435"/>
        <v>1.2890947747747747</v>
      </c>
      <c r="R1876" s="149">
        <f t="shared" si="436"/>
        <v>3.9739411029863447</v>
      </c>
    </row>
    <row r="1877" spans="1:18" ht="15" x14ac:dyDescent="0.25">
      <c r="A1877" s="82" t="s">
        <v>134</v>
      </c>
      <c r="B1877" s="82" t="s">
        <v>16</v>
      </c>
      <c r="C1877" s="82" t="s">
        <v>17</v>
      </c>
      <c r="D1877" s="82" t="s">
        <v>90</v>
      </c>
      <c r="E1877" s="87">
        <f t="shared" si="437"/>
        <v>41821</v>
      </c>
      <c r="F1877" s="83"/>
      <c r="G1877" s="92">
        <v>2078</v>
      </c>
      <c r="H1877" s="52">
        <v>213</v>
      </c>
      <c r="I1877" s="52" t="s">
        <v>92</v>
      </c>
      <c r="J1877" s="157">
        <f t="shared" si="438"/>
        <v>0.37</v>
      </c>
      <c r="K1877" s="101">
        <f t="shared" si="430"/>
        <v>20.635551142005959</v>
      </c>
      <c r="L1877" s="101">
        <f t="shared" si="431"/>
        <v>0.5241801801801802</v>
      </c>
      <c r="M1877" s="133">
        <f t="shared" si="432"/>
        <v>78.81</v>
      </c>
      <c r="N1877" s="133">
        <f t="shared" si="433"/>
        <v>2156.81</v>
      </c>
      <c r="O1877" s="134">
        <f t="shared" si="434"/>
        <v>21.418172790466731</v>
      </c>
      <c r="P1877" s="134">
        <f t="shared" si="435"/>
        <v>0.54406018018018021</v>
      </c>
      <c r="R1877" s="149">
        <f t="shared" si="436"/>
        <v>3.5593562141087443</v>
      </c>
    </row>
    <row r="1878" spans="1:18" ht="15" x14ac:dyDescent="0.25">
      <c r="A1878" s="82" t="s">
        <v>134</v>
      </c>
      <c r="B1878" s="82" t="s">
        <v>18</v>
      </c>
      <c r="C1878" s="82" t="s">
        <v>19</v>
      </c>
      <c r="D1878" s="82" t="s">
        <v>90</v>
      </c>
      <c r="E1878" s="87">
        <f t="shared" si="437"/>
        <v>41821</v>
      </c>
      <c r="F1878" s="83"/>
      <c r="G1878" s="92">
        <v>4061</v>
      </c>
      <c r="H1878" s="52">
        <v>650</v>
      </c>
      <c r="I1878" s="52" t="s">
        <v>94</v>
      </c>
      <c r="J1878" s="157">
        <f t="shared" si="438"/>
        <v>0.49</v>
      </c>
      <c r="K1878" s="101">
        <f t="shared" si="430"/>
        <v>40.327706057596821</v>
      </c>
      <c r="L1878" s="101">
        <f t="shared" si="431"/>
        <v>1.0243963963963965</v>
      </c>
      <c r="M1878" s="133">
        <f t="shared" si="432"/>
        <v>318.5</v>
      </c>
      <c r="N1878" s="133">
        <f t="shared" si="433"/>
        <v>4379.5</v>
      </c>
      <c r="O1878" s="134">
        <f t="shared" si="434"/>
        <v>43.490566037735846</v>
      </c>
      <c r="P1878" s="134">
        <f t="shared" si="435"/>
        <v>1.1047387387387388</v>
      </c>
      <c r="R1878" s="149">
        <f t="shared" si="436"/>
        <v>3.644539107797895</v>
      </c>
    </row>
    <row r="1879" spans="1:18" ht="15" x14ac:dyDescent="0.25">
      <c r="A1879" s="82" t="s">
        <v>134</v>
      </c>
      <c r="B1879" s="82" t="s">
        <v>18</v>
      </c>
      <c r="C1879" s="82" t="s">
        <v>20</v>
      </c>
      <c r="D1879" s="82" t="s">
        <v>90</v>
      </c>
      <c r="E1879" s="87">
        <f t="shared" si="437"/>
        <v>41821</v>
      </c>
      <c r="F1879" s="83"/>
      <c r="G1879" s="92">
        <v>3469</v>
      </c>
      <c r="H1879" s="52">
        <v>417</v>
      </c>
      <c r="I1879" s="52" t="s">
        <v>94</v>
      </c>
      <c r="J1879" s="157">
        <f t="shared" si="438"/>
        <v>0.49</v>
      </c>
      <c r="K1879" s="101">
        <f t="shared" si="430"/>
        <v>34.44885799404171</v>
      </c>
      <c r="L1879" s="101">
        <f t="shared" si="431"/>
        <v>0.87506306306306303</v>
      </c>
      <c r="M1879" s="133">
        <f t="shared" si="432"/>
        <v>204.32999999999998</v>
      </c>
      <c r="N1879" s="133">
        <f t="shared" si="433"/>
        <v>3673.33</v>
      </c>
      <c r="O1879" s="134">
        <f t="shared" si="434"/>
        <v>36.477954319761665</v>
      </c>
      <c r="P1879" s="134">
        <f t="shared" si="435"/>
        <v>0.92660576576576581</v>
      </c>
      <c r="R1879" s="149">
        <f t="shared" si="436"/>
        <v>3.474375984157696</v>
      </c>
    </row>
    <row r="1880" spans="1:18" ht="15" x14ac:dyDescent="0.25">
      <c r="A1880" s="82" t="s">
        <v>134</v>
      </c>
      <c r="B1880" s="82" t="s">
        <v>16</v>
      </c>
      <c r="C1880" s="82" t="s">
        <v>21</v>
      </c>
      <c r="D1880" s="82" t="s">
        <v>90</v>
      </c>
      <c r="E1880" s="87">
        <f t="shared" si="437"/>
        <v>41821</v>
      </c>
      <c r="F1880" s="83"/>
      <c r="G1880" s="92">
        <v>3218</v>
      </c>
      <c r="H1880" s="52">
        <v>626</v>
      </c>
      <c r="I1880" s="52" t="s">
        <v>92</v>
      </c>
      <c r="J1880" s="157">
        <f t="shared" si="438"/>
        <v>0.37</v>
      </c>
      <c r="K1880" s="101">
        <f t="shared" si="430"/>
        <v>31.95630585898709</v>
      </c>
      <c r="L1880" s="101">
        <f t="shared" si="431"/>
        <v>0.81174774774774772</v>
      </c>
      <c r="M1880" s="133">
        <f t="shared" si="432"/>
        <v>231.62</v>
      </c>
      <c r="N1880" s="133">
        <f t="shared" si="433"/>
        <v>3449.62</v>
      </c>
      <c r="O1880" s="134">
        <f t="shared" si="434"/>
        <v>34.256405163853024</v>
      </c>
      <c r="P1880" s="134">
        <f t="shared" si="435"/>
        <v>0.87017441441441445</v>
      </c>
      <c r="R1880" s="149">
        <f t="shared" si="436"/>
        <v>2.3213183996962483</v>
      </c>
    </row>
    <row r="1881" spans="1:18" ht="15" x14ac:dyDescent="0.25">
      <c r="A1881" s="82" t="s">
        <v>134</v>
      </c>
      <c r="B1881" s="82" t="s">
        <v>16</v>
      </c>
      <c r="C1881" s="82" t="s">
        <v>6</v>
      </c>
      <c r="D1881" s="82" t="s">
        <v>90</v>
      </c>
      <c r="E1881" s="87">
        <f t="shared" si="437"/>
        <v>41821</v>
      </c>
      <c r="F1881" s="83"/>
      <c r="G1881" s="92">
        <v>5215</v>
      </c>
      <c r="H1881" s="52">
        <v>1823</v>
      </c>
      <c r="I1881" s="52" t="s">
        <v>92</v>
      </c>
      <c r="J1881" s="157">
        <f t="shared" si="438"/>
        <v>0.37</v>
      </c>
      <c r="K1881" s="101">
        <f t="shared" si="430"/>
        <v>51.787487586891757</v>
      </c>
      <c r="L1881" s="101">
        <f t="shared" si="431"/>
        <v>1.3154954954954956</v>
      </c>
      <c r="M1881" s="133">
        <f t="shared" si="432"/>
        <v>674.51</v>
      </c>
      <c r="N1881" s="133">
        <f t="shared" si="433"/>
        <v>5889.51</v>
      </c>
      <c r="O1881" s="134">
        <f t="shared" si="434"/>
        <v>58.485700099304864</v>
      </c>
      <c r="P1881" s="134">
        <f t="shared" si="435"/>
        <v>1.4856421621621623</v>
      </c>
      <c r="R1881" s="149">
        <f t="shared" si="436"/>
        <v>2.9404259186755599</v>
      </c>
    </row>
    <row r="1882" spans="1:18" ht="15" x14ac:dyDescent="0.25">
      <c r="A1882" s="82" t="s">
        <v>22</v>
      </c>
      <c r="B1882" s="82" t="s">
        <v>23</v>
      </c>
      <c r="C1882" s="82" t="s">
        <v>7</v>
      </c>
      <c r="D1882" s="82" t="s">
        <v>90</v>
      </c>
      <c r="E1882" s="87">
        <f t="shared" si="437"/>
        <v>41821</v>
      </c>
      <c r="F1882" s="83"/>
      <c r="G1882" s="92">
        <v>3434</v>
      </c>
      <c r="H1882" s="52">
        <v>1295</v>
      </c>
      <c r="I1882" s="52" t="s">
        <v>95</v>
      </c>
      <c r="J1882" s="157">
        <f t="shared" si="438"/>
        <v>0.31630000000000003</v>
      </c>
      <c r="K1882" s="101">
        <f t="shared" si="430"/>
        <v>34.101290963257199</v>
      </c>
      <c r="L1882" s="101">
        <f t="shared" si="431"/>
        <v>0.92810810810810807</v>
      </c>
      <c r="M1882" s="133">
        <f t="shared" si="432"/>
        <v>409.60850000000005</v>
      </c>
      <c r="N1882" s="133">
        <f t="shared" si="433"/>
        <v>3843.6085000000003</v>
      </c>
      <c r="O1882" s="134">
        <f t="shared" si="434"/>
        <v>38.16890268123138</v>
      </c>
      <c r="P1882" s="134">
        <f t="shared" si="435"/>
        <v>1.0388131081081082</v>
      </c>
      <c r="R1882" s="149">
        <f t="shared" si="436"/>
        <v>3.4976422537426277</v>
      </c>
    </row>
    <row r="1883" spans="1:18" ht="15" x14ac:dyDescent="0.25">
      <c r="A1883" s="82" t="s">
        <v>22</v>
      </c>
      <c r="B1883" s="82" t="s">
        <v>14</v>
      </c>
      <c r="C1883" s="82" t="s">
        <v>24</v>
      </c>
      <c r="D1883" s="82" t="s">
        <v>90</v>
      </c>
      <c r="E1883" s="87">
        <f t="shared" si="437"/>
        <v>41821</v>
      </c>
      <c r="F1883" s="83"/>
      <c r="G1883" s="92">
        <v>3687</v>
      </c>
      <c r="H1883" s="52">
        <v>615</v>
      </c>
      <c r="I1883" s="52" t="s">
        <v>94</v>
      </c>
      <c r="J1883" s="157">
        <f t="shared" si="438"/>
        <v>0.49</v>
      </c>
      <c r="K1883" s="101">
        <f t="shared" si="430"/>
        <v>36.613704071499505</v>
      </c>
      <c r="L1883" s="101">
        <f t="shared" si="431"/>
        <v>0.99648648648648652</v>
      </c>
      <c r="M1883" s="133">
        <f t="shared" si="432"/>
        <v>301.35000000000002</v>
      </c>
      <c r="N1883" s="133">
        <f t="shared" si="433"/>
        <v>3988.35</v>
      </c>
      <c r="O1883" s="134">
        <f t="shared" si="434"/>
        <v>39.606256206554121</v>
      </c>
      <c r="P1883" s="134">
        <f t="shared" si="435"/>
        <v>1.0779324324324324</v>
      </c>
      <c r="R1883" s="149">
        <f t="shared" si="436"/>
        <v>3.216832080330212</v>
      </c>
    </row>
    <row r="1884" spans="1:18" ht="15" x14ac:dyDescent="0.25">
      <c r="A1884" s="82" t="s">
        <v>22</v>
      </c>
      <c r="B1884" s="82" t="s">
        <v>18</v>
      </c>
      <c r="C1884" s="82" t="s">
        <v>15</v>
      </c>
      <c r="D1884" s="82" t="s">
        <v>90</v>
      </c>
      <c r="E1884" s="87">
        <f t="shared" si="437"/>
        <v>41821</v>
      </c>
      <c r="F1884" s="83"/>
      <c r="G1884" s="92">
        <v>4756</v>
      </c>
      <c r="H1884" s="52">
        <v>872</v>
      </c>
      <c r="I1884" s="52" t="s">
        <v>94</v>
      </c>
      <c r="J1884" s="157">
        <f t="shared" si="438"/>
        <v>0.49</v>
      </c>
      <c r="K1884" s="101">
        <f t="shared" si="430"/>
        <v>47.229394240317774</v>
      </c>
      <c r="L1884" s="101">
        <f t="shared" si="431"/>
        <v>1.2854054054054054</v>
      </c>
      <c r="M1884" s="133">
        <f t="shared" si="432"/>
        <v>427.28</v>
      </c>
      <c r="N1884" s="133">
        <f t="shared" si="433"/>
        <v>5183.28</v>
      </c>
      <c r="O1884" s="134">
        <f t="shared" si="434"/>
        <v>51.472492552135051</v>
      </c>
      <c r="P1884" s="134">
        <f t="shared" si="435"/>
        <v>1.4008864864864865</v>
      </c>
      <c r="R1884" s="149">
        <f t="shared" si="436"/>
        <v>3.9183293770449712</v>
      </c>
    </row>
    <row r="1885" spans="1:18" ht="15" x14ac:dyDescent="0.25">
      <c r="A1885" s="82" t="s">
        <v>22</v>
      </c>
      <c r="B1885" s="82" t="s">
        <v>18</v>
      </c>
      <c r="C1885" s="82" t="s">
        <v>24</v>
      </c>
      <c r="D1885" s="82" t="s">
        <v>90</v>
      </c>
      <c r="E1885" s="87">
        <f t="shared" si="437"/>
        <v>41821</v>
      </c>
      <c r="F1885" s="83"/>
      <c r="G1885" s="92">
        <v>3379</v>
      </c>
      <c r="H1885" s="52">
        <v>417</v>
      </c>
      <c r="I1885" s="52" t="s">
        <v>94</v>
      </c>
      <c r="J1885" s="157">
        <f t="shared" si="438"/>
        <v>0.49</v>
      </c>
      <c r="K1885" s="101">
        <f t="shared" si="430"/>
        <v>33.555114200595831</v>
      </c>
      <c r="L1885" s="101">
        <f t="shared" si="431"/>
        <v>0.91324324324324324</v>
      </c>
      <c r="M1885" s="133">
        <f t="shared" si="432"/>
        <v>204.32999999999998</v>
      </c>
      <c r="N1885" s="133">
        <f t="shared" si="433"/>
        <v>3583.33</v>
      </c>
      <c r="O1885" s="134">
        <f t="shared" si="434"/>
        <v>35.584210526315786</v>
      </c>
      <c r="P1885" s="134">
        <f t="shared" si="435"/>
        <v>0.96846756756756758</v>
      </c>
      <c r="R1885" s="149">
        <f t="shared" si="436"/>
        <v>3.4750316922659286</v>
      </c>
    </row>
    <row r="1886" spans="1:18" ht="15" x14ac:dyDescent="0.25">
      <c r="A1886" s="82" t="s">
        <v>22</v>
      </c>
      <c r="B1886" s="82" t="s">
        <v>13</v>
      </c>
      <c r="C1886" s="82" t="s">
        <v>7</v>
      </c>
      <c r="D1886" s="82" t="s">
        <v>90</v>
      </c>
      <c r="E1886" s="87">
        <f t="shared" si="437"/>
        <v>41821</v>
      </c>
      <c r="F1886" s="83"/>
      <c r="G1886" s="92">
        <v>3748</v>
      </c>
      <c r="H1886" s="52">
        <v>1006</v>
      </c>
      <c r="I1886" s="52" t="s">
        <v>92</v>
      </c>
      <c r="J1886" s="157">
        <f t="shared" si="438"/>
        <v>0.37</v>
      </c>
      <c r="K1886" s="101">
        <f t="shared" si="430"/>
        <v>37.219463753723929</v>
      </c>
      <c r="L1886" s="101">
        <f t="shared" si="431"/>
        <v>1.0129729729729731</v>
      </c>
      <c r="M1886" s="133">
        <f t="shared" si="432"/>
        <v>372.21999999999997</v>
      </c>
      <c r="N1886" s="133">
        <f t="shared" si="433"/>
        <v>4120.22</v>
      </c>
      <c r="O1886" s="134">
        <f t="shared" si="434"/>
        <v>40.915789473684214</v>
      </c>
      <c r="P1886" s="134">
        <f t="shared" si="435"/>
        <v>1.1135729729729731</v>
      </c>
      <c r="R1886" s="149">
        <f t="shared" si="436"/>
        <v>4.0154904118995471</v>
      </c>
    </row>
    <row r="1887" spans="1:18" ht="15" x14ac:dyDescent="0.25">
      <c r="A1887" s="82" t="s">
        <v>1</v>
      </c>
      <c r="B1887" s="82" t="s">
        <v>25</v>
      </c>
      <c r="C1887" s="82" t="s">
        <v>26</v>
      </c>
      <c r="D1887" s="82" t="s">
        <v>91</v>
      </c>
      <c r="E1887" s="87">
        <f t="shared" si="437"/>
        <v>41821</v>
      </c>
      <c r="F1887" s="83"/>
      <c r="G1887" s="92">
        <v>3678</v>
      </c>
      <c r="H1887" s="52">
        <v>880</v>
      </c>
      <c r="I1887" s="52" t="s">
        <v>93</v>
      </c>
      <c r="J1887" s="157">
        <f t="shared" si="438"/>
        <v>0.37</v>
      </c>
      <c r="K1887" s="101">
        <f t="shared" si="430"/>
        <v>36.524329692154915</v>
      </c>
      <c r="L1887" s="101">
        <f t="shared" si="431"/>
        <v>0.994054054054054</v>
      </c>
      <c r="M1887" s="133">
        <f t="shared" si="432"/>
        <v>325.60000000000002</v>
      </c>
      <c r="N1887" s="133">
        <f t="shared" si="433"/>
        <v>4003.6</v>
      </c>
      <c r="O1887" s="134">
        <f t="shared" si="434"/>
        <v>39.757696127110229</v>
      </c>
      <c r="P1887" s="134">
        <f t="shared" si="435"/>
        <v>1.082054054054054</v>
      </c>
      <c r="R1887" s="149">
        <f t="shared" si="436"/>
        <v>2.9732510288065894</v>
      </c>
    </row>
    <row r="1888" spans="1:18" ht="15" x14ac:dyDescent="0.25">
      <c r="A1888" s="82" t="s">
        <v>1</v>
      </c>
      <c r="B1888" s="82" t="s">
        <v>2</v>
      </c>
      <c r="C1888" s="82" t="s">
        <v>9</v>
      </c>
      <c r="D1888" s="82" t="s">
        <v>91</v>
      </c>
      <c r="E1888" s="87">
        <f t="shared" si="437"/>
        <v>41821</v>
      </c>
      <c r="F1888" s="83"/>
      <c r="G1888" s="92">
        <v>3471</v>
      </c>
      <c r="H1888" s="52">
        <v>685</v>
      </c>
      <c r="I1888" s="52" t="s">
        <v>93</v>
      </c>
      <c r="J1888" s="157">
        <f t="shared" si="438"/>
        <v>0.37</v>
      </c>
      <c r="K1888" s="101">
        <f t="shared" si="430"/>
        <v>34.468718967229393</v>
      </c>
      <c r="L1888" s="101">
        <f t="shared" si="431"/>
        <v>0.93810810810810807</v>
      </c>
      <c r="M1888" s="133">
        <f t="shared" si="432"/>
        <v>253.45</v>
      </c>
      <c r="N1888" s="133">
        <f t="shared" si="433"/>
        <v>3724.45</v>
      </c>
      <c r="O1888" s="134">
        <f t="shared" si="434"/>
        <v>36.985600794438923</v>
      </c>
      <c r="P1888" s="134">
        <f t="shared" si="435"/>
        <v>1.006608108108108</v>
      </c>
      <c r="R1888" s="149">
        <f t="shared" si="436"/>
        <v>-7.7592718717107374</v>
      </c>
    </row>
    <row r="1889" spans="1:18" ht="15" x14ac:dyDescent="0.25">
      <c r="A1889" s="82" t="s">
        <v>1</v>
      </c>
      <c r="B1889" s="82" t="s">
        <v>27</v>
      </c>
      <c r="C1889" s="82" t="s">
        <v>28</v>
      </c>
      <c r="D1889" s="82" t="s">
        <v>91</v>
      </c>
      <c r="E1889" s="87">
        <f t="shared" si="437"/>
        <v>41821</v>
      </c>
      <c r="F1889" s="83"/>
      <c r="G1889" s="92">
        <v>3950</v>
      </c>
      <c r="H1889" s="52">
        <v>812</v>
      </c>
      <c r="I1889" s="52" t="s">
        <v>94</v>
      </c>
      <c r="J1889" s="157">
        <f t="shared" si="438"/>
        <v>0.49</v>
      </c>
      <c r="K1889" s="101">
        <f t="shared" si="430"/>
        <v>39.22542204568024</v>
      </c>
      <c r="L1889" s="101">
        <f t="shared" si="431"/>
        <v>1.0675675675675675</v>
      </c>
      <c r="M1889" s="133">
        <f t="shared" si="432"/>
        <v>397.88</v>
      </c>
      <c r="N1889" s="133">
        <f t="shared" si="433"/>
        <v>4347.88</v>
      </c>
      <c r="O1889" s="134">
        <f t="shared" si="434"/>
        <v>43.176564051638529</v>
      </c>
      <c r="P1889" s="134">
        <f t="shared" si="435"/>
        <v>1.1751027027027028</v>
      </c>
      <c r="R1889" s="149">
        <f t="shared" si="436"/>
        <v>4.7015874239038302</v>
      </c>
    </row>
    <row r="1890" spans="1:18" ht="15" x14ac:dyDescent="0.25">
      <c r="A1890" s="82" t="s">
        <v>1</v>
      </c>
      <c r="B1890" s="82" t="s">
        <v>4</v>
      </c>
      <c r="C1890" s="82" t="s">
        <v>26</v>
      </c>
      <c r="D1890" s="82" t="s">
        <v>91</v>
      </c>
      <c r="E1890" s="87">
        <f t="shared" si="437"/>
        <v>41821</v>
      </c>
      <c r="F1890" s="83"/>
      <c r="G1890" s="92">
        <v>5159</v>
      </c>
      <c r="H1890" s="52">
        <v>1520</v>
      </c>
      <c r="I1890" s="52" t="s">
        <v>93</v>
      </c>
      <c r="J1890" s="157">
        <f t="shared" si="438"/>
        <v>0.37</v>
      </c>
      <c r="K1890" s="101">
        <f t="shared" si="430"/>
        <v>51.231380337636544</v>
      </c>
      <c r="L1890" s="101">
        <f t="shared" si="431"/>
        <v>1.3943243243243244</v>
      </c>
      <c r="M1890" s="133">
        <f t="shared" si="432"/>
        <v>562.4</v>
      </c>
      <c r="N1890" s="133">
        <f t="shared" si="433"/>
        <v>5721.4</v>
      </c>
      <c r="O1890" s="134">
        <f t="shared" si="434"/>
        <v>56.816285998013896</v>
      </c>
      <c r="P1890" s="134">
        <f t="shared" si="435"/>
        <v>1.5463243243243243</v>
      </c>
      <c r="R1890" s="149">
        <f t="shared" si="436"/>
        <v>2.2957268013588328</v>
      </c>
    </row>
    <row r="1891" spans="1:18" ht="15" x14ac:dyDescent="0.25">
      <c r="A1891" s="82" t="s">
        <v>1</v>
      </c>
      <c r="B1891" s="82" t="s">
        <v>4</v>
      </c>
      <c r="C1891" s="82" t="s">
        <v>9</v>
      </c>
      <c r="D1891" s="82" t="s">
        <v>91</v>
      </c>
      <c r="E1891" s="87">
        <f t="shared" si="437"/>
        <v>41821</v>
      </c>
      <c r="F1891" s="83"/>
      <c r="G1891" s="92">
        <v>6084</v>
      </c>
      <c r="H1891" s="52">
        <v>1583</v>
      </c>
      <c r="I1891" s="52" t="s">
        <v>93</v>
      </c>
      <c r="J1891" s="157">
        <f t="shared" si="438"/>
        <v>0.37</v>
      </c>
      <c r="K1891" s="101">
        <f t="shared" si="430"/>
        <v>60.417080436941411</v>
      </c>
      <c r="L1891" s="101">
        <f t="shared" si="431"/>
        <v>1.6443243243243244</v>
      </c>
      <c r="M1891" s="133">
        <f t="shared" si="432"/>
        <v>585.71</v>
      </c>
      <c r="N1891" s="133">
        <f t="shared" si="433"/>
        <v>6669.71</v>
      </c>
      <c r="O1891" s="134">
        <f t="shared" si="434"/>
        <v>66.233465739821256</v>
      </c>
      <c r="P1891" s="134">
        <f t="shared" si="435"/>
        <v>1.8026243243243243</v>
      </c>
      <c r="R1891" s="149">
        <f t="shared" si="436"/>
        <v>0.50722945125487584</v>
      </c>
    </row>
    <row r="1892" spans="1:18" ht="15" x14ac:dyDescent="0.25">
      <c r="A1892" s="82" t="s">
        <v>1</v>
      </c>
      <c r="B1892" s="82" t="s">
        <v>10</v>
      </c>
      <c r="C1892" s="82" t="s">
        <v>26</v>
      </c>
      <c r="D1892" s="82" t="s">
        <v>91</v>
      </c>
      <c r="E1892" s="87">
        <f t="shared" si="437"/>
        <v>41821</v>
      </c>
      <c r="F1892" s="83"/>
      <c r="G1892" s="92">
        <v>5260</v>
      </c>
      <c r="H1892" s="52">
        <v>1599</v>
      </c>
      <c r="I1892" s="52" t="s">
        <v>92</v>
      </c>
      <c r="J1892" s="157">
        <f t="shared" si="438"/>
        <v>0.37</v>
      </c>
      <c r="K1892" s="101">
        <f t="shared" si="430"/>
        <v>52.234359483614696</v>
      </c>
      <c r="L1892" s="101">
        <f t="shared" si="431"/>
        <v>1.4216216216216215</v>
      </c>
      <c r="M1892" s="133">
        <f t="shared" si="432"/>
        <v>591.63</v>
      </c>
      <c r="N1892" s="133">
        <f t="shared" si="433"/>
        <v>5851.63</v>
      </c>
      <c r="O1892" s="134">
        <f t="shared" si="434"/>
        <v>58.109533267130089</v>
      </c>
      <c r="P1892" s="134">
        <f t="shared" si="435"/>
        <v>1.5815216216216217</v>
      </c>
      <c r="R1892" s="149">
        <f t="shared" si="436"/>
        <v>4.1467330172425987</v>
      </c>
    </row>
    <row r="1893" spans="1:18" ht="15" x14ac:dyDescent="0.25">
      <c r="A1893" s="82" t="s">
        <v>134</v>
      </c>
      <c r="B1893" s="82" t="s">
        <v>23</v>
      </c>
      <c r="C1893" s="82" t="s">
        <v>26</v>
      </c>
      <c r="D1893" s="82" t="s">
        <v>91</v>
      </c>
      <c r="E1893" s="87">
        <f t="shared" si="437"/>
        <v>41821</v>
      </c>
      <c r="F1893" s="83"/>
      <c r="G1893" s="92">
        <v>5000</v>
      </c>
      <c r="H1893" s="52">
        <v>1851</v>
      </c>
      <c r="I1893" s="52" t="s">
        <v>93</v>
      </c>
      <c r="J1893" s="157">
        <f t="shared" si="438"/>
        <v>0.37</v>
      </c>
      <c r="K1893" s="101">
        <f t="shared" si="430"/>
        <v>49.652432969215489</v>
      </c>
      <c r="L1893" s="101">
        <f t="shared" si="431"/>
        <v>1.2612612612612613</v>
      </c>
      <c r="M1893" s="133">
        <f t="shared" si="432"/>
        <v>684.87</v>
      </c>
      <c r="N1893" s="133">
        <f t="shared" si="433"/>
        <v>5684.87</v>
      </c>
      <c r="O1893" s="134">
        <f t="shared" si="434"/>
        <v>56.453525322740809</v>
      </c>
      <c r="P1893" s="134">
        <f t="shared" si="435"/>
        <v>1.4340212612612613</v>
      </c>
      <c r="R1893" s="149">
        <f t="shared" si="436"/>
        <v>4.3507071597052027</v>
      </c>
    </row>
    <row r="1894" spans="1:18" ht="15" x14ac:dyDescent="0.25">
      <c r="A1894" s="82" t="s">
        <v>134</v>
      </c>
      <c r="B1894" s="82" t="s">
        <v>8</v>
      </c>
      <c r="C1894" s="82" t="s">
        <v>29</v>
      </c>
      <c r="D1894" s="82" t="s">
        <v>91</v>
      </c>
      <c r="E1894" s="87">
        <f t="shared" si="437"/>
        <v>41821</v>
      </c>
      <c r="F1894" s="83"/>
      <c r="G1894" s="92">
        <v>4960</v>
      </c>
      <c r="H1894" s="52">
        <v>1695</v>
      </c>
      <c r="I1894" s="52" t="s">
        <v>93</v>
      </c>
      <c r="J1894" s="157">
        <f t="shared" si="438"/>
        <v>0.37</v>
      </c>
      <c r="K1894" s="101">
        <f t="shared" si="430"/>
        <v>49.255213505461768</v>
      </c>
      <c r="L1894" s="101">
        <f t="shared" si="431"/>
        <v>1.2511711711711713</v>
      </c>
      <c r="M1894" s="133">
        <f t="shared" si="432"/>
        <v>627.15</v>
      </c>
      <c r="N1894" s="133">
        <f t="shared" si="433"/>
        <v>5587.15</v>
      </c>
      <c r="O1894" s="134">
        <f t="shared" si="434"/>
        <v>55.483118172790462</v>
      </c>
      <c r="P1894" s="134">
        <f t="shared" si="435"/>
        <v>1.4093711711711712</v>
      </c>
      <c r="R1894" s="149">
        <f t="shared" si="436"/>
        <v>4.3693083640778951</v>
      </c>
    </row>
    <row r="1895" spans="1:18" ht="15" x14ac:dyDescent="0.25">
      <c r="A1895" s="82" t="s">
        <v>134</v>
      </c>
      <c r="B1895" s="82" t="s">
        <v>13</v>
      </c>
      <c r="C1895" s="82" t="s">
        <v>7</v>
      </c>
      <c r="D1895" s="82" t="s">
        <v>91</v>
      </c>
      <c r="E1895" s="87">
        <f t="shared" si="437"/>
        <v>41821</v>
      </c>
      <c r="F1895" s="83"/>
      <c r="G1895" s="92">
        <v>3011</v>
      </c>
      <c r="H1895" s="52">
        <v>1006</v>
      </c>
      <c r="I1895" s="52" t="s">
        <v>92</v>
      </c>
      <c r="J1895" s="157">
        <f t="shared" si="438"/>
        <v>0.37</v>
      </c>
      <c r="K1895" s="101">
        <f t="shared" si="430"/>
        <v>29.900695134061568</v>
      </c>
      <c r="L1895" s="101">
        <f t="shared" si="431"/>
        <v>0.75953153153153152</v>
      </c>
      <c r="M1895" s="133">
        <f t="shared" si="432"/>
        <v>372.21999999999997</v>
      </c>
      <c r="N1895" s="133">
        <f t="shared" si="433"/>
        <v>3383.22</v>
      </c>
      <c r="O1895" s="134">
        <f t="shared" si="434"/>
        <v>33.597020854021842</v>
      </c>
      <c r="P1895" s="134">
        <f t="shared" si="435"/>
        <v>0.8534248648648648</v>
      </c>
      <c r="R1895" s="149">
        <f t="shared" si="436"/>
        <v>2.7971900484935475</v>
      </c>
    </row>
    <row r="1896" spans="1:18" ht="15" x14ac:dyDescent="0.25">
      <c r="A1896" s="82" t="s">
        <v>134</v>
      </c>
      <c r="B1896" s="82" t="s">
        <v>30</v>
      </c>
      <c r="C1896" s="82" t="s">
        <v>9</v>
      </c>
      <c r="D1896" s="82" t="s">
        <v>91</v>
      </c>
      <c r="E1896" s="87">
        <f t="shared" si="437"/>
        <v>41821</v>
      </c>
      <c r="F1896" s="83"/>
      <c r="G1896" s="92">
        <v>3510</v>
      </c>
      <c r="H1896" s="52">
        <v>988</v>
      </c>
      <c r="I1896" s="52" t="s">
        <v>93</v>
      </c>
      <c r="J1896" s="157">
        <f t="shared" si="438"/>
        <v>0.37</v>
      </c>
      <c r="K1896" s="101">
        <f t="shared" si="430"/>
        <v>34.856007944389276</v>
      </c>
      <c r="L1896" s="101">
        <f t="shared" si="431"/>
        <v>0.88540540540540547</v>
      </c>
      <c r="M1896" s="133">
        <f t="shared" si="432"/>
        <v>365.56</v>
      </c>
      <c r="N1896" s="133">
        <f t="shared" si="433"/>
        <v>3875.56</v>
      </c>
      <c r="O1896" s="134">
        <f t="shared" si="434"/>
        <v>38.486196623634555</v>
      </c>
      <c r="P1896" s="134">
        <f t="shared" si="435"/>
        <v>0.97761873873873872</v>
      </c>
      <c r="R1896" s="149">
        <f t="shared" si="436"/>
        <v>6.0112697631161449</v>
      </c>
    </row>
    <row r="1897" spans="1:18" ht="15" x14ac:dyDescent="0.25">
      <c r="A1897" s="82" t="s">
        <v>134</v>
      </c>
      <c r="B1897" s="82" t="s">
        <v>16</v>
      </c>
      <c r="C1897" s="82" t="s">
        <v>11</v>
      </c>
      <c r="D1897" s="82" t="s">
        <v>91</v>
      </c>
      <c r="E1897" s="87">
        <f t="shared" si="437"/>
        <v>41821</v>
      </c>
      <c r="F1897" s="83"/>
      <c r="G1897" s="92">
        <v>3590</v>
      </c>
      <c r="H1897" s="52">
        <v>787</v>
      </c>
      <c r="I1897" s="52" t="s">
        <v>92</v>
      </c>
      <c r="J1897" s="157">
        <f t="shared" si="438"/>
        <v>0.37</v>
      </c>
      <c r="K1897" s="101">
        <f t="shared" si="430"/>
        <v>35.650446871896719</v>
      </c>
      <c r="L1897" s="101">
        <f t="shared" si="431"/>
        <v>0.90558558558558555</v>
      </c>
      <c r="M1897" s="133">
        <f t="shared" si="432"/>
        <v>291.19</v>
      </c>
      <c r="N1897" s="133">
        <f t="shared" si="433"/>
        <v>3881.19</v>
      </c>
      <c r="O1897" s="134">
        <f t="shared" si="434"/>
        <v>38.542105263157893</v>
      </c>
      <c r="P1897" s="134">
        <f t="shared" si="435"/>
        <v>0.97903891891891892</v>
      </c>
      <c r="R1897" s="149">
        <f t="shared" si="436"/>
        <v>2.3164404795798843</v>
      </c>
    </row>
    <row r="1898" spans="1:18" ht="15" x14ac:dyDescent="0.25">
      <c r="A1898" s="82" t="s">
        <v>134</v>
      </c>
      <c r="B1898" s="82" t="s">
        <v>23</v>
      </c>
      <c r="C1898" s="82" t="s">
        <v>29</v>
      </c>
      <c r="D1898" s="82" t="s">
        <v>91</v>
      </c>
      <c r="E1898" s="87">
        <f t="shared" si="437"/>
        <v>41821</v>
      </c>
      <c r="F1898" s="83"/>
      <c r="G1898" s="92">
        <v>5000</v>
      </c>
      <c r="H1898" s="52">
        <v>1836</v>
      </c>
      <c r="I1898" s="52" t="s">
        <v>93</v>
      </c>
      <c r="J1898" s="157">
        <f t="shared" si="438"/>
        <v>0.37</v>
      </c>
      <c r="K1898" s="101">
        <f t="shared" si="430"/>
        <v>49.652432969215489</v>
      </c>
      <c r="L1898" s="101">
        <f t="shared" si="431"/>
        <v>1.2612612612612613</v>
      </c>
      <c r="M1898" s="133">
        <f t="shared" si="432"/>
        <v>679.31999999999994</v>
      </c>
      <c r="N1898" s="133">
        <f t="shared" si="433"/>
        <v>5679.32</v>
      </c>
      <c r="O1898" s="134">
        <f t="shared" si="434"/>
        <v>56.398411122144978</v>
      </c>
      <c r="P1898" s="134">
        <f t="shared" si="435"/>
        <v>1.4326212612612612</v>
      </c>
      <c r="R1898" s="149">
        <f t="shared" si="436"/>
        <v>4.3493918347848437</v>
      </c>
    </row>
    <row r="1899" spans="1:18" ht="15" x14ac:dyDescent="0.25">
      <c r="A1899" s="82" t="s">
        <v>134</v>
      </c>
      <c r="B1899" s="82" t="s">
        <v>31</v>
      </c>
      <c r="C1899" s="82" t="s">
        <v>32</v>
      </c>
      <c r="D1899" s="82" t="s">
        <v>91</v>
      </c>
      <c r="E1899" s="87">
        <f t="shared" si="437"/>
        <v>41821</v>
      </c>
      <c r="F1899" s="83"/>
      <c r="G1899" s="92">
        <v>4400</v>
      </c>
      <c r="H1899" s="52">
        <v>1899</v>
      </c>
      <c r="I1899" s="52" t="s">
        <v>93</v>
      </c>
      <c r="J1899" s="157">
        <f t="shared" si="438"/>
        <v>0.37</v>
      </c>
      <c r="K1899" s="101">
        <f t="shared" si="430"/>
        <v>43.694141012909633</v>
      </c>
      <c r="L1899" s="101">
        <f t="shared" si="431"/>
        <v>1.1099099099099099</v>
      </c>
      <c r="M1899" s="133">
        <f t="shared" si="432"/>
        <v>702.63</v>
      </c>
      <c r="N1899" s="133">
        <f t="shared" si="433"/>
        <v>5102.63</v>
      </c>
      <c r="O1899" s="134">
        <f t="shared" si="434"/>
        <v>50.671598808341606</v>
      </c>
      <c r="P1899" s="134">
        <f t="shared" si="435"/>
        <v>1.28714990990991</v>
      </c>
      <c r="R1899" s="149">
        <f t="shared" si="436"/>
        <v>4.8920271756447198</v>
      </c>
    </row>
    <row r="1900" spans="1:18" ht="15" x14ac:dyDescent="0.25">
      <c r="A1900" s="82" t="s">
        <v>22</v>
      </c>
      <c r="B1900" s="82" t="s">
        <v>8</v>
      </c>
      <c r="C1900" s="82" t="s">
        <v>29</v>
      </c>
      <c r="D1900" s="82" t="s">
        <v>91</v>
      </c>
      <c r="E1900" s="87">
        <f t="shared" si="437"/>
        <v>41821</v>
      </c>
      <c r="F1900" s="83"/>
      <c r="G1900" s="92">
        <v>5520</v>
      </c>
      <c r="H1900" s="52">
        <v>1695</v>
      </c>
      <c r="I1900" s="52" t="s">
        <v>93</v>
      </c>
      <c r="J1900" s="157">
        <f t="shared" si="438"/>
        <v>0.37</v>
      </c>
      <c r="K1900" s="101">
        <f t="shared" si="430"/>
        <v>54.816285998013903</v>
      </c>
      <c r="L1900" s="101">
        <f t="shared" si="431"/>
        <v>1.491891891891892</v>
      </c>
      <c r="M1900" s="133">
        <f t="shared" si="432"/>
        <v>627.15</v>
      </c>
      <c r="N1900" s="133">
        <f t="shared" si="433"/>
        <v>6147.15</v>
      </c>
      <c r="O1900" s="134">
        <f t="shared" si="434"/>
        <v>61.044190665342597</v>
      </c>
      <c r="P1900" s="134">
        <f t="shared" si="435"/>
        <v>1.6613918918918917</v>
      </c>
      <c r="R1900" s="149">
        <f t="shared" si="436"/>
        <v>3.9555236122267745</v>
      </c>
    </row>
    <row r="1901" spans="1:18" ht="15" x14ac:dyDescent="0.25">
      <c r="A1901" s="82" t="s">
        <v>22</v>
      </c>
      <c r="B1901" s="82" t="s">
        <v>23</v>
      </c>
      <c r="C1901" s="82" t="s">
        <v>26</v>
      </c>
      <c r="D1901" s="82" t="s">
        <v>91</v>
      </c>
      <c r="E1901" s="87">
        <f t="shared" si="437"/>
        <v>41821</v>
      </c>
      <c r="F1901" s="83"/>
      <c r="G1901" s="92">
        <v>5530</v>
      </c>
      <c r="H1901" s="52">
        <v>1851</v>
      </c>
      <c r="I1901" s="52" t="s">
        <v>93</v>
      </c>
      <c r="J1901" s="157">
        <f t="shared" si="438"/>
        <v>0.37</v>
      </c>
      <c r="K1901" s="101">
        <f t="shared" si="430"/>
        <v>54.915590863952332</v>
      </c>
      <c r="L1901" s="101">
        <f t="shared" si="431"/>
        <v>1.4945945945945946</v>
      </c>
      <c r="M1901" s="133">
        <f t="shared" si="432"/>
        <v>684.87</v>
      </c>
      <c r="N1901" s="133">
        <f t="shared" si="433"/>
        <v>6214.87</v>
      </c>
      <c r="O1901" s="134">
        <f t="shared" si="434"/>
        <v>61.716683217477652</v>
      </c>
      <c r="P1901" s="134">
        <f t="shared" si="435"/>
        <v>1.6796945945945945</v>
      </c>
      <c r="R1901" s="149">
        <f t="shared" si="436"/>
        <v>3.9649706834396836</v>
      </c>
    </row>
    <row r="1902" spans="1:18" ht="15" x14ac:dyDescent="0.25">
      <c r="A1902" s="82" t="s">
        <v>22</v>
      </c>
      <c r="B1902" s="82" t="s">
        <v>33</v>
      </c>
      <c r="C1902" s="82" t="s">
        <v>29</v>
      </c>
      <c r="D1902" s="82" t="s">
        <v>91</v>
      </c>
      <c r="E1902" s="87">
        <f t="shared" si="437"/>
        <v>41821</v>
      </c>
      <c r="F1902" s="83"/>
      <c r="G1902" s="92">
        <v>5430</v>
      </c>
      <c r="H1902" s="52">
        <v>1507</v>
      </c>
      <c r="I1902" s="52" t="s">
        <v>93</v>
      </c>
      <c r="J1902" s="157">
        <f t="shared" si="438"/>
        <v>0.37</v>
      </c>
      <c r="K1902" s="101">
        <f t="shared" si="430"/>
        <v>53.922542204568025</v>
      </c>
      <c r="L1902" s="101">
        <f t="shared" si="431"/>
        <v>1.4675675675675677</v>
      </c>
      <c r="M1902" s="133">
        <f t="shared" si="432"/>
        <v>557.59</v>
      </c>
      <c r="N1902" s="133">
        <f t="shared" si="433"/>
        <v>5987.59</v>
      </c>
      <c r="O1902" s="134">
        <f t="shared" si="434"/>
        <v>59.459682224428995</v>
      </c>
      <c r="P1902" s="134">
        <f t="shared" si="435"/>
        <v>1.6182675675675675</v>
      </c>
      <c r="R1902" s="149">
        <f t="shared" si="436"/>
        <v>3.9972557295330446</v>
      </c>
    </row>
    <row r="1903" spans="1:18" ht="15" x14ac:dyDescent="0.25">
      <c r="A1903" s="82" t="s">
        <v>22</v>
      </c>
      <c r="B1903" s="82" t="s">
        <v>31</v>
      </c>
      <c r="C1903" s="82" t="s">
        <v>7</v>
      </c>
      <c r="D1903" s="82" t="s">
        <v>91</v>
      </c>
      <c r="E1903" s="87">
        <f t="shared" si="437"/>
        <v>41821</v>
      </c>
      <c r="F1903" s="83"/>
      <c r="G1903" s="92">
        <v>4175</v>
      </c>
      <c r="H1903" s="52">
        <v>1160</v>
      </c>
      <c r="I1903" s="52" t="s">
        <v>92</v>
      </c>
      <c r="J1903" s="157">
        <f t="shared" si="438"/>
        <v>0.37</v>
      </c>
      <c r="K1903" s="101">
        <f t="shared" si="430"/>
        <v>41.459781529294936</v>
      </c>
      <c r="L1903" s="101">
        <f t="shared" si="431"/>
        <v>1.1283783783783783</v>
      </c>
      <c r="M1903" s="133">
        <f t="shared" si="432"/>
        <v>429.2</v>
      </c>
      <c r="N1903" s="133">
        <f t="shared" si="433"/>
        <v>4604.2</v>
      </c>
      <c r="O1903" s="134">
        <f t="shared" si="434"/>
        <v>45.72194637537239</v>
      </c>
      <c r="P1903" s="134">
        <f t="shared" si="435"/>
        <v>1.2443783783783784</v>
      </c>
      <c r="R1903" s="149">
        <f t="shared" si="436"/>
        <v>5.4171627438410086</v>
      </c>
    </row>
    <row r="1904" spans="1:18" ht="15" x14ac:dyDescent="0.25">
      <c r="A1904" s="82" t="s">
        <v>22</v>
      </c>
      <c r="B1904" s="82" t="s">
        <v>14</v>
      </c>
      <c r="C1904" s="82" t="s">
        <v>24</v>
      </c>
      <c r="D1904" s="82" t="s">
        <v>91</v>
      </c>
      <c r="E1904" s="87">
        <f t="shared" si="437"/>
        <v>41821</v>
      </c>
      <c r="F1904" s="83"/>
      <c r="G1904" s="92">
        <v>2862</v>
      </c>
      <c r="H1904" s="52">
        <v>615</v>
      </c>
      <c r="I1904" s="52" t="s">
        <v>94</v>
      </c>
      <c r="J1904" s="157">
        <f t="shared" si="438"/>
        <v>0.49</v>
      </c>
      <c r="K1904" s="101">
        <f t="shared" si="430"/>
        <v>28.421052631578945</v>
      </c>
      <c r="L1904" s="101">
        <f t="shared" si="431"/>
        <v>0.7735135135135135</v>
      </c>
      <c r="M1904" s="133">
        <f t="shared" si="432"/>
        <v>301.35000000000002</v>
      </c>
      <c r="N1904" s="133">
        <f t="shared" si="433"/>
        <v>3163.35</v>
      </c>
      <c r="O1904" s="134">
        <f t="shared" si="434"/>
        <v>31.413604766633565</v>
      </c>
      <c r="P1904" s="134">
        <f t="shared" si="435"/>
        <v>0.85495945945945939</v>
      </c>
      <c r="R1904" s="149">
        <f t="shared" si="436"/>
        <v>4.0900939438311301</v>
      </c>
    </row>
    <row r="1905" spans="1:18" ht="15" x14ac:dyDescent="0.25">
      <c r="A1905" s="118" t="s">
        <v>22</v>
      </c>
      <c r="B1905" s="118" t="s">
        <v>34</v>
      </c>
      <c r="C1905" s="118" t="s">
        <v>26</v>
      </c>
      <c r="D1905" s="118" t="s">
        <v>91</v>
      </c>
      <c r="E1905" s="119">
        <f t="shared" si="437"/>
        <v>41821</v>
      </c>
      <c r="F1905" s="120"/>
      <c r="G1905" s="105">
        <v>5110</v>
      </c>
      <c r="H1905" s="158">
        <v>1637</v>
      </c>
      <c r="I1905" s="158" t="s">
        <v>92</v>
      </c>
      <c r="J1905" s="122">
        <f t="shared" si="438"/>
        <v>0.37</v>
      </c>
      <c r="K1905" s="123">
        <f t="shared" si="430"/>
        <v>50.744786494538232</v>
      </c>
      <c r="L1905" s="123">
        <f t="shared" si="431"/>
        <v>1.3810810810810812</v>
      </c>
      <c r="M1905" s="115">
        <f t="shared" si="432"/>
        <v>605.68999999999994</v>
      </c>
      <c r="N1905" s="115">
        <f t="shared" si="433"/>
        <v>5715.69</v>
      </c>
      <c r="O1905" s="116">
        <f t="shared" si="434"/>
        <v>56.759582919563051</v>
      </c>
      <c r="P1905" s="116">
        <f t="shared" si="435"/>
        <v>1.5447810810810809</v>
      </c>
      <c r="Q1905" s="106"/>
      <c r="R1905" s="152">
        <f t="shared" si="436"/>
        <v>2.9980249832411987</v>
      </c>
    </row>
    <row r="1906" spans="1:18" ht="15" x14ac:dyDescent="0.25">
      <c r="A1906" s="82" t="s">
        <v>1</v>
      </c>
      <c r="B1906" s="82" t="s">
        <v>2</v>
      </c>
      <c r="C1906" s="82" t="s">
        <v>3</v>
      </c>
      <c r="D1906" s="82" t="s">
        <v>90</v>
      </c>
      <c r="E1906" s="87">
        <v>41852</v>
      </c>
      <c r="F1906" s="83"/>
      <c r="G1906" s="92">
        <v>3387</v>
      </c>
      <c r="H1906" s="52">
        <v>506</v>
      </c>
      <c r="I1906" s="52" t="s">
        <v>92</v>
      </c>
      <c r="J1906" s="157">
        <f>IF(I1906="BNSF",0.36,IF(I1906="CN",0.3105,IF(I1906="CSX",0.48,0.37)))</f>
        <v>0.37</v>
      </c>
      <c r="K1906" s="101">
        <f t="shared" ref="K1906:K1943" si="439">G1906/100.7</f>
        <v>33.63455809334657</v>
      </c>
      <c r="L1906" s="101">
        <f t="shared" ref="L1906:L1943" si="440">IF(A1906="corn",G1906/(111*2000/56),G1906/(111*2000/60))</f>
        <v>0.91540540540540538</v>
      </c>
      <c r="M1906" s="133">
        <f t="shared" ref="M1906:M1943" si="441">H1906*J1906</f>
        <v>187.22</v>
      </c>
      <c r="N1906" s="133">
        <f t="shared" ref="N1906:N1943" si="442">G1906+M1906</f>
        <v>3574.22</v>
      </c>
      <c r="O1906" s="134">
        <f t="shared" ref="O1906:O1943" si="443">N1906/100.7</f>
        <v>35.493743793445873</v>
      </c>
      <c r="P1906" s="134">
        <f t="shared" ref="P1906:P1943" si="444">IF(A1906="corn",N1906/(111*2000/56),N1906/(111*2000/60))</f>
        <v>0.96600540540540536</v>
      </c>
      <c r="Q1906" s="160"/>
      <c r="R1906" s="149">
        <f t="shared" ref="R1906:R1943" si="445">((N1906/N1450)-1)*100</f>
        <v>6.1197707906534893</v>
      </c>
    </row>
    <row r="1907" spans="1:18" ht="15" x14ac:dyDescent="0.25">
      <c r="A1907" s="82" t="s">
        <v>1</v>
      </c>
      <c r="B1907" s="82" t="s">
        <v>4</v>
      </c>
      <c r="C1907" s="82" t="s">
        <v>5</v>
      </c>
      <c r="D1907" s="82" t="s">
        <v>90</v>
      </c>
      <c r="E1907" s="87">
        <f>E1906</f>
        <v>41852</v>
      </c>
      <c r="F1907" s="83"/>
      <c r="G1907" s="92">
        <v>3596</v>
      </c>
      <c r="H1907" s="52">
        <v>298</v>
      </c>
      <c r="I1907" s="52" t="s">
        <v>93</v>
      </c>
      <c r="J1907" s="157">
        <f t="shared" ref="J1907:J1943" si="446">IF(I1907="BNSF",0.36,IF(I1907="CN",0.3105,IF(I1907="CSX",0.48,0.37)))</f>
        <v>0.36</v>
      </c>
      <c r="K1907" s="101">
        <f t="shared" si="439"/>
        <v>35.710029791459782</v>
      </c>
      <c r="L1907" s="101">
        <f t="shared" si="440"/>
        <v>0.97189189189189185</v>
      </c>
      <c r="M1907" s="133">
        <f t="shared" si="441"/>
        <v>107.28</v>
      </c>
      <c r="N1907" s="133">
        <f t="shared" si="442"/>
        <v>3703.28</v>
      </c>
      <c r="O1907" s="134">
        <f t="shared" si="443"/>
        <v>36.775372393247267</v>
      </c>
      <c r="P1907" s="134">
        <f t="shared" si="444"/>
        <v>1.0008864864864866</v>
      </c>
      <c r="Q1907" s="160"/>
      <c r="R1907" s="149">
        <f t="shared" si="445"/>
        <v>-2.7581715822199815</v>
      </c>
    </row>
    <row r="1908" spans="1:18" ht="15" x14ac:dyDescent="0.25">
      <c r="A1908" s="82" t="s">
        <v>1</v>
      </c>
      <c r="B1908" s="82" t="s">
        <v>2</v>
      </c>
      <c r="C1908" s="82" t="s">
        <v>6</v>
      </c>
      <c r="D1908" s="82" t="s">
        <v>90</v>
      </c>
      <c r="E1908" s="87">
        <f t="shared" ref="E1908:E1943" si="447">E1907</f>
        <v>41852</v>
      </c>
      <c r="F1908" s="83"/>
      <c r="G1908" s="92">
        <v>6244</v>
      </c>
      <c r="H1908" s="52">
        <v>1530</v>
      </c>
      <c r="I1908" s="52" t="s">
        <v>93</v>
      </c>
      <c r="J1908" s="157">
        <f t="shared" si="446"/>
        <v>0.36</v>
      </c>
      <c r="K1908" s="101">
        <f t="shared" si="439"/>
        <v>62.005958291956304</v>
      </c>
      <c r="L1908" s="101">
        <f t="shared" si="440"/>
        <v>1.6875675675675677</v>
      </c>
      <c r="M1908" s="133">
        <f t="shared" si="441"/>
        <v>550.79999999999995</v>
      </c>
      <c r="N1908" s="133">
        <f t="shared" si="442"/>
        <v>6794.8</v>
      </c>
      <c r="O1908" s="134">
        <f t="shared" si="443"/>
        <v>67.475670307845078</v>
      </c>
      <c r="P1908" s="134">
        <f t="shared" si="444"/>
        <v>1.8364324324324324</v>
      </c>
      <c r="R1908" s="149">
        <f t="shared" si="445"/>
        <v>0.45238165636736216</v>
      </c>
    </row>
    <row r="1909" spans="1:18" ht="15" x14ac:dyDescent="0.25">
      <c r="A1909" s="82" t="s">
        <v>1</v>
      </c>
      <c r="B1909" s="82" t="s">
        <v>2</v>
      </c>
      <c r="C1909" s="82" t="s">
        <v>7</v>
      </c>
      <c r="D1909" s="82" t="s">
        <v>90</v>
      </c>
      <c r="E1909" s="87">
        <f t="shared" si="447"/>
        <v>41852</v>
      </c>
      <c r="F1909" s="83"/>
      <c r="G1909" s="92">
        <v>4026</v>
      </c>
      <c r="H1909" s="52">
        <v>890</v>
      </c>
      <c r="I1909" s="52" t="s">
        <v>92</v>
      </c>
      <c r="J1909" s="157">
        <f t="shared" si="446"/>
        <v>0.37</v>
      </c>
      <c r="K1909" s="101">
        <f t="shared" si="439"/>
        <v>39.98013902681231</v>
      </c>
      <c r="L1909" s="101">
        <f t="shared" si="440"/>
        <v>1.0881081081081081</v>
      </c>
      <c r="M1909" s="133">
        <f t="shared" si="441"/>
        <v>329.3</v>
      </c>
      <c r="N1909" s="133">
        <f t="shared" si="442"/>
        <v>4355.3</v>
      </c>
      <c r="O1909" s="134">
        <f t="shared" si="443"/>
        <v>43.250248262164845</v>
      </c>
      <c r="P1909" s="134">
        <f t="shared" si="444"/>
        <v>1.1771081081081081</v>
      </c>
      <c r="R1909" s="149">
        <f t="shared" si="445"/>
        <v>5.7239956305376927</v>
      </c>
    </row>
    <row r="1910" spans="1:18" ht="15" x14ac:dyDescent="0.25">
      <c r="A1910" s="82" t="s">
        <v>1</v>
      </c>
      <c r="B1910" s="82" t="s">
        <v>8</v>
      </c>
      <c r="C1910" s="82" t="s">
        <v>9</v>
      </c>
      <c r="D1910" s="82" t="s">
        <v>90</v>
      </c>
      <c r="E1910" s="87">
        <f t="shared" si="447"/>
        <v>41852</v>
      </c>
      <c r="F1910" s="83"/>
      <c r="G1910" s="92">
        <v>5824</v>
      </c>
      <c r="H1910" s="52">
        <v>1256</v>
      </c>
      <c r="I1910" s="52" t="s">
        <v>93</v>
      </c>
      <c r="J1910" s="157">
        <f t="shared" si="446"/>
        <v>0.36</v>
      </c>
      <c r="K1910" s="101">
        <f t="shared" si="439"/>
        <v>57.835153922542204</v>
      </c>
      <c r="L1910" s="101">
        <f t="shared" si="440"/>
        <v>1.574054054054054</v>
      </c>
      <c r="M1910" s="133">
        <f t="shared" si="441"/>
        <v>452.15999999999997</v>
      </c>
      <c r="N1910" s="133">
        <f t="shared" si="442"/>
        <v>6276.16</v>
      </c>
      <c r="O1910" s="134">
        <f t="shared" si="443"/>
        <v>62.325322740814293</v>
      </c>
      <c r="P1910" s="134">
        <f t="shared" si="444"/>
        <v>1.6962594594594593</v>
      </c>
      <c r="R1910" s="149">
        <f t="shared" si="445"/>
        <v>0.40185313163889624</v>
      </c>
    </row>
    <row r="1911" spans="1:18" ht="15" x14ac:dyDescent="0.25">
      <c r="A1911" s="82" t="s">
        <v>1</v>
      </c>
      <c r="B1911" s="82" t="s">
        <v>10</v>
      </c>
      <c r="C1911" s="82" t="s">
        <v>9</v>
      </c>
      <c r="D1911" s="82" t="s">
        <v>90</v>
      </c>
      <c r="E1911" s="87">
        <f t="shared" si="447"/>
        <v>41852</v>
      </c>
      <c r="F1911" s="83"/>
      <c r="G1911" s="92">
        <v>4293</v>
      </c>
      <c r="H1911" s="52">
        <v>975</v>
      </c>
      <c r="I1911" s="52" t="s">
        <v>92</v>
      </c>
      <c r="J1911" s="157">
        <f t="shared" si="446"/>
        <v>0.37</v>
      </c>
      <c r="K1911" s="101">
        <f t="shared" si="439"/>
        <v>42.631578947368418</v>
      </c>
      <c r="L1911" s="101">
        <f t="shared" si="440"/>
        <v>1.1602702702702703</v>
      </c>
      <c r="M1911" s="133">
        <f t="shared" si="441"/>
        <v>360.75</v>
      </c>
      <c r="N1911" s="133">
        <f t="shared" si="442"/>
        <v>4653.75</v>
      </c>
      <c r="O1911" s="134">
        <f t="shared" si="443"/>
        <v>46.214001986097315</v>
      </c>
      <c r="P1911" s="134">
        <f t="shared" si="444"/>
        <v>1.2577702702702702</v>
      </c>
      <c r="R1911" s="149">
        <f t="shared" si="445"/>
        <v>5.3540098477559583</v>
      </c>
    </row>
    <row r="1912" spans="1:18" ht="15" x14ac:dyDescent="0.25">
      <c r="A1912" s="82" t="s">
        <v>1</v>
      </c>
      <c r="B1912" s="82" t="s">
        <v>11</v>
      </c>
      <c r="C1912" s="82" t="s">
        <v>6</v>
      </c>
      <c r="D1912" s="82" t="s">
        <v>90</v>
      </c>
      <c r="E1912" s="87">
        <f t="shared" si="447"/>
        <v>41852</v>
      </c>
      <c r="F1912" s="83"/>
      <c r="G1912" s="92">
        <v>4492</v>
      </c>
      <c r="H1912" s="52">
        <v>1357</v>
      </c>
      <c r="I1912" s="52" t="s">
        <v>92</v>
      </c>
      <c r="J1912" s="157">
        <f t="shared" si="446"/>
        <v>0.37</v>
      </c>
      <c r="K1912" s="101">
        <f t="shared" si="439"/>
        <v>44.607745779543194</v>
      </c>
      <c r="L1912" s="101">
        <f t="shared" si="440"/>
        <v>1.2140540540540541</v>
      </c>
      <c r="M1912" s="133">
        <f t="shared" si="441"/>
        <v>502.09</v>
      </c>
      <c r="N1912" s="133">
        <f t="shared" si="442"/>
        <v>4994.09</v>
      </c>
      <c r="O1912" s="134">
        <f t="shared" si="443"/>
        <v>49.593743793445881</v>
      </c>
      <c r="P1912" s="134">
        <f t="shared" si="444"/>
        <v>1.349754054054054</v>
      </c>
      <c r="R1912" s="149">
        <f t="shared" si="445"/>
        <v>5.1398435773008178</v>
      </c>
    </row>
    <row r="1913" spans="1:18" ht="15" x14ac:dyDescent="0.25">
      <c r="A1913" s="82" t="s">
        <v>134</v>
      </c>
      <c r="B1913" s="82" t="s">
        <v>13</v>
      </c>
      <c r="C1913" s="82" t="s">
        <v>7</v>
      </c>
      <c r="D1913" s="82" t="s">
        <v>90</v>
      </c>
      <c r="E1913" s="87">
        <f t="shared" si="447"/>
        <v>41852</v>
      </c>
      <c r="F1913" s="83"/>
      <c r="G1913" s="92">
        <v>3192</v>
      </c>
      <c r="H1913" s="52">
        <v>1006</v>
      </c>
      <c r="I1913" s="52" t="s">
        <v>92</v>
      </c>
      <c r="J1913" s="157">
        <f t="shared" si="446"/>
        <v>0.37</v>
      </c>
      <c r="K1913" s="101">
        <f t="shared" si="439"/>
        <v>31.69811320754717</v>
      </c>
      <c r="L1913" s="101">
        <f t="shared" si="440"/>
        <v>0.80518918918918925</v>
      </c>
      <c r="M1913" s="133">
        <f t="shared" si="441"/>
        <v>372.21999999999997</v>
      </c>
      <c r="N1913" s="133">
        <f t="shared" si="442"/>
        <v>3564.22</v>
      </c>
      <c r="O1913" s="134">
        <f t="shared" si="443"/>
        <v>35.394438927507444</v>
      </c>
      <c r="P1913" s="134">
        <f t="shared" si="444"/>
        <v>0.89908252252252252</v>
      </c>
      <c r="R1913" s="149">
        <f t="shared" si="445"/>
        <v>2.949654833771409</v>
      </c>
    </row>
    <row r="1914" spans="1:18" ht="15" x14ac:dyDescent="0.25">
      <c r="A1914" s="82" t="s">
        <v>134</v>
      </c>
      <c r="B1914" s="82" t="s">
        <v>14</v>
      </c>
      <c r="C1914" s="82" t="s">
        <v>15</v>
      </c>
      <c r="D1914" s="82" t="s">
        <v>90</v>
      </c>
      <c r="E1914" s="87">
        <f t="shared" si="447"/>
        <v>41852</v>
      </c>
      <c r="F1914" s="83"/>
      <c r="G1914" s="92">
        <v>4686</v>
      </c>
      <c r="H1914" s="52">
        <v>866</v>
      </c>
      <c r="I1914" s="52" t="s">
        <v>94</v>
      </c>
      <c r="J1914" s="157">
        <f t="shared" si="446"/>
        <v>0.48</v>
      </c>
      <c r="K1914" s="101">
        <f t="shared" si="439"/>
        <v>46.53426017874876</v>
      </c>
      <c r="L1914" s="101">
        <f t="shared" si="440"/>
        <v>1.1820540540540541</v>
      </c>
      <c r="M1914" s="133">
        <f t="shared" si="441"/>
        <v>415.68</v>
      </c>
      <c r="N1914" s="133">
        <f t="shared" si="442"/>
        <v>5101.68</v>
      </c>
      <c r="O1914" s="134">
        <f t="shared" si="443"/>
        <v>50.662164846077459</v>
      </c>
      <c r="P1914" s="134">
        <f t="shared" si="444"/>
        <v>1.2869102702702704</v>
      </c>
      <c r="R1914" s="149">
        <f t="shared" si="445"/>
        <v>3.7977464995055943</v>
      </c>
    </row>
    <row r="1915" spans="1:18" ht="15" x14ac:dyDescent="0.25">
      <c r="A1915" s="82" t="s">
        <v>134</v>
      </c>
      <c r="B1915" s="82" t="s">
        <v>16</v>
      </c>
      <c r="C1915" s="82" t="s">
        <v>17</v>
      </c>
      <c r="D1915" s="82" t="s">
        <v>90</v>
      </c>
      <c r="E1915" s="87">
        <f t="shared" si="447"/>
        <v>41852</v>
      </c>
      <c r="F1915" s="83"/>
      <c r="G1915" s="92">
        <v>2078</v>
      </c>
      <c r="H1915" s="52">
        <v>213</v>
      </c>
      <c r="I1915" s="52" t="s">
        <v>92</v>
      </c>
      <c r="J1915" s="157">
        <f t="shared" si="446"/>
        <v>0.37</v>
      </c>
      <c r="K1915" s="101">
        <f t="shared" si="439"/>
        <v>20.635551142005959</v>
      </c>
      <c r="L1915" s="101">
        <f t="shared" si="440"/>
        <v>0.5241801801801802</v>
      </c>
      <c r="M1915" s="133">
        <f t="shared" si="441"/>
        <v>78.81</v>
      </c>
      <c r="N1915" s="133">
        <f t="shared" si="442"/>
        <v>2156.81</v>
      </c>
      <c r="O1915" s="134">
        <f t="shared" si="443"/>
        <v>21.418172790466731</v>
      </c>
      <c r="P1915" s="134">
        <f t="shared" si="444"/>
        <v>0.54406018018018021</v>
      </c>
      <c r="R1915" s="149">
        <f t="shared" si="445"/>
        <v>3.6653769435966321</v>
      </c>
    </row>
    <row r="1916" spans="1:18" ht="15" x14ac:dyDescent="0.25">
      <c r="A1916" s="82" t="s">
        <v>134</v>
      </c>
      <c r="B1916" s="82" t="s">
        <v>18</v>
      </c>
      <c r="C1916" s="82" t="s">
        <v>19</v>
      </c>
      <c r="D1916" s="82" t="s">
        <v>90</v>
      </c>
      <c r="E1916" s="87">
        <f t="shared" si="447"/>
        <v>41852</v>
      </c>
      <c r="F1916" s="83"/>
      <c r="G1916" s="92">
        <v>4061</v>
      </c>
      <c r="H1916" s="52">
        <v>650</v>
      </c>
      <c r="I1916" s="52" t="s">
        <v>94</v>
      </c>
      <c r="J1916" s="157">
        <f t="shared" si="446"/>
        <v>0.48</v>
      </c>
      <c r="K1916" s="101">
        <f t="shared" si="439"/>
        <v>40.327706057596821</v>
      </c>
      <c r="L1916" s="101">
        <f t="shared" si="440"/>
        <v>1.0243963963963965</v>
      </c>
      <c r="M1916" s="133">
        <f t="shared" si="441"/>
        <v>312</v>
      </c>
      <c r="N1916" s="133">
        <f t="shared" si="442"/>
        <v>4373</v>
      </c>
      <c r="O1916" s="134">
        <f t="shared" si="443"/>
        <v>43.426017874875868</v>
      </c>
      <c r="P1916" s="134">
        <f t="shared" si="444"/>
        <v>1.1030990990990992</v>
      </c>
      <c r="R1916" s="149">
        <f t="shared" si="445"/>
        <v>3.4907111584427941</v>
      </c>
    </row>
    <row r="1917" spans="1:18" ht="15" x14ac:dyDescent="0.25">
      <c r="A1917" s="82" t="s">
        <v>134</v>
      </c>
      <c r="B1917" s="82" t="s">
        <v>18</v>
      </c>
      <c r="C1917" s="82" t="s">
        <v>20</v>
      </c>
      <c r="D1917" s="82" t="s">
        <v>90</v>
      </c>
      <c r="E1917" s="87">
        <f t="shared" si="447"/>
        <v>41852</v>
      </c>
      <c r="F1917" s="83"/>
      <c r="G1917" s="92">
        <v>3469</v>
      </c>
      <c r="H1917" s="52">
        <v>417</v>
      </c>
      <c r="I1917" s="52" t="s">
        <v>94</v>
      </c>
      <c r="J1917" s="157">
        <f t="shared" si="446"/>
        <v>0.48</v>
      </c>
      <c r="K1917" s="101">
        <f t="shared" si="439"/>
        <v>34.44885799404171</v>
      </c>
      <c r="L1917" s="101">
        <f t="shared" si="440"/>
        <v>0.87506306306306303</v>
      </c>
      <c r="M1917" s="133">
        <f t="shared" si="441"/>
        <v>200.16</v>
      </c>
      <c r="N1917" s="133">
        <f t="shared" si="442"/>
        <v>3669.16</v>
      </c>
      <c r="O1917" s="134">
        <f t="shared" si="443"/>
        <v>36.436544190665337</v>
      </c>
      <c r="P1917" s="134">
        <f t="shared" si="444"/>
        <v>0.92555387387387389</v>
      </c>
      <c r="R1917" s="149">
        <f t="shared" si="445"/>
        <v>3.3569108645376433</v>
      </c>
    </row>
    <row r="1918" spans="1:18" ht="15" x14ac:dyDescent="0.25">
      <c r="A1918" s="82" t="s">
        <v>134</v>
      </c>
      <c r="B1918" s="82" t="s">
        <v>16</v>
      </c>
      <c r="C1918" s="82" t="s">
        <v>21</v>
      </c>
      <c r="D1918" s="82" t="s">
        <v>90</v>
      </c>
      <c r="E1918" s="87">
        <f t="shared" si="447"/>
        <v>41852</v>
      </c>
      <c r="F1918" s="83"/>
      <c r="G1918" s="92">
        <v>3218</v>
      </c>
      <c r="H1918" s="52">
        <v>626</v>
      </c>
      <c r="I1918" s="52" t="s">
        <v>92</v>
      </c>
      <c r="J1918" s="157">
        <f t="shared" si="446"/>
        <v>0.37</v>
      </c>
      <c r="K1918" s="101">
        <f t="shared" si="439"/>
        <v>31.95630585898709</v>
      </c>
      <c r="L1918" s="101">
        <f t="shared" si="440"/>
        <v>0.81174774774774772</v>
      </c>
      <c r="M1918" s="133">
        <f t="shared" si="441"/>
        <v>231.62</v>
      </c>
      <c r="N1918" s="133">
        <f t="shared" si="442"/>
        <v>3449.62</v>
      </c>
      <c r="O1918" s="134">
        <f t="shared" si="443"/>
        <v>34.256405163853024</v>
      </c>
      <c r="P1918" s="134">
        <f t="shared" si="444"/>
        <v>0.87017441441441445</v>
      </c>
      <c r="R1918" s="149">
        <f t="shared" si="445"/>
        <v>2.5116638435707772</v>
      </c>
    </row>
    <row r="1919" spans="1:18" ht="15" x14ac:dyDescent="0.25">
      <c r="A1919" s="82" t="s">
        <v>134</v>
      </c>
      <c r="B1919" s="82" t="s">
        <v>16</v>
      </c>
      <c r="C1919" s="82" t="s">
        <v>6</v>
      </c>
      <c r="D1919" s="82" t="s">
        <v>90</v>
      </c>
      <c r="E1919" s="87">
        <f t="shared" si="447"/>
        <v>41852</v>
      </c>
      <c r="F1919" s="83"/>
      <c r="G1919" s="92">
        <v>5215</v>
      </c>
      <c r="H1919" s="52">
        <v>1823</v>
      </c>
      <c r="I1919" s="52" t="s">
        <v>92</v>
      </c>
      <c r="J1919" s="157">
        <f t="shared" si="446"/>
        <v>0.37</v>
      </c>
      <c r="K1919" s="101">
        <f t="shared" si="439"/>
        <v>51.787487586891757</v>
      </c>
      <c r="L1919" s="101">
        <f t="shared" si="440"/>
        <v>1.3154954954954956</v>
      </c>
      <c r="M1919" s="133">
        <f t="shared" si="441"/>
        <v>674.51</v>
      </c>
      <c r="N1919" s="133">
        <f t="shared" si="442"/>
        <v>5889.51</v>
      </c>
      <c r="O1919" s="134">
        <f t="shared" si="443"/>
        <v>58.485700099304864</v>
      </c>
      <c r="P1919" s="134">
        <f t="shared" si="444"/>
        <v>1.4856421621621623</v>
      </c>
      <c r="R1919" s="149">
        <f t="shared" si="445"/>
        <v>3.2694786123214747</v>
      </c>
    </row>
    <row r="1920" spans="1:18" ht="15" x14ac:dyDescent="0.25">
      <c r="A1920" s="82" t="s">
        <v>22</v>
      </c>
      <c r="B1920" s="82" t="s">
        <v>23</v>
      </c>
      <c r="C1920" s="82" t="s">
        <v>7</v>
      </c>
      <c r="D1920" s="82" t="s">
        <v>90</v>
      </c>
      <c r="E1920" s="87">
        <f t="shared" si="447"/>
        <v>41852</v>
      </c>
      <c r="F1920" s="83"/>
      <c r="G1920" s="92">
        <v>3514</v>
      </c>
      <c r="H1920" s="52">
        <v>1295</v>
      </c>
      <c r="I1920" s="52" t="s">
        <v>95</v>
      </c>
      <c r="J1920" s="157">
        <f t="shared" si="446"/>
        <v>0.3105</v>
      </c>
      <c r="K1920" s="101">
        <f t="shared" si="439"/>
        <v>34.895729890764649</v>
      </c>
      <c r="L1920" s="101">
        <f t="shared" si="440"/>
        <v>0.94972972972972969</v>
      </c>
      <c r="M1920" s="133">
        <f t="shared" si="441"/>
        <v>402.09750000000003</v>
      </c>
      <c r="N1920" s="133">
        <f t="shared" si="442"/>
        <v>3916.0974999999999</v>
      </c>
      <c r="O1920" s="134">
        <f t="shared" si="443"/>
        <v>38.888753723932467</v>
      </c>
      <c r="P1920" s="134">
        <f t="shared" si="444"/>
        <v>1.0584047297297297</v>
      </c>
      <c r="R1920" s="149">
        <f t="shared" si="445"/>
        <v>3.4306779479716498</v>
      </c>
    </row>
    <row r="1921" spans="1:18" ht="15" x14ac:dyDescent="0.25">
      <c r="A1921" s="82" t="s">
        <v>22</v>
      </c>
      <c r="B1921" s="82" t="s">
        <v>14</v>
      </c>
      <c r="C1921" s="82" t="s">
        <v>24</v>
      </c>
      <c r="D1921" s="82" t="s">
        <v>90</v>
      </c>
      <c r="E1921" s="87">
        <f t="shared" si="447"/>
        <v>41852</v>
      </c>
      <c r="F1921" s="83"/>
      <c r="G1921" s="92">
        <v>3687</v>
      </c>
      <c r="H1921" s="52">
        <v>615</v>
      </c>
      <c r="I1921" s="52" t="s">
        <v>94</v>
      </c>
      <c r="J1921" s="157">
        <f t="shared" si="446"/>
        <v>0.48</v>
      </c>
      <c r="K1921" s="101">
        <f t="shared" si="439"/>
        <v>36.613704071499505</v>
      </c>
      <c r="L1921" s="101">
        <f t="shared" si="440"/>
        <v>0.99648648648648652</v>
      </c>
      <c r="M1921" s="133">
        <f t="shared" si="441"/>
        <v>295.2</v>
      </c>
      <c r="N1921" s="133">
        <f t="shared" si="442"/>
        <v>3982.2</v>
      </c>
      <c r="O1921" s="134">
        <f t="shared" si="443"/>
        <v>39.545183714001986</v>
      </c>
      <c r="P1921" s="134">
        <f t="shared" si="444"/>
        <v>1.0762702702702702</v>
      </c>
      <c r="R1921" s="149">
        <f t="shared" si="445"/>
        <v>3.0576726491634343</v>
      </c>
    </row>
    <row r="1922" spans="1:18" ht="15" x14ac:dyDescent="0.25">
      <c r="A1922" s="82" t="s">
        <v>22</v>
      </c>
      <c r="B1922" s="82" t="s">
        <v>18</v>
      </c>
      <c r="C1922" s="82" t="s">
        <v>15</v>
      </c>
      <c r="D1922" s="82" t="s">
        <v>90</v>
      </c>
      <c r="E1922" s="87">
        <f t="shared" si="447"/>
        <v>41852</v>
      </c>
      <c r="F1922" s="83"/>
      <c r="G1922" s="92">
        <v>4756</v>
      </c>
      <c r="H1922" s="52">
        <v>872</v>
      </c>
      <c r="I1922" s="52" t="s">
        <v>94</v>
      </c>
      <c r="J1922" s="157">
        <f t="shared" si="446"/>
        <v>0.48</v>
      </c>
      <c r="K1922" s="101">
        <f t="shared" si="439"/>
        <v>47.229394240317774</v>
      </c>
      <c r="L1922" s="101">
        <f t="shared" si="440"/>
        <v>1.2854054054054054</v>
      </c>
      <c r="M1922" s="133">
        <f t="shared" si="441"/>
        <v>418.56</v>
      </c>
      <c r="N1922" s="133">
        <f t="shared" si="442"/>
        <v>5174.5600000000004</v>
      </c>
      <c r="O1922" s="134">
        <f t="shared" si="443"/>
        <v>51.385898709036745</v>
      </c>
      <c r="P1922" s="134">
        <f t="shared" si="444"/>
        <v>1.3985297297297299</v>
      </c>
      <c r="R1922" s="149">
        <f t="shared" si="445"/>
        <v>3.7435042022198051</v>
      </c>
    </row>
    <row r="1923" spans="1:18" ht="15" x14ac:dyDescent="0.25">
      <c r="A1923" s="82" t="s">
        <v>22</v>
      </c>
      <c r="B1923" s="82" t="s">
        <v>18</v>
      </c>
      <c r="C1923" s="82" t="s">
        <v>24</v>
      </c>
      <c r="D1923" s="82" t="s">
        <v>90</v>
      </c>
      <c r="E1923" s="87">
        <f t="shared" si="447"/>
        <v>41852</v>
      </c>
      <c r="F1923" s="83"/>
      <c r="G1923" s="92">
        <v>3379</v>
      </c>
      <c r="H1923" s="52">
        <v>417</v>
      </c>
      <c r="I1923" s="52" t="s">
        <v>94</v>
      </c>
      <c r="J1923" s="157">
        <f t="shared" si="446"/>
        <v>0.48</v>
      </c>
      <c r="K1923" s="101">
        <f t="shared" si="439"/>
        <v>33.555114200595831</v>
      </c>
      <c r="L1923" s="101">
        <f t="shared" si="440"/>
        <v>0.91324324324324324</v>
      </c>
      <c r="M1923" s="133">
        <f t="shared" si="441"/>
        <v>200.16</v>
      </c>
      <c r="N1923" s="133">
        <f t="shared" si="442"/>
        <v>3579.16</v>
      </c>
      <c r="O1923" s="134">
        <f t="shared" si="443"/>
        <v>35.542800397219459</v>
      </c>
      <c r="P1923" s="134">
        <f t="shared" si="444"/>
        <v>0.96734054054054053</v>
      </c>
      <c r="R1923" s="149">
        <f t="shared" si="445"/>
        <v>3.3546155201141126</v>
      </c>
    </row>
    <row r="1924" spans="1:18" ht="15" x14ac:dyDescent="0.25">
      <c r="A1924" s="82" t="s">
        <v>22</v>
      </c>
      <c r="B1924" s="82" t="s">
        <v>13</v>
      </c>
      <c r="C1924" s="82" t="s">
        <v>7</v>
      </c>
      <c r="D1924" s="82" t="s">
        <v>90</v>
      </c>
      <c r="E1924" s="87">
        <f t="shared" si="447"/>
        <v>41852</v>
      </c>
      <c r="F1924" s="83"/>
      <c r="G1924" s="92">
        <v>3748</v>
      </c>
      <c r="H1924" s="52">
        <v>1006</v>
      </c>
      <c r="I1924" s="52" t="s">
        <v>92</v>
      </c>
      <c r="J1924" s="157">
        <f t="shared" si="446"/>
        <v>0.37</v>
      </c>
      <c r="K1924" s="101">
        <f t="shared" si="439"/>
        <v>37.219463753723929</v>
      </c>
      <c r="L1924" s="101">
        <f t="shared" si="440"/>
        <v>1.0129729729729731</v>
      </c>
      <c r="M1924" s="133">
        <f t="shared" si="441"/>
        <v>372.21999999999997</v>
      </c>
      <c r="N1924" s="133">
        <f t="shared" si="442"/>
        <v>4120.22</v>
      </c>
      <c r="O1924" s="134">
        <f t="shared" si="443"/>
        <v>40.915789473684214</v>
      </c>
      <c r="P1924" s="134">
        <f t="shared" si="444"/>
        <v>1.1135729729729731</v>
      </c>
      <c r="R1924" s="149">
        <f t="shared" si="445"/>
        <v>4.280326997544992</v>
      </c>
    </row>
    <row r="1925" spans="1:18" ht="15" x14ac:dyDescent="0.25">
      <c r="A1925" s="82" t="s">
        <v>1</v>
      </c>
      <c r="B1925" s="82" t="s">
        <v>25</v>
      </c>
      <c r="C1925" s="82" t="s">
        <v>26</v>
      </c>
      <c r="D1925" s="82" t="s">
        <v>91</v>
      </c>
      <c r="E1925" s="87">
        <f t="shared" si="447"/>
        <v>41852</v>
      </c>
      <c r="F1925" s="83"/>
      <c r="G1925" s="92">
        <v>3678</v>
      </c>
      <c r="H1925" s="52">
        <v>880</v>
      </c>
      <c r="I1925" s="52" t="s">
        <v>93</v>
      </c>
      <c r="J1925" s="157">
        <f t="shared" si="446"/>
        <v>0.36</v>
      </c>
      <c r="K1925" s="101">
        <f t="shared" si="439"/>
        <v>36.524329692154915</v>
      </c>
      <c r="L1925" s="101">
        <f t="shared" si="440"/>
        <v>0.994054054054054</v>
      </c>
      <c r="M1925" s="133">
        <f t="shared" si="441"/>
        <v>316.8</v>
      </c>
      <c r="N1925" s="133">
        <f t="shared" si="442"/>
        <v>3994.8</v>
      </c>
      <c r="O1925" s="134">
        <f t="shared" si="443"/>
        <v>39.670307845084409</v>
      </c>
      <c r="P1925" s="134">
        <f t="shared" si="444"/>
        <v>1.0796756756756758</v>
      </c>
      <c r="R1925" s="149">
        <f t="shared" si="445"/>
        <v>0.44252237755204593</v>
      </c>
    </row>
    <row r="1926" spans="1:18" ht="15" x14ac:dyDescent="0.25">
      <c r="A1926" s="82" t="s">
        <v>1</v>
      </c>
      <c r="B1926" s="82" t="s">
        <v>2</v>
      </c>
      <c r="C1926" s="82" t="s">
        <v>9</v>
      </c>
      <c r="D1926" s="82" t="s">
        <v>91</v>
      </c>
      <c r="E1926" s="87">
        <f t="shared" si="447"/>
        <v>41852</v>
      </c>
      <c r="F1926" s="83"/>
      <c r="G1926" s="92">
        <v>3471</v>
      </c>
      <c r="H1926" s="52">
        <v>685</v>
      </c>
      <c r="I1926" s="52" t="s">
        <v>93</v>
      </c>
      <c r="J1926" s="157">
        <f t="shared" si="446"/>
        <v>0.36</v>
      </c>
      <c r="K1926" s="101">
        <f t="shared" si="439"/>
        <v>34.468718967229393</v>
      </c>
      <c r="L1926" s="101">
        <f t="shared" si="440"/>
        <v>0.93810810810810807</v>
      </c>
      <c r="M1926" s="133">
        <f t="shared" si="441"/>
        <v>246.6</v>
      </c>
      <c r="N1926" s="133">
        <f t="shared" si="442"/>
        <v>3717.6</v>
      </c>
      <c r="O1926" s="134">
        <f t="shared" si="443"/>
        <v>36.917576961271102</v>
      </c>
      <c r="P1926" s="134">
        <f t="shared" si="444"/>
        <v>1.0047567567567568</v>
      </c>
      <c r="R1926" s="149">
        <f t="shared" si="445"/>
        <v>-7.7724577637748427</v>
      </c>
    </row>
    <row r="1927" spans="1:18" ht="15" x14ac:dyDescent="0.25">
      <c r="A1927" s="82" t="s">
        <v>1</v>
      </c>
      <c r="B1927" s="82" t="s">
        <v>27</v>
      </c>
      <c r="C1927" s="82" t="s">
        <v>28</v>
      </c>
      <c r="D1927" s="82" t="s">
        <v>91</v>
      </c>
      <c r="E1927" s="87">
        <f t="shared" si="447"/>
        <v>41852</v>
      </c>
      <c r="F1927" s="83"/>
      <c r="G1927" s="92">
        <v>3950</v>
      </c>
      <c r="H1927" s="52">
        <v>812</v>
      </c>
      <c r="I1927" s="52" t="s">
        <v>94</v>
      </c>
      <c r="J1927" s="157">
        <f t="shared" si="446"/>
        <v>0.48</v>
      </c>
      <c r="K1927" s="101">
        <f t="shared" si="439"/>
        <v>39.22542204568024</v>
      </c>
      <c r="L1927" s="101">
        <f t="shared" si="440"/>
        <v>1.0675675675675675</v>
      </c>
      <c r="M1927" s="133">
        <f t="shared" si="441"/>
        <v>389.76</v>
      </c>
      <c r="N1927" s="133">
        <f t="shared" si="442"/>
        <v>4339.76</v>
      </c>
      <c r="O1927" s="134">
        <f t="shared" si="443"/>
        <v>43.095928500496527</v>
      </c>
      <c r="P1927" s="134">
        <f t="shared" si="444"/>
        <v>1.1729081081081081</v>
      </c>
      <c r="R1927" s="149">
        <f t="shared" si="445"/>
        <v>4.506049163905379</v>
      </c>
    </row>
    <row r="1928" spans="1:18" ht="15" x14ac:dyDescent="0.25">
      <c r="A1928" s="82" t="s">
        <v>1</v>
      </c>
      <c r="B1928" s="82" t="s">
        <v>4</v>
      </c>
      <c r="C1928" s="82" t="s">
        <v>26</v>
      </c>
      <c r="D1928" s="82" t="s">
        <v>91</v>
      </c>
      <c r="E1928" s="87">
        <f t="shared" si="447"/>
        <v>41852</v>
      </c>
      <c r="F1928" s="83"/>
      <c r="G1928" s="92">
        <v>5159</v>
      </c>
      <c r="H1928" s="52">
        <v>1520</v>
      </c>
      <c r="I1928" s="52" t="s">
        <v>93</v>
      </c>
      <c r="J1928" s="157">
        <f t="shared" si="446"/>
        <v>0.36</v>
      </c>
      <c r="K1928" s="101">
        <f t="shared" si="439"/>
        <v>51.231380337636544</v>
      </c>
      <c r="L1928" s="101">
        <f t="shared" si="440"/>
        <v>1.3943243243243244</v>
      </c>
      <c r="M1928" s="133">
        <f t="shared" si="441"/>
        <v>547.19999999999993</v>
      </c>
      <c r="N1928" s="133">
        <f t="shared" si="442"/>
        <v>5706.2</v>
      </c>
      <c r="O1928" s="134">
        <f t="shared" si="443"/>
        <v>56.665342601787486</v>
      </c>
      <c r="P1928" s="134">
        <f t="shared" si="444"/>
        <v>1.5422162162162161</v>
      </c>
      <c r="R1928" s="149">
        <f t="shared" si="445"/>
        <v>0.53560731526831606</v>
      </c>
    </row>
    <row r="1929" spans="1:18" ht="15" x14ac:dyDescent="0.25">
      <c r="A1929" s="82" t="s">
        <v>1</v>
      </c>
      <c r="B1929" s="82" t="s">
        <v>4</v>
      </c>
      <c r="C1929" s="82" t="s">
        <v>9</v>
      </c>
      <c r="D1929" s="82" t="s">
        <v>91</v>
      </c>
      <c r="E1929" s="87">
        <f t="shared" si="447"/>
        <v>41852</v>
      </c>
      <c r="F1929" s="83"/>
      <c r="G1929" s="92">
        <v>6084</v>
      </c>
      <c r="H1929" s="52">
        <v>1583</v>
      </c>
      <c r="I1929" s="52" t="s">
        <v>93</v>
      </c>
      <c r="J1929" s="157">
        <f t="shared" si="446"/>
        <v>0.36</v>
      </c>
      <c r="K1929" s="101">
        <f t="shared" si="439"/>
        <v>60.417080436941411</v>
      </c>
      <c r="L1929" s="101">
        <f t="shared" si="440"/>
        <v>1.6443243243243244</v>
      </c>
      <c r="M1929" s="133">
        <f t="shared" si="441"/>
        <v>569.88</v>
      </c>
      <c r="N1929" s="133">
        <f t="shared" si="442"/>
        <v>6653.88</v>
      </c>
      <c r="O1929" s="134">
        <f t="shared" si="443"/>
        <v>66.076266137040719</v>
      </c>
      <c r="P1929" s="134">
        <f t="shared" si="444"/>
        <v>1.7983459459459459</v>
      </c>
      <c r="R1929" s="149">
        <f t="shared" si="445"/>
        <v>-0.97243430040987455</v>
      </c>
    </row>
    <row r="1930" spans="1:18" ht="15" x14ac:dyDescent="0.25">
      <c r="A1930" s="82" t="s">
        <v>1</v>
      </c>
      <c r="B1930" s="82" t="s">
        <v>10</v>
      </c>
      <c r="C1930" s="82" t="s">
        <v>26</v>
      </c>
      <c r="D1930" s="82" t="s">
        <v>91</v>
      </c>
      <c r="E1930" s="87">
        <f t="shared" si="447"/>
        <v>41852</v>
      </c>
      <c r="F1930" s="83"/>
      <c r="G1930" s="92">
        <v>5260</v>
      </c>
      <c r="H1930" s="52">
        <v>1599</v>
      </c>
      <c r="I1930" s="52" t="s">
        <v>92</v>
      </c>
      <c r="J1930" s="157">
        <f t="shared" si="446"/>
        <v>0.37</v>
      </c>
      <c r="K1930" s="101">
        <f t="shared" si="439"/>
        <v>52.234359483614696</v>
      </c>
      <c r="L1930" s="101">
        <f t="shared" si="440"/>
        <v>1.4216216216216215</v>
      </c>
      <c r="M1930" s="133">
        <f t="shared" si="441"/>
        <v>591.63</v>
      </c>
      <c r="N1930" s="133">
        <f t="shared" si="442"/>
        <v>5851.63</v>
      </c>
      <c r="O1930" s="134">
        <f t="shared" si="443"/>
        <v>58.109533267130089</v>
      </c>
      <c r="P1930" s="134">
        <f t="shared" si="444"/>
        <v>1.5815216216216217</v>
      </c>
      <c r="R1930" s="149">
        <f t="shared" si="445"/>
        <v>4.4439684792018097</v>
      </c>
    </row>
    <row r="1931" spans="1:18" ht="15" x14ac:dyDescent="0.25">
      <c r="A1931" s="82" t="s">
        <v>134</v>
      </c>
      <c r="B1931" s="82" t="s">
        <v>23</v>
      </c>
      <c r="C1931" s="82" t="s">
        <v>26</v>
      </c>
      <c r="D1931" s="82" t="s">
        <v>91</v>
      </c>
      <c r="E1931" s="87">
        <f t="shared" si="447"/>
        <v>41852</v>
      </c>
      <c r="F1931" s="83"/>
      <c r="G1931" s="92">
        <v>5000</v>
      </c>
      <c r="H1931" s="52">
        <v>1851</v>
      </c>
      <c r="I1931" s="52" t="s">
        <v>93</v>
      </c>
      <c r="J1931" s="157">
        <f t="shared" si="446"/>
        <v>0.36</v>
      </c>
      <c r="K1931" s="101">
        <f t="shared" si="439"/>
        <v>49.652432969215489</v>
      </c>
      <c r="L1931" s="101">
        <f t="shared" si="440"/>
        <v>1.2612612612612613</v>
      </c>
      <c r="M1931" s="133">
        <f t="shared" si="441"/>
        <v>666.36</v>
      </c>
      <c r="N1931" s="133">
        <f t="shared" si="442"/>
        <v>5666.36</v>
      </c>
      <c r="O1931" s="134">
        <f t="shared" si="443"/>
        <v>56.269712015888771</v>
      </c>
      <c r="P1931" s="134">
        <f t="shared" si="444"/>
        <v>1.429352072072072</v>
      </c>
      <c r="R1931" s="149">
        <f t="shared" si="445"/>
        <v>4.365539826203535</v>
      </c>
    </row>
    <row r="1932" spans="1:18" ht="15" x14ac:dyDescent="0.25">
      <c r="A1932" s="82" t="s">
        <v>134</v>
      </c>
      <c r="B1932" s="82" t="s">
        <v>8</v>
      </c>
      <c r="C1932" s="82" t="s">
        <v>29</v>
      </c>
      <c r="D1932" s="82" t="s">
        <v>91</v>
      </c>
      <c r="E1932" s="87">
        <f t="shared" si="447"/>
        <v>41852</v>
      </c>
      <c r="F1932" s="83"/>
      <c r="G1932" s="92">
        <v>4960</v>
      </c>
      <c r="H1932" s="52">
        <v>1695</v>
      </c>
      <c r="I1932" s="52" t="s">
        <v>93</v>
      </c>
      <c r="J1932" s="157">
        <f t="shared" si="446"/>
        <v>0.36</v>
      </c>
      <c r="K1932" s="101">
        <f t="shared" si="439"/>
        <v>49.255213505461768</v>
      </c>
      <c r="L1932" s="101">
        <f t="shared" si="440"/>
        <v>1.2511711711711713</v>
      </c>
      <c r="M1932" s="133">
        <f t="shared" si="441"/>
        <v>610.19999999999993</v>
      </c>
      <c r="N1932" s="133">
        <f t="shared" si="442"/>
        <v>5570.2</v>
      </c>
      <c r="O1932" s="134">
        <f t="shared" si="443"/>
        <v>55.314796425024824</v>
      </c>
      <c r="P1932" s="134">
        <f t="shared" si="444"/>
        <v>1.4050954954954955</v>
      </c>
      <c r="R1932" s="149">
        <f t="shared" si="445"/>
        <v>4.3831868523134032</v>
      </c>
    </row>
    <row r="1933" spans="1:18" ht="15" x14ac:dyDescent="0.25">
      <c r="A1933" s="82" t="s">
        <v>134</v>
      </c>
      <c r="B1933" s="82" t="s">
        <v>13</v>
      </c>
      <c r="C1933" s="82" t="s">
        <v>7</v>
      </c>
      <c r="D1933" s="82" t="s">
        <v>91</v>
      </c>
      <c r="E1933" s="87">
        <f t="shared" si="447"/>
        <v>41852</v>
      </c>
      <c r="F1933" s="83"/>
      <c r="G1933" s="92">
        <v>3011</v>
      </c>
      <c r="H1933" s="52">
        <v>1006</v>
      </c>
      <c r="I1933" s="52" t="s">
        <v>92</v>
      </c>
      <c r="J1933" s="157">
        <f t="shared" si="446"/>
        <v>0.37</v>
      </c>
      <c r="K1933" s="101">
        <f t="shared" si="439"/>
        <v>29.900695134061568</v>
      </c>
      <c r="L1933" s="101">
        <f t="shared" si="440"/>
        <v>0.75953153153153152</v>
      </c>
      <c r="M1933" s="133">
        <f t="shared" si="441"/>
        <v>372.21999999999997</v>
      </c>
      <c r="N1933" s="133">
        <f t="shared" si="442"/>
        <v>3383.22</v>
      </c>
      <c r="O1933" s="134">
        <f t="shared" si="443"/>
        <v>33.597020854021842</v>
      </c>
      <c r="P1933" s="134">
        <f t="shared" si="444"/>
        <v>0.8534248648648648</v>
      </c>
      <c r="R1933" s="149">
        <f t="shared" si="445"/>
        <v>3.1123708512389214</v>
      </c>
    </row>
    <row r="1934" spans="1:18" ht="15" x14ac:dyDescent="0.25">
      <c r="A1934" s="82" t="s">
        <v>134</v>
      </c>
      <c r="B1934" s="82" t="s">
        <v>30</v>
      </c>
      <c r="C1934" s="82" t="s">
        <v>9</v>
      </c>
      <c r="D1934" s="82" t="s">
        <v>91</v>
      </c>
      <c r="E1934" s="87">
        <f t="shared" si="447"/>
        <v>41852</v>
      </c>
      <c r="F1934" s="83"/>
      <c r="G1934" s="92">
        <v>3510</v>
      </c>
      <c r="H1934" s="52">
        <v>988</v>
      </c>
      <c r="I1934" s="52" t="s">
        <v>93</v>
      </c>
      <c r="J1934" s="157">
        <f t="shared" si="446"/>
        <v>0.36</v>
      </c>
      <c r="K1934" s="101">
        <f t="shared" si="439"/>
        <v>34.856007944389276</v>
      </c>
      <c r="L1934" s="101">
        <f t="shared" si="440"/>
        <v>0.88540540540540547</v>
      </c>
      <c r="M1934" s="133">
        <f t="shared" si="441"/>
        <v>355.68</v>
      </c>
      <c r="N1934" s="133">
        <f t="shared" si="442"/>
        <v>3865.68</v>
      </c>
      <c r="O1934" s="134">
        <f t="shared" si="443"/>
        <v>38.388083416087383</v>
      </c>
      <c r="P1934" s="134">
        <f t="shared" si="444"/>
        <v>0.97512648648648648</v>
      </c>
      <c r="R1934" s="149">
        <f t="shared" si="445"/>
        <v>6.0275595734409881</v>
      </c>
    </row>
    <row r="1935" spans="1:18" ht="15" x14ac:dyDescent="0.25">
      <c r="A1935" s="82" t="s">
        <v>134</v>
      </c>
      <c r="B1935" s="82" t="s">
        <v>16</v>
      </c>
      <c r="C1935" s="82" t="s">
        <v>11</v>
      </c>
      <c r="D1935" s="82" t="s">
        <v>91</v>
      </c>
      <c r="E1935" s="87">
        <f t="shared" si="447"/>
        <v>41852</v>
      </c>
      <c r="F1935" s="83"/>
      <c r="G1935" s="92">
        <v>3590</v>
      </c>
      <c r="H1935" s="52">
        <v>787</v>
      </c>
      <c r="I1935" s="52" t="s">
        <v>92</v>
      </c>
      <c r="J1935" s="157">
        <f t="shared" si="446"/>
        <v>0.37</v>
      </c>
      <c r="K1935" s="101">
        <f t="shared" si="439"/>
        <v>35.650446871896719</v>
      </c>
      <c r="L1935" s="101">
        <f t="shared" si="440"/>
        <v>0.90558558558558555</v>
      </c>
      <c r="M1935" s="133">
        <f t="shared" si="441"/>
        <v>291.19</v>
      </c>
      <c r="N1935" s="133">
        <f t="shared" si="442"/>
        <v>3881.19</v>
      </c>
      <c r="O1935" s="134">
        <f t="shared" si="443"/>
        <v>38.542105263157893</v>
      </c>
      <c r="P1935" s="134">
        <f t="shared" si="444"/>
        <v>0.97903891891891892</v>
      </c>
      <c r="R1935" s="149">
        <f t="shared" si="445"/>
        <v>2.5291576959146189</v>
      </c>
    </row>
    <row r="1936" spans="1:18" ht="15" x14ac:dyDescent="0.25">
      <c r="A1936" s="82" t="s">
        <v>134</v>
      </c>
      <c r="B1936" s="82" t="s">
        <v>23</v>
      </c>
      <c r="C1936" s="82" t="s">
        <v>29</v>
      </c>
      <c r="D1936" s="82" t="s">
        <v>91</v>
      </c>
      <c r="E1936" s="87">
        <f t="shared" si="447"/>
        <v>41852</v>
      </c>
      <c r="F1936" s="83"/>
      <c r="G1936" s="92">
        <v>5000</v>
      </c>
      <c r="H1936" s="52">
        <v>1836</v>
      </c>
      <c r="I1936" s="52" t="s">
        <v>93</v>
      </c>
      <c r="J1936" s="157">
        <f t="shared" si="446"/>
        <v>0.36</v>
      </c>
      <c r="K1936" s="101">
        <f t="shared" si="439"/>
        <v>49.652432969215489</v>
      </c>
      <c r="L1936" s="101">
        <f t="shared" si="440"/>
        <v>1.2612612612612613</v>
      </c>
      <c r="M1936" s="133">
        <f t="shared" si="441"/>
        <v>660.95999999999992</v>
      </c>
      <c r="N1936" s="133">
        <f t="shared" si="442"/>
        <v>5660.96</v>
      </c>
      <c r="O1936" s="134">
        <f t="shared" si="443"/>
        <v>56.216087388282027</v>
      </c>
      <c r="P1936" s="134">
        <f t="shared" si="444"/>
        <v>1.42798990990991</v>
      </c>
      <c r="R1936" s="149">
        <f t="shared" si="445"/>
        <v>4.3641136822854421</v>
      </c>
    </row>
    <row r="1937" spans="1:19" ht="15" x14ac:dyDescent="0.25">
      <c r="A1937" s="82" t="s">
        <v>134</v>
      </c>
      <c r="B1937" s="82" t="s">
        <v>31</v>
      </c>
      <c r="C1937" s="82" t="s">
        <v>32</v>
      </c>
      <c r="D1937" s="82" t="s">
        <v>91</v>
      </c>
      <c r="E1937" s="87">
        <f t="shared" si="447"/>
        <v>41852</v>
      </c>
      <c r="F1937" s="83"/>
      <c r="G1937" s="92">
        <v>4400</v>
      </c>
      <c r="H1937" s="52">
        <v>1899</v>
      </c>
      <c r="I1937" s="52" t="s">
        <v>93</v>
      </c>
      <c r="J1937" s="157">
        <f t="shared" si="446"/>
        <v>0.36</v>
      </c>
      <c r="K1937" s="101">
        <f t="shared" si="439"/>
        <v>43.694141012909633</v>
      </c>
      <c r="L1937" s="101">
        <f t="shared" si="440"/>
        <v>1.1099099099099099</v>
      </c>
      <c r="M1937" s="133">
        <f t="shared" si="441"/>
        <v>683.64</v>
      </c>
      <c r="N1937" s="133">
        <f t="shared" si="442"/>
        <v>5083.6400000000003</v>
      </c>
      <c r="O1937" s="134">
        <f t="shared" si="443"/>
        <v>50.483018867924528</v>
      </c>
      <c r="P1937" s="134">
        <f t="shared" si="444"/>
        <v>1.2823596396396397</v>
      </c>
      <c r="R1937" s="149">
        <f t="shared" si="445"/>
        <v>4.9111988872516887</v>
      </c>
    </row>
    <row r="1938" spans="1:19" ht="15" x14ac:dyDescent="0.25">
      <c r="A1938" s="82" t="s">
        <v>22</v>
      </c>
      <c r="B1938" s="82" t="s">
        <v>8</v>
      </c>
      <c r="C1938" s="82" t="s">
        <v>29</v>
      </c>
      <c r="D1938" s="82" t="s">
        <v>91</v>
      </c>
      <c r="E1938" s="87">
        <f t="shared" si="447"/>
        <v>41852</v>
      </c>
      <c r="F1938" s="83"/>
      <c r="G1938" s="92">
        <v>5520</v>
      </c>
      <c r="H1938" s="52">
        <v>1695</v>
      </c>
      <c r="I1938" s="52" t="s">
        <v>93</v>
      </c>
      <c r="J1938" s="157">
        <f t="shared" si="446"/>
        <v>0.36</v>
      </c>
      <c r="K1938" s="101">
        <f t="shared" si="439"/>
        <v>54.816285998013903</v>
      </c>
      <c r="L1938" s="101">
        <f t="shared" si="440"/>
        <v>1.491891891891892</v>
      </c>
      <c r="M1938" s="133">
        <f t="shared" si="441"/>
        <v>610.19999999999993</v>
      </c>
      <c r="N1938" s="133">
        <f t="shared" si="442"/>
        <v>6130.2</v>
      </c>
      <c r="O1938" s="134">
        <f t="shared" si="443"/>
        <v>60.875868917576959</v>
      </c>
      <c r="P1938" s="134">
        <f t="shared" si="444"/>
        <v>1.6568108108108108</v>
      </c>
      <c r="R1938" s="149">
        <f t="shared" si="445"/>
        <v>3.9668944931567252</v>
      </c>
    </row>
    <row r="1939" spans="1:19" ht="15" x14ac:dyDescent="0.25">
      <c r="A1939" s="82" t="s">
        <v>22</v>
      </c>
      <c r="B1939" s="82" t="s">
        <v>23</v>
      </c>
      <c r="C1939" s="82" t="s">
        <v>26</v>
      </c>
      <c r="D1939" s="82" t="s">
        <v>91</v>
      </c>
      <c r="E1939" s="87">
        <f t="shared" si="447"/>
        <v>41852</v>
      </c>
      <c r="F1939" s="83"/>
      <c r="G1939" s="92">
        <v>5530</v>
      </c>
      <c r="H1939" s="52">
        <v>1851</v>
      </c>
      <c r="I1939" s="52" t="s">
        <v>93</v>
      </c>
      <c r="J1939" s="157">
        <f t="shared" si="446"/>
        <v>0.36</v>
      </c>
      <c r="K1939" s="101">
        <f t="shared" si="439"/>
        <v>54.915590863952332</v>
      </c>
      <c r="L1939" s="101">
        <f t="shared" si="440"/>
        <v>1.4945945945945946</v>
      </c>
      <c r="M1939" s="133">
        <f t="shared" si="441"/>
        <v>666.36</v>
      </c>
      <c r="N1939" s="133">
        <f t="shared" si="442"/>
        <v>6196.36</v>
      </c>
      <c r="O1939" s="134">
        <f t="shared" si="443"/>
        <v>61.532869910625614</v>
      </c>
      <c r="P1939" s="134">
        <f t="shared" si="444"/>
        <v>1.6746918918918918</v>
      </c>
      <c r="R1939" s="149">
        <f t="shared" si="445"/>
        <v>3.9772860753036321</v>
      </c>
    </row>
    <row r="1940" spans="1:19" ht="15" x14ac:dyDescent="0.25">
      <c r="A1940" s="82" t="s">
        <v>22</v>
      </c>
      <c r="B1940" s="82" t="s">
        <v>33</v>
      </c>
      <c r="C1940" s="82" t="s">
        <v>29</v>
      </c>
      <c r="D1940" s="82" t="s">
        <v>91</v>
      </c>
      <c r="E1940" s="87">
        <f t="shared" si="447"/>
        <v>41852</v>
      </c>
      <c r="F1940" s="83"/>
      <c r="G1940" s="92">
        <v>5430</v>
      </c>
      <c r="H1940" s="52">
        <v>1507</v>
      </c>
      <c r="I1940" s="52" t="s">
        <v>93</v>
      </c>
      <c r="J1940" s="157">
        <f t="shared" si="446"/>
        <v>0.36</v>
      </c>
      <c r="K1940" s="101">
        <f t="shared" si="439"/>
        <v>53.922542204568025</v>
      </c>
      <c r="L1940" s="101">
        <f t="shared" si="440"/>
        <v>1.4675675675675677</v>
      </c>
      <c r="M1940" s="133">
        <f t="shared" si="441"/>
        <v>542.52</v>
      </c>
      <c r="N1940" s="133">
        <f t="shared" si="442"/>
        <v>5972.52</v>
      </c>
      <c r="O1940" s="134">
        <f t="shared" si="443"/>
        <v>59.310029791459783</v>
      </c>
      <c r="P1940" s="134">
        <f t="shared" si="444"/>
        <v>1.6141945945945948</v>
      </c>
      <c r="R1940" s="149">
        <f t="shared" si="445"/>
        <v>4.0077459171981022</v>
      </c>
    </row>
    <row r="1941" spans="1:19" ht="15" x14ac:dyDescent="0.25">
      <c r="A1941" s="82" t="s">
        <v>22</v>
      </c>
      <c r="B1941" s="82" t="s">
        <v>31</v>
      </c>
      <c r="C1941" s="82" t="s">
        <v>7</v>
      </c>
      <c r="D1941" s="82" t="s">
        <v>91</v>
      </c>
      <c r="E1941" s="87">
        <f t="shared" si="447"/>
        <v>41852</v>
      </c>
      <c r="F1941" s="83"/>
      <c r="G1941" s="92">
        <v>4175</v>
      </c>
      <c r="H1941" s="52">
        <v>1160</v>
      </c>
      <c r="I1941" s="52" t="s">
        <v>92</v>
      </c>
      <c r="J1941" s="157">
        <f t="shared" si="446"/>
        <v>0.37</v>
      </c>
      <c r="K1941" s="101">
        <f t="shared" si="439"/>
        <v>41.459781529294936</v>
      </c>
      <c r="L1941" s="101">
        <f t="shared" si="440"/>
        <v>1.1283783783783783</v>
      </c>
      <c r="M1941" s="133">
        <f t="shared" si="441"/>
        <v>429.2</v>
      </c>
      <c r="N1941" s="133">
        <f t="shared" si="442"/>
        <v>4604.2</v>
      </c>
      <c r="O1941" s="134">
        <f t="shared" si="443"/>
        <v>45.72194637537239</v>
      </c>
      <c r="P1941" s="134">
        <f t="shared" si="444"/>
        <v>1.2443783783783784</v>
      </c>
      <c r="R1941" s="149">
        <f t="shared" si="445"/>
        <v>5.6978879706152341</v>
      </c>
    </row>
    <row r="1942" spans="1:19" ht="15" x14ac:dyDescent="0.25">
      <c r="A1942" s="82" t="s">
        <v>22</v>
      </c>
      <c r="B1942" s="82" t="s">
        <v>14</v>
      </c>
      <c r="C1942" s="82" t="s">
        <v>24</v>
      </c>
      <c r="D1942" s="82" t="s">
        <v>91</v>
      </c>
      <c r="E1942" s="87">
        <f t="shared" si="447"/>
        <v>41852</v>
      </c>
      <c r="F1942" s="83"/>
      <c r="G1942" s="92">
        <v>2862</v>
      </c>
      <c r="H1942" s="52">
        <v>615</v>
      </c>
      <c r="I1942" s="52" t="s">
        <v>94</v>
      </c>
      <c r="J1942" s="157">
        <f t="shared" si="446"/>
        <v>0.48</v>
      </c>
      <c r="K1942" s="101">
        <f t="shared" si="439"/>
        <v>28.421052631578945</v>
      </c>
      <c r="L1942" s="101">
        <f t="shared" si="440"/>
        <v>0.7735135135135135</v>
      </c>
      <c r="M1942" s="133">
        <f t="shared" si="441"/>
        <v>295.2</v>
      </c>
      <c r="N1942" s="133">
        <f t="shared" si="442"/>
        <v>3157.2</v>
      </c>
      <c r="O1942" s="134">
        <f t="shared" si="443"/>
        <v>31.352532274081426</v>
      </c>
      <c r="P1942" s="134">
        <f t="shared" si="444"/>
        <v>0.8532972972972972</v>
      </c>
      <c r="R1942" s="149">
        <f t="shared" si="445"/>
        <v>3.8877280729175068</v>
      </c>
    </row>
    <row r="1943" spans="1:19" ht="15" x14ac:dyDescent="0.25">
      <c r="A1943" s="118" t="s">
        <v>22</v>
      </c>
      <c r="B1943" s="118" t="s">
        <v>34</v>
      </c>
      <c r="C1943" s="118" t="s">
        <v>26</v>
      </c>
      <c r="D1943" s="118" t="s">
        <v>91</v>
      </c>
      <c r="E1943" s="119">
        <f t="shared" si="447"/>
        <v>41852</v>
      </c>
      <c r="F1943" s="120"/>
      <c r="G1943" s="105">
        <v>5110</v>
      </c>
      <c r="H1943" s="158">
        <v>1637</v>
      </c>
      <c r="I1943" s="158" t="s">
        <v>92</v>
      </c>
      <c r="J1943" s="122">
        <f t="shared" si="446"/>
        <v>0.37</v>
      </c>
      <c r="K1943" s="123">
        <f t="shared" si="439"/>
        <v>50.744786494538232</v>
      </c>
      <c r="L1943" s="123">
        <f t="shared" si="440"/>
        <v>1.3810810810810812</v>
      </c>
      <c r="M1943" s="115">
        <f t="shared" si="441"/>
        <v>605.68999999999994</v>
      </c>
      <c r="N1943" s="115">
        <f t="shared" si="442"/>
        <v>5715.69</v>
      </c>
      <c r="O1943" s="116">
        <f t="shared" si="443"/>
        <v>56.759582919563051</v>
      </c>
      <c r="P1943" s="116">
        <f t="shared" si="444"/>
        <v>1.5447810810810809</v>
      </c>
      <c r="Q1943" s="106"/>
      <c r="R1943" s="152">
        <f t="shared" si="445"/>
        <v>3.3027589260701706</v>
      </c>
    </row>
    <row r="1944" spans="1:19" ht="15" x14ac:dyDescent="0.25">
      <c r="A1944" s="60" t="s">
        <v>1</v>
      </c>
      <c r="B1944" s="60" t="s">
        <v>2</v>
      </c>
      <c r="C1944" s="60" t="s">
        <v>3</v>
      </c>
      <c r="D1944" s="60" t="s">
        <v>90</v>
      </c>
      <c r="E1944" s="89">
        <v>41883</v>
      </c>
      <c r="F1944" s="61"/>
      <c r="G1944" s="92">
        <v>3387</v>
      </c>
      <c r="H1944" s="138">
        <v>506</v>
      </c>
      <c r="I1944" s="138" t="s">
        <v>92</v>
      </c>
      <c r="J1944" s="141">
        <f>IF(I1944="BNSF",0.35,IF(I1944="CN",0.3048,IF(I1944="CSX",0.48,0.36)))</f>
        <v>0.36</v>
      </c>
      <c r="K1944" s="95">
        <f t="shared" ref="K1944:K1981" si="448">G1944/100.7</f>
        <v>33.63455809334657</v>
      </c>
      <c r="L1944" s="95">
        <f t="shared" ref="L1944:L1981" si="449">IF(A1944="corn",G1944/(111*2000/56),G1944/(111*2000/60))</f>
        <v>0.91540540540540538</v>
      </c>
      <c r="M1944" s="133">
        <f t="shared" ref="M1944:M1981" si="450">H1944*J1944</f>
        <v>182.16</v>
      </c>
      <c r="N1944" s="133">
        <f t="shared" ref="N1944:N1981" si="451">G1944+M1944</f>
        <v>3569.16</v>
      </c>
      <c r="O1944" s="134">
        <f t="shared" ref="O1944:O1981" si="452">N1944/100.7</f>
        <v>35.44349553128103</v>
      </c>
      <c r="P1944" s="134">
        <f t="shared" ref="P1944:P1981" si="453">IF(A1944="corn",N1944/(111*2000/56),N1944/(111*2000/60))</f>
        <v>0.96463783783783785</v>
      </c>
      <c r="Q1944" s="160"/>
      <c r="R1944" s="149">
        <f t="shared" ref="R1944:R1981" si="454">((N1944/N1488)-1)*100</f>
        <v>5.8105752469494565</v>
      </c>
      <c r="S1944" s="140">
        <f>AVERAGE(O1868,O1906,O1944)</f>
        <v>35.476994372724256</v>
      </c>
    </row>
    <row r="1945" spans="1:19" ht="15" x14ac:dyDescent="0.25">
      <c r="A1945" s="60" t="s">
        <v>1</v>
      </c>
      <c r="B1945" s="60" t="s">
        <v>4</v>
      </c>
      <c r="C1945" s="60" t="s">
        <v>5</v>
      </c>
      <c r="D1945" s="60" t="s">
        <v>90</v>
      </c>
      <c r="E1945" s="89">
        <f>E1944</f>
        <v>41883</v>
      </c>
      <c r="F1945" s="61"/>
      <c r="G1945" s="92">
        <v>3596</v>
      </c>
      <c r="H1945" s="138">
        <v>298</v>
      </c>
      <c r="I1945" s="138" t="s">
        <v>93</v>
      </c>
      <c r="J1945" s="141">
        <f t="shared" ref="J1945:J1981" si="455">IF(I1945="BNSF",0.35,IF(I1945="CN",0.3048,IF(I1945="CSX",0.48,0.36)))</f>
        <v>0.35</v>
      </c>
      <c r="K1945" s="95">
        <f t="shared" si="448"/>
        <v>35.710029791459782</v>
      </c>
      <c r="L1945" s="95">
        <f t="shared" si="449"/>
        <v>0.97189189189189185</v>
      </c>
      <c r="M1945" s="133">
        <f t="shared" si="450"/>
        <v>104.3</v>
      </c>
      <c r="N1945" s="133">
        <f t="shared" si="451"/>
        <v>3700.3</v>
      </c>
      <c r="O1945" s="134">
        <f t="shared" si="452"/>
        <v>36.745779543197621</v>
      </c>
      <c r="P1945" s="134">
        <f t="shared" si="453"/>
        <v>1.0000810810810812</v>
      </c>
      <c r="Q1945" s="160"/>
      <c r="R1945" s="149">
        <f t="shared" si="454"/>
        <v>-2.7593093842798178</v>
      </c>
      <c r="S1945" s="140">
        <f t="shared" ref="S1945:S1980" si="456">AVERAGE(O1869,O1907,O1945)</f>
        <v>36.775372393247267</v>
      </c>
    </row>
    <row r="1946" spans="1:19" ht="15" x14ac:dyDescent="0.25">
      <c r="A1946" s="60" t="s">
        <v>1</v>
      </c>
      <c r="B1946" s="60" t="s">
        <v>2</v>
      </c>
      <c r="C1946" s="60" t="s">
        <v>6</v>
      </c>
      <c r="D1946" s="60" t="s">
        <v>90</v>
      </c>
      <c r="E1946" s="89">
        <f t="shared" ref="E1946:E1981" si="457">E1945</f>
        <v>41883</v>
      </c>
      <c r="F1946" s="61"/>
      <c r="G1946" s="92">
        <v>6244</v>
      </c>
      <c r="H1946" s="138">
        <v>1530</v>
      </c>
      <c r="I1946" s="138" t="s">
        <v>93</v>
      </c>
      <c r="J1946" s="141">
        <f t="shared" si="455"/>
        <v>0.35</v>
      </c>
      <c r="K1946" s="95">
        <f t="shared" si="448"/>
        <v>62.005958291956304</v>
      </c>
      <c r="L1946" s="95">
        <f t="shared" si="449"/>
        <v>1.6875675675675677</v>
      </c>
      <c r="M1946" s="133">
        <f t="shared" si="450"/>
        <v>535.5</v>
      </c>
      <c r="N1946" s="133">
        <f t="shared" si="451"/>
        <v>6779.5</v>
      </c>
      <c r="O1946" s="134">
        <f t="shared" si="452"/>
        <v>67.323733862959287</v>
      </c>
      <c r="P1946" s="134">
        <f t="shared" si="453"/>
        <v>1.8322972972972973</v>
      </c>
      <c r="R1946" s="149">
        <f t="shared" si="454"/>
        <v>0</v>
      </c>
      <c r="S1946" s="140">
        <f t="shared" si="456"/>
        <v>67.475670307845078</v>
      </c>
    </row>
    <row r="1947" spans="1:19" ht="15" x14ac:dyDescent="0.25">
      <c r="A1947" s="60" t="s">
        <v>1</v>
      </c>
      <c r="B1947" s="60" t="s">
        <v>2</v>
      </c>
      <c r="C1947" s="60" t="s">
        <v>7</v>
      </c>
      <c r="D1947" s="60" t="s">
        <v>90</v>
      </c>
      <c r="E1947" s="89">
        <f t="shared" si="457"/>
        <v>41883</v>
      </c>
      <c r="F1947" s="61"/>
      <c r="G1947" s="92">
        <v>4026</v>
      </c>
      <c r="H1947" s="138">
        <v>890</v>
      </c>
      <c r="I1947" s="138" t="s">
        <v>92</v>
      </c>
      <c r="J1947" s="141">
        <f t="shared" si="455"/>
        <v>0.36</v>
      </c>
      <c r="K1947" s="95">
        <f t="shared" si="448"/>
        <v>39.98013902681231</v>
      </c>
      <c r="L1947" s="95">
        <f t="shared" si="449"/>
        <v>1.0881081081081081</v>
      </c>
      <c r="M1947" s="133">
        <f t="shared" si="450"/>
        <v>320.39999999999998</v>
      </c>
      <c r="N1947" s="133">
        <f t="shared" si="451"/>
        <v>4346.3999999999996</v>
      </c>
      <c r="O1947" s="134">
        <f t="shared" si="452"/>
        <v>43.161866931479636</v>
      </c>
      <c r="P1947" s="134">
        <f t="shared" si="453"/>
        <v>1.1747027027027026</v>
      </c>
      <c r="R1947" s="149">
        <f t="shared" si="454"/>
        <v>5.2804960759616382</v>
      </c>
      <c r="S1947" s="140">
        <f t="shared" si="456"/>
        <v>43.220787818603107</v>
      </c>
    </row>
    <row r="1948" spans="1:19" ht="15" x14ac:dyDescent="0.25">
      <c r="A1948" s="60" t="s">
        <v>1</v>
      </c>
      <c r="B1948" s="60" t="s">
        <v>8</v>
      </c>
      <c r="C1948" s="60" t="s">
        <v>9</v>
      </c>
      <c r="D1948" s="60" t="s">
        <v>90</v>
      </c>
      <c r="E1948" s="89">
        <f t="shared" si="457"/>
        <v>41883</v>
      </c>
      <c r="F1948" s="61"/>
      <c r="G1948" s="92">
        <v>5824</v>
      </c>
      <c r="H1948" s="138">
        <v>1256</v>
      </c>
      <c r="I1948" s="138" t="s">
        <v>93</v>
      </c>
      <c r="J1948" s="141">
        <f t="shared" si="455"/>
        <v>0.35</v>
      </c>
      <c r="K1948" s="95">
        <f t="shared" si="448"/>
        <v>57.835153922542204</v>
      </c>
      <c r="L1948" s="95">
        <f t="shared" si="449"/>
        <v>1.574054054054054</v>
      </c>
      <c r="M1948" s="133">
        <f t="shared" si="450"/>
        <v>439.59999999999997</v>
      </c>
      <c r="N1948" s="133">
        <f t="shared" si="451"/>
        <v>6263.6</v>
      </c>
      <c r="O1948" s="134">
        <f t="shared" si="452"/>
        <v>62.200595829195635</v>
      </c>
      <c r="P1948" s="134">
        <f t="shared" si="453"/>
        <v>1.692864864864865</v>
      </c>
      <c r="R1948" s="149">
        <f t="shared" si="454"/>
        <v>0</v>
      </c>
      <c r="S1948" s="140">
        <f t="shared" si="456"/>
        <v>62.3253227408143</v>
      </c>
    </row>
    <row r="1949" spans="1:19" ht="15" x14ac:dyDescent="0.25">
      <c r="A1949" s="60" t="s">
        <v>1</v>
      </c>
      <c r="B1949" s="60" t="s">
        <v>10</v>
      </c>
      <c r="C1949" s="60" t="s">
        <v>9</v>
      </c>
      <c r="D1949" s="60" t="s">
        <v>90</v>
      </c>
      <c r="E1949" s="89">
        <f t="shared" si="457"/>
        <v>41883</v>
      </c>
      <c r="F1949" s="61"/>
      <c r="G1949" s="92">
        <v>4293</v>
      </c>
      <c r="H1949" s="138">
        <v>975</v>
      </c>
      <c r="I1949" s="138" t="s">
        <v>92</v>
      </c>
      <c r="J1949" s="141">
        <f t="shared" si="455"/>
        <v>0.36</v>
      </c>
      <c r="K1949" s="95">
        <f t="shared" si="448"/>
        <v>42.631578947368418</v>
      </c>
      <c r="L1949" s="95">
        <f t="shared" si="449"/>
        <v>1.1602702702702703</v>
      </c>
      <c r="M1949" s="133">
        <f t="shared" si="450"/>
        <v>351</v>
      </c>
      <c r="N1949" s="133">
        <f t="shared" si="451"/>
        <v>4644</v>
      </c>
      <c r="O1949" s="134">
        <f t="shared" si="452"/>
        <v>46.117179741807348</v>
      </c>
      <c r="P1949" s="134">
        <f t="shared" si="453"/>
        <v>1.2551351351351352</v>
      </c>
      <c r="R1949" s="149">
        <f t="shared" si="454"/>
        <v>4.9017393268579124</v>
      </c>
      <c r="S1949" s="140">
        <f t="shared" si="456"/>
        <v>46.181727904667326</v>
      </c>
    </row>
    <row r="1950" spans="1:19" ht="15" x14ac:dyDescent="0.25">
      <c r="A1950" s="60" t="s">
        <v>1</v>
      </c>
      <c r="B1950" s="60" t="s">
        <v>11</v>
      </c>
      <c r="C1950" s="60" t="s">
        <v>6</v>
      </c>
      <c r="D1950" s="60" t="s">
        <v>90</v>
      </c>
      <c r="E1950" s="89">
        <f t="shared" si="457"/>
        <v>41883</v>
      </c>
      <c r="F1950" s="61"/>
      <c r="G1950" s="92">
        <v>4492</v>
      </c>
      <c r="H1950" s="138">
        <v>1357</v>
      </c>
      <c r="I1950" s="138" t="s">
        <v>92</v>
      </c>
      <c r="J1950" s="141">
        <f t="shared" si="455"/>
        <v>0.36</v>
      </c>
      <c r="K1950" s="95">
        <f t="shared" si="448"/>
        <v>44.607745779543194</v>
      </c>
      <c r="L1950" s="95">
        <f t="shared" si="449"/>
        <v>1.2140540540540541</v>
      </c>
      <c r="M1950" s="133">
        <f t="shared" si="450"/>
        <v>488.52</v>
      </c>
      <c r="N1950" s="133">
        <f t="shared" si="451"/>
        <v>4980.5200000000004</v>
      </c>
      <c r="O1950" s="134">
        <f t="shared" si="452"/>
        <v>49.45898709036743</v>
      </c>
      <c r="P1950" s="134">
        <f t="shared" si="453"/>
        <v>1.3460864864864865</v>
      </c>
      <c r="R1950" s="149">
        <f t="shared" si="454"/>
        <v>4.5554547897353137</v>
      </c>
      <c r="S1950" s="140">
        <f t="shared" si="456"/>
        <v>49.548824892419731</v>
      </c>
    </row>
    <row r="1951" spans="1:19" ht="15" x14ac:dyDescent="0.25">
      <c r="A1951" s="60" t="s">
        <v>134</v>
      </c>
      <c r="B1951" s="60" t="s">
        <v>13</v>
      </c>
      <c r="C1951" s="60" t="s">
        <v>7</v>
      </c>
      <c r="D1951" s="60" t="s">
        <v>90</v>
      </c>
      <c r="E1951" s="89">
        <f t="shared" si="457"/>
        <v>41883</v>
      </c>
      <c r="F1951" s="61"/>
      <c r="G1951" s="92">
        <v>3192</v>
      </c>
      <c r="H1951" s="138">
        <v>1006</v>
      </c>
      <c r="I1951" s="138" t="s">
        <v>92</v>
      </c>
      <c r="J1951" s="141">
        <f t="shared" si="455"/>
        <v>0.36</v>
      </c>
      <c r="K1951" s="95">
        <f t="shared" si="448"/>
        <v>31.69811320754717</v>
      </c>
      <c r="L1951" s="95">
        <f t="shared" si="449"/>
        <v>0.80518918918918925</v>
      </c>
      <c r="M1951" s="133">
        <f t="shared" si="450"/>
        <v>362.15999999999997</v>
      </c>
      <c r="N1951" s="133">
        <f t="shared" si="451"/>
        <v>3554.16</v>
      </c>
      <c r="O1951" s="134">
        <f t="shared" si="452"/>
        <v>35.294538232373384</v>
      </c>
      <c r="P1951" s="134">
        <f t="shared" si="453"/>
        <v>0.89654486486486484</v>
      </c>
      <c r="R1951" s="149">
        <f t="shared" si="454"/>
        <v>2.361642320630386</v>
      </c>
      <c r="S1951" s="140">
        <f t="shared" si="456"/>
        <v>35.361138695796093</v>
      </c>
    </row>
    <row r="1952" spans="1:19" ht="15" x14ac:dyDescent="0.25">
      <c r="A1952" s="60" t="s">
        <v>134</v>
      </c>
      <c r="B1952" s="60" t="s">
        <v>14</v>
      </c>
      <c r="C1952" s="60" t="s">
        <v>15</v>
      </c>
      <c r="D1952" s="60" t="s">
        <v>90</v>
      </c>
      <c r="E1952" s="89">
        <f t="shared" si="457"/>
        <v>41883</v>
      </c>
      <c r="F1952" s="61"/>
      <c r="G1952" s="92">
        <v>4686</v>
      </c>
      <c r="H1952" s="138">
        <v>866</v>
      </c>
      <c r="I1952" s="138" t="s">
        <v>94</v>
      </c>
      <c r="J1952" s="141">
        <f t="shared" si="455"/>
        <v>0.48</v>
      </c>
      <c r="K1952" s="95">
        <f t="shared" si="448"/>
        <v>46.53426017874876</v>
      </c>
      <c r="L1952" s="95">
        <f t="shared" si="449"/>
        <v>1.1820540540540541</v>
      </c>
      <c r="M1952" s="133">
        <f t="shared" si="450"/>
        <v>415.68</v>
      </c>
      <c r="N1952" s="133">
        <f t="shared" si="451"/>
        <v>5101.68</v>
      </c>
      <c r="O1952" s="134">
        <f t="shared" si="452"/>
        <v>50.662164846077459</v>
      </c>
      <c r="P1952" s="134">
        <f t="shared" si="453"/>
        <v>1.2869102702702704</v>
      </c>
      <c r="R1952" s="149">
        <f t="shared" si="454"/>
        <v>3.7977464995055943</v>
      </c>
      <c r="S1952" s="140">
        <f t="shared" si="456"/>
        <v>50.690830850711684</v>
      </c>
    </row>
    <row r="1953" spans="1:19" ht="15" x14ac:dyDescent="0.25">
      <c r="A1953" s="60" t="s">
        <v>134</v>
      </c>
      <c r="B1953" s="60" t="s">
        <v>16</v>
      </c>
      <c r="C1953" s="60" t="s">
        <v>17</v>
      </c>
      <c r="D1953" s="60" t="s">
        <v>90</v>
      </c>
      <c r="E1953" s="89">
        <f t="shared" si="457"/>
        <v>41883</v>
      </c>
      <c r="F1953" s="61"/>
      <c r="G1953" s="92">
        <v>2078</v>
      </c>
      <c r="H1953" s="138">
        <v>213</v>
      </c>
      <c r="I1953" s="138" t="s">
        <v>92</v>
      </c>
      <c r="J1953" s="141">
        <f t="shared" si="455"/>
        <v>0.36</v>
      </c>
      <c r="K1953" s="95">
        <f t="shared" si="448"/>
        <v>20.635551142005959</v>
      </c>
      <c r="L1953" s="95">
        <f t="shared" si="449"/>
        <v>0.5241801801801802</v>
      </c>
      <c r="M1953" s="133">
        <f t="shared" si="450"/>
        <v>76.679999999999993</v>
      </c>
      <c r="N1953" s="133">
        <f t="shared" si="451"/>
        <v>2154.6799999999998</v>
      </c>
      <c r="O1953" s="134">
        <f t="shared" si="452"/>
        <v>21.397020854021847</v>
      </c>
      <c r="P1953" s="134">
        <f t="shared" si="453"/>
        <v>0.54352288288288286</v>
      </c>
      <c r="R1953" s="149">
        <f t="shared" si="454"/>
        <v>3.4570841415868081</v>
      </c>
      <c r="S1953" s="140">
        <f t="shared" si="456"/>
        <v>21.411122144985104</v>
      </c>
    </row>
    <row r="1954" spans="1:19" ht="15" x14ac:dyDescent="0.25">
      <c r="A1954" s="60" t="s">
        <v>134</v>
      </c>
      <c r="B1954" s="60" t="s">
        <v>18</v>
      </c>
      <c r="C1954" s="60" t="s">
        <v>19</v>
      </c>
      <c r="D1954" s="60" t="s">
        <v>90</v>
      </c>
      <c r="E1954" s="89">
        <f t="shared" si="457"/>
        <v>41883</v>
      </c>
      <c r="F1954" s="61"/>
      <c r="G1954" s="92">
        <v>4061</v>
      </c>
      <c r="H1954" s="138">
        <v>650</v>
      </c>
      <c r="I1954" s="138" t="s">
        <v>94</v>
      </c>
      <c r="J1954" s="141">
        <f t="shared" si="455"/>
        <v>0.48</v>
      </c>
      <c r="K1954" s="95">
        <f t="shared" si="448"/>
        <v>40.327706057596821</v>
      </c>
      <c r="L1954" s="95">
        <f t="shared" si="449"/>
        <v>1.0243963963963965</v>
      </c>
      <c r="M1954" s="133">
        <f t="shared" si="450"/>
        <v>312</v>
      </c>
      <c r="N1954" s="133">
        <f t="shared" si="451"/>
        <v>4373</v>
      </c>
      <c r="O1954" s="134">
        <f t="shared" si="452"/>
        <v>43.426017874875868</v>
      </c>
      <c r="P1954" s="134">
        <f t="shared" si="453"/>
        <v>1.1030990990990992</v>
      </c>
      <c r="R1954" s="149">
        <f t="shared" si="454"/>
        <v>3.4907111584427941</v>
      </c>
      <c r="S1954" s="140">
        <f t="shared" si="456"/>
        <v>43.447533929162525</v>
      </c>
    </row>
    <row r="1955" spans="1:19" ht="15" x14ac:dyDescent="0.25">
      <c r="A1955" s="60" t="s">
        <v>134</v>
      </c>
      <c r="B1955" s="60" t="s">
        <v>18</v>
      </c>
      <c r="C1955" s="60" t="s">
        <v>20</v>
      </c>
      <c r="D1955" s="60" t="s">
        <v>90</v>
      </c>
      <c r="E1955" s="89">
        <f t="shared" si="457"/>
        <v>41883</v>
      </c>
      <c r="F1955" s="61"/>
      <c r="G1955" s="92">
        <v>3469</v>
      </c>
      <c r="H1955" s="138">
        <v>417</v>
      </c>
      <c r="I1955" s="138" t="s">
        <v>94</v>
      </c>
      <c r="J1955" s="141">
        <f t="shared" si="455"/>
        <v>0.48</v>
      </c>
      <c r="K1955" s="95">
        <f t="shared" si="448"/>
        <v>34.44885799404171</v>
      </c>
      <c r="L1955" s="95">
        <f t="shared" si="449"/>
        <v>0.87506306306306303</v>
      </c>
      <c r="M1955" s="133">
        <f t="shared" si="450"/>
        <v>200.16</v>
      </c>
      <c r="N1955" s="133">
        <f t="shared" si="451"/>
        <v>3669.16</v>
      </c>
      <c r="O1955" s="134">
        <f t="shared" si="452"/>
        <v>36.436544190665337</v>
      </c>
      <c r="P1955" s="134">
        <f t="shared" si="453"/>
        <v>0.92555387387387389</v>
      </c>
      <c r="R1955" s="149">
        <f t="shared" si="454"/>
        <v>3.3569108645376433</v>
      </c>
      <c r="S1955" s="140">
        <f t="shared" si="456"/>
        <v>36.450347567030775</v>
      </c>
    </row>
    <row r="1956" spans="1:19" ht="15" x14ac:dyDescent="0.25">
      <c r="A1956" s="60" t="s">
        <v>134</v>
      </c>
      <c r="B1956" s="60" t="s">
        <v>16</v>
      </c>
      <c r="C1956" s="60" t="s">
        <v>21</v>
      </c>
      <c r="D1956" s="60" t="s">
        <v>90</v>
      </c>
      <c r="E1956" s="89">
        <f t="shared" si="457"/>
        <v>41883</v>
      </c>
      <c r="F1956" s="61"/>
      <c r="G1956" s="92">
        <v>3218</v>
      </c>
      <c r="H1956" s="138">
        <v>626</v>
      </c>
      <c r="I1956" s="138" t="s">
        <v>92</v>
      </c>
      <c r="J1956" s="141">
        <f t="shared" si="455"/>
        <v>0.36</v>
      </c>
      <c r="K1956" s="95">
        <f t="shared" si="448"/>
        <v>31.95630585898709</v>
      </c>
      <c r="L1956" s="95">
        <f t="shared" si="449"/>
        <v>0.81174774774774772</v>
      </c>
      <c r="M1956" s="133">
        <f t="shared" si="450"/>
        <v>225.35999999999999</v>
      </c>
      <c r="N1956" s="133">
        <f t="shared" si="451"/>
        <v>3443.36</v>
      </c>
      <c r="O1956" s="134">
        <f t="shared" si="452"/>
        <v>34.194240317775574</v>
      </c>
      <c r="P1956" s="134">
        <f t="shared" si="453"/>
        <v>0.86859531531531531</v>
      </c>
      <c r="R1956" s="149">
        <f t="shared" si="454"/>
        <v>2.1356366570167484</v>
      </c>
      <c r="S1956" s="140">
        <f t="shared" si="456"/>
        <v>34.235683548493874</v>
      </c>
    </row>
    <row r="1957" spans="1:19" ht="15" x14ac:dyDescent="0.25">
      <c r="A1957" s="60" t="s">
        <v>134</v>
      </c>
      <c r="B1957" s="60" t="s">
        <v>16</v>
      </c>
      <c r="C1957" s="60" t="s">
        <v>6</v>
      </c>
      <c r="D1957" s="60" t="s">
        <v>90</v>
      </c>
      <c r="E1957" s="89">
        <f t="shared" si="457"/>
        <v>41883</v>
      </c>
      <c r="F1957" s="61"/>
      <c r="G1957" s="92">
        <v>5215</v>
      </c>
      <c r="H1957" s="138">
        <v>1823</v>
      </c>
      <c r="I1957" s="138" t="s">
        <v>92</v>
      </c>
      <c r="J1957" s="141">
        <f t="shared" si="455"/>
        <v>0.36</v>
      </c>
      <c r="K1957" s="95">
        <f t="shared" si="448"/>
        <v>51.787487586891757</v>
      </c>
      <c r="L1957" s="95">
        <f t="shared" si="449"/>
        <v>1.3154954954954956</v>
      </c>
      <c r="M1957" s="133">
        <f t="shared" si="450"/>
        <v>656.28</v>
      </c>
      <c r="N1957" s="133">
        <f t="shared" si="451"/>
        <v>5871.28</v>
      </c>
      <c r="O1957" s="134">
        <f t="shared" si="452"/>
        <v>58.304667328699104</v>
      </c>
      <c r="P1957" s="134">
        <f t="shared" si="453"/>
        <v>1.4810436036036037</v>
      </c>
      <c r="R1957" s="149">
        <f t="shared" si="454"/>
        <v>2.621790927904244</v>
      </c>
      <c r="S1957" s="140">
        <f t="shared" si="456"/>
        <v>58.425355842436282</v>
      </c>
    </row>
    <row r="1958" spans="1:19" ht="15" x14ac:dyDescent="0.25">
      <c r="A1958" s="60" t="s">
        <v>22</v>
      </c>
      <c r="B1958" s="60" t="s">
        <v>23</v>
      </c>
      <c r="C1958" s="60" t="s">
        <v>7</v>
      </c>
      <c r="D1958" s="60" t="s">
        <v>90</v>
      </c>
      <c r="E1958" s="89">
        <f t="shared" si="457"/>
        <v>41883</v>
      </c>
      <c r="F1958" s="61"/>
      <c r="G1958" s="92">
        <v>3559</v>
      </c>
      <c r="H1958" s="138">
        <v>1295</v>
      </c>
      <c r="I1958" s="138" t="s">
        <v>95</v>
      </c>
      <c r="J1958" s="141">
        <f t="shared" si="455"/>
        <v>0.30480000000000002</v>
      </c>
      <c r="K1958" s="95">
        <f t="shared" si="448"/>
        <v>35.342601787487588</v>
      </c>
      <c r="L1958" s="95">
        <f t="shared" si="449"/>
        <v>0.96189189189189184</v>
      </c>
      <c r="M1958" s="133">
        <f t="shared" si="450"/>
        <v>394.71600000000001</v>
      </c>
      <c r="N1958" s="133">
        <f t="shared" si="451"/>
        <v>3953.7159999999999</v>
      </c>
      <c r="O1958" s="134">
        <f t="shared" si="452"/>
        <v>39.262323733862956</v>
      </c>
      <c r="P1958" s="134">
        <f t="shared" si="453"/>
        <v>1.0685718918918918</v>
      </c>
      <c r="R1958" s="149">
        <f t="shared" si="454"/>
        <v>2.9957933850798035</v>
      </c>
      <c r="S1958" s="140">
        <f t="shared" si="456"/>
        <v>38.773326713008935</v>
      </c>
    </row>
    <row r="1959" spans="1:19" ht="15" x14ac:dyDescent="0.25">
      <c r="A1959" s="60" t="s">
        <v>22</v>
      </c>
      <c r="B1959" s="60" t="s">
        <v>14</v>
      </c>
      <c r="C1959" s="60" t="s">
        <v>24</v>
      </c>
      <c r="D1959" s="60" t="s">
        <v>90</v>
      </c>
      <c r="E1959" s="89">
        <f t="shared" si="457"/>
        <v>41883</v>
      </c>
      <c r="F1959" s="61"/>
      <c r="G1959" s="92">
        <v>3687</v>
      </c>
      <c r="H1959" s="138">
        <v>615</v>
      </c>
      <c r="I1959" s="138" t="s">
        <v>94</v>
      </c>
      <c r="J1959" s="141">
        <f t="shared" si="455"/>
        <v>0.48</v>
      </c>
      <c r="K1959" s="95">
        <f t="shared" si="448"/>
        <v>36.613704071499505</v>
      </c>
      <c r="L1959" s="95">
        <f t="shared" si="449"/>
        <v>0.99648648648648652</v>
      </c>
      <c r="M1959" s="133">
        <f t="shared" si="450"/>
        <v>295.2</v>
      </c>
      <c r="N1959" s="133">
        <f t="shared" si="451"/>
        <v>3982.2</v>
      </c>
      <c r="O1959" s="134">
        <f t="shared" si="452"/>
        <v>39.545183714001986</v>
      </c>
      <c r="P1959" s="134">
        <f t="shared" si="453"/>
        <v>1.0762702702702702</v>
      </c>
      <c r="R1959" s="149">
        <f t="shared" si="454"/>
        <v>3.0576726491634343</v>
      </c>
      <c r="S1959" s="140">
        <f t="shared" si="456"/>
        <v>39.56554121151936</v>
      </c>
    </row>
    <row r="1960" spans="1:19" ht="15" x14ac:dyDescent="0.25">
      <c r="A1960" s="60" t="s">
        <v>22</v>
      </c>
      <c r="B1960" s="60" t="s">
        <v>18</v>
      </c>
      <c r="C1960" s="60" t="s">
        <v>15</v>
      </c>
      <c r="D1960" s="60" t="s">
        <v>90</v>
      </c>
      <c r="E1960" s="89">
        <f t="shared" si="457"/>
        <v>41883</v>
      </c>
      <c r="F1960" s="61"/>
      <c r="G1960" s="92">
        <v>4756</v>
      </c>
      <c r="H1960" s="138">
        <v>872</v>
      </c>
      <c r="I1960" s="138" t="s">
        <v>94</v>
      </c>
      <c r="J1960" s="141">
        <f t="shared" si="455"/>
        <v>0.48</v>
      </c>
      <c r="K1960" s="95">
        <f t="shared" si="448"/>
        <v>47.229394240317774</v>
      </c>
      <c r="L1960" s="95">
        <f t="shared" si="449"/>
        <v>1.2854054054054054</v>
      </c>
      <c r="M1960" s="133">
        <f t="shared" si="450"/>
        <v>418.56</v>
      </c>
      <c r="N1960" s="133">
        <f t="shared" si="451"/>
        <v>5174.5600000000004</v>
      </c>
      <c r="O1960" s="134">
        <f t="shared" si="452"/>
        <v>51.385898709036745</v>
      </c>
      <c r="P1960" s="134">
        <f t="shared" si="453"/>
        <v>1.3985297297297299</v>
      </c>
      <c r="R1960" s="149">
        <f t="shared" si="454"/>
        <v>3.7435042022198051</v>
      </c>
      <c r="S1960" s="140">
        <f t="shared" si="456"/>
        <v>51.414763323402845</v>
      </c>
    </row>
    <row r="1961" spans="1:19" ht="15" x14ac:dyDescent="0.25">
      <c r="A1961" s="60" t="s">
        <v>22</v>
      </c>
      <c r="B1961" s="60" t="s">
        <v>18</v>
      </c>
      <c r="C1961" s="60" t="s">
        <v>24</v>
      </c>
      <c r="D1961" s="60" t="s">
        <v>90</v>
      </c>
      <c r="E1961" s="89">
        <f t="shared" si="457"/>
        <v>41883</v>
      </c>
      <c r="F1961" s="61"/>
      <c r="G1961" s="92">
        <v>3379</v>
      </c>
      <c r="H1961" s="138">
        <v>417</v>
      </c>
      <c r="I1961" s="138" t="s">
        <v>94</v>
      </c>
      <c r="J1961" s="141">
        <f t="shared" si="455"/>
        <v>0.48</v>
      </c>
      <c r="K1961" s="95">
        <f t="shared" si="448"/>
        <v>33.555114200595831</v>
      </c>
      <c r="L1961" s="95">
        <f t="shared" si="449"/>
        <v>0.91324324324324324</v>
      </c>
      <c r="M1961" s="133">
        <f t="shared" si="450"/>
        <v>200.16</v>
      </c>
      <c r="N1961" s="133">
        <f t="shared" si="451"/>
        <v>3579.16</v>
      </c>
      <c r="O1961" s="134">
        <f t="shared" si="452"/>
        <v>35.542800397219459</v>
      </c>
      <c r="P1961" s="134">
        <f t="shared" si="453"/>
        <v>0.96734054054054053</v>
      </c>
      <c r="R1961" s="149">
        <f t="shared" si="454"/>
        <v>3.3546155201141126</v>
      </c>
      <c r="S1961" s="140">
        <f t="shared" si="456"/>
        <v>35.556603773584897</v>
      </c>
    </row>
    <row r="1962" spans="1:19" ht="15" x14ac:dyDescent="0.25">
      <c r="A1962" s="60" t="s">
        <v>22</v>
      </c>
      <c r="B1962" s="60" t="s">
        <v>13</v>
      </c>
      <c r="C1962" s="60" t="s">
        <v>7</v>
      </c>
      <c r="D1962" s="60" t="s">
        <v>90</v>
      </c>
      <c r="E1962" s="89">
        <f t="shared" si="457"/>
        <v>41883</v>
      </c>
      <c r="F1962" s="61"/>
      <c r="G1962" s="92">
        <v>3748</v>
      </c>
      <c r="H1962" s="138">
        <v>1006</v>
      </c>
      <c r="I1962" s="138" t="s">
        <v>92</v>
      </c>
      <c r="J1962" s="141">
        <f t="shared" si="455"/>
        <v>0.36</v>
      </c>
      <c r="K1962" s="95">
        <f t="shared" si="448"/>
        <v>37.219463753723929</v>
      </c>
      <c r="L1962" s="95">
        <f t="shared" si="449"/>
        <v>1.0129729729729731</v>
      </c>
      <c r="M1962" s="133">
        <f t="shared" si="450"/>
        <v>362.15999999999997</v>
      </c>
      <c r="N1962" s="133">
        <f t="shared" si="451"/>
        <v>4110.16</v>
      </c>
      <c r="O1962" s="134">
        <f t="shared" si="452"/>
        <v>40.815888778550146</v>
      </c>
      <c r="P1962" s="134">
        <f t="shared" si="453"/>
        <v>1.1108540540540539</v>
      </c>
      <c r="R1962" s="149">
        <f t="shared" si="454"/>
        <v>3.7615244019428618</v>
      </c>
      <c r="S1962" s="140">
        <f t="shared" si="456"/>
        <v>40.882489241972856</v>
      </c>
    </row>
    <row r="1963" spans="1:19" ht="15" x14ac:dyDescent="0.25">
      <c r="A1963" s="60" t="s">
        <v>1</v>
      </c>
      <c r="B1963" s="60" t="s">
        <v>25</v>
      </c>
      <c r="C1963" s="60" t="s">
        <v>26</v>
      </c>
      <c r="D1963" s="60" t="s">
        <v>91</v>
      </c>
      <c r="E1963" s="89">
        <f t="shared" si="457"/>
        <v>41883</v>
      </c>
      <c r="F1963" s="61"/>
      <c r="G1963" s="92">
        <v>3678</v>
      </c>
      <c r="H1963" s="138">
        <v>880</v>
      </c>
      <c r="I1963" s="138" t="s">
        <v>93</v>
      </c>
      <c r="J1963" s="141">
        <f t="shared" si="455"/>
        <v>0.35</v>
      </c>
      <c r="K1963" s="95">
        <f t="shared" si="448"/>
        <v>36.524329692154915</v>
      </c>
      <c r="L1963" s="95">
        <f t="shared" si="449"/>
        <v>0.994054054054054</v>
      </c>
      <c r="M1963" s="133">
        <f t="shared" si="450"/>
        <v>308</v>
      </c>
      <c r="N1963" s="133">
        <f t="shared" si="451"/>
        <v>3986</v>
      </c>
      <c r="O1963" s="134">
        <f t="shared" si="452"/>
        <v>39.582919563058589</v>
      </c>
      <c r="P1963" s="134">
        <f t="shared" si="453"/>
        <v>1.0772972972972974</v>
      </c>
      <c r="R1963" s="149">
        <f t="shared" si="454"/>
        <v>0</v>
      </c>
      <c r="S1963" s="140">
        <f t="shared" si="456"/>
        <v>39.670307845084409</v>
      </c>
    </row>
    <row r="1964" spans="1:19" ht="15" x14ac:dyDescent="0.25">
      <c r="A1964" s="60" t="s">
        <v>1</v>
      </c>
      <c r="B1964" s="60" t="s">
        <v>2</v>
      </c>
      <c r="C1964" s="60" t="s">
        <v>9</v>
      </c>
      <c r="D1964" s="60" t="s">
        <v>91</v>
      </c>
      <c r="E1964" s="89">
        <f t="shared" si="457"/>
        <v>41883</v>
      </c>
      <c r="F1964" s="61"/>
      <c r="G1964" s="92">
        <v>3471</v>
      </c>
      <c r="H1964" s="138">
        <v>685</v>
      </c>
      <c r="I1964" s="138" t="s">
        <v>93</v>
      </c>
      <c r="J1964" s="141">
        <f t="shared" si="455"/>
        <v>0.35</v>
      </c>
      <c r="K1964" s="95">
        <f t="shared" si="448"/>
        <v>34.468718967229393</v>
      </c>
      <c r="L1964" s="95">
        <f t="shared" si="449"/>
        <v>0.93810810810810807</v>
      </c>
      <c r="M1964" s="133">
        <f t="shared" si="450"/>
        <v>239.74999999999997</v>
      </c>
      <c r="N1964" s="133">
        <f t="shared" si="451"/>
        <v>3710.75</v>
      </c>
      <c r="O1964" s="134">
        <f t="shared" si="452"/>
        <v>36.849553128103274</v>
      </c>
      <c r="P1964" s="134">
        <f t="shared" si="453"/>
        <v>1.0029054054054054</v>
      </c>
      <c r="R1964" s="149">
        <f t="shared" si="454"/>
        <v>-8.0985697480032144</v>
      </c>
      <c r="S1964" s="140">
        <f t="shared" si="456"/>
        <v>36.917576961271102</v>
      </c>
    </row>
    <row r="1965" spans="1:19" ht="15" x14ac:dyDescent="0.25">
      <c r="A1965" s="60" t="s">
        <v>1</v>
      </c>
      <c r="B1965" s="60" t="s">
        <v>27</v>
      </c>
      <c r="C1965" s="60" t="s">
        <v>28</v>
      </c>
      <c r="D1965" s="60" t="s">
        <v>91</v>
      </c>
      <c r="E1965" s="89">
        <f t="shared" si="457"/>
        <v>41883</v>
      </c>
      <c r="F1965" s="61"/>
      <c r="G1965" s="92">
        <v>3950</v>
      </c>
      <c r="H1965" s="138">
        <v>812</v>
      </c>
      <c r="I1965" s="138" t="s">
        <v>94</v>
      </c>
      <c r="J1965" s="141">
        <f t="shared" si="455"/>
        <v>0.48</v>
      </c>
      <c r="K1965" s="95">
        <f t="shared" si="448"/>
        <v>39.22542204568024</v>
      </c>
      <c r="L1965" s="95">
        <f t="shared" si="449"/>
        <v>1.0675675675675675</v>
      </c>
      <c r="M1965" s="133">
        <f t="shared" si="450"/>
        <v>389.76</v>
      </c>
      <c r="N1965" s="133">
        <f t="shared" si="451"/>
        <v>4339.76</v>
      </c>
      <c r="O1965" s="134">
        <f t="shared" si="452"/>
        <v>43.095928500496527</v>
      </c>
      <c r="P1965" s="134">
        <f t="shared" si="453"/>
        <v>1.1729081081081081</v>
      </c>
      <c r="R1965" s="149">
        <f t="shared" si="454"/>
        <v>4.506049163905379</v>
      </c>
      <c r="S1965" s="140">
        <f t="shared" si="456"/>
        <v>43.122807017543856</v>
      </c>
    </row>
    <row r="1966" spans="1:19" ht="15" x14ac:dyDescent="0.25">
      <c r="A1966" s="60" t="s">
        <v>1</v>
      </c>
      <c r="B1966" s="60" t="s">
        <v>4</v>
      </c>
      <c r="C1966" s="60" t="s">
        <v>26</v>
      </c>
      <c r="D1966" s="60" t="s">
        <v>91</v>
      </c>
      <c r="E1966" s="89">
        <f t="shared" si="457"/>
        <v>41883</v>
      </c>
      <c r="F1966" s="61"/>
      <c r="G1966" s="92">
        <v>5159</v>
      </c>
      <c r="H1966" s="138">
        <v>1520</v>
      </c>
      <c r="I1966" s="138" t="s">
        <v>93</v>
      </c>
      <c r="J1966" s="141">
        <f t="shared" si="455"/>
        <v>0.35</v>
      </c>
      <c r="K1966" s="95">
        <f t="shared" si="448"/>
        <v>51.231380337636544</v>
      </c>
      <c r="L1966" s="95">
        <f t="shared" si="449"/>
        <v>1.3943243243243244</v>
      </c>
      <c r="M1966" s="133">
        <f t="shared" si="450"/>
        <v>532</v>
      </c>
      <c r="N1966" s="133">
        <f t="shared" si="451"/>
        <v>5691</v>
      </c>
      <c r="O1966" s="134">
        <f t="shared" si="452"/>
        <v>56.51439920556107</v>
      </c>
      <c r="P1966" s="134">
        <f t="shared" si="453"/>
        <v>1.5381081081081081</v>
      </c>
      <c r="R1966" s="149">
        <f t="shared" si="454"/>
        <v>0</v>
      </c>
      <c r="S1966" s="140">
        <f t="shared" si="456"/>
        <v>56.665342601787479</v>
      </c>
    </row>
    <row r="1967" spans="1:19" ht="15" x14ac:dyDescent="0.25">
      <c r="A1967" s="60" t="s">
        <v>1</v>
      </c>
      <c r="B1967" s="60" t="s">
        <v>4</v>
      </c>
      <c r="C1967" s="60" t="s">
        <v>9</v>
      </c>
      <c r="D1967" s="60" t="s">
        <v>91</v>
      </c>
      <c r="E1967" s="89">
        <f t="shared" si="457"/>
        <v>41883</v>
      </c>
      <c r="F1967" s="61"/>
      <c r="G1967" s="92">
        <v>6084</v>
      </c>
      <c r="H1967" s="138">
        <v>1583</v>
      </c>
      <c r="I1967" s="138" t="s">
        <v>93</v>
      </c>
      <c r="J1967" s="141">
        <f t="shared" si="455"/>
        <v>0.35</v>
      </c>
      <c r="K1967" s="95">
        <f t="shared" si="448"/>
        <v>60.417080436941411</v>
      </c>
      <c r="L1967" s="95">
        <f t="shared" si="449"/>
        <v>1.6443243243243244</v>
      </c>
      <c r="M1967" s="133">
        <f t="shared" si="450"/>
        <v>554.04999999999995</v>
      </c>
      <c r="N1967" s="133">
        <f t="shared" si="451"/>
        <v>6638.05</v>
      </c>
      <c r="O1967" s="134">
        <f t="shared" si="452"/>
        <v>65.919066534260182</v>
      </c>
      <c r="P1967" s="134">
        <f t="shared" si="453"/>
        <v>1.7940675675675677</v>
      </c>
      <c r="R1967" s="149">
        <f t="shared" si="454"/>
        <v>0</v>
      </c>
      <c r="S1967" s="140">
        <f t="shared" si="456"/>
        <v>66.076266137040719</v>
      </c>
    </row>
    <row r="1968" spans="1:19" ht="15" x14ac:dyDescent="0.25">
      <c r="A1968" s="60" t="s">
        <v>1</v>
      </c>
      <c r="B1968" s="60" t="s">
        <v>10</v>
      </c>
      <c r="C1968" s="60" t="s">
        <v>26</v>
      </c>
      <c r="D1968" s="60" t="s">
        <v>91</v>
      </c>
      <c r="E1968" s="89">
        <f t="shared" si="457"/>
        <v>41883</v>
      </c>
      <c r="F1968" s="61"/>
      <c r="G1968" s="92">
        <v>5260</v>
      </c>
      <c r="H1968" s="138">
        <v>1599</v>
      </c>
      <c r="I1968" s="138" t="s">
        <v>92</v>
      </c>
      <c r="J1968" s="141">
        <f t="shared" si="455"/>
        <v>0.36</v>
      </c>
      <c r="K1968" s="95">
        <f t="shared" si="448"/>
        <v>52.234359483614696</v>
      </c>
      <c r="L1968" s="95">
        <f t="shared" si="449"/>
        <v>1.4216216216216215</v>
      </c>
      <c r="M1968" s="133">
        <f t="shared" si="450"/>
        <v>575.64</v>
      </c>
      <c r="N1968" s="133">
        <f t="shared" si="451"/>
        <v>5835.64</v>
      </c>
      <c r="O1968" s="134">
        <f t="shared" si="452"/>
        <v>57.950744786494539</v>
      </c>
      <c r="P1968" s="134">
        <f t="shared" si="453"/>
        <v>1.5772000000000002</v>
      </c>
      <c r="R1968" s="149">
        <f t="shared" si="454"/>
        <v>3.862144575911608</v>
      </c>
      <c r="S1968" s="140">
        <f t="shared" si="456"/>
        <v>58.056603773584904</v>
      </c>
    </row>
    <row r="1969" spans="1:19" ht="15" x14ac:dyDescent="0.25">
      <c r="A1969" s="60" t="s">
        <v>134</v>
      </c>
      <c r="B1969" s="60" t="s">
        <v>23</v>
      </c>
      <c r="C1969" s="60" t="s">
        <v>26</v>
      </c>
      <c r="D1969" s="60" t="s">
        <v>91</v>
      </c>
      <c r="E1969" s="89">
        <f t="shared" si="457"/>
        <v>41883</v>
      </c>
      <c r="F1969" s="61"/>
      <c r="G1969" s="92">
        <v>5000</v>
      </c>
      <c r="H1969" s="138">
        <v>1851</v>
      </c>
      <c r="I1969" s="138" t="s">
        <v>93</v>
      </c>
      <c r="J1969" s="141">
        <f t="shared" si="455"/>
        <v>0.35</v>
      </c>
      <c r="K1969" s="95">
        <f t="shared" si="448"/>
        <v>49.652432969215489</v>
      </c>
      <c r="L1969" s="95">
        <f t="shared" si="449"/>
        <v>1.2612612612612613</v>
      </c>
      <c r="M1969" s="133">
        <f t="shared" si="450"/>
        <v>647.84999999999991</v>
      </c>
      <c r="N1969" s="133">
        <f t="shared" si="451"/>
        <v>5647.85</v>
      </c>
      <c r="O1969" s="134">
        <f t="shared" si="452"/>
        <v>56.085898709036748</v>
      </c>
      <c r="P1969" s="134">
        <f t="shared" si="453"/>
        <v>1.424682882882883</v>
      </c>
      <c r="R1969" s="149">
        <f t="shared" si="454"/>
        <v>3.6711730315629021</v>
      </c>
      <c r="S1969" s="140">
        <f t="shared" si="456"/>
        <v>56.269712015888778</v>
      </c>
    </row>
    <row r="1970" spans="1:19" ht="15" x14ac:dyDescent="0.25">
      <c r="A1970" s="60" t="s">
        <v>134</v>
      </c>
      <c r="B1970" s="60" t="s">
        <v>8</v>
      </c>
      <c r="C1970" s="60" t="s">
        <v>29</v>
      </c>
      <c r="D1970" s="60" t="s">
        <v>91</v>
      </c>
      <c r="E1970" s="89">
        <f t="shared" si="457"/>
        <v>41883</v>
      </c>
      <c r="F1970" s="61"/>
      <c r="G1970" s="92">
        <v>4960</v>
      </c>
      <c r="H1970" s="138">
        <v>1695</v>
      </c>
      <c r="I1970" s="138" t="s">
        <v>93</v>
      </c>
      <c r="J1970" s="141">
        <f t="shared" si="455"/>
        <v>0.35</v>
      </c>
      <c r="K1970" s="95">
        <f t="shared" si="448"/>
        <v>49.255213505461768</v>
      </c>
      <c r="L1970" s="95">
        <f t="shared" si="449"/>
        <v>1.2511711711711713</v>
      </c>
      <c r="M1970" s="133">
        <f t="shared" si="450"/>
        <v>593.25</v>
      </c>
      <c r="N1970" s="133">
        <f t="shared" si="451"/>
        <v>5553.25</v>
      </c>
      <c r="O1970" s="134">
        <f t="shared" si="452"/>
        <v>55.146474677259185</v>
      </c>
      <c r="P1970" s="134">
        <f t="shared" si="453"/>
        <v>1.4008198198198198</v>
      </c>
      <c r="R1970" s="149">
        <f t="shared" si="454"/>
        <v>3.7360481950217128</v>
      </c>
      <c r="S1970" s="140">
        <f t="shared" si="456"/>
        <v>55.314796425024831</v>
      </c>
    </row>
    <row r="1971" spans="1:19" ht="15" x14ac:dyDescent="0.25">
      <c r="A1971" s="60" t="s">
        <v>134</v>
      </c>
      <c r="B1971" s="60" t="s">
        <v>13</v>
      </c>
      <c r="C1971" s="60" t="s">
        <v>7</v>
      </c>
      <c r="D1971" s="60" t="s">
        <v>91</v>
      </c>
      <c r="E1971" s="89">
        <f t="shared" si="457"/>
        <v>41883</v>
      </c>
      <c r="F1971" s="61"/>
      <c r="G1971" s="92">
        <v>3011</v>
      </c>
      <c r="H1971" s="138">
        <v>1006</v>
      </c>
      <c r="I1971" s="138" t="s">
        <v>92</v>
      </c>
      <c r="J1971" s="141">
        <f t="shared" si="455"/>
        <v>0.36</v>
      </c>
      <c r="K1971" s="95">
        <f t="shared" si="448"/>
        <v>29.900695134061568</v>
      </c>
      <c r="L1971" s="95">
        <f t="shared" si="449"/>
        <v>0.75953153153153152</v>
      </c>
      <c r="M1971" s="133">
        <f t="shared" si="450"/>
        <v>362.15999999999997</v>
      </c>
      <c r="N1971" s="133">
        <f t="shared" si="451"/>
        <v>3373.16</v>
      </c>
      <c r="O1971" s="134">
        <f t="shared" si="452"/>
        <v>33.497120158887782</v>
      </c>
      <c r="P1971" s="134">
        <f t="shared" si="453"/>
        <v>0.85088720720720723</v>
      </c>
      <c r="R1971" s="149">
        <f t="shared" si="454"/>
        <v>2.4915227457795952</v>
      </c>
      <c r="S1971" s="140">
        <f t="shared" si="456"/>
        <v>33.563720622310491</v>
      </c>
    </row>
    <row r="1972" spans="1:19" ht="15" x14ac:dyDescent="0.25">
      <c r="A1972" s="60" t="s">
        <v>134</v>
      </c>
      <c r="B1972" s="60" t="s">
        <v>30</v>
      </c>
      <c r="C1972" s="60" t="s">
        <v>9</v>
      </c>
      <c r="D1972" s="60" t="s">
        <v>91</v>
      </c>
      <c r="E1972" s="89">
        <f t="shared" si="457"/>
        <v>41883</v>
      </c>
      <c r="F1972" s="61"/>
      <c r="G1972" s="92">
        <v>3510</v>
      </c>
      <c r="H1972" s="138">
        <v>988</v>
      </c>
      <c r="I1972" s="138" t="s">
        <v>93</v>
      </c>
      <c r="J1972" s="141">
        <f t="shared" si="455"/>
        <v>0.35</v>
      </c>
      <c r="K1972" s="95">
        <f t="shared" si="448"/>
        <v>34.856007944389276</v>
      </c>
      <c r="L1972" s="95">
        <f t="shared" si="449"/>
        <v>0.88540540540540547</v>
      </c>
      <c r="M1972" s="133">
        <f t="shared" si="450"/>
        <v>345.79999999999995</v>
      </c>
      <c r="N1972" s="133">
        <f t="shared" si="451"/>
        <v>3855.8</v>
      </c>
      <c r="O1972" s="134">
        <f t="shared" si="452"/>
        <v>38.289970208540218</v>
      </c>
      <c r="P1972" s="134">
        <f t="shared" si="453"/>
        <v>0.97263423423423434</v>
      </c>
      <c r="R1972" s="149">
        <f t="shared" si="454"/>
        <v>5.4707587942447677</v>
      </c>
      <c r="S1972" s="140">
        <f t="shared" si="456"/>
        <v>38.38808341608739</v>
      </c>
    </row>
    <row r="1973" spans="1:19" ht="15" x14ac:dyDescent="0.25">
      <c r="A1973" s="60" t="s">
        <v>134</v>
      </c>
      <c r="B1973" s="60" t="s">
        <v>16</v>
      </c>
      <c r="C1973" s="60" t="s">
        <v>11</v>
      </c>
      <c r="D1973" s="60" t="s">
        <v>91</v>
      </c>
      <c r="E1973" s="89">
        <f t="shared" si="457"/>
        <v>41883</v>
      </c>
      <c r="F1973" s="61"/>
      <c r="G1973" s="92">
        <v>3590</v>
      </c>
      <c r="H1973" s="138">
        <v>787</v>
      </c>
      <c r="I1973" s="138" t="s">
        <v>92</v>
      </c>
      <c r="J1973" s="141">
        <f t="shared" si="455"/>
        <v>0.36</v>
      </c>
      <c r="K1973" s="95">
        <f t="shared" si="448"/>
        <v>35.650446871896719</v>
      </c>
      <c r="L1973" s="95">
        <f t="shared" si="449"/>
        <v>0.90558558558558555</v>
      </c>
      <c r="M1973" s="133">
        <f t="shared" si="450"/>
        <v>283.32</v>
      </c>
      <c r="N1973" s="133">
        <f t="shared" si="451"/>
        <v>3873.32</v>
      </c>
      <c r="O1973" s="134">
        <f t="shared" si="452"/>
        <v>38.463952333664352</v>
      </c>
      <c r="P1973" s="134">
        <f t="shared" si="453"/>
        <v>0.97705369369369377</v>
      </c>
      <c r="R1973" s="149">
        <f t="shared" si="454"/>
        <v>2.1089705060474806</v>
      </c>
      <c r="S1973" s="140">
        <f t="shared" si="456"/>
        <v>38.516054286660044</v>
      </c>
    </row>
    <row r="1974" spans="1:19" ht="15" x14ac:dyDescent="0.25">
      <c r="A1974" s="60" t="s">
        <v>134</v>
      </c>
      <c r="B1974" s="60" t="s">
        <v>23</v>
      </c>
      <c r="C1974" s="60" t="s">
        <v>29</v>
      </c>
      <c r="D1974" s="60" t="s">
        <v>91</v>
      </c>
      <c r="E1974" s="89">
        <f t="shared" si="457"/>
        <v>41883</v>
      </c>
      <c r="F1974" s="61"/>
      <c r="G1974" s="92">
        <v>5000</v>
      </c>
      <c r="H1974" s="138">
        <v>1836</v>
      </c>
      <c r="I1974" s="138" t="s">
        <v>93</v>
      </c>
      <c r="J1974" s="141">
        <f t="shared" si="455"/>
        <v>0.35</v>
      </c>
      <c r="K1974" s="95">
        <f t="shared" si="448"/>
        <v>49.652432969215489</v>
      </c>
      <c r="L1974" s="95">
        <f t="shared" si="449"/>
        <v>1.2612612612612613</v>
      </c>
      <c r="M1974" s="133">
        <f t="shared" si="450"/>
        <v>642.59999999999991</v>
      </c>
      <c r="N1974" s="133">
        <f t="shared" si="451"/>
        <v>5642.6</v>
      </c>
      <c r="O1974" s="134">
        <f t="shared" si="452"/>
        <v>56.033763654419069</v>
      </c>
      <c r="P1974" s="134">
        <f t="shared" si="453"/>
        <v>1.4233585585585586</v>
      </c>
      <c r="R1974" s="149">
        <f t="shared" si="454"/>
        <v>3.6747142909638875</v>
      </c>
      <c r="S1974" s="140">
        <f t="shared" si="456"/>
        <v>56.216087388282027</v>
      </c>
    </row>
    <row r="1975" spans="1:19" ht="15" x14ac:dyDescent="0.25">
      <c r="A1975" s="60" t="s">
        <v>134</v>
      </c>
      <c r="B1975" s="60" t="s">
        <v>31</v>
      </c>
      <c r="C1975" s="60" t="s">
        <v>32</v>
      </c>
      <c r="D1975" s="60" t="s">
        <v>91</v>
      </c>
      <c r="E1975" s="89">
        <f t="shared" si="457"/>
        <v>41883</v>
      </c>
      <c r="F1975" s="61"/>
      <c r="G1975" s="92">
        <v>4400</v>
      </c>
      <c r="H1975" s="138">
        <v>1899</v>
      </c>
      <c r="I1975" s="138" t="s">
        <v>93</v>
      </c>
      <c r="J1975" s="141">
        <f t="shared" si="455"/>
        <v>0.35</v>
      </c>
      <c r="K1975" s="95">
        <f t="shared" si="448"/>
        <v>43.694141012909633</v>
      </c>
      <c r="L1975" s="95">
        <f t="shared" si="449"/>
        <v>1.1099099099099099</v>
      </c>
      <c r="M1975" s="133">
        <f t="shared" si="450"/>
        <v>664.65</v>
      </c>
      <c r="N1975" s="133">
        <f t="shared" si="451"/>
        <v>5064.6499999999996</v>
      </c>
      <c r="O1975" s="134">
        <f t="shared" si="452"/>
        <v>50.294438927507443</v>
      </c>
      <c r="P1975" s="134">
        <f t="shared" si="453"/>
        <v>1.2775693693693693</v>
      </c>
      <c r="R1975" s="149">
        <f t="shared" si="454"/>
        <v>4.1112926932050708</v>
      </c>
      <c r="S1975" s="140">
        <f t="shared" si="456"/>
        <v>50.483018867924521</v>
      </c>
    </row>
    <row r="1976" spans="1:19" ht="15" x14ac:dyDescent="0.25">
      <c r="A1976" s="60" t="s">
        <v>22</v>
      </c>
      <c r="B1976" s="60" t="s">
        <v>8</v>
      </c>
      <c r="C1976" s="60" t="s">
        <v>29</v>
      </c>
      <c r="D1976" s="60" t="s">
        <v>91</v>
      </c>
      <c r="E1976" s="89">
        <f t="shared" si="457"/>
        <v>41883</v>
      </c>
      <c r="F1976" s="61"/>
      <c r="G1976" s="92">
        <v>5520</v>
      </c>
      <c r="H1976" s="138">
        <v>1695</v>
      </c>
      <c r="I1976" s="138" t="s">
        <v>93</v>
      </c>
      <c r="J1976" s="141">
        <f t="shared" si="455"/>
        <v>0.35</v>
      </c>
      <c r="K1976" s="95">
        <f t="shared" si="448"/>
        <v>54.816285998013903</v>
      </c>
      <c r="L1976" s="95">
        <f t="shared" si="449"/>
        <v>1.491891891891892</v>
      </c>
      <c r="M1976" s="133">
        <f t="shared" si="450"/>
        <v>593.25</v>
      </c>
      <c r="N1976" s="133">
        <f t="shared" si="451"/>
        <v>6113.25</v>
      </c>
      <c r="O1976" s="134">
        <f t="shared" si="452"/>
        <v>60.70754716981132</v>
      </c>
      <c r="P1976" s="134">
        <f t="shared" si="453"/>
        <v>1.6522297297297297</v>
      </c>
      <c r="R1976" s="149">
        <f t="shared" si="454"/>
        <v>3.3822348116518075</v>
      </c>
      <c r="S1976" s="140">
        <f t="shared" si="456"/>
        <v>60.875868917576952</v>
      </c>
    </row>
    <row r="1977" spans="1:19" ht="15" x14ac:dyDescent="0.25">
      <c r="A1977" s="60" t="s">
        <v>22</v>
      </c>
      <c r="B1977" s="60" t="s">
        <v>23</v>
      </c>
      <c r="C1977" s="60" t="s">
        <v>26</v>
      </c>
      <c r="D1977" s="60" t="s">
        <v>91</v>
      </c>
      <c r="E1977" s="89">
        <f t="shared" si="457"/>
        <v>41883</v>
      </c>
      <c r="F1977" s="61"/>
      <c r="G1977" s="92">
        <v>5530</v>
      </c>
      <c r="H1977" s="138">
        <v>1851</v>
      </c>
      <c r="I1977" s="138" t="s">
        <v>93</v>
      </c>
      <c r="J1977" s="141">
        <f t="shared" si="455"/>
        <v>0.35</v>
      </c>
      <c r="K1977" s="95">
        <f t="shared" si="448"/>
        <v>54.915590863952332</v>
      </c>
      <c r="L1977" s="95">
        <f t="shared" si="449"/>
        <v>1.4945945945945946</v>
      </c>
      <c r="M1977" s="133">
        <f t="shared" si="450"/>
        <v>647.84999999999991</v>
      </c>
      <c r="N1977" s="133">
        <f t="shared" si="451"/>
        <v>6177.85</v>
      </c>
      <c r="O1977" s="134">
        <f t="shared" si="452"/>
        <v>61.34905660377359</v>
      </c>
      <c r="P1977" s="134">
        <f t="shared" si="453"/>
        <v>1.6696891891891892</v>
      </c>
      <c r="R1977" s="149">
        <f t="shared" si="454"/>
        <v>3.3456844852246315</v>
      </c>
      <c r="S1977" s="140">
        <f t="shared" si="456"/>
        <v>61.532869910625614</v>
      </c>
    </row>
    <row r="1978" spans="1:19" ht="15" x14ac:dyDescent="0.25">
      <c r="A1978" s="60" t="s">
        <v>22</v>
      </c>
      <c r="B1978" s="60" t="s">
        <v>33</v>
      </c>
      <c r="C1978" s="60" t="s">
        <v>29</v>
      </c>
      <c r="D1978" s="60" t="s">
        <v>91</v>
      </c>
      <c r="E1978" s="89">
        <f t="shared" si="457"/>
        <v>41883</v>
      </c>
      <c r="F1978" s="61"/>
      <c r="G1978" s="92">
        <v>5430</v>
      </c>
      <c r="H1978" s="138">
        <v>1507</v>
      </c>
      <c r="I1978" s="138" t="s">
        <v>93</v>
      </c>
      <c r="J1978" s="141">
        <f t="shared" si="455"/>
        <v>0.35</v>
      </c>
      <c r="K1978" s="95">
        <f t="shared" si="448"/>
        <v>53.922542204568025</v>
      </c>
      <c r="L1978" s="95">
        <f t="shared" si="449"/>
        <v>1.4675675675675677</v>
      </c>
      <c r="M1978" s="133">
        <f t="shared" si="450"/>
        <v>527.44999999999993</v>
      </c>
      <c r="N1978" s="133">
        <f t="shared" si="451"/>
        <v>5957.45</v>
      </c>
      <c r="O1978" s="134">
        <f t="shared" si="452"/>
        <v>59.160377358490564</v>
      </c>
      <c r="P1978" s="134">
        <f t="shared" si="453"/>
        <v>1.6101216216216216</v>
      </c>
      <c r="R1978" s="149">
        <f t="shared" si="454"/>
        <v>3.4737600847597472</v>
      </c>
      <c r="S1978" s="140">
        <f t="shared" si="456"/>
        <v>59.310029791459783</v>
      </c>
    </row>
    <row r="1979" spans="1:19" ht="15" x14ac:dyDescent="0.25">
      <c r="A1979" s="60" t="s">
        <v>22</v>
      </c>
      <c r="B1979" s="60" t="s">
        <v>31</v>
      </c>
      <c r="C1979" s="60" t="s">
        <v>7</v>
      </c>
      <c r="D1979" s="60" t="s">
        <v>91</v>
      </c>
      <c r="E1979" s="89">
        <f t="shared" si="457"/>
        <v>41883</v>
      </c>
      <c r="F1979" s="61"/>
      <c r="G1979" s="92">
        <v>4175</v>
      </c>
      <c r="H1979" s="138">
        <v>1160</v>
      </c>
      <c r="I1979" s="138" t="s">
        <v>92</v>
      </c>
      <c r="J1979" s="141">
        <f t="shared" si="455"/>
        <v>0.36</v>
      </c>
      <c r="K1979" s="95">
        <f t="shared" si="448"/>
        <v>41.459781529294936</v>
      </c>
      <c r="L1979" s="95">
        <f t="shared" si="449"/>
        <v>1.1283783783783783</v>
      </c>
      <c r="M1979" s="133">
        <f t="shared" si="450"/>
        <v>417.59999999999997</v>
      </c>
      <c r="N1979" s="133">
        <f t="shared" si="451"/>
        <v>4592.6000000000004</v>
      </c>
      <c r="O1979" s="134">
        <f t="shared" si="452"/>
        <v>45.606752730883812</v>
      </c>
      <c r="P1979" s="134">
        <f t="shared" si="453"/>
        <v>1.2412432432432434</v>
      </c>
      <c r="R1979" s="149">
        <f t="shared" si="454"/>
        <v>5.151570656653548</v>
      </c>
      <c r="S1979" s="140">
        <f t="shared" si="456"/>
        <v>45.683548493876195</v>
      </c>
    </row>
    <row r="1980" spans="1:19" ht="15" x14ac:dyDescent="0.25">
      <c r="A1980" s="60" t="s">
        <v>22</v>
      </c>
      <c r="B1980" s="60" t="s">
        <v>14</v>
      </c>
      <c r="C1980" s="60" t="s">
        <v>24</v>
      </c>
      <c r="D1980" s="60" t="s">
        <v>91</v>
      </c>
      <c r="E1980" s="89">
        <f t="shared" si="457"/>
        <v>41883</v>
      </c>
      <c r="F1980" s="61"/>
      <c r="G1980" s="92">
        <v>2862</v>
      </c>
      <c r="H1980" s="138">
        <v>615</v>
      </c>
      <c r="I1980" s="138" t="s">
        <v>94</v>
      </c>
      <c r="J1980" s="141">
        <f t="shared" si="455"/>
        <v>0.48</v>
      </c>
      <c r="K1980" s="95">
        <f t="shared" si="448"/>
        <v>28.421052631578945</v>
      </c>
      <c r="L1980" s="95">
        <f t="shared" si="449"/>
        <v>0.7735135135135135</v>
      </c>
      <c r="M1980" s="133">
        <f t="shared" si="450"/>
        <v>295.2</v>
      </c>
      <c r="N1980" s="133">
        <f t="shared" si="451"/>
        <v>3157.2</v>
      </c>
      <c r="O1980" s="134">
        <f t="shared" si="452"/>
        <v>31.352532274081426</v>
      </c>
      <c r="P1980" s="134">
        <f t="shared" si="453"/>
        <v>0.8532972972972972</v>
      </c>
      <c r="R1980" s="149">
        <f t="shared" si="454"/>
        <v>3.8877280729175068</v>
      </c>
      <c r="S1980" s="140">
        <f t="shared" si="456"/>
        <v>31.372889771598807</v>
      </c>
    </row>
    <row r="1981" spans="1:19" ht="15" x14ac:dyDescent="0.25">
      <c r="A1981" s="85" t="s">
        <v>22</v>
      </c>
      <c r="B1981" s="85" t="s">
        <v>34</v>
      </c>
      <c r="C1981" s="85" t="s">
        <v>26</v>
      </c>
      <c r="D1981" s="85" t="s">
        <v>91</v>
      </c>
      <c r="E1981" s="91">
        <f t="shared" si="457"/>
        <v>41883</v>
      </c>
      <c r="F1981" s="86"/>
      <c r="G1981" s="105">
        <v>5110</v>
      </c>
      <c r="H1981" s="143">
        <v>1637</v>
      </c>
      <c r="I1981" s="143" t="s">
        <v>92</v>
      </c>
      <c r="J1981" s="117">
        <f t="shared" si="455"/>
        <v>0.36</v>
      </c>
      <c r="K1981" s="108">
        <f t="shared" si="448"/>
        <v>50.744786494538232</v>
      </c>
      <c r="L1981" s="108">
        <f t="shared" si="449"/>
        <v>1.3810810810810812</v>
      </c>
      <c r="M1981" s="115">
        <f t="shared" si="450"/>
        <v>589.31999999999994</v>
      </c>
      <c r="N1981" s="115">
        <f t="shared" si="451"/>
        <v>5699.32</v>
      </c>
      <c r="O1981" s="116">
        <f t="shared" si="452"/>
        <v>56.597020854021842</v>
      </c>
      <c r="P1981" s="116">
        <f t="shared" si="453"/>
        <v>1.5403567567567567</v>
      </c>
      <c r="Q1981" s="106"/>
      <c r="R1981" s="152">
        <f t="shared" si="454"/>
        <v>2.7030338852327862</v>
      </c>
      <c r="S1981" s="108">
        <f>AVERAGE(O1905,O1943,O1981)</f>
        <v>56.705395564382648</v>
      </c>
    </row>
    <row r="1982" spans="1:19" ht="15" x14ac:dyDescent="0.25">
      <c r="A1982" s="82" t="s">
        <v>1</v>
      </c>
      <c r="B1982" s="82" t="s">
        <v>2</v>
      </c>
      <c r="C1982" s="82" t="s">
        <v>3</v>
      </c>
      <c r="D1982" s="82" t="s">
        <v>90</v>
      </c>
      <c r="E1982" s="87">
        <v>41913</v>
      </c>
      <c r="F1982" s="83"/>
      <c r="G1982" s="92">
        <v>3387</v>
      </c>
      <c r="H1982" s="52">
        <v>506</v>
      </c>
      <c r="I1982" s="52" t="s">
        <v>92</v>
      </c>
      <c r="J1982" s="157">
        <f>IF(I1982="BNSF",0.34,IF(I1982="CN",0.299,IF(I1982="CSX",0.46,0.35)))</f>
        <v>0.35</v>
      </c>
      <c r="K1982" s="101">
        <f t="shared" ref="K1982:K2019" si="458">G1982/100.7</f>
        <v>33.63455809334657</v>
      </c>
      <c r="L1982" s="101">
        <f t="shared" ref="L1982:L2019" si="459">IF(A1982="corn",G1982/(111*2000/56),G1982/(111*2000/60))</f>
        <v>0.91540540540540538</v>
      </c>
      <c r="M1982" s="133">
        <f t="shared" ref="M1982:M2019" si="460">H1982*J1982</f>
        <v>177.1</v>
      </c>
      <c r="N1982" s="133">
        <f t="shared" ref="N1982:N2019" si="461">G1982+M1982</f>
        <v>3564.1</v>
      </c>
      <c r="O1982" s="134">
        <f t="shared" ref="O1982:O2019" si="462">N1982/100.7</f>
        <v>35.393247269116188</v>
      </c>
      <c r="P1982" s="134">
        <f t="shared" ref="P1982:P2019" si="463">IF(A1982="corn",N1982/(111*2000/56),N1982/(111*2000/60))</f>
        <v>0.96327027027027023</v>
      </c>
      <c r="Q1982" s="160"/>
      <c r="R1982" s="149">
        <f t="shared" ref="R1982:R2019" si="464">((N1982/N1526)-1)*100</f>
        <v>5.5023059481028591</v>
      </c>
    </row>
    <row r="1983" spans="1:19" ht="15" x14ac:dyDescent="0.25">
      <c r="A1983" s="82" t="s">
        <v>1</v>
      </c>
      <c r="B1983" s="82" t="s">
        <v>4</v>
      </c>
      <c r="C1983" s="82" t="s">
        <v>5</v>
      </c>
      <c r="D1983" s="82" t="s">
        <v>90</v>
      </c>
      <c r="E1983" s="87">
        <f>E1982</f>
        <v>41913</v>
      </c>
      <c r="F1983" s="83"/>
      <c r="G1983" s="92">
        <v>3596</v>
      </c>
      <c r="H1983" s="52">
        <v>298</v>
      </c>
      <c r="I1983" s="52" t="s">
        <v>93</v>
      </c>
      <c r="J1983" s="157">
        <f t="shared" ref="J1983:J2019" si="465">IF(I1983="BNSF",0.34,IF(I1983="CN",0.299,IF(I1983="CSX",0.46,0.35)))</f>
        <v>0.34</v>
      </c>
      <c r="K1983" s="101">
        <f t="shared" si="458"/>
        <v>35.710029791459782</v>
      </c>
      <c r="L1983" s="101">
        <f t="shared" si="459"/>
        <v>0.97189189189189185</v>
      </c>
      <c r="M1983" s="133">
        <f t="shared" si="460"/>
        <v>101.32000000000001</v>
      </c>
      <c r="N1983" s="133">
        <f t="shared" si="461"/>
        <v>3697.32</v>
      </c>
      <c r="O1983" s="134">
        <f t="shared" si="462"/>
        <v>36.716186693147968</v>
      </c>
      <c r="P1983" s="134">
        <f t="shared" si="463"/>
        <v>0.99927567567567577</v>
      </c>
      <c r="Q1983" s="160"/>
      <c r="R1983" s="149">
        <f t="shared" si="464"/>
        <v>-0.16093841135426112</v>
      </c>
    </row>
    <row r="1984" spans="1:19" ht="15" x14ac:dyDescent="0.25">
      <c r="A1984" s="82" t="s">
        <v>1</v>
      </c>
      <c r="B1984" s="82" t="s">
        <v>2</v>
      </c>
      <c r="C1984" s="82" t="s">
        <v>6</v>
      </c>
      <c r="D1984" s="82" t="s">
        <v>90</v>
      </c>
      <c r="E1984" s="87">
        <f t="shared" ref="E1984:E2019" si="466">E1983</f>
        <v>41913</v>
      </c>
      <c r="F1984" s="83"/>
      <c r="G1984" s="92">
        <v>6244</v>
      </c>
      <c r="H1984" s="52">
        <v>1530</v>
      </c>
      <c r="I1984" s="52" t="s">
        <v>93</v>
      </c>
      <c r="J1984" s="157">
        <f t="shared" si="465"/>
        <v>0.34</v>
      </c>
      <c r="K1984" s="101">
        <f t="shared" si="458"/>
        <v>62.005958291956304</v>
      </c>
      <c r="L1984" s="101">
        <f t="shared" si="459"/>
        <v>1.6875675675675677</v>
      </c>
      <c r="M1984" s="133">
        <f t="shared" si="460"/>
        <v>520.20000000000005</v>
      </c>
      <c r="N1984" s="133">
        <f t="shared" si="461"/>
        <v>6764.2</v>
      </c>
      <c r="O1984" s="134">
        <f t="shared" si="462"/>
        <v>67.171797418073481</v>
      </c>
      <c r="P1984" s="134">
        <f t="shared" si="463"/>
        <v>1.8281621621621622</v>
      </c>
      <c r="R1984" s="149">
        <f t="shared" si="464"/>
        <v>-0.45034438099723628</v>
      </c>
    </row>
    <row r="1985" spans="1:18" ht="15" x14ac:dyDescent="0.25">
      <c r="A1985" s="82" t="s">
        <v>1</v>
      </c>
      <c r="B1985" s="82" t="s">
        <v>2</v>
      </c>
      <c r="C1985" s="82" t="s">
        <v>7</v>
      </c>
      <c r="D1985" s="82" t="s">
        <v>90</v>
      </c>
      <c r="E1985" s="87">
        <f t="shared" si="466"/>
        <v>41913</v>
      </c>
      <c r="F1985" s="83"/>
      <c r="G1985" s="92">
        <v>4026</v>
      </c>
      <c r="H1985" s="52">
        <v>890</v>
      </c>
      <c r="I1985" s="52" t="s">
        <v>92</v>
      </c>
      <c r="J1985" s="157">
        <f t="shared" si="465"/>
        <v>0.35</v>
      </c>
      <c r="K1985" s="101">
        <f t="shared" si="458"/>
        <v>39.98013902681231</v>
      </c>
      <c r="L1985" s="101">
        <f t="shared" si="459"/>
        <v>1.0881081081081081</v>
      </c>
      <c r="M1985" s="133">
        <f t="shared" si="460"/>
        <v>311.5</v>
      </c>
      <c r="N1985" s="133">
        <f t="shared" si="461"/>
        <v>4337.5</v>
      </c>
      <c r="O1985" s="134">
        <f t="shared" si="462"/>
        <v>43.073485600794434</v>
      </c>
      <c r="P1985" s="134">
        <f t="shared" si="463"/>
        <v>1.1722972972972974</v>
      </c>
      <c r="R1985" s="149">
        <f t="shared" si="464"/>
        <v>4.8389045996181101</v>
      </c>
    </row>
    <row r="1986" spans="1:18" ht="15" x14ac:dyDescent="0.25">
      <c r="A1986" s="82" t="s">
        <v>1</v>
      </c>
      <c r="B1986" s="82" t="s">
        <v>8</v>
      </c>
      <c r="C1986" s="82" t="s">
        <v>9</v>
      </c>
      <c r="D1986" s="82" t="s">
        <v>90</v>
      </c>
      <c r="E1986" s="87">
        <f t="shared" si="466"/>
        <v>41913</v>
      </c>
      <c r="F1986" s="83"/>
      <c r="G1986" s="92">
        <v>5824</v>
      </c>
      <c r="H1986" s="52">
        <v>1256</v>
      </c>
      <c r="I1986" s="52" t="s">
        <v>93</v>
      </c>
      <c r="J1986" s="157">
        <f t="shared" si="465"/>
        <v>0.34</v>
      </c>
      <c r="K1986" s="101">
        <f t="shared" si="458"/>
        <v>57.835153922542204</v>
      </c>
      <c r="L1986" s="101">
        <f t="shared" si="459"/>
        <v>1.574054054054054</v>
      </c>
      <c r="M1986" s="133">
        <f t="shared" si="460"/>
        <v>427.04</v>
      </c>
      <c r="N1986" s="133">
        <f t="shared" si="461"/>
        <v>6251.04</v>
      </c>
      <c r="O1986" s="134">
        <f t="shared" si="462"/>
        <v>62.075868917576962</v>
      </c>
      <c r="P1986" s="134">
        <f t="shared" si="463"/>
        <v>1.6894702702702702</v>
      </c>
      <c r="R1986" s="149">
        <f t="shared" si="464"/>
        <v>-0.40024473563452512</v>
      </c>
    </row>
    <row r="1987" spans="1:18" ht="15" x14ac:dyDescent="0.25">
      <c r="A1987" s="82" t="s">
        <v>1</v>
      </c>
      <c r="B1987" s="82" t="s">
        <v>10</v>
      </c>
      <c r="C1987" s="82" t="s">
        <v>9</v>
      </c>
      <c r="D1987" s="82" t="s">
        <v>90</v>
      </c>
      <c r="E1987" s="87">
        <f t="shared" si="466"/>
        <v>41913</v>
      </c>
      <c r="F1987" s="83"/>
      <c r="G1987" s="92">
        <v>4293</v>
      </c>
      <c r="H1987" s="52">
        <v>975</v>
      </c>
      <c r="I1987" s="52" t="s">
        <v>92</v>
      </c>
      <c r="J1987" s="157">
        <f t="shared" si="465"/>
        <v>0.35</v>
      </c>
      <c r="K1987" s="101">
        <f t="shared" si="458"/>
        <v>42.631578947368418</v>
      </c>
      <c r="L1987" s="101">
        <f t="shared" si="459"/>
        <v>1.1602702702702703</v>
      </c>
      <c r="M1987" s="133">
        <f t="shared" si="460"/>
        <v>341.25</v>
      </c>
      <c r="N1987" s="133">
        <f t="shared" si="461"/>
        <v>4634.25</v>
      </c>
      <c r="O1987" s="134">
        <f t="shared" si="462"/>
        <v>46.020357497517374</v>
      </c>
      <c r="P1987" s="134">
        <f t="shared" si="463"/>
        <v>1.2524999999999999</v>
      </c>
      <c r="R1987" s="149">
        <f t="shared" si="464"/>
        <v>4.4514565842114218</v>
      </c>
    </row>
    <row r="1988" spans="1:18" ht="15" x14ac:dyDescent="0.25">
      <c r="A1988" s="82" t="s">
        <v>1</v>
      </c>
      <c r="B1988" s="82" t="s">
        <v>11</v>
      </c>
      <c r="C1988" s="82" t="s">
        <v>6</v>
      </c>
      <c r="D1988" s="82" t="s">
        <v>90</v>
      </c>
      <c r="E1988" s="87">
        <f t="shared" si="466"/>
        <v>41913</v>
      </c>
      <c r="F1988" s="83"/>
      <c r="G1988" s="92">
        <v>4492</v>
      </c>
      <c r="H1988" s="52">
        <v>1357</v>
      </c>
      <c r="I1988" s="52" t="s">
        <v>92</v>
      </c>
      <c r="J1988" s="157">
        <f t="shared" si="465"/>
        <v>0.35</v>
      </c>
      <c r="K1988" s="101">
        <f t="shared" si="458"/>
        <v>44.607745779543194</v>
      </c>
      <c r="L1988" s="101">
        <f t="shared" si="459"/>
        <v>1.2140540540540541</v>
      </c>
      <c r="M1988" s="133">
        <f t="shared" si="460"/>
        <v>474.95</v>
      </c>
      <c r="N1988" s="133">
        <f t="shared" si="461"/>
        <v>4966.95</v>
      </c>
      <c r="O1988" s="134">
        <f t="shared" si="462"/>
        <v>49.324230387288971</v>
      </c>
      <c r="P1988" s="134">
        <f t="shared" si="463"/>
        <v>1.3424189189189188</v>
      </c>
      <c r="R1988" s="149">
        <f t="shared" si="464"/>
        <v>3.9743860802287534</v>
      </c>
    </row>
    <row r="1989" spans="1:18" ht="15" x14ac:dyDescent="0.25">
      <c r="A1989" s="82" t="s">
        <v>134</v>
      </c>
      <c r="B1989" s="82" t="s">
        <v>13</v>
      </c>
      <c r="C1989" s="82" t="s">
        <v>7</v>
      </c>
      <c r="D1989" s="82" t="s">
        <v>90</v>
      </c>
      <c r="E1989" s="87">
        <f t="shared" si="466"/>
        <v>41913</v>
      </c>
      <c r="F1989" s="83"/>
      <c r="G1989" s="92">
        <v>3328</v>
      </c>
      <c r="H1989" s="52">
        <v>1006</v>
      </c>
      <c r="I1989" s="52" t="s">
        <v>92</v>
      </c>
      <c r="J1989" s="157">
        <f t="shared" si="465"/>
        <v>0.35</v>
      </c>
      <c r="K1989" s="101">
        <f t="shared" si="458"/>
        <v>33.048659384309829</v>
      </c>
      <c r="L1989" s="101">
        <f t="shared" si="459"/>
        <v>0.83949549549549551</v>
      </c>
      <c r="M1989" s="133">
        <f t="shared" si="460"/>
        <v>352.09999999999997</v>
      </c>
      <c r="N1989" s="133">
        <f t="shared" si="461"/>
        <v>3680.1</v>
      </c>
      <c r="O1989" s="134">
        <f t="shared" si="462"/>
        <v>36.545183714001986</v>
      </c>
      <c r="P1989" s="134">
        <f t="shared" si="463"/>
        <v>0.92831351351351354</v>
      </c>
      <c r="R1989" s="149">
        <f t="shared" si="464"/>
        <v>3.2512022265741125</v>
      </c>
    </row>
    <row r="1990" spans="1:18" ht="15" x14ac:dyDescent="0.25">
      <c r="A1990" s="82" t="s">
        <v>134</v>
      </c>
      <c r="B1990" s="82" t="s">
        <v>14</v>
      </c>
      <c r="C1990" s="82" t="s">
        <v>15</v>
      </c>
      <c r="D1990" s="82" t="s">
        <v>90</v>
      </c>
      <c r="E1990" s="87">
        <f t="shared" si="466"/>
        <v>41913</v>
      </c>
      <c r="F1990" s="83"/>
      <c r="G1990" s="92">
        <v>4875</v>
      </c>
      <c r="H1990" s="52">
        <v>866</v>
      </c>
      <c r="I1990" s="52" t="s">
        <v>94</v>
      </c>
      <c r="J1990" s="157">
        <f t="shared" si="465"/>
        <v>0.46</v>
      </c>
      <c r="K1990" s="101">
        <f t="shared" si="458"/>
        <v>48.4111221449851</v>
      </c>
      <c r="L1990" s="101">
        <f t="shared" si="459"/>
        <v>1.2297297297297298</v>
      </c>
      <c r="M1990" s="133">
        <f t="shared" si="460"/>
        <v>398.36</v>
      </c>
      <c r="N1990" s="133">
        <f t="shared" si="461"/>
        <v>5273.36</v>
      </c>
      <c r="O1990" s="134">
        <f t="shared" si="462"/>
        <v>52.367030784508437</v>
      </c>
      <c r="P1990" s="134">
        <f t="shared" si="463"/>
        <v>1.3302169369369368</v>
      </c>
      <c r="R1990" s="149">
        <f t="shared" si="464"/>
        <v>3.3651659845384208</v>
      </c>
    </row>
    <row r="1991" spans="1:18" ht="15" x14ac:dyDescent="0.25">
      <c r="A1991" s="82" t="s">
        <v>134</v>
      </c>
      <c r="B1991" s="82" t="s">
        <v>16</v>
      </c>
      <c r="C1991" s="82" t="s">
        <v>17</v>
      </c>
      <c r="D1991" s="82" t="s">
        <v>90</v>
      </c>
      <c r="E1991" s="87">
        <f t="shared" si="466"/>
        <v>41913</v>
      </c>
      <c r="F1991" s="83"/>
      <c r="G1991" s="92">
        <v>2168</v>
      </c>
      <c r="H1991" s="52">
        <v>213</v>
      </c>
      <c r="I1991" s="52" t="s">
        <v>92</v>
      </c>
      <c r="J1991" s="157">
        <f t="shared" si="465"/>
        <v>0.35</v>
      </c>
      <c r="K1991" s="101">
        <f t="shared" si="458"/>
        <v>21.529294935451837</v>
      </c>
      <c r="L1991" s="101">
        <f t="shared" si="459"/>
        <v>0.54688288288288289</v>
      </c>
      <c r="M1991" s="133">
        <f t="shared" si="460"/>
        <v>74.55</v>
      </c>
      <c r="N1991" s="133">
        <f t="shared" si="461"/>
        <v>2242.5500000000002</v>
      </c>
      <c r="O1991" s="134">
        <f t="shared" si="462"/>
        <v>22.269612711022841</v>
      </c>
      <c r="P1991" s="134">
        <f t="shared" si="463"/>
        <v>0.56568828828828832</v>
      </c>
      <c r="R1991" s="149">
        <f t="shared" si="464"/>
        <v>3.9753153963492549</v>
      </c>
    </row>
    <row r="1992" spans="1:18" ht="15" x14ac:dyDescent="0.25">
      <c r="A1992" s="82" t="s">
        <v>134</v>
      </c>
      <c r="B1992" s="82" t="s">
        <v>18</v>
      </c>
      <c r="C1992" s="82" t="s">
        <v>19</v>
      </c>
      <c r="D1992" s="82" t="s">
        <v>90</v>
      </c>
      <c r="E1992" s="87">
        <f t="shared" si="466"/>
        <v>41913</v>
      </c>
      <c r="F1992" s="83"/>
      <c r="G1992" s="92">
        <v>4211</v>
      </c>
      <c r="H1992" s="52">
        <v>650</v>
      </c>
      <c r="I1992" s="52" t="s">
        <v>94</v>
      </c>
      <c r="J1992" s="157">
        <f t="shared" si="465"/>
        <v>0.46</v>
      </c>
      <c r="K1992" s="101">
        <f t="shared" si="458"/>
        <v>41.817279046673285</v>
      </c>
      <c r="L1992" s="101">
        <f t="shared" si="459"/>
        <v>1.0622342342342344</v>
      </c>
      <c r="M1992" s="133">
        <f t="shared" si="460"/>
        <v>299</v>
      </c>
      <c r="N1992" s="133">
        <f t="shared" si="461"/>
        <v>4510</v>
      </c>
      <c r="O1992" s="134">
        <f t="shared" si="462"/>
        <v>44.786494538232375</v>
      </c>
      <c r="P1992" s="134">
        <f t="shared" si="463"/>
        <v>1.1376576576576576</v>
      </c>
      <c r="R1992" s="149">
        <f t="shared" si="464"/>
        <v>3.1328607363366068</v>
      </c>
    </row>
    <row r="1993" spans="1:18" ht="15" x14ac:dyDescent="0.25">
      <c r="A1993" s="82" t="s">
        <v>134</v>
      </c>
      <c r="B1993" s="82" t="s">
        <v>18</v>
      </c>
      <c r="C1993" s="82" t="s">
        <v>20</v>
      </c>
      <c r="D1993" s="82" t="s">
        <v>90</v>
      </c>
      <c r="E1993" s="87">
        <f t="shared" si="466"/>
        <v>41913</v>
      </c>
      <c r="F1993" s="83"/>
      <c r="G1993" s="92">
        <v>3593</v>
      </c>
      <c r="H1993" s="52">
        <v>417</v>
      </c>
      <c r="I1993" s="52" t="s">
        <v>94</v>
      </c>
      <c r="J1993" s="157">
        <f t="shared" si="465"/>
        <v>0.46</v>
      </c>
      <c r="K1993" s="101">
        <f t="shared" si="458"/>
        <v>35.680238331678254</v>
      </c>
      <c r="L1993" s="101">
        <f t="shared" si="459"/>
        <v>0.90634234234234234</v>
      </c>
      <c r="M1993" s="133">
        <f t="shared" si="460"/>
        <v>191.82000000000002</v>
      </c>
      <c r="N1993" s="133">
        <f t="shared" si="461"/>
        <v>3784.82</v>
      </c>
      <c r="O1993" s="134">
        <f t="shared" si="462"/>
        <v>37.585104270109234</v>
      </c>
      <c r="P1993" s="134">
        <f t="shared" si="463"/>
        <v>0.95472936936936947</v>
      </c>
      <c r="R1993" s="149">
        <f t="shared" si="464"/>
        <v>3.1522201266775074</v>
      </c>
    </row>
    <row r="1994" spans="1:18" ht="15" x14ac:dyDescent="0.25">
      <c r="A1994" s="82" t="s">
        <v>134</v>
      </c>
      <c r="B1994" s="82" t="s">
        <v>16</v>
      </c>
      <c r="C1994" s="82" t="s">
        <v>21</v>
      </c>
      <c r="D1994" s="82" t="s">
        <v>90</v>
      </c>
      <c r="E1994" s="87">
        <f t="shared" si="466"/>
        <v>41913</v>
      </c>
      <c r="F1994" s="83"/>
      <c r="G1994" s="92">
        <v>3308</v>
      </c>
      <c r="H1994" s="52">
        <v>626</v>
      </c>
      <c r="I1994" s="52" t="s">
        <v>92</v>
      </c>
      <c r="J1994" s="157">
        <f t="shared" si="465"/>
        <v>0.35</v>
      </c>
      <c r="K1994" s="101">
        <f t="shared" si="458"/>
        <v>32.850049652432965</v>
      </c>
      <c r="L1994" s="101">
        <f t="shared" si="459"/>
        <v>0.83445045045045041</v>
      </c>
      <c r="M1994" s="133">
        <f t="shared" si="460"/>
        <v>219.1</v>
      </c>
      <c r="N1994" s="133">
        <f t="shared" si="461"/>
        <v>3527.1</v>
      </c>
      <c r="O1994" s="134">
        <f t="shared" si="462"/>
        <v>35.025819265143987</v>
      </c>
      <c r="P1994" s="134">
        <f t="shared" si="463"/>
        <v>0.88971891891891886</v>
      </c>
      <c r="R1994" s="149">
        <f t="shared" si="464"/>
        <v>2.2460444918570799</v>
      </c>
    </row>
    <row r="1995" spans="1:18" ht="15" x14ac:dyDescent="0.25">
      <c r="A1995" s="82" t="s">
        <v>134</v>
      </c>
      <c r="B1995" s="82" t="s">
        <v>16</v>
      </c>
      <c r="C1995" s="82" t="s">
        <v>6</v>
      </c>
      <c r="D1995" s="82" t="s">
        <v>90</v>
      </c>
      <c r="E1995" s="87">
        <f t="shared" si="466"/>
        <v>41913</v>
      </c>
      <c r="F1995" s="83"/>
      <c r="G1995" s="92">
        <v>5365</v>
      </c>
      <c r="H1995" s="52">
        <v>1823</v>
      </c>
      <c r="I1995" s="52" t="s">
        <v>92</v>
      </c>
      <c r="J1995" s="157">
        <f t="shared" si="465"/>
        <v>0.35</v>
      </c>
      <c r="K1995" s="101">
        <f t="shared" si="458"/>
        <v>53.277060575968221</v>
      </c>
      <c r="L1995" s="101">
        <f t="shared" si="459"/>
        <v>1.3533333333333333</v>
      </c>
      <c r="M1995" s="133">
        <f t="shared" si="460"/>
        <v>638.04999999999995</v>
      </c>
      <c r="N1995" s="133">
        <f t="shared" si="461"/>
        <v>6003.05</v>
      </c>
      <c r="O1995" s="134">
        <f t="shared" si="462"/>
        <v>59.613207547169814</v>
      </c>
      <c r="P1995" s="134">
        <f t="shared" si="463"/>
        <v>1.5142828828828829</v>
      </c>
      <c r="R1995" s="149">
        <f t="shared" si="464"/>
        <v>1.9278344038808015</v>
      </c>
    </row>
    <row r="1996" spans="1:18" ht="15" x14ac:dyDescent="0.25">
      <c r="A1996" s="82" t="s">
        <v>22</v>
      </c>
      <c r="B1996" s="82" t="s">
        <v>23</v>
      </c>
      <c r="C1996" s="82" t="s">
        <v>7</v>
      </c>
      <c r="D1996" s="82" t="s">
        <v>90</v>
      </c>
      <c r="E1996" s="87">
        <f t="shared" si="466"/>
        <v>41913</v>
      </c>
      <c r="F1996" s="83"/>
      <c r="G1996" s="92">
        <v>3649</v>
      </c>
      <c r="H1996" s="52">
        <v>1295</v>
      </c>
      <c r="I1996" s="52" t="s">
        <v>95</v>
      </c>
      <c r="J1996" s="157">
        <f t="shared" si="465"/>
        <v>0.29899999999999999</v>
      </c>
      <c r="K1996" s="101">
        <f t="shared" si="458"/>
        <v>36.236345580933467</v>
      </c>
      <c r="L1996" s="101">
        <f t="shared" si="459"/>
        <v>0.98621621621621625</v>
      </c>
      <c r="M1996" s="133">
        <f t="shared" si="460"/>
        <v>387.20499999999998</v>
      </c>
      <c r="N1996" s="133">
        <f t="shared" si="461"/>
        <v>4036.2049999999999</v>
      </c>
      <c r="O1996" s="134">
        <f t="shared" si="462"/>
        <v>40.08147964250248</v>
      </c>
      <c r="P1996" s="134">
        <f t="shared" si="463"/>
        <v>1.0908662162162162</v>
      </c>
      <c r="R1996" s="149">
        <f t="shared" si="464"/>
        <v>2.5433186042774558</v>
      </c>
    </row>
    <row r="1997" spans="1:18" ht="15" x14ac:dyDescent="0.25">
      <c r="A1997" s="82" t="s">
        <v>22</v>
      </c>
      <c r="B1997" s="82" t="s">
        <v>14</v>
      </c>
      <c r="C1997" s="82" t="s">
        <v>24</v>
      </c>
      <c r="D1997" s="82" t="s">
        <v>90</v>
      </c>
      <c r="E1997" s="87">
        <f t="shared" si="466"/>
        <v>41913</v>
      </c>
      <c r="F1997" s="83"/>
      <c r="G1997" s="92">
        <v>3807</v>
      </c>
      <c r="H1997" s="52">
        <v>615</v>
      </c>
      <c r="I1997" s="52" t="s">
        <v>94</v>
      </c>
      <c r="J1997" s="157">
        <f t="shared" si="465"/>
        <v>0.46</v>
      </c>
      <c r="K1997" s="101">
        <f t="shared" si="458"/>
        <v>37.805362462760677</v>
      </c>
      <c r="L1997" s="101">
        <f t="shared" si="459"/>
        <v>1.028918918918919</v>
      </c>
      <c r="M1997" s="133">
        <f t="shared" si="460"/>
        <v>282.90000000000003</v>
      </c>
      <c r="N1997" s="133">
        <f t="shared" si="461"/>
        <v>4089.9</v>
      </c>
      <c r="O1997" s="134">
        <f t="shared" si="462"/>
        <v>40.614697120158887</v>
      </c>
      <c r="P1997" s="134">
        <f t="shared" si="463"/>
        <v>1.1053783783783784</v>
      </c>
      <c r="R1997" s="149">
        <f t="shared" si="464"/>
        <v>2.7045351815579322</v>
      </c>
    </row>
    <row r="1998" spans="1:18" ht="15" x14ac:dyDescent="0.25">
      <c r="A1998" s="82" t="s">
        <v>22</v>
      </c>
      <c r="B1998" s="82" t="s">
        <v>18</v>
      </c>
      <c r="C1998" s="82" t="s">
        <v>15</v>
      </c>
      <c r="D1998" s="82" t="s">
        <v>90</v>
      </c>
      <c r="E1998" s="87">
        <f t="shared" si="466"/>
        <v>41913</v>
      </c>
      <c r="F1998" s="83"/>
      <c r="G1998" s="92">
        <v>4946</v>
      </c>
      <c r="H1998" s="52">
        <v>872</v>
      </c>
      <c r="I1998" s="52" t="s">
        <v>94</v>
      </c>
      <c r="J1998" s="157">
        <f t="shared" si="465"/>
        <v>0.46</v>
      </c>
      <c r="K1998" s="101">
        <f t="shared" si="458"/>
        <v>49.116186693147959</v>
      </c>
      <c r="L1998" s="101">
        <f t="shared" si="459"/>
        <v>1.3367567567567566</v>
      </c>
      <c r="M1998" s="133">
        <f t="shared" si="460"/>
        <v>401.12</v>
      </c>
      <c r="N1998" s="133">
        <f t="shared" si="461"/>
        <v>5347.12</v>
      </c>
      <c r="O1998" s="134">
        <f t="shared" si="462"/>
        <v>53.099503475670303</v>
      </c>
      <c r="P1998" s="134">
        <f t="shared" si="463"/>
        <v>1.4451675675675675</v>
      </c>
      <c r="R1998" s="149">
        <f t="shared" si="464"/>
        <v>3.3347762901579925</v>
      </c>
    </row>
    <row r="1999" spans="1:18" ht="15" x14ac:dyDescent="0.25">
      <c r="A1999" s="82" t="s">
        <v>22</v>
      </c>
      <c r="B1999" s="82" t="s">
        <v>18</v>
      </c>
      <c r="C1999" s="82" t="s">
        <v>24</v>
      </c>
      <c r="D1999" s="82" t="s">
        <v>90</v>
      </c>
      <c r="E1999" s="87">
        <f t="shared" si="466"/>
        <v>41913</v>
      </c>
      <c r="F1999" s="83"/>
      <c r="G1999" s="92">
        <v>3499</v>
      </c>
      <c r="H1999" s="52">
        <v>417</v>
      </c>
      <c r="I1999" s="52" t="s">
        <v>94</v>
      </c>
      <c r="J1999" s="157">
        <f t="shared" si="465"/>
        <v>0.46</v>
      </c>
      <c r="K1999" s="101">
        <f t="shared" si="458"/>
        <v>34.746772591857003</v>
      </c>
      <c r="L1999" s="101">
        <f t="shared" si="459"/>
        <v>0.94567567567567568</v>
      </c>
      <c r="M1999" s="133">
        <f t="shared" si="460"/>
        <v>191.82000000000002</v>
      </c>
      <c r="N1999" s="133">
        <f t="shared" si="461"/>
        <v>3690.82</v>
      </c>
      <c r="O1999" s="134">
        <f t="shared" si="462"/>
        <v>36.651638530287983</v>
      </c>
      <c r="P1999" s="134">
        <f t="shared" si="463"/>
        <v>0.99751891891891897</v>
      </c>
      <c r="R1999" s="149">
        <f t="shared" si="464"/>
        <v>3.1197264162541094</v>
      </c>
    </row>
    <row r="2000" spans="1:18" ht="15" x14ac:dyDescent="0.25">
      <c r="A2000" s="82" t="s">
        <v>22</v>
      </c>
      <c r="B2000" s="82" t="s">
        <v>13</v>
      </c>
      <c r="C2000" s="82" t="s">
        <v>7</v>
      </c>
      <c r="D2000" s="82" t="s">
        <v>90</v>
      </c>
      <c r="E2000" s="87">
        <f t="shared" si="466"/>
        <v>41913</v>
      </c>
      <c r="F2000" s="83"/>
      <c r="G2000" s="92">
        <v>3974</v>
      </c>
      <c r="H2000" s="52">
        <v>1006</v>
      </c>
      <c r="I2000" s="52" t="s">
        <v>92</v>
      </c>
      <c r="J2000" s="157">
        <f t="shared" si="465"/>
        <v>0.35</v>
      </c>
      <c r="K2000" s="101">
        <f t="shared" si="458"/>
        <v>39.46375372393247</v>
      </c>
      <c r="L2000" s="101">
        <f t="shared" si="459"/>
        <v>1.074054054054054</v>
      </c>
      <c r="M2000" s="133">
        <f t="shared" si="460"/>
        <v>352.09999999999997</v>
      </c>
      <c r="N2000" s="133">
        <f t="shared" si="461"/>
        <v>4326.1000000000004</v>
      </c>
      <c r="O2000" s="134">
        <f t="shared" si="462"/>
        <v>42.960278053624627</v>
      </c>
      <c r="P2000" s="134">
        <f t="shared" si="463"/>
        <v>1.1692162162162163</v>
      </c>
      <c r="R2000" s="149">
        <f t="shared" si="464"/>
        <v>4.9968205581255365</v>
      </c>
    </row>
    <row r="2001" spans="1:18" ht="15" x14ac:dyDescent="0.25">
      <c r="A2001" s="82" t="s">
        <v>1</v>
      </c>
      <c r="B2001" s="82" t="s">
        <v>25</v>
      </c>
      <c r="C2001" s="82" t="s">
        <v>26</v>
      </c>
      <c r="D2001" s="82" t="s">
        <v>91</v>
      </c>
      <c r="E2001" s="87">
        <f t="shared" si="466"/>
        <v>41913</v>
      </c>
      <c r="F2001" s="83"/>
      <c r="G2001" s="92">
        <v>3678</v>
      </c>
      <c r="H2001" s="52">
        <v>880</v>
      </c>
      <c r="I2001" s="52" t="s">
        <v>93</v>
      </c>
      <c r="J2001" s="157">
        <f t="shared" si="465"/>
        <v>0.34</v>
      </c>
      <c r="K2001" s="101">
        <f t="shared" si="458"/>
        <v>36.524329692154915</v>
      </c>
      <c r="L2001" s="101">
        <f t="shared" si="459"/>
        <v>0.994054054054054</v>
      </c>
      <c r="M2001" s="133">
        <f t="shared" si="460"/>
        <v>299.20000000000005</v>
      </c>
      <c r="N2001" s="133">
        <f t="shared" si="461"/>
        <v>3977.2</v>
      </c>
      <c r="O2001" s="134">
        <f t="shared" si="462"/>
        <v>39.495531281032768</v>
      </c>
      <c r="P2001" s="134">
        <f t="shared" si="463"/>
        <v>1.0749189189189188</v>
      </c>
      <c r="R2001" s="149">
        <f t="shared" si="464"/>
        <v>-0.44057274456794637</v>
      </c>
    </row>
    <row r="2002" spans="1:18" ht="15" x14ac:dyDescent="0.25">
      <c r="A2002" s="82" t="s">
        <v>1</v>
      </c>
      <c r="B2002" s="82" t="s">
        <v>2</v>
      </c>
      <c r="C2002" s="82" t="s">
        <v>9</v>
      </c>
      <c r="D2002" s="82" t="s">
        <v>91</v>
      </c>
      <c r="E2002" s="87">
        <f t="shared" si="466"/>
        <v>41913</v>
      </c>
      <c r="F2002" s="83"/>
      <c r="G2002" s="92">
        <v>3471</v>
      </c>
      <c r="H2002" s="52">
        <v>685</v>
      </c>
      <c r="I2002" s="52" t="s">
        <v>93</v>
      </c>
      <c r="J2002" s="157">
        <f t="shared" si="465"/>
        <v>0.34</v>
      </c>
      <c r="K2002" s="101">
        <f t="shared" si="458"/>
        <v>34.468718967229393</v>
      </c>
      <c r="L2002" s="101">
        <f t="shared" si="459"/>
        <v>0.93810810810810807</v>
      </c>
      <c r="M2002" s="133">
        <f t="shared" si="460"/>
        <v>232.9</v>
      </c>
      <c r="N2002" s="133">
        <f t="shared" si="461"/>
        <v>3703.9</v>
      </c>
      <c r="O2002" s="134">
        <f t="shared" si="462"/>
        <v>36.781529294935453</v>
      </c>
      <c r="P2002" s="134">
        <f t="shared" si="463"/>
        <v>1.001054054054054</v>
      </c>
      <c r="R2002" s="149">
        <f t="shared" si="464"/>
        <v>-8.4235771151658927</v>
      </c>
    </row>
    <row r="2003" spans="1:18" ht="15" x14ac:dyDescent="0.25">
      <c r="A2003" s="82" t="s">
        <v>1</v>
      </c>
      <c r="B2003" s="82" t="s">
        <v>27</v>
      </c>
      <c r="C2003" s="82" t="s">
        <v>28</v>
      </c>
      <c r="D2003" s="82" t="s">
        <v>91</v>
      </c>
      <c r="E2003" s="87">
        <f t="shared" si="466"/>
        <v>41913</v>
      </c>
      <c r="F2003" s="83"/>
      <c r="G2003" s="92">
        <v>4140</v>
      </c>
      <c r="H2003" s="52">
        <v>812</v>
      </c>
      <c r="I2003" s="52" t="s">
        <v>94</v>
      </c>
      <c r="J2003" s="157">
        <f t="shared" si="465"/>
        <v>0.46</v>
      </c>
      <c r="K2003" s="101">
        <f t="shared" si="458"/>
        <v>41.112214498510426</v>
      </c>
      <c r="L2003" s="101">
        <f t="shared" si="459"/>
        <v>1.1189189189189188</v>
      </c>
      <c r="M2003" s="133">
        <f t="shared" si="460"/>
        <v>373.52000000000004</v>
      </c>
      <c r="N2003" s="133">
        <f t="shared" si="461"/>
        <v>4513.5200000000004</v>
      </c>
      <c r="O2003" s="134">
        <f t="shared" si="462"/>
        <v>44.821449851042701</v>
      </c>
      <c r="P2003" s="134">
        <f t="shared" si="463"/>
        <v>1.2198702702702704</v>
      </c>
      <c r="R2003" s="149">
        <f t="shared" si="464"/>
        <v>4.003908050214755</v>
      </c>
    </row>
    <row r="2004" spans="1:18" ht="15" x14ac:dyDescent="0.25">
      <c r="A2004" s="82" t="s">
        <v>1</v>
      </c>
      <c r="B2004" s="82" t="s">
        <v>4</v>
      </c>
      <c r="C2004" s="82" t="s">
        <v>26</v>
      </c>
      <c r="D2004" s="82" t="s">
        <v>91</v>
      </c>
      <c r="E2004" s="87">
        <f t="shared" si="466"/>
        <v>41913</v>
      </c>
      <c r="F2004" s="83"/>
      <c r="G2004" s="92">
        <v>5159</v>
      </c>
      <c r="H2004" s="52">
        <v>1520</v>
      </c>
      <c r="I2004" s="52" t="s">
        <v>93</v>
      </c>
      <c r="J2004" s="157">
        <f t="shared" si="465"/>
        <v>0.34</v>
      </c>
      <c r="K2004" s="101">
        <f t="shared" si="458"/>
        <v>51.231380337636544</v>
      </c>
      <c r="L2004" s="101">
        <f t="shared" si="459"/>
        <v>1.3943243243243244</v>
      </c>
      <c r="M2004" s="133">
        <f t="shared" si="460"/>
        <v>516.80000000000007</v>
      </c>
      <c r="N2004" s="133">
        <f t="shared" si="461"/>
        <v>5675.8</v>
      </c>
      <c r="O2004" s="134">
        <f t="shared" si="462"/>
        <v>56.36345580933466</v>
      </c>
      <c r="P2004" s="134">
        <f t="shared" si="463"/>
        <v>1.534</v>
      </c>
      <c r="R2004" s="149">
        <f t="shared" si="464"/>
        <v>-0.53275384669306813</v>
      </c>
    </row>
    <row r="2005" spans="1:18" ht="15" x14ac:dyDescent="0.25">
      <c r="A2005" s="82" t="s">
        <v>1</v>
      </c>
      <c r="B2005" s="82" t="s">
        <v>4</v>
      </c>
      <c r="C2005" s="82" t="s">
        <v>9</v>
      </c>
      <c r="D2005" s="82" t="s">
        <v>91</v>
      </c>
      <c r="E2005" s="87">
        <f t="shared" si="466"/>
        <v>41913</v>
      </c>
      <c r="F2005" s="83"/>
      <c r="G2005" s="92">
        <v>6084</v>
      </c>
      <c r="H2005" s="52">
        <v>1583</v>
      </c>
      <c r="I2005" s="52" t="s">
        <v>93</v>
      </c>
      <c r="J2005" s="157">
        <f t="shared" si="465"/>
        <v>0.34</v>
      </c>
      <c r="K2005" s="101">
        <f t="shared" si="458"/>
        <v>60.417080436941411</v>
      </c>
      <c r="L2005" s="101">
        <f t="shared" si="459"/>
        <v>1.6443243243243244</v>
      </c>
      <c r="M2005" s="133">
        <f t="shared" si="460"/>
        <v>538.22</v>
      </c>
      <c r="N2005" s="133">
        <f t="shared" si="461"/>
        <v>6622.22</v>
      </c>
      <c r="O2005" s="134">
        <f t="shared" si="462"/>
        <v>65.761866931479645</v>
      </c>
      <c r="P2005" s="134">
        <f t="shared" si="463"/>
        <v>1.7897891891891893</v>
      </c>
      <c r="R2005" s="149">
        <f t="shared" si="464"/>
        <v>-0.47581260858325924</v>
      </c>
    </row>
    <row r="2006" spans="1:18" ht="15" x14ac:dyDescent="0.25">
      <c r="A2006" s="82" t="s">
        <v>1</v>
      </c>
      <c r="B2006" s="82" t="s">
        <v>10</v>
      </c>
      <c r="C2006" s="82" t="s">
        <v>26</v>
      </c>
      <c r="D2006" s="82" t="s">
        <v>91</v>
      </c>
      <c r="E2006" s="87">
        <f t="shared" si="466"/>
        <v>41913</v>
      </c>
      <c r="F2006" s="83"/>
      <c r="G2006" s="92">
        <v>5260</v>
      </c>
      <c r="H2006" s="52">
        <v>1599</v>
      </c>
      <c r="I2006" s="52" t="s">
        <v>92</v>
      </c>
      <c r="J2006" s="157">
        <f t="shared" si="465"/>
        <v>0.35</v>
      </c>
      <c r="K2006" s="101">
        <f t="shared" si="458"/>
        <v>52.234359483614696</v>
      </c>
      <c r="L2006" s="101">
        <f t="shared" si="459"/>
        <v>1.4216216216216215</v>
      </c>
      <c r="M2006" s="133">
        <f t="shared" si="460"/>
        <v>559.65</v>
      </c>
      <c r="N2006" s="133">
        <f t="shared" si="461"/>
        <v>5819.65</v>
      </c>
      <c r="O2006" s="134">
        <f t="shared" si="462"/>
        <v>57.791956305858982</v>
      </c>
      <c r="P2006" s="134">
        <f t="shared" si="463"/>
        <v>1.5728783783783782</v>
      </c>
      <c r="R2006" s="149">
        <f t="shared" si="464"/>
        <v>3.2836228820703361</v>
      </c>
    </row>
    <row r="2007" spans="1:18" ht="15" x14ac:dyDescent="0.25">
      <c r="A2007" s="82" t="s">
        <v>134</v>
      </c>
      <c r="B2007" s="82" t="s">
        <v>23</v>
      </c>
      <c r="C2007" s="82" t="s">
        <v>26</v>
      </c>
      <c r="D2007" s="82" t="s">
        <v>91</v>
      </c>
      <c r="E2007" s="87">
        <f t="shared" si="466"/>
        <v>41913</v>
      </c>
      <c r="F2007" s="83"/>
      <c r="G2007" s="92">
        <v>5000</v>
      </c>
      <c r="H2007" s="52">
        <v>1851</v>
      </c>
      <c r="I2007" s="52" t="s">
        <v>93</v>
      </c>
      <c r="J2007" s="157">
        <f t="shared" si="465"/>
        <v>0.34</v>
      </c>
      <c r="K2007" s="101">
        <f t="shared" si="458"/>
        <v>49.652432969215489</v>
      </c>
      <c r="L2007" s="101">
        <f t="shared" si="459"/>
        <v>1.2612612612612613</v>
      </c>
      <c r="M2007" s="133">
        <f t="shared" si="460"/>
        <v>629.34</v>
      </c>
      <c r="N2007" s="133">
        <f t="shared" si="461"/>
        <v>5629.34</v>
      </c>
      <c r="O2007" s="134">
        <f t="shared" si="462"/>
        <v>55.90208540218471</v>
      </c>
      <c r="P2007" s="134">
        <f t="shared" si="463"/>
        <v>1.4200136936936938</v>
      </c>
      <c r="R2007" s="149">
        <f t="shared" si="464"/>
        <v>-0.65332947430095656</v>
      </c>
    </row>
    <row r="2008" spans="1:18" ht="15" x14ac:dyDescent="0.25">
      <c r="A2008" s="82" t="s">
        <v>134</v>
      </c>
      <c r="B2008" s="82" t="s">
        <v>8</v>
      </c>
      <c r="C2008" s="82" t="s">
        <v>29</v>
      </c>
      <c r="D2008" s="82" t="s">
        <v>91</v>
      </c>
      <c r="E2008" s="87">
        <f t="shared" si="466"/>
        <v>41913</v>
      </c>
      <c r="F2008" s="83"/>
      <c r="G2008" s="92">
        <v>4960</v>
      </c>
      <c r="H2008" s="52">
        <v>1695</v>
      </c>
      <c r="I2008" s="52" t="s">
        <v>93</v>
      </c>
      <c r="J2008" s="157">
        <f t="shared" si="465"/>
        <v>0.34</v>
      </c>
      <c r="K2008" s="101">
        <f t="shared" si="458"/>
        <v>49.255213505461768</v>
      </c>
      <c r="L2008" s="101">
        <f t="shared" si="459"/>
        <v>1.2511711711711713</v>
      </c>
      <c r="M2008" s="133">
        <f t="shared" si="460"/>
        <v>576.30000000000007</v>
      </c>
      <c r="N2008" s="133">
        <f t="shared" si="461"/>
        <v>5536.3</v>
      </c>
      <c r="O2008" s="134">
        <f t="shared" si="462"/>
        <v>54.978152929493547</v>
      </c>
      <c r="P2008" s="134">
        <f t="shared" si="463"/>
        <v>1.3965441441441442</v>
      </c>
      <c r="R2008" s="149">
        <f t="shared" si="464"/>
        <v>-0.60859574162507313</v>
      </c>
    </row>
    <row r="2009" spans="1:18" ht="15" x14ac:dyDescent="0.25">
      <c r="A2009" s="82" t="s">
        <v>134</v>
      </c>
      <c r="B2009" s="82" t="s">
        <v>13</v>
      </c>
      <c r="C2009" s="82" t="s">
        <v>7</v>
      </c>
      <c r="D2009" s="82" t="s">
        <v>91</v>
      </c>
      <c r="E2009" s="87">
        <f t="shared" si="466"/>
        <v>41913</v>
      </c>
      <c r="F2009" s="83"/>
      <c r="G2009" s="92">
        <v>3147</v>
      </c>
      <c r="H2009" s="52">
        <v>1006</v>
      </c>
      <c r="I2009" s="52" t="s">
        <v>92</v>
      </c>
      <c r="J2009" s="157">
        <f t="shared" si="465"/>
        <v>0.35</v>
      </c>
      <c r="K2009" s="101">
        <f t="shared" si="458"/>
        <v>31.251241310824231</v>
      </c>
      <c r="L2009" s="101">
        <f t="shared" si="459"/>
        <v>0.7938378378378379</v>
      </c>
      <c r="M2009" s="133">
        <f t="shared" si="460"/>
        <v>352.09999999999997</v>
      </c>
      <c r="N2009" s="133">
        <f t="shared" si="461"/>
        <v>3499.1</v>
      </c>
      <c r="O2009" s="134">
        <f t="shared" si="462"/>
        <v>34.747765640516384</v>
      </c>
      <c r="P2009" s="134">
        <f t="shared" si="463"/>
        <v>0.88265585585585582</v>
      </c>
      <c r="R2009" s="149">
        <f t="shared" si="464"/>
        <v>3.4251393642742656</v>
      </c>
    </row>
    <row r="2010" spans="1:18" ht="15" x14ac:dyDescent="0.25">
      <c r="A2010" s="82" t="s">
        <v>134</v>
      </c>
      <c r="B2010" s="82" t="s">
        <v>30</v>
      </c>
      <c r="C2010" s="82" t="s">
        <v>9</v>
      </c>
      <c r="D2010" s="82" t="s">
        <v>91</v>
      </c>
      <c r="E2010" s="87">
        <f t="shared" si="466"/>
        <v>41913</v>
      </c>
      <c r="F2010" s="83"/>
      <c r="G2010" s="92">
        <v>3510</v>
      </c>
      <c r="H2010" s="52">
        <v>988</v>
      </c>
      <c r="I2010" s="52" t="s">
        <v>93</v>
      </c>
      <c r="J2010" s="157">
        <f t="shared" si="465"/>
        <v>0.34</v>
      </c>
      <c r="K2010" s="101">
        <f t="shared" si="458"/>
        <v>34.856007944389276</v>
      </c>
      <c r="L2010" s="101">
        <f t="shared" si="459"/>
        <v>0.88540540540540547</v>
      </c>
      <c r="M2010" s="133">
        <f t="shared" si="460"/>
        <v>335.92</v>
      </c>
      <c r="N2010" s="133">
        <f t="shared" si="461"/>
        <v>3845.92</v>
      </c>
      <c r="O2010" s="134">
        <f t="shared" si="462"/>
        <v>38.191857000993046</v>
      </c>
      <c r="P2010" s="134">
        <f t="shared" si="463"/>
        <v>0.97014198198198198</v>
      </c>
      <c r="R2010" s="149">
        <f t="shared" si="464"/>
        <v>-0.51116491794457319</v>
      </c>
    </row>
    <row r="2011" spans="1:18" ht="15" x14ac:dyDescent="0.25">
      <c r="A2011" s="82" t="s">
        <v>134</v>
      </c>
      <c r="B2011" s="82" t="s">
        <v>16</v>
      </c>
      <c r="C2011" s="82" t="s">
        <v>11</v>
      </c>
      <c r="D2011" s="82" t="s">
        <v>91</v>
      </c>
      <c r="E2011" s="87">
        <f t="shared" si="466"/>
        <v>41913</v>
      </c>
      <c r="F2011" s="83"/>
      <c r="G2011" s="92">
        <v>3690</v>
      </c>
      <c r="H2011" s="52">
        <v>787</v>
      </c>
      <c r="I2011" s="52" t="s">
        <v>92</v>
      </c>
      <c r="J2011" s="157">
        <f t="shared" si="465"/>
        <v>0.35</v>
      </c>
      <c r="K2011" s="101">
        <f t="shared" si="458"/>
        <v>36.643495531281033</v>
      </c>
      <c r="L2011" s="101">
        <f t="shared" si="459"/>
        <v>0.93081081081081085</v>
      </c>
      <c r="M2011" s="133">
        <f t="shared" si="460"/>
        <v>275.45</v>
      </c>
      <c r="N2011" s="133">
        <f t="shared" si="461"/>
        <v>3965.45</v>
      </c>
      <c r="O2011" s="134">
        <f t="shared" si="462"/>
        <v>39.378848063555111</v>
      </c>
      <c r="P2011" s="134">
        <f t="shared" si="463"/>
        <v>1.0002936936936937</v>
      </c>
      <c r="R2011" s="149">
        <f t="shared" si="464"/>
        <v>2.1709836416150763</v>
      </c>
    </row>
    <row r="2012" spans="1:18" ht="15" x14ac:dyDescent="0.25">
      <c r="A2012" s="82" t="s">
        <v>134</v>
      </c>
      <c r="B2012" s="82" t="s">
        <v>23</v>
      </c>
      <c r="C2012" s="82" t="s">
        <v>29</v>
      </c>
      <c r="D2012" s="82" t="s">
        <v>91</v>
      </c>
      <c r="E2012" s="87">
        <f t="shared" si="466"/>
        <v>41913</v>
      </c>
      <c r="F2012" s="83"/>
      <c r="G2012" s="92">
        <v>5000</v>
      </c>
      <c r="H2012" s="52">
        <v>1836</v>
      </c>
      <c r="I2012" s="52" t="s">
        <v>93</v>
      </c>
      <c r="J2012" s="157">
        <f t="shared" si="465"/>
        <v>0.34</v>
      </c>
      <c r="K2012" s="101">
        <f t="shared" si="458"/>
        <v>49.652432969215489</v>
      </c>
      <c r="L2012" s="101">
        <f t="shared" si="459"/>
        <v>1.2612612612612613</v>
      </c>
      <c r="M2012" s="133">
        <f t="shared" si="460"/>
        <v>624.24</v>
      </c>
      <c r="N2012" s="133">
        <f t="shared" si="461"/>
        <v>5624.24</v>
      </c>
      <c r="O2012" s="134">
        <f t="shared" si="462"/>
        <v>55.851439920556103</v>
      </c>
      <c r="P2012" s="134">
        <f t="shared" si="463"/>
        <v>1.4187272072072072</v>
      </c>
      <c r="R2012" s="149">
        <f t="shared" si="464"/>
        <v>-0.64865323196066083</v>
      </c>
    </row>
    <row r="2013" spans="1:18" ht="15" x14ac:dyDescent="0.25">
      <c r="A2013" s="82" t="s">
        <v>134</v>
      </c>
      <c r="B2013" s="82" t="s">
        <v>31</v>
      </c>
      <c r="C2013" s="82" t="s">
        <v>32</v>
      </c>
      <c r="D2013" s="82" t="s">
        <v>91</v>
      </c>
      <c r="E2013" s="87">
        <f t="shared" si="466"/>
        <v>41913</v>
      </c>
      <c r="F2013" s="83"/>
      <c r="G2013" s="92">
        <v>4400</v>
      </c>
      <c r="H2013" s="52">
        <v>1899</v>
      </c>
      <c r="I2013" s="52" t="s">
        <v>93</v>
      </c>
      <c r="J2013" s="157">
        <f t="shared" si="465"/>
        <v>0.34</v>
      </c>
      <c r="K2013" s="101">
        <f t="shared" si="458"/>
        <v>43.694141012909633</v>
      </c>
      <c r="L2013" s="101">
        <f t="shared" si="459"/>
        <v>1.1099099099099099</v>
      </c>
      <c r="M2013" s="133">
        <f t="shared" si="460"/>
        <v>645.66000000000008</v>
      </c>
      <c r="N2013" s="133">
        <f t="shared" si="461"/>
        <v>5045.66</v>
      </c>
      <c r="O2013" s="134">
        <f t="shared" si="462"/>
        <v>50.105858987090365</v>
      </c>
      <c r="P2013" s="134">
        <f t="shared" si="463"/>
        <v>1.272779099099099</v>
      </c>
      <c r="R2013" s="149">
        <f t="shared" si="464"/>
        <v>-0.74710246988379803</v>
      </c>
    </row>
    <row r="2014" spans="1:18" ht="15" x14ac:dyDescent="0.25">
      <c r="A2014" s="82" t="s">
        <v>22</v>
      </c>
      <c r="B2014" s="82" t="s">
        <v>8</v>
      </c>
      <c r="C2014" s="82" t="s">
        <v>29</v>
      </c>
      <c r="D2014" s="82" t="s">
        <v>91</v>
      </c>
      <c r="E2014" s="87">
        <f t="shared" si="466"/>
        <v>41913</v>
      </c>
      <c r="F2014" s="83"/>
      <c r="G2014" s="92">
        <v>5520</v>
      </c>
      <c r="H2014" s="52">
        <v>1695</v>
      </c>
      <c r="I2014" s="52" t="s">
        <v>93</v>
      </c>
      <c r="J2014" s="157">
        <f t="shared" si="465"/>
        <v>0.34</v>
      </c>
      <c r="K2014" s="101">
        <f t="shared" si="458"/>
        <v>54.816285998013903</v>
      </c>
      <c r="L2014" s="101">
        <f t="shared" si="459"/>
        <v>1.491891891891892</v>
      </c>
      <c r="M2014" s="133">
        <f t="shared" si="460"/>
        <v>576.30000000000007</v>
      </c>
      <c r="N2014" s="133">
        <f t="shared" si="461"/>
        <v>6096.3</v>
      </c>
      <c r="O2014" s="134">
        <f t="shared" si="462"/>
        <v>60.539225422045682</v>
      </c>
      <c r="P2014" s="134">
        <f t="shared" si="463"/>
        <v>1.6476486486486488</v>
      </c>
      <c r="R2014" s="149">
        <f t="shared" si="464"/>
        <v>-0.55299990212390737</v>
      </c>
    </row>
    <row r="2015" spans="1:18" ht="15" x14ac:dyDescent="0.25">
      <c r="A2015" s="82" t="s">
        <v>22</v>
      </c>
      <c r="B2015" s="82" t="s">
        <v>23</v>
      </c>
      <c r="C2015" s="82" t="s">
        <v>26</v>
      </c>
      <c r="D2015" s="82" t="s">
        <v>91</v>
      </c>
      <c r="E2015" s="87">
        <f t="shared" si="466"/>
        <v>41913</v>
      </c>
      <c r="F2015" s="83"/>
      <c r="G2015" s="92">
        <v>5530</v>
      </c>
      <c r="H2015" s="52">
        <v>1851</v>
      </c>
      <c r="I2015" s="52" t="s">
        <v>93</v>
      </c>
      <c r="J2015" s="157">
        <f t="shared" si="465"/>
        <v>0.34</v>
      </c>
      <c r="K2015" s="101">
        <f t="shared" si="458"/>
        <v>54.915590863952332</v>
      </c>
      <c r="L2015" s="101">
        <f t="shared" si="459"/>
        <v>1.4945945945945946</v>
      </c>
      <c r="M2015" s="133">
        <f t="shared" si="460"/>
        <v>629.34</v>
      </c>
      <c r="N2015" s="133">
        <f t="shared" si="461"/>
        <v>6159.34</v>
      </c>
      <c r="O2015" s="134">
        <f t="shared" si="462"/>
        <v>61.165243296921545</v>
      </c>
      <c r="P2015" s="134">
        <f t="shared" si="463"/>
        <v>1.6646864864864865</v>
      </c>
      <c r="R2015" s="149">
        <f t="shared" si="464"/>
        <v>-0.59744753371333559</v>
      </c>
    </row>
    <row r="2016" spans="1:18" ht="15" x14ac:dyDescent="0.25">
      <c r="A2016" s="82" t="s">
        <v>22</v>
      </c>
      <c r="B2016" s="82" t="s">
        <v>33</v>
      </c>
      <c r="C2016" s="82" t="s">
        <v>29</v>
      </c>
      <c r="D2016" s="82" t="s">
        <v>91</v>
      </c>
      <c r="E2016" s="87">
        <f t="shared" si="466"/>
        <v>41913</v>
      </c>
      <c r="F2016" s="83"/>
      <c r="G2016" s="92">
        <v>5430</v>
      </c>
      <c r="H2016" s="52">
        <v>1507</v>
      </c>
      <c r="I2016" s="52" t="s">
        <v>93</v>
      </c>
      <c r="J2016" s="157">
        <f t="shared" si="465"/>
        <v>0.34</v>
      </c>
      <c r="K2016" s="101">
        <f t="shared" si="458"/>
        <v>53.922542204568025</v>
      </c>
      <c r="L2016" s="101">
        <f t="shared" si="459"/>
        <v>1.4675675675675677</v>
      </c>
      <c r="M2016" s="133">
        <f t="shared" si="460"/>
        <v>512.38</v>
      </c>
      <c r="N2016" s="133">
        <f t="shared" si="461"/>
        <v>5942.38</v>
      </c>
      <c r="O2016" s="134">
        <f t="shared" si="462"/>
        <v>59.010724925521352</v>
      </c>
      <c r="P2016" s="134">
        <f t="shared" si="463"/>
        <v>1.6060486486486487</v>
      </c>
      <c r="R2016" s="149">
        <f t="shared" si="464"/>
        <v>-0.50464460562711366</v>
      </c>
    </row>
    <row r="2017" spans="1:18" ht="15" x14ac:dyDescent="0.25">
      <c r="A2017" s="82" t="s">
        <v>22</v>
      </c>
      <c r="B2017" s="82" t="s">
        <v>31</v>
      </c>
      <c r="C2017" s="82" t="s">
        <v>7</v>
      </c>
      <c r="D2017" s="82" t="s">
        <v>91</v>
      </c>
      <c r="E2017" s="87">
        <f t="shared" si="466"/>
        <v>41913</v>
      </c>
      <c r="F2017" s="83"/>
      <c r="G2017" s="92">
        <v>4425</v>
      </c>
      <c r="H2017" s="52">
        <v>1160</v>
      </c>
      <c r="I2017" s="52" t="s">
        <v>92</v>
      </c>
      <c r="J2017" s="157">
        <f t="shared" si="465"/>
        <v>0.35</v>
      </c>
      <c r="K2017" s="101">
        <f t="shared" si="458"/>
        <v>43.942403177755708</v>
      </c>
      <c r="L2017" s="101">
        <f t="shared" si="459"/>
        <v>1.1959459459459461</v>
      </c>
      <c r="M2017" s="133">
        <f t="shared" si="460"/>
        <v>406</v>
      </c>
      <c r="N2017" s="133">
        <f t="shared" si="461"/>
        <v>4831</v>
      </c>
      <c r="O2017" s="134">
        <f t="shared" si="462"/>
        <v>47.974180734856006</v>
      </c>
      <c r="P2017" s="134">
        <f t="shared" si="463"/>
        <v>1.3056756756756758</v>
      </c>
      <c r="R2017" s="149">
        <f t="shared" si="464"/>
        <v>4.9259371877850677</v>
      </c>
    </row>
    <row r="2018" spans="1:18" ht="15" x14ac:dyDescent="0.25">
      <c r="A2018" s="82" t="s">
        <v>22</v>
      </c>
      <c r="B2018" s="82" t="s">
        <v>14</v>
      </c>
      <c r="C2018" s="82" t="s">
        <v>24</v>
      </c>
      <c r="D2018" s="82" t="s">
        <v>91</v>
      </c>
      <c r="E2018" s="87">
        <f t="shared" si="466"/>
        <v>41913</v>
      </c>
      <c r="F2018" s="83"/>
      <c r="G2018" s="92">
        <v>2982</v>
      </c>
      <c r="H2018" s="52">
        <v>615</v>
      </c>
      <c r="I2018" s="52" t="s">
        <v>94</v>
      </c>
      <c r="J2018" s="157">
        <f t="shared" si="465"/>
        <v>0.46</v>
      </c>
      <c r="K2018" s="101">
        <f t="shared" si="458"/>
        <v>29.61271102284012</v>
      </c>
      <c r="L2018" s="101">
        <f t="shared" si="459"/>
        <v>0.80594594594594593</v>
      </c>
      <c r="M2018" s="133">
        <f t="shared" si="460"/>
        <v>282.90000000000003</v>
      </c>
      <c r="N2018" s="133">
        <f t="shared" si="461"/>
        <v>3264.9</v>
      </c>
      <c r="O2018" s="134">
        <f t="shared" si="462"/>
        <v>32.422045680238334</v>
      </c>
      <c r="P2018" s="134">
        <f t="shared" si="463"/>
        <v>0.88240540540540546</v>
      </c>
      <c r="R2018" s="149">
        <f t="shared" si="464"/>
        <v>3.4112504751045325</v>
      </c>
    </row>
    <row r="2019" spans="1:18" ht="15" x14ac:dyDescent="0.25">
      <c r="A2019" s="118" t="s">
        <v>22</v>
      </c>
      <c r="B2019" s="118" t="s">
        <v>34</v>
      </c>
      <c r="C2019" s="118" t="s">
        <v>26</v>
      </c>
      <c r="D2019" s="118" t="s">
        <v>91</v>
      </c>
      <c r="E2019" s="119">
        <f t="shared" si="466"/>
        <v>41913</v>
      </c>
      <c r="F2019" s="120"/>
      <c r="G2019" s="105">
        <v>5360</v>
      </c>
      <c r="H2019" s="158">
        <v>1637</v>
      </c>
      <c r="I2019" s="158" t="s">
        <v>92</v>
      </c>
      <c r="J2019" s="122">
        <f t="shared" si="465"/>
        <v>0.35</v>
      </c>
      <c r="K2019" s="123">
        <f t="shared" si="458"/>
        <v>53.227408142999003</v>
      </c>
      <c r="L2019" s="123">
        <f t="shared" si="459"/>
        <v>1.4486486486486487</v>
      </c>
      <c r="M2019" s="115">
        <f t="shared" si="460"/>
        <v>572.94999999999993</v>
      </c>
      <c r="N2019" s="115">
        <f t="shared" si="461"/>
        <v>5932.95</v>
      </c>
      <c r="O2019" s="116">
        <f t="shared" si="462"/>
        <v>58.917080436941404</v>
      </c>
      <c r="P2019" s="116">
        <f t="shared" si="463"/>
        <v>1.6034999999999999</v>
      </c>
      <c r="Q2019" s="106"/>
      <c r="R2019" s="152">
        <f t="shared" si="464"/>
        <v>3.8011158757735419</v>
      </c>
    </row>
  </sheetData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2.140625" customWidth="1"/>
    <col min="2" max="2" width="18.85546875" bestFit="1" customWidth="1"/>
    <col min="3" max="3" width="20" bestFit="1" customWidth="1"/>
    <col min="4" max="4" width="9.7109375" customWidth="1"/>
    <col min="5" max="5" width="9.28515625" customWidth="1"/>
    <col min="6" max="6" width="10.85546875" bestFit="1" customWidth="1"/>
    <col min="7" max="7" width="10.42578125" bestFit="1" customWidth="1"/>
    <col min="8" max="8" width="9.28515625" customWidth="1"/>
  </cols>
  <sheetData>
    <row r="1" spans="1:9" ht="14.4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45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25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25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25">
      <c r="A5" s="16">
        <f>INDEX(Data!E:E,COUNTIF(Data!E:E,"&gt;0")+2,1)</f>
        <v>41913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ht="14.45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ht="14.45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3387</v>
      </c>
      <c r="E7" s="74">
        <f>INDEX(Data!M:M,COUNTIF(Data!$E:$E,"&gt;0")-32,1)</f>
        <v>177.1</v>
      </c>
      <c r="F7" s="75">
        <f>INDEX(Data!O:O,COUNTIF(Data!$E:$E,"&gt;0")-32,1)</f>
        <v>35.393247269116188</v>
      </c>
      <c r="G7" s="75">
        <f>INDEX(Data!P:P,COUNTIF(Data!$E:$E,"&gt;0")-32,1)</f>
        <v>0.96327027027027023</v>
      </c>
      <c r="H7" s="145">
        <f>INDEX(Data!R:R,COUNTIF(Data!$E:$E,"&gt;0")-32,1)</f>
        <v>5.5023059481028591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101.32000000000001</v>
      </c>
      <c r="F8" s="54">
        <f>INDEX(Data!O:O,COUNTIF(Data!$E:$E,"&gt;0")-31,1)</f>
        <v>36.716186693147968</v>
      </c>
      <c r="G8" s="54">
        <f>INDEX(Data!P:P,COUNTIF(Data!$E:$E,"&gt;0")-31,1)</f>
        <v>0.99927567567567577</v>
      </c>
      <c r="H8" s="146">
        <f>INDEX(Data!R:R,COUNTIF(Data!$E:$E,"&gt;0")-31,1)</f>
        <v>-0.16093841135426112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520.20000000000005</v>
      </c>
      <c r="F9" s="75">
        <f>INDEX(Data!O:O,COUNTIF(Data!$E:$E,"&gt;0")-30,1)</f>
        <v>67.171797418073481</v>
      </c>
      <c r="G9" s="75">
        <f>INDEX(Data!P:P,COUNTIF(Data!$E:$E,"&gt;0")-30,1)</f>
        <v>1.8281621621621622</v>
      </c>
      <c r="H9" s="145">
        <f>INDEX(Data!R:R,COUNTIF(Data!$E:$E,"&gt;0")-30,1)</f>
        <v>-0.45034438099723628</v>
      </c>
      <c r="I9" s="2"/>
    </row>
    <row r="10" spans="1:9" ht="14.45" x14ac:dyDescent="0.3">
      <c r="A10" s="57"/>
      <c r="B10" s="79" t="s">
        <v>246</v>
      </c>
      <c r="C10" s="25" t="s">
        <v>7</v>
      </c>
      <c r="D10" s="23">
        <f>INDEX(Data!G:G,COUNTIF(Data!$E:$E,"&gt;0")-29,1)</f>
        <v>4026</v>
      </c>
      <c r="E10" s="23">
        <f>INDEX(Data!M:M,COUNTIF(Data!$E:$E,"&gt;0")-29,1)</f>
        <v>311.5</v>
      </c>
      <c r="F10" s="54">
        <f>INDEX(Data!O:O,COUNTIF(Data!$E:$E,"&gt;0")-29,1)</f>
        <v>43.073485600794434</v>
      </c>
      <c r="G10" s="54">
        <f>INDEX(Data!P:P,COUNTIF(Data!$E:$E,"&gt;0")-29,1)</f>
        <v>1.1722972972972974</v>
      </c>
      <c r="H10" s="146">
        <f>INDEX(Data!R:R,COUNTIF(Data!$E:$E,"&gt;0")-29,1)</f>
        <v>4.8389045996181101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427.04</v>
      </c>
      <c r="F11" s="75">
        <f>INDEX(Data!O:O,COUNTIF(Data!$E:$E,"&gt;0")-28,1)</f>
        <v>62.075868917576962</v>
      </c>
      <c r="G11" s="75">
        <f>INDEX(Data!P:P,COUNTIF(Data!$E:$E,"&gt;0")-28,1)</f>
        <v>1.6894702702702702</v>
      </c>
      <c r="H11" s="145">
        <f>INDEX(Data!R:R,COUNTIF(Data!$E:$E,"&gt;0")-28,1)</f>
        <v>-0.40024473563452512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4293</v>
      </c>
      <c r="E12" s="23">
        <f>INDEX(Data!M:M,COUNTIF(Data!$E:$E,"&gt;0")-27,1)</f>
        <v>341.25</v>
      </c>
      <c r="F12" s="54">
        <f>INDEX(Data!O:O,COUNTIF(Data!$E:$E,"&gt;0")-27,1)</f>
        <v>46.020357497517374</v>
      </c>
      <c r="G12" s="54">
        <f>INDEX(Data!P:P,COUNTIF(Data!$E:$E,"&gt;0")-27,1)</f>
        <v>1.2524999999999999</v>
      </c>
      <c r="H12" s="146">
        <f>INDEX(Data!R:R,COUNTIF(Data!$E:$E,"&gt;0")-27,1)</f>
        <v>4.4514565842114218</v>
      </c>
      <c r="I12" s="2"/>
    </row>
    <row r="13" spans="1:9" ht="14.45" x14ac:dyDescent="0.3">
      <c r="A13" s="55"/>
      <c r="B13" s="73" t="s">
        <v>11</v>
      </c>
      <c r="C13" s="73" t="s">
        <v>6</v>
      </c>
      <c r="D13" s="74">
        <f>INDEX(Data!G:G,COUNTIF(Data!$E:$E,"&gt;0")-26,1)</f>
        <v>4492</v>
      </c>
      <c r="E13" s="74">
        <f>INDEX(Data!M:M,COUNTIF(Data!$E:$E,"&gt;0")-26,1)</f>
        <v>474.95</v>
      </c>
      <c r="F13" s="75">
        <f>INDEX(Data!O:O,COUNTIF(Data!$E:$E,"&gt;0")-26,1)</f>
        <v>49.324230387288971</v>
      </c>
      <c r="G13" s="75">
        <f>INDEX(Data!P:P,COUNTIF(Data!$E:$E,"&gt;0")-26,1)</f>
        <v>1.3424189189189188</v>
      </c>
      <c r="H13" s="145">
        <f>INDEX(Data!R:R,COUNTIF(Data!$E:$E,"&gt;0")-26,1)</f>
        <v>3.9743860802287534</v>
      </c>
      <c r="I13" s="2"/>
    </row>
    <row r="14" spans="1:9" ht="14.45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3328</v>
      </c>
      <c r="E14" s="23">
        <f>INDEX(Data!M:M,COUNTIF(Data!$E:$E,"&gt;0")-25,1)</f>
        <v>352.09999999999997</v>
      </c>
      <c r="F14" s="54">
        <f>INDEX(Data!O:O,COUNTIF(Data!$E:$E,"&gt;0")-25,1)</f>
        <v>36.545183714001986</v>
      </c>
      <c r="G14" s="54">
        <f>INDEX(Data!P:P,COUNTIF(Data!$E:$E,"&gt;0")-25,1)</f>
        <v>0.92831351351351354</v>
      </c>
      <c r="H14" s="146">
        <f>INDEX(Data!R:R,COUNTIF(Data!$E:$E,"&gt;0")-25,1)</f>
        <v>3.2512022265741125</v>
      </c>
      <c r="I14" s="2"/>
    </row>
    <row r="15" spans="1:9" ht="14.45" x14ac:dyDescent="0.3">
      <c r="A15" s="55"/>
      <c r="B15" s="73" t="s">
        <v>14</v>
      </c>
      <c r="C15" s="73" t="s">
        <v>15</v>
      </c>
      <c r="D15" s="74">
        <f>INDEX(Data!G:G,COUNTIF(Data!$E:$E,"&gt;0")-24,1)</f>
        <v>4875</v>
      </c>
      <c r="E15" s="74">
        <f>INDEX(Data!M:M,COUNTIF(Data!$E:$E,"&gt;0")-24,1)</f>
        <v>398.36</v>
      </c>
      <c r="F15" s="75">
        <f>INDEX(Data!O:O,COUNTIF(Data!$E:$E,"&gt;0")-24,1)</f>
        <v>52.367030784508437</v>
      </c>
      <c r="G15" s="75">
        <f>INDEX(Data!P:P,COUNTIF(Data!$E:$E,"&gt;0")-24,1)</f>
        <v>1.3302169369369368</v>
      </c>
      <c r="H15" s="145">
        <f>INDEX(Data!R:R,COUNTIF(Data!$E:$E,"&gt;0")-24,1)</f>
        <v>3.3651659845384208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2168</v>
      </c>
      <c r="E16" s="23">
        <f>INDEX(Data!M:M,COUNTIF(Data!$E:$E,"&gt;0")-23,1)</f>
        <v>74.55</v>
      </c>
      <c r="F16" s="54">
        <f>INDEX(Data!O:O,COUNTIF(Data!$E:$E,"&gt;0")-23,1)</f>
        <v>22.269612711022841</v>
      </c>
      <c r="G16" s="54">
        <f>INDEX(Data!P:P,COUNTIF(Data!$E:$E,"&gt;0")-23,1)</f>
        <v>0.56568828828828832</v>
      </c>
      <c r="H16" s="146">
        <f>INDEX(Data!R:R,COUNTIF(Data!$E:$E,"&gt;0")-23,1)</f>
        <v>3.9753153963492549</v>
      </c>
      <c r="I16" s="2"/>
    </row>
    <row r="17" spans="1:9" ht="14.45" x14ac:dyDescent="0.3">
      <c r="A17" s="55"/>
      <c r="B17" s="73" t="s">
        <v>18</v>
      </c>
      <c r="C17" s="73" t="s">
        <v>19</v>
      </c>
      <c r="D17" s="74">
        <f>INDEX(Data!G:G,COUNTIF(Data!$E:$E,"&gt;0")-22,1)</f>
        <v>4211</v>
      </c>
      <c r="E17" s="74">
        <f>INDEX(Data!M:M,COUNTIF(Data!$E:$E,"&gt;0")-22,1)</f>
        <v>299</v>
      </c>
      <c r="F17" s="75">
        <f>INDEX(Data!O:O,COUNTIF(Data!$E:$E,"&gt;0")-22,1)</f>
        <v>44.786494538232375</v>
      </c>
      <c r="G17" s="75">
        <f>INDEX(Data!P:P,COUNTIF(Data!$E:$E,"&gt;0")-22,1)</f>
        <v>1.1376576576576576</v>
      </c>
      <c r="H17" s="145">
        <f>INDEX(Data!R:R,COUNTIF(Data!$E:$E,"&gt;0")-22,1)</f>
        <v>3.1328607363366068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3593</v>
      </c>
      <c r="E18" s="23">
        <f>INDEX(Data!M:M,COUNTIF(Data!$E:$E,"&gt;0")-21,1)</f>
        <v>191.82000000000002</v>
      </c>
      <c r="F18" s="54">
        <f>INDEX(Data!O:O,COUNTIF(Data!$E:$E,"&gt;0")-21,1)</f>
        <v>37.585104270109234</v>
      </c>
      <c r="G18" s="54">
        <f>INDEX(Data!P:P,COUNTIF(Data!$E:$E,"&gt;0")-21,1)</f>
        <v>0.95472936936936947</v>
      </c>
      <c r="H18" s="146">
        <f>INDEX(Data!R:R,COUNTIF(Data!$E:$E,"&gt;0")-21,1)</f>
        <v>3.1522201266775074</v>
      </c>
      <c r="I18" s="2"/>
    </row>
    <row r="19" spans="1:9" ht="14.45" x14ac:dyDescent="0.3">
      <c r="A19" s="55"/>
      <c r="B19" s="73" t="s">
        <v>16</v>
      </c>
      <c r="C19" s="73" t="s">
        <v>21</v>
      </c>
      <c r="D19" s="74">
        <f>INDEX(Data!G:G,COUNTIF(Data!$E:$E,"&gt;0")-20,1)</f>
        <v>3308</v>
      </c>
      <c r="E19" s="74">
        <f>INDEX(Data!M:M,COUNTIF(Data!$E:$E,"&gt;0")-20,1)</f>
        <v>219.1</v>
      </c>
      <c r="F19" s="75">
        <f>INDEX(Data!O:O,COUNTIF(Data!$E:$E,"&gt;0")-20,1)</f>
        <v>35.025819265143987</v>
      </c>
      <c r="G19" s="75">
        <f>INDEX(Data!P:P,COUNTIF(Data!$E:$E,"&gt;0")-20,1)</f>
        <v>0.88971891891891886</v>
      </c>
      <c r="H19" s="145">
        <f>INDEX(Data!R:R,COUNTIF(Data!$E:$E,"&gt;0")-20,1)</f>
        <v>2.2460444918570799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5365</v>
      </c>
      <c r="E20" s="23">
        <f>INDEX(Data!M:M,COUNTIF(Data!$E:$E,"&gt;0")-19,1)</f>
        <v>638.04999999999995</v>
      </c>
      <c r="F20" s="54">
        <f>INDEX(Data!O:O,COUNTIF(Data!$E:$E,"&gt;0")-19,1)</f>
        <v>59.613207547169814</v>
      </c>
      <c r="G20" s="54">
        <f>INDEX(Data!P:P,COUNTIF(Data!$E:$E,"&gt;0")-19,1)</f>
        <v>1.5142828828828829</v>
      </c>
      <c r="H20" s="146">
        <f>INDEX(Data!R:R,COUNTIF(Data!$E:$E,"&gt;0")-19,1)</f>
        <v>1.9278344038808015</v>
      </c>
      <c r="I20" s="2"/>
    </row>
    <row r="21" spans="1:9" ht="14.45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3649</v>
      </c>
      <c r="E21" s="74">
        <f>INDEX(Data!M:M,COUNTIF(Data!$E:$E,"&gt;0")-18,1)</f>
        <v>387.20499999999998</v>
      </c>
      <c r="F21" s="75">
        <f>INDEX(Data!O:O,COUNTIF(Data!$E:$E,"&gt;0")-18,1)</f>
        <v>40.08147964250248</v>
      </c>
      <c r="G21" s="75">
        <f>INDEX(Data!P:P,COUNTIF(Data!$E:$E,"&gt;0")-18,1)</f>
        <v>1.0908662162162162</v>
      </c>
      <c r="H21" s="145">
        <f>INDEX(Data!R:R,COUNTIF(Data!$E:$E,"&gt;0")-18,1)</f>
        <v>2.5433186042774558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3807</v>
      </c>
      <c r="E22" s="23">
        <f>INDEX(Data!M:M,COUNTIF(Data!$E:$E,"&gt;0")-17,1)</f>
        <v>282.90000000000003</v>
      </c>
      <c r="F22" s="54">
        <f>INDEX(Data!O:O,COUNTIF(Data!$E:$E,"&gt;0")-17,1)</f>
        <v>40.614697120158887</v>
      </c>
      <c r="G22" s="54">
        <f>INDEX(Data!P:P,COUNTIF(Data!$E:$E,"&gt;0")-17,1)</f>
        <v>1.1053783783783784</v>
      </c>
      <c r="H22" s="146">
        <f>INDEX(Data!R:R,COUNTIF(Data!$E:$E,"&gt;0")-17,1)</f>
        <v>2.7045351815579322</v>
      </c>
      <c r="I22" s="2"/>
    </row>
    <row r="23" spans="1:9" ht="14.45" x14ac:dyDescent="0.3">
      <c r="A23" s="55"/>
      <c r="B23" s="73" t="s">
        <v>18</v>
      </c>
      <c r="C23" s="73" t="s">
        <v>15</v>
      </c>
      <c r="D23" s="74">
        <f>INDEX(Data!G:G,COUNTIF(Data!$E:$E,"&gt;0")-16,1)</f>
        <v>4946</v>
      </c>
      <c r="E23" s="74">
        <f>INDEX(Data!M:M,COUNTIF(Data!$E:$E,"&gt;0")-16,1)</f>
        <v>401.12</v>
      </c>
      <c r="F23" s="75">
        <f>INDEX(Data!O:O,COUNTIF(Data!$E:$E,"&gt;0")-16,1)</f>
        <v>53.099503475670303</v>
      </c>
      <c r="G23" s="75">
        <f>INDEX(Data!P:P,COUNTIF(Data!$E:$E,"&gt;0")-16,1)</f>
        <v>1.4451675675675675</v>
      </c>
      <c r="H23" s="145">
        <f>INDEX(Data!R:R,COUNTIF(Data!$E:$E,"&gt;0")-16,1)</f>
        <v>3.3347762901579925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3499</v>
      </c>
      <c r="E24" s="23">
        <f>INDEX(Data!M:M,COUNTIF(Data!$E:$E,"&gt;0")-15,1)</f>
        <v>191.82000000000002</v>
      </c>
      <c r="F24" s="54">
        <f>INDEX(Data!O:O,COUNTIF(Data!$E:$E,"&gt;0")-15,1)</f>
        <v>36.651638530287983</v>
      </c>
      <c r="G24" s="54">
        <f>INDEX(Data!P:P,COUNTIF(Data!$E:$E,"&gt;0")-15,1)</f>
        <v>0.99751891891891897</v>
      </c>
      <c r="H24" s="146">
        <f>INDEX(Data!R:R,COUNTIF(Data!$E:$E,"&gt;0")-15,1)</f>
        <v>3.1197264162541094</v>
      </c>
      <c r="I24" s="2"/>
    </row>
    <row r="25" spans="1:9" ht="14.45" x14ac:dyDescent="0.3">
      <c r="A25" s="55"/>
      <c r="B25" s="73" t="s">
        <v>13</v>
      </c>
      <c r="C25" s="73" t="s">
        <v>7</v>
      </c>
      <c r="D25" s="74">
        <f>INDEX(Data!G:G,COUNTIF(Data!$E:$E,"&gt;0")-14,1)</f>
        <v>3974</v>
      </c>
      <c r="E25" s="74">
        <f>INDEX(Data!M:M,COUNTIF(Data!$E:$E,"&gt;0")-14,1)</f>
        <v>352.09999999999997</v>
      </c>
      <c r="F25" s="75">
        <f>INDEX(Data!O:O,COUNTIF(Data!$E:$E,"&gt;0")-14,1)</f>
        <v>42.960278053624627</v>
      </c>
      <c r="G25" s="75">
        <f>INDEX(Data!P:P,COUNTIF(Data!$E:$E,"&gt;0")-14,1)</f>
        <v>1.1692162162162163</v>
      </c>
      <c r="H25" s="145">
        <f>INDEX(Data!R:R,COUNTIF(Data!$E:$E,"&gt;0")-14,1)</f>
        <v>4.9968205581255365</v>
      </c>
      <c r="I25" s="2"/>
    </row>
    <row r="26" spans="1:9" ht="14.45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ht="14.45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299.20000000000005</v>
      </c>
      <c r="F27" s="75">
        <f>INDEX(Data!O:O,COUNTIF(Data!$E:$E,"&gt;0")-13,1)</f>
        <v>39.495531281032768</v>
      </c>
      <c r="G27" s="75">
        <f>INDEX(Data!P:P,COUNTIF(Data!$E:$E,"&gt;0")-13,1)</f>
        <v>1.0749189189189188</v>
      </c>
      <c r="H27" s="145">
        <f>INDEX(Data!R:R,COUNTIF(Data!$E:$E,"&gt;0")-13,1)</f>
        <v>-0.44057274456794637</v>
      </c>
      <c r="I27" s="22"/>
    </row>
    <row r="28" spans="1:9" ht="15.4" x14ac:dyDescent="0.35">
      <c r="A28" s="56"/>
      <c r="B28" s="79" t="s">
        <v>246</v>
      </c>
      <c r="C28" s="22" t="s">
        <v>9</v>
      </c>
      <c r="D28" s="23">
        <f>INDEX(Data!G:G,COUNTIF(Data!$E:$E,"&gt;0")-12,1)</f>
        <v>3471</v>
      </c>
      <c r="E28" s="23">
        <f>INDEX(Data!M:M,COUNTIF(Data!$E:$E,"&gt;0")-12,1)</f>
        <v>232.9</v>
      </c>
      <c r="F28" s="54">
        <f>INDEX(Data!O:O,COUNTIF(Data!$E:$E,"&gt;0")-12,1)</f>
        <v>36.781529294935453</v>
      </c>
      <c r="G28" s="54">
        <f>INDEX(Data!P:P,COUNTIF(Data!$E:$E,"&gt;0")-12,1)</f>
        <v>1.001054054054054</v>
      </c>
      <c r="H28" s="146">
        <f>INDEX(Data!R:R,COUNTIF(Data!$E:$E,"&gt;0")-12,1)</f>
        <v>-8.4235771151658927</v>
      </c>
      <c r="I28" s="2"/>
    </row>
    <row r="29" spans="1:9" ht="14.65" x14ac:dyDescent="0.35">
      <c r="A29" s="55"/>
      <c r="B29" s="73" t="s">
        <v>27</v>
      </c>
      <c r="C29" s="73" t="s">
        <v>28</v>
      </c>
      <c r="D29" s="74">
        <f>INDEX(Data!G:G,COUNTIF(Data!$E:$E,"&gt;0")-11,1)</f>
        <v>4140</v>
      </c>
      <c r="E29" s="74">
        <f>INDEX(Data!M:M,COUNTIF(Data!$E:$E,"&gt;0")-11,1)</f>
        <v>373.52000000000004</v>
      </c>
      <c r="F29" s="75">
        <f>INDEX(Data!O:O,COUNTIF(Data!$E:$E,"&gt;0")-11,1)</f>
        <v>44.821449851042701</v>
      </c>
      <c r="G29" s="75">
        <f>INDEX(Data!P:P,COUNTIF(Data!$E:$E,"&gt;0")-11,1)</f>
        <v>1.2198702702702704</v>
      </c>
      <c r="H29" s="145">
        <f>INDEX(Data!R:R,COUNTIF(Data!$E:$E,"&gt;0")-11,1)</f>
        <v>4.003908050214755</v>
      </c>
      <c r="I29" s="2"/>
    </row>
    <row r="30" spans="1:9" ht="15.4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516.80000000000007</v>
      </c>
      <c r="F30" s="54">
        <f>INDEX(Data!O:O,COUNTIF(Data!$E:$E,"&gt;0")-10,1)</f>
        <v>56.36345580933466</v>
      </c>
      <c r="G30" s="54">
        <f>INDEX(Data!P:P,COUNTIF(Data!$E:$E,"&gt;0")-10,1)</f>
        <v>1.534</v>
      </c>
      <c r="H30" s="146">
        <f>INDEX(Data!R:R,COUNTIF(Data!$E:$E,"&gt;0")-10,1)</f>
        <v>-0.53275384669306813</v>
      </c>
      <c r="I30" s="2"/>
    </row>
    <row r="31" spans="1:9" ht="14.6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538.22</v>
      </c>
      <c r="F31" s="75">
        <f>INDEX(Data!O:O,COUNTIF(Data!$E:$E,"&gt;0")-9,1)</f>
        <v>65.761866931479645</v>
      </c>
      <c r="G31" s="75">
        <f>INDEX(Data!P:P,COUNTIF(Data!$E:$E,"&gt;0")-9,1)</f>
        <v>1.7897891891891893</v>
      </c>
      <c r="H31" s="145">
        <f>INDEX(Data!R:R,COUNTIF(Data!$E:$E,"&gt;0")-9,1)</f>
        <v>-0.47581260858325924</v>
      </c>
      <c r="I31" s="2"/>
    </row>
    <row r="32" spans="1:9" ht="15.4" x14ac:dyDescent="0.35">
      <c r="A32" s="56"/>
      <c r="B32" s="22" t="s">
        <v>10</v>
      </c>
      <c r="C32" s="22" t="s">
        <v>26</v>
      </c>
      <c r="D32" s="23">
        <f>INDEX(Data!G:G,COUNTIF(Data!$E:$E,"&gt;0")-8,1)</f>
        <v>5260</v>
      </c>
      <c r="E32" s="23">
        <f>INDEX(Data!M:M,COUNTIF(Data!$E:$E,"&gt;0")-8,1)</f>
        <v>559.65</v>
      </c>
      <c r="F32" s="54">
        <f>INDEX(Data!O:O,COUNTIF(Data!$E:$E,"&gt;0")-8,1)</f>
        <v>57.791956305858982</v>
      </c>
      <c r="G32" s="54">
        <f>INDEX(Data!P:P,COUNTIF(Data!$E:$E,"&gt;0")-8,1)</f>
        <v>1.5728783783783782</v>
      </c>
      <c r="H32" s="146">
        <f>INDEX(Data!R:R,COUNTIF(Data!$E:$E,"&gt;0")-8,1)</f>
        <v>3.2836228820703361</v>
      </c>
      <c r="I32" s="2"/>
    </row>
    <row r="33" spans="1:9" x14ac:dyDescent="0.25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629.34</v>
      </c>
      <c r="F33" s="75">
        <f>INDEX(Data!O:O,COUNTIF(Data!$E:$E,"&gt;0")-7,1)</f>
        <v>55.90208540218471</v>
      </c>
      <c r="G33" s="75">
        <f>INDEX(Data!P:P,COUNTIF(Data!$E:$E,"&gt;0")-7,1)</f>
        <v>1.4200136936936938</v>
      </c>
      <c r="H33" s="145">
        <f>INDEX(Data!R:R,COUNTIF(Data!$E:$E,"&gt;0")-7,1)</f>
        <v>-0.65332947430095656</v>
      </c>
      <c r="I33" s="2"/>
    </row>
    <row r="34" spans="1:9" ht="15.75" x14ac:dyDescent="0.25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576.30000000000007</v>
      </c>
      <c r="F34" s="54">
        <f>INDEX(Data!O:O,COUNTIF(Data!$E:$E,"&gt;0")-6,1)</f>
        <v>54.978152929493547</v>
      </c>
      <c r="G34" s="54">
        <f>INDEX(Data!P:P,COUNTIF(Data!$E:$E,"&gt;0")-6,1)</f>
        <v>1.3965441441441442</v>
      </c>
      <c r="H34" s="146">
        <f>INDEX(Data!R:R,COUNTIF(Data!$E:$E,"&gt;0")-6,1)</f>
        <v>-0.60859574162507313</v>
      </c>
      <c r="I34" s="2"/>
    </row>
    <row r="35" spans="1:9" x14ac:dyDescent="0.25">
      <c r="A35" s="55"/>
      <c r="B35" s="73" t="s">
        <v>13</v>
      </c>
      <c r="C35" s="73" t="s">
        <v>7</v>
      </c>
      <c r="D35" s="74">
        <f>INDEX(Data!G:G,COUNTIF(Data!$E:$E,"&gt;0")-5,1)</f>
        <v>3147</v>
      </c>
      <c r="E35" s="74">
        <f>INDEX(Data!M:M,COUNTIF(Data!$E:$E,"&gt;0")-5,1)</f>
        <v>352.09999999999997</v>
      </c>
      <c r="F35" s="75">
        <f>INDEX(Data!O:O,COUNTIF(Data!$E:$E,"&gt;0")-5,1)</f>
        <v>34.747765640516384</v>
      </c>
      <c r="G35" s="75">
        <f>INDEX(Data!P:P,COUNTIF(Data!$E:$E,"&gt;0")-5,1)</f>
        <v>0.88265585585585582</v>
      </c>
      <c r="H35" s="145">
        <f>INDEX(Data!R:R,COUNTIF(Data!$E:$E,"&gt;0")-5,1)</f>
        <v>3.4251393642742656</v>
      </c>
      <c r="I35" s="2"/>
    </row>
    <row r="36" spans="1:9" ht="15.75" x14ac:dyDescent="0.25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335.92</v>
      </c>
      <c r="F36" s="54">
        <f>INDEX(Data!O:O,COUNTIF(Data!$E:$E,"&gt;0")-4,1)</f>
        <v>38.191857000993046</v>
      </c>
      <c r="G36" s="54">
        <f>INDEX(Data!P:P,COUNTIF(Data!$E:$E,"&gt;0")-4,1)</f>
        <v>0.97014198198198198</v>
      </c>
      <c r="H36" s="146">
        <f>INDEX(Data!R:R,COUNTIF(Data!$E:$E,"&gt;0")-4,1)</f>
        <v>-0.51116491794457319</v>
      </c>
      <c r="I36" s="2"/>
    </row>
    <row r="37" spans="1:9" x14ac:dyDescent="0.25">
      <c r="A37" s="55"/>
      <c r="B37" s="73" t="s">
        <v>16</v>
      </c>
      <c r="C37" s="73" t="s">
        <v>11</v>
      </c>
      <c r="D37" s="74">
        <f>INDEX(Data!G:G,COUNTIF(Data!$E:$E,"&gt;0")-3,1)</f>
        <v>3690</v>
      </c>
      <c r="E37" s="74">
        <f>INDEX(Data!M:M,COUNTIF(Data!$E:$E,"&gt;0")-3,1)</f>
        <v>275.45</v>
      </c>
      <c r="F37" s="75">
        <f>INDEX(Data!O:O,COUNTIF(Data!$E:$E,"&gt;0")-3,1)</f>
        <v>39.378848063555111</v>
      </c>
      <c r="G37" s="75">
        <f>INDEX(Data!P:P,COUNTIF(Data!$E:$E,"&gt;0")-3,1)</f>
        <v>1.0002936936936937</v>
      </c>
      <c r="H37" s="145">
        <f>INDEX(Data!R:R,COUNTIF(Data!$E:$E,"&gt;0")-3,1)</f>
        <v>2.1709836416150763</v>
      </c>
      <c r="I37" s="2"/>
    </row>
    <row r="38" spans="1:9" ht="15.75" x14ac:dyDescent="0.25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624.24</v>
      </c>
      <c r="F38" s="54">
        <f>INDEX(Data!O:O,COUNTIF(Data!$E:$E,"&gt;0")-2,1)</f>
        <v>55.851439920556103</v>
      </c>
      <c r="G38" s="54">
        <f>INDEX(Data!P:P,COUNTIF(Data!$E:$E,"&gt;0")-2,1)</f>
        <v>1.4187272072072072</v>
      </c>
      <c r="H38" s="146">
        <f>INDEX(Data!R:R,COUNTIF(Data!$E:$E,"&gt;0")-2,1)</f>
        <v>-0.64865323196066083</v>
      </c>
      <c r="I38" s="2"/>
    </row>
    <row r="39" spans="1:9" x14ac:dyDescent="0.25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645.66000000000008</v>
      </c>
      <c r="F39" s="75">
        <f>INDEX(Data!O:O,COUNTIF(Data!$E:$E,"&gt;0")-1,1)</f>
        <v>50.105858987090365</v>
      </c>
      <c r="G39" s="75">
        <f>INDEX(Data!P:P,COUNTIF(Data!$E:$E,"&gt;0")-1,1)</f>
        <v>1.272779099099099</v>
      </c>
      <c r="H39" s="145">
        <f>INDEX(Data!R:R,COUNTIF(Data!$E:$E,"&gt;0")-1,1)</f>
        <v>-0.74710246988379803</v>
      </c>
      <c r="I39" s="2"/>
    </row>
    <row r="40" spans="1:9" x14ac:dyDescent="0.25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576.30000000000007</v>
      </c>
      <c r="F40" s="54">
        <f>INDEX(Data!O:O,COUNTIF(Data!$E:$E,"&gt;0"),1)</f>
        <v>60.539225422045682</v>
      </c>
      <c r="G40" s="54">
        <f>INDEX(Data!P:P,COUNTIF(Data!$E:$E,"&gt;0"),1)</f>
        <v>1.6476486486486488</v>
      </c>
      <c r="H40" s="146">
        <f>INDEX(Data!R:R,COUNTIF(Data!$E:$E,"&gt;0"),1)</f>
        <v>-0.55299990212390737</v>
      </c>
      <c r="I40" s="2"/>
    </row>
    <row r="41" spans="1:9" x14ac:dyDescent="0.25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629.34</v>
      </c>
      <c r="F41" s="75">
        <f>INDEX(Data!O:O,COUNTIF(Data!$E:$E,"&gt;0")+1,1)</f>
        <v>61.165243296921545</v>
      </c>
      <c r="G41" s="75">
        <f>INDEX(Data!P:P,COUNTIF(Data!$E:$E,"&gt;0")+1,1)</f>
        <v>1.6646864864864865</v>
      </c>
      <c r="H41" s="145">
        <f>INDEX(Data!R:R,COUNTIF(Data!$E:$E,"&gt;0")+1,1)</f>
        <v>-0.59744753371333559</v>
      </c>
      <c r="I41" s="2"/>
    </row>
    <row r="42" spans="1:9" ht="15.75" x14ac:dyDescent="0.25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512.38</v>
      </c>
      <c r="F42" s="54">
        <f>INDEX(Data!O:O,COUNTIF(Data!$E:$E,"&gt;0")+2,1)</f>
        <v>59.010724925521352</v>
      </c>
      <c r="G42" s="54">
        <f>INDEX(Data!P:P,COUNTIF(Data!$E:$E,"&gt;0")+2,1)</f>
        <v>1.6060486486486487</v>
      </c>
      <c r="H42" s="146">
        <f>INDEX(Data!R:R,COUNTIF(Data!$E:$E,"&gt;0")+2,1)</f>
        <v>-0.50464460562711366</v>
      </c>
      <c r="I42" s="2"/>
    </row>
    <row r="43" spans="1:9" x14ac:dyDescent="0.25">
      <c r="A43" s="55"/>
      <c r="B43" s="73" t="s">
        <v>31</v>
      </c>
      <c r="C43" s="73" t="s">
        <v>7</v>
      </c>
      <c r="D43" s="74">
        <f>INDEX(Data!G:G,COUNTIF(Data!$E:$E,"&gt;0")+3,1)</f>
        <v>4425</v>
      </c>
      <c r="E43" s="74">
        <f>INDEX(Data!M:M,COUNTIF(Data!$E:$E,"&gt;0")+3,1)</f>
        <v>406</v>
      </c>
      <c r="F43" s="75">
        <f>INDEX(Data!O:O,COUNTIF(Data!$E:$E,"&gt;0")+3,1)</f>
        <v>47.974180734856006</v>
      </c>
      <c r="G43" s="75">
        <f>INDEX(Data!P:P,COUNTIF(Data!$E:$E,"&gt;0")+3,1)</f>
        <v>1.3056756756756758</v>
      </c>
      <c r="H43" s="145">
        <f>INDEX(Data!R:R,COUNTIF(Data!$E:$E,"&gt;0")+3,1)</f>
        <v>4.9259371877850677</v>
      </c>
    </row>
    <row r="44" spans="1:9" ht="15.75" x14ac:dyDescent="0.25">
      <c r="A44" s="56"/>
      <c r="B44" s="22" t="s">
        <v>14</v>
      </c>
      <c r="C44" s="22" t="s">
        <v>24</v>
      </c>
      <c r="D44" s="23">
        <f>INDEX(Data!G:G,COUNTIF(Data!$E:$E,"&gt;0")+4,1)</f>
        <v>2982</v>
      </c>
      <c r="E44" s="23">
        <f>INDEX(Data!M:M,COUNTIF(Data!$E:$E,"&gt;0")+4,1)</f>
        <v>282.90000000000003</v>
      </c>
      <c r="F44" s="54">
        <f>INDEX(Data!O:O,COUNTIF(Data!$E:$E,"&gt;0")+4,1)</f>
        <v>32.422045680238334</v>
      </c>
      <c r="G44" s="54">
        <f>INDEX(Data!P:P,COUNTIF(Data!$E:$E,"&gt;0")+4,1)</f>
        <v>0.88240540540540546</v>
      </c>
      <c r="H44" s="146">
        <f>INDEX(Data!R:R,COUNTIF(Data!$E:$E,"&gt;0")+4,1)</f>
        <v>3.4112504751045325</v>
      </c>
      <c r="I44" s="54" t="s">
        <v>0</v>
      </c>
    </row>
    <row r="45" spans="1:9" ht="15.75" x14ac:dyDescent="0.25">
      <c r="A45" s="59"/>
      <c r="B45" s="76" t="s">
        <v>34</v>
      </c>
      <c r="C45" s="76" t="s">
        <v>26</v>
      </c>
      <c r="D45" s="77">
        <f>INDEX(Data!G:G,COUNTIF(Data!$E:$E,"&gt;0")+5,1)</f>
        <v>5360</v>
      </c>
      <c r="E45" s="77">
        <f>INDEX(Data!M:M,COUNTIF(Data!$E:$E,"&gt;0")+5,1)</f>
        <v>572.94999999999993</v>
      </c>
      <c r="F45" s="78">
        <f>INDEX(Data!O:O,COUNTIF(Data!$E:$E,"&gt;0")+5,1)</f>
        <v>58.917080436941404</v>
      </c>
      <c r="G45" s="78">
        <f>INDEX(Data!P:P,COUNTIF(Data!$E:$E,"&gt;0")+5,1)</f>
        <v>1.6034999999999999</v>
      </c>
      <c r="H45" s="148">
        <f>INDEX(Data!R:R,COUNTIF(Data!$E:$E,"&gt;0")+5,1)</f>
        <v>3.8011158757735419</v>
      </c>
      <c r="I45" s="24" t="s">
        <v>0</v>
      </c>
    </row>
    <row r="46" spans="1:9" x14ac:dyDescent="0.25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25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25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25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25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25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33" sqref="D33:F33"/>
    </sheetView>
  </sheetViews>
  <sheetFormatPr defaultRowHeight="15" x14ac:dyDescent="0.25"/>
  <cols>
    <col min="3" max="4" width="21" customWidth="1"/>
    <col min="5" max="5" width="20.42578125" customWidth="1"/>
    <col min="6" max="6" width="20.7109375" customWidth="1"/>
    <col min="9" max="9" width="24.7109375" customWidth="1"/>
    <col min="10" max="11" width="11.7109375" customWidth="1"/>
    <col min="12" max="12" width="8.28515625" customWidth="1"/>
  </cols>
  <sheetData>
    <row r="1" spans="1:12" ht="14.45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ht="14.45" hidden="1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t="14.45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t="14.45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ht="14.45" hidden="1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t="14.45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ht="14.45" hidden="1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ht="14.45" hidden="1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ht="14.45" hidden="1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t="14.45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ht="14.45" hidden="1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t="14.45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t="14.45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ht="14.45" hidden="1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ht="14.45" hidden="1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t="14.45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t="14.45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t="14.45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t="14.45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ht="14.45" hidden="1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t="14.45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t="14.45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t="14.45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t="14.45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t="14.45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ht="14.45" hidden="1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t="14.45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t="14.45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ht="14.45" hidden="1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t="14.45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65" hidden="1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65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t="14.45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t="14.45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t="14.45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t="14.45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ht="14.45" hidden="1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t="14.45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ht="14.45" hidden="1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BNSF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303"/>
  <sheetViews>
    <sheetView zoomScaleNormal="100" workbookViewId="0">
      <selection activeCell="Y16" sqref="Y16:Z18"/>
    </sheetView>
  </sheetViews>
  <sheetFormatPr defaultRowHeight="15" x14ac:dyDescent="0.25"/>
  <cols>
    <col min="1" max="1" width="16.140625" customWidth="1"/>
    <col min="2" max="2" width="3.28515625" customWidth="1"/>
    <col min="3" max="3" width="9.140625" bestFit="1" customWidth="1"/>
    <col min="6" max="6" width="9.140625" bestFit="1" customWidth="1"/>
    <col min="11" max="11" width="15.7109375" customWidth="1"/>
    <col min="12" max="12" width="3.7109375" customWidth="1"/>
    <col min="13" max="13" width="9.140625" bestFit="1" customWidth="1"/>
    <col min="15" max="15" width="9.5703125" bestFit="1" customWidth="1"/>
    <col min="16" max="16" width="9.140625" bestFit="1" customWidth="1"/>
  </cols>
  <sheetData>
    <row r="2" spans="1:29" ht="14.45" x14ac:dyDescent="0.3">
      <c r="A2" t="s">
        <v>188</v>
      </c>
      <c r="K2" t="s">
        <v>188</v>
      </c>
      <c r="U2" t="s">
        <v>242</v>
      </c>
    </row>
    <row r="3" spans="1:29" ht="14.45" x14ac:dyDescent="0.3">
      <c r="A3" s="62" t="s">
        <v>155</v>
      </c>
      <c r="B3" s="62" t="s">
        <v>189</v>
      </c>
      <c r="C3" s="62" t="s">
        <v>112</v>
      </c>
      <c r="D3" s="62"/>
      <c r="K3" s="62" t="s">
        <v>155</v>
      </c>
      <c r="L3" s="62" t="s">
        <v>189</v>
      </c>
      <c r="M3" s="62" t="s">
        <v>112</v>
      </c>
      <c r="N3" s="62"/>
      <c r="U3" s="62" t="s">
        <v>296</v>
      </c>
    </row>
    <row r="5" spans="1:29" ht="14.45" x14ac:dyDescent="0.3">
      <c r="A5" s="81" t="s">
        <v>134</v>
      </c>
      <c r="K5" s="81" t="s">
        <v>154</v>
      </c>
      <c r="U5" s="81" t="s">
        <v>300</v>
      </c>
    </row>
    <row r="6" spans="1:29" ht="14.45" x14ac:dyDescent="0.3">
      <c r="A6" t="s">
        <v>250</v>
      </c>
      <c r="E6" t="s">
        <v>229</v>
      </c>
      <c r="F6" s="70">
        <f>111/1.10231</f>
        <v>100.69762589471202</v>
      </c>
      <c r="G6" t="s">
        <v>228</v>
      </c>
      <c r="K6" t="s">
        <v>250</v>
      </c>
      <c r="O6" t="s">
        <v>229</v>
      </c>
      <c r="P6" s="70">
        <f>111/1.10231</f>
        <v>100.69762589471202</v>
      </c>
      <c r="Q6" t="s">
        <v>228</v>
      </c>
      <c r="U6" t="s">
        <v>250</v>
      </c>
    </row>
    <row r="7" spans="1:29" ht="14.45" x14ac:dyDescent="0.3">
      <c r="A7" t="s">
        <v>191</v>
      </c>
      <c r="K7" t="s">
        <v>191</v>
      </c>
      <c r="U7" t="s">
        <v>191</v>
      </c>
    </row>
    <row r="8" spans="1:29" ht="14.45" x14ac:dyDescent="0.3">
      <c r="A8" t="s">
        <v>192</v>
      </c>
      <c r="C8">
        <v>601</v>
      </c>
      <c r="K8" t="s">
        <v>192</v>
      </c>
      <c r="M8">
        <v>601</v>
      </c>
      <c r="U8" t="s">
        <v>192</v>
      </c>
      <c r="W8" s="72">
        <v>681.57894736842104</v>
      </c>
    </row>
    <row r="9" spans="1:29" ht="14.45" x14ac:dyDescent="0.3">
      <c r="D9" t="s">
        <v>195</v>
      </c>
      <c r="E9" t="s">
        <v>195</v>
      </c>
      <c r="F9" t="s">
        <v>219</v>
      </c>
      <c r="H9" t="s">
        <v>230</v>
      </c>
      <c r="N9" t="s">
        <v>195</v>
      </c>
      <c r="O9" t="s">
        <v>195</v>
      </c>
      <c r="P9" t="s">
        <v>219</v>
      </c>
      <c r="R9" t="s">
        <v>230</v>
      </c>
      <c r="X9" t="s">
        <v>195</v>
      </c>
      <c r="Y9" t="s">
        <v>195</v>
      </c>
      <c r="Z9" t="s">
        <v>219</v>
      </c>
      <c r="AB9" t="s">
        <v>230</v>
      </c>
    </row>
    <row r="10" spans="1:29" thickBot="1" x14ac:dyDescent="0.35">
      <c r="A10" s="66" t="s">
        <v>193</v>
      </c>
      <c r="B10" s="66"/>
      <c r="C10" s="66" t="s">
        <v>194</v>
      </c>
      <c r="D10" s="66" t="s">
        <v>196</v>
      </c>
      <c r="E10" s="66" t="s">
        <v>218</v>
      </c>
      <c r="F10" s="66" t="s">
        <v>195</v>
      </c>
      <c r="H10" s="66" t="s">
        <v>231</v>
      </c>
      <c r="I10" s="66" t="s">
        <v>227</v>
      </c>
      <c r="K10" s="66" t="s">
        <v>193</v>
      </c>
      <c r="L10" s="66"/>
      <c r="M10" s="66" t="s">
        <v>194</v>
      </c>
      <c r="N10" s="66" t="s">
        <v>196</v>
      </c>
      <c r="O10" s="66" t="s">
        <v>218</v>
      </c>
      <c r="P10" s="66" t="s">
        <v>195</v>
      </c>
      <c r="R10" s="66" t="s">
        <v>231</v>
      </c>
      <c r="S10" s="66" t="s">
        <v>227</v>
      </c>
      <c r="U10" s="66" t="s">
        <v>193</v>
      </c>
      <c r="V10" s="66"/>
      <c r="W10" s="66" t="s">
        <v>194</v>
      </c>
      <c r="X10" s="66" t="s">
        <v>196</v>
      </c>
      <c r="Y10" s="66" t="s">
        <v>218</v>
      </c>
      <c r="Z10" s="66" t="s">
        <v>195</v>
      </c>
      <c r="AB10" s="66" t="s">
        <v>231</v>
      </c>
      <c r="AC10" s="66" t="s">
        <v>227</v>
      </c>
    </row>
    <row r="11" spans="1:29" ht="14.45" x14ac:dyDescent="0.3">
      <c r="A11" s="67" t="s">
        <v>292</v>
      </c>
      <c r="C11" s="68">
        <v>4308</v>
      </c>
      <c r="D11" s="65">
        <v>0.34</v>
      </c>
      <c r="E11">
        <f>D11*$C$8</f>
        <v>204.34</v>
      </c>
      <c r="F11" s="69">
        <f>C11+E11</f>
        <v>4512.34</v>
      </c>
      <c r="K11" s="67" t="s">
        <v>292</v>
      </c>
      <c r="M11" s="68">
        <v>3570</v>
      </c>
      <c r="N11" s="65">
        <v>0.34</v>
      </c>
      <c r="O11">
        <f>N11*$C$8</f>
        <v>204.34</v>
      </c>
      <c r="P11" s="69">
        <f>M11+O11</f>
        <v>3774.34</v>
      </c>
      <c r="U11" s="67" t="s">
        <v>292</v>
      </c>
      <c r="W11" s="68">
        <v>4452</v>
      </c>
      <c r="X11" s="65">
        <v>0.35</v>
      </c>
      <c r="Y11" s="72">
        <f t="shared" ref="Y11:Y16" si="0">$W$8*X11</f>
        <v>238.55263157894734</v>
      </c>
      <c r="Z11" s="69">
        <f>W11+Y11</f>
        <v>4690.5526315789475</v>
      </c>
    </row>
    <row r="12" spans="1:29" ht="14.45" x14ac:dyDescent="0.3">
      <c r="A12" s="67" t="s">
        <v>293</v>
      </c>
      <c r="C12" s="68">
        <v>4308</v>
      </c>
      <c r="D12" s="65">
        <v>0.35</v>
      </c>
      <c r="E12">
        <f t="shared" ref="E12:E14" si="1">D12*$C$8</f>
        <v>210.35</v>
      </c>
      <c r="F12" s="69">
        <f t="shared" ref="F12:F14" si="2">C12+E12</f>
        <v>4518.3500000000004</v>
      </c>
      <c r="K12" s="67" t="s">
        <v>293</v>
      </c>
      <c r="M12" s="68">
        <v>3570</v>
      </c>
      <c r="N12" s="65">
        <v>0.35</v>
      </c>
      <c r="O12">
        <f t="shared" ref="O12:O14" si="3">N12*$C$8</f>
        <v>210.35</v>
      </c>
      <c r="P12" s="69">
        <f t="shared" ref="P12:P14" si="4">M12+O12</f>
        <v>3780.35</v>
      </c>
      <c r="U12" s="67" t="s">
        <v>293</v>
      </c>
      <c r="W12" s="68">
        <v>4452</v>
      </c>
      <c r="X12" s="65">
        <v>0.36</v>
      </c>
      <c r="Y12" s="72">
        <f t="shared" si="0"/>
        <v>245.36842105263156</v>
      </c>
      <c r="Z12" s="69">
        <f t="shared" ref="Z12:Z14" si="5">W12+Y12</f>
        <v>4697.3684210526317</v>
      </c>
    </row>
    <row r="13" spans="1:29" ht="14.45" x14ac:dyDescent="0.3">
      <c r="A13" s="67" t="s">
        <v>294</v>
      </c>
      <c r="C13" s="68">
        <v>4308</v>
      </c>
      <c r="D13" s="65">
        <v>0.35</v>
      </c>
      <c r="E13">
        <f t="shared" si="1"/>
        <v>210.35</v>
      </c>
      <c r="F13" s="69">
        <f t="shared" si="2"/>
        <v>4518.3500000000004</v>
      </c>
      <c r="G13" t="s">
        <v>299</v>
      </c>
      <c r="H13" s="69">
        <f>AVERAGE(F11:F13)</f>
        <v>4516.3466666666673</v>
      </c>
      <c r="I13" s="70">
        <f>H13/$F$6</f>
        <v>44.850577424624632</v>
      </c>
      <c r="K13" s="67" t="s">
        <v>294</v>
      </c>
      <c r="M13" s="68">
        <v>3570</v>
      </c>
      <c r="N13" s="65">
        <v>0.35</v>
      </c>
      <c r="O13">
        <f t="shared" si="3"/>
        <v>210.35</v>
      </c>
      <c r="P13" s="69">
        <f t="shared" si="4"/>
        <v>3780.35</v>
      </c>
      <c r="Q13" t="s">
        <v>299</v>
      </c>
      <c r="R13" s="69">
        <f>AVERAGE(P11:P13)</f>
        <v>3778.3466666666668</v>
      </c>
      <c r="S13" s="70">
        <f>R13/$F$6</f>
        <v>37.521705532732732</v>
      </c>
      <c r="U13" s="67" t="s">
        <v>294</v>
      </c>
      <c r="W13" s="68">
        <v>4452</v>
      </c>
      <c r="X13" s="65">
        <v>0.36</v>
      </c>
      <c r="Y13" s="72">
        <f t="shared" si="0"/>
        <v>245.36842105263156</v>
      </c>
      <c r="Z13" s="69">
        <f t="shared" si="5"/>
        <v>4697.3684210526317</v>
      </c>
      <c r="AA13" t="s">
        <v>299</v>
      </c>
      <c r="AB13" s="69">
        <f>AVERAGE(Z11:Z13)</f>
        <v>4695.0964912280706</v>
      </c>
      <c r="AC13" s="70">
        <f>AB13/$F$6</f>
        <v>46.625692011221751</v>
      </c>
    </row>
    <row r="14" spans="1:29" ht="14.45" x14ac:dyDescent="0.3">
      <c r="A14" s="67" t="s">
        <v>295</v>
      </c>
      <c r="C14" s="68">
        <v>4308</v>
      </c>
      <c r="D14">
        <v>0.38</v>
      </c>
      <c r="E14">
        <f t="shared" si="1"/>
        <v>228.38</v>
      </c>
      <c r="F14" s="69">
        <f t="shared" si="2"/>
        <v>4536.38</v>
      </c>
      <c r="K14" s="67" t="s">
        <v>295</v>
      </c>
      <c r="M14" s="68">
        <v>3570</v>
      </c>
      <c r="N14">
        <v>0.38</v>
      </c>
      <c r="O14">
        <f t="shared" si="3"/>
        <v>228.38</v>
      </c>
      <c r="P14" s="69">
        <f t="shared" si="4"/>
        <v>3798.38</v>
      </c>
      <c r="U14" s="67" t="s">
        <v>295</v>
      </c>
      <c r="W14" s="68">
        <v>4452</v>
      </c>
      <c r="X14">
        <v>0.38</v>
      </c>
      <c r="Y14" s="72">
        <f t="shared" si="0"/>
        <v>259</v>
      </c>
      <c r="Z14" s="69">
        <f t="shared" si="5"/>
        <v>4711</v>
      </c>
    </row>
    <row r="15" spans="1:29" ht="14.45" x14ac:dyDescent="0.3">
      <c r="A15" s="67" t="s">
        <v>301</v>
      </c>
      <c r="C15" s="68">
        <v>4308</v>
      </c>
      <c r="D15">
        <v>0.38</v>
      </c>
      <c r="E15">
        <f t="shared" ref="E15" si="6">D15*$C$8</f>
        <v>228.38</v>
      </c>
      <c r="F15" s="69">
        <f t="shared" ref="F15" si="7">C15+E15</f>
        <v>4536.38</v>
      </c>
      <c r="K15" s="67" t="s">
        <v>301</v>
      </c>
      <c r="M15" s="68">
        <v>3570</v>
      </c>
      <c r="N15">
        <v>0.38</v>
      </c>
      <c r="O15">
        <f t="shared" ref="O15" si="8">N15*$C$8</f>
        <v>228.38</v>
      </c>
      <c r="P15" s="69">
        <f t="shared" ref="P15" si="9">M15+O15</f>
        <v>3798.38</v>
      </c>
      <c r="U15" s="67" t="s">
        <v>301</v>
      </c>
      <c r="W15" s="68">
        <v>4452</v>
      </c>
      <c r="X15">
        <v>0.39</v>
      </c>
      <c r="Y15" s="72">
        <f t="shared" si="0"/>
        <v>265.81578947368422</v>
      </c>
      <c r="Z15" s="69">
        <f t="shared" ref="Z15" si="10">W15+Y15</f>
        <v>4717.8157894736842</v>
      </c>
    </row>
    <row r="16" spans="1:29" x14ac:dyDescent="0.25">
      <c r="A16" s="67" t="s">
        <v>302</v>
      </c>
      <c r="C16" s="68">
        <v>4308</v>
      </c>
      <c r="D16">
        <v>0.37</v>
      </c>
      <c r="E16">
        <f t="shared" ref="E16" si="11">D16*$C$8</f>
        <v>222.37</v>
      </c>
      <c r="F16" s="69">
        <f t="shared" ref="F16" si="12">C16+E16</f>
        <v>4530.37</v>
      </c>
      <c r="G16" t="s">
        <v>303</v>
      </c>
      <c r="H16" s="69">
        <f>AVERAGE(F14:F16)</f>
        <v>4534.376666666667</v>
      </c>
      <c r="I16" s="70">
        <f>H16/$F$6</f>
        <v>45.029628319219221</v>
      </c>
      <c r="K16" s="67" t="s">
        <v>302</v>
      </c>
      <c r="M16" s="68">
        <v>3570</v>
      </c>
      <c r="N16">
        <v>0.37</v>
      </c>
      <c r="O16">
        <f t="shared" ref="O16" si="13">N16*$C$8</f>
        <v>222.37</v>
      </c>
      <c r="P16" s="69">
        <f t="shared" ref="P16" si="14">M16+O16</f>
        <v>3792.37</v>
      </c>
      <c r="Q16" t="s">
        <v>303</v>
      </c>
      <c r="R16" s="69">
        <f>AVERAGE(P14:P16)</f>
        <v>3796.376666666667</v>
      </c>
      <c r="S16" s="70">
        <f>R16/$F$6</f>
        <v>37.700756427327327</v>
      </c>
      <c r="U16" s="67" t="s">
        <v>302</v>
      </c>
      <c r="W16" s="68">
        <v>4452</v>
      </c>
      <c r="X16">
        <v>0.38</v>
      </c>
      <c r="Y16" s="72">
        <f t="shared" si="0"/>
        <v>259</v>
      </c>
      <c r="Z16" s="69">
        <f t="shared" ref="Z16" si="15">W16+Y16</f>
        <v>4711</v>
      </c>
      <c r="AA16" t="s">
        <v>303</v>
      </c>
      <c r="AB16" s="69">
        <f>AVERAGE(Z14:Z16)</f>
        <v>4713.2719298245611</v>
      </c>
      <c r="AC16" s="70">
        <f>AB16/$F$6</f>
        <v>46.806187215900103</v>
      </c>
    </row>
    <row r="17" spans="1:26" x14ac:dyDescent="0.25">
      <c r="A17" s="67" t="s">
        <v>304</v>
      </c>
      <c r="C17" s="68">
        <v>4308</v>
      </c>
      <c r="D17" s="65">
        <v>0.37</v>
      </c>
      <c r="E17">
        <f t="shared" ref="E17:E18" si="16">D17*$C$8</f>
        <v>222.37</v>
      </c>
      <c r="F17" s="69">
        <f t="shared" ref="F17:F18" si="17">C17+E17</f>
        <v>4530.37</v>
      </c>
      <c r="K17" s="67" t="s">
        <v>304</v>
      </c>
      <c r="M17" s="68">
        <v>3570</v>
      </c>
      <c r="N17" s="65">
        <v>0.37</v>
      </c>
      <c r="O17">
        <f t="shared" ref="O17:O18" si="18">N17*$C$8</f>
        <v>222.37</v>
      </c>
      <c r="P17" s="69">
        <f t="shared" ref="P17:P18" si="19">M17+O17</f>
        <v>3792.37</v>
      </c>
      <c r="U17" s="67" t="s">
        <v>304</v>
      </c>
      <c r="W17" s="68">
        <v>4452</v>
      </c>
      <c r="X17" s="65">
        <v>0.37</v>
      </c>
      <c r="Y17" s="72">
        <f t="shared" ref="Y17:Y18" si="20">$W$8*X17</f>
        <v>252.18421052631578</v>
      </c>
      <c r="Z17" s="69">
        <f t="shared" ref="Z17:Z18" si="21">W17+Y17</f>
        <v>4704.1842105263158</v>
      </c>
    </row>
    <row r="18" spans="1:26" x14ac:dyDescent="0.25">
      <c r="A18" s="67" t="s">
        <v>305</v>
      </c>
      <c r="C18" s="68">
        <v>4308</v>
      </c>
      <c r="D18" s="65">
        <v>0.36</v>
      </c>
      <c r="E18">
        <f t="shared" si="16"/>
        <v>216.35999999999999</v>
      </c>
      <c r="F18" s="69">
        <f t="shared" si="17"/>
        <v>4524.3599999999997</v>
      </c>
      <c r="K18" s="67" t="s">
        <v>305</v>
      </c>
      <c r="M18" s="68">
        <v>3570</v>
      </c>
      <c r="N18" s="65">
        <v>0.36</v>
      </c>
      <c r="O18">
        <f t="shared" si="18"/>
        <v>216.35999999999999</v>
      </c>
      <c r="P18" s="69">
        <f t="shared" si="19"/>
        <v>3786.36</v>
      </c>
      <c r="U18" s="67" t="s">
        <v>305</v>
      </c>
      <c r="W18" s="68">
        <v>4452</v>
      </c>
      <c r="X18" s="65">
        <v>0.37</v>
      </c>
      <c r="Y18" s="72">
        <f t="shared" si="20"/>
        <v>252.18421052631578</v>
      </c>
      <c r="Z18" s="69">
        <f t="shared" si="21"/>
        <v>4704.1842105263158</v>
      </c>
    </row>
    <row r="26" spans="1:26" ht="14.45" x14ac:dyDescent="0.3">
      <c r="A26" t="s">
        <v>188</v>
      </c>
      <c r="K26" t="s">
        <v>188</v>
      </c>
      <c r="U26" t="s">
        <v>242</v>
      </c>
    </row>
    <row r="27" spans="1:26" ht="14.45" x14ac:dyDescent="0.3">
      <c r="A27" s="62" t="s">
        <v>142</v>
      </c>
      <c r="B27" s="62" t="s">
        <v>189</v>
      </c>
      <c r="C27" s="62" t="s">
        <v>112</v>
      </c>
      <c r="D27" s="62"/>
      <c r="K27" s="62" t="s">
        <v>142</v>
      </c>
      <c r="L27" s="62" t="s">
        <v>189</v>
      </c>
      <c r="M27" s="62" t="s">
        <v>112</v>
      </c>
      <c r="N27" s="62"/>
      <c r="U27" s="62" t="s">
        <v>297</v>
      </c>
    </row>
    <row r="28" spans="1:26" ht="14.45" x14ac:dyDescent="0.3">
      <c r="U28" t="s">
        <v>298</v>
      </c>
    </row>
    <row r="29" spans="1:26" ht="14.45" x14ac:dyDescent="0.3">
      <c r="A29" s="81" t="s">
        <v>134</v>
      </c>
      <c r="K29" s="81" t="s">
        <v>154</v>
      </c>
      <c r="U29" s="81" t="s">
        <v>300</v>
      </c>
    </row>
    <row r="30" spans="1:26" x14ac:dyDescent="0.25">
      <c r="A30" t="s">
        <v>250</v>
      </c>
      <c r="E30" t="s">
        <v>229</v>
      </c>
      <c r="F30" s="70">
        <f>111/1.10231</f>
        <v>100.69762589471202</v>
      </c>
      <c r="G30" t="s">
        <v>228</v>
      </c>
      <c r="K30" t="s">
        <v>250</v>
      </c>
      <c r="O30" t="s">
        <v>229</v>
      </c>
      <c r="P30" s="70">
        <f>111/1.10231</f>
        <v>100.69762589471202</v>
      </c>
      <c r="Q30" t="s">
        <v>228</v>
      </c>
      <c r="U30" t="s">
        <v>250</v>
      </c>
    </row>
    <row r="31" spans="1:26" x14ac:dyDescent="0.25">
      <c r="A31" t="s">
        <v>191</v>
      </c>
      <c r="K31" t="s">
        <v>191</v>
      </c>
      <c r="U31" t="s">
        <v>191</v>
      </c>
    </row>
    <row r="32" spans="1:26" x14ac:dyDescent="0.25">
      <c r="A32" t="s">
        <v>192</v>
      </c>
      <c r="C32">
        <v>265</v>
      </c>
      <c r="K32" t="s">
        <v>192</v>
      </c>
      <c r="M32">
        <v>265</v>
      </c>
      <c r="U32" t="s">
        <v>192</v>
      </c>
      <c r="W32" s="72">
        <v>276.31578947368422</v>
      </c>
    </row>
    <row r="33" spans="1:29" x14ac:dyDescent="0.25">
      <c r="D33" t="s">
        <v>195</v>
      </c>
      <c r="E33" t="s">
        <v>195</v>
      </c>
      <c r="F33" t="s">
        <v>219</v>
      </c>
      <c r="H33" t="s">
        <v>230</v>
      </c>
      <c r="N33" t="s">
        <v>195</v>
      </c>
      <c r="O33" t="s">
        <v>195</v>
      </c>
      <c r="P33" t="s">
        <v>219</v>
      </c>
      <c r="R33" t="s">
        <v>230</v>
      </c>
      <c r="X33" t="s">
        <v>195</v>
      </c>
      <c r="Y33" t="s">
        <v>195</v>
      </c>
      <c r="Z33" t="s">
        <v>219</v>
      </c>
      <c r="AB33" t="s">
        <v>230</v>
      </c>
    </row>
    <row r="34" spans="1:29" ht="15.75" thickBot="1" x14ac:dyDescent="0.3">
      <c r="A34" s="66" t="s">
        <v>193</v>
      </c>
      <c r="B34" s="66"/>
      <c r="C34" s="66" t="s">
        <v>194</v>
      </c>
      <c r="D34" s="66" t="s">
        <v>196</v>
      </c>
      <c r="E34" s="66" t="s">
        <v>218</v>
      </c>
      <c r="F34" s="66" t="s">
        <v>195</v>
      </c>
      <c r="H34" s="66" t="s">
        <v>231</v>
      </c>
      <c r="I34" s="66" t="s">
        <v>227</v>
      </c>
      <c r="K34" s="66" t="s">
        <v>193</v>
      </c>
      <c r="L34" s="66"/>
      <c r="M34" s="66" t="s">
        <v>194</v>
      </c>
      <c r="N34" s="66" t="s">
        <v>196</v>
      </c>
      <c r="O34" s="66" t="s">
        <v>218</v>
      </c>
      <c r="P34" s="66" t="s">
        <v>195</v>
      </c>
      <c r="R34" s="66" t="s">
        <v>231</v>
      </c>
      <c r="S34" s="66" t="s">
        <v>227</v>
      </c>
      <c r="U34" s="66" t="s">
        <v>193</v>
      </c>
      <c r="V34" s="66"/>
      <c r="W34" s="66" t="s">
        <v>194</v>
      </c>
      <c r="X34" s="66" t="s">
        <v>196</v>
      </c>
      <c r="Y34" s="66" t="s">
        <v>218</v>
      </c>
      <c r="Z34" s="66" t="s">
        <v>195</v>
      </c>
      <c r="AB34" s="66" t="s">
        <v>231</v>
      </c>
      <c r="AC34" s="66" t="s">
        <v>227</v>
      </c>
    </row>
    <row r="35" spans="1:29" x14ac:dyDescent="0.25">
      <c r="A35" s="67" t="s">
        <v>292</v>
      </c>
      <c r="C35" s="68">
        <v>3620</v>
      </c>
      <c r="D35" s="65">
        <v>0.34</v>
      </c>
      <c r="E35">
        <f>D35*$C$32</f>
        <v>90.100000000000009</v>
      </c>
      <c r="F35" s="69">
        <f>C35+E35</f>
        <v>3710.1</v>
      </c>
      <c r="K35" s="67" t="s">
        <v>292</v>
      </c>
      <c r="M35" s="68">
        <v>2816</v>
      </c>
      <c r="N35" s="65">
        <v>0.34</v>
      </c>
      <c r="O35">
        <f>N35*$C$32</f>
        <v>90.100000000000009</v>
      </c>
      <c r="P35" s="69">
        <f>M35+O35</f>
        <v>2906.1</v>
      </c>
      <c r="U35" s="67" t="s">
        <v>292</v>
      </c>
      <c r="W35" s="68">
        <v>3189</v>
      </c>
      <c r="X35" s="65">
        <v>0.35</v>
      </c>
      <c r="Y35" s="72">
        <f t="shared" ref="Y35:Y40" si="22">$W$32*X35</f>
        <v>96.710526315789465</v>
      </c>
      <c r="Z35" s="69">
        <f>W35+Y35</f>
        <v>3285.7105263157896</v>
      </c>
    </row>
    <row r="36" spans="1:29" x14ac:dyDescent="0.25">
      <c r="A36" s="67" t="s">
        <v>293</v>
      </c>
      <c r="C36" s="68">
        <v>3620</v>
      </c>
      <c r="D36" s="65">
        <v>0.35</v>
      </c>
      <c r="E36">
        <f t="shared" ref="E36:E38" si="23">D36*$C$32</f>
        <v>92.75</v>
      </c>
      <c r="F36" s="69">
        <f t="shared" ref="F36:F37" si="24">C36+E36</f>
        <v>3712.75</v>
      </c>
      <c r="K36" s="67" t="s">
        <v>293</v>
      </c>
      <c r="M36" s="68">
        <v>2816</v>
      </c>
      <c r="N36" s="65">
        <v>0.35</v>
      </c>
      <c r="O36">
        <f t="shared" ref="O36:O37" si="25">N36*$C$32</f>
        <v>92.75</v>
      </c>
      <c r="P36" s="69">
        <f t="shared" ref="P36:P38" si="26">M36+O36</f>
        <v>2908.75</v>
      </c>
      <c r="U36" s="67" t="s">
        <v>293</v>
      </c>
      <c r="W36" s="68">
        <v>3189</v>
      </c>
      <c r="X36" s="65">
        <v>0.36</v>
      </c>
      <c r="Y36" s="72">
        <f t="shared" si="22"/>
        <v>99.473684210526315</v>
      </c>
      <c r="Z36" s="69">
        <f t="shared" ref="Z36" si="27">W36+Y36</f>
        <v>3288.4736842105262</v>
      </c>
    </row>
    <row r="37" spans="1:29" x14ac:dyDescent="0.25">
      <c r="A37" s="67" t="s">
        <v>294</v>
      </c>
      <c r="C37" s="68">
        <v>3620</v>
      </c>
      <c r="D37" s="65">
        <v>0.35</v>
      </c>
      <c r="E37">
        <f t="shared" si="23"/>
        <v>92.75</v>
      </c>
      <c r="F37" s="69">
        <f t="shared" si="24"/>
        <v>3712.75</v>
      </c>
      <c r="G37" t="s">
        <v>299</v>
      </c>
      <c r="H37" s="69">
        <f>AVERAGE(F35:F37)</f>
        <v>3711.8666666666668</v>
      </c>
      <c r="I37" s="70">
        <f>H37/$F$30</f>
        <v>36.861511219219217</v>
      </c>
      <c r="K37" s="67" t="s">
        <v>294</v>
      </c>
      <c r="M37" s="68">
        <v>2816</v>
      </c>
      <c r="N37" s="65">
        <v>0.35</v>
      </c>
      <c r="O37">
        <f t="shared" si="25"/>
        <v>92.75</v>
      </c>
      <c r="P37" s="69">
        <f t="shared" si="26"/>
        <v>2908.75</v>
      </c>
      <c r="Q37" t="s">
        <v>299</v>
      </c>
      <c r="R37" s="69">
        <f>AVERAGE(P35:P37)</f>
        <v>2907.8666666666668</v>
      </c>
      <c r="S37" s="70">
        <f>R37/$F$30</f>
        <v>28.87721175975976</v>
      </c>
      <c r="U37" s="67" t="s">
        <v>294</v>
      </c>
      <c r="W37" s="68">
        <v>3189</v>
      </c>
      <c r="X37" s="65">
        <v>0.36</v>
      </c>
      <c r="Y37" s="72">
        <f t="shared" si="22"/>
        <v>99.473684210526315</v>
      </c>
      <c r="Z37" s="69">
        <f>W37+Y37</f>
        <v>3288.4736842105262</v>
      </c>
      <c r="AA37" t="s">
        <v>299</v>
      </c>
      <c r="AB37" s="69">
        <f>AVERAGE(Z35:Z37)</f>
        <v>3287.5526315789471</v>
      </c>
      <c r="AC37" s="70">
        <f>AB37/$F$6</f>
        <v>32.647767038880978</v>
      </c>
    </row>
    <row r="38" spans="1:29" x14ac:dyDescent="0.25">
      <c r="A38" s="67" t="s">
        <v>295</v>
      </c>
      <c r="C38" s="68">
        <v>3620</v>
      </c>
      <c r="D38">
        <v>0.38</v>
      </c>
      <c r="E38">
        <f t="shared" si="23"/>
        <v>100.7</v>
      </c>
      <c r="F38" s="69">
        <f>C38+E38</f>
        <v>3720.7</v>
      </c>
      <c r="K38" s="67" t="s">
        <v>295</v>
      </c>
      <c r="M38" s="68">
        <v>2816</v>
      </c>
      <c r="N38">
        <v>0.38</v>
      </c>
      <c r="O38">
        <f>N38*$C$32</f>
        <v>100.7</v>
      </c>
      <c r="P38" s="69">
        <f t="shared" si="26"/>
        <v>2916.7</v>
      </c>
      <c r="U38" s="67" t="s">
        <v>295</v>
      </c>
      <c r="W38" s="68">
        <v>3189</v>
      </c>
      <c r="X38">
        <v>0.38</v>
      </c>
      <c r="Y38">
        <f t="shared" si="22"/>
        <v>105</v>
      </c>
      <c r="Z38" s="69">
        <f>W38+Y38</f>
        <v>3294</v>
      </c>
    </row>
    <row r="39" spans="1:29" x14ac:dyDescent="0.25">
      <c r="A39" s="67" t="s">
        <v>301</v>
      </c>
      <c r="C39" s="68">
        <v>3620</v>
      </c>
      <c r="D39">
        <v>0.38</v>
      </c>
      <c r="E39">
        <f t="shared" ref="E39" si="28">D39*$C$32</f>
        <v>100.7</v>
      </c>
      <c r="F39" s="69">
        <f>C39+E39</f>
        <v>3720.7</v>
      </c>
      <c r="K39" s="67" t="s">
        <v>301</v>
      </c>
      <c r="M39" s="68">
        <v>2816</v>
      </c>
      <c r="N39">
        <v>0.38</v>
      </c>
      <c r="O39">
        <f>N39*$C$32</f>
        <v>100.7</v>
      </c>
      <c r="P39" s="69">
        <f t="shared" ref="P39" si="29">M39+O39</f>
        <v>2916.7</v>
      </c>
      <c r="U39" s="67" t="s">
        <v>301</v>
      </c>
      <c r="W39" s="68">
        <v>3189</v>
      </c>
      <c r="X39">
        <v>0.39</v>
      </c>
      <c r="Y39" s="72">
        <f t="shared" si="22"/>
        <v>107.76315789473685</v>
      </c>
      <c r="Z39" s="69">
        <f>W39+Y39</f>
        <v>3296.7631578947367</v>
      </c>
    </row>
    <row r="40" spans="1:29" x14ac:dyDescent="0.25">
      <c r="A40" s="67" t="s">
        <v>302</v>
      </c>
      <c r="C40" s="68">
        <v>3620</v>
      </c>
      <c r="D40">
        <v>0.37</v>
      </c>
      <c r="E40">
        <f t="shared" ref="E40" si="30">D40*$C$32</f>
        <v>98.05</v>
      </c>
      <c r="F40" s="69">
        <f>C40+E40</f>
        <v>3718.05</v>
      </c>
      <c r="G40" t="s">
        <v>303</v>
      </c>
      <c r="H40" s="69">
        <f>AVERAGE(F38:F40)</f>
        <v>3719.8166666666671</v>
      </c>
      <c r="I40" s="70">
        <f>H40/$F$30</f>
        <v>36.940460448948954</v>
      </c>
      <c r="K40" s="67" t="s">
        <v>302</v>
      </c>
      <c r="M40" s="68">
        <v>2816</v>
      </c>
      <c r="N40">
        <v>0.37</v>
      </c>
      <c r="O40">
        <f>N40*$C$32</f>
        <v>98.05</v>
      </c>
      <c r="P40" s="69">
        <f t="shared" ref="P40" si="31">M40+O40</f>
        <v>2914.05</v>
      </c>
      <c r="Q40" t="s">
        <v>303</v>
      </c>
      <c r="R40" s="69">
        <f>AVERAGE(P38:P40)</f>
        <v>2915.8166666666671</v>
      </c>
      <c r="S40" s="70">
        <f>R40/$F$30</f>
        <v>28.956160989489494</v>
      </c>
      <c r="U40" s="67" t="s">
        <v>302</v>
      </c>
      <c r="W40" s="68">
        <v>3189</v>
      </c>
      <c r="X40">
        <v>0.38</v>
      </c>
      <c r="Y40" s="72">
        <f t="shared" si="22"/>
        <v>105</v>
      </c>
      <c r="Z40" s="69">
        <f>W40+Y40</f>
        <v>3294</v>
      </c>
      <c r="AA40" t="s">
        <v>303</v>
      </c>
      <c r="AB40" s="69">
        <f>AVERAGE(Z38:Z40)</f>
        <v>3294.9210526315787</v>
      </c>
      <c r="AC40" s="70">
        <f>AB40/$F$6</f>
        <v>32.720940770507347</v>
      </c>
    </row>
    <row r="41" spans="1:29" x14ac:dyDescent="0.25">
      <c r="A41" s="67" t="s">
        <v>304</v>
      </c>
      <c r="C41" s="68">
        <v>3620</v>
      </c>
      <c r="D41" s="65">
        <v>0.37</v>
      </c>
      <c r="E41">
        <f t="shared" ref="E41:E42" si="32">D41*$C$32</f>
        <v>98.05</v>
      </c>
      <c r="F41" s="69">
        <f t="shared" ref="F41:F42" si="33">C41+E41</f>
        <v>3718.05</v>
      </c>
      <c r="K41" s="67" t="s">
        <v>304</v>
      </c>
      <c r="M41" s="68">
        <v>2816</v>
      </c>
      <c r="N41" s="65">
        <v>0.37</v>
      </c>
      <c r="O41">
        <f t="shared" ref="O41:O42" si="34">N41*$C$32</f>
        <v>98.05</v>
      </c>
      <c r="P41" s="69">
        <f t="shared" ref="P41:P42" si="35">M41+O41</f>
        <v>2914.05</v>
      </c>
      <c r="U41" s="67" t="s">
        <v>304</v>
      </c>
      <c r="W41" s="68">
        <v>3189</v>
      </c>
      <c r="X41" s="65">
        <v>0.37</v>
      </c>
      <c r="Y41" s="72">
        <f t="shared" ref="Y41:Y42" si="36">$W$32*X41</f>
        <v>102.23684210526316</v>
      </c>
      <c r="Z41" s="69">
        <f t="shared" ref="Z41:Z42" si="37">W41+Y41</f>
        <v>3291.2368421052633</v>
      </c>
    </row>
    <row r="42" spans="1:29" x14ac:dyDescent="0.25">
      <c r="A42" s="67" t="s">
        <v>305</v>
      </c>
      <c r="C42" s="68">
        <v>3620</v>
      </c>
      <c r="D42" s="65">
        <v>0.36</v>
      </c>
      <c r="E42">
        <f t="shared" si="32"/>
        <v>95.399999999999991</v>
      </c>
      <c r="F42" s="69">
        <f t="shared" si="33"/>
        <v>3715.4</v>
      </c>
      <c r="K42" s="67" t="s">
        <v>305</v>
      </c>
      <c r="M42" s="68">
        <v>2816</v>
      </c>
      <c r="N42" s="65">
        <v>0.36</v>
      </c>
      <c r="O42">
        <f t="shared" si="34"/>
        <v>95.399999999999991</v>
      </c>
      <c r="P42" s="69">
        <f t="shared" si="35"/>
        <v>2911.4</v>
      </c>
      <c r="U42" s="67" t="s">
        <v>305</v>
      </c>
      <c r="W42" s="68">
        <v>3189</v>
      </c>
      <c r="X42" s="65">
        <v>0.37</v>
      </c>
      <c r="Y42" s="72">
        <f t="shared" si="36"/>
        <v>102.23684210526316</v>
      </c>
      <c r="Z42" s="69">
        <f t="shared" si="37"/>
        <v>3291.2368421052633</v>
      </c>
    </row>
    <row r="62" spans="1:11" x14ac:dyDescent="0.25">
      <c r="A62" t="s">
        <v>188</v>
      </c>
      <c r="K62" t="s">
        <v>188</v>
      </c>
    </row>
    <row r="63" spans="1:11" x14ac:dyDescent="0.25">
      <c r="A63" s="62" t="s">
        <v>183</v>
      </c>
      <c r="B63" s="62" t="s">
        <v>189</v>
      </c>
      <c r="C63" s="62" t="s">
        <v>175</v>
      </c>
      <c r="D63" s="62"/>
      <c r="K63" s="62" t="s">
        <v>232</v>
      </c>
    </row>
    <row r="64" spans="1:11" x14ac:dyDescent="0.25">
      <c r="A64" t="s">
        <v>190</v>
      </c>
      <c r="K64" t="s">
        <v>233</v>
      </c>
    </row>
    <row r="65" spans="1:19" x14ac:dyDescent="0.25">
      <c r="A65" s="81" t="s">
        <v>154</v>
      </c>
      <c r="K65" s="81" t="s">
        <v>154</v>
      </c>
    </row>
    <row r="66" spans="1:19" x14ac:dyDescent="0.25">
      <c r="A66" t="s">
        <v>250</v>
      </c>
      <c r="E66" t="s">
        <v>229</v>
      </c>
      <c r="F66" s="70">
        <f>111/1.10231</f>
        <v>100.69762589471202</v>
      </c>
      <c r="G66" t="s">
        <v>228</v>
      </c>
      <c r="K66" t="s">
        <v>250</v>
      </c>
    </row>
    <row r="67" spans="1:19" x14ac:dyDescent="0.25">
      <c r="A67" t="s">
        <v>191</v>
      </c>
      <c r="K67" t="s">
        <v>191</v>
      </c>
    </row>
    <row r="68" spans="1:19" x14ac:dyDescent="0.25">
      <c r="A68" t="s">
        <v>192</v>
      </c>
      <c r="C68">
        <v>1507</v>
      </c>
      <c r="K68" t="s">
        <v>192</v>
      </c>
      <c r="M68">
        <v>1851</v>
      </c>
    </row>
    <row r="69" spans="1:19" x14ac:dyDescent="0.25">
      <c r="D69" t="s">
        <v>195</v>
      </c>
      <c r="E69" t="s">
        <v>195</v>
      </c>
      <c r="F69" t="s">
        <v>219</v>
      </c>
      <c r="H69" t="s">
        <v>230</v>
      </c>
      <c r="N69" t="s">
        <v>195</v>
      </c>
      <c r="O69" t="s">
        <v>195</v>
      </c>
      <c r="P69" t="s">
        <v>219</v>
      </c>
      <c r="R69" t="s">
        <v>230</v>
      </c>
    </row>
    <row r="70" spans="1:19" ht="15.75" thickBot="1" x14ac:dyDescent="0.3">
      <c r="A70" s="66" t="s">
        <v>193</v>
      </c>
      <c r="B70" s="66"/>
      <c r="C70" s="66" t="s">
        <v>194</v>
      </c>
      <c r="D70" s="66" t="s">
        <v>196</v>
      </c>
      <c r="E70" s="66" t="s">
        <v>218</v>
      </c>
      <c r="F70" s="66" t="s">
        <v>195</v>
      </c>
      <c r="H70" s="66" t="s">
        <v>231</v>
      </c>
      <c r="I70" s="66" t="s">
        <v>227</v>
      </c>
      <c r="K70" s="66" t="s">
        <v>193</v>
      </c>
      <c r="L70" s="66"/>
      <c r="M70" s="66" t="s">
        <v>194</v>
      </c>
      <c r="N70" s="66" t="s">
        <v>196</v>
      </c>
      <c r="O70" s="66" t="s">
        <v>218</v>
      </c>
      <c r="P70" s="66" t="s">
        <v>195</v>
      </c>
      <c r="R70" s="66" t="s">
        <v>231</v>
      </c>
      <c r="S70" s="66" t="s">
        <v>227</v>
      </c>
    </row>
    <row r="71" spans="1:19" x14ac:dyDescent="0.25">
      <c r="A71" s="67" t="s">
        <v>197</v>
      </c>
      <c r="C71" s="68">
        <v>3870</v>
      </c>
      <c r="D71" s="65">
        <v>0.41</v>
      </c>
      <c r="E71">
        <f>D71*$C$68</f>
        <v>617.87</v>
      </c>
      <c r="F71" s="69">
        <f>C71+E71</f>
        <v>4487.87</v>
      </c>
      <c r="K71" s="67" t="s">
        <v>197</v>
      </c>
      <c r="M71" s="68">
        <v>3870</v>
      </c>
      <c r="N71" s="65">
        <v>0.41</v>
      </c>
      <c r="O71">
        <f>$M$68*N71</f>
        <v>758.91</v>
      </c>
      <c r="P71" s="69">
        <f>M71+O71</f>
        <v>4628.91</v>
      </c>
    </row>
    <row r="72" spans="1:19" x14ac:dyDescent="0.25">
      <c r="A72" s="67" t="s">
        <v>198</v>
      </c>
      <c r="C72" s="68">
        <v>3870</v>
      </c>
      <c r="D72" s="65">
        <v>0.3</v>
      </c>
      <c r="E72" s="70">
        <f t="shared" ref="E72:E118" si="38">D72*$C$68</f>
        <v>452.09999999999997</v>
      </c>
      <c r="F72" s="69">
        <f t="shared" ref="F72:F118" si="39">C72+E72</f>
        <v>4322.1000000000004</v>
      </c>
      <c r="K72" s="67" t="s">
        <v>198</v>
      </c>
      <c r="M72" s="68">
        <v>3870</v>
      </c>
      <c r="N72" s="65">
        <v>0.3</v>
      </c>
      <c r="O72">
        <f t="shared" ref="O72:O114" si="40">$M$68*N72</f>
        <v>555.29999999999995</v>
      </c>
      <c r="P72" s="69">
        <f t="shared" ref="P72:P114" si="41">M72+O72</f>
        <v>4425.3</v>
      </c>
    </row>
    <row r="73" spans="1:19" x14ac:dyDescent="0.25">
      <c r="A73" s="67" t="s">
        <v>199</v>
      </c>
      <c r="C73" s="68">
        <v>3870</v>
      </c>
      <c r="D73" s="65">
        <v>0.27</v>
      </c>
      <c r="E73">
        <f t="shared" si="38"/>
        <v>406.89000000000004</v>
      </c>
      <c r="F73" s="69">
        <f t="shared" si="39"/>
        <v>4276.8900000000003</v>
      </c>
      <c r="G73" t="s">
        <v>220</v>
      </c>
      <c r="H73" s="69">
        <f>AVERAGE(F71:F73)</f>
        <v>4362.2866666666669</v>
      </c>
      <c r="I73" s="70">
        <f>H73/$F$66</f>
        <v>43.320650590390393</v>
      </c>
      <c r="K73" s="67" t="s">
        <v>199</v>
      </c>
      <c r="M73" s="68">
        <v>3870</v>
      </c>
      <c r="N73" s="65">
        <v>0.27</v>
      </c>
      <c r="O73">
        <f t="shared" si="40"/>
        <v>499.77000000000004</v>
      </c>
      <c r="P73" s="69">
        <f t="shared" si="41"/>
        <v>4369.7700000000004</v>
      </c>
      <c r="Q73" t="s">
        <v>220</v>
      </c>
      <c r="R73" s="69">
        <f>AVERAGE(P71:P73)</f>
        <v>4474.66</v>
      </c>
      <c r="S73" s="70">
        <f>R73/$F$66</f>
        <v>44.436598780180177</v>
      </c>
    </row>
    <row r="74" spans="1:19" x14ac:dyDescent="0.25">
      <c r="A74" s="67" t="s">
        <v>200</v>
      </c>
      <c r="C74" s="68">
        <v>3870</v>
      </c>
      <c r="D74" s="65">
        <v>0.24</v>
      </c>
      <c r="E74">
        <f t="shared" si="38"/>
        <v>361.68</v>
      </c>
      <c r="F74" s="69">
        <f t="shared" si="39"/>
        <v>4231.68</v>
      </c>
      <c r="K74" s="67" t="s">
        <v>200</v>
      </c>
      <c r="M74" s="68">
        <v>3870</v>
      </c>
      <c r="N74" s="65">
        <v>0.24</v>
      </c>
      <c r="O74">
        <f t="shared" si="40"/>
        <v>444.24</v>
      </c>
      <c r="P74" s="69">
        <f t="shared" si="41"/>
        <v>4314.24</v>
      </c>
    </row>
    <row r="75" spans="1:19" x14ac:dyDescent="0.25">
      <c r="A75" s="67" t="s">
        <v>201</v>
      </c>
      <c r="C75" s="68">
        <v>3870</v>
      </c>
      <c r="D75" s="65">
        <v>0.22</v>
      </c>
      <c r="E75">
        <f t="shared" si="38"/>
        <v>331.54</v>
      </c>
      <c r="F75" s="69">
        <f t="shared" si="39"/>
        <v>4201.54</v>
      </c>
      <c r="K75" s="67" t="s">
        <v>201</v>
      </c>
      <c r="M75" s="68">
        <v>3870</v>
      </c>
      <c r="N75" s="65">
        <v>0.22</v>
      </c>
      <c r="O75">
        <f t="shared" si="40"/>
        <v>407.22</v>
      </c>
      <c r="P75" s="69">
        <f t="shared" si="41"/>
        <v>4277.22</v>
      </c>
    </row>
    <row r="76" spans="1:19" x14ac:dyDescent="0.25">
      <c r="A76" s="67" t="s">
        <v>202</v>
      </c>
      <c r="C76" s="68">
        <v>3870</v>
      </c>
      <c r="D76" s="65">
        <v>0.25</v>
      </c>
      <c r="E76">
        <f t="shared" si="38"/>
        <v>376.75</v>
      </c>
      <c r="F76" s="69">
        <f t="shared" si="39"/>
        <v>4246.75</v>
      </c>
      <c r="G76" t="s">
        <v>222</v>
      </c>
      <c r="H76" s="69">
        <f>AVERAGE(F74:F76)</f>
        <v>4226.6566666666668</v>
      </c>
      <c r="I76" s="70">
        <f>H76/$F$66</f>
        <v>41.973746939039039</v>
      </c>
      <c r="K76" s="67" t="s">
        <v>202</v>
      </c>
      <c r="M76" s="68">
        <v>3870</v>
      </c>
      <c r="N76" s="65">
        <v>0.25</v>
      </c>
      <c r="O76">
        <f t="shared" si="40"/>
        <v>462.75</v>
      </c>
      <c r="P76" s="69">
        <f t="shared" si="41"/>
        <v>4332.75</v>
      </c>
      <c r="Q76" t="s">
        <v>222</v>
      </c>
      <c r="R76" s="69">
        <f>AVERAGE(P74:P76)</f>
        <v>4308.07</v>
      </c>
      <c r="S76" s="70">
        <f>R76/$F$66</f>
        <v>42.78224001531531</v>
      </c>
    </row>
    <row r="77" spans="1:19" x14ac:dyDescent="0.25">
      <c r="A77" s="67" t="s">
        <v>203</v>
      </c>
      <c r="C77" s="68">
        <v>3870</v>
      </c>
      <c r="D77" s="65">
        <v>0.25</v>
      </c>
      <c r="E77">
        <f t="shared" si="38"/>
        <v>376.75</v>
      </c>
      <c r="F77" s="69">
        <f t="shared" si="39"/>
        <v>4246.75</v>
      </c>
      <c r="K77" s="67" t="s">
        <v>203</v>
      </c>
      <c r="M77" s="68">
        <v>3870</v>
      </c>
      <c r="N77" s="65">
        <v>0.25</v>
      </c>
      <c r="O77">
        <f t="shared" si="40"/>
        <v>462.75</v>
      </c>
      <c r="P77" s="69">
        <f t="shared" si="41"/>
        <v>4332.75</v>
      </c>
    </row>
    <row r="78" spans="1:19" x14ac:dyDescent="0.25">
      <c r="A78" s="67" t="s">
        <v>204</v>
      </c>
      <c r="C78" s="68">
        <v>3870</v>
      </c>
      <c r="D78" s="65">
        <v>0.32</v>
      </c>
      <c r="E78">
        <f t="shared" si="38"/>
        <v>482.24</v>
      </c>
      <c r="F78" s="69">
        <f t="shared" si="39"/>
        <v>4352.24</v>
      </c>
      <c r="K78" s="67" t="s">
        <v>204</v>
      </c>
      <c r="M78" s="68">
        <v>3870</v>
      </c>
      <c r="N78" s="65">
        <v>0.32</v>
      </c>
      <c r="O78">
        <f t="shared" si="40"/>
        <v>592.32000000000005</v>
      </c>
      <c r="P78" s="69">
        <f t="shared" si="41"/>
        <v>4462.32</v>
      </c>
    </row>
    <row r="79" spans="1:19" x14ac:dyDescent="0.25">
      <c r="A79" s="67" t="s">
        <v>205</v>
      </c>
      <c r="C79" s="68">
        <v>4170</v>
      </c>
      <c r="D79" s="65">
        <v>0.33</v>
      </c>
      <c r="E79">
        <f t="shared" si="38"/>
        <v>497.31</v>
      </c>
      <c r="F79" s="69">
        <f t="shared" si="39"/>
        <v>4667.3100000000004</v>
      </c>
      <c r="G79" t="s">
        <v>221</v>
      </c>
      <c r="H79" s="69">
        <f>AVERAGE(F77:F79)</f>
        <v>4422.0999999999995</v>
      </c>
      <c r="I79" s="70">
        <f>H79/$F$66</f>
        <v>43.914640099099088</v>
      </c>
      <c r="K79" s="67" t="s">
        <v>205</v>
      </c>
      <c r="M79" s="68">
        <v>4170</v>
      </c>
      <c r="N79" s="65">
        <v>0.33</v>
      </c>
      <c r="O79">
        <f t="shared" si="40"/>
        <v>610.83000000000004</v>
      </c>
      <c r="P79" s="69">
        <f t="shared" si="41"/>
        <v>4780.83</v>
      </c>
      <c r="Q79" t="s">
        <v>221</v>
      </c>
      <c r="R79" s="69">
        <f>AVERAGE(P77:P79)</f>
        <v>4525.3</v>
      </c>
      <c r="S79" s="70">
        <f>R79/$F$66</f>
        <v>44.939490477477477</v>
      </c>
    </row>
    <row r="80" spans="1:19" x14ac:dyDescent="0.25">
      <c r="A80" s="67" t="s">
        <v>206</v>
      </c>
      <c r="C80" s="68">
        <v>4170</v>
      </c>
      <c r="D80" s="65">
        <v>0.35</v>
      </c>
      <c r="E80">
        <f t="shared" si="38"/>
        <v>527.44999999999993</v>
      </c>
      <c r="F80" s="69">
        <f t="shared" si="39"/>
        <v>4697.45</v>
      </c>
      <c r="K80" s="67" t="s">
        <v>206</v>
      </c>
      <c r="M80" s="68">
        <v>4170</v>
      </c>
      <c r="N80" s="65">
        <v>0.35</v>
      </c>
      <c r="O80">
        <f t="shared" si="40"/>
        <v>647.84999999999991</v>
      </c>
      <c r="P80" s="69">
        <f t="shared" si="41"/>
        <v>4817.8500000000004</v>
      </c>
    </row>
    <row r="81" spans="1:19" x14ac:dyDescent="0.25">
      <c r="A81" s="67" t="s">
        <v>207</v>
      </c>
      <c r="C81" s="68">
        <v>4170</v>
      </c>
      <c r="D81" s="65">
        <v>0.35</v>
      </c>
      <c r="E81">
        <f t="shared" si="38"/>
        <v>527.44999999999993</v>
      </c>
      <c r="F81" s="69">
        <f t="shared" si="39"/>
        <v>4697.45</v>
      </c>
      <c r="K81" s="67" t="s">
        <v>207</v>
      </c>
      <c r="M81" s="68">
        <v>4170</v>
      </c>
      <c r="N81" s="65">
        <v>0.35</v>
      </c>
      <c r="O81">
        <f t="shared" si="40"/>
        <v>647.84999999999991</v>
      </c>
      <c r="P81" s="69">
        <f t="shared" si="41"/>
        <v>4817.8500000000004</v>
      </c>
    </row>
    <row r="82" spans="1:19" x14ac:dyDescent="0.25">
      <c r="A82" s="67" t="s">
        <v>208</v>
      </c>
      <c r="C82" s="68">
        <v>4170</v>
      </c>
      <c r="D82" s="65">
        <v>0.36</v>
      </c>
      <c r="E82">
        <f t="shared" si="38"/>
        <v>542.52</v>
      </c>
      <c r="F82" s="69">
        <f t="shared" si="39"/>
        <v>4712.5200000000004</v>
      </c>
      <c r="G82" t="s">
        <v>223</v>
      </c>
      <c r="H82" s="69">
        <f>AVERAGE(F80:F82)</f>
        <v>4702.4733333333334</v>
      </c>
      <c r="I82" s="70">
        <f>H82/$F$66</f>
        <v>46.698949369969966</v>
      </c>
      <c r="K82" s="67" t="s">
        <v>208</v>
      </c>
      <c r="M82" s="68">
        <v>4170</v>
      </c>
      <c r="N82" s="65">
        <v>0.36</v>
      </c>
      <c r="O82">
        <f t="shared" si="40"/>
        <v>666.36</v>
      </c>
      <c r="P82" s="69">
        <f t="shared" si="41"/>
        <v>4836.3599999999997</v>
      </c>
      <c r="Q82" t="s">
        <v>223</v>
      </c>
      <c r="R82" s="69">
        <f>AVERAGE(P80:P82)</f>
        <v>4824.0200000000004</v>
      </c>
      <c r="S82" s="70">
        <f>R82/$F$66</f>
        <v>47.905995371171173</v>
      </c>
    </row>
    <row r="83" spans="1:19" x14ac:dyDescent="0.25">
      <c r="A83" s="67" t="s">
        <v>209</v>
      </c>
      <c r="C83" s="68">
        <v>4170</v>
      </c>
      <c r="D83" s="65">
        <v>0.39</v>
      </c>
      <c r="E83">
        <f t="shared" si="38"/>
        <v>587.73</v>
      </c>
      <c r="F83" s="69">
        <f t="shared" si="39"/>
        <v>4757.7299999999996</v>
      </c>
      <c r="K83" s="67" t="s">
        <v>209</v>
      </c>
      <c r="M83" s="68">
        <v>4170</v>
      </c>
      <c r="N83" s="65">
        <v>0.39</v>
      </c>
      <c r="O83">
        <f t="shared" si="40"/>
        <v>721.89</v>
      </c>
      <c r="P83" s="69">
        <f t="shared" si="41"/>
        <v>4891.8900000000003</v>
      </c>
    </row>
    <row r="84" spans="1:19" x14ac:dyDescent="0.25">
      <c r="A84" s="67" t="s">
        <v>210</v>
      </c>
      <c r="C84" s="68">
        <v>4170</v>
      </c>
      <c r="D84" s="65">
        <v>0.38</v>
      </c>
      <c r="E84">
        <f t="shared" si="38"/>
        <v>572.66</v>
      </c>
      <c r="F84" s="69">
        <f t="shared" si="39"/>
        <v>4742.66</v>
      </c>
      <c r="K84" s="67" t="s">
        <v>210</v>
      </c>
      <c r="M84" s="68">
        <v>4170</v>
      </c>
      <c r="N84" s="65">
        <v>0.38</v>
      </c>
      <c r="O84">
        <f t="shared" si="40"/>
        <v>703.38</v>
      </c>
      <c r="P84" s="69">
        <f t="shared" si="41"/>
        <v>4873.38</v>
      </c>
    </row>
    <row r="85" spans="1:19" x14ac:dyDescent="0.25">
      <c r="A85" s="67" t="s">
        <v>211</v>
      </c>
      <c r="C85" s="68">
        <v>4170</v>
      </c>
      <c r="D85" s="65">
        <v>0.4</v>
      </c>
      <c r="E85" s="70">
        <f t="shared" si="38"/>
        <v>602.80000000000007</v>
      </c>
      <c r="F85" s="69">
        <f t="shared" si="39"/>
        <v>4772.8</v>
      </c>
      <c r="G85" t="s">
        <v>224</v>
      </c>
      <c r="H85" s="69">
        <f>AVERAGE(F83:F85)</f>
        <v>4757.7299999999996</v>
      </c>
      <c r="I85" s="70">
        <f>H85/$F$66</f>
        <v>47.247687894594591</v>
      </c>
      <c r="K85" s="67" t="s">
        <v>211</v>
      </c>
      <c r="M85" s="68">
        <v>4170</v>
      </c>
      <c r="N85" s="65">
        <v>0.4</v>
      </c>
      <c r="O85">
        <f t="shared" si="40"/>
        <v>740.40000000000009</v>
      </c>
      <c r="P85" s="69">
        <f t="shared" si="41"/>
        <v>4910.3999999999996</v>
      </c>
      <c r="Q85" t="s">
        <v>224</v>
      </c>
      <c r="R85" s="69">
        <f>AVERAGE(P83:P85)</f>
        <v>4891.8900000000003</v>
      </c>
      <c r="S85" s="70">
        <f>R85/$F$66</f>
        <v>48.579993386486485</v>
      </c>
    </row>
    <row r="86" spans="1:19" x14ac:dyDescent="0.25">
      <c r="A86" s="67" t="s">
        <v>212</v>
      </c>
      <c r="C86" s="68">
        <v>4170</v>
      </c>
      <c r="D86" s="65">
        <v>0.39</v>
      </c>
      <c r="E86">
        <f t="shared" si="38"/>
        <v>587.73</v>
      </c>
      <c r="F86" s="69">
        <f t="shared" si="39"/>
        <v>4757.7299999999996</v>
      </c>
      <c r="K86" s="67" t="s">
        <v>212</v>
      </c>
      <c r="M86" s="68">
        <v>4170</v>
      </c>
      <c r="N86" s="65">
        <v>0.39</v>
      </c>
      <c r="O86">
        <f t="shared" si="40"/>
        <v>721.89</v>
      </c>
      <c r="P86" s="69">
        <f t="shared" si="41"/>
        <v>4891.8900000000003</v>
      </c>
    </row>
    <row r="87" spans="1:19" x14ac:dyDescent="0.25">
      <c r="A87" s="67" t="s">
        <v>213</v>
      </c>
      <c r="C87" s="68">
        <v>4170</v>
      </c>
      <c r="D87" s="65">
        <v>0.42</v>
      </c>
      <c r="E87">
        <f t="shared" si="38"/>
        <v>632.93999999999994</v>
      </c>
      <c r="F87" s="69">
        <f t="shared" si="39"/>
        <v>4802.9399999999996</v>
      </c>
      <c r="K87" s="67" t="s">
        <v>213</v>
      </c>
      <c r="M87" s="68">
        <v>4170</v>
      </c>
      <c r="N87" s="65">
        <v>0.42</v>
      </c>
      <c r="O87">
        <f t="shared" si="40"/>
        <v>777.42</v>
      </c>
      <c r="P87" s="69">
        <f t="shared" si="41"/>
        <v>4947.42</v>
      </c>
    </row>
    <row r="88" spans="1:19" x14ac:dyDescent="0.25">
      <c r="A88" s="67" t="s">
        <v>214</v>
      </c>
      <c r="C88" s="68">
        <v>4170</v>
      </c>
      <c r="D88" s="65">
        <v>0.46</v>
      </c>
      <c r="E88">
        <f t="shared" si="38"/>
        <v>693.22</v>
      </c>
      <c r="F88" s="69">
        <f t="shared" si="39"/>
        <v>4863.22</v>
      </c>
      <c r="G88" t="s">
        <v>225</v>
      </c>
      <c r="H88" s="69">
        <f>AVERAGE(F86:F88)</f>
        <v>4807.9633333333331</v>
      </c>
      <c r="I88" s="70">
        <f>H88/$F$66</f>
        <v>47.746541098798794</v>
      </c>
      <c r="K88" s="67" t="s">
        <v>214</v>
      </c>
      <c r="M88" s="68">
        <v>4170</v>
      </c>
      <c r="N88" s="65">
        <v>0.46</v>
      </c>
      <c r="O88">
        <f t="shared" si="40"/>
        <v>851.46</v>
      </c>
      <c r="P88" s="69">
        <f t="shared" si="41"/>
        <v>5021.46</v>
      </c>
      <c r="Q88" t="s">
        <v>225</v>
      </c>
      <c r="R88" s="69">
        <f>AVERAGE(P86:P88)</f>
        <v>4953.59</v>
      </c>
      <c r="S88" s="70">
        <f>R88/$F$66</f>
        <v>49.192718854954954</v>
      </c>
    </row>
    <row r="89" spans="1:19" x14ac:dyDescent="0.25">
      <c r="A89" s="67" t="s">
        <v>215</v>
      </c>
      <c r="C89" s="68">
        <v>4170</v>
      </c>
      <c r="D89" s="65">
        <v>0.46</v>
      </c>
      <c r="E89">
        <f t="shared" si="38"/>
        <v>693.22</v>
      </c>
      <c r="F89" s="69">
        <f t="shared" si="39"/>
        <v>4863.22</v>
      </c>
      <c r="K89" s="67" t="s">
        <v>215</v>
      </c>
      <c r="M89" s="68">
        <v>4170</v>
      </c>
      <c r="N89" s="65">
        <v>0.46</v>
      </c>
      <c r="O89">
        <f t="shared" si="40"/>
        <v>851.46</v>
      </c>
      <c r="P89" s="69">
        <f t="shared" si="41"/>
        <v>5021.46</v>
      </c>
    </row>
    <row r="90" spans="1:19" x14ac:dyDescent="0.25">
      <c r="A90" s="67" t="s">
        <v>216</v>
      </c>
      <c r="C90" s="68">
        <v>4170</v>
      </c>
      <c r="D90" s="65">
        <v>0.43</v>
      </c>
      <c r="E90">
        <f t="shared" si="38"/>
        <v>648.01</v>
      </c>
      <c r="F90" s="69">
        <f t="shared" si="39"/>
        <v>4818.01</v>
      </c>
      <c r="K90" s="67" t="s">
        <v>216</v>
      </c>
      <c r="M90" s="68">
        <v>4170</v>
      </c>
      <c r="N90" s="65">
        <v>0.43</v>
      </c>
      <c r="O90">
        <f t="shared" si="40"/>
        <v>795.93</v>
      </c>
      <c r="P90" s="69">
        <f t="shared" si="41"/>
        <v>4965.93</v>
      </c>
    </row>
    <row r="91" spans="1:19" x14ac:dyDescent="0.25">
      <c r="A91" s="67" t="s">
        <v>217</v>
      </c>
      <c r="C91" s="68">
        <v>4170</v>
      </c>
      <c r="D91" s="65">
        <v>0.42</v>
      </c>
      <c r="E91">
        <f t="shared" si="38"/>
        <v>632.93999999999994</v>
      </c>
      <c r="F91" s="69">
        <f t="shared" si="39"/>
        <v>4802.9399999999996</v>
      </c>
      <c r="G91" t="s">
        <v>226</v>
      </c>
      <c r="H91" s="69">
        <f>AVERAGE(F89:F91)</f>
        <v>4828.0566666666664</v>
      </c>
      <c r="I91" s="70">
        <f>H91/$F$66</f>
        <v>47.946082380480476</v>
      </c>
      <c r="K91" s="67" t="s">
        <v>217</v>
      </c>
      <c r="M91" s="68">
        <v>4170</v>
      </c>
      <c r="N91" s="65">
        <v>0.42</v>
      </c>
      <c r="O91">
        <f t="shared" si="40"/>
        <v>777.42</v>
      </c>
      <c r="P91" s="69">
        <f t="shared" si="41"/>
        <v>4947.42</v>
      </c>
      <c r="Q91" t="s">
        <v>226</v>
      </c>
      <c r="R91" s="69">
        <f>AVERAGE(P89:P91)</f>
        <v>4978.2699999999995</v>
      </c>
      <c r="S91" s="70">
        <f>R91/$F$66</f>
        <v>49.437809042342337</v>
      </c>
    </row>
    <row r="92" spans="1:19" x14ac:dyDescent="0.25">
      <c r="A92" s="67" t="s">
        <v>247</v>
      </c>
      <c r="C92" s="68">
        <v>4270</v>
      </c>
      <c r="D92" s="65">
        <v>0.43</v>
      </c>
      <c r="E92">
        <f t="shared" si="38"/>
        <v>648.01</v>
      </c>
      <c r="F92" s="69">
        <f t="shared" si="39"/>
        <v>4918.01</v>
      </c>
      <c r="H92" s="69"/>
      <c r="I92" s="70"/>
      <c r="K92" s="67" t="s">
        <v>247</v>
      </c>
      <c r="M92" s="68">
        <v>4270</v>
      </c>
      <c r="N92" s="65">
        <v>0.43</v>
      </c>
      <c r="O92">
        <f t="shared" si="40"/>
        <v>795.93</v>
      </c>
      <c r="P92" s="69">
        <f t="shared" si="41"/>
        <v>5065.93</v>
      </c>
      <c r="R92" s="69"/>
      <c r="S92" s="70"/>
    </row>
    <row r="93" spans="1:19" x14ac:dyDescent="0.25">
      <c r="A93" s="67" t="s">
        <v>248</v>
      </c>
      <c r="C93" s="68">
        <v>4270</v>
      </c>
      <c r="D93" s="65">
        <v>0.43</v>
      </c>
      <c r="E93">
        <f t="shared" si="38"/>
        <v>648.01</v>
      </c>
      <c r="F93" s="69">
        <f t="shared" si="39"/>
        <v>4918.01</v>
      </c>
      <c r="H93" s="69"/>
      <c r="I93" s="70"/>
      <c r="K93" s="67" t="s">
        <v>248</v>
      </c>
      <c r="M93" s="68">
        <v>4270</v>
      </c>
      <c r="N93" s="65">
        <v>0.43</v>
      </c>
      <c r="O93">
        <f t="shared" si="40"/>
        <v>795.93</v>
      </c>
      <c r="P93" s="69">
        <f t="shared" si="41"/>
        <v>5065.93</v>
      </c>
      <c r="R93" s="69"/>
      <c r="S93" s="70"/>
    </row>
    <row r="94" spans="1:19" x14ac:dyDescent="0.25">
      <c r="A94" s="67" t="s">
        <v>249</v>
      </c>
      <c r="C94" s="68">
        <v>4270</v>
      </c>
      <c r="D94" s="65">
        <v>0.46</v>
      </c>
      <c r="E94">
        <f t="shared" si="38"/>
        <v>693.22</v>
      </c>
      <c r="F94" s="69">
        <f t="shared" si="39"/>
        <v>4963.22</v>
      </c>
      <c r="G94" t="s">
        <v>251</v>
      </c>
      <c r="H94" s="69">
        <f>AVERAGE(F92:F94)</f>
        <v>4933.0800000000008</v>
      </c>
      <c r="I94" s="70">
        <f>H94/$F$66</f>
        <v>48.98903977297298</v>
      </c>
      <c r="K94" s="67" t="s">
        <v>249</v>
      </c>
      <c r="M94" s="68">
        <v>4270</v>
      </c>
      <c r="N94" s="65">
        <v>0.46</v>
      </c>
      <c r="O94">
        <f t="shared" si="40"/>
        <v>851.46</v>
      </c>
      <c r="P94" s="69">
        <f t="shared" si="41"/>
        <v>5121.46</v>
      </c>
      <c r="Q94" t="s">
        <v>251</v>
      </c>
      <c r="R94" s="69">
        <f>AVERAGE(P92:P94)</f>
        <v>5084.4399999999996</v>
      </c>
      <c r="S94" s="70">
        <f>R94/$F$66</f>
        <v>50.492153661261256</v>
      </c>
    </row>
    <row r="95" spans="1:19" x14ac:dyDescent="0.25">
      <c r="A95" s="67" t="s">
        <v>252</v>
      </c>
      <c r="C95" s="68">
        <v>4270</v>
      </c>
      <c r="D95" s="65">
        <v>0.48</v>
      </c>
      <c r="E95">
        <f t="shared" si="38"/>
        <v>723.36</v>
      </c>
      <c r="F95" s="69">
        <f t="shared" si="39"/>
        <v>4993.3599999999997</v>
      </c>
      <c r="H95" s="69"/>
      <c r="I95" s="70"/>
      <c r="K95" s="67" t="s">
        <v>252</v>
      </c>
      <c r="M95" s="68">
        <v>4270</v>
      </c>
      <c r="N95" s="65">
        <v>0.48</v>
      </c>
      <c r="O95">
        <f t="shared" si="40"/>
        <v>888.48</v>
      </c>
      <c r="P95" s="69">
        <f t="shared" si="41"/>
        <v>5158.4799999999996</v>
      </c>
      <c r="R95" s="69"/>
      <c r="S95" s="70"/>
    </row>
    <row r="96" spans="1:19" x14ac:dyDescent="0.25">
      <c r="A96" s="67" t="s">
        <v>253</v>
      </c>
      <c r="C96" s="68">
        <v>4270</v>
      </c>
      <c r="D96" s="65">
        <v>0.5</v>
      </c>
      <c r="E96" s="70">
        <f t="shared" si="38"/>
        <v>753.5</v>
      </c>
      <c r="F96" s="69">
        <f t="shared" si="39"/>
        <v>5023.5</v>
      </c>
      <c r="H96" s="69"/>
      <c r="I96" s="70"/>
      <c r="K96" s="67" t="s">
        <v>253</v>
      </c>
      <c r="M96" s="68">
        <v>4270</v>
      </c>
      <c r="N96" s="65">
        <v>0.5</v>
      </c>
      <c r="O96">
        <f t="shared" si="40"/>
        <v>925.5</v>
      </c>
      <c r="P96" s="69">
        <f t="shared" si="41"/>
        <v>5195.5</v>
      </c>
      <c r="R96" s="69"/>
      <c r="S96" s="70"/>
    </row>
    <row r="97" spans="1:19" x14ac:dyDescent="0.25">
      <c r="A97" s="67" t="s">
        <v>254</v>
      </c>
      <c r="C97" s="68">
        <v>4270</v>
      </c>
      <c r="D97" s="65">
        <v>0.23</v>
      </c>
      <c r="E97">
        <f t="shared" si="38"/>
        <v>346.61</v>
      </c>
      <c r="F97" s="69">
        <f t="shared" si="39"/>
        <v>4616.6099999999997</v>
      </c>
      <c r="G97" t="s">
        <v>266</v>
      </c>
      <c r="H97" s="69">
        <f>AVERAGE(F95:F97)</f>
        <v>4877.8233333333337</v>
      </c>
      <c r="I97" s="70">
        <f>H97/$F$66</f>
        <v>48.440301248348348</v>
      </c>
      <c r="K97" s="67" t="s">
        <v>254</v>
      </c>
      <c r="M97" s="68">
        <v>4270</v>
      </c>
      <c r="N97" s="65">
        <v>0.23</v>
      </c>
      <c r="O97">
        <f t="shared" si="40"/>
        <v>425.73</v>
      </c>
      <c r="P97" s="69">
        <f t="shared" si="41"/>
        <v>4695.7299999999996</v>
      </c>
      <c r="Q97" t="s">
        <v>266</v>
      </c>
      <c r="R97" s="69">
        <f>AVERAGE(P95:P97)</f>
        <v>5016.57</v>
      </c>
      <c r="S97" s="70">
        <f>R97/$F$66</f>
        <v>49.818155645945943</v>
      </c>
    </row>
    <row r="98" spans="1:19" x14ac:dyDescent="0.25">
      <c r="A98" s="67" t="s">
        <v>255</v>
      </c>
      <c r="C98" s="68">
        <v>4730</v>
      </c>
      <c r="D98" s="65">
        <v>0.28000000000000003</v>
      </c>
      <c r="E98">
        <f t="shared" si="38"/>
        <v>421.96000000000004</v>
      </c>
      <c r="F98" s="69">
        <f t="shared" si="39"/>
        <v>5151.96</v>
      </c>
      <c r="H98" s="69"/>
      <c r="I98" s="70"/>
      <c r="K98" s="67" t="s">
        <v>255</v>
      </c>
      <c r="M98" s="68">
        <v>4830</v>
      </c>
      <c r="N98" s="65">
        <v>0.28000000000000003</v>
      </c>
      <c r="O98">
        <f t="shared" si="40"/>
        <v>518.28000000000009</v>
      </c>
      <c r="P98" s="69">
        <f t="shared" si="41"/>
        <v>5348.28</v>
      </c>
      <c r="R98" s="69"/>
      <c r="S98" s="70"/>
    </row>
    <row r="99" spans="1:19" x14ac:dyDescent="0.25">
      <c r="A99" s="67" t="s">
        <v>256</v>
      </c>
      <c r="C99" s="68">
        <v>4730</v>
      </c>
      <c r="D99" s="65">
        <v>0.36</v>
      </c>
      <c r="E99">
        <f t="shared" si="38"/>
        <v>542.52</v>
      </c>
      <c r="F99" s="69">
        <f t="shared" si="39"/>
        <v>5272.52</v>
      </c>
      <c r="H99" s="69"/>
      <c r="I99" s="70"/>
      <c r="K99" s="67" t="s">
        <v>256</v>
      </c>
      <c r="M99" s="68">
        <v>4830</v>
      </c>
      <c r="N99" s="65">
        <v>0.36</v>
      </c>
      <c r="O99">
        <f t="shared" si="40"/>
        <v>666.36</v>
      </c>
      <c r="P99" s="69">
        <f t="shared" si="41"/>
        <v>5496.36</v>
      </c>
      <c r="R99" s="69"/>
      <c r="S99" s="70"/>
    </row>
    <row r="100" spans="1:19" x14ac:dyDescent="0.25">
      <c r="A100" s="67" t="s">
        <v>257</v>
      </c>
      <c r="C100" s="68">
        <v>4730</v>
      </c>
      <c r="D100" s="65">
        <v>0.4</v>
      </c>
      <c r="E100">
        <f t="shared" si="38"/>
        <v>602.80000000000007</v>
      </c>
      <c r="F100" s="69">
        <f t="shared" si="39"/>
        <v>5332.8</v>
      </c>
      <c r="G100" t="s">
        <v>267</v>
      </c>
      <c r="H100" s="69">
        <f>AVERAGE(F98:F100)</f>
        <v>5252.4266666666663</v>
      </c>
      <c r="I100" s="70">
        <f>H100/$F$66</f>
        <v>52.160382332732723</v>
      </c>
      <c r="K100" s="67" t="s">
        <v>257</v>
      </c>
      <c r="M100" s="68">
        <v>4830</v>
      </c>
      <c r="N100" s="65">
        <v>0.4</v>
      </c>
      <c r="O100">
        <f t="shared" si="40"/>
        <v>740.40000000000009</v>
      </c>
      <c r="P100" s="69">
        <f t="shared" si="41"/>
        <v>5570.4</v>
      </c>
      <c r="Q100" t="s">
        <v>267</v>
      </c>
      <c r="R100" s="69">
        <f>AVERAGE(P98:P100)</f>
        <v>5471.68</v>
      </c>
      <c r="S100" s="70">
        <f>R100/$F$66</f>
        <v>54.337725953153154</v>
      </c>
    </row>
    <row r="101" spans="1:19" x14ac:dyDescent="0.25">
      <c r="A101" s="67" t="s">
        <v>258</v>
      </c>
      <c r="C101" s="68">
        <v>4730</v>
      </c>
      <c r="D101" s="65">
        <v>0.39</v>
      </c>
      <c r="E101">
        <f t="shared" si="38"/>
        <v>587.73</v>
      </c>
      <c r="F101" s="69">
        <f t="shared" si="39"/>
        <v>5317.73</v>
      </c>
      <c r="H101" s="69"/>
      <c r="I101" s="70"/>
      <c r="K101" s="67" t="s">
        <v>258</v>
      </c>
      <c r="M101" s="68">
        <v>4830</v>
      </c>
      <c r="N101" s="65">
        <v>0.39</v>
      </c>
      <c r="O101">
        <f t="shared" si="40"/>
        <v>721.89</v>
      </c>
      <c r="P101" s="69">
        <f t="shared" si="41"/>
        <v>5551.89</v>
      </c>
      <c r="R101" s="69"/>
      <c r="S101" s="70"/>
    </row>
    <row r="102" spans="1:19" x14ac:dyDescent="0.25">
      <c r="A102" s="67" t="s">
        <v>259</v>
      </c>
      <c r="C102" s="68">
        <v>4730</v>
      </c>
      <c r="D102" s="65">
        <v>0.36</v>
      </c>
      <c r="E102">
        <f t="shared" si="38"/>
        <v>542.52</v>
      </c>
      <c r="F102" s="69">
        <f t="shared" si="39"/>
        <v>5272.52</v>
      </c>
      <c r="H102" s="69"/>
      <c r="I102" s="70"/>
      <c r="K102" s="67" t="s">
        <v>259</v>
      </c>
      <c r="M102" s="68">
        <v>4830</v>
      </c>
      <c r="N102" s="65">
        <v>0.36</v>
      </c>
      <c r="O102">
        <f t="shared" si="40"/>
        <v>666.36</v>
      </c>
      <c r="P102" s="69">
        <f t="shared" si="41"/>
        <v>5496.36</v>
      </c>
      <c r="R102" s="69"/>
      <c r="S102" s="70"/>
    </row>
    <row r="103" spans="1:19" x14ac:dyDescent="0.25">
      <c r="A103" s="67" t="s">
        <v>260</v>
      </c>
      <c r="C103" s="68">
        <v>4730</v>
      </c>
      <c r="D103" s="65">
        <v>0.36</v>
      </c>
      <c r="E103">
        <f t="shared" si="38"/>
        <v>542.52</v>
      </c>
      <c r="F103" s="69">
        <f t="shared" si="39"/>
        <v>5272.52</v>
      </c>
      <c r="G103" t="s">
        <v>268</v>
      </c>
      <c r="H103" s="69">
        <f>AVERAGE(F101:F103)</f>
        <v>5287.59</v>
      </c>
      <c r="I103" s="70">
        <f>H103/$F$66</f>
        <v>52.509579575675673</v>
      </c>
      <c r="K103" s="67" t="s">
        <v>260</v>
      </c>
      <c r="M103" s="68">
        <v>4830</v>
      </c>
      <c r="N103" s="65">
        <v>0.36</v>
      </c>
      <c r="O103">
        <f t="shared" si="40"/>
        <v>666.36</v>
      </c>
      <c r="P103" s="69">
        <f t="shared" si="41"/>
        <v>5496.36</v>
      </c>
      <c r="Q103" t="s">
        <v>268</v>
      </c>
      <c r="R103" s="69">
        <f>AVERAGE(P101:P103)</f>
        <v>5514.87</v>
      </c>
      <c r="S103" s="70">
        <f>R103/$F$66</f>
        <v>54.766633781081076</v>
      </c>
    </row>
    <row r="104" spans="1:19" x14ac:dyDescent="0.25">
      <c r="A104" s="67" t="s">
        <v>261</v>
      </c>
      <c r="C104" s="68">
        <v>4930</v>
      </c>
      <c r="D104" s="65">
        <v>0.35</v>
      </c>
      <c r="E104">
        <f t="shared" si="38"/>
        <v>527.44999999999993</v>
      </c>
      <c r="F104" s="69">
        <f t="shared" si="39"/>
        <v>5457.45</v>
      </c>
      <c r="H104" s="69"/>
      <c r="I104" s="70"/>
      <c r="K104" s="67" t="s">
        <v>261</v>
      </c>
      <c r="M104" s="68">
        <v>5030</v>
      </c>
      <c r="N104" s="65">
        <v>0.35</v>
      </c>
      <c r="O104">
        <f t="shared" si="40"/>
        <v>647.84999999999991</v>
      </c>
      <c r="P104" s="69">
        <f t="shared" si="41"/>
        <v>5677.85</v>
      </c>
      <c r="R104" s="69"/>
      <c r="S104" s="70"/>
    </row>
    <row r="105" spans="1:19" x14ac:dyDescent="0.25">
      <c r="A105" s="67" t="s">
        <v>262</v>
      </c>
      <c r="C105" s="68">
        <v>4930</v>
      </c>
      <c r="D105" s="65">
        <v>0.34</v>
      </c>
      <c r="E105">
        <f t="shared" si="38"/>
        <v>512.38</v>
      </c>
      <c r="F105" s="69">
        <f t="shared" si="39"/>
        <v>5442.38</v>
      </c>
      <c r="H105" s="69"/>
      <c r="I105" s="70"/>
      <c r="K105" s="67" t="s">
        <v>262</v>
      </c>
      <c r="M105" s="68">
        <v>5030</v>
      </c>
      <c r="N105" s="65">
        <v>0.34</v>
      </c>
      <c r="O105">
        <f t="shared" si="40"/>
        <v>629.34</v>
      </c>
      <c r="P105" s="69">
        <f t="shared" si="41"/>
        <v>5659.34</v>
      </c>
      <c r="R105" s="69"/>
      <c r="S105" s="70"/>
    </row>
    <row r="106" spans="1:19" x14ac:dyDescent="0.25">
      <c r="A106" s="67" t="s">
        <v>263</v>
      </c>
      <c r="C106" s="68">
        <v>4930</v>
      </c>
      <c r="D106" s="65">
        <v>0.33</v>
      </c>
      <c r="E106">
        <f t="shared" si="38"/>
        <v>497.31</v>
      </c>
      <c r="F106" s="69">
        <f t="shared" si="39"/>
        <v>5427.31</v>
      </c>
      <c r="G106" t="s">
        <v>270</v>
      </c>
      <c r="H106" s="69">
        <f>AVERAGE(F104:F106)</f>
        <v>5442.38</v>
      </c>
      <c r="I106" s="70">
        <f>H106/$F$66</f>
        <v>54.046755836036034</v>
      </c>
      <c r="K106" s="67" t="s">
        <v>263</v>
      </c>
      <c r="M106" s="68">
        <v>5030</v>
      </c>
      <c r="N106" s="65">
        <v>0.33</v>
      </c>
      <c r="O106">
        <f t="shared" si="40"/>
        <v>610.83000000000004</v>
      </c>
      <c r="P106" s="69">
        <f t="shared" si="41"/>
        <v>5640.83</v>
      </c>
      <c r="Q106" t="s">
        <v>270</v>
      </c>
      <c r="R106" s="69">
        <f>AVERAGE(P104:P106)</f>
        <v>5659.34</v>
      </c>
      <c r="S106" s="70">
        <f>R106/$F$66</f>
        <v>56.2013250036036</v>
      </c>
    </row>
    <row r="107" spans="1:19" x14ac:dyDescent="0.25">
      <c r="A107" s="67" t="s">
        <v>276</v>
      </c>
      <c r="C107" s="68">
        <v>4930</v>
      </c>
      <c r="D107" s="65">
        <v>0.37</v>
      </c>
      <c r="E107">
        <f t="shared" si="38"/>
        <v>557.59</v>
      </c>
      <c r="F107" s="69">
        <f t="shared" si="39"/>
        <v>5487.59</v>
      </c>
      <c r="H107" s="69"/>
      <c r="I107" s="70"/>
      <c r="K107" s="67" t="s">
        <v>276</v>
      </c>
      <c r="M107" s="68">
        <v>5030</v>
      </c>
      <c r="N107" s="65">
        <v>0.37</v>
      </c>
      <c r="O107">
        <f t="shared" si="40"/>
        <v>684.87</v>
      </c>
      <c r="P107" s="69">
        <f t="shared" si="41"/>
        <v>5714.87</v>
      </c>
      <c r="R107" s="69"/>
      <c r="S107" s="70"/>
    </row>
    <row r="108" spans="1:19" x14ac:dyDescent="0.25">
      <c r="A108" s="67" t="s">
        <v>277</v>
      </c>
      <c r="C108" s="68">
        <v>4930</v>
      </c>
      <c r="D108" s="65">
        <v>0.35</v>
      </c>
      <c r="E108">
        <f t="shared" si="38"/>
        <v>527.44999999999993</v>
      </c>
      <c r="F108" s="69">
        <f t="shared" si="39"/>
        <v>5457.45</v>
      </c>
      <c r="H108" s="69"/>
      <c r="I108" s="70"/>
      <c r="K108" s="67" t="s">
        <v>277</v>
      </c>
      <c r="M108" s="68">
        <v>5030</v>
      </c>
      <c r="N108" s="65">
        <v>0.35</v>
      </c>
      <c r="O108">
        <f t="shared" si="40"/>
        <v>647.84999999999991</v>
      </c>
      <c r="P108" s="69">
        <f t="shared" si="41"/>
        <v>5677.85</v>
      </c>
      <c r="R108" s="69"/>
      <c r="S108" s="70"/>
    </row>
    <row r="109" spans="1:19" x14ac:dyDescent="0.25">
      <c r="A109" s="67" t="s">
        <v>278</v>
      </c>
      <c r="C109" s="68">
        <v>4930</v>
      </c>
      <c r="D109" s="65">
        <v>0.34</v>
      </c>
      <c r="E109">
        <f t="shared" si="38"/>
        <v>512.38</v>
      </c>
      <c r="F109" s="69">
        <f t="shared" si="39"/>
        <v>5442.38</v>
      </c>
      <c r="G109" t="s">
        <v>279</v>
      </c>
      <c r="H109" s="69">
        <f>AVERAGE(F107:F109)</f>
        <v>5462.4733333333343</v>
      </c>
      <c r="I109" s="70">
        <f>H109/$F$66</f>
        <v>54.246297117717724</v>
      </c>
      <c r="K109" s="67" t="s">
        <v>278</v>
      </c>
      <c r="M109" s="68">
        <v>5030</v>
      </c>
      <c r="N109" s="65">
        <v>0.34</v>
      </c>
      <c r="O109">
        <f t="shared" si="40"/>
        <v>629.34</v>
      </c>
      <c r="P109" s="69">
        <f t="shared" si="41"/>
        <v>5659.34</v>
      </c>
      <c r="Q109" t="s">
        <v>279</v>
      </c>
      <c r="R109" s="69">
        <f>AVERAGE(P107:P109)</f>
        <v>5684.02</v>
      </c>
      <c r="S109" s="70">
        <f>R109/$F$66</f>
        <v>56.44641519099099</v>
      </c>
    </row>
    <row r="110" spans="1:19" x14ac:dyDescent="0.25">
      <c r="A110" s="67" t="s">
        <v>281</v>
      </c>
      <c r="C110" s="68">
        <v>4930</v>
      </c>
      <c r="D110" s="65">
        <v>0.37</v>
      </c>
      <c r="E110">
        <f t="shared" si="38"/>
        <v>557.59</v>
      </c>
      <c r="F110" s="69">
        <f t="shared" si="39"/>
        <v>5487.59</v>
      </c>
      <c r="H110" s="69"/>
      <c r="I110" s="70"/>
      <c r="K110" s="67" t="s">
        <v>281</v>
      </c>
      <c r="M110" s="68">
        <v>5030</v>
      </c>
      <c r="N110" s="65">
        <v>0.37</v>
      </c>
      <c r="O110">
        <f t="shared" si="40"/>
        <v>684.87</v>
      </c>
      <c r="P110" s="69">
        <f t="shared" si="41"/>
        <v>5714.87</v>
      </c>
      <c r="R110" s="69"/>
      <c r="S110" s="70"/>
    </row>
    <row r="111" spans="1:19" x14ac:dyDescent="0.25">
      <c r="A111" s="67" t="s">
        <v>282</v>
      </c>
      <c r="C111" s="68">
        <v>4930</v>
      </c>
      <c r="D111" s="65">
        <v>0.41</v>
      </c>
      <c r="E111">
        <f t="shared" si="38"/>
        <v>617.87</v>
      </c>
      <c r="F111" s="69">
        <f t="shared" si="39"/>
        <v>5547.87</v>
      </c>
      <c r="H111" s="69"/>
      <c r="I111" s="70"/>
      <c r="K111" s="67" t="s">
        <v>282</v>
      </c>
      <c r="M111" s="68">
        <v>5030</v>
      </c>
      <c r="N111" s="65">
        <v>0.41</v>
      </c>
      <c r="O111">
        <f t="shared" si="40"/>
        <v>758.91</v>
      </c>
      <c r="P111" s="69">
        <f t="shared" si="41"/>
        <v>5788.91</v>
      </c>
      <c r="R111" s="69"/>
      <c r="S111" s="70"/>
    </row>
    <row r="112" spans="1:19" x14ac:dyDescent="0.25">
      <c r="A112" s="67" t="s">
        <v>283</v>
      </c>
      <c r="C112" s="68">
        <v>4930</v>
      </c>
      <c r="D112" s="65">
        <v>0.41</v>
      </c>
      <c r="E112">
        <f t="shared" si="38"/>
        <v>617.87</v>
      </c>
      <c r="F112" s="69">
        <f t="shared" si="39"/>
        <v>5547.87</v>
      </c>
      <c r="G112" t="s">
        <v>289</v>
      </c>
      <c r="H112" s="69">
        <f>AVERAGE(F110:F112)</f>
        <v>5527.7766666666657</v>
      </c>
      <c r="I112" s="70">
        <f>H112/$F$66</f>
        <v>54.894806283183172</v>
      </c>
      <c r="K112" s="67" t="s">
        <v>283</v>
      </c>
      <c r="M112" s="68">
        <v>5030</v>
      </c>
      <c r="N112" s="65">
        <v>0.41</v>
      </c>
      <c r="O112">
        <f t="shared" si="40"/>
        <v>758.91</v>
      </c>
      <c r="P112" s="69">
        <f t="shared" si="41"/>
        <v>5788.91</v>
      </c>
      <c r="Q112" t="s">
        <v>289</v>
      </c>
      <c r="R112" s="69">
        <f>AVERAGE(P110:P112)</f>
        <v>5764.23</v>
      </c>
      <c r="S112" s="70">
        <f>R112/$F$66</f>
        <v>57.242958299999991</v>
      </c>
    </row>
    <row r="113" spans="1:19" x14ac:dyDescent="0.25">
      <c r="A113" s="67" t="s">
        <v>284</v>
      </c>
      <c r="C113" s="68">
        <v>4930</v>
      </c>
      <c r="D113" s="65">
        <v>0.37</v>
      </c>
      <c r="E113">
        <f t="shared" si="38"/>
        <v>557.59</v>
      </c>
      <c r="F113" s="69">
        <f t="shared" si="39"/>
        <v>5487.59</v>
      </c>
      <c r="H113" s="69"/>
      <c r="I113" s="70"/>
      <c r="K113" s="67" t="s">
        <v>284</v>
      </c>
      <c r="M113" s="68">
        <v>5030</v>
      </c>
      <c r="N113" s="65">
        <v>0.37</v>
      </c>
      <c r="O113">
        <f t="shared" si="40"/>
        <v>684.87</v>
      </c>
      <c r="P113" s="69">
        <f t="shared" si="41"/>
        <v>5714.87</v>
      </c>
      <c r="R113" s="69"/>
      <c r="S113" s="70"/>
    </row>
    <row r="114" spans="1:19" x14ac:dyDescent="0.25">
      <c r="A114" s="67" t="s">
        <v>285</v>
      </c>
      <c r="C114" s="68">
        <v>4930</v>
      </c>
      <c r="D114" s="65">
        <v>0.32</v>
      </c>
      <c r="E114">
        <f t="shared" si="38"/>
        <v>482.24</v>
      </c>
      <c r="F114" s="69">
        <f t="shared" si="39"/>
        <v>5412.24</v>
      </c>
      <c r="H114" s="69"/>
      <c r="I114" s="70"/>
      <c r="K114" s="67" t="s">
        <v>285</v>
      </c>
      <c r="M114" s="68">
        <v>5030</v>
      </c>
      <c r="N114" s="65">
        <v>0.32</v>
      </c>
      <c r="O114">
        <f t="shared" si="40"/>
        <v>592.32000000000005</v>
      </c>
      <c r="P114" s="69">
        <f t="shared" si="41"/>
        <v>5622.32</v>
      </c>
      <c r="R114" s="69"/>
      <c r="S114" s="70"/>
    </row>
    <row r="115" spans="1:19" x14ac:dyDescent="0.25">
      <c r="A115" s="67" t="s">
        <v>286</v>
      </c>
      <c r="C115" s="68">
        <v>4930</v>
      </c>
      <c r="D115" s="65">
        <v>0.31</v>
      </c>
      <c r="E115">
        <f t="shared" si="38"/>
        <v>467.17</v>
      </c>
      <c r="F115" s="69">
        <f t="shared" si="39"/>
        <v>5397.17</v>
      </c>
      <c r="G115" t="s">
        <v>290</v>
      </c>
      <c r="H115" s="69">
        <f>AVERAGE(F113:F115)</f>
        <v>5432.333333333333</v>
      </c>
      <c r="I115" s="70">
        <f>H115/$F$66</f>
        <v>53.94698519519519</v>
      </c>
      <c r="K115" s="67" t="s">
        <v>286</v>
      </c>
      <c r="M115" s="68">
        <v>5030</v>
      </c>
      <c r="N115" s="65">
        <v>0.31</v>
      </c>
      <c r="O115">
        <f t="shared" ref="O115:O118" si="42">$M$68*N115</f>
        <v>573.80999999999995</v>
      </c>
      <c r="P115" s="69">
        <f t="shared" ref="P115:P118" si="43">M115+O115</f>
        <v>5603.8099999999995</v>
      </c>
      <c r="Q115" t="s">
        <v>290</v>
      </c>
      <c r="R115" s="69">
        <f>AVERAGE(P113:P115)</f>
        <v>5647</v>
      </c>
      <c r="S115" s="70">
        <f>R115/$F$66</f>
        <v>56.078779909909905</v>
      </c>
    </row>
    <row r="116" spans="1:19" x14ac:dyDescent="0.25">
      <c r="A116" s="67" t="s">
        <v>280</v>
      </c>
      <c r="C116" s="68">
        <v>5230</v>
      </c>
      <c r="D116" s="65">
        <v>0.38</v>
      </c>
      <c r="E116">
        <f t="shared" si="38"/>
        <v>572.66</v>
      </c>
      <c r="F116" s="69">
        <f t="shared" si="39"/>
        <v>5802.66</v>
      </c>
      <c r="H116" s="69"/>
      <c r="I116" s="70"/>
      <c r="K116" s="67" t="s">
        <v>280</v>
      </c>
      <c r="M116" s="68">
        <v>5330</v>
      </c>
      <c r="N116" s="65">
        <v>0.38</v>
      </c>
      <c r="O116">
        <f t="shared" si="42"/>
        <v>703.38</v>
      </c>
      <c r="P116" s="69">
        <f t="shared" si="43"/>
        <v>6033.38</v>
      </c>
      <c r="R116" s="69"/>
      <c r="S116" s="70"/>
    </row>
    <row r="117" spans="1:19" x14ac:dyDescent="0.25">
      <c r="A117" s="67" t="s">
        <v>287</v>
      </c>
      <c r="C117" s="68">
        <v>5230</v>
      </c>
      <c r="D117" s="65">
        <v>0.41</v>
      </c>
      <c r="E117">
        <f t="shared" si="38"/>
        <v>617.87</v>
      </c>
      <c r="F117" s="69">
        <f t="shared" si="39"/>
        <v>5847.87</v>
      </c>
      <c r="H117" s="69"/>
      <c r="I117" s="70"/>
      <c r="K117" s="67" t="s">
        <v>287</v>
      </c>
      <c r="M117" s="68">
        <v>5330</v>
      </c>
      <c r="N117" s="65">
        <v>0.41</v>
      </c>
      <c r="O117">
        <f t="shared" si="42"/>
        <v>758.91</v>
      </c>
      <c r="P117" s="69">
        <f t="shared" si="43"/>
        <v>6088.91</v>
      </c>
      <c r="R117" s="69"/>
      <c r="S117" s="70"/>
    </row>
    <row r="118" spans="1:19" x14ac:dyDescent="0.25">
      <c r="A118" s="67" t="s">
        <v>288</v>
      </c>
      <c r="C118" s="68">
        <v>5230</v>
      </c>
      <c r="D118" s="65">
        <v>0.4</v>
      </c>
      <c r="E118">
        <f t="shared" si="38"/>
        <v>602.80000000000007</v>
      </c>
      <c r="F118" s="69">
        <f t="shared" si="39"/>
        <v>5832.8</v>
      </c>
      <c r="G118" t="s">
        <v>291</v>
      </c>
      <c r="H118" s="69">
        <f>AVERAGE(F116:F118)</f>
        <v>5827.7766666666657</v>
      </c>
      <c r="I118" s="70">
        <f>H118/$F$66</f>
        <v>57.874022499399388</v>
      </c>
      <c r="K118" s="67" t="s">
        <v>288</v>
      </c>
      <c r="M118" s="68">
        <v>5330</v>
      </c>
      <c r="N118" s="65">
        <v>0.4</v>
      </c>
      <c r="O118">
        <f t="shared" si="42"/>
        <v>740.40000000000009</v>
      </c>
      <c r="P118" s="69">
        <f t="shared" si="43"/>
        <v>6070.4</v>
      </c>
      <c r="Q118" t="s">
        <v>291</v>
      </c>
      <c r="R118" s="69">
        <f>AVERAGE(P116:P118)</f>
        <v>6064.2300000000005</v>
      </c>
      <c r="S118" s="70">
        <f>R118/$F$66</f>
        <v>60.222174516216221</v>
      </c>
    </row>
    <row r="119" spans="1:19" x14ac:dyDescent="0.25">
      <c r="A119" s="67"/>
      <c r="C119" s="68"/>
      <c r="D119" s="65"/>
      <c r="F119" s="69"/>
      <c r="H119" s="69"/>
      <c r="I119" s="70"/>
      <c r="K119" s="67"/>
      <c r="M119" s="68"/>
      <c r="N119" s="65"/>
      <c r="P119" s="69"/>
      <c r="R119" s="69"/>
      <c r="S119" s="70"/>
    </row>
    <row r="123" spans="1:19" x14ac:dyDescent="0.25">
      <c r="A123" t="s">
        <v>188</v>
      </c>
      <c r="K123" t="s">
        <v>188</v>
      </c>
    </row>
    <row r="124" spans="1:19" x14ac:dyDescent="0.25">
      <c r="A124" s="62" t="s">
        <v>234</v>
      </c>
      <c r="B124" s="62" t="s">
        <v>189</v>
      </c>
      <c r="C124" s="62" t="s">
        <v>126</v>
      </c>
      <c r="D124" s="62"/>
      <c r="K124" s="62" t="s">
        <v>237</v>
      </c>
    </row>
    <row r="125" spans="1:19" x14ac:dyDescent="0.25">
      <c r="A125" t="s">
        <v>235</v>
      </c>
      <c r="C125" t="s">
        <v>236</v>
      </c>
      <c r="K125" t="s">
        <v>238</v>
      </c>
    </row>
    <row r="126" spans="1:19" x14ac:dyDescent="0.25">
      <c r="A126" s="81" t="s">
        <v>109</v>
      </c>
      <c r="K126" s="81" t="s">
        <v>109</v>
      </c>
    </row>
    <row r="127" spans="1:19" x14ac:dyDescent="0.25">
      <c r="A127" t="s">
        <v>250</v>
      </c>
      <c r="E127" t="s">
        <v>229</v>
      </c>
      <c r="F127" s="70">
        <f>111/1.10231</f>
        <v>100.69762589471202</v>
      </c>
      <c r="G127" t="s">
        <v>228</v>
      </c>
      <c r="K127" t="s">
        <v>250</v>
      </c>
    </row>
    <row r="128" spans="1:19" x14ac:dyDescent="0.25">
      <c r="A128" t="s">
        <v>191</v>
      </c>
      <c r="K128" t="s">
        <v>191</v>
      </c>
    </row>
    <row r="129" spans="1:19" x14ac:dyDescent="0.25">
      <c r="A129" t="s">
        <v>192</v>
      </c>
      <c r="C129">
        <v>685</v>
      </c>
      <c r="K129" t="s">
        <v>192</v>
      </c>
      <c r="M129">
        <v>1520</v>
      </c>
    </row>
    <row r="130" spans="1:19" x14ac:dyDescent="0.25">
      <c r="D130" t="s">
        <v>195</v>
      </c>
      <c r="E130" t="s">
        <v>195</v>
      </c>
      <c r="F130" t="s">
        <v>219</v>
      </c>
      <c r="H130" t="s">
        <v>230</v>
      </c>
      <c r="N130" t="s">
        <v>195</v>
      </c>
      <c r="O130" t="s">
        <v>195</v>
      </c>
      <c r="P130" t="s">
        <v>219</v>
      </c>
      <c r="R130" t="s">
        <v>230</v>
      </c>
    </row>
    <row r="131" spans="1:19" ht="15.75" thickBot="1" x14ac:dyDescent="0.3">
      <c r="A131" s="66" t="s">
        <v>193</v>
      </c>
      <c r="B131" s="66"/>
      <c r="C131" s="66" t="s">
        <v>194</v>
      </c>
      <c r="D131" s="66" t="s">
        <v>196</v>
      </c>
      <c r="E131" s="66" t="s">
        <v>218</v>
      </c>
      <c r="F131" s="66" t="s">
        <v>195</v>
      </c>
      <c r="H131" s="66" t="s">
        <v>231</v>
      </c>
      <c r="I131" s="66" t="s">
        <v>227</v>
      </c>
      <c r="K131" s="66" t="s">
        <v>193</v>
      </c>
      <c r="L131" s="66"/>
      <c r="M131" s="66" t="s">
        <v>194</v>
      </c>
      <c r="N131" s="66" t="s">
        <v>196</v>
      </c>
      <c r="O131" s="66" t="s">
        <v>218</v>
      </c>
      <c r="P131" s="66" t="s">
        <v>195</v>
      </c>
      <c r="R131" s="66" t="s">
        <v>231</v>
      </c>
      <c r="S131" s="66" t="s">
        <v>227</v>
      </c>
    </row>
    <row r="132" spans="1:19" x14ac:dyDescent="0.25">
      <c r="A132" s="67" t="s">
        <v>197</v>
      </c>
      <c r="C132" s="68">
        <v>2605</v>
      </c>
      <c r="D132" s="65">
        <v>0.41</v>
      </c>
      <c r="E132" s="70">
        <f>$C$129*D132</f>
        <v>280.84999999999997</v>
      </c>
      <c r="F132" s="68">
        <f>C132+E132</f>
        <v>2885.85</v>
      </c>
      <c r="K132" s="67" t="s">
        <v>197</v>
      </c>
      <c r="M132" s="68">
        <v>3859</v>
      </c>
      <c r="N132" s="65">
        <v>0.41</v>
      </c>
      <c r="O132" s="70">
        <f>$M$129*N132</f>
        <v>623.19999999999993</v>
      </c>
      <c r="P132" s="69">
        <f>M132+O132</f>
        <v>4482.2</v>
      </c>
    </row>
    <row r="133" spans="1:19" x14ac:dyDescent="0.25">
      <c r="A133" s="67" t="s">
        <v>198</v>
      </c>
      <c r="C133" s="68">
        <v>2605</v>
      </c>
      <c r="D133" s="65">
        <v>0.3</v>
      </c>
      <c r="E133" s="70">
        <f t="shared" ref="E133:E175" si="44">$C$129*D133</f>
        <v>205.5</v>
      </c>
      <c r="F133" s="68">
        <f t="shared" ref="F133:F175" si="45">C133+E133</f>
        <v>2810.5</v>
      </c>
      <c r="K133" s="67" t="s">
        <v>198</v>
      </c>
      <c r="M133" s="68">
        <v>3859</v>
      </c>
      <c r="N133" s="65">
        <v>0.3</v>
      </c>
      <c r="O133" s="70">
        <f t="shared" ref="O133:O175" si="46">$M$129*N133</f>
        <v>456</v>
      </c>
      <c r="P133" s="69">
        <f t="shared" ref="P133:P175" si="47">M133+O133</f>
        <v>4315</v>
      </c>
    </row>
    <row r="134" spans="1:19" x14ac:dyDescent="0.25">
      <c r="A134" s="67" t="s">
        <v>199</v>
      </c>
      <c r="C134" s="68">
        <v>2605</v>
      </c>
      <c r="D134" s="65">
        <v>0.27</v>
      </c>
      <c r="E134" s="70">
        <f t="shared" si="44"/>
        <v>184.95000000000002</v>
      </c>
      <c r="F134" s="68">
        <f t="shared" si="45"/>
        <v>2789.95</v>
      </c>
      <c r="G134" t="s">
        <v>220</v>
      </c>
      <c r="H134" s="69">
        <f>AVERAGE(F132:F134)</f>
        <v>2828.7666666666664</v>
      </c>
      <c r="I134" s="71">
        <f>H134/$F$127</f>
        <v>28.091691750750748</v>
      </c>
      <c r="K134" s="67" t="s">
        <v>199</v>
      </c>
      <c r="M134" s="68">
        <v>3859</v>
      </c>
      <c r="N134" s="65">
        <v>0.27</v>
      </c>
      <c r="O134" s="70">
        <f t="shared" si="46"/>
        <v>410.40000000000003</v>
      </c>
      <c r="P134" s="69">
        <f t="shared" si="47"/>
        <v>4269.3999999999996</v>
      </c>
      <c r="Q134" t="s">
        <v>220</v>
      </c>
      <c r="R134" s="69">
        <f>AVERAGE(P132:P134)</f>
        <v>4355.5333333333338</v>
      </c>
      <c r="S134" s="71">
        <f>R134/$F$127</f>
        <v>43.253585123123123</v>
      </c>
    </row>
    <row r="135" spans="1:19" x14ac:dyDescent="0.25">
      <c r="A135" s="67" t="s">
        <v>200</v>
      </c>
      <c r="C135" s="68">
        <v>2605</v>
      </c>
      <c r="D135" s="65">
        <v>0.24</v>
      </c>
      <c r="E135" s="70">
        <f t="shared" si="44"/>
        <v>164.4</v>
      </c>
      <c r="F135" s="68">
        <f t="shared" si="45"/>
        <v>2769.4</v>
      </c>
      <c r="K135" s="67" t="s">
        <v>200</v>
      </c>
      <c r="M135" s="68">
        <v>3859</v>
      </c>
      <c r="N135" s="65">
        <v>0.24</v>
      </c>
      <c r="O135" s="70">
        <f t="shared" si="46"/>
        <v>364.8</v>
      </c>
      <c r="P135" s="69">
        <f t="shared" si="47"/>
        <v>4223.8</v>
      </c>
    </row>
    <row r="136" spans="1:19" x14ac:dyDescent="0.25">
      <c r="A136" s="67" t="s">
        <v>201</v>
      </c>
      <c r="C136" s="68">
        <v>2605</v>
      </c>
      <c r="D136" s="65">
        <v>0.22</v>
      </c>
      <c r="E136" s="70">
        <f t="shared" si="44"/>
        <v>150.69999999999999</v>
      </c>
      <c r="F136" s="68">
        <f t="shared" si="45"/>
        <v>2755.7</v>
      </c>
      <c r="K136" s="67" t="s">
        <v>201</v>
      </c>
      <c r="M136" s="68">
        <v>3859</v>
      </c>
      <c r="N136" s="65">
        <v>0.22</v>
      </c>
      <c r="O136" s="70">
        <f t="shared" si="46"/>
        <v>334.4</v>
      </c>
      <c r="P136" s="69">
        <f t="shared" si="47"/>
        <v>4193.3999999999996</v>
      </c>
    </row>
    <row r="137" spans="1:19" x14ac:dyDescent="0.25">
      <c r="A137" s="67" t="s">
        <v>202</v>
      </c>
      <c r="C137" s="68">
        <v>2692</v>
      </c>
      <c r="D137" s="65">
        <v>0.25</v>
      </c>
      <c r="E137" s="70">
        <f t="shared" si="44"/>
        <v>171.25</v>
      </c>
      <c r="F137" s="68">
        <f t="shared" si="45"/>
        <v>2863.25</v>
      </c>
      <c r="G137" t="s">
        <v>222</v>
      </c>
      <c r="H137" s="69">
        <f>AVERAGE(F135:F137)</f>
        <v>2796.1166666666668</v>
      </c>
      <c r="I137" s="71">
        <f>H137/$F$127</f>
        <v>27.767453719219219</v>
      </c>
      <c r="K137" s="67" t="s">
        <v>202</v>
      </c>
      <c r="M137" s="68">
        <v>3859</v>
      </c>
      <c r="N137" s="65">
        <v>0.25</v>
      </c>
      <c r="O137" s="70">
        <f t="shared" si="46"/>
        <v>380</v>
      </c>
      <c r="P137" s="69">
        <f t="shared" si="47"/>
        <v>4239</v>
      </c>
      <c r="Q137" t="s">
        <v>222</v>
      </c>
      <c r="R137" s="69">
        <f>AVERAGE(P135:P137)</f>
        <v>4218.7333333333336</v>
      </c>
      <c r="S137" s="71">
        <f>R137/$F$127</f>
        <v>41.895062528528527</v>
      </c>
    </row>
    <row r="138" spans="1:19" x14ac:dyDescent="0.25">
      <c r="A138" s="67" t="s">
        <v>203</v>
      </c>
      <c r="C138" s="68">
        <v>2692</v>
      </c>
      <c r="D138" s="65">
        <v>0.25</v>
      </c>
      <c r="E138" s="70">
        <f t="shared" si="44"/>
        <v>171.25</v>
      </c>
      <c r="F138" s="68">
        <f t="shared" si="45"/>
        <v>2863.25</v>
      </c>
      <c r="K138" s="67" t="s">
        <v>203</v>
      </c>
      <c r="M138" s="68">
        <v>3859</v>
      </c>
      <c r="N138" s="65">
        <v>0.25</v>
      </c>
      <c r="O138" s="70">
        <f t="shared" si="46"/>
        <v>380</v>
      </c>
      <c r="P138" s="69">
        <f t="shared" si="47"/>
        <v>4239</v>
      </c>
    </row>
    <row r="139" spans="1:19" x14ac:dyDescent="0.25">
      <c r="A139" s="67" t="s">
        <v>204</v>
      </c>
      <c r="C139" s="68">
        <v>2692</v>
      </c>
      <c r="D139" s="65">
        <v>0.32</v>
      </c>
      <c r="E139" s="70">
        <f t="shared" si="44"/>
        <v>219.20000000000002</v>
      </c>
      <c r="F139" s="68">
        <f t="shared" si="45"/>
        <v>2911.2</v>
      </c>
      <c r="K139" s="67" t="s">
        <v>204</v>
      </c>
      <c r="M139" s="68">
        <v>3946</v>
      </c>
      <c r="N139" s="65">
        <v>0.32</v>
      </c>
      <c r="O139" s="70">
        <f t="shared" si="46"/>
        <v>486.40000000000003</v>
      </c>
      <c r="P139" s="69">
        <f t="shared" si="47"/>
        <v>4432.3999999999996</v>
      </c>
    </row>
    <row r="140" spans="1:19" x14ac:dyDescent="0.25">
      <c r="A140" s="67" t="s">
        <v>205</v>
      </c>
      <c r="C140" s="68">
        <v>2692</v>
      </c>
      <c r="D140" s="65">
        <v>0.33</v>
      </c>
      <c r="E140" s="70">
        <f t="shared" si="44"/>
        <v>226.05</v>
      </c>
      <c r="F140" s="68">
        <f t="shared" si="45"/>
        <v>2918.05</v>
      </c>
      <c r="G140" t="s">
        <v>221</v>
      </c>
      <c r="H140" s="69">
        <f>AVERAGE(F138:F140)</f>
        <v>2897.5</v>
      </c>
      <c r="I140" s="71">
        <f>H140/$F$127</f>
        <v>28.774263288288285</v>
      </c>
      <c r="K140" s="67" t="s">
        <v>205</v>
      </c>
      <c r="M140" s="68">
        <v>3946</v>
      </c>
      <c r="N140" s="65">
        <v>0.33</v>
      </c>
      <c r="O140" s="70">
        <f t="shared" si="46"/>
        <v>501.6</v>
      </c>
      <c r="P140" s="69">
        <f t="shared" si="47"/>
        <v>4447.6000000000004</v>
      </c>
      <c r="Q140" t="s">
        <v>221</v>
      </c>
      <c r="R140" s="69">
        <f>AVERAGE(P138:P140)</f>
        <v>4373</v>
      </c>
      <c r="S140" s="71">
        <f>R140/$F$127</f>
        <v>43.427041711711709</v>
      </c>
    </row>
    <row r="141" spans="1:19" x14ac:dyDescent="0.25">
      <c r="A141" s="67" t="s">
        <v>206</v>
      </c>
      <c r="C141" s="68">
        <v>2692</v>
      </c>
      <c r="D141" s="65">
        <v>0.35</v>
      </c>
      <c r="E141" s="70">
        <f t="shared" si="44"/>
        <v>239.74999999999997</v>
      </c>
      <c r="F141" s="68">
        <f t="shared" si="45"/>
        <v>2931.75</v>
      </c>
      <c r="K141" s="67" t="s">
        <v>206</v>
      </c>
      <c r="M141" s="68">
        <v>3946</v>
      </c>
      <c r="N141" s="65">
        <v>0.35</v>
      </c>
      <c r="O141" s="70">
        <f t="shared" si="46"/>
        <v>532</v>
      </c>
      <c r="P141" s="69">
        <f t="shared" si="47"/>
        <v>4478</v>
      </c>
    </row>
    <row r="142" spans="1:19" x14ac:dyDescent="0.25">
      <c r="A142" s="67" t="s">
        <v>207</v>
      </c>
      <c r="C142" s="68">
        <v>2692</v>
      </c>
      <c r="D142" s="65">
        <v>0.35</v>
      </c>
      <c r="E142" s="70">
        <f t="shared" si="44"/>
        <v>239.74999999999997</v>
      </c>
      <c r="F142" s="68">
        <f t="shared" si="45"/>
        <v>2931.75</v>
      </c>
      <c r="K142" s="67" t="s">
        <v>207</v>
      </c>
      <c r="M142" s="68">
        <v>3946</v>
      </c>
      <c r="N142" s="65">
        <v>0.35</v>
      </c>
      <c r="O142" s="70">
        <f t="shared" si="46"/>
        <v>532</v>
      </c>
      <c r="P142" s="69">
        <f t="shared" si="47"/>
        <v>4478</v>
      </c>
    </row>
    <row r="143" spans="1:19" x14ac:dyDescent="0.25">
      <c r="A143" s="67" t="s">
        <v>208</v>
      </c>
      <c r="C143" s="68">
        <v>2692</v>
      </c>
      <c r="D143" s="65">
        <v>0.36</v>
      </c>
      <c r="E143" s="70">
        <f t="shared" si="44"/>
        <v>246.6</v>
      </c>
      <c r="F143" s="68">
        <f t="shared" si="45"/>
        <v>2938.6</v>
      </c>
      <c r="G143" t="s">
        <v>223</v>
      </c>
      <c r="H143" s="69">
        <f>AVERAGE(F141:F143)</f>
        <v>2934.0333333333333</v>
      </c>
      <c r="I143" s="71">
        <f>H143/$F$127</f>
        <v>29.137065618618617</v>
      </c>
      <c r="K143" s="67" t="s">
        <v>208</v>
      </c>
      <c r="M143" s="68">
        <v>3946</v>
      </c>
      <c r="N143" s="65">
        <v>0.36</v>
      </c>
      <c r="O143" s="70">
        <f t="shared" si="46"/>
        <v>547.19999999999993</v>
      </c>
      <c r="P143" s="69">
        <f t="shared" si="47"/>
        <v>4493.2</v>
      </c>
      <c r="Q143" t="s">
        <v>223</v>
      </c>
      <c r="R143" s="69">
        <f>AVERAGE(P141:P143)</f>
        <v>4483.0666666666666</v>
      </c>
      <c r="S143" s="71">
        <f>R143/$F$127</f>
        <v>44.520083039039037</v>
      </c>
    </row>
    <row r="144" spans="1:19" x14ac:dyDescent="0.25">
      <c r="A144" s="67" t="s">
        <v>209</v>
      </c>
      <c r="C144" s="68">
        <v>2779</v>
      </c>
      <c r="D144" s="65">
        <v>0.39</v>
      </c>
      <c r="E144" s="70">
        <f t="shared" si="44"/>
        <v>267.15000000000003</v>
      </c>
      <c r="F144" s="68">
        <f t="shared" si="45"/>
        <v>3046.15</v>
      </c>
      <c r="K144" s="67" t="s">
        <v>209</v>
      </c>
      <c r="M144" s="68">
        <v>4033</v>
      </c>
      <c r="N144" s="65">
        <v>0.39</v>
      </c>
      <c r="O144" s="70">
        <f t="shared" si="46"/>
        <v>592.80000000000007</v>
      </c>
      <c r="P144" s="69">
        <f t="shared" si="47"/>
        <v>4625.8</v>
      </c>
    </row>
    <row r="145" spans="1:19" x14ac:dyDescent="0.25">
      <c r="A145" s="67" t="s">
        <v>210</v>
      </c>
      <c r="C145" s="68">
        <v>2779</v>
      </c>
      <c r="D145" s="65">
        <v>0.38</v>
      </c>
      <c r="E145" s="70">
        <f t="shared" si="44"/>
        <v>260.3</v>
      </c>
      <c r="F145" s="68">
        <f t="shared" si="45"/>
        <v>3039.3</v>
      </c>
      <c r="K145" s="67" t="s">
        <v>210</v>
      </c>
      <c r="M145" s="68">
        <v>4033</v>
      </c>
      <c r="N145" s="65">
        <v>0.38</v>
      </c>
      <c r="O145" s="70">
        <f t="shared" si="46"/>
        <v>577.6</v>
      </c>
      <c r="P145" s="69">
        <f t="shared" si="47"/>
        <v>4610.6000000000004</v>
      </c>
    </row>
    <row r="146" spans="1:19" x14ac:dyDescent="0.25">
      <c r="A146" s="67" t="s">
        <v>211</v>
      </c>
      <c r="C146" s="68">
        <v>2779</v>
      </c>
      <c r="D146" s="65">
        <v>0.4</v>
      </c>
      <c r="E146" s="70">
        <f t="shared" si="44"/>
        <v>274</v>
      </c>
      <c r="F146" s="68">
        <f t="shared" si="45"/>
        <v>3053</v>
      </c>
      <c r="G146" t="s">
        <v>224</v>
      </c>
      <c r="H146" s="69">
        <f>AVERAGE(F144:F146)</f>
        <v>3046.15</v>
      </c>
      <c r="I146" s="71">
        <f>H146/$F$127</f>
        <v>30.250464923423422</v>
      </c>
      <c r="K146" s="67" t="s">
        <v>211</v>
      </c>
      <c r="M146" s="68">
        <v>4033</v>
      </c>
      <c r="N146" s="65">
        <v>0.4</v>
      </c>
      <c r="O146" s="70">
        <f t="shared" si="46"/>
        <v>608</v>
      </c>
      <c r="P146" s="69">
        <f t="shared" si="47"/>
        <v>4641</v>
      </c>
      <c r="Q146" t="s">
        <v>224</v>
      </c>
      <c r="R146" s="69">
        <f>AVERAGE(P144:P146)</f>
        <v>4625.8</v>
      </c>
      <c r="S146" s="71">
        <f>R146/$F$127</f>
        <v>45.93752790990991</v>
      </c>
    </row>
    <row r="147" spans="1:19" x14ac:dyDescent="0.25">
      <c r="A147" s="67" t="s">
        <v>212</v>
      </c>
      <c r="C147" s="68">
        <v>2779</v>
      </c>
      <c r="D147" s="65">
        <v>0.39</v>
      </c>
      <c r="E147" s="70">
        <f t="shared" si="44"/>
        <v>267.15000000000003</v>
      </c>
      <c r="F147" s="68">
        <f t="shared" si="45"/>
        <v>3046.15</v>
      </c>
      <c r="K147" s="67" t="s">
        <v>212</v>
      </c>
      <c r="M147" s="68">
        <v>4033</v>
      </c>
      <c r="N147" s="65">
        <v>0.39</v>
      </c>
      <c r="O147" s="70">
        <f t="shared" si="46"/>
        <v>592.80000000000007</v>
      </c>
      <c r="P147" s="69">
        <f t="shared" si="47"/>
        <v>4625.8</v>
      </c>
    </row>
    <row r="148" spans="1:19" x14ac:dyDescent="0.25">
      <c r="A148" s="67" t="s">
        <v>213</v>
      </c>
      <c r="C148" s="68">
        <v>2779</v>
      </c>
      <c r="D148" s="65">
        <v>0.42</v>
      </c>
      <c r="E148" s="70">
        <f t="shared" si="44"/>
        <v>287.7</v>
      </c>
      <c r="F148" s="68">
        <f t="shared" si="45"/>
        <v>3066.7</v>
      </c>
      <c r="K148" s="67" t="s">
        <v>213</v>
      </c>
      <c r="M148" s="68">
        <v>4033</v>
      </c>
      <c r="N148" s="65">
        <v>0.42</v>
      </c>
      <c r="O148" s="70">
        <f t="shared" si="46"/>
        <v>638.4</v>
      </c>
      <c r="P148" s="69">
        <f t="shared" si="47"/>
        <v>4671.3999999999996</v>
      </c>
    </row>
    <row r="149" spans="1:19" x14ac:dyDescent="0.25">
      <c r="A149" s="67" t="s">
        <v>214</v>
      </c>
      <c r="C149" s="68">
        <v>2867</v>
      </c>
      <c r="D149" s="65">
        <v>0.46</v>
      </c>
      <c r="E149" s="70">
        <f t="shared" si="44"/>
        <v>315.10000000000002</v>
      </c>
      <c r="F149" s="68">
        <f t="shared" si="45"/>
        <v>3182.1</v>
      </c>
      <c r="G149" t="s">
        <v>225</v>
      </c>
      <c r="H149" s="69">
        <f>AVERAGE(F147:F149)</f>
        <v>3098.3166666666671</v>
      </c>
      <c r="I149" s="71">
        <f>H149/$F$127</f>
        <v>30.768517521021025</v>
      </c>
      <c r="K149" s="67" t="s">
        <v>214</v>
      </c>
      <c r="M149" s="68">
        <v>4033</v>
      </c>
      <c r="N149" s="65">
        <v>0.46</v>
      </c>
      <c r="O149" s="70">
        <f t="shared" si="46"/>
        <v>699.2</v>
      </c>
      <c r="P149" s="69">
        <f t="shared" si="47"/>
        <v>4732.2</v>
      </c>
      <c r="Q149" t="s">
        <v>225</v>
      </c>
      <c r="R149" s="69">
        <f>AVERAGE(P147:P149)</f>
        <v>4676.4666666666672</v>
      </c>
      <c r="S149" s="71">
        <f>R149/$F$127</f>
        <v>46.440684426426429</v>
      </c>
    </row>
    <row r="150" spans="1:19" x14ac:dyDescent="0.25">
      <c r="A150" s="67" t="s">
        <v>215</v>
      </c>
      <c r="C150" s="68">
        <v>2867</v>
      </c>
      <c r="D150" s="65">
        <v>0.46</v>
      </c>
      <c r="E150" s="70">
        <f t="shared" si="44"/>
        <v>315.10000000000002</v>
      </c>
      <c r="F150" s="68">
        <f t="shared" si="45"/>
        <v>3182.1</v>
      </c>
      <c r="K150" s="67" t="s">
        <v>215</v>
      </c>
      <c r="M150" s="68">
        <v>4033</v>
      </c>
      <c r="N150" s="65">
        <v>0.46</v>
      </c>
      <c r="O150" s="70">
        <f t="shared" si="46"/>
        <v>699.2</v>
      </c>
      <c r="P150" s="69">
        <f t="shared" si="47"/>
        <v>4732.2</v>
      </c>
    </row>
    <row r="151" spans="1:19" x14ac:dyDescent="0.25">
      <c r="A151" s="67" t="s">
        <v>216</v>
      </c>
      <c r="C151" s="68">
        <v>2867</v>
      </c>
      <c r="D151" s="65">
        <v>0.43</v>
      </c>
      <c r="E151" s="70">
        <f t="shared" si="44"/>
        <v>294.55</v>
      </c>
      <c r="F151" s="68">
        <f t="shared" si="45"/>
        <v>3161.55</v>
      </c>
      <c r="K151" s="67" t="s">
        <v>216</v>
      </c>
      <c r="M151" s="68">
        <v>4131</v>
      </c>
      <c r="N151" s="65">
        <v>0.43</v>
      </c>
      <c r="O151" s="70">
        <f t="shared" si="46"/>
        <v>653.6</v>
      </c>
      <c r="P151" s="69">
        <f t="shared" si="47"/>
        <v>4784.6000000000004</v>
      </c>
    </row>
    <row r="152" spans="1:19" x14ac:dyDescent="0.25">
      <c r="A152" s="67" t="s">
        <v>217</v>
      </c>
      <c r="C152" s="68">
        <v>2867</v>
      </c>
      <c r="D152" s="65">
        <v>0.42</v>
      </c>
      <c r="E152" s="70">
        <f t="shared" si="44"/>
        <v>287.7</v>
      </c>
      <c r="F152" s="68">
        <f t="shared" si="45"/>
        <v>3154.7</v>
      </c>
      <c r="G152" t="s">
        <v>226</v>
      </c>
      <c r="H152" s="69">
        <f>AVERAGE(F150:F152)</f>
        <v>3166.1166666666663</v>
      </c>
      <c r="I152" s="71">
        <f>H152/$F$127</f>
        <v>31.44182038588588</v>
      </c>
      <c r="K152" s="67" t="s">
        <v>217</v>
      </c>
      <c r="M152" s="68">
        <v>4131</v>
      </c>
      <c r="N152" s="65">
        <v>0.42</v>
      </c>
      <c r="O152" s="70">
        <f t="shared" si="46"/>
        <v>638.4</v>
      </c>
      <c r="P152" s="69">
        <f t="shared" si="47"/>
        <v>4769.3999999999996</v>
      </c>
      <c r="Q152" t="s">
        <v>226</v>
      </c>
      <c r="R152" s="69">
        <f>AVERAGE(P150:P152)</f>
        <v>4762.0666666666666</v>
      </c>
      <c r="S152" s="71">
        <f>R152/$F$127</f>
        <v>47.29075412012012</v>
      </c>
    </row>
    <row r="153" spans="1:19" x14ac:dyDescent="0.25">
      <c r="A153" s="67" t="s">
        <v>247</v>
      </c>
      <c r="C153" s="68">
        <v>2867</v>
      </c>
      <c r="D153" s="65">
        <v>0.43</v>
      </c>
      <c r="E153" s="70">
        <f t="shared" si="44"/>
        <v>294.55</v>
      </c>
      <c r="F153" s="68">
        <f t="shared" si="45"/>
        <v>3161.55</v>
      </c>
      <c r="H153" s="69"/>
      <c r="I153" s="71"/>
      <c r="K153" s="67" t="s">
        <v>247</v>
      </c>
      <c r="M153" s="68">
        <v>4131</v>
      </c>
      <c r="N153" s="65">
        <v>0.43</v>
      </c>
      <c r="O153" s="70">
        <f t="shared" si="46"/>
        <v>653.6</v>
      </c>
      <c r="P153" s="69">
        <f t="shared" si="47"/>
        <v>4784.6000000000004</v>
      </c>
      <c r="R153" s="69"/>
      <c r="S153" s="71"/>
    </row>
    <row r="154" spans="1:19" x14ac:dyDescent="0.25">
      <c r="A154" s="67" t="s">
        <v>248</v>
      </c>
      <c r="C154" s="68">
        <v>2867</v>
      </c>
      <c r="D154" s="65">
        <v>0.43</v>
      </c>
      <c r="E154" s="70">
        <f t="shared" si="44"/>
        <v>294.55</v>
      </c>
      <c r="F154" s="68">
        <f t="shared" si="45"/>
        <v>3161.55</v>
      </c>
      <c r="H154" s="69"/>
      <c r="I154" s="71"/>
      <c r="K154" s="67" t="s">
        <v>248</v>
      </c>
      <c r="M154" s="68">
        <v>4131</v>
      </c>
      <c r="N154" s="65">
        <v>0.43</v>
      </c>
      <c r="O154" s="70">
        <f t="shared" si="46"/>
        <v>653.6</v>
      </c>
      <c r="P154" s="69">
        <f t="shared" si="47"/>
        <v>4784.6000000000004</v>
      </c>
      <c r="R154" s="69"/>
      <c r="S154" s="71"/>
    </row>
    <row r="155" spans="1:19" x14ac:dyDescent="0.25">
      <c r="A155" s="67" t="s">
        <v>249</v>
      </c>
      <c r="C155" s="68">
        <v>2867</v>
      </c>
      <c r="D155" s="65">
        <v>0.46</v>
      </c>
      <c r="E155" s="70">
        <f t="shared" si="44"/>
        <v>315.10000000000002</v>
      </c>
      <c r="F155" s="68">
        <f t="shared" si="45"/>
        <v>3182.1</v>
      </c>
      <c r="G155" t="s">
        <v>251</v>
      </c>
      <c r="H155" s="69">
        <f>AVERAGE(F153:F155)</f>
        <v>3168.4</v>
      </c>
      <c r="I155" s="71">
        <f>H155/$F$127</f>
        <v>31.464495531531529</v>
      </c>
      <c r="K155" s="67" t="s">
        <v>249</v>
      </c>
      <c r="M155" s="68">
        <v>4131</v>
      </c>
      <c r="N155" s="65">
        <v>0.46</v>
      </c>
      <c r="O155" s="70">
        <f t="shared" si="46"/>
        <v>699.2</v>
      </c>
      <c r="P155" s="69">
        <f t="shared" si="47"/>
        <v>4830.2</v>
      </c>
      <c r="Q155" t="s">
        <v>251</v>
      </c>
      <c r="R155" s="69">
        <f>AVERAGE(P153:P155)</f>
        <v>4799.8</v>
      </c>
      <c r="S155" s="71">
        <f>R155/$F$127</f>
        <v>47.665473315315317</v>
      </c>
    </row>
    <row r="156" spans="1:19" x14ac:dyDescent="0.25">
      <c r="A156" s="67" t="s">
        <v>252</v>
      </c>
      <c r="C156" s="68">
        <v>2867</v>
      </c>
      <c r="D156" s="65">
        <v>0.48</v>
      </c>
      <c r="E156" s="70">
        <f t="shared" si="44"/>
        <v>328.8</v>
      </c>
      <c r="F156" s="68">
        <f t="shared" si="45"/>
        <v>3195.8</v>
      </c>
      <c r="H156" s="69"/>
      <c r="I156" s="71"/>
      <c r="K156" s="67" t="s">
        <v>252</v>
      </c>
      <c r="M156" s="68">
        <v>4131</v>
      </c>
      <c r="N156" s="65">
        <v>0.48</v>
      </c>
      <c r="O156" s="70">
        <f t="shared" si="46"/>
        <v>729.6</v>
      </c>
      <c r="P156" s="69">
        <f t="shared" si="47"/>
        <v>4860.6000000000004</v>
      </c>
      <c r="R156" s="69"/>
      <c r="S156" s="71"/>
    </row>
    <row r="157" spans="1:19" x14ac:dyDescent="0.25">
      <c r="A157" s="67" t="s">
        <v>253</v>
      </c>
      <c r="C157" s="68">
        <v>2987</v>
      </c>
      <c r="D157" s="65">
        <v>0.5</v>
      </c>
      <c r="E157" s="70">
        <f t="shared" si="44"/>
        <v>342.5</v>
      </c>
      <c r="F157" s="68">
        <f t="shared" si="45"/>
        <v>3329.5</v>
      </c>
      <c r="H157" s="69"/>
      <c r="I157" s="71"/>
      <c r="K157" s="67" t="s">
        <v>253</v>
      </c>
      <c r="M157" s="68">
        <v>4229</v>
      </c>
      <c r="N157" s="65">
        <v>0.5</v>
      </c>
      <c r="O157" s="70">
        <f t="shared" si="46"/>
        <v>760</v>
      </c>
      <c r="P157" s="69">
        <f t="shared" si="47"/>
        <v>4989</v>
      </c>
      <c r="R157" s="69"/>
      <c r="S157" s="71"/>
    </row>
    <row r="158" spans="1:19" x14ac:dyDescent="0.25">
      <c r="A158" s="67" t="s">
        <v>254</v>
      </c>
      <c r="C158" s="68">
        <v>2987</v>
      </c>
      <c r="D158" s="65">
        <v>0.23</v>
      </c>
      <c r="E158" s="70">
        <f t="shared" si="44"/>
        <v>157.55000000000001</v>
      </c>
      <c r="F158" s="68">
        <f t="shared" si="45"/>
        <v>3144.55</v>
      </c>
      <c r="G158" t="s">
        <v>266</v>
      </c>
      <c r="H158" s="69">
        <f>AVERAGE(F156:F158)</f>
        <v>3223.2833333333333</v>
      </c>
      <c r="I158" s="70">
        <f>H158/$F$66</f>
        <v>32.009526587087088</v>
      </c>
      <c r="K158" s="67" t="s">
        <v>254</v>
      </c>
      <c r="M158" s="68">
        <v>4229</v>
      </c>
      <c r="N158" s="65">
        <v>0.23</v>
      </c>
      <c r="O158" s="70">
        <f t="shared" si="46"/>
        <v>349.6</v>
      </c>
      <c r="P158" s="69">
        <f t="shared" si="47"/>
        <v>4578.6000000000004</v>
      </c>
      <c r="Q158" t="s">
        <v>266</v>
      </c>
      <c r="R158" s="69">
        <f>AVERAGE(P156:P158)</f>
        <v>4809.4000000000005</v>
      </c>
      <c r="S158" s="70">
        <f>R158/$F$66</f>
        <v>47.76080823423424</v>
      </c>
    </row>
    <row r="159" spans="1:19" x14ac:dyDescent="0.25">
      <c r="A159" s="67" t="s">
        <v>255</v>
      </c>
      <c r="C159" s="68">
        <v>3144</v>
      </c>
      <c r="D159" s="65">
        <v>0.28000000000000003</v>
      </c>
      <c r="E159" s="70">
        <f t="shared" si="44"/>
        <v>191.8</v>
      </c>
      <c r="F159" s="68">
        <f t="shared" si="45"/>
        <v>3335.8</v>
      </c>
      <c r="H159" s="69"/>
      <c r="I159" s="71"/>
      <c r="K159" s="67" t="s">
        <v>255</v>
      </c>
      <c r="M159" s="68">
        <v>4702</v>
      </c>
      <c r="N159" s="65">
        <v>0.28000000000000003</v>
      </c>
      <c r="O159" s="70">
        <f t="shared" si="46"/>
        <v>425.6</v>
      </c>
      <c r="P159" s="69">
        <f t="shared" si="47"/>
        <v>5127.6000000000004</v>
      </c>
      <c r="R159" s="69"/>
      <c r="S159" s="71"/>
    </row>
    <row r="160" spans="1:19" x14ac:dyDescent="0.25">
      <c r="A160" s="67" t="s">
        <v>256</v>
      </c>
      <c r="C160" s="68">
        <v>3144</v>
      </c>
      <c r="D160" s="65">
        <v>0.36</v>
      </c>
      <c r="E160" s="70">
        <f t="shared" si="44"/>
        <v>246.6</v>
      </c>
      <c r="F160" s="68">
        <f t="shared" si="45"/>
        <v>3390.6</v>
      </c>
      <c r="H160" s="69"/>
      <c r="I160" s="71"/>
      <c r="K160" s="67" t="s">
        <v>256</v>
      </c>
      <c r="M160" s="68">
        <v>4702</v>
      </c>
      <c r="N160" s="65">
        <v>0.36</v>
      </c>
      <c r="O160" s="70">
        <f t="shared" si="46"/>
        <v>547.19999999999993</v>
      </c>
      <c r="P160" s="69">
        <f t="shared" si="47"/>
        <v>5249.2</v>
      </c>
      <c r="R160" s="69"/>
      <c r="S160" s="71"/>
    </row>
    <row r="161" spans="1:19" x14ac:dyDescent="0.25">
      <c r="A161" s="67" t="s">
        <v>257</v>
      </c>
      <c r="C161" s="68">
        <v>3144</v>
      </c>
      <c r="D161" s="65">
        <v>0.4</v>
      </c>
      <c r="E161" s="70">
        <f t="shared" si="44"/>
        <v>274</v>
      </c>
      <c r="F161" s="68">
        <f t="shared" si="45"/>
        <v>3418</v>
      </c>
      <c r="G161" t="s">
        <v>267</v>
      </c>
      <c r="H161" s="69">
        <f>AVERAGE(F159:F161)</f>
        <v>3381.4666666666667</v>
      </c>
      <c r="I161" s="70">
        <f>H161/$F$66</f>
        <v>33.580401093093094</v>
      </c>
      <c r="K161" s="67" t="s">
        <v>257</v>
      </c>
      <c r="M161" s="68">
        <v>4702</v>
      </c>
      <c r="N161" s="65">
        <v>0.4</v>
      </c>
      <c r="O161" s="70">
        <f t="shared" si="46"/>
        <v>608</v>
      </c>
      <c r="P161" s="69">
        <f t="shared" si="47"/>
        <v>5310</v>
      </c>
      <c r="Q161" t="s">
        <v>267</v>
      </c>
      <c r="R161" s="69">
        <f>AVERAGE(P159:P161)</f>
        <v>5228.9333333333334</v>
      </c>
      <c r="S161" s="70">
        <f>R161/$F$66</f>
        <v>51.9270766006006</v>
      </c>
    </row>
    <row r="162" spans="1:19" x14ac:dyDescent="0.25">
      <c r="A162" s="67" t="s">
        <v>258</v>
      </c>
      <c r="C162" s="68">
        <v>3144</v>
      </c>
      <c r="D162" s="65">
        <v>0.39</v>
      </c>
      <c r="E162" s="70">
        <f t="shared" si="44"/>
        <v>267.15000000000003</v>
      </c>
      <c r="F162" s="68">
        <f t="shared" si="45"/>
        <v>3411.15</v>
      </c>
      <c r="H162" s="69"/>
      <c r="I162" s="71"/>
      <c r="K162" s="67" t="s">
        <v>258</v>
      </c>
      <c r="M162" s="68">
        <v>4702</v>
      </c>
      <c r="N162" s="65">
        <v>0.39</v>
      </c>
      <c r="O162" s="70">
        <f t="shared" si="46"/>
        <v>592.80000000000007</v>
      </c>
      <c r="P162" s="69">
        <f t="shared" si="47"/>
        <v>5294.8</v>
      </c>
      <c r="R162" s="69"/>
      <c r="S162" s="71"/>
    </row>
    <row r="163" spans="1:19" x14ac:dyDescent="0.25">
      <c r="A163" s="67" t="s">
        <v>259</v>
      </c>
      <c r="C163" s="68">
        <v>3144</v>
      </c>
      <c r="D163" s="65">
        <v>0.36</v>
      </c>
      <c r="E163" s="70">
        <f t="shared" si="44"/>
        <v>246.6</v>
      </c>
      <c r="F163" s="68">
        <f t="shared" si="45"/>
        <v>3390.6</v>
      </c>
      <c r="H163" s="69"/>
      <c r="I163" s="71"/>
      <c r="K163" s="67" t="s">
        <v>259</v>
      </c>
      <c r="M163" s="68">
        <v>4702</v>
      </c>
      <c r="N163" s="65">
        <v>0.36</v>
      </c>
      <c r="O163" s="70">
        <f t="shared" si="46"/>
        <v>547.19999999999993</v>
      </c>
      <c r="P163" s="69">
        <f t="shared" si="47"/>
        <v>5249.2</v>
      </c>
      <c r="R163" s="69"/>
      <c r="S163" s="71"/>
    </row>
    <row r="164" spans="1:19" x14ac:dyDescent="0.25">
      <c r="A164" s="67" t="s">
        <v>260</v>
      </c>
      <c r="C164" s="68">
        <v>3144</v>
      </c>
      <c r="D164" s="65">
        <v>0.36</v>
      </c>
      <c r="E164" s="70">
        <f t="shared" si="44"/>
        <v>246.6</v>
      </c>
      <c r="F164" s="68">
        <f t="shared" si="45"/>
        <v>3390.6</v>
      </c>
      <c r="G164" t="s">
        <v>268</v>
      </c>
      <c r="H164" s="69">
        <f>AVERAGE(F162:F164)</f>
        <v>3397.4500000000003</v>
      </c>
      <c r="I164" s="70">
        <f>H164/$F$66</f>
        <v>33.739127112612614</v>
      </c>
      <c r="K164" s="67" t="s">
        <v>260</v>
      </c>
      <c r="M164" s="68">
        <v>4702</v>
      </c>
      <c r="N164" s="65">
        <v>0.36</v>
      </c>
      <c r="O164" s="70">
        <f t="shared" si="46"/>
        <v>547.19999999999993</v>
      </c>
      <c r="P164" s="69">
        <f t="shared" si="47"/>
        <v>5249.2</v>
      </c>
      <c r="Q164" t="s">
        <v>268</v>
      </c>
      <c r="R164" s="69">
        <f>AVERAGE(P162:P164)</f>
        <v>5264.4000000000005</v>
      </c>
      <c r="S164" s="70">
        <f>R164/$F$66</f>
        <v>52.279286162162165</v>
      </c>
    </row>
    <row r="165" spans="1:19" x14ac:dyDescent="0.25">
      <c r="A165" s="67" t="s">
        <v>261</v>
      </c>
      <c r="C165" s="68">
        <v>3144</v>
      </c>
      <c r="D165" s="65">
        <v>0.35</v>
      </c>
      <c r="E165" s="70">
        <f t="shared" si="44"/>
        <v>239.74999999999997</v>
      </c>
      <c r="F165" s="68">
        <f t="shared" si="45"/>
        <v>3383.75</v>
      </c>
      <c r="H165" s="69"/>
      <c r="I165" s="71"/>
      <c r="K165" s="67" t="s">
        <v>261</v>
      </c>
      <c r="M165" s="68">
        <v>4702</v>
      </c>
      <c r="N165" s="65">
        <v>0.35</v>
      </c>
      <c r="O165" s="70">
        <f t="shared" si="46"/>
        <v>532</v>
      </c>
      <c r="P165" s="69">
        <f t="shared" si="47"/>
        <v>5234</v>
      </c>
      <c r="R165" s="69"/>
      <c r="S165" s="71"/>
    </row>
    <row r="166" spans="1:19" x14ac:dyDescent="0.25">
      <c r="A166" s="67" t="s">
        <v>262</v>
      </c>
      <c r="C166" s="68">
        <v>3144</v>
      </c>
      <c r="D166" s="65">
        <v>0.34</v>
      </c>
      <c r="E166" s="70">
        <f t="shared" si="44"/>
        <v>232.9</v>
      </c>
      <c r="F166" s="68">
        <f t="shared" si="45"/>
        <v>3376.9</v>
      </c>
      <c r="H166" s="69"/>
      <c r="I166" s="71"/>
      <c r="K166" s="67" t="s">
        <v>262</v>
      </c>
      <c r="M166" s="68">
        <v>4702</v>
      </c>
      <c r="N166" s="65">
        <v>0.34</v>
      </c>
      <c r="O166" s="70">
        <f t="shared" si="46"/>
        <v>516.80000000000007</v>
      </c>
      <c r="P166" s="69">
        <f t="shared" si="47"/>
        <v>5218.8</v>
      </c>
      <c r="R166" s="69"/>
      <c r="S166" s="71"/>
    </row>
    <row r="167" spans="1:19" x14ac:dyDescent="0.25">
      <c r="A167" s="67" t="s">
        <v>263</v>
      </c>
      <c r="C167" s="68">
        <v>3144</v>
      </c>
      <c r="D167" s="65">
        <v>0.33</v>
      </c>
      <c r="E167" s="70">
        <f t="shared" si="44"/>
        <v>226.05</v>
      </c>
      <c r="F167" s="68">
        <f t="shared" si="45"/>
        <v>3370.05</v>
      </c>
      <c r="G167" t="s">
        <v>270</v>
      </c>
      <c r="H167" s="69">
        <f>AVERAGE(F165:F167)</f>
        <v>3376.9</v>
      </c>
      <c r="I167" s="70">
        <f>H167/$F$66</f>
        <v>33.535050801801802</v>
      </c>
      <c r="K167" s="67" t="s">
        <v>263</v>
      </c>
      <c r="M167" s="68">
        <v>4702</v>
      </c>
      <c r="N167" s="65">
        <v>0.33</v>
      </c>
      <c r="O167" s="70">
        <f t="shared" si="46"/>
        <v>501.6</v>
      </c>
      <c r="P167" s="69">
        <f t="shared" si="47"/>
        <v>5203.6000000000004</v>
      </c>
      <c r="Q167" t="s">
        <v>270</v>
      </c>
      <c r="R167" s="69">
        <f>AVERAGE(P165:P167)</f>
        <v>5218.8</v>
      </c>
      <c r="S167" s="70">
        <f>R167/$F$66</f>
        <v>51.826445297297298</v>
      </c>
    </row>
    <row r="168" spans="1:19" x14ac:dyDescent="0.25">
      <c r="A168" s="67" t="s">
        <v>276</v>
      </c>
      <c r="C168" s="68">
        <v>3144</v>
      </c>
      <c r="D168" s="65">
        <v>0.37</v>
      </c>
      <c r="E168" s="70">
        <f t="shared" si="44"/>
        <v>253.45</v>
      </c>
      <c r="F168" s="68">
        <f t="shared" si="45"/>
        <v>3397.45</v>
      </c>
      <c r="H168" s="69"/>
      <c r="I168" s="70"/>
      <c r="K168" s="67" t="s">
        <v>276</v>
      </c>
      <c r="M168" s="68">
        <v>4702</v>
      </c>
      <c r="N168" s="65">
        <v>0.37</v>
      </c>
      <c r="O168" s="70">
        <f t="shared" si="46"/>
        <v>562.4</v>
      </c>
      <c r="P168" s="69">
        <f t="shared" si="47"/>
        <v>5264.4</v>
      </c>
      <c r="R168" s="69"/>
      <c r="S168" s="70"/>
    </row>
    <row r="169" spans="1:19" x14ac:dyDescent="0.25">
      <c r="A169" s="67" t="s">
        <v>277</v>
      </c>
      <c r="C169" s="68">
        <v>3247</v>
      </c>
      <c r="D169" s="65">
        <v>0.35</v>
      </c>
      <c r="E169" s="70">
        <f t="shared" si="44"/>
        <v>239.74999999999997</v>
      </c>
      <c r="F169" s="68">
        <f t="shared" si="45"/>
        <v>3486.75</v>
      </c>
      <c r="H169" s="69"/>
      <c r="I169" s="70"/>
      <c r="K169" s="67" t="s">
        <v>277</v>
      </c>
      <c r="M169" s="68">
        <v>4832</v>
      </c>
      <c r="N169" s="65">
        <v>0.35</v>
      </c>
      <c r="O169" s="70">
        <f t="shared" si="46"/>
        <v>532</v>
      </c>
      <c r="P169" s="69">
        <f t="shared" si="47"/>
        <v>5364</v>
      </c>
      <c r="R169" s="69"/>
      <c r="S169" s="70"/>
    </row>
    <row r="170" spans="1:19" x14ac:dyDescent="0.25">
      <c r="A170" s="67" t="s">
        <v>278</v>
      </c>
      <c r="C170" s="68">
        <v>3247</v>
      </c>
      <c r="D170" s="65">
        <v>0.34</v>
      </c>
      <c r="E170" s="70">
        <f t="shared" si="44"/>
        <v>232.9</v>
      </c>
      <c r="F170" s="68">
        <f t="shared" si="45"/>
        <v>3479.9</v>
      </c>
      <c r="G170" t="s">
        <v>279</v>
      </c>
      <c r="H170" s="69">
        <f>AVERAGE(F168:F170)</f>
        <v>3454.7000000000003</v>
      </c>
      <c r="I170" s="70">
        <f>H170/$F$66</f>
        <v>34.307660873873878</v>
      </c>
      <c r="K170" s="67" t="s">
        <v>278</v>
      </c>
      <c r="M170" s="68">
        <v>4832</v>
      </c>
      <c r="N170" s="65">
        <v>0.34</v>
      </c>
      <c r="O170" s="70">
        <f t="shared" si="46"/>
        <v>516.80000000000007</v>
      </c>
      <c r="P170" s="69">
        <f t="shared" si="47"/>
        <v>5348.8</v>
      </c>
      <c r="Q170" t="s">
        <v>279</v>
      </c>
      <c r="R170" s="69">
        <f>AVERAGE(P168:P170)</f>
        <v>5325.7333333333336</v>
      </c>
      <c r="S170" s="70">
        <f>R170/$F$66</f>
        <v>52.888370366366367</v>
      </c>
    </row>
    <row r="171" spans="1:19" x14ac:dyDescent="0.25">
      <c r="A171" s="67" t="s">
        <v>281</v>
      </c>
      <c r="C171" s="68">
        <v>3247</v>
      </c>
      <c r="D171" s="65">
        <v>0.37</v>
      </c>
      <c r="E171" s="70">
        <f t="shared" si="44"/>
        <v>253.45</v>
      </c>
      <c r="F171" s="68">
        <f t="shared" si="45"/>
        <v>3500.45</v>
      </c>
      <c r="H171" s="69"/>
      <c r="I171" s="70"/>
      <c r="K171" s="67" t="s">
        <v>281</v>
      </c>
      <c r="M171" s="68">
        <v>4832</v>
      </c>
      <c r="N171" s="65">
        <v>0.37</v>
      </c>
      <c r="O171" s="70">
        <f t="shared" si="46"/>
        <v>562.4</v>
      </c>
      <c r="P171" s="69">
        <f t="shared" si="47"/>
        <v>5394.4</v>
      </c>
      <c r="R171" s="69"/>
      <c r="S171" s="70"/>
    </row>
    <row r="172" spans="1:19" x14ac:dyDescent="0.25">
      <c r="A172" s="67" t="s">
        <v>282</v>
      </c>
      <c r="C172" s="68">
        <v>3247</v>
      </c>
      <c r="D172" s="65">
        <v>0.41</v>
      </c>
      <c r="E172" s="70">
        <f t="shared" si="44"/>
        <v>280.84999999999997</v>
      </c>
      <c r="F172" s="68">
        <f t="shared" si="45"/>
        <v>3527.85</v>
      </c>
      <c r="H172" s="69"/>
      <c r="I172" s="70"/>
      <c r="K172" s="67" t="s">
        <v>282</v>
      </c>
      <c r="M172" s="68">
        <v>4832</v>
      </c>
      <c r="N172" s="65">
        <v>0.41</v>
      </c>
      <c r="O172" s="70">
        <f t="shared" si="46"/>
        <v>623.19999999999993</v>
      </c>
      <c r="P172" s="69">
        <f t="shared" si="47"/>
        <v>5455.2</v>
      </c>
      <c r="R172" s="69"/>
      <c r="S172" s="70"/>
    </row>
    <row r="173" spans="1:19" x14ac:dyDescent="0.25">
      <c r="A173" s="67" t="s">
        <v>283</v>
      </c>
      <c r="C173" s="68">
        <v>3634</v>
      </c>
      <c r="D173" s="65">
        <v>0.41</v>
      </c>
      <c r="E173" s="70">
        <f t="shared" si="44"/>
        <v>280.84999999999997</v>
      </c>
      <c r="F173" s="68">
        <f t="shared" si="45"/>
        <v>3914.85</v>
      </c>
      <c r="G173" t="s">
        <v>289</v>
      </c>
      <c r="H173" s="69">
        <f>AVERAGE(F171:F173)</f>
        <v>3647.7166666666667</v>
      </c>
      <c r="I173" s="70">
        <f>H173/$F$66</f>
        <v>36.224455484984986</v>
      </c>
      <c r="K173" s="67" t="s">
        <v>283</v>
      </c>
      <c r="M173" s="68">
        <v>4832</v>
      </c>
      <c r="N173" s="65">
        <v>0.41</v>
      </c>
      <c r="O173" s="70">
        <f t="shared" si="46"/>
        <v>623.19999999999993</v>
      </c>
      <c r="P173" s="69">
        <f t="shared" si="47"/>
        <v>5455.2</v>
      </c>
      <c r="Q173" t="s">
        <v>289</v>
      </c>
      <c r="R173" s="69">
        <f>AVERAGE(P171:P173)</f>
        <v>5434.9333333333334</v>
      </c>
      <c r="S173" s="70">
        <f>R173/$F$66</f>
        <v>53.972805069069068</v>
      </c>
    </row>
    <row r="174" spans="1:19" x14ac:dyDescent="0.25">
      <c r="A174" s="67" t="s">
        <v>284</v>
      </c>
      <c r="C174" s="68">
        <v>3634</v>
      </c>
      <c r="D174" s="65">
        <v>0.37</v>
      </c>
      <c r="E174" s="70">
        <f t="shared" si="44"/>
        <v>253.45</v>
      </c>
      <c r="F174" s="68">
        <f t="shared" si="45"/>
        <v>3887.45</v>
      </c>
      <c r="H174" s="69"/>
      <c r="I174" s="70"/>
      <c r="K174" s="67" t="s">
        <v>284</v>
      </c>
      <c r="M174" s="68">
        <v>4832</v>
      </c>
      <c r="N174" s="65">
        <v>0.37</v>
      </c>
      <c r="O174" s="70">
        <f t="shared" si="46"/>
        <v>562.4</v>
      </c>
      <c r="P174" s="69">
        <f t="shared" si="47"/>
        <v>5394.4</v>
      </c>
      <c r="R174" s="69"/>
      <c r="S174" s="70"/>
    </row>
    <row r="175" spans="1:19" x14ac:dyDescent="0.25">
      <c r="A175" s="67" t="s">
        <v>285</v>
      </c>
      <c r="C175" s="68">
        <v>3634</v>
      </c>
      <c r="D175" s="65">
        <v>0.32</v>
      </c>
      <c r="E175" s="70">
        <f t="shared" si="44"/>
        <v>219.20000000000002</v>
      </c>
      <c r="F175" s="68">
        <f t="shared" si="45"/>
        <v>3853.2</v>
      </c>
      <c r="H175" s="69"/>
      <c r="I175" s="70"/>
      <c r="K175" s="67" t="s">
        <v>285</v>
      </c>
      <c r="M175" s="68">
        <v>4963</v>
      </c>
      <c r="N175" s="65">
        <v>0.32</v>
      </c>
      <c r="O175" s="70">
        <f t="shared" si="46"/>
        <v>486.40000000000003</v>
      </c>
      <c r="P175" s="69">
        <f t="shared" si="47"/>
        <v>5449.4</v>
      </c>
      <c r="R175" s="69"/>
      <c r="S175" s="70"/>
    </row>
    <row r="176" spans="1:19" x14ac:dyDescent="0.25">
      <c r="A176" s="67" t="s">
        <v>286</v>
      </c>
      <c r="C176" s="68">
        <v>3634</v>
      </c>
      <c r="D176" s="65">
        <v>0.31</v>
      </c>
      <c r="E176" s="70">
        <f t="shared" ref="E176:E179" si="48">$C$129*D176</f>
        <v>212.35</v>
      </c>
      <c r="F176" s="68">
        <f t="shared" ref="F176:F179" si="49">C176+E176</f>
        <v>3846.35</v>
      </c>
      <c r="G176" t="s">
        <v>290</v>
      </c>
      <c r="H176" s="69">
        <f>AVERAGE(F174:F176)</f>
        <v>3862.3333333333335</v>
      </c>
      <c r="I176" s="70">
        <f>H176/$F$66</f>
        <v>38.355753663663663</v>
      </c>
      <c r="K176" s="67" t="s">
        <v>286</v>
      </c>
      <c r="M176" s="68">
        <v>4963</v>
      </c>
      <c r="N176" s="65">
        <v>0.31</v>
      </c>
      <c r="O176" s="70">
        <f t="shared" ref="O176:O179" si="50">$M$129*N176</f>
        <v>471.2</v>
      </c>
      <c r="P176" s="69">
        <f t="shared" ref="P176:P179" si="51">M176+O176</f>
        <v>5434.2</v>
      </c>
      <c r="Q176" t="s">
        <v>290</v>
      </c>
      <c r="R176" s="69">
        <f>AVERAGE(P174:P176)</f>
        <v>5426</v>
      </c>
      <c r="S176" s="70">
        <f>R176/$F$66</f>
        <v>53.884090630630631</v>
      </c>
    </row>
    <row r="177" spans="1:19" x14ac:dyDescent="0.25">
      <c r="A177" s="67" t="s">
        <v>280</v>
      </c>
      <c r="C177" s="68">
        <v>3634</v>
      </c>
      <c r="D177" s="65">
        <v>0.38</v>
      </c>
      <c r="E177" s="70">
        <f t="shared" si="48"/>
        <v>260.3</v>
      </c>
      <c r="F177" s="68">
        <f t="shared" si="49"/>
        <v>3894.3</v>
      </c>
      <c r="H177" s="69"/>
      <c r="I177" s="70"/>
      <c r="K177" s="67" t="s">
        <v>280</v>
      </c>
      <c r="M177" s="68">
        <v>4963</v>
      </c>
      <c r="N177" s="65">
        <v>0.38</v>
      </c>
      <c r="O177" s="70">
        <f t="shared" si="50"/>
        <v>577.6</v>
      </c>
      <c r="P177" s="69">
        <f t="shared" si="51"/>
        <v>5540.6</v>
      </c>
      <c r="R177" s="69"/>
      <c r="S177" s="70"/>
    </row>
    <row r="178" spans="1:19" x14ac:dyDescent="0.25">
      <c r="A178" s="67" t="s">
        <v>287</v>
      </c>
      <c r="C178" s="68">
        <v>3634</v>
      </c>
      <c r="D178" s="65">
        <v>0.41</v>
      </c>
      <c r="E178" s="70">
        <f t="shared" si="48"/>
        <v>280.84999999999997</v>
      </c>
      <c r="F178" s="68">
        <f t="shared" si="49"/>
        <v>3914.85</v>
      </c>
      <c r="H178" s="69"/>
      <c r="I178" s="70"/>
      <c r="K178" s="67" t="s">
        <v>287</v>
      </c>
      <c r="M178" s="68">
        <v>4963</v>
      </c>
      <c r="N178" s="65">
        <v>0.41</v>
      </c>
      <c r="O178" s="70">
        <f t="shared" si="50"/>
        <v>623.19999999999993</v>
      </c>
      <c r="P178" s="69">
        <f t="shared" si="51"/>
        <v>5586.2</v>
      </c>
      <c r="R178" s="69"/>
      <c r="S178" s="70"/>
    </row>
    <row r="179" spans="1:19" x14ac:dyDescent="0.25">
      <c r="A179" s="67" t="s">
        <v>288</v>
      </c>
      <c r="C179" s="68">
        <v>3634</v>
      </c>
      <c r="D179" s="65">
        <v>0.4</v>
      </c>
      <c r="E179" s="70">
        <f t="shared" si="48"/>
        <v>274</v>
      </c>
      <c r="F179" s="68">
        <f t="shared" si="49"/>
        <v>3908</v>
      </c>
      <c r="G179" t="s">
        <v>291</v>
      </c>
      <c r="H179" s="69">
        <f>AVERAGE(F177:F179)</f>
        <v>3905.7166666666667</v>
      </c>
      <c r="I179" s="70">
        <f>H179/$F$66</f>
        <v>38.78658143093093</v>
      </c>
      <c r="K179" s="67" t="s">
        <v>288</v>
      </c>
      <c r="M179" s="68">
        <v>4963</v>
      </c>
      <c r="N179" s="65">
        <v>0.4</v>
      </c>
      <c r="O179" s="70">
        <f t="shared" si="50"/>
        <v>608</v>
      </c>
      <c r="P179" s="69">
        <f t="shared" si="51"/>
        <v>5571</v>
      </c>
      <c r="Q179" t="s">
        <v>291</v>
      </c>
      <c r="R179" s="69">
        <f>AVERAGE(P177:P179)</f>
        <v>5565.9333333333334</v>
      </c>
      <c r="S179" s="70">
        <f>R179/$F$66</f>
        <v>55.273729483483478</v>
      </c>
    </row>
    <row r="180" spans="1:19" x14ac:dyDescent="0.25">
      <c r="A180" s="67"/>
      <c r="C180" s="68"/>
      <c r="D180" s="65"/>
      <c r="E180" s="70"/>
      <c r="F180" s="68"/>
      <c r="H180" s="69"/>
      <c r="I180" s="70"/>
      <c r="K180" s="67"/>
      <c r="M180" s="68"/>
      <c r="N180" s="65"/>
      <c r="O180" s="70"/>
      <c r="P180" s="69"/>
      <c r="R180" s="69"/>
      <c r="S180" s="70"/>
    </row>
    <row r="181" spans="1:19" x14ac:dyDescent="0.25">
      <c r="A181" s="67"/>
      <c r="C181" s="68"/>
      <c r="D181" s="65"/>
      <c r="E181" s="70"/>
      <c r="F181" s="68"/>
      <c r="H181" s="69"/>
      <c r="I181" s="70"/>
      <c r="K181" s="67"/>
      <c r="M181" s="68"/>
      <c r="N181" s="65"/>
      <c r="O181" s="70"/>
      <c r="P181" s="69"/>
      <c r="R181" s="69"/>
      <c r="S181" s="70"/>
    </row>
    <row r="182" spans="1:19" x14ac:dyDescent="0.25">
      <c r="M182" s="68"/>
    </row>
    <row r="185" spans="1:19" x14ac:dyDescent="0.25">
      <c r="A185" t="s">
        <v>188</v>
      </c>
      <c r="K185" t="s">
        <v>242</v>
      </c>
    </row>
    <row r="186" spans="1:19" x14ac:dyDescent="0.25">
      <c r="A186" s="62" t="s">
        <v>115</v>
      </c>
      <c r="B186" s="62" t="s">
        <v>189</v>
      </c>
      <c r="C186" s="62" t="s">
        <v>126</v>
      </c>
      <c r="D186" s="62"/>
      <c r="K186" s="62" t="s">
        <v>240</v>
      </c>
    </row>
    <row r="187" spans="1:19" x14ac:dyDescent="0.25">
      <c r="A187" t="s">
        <v>238</v>
      </c>
      <c r="C187" t="s">
        <v>239</v>
      </c>
      <c r="K187" t="s">
        <v>241</v>
      </c>
    </row>
    <row r="188" spans="1:19" x14ac:dyDescent="0.25">
      <c r="A188" s="81" t="s">
        <v>109</v>
      </c>
      <c r="K188" s="81" t="s">
        <v>109</v>
      </c>
    </row>
    <row r="189" spans="1:19" x14ac:dyDescent="0.25">
      <c r="A189" t="s">
        <v>250</v>
      </c>
      <c r="E189" t="s">
        <v>229</v>
      </c>
      <c r="F189" s="70">
        <f>111/1.10231</f>
        <v>100.69762589471202</v>
      </c>
      <c r="G189" t="s">
        <v>228</v>
      </c>
      <c r="K189" t="s">
        <v>250</v>
      </c>
    </row>
    <row r="190" spans="1:19" x14ac:dyDescent="0.25">
      <c r="A190" t="s">
        <v>191</v>
      </c>
      <c r="K190" t="s">
        <v>191</v>
      </c>
    </row>
    <row r="191" spans="1:19" x14ac:dyDescent="0.25">
      <c r="A191" t="s">
        <v>192</v>
      </c>
      <c r="C191">
        <v>1583</v>
      </c>
      <c r="K191" t="s">
        <v>192</v>
      </c>
      <c r="M191">
        <v>1599</v>
      </c>
    </row>
    <row r="192" spans="1:19" x14ac:dyDescent="0.25">
      <c r="D192" t="s">
        <v>195</v>
      </c>
      <c r="E192" t="s">
        <v>195</v>
      </c>
      <c r="F192" t="s">
        <v>219</v>
      </c>
      <c r="H192" t="s">
        <v>230</v>
      </c>
      <c r="N192" t="s">
        <v>195</v>
      </c>
      <c r="O192" t="s">
        <v>195</v>
      </c>
      <c r="P192" t="s">
        <v>219</v>
      </c>
      <c r="R192" t="s">
        <v>230</v>
      </c>
    </row>
    <row r="193" spans="1:19" ht="15.75" thickBot="1" x14ac:dyDescent="0.3">
      <c r="A193" s="66" t="s">
        <v>193</v>
      </c>
      <c r="B193" s="66"/>
      <c r="C193" s="66" t="s">
        <v>194</v>
      </c>
      <c r="D193" s="66" t="s">
        <v>196</v>
      </c>
      <c r="E193" s="66" t="s">
        <v>218</v>
      </c>
      <c r="F193" s="66" t="s">
        <v>195</v>
      </c>
      <c r="H193" s="66" t="s">
        <v>231</v>
      </c>
      <c r="I193" s="66" t="s">
        <v>227</v>
      </c>
      <c r="K193" s="66" t="s">
        <v>193</v>
      </c>
      <c r="L193" s="66"/>
      <c r="M193" s="66" t="s">
        <v>194</v>
      </c>
      <c r="N193" s="66" t="s">
        <v>196</v>
      </c>
      <c r="O193" s="66" t="s">
        <v>218</v>
      </c>
      <c r="P193" s="66" t="s">
        <v>195</v>
      </c>
      <c r="R193" s="66" t="s">
        <v>231</v>
      </c>
      <c r="S193" s="66" t="s">
        <v>227</v>
      </c>
    </row>
    <row r="194" spans="1:19" x14ac:dyDescent="0.25">
      <c r="A194" s="67" t="s">
        <v>197</v>
      </c>
      <c r="C194" s="68">
        <v>4773</v>
      </c>
      <c r="D194" s="65">
        <v>0.41</v>
      </c>
      <c r="E194" s="70">
        <f>$C$191*D194</f>
        <v>649.03</v>
      </c>
      <c r="F194" s="69">
        <f>C194+E194</f>
        <v>5422.03</v>
      </c>
      <c r="K194" s="67" t="s">
        <v>197</v>
      </c>
      <c r="M194" s="68">
        <v>4238</v>
      </c>
      <c r="N194" s="65">
        <v>0.16</v>
      </c>
      <c r="O194" s="72">
        <f>N194*$M$191</f>
        <v>255.84</v>
      </c>
      <c r="P194" s="68">
        <f t="shared" ref="P194:P199" si="52">M194+O194</f>
        <v>4493.84</v>
      </c>
    </row>
    <row r="195" spans="1:19" x14ac:dyDescent="0.25">
      <c r="A195" s="67" t="s">
        <v>198</v>
      </c>
      <c r="C195" s="68">
        <v>4773</v>
      </c>
      <c r="D195" s="65">
        <v>0.3</v>
      </c>
      <c r="E195" s="70">
        <f t="shared" ref="E195:E237" si="53">$C$191*D195</f>
        <v>474.9</v>
      </c>
      <c r="F195" s="69">
        <f t="shared" ref="F195:F237" si="54">C195+E195</f>
        <v>5247.9</v>
      </c>
      <c r="K195" s="67" t="s">
        <v>198</v>
      </c>
      <c r="M195" s="68">
        <v>4238</v>
      </c>
      <c r="N195" s="65">
        <v>7.0000000000000007E-2</v>
      </c>
      <c r="O195" s="72">
        <f t="shared" ref="O195:O241" si="55">N195*$M$191</f>
        <v>111.93</v>
      </c>
      <c r="P195" s="68">
        <f t="shared" si="52"/>
        <v>4349.93</v>
      </c>
    </row>
    <row r="196" spans="1:19" x14ac:dyDescent="0.25">
      <c r="A196" s="67" t="s">
        <v>199</v>
      </c>
      <c r="C196" s="68">
        <v>4773</v>
      </c>
      <c r="D196" s="65">
        <v>0.27</v>
      </c>
      <c r="E196" s="70">
        <f t="shared" si="53"/>
        <v>427.41</v>
      </c>
      <c r="F196" s="69">
        <f t="shared" si="54"/>
        <v>5200.41</v>
      </c>
      <c r="G196" t="s">
        <v>220</v>
      </c>
      <c r="H196" s="69">
        <f>AVERAGE(F194:F196)</f>
        <v>5290.1133333333337</v>
      </c>
      <c r="I196" s="71">
        <f>H196/$F$189</f>
        <v>52.534638094294294</v>
      </c>
      <c r="K196" s="67" t="s">
        <v>199</v>
      </c>
      <c r="M196" s="68">
        <v>4238</v>
      </c>
      <c r="N196" s="65">
        <v>0</v>
      </c>
      <c r="O196" s="72">
        <f t="shared" si="55"/>
        <v>0</v>
      </c>
      <c r="P196" s="68">
        <f t="shared" si="52"/>
        <v>4238</v>
      </c>
      <c r="Q196" t="s">
        <v>220</v>
      </c>
      <c r="R196" s="69">
        <f>AVERAGE(P194:P196)</f>
        <v>4360.59</v>
      </c>
      <c r="S196" s="71">
        <f>R196/$F$189</f>
        <v>43.303801467567567</v>
      </c>
    </row>
    <row r="197" spans="1:19" x14ac:dyDescent="0.25">
      <c r="A197" s="67" t="s">
        <v>200</v>
      </c>
      <c r="C197" s="68">
        <v>4773</v>
      </c>
      <c r="D197" s="65">
        <v>0.24</v>
      </c>
      <c r="E197" s="70">
        <f t="shared" si="53"/>
        <v>379.91999999999996</v>
      </c>
      <c r="F197" s="69">
        <f t="shared" si="54"/>
        <v>5152.92</v>
      </c>
      <c r="K197" s="67" t="s">
        <v>200</v>
      </c>
      <c r="M197" s="68">
        <v>4238</v>
      </c>
      <c r="N197" s="65">
        <v>0</v>
      </c>
      <c r="O197" s="72">
        <f t="shared" si="55"/>
        <v>0</v>
      </c>
      <c r="P197" s="68">
        <f t="shared" si="52"/>
        <v>4238</v>
      </c>
    </row>
    <row r="198" spans="1:19" x14ac:dyDescent="0.25">
      <c r="A198" s="67" t="s">
        <v>201</v>
      </c>
      <c r="C198" s="68">
        <v>4773</v>
      </c>
      <c r="D198" s="65">
        <v>0.22</v>
      </c>
      <c r="E198" s="70">
        <f t="shared" si="53"/>
        <v>348.26</v>
      </c>
      <c r="F198" s="69">
        <f t="shared" si="54"/>
        <v>5121.26</v>
      </c>
      <c r="K198" s="67" t="s">
        <v>201</v>
      </c>
      <c r="M198" s="68">
        <v>4238</v>
      </c>
      <c r="N198" s="65">
        <v>0</v>
      </c>
      <c r="O198" s="72">
        <f t="shared" si="55"/>
        <v>0</v>
      </c>
      <c r="P198" s="68">
        <f t="shared" si="52"/>
        <v>4238</v>
      </c>
    </row>
    <row r="199" spans="1:19" x14ac:dyDescent="0.25">
      <c r="A199" s="67" t="s">
        <v>202</v>
      </c>
      <c r="C199" s="68">
        <v>4773</v>
      </c>
      <c r="D199" s="65">
        <v>0.25</v>
      </c>
      <c r="E199" s="70">
        <f t="shared" si="53"/>
        <v>395.75</v>
      </c>
      <c r="F199" s="69">
        <f t="shared" si="54"/>
        <v>5168.75</v>
      </c>
      <c r="G199" t="s">
        <v>222</v>
      </c>
      <c r="H199" s="69">
        <f>AVERAGE(F197:F199)</f>
        <v>5147.6433333333334</v>
      </c>
      <c r="I199" s="71">
        <f>H199/$F$189</f>
        <v>51.119808313213213</v>
      </c>
      <c r="K199" s="67" t="s">
        <v>202</v>
      </c>
      <c r="M199" s="68">
        <v>4238</v>
      </c>
      <c r="N199" s="65">
        <v>0</v>
      </c>
      <c r="O199" s="72">
        <f t="shared" si="55"/>
        <v>0</v>
      </c>
      <c r="P199" s="68">
        <f t="shared" si="52"/>
        <v>4238</v>
      </c>
      <c r="Q199" t="s">
        <v>222</v>
      </c>
      <c r="R199" s="69">
        <f>AVERAGE(P197:P199)</f>
        <v>4238</v>
      </c>
      <c r="S199" s="71">
        <f>R199/$F$189</f>
        <v>42.086394414414414</v>
      </c>
    </row>
    <row r="200" spans="1:19" x14ac:dyDescent="0.25">
      <c r="A200" s="67" t="s">
        <v>203</v>
      </c>
      <c r="C200" s="68">
        <v>4773</v>
      </c>
      <c r="D200" s="65">
        <v>0.25</v>
      </c>
      <c r="E200" s="70">
        <f t="shared" si="53"/>
        <v>395.75</v>
      </c>
      <c r="F200" s="69">
        <f t="shared" si="54"/>
        <v>5168.75</v>
      </c>
      <c r="K200" s="67" t="s">
        <v>203</v>
      </c>
      <c r="M200" s="68">
        <v>4347</v>
      </c>
      <c r="N200" s="65">
        <v>0</v>
      </c>
      <c r="O200" s="72">
        <f t="shared" si="55"/>
        <v>0</v>
      </c>
      <c r="P200" s="68">
        <f>M200+O200</f>
        <v>4347</v>
      </c>
      <c r="R200" s="52"/>
      <c r="S200" s="52"/>
    </row>
    <row r="201" spans="1:19" x14ac:dyDescent="0.25">
      <c r="A201" s="67" t="s">
        <v>204</v>
      </c>
      <c r="C201" s="68">
        <v>4860</v>
      </c>
      <c r="D201" s="65">
        <v>0.32</v>
      </c>
      <c r="E201" s="70">
        <f t="shared" si="53"/>
        <v>506.56</v>
      </c>
      <c r="F201" s="69">
        <f t="shared" si="54"/>
        <v>5366.56</v>
      </c>
      <c r="K201" s="67" t="s">
        <v>204</v>
      </c>
      <c r="M201" s="68">
        <v>4347</v>
      </c>
      <c r="N201" s="65">
        <v>0.09</v>
      </c>
      <c r="O201" s="72">
        <f t="shared" si="55"/>
        <v>143.91</v>
      </c>
      <c r="P201" s="68">
        <f t="shared" ref="P201:P241" si="56">M201+O201</f>
        <v>4490.91</v>
      </c>
    </row>
    <row r="202" spans="1:19" x14ac:dyDescent="0.25">
      <c r="A202" s="67" t="s">
        <v>205</v>
      </c>
      <c r="C202" s="68">
        <v>4860</v>
      </c>
      <c r="D202" s="65">
        <v>0.33</v>
      </c>
      <c r="E202" s="70">
        <f t="shared" si="53"/>
        <v>522.39</v>
      </c>
      <c r="F202" s="69">
        <f t="shared" si="54"/>
        <v>5382.39</v>
      </c>
      <c r="G202" t="s">
        <v>221</v>
      </c>
      <c r="H202" s="69">
        <f>AVERAGE(F200:F202)</f>
        <v>5305.9000000000005</v>
      </c>
      <c r="I202" s="71">
        <f>H202/$F$189</f>
        <v>52.691411072072079</v>
      </c>
      <c r="K202" s="67" t="s">
        <v>205</v>
      </c>
      <c r="M202" s="68">
        <v>4347</v>
      </c>
      <c r="N202" s="65">
        <v>0.09</v>
      </c>
      <c r="O202" s="72">
        <f t="shared" si="55"/>
        <v>143.91</v>
      </c>
      <c r="P202" s="68">
        <f t="shared" si="56"/>
        <v>4490.91</v>
      </c>
      <c r="Q202" t="s">
        <v>221</v>
      </c>
      <c r="R202" s="69">
        <f>AVERAGE(P200:P202)</f>
        <v>4442.9399999999996</v>
      </c>
      <c r="S202" s="71">
        <f>R202/$F$189</f>
        <v>44.121596318918911</v>
      </c>
    </row>
    <row r="203" spans="1:19" x14ac:dyDescent="0.25">
      <c r="A203" s="67" t="s">
        <v>206</v>
      </c>
      <c r="C203" s="68">
        <v>4860</v>
      </c>
      <c r="D203" s="65">
        <v>0.35</v>
      </c>
      <c r="E203" s="70">
        <f t="shared" si="53"/>
        <v>554.04999999999995</v>
      </c>
      <c r="F203" s="69">
        <f t="shared" si="54"/>
        <v>5414.05</v>
      </c>
      <c r="K203" s="67" t="s">
        <v>206</v>
      </c>
      <c r="M203" s="68">
        <v>4347</v>
      </c>
      <c r="N203" s="65">
        <v>0.11</v>
      </c>
      <c r="O203" s="72">
        <f t="shared" si="55"/>
        <v>175.89000000000001</v>
      </c>
      <c r="P203" s="68">
        <f t="shared" si="56"/>
        <v>4522.8900000000003</v>
      </c>
    </row>
    <row r="204" spans="1:19" x14ac:dyDescent="0.25">
      <c r="A204" s="67" t="s">
        <v>207</v>
      </c>
      <c r="C204" s="68">
        <v>4860</v>
      </c>
      <c r="D204" s="65">
        <v>0.35</v>
      </c>
      <c r="E204" s="70">
        <f t="shared" si="53"/>
        <v>554.04999999999995</v>
      </c>
      <c r="F204" s="69">
        <f t="shared" si="54"/>
        <v>5414.05</v>
      </c>
      <c r="K204" s="67" t="s">
        <v>207</v>
      </c>
      <c r="M204" s="68">
        <v>4347</v>
      </c>
      <c r="N204" s="65">
        <v>0.11</v>
      </c>
      <c r="O204" s="72">
        <f t="shared" si="55"/>
        <v>175.89000000000001</v>
      </c>
      <c r="P204" s="68">
        <f t="shared" si="56"/>
        <v>4522.8900000000003</v>
      </c>
    </row>
    <row r="205" spans="1:19" x14ac:dyDescent="0.25">
      <c r="A205" s="67" t="s">
        <v>208</v>
      </c>
      <c r="C205" s="68">
        <v>4860</v>
      </c>
      <c r="D205" s="65">
        <v>0.36</v>
      </c>
      <c r="E205" s="70">
        <f t="shared" si="53"/>
        <v>569.88</v>
      </c>
      <c r="F205" s="69">
        <f t="shared" si="54"/>
        <v>5429.88</v>
      </c>
      <c r="G205" t="s">
        <v>223</v>
      </c>
      <c r="H205" s="69">
        <f>AVERAGE(F203:F205)</f>
        <v>5419.3266666666668</v>
      </c>
      <c r="I205" s="71">
        <f>H205/$F$189</f>
        <v>53.817819621021023</v>
      </c>
      <c r="K205" s="67" t="s">
        <v>208</v>
      </c>
      <c r="M205" s="68">
        <v>4347</v>
      </c>
      <c r="N205" s="65">
        <v>0.12</v>
      </c>
      <c r="O205" s="72">
        <f t="shared" si="55"/>
        <v>191.88</v>
      </c>
      <c r="P205" s="68">
        <f t="shared" si="56"/>
        <v>4538.88</v>
      </c>
      <c r="Q205" t="s">
        <v>223</v>
      </c>
      <c r="R205" s="69">
        <f>AVERAGE(P203:P205)</f>
        <v>4528.22</v>
      </c>
      <c r="S205" s="71">
        <f>R205/$F$189</f>
        <v>44.968488181981982</v>
      </c>
    </row>
    <row r="206" spans="1:19" x14ac:dyDescent="0.25">
      <c r="A206" s="67" t="s">
        <v>209</v>
      </c>
      <c r="C206" s="68">
        <v>4948</v>
      </c>
      <c r="D206" s="65">
        <v>0.39</v>
      </c>
      <c r="E206" s="70">
        <f t="shared" si="53"/>
        <v>617.37</v>
      </c>
      <c r="F206" s="69">
        <f t="shared" si="54"/>
        <v>5565.37</v>
      </c>
      <c r="K206" s="67" t="s">
        <v>209</v>
      </c>
      <c r="M206" s="68">
        <f>AVERAGE(4347,4428)</f>
        <v>4387.5</v>
      </c>
      <c r="N206" s="65">
        <v>0.14000000000000001</v>
      </c>
      <c r="O206" s="72">
        <f t="shared" si="55"/>
        <v>223.86</v>
      </c>
      <c r="P206" s="68">
        <f t="shared" si="56"/>
        <v>4611.3599999999997</v>
      </c>
    </row>
    <row r="207" spans="1:19" x14ac:dyDescent="0.25">
      <c r="A207" s="67" t="s">
        <v>210</v>
      </c>
      <c r="C207" s="68">
        <v>4948</v>
      </c>
      <c r="D207" s="65">
        <v>0.38</v>
      </c>
      <c r="E207" s="70">
        <f t="shared" si="53"/>
        <v>601.54</v>
      </c>
      <c r="F207" s="69">
        <f t="shared" si="54"/>
        <v>5549.54</v>
      </c>
      <c r="K207" s="67" t="s">
        <v>210</v>
      </c>
      <c r="M207" s="68">
        <v>4428</v>
      </c>
      <c r="N207" s="65">
        <v>0.13</v>
      </c>
      <c r="O207" s="72">
        <f t="shared" si="55"/>
        <v>207.87</v>
      </c>
      <c r="P207" s="68">
        <f t="shared" si="56"/>
        <v>4635.87</v>
      </c>
    </row>
    <row r="208" spans="1:19" x14ac:dyDescent="0.25">
      <c r="A208" s="67" t="s">
        <v>211</v>
      </c>
      <c r="C208" s="68">
        <v>4948</v>
      </c>
      <c r="D208" s="65">
        <v>0.4</v>
      </c>
      <c r="E208" s="70">
        <f t="shared" si="53"/>
        <v>633.20000000000005</v>
      </c>
      <c r="F208" s="69">
        <f t="shared" si="54"/>
        <v>5581.2</v>
      </c>
      <c r="G208" t="s">
        <v>224</v>
      </c>
      <c r="H208" s="69">
        <f>AVERAGE(F206:F208)</f>
        <v>5565.37</v>
      </c>
      <c r="I208" s="71">
        <f>H208/$F$189</f>
        <v>55.268135177477475</v>
      </c>
      <c r="K208" s="67" t="s">
        <v>211</v>
      </c>
      <c r="M208" s="68">
        <v>4428</v>
      </c>
      <c r="N208" s="65">
        <v>0.15</v>
      </c>
      <c r="O208" s="72">
        <f t="shared" si="55"/>
        <v>239.85</v>
      </c>
      <c r="P208" s="68">
        <f t="shared" si="56"/>
        <v>4667.8500000000004</v>
      </c>
      <c r="Q208" t="s">
        <v>224</v>
      </c>
      <c r="R208" s="69">
        <f>AVERAGE(P206:P208)</f>
        <v>4638.3599999999997</v>
      </c>
      <c r="S208" s="71">
        <f>R208/$F$189</f>
        <v>46.062257762162155</v>
      </c>
    </row>
    <row r="209" spans="1:19" x14ac:dyDescent="0.25">
      <c r="A209" s="67" t="s">
        <v>212</v>
      </c>
      <c r="C209" s="68">
        <v>4948</v>
      </c>
      <c r="D209" s="65">
        <v>0.39</v>
      </c>
      <c r="E209" s="70">
        <f t="shared" si="53"/>
        <v>617.37</v>
      </c>
      <c r="F209" s="69">
        <f t="shared" si="54"/>
        <v>5565.37</v>
      </c>
      <c r="K209" s="67" t="s">
        <v>212</v>
      </c>
      <c r="M209" s="68">
        <v>4428</v>
      </c>
      <c r="N209" s="65">
        <v>0.14000000000000001</v>
      </c>
      <c r="O209" s="72">
        <f t="shared" si="55"/>
        <v>223.86</v>
      </c>
      <c r="P209" s="68">
        <f t="shared" si="56"/>
        <v>4651.8599999999997</v>
      </c>
    </row>
    <row r="210" spans="1:19" x14ac:dyDescent="0.25">
      <c r="A210" s="67" t="s">
        <v>213</v>
      </c>
      <c r="C210" s="68">
        <v>4948</v>
      </c>
      <c r="D210" s="65">
        <v>0.42</v>
      </c>
      <c r="E210" s="70">
        <f t="shared" si="53"/>
        <v>664.86</v>
      </c>
      <c r="F210" s="69">
        <f t="shared" si="54"/>
        <v>5612.86</v>
      </c>
      <c r="K210" s="67" t="s">
        <v>213</v>
      </c>
      <c r="M210" s="68">
        <v>4428</v>
      </c>
      <c r="N210" s="65">
        <v>0.17</v>
      </c>
      <c r="O210" s="72">
        <f t="shared" si="55"/>
        <v>271.83000000000004</v>
      </c>
      <c r="P210" s="68">
        <f t="shared" si="56"/>
        <v>4699.83</v>
      </c>
    </row>
    <row r="211" spans="1:19" x14ac:dyDescent="0.25">
      <c r="A211" s="67" t="s">
        <v>214</v>
      </c>
      <c r="C211" s="68">
        <v>4948</v>
      </c>
      <c r="D211" s="65">
        <v>0.46</v>
      </c>
      <c r="E211" s="70">
        <f t="shared" si="53"/>
        <v>728.18000000000006</v>
      </c>
      <c r="F211" s="69">
        <f t="shared" si="54"/>
        <v>5676.18</v>
      </c>
      <c r="G211" t="s">
        <v>225</v>
      </c>
      <c r="H211" s="69">
        <f>AVERAGE(F209:F211)</f>
        <v>5618.1366666666663</v>
      </c>
      <c r="I211" s="71">
        <f>H211/$F$189</f>
        <v>55.7921462075075</v>
      </c>
      <c r="K211" s="67" t="s">
        <v>214</v>
      </c>
      <c r="M211" s="68">
        <v>4510</v>
      </c>
      <c r="N211" s="65">
        <v>0.2</v>
      </c>
      <c r="O211" s="72">
        <f t="shared" si="55"/>
        <v>319.8</v>
      </c>
      <c r="P211" s="68">
        <f t="shared" si="56"/>
        <v>4829.8</v>
      </c>
      <c r="Q211" t="s">
        <v>225</v>
      </c>
      <c r="R211" s="69">
        <f>AVERAGE(P209:P211)</f>
        <v>4727.163333333333</v>
      </c>
      <c r="S211" s="71">
        <f>R211/$F$189</f>
        <v>46.944138864564557</v>
      </c>
    </row>
    <row r="212" spans="1:19" x14ac:dyDescent="0.25">
      <c r="A212" s="67" t="s">
        <v>215</v>
      </c>
      <c r="C212" s="68">
        <v>4948</v>
      </c>
      <c r="D212" s="65">
        <v>0.46</v>
      </c>
      <c r="E212" s="70">
        <f t="shared" si="53"/>
        <v>728.18000000000006</v>
      </c>
      <c r="F212" s="69">
        <f t="shared" si="54"/>
        <v>5676.18</v>
      </c>
      <c r="K212" s="67" t="s">
        <v>215</v>
      </c>
      <c r="M212" s="68">
        <v>4510</v>
      </c>
      <c r="N212" s="65">
        <v>0.2</v>
      </c>
      <c r="O212" s="72">
        <f t="shared" si="55"/>
        <v>319.8</v>
      </c>
      <c r="P212" s="68">
        <f t="shared" si="56"/>
        <v>4829.8</v>
      </c>
    </row>
    <row r="213" spans="1:19" x14ac:dyDescent="0.25">
      <c r="A213" s="67" t="s">
        <v>216</v>
      </c>
      <c r="C213" s="68">
        <v>5046</v>
      </c>
      <c r="D213" s="65">
        <v>0.43</v>
      </c>
      <c r="E213" s="70">
        <f t="shared" si="53"/>
        <v>680.68999999999994</v>
      </c>
      <c r="F213" s="69">
        <f t="shared" si="54"/>
        <v>5726.69</v>
      </c>
      <c r="K213" s="67" t="s">
        <v>216</v>
      </c>
      <c r="M213" s="68">
        <v>4510</v>
      </c>
      <c r="N213" s="65">
        <v>0.17</v>
      </c>
      <c r="O213" s="72">
        <f t="shared" si="55"/>
        <v>271.83000000000004</v>
      </c>
      <c r="P213" s="68">
        <f t="shared" si="56"/>
        <v>4781.83</v>
      </c>
    </row>
    <row r="214" spans="1:19" x14ac:dyDescent="0.25">
      <c r="A214" s="67" t="s">
        <v>217</v>
      </c>
      <c r="C214" s="68">
        <v>5046</v>
      </c>
      <c r="D214" s="65">
        <v>0.42</v>
      </c>
      <c r="E214" s="70">
        <f t="shared" si="53"/>
        <v>664.86</v>
      </c>
      <c r="F214" s="69">
        <f t="shared" si="54"/>
        <v>5710.86</v>
      </c>
      <c r="G214" t="s">
        <v>226</v>
      </c>
      <c r="H214" s="69">
        <f>AVERAGE(F212:F214)</f>
        <v>5704.5766666666668</v>
      </c>
      <c r="I214" s="71">
        <f>H214/$F$189</f>
        <v>56.650557706606605</v>
      </c>
      <c r="K214" s="67" t="s">
        <v>217</v>
      </c>
      <c r="M214" s="68">
        <v>4510</v>
      </c>
      <c r="N214" s="65">
        <v>0.17</v>
      </c>
      <c r="O214" s="72">
        <f t="shared" si="55"/>
        <v>271.83000000000004</v>
      </c>
      <c r="P214" s="68">
        <f t="shared" si="56"/>
        <v>4781.83</v>
      </c>
      <c r="Q214" t="s">
        <v>226</v>
      </c>
      <c r="R214" s="69">
        <f>AVERAGE(P212:P214)</f>
        <v>4797.8200000000006</v>
      </c>
      <c r="S214" s="71">
        <f>R214/$F$189</f>
        <v>47.645810488288291</v>
      </c>
    </row>
    <row r="215" spans="1:19" x14ac:dyDescent="0.25">
      <c r="A215" s="67" t="s">
        <v>247</v>
      </c>
      <c r="C215" s="68">
        <v>5046</v>
      </c>
      <c r="D215" s="65">
        <v>0.43</v>
      </c>
      <c r="E215" s="70">
        <f t="shared" si="53"/>
        <v>680.68999999999994</v>
      </c>
      <c r="F215" s="69">
        <f t="shared" si="54"/>
        <v>5726.69</v>
      </c>
      <c r="H215" s="69"/>
      <c r="I215" s="71"/>
      <c r="K215" s="67" t="s">
        <v>247</v>
      </c>
      <c r="M215" s="68">
        <v>4510</v>
      </c>
      <c r="N215" s="65">
        <v>0.18</v>
      </c>
      <c r="O215" s="72">
        <f t="shared" si="55"/>
        <v>287.82</v>
      </c>
      <c r="P215" s="68">
        <f t="shared" si="56"/>
        <v>4797.82</v>
      </c>
      <c r="R215" s="69"/>
      <c r="S215" s="71"/>
    </row>
    <row r="216" spans="1:19" x14ac:dyDescent="0.25">
      <c r="A216" s="67" t="s">
        <v>248</v>
      </c>
      <c r="C216" s="68">
        <v>5046</v>
      </c>
      <c r="D216" s="65">
        <v>0.43</v>
      </c>
      <c r="E216" s="70">
        <f t="shared" si="53"/>
        <v>680.68999999999994</v>
      </c>
      <c r="F216" s="69">
        <f t="shared" si="54"/>
        <v>5726.69</v>
      </c>
      <c r="H216" s="69"/>
      <c r="I216" s="71"/>
      <c r="K216" s="67" t="s">
        <v>248</v>
      </c>
      <c r="M216" s="68">
        <v>4510</v>
      </c>
      <c r="N216" s="65">
        <v>0.17</v>
      </c>
      <c r="O216" s="72">
        <f t="shared" si="55"/>
        <v>271.83000000000004</v>
      </c>
      <c r="P216" s="68">
        <f t="shared" si="56"/>
        <v>4781.83</v>
      </c>
      <c r="R216" s="69"/>
      <c r="S216" s="71"/>
    </row>
    <row r="217" spans="1:19" x14ac:dyDescent="0.25">
      <c r="A217" s="67" t="s">
        <v>249</v>
      </c>
      <c r="C217" s="68">
        <v>5046</v>
      </c>
      <c r="D217" s="65">
        <v>0.46</v>
      </c>
      <c r="E217" s="70">
        <f t="shared" si="53"/>
        <v>728.18000000000006</v>
      </c>
      <c r="F217" s="69">
        <f t="shared" si="54"/>
        <v>5774.18</v>
      </c>
      <c r="G217" t="s">
        <v>251</v>
      </c>
      <c r="H217" s="69">
        <f>AVERAGE(F215:F217)</f>
        <v>5742.5199999999995</v>
      </c>
      <c r="I217" s="71">
        <f>H217/$F$189</f>
        <v>57.027362353153144</v>
      </c>
      <c r="K217" s="67" t="s">
        <v>249</v>
      </c>
      <c r="M217" s="68">
        <v>4510</v>
      </c>
      <c r="N217" s="65">
        <v>0.2</v>
      </c>
      <c r="O217" s="72">
        <f t="shared" si="55"/>
        <v>319.8</v>
      </c>
      <c r="P217" s="68">
        <f t="shared" si="56"/>
        <v>4829.8</v>
      </c>
      <c r="Q217" t="s">
        <v>251</v>
      </c>
      <c r="R217" s="69">
        <f>AVERAGE(P215:P217)</f>
        <v>4803.1500000000005</v>
      </c>
      <c r="S217" s="71">
        <f>R217/$F$189</f>
        <v>47.698741229729734</v>
      </c>
    </row>
    <row r="218" spans="1:19" x14ac:dyDescent="0.25">
      <c r="A218" s="67" t="s">
        <v>252</v>
      </c>
      <c r="C218" s="68">
        <v>5046</v>
      </c>
      <c r="D218" s="65">
        <v>0.48</v>
      </c>
      <c r="E218" s="70">
        <f t="shared" si="53"/>
        <v>759.83999999999992</v>
      </c>
      <c r="F218" s="69">
        <f t="shared" si="54"/>
        <v>5805.84</v>
      </c>
      <c r="H218" s="69"/>
      <c r="I218" s="71"/>
      <c r="K218" s="67" t="s">
        <v>252</v>
      </c>
      <c r="M218" s="68">
        <v>4510</v>
      </c>
      <c r="N218" s="65">
        <v>0.21</v>
      </c>
      <c r="O218" s="72">
        <f t="shared" si="55"/>
        <v>335.78999999999996</v>
      </c>
      <c r="P218" s="68">
        <f t="shared" si="56"/>
        <v>4845.79</v>
      </c>
      <c r="R218" s="69"/>
      <c r="S218" s="71"/>
    </row>
    <row r="219" spans="1:19" x14ac:dyDescent="0.25">
      <c r="A219" s="67" t="s">
        <v>253</v>
      </c>
      <c r="C219" s="68">
        <v>5144</v>
      </c>
      <c r="D219" s="65">
        <v>0.5</v>
      </c>
      <c r="E219" s="70">
        <f t="shared" si="53"/>
        <v>791.5</v>
      </c>
      <c r="F219" s="69">
        <f t="shared" si="54"/>
        <v>5935.5</v>
      </c>
      <c r="H219" s="69"/>
      <c r="I219" s="71"/>
      <c r="K219" s="67" t="s">
        <v>253</v>
      </c>
      <c r="M219" s="68">
        <v>4619</v>
      </c>
      <c r="N219" s="65">
        <v>0.23</v>
      </c>
      <c r="O219" s="72">
        <f t="shared" si="55"/>
        <v>367.77000000000004</v>
      </c>
      <c r="P219" s="68">
        <f t="shared" si="56"/>
        <v>4986.7700000000004</v>
      </c>
      <c r="R219" s="69"/>
      <c r="S219" s="71"/>
    </row>
    <row r="220" spans="1:19" x14ac:dyDescent="0.25">
      <c r="A220" s="67" t="s">
        <v>254</v>
      </c>
      <c r="C220" s="68">
        <v>5144</v>
      </c>
      <c r="D220" s="65">
        <v>0.23</v>
      </c>
      <c r="E220" s="70">
        <f t="shared" si="53"/>
        <v>364.09000000000003</v>
      </c>
      <c r="F220" s="69">
        <f t="shared" si="54"/>
        <v>5508.09</v>
      </c>
      <c r="G220" t="s">
        <v>266</v>
      </c>
      <c r="H220" s="69">
        <f>AVERAGE(F218:F220)</f>
        <v>5749.81</v>
      </c>
      <c r="I220" s="70">
        <f>H220/$F$66</f>
        <v>57.099757307207206</v>
      </c>
      <c r="K220" s="67" t="s">
        <v>254</v>
      </c>
      <c r="M220" s="68">
        <v>4619</v>
      </c>
      <c r="N220" s="65">
        <v>0.26</v>
      </c>
      <c r="O220" s="72">
        <f t="shared" si="55"/>
        <v>415.74</v>
      </c>
      <c r="P220" s="68">
        <f t="shared" si="56"/>
        <v>5034.74</v>
      </c>
      <c r="Q220" t="s">
        <v>266</v>
      </c>
      <c r="R220" s="69">
        <f>AVERAGE(P218:P220)</f>
        <v>4955.7666666666673</v>
      </c>
      <c r="S220" s="70">
        <f>R220/$F$66</f>
        <v>49.214334723723731</v>
      </c>
    </row>
    <row r="221" spans="1:19" x14ac:dyDescent="0.25">
      <c r="A221" s="67" t="s">
        <v>255</v>
      </c>
      <c r="C221" s="68">
        <v>5648</v>
      </c>
      <c r="D221" s="65">
        <v>0.28000000000000003</v>
      </c>
      <c r="E221" s="70">
        <f t="shared" si="53"/>
        <v>443.24000000000007</v>
      </c>
      <c r="F221" s="69">
        <f t="shared" si="54"/>
        <v>6091.24</v>
      </c>
      <c r="H221" s="69"/>
      <c r="I221" s="71"/>
      <c r="K221" s="67" t="s">
        <v>255</v>
      </c>
      <c r="M221" s="68">
        <v>4619</v>
      </c>
      <c r="N221" s="65">
        <v>0.3</v>
      </c>
      <c r="O221" s="72">
        <f t="shared" si="55"/>
        <v>479.7</v>
      </c>
      <c r="P221" s="68">
        <f t="shared" si="56"/>
        <v>5098.7</v>
      </c>
      <c r="R221" s="69"/>
      <c r="S221" s="71"/>
    </row>
    <row r="222" spans="1:19" x14ac:dyDescent="0.25">
      <c r="A222" s="67" t="s">
        <v>256</v>
      </c>
      <c r="C222" s="68">
        <v>5648</v>
      </c>
      <c r="D222" s="65">
        <v>0.36</v>
      </c>
      <c r="E222" s="70">
        <f t="shared" si="53"/>
        <v>569.88</v>
      </c>
      <c r="F222" s="69">
        <f t="shared" si="54"/>
        <v>6217.88</v>
      </c>
      <c r="H222" s="69"/>
      <c r="I222" s="71"/>
      <c r="K222" s="67" t="s">
        <v>256</v>
      </c>
      <c r="M222" s="68">
        <v>4619</v>
      </c>
      <c r="N222" s="65">
        <v>0.37</v>
      </c>
      <c r="O222" s="72">
        <f t="shared" si="55"/>
        <v>591.63</v>
      </c>
      <c r="P222" s="68">
        <f t="shared" si="56"/>
        <v>5210.63</v>
      </c>
      <c r="R222" s="69"/>
      <c r="S222" s="71"/>
    </row>
    <row r="223" spans="1:19" x14ac:dyDescent="0.25">
      <c r="A223" s="67" t="s">
        <v>257</v>
      </c>
      <c r="C223" s="68">
        <v>5648</v>
      </c>
      <c r="D223" s="65">
        <v>0.4</v>
      </c>
      <c r="E223" s="70">
        <f t="shared" si="53"/>
        <v>633.20000000000005</v>
      </c>
      <c r="F223" s="69">
        <f t="shared" si="54"/>
        <v>6281.2</v>
      </c>
      <c r="G223" t="s">
        <v>267</v>
      </c>
      <c r="H223" s="69">
        <f>AVERAGE(F221:F223)</f>
        <v>6196.7733333333335</v>
      </c>
      <c r="I223" s="70">
        <f>H223/$F$66</f>
        <v>61.538425342942944</v>
      </c>
      <c r="K223" s="67" t="s">
        <v>257</v>
      </c>
      <c r="M223" s="68">
        <v>4727</v>
      </c>
      <c r="N223" s="65">
        <v>0.4</v>
      </c>
      <c r="O223" s="72">
        <f t="shared" si="55"/>
        <v>639.6</v>
      </c>
      <c r="P223" s="68">
        <f t="shared" si="56"/>
        <v>5366.6</v>
      </c>
      <c r="Q223" t="s">
        <v>267</v>
      </c>
      <c r="R223" s="69">
        <f>AVERAGE(P221:P223)</f>
        <v>5225.3100000000004</v>
      </c>
      <c r="S223" s="70">
        <f>R223/$F$66</f>
        <v>51.891094289189191</v>
      </c>
    </row>
    <row r="224" spans="1:19" x14ac:dyDescent="0.25">
      <c r="A224" s="67" t="s">
        <v>258</v>
      </c>
      <c r="C224" s="68">
        <v>5648</v>
      </c>
      <c r="D224" s="65">
        <v>0.39</v>
      </c>
      <c r="E224" s="70">
        <f t="shared" si="53"/>
        <v>617.37</v>
      </c>
      <c r="F224" s="69">
        <f t="shared" si="54"/>
        <v>6265.37</v>
      </c>
      <c r="H224" s="69"/>
      <c r="I224" s="71"/>
      <c r="K224" s="67" t="s">
        <v>258</v>
      </c>
      <c r="M224" s="68">
        <v>4727</v>
      </c>
      <c r="N224" s="65">
        <v>0.39</v>
      </c>
      <c r="O224" s="72">
        <f t="shared" si="55"/>
        <v>623.61</v>
      </c>
      <c r="P224" s="68">
        <f t="shared" si="56"/>
        <v>5350.61</v>
      </c>
      <c r="R224" s="69"/>
      <c r="S224" s="71"/>
    </row>
    <row r="225" spans="1:19" x14ac:dyDescent="0.25">
      <c r="A225" s="67" t="s">
        <v>259</v>
      </c>
      <c r="C225" s="68">
        <v>5648</v>
      </c>
      <c r="D225" s="65">
        <v>0.36</v>
      </c>
      <c r="E225" s="70">
        <f t="shared" si="53"/>
        <v>569.88</v>
      </c>
      <c r="F225" s="69">
        <f t="shared" si="54"/>
        <v>6217.88</v>
      </c>
      <c r="H225" s="69"/>
      <c r="I225" s="71"/>
      <c r="K225" s="67" t="s">
        <v>259</v>
      </c>
      <c r="M225" s="68">
        <v>4727</v>
      </c>
      <c r="N225" s="65">
        <v>0.37</v>
      </c>
      <c r="O225" s="72">
        <f t="shared" si="55"/>
        <v>591.63</v>
      </c>
      <c r="P225" s="68">
        <f t="shared" si="56"/>
        <v>5318.63</v>
      </c>
      <c r="R225" s="69"/>
      <c r="S225" s="71"/>
    </row>
    <row r="226" spans="1:19" x14ac:dyDescent="0.25">
      <c r="A226" s="67" t="s">
        <v>260</v>
      </c>
      <c r="C226" s="68">
        <v>5745</v>
      </c>
      <c r="D226" s="65">
        <v>0.36</v>
      </c>
      <c r="E226" s="70">
        <f t="shared" si="53"/>
        <v>569.88</v>
      </c>
      <c r="F226" s="69">
        <f t="shared" si="54"/>
        <v>6314.88</v>
      </c>
      <c r="G226" t="s">
        <v>268</v>
      </c>
      <c r="H226" s="69">
        <f>AVERAGE(F224:F226)</f>
        <v>6266.043333333334</v>
      </c>
      <c r="I226" s="70">
        <f>H226/$F$66</f>
        <v>62.226326367267269</v>
      </c>
      <c r="K226" s="67" t="s">
        <v>260</v>
      </c>
      <c r="M226" s="68">
        <v>4727</v>
      </c>
      <c r="N226" s="65">
        <v>0.37</v>
      </c>
      <c r="O226" s="72">
        <f t="shared" si="55"/>
        <v>591.63</v>
      </c>
      <c r="P226" s="68">
        <f t="shared" si="56"/>
        <v>5318.63</v>
      </c>
      <c r="Q226" t="s">
        <v>268</v>
      </c>
      <c r="R226" s="69">
        <f>AVERAGE(P224:P226)</f>
        <v>5329.29</v>
      </c>
      <c r="S226" s="70">
        <f>R226/$F$66</f>
        <v>52.923690629729727</v>
      </c>
    </row>
    <row r="227" spans="1:19" x14ac:dyDescent="0.25">
      <c r="A227" s="67" t="s">
        <v>261</v>
      </c>
      <c r="C227" s="68">
        <v>5745</v>
      </c>
      <c r="D227" s="65">
        <v>0.35</v>
      </c>
      <c r="E227" s="70">
        <f t="shared" si="53"/>
        <v>554.04999999999995</v>
      </c>
      <c r="F227" s="69">
        <f t="shared" si="54"/>
        <v>6299.05</v>
      </c>
      <c r="H227" s="69"/>
      <c r="I227" s="71"/>
      <c r="K227" s="67" t="s">
        <v>261</v>
      </c>
      <c r="M227" s="68">
        <v>4727</v>
      </c>
      <c r="N227" s="65">
        <v>0.36</v>
      </c>
      <c r="O227" s="72">
        <f t="shared" si="55"/>
        <v>575.64</v>
      </c>
      <c r="P227" s="68">
        <f t="shared" si="56"/>
        <v>5302.64</v>
      </c>
      <c r="R227" s="69"/>
      <c r="S227" s="71"/>
    </row>
    <row r="228" spans="1:19" x14ac:dyDescent="0.25">
      <c r="A228" s="67" t="s">
        <v>262</v>
      </c>
      <c r="C228" s="68">
        <v>5745</v>
      </c>
      <c r="D228" s="65">
        <v>0.34</v>
      </c>
      <c r="E228" s="70">
        <f t="shared" si="53"/>
        <v>538.22</v>
      </c>
      <c r="F228" s="69">
        <f t="shared" si="54"/>
        <v>6283.22</v>
      </c>
      <c r="H228" s="69"/>
      <c r="I228" s="71"/>
      <c r="K228" s="67" t="s">
        <v>262</v>
      </c>
      <c r="M228" s="68">
        <v>4727</v>
      </c>
      <c r="N228" s="65">
        <v>0.35</v>
      </c>
      <c r="O228" s="72">
        <f t="shared" si="55"/>
        <v>559.65</v>
      </c>
      <c r="P228" s="68">
        <f t="shared" si="56"/>
        <v>5286.65</v>
      </c>
      <c r="R228" s="69"/>
      <c r="S228" s="71"/>
    </row>
    <row r="229" spans="1:19" x14ac:dyDescent="0.25">
      <c r="A229" s="67" t="s">
        <v>263</v>
      </c>
      <c r="C229" s="68">
        <v>5745</v>
      </c>
      <c r="D229" s="65">
        <v>0.33</v>
      </c>
      <c r="E229" s="70">
        <f t="shared" si="53"/>
        <v>522.39</v>
      </c>
      <c r="F229" s="69">
        <f t="shared" si="54"/>
        <v>6267.39</v>
      </c>
      <c r="G229" t="s">
        <v>270</v>
      </c>
      <c r="H229" s="69">
        <f>AVERAGE(F227:F229)</f>
        <v>6283.22</v>
      </c>
      <c r="I229" s="70">
        <f>H229/$F$66</f>
        <v>62.396903046846845</v>
      </c>
      <c r="K229" s="67" t="s">
        <v>263</v>
      </c>
      <c r="M229" s="68">
        <v>4727</v>
      </c>
      <c r="N229" s="65">
        <v>0.34</v>
      </c>
      <c r="O229" s="72">
        <f t="shared" si="55"/>
        <v>543.66000000000008</v>
      </c>
      <c r="P229" s="68">
        <f t="shared" si="56"/>
        <v>5270.66</v>
      </c>
      <c r="Q229" t="s">
        <v>270</v>
      </c>
      <c r="R229" s="69">
        <f>AVERAGE(P227:P229)</f>
        <v>5286.6500000000005</v>
      </c>
      <c r="S229" s="70">
        <f>R229/$F$66</f>
        <v>52.500244698198202</v>
      </c>
    </row>
    <row r="230" spans="1:19" x14ac:dyDescent="0.25">
      <c r="A230" s="67" t="s">
        <v>276</v>
      </c>
      <c r="C230" s="68">
        <v>5745</v>
      </c>
      <c r="D230" s="65">
        <v>0.37</v>
      </c>
      <c r="E230" s="70">
        <f t="shared" si="53"/>
        <v>585.71</v>
      </c>
      <c r="F230" s="69">
        <f t="shared" si="54"/>
        <v>6330.71</v>
      </c>
      <c r="H230" s="69"/>
      <c r="I230" s="70"/>
      <c r="K230" s="67" t="s">
        <v>276</v>
      </c>
      <c r="M230" s="68">
        <v>4727</v>
      </c>
      <c r="N230" s="65">
        <v>0.38</v>
      </c>
      <c r="O230" s="72">
        <f t="shared" si="55"/>
        <v>607.62</v>
      </c>
      <c r="P230" s="68">
        <f t="shared" si="56"/>
        <v>5334.62</v>
      </c>
      <c r="R230" s="69"/>
      <c r="S230" s="70"/>
    </row>
    <row r="231" spans="1:19" x14ac:dyDescent="0.25">
      <c r="A231" s="67" t="s">
        <v>277</v>
      </c>
      <c r="C231" s="68">
        <v>5854</v>
      </c>
      <c r="D231" s="65">
        <v>0.35</v>
      </c>
      <c r="E231" s="70">
        <f t="shared" si="53"/>
        <v>554.04999999999995</v>
      </c>
      <c r="F231" s="69">
        <f t="shared" si="54"/>
        <v>6408.05</v>
      </c>
      <c r="H231" s="69"/>
      <c r="I231" s="70"/>
      <c r="K231" s="67" t="s">
        <v>277</v>
      </c>
      <c r="M231" s="68">
        <v>4727</v>
      </c>
      <c r="N231" s="65">
        <v>0.36</v>
      </c>
      <c r="O231" s="72">
        <f t="shared" si="55"/>
        <v>575.64</v>
      </c>
      <c r="P231" s="68">
        <f t="shared" si="56"/>
        <v>5302.64</v>
      </c>
      <c r="R231" s="69"/>
      <c r="S231" s="70"/>
    </row>
    <row r="232" spans="1:19" x14ac:dyDescent="0.25">
      <c r="A232" s="67" t="s">
        <v>278</v>
      </c>
      <c r="C232" s="68">
        <v>5854</v>
      </c>
      <c r="D232" s="65">
        <v>0.34</v>
      </c>
      <c r="E232" s="70">
        <f t="shared" si="53"/>
        <v>538.22</v>
      </c>
      <c r="F232" s="69">
        <f t="shared" si="54"/>
        <v>6392.22</v>
      </c>
      <c r="G232" t="s">
        <v>279</v>
      </c>
      <c r="H232" s="69">
        <f>AVERAGE(F230:F232)</f>
        <v>6376.9933333333329</v>
      </c>
      <c r="I232" s="70">
        <f>H232/$F$66</f>
        <v>63.328139831231226</v>
      </c>
      <c r="K232" s="67" t="s">
        <v>278</v>
      </c>
      <c r="M232" s="68">
        <v>4727</v>
      </c>
      <c r="N232" s="65">
        <v>0.35</v>
      </c>
      <c r="O232" s="72">
        <f t="shared" si="55"/>
        <v>559.65</v>
      </c>
      <c r="P232" s="68">
        <f t="shared" si="56"/>
        <v>5286.65</v>
      </c>
      <c r="Q232" t="s">
        <v>279</v>
      </c>
      <c r="R232" s="69">
        <f>AVERAGE(P230:P232)</f>
        <v>5307.97</v>
      </c>
      <c r="S232" s="70">
        <f>R232/$F$66</f>
        <v>52.711967663963961</v>
      </c>
    </row>
    <row r="233" spans="1:19" x14ac:dyDescent="0.25">
      <c r="A233" s="67" t="s">
        <v>281</v>
      </c>
      <c r="C233" s="68">
        <v>5854</v>
      </c>
      <c r="D233" s="65">
        <v>0.37</v>
      </c>
      <c r="E233" s="70">
        <f t="shared" si="53"/>
        <v>585.71</v>
      </c>
      <c r="F233" s="69">
        <f t="shared" si="54"/>
        <v>6439.71</v>
      </c>
      <c r="H233" s="69"/>
      <c r="I233" s="70"/>
      <c r="K233" s="67" t="s">
        <v>281</v>
      </c>
      <c r="M233" s="68">
        <v>4727</v>
      </c>
      <c r="N233" s="65">
        <v>0.38</v>
      </c>
      <c r="O233" s="72">
        <f t="shared" si="55"/>
        <v>607.62</v>
      </c>
      <c r="P233" s="68">
        <f t="shared" si="56"/>
        <v>5334.62</v>
      </c>
      <c r="R233" s="69"/>
      <c r="S233" s="70"/>
    </row>
    <row r="234" spans="1:19" x14ac:dyDescent="0.25">
      <c r="A234" s="67" t="s">
        <v>282</v>
      </c>
      <c r="C234" s="68">
        <v>5854</v>
      </c>
      <c r="D234" s="65">
        <v>0.41</v>
      </c>
      <c r="E234" s="70">
        <f t="shared" si="53"/>
        <v>649.03</v>
      </c>
      <c r="F234" s="69">
        <f t="shared" si="54"/>
        <v>6503.03</v>
      </c>
      <c r="H234" s="69"/>
      <c r="I234" s="70"/>
      <c r="K234" s="67" t="s">
        <v>282</v>
      </c>
      <c r="M234" s="68">
        <v>4727</v>
      </c>
      <c r="N234" s="65">
        <v>0.41</v>
      </c>
      <c r="O234" s="72">
        <f t="shared" si="55"/>
        <v>655.58999999999992</v>
      </c>
      <c r="P234" s="68">
        <f t="shared" si="56"/>
        <v>5382.59</v>
      </c>
      <c r="R234" s="69"/>
      <c r="S234" s="70"/>
    </row>
    <row r="235" spans="1:19" x14ac:dyDescent="0.25">
      <c r="A235" s="67" t="s">
        <v>283</v>
      </c>
      <c r="C235" s="68">
        <v>5854</v>
      </c>
      <c r="D235" s="65">
        <v>0.41</v>
      </c>
      <c r="E235" s="70">
        <f t="shared" si="53"/>
        <v>649.03</v>
      </c>
      <c r="F235" s="69">
        <f t="shared" si="54"/>
        <v>6503.03</v>
      </c>
      <c r="G235" t="s">
        <v>289</v>
      </c>
      <c r="H235" s="69">
        <f>AVERAGE(F233:F235)</f>
        <v>6481.9233333333332</v>
      </c>
      <c r="I235" s="70">
        <f>H235/$F$66</f>
        <v>64.370170356456455</v>
      </c>
      <c r="K235" s="67" t="s">
        <v>283</v>
      </c>
      <c r="M235" s="68">
        <v>4793</v>
      </c>
      <c r="N235" s="65">
        <v>0.41</v>
      </c>
      <c r="O235" s="72">
        <f t="shared" si="55"/>
        <v>655.58999999999992</v>
      </c>
      <c r="P235" s="68">
        <f t="shared" si="56"/>
        <v>5448.59</v>
      </c>
      <c r="Q235" t="s">
        <v>289</v>
      </c>
      <c r="R235" s="69">
        <f>AVERAGE(P233:P235)</f>
        <v>5388.5999999999995</v>
      </c>
      <c r="S235" s="70">
        <f>R235/$F$66</f>
        <v>53.512681675675665</v>
      </c>
    </row>
    <row r="236" spans="1:19" x14ac:dyDescent="0.25">
      <c r="A236" s="67" t="s">
        <v>284</v>
      </c>
      <c r="C236" s="68">
        <v>5854</v>
      </c>
      <c r="D236" s="65">
        <v>0.37</v>
      </c>
      <c r="E236" s="70">
        <f t="shared" si="53"/>
        <v>585.71</v>
      </c>
      <c r="F236" s="69">
        <f t="shared" si="54"/>
        <v>6439.71</v>
      </c>
      <c r="H236" s="69"/>
      <c r="I236" s="70"/>
      <c r="K236" s="67" t="s">
        <v>284</v>
      </c>
      <c r="M236" s="68">
        <v>4880</v>
      </c>
      <c r="N236" s="65">
        <v>0.38</v>
      </c>
      <c r="O236" s="72">
        <f t="shared" si="55"/>
        <v>607.62</v>
      </c>
      <c r="P236" s="68">
        <f t="shared" si="56"/>
        <v>5487.62</v>
      </c>
      <c r="R236" s="69"/>
      <c r="S236" s="70"/>
    </row>
    <row r="237" spans="1:19" x14ac:dyDescent="0.25">
      <c r="A237" s="67" t="s">
        <v>285</v>
      </c>
      <c r="C237" s="68">
        <v>5984</v>
      </c>
      <c r="D237" s="65">
        <v>0.32</v>
      </c>
      <c r="E237" s="70">
        <f t="shared" si="53"/>
        <v>506.56</v>
      </c>
      <c r="F237" s="69">
        <f t="shared" si="54"/>
        <v>6490.56</v>
      </c>
      <c r="H237" s="69"/>
      <c r="I237" s="70"/>
      <c r="K237" s="67" t="s">
        <v>285</v>
      </c>
      <c r="M237" s="68">
        <v>4880</v>
      </c>
      <c r="N237" s="65">
        <v>0.34</v>
      </c>
      <c r="O237" s="72">
        <f t="shared" si="55"/>
        <v>543.66000000000008</v>
      </c>
      <c r="P237" s="68">
        <f t="shared" si="56"/>
        <v>5423.66</v>
      </c>
      <c r="R237" s="69"/>
      <c r="S237" s="70"/>
    </row>
    <row r="238" spans="1:19" x14ac:dyDescent="0.25">
      <c r="A238" s="67" t="s">
        <v>286</v>
      </c>
      <c r="C238" s="68">
        <v>5984</v>
      </c>
      <c r="D238" s="65">
        <v>0.31</v>
      </c>
      <c r="E238" s="70">
        <f t="shared" ref="E238:E241" si="57">$C$191*D238</f>
        <v>490.73</v>
      </c>
      <c r="F238" s="69">
        <f t="shared" ref="F238:F241" si="58">C238+E238</f>
        <v>6474.73</v>
      </c>
      <c r="G238" t="s">
        <v>290</v>
      </c>
      <c r="H238" s="69">
        <f>AVERAGE(F236:F238)</f>
        <v>6468.333333333333</v>
      </c>
      <c r="I238" s="70">
        <f>H238/$F$66</f>
        <v>64.235211861861856</v>
      </c>
      <c r="K238" s="67" t="s">
        <v>286</v>
      </c>
      <c r="M238" s="68">
        <v>4880</v>
      </c>
      <c r="N238" s="65">
        <v>0.33</v>
      </c>
      <c r="O238" s="72">
        <f t="shared" si="55"/>
        <v>527.67000000000007</v>
      </c>
      <c r="P238" s="68">
        <f t="shared" si="56"/>
        <v>5407.67</v>
      </c>
      <c r="Q238" t="s">
        <v>290</v>
      </c>
      <c r="R238" s="69">
        <f>AVERAGE(P236:P238)</f>
        <v>5439.65</v>
      </c>
      <c r="S238" s="70">
        <f>R238/$F$66</f>
        <v>54.019644968468462</v>
      </c>
    </row>
    <row r="239" spans="1:19" x14ac:dyDescent="0.25">
      <c r="A239" s="67" t="s">
        <v>280</v>
      </c>
      <c r="C239" s="68">
        <v>5984</v>
      </c>
      <c r="D239" s="65">
        <v>0.38</v>
      </c>
      <c r="E239" s="70">
        <f t="shared" si="57"/>
        <v>601.54</v>
      </c>
      <c r="F239" s="69">
        <f t="shared" si="58"/>
        <v>6585.54</v>
      </c>
      <c r="H239" s="69"/>
      <c r="I239" s="70"/>
      <c r="K239" s="67" t="s">
        <v>280</v>
      </c>
      <c r="M239" s="68">
        <v>4793</v>
      </c>
      <c r="N239" s="65">
        <v>0.38</v>
      </c>
      <c r="O239" s="72">
        <f t="shared" si="55"/>
        <v>607.62</v>
      </c>
      <c r="P239" s="68">
        <f t="shared" si="56"/>
        <v>5400.62</v>
      </c>
      <c r="R239" s="69"/>
      <c r="S239" s="70"/>
    </row>
    <row r="240" spans="1:19" x14ac:dyDescent="0.25">
      <c r="A240" s="67" t="s">
        <v>287</v>
      </c>
      <c r="C240" s="68">
        <v>5984</v>
      </c>
      <c r="D240" s="65">
        <v>0.41</v>
      </c>
      <c r="E240" s="70">
        <f t="shared" si="57"/>
        <v>649.03</v>
      </c>
      <c r="F240" s="69">
        <f t="shared" si="58"/>
        <v>6633.03</v>
      </c>
      <c r="H240" s="69"/>
      <c r="I240" s="70"/>
      <c r="K240" s="67" t="s">
        <v>287</v>
      </c>
      <c r="M240" s="68">
        <v>4793</v>
      </c>
      <c r="N240" s="65">
        <v>0.41</v>
      </c>
      <c r="O240" s="72">
        <f t="shared" si="55"/>
        <v>655.58999999999992</v>
      </c>
      <c r="P240" s="68">
        <f t="shared" si="56"/>
        <v>5448.59</v>
      </c>
      <c r="R240" s="69"/>
      <c r="S240" s="70"/>
    </row>
    <row r="241" spans="1:19" x14ac:dyDescent="0.25">
      <c r="A241" s="67" t="s">
        <v>288</v>
      </c>
      <c r="C241" s="68">
        <v>5984</v>
      </c>
      <c r="D241" s="65">
        <v>0.4</v>
      </c>
      <c r="E241" s="70">
        <f t="shared" si="57"/>
        <v>633.20000000000005</v>
      </c>
      <c r="F241" s="69">
        <f t="shared" si="58"/>
        <v>6617.2</v>
      </c>
      <c r="G241" t="s">
        <v>291</v>
      </c>
      <c r="H241" s="69">
        <f>AVERAGE(F239:F241)</f>
        <v>6611.9233333333332</v>
      </c>
      <c r="I241" s="70">
        <f>H241/$F$66</f>
        <v>65.661164050150148</v>
      </c>
      <c r="K241" s="67" t="s">
        <v>288</v>
      </c>
      <c r="M241" s="68">
        <v>4963</v>
      </c>
      <c r="N241" s="65">
        <v>0.4</v>
      </c>
      <c r="O241" s="72">
        <f t="shared" si="55"/>
        <v>639.6</v>
      </c>
      <c r="P241" s="68">
        <f t="shared" si="56"/>
        <v>5602.6</v>
      </c>
      <c r="Q241" t="s">
        <v>291</v>
      </c>
      <c r="R241" s="69">
        <f>AVERAGE(P239:P241)</f>
        <v>5483.9366666666656</v>
      </c>
      <c r="S241" s="70">
        <f>R241/$F$66</f>
        <v>54.459443486786775</v>
      </c>
    </row>
    <row r="242" spans="1:19" x14ac:dyDescent="0.25">
      <c r="A242" s="67"/>
      <c r="C242" s="68"/>
      <c r="D242" s="65"/>
      <c r="E242" s="70"/>
      <c r="F242" s="69"/>
      <c r="H242" s="69"/>
      <c r="I242" s="71"/>
      <c r="K242" s="67"/>
      <c r="M242" s="68"/>
      <c r="N242" s="65"/>
      <c r="O242" s="72"/>
      <c r="P242" s="68"/>
      <c r="R242" s="69"/>
      <c r="S242" s="71"/>
    </row>
    <row r="243" spans="1:19" x14ac:dyDescent="0.25">
      <c r="A243" s="67"/>
      <c r="C243" s="68"/>
      <c r="D243" s="65"/>
      <c r="E243" s="70"/>
      <c r="F243" s="69"/>
      <c r="H243" s="69"/>
      <c r="I243" s="71"/>
      <c r="K243" s="67"/>
      <c r="M243" s="68"/>
      <c r="N243" s="65"/>
      <c r="O243" s="72"/>
      <c r="P243" s="68"/>
      <c r="R243" s="69"/>
      <c r="S243" s="71"/>
    </row>
    <row r="247" spans="1:19" x14ac:dyDescent="0.25">
      <c r="A247" t="s">
        <v>188</v>
      </c>
      <c r="K247" t="s">
        <v>188</v>
      </c>
    </row>
    <row r="248" spans="1:19" x14ac:dyDescent="0.25">
      <c r="A248" s="62" t="s">
        <v>155</v>
      </c>
      <c r="B248" s="62" t="s">
        <v>189</v>
      </c>
      <c r="C248" s="62" t="s">
        <v>163</v>
      </c>
      <c r="D248" s="62"/>
      <c r="K248" s="62" t="s">
        <v>244</v>
      </c>
    </row>
    <row r="249" spans="1:19" x14ac:dyDescent="0.25">
      <c r="A249" t="s">
        <v>233</v>
      </c>
      <c r="K249" t="s">
        <v>245</v>
      </c>
    </row>
    <row r="250" spans="1:19" x14ac:dyDescent="0.25">
      <c r="A250" s="81" t="s">
        <v>134</v>
      </c>
      <c r="K250" s="81" t="s">
        <v>154</v>
      </c>
    </row>
    <row r="251" spans="1:19" x14ac:dyDescent="0.25">
      <c r="A251" t="s">
        <v>250</v>
      </c>
      <c r="E251" t="s">
        <v>229</v>
      </c>
      <c r="F251" s="70">
        <f>111/1.10231</f>
        <v>100.69762589471202</v>
      </c>
      <c r="G251" t="s">
        <v>228</v>
      </c>
      <c r="K251" t="s">
        <v>250</v>
      </c>
    </row>
    <row r="252" spans="1:19" x14ac:dyDescent="0.25">
      <c r="A252" t="s">
        <v>191</v>
      </c>
      <c r="K252" t="s">
        <v>191</v>
      </c>
    </row>
    <row r="253" spans="1:19" x14ac:dyDescent="0.25">
      <c r="A253" t="s">
        <v>192</v>
      </c>
      <c r="C253">
        <v>1851</v>
      </c>
      <c r="K253" t="s">
        <v>192</v>
      </c>
      <c r="M253">
        <v>1695</v>
      </c>
    </row>
    <row r="254" spans="1:19" x14ac:dyDescent="0.25">
      <c r="D254" t="s">
        <v>195</v>
      </c>
      <c r="E254" t="s">
        <v>195</v>
      </c>
      <c r="F254" t="s">
        <v>219</v>
      </c>
      <c r="H254" t="s">
        <v>230</v>
      </c>
      <c r="N254" t="s">
        <v>195</v>
      </c>
      <c r="O254" t="s">
        <v>195</v>
      </c>
      <c r="P254" t="s">
        <v>219</v>
      </c>
      <c r="R254" t="s">
        <v>230</v>
      </c>
    </row>
    <row r="255" spans="1:19" ht="15.75" thickBot="1" x14ac:dyDescent="0.3">
      <c r="A255" s="66" t="s">
        <v>193</v>
      </c>
      <c r="B255" s="66"/>
      <c r="C255" s="66" t="s">
        <v>194</v>
      </c>
      <c r="D255" s="66" t="s">
        <v>196</v>
      </c>
      <c r="E255" s="66" t="s">
        <v>218</v>
      </c>
      <c r="F255" s="66" t="s">
        <v>195</v>
      </c>
      <c r="H255" s="66" t="s">
        <v>231</v>
      </c>
      <c r="I255" s="66" t="s">
        <v>227</v>
      </c>
      <c r="K255" s="66" t="s">
        <v>193</v>
      </c>
      <c r="L255" s="66"/>
      <c r="M255" s="66" t="s">
        <v>194</v>
      </c>
      <c r="N255" s="66" t="s">
        <v>196</v>
      </c>
      <c r="O255" s="66" t="s">
        <v>218</v>
      </c>
      <c r="P255" s="66" t="s">
        <v>195</v>
      </c>
      <c r="R255" s="66" t="s">
        <v>231</v>
      </c>
      <c r="S255" s="66" t="s">
        <v>227</v>
      </c>
    </row>
    <row r="256" spans="1:19" x14ac:dyDescent="0.25">
      <c r="A256" s="67" t="s">
        <v>197</v>
      </c>
      <c r="C256" s="68">
        <v>3720</v>
      </c>
      <c r="D256" s="65">
        <v>0.41</v>
      </c>
      <c r="E256" s="70">
        <f>$C$253*D256</f>
        <v>758.91</v>
      </c>
      <c r="F256" s="69">
        <f>C256+E256</f>
        <v>4478.91</v>
      </c>
      <c r="K256" s="67" t="s">
        <v>197</v>
      </c>
      <c r="M256" s="68">
        <v>3920</v>
      </c>
      <c r="N256" s="65">
        <v>0.41</v>
      </c>
      <c r="O256" s="70">
        <f>N256*$M$253</f>
        <v>694.94999999999993</v>
      </c>
      <c r="P256" s="68">
        <f>M256+O256</f>
        <v>4614.95</v>
      </c>
    </row>
    <row r="257" spans="1:19" x14ac:dyDescent="0.25">
      <c r="A257" s="67" t="s">
        <v>198</v>
      </c>
      <c r="C257" s="68">
        <v>3720</v>
      </c>
      <c r="D257" s="65">
        <v>0.3</v>
      </c>
      <c r="E257" s="70">
        <f t="shared" ref="E257:E299" si="59">$C$253*D257</f>
        <v>555.29999999999995</v>
      </c>
      <c r="F257" s="69">
        <f t="shared" ref="F257:F299" si="60">C257+E257</f>
        <v>4275.3</v>
      </c>
      <c r="K257" s="67" t="s">
        <v>198</v>
      </c>
      <c r="M257" s="68">
        <v>3920</v>
      </c>
      <c r="N257" s="65">
        <v>0.3</v>
      </c>
      <c r="O257" s="70">
        <f t="shared" ref="O257:O299" si="61">N257*$M$253</f>
        <v>508.5</v>
      </c>
      <c r="P257" s="68">
        <f t="shared" ref="P257:P299" si="62">M257+O257</f>
        <v>4428.5</v>
      </c>
    </row>
    <row r="258" spans="1:19" x14ac:dyDescent="0.25">
      <c r="A258" s="67" t="s">
        <v>199</v>
      </c>
      <c r="C258" s="68">
        <v>3720</v>
      </c>
      <c r="D258" s="65">
        <v>0.27</v>
      </c>
      <c r="E258" s="70">
        <f t="shared" si="59"/>
        <v>499.77000000000004</v>
      </c>
      <c r="F258" s="69">
        <f t="shared" si="60"/>
        <v>4219.7700000000004</v>
      </c>
      <c r="G258" t="s">
        <v>220</v>
      </c>
      <c r="H258" s="69">
        <f>AVERAGE(F256:F258)</f>
        <v>4324.66</v>
      </c>
      <c r="I258" s="71">
        <f>H258/$F$251</f>
        <v>42.946990672072069</v>
      </c>
      <c r="K258" s="67" t="s">
        <v>199</v>
      </c>
      <c r="M258" s="68">
        <v>3920</v>
      </c>
      <c r="N258" s="65">
        <v>0.27</v>
      </c>
      <c r="O258" s="70">
        <f t="shared" si="61"/>
        <v>457.65000000000003</v>
      </c>
      <c r="P258" s="68">
        <f t="shared" si="62"/>
        <v>4377.6499999999996</v>
      </c>
      <c r="Q258" t="s">
        <v>220</v>
      </c>
      <c r="R258" s="69">
        <f>AVERAGE(P256:P258)</f>
        <v>4473.7</v>
      </c>
      <c r="S258" s="71">
        <f>R258/$F$251</f>
        <v>44.427065288288283</v>
      </c>
    </row>
    <row r="259" spans="1:19" x14ac:dyDescent="0.25">
      <c r="A259" s="67" t="s">
        <v>200</v>
      </c>
      <c r="C259" s="68">
        <v>3720</v>
      </c>
      <c r="D259" s="65">
        <v>0.24</v>
      </c>
      <c r="E259" s="70">
        <f t="shared" si="59"/>
        <v>444.24</v>
      </c>
      <c r="F259" s="69">
        <f t="shared" si="60"/>
        <v>4164.24</v>
      </c>
      <c r="K259" s="67" t="s">
        <v>200</v>
      </c>
      <c r="M259" s="68">
        <v>3920</v>
      </c>
      <c r="N259" s="65">
        <v>0.24</v>
      </c>
      <c r="O259" s="70">
        <f t="shared" si="61"/>
        <v>406.8</v>
      </c>
      <c r="P259" s="68">
        <f t="shared" si="62"/>
        <v>4326.8</v>
      </c>
    </row>
    <row r="260" spans="1:19" x14ac:dyDescent="0.25">
      <c r="A260" s="67" t="s">
        <v>201</v>
      </c>
      <c r="C260" s="68">
        <v>3720</v>
      </c>
      <c r="D260" s="65">
        <v>0.22</v>
      </c>
      <c r="E260" s="70">
        <f t="shared" si="59"/>
        <v>407.22</v>
      </c>
      <c r="F260" s="69">
        <f t="shared" si="60"/>
        <v>4127.22</v>
      </c>
      <c r="K260" s="67" t="s">
        <v>201</v>
      </c>
      <c r="M260" s="68">
        <v>3920</v>
      </c>
      <c r="N260" s="65">
        <v>0.22</v>
      </c>
      <c r="O260" s="70">
        <f t="shared" si="61"/>
        <v>372.9</v>
      </c>
      <c r="P260" s="68">
        <f t="shared" si="62"/>
        <v>4292.8999999999996</v>
      </c>
    </row>
    <row r="261" spans="1:19" x14ac:dyDescent="0.25">
      <c r="A261" s="67" t="s">
        <v>202</v>
      </c>
      <c r="C261" s="68">
        <v>3720</v>
      </c>
      <c r="D261" s="65">
        <v>0.25</v>
      </c>
      <c r="E261" s="70">
        <f t="shared" si="59"/>
        <v>462.75</v>
      </c>
      <c r="F261" s="69">
        <f t="shared" si="60"/>
        <v>4182.75</v>
      </c>
      <c r="G261" t="s">
        <v>222</v>
      </c>
      <c r="H261" s="69">
        <f>AVERAGE(F259:F261)</f>
        <v>4158.07</v>
      </c>
      <c r="I261" s="71">
        <f>H261/$F$251</f>
        <v>41.292631907207202</v>
      </c>
      <c r="K261" s="67" t="s">
        <v>202</v>
      </c>
      <c r="M261" s="68">
        <v>3920</v>
      </c>
      <c r="N261" s="65">
        <v>0.25</v>
      </c>
      <c r="O261" s="70">
        <f t="shared" si="61"/>
        <v>423.75</v>
      </c>
      <c r="P261" s="68">
        <f t="shared" si="62"/>
        <v>4343.75</v>
      </c>
      <c r="Q261" t="s">
        <v>222</v>
      </c>
      <c r="R261" s="69">
        <f>AVERAGE(P259:P261)</f>
        <v>4321.1500000000005</v>
      </c>
      <c r="S261" s="71">
        <f>R261/$F$251</f>
        <v>42.912133842342342</v>
      </c>
    </row>
    <row r="262" spans="1:19" x14ac:dyDescent="0.25">
      <c r="A262" s="67" t="s">
        <v>203</v>
      </c>
      <c r="C262" s="68">
        <v>3720</v>
      </c>
      <c r="D262" s="65">
        <v>0.25</v>
      </c>
      <c r="E262" s="70">
        <f t="shared" si="59"/>
        <v>462.75</v>
      </c>
      <c r="F262" s="69">
        <f t="shared" si="60"/>
        <v>4182.75</v>
      </c>
      <c r="K262" s="67" t="s">
        <v>203</v>
      </c>
      <c r="M262" s="68">
        <v>3920</v>
      </c>
      <c r="N262" s="65">
        <v>0.25</v>
      </c>
      <c r="O262" s="70">
        <f t="shared" si="61"/>
        <v>423.75</v>
      </c>
      <c r="P262" s="68">
        <f t="shared" si="62"/>
        <v>4343.75</v>
      </c>
    </row>
    <row r="263" spans="1:19" x14ac:dyDescent="0.25">
      <c r="A263" s="67" t="s">
        <v>204</v>
      </c>
      <c r="C263" s="68">
        <v>3720</v>
      </c>
      <c r="D263" s="65">
        <v>0.32</v>
      </c>
      <c r="E263" s="70">
        <f t="shared" si="59"/>
        <v>592.32000000000005</v>
      </c>
      <c r="F263" s="69">
        <f t="shared" si="60"/>
        <v>4312.32</v>
      </c>
      <c r="K263" s="67" t="s">
        <v>204</v>
      </c>
      <c r="M263" s="68">
        <v>3920</v>
      </c>
      <c r="N263" s="65">
        <v>0.32</v>
      </c>
      <c r="O263" s="70">
        <f t="shared" si="61"/>
        <v>542.4</v>
      </c>
      <c r="P263" s="68">
        <f t="shared" si="62"/>
        <v>4462.3999999999996</v>
      </c>
    </row>
    <row r="264" spans="1:19" x14ac:dyDescent="0.25">
      <c r="A264" s="67" t="s">
        <v>205</v>
      </c>
      <c r="C264" s="68">
        <v>3920</v>
      </c>
      <c r="D264" s="65">
        <v>0.33</v>
      </c>
      <c r="E264" s="70">
        <f t="shared" si="59"/>
        <v>610.83000000000004</v>
      </c>
      <c r="F264" s="69">
        <f t="shared" si="60"/>
        <v>4530.83</v>
      </c>
      <c r="G264" t="s">
        <v>221</v>
      </c>
      <c r="H264" s="69">
        <f>AVERAGE(F262:F264)</f>
        <v>4341.9666666666662</v>
      </c>
      <c r="I264" s="71">
        <f>H264/$F$251</f>
        <v>43.118858345345338</v>
      </c>
      <c r="K264" s="67" t="s">
        <v>205</v>
      </c>
      <c r="M264" s="68">
        <v>4220</v>
      </c>
      <c r="N264" s="65">
        <v>0.33</v>
      </c>
      <c r="O264" s="70">
        <f t="shared" si="61"/>
        <v>559.35</v>
      </c>
      <c r="P264" s="68">
        <f t="shared" si="62"/>
        <v>4779.3500000000004</v>
      </c>
      <c r="Q264" t="s">
        <v>221</v>
      </c>
      <c r="R264" s="69">
        <f>AVERAGE(P262:P264)</f>
        <v>4528.5</v>
      </c>
      <c r="S264" s="71">
        <f>R264/$F$251</f>
        <v>44.971268783783785</v>
      </c>
    </row>
    <row r="265" spans="1:19" x14ac:dyDescent="0.25">
      <c r="A265" s="67" t="s">
        <v>206</v>
      </c>
      <c r="C265" s="68">
        <v>3920</v>
      </c>
      <c r="D265" s="65">
        <v>0.35</v>
      </c>
      <c r="E265" s="70">
        <f t="shared" si="59"/>
        <v>647.84999999999991</v>
      </c>
      <c r="F265" s="69">
        <f t="shared" si="60"/>
        <v>4567.8500000000004</v>
      </c>
      <c r="K265" s="67" t="s">
        <v>206</v>
      </c>
      <c r="M265" s="68">
        <v>4220</v>
      </c>
      <c r="N265" s="65">
        <v>0.35</v>
      </c>
      <c r="O265" s="70">
        <f t="shared" si="61"/>
        <v>593.25</v>
      </c>
      <c r="P265" s="68">
        <f t="shared" si="62"/>
        <v>4813.25</v>
      </c>
    </row>
    <row r="266" spans="1:19" x14ac:dyDescent="0.25">
      <c r="A266" s="67" t="s">
        <v>207</v>
      </c>
      <c r="C266" s="68">
        <v>3920</v>
      </c>
      <c r="D266" s="65">
        <v>0.35</v>
      </c>
      <c r="E266" s="70">
        <f t="shared" si="59"/>
        <v>647.84999999999991</v>
      </c>
      <c r="F266" s="69">
        <f t="shared" si="60"/>
        <v>4567.8500000000004</v>
      </c>
      <c r="K266" s="67" t="s">
        <v>207</v>
      </c>
      <c r="M266" s="68">
        <v>4220</v>
      </c>
      <c r="N266" s="65">
        <v>0.35</v>
      </c>
      <c r="O266" s="70">
        <f t="shared" si="61"/>
        <v>593.25</v>
      </c>
      <c r="P266" s="68">
        <f t="shared" si="62"/>
        <v>4813.25</v>
      </c>
    </row>
    <row r="267" spans="1:19" x14ac:dyDescent="0.25">
      <c r="A267" s="67" t="s">
        <v>208</v>
      </c>
      <c r="C267" s="68">
        <v>3920</v>
      </c>
      <c r="D267" s="65">
        <v>0.36</v>
      </c>
      <c r="E267" s="70">
        <f t="shared" si="59"/>
        <v>666.36</v>
      </c>
      <c r="F267" s="69">
        <f t="shared" si="60"/>
        <v>4586.3599999999997</v>
      </c>
      <c r="G267" t="s">
        <v>223</v>
      </c>
      <c r="H267" s="69">
        <f>AVERAGE(F265:F267)</f>
        <v>4574.0200000000004</v>
      </c>
      <c r="I267" s="71">
        <f>H267/$F$251</f>
        <v>45.423315190990991</v>
      </c>
      <c r="K267" s="67" t="s">
        <v>208</v>
      </c>
      <c r="M267" s="68">
        <v>4220</v>
      </c>
      <c r="N267" s="65">
        <v>0.36</v>
      </c>
      <c r="O267" s="70">
        <f t="shared" si="61"/>
        <v>610.19999999999993</v>
      </c>
      <c r="P267" s="68">
        <f t="shared" si="62"/>
        <v>4830.2</v>
      </c>
      <c r="Q267" t="s">
        <v>223</v>
      </c>
      <c r="R267" s="69">
        <f>AVERAGE(P265:P267)</f>
        <v>4818.9000000000005</v>
      </c>
      <c r="S267" s="71">
        <f>R267/$F$251</f>
        <v>47.855150081081085</v>
      </c>
    </row>
    <row r="268" spans="1:19" x14ac:dyDescent="0.25">
      <c r="A268" s="67" t="s">
        <v>209</v>
      </c>
      <c r="C268" s="68">
        <v>3920</v>
      </c>
      <c r="D268" s="65">
        <v>0.39</v>
      </c>
      <c r="E268" s="70">
        <f t="shared" si="59"/>
        <v>721.89</v>
      </c>
      <c r="F268" s="69">
        <f t="shared" si="60"/>
        <v>4641.8900000000003</v>
      </c>
      <c r="K268" s="67" t="s">
        <v>209</v>
      </c>
      <c r="M268" s="68">
        <v>4220</v>
      </c>
      <c r="N268" s="65">
        <v>0.39</v>
      </c>
      <c r="O268" s="70">
        <f t="shared" si="61"/>
        <v>661.05000000000007</v>
      </c>
      <c r="P268" s="68">
        <f t="shared" si="62"/>
        <v>4881.05</v>
      </c>
    </row>
    <row r="269" spans="1:19" x14ac:dyDescent="0.25">
      <c r="A269" s="67" t="s">
        <v>210</v>
      </c>
      <c r="C269" s="68">
        <v>3920</v>
      </c>
      <c r="D269" s="65">
        <v>0.38</v>
      </c>
      <c r="E269" s="70">
        <f t="shared" si="59"/>
        <v>703.38</v>
      </c>
      <c r="F269" s="69">
        <f t="shared" si="60"/>
        <v>4623.38</v>
      </c>
      <c r="K269" s="67" t="s">
        <v>210</v>
      </c>
      <c r="M269" s="68">
        <v>4220</v>
      </c>
      <c r="N269" s="65">
        <v>0.38</v>
      </c>
      <c r="O269" s="70">
        <f t="shared" si="61"/>
        <v>644.1</v>
      </c>
      <c r="P269" s="68">
        <f t="shared" si="62"/>
        <v>4864.1000000000004</v>
      </c>
    </row>
    <row r="270" spans="1:19" x14ac:dyDescent="0.25">
      <c r="A270" s="67" t="s">
        <v>211</v>
      </c>
      <c r="C270" s="68">
        <v>3920</v>
      </c>
      <c r="D270" s="65">
        <v>0.4</v>
      </c>
      <c r="E270" s="70">
        <f t="shared" si="59"/>
        <v>740.40000000000009</v>
      </c>
      <c r="F270" s="69">
        <f t="shared" si="60"/>
        <v>4660.3999999999996</v>
      </c>
      <c r="G270" t="s">
        <v>224</v>
      </c>
      <c r="H270" s="69">
        <f>AVERAGE(F268:F270)</f>
        <v>4641.8900000000003</v>
      </c>
      <c r="I270" s="71">
        <f>H270/$F$251</f>
        <v>46.09731320630631</v>
      </c>
      <c r="K270" s="67" t="s">
        <v>211</v>
      </c>
      <c r="M270" s="68">
        <v>4220</v>
      </c>
      <c r="N270" s="65">
        <v>0.4</v>
      </c>
      <c r="O270" s="70">
        <f t="shared" si="61"/>
        <v>678</v>
      </c>
      <c r="P270" s="68">
        <f t="shared" si="62"/>
        <v>4898</v>
      </c>
      <c r="Q270" t="s">
        <v>224</v>
      </c>
      <c r="R270" s="69">
        <f>AVERAGE(P268:P270)</f>
        <v>4881.05</v>
      </c>
      <c r="S270" s="71">
        <f>R270/$F$251</f>
        <v>48.472344373873874</v>
      </c>
    </row>
    <row r="271" spans="1:19" x14ac:dyDescent="0.25">
      <c r="A271" s="67" t="s">
        <v>212</v>
      </c>
      <c r="C271" s="68">
        <v>3920</v>
      </c>
      <c r="D271" s="65">
        <v>0.39</v>
      </c>
      <c r="E271" s="70">
        <f t="shared" si="59"/>
        <v>721.89</v>
      </c>
      <c r="F271" s="69">
        <f t="shared" si="60"/>
        <v>4641.8900000000003</v>
      </c>
      <c r="K271" s="67" t="s">
        <v>212</v>
      </c>
      <c r="M271" s="68">
        <v>4220</v>
      </c>
      <c r="N271" s="65">
        <v>0.39</v>
      </c>
      <c r="O271" s="70">
        <f t="shared" si="61"/>
        <v>661.05000000000007</v>
      </c>
      <c r="P271" s="68">
        <f t="shared" si="62"/>
        <v>4881.05</v>
      </c>
    </row>
    <row r="272" spans="1:19" x14ac:dyDescent="0.25">
      <c r="A272" s="67" t="s">
        <v>213</v>
      </c>
      <c r="C272" s="68">
        <v>3920</v>
      </c>
      <c r="D272" s="65">
        <v>0.42</v>
      </c>
      <c r="E272" s="70">
        <f t="shared" si="59"/>
        <v>777.42</v>
      </c>
      <c r="F272" s="69">
        <f t="shared" si="60"/>
        <v>4697.42</v>
      </c>
      <c r="K272" s="67" t="s">
        <v>213</v>
      </c>
      <c r="M272" s="68">
        <v>4220</v>
      </c>
      <c r="N272" s="65">
        <v>0.42</v>
      </c>
      <c r="O272" s="70">
        <f t="shared" si="61"/>
        <v>711.9</v>
      </c>
      <c r="P272" s="68">
        <f t="shared" si="62"/>
        <v>4931.8999999999996</v>
      </c>
    </row>
    <row r="273" spans="1:19" x14ac:dyDescent="0.25">
      <c r="A273" s="67" t="s">
        <v>214</v>
      </c>
      <c r="C273" s="68">
        <v>3920</v>
      </c>
      <c r="D273" s="65">
        <v>0.46</v>
      </c>
      <c r="E273" s="70">
        <f t="shared" si="59"/>
        <v>851.46</v>
      </c>
      <c r="F273" s="69">
        <f t="shared" si="60"/>
        <v>4771.46</v>
      </c>
      <c r="G273" t="s">
        <v>225</v>
      </c>
      <c r="H273" s="69">
        <f>AVERAGE(F271:F273)</f>
        <v>4703.59</v>
      </c>
      <c r="I273" s="71">
        <f>H273/$F$251</f>
        <v>46.710038674774772</v>
      </c>
      <c r="K273" s="67" t="s">
        <v>214</v>
      </c>
      <c r="M273" s="68">
        <v>4220</v>
      </c>
      <c r="N273" s="65">
        <v>0.46</v>
      </c>
      <c r="O273" s="70">
        <f t="shared" si="61"/>
        <v>779.7</v>
      </c>
      <c r="P273" s="68">
        <f t="shared" si="62"/>
        <v>4999.7</v>
      </c>
      <c r="Q273" t="s">
        <v>225</v>
      </c>
      <c r="R273" s="69">
        <f>AVERAGE(P271:P273)</f>
        <v>4937.55</v>
      </c>
      <c r="S273" s="71">
        <f>R273/$F$251</f>
        <v>49.033430094594593</v>
      </c>
    </row>
    <row r="274" spans="1:19" x14ac:dyDescent="0.25">
      <c r="A274" s="67" t="s">
        <v>215</v>
      </c>
      <c r="C274" s="68">
        <v>3920</v>
      </c>
      <c r="D274" s="65">
        <v>0.46</v>
      </c>
      <c r="E274" s="70">
        <f t="shared" si="59"/>
        <v>851.46</v>
      </c>
      <c r="F274" s="69">
        <f t="shared" si="60"/>
        <v>4771.46</v>
      </c>
      <c r="K274" s="67" t="s">
        <v>215</v>
      </c>
      <c r="M274" s="68">
        <v>4220</v>
      </c>
      <c r="N274" s="65">
        <v>0.46</v>
      </c>
      <c r="O274" s="70">
        <f t="shared" si="61"/>
        <v>779.7</v>
      </c>
      <c r="P274" s="68">
        <f t="shared" si="62"/>
        <v>4999.7</v>
      </c>
    </row>
    <row r="275" spans="1:19" x14ac:dyDescent="0.25">
      <c r="A275" s="67" t="s">
        <v>216</v>
      </c>
      <c r="C275" s="68">
        <v>3920</v>
      </c>
      <c r="D275" s="65">
        <v>0.43</v>
      </c>
      <c r="E275" s="70">
        <f t="shared" si="59"/>
        <v>795.93</v>
      </c>
      <c r="F275" s="69">
        <f t="shared" si="60"/>
        <v>4715.93</v>
      </c>
      <c r="K275" s="67" t="s">
        <v>216</v>
      </c>
      <c r="M275" s="68">
        <v>4220</v>
      </c>
      <c r="N275" s="65">
        <v>0.43</v>
      </c>
      <c r="O275" s="70">
        <f t="shared" si="61"/>
        <v>728.85</v>
      </c>
      <c r="P275" s="68">
        <f t="shared" si="62"/>
        <v>4948.8500000000004</v>
      </c>
    </row>
    <row r="276" spans="1:19" x14ac:dyDescent="0.25">
      <c r="A276" s="67" t="s">
        <v>217</v>
      </c>
      <c r="C276" s="68">
        <v>3920</v>
      </c>
      <c r="D276" s="65">
        <v>0.42</v>
      </c>
      <c r="E276" s="70">
        <f t="shared" si="59"/>
        <v>777.42</v>
      </c>
      <c r="F276" s="69">
        <f t="shared" si="60"/>
        <v>4697.42</v>
      </c>
      <c r="G276" t="s">
        <v>226</v>
      </c>
      <c r="H276" s="69">
        <f>AVERAGE(F274:F276)</f>
        <v>4728.2699999999995</v>
      </c>
      <c r="I276" s="71">
        <f>H276/$F$251</f>
        <v>46.955128862162155</v>
      </c>
      <c r="K276" s="67" t="s">
        <v>217</v>
      </c>
      <c r="M276" s="68">
        <v>4320</v>
      </c>
      <c r="N276" s="65">
        <v>0.42</v>
      </c>
      <c r="O276" s="70">
        <f t="shared" si="61"/>
        <v>711.9</v>
      </c>
      <c r="P276" s="68">
        <f t="shared" si="62"/>
        <v>5031.8999999999996</v>
      </c>
      <c r="Q276" t="s">
        <v>226</v>
      </c>
      <c r="R276" s="69">
        <f>AVERAGE(P274:P276)</f>
        <v>4993.4833333333327</v>
      </c>
      <c r="S276" s="71">
        <f>R276/$F$251</f>
        <v>49.588888406906896</v>
      </c>
    </row>
    <row r="277" spans="1:19" x14ac:dyDescent="0.25">
      <c r="A277" s="67" t="s">
        <v>247</v>
      </c>
      <c r="C277" s="68">
        <v>3920</v>
      </c>
      <c r="D277" s="65">
        <v>0.43</v>
      </c>
      <c r="E277" s="70">
        <f t="shared" si="59"/>
        <v>795.93</v>
      </c>
      <c r="F277" s="69">
        <f t="shared" si="60"/>
        <v>4715.93</v>
      </c>
      <c r="K277" s="67" t="s">
        <v>247</v>
      </c>
      <c r="M277" s="68">
        <v>4320</v>
      </c>
      <c r="N277" s="65">
        <v>0.43</v>
      </c>
      <c r="O277" s="70">
        <f t="shared" si="61"/>
        <v>728.85</v>
      </c>
      <c r="P277" s="68">
        <f t="shared" si="62"/>
        <v>5048.8500000000004</v>
      </c>
    </row>
    <row r="278" spans="1:19" x14ac:dyDescent="0.25">
      <c r="A278" s="67" t="s">
        <v>248</v>
      </c>
      <c r="C278" s="68">
        <v>4000</v>
      </c>
      <c r="D278" s="65">
        <v>0.43</v>
      </c>
      <c r="E278" s="70">
        <f t="shared" si="59"/>
        <v>795.93</v>
      </c>
      <c r="F278" s="69">
        <f t="shared" si="60"/>
        <v>4795.93</v>
      </c>
      <c r="K278" s="67" t="s">
        <v>248</v>
      </c>
      <c r="M278" s="68">
        <v>4320</v>
      </c>
      <c r="N278" s="65">
        <v>0.43</v>
      </c>
      <c r="O278" s="70">
        <f t="shared" si="61"/>
        <v>728.85</v>
      </c>
      <c r="P278" s="68">
        <f t="shared" si="62"/>
        <v>5048.8500000000004</v>
      </c>
    </row>
    <row r="279" spans="1:19" x14ac:dyDescent="0.25">
      <c r="A279" s="67" t="s">
        <v>249</v>
      </c>
      <c r="C279" s="68">
        <v>4120</v>
      </c>
      <c r="D279" s="65">
        <v>0.46</v>
      </c>
      <c r="E279" s="70">
        <f t="shared" si="59"/>
        <v>851.46</v>
      </c>
      <c r="F279" s="69">
        <f t="shared" si="60"/>
        <v>4971.46</v>
      </c>
      <c r="G279" t="s">
        <v>251</v>
      </c>
      <c r="H279" s="69">
        <f>AVERAGE(F277:F279)</f>
        <v>4827.7733333333335</v>
      </c>
      <c r="I279" s="71">
        <f>H279/$F$251</f>
        <v>47.943268676276276</v>
      </c>
      <c r="K279" s="67" t="s">
        <v>249</v>
      </c>
      <c r="M279" s="68">
        <v>4320</v>
      </c>
      <c r="N279" s="65">
        <v>0.46</v>
      </c>
      <c r="O279" s="70">
        <f t="shared" si="61"/>
        <v>779.7</v>
      </c>
      <c r="P279" s="68">
        <f t="shared" si="62"/>
        <v>5099.7</v>
      </c>
      <c r="Q279" t="s">
        <v>251</v>
      </c>
      <c r="R279" s="69">
        <f>AVERAGE(P277:P279)</f>
        <v>5065.8</v>
      </c>
      <c r="S279" s="71">
        <f>R279/$F$251</f>
        <v>50.30704502702703</v>
      </c>
    </row>
    <row r="280" spans="1:19" x14ac:dyDescent="0.25">
      <c r="A280" s="67" t="s">
        <v>252</v>
      </c>
      <c r="C280" s="68">
        <v>4120</v>
      </c>
      <c r="D280" s="65">
        <v>0.48</v>
      </c>
      <c r="E280" s="70">
        <f t="shared" si="59"/>
        <v>888.48</v>
      </c>
      <c r="F280" s="69">
        <f t="shared" si="60"/>
        <v>5008.4799999999996</v>
      </c>
      <c r="K280" s="67" t="s">
        <v>252</v>
      </c>
      <c r="M280" s="68">
        <v>4320</v>
      </c>
      <c r="N280" s="65">
        <v>0.48</v>
      </c>
      <c r="O280" s="70">
        <f t="shared" si="61"/>
        <v>813.6</v>
      </c>
      <c r="P280" s="68">
        <f t="shared" si="62"/>
        <v>5133.6000000000004</v>
      </c>
    </row>
    <row r="281" spans="1:19" x14ac:dyDescent="0.25">
      <c r="A281" s="67" t="s">
        <v>253</v>
      </c>
      <c r="C281" s="68">
        <v>4120</v>
      </c>
      <c r="D281" s="65">
        <v>0.5</v>
      </c>
      <c r="E281" s="70">
        <f t="shared" si="59"/>
        <v>925.5</v>
      </c>
      <c r="F281" s="69">
        <f t="shared" si="60"/>
        <v>5045.5</v>
      </c>
      <c r="K281" s="67" t="s">
        <v>253</v>
      </c>
      <c r="M281" s="68">
        <v>4320</v>
      </c>
      <c r="N281" s="65">
        <v>0.5</v>
      </c>
      <c r="O281" s="70">
        <f t="shared" si="61"/>
        <v>847.5</v>
      </c>
      <c r="P281" s="68">
        <f t="shared" si="62"/>
        <v>5167.5</v>
      </c>
    </row>
    <row r="282" spans="1:19" x14ac:dyDescent="0.25">
      <c r="A282" s="67" t="s">
        <v>254</v>
      </c>
      <c r="C282" s="68">
        <v>4120</v>
      </c>
      <c r="D282" s="65">
        <v>0.23</v>
      </c>
      <c r="E282" s="70">
        <f t="shared" si="59"/>
        <v>425.73</v>
      </c>
      <c r="F282" s="69">
        <f t="shared" si="60"/>
        <v>4545.7299999999996</v>
      </c>
      <c r="G282" t="s">
        <v>266</v>
      </c>
      <c r="H282" s="69">
        <f>AVERAGE(F280:F282)</f>
        <v>4866.57</v>
      </c>
      <c r="I282" s="70">
        <f>H282/$F$66</f>
        <v>48.328547537837835</v>
      </c>
      <c r="K282" s="67" t="s">
        <v>254</v>
      </c>
      <c r="M282" s="68">
        <v>4320</v>
      </c>
      <c r="N282" s="65">
        <v>0.23</v>
      </c>
      <c r="O282" s="70">
        <f t="shared" si="61"/>
        <v>389.85</v>
      </c>
      <c r="P282" s="68">
        <f t="shared" si="62"/>
        <v>4709.8500000000004</v>
      </c>
      <c r="Q282" t="s">
        <v>266</v>
      </c>
      <c r="R282" s="69">
        <f>AVERAGE(P280:P282)</f>
        <v>5003.6500000000005</v>
      </c>
      <c r="S282" s="70">
        <f>R282/$F$66</f>
        <v>49.689850734234234</v>
      </c>
    </row>
    <row r="283" spans="1:19" x14ac:dyDescent="0.25">
      <c r="A283" s="67" t="s">
        <v>255</v>
      </c>
      <c r="C283" s="68">
        <v>4680</v>
      </c>
      <c r="D283" s="65">
        <v>0.28000000000000003</v>
      </c>
      <c r="E283" s="70">
        <f t="shared" si="59"/>
        <v>518.28000000000009</v>
      </c>
      <c r="F283" s="69">
        <f t="shared" si="60"/>
        <v>5198.28</v>
      </c>
      <c r="K283" s="67" t="s">
        <v>255</v>
      </c>
      <c r="M283" s="68">
        <v>4840</v>
      </c>
      <c r="N283" s="65">
        <v>0.28000000000000003</v>
      </c>
      <c r="O283" s="70">
        <f t="shared" si="61"/>
        <v>474.6</v>
      </c>
      <c r="P283" s="68">
        <f t="shared" si="62"/>
        <v>5314.6</v>
      </c>
    </row>
    <row r="284" spans="1:19" x14ac:dyDescent="0.25">
      <c r="A284" s="67" t="s">
        <v>256</v>
      </c>
      <c r="C284" s="68">
        <v>4680</v>
      </c>
      <c r="D284" s="65">
        <v>0.36</v>
      </c>
      <c r="E284" s="70">
        <f t="shared" si="59"/>
        <v>666.36</v>
      </c>
      <c r="F284" s="69">
        <f t="shared" si="60"/>
        <v>5346.36</v>
      </c>
      <c r="K284" s="67" t="s">
        <v>256</v>
      </c>
      <c r="M284" s="68">
        <v>4840</v>
      </c>
      <c r="N284" s="65">
        <v>0.36</v>
      </c>
      <c r="O284" s="70">
        <f t="shared" si="61"/>
        <v>610.19999999999993</v>
      </c>
      <c r="P284" s="68">
        <f t="shared" si="62"/>
        <v>5450.2</v>
      </c>
    </row>
    <row r="285" spans="1:19" x14ac:dyDescent="0.25">
      <c r="A285" s="67" t="s">
        <v>257</v>
      </c>
      <c r="C285" s="68">
        <v>4680</v>
      </c>
      <c r="D285" s="65">
        <v>0.4</v>
      </c>
      <c r="E285" s="70">
        <f t="shared" si="59"/>
        <v>740.40000000000009</v>
      </c>
      <c r="F285" s="69">
        <f t="shared" si="60"/>
        <v>5420.4</v>
      </c>
      <c r="G285" t="s">
        <v>267</v>
      </c>
      <c r="H285" s="69">
        <f>AVERAGE(F283:F285)</f>
        <v>5321.6799999999994</v>
      </c>
      <c r="I285" s="70">
        <f>H285/$F$66</f>
        <v>52.848117845045039</v>
      </c>
      <c r="K285" s="67" t="s">
        <v>257</v>
      </c>
      <c r="M285" s="68">
        <v>4840</v>
      </c>
      <c r="N285" s="65">
        <v>0.4</v>
      </c>
      <c r="O285" s="70">
        <f t="shared" si="61"/>
        <v>678</v>
      </c>
      <c r="P285" s="68">
        <f t="shared" si="62"/>
        <v>5518</v>
      </c>
      <c r="Q285" t="s">
        <v>267</v>
      </c>
      <c r="R285" s="69">
        <f>AVERAGE(P283:P285)</f>
        <v>5427.5999999999995</v>
      </c>
      <c r="S285" s="70">
        <f>R285/$F$66</f>
        <v>53.899979783783778</v>
      </c>
    </row>
    <row r="286" spans="1:19" x14ac:dyDescent="0.25">
      <c r="A286" s="67" t="s">
        <v>258</v>
      </c>
      <c r="C286" s="68">
        <v>4680</v>
      </c>
      <c r="D286" s="65">
        <v>0.39</v>
      </c>
      <c r="E286" s="70">
        <f t="shared" si="59"/>
        <v>721.89</v>
      </c>
      <c r="F286" s="69">
        <f t="shared" si="60"/>
        <v>5401.89</v>
      </c>
      <c r="K286" s="67" t="s">
        <v>258</v>
      </c>
      <c r="M286" s="68">
        <v>4840</v>
      </c>
      <c r="N286" s="65">
        <v>0.39</v>
      </c>
      <c r="O286" s="70">
        <f t="shared" si="61"/>
        <v>661.05000000000007</v>
      </c>
      <c r="P286" s="68">
        <f t="shared" si="62"/>
        <v>5501.05</v>
      </c>
    </row>
    <row r="287" spans="1:19" x14ac:dyDescent="0.25">
      <c r="A287" s="67" t="s">
        <v>259</v>
      </c>
      <c r="C287" s="68">
        <v>4680</v>
      </c>
      <c r="D287" s="65">
        <v>0.36</v>
      </c>
      <c r="E287" s="70">
        <f t="shared" si="59"/>
        <v>666.36</v>
      </c>
      <c r="F287" s="69">
        <f t="shared" si="60"/>
        <v>5346.36</v>
      </c>
      <c r="K287" s="67" t="s">
        <v>259</v>
      </c>
      <c r="M287" s="68">
        <v>4840</v>
      </c>
      <c r="N287" s="65">
        <v>0.36</v>
      </c>
      <c r="O287" s="70">
        <f t="shared" si="61"/>
        <v>610.19999999999993</v>
      </c>
      <c r="P287" s="68">
        <f t="shared" si="62"/>
        <v>5450.2</v>
      </c>
    </row>
    <row r="288" spans="1:19" x14ac:dyDescent="0.25">
      <c r="A288" s="67" t="s">
        <v>260</v>
      </c>
      <c r="C288" s="68">
        <v>4680</v>
      </c>
      <c r="D288" s="65">
        <v>0.36</v>
      </c>
      <c r="E288" s="70">
        <f t="shared" si="59"/>
        <v>666.36</v>
      </c>
      <c r="F288" s="69">
        <f t="shared" si="60"/>
        <v>5346.36</v>
      </c>
      <c r="G288" t="s">
        <v>268</v>
      </c>
      <c r="H288" s="69">
        <f>AVERAGE(F286:F288)</f>
        <v>5364.87</v>
      </c>
      <c r="I288" s="70">
        <f>H288/$F$66</f>
        <v>53.277025672972968</v>
      </c>
      <c r="K288" s="67" t="s">
        <v>260</v>
      </c>
      <c r="M288" s="68">
        <v>4840</v>
      </c>
      <c r="N288" s="65">
        <v>0.36</v>
      </c>
      <c r="O288" s="70">
        <f t="shared" si="61"/>
        <v>610.19999999999993</v>
      </c>
      <c r="P288" s="68">
        <f t="shared" si="62"/>
        <v>5450.2</v>
      </c>
      <c r="Q288" t="s">
        <v>268</v>
      </c>
      <c r="R288" s="69">
        <f>AVERAGE(P286:P288)</f>
        <v>5467.1500000000005</v>
      </c>
      <c r="S288" s="70">
        <f>R288/$F$66</f>
        <v>54.292739788288294</v>
      </c>
    </row>
    <row r="289" spans="1:19" x14ac:dyDescent="0.25">
      <c r="A289" s="67" t="s">
        <v>261</v>
      </c>
      <c r="C289" s="68">
        <v>4800</v>
      </c>
      <c r="D289" s="65">
        <v>0.35</v>
      </c>
      <c r="E289" s="70">
        <f t="shared" si="59"/>
        <v>647.84999999999991</v>
      </c>
      <c r="F289" s="69">
        <f t="shared" si="60"/>
        <v>5447.85</v>
      </c>
      <c r="K289" s="67" t="s">
        <v>261</v>
      </c>
      <c r="M289" s="68">
        <v>5040</v>
      </c>
      <c r="N289" s="65">
        <v>0.35</v>
      </c>
      <c r="O289" s="70">
        <f t="shared" si="61"/>
        <v>593.25</v>
      </c>
      <c r="P289" s="68">
        <f t="shared" si="62"/>
        <v>5633.25</v>
      </c>
    </row>
    <row r="290" spans="1:19" x14ac:dyDescent="0.25">
      <c r="A290" s="67" t="s">
        <v>262</v>
      </c>
      <c r="C290" s="68">
        <v>4800</v>
      </c>
      <c r="D290" s="65">
        <v>0.34</v>
      </c>
      <c r="E290" s="70">
        <f t="shared" si="59"/>
        <v>629.34</v>
      </c>
      <c r="F290" s="69">
        <f t="shared" si="60"/>
        <v>5429.34</v>
      </c>
      <c r="K290" s="67" t="s">
        <v>262</v>
      </c>
      <c r="M290" s="68">
        <v>5040</v>
      </c>
      <c r="N290" s="65">
        <v>0.34</v>
      </c>
      <c r="O290" s="70">
        <f t="shared" si="61"/>
        <v>576.30000000000007</v>
      </c>
      <c r="P290" s="68">
        <f t="shared" si="62"/>
        <v>5616.3</v>
      </c>
    </row>
    <row r="291" spans="1:19" x14ac:dyDescent="0.25">
      <c r="A291" s="67" t="s">
        <v>263</v>
      </c>
      <c r="C291" s="68">
        <v>4800</v>
      </c>
      <c r="D291" s="65">
        <v>0.33</v>
      </c>
      <c r="E291" s="70">
        <f t="shared" si="59"/>
        <v>610.83000000000004</v>
      </c>
      <c r="F291" s="69">
        <f t="shared" si="60"/>
        <v>5410.83</v>
      </c>
      <c r="G291" t="s">
        <v>270</v>
      </c>
      <c r="H291" s="69">
        <f>AVERAGE(F289:F291)</f>
        <v>5429.34</v>
      </c>
      <c r="I291" s="70">
        <f>H291/$F$66</f>
        <v>53.91725923783784</v>
      </c>
      <c r="K291" s="67" t="s">
        <v>263</v>
      </c>
      <c r="M291" s="68">
        <v>5040</v>
      </c>
      <c r="N291" s="65">
        <v>0.33</v>
      </c>
      <c r="O291" s="70">
        <f t="shared" si="61"/>
        <v>559.35</v>
      </c>
      <c r="P291" s="68">
        <f t="shared" si="62"/>
        <v>5599.35</v>
      </c>
      <c r="Q291" t="s">
        <v>270</v>
      </c>
      <c r="R291" s="69">
        <f>AVERAGE(P289:P291)</f>
        <v>5616.3</v>
      </c>
      <c r="S291" s="70">
        <f>R291/$F$66</f>
        <v>55.773906783783779</v>
      </c>
    </row>
    <row r="292" spans="1:19" x14ac:dyDescent="0.25">
      <c r="A292" s="67" t="s">
        <v>276</v>
      </c>
      <c r="C292" s="68">
        <v>4800</v>
      </c>
      <c r="D292" s="65">
        <v>0.37</v>
      </c>
      <c r="E292" s="70">
        <f t="shared" si="59"/>
        <v>684.87</v>
      </c>
      <c r="F292" s="69">
        <f t="shared" si="60"/>
        <v>5484.87</v>
      </c>
      <c r="K292" s="67" t="s">
        <v>276</v>
      </c>
      <c r="M292" s="68">
        <v>5040</v>
      </c>
      <c r="N292" s="65">
        <v>0.37</v>
      </c>
      <c r="O292" s="70">
        <f t="shared" si="61"/>
        <v>627.15</v>
      </c>
      <c r="P292" s="68">
        <f t="shared" si="62"/>
        <v>5667.15</v>
      </c>
    </row>
    <row r="293" spans="1:19" x14ac:dyDescent="0.25">
      <c r="A293" s="67" t="s">
        <v>277</v>
      </c>
      <c r="C293" s="68">
        <v>4800</v>
      </c>
      <c r="D293" s="65">
        <v>0.35</v>
      </c>
      <c r="E293" s="70">
        <f t="shared" si="59"/>
        <v>647.84999999999991</v>
      </c>
      <c r="F293" s="69">
        <f t="shared" si="60"/>
        <v>5447.85</v>
      </c>
      <c r="K293" s="67" t="s">
        <v>277</v>
      </c>
      <c r="M293" s="68">
        <v>5040</v>
      </c>
      <c r="N293" s="65">
        <v>0.35</v>
      </c>
      <c r="O293" s="70">
        <f t="shared" si="61"/>
        <v>593.25</v>
      </c>
      <c r="P293" s="68">
        <f t="shared" si="62"/>
        <v>5633.25</v>
      </c>
    </row>
    <row r="294" spans="1:19" x14ac:dyDescent="0.25">
      <c r="A294" s="67" t="s">
        <v>278</v>
      </c>
      <c r="C294" s="68">
        <v>4800</v>
      </c>
      <c r="D294" s="65">
        <v>0.34</v>
      </c>
      <c r="E294" s="70">
        <f t="shared" si="59"/>
        <v>629.34</v>
      </c>
      <c r="F294" s="69">
        <f t="shared" si="60"/>
        <v>5429.34</v>
      </c>
      <c r="G294" t="s">
        <v>279</v>
      </c>
      <c r="H294" s="69">
        <f>AVERAGE(F292:F294)</f>
        <v>5454.02</v>
      </c>
      <c r="I294" s="70">
        <f>H294/$F$66</f>
        <v>54.16234942522523</v>
      </c>
      <c r="K294" s="67" t="s">
        <v>278</v>
      </c>
      <c r="M294" s="68">
        <v>5040</v>
      </c>
      <c r="N294" s="65">
        <v>0.34</v>
      </c>
      <c r="O294" s="70">
        <f t="shared" si="61"/>
        <v>576.30000000000007</v>
      </c>
      <c r="P294" s="68">
        <f t="shared" si="62"/>
        <v>5616.3</v>
      </c>
      <c r="Q294" t="s">
        <v>279</v>
      </c>
      <c r="R294" s="69">
        <f>AVERAGE(P292:P294)</f>
        <v>5638.9000000000005</v>
      </c>
      <c r="S294" s="70">
        <f>R294/$F$66</f>
        <v>55.998341072072073</v>
      </c>
    </row>
    <row r="295" spans="1:19" x14ac:dyDescent="0.25">
      <c r="A295" s="67" t="s">
        <v>281</v>
      </c>
      <c r="C295" s="68">
        <v>4800</v>
      </c>
      <c r="D295" s="65">
        <v>0.37</v>
      </c>
      <c r="E295" s="70">
        <f t="shared" si="59"/>
        <v>684.87</v>
      </c>
      <c r="F295" s="69">
        <f t="shared" si="60"/>
        <v>5484.87</v>
      </c>
      <c r="K295" s="67" t="s">
        <v>281</v>
      </c>
      <c r="M295" s="68">
        <v>5040</v>
      </c>
      <c r="N295" s="65">
        <v>0.37</v>
      </c>
      <c r="O295" s="70">
        <f t="shared" si="61"/>
        <v>627.15</v>
      </c>
      <c r="P295" s="68">
        <f t="shared" si="62"/>
        <v>5667.15</v>
      </c>
    </row>
    <row r="296" spans="1:19" x14ac:dyDescent="0.25">
      <c r="A296" s="67" t="s">
        <v>282</v>
      </c>
      <c r="C296" s="68">
        <v>4800</v>
      </c>
      <c r="D296" s="65">
        <v>0.41</v>
      </c>
      <c r="E296" s="70">
        <f t="shared" si="59"/>
        <v>758.91</v>
      </c>
      <c r="F296" s="69">
        <f t="shared" si="60"/>
        <v>5558.91</v>
      </c>
      <c r="K296" s="67" t="s">
        <v>282</v>
      </c>
      <c r="M296" s="68">
        <v>5040</v>
      </c>
      <c r="N296" s="65">
        <v>0.41</v>
      </c>
      <c r="O296" s="70">
        <f t="shared" si="61"/>
        <v>694.94999999999993</v>
      </c>
      <c r="P296" s="68">
        <f t="shared" si="62"/>
        <v>5734.95</v>
      </c>
    </row>
    <row r="297" spans="1:19" x14ac:dyDescent="0.25">
      <c r="A297" s="67" t="s">
        <v>283</v>
      </c>
      <c r="C297" s="68">
        <v>4800</v>
      </c>
      <c r="D297" s="65">
        <v>0.41</v>
      </c>
      <c r="E297" s="70">
        <f t="shared" si="59"/>
        <v>758.91</v>
      </c>
      <c r="F297" s="69">
        <f t="shared" si="60"/>
        <v>5558.91</v>
      </c>
      <c r="G297" t="s">
        <v>289</v>
      </c>
      <c r="H297" s="69">
        <f>AVERAGE(F295:F297)</f>
        <v>5534.23</v>
      </c>
      <c r="I297" s="70">
        <f>H297/$F$66</f>
        <v>54.958892534234231</v>
      </c>
      <c r="K297" s="67" t="s">
        <v>283</v>
      </c>
      <c r="M297" s="68">
        <v>5040</v>
      </c>
      <c r="N297" s="65">
        <v>0.41</v>
      </c>
      <c r="O297" s="70">
        <f t="shared" si="61"/>
        <v>694.94999999999993</v>
      </c>
      <c r="P297" s="68">
        <f t="shared" si="62"/>
        <v>5734.95</v>
      </c>
      <c r="Q297" t="s">
        <v>289</v>
      </c>
      <c r="R297" s="69">
        <f>AVERAGE(P295:P297)</f>
        <v>5712.3499999999995</v>
      </c>
      <c r="S297" s="70">
        <f>R297/$F$66</f>
        <v>56.727752509009001</v>
      </c>
    </row>
    <row r="298" spans="1:19" x14ac:dyDescent="0.25">
      <c r="A298" s="67" t="s">
        <v>284</v>
      </c>
      <c r="C298" s="68">
        <v>4800</v>
      </c>
      <c r="D298" s="65">
        <v>0.37</v>
      </c>
      <c r="E298" s="70">
        <f t="shared" si="59"/>
        <v>684.87</v>
      </c>
      <c r="F298" s="69">
        <f t="shared" si="60"/>
        <v>5484.87</v>
      </c>
      <c r="K298" s="67" t="s">
        <v>284</v>
      </c>
      <c r="M298" s="68">
        <v>5040</v>
      </c>
      <c r="N298" s="65">
        <v>0.37</v>
      </c>
      <c r="O298" s="70">
        <f t="shared" si="61"/>
        <v>627.15</v>
      </c>
      <c r="P298" s="68">
        <f t="shared" si="62"/>
        <v>5667.15</v>
      </c>
    </row>
    <row r="299" spans="1:19" x14ac:dyDescent="0.25">
      <c r="A299" s="67" t="s">
        <v>285</v>
      </c>
      <c r="C299" s="68">
        <v>4800</v>
      </c>
      <c r="D299" s="65">
        <v>0.32</v>
      </c>
      <c r="E299" s="70">
        <f t="shared" si="59"/>
        <v>592.32000000000005</v>
      </c>
      <c r="F299" s="69">
        <f t="shared" si="60"/>
        <v>5392.32</v>
      </c>
      <c r="K299" s="67" t="s">
        <v>285</v>
      </c>
      <c r="M299" s="68">
        <v>5040</v>
      </c>
      <c r="N299" s="65">
        <v>0.32</v>
      </c>
      <c r="O299" s="70">
        <f t="shared" si="61"/>
        <v>542.4</v>
      </c>
      <c r="P299" s="68">
        <f t="shared" si="62"/>
        <v>5582.4</v>
      </c>
    </row>
    <row r="300" spans="1:19" x14ac:dyDescent="0.25">
      <c r="A300" s="67" t="s">
        <v>286</v>
      </c>
      <c r="C300" s="68">
        <v>4800</v>
      </c>
      <c r="D300" s="65">
        <v>0.31</v>
      </c>
      <c r="E300" s="70">
        <f t="shared" ref="E300:E303" si="63">$C$253*D300</f>
        <v>573.80999999999995</v>
      </c>
      <c r="F300" s="69">
        <f t="shared" ref="F300:F303" si="64">C300+E300</f>
        <v>5373.8099999999995</v>
      </c>
      <c r="G300" t="s">
        <v>290</v>
      </c>
      <c r="H300" s="69">
        <f>AVERAGE(F298:F300)</f>
        <v>5416.9999999999991</v>
      </c>
      <c r="I300" s="70">
        <f>H300/$F$66</f>
        <v>53.79471414414413</v>
      </c>
      <c r="K300" s="67" t="s">
        <v>286</v>
      </c>
      <c r="M300" s="68">
        <v>5040</v>
      </c>
      <c r="N300" s="65">
        <v>0.31</v>
      </c>
      <c r="O300" s="70">
        <f t="shared" ref="O300:O303" si="65">N300*$M$253</f>
        <v>525.45000000000005</v>
      </c>
      <c r="P300" s="68">
        <f t="shared" ref="P300:P303" si="66">M300+O300</f>
        <v>5565.45</v>
      </c>
      <c r="Q300" t="s">
        <v>290</v>
      </c>
      <c r="R300" s="69">
        <f>AVERAGE(P298:P300)</f>
        <v>5605</v>
      </c>
      <c r="S300" s="70">
        <f>R300/$F$66</f>
        <v>55.66168963963964</v>
      </c>
    </row>
    <row r="301" spans="1:19" x14ac:dyDescent="0.25">
      <c r="A301" s="67" t="s">
        <v>280</v>
      </c>
      <c r="C301" s="68">
        <v>4800</v>
      </c>
      <c r="D301" s="65">
        <v>0.38</v>
      </c>
      <c r="E301" s="70">
        <f t="shared" si="63"/>
        <v>703.38</v>
      </c>
      <c r="F301" s="69">
        <f t="shared" si="64"/>
        <v>5503.38</v>
      </c>
      <c r="K301" s="67" t="s">
        <v>280</v>
      </c>
      <c r="M301" s="68">
        <v>5340</v>
      </c>
      <c r="N301" s="65">
        <v>0.38</v>
      </c>
      <c r="O301" s="70">
        <f t="shared" si="65"/>
        <v>644.1</v>
      </c>
      <c r="P301" s="68">
        <f t="shared" si="66"/>
        <v>5984.1</v>
      </c>
    </row>
    <row r="302" spans="1:19" x14ac:dyDescent="0.25">
      <c r="A302" s="67" t="s">
        <v>287</v>
      </c>
      <c r="C302" s="68">
        <v>4800</v>
      </c>
      <c r="D302" s="65">
        <v>0.41</v>
      </c>
      <c r="E302" s="70">
        <f t="shared" si="63"/>
        <v>758.91</v>
      </c>
      <c r="F302" s="69">
        <f t="shared" si="64"/>
        <v>5558.91</v>
      </c>
      <c r="K302" s="67" t="s">
        <v>287</v>
      </c>
      <c r="M302" s="68">
        <v>5340</v>
      </c>
      <c r="N302" s="65">
        <v>0.41</v>
      </c>
      <c r="O302" s="70">
        <f t="shared" si="65"/>
        <v>694.94999999999993</v>
      </c>
      <c r="P302" s="68">
        <f t="shared" si="66"/>
        <v>6034.95</v>
      </c>
    </row>
    <row r="303" spans="1:19" x14ac:dyDescent="0.25">
      <c r="A303" s="67" t="s">
        <v>288</v>
      </c>
      <c r="C303" s="68">
        <v>4800</v>
      </c>
      <c r="D303" s="65">
        <v>0.4</v>
      </c>
      <c r="E303" s="70">
        <f t="shared" si="63"/>
        <v>740.40000000000009</v>
      </c>
      <c r="F303" s="69">
        <f t="shared" si="64"/>
        <v>5540.4</v>
      </c>
      <c r="G303" t="s">
        <v>291</v>
      </c>
      <c r="H303" s="69">
        <f>AVERAGE(F301:F303)</f>
        <v>5534.2300000000005</v>
      </c>
      <c r="I303" s="70">
        <f>H303/$F$66</f>
        <v>54.958892534234238</v>
      </c>
      <c r="K303" s="67" t="s">
        <v>288</v>
      </c>
      <c r="M303" s="68">
        <v>5320</v>
      </c>
      <c r="N303" s="65">
        <v>0.4</v>
      </c>
      <c r="O303" s="70">
        <f t="shared" si="65"/>
        <v>678</v>
      </c>
      <c r="P303" s="68">
        <f t="shared" si="66"/>
        <v>5998</v>
      </c>
      <c r="Q303" t="s">
        <v>291</v>
      </c>
      <c r="R303" s="69">
        <f>AVERAGE(P301:P303)</f>
        <v>6005.6833333333334</v>
      </c>
      <c r="S303" s="70">
        <f>R303/$F$66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2014-10-01T15:28:35Z</dcterms:modified>
</cp:coreProperties>
</file>