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List Builder" state="visible" r:id="rId3"/>
    <sheet sheetId="2" name="Movepool Builder" state="visible" r:id="rId4"/>
    <sheet sheetId="3" name="Move Tutors, TMs and HMs" state="visible" r:id="rId5"/>
    <sheet sheetId="4" name="All Very Good Moves" state="visible" r:id="rId6"/>
    <sheet sheetId="5" name="Moves Index" state="visible" r:id="rId7"/>
    <sheet sheetId="6" name="Lookup" state="visible" r:id="rId8"/>
  </sheets>
  <definedNames>
    <definedName name="physical">'All Very Good Moves'!$B$2</definedName>
    <definedName name="special">'All Very Good Moves'!$B$31</definedName>
    <definedName name="non">'All Very Good Moves'!$B$58</definedName>
  </definedNames>
  <calcPr/>
</workbook>
</file>

<file path=xl/sharedStrings.xml><?xml version="1.0" encoding="utf-8"?>
<sst xmlns="http://schemas.openxmlformats.org/spreadsheetml/2006/main" count="3391" uniqueCount="838">
  <si>
    <t>Total List of All Moves</t>
  </si>
  <si>
    <t>Equivalents / Outclassing ("Doubles")</t>
  </si>
  <si>
    <t>Move</t>
  </si>
  <si>
    <t>VGM?</t>
  </si>
  <si>
    <t>Type</t>
  </si>
  <si>
    <t>Category</t>
  </si>
  <si>
    <t>Doubles with?</t>
  </si>
  <si>
    <t>Commonly Paired With?</t>
  </si>
  <si>
    <t>Total # Doubles:</t>
  </si>
  <si>
    <t>Attract</t>
  </si>
  <si>
    <t># VGM Doubles:</t>
  </si>
  <si>
    <t>Double Team</t>
  </si>
  <si>
    <t>Facade</t>
  </si>
  <si>
    <t>Type-Move Guidelines</t>
  </si>
  <si>
    <t>Frustration</t>
  </si>
  <si>
    <t>Giga Impact</t>
  </si>
  <si>
    <t>Hidden Power</t>
  </si>
  <si>
    <t>Hyper Beam</t>
  </si>
  <si>
    <t>Protect</t>
  </si>
  <si>
    <t>Overall Counts</t>
  </si>
  <si>
    <t>Recycle</t>
  </si>
  <si>
    <t>Absolute # Moves:</t>
  </si>
  <si>
    <t>Rest</t>
  </si>
  <si>
    <t>Return</t>
  </si>
  <si>
    <t>Absolute # VGMs:</t>
  </si>
  <si>
    <t>Round</t>
  </si>
  <si>
    <t>Sleep Talk</t>
  </si>
  <si>
    <t>Total Attacking Moves:</t>
  </si>
  <si>
    <t>Snore</t>
  </si>
  <si>
    <t>Total Non-Attacking Moves:</t>
  </si>
  <si>
    <t>Substitute</t>
  </si>
  <si>
    <t>Total Physical Moves:</t>
  </si>
  <si>
    <t>Swagger</t>
  </si>
  <si>
    <t>Total Special Moves:</t>
  </si>
  <si>
    <t>Toxic</t>
  </si>
  <si>
    <t>NB. You may want to extend the final two columns if all the text doesn't fit.</t>
  </si>
  <si>
    <t>Technical Machines and Hidden Machines</t>
  </si>
  <si>
    <t>Hone Claws</t>
  </si>
  <si>
    <t>Earthquake</t>
  </si>
  <si>
    <t>Ally Switch</t>
  </si>
  <si>
    <t>Struggle Bug</t>
  </si>
  <si>
    <t>Technical Machine Counts</t>
  </si>
  <si>
    <t>Equivalents, Outclassing, and Move-Move Guidelines Check Sheet</t>
  </si>
  <si>
    <t>Dragon Claw</t>
  </si>
  <si>
    <t>Focus Blast</t>
  </si>
  <si>
    <t>Psych Up</t>
  </si>
  <si>
    <t>Total # Moves:</t>
  </si>
  <si>
    <t>Psyshock</t>
  </si>
  <si>
    <t>Dig</t>
  </si>
  <si>
    <t>Energy Ball</t>
  </si>
  <si>
    <t>Bulldoze</t>
  </si>
  <si>
    <t>Total # VGMs:</t>
  </si>
  <si>
    <t>Calm Mind</t>
  </si>
  <si>
    <t>Psychic</t>
  </si>
  <si>
    <t>False Swipe</t>
  </si>
  <si>
    <t>Frost Breath</t>
  </si>
  <si>
    <t>Roar</t>
  </si>
  <si>
    <t>Shadow Ball</t>
  </si>
  <si>
    <t>Scald</t>
  </si>
  <si>
    <t>Rock Slide</t>
  </si>
  <si>
    <t>Repeats</t>
  </si>
  <si>
    <t>Brick Break</t>
  </si>
  <si>
    <t>Fling</t>
  </si>
  <si>
    <t>X-Scissor</t>
  </si>
  <si>
    <t>Total # Repeats:</t>
  </si>
  <si>
    <t>Hail</t>
  </si>
  <si>
    <t>Charge Beam</t>
  </si>
  <si>
    <t>Dragon Tail</t>
  </si>
  <si>
    <t># VGM Repeats:</t>
  </si>
  <si>
    <t>Bulk Up</t>
  </si>
  <si>
    <t>Reflect</t>
  </si>
  <si>
    <t>Sky Drop</t>
  </si>
  <si>
    <t>Work Up</t>
  </si>
  <si>
    <t>Venoshock</t>
  </si>
  <si>
    <t>Sludge Wave</t>
  </si>
  <si>
    <t>Incinerate</t>
  </si>
  <si>
    <t>Poison Jab</t>
  </si>
  <si>
    <t>Level-Up Counts</t>
  </si>
  <si>
    <t>Flamethrower</t>
  </si>
  <si>
    <t>Quash</t>
  </si>
  <si>
    <t>Dream Eater</t>
  </si>
  <si>
    <t>Sunny Day</t>
  </si>
  <si>
    <t>Sludge Bomb</t>
  </si>
  <si>
    <t>Will-O-Wisp</t>
  </si>
  <si>
    <t>Grass Knot</t>
  </si>
  <si>
    <t>Taunt</t>
  </si>
  <si>
    <t>Sandstorm</t>
  </si>
  <si>
    <t>Acrobatics</t>
  </si>
  <si>
    <t>Ice Beam</t>
  </si>
  <si>
    <t>Fire Blast</t>
  </si>
  <si>
    <t>Embargo</t>
  </si>
  <si>
    <t>Pluck</t>
  </si>
  <si>
    <t>Blizzard</t>
  </si>
  <si>
    <t>Rock Tomb</t>
  </si>
  <si>
    <t>Explosion</t>
  </si>
  <si>
    <t>U-turn</t>
  </si>
  <si>
    <t>Aerial Ace</t>
  </si>
  <si>
    <t>Shadow Claw</t>
  </si>
  <si>
    <t>Light Screen</t>
  </si>
  <si>
    <t>Torment</t>
  </si>
  <si>
    <t>Payback</t>
  </si>
  <si>
    <t>Flash Cannon</t>
  </si>
  <si>
    <t>Retaliate</t>
  </si>
  <si>
    <t>Trick Room</t>
  </si>
  <si>
    <t>Egg Move Counts</t>
  </si>
  <si>
    <t>Rain Dance</t>
  </si>
  <si>
    <t>Flame Charge</t>
  </si>
  <si>
    <t>Wild Charge</t>
  </si>
  <si>
    <t>Telekinesis</t>
  </si>
  <si>
    <t>Rock Polish</t>
  </si>
  <si>
    <t>Rock Smash</t>
  </si>
  <si>
    <t>Safeguard</t>
  </si>
  <si>
    <t>Flash</t>
  </si>
  <si>
    <t>Snarl</t>
  </si>
  <si>
    <t>Thief</t>
  </si>
  <si>
    <t>Stone Edge</t>
  </si>
  <si>
    <t>Cut</t>
  </si>
  <si>
    <t>SolarBeam</t>
  </si>
  <si>
    <t>Low Sweep</t>
  </si>
  <si>
    <t>Volt Switch</t>
  </si>
  <si>
    <t>Fly</t>
  </si>
  <si>
    <t>Smack Down</t>
  </si>
  <si>
    <t>Thunder Wave</t>
  </si>
  <si>
    <t>Surf</t>
  </si>
  <si>
    <t>Thunderbolt</t>
  </si>
  <si>
    <t>Echoed Voice</t>
  </si>
  <si>
    <t>Gyro Ball</t>
  </si>
  <si>
    <t>Strength</t>
  </si>
  <si>
    <t>Thunder</t>
  </si>
  <si>
    <t>Overheat</t>
  </si>
  <si>
    <t>Swords Dance</t>
  </si>
  <si>
    <t>Waterfall</t>
  </si>
  <si>
    <t>Move Tutor Counts</t>
  </si>
  <si>
    <t>Dive</t>
  </si>
  <si>
    <t>Level-Up</t>
  </si>
  <si>
    <t>Egg Moves</t>
  </si>
  <si>
    <t>Move Tutors</t>
  </si>
  <si>
    <t>Level</t>
  </si>
  <si>
    <t>After You</t>
  </si>
  <si>
    <t>Iron Head</t>
  </si>
  <si>
    <t>Aqua Tail</t>
  </si>
  <si>
    <t>Iron Tail</t>
  </si>
  <si>
    <t>Bind</t>
  </si>
  <si>
    <t>Knock Off</t>
  </si>
  <si>
    <t>Blast Burn</t>
  </si>
  <si>
    <t>Last Resort</t>
  </si>
  <si>
    <t>Instruction Manual</t>
  </si>
  <si>
    <t>Block</t>
  </si>
  <si>
    <t>Low Kick</t>
  </si>
  <si>
    <t>Hallo there! This is a new widget I've been building to help movepool-makers with VGM counting and other annoying things. Firstly, if you look at the tabs below, you have easy access to all the lists of TM and Move Tutor moves, all Very Good Moves, all Outclassed/Equivalent moves, and all Type-Move and Move-Move Guidelines currently in existence. This device will tell you whether or not a move is a VGM when you put it in the calculator, count the total number, and all the other little things you can see above. It'll also tell you which moves in your movepool have doubles or move requirements when you add them to your movepool (see right). You have enough space on the left for all TMs, all Move Tutors, 18 level-up moves and 12 Egg moves. Here's how to use the calculator:</t>
  </si>
  <si>
    <t>Bounce</t>
  </si>
  <si>
    <t>Magic Coat</t>
  </si>
  <si>
    <t>Bug Bite</t>
  </si>
  <si>
    <t>Magic Room</t>
  </si>
  <si>
    <t>Covet</t>
  </si>
  <si>
    <t>Magnet Rise</t>
  </si>
  <si>
    <t>Dark Pulse</t>
  </si>
  <si>
    <t>Outrage</t>
  </si>
  <si>
    <t>Draco Meteor</t>
  </si>
  <si>
    <t>Pain Split</t>
  </si>
  <si>
    <t>Dragon Pulse</t>
  </si>
  <si>
    <t>Drain Punch</t>
  </si>
  <si>
    <t>Role Play</t>
  </si>
  <si>
    <t>Drill Run</t>
  </si>
  <si>
    <t>Roost</t>
  </si>
  <si>
    <t>Dual Chop</t>
  </si>
  <si>
    <t>Seed Bomb</t>
  </si>
  <si>
    <t>Earth Power</t>
  </si>
  <si>
    <t>Signal Beam</t>
  </si>
  <si>
    <t>1. Add all your TM Moves, Level Up moves, Egg Moves, and Move Tutor Moves to the tables on the left.</t>
  </si>
  <si>
    <t>Electroweb</t>
  </si>
  <si>
    <t>Skill Swap</t>
  </si>
  <si>
    <t>Endeavor</t>
  </si>
  <si>
    <t>Sky Attack</t>
  </si>
  <si>
    <t>2. Check the table on the right. This will tell you whether any of your moves are doubles, and will show you the Move-Move relationships of all moves currently in your movepool. The table above will show Type-Move relationships.</t>
  </si>
  <si>
    <t>Fire Pledge</t>
  </si>
  <si>
    <t>Fire Punch</t>
  </si>
  <si>
    <t>Snatch</t>
  </si>
  <si>
    <t>Foul Play</t>
  </si>
  <si>
    <t>3. If you have any "doubles" or repeats, add them to the tables at the top. You should also add on those moves in your movepool that are repeated.</t>
  </si>
  <si>
    <t>Frenzy Plant</t>
  </si>
  <si>
    <t>Spite</t>
  </si>
  <si>
    <t>Gastro Acid</t>
  </si>
  <si>
    <t>Stealth Rock</t>
  </si>
  <si>
    <t>4. Check the above table ("Overall Counts"). This should give you an accurate count of your total moves and VGMs, as well as your numbers of Physical/Special and Attacking/Non-Attacking moves.</t>
  </si>
  <si>
    <t>Giga Drain</t>
  </si>
  <si>
    <t>Super Fang</t>
  </si>
  <si>
    <t>Grass Pledge</t>
  </si>
  <si>
    <t>Superpower</t>
  </si>
  <si>
    <t>Gravity</t>
  </si>
  <si>
    <t>Synthesis</t>
  </si>
  <si>
    <t>5. Tweak however you want to, write up and submit!</t>
  </si>
  <si>
    <t>Gunk Shot</t>
  </si>
  <si>
    <t>Tailwind</t>
  </si>
  <si>
    <t>Heal Bell</t>
  </si>
  <si>
    <t>Thunderpunch</t>
  </si>
  <si>
    <t>*Note: If you have Excel 2007 like me, it's a lot easier to work with if you upload this to Google Docs, as it is a lot cleaner.</t>
  </si>
  <si>
    <t>Heat Wave</t>
  </si>
  <si>
    <t>Trick</t>
  </si>
  <si>
    <t>Helping Hand</t>
  </si>
  <si>
    <t>Uproar</t>
  </si>
  <si>
    <t>Hydro Cannon</t>
  </si>
  <si>
    <t>Water Pledge</t>
  </si>
  <si>
    <t>Hyper Voice</t>
  </si>
  <si>
    <t>Wonder Room</t>
  </si>
  <si>
    <t>Ice Punch</t>
  </si>
  <si>
    <t>Worry Seed</t>
  </si>
  <si>
    <t>Icy Wind</t>
  </si>
  <si>
    <t>Zen Headbutt</t>
  </si>
  <si>
    <t>Iron Defense</t>
  </si>
  <si>
    <t>TM01 Hone Claws</t>
  </si>
  <si>
    <t>TM26 Earthquake</t>
  </si>
  <si>
    <t>TM51 Ally Switch</t>
  </si>
  <si>
    <t>TM76 Struggle Bug</t>
  </si>
  <si>
    <t>TM02 Dragon Claw</t>
  </si>
  <si>
    <t>TM27 Return</t>
  </si>
  <si>
    <t>TM52 Focus Blast</t>
  </si>
  <si>
    <t>TM77 Psych Up</t>
  </si>
  <si>
    <t>TM03 Psyshock</t>
  </si>
  <si>
    <t>TM28 Dig</t>
  </si>
  <si>
    <t>TM53 Energy Ball</t>
  </si>
  <si>
    <t>TM78 Bulldoze</t>
  </si>
  <si>
    <t>TM04 Calm Mind</t>
  </si>
  <si>
    <t>TM29 Psychic</t>
  </si>
  <si>
    <t>TM54 False Swipe</t>
  </si>
  <si>
    <t>TM79 Frost Breath</t>
  </si>
  <si>
    <t>TM05 Roar</t>
  </si>
  <si>
    <t>TM30 Shadow Ball</t>
  </si>
  <si>
    <t>TM55 Scald</t>
  </si>
  <si>
    <t>TM80 Rock Slide</t>
  </si>
  <si>
    <t>TM06 Toxic</t>
  </si>
  <si>
    <t>TM31 Brick Break</t>
  </si>
  <si>
    <t>TM56 Fling</t>
  </si>
  <si>
    <t>TM81 X-Scissor</t>
  </si>
  <si>
    <t>TM07 Hail</t>
  </si>
  <si>
    <t>TM32 Double Team</t>
  </si>
  <si>
    <t>TM57 Charge Beam</t>
  </si>
  <si>
    <t>TM82 Dragon Tail</t>
  </si>
  <si>
    <t>TM08 Bulk Up</t>
  </si>
  <si>
    <t>TM33 Reflect</t>
  </si>
  <si>
    <t>TM58 Sky Drop</t>
  </si>
  <si>
    <t>TM83 Work Up</t>
  </si>
  <si>
    <t>TM09 Venoshock</t>
  </si>
  <si>
    <t>TM34 Sludge Wave</t>
  </si>
  <si>
    <t>TM59 Incinerate</t>
  </si>
  <si>
    <t>TM84 Poison Jab</t>
  </si>
  <si>
    <t>TM10 Hidden Power</t>
  </si>
  <si>
    <t>TM35 Flamethrower</t>
  </si>
  <si>
    <t>TM60 Quash</t>
  </si>
  <si>
    <t>TM85 Dream Eater</t>
  </si>
  <si>
    <t>TM11 Sunny Day</t>
  </si>
  <si>
    <t>TM36 Sludge Bomb</t>
  </si>
  <si>
    <t>TM61 Will-O-Wisp</t>
  </si>
  <si>
    <t>TM86 Grass Knot</t>
  </si>
  <si>
    <t>TM12 Taunt</t>
  </si>
  <si>
    <t>TM37 Sandstorm</t>
  </si>
  <si>
    <t>TM62 Acrobatics</t>
  </si>
  <si>
    <t>TM87 Swagger</t>
  </si>
  <si>
    <t>Bold: Present on most fully-evolved Pokemon.</t>
  </si>
  <si>
    <t>TM13 Ice Beam</t>
  </si>
  <si>
    <t>TM38 Fire Blast</t>
  </si>
  <si>
    <t>TM63 Embargo</t>
  </si>
  <si>
    <t>TM88 Pluck</t>
  </si>
  <si>
    <t>TM14 Blizzard</t>
  </si>
  <si>
    <t>TM39 Rock Tomb</t>
  </si>
  <si>
    <t>TM64 Explosion</t>
  </si>
  <si>
    <t>TM89 U-turn</t>
  </si>
  <si>
    <t>TM15 Hyper Beam</t>
  </si>
  <si>
    <t>TM40 Aerial Ace</t>
  </si>
  <si>
    <t>TM65 Shadow Claw</t>
  </si>
  <si>
    <t>TM90 Substitute</t>
  </si>
  <si>
    <t>TM16 Light Screen</t>
  </si>
  <si>
    <t>TM41 Torment</t>
  </si>
  <si>
    <t>TM66 Payback</t>
  </si>
  <si>
    <t>TM91 Flash Cannon</t>
  </si>
  <si>
    <t>TM17 Protect</t>
  </si>
  <si>
    <t>TM42 Facade</t>
  </si>
  <si>
    <t>TM67 Retaliate</t>
  </si>
  <si>
    <t>TM92 Trick Room</t>
  </si>
  <si>
    <t>TM18 Rain Dance</t>
  </si>
  <si>
    <t>TM43 Flame Charge</t>
  </si>
  <si>
    <t>TM68 Giga Impact</t>
  </si>
  <si>
    <t>TM93 Wild Charge</t>
  </si>
  <si>
    <t>TM19 Telekinesis</t>
  </si>
  <si>
    <t>TM44 Rest</t>
  </si>
  <si>
    <t>TM69 Rock Polish</t>
  </si>
  <si>
    <t>TM94 Rock Smash</t>
  </si>
  <si>
    <t>TM20 Safeguard</t>
  </si>
  <si>
    <t>TM45 Attract</t>
  </si>
  <si>
    <t>TM70 Flash</t>
  </si>
  <si>
    <t>TM95 Snarl</t>
  </si>
  <si>
    <t>TM21 Frustration</t>
  </si>
  <si>
    <t>TM46 Thief</t>
  </si>
  <si>
    <t>TM71 Stone Edge</t>
  </si>
  <si>
    <t>HM01 Cut</t>
  </si>
  <si>
    <t>TM22 SolarBeam</t>
  </si>
  <si>
    <t>TM47 Low Sweep</t>
  </si>
  <si>
    <t>TM72 Volt Switch</t>
  </si>
  <si>
    <t>HM02 Fly</t>
  </si>
  <si>
    <t>TM23 Smack Down</t>
  </si>
  <si>
    <t>TM48 Round</t>
  </si>
  <si>
    <t>TM73 Thunder Wave</t>
  </si>
  <si>
    <t>HM03 Surf</t>
  </si>
  <si>
    <t>TM24 Thunderbolt</t>
  </si>
  <si>
    <t>TM49 Echoed Voice</t>
  </si>
  <si>
    <t>TM74 Gyro Ball</t>
  </si>
  <si>
    <t>HM04 Strength</t>
  </si>
  <si>
    <t>TM25 Thunder</t>
  </si>
  <si>
    <t>TM50 Overheat</t>
  </si>
  <si>
    <t>TM75 Swords Dance</t>
  </si>
  <si>
    <t>HM05 Waterfall</t>
  </si>
  <si>
    <t>HM06 Dive</t>
  </si>
  <si>
    <t>Competitive Physical Attacking Moves</t>
  </si>
  <si>
    <t>Bug</t>
  </si>
  <si>
    <t>Fighting</t>
  </si>
  <si>
    <t>Flying</t>
  </si>
  <si>
    <t>Ice</t>
  </si>
  <si>
    <t>Attack Order</t>
  </si>
  <si>
    <t>Avalanche</t>
  </si>
  <si>
    <t>Megahorn</t>
  </si>
  <si>
    <t>Circle Throw</t>
  </si>
  <si>
    <t>Freeze Shock</t>
  </si>
  <si>
    <t>Rock</t>
  </si>
  <si>
    <t>Close Combat</t>
  </si>
  <si>
    <t>Ice Shard</t>
  </si>
  <si>
    <t>Head Smash</t>
  </si>
  <si>
    <t>Cross Chop</t>
  </si>
  <si>
    <t>Brave Bird</t>
  </si>
  <si>
    <t>Dark</t>
  </si>
  <si>
    <t>Drill Peck</t>
  </si>
  <si>
    <t>Ice Fang</t>
  </si>
  <si>
    <t>Rock Blast</t>
  </si>
  <si>
    <t>Crunch</t>
  </si>
  <si>
    <t>Focus Punch</t>
  </si>
  <si>
    <t>Ghost</t>
  </si>
  <si>
    <t>Icicle Crash</t>
  </si>
  <si>
    <t>Hammer Arm</t>
  </si>
  <si>
    <t>Icicle Spear</t>
  </si>
  <si>
    <t>Steel</t>
  </si>
  <si>
    <t>Night Slash</t>
  </si>
  <si>
    <t>Hi Jump Kick</t>
  </si>
  <si>
    <t>Shadow Force</t>
  </si>
  <si>
    <t>Normal</t>
  </si>
  <si>
    <t>Bullet Punch</t>
  </si>
  <si>
    <t>Jump Kick</t>
  </si>
  <si>
    <t>Shadow Punch</t>
  </si>
  <si>
    <t>Body Slam</t>
  </si>
  <si>
    <t>Gear Grind</t>
  </si>
  <si>
    <t>Pursuit</t>
  </si>
  <si>
    <t>Shadow Sneak</t>
  </si>
  <si>
    <t>DoubleEdge</t>
  </si>
  <si>
    <t>Sucker Punch</t>
  </si>
  <si>
    <t>Mach Punch</t>
  </si>
  <si>
    <t>ShadowStrike</t>
  </si>
  <si>
    <t>ExtremeSpeed</t>
  </si>
  <si>
    <t>Heavy Slam</t>
  </si>
  <si>
    <t>Dragon</t>
  </si>
  <si>
    <t>Reversal</t>
  </si>
  <si>
    <t>Grass</t>
  </si>
  <si>
    <t>Sacred Sword</t>
  </si>
  <si>
    <t>Bullet Seed</t>
  </si>
  <si>
    <t>Fake Out</t>
  </si>
  <si>
    <t>Dragon Rush</t>
  </si>
  <si>
    <t>Seismic Toss</t>
  </si>
  <si>
    <t>Horn Leech</t>
  </si>
  <si>
    <t>Meteor Mash</t>
  </si>
  <si>
    <t>Sky Uppercut</t>
  </si>
  <si>
    <t>Leaf Blade</t>
  </si>
  <si>
    <t>Head Charge</t>
  </si>
  <si>
    <t>Water</t>
  </si>
  <si>
    <t>Storm Throw</t>
  </si>
  <si>
    <t>Power Whip</t>
  </si>
  <si>
    <t>Mega Kick</t>
  </si>
  <si>
    <t>Aqua Jet</t>
  </si>
  <si>
    <t>Nature Power</t>
  </si>
  <si>
    <t>Electric</t>
  </si>
  <si>
    <t>Fire</t>
  </si>
  <si>
    <t>Wood Hammer</t>
  </si>
  <si>
    <t>Quick Attack</t>
  </si>
  <si>
    <t>Razor Shell</t>
  </si>
  <si>
    <t>Bolt Strike</t>
  </si>
  <si>
    <t>Blaze Kick</t>
  </si>
  <si>
    <t>Ground</t>
  </si>
  <si>
    <t>Fusion Bolt</t>
  </si>
  <si>
    <t>Bone Rush</t>
  </si>
  <si>
    <t>Tail Slap</t>
  </si>
  <si>
    <t>Spark</t>
  </si>
  <si>
    <t>Flare Blitz</t>
  </si>
  <si>
    <t>Bonemerang</t>
  </si>
  <si>
    <t>Thrash</t>
  </si>
  <si>
    <t>Thunder Fang</t>
  </si>
  <si>
    <t>Poison</t>
  </si>
  <si>
    <t>ThunderPunch</t>
  </si>
  <si>
    <t>Fire Fang</t>
  </si>
  <si>
    <t>Cross Poison</t>
  </si>
  <si>
    <t>Volt Tackle</t>
  </si>
  <si>
    <t>Heat Crash</t>
  </si>
  <si>
    <t>Sacred Fire</t>
  </si>
  <si>
    <t>V-create</t>
  </si>
  <si>
    <t>Competitive Special Attacking Moves</t>
  </si>
  <si>
    <t>Bug Buzz</t>
  </si>
  <si>
    <t>Blue Flare</t>
  </si>
  <si>
    <t>Extrasensory</t>
  </si>
  <si>
    <t>Eruption</t>
  </si>
  <si>
    <t>Luster Purge</t>
  </si>
  <si>
    <t>Mist Ball</t>
  </si>
  <si>
    <t>Night Daze</t>
  </si>
  <si>
    <t>Fusion Flare</t>
  </si>
  <si>
    <t>Glaciate</t>
  </si>
  <si>
    <t>Psycho Boost</t>
  </si>
  <si>
    <t>Lava Plume</t>
  </si>
  <si>
    <t>Ice Burn</t>
  </si>
  <si>
    <t>Psystrike</t>
  </si>
  <si>
    <t>Magma Storm</t>
  </si>
  <si>
    <t>Stored Power</t>
  </si>
  <si>
    <t>Roar of Time</t>
  </si>
  <si>
    <t>Crush Grip</t>
  </si>
  <si>
    <t>Spacial Rend</t>
  </si>
  <si>
    <t>Searing Shot</t>
  </si>
  <si>
    <t>Power Gem</t>
  </si>
  <si>
    <t>Paleo Wave</t>
  </si>
  <si>
    <t>Aeroblast</t>
  </si>
  <si>
    <t>Judgment</t>
  </si>
  <si>
    <t>Discharge</t>
  </si>
  <si>
    <t>Air Slash</t>
  </si>
  <si>
    <t>Relic Song</t>
  </si>
  <si>
    <t>Doom Desire</t>
  </si>
  <si>
    <t>Electro Ball</t>
  </si>
  <si>
    <t>Hurricane</t>
  </si>
  <si>
    <t>Techno Blast</t>
  </si>
  <si>
    <t>Tri Attack</t>
  </si>
  <si>
    <t>Night Shade</t>
  </si>
  <si>
    <t>Weather Ball</t>
  </si>
  <si>
    <t>Hydro Pump</t>
  </si>
  <si>
    <t>Muddy Water</t>
  </si>
  <si>
    <t>Aura Sphere</t>
  </si>
  <si>
    <t>Acid Spray</t>
  </si>
  <si>
    <t>Clear Smog</t>
  </si>
  <si>
    <t>Secret Sword</t>
  </si>
  <si>
    <t>Water Spout</t>
  </si>
  <si>
    <t>Vacuum Wave</t>
  </si>
  <si>
    <t>Leaf Storm</t>
  </si>
  <si>
    <t>Petal Dance</t>
  </si>
  <si>
    <t>Seed Flare</t>
  </si>
  <si>
    <t>Competitive Non-Attacking Moves</t>
  </si>
  <si>
    <t>Stat Boosting</t>
  </si>
  <si>
    <t>Stat Reducing</t>
  </si>
  <si>
    <t>Support</t>
  </si>
  <si>
    <t>Status Inducing</t>
  </si>
  <si>
    <t>Acid Armor</t>
  </si>
  <si>
    <t>Aromatherapy</t>
  </si>
  <si>
    <t>Confuse Ray</t>
  </si>
  <si>
    <t>Agility</t>
  </si>
  <si>
    <t>Memento</t>
  </si>
  <si>
    <t>Baton Pass</t>
  </si>
  <si>
    <t>Dark Void</t>
  </si>
  <si>
    <t>Amnesia</t>
  </si>
  <si>
    <t>HP Restoration</t>
  </si>
  <si>
    <t>Detect</t>
  </si>
  <si>
    <t>Autotomize</t>
  </si>
  <si>
    <t>Healing Wish</t>
  </si>
  <si>
    <t>Glare</t>
  </si>
  <si>
    <t>Barrier</t>
  </si>
  <si>
    <t>Heal Order</t>
  </si>
  <si>
    <t>Lovely Kiss</t>
  </si>
  <si>
    <t>Belly Drum</t>
  </si>
  <si>
    <t>Ingrain</t>
  </si>
  <si>
    <t>Encore</t>
  </si>
  <si>
    <t>Refresh</t>
  </si>
  <si>
    <t>Lunar Dance</t>
  </si>
  <si>
    <t>Sing</t>
  </si>
  <si>
    <t>Milk Drink</t>
  </si>
  <si>
    <t>Haze</t>
  </si>
  <si>
    <t>Sleep Powder</t>
  </si>
  <si>
    <t>Moonlight</t>
  </si>
  <si>
    <t>Spore</t>
  </si>
  <si>
    <t>Coil</t>
  </si>
  <si>
    <t>Morning Sun</t>
  </si>
  <si>
    <t>Stun Spore</t>
  </si>
  <si>
    <t>Cosmic Power</t>
  </si>
  <si>
    <t>Leech Seed</t>
  </si>
  <si>
    <t>Sweet Kiss</t>
  </si>
  <si>
    <t>Cotton Guard</t>
  </si>
  <si>
    <t>Recover</t>
  </si>
  <si>
    <t>Teeter Dance</t>
  </si>
  <si>
    <t>Curse</t>
  </si>
  <si>
    <t>Defend Order</t>
  </si>
  <si>
    <t>Rapid Spin</t>
  </si>
  <si>
    <t>Dragon Dance</t>
  </si>
  <si>
    <t>Softboiled</t>
  </si>
  <si>
    <t>Slack Off</t>
  </si>
  <si>
    <t>Yawn</t>
  </si>
  <si>
    <t>Growth</t>
  </si>
  <si>
    <t>Spikes</t>
  </si>
  <si>
    <t>Miscellaneous</t>
  </si>
  <si>
    <t>Wish</t>
  </si>
  <si>
    <t>Howl</t>
  </si>
  <si>
    <t>Switcheroo</t>
  </si>
  <si>
    <t>Counter</t>
  </si>
  <si>
    <t>Destiny Bond</t>
  </si>
  <si>
    <t>Meditate</t>
  </si>
  <si>
    <t>Toxic Spikes</t>
  </si>
  <si>
    <t>Nasty Plot</t>
  </si>
  <si>
    <t>Endure</t>
  </si>
  <si>
    <t>Quiver Dance</t>
  </si>
  <si>
    <t>Heart Swap</t>
  </si>
  <si>
    <t>Sharpen</t>
  </si>
  <si>
    <t>Whirlwind</t>
  </si>
  <si>
    <t>Shell Smash</t>
  </si>
  <si>
    <t>Mean Look</t>
  </si>
  <si>
    <t>Shift Gear</t>
  </si>
  <si>
    <t>Mirror Coat</t>
  </si>
  <si>
    <t>Stockpile</t>
  </si>
  <si>
    <t>Perish Song</t>
  </si>
  <si>
    <t>Tail Glow</t>
  </si>
  <si>
    <t>Spider Web</t>
  </si>
  <si>
    <t>Move Name</t>
  </si>
  <si>
    <t>Absorb</t>
  </si>
  <si>
    <t>No</t>
  </si>
  <si>
    <t>Attacking</t>
  </si>
  <si>
    <t>Special</t>
  </si>
  <si>
    <t>Acid</t>
  </si>
  <si>
    <t>Yes</t>
  </si>
  <si>
    <t>Non-Attacking</t>
  </si>
  <si>
    <t>N/A</t>
  </si>
  <si>
    <t>Physical</t>
  </si>
  <si>
    <t>Acupressure</t>
  </si>
  <si>
    <t>Air Cutter</t>
  </si>
  <si>
    <t>AncientPower</t>
  </si>
  <si>
    <t>Aqua Ring</t>
  </si>
  <si>
    <t>Arm Thrust</t>
  </si>
  <si>
    <t>Assist</t>
  </si>
  <si>
    <t>Assurance</t>
  </si>
  <si>
    <t>Astonish</t>
  </si>
  <si>
    <t>Aurora Beam</t>
  </si>
  <si>
    <t>Barrage</t>
  </si>
  <si>
    <t>Beat Up</t>
  </si>
  <si>
    <t>Bestow</t>
  </si>
  <si>
    <t>Bide</t>
  </si>
  <si>
    <t>Bite</t>
  </si>
  <si>
    <t>Bone Club</t>
  </si>
  <si>
    <t>Brine</t>
  </si>
  <si>
    <t>Bubble</t>
  </si>
  <si>
    <t>BubbleBeam</t>
  </si>
  <si>
    <t>Camouflage</t>
  </si>
  <si>
    <t>Captivate</t>
  </si>
  <si>
    <t>Charge</t>
  </si>
  <si>
    <t>Charm</t>
  </si>
  <si>
    <t>Chatter</t>
  </si>
  <si>
    <t>Chip Away</t>
  </si>
  <si>
    <t>Clamp</t>
  </si>
  <si>
    <t>Comet Punch</t>
  </si>
  <si>
    <t>Confusion</t>
  </si>
  <si>
    <t>Constrict</t>
  </si>
  <si>
    <t>Conversion</t>
  </si>
  <si>
    <t>Conversion 2</t>
  </si>
  <si>
    <t>Copycat</t>
  </si>
  <si>
    <t>Cotton Spore</t>
  </si>
  <si>
    <t>Crabhammer</t>
  </si>
  <si>
    <t>Crush Claw</t>
  </si>
  <si>
    <t>Defense Curl</t>
  </si>
  <si>
    <t>Defog</t>
  </si>
  <si>
    <t>Disable</t>
  </si>
  <si>
    <t>Dizzy Punch</t>
  </si>
  <si>
    <t>Double Hit</t>
  </si>
  <si>
    <t>Double Kick</t>
  </si>
  <si>
    <t>Double-Edge</t>
  </si>
  <si>
    <t>DoubleSlap</t>
  </si>
  <si>
    <t>Dragon Rage</t>
  </si>
  <si>
    <t>DragonBreath</t>
  </si>
  <si>
    <t>DynamicPunch</t>
  </si>
  <si>
    <t>Egg Bomb</t>
  </si>
  <si>
    <t>Ember</t>
  </si>
  <si>
    <t>Entrainment</t>
  </si>
  <si>
    <t>Faint Attack</t>
  </si>
  <si>
    <t>Fake Tears</t>
  </si>
  <si>
    <t>FeatherDance</t>
  </si>
  <si>
    <t>Feint</t>
  </si>
  <si>
    <t>Fiery Dance</t>
  </si>
  <si>
    <t>Final Gambit</t>
  </si>
  <si>
    <t>Fire Spin</t>
  </si>
  <si>
    <t>Fissure</t>
  </si>
  <si>
    <t>Flail</t>
  </si>
  <si>
    <t>Flame Burst</t>
  </si>
  <si>
    <t>Flame Wheel</t>
  </si>
  <si>
    <t>Flatter</t>
  </si>
  <si>
    <t>Focus Energy</t>
  </si>
  <si>
    <t>Follow Me</t>
  </si>
  <si>
    <t>Force Palm</t>
  </si>
  <si>
    <t>Foresight</t>
  </si>
  <si>
    <t>Fury Attack</t>
  </si>
  <si>
    <t>Fury Cutter</t>
  </si>
  <si>
    <t>Fury Swipes</t>
  </si>
  <si>
    <t>Future Sight</t>
  </si>
  <si>
    <t>GrassWhistle</t>
  </si>
  <si>
    <t>Growl</t>
  </si>
  <si>
    <t>Grudge</t>
  </si>
  <si>
    <t>Guard Split</t>
  </si>
  <si>
    <t>Guard Swap</t>
  </si>
  <si>
    <t>Guillotine</t>
  </si>
  <si>
    <t>Gust</t>
  </si>
  <si>
    <t>Harden</t>
  </si>
  <si>
    <t>Headbutt</t>
  </si>
  <si>
    <t>Heal Block</t>
  </si>
  <si>
    <t>Heal Pulse</t>
  </si>
  <si>
    <t>Heart Stamp</t>
  </si>
  <si>
    <t>Hex</t>
  </si>
  <si>
    <t>Horn Attack</t>
  </si>
  <si>
    <t>Horn Drill</t>
  </si>
  <si>
    <t>Hyper Fang</t>
  </si>
  <si>
    <t>Hypnosis</t>
  </si>
  <si>
    <t>Ice Ball</t>
  </si>
  <si>
    <t>Imprison</t>
  </si>
  <si>
    <t>Inferno</t>
  </si>
  <si>
    <t>Karate Chop</t>
  </si>
  <si>
    <t>Kinesis</t>
  </si>
  <si>
    <t>Leaf Tornado</t>
  </si>
  <si>
    <t>Leech Life</t>
  </si>
  <si>
    <t>Leer</t>
  </si>
  <si>
    <t>Lick</t>
  </si>
  <si>
    <t>Lock-On</t>
  </si>
  <si>
    <t>Lucky Chant</t>
  </si>
  <si>
    <t>Magical Leaf</t>
  </si>
  <si>
    <t>Magnet Bomb</t>
  </si>
  <si>
    <t>Magnitude</t>
  </si>
  <si>
    <t>Me First</t>
  </si>
  <si>
    <t>Mega Drain</t>
  </si>
  <si>
    <t>Mega Punch</t>
  </si>
  <si>
    <t>Metal Burst</t>
  </si>
  <si>
    <t>Metal Claw</t>
  </si>
  <si>
    <t>Metal Sound</t>
  </si>
  <si>
    <t>Metronome</t>
  </si>
  <si>
    <t>Mimic</t>
  </si>
  <si>
    <t>Mind Reader</t>
  </si>
  <si>
    <t>Minimize</t>
  </si>
  <si>
    <t>Miracle Eye</t>
  </si>
  <si>
    <t>Mirror Move</t>
  </si>
  <si>
    <t>Mirror Shot</t>
  </si>
  <si>
    <t>Mist</t>
  </si>
  <si>
    <t>Mud Bomb</t>
  </si>
  <si>
    <t>Mud Shot</t>
  </si>
  <si>
    <t>Mud Sport</t>
  </si>
  <si>
    <t>Mud-Slap</t>
  </si>
  <si>
    <t>Natural Gift</t>
  </si>
  <si>
    <t>Needle Arm</t>
  </si>
  <si>
    <t>Nightmare</t>
  </si>
  <si>
    <t>Octazooka</t>
  </si>
  <si>
    <t>Odor Sleuth</t>
  </si>
  <si>
    <t>Ominous Wind</t>
  </si>
  <si>
    <t>Pay Day</t>
  </si>
  <si>
    <t>Peck</t>
  </si>
  <si>
    <t>Pin Missile</t>
  </si>
  <si>
    <t>Poison Fang</t>
  </si>
  <si>
    <t>Poison Gas</t>
  </si>
  <si>
    <t>Poison Sting</t>
  </si>
  <si>
    <t>Poison Tail</t>
  </si>
  <si>
    <t>PoisonPowder</t>
  </si>
  <si>
    <t>Pound</t>
  </si>
  <si>
    <t>Powder Snow</t>
  </si>
  <si>
    <t>Power Split</t>
  </si>
  <si>
    <t>Power Swap</t>
  </si>
  <si>
    <t>Power Trick</t>
  </si>
  <si>
    <t>Present</t>
  </si>
  <si>
    <t>Psybeam</t>
  </si>
  <si>
    <t>Psycho Cut</t>
  </si>
  <si>
    <t>Psycho Shift</t>
  </si>
  <si>
    <t>Psywave</t>
  </si>
  <si>
    <t>Punishment</t>
  </si>
  <si>
    <t>Quick Guard</t>
  </si>
  <si>
    <t>Rage</t>
  </si>
  <si>
    <t>Rage Powder</t>
  </si>
  <si>
    <t>Razor Leaf</t>
  </si>
  <si>
    <t>Razor Wind</t>
  </si>
  <si>
    <t>Reflect Type</t>
  </si>
  <si>
    <t>Revenge</t>
  </si>
  <si>
    <t>Rock Climb</t>
  </si>
  <si>
    <t>Rock Throw</t>
  </si>
  <si>
    <t>Rock Wrecker</t>
  </si>
  <si>
    <t>Rolling Kick</t>
  </si>
  <si>
    <t>Rollout</t>
  </si>
  <si>
    <t>Sand Tomb</t>
  </si>
  <si>
    <t>Sand-Attack</t>
  </si>
  <si>
    <t>Scary Face</t>
  </si>
  <si>
    <t>Scratch</t>
  </si>
  <si>
    <t>Screech</t>
  </si>
  <si>
    <t>Secret Power</t>
  </si>
  <si>
    <t>Selfdestruct</t>
  </si>
  <si>
    <t>Sheer Cold</t>
  </si>
  <si>
    <t>Shock Wave</t>
  </si>
  <si>
    <t>Silver Wind</t>
  </si>
  <si>
    <t>Simple Beam</t>
  </si>
  <si>
    <t>Sketch</t>
  </si>
  <si>
    <t>Skull Bash</t>
  </si>
  <si>
    <t>Slam</t>
  </si>
  <si>
    <t>Slash</t>
  </si>
  <si>
    <t>Sludge</t>
  </si>
  <si>
    <t>SmellingSalt</t>
  </si>
  <si>
    <t>Smog</t>
  </si>
  <si>
    <t>SmokeScreen</t>
  </si>
  <si>
    <t>Soak</t>
  </si>
  <si>
    <t>SonicBoom</t>
  </si>
  <si>
    <t>Spike Cannon</t>
  </si>
  <si>
    <t>Spit Up</t>
  </si>
  <si>
    <t>Splash</t>
  </si>
  <si>
    <t>Steamroller</t>
  </si>
  <si>
    <t>Steel Wing</t>
  </si>
  <si>
    <t>Stomp</t>
  </si>
  <si>
    <t>String Shot</t>
  </si>
  <si>
    <t>Struggle</t>
  </si>
  <si>
    <t>Submission</t>
  </si>
  <si>
    <t>Supersonic</t>
  </si>
  <si>
    <t>Swallow</t>
  </si>
  <si>
    <t>Sweet Scent</t>
  </si>
  <si>
    <t>Swift</t>
  </si>
  <si>
    <t>Synchronoise</t>
  </si>
  <si>
    <t>Tackle</t>
  </si>
  <si>
    <t>Tail Whip</t>
  </si>
  <si>
    <t>Take Down</t>
  </si>
  <si>
    <t>Teleport</t>
  </si>
  <si>
    <t>ThunderShock</t>
  </si>
  <si>
    <t>Tickle</t>
  </si>
  <si>
    <t>Transform</t>
  </si>
  <si>
    <t>Triple Kick</t>
  </si>
  <si>
    <t>Trump Card</t>
  </si>
  <si>
    <t>Twineedle</t>
  </si>
  <si>
    <t>Twister</t>
  </si>
  <si>
    <t>ViceGrip</t>
  </si>
  <si>
    <t>Vine Whip</t>
  </si>
  <si>
    <t>Vital Throw</t>
  </si>
  <si>
    <t>Wake-Up Slap</t>
  </si>
  <si>
    <t>Water Gun</t>
  </si>
  <si>
    <t>Water Pulse</t>
  </si>
  <si>
    <t>Water Sport</t>
  </si>
  <si>
    <t>Whirlpool</t>
  </si>
  <si>
    <t>Wide Guard</t>
  </si>
  <si>
    <t>Wing Attack</t>
  </si>
  <si>
    <t>Withdraw</t>
  </si>
  <si>
    <t>Wrap</t>
  </si>
  <si>
    <t>Wring Out</t>
  </si>
  <si>
    <t>Zap Cannon</t>
  </si>
  <si>
    <t>Double Moves</t>
  </si>
  <si>
    <t>Iron Defense, Barrier</t>
  </si>
  <si>
    <t>Iron Defense, Acid Armor</t>
  </si>
  <si>
    <t>Acid Armor, Barrier</t>
  </si>
  <si>
    <t>Payback, Snarl, Taunt, Torment</t>
  </si>
  <si>
    <t>Rock Polish, Autotomize, Shift Gear</t>
  </si>
  <si>
    <t>Agility, Autotomize, Shift Gear</t>
  </si>
  <si>
    <t>Charge Beam, Discharge, Flash, Rain Dance, Thunder, Thunderbolt, Thunder Wave</t>
  </si>
  <si>
    <t>Focus Blast, Rock Smash, Stone Edge, Strength, Work Up</t>
  </si>
  <si>
    <t>Fire Blast, Flame Charge, Flamethrower, Incinerate, Overheat, Solarbeam, Sunny Day, Will-O-Wisp</t>
  </si>
  <si>
    <t>Mean Look, Spider Web</t>
  </si>
  <si>
    <t>Spider Web, Block</t>
  </si>
  <si>
    <t>Dream Eater, Shadow Ball, Telekinesis (NB. Curse is no longer a VGM)</t>
  </si>
  <si>
    <t>Block, Mean Look</t>
  </si>
  <si>
    <t>Energy Ball, Flash, Grass Knot, Solarbeam, Sunny Day</t>
  </si>
  <si>
    <t>Bulldoze, Earthquake, Rock Slide, Rock Smash, Rock Tomb, Stone Edge, Strength</t>
  </si>
  <si>
    <t>Blizzard, Hail, Ice Beam, Rain Dance</t>
  </si>
  <si>
    <t>Rain Dance, Sunny Day, Work Up</t>
  </si>
  <si>
    <t>Sludge Bomb, Sunny Day, Venoshock</t>
  </si>
  <si>
    <t>Dream Eater, Flash, Light Screen, Psychic, Psych Up, Psyshock, Shadow Ball, Telekinesis</t>
  </si>
  <si>
    <t>Bulldoze, Earthquake, Rock Polish, Rock Slide, Rock Smash, Rock Tomb, Sandstorm, Smack Down, Stone Edge</t>
  </si>
  <si>
    <t>Milk Drink, Slack Off, Recover, Softboiled</t>
  </si>
  <si>
    <t>Heal Order, Recover, Slack Off, Softboiled</t>
  </si>
  <si>
    <t>Blizzard, Dive, Hail, Ice Beam, Rain Dance, Scald, Surf</t>
  </si>
  <si>
    <t>Milk Drink, Heal Order, Recover, Softboiled</t>
  </si>
  <si>
    <t>Milk Drink, Slack Off, Heal Order, Softboiled</t>
  </si>
  <si>
    <t>Move-Move Guidelines</t>
  </si>
  <si>
    <t>Milk Drink, Slack Off, Recover, Heal Order</t>
  </si>
  <si>
    <t>Base Move</t>
  </si>
  <si>
    <t>Required Move</t>
  </si>
  <si>
    <t>Meditate, Sharpen, Bulk Up, Hone Claws, Coil, Dragon Dance, Shift Gear, Swords Dance</t>
  </si>
  <si>
    <t>Howl, Sharpen, Bulk Up, Hone Claws, Coil, Dragon Dance, Shift Gear, Swords Dance</t>
  </si>
  <si>
    <t>Howl, Meditate, Bulk Up, Hone Claws, Coil, Dragon Dance, Shift Gear, Swords Dance</t>
  </si>
  <si>
    <t>Ice Beam, Surf</t>
  </si>
  <si>
    <t>Morning Sun, Synthesis</t>
  </si>
  <si>
    <t>Flash, Grass Knot, Solarbeam</t>
  </si>
  <si>
    <t>Moonlight, Synthesis</t>
  </si>
  <si>
    <t>Blizzard, Ice Beam</t>
  </si>
  <si>
    <t>Moonlight, Morning Sun</t>
  </si>
  <si>
    <t>Brick Break, Fling, Focus Blast</t>
  </si>
  <si>
    <t>Aerial Ace, Fly, Pluck</t>
  </si>
  <si>
    <t>Agility, Rock Polish </t>
  </si>
  <si>
    <t>Aerial Ace, Struggle Bug</t>
  </si>
  <si>
    <t>Brick Break, Rock Slide</t>
  </si>
  <si>
    <t>Energy Ball, Grass Knot, Solarbeam</t>
  </si>
  <si>
    <t>Meditate, Sharpen, Howl, Coil</t>
  </si>
  <si>
    <t>Brick Break, Focus Blast, Rock Slide, Rock Tomb</t>
  </si>
  <si>
    <t>Meditate, Sharpen, Howl, Bulk Up, Hone Claws</t>
  </si>
  <si>
    <t>Fling, Focus Blast, Work Up</t>
  </si>
  <si>
    <t>Meditate, Sharpen, Howl, Agility, Rock Polish, Dragon Dance </t>
  </si>
  <si>
    <t>Retaliate, Work Up</t>
  </si>
  <si>
    <t>Work Up, Meditate, Sharpen, Howl</t>
  </si>
  <si>
    <t>Dream Eater, Flash, Light Screen, Psychic, Psych Up, Psyshock, Telekinesis</t>
  </si>
  <si>
    <t>Growth, Meditate, Sharpen, Howl</t>
  </si>
  <si>
    <t>Charge Beam, Thunder, Thunderbolt, Thunder Wave, Volt Switch</t>
  </si>
  <si>
    <t>Bulldoze, Earthquake, Roar</t>
  </si>
  <si>
    <t>Meditate, Sharpen, Howl, Shift Gear</t>
  </si>
  <si>
    <t>Aerial Ace, Peck, Pluck</t>
  </si>
  <si>
    <t>Bulldoze, Earthquake, Rock Slide, Rock Tomb</t>
  </si>
  <si>
    <t>Howl, Sharpen, Meditate</t>
  </si>
  <si>
    <t>Charge Beam, Discharge, Flash, Light Screen, Thunder, Thunderbolt, Thunder Wave, Volt Switch</t>
  </si>
  <si>
    <t>Bulldoze, Fire Blast, Flamethrower, Incinerate, Lava Plume, Overheat, Solarbeam, Incinerate</t>
  </si>
  <si>
    <t>Fire Blast, Flamethrower, Incinerate, Overheat, Solarbeam, Will-O-Wisp</t>
  </si>
  <si>
    <t>Fire Blast, Flame Charge, Flamethrower, Incinerate, Overheat, Solarbeam, Will-O-Wisp</t>
  </si>
  <si>
    <t>Brick Break, Fling</t>
  </si>
  <si>
    <t>Payback, Shadow Ball, Thief, Torment</t>
  </si>
  <si>
    <t>Blizzard, Hail, Ice Beam</t>
  </si>
  <si>
    <t>Energy Ball, Flash, Grass Knot, Solarbeam</t>
  </si>
  <si>
    <t>Brick Break, Bulldoze, Earthquake, Fling, Focus Blast, Rock Slide, Rock Tomb</t>
  </si>
  <si>
    <t>Bulldoze, Rock Slide, Rock Tomb, Stone Edge</t>
  </si>
  <si>
    <t>Grass Knot, Safeguard</t>
  </si>
  <si>
    <t>Brick Break, Bulk Up, Low Sweep, Rock Slide, Work Up</t>
  </si>
  <si>
    <t>Surf, Ice Beam, Blizzard, Hail</t>
  </si>
  <si>
    <t>Blizzard, Ice Beam, Hail</t>
  </si>
  <si>
    <t>Fire Blast, Flamethrower, Incinerate, Overheat</t>
  </si>
  <si>
    <t>Cut, Flash, Grass Knot, Swords Dance</t>
  </si>
  <si>
    <t>Scald, Surf</t>
  </si>
  <si>
    <t>Solarbeam</t>
  </si>
  <si>
    <t>Fire Blast, Flamethrower, Incinerate</t>
  </si>
  <si>
    <t>Energy Ball, Flash, Grass Knot, Solarbeam, Sweet Scent</t>
  </si>
  <si>
    <t>Cut, Solarbeam, Swords Dance</t>
  </si>
  <si>
    <t>Dream Eater, Psychic, Psych Up, Shadow Ball</t>
  </si>
  <si>
    <t>Dream Eater, Flash, Light Screen, Psychic, Psych Up, Shadow Ball, Telekinesis</t>
  </si>
  <si>
    <t>Shadow Ball, Thief</t>
  </si>
  <si>
    <t>Fling, Focus Blast, Low Sweep, Work Up</t>
  </si>
  <si>
    <t>Bulldoze, Earthquake</t>
  </si>
  <si>
    <t>Energy Ball, Flash, Giga Drain, Solarbeam, Stun Spore</t>
  </si>
  <si>
    <t>Thunderbolt, Thunder Wave, Thunder, Flash</t>
  </si>
  <si>
    <t>Spit Up, Swallow</t>
  </si>
  <si>
    <t>Rock Slide, Rock Tomb</t>
  </si>
  <si>
    <t>Energy Ball, Flash, Giga Drain, Solarbeam</t>
  </si>
  <si>
    <t>Energy Ball, Flash, Grass Knot, Solarbeam, Swords Dance</t>
  </si>
  <si>
    <t>Dream Eater, Flash, Psych Up, Shadow Ball</t>
  </si>
  <si>
    <t>Dream Eater, Flash, Psychic, Psych Up, Shadow Ball</t>
  </si>
  <si>
    <t>Brick Break, Fling, Rock Slide, Work Up</t>
  </si>
  <si>
    <t>Thunder, Thunderbolt, Thunder Wave</t>
  </si>
  <si>
    <t>Blizzard, Dive, Ice Beam, Surf</t>
  </si>
  <si>
    <t>Blizzard, Dive, Ice Beam, Scald, Surf, Waterfall, Water Pulse</t>
  </si>
</sst>
</file>

<file path=xl/styles.xml><?xml version="1.0" encoding="utf-8"?>
<styleSheet xmlns="http://schemas.openxmlformats.org/spreadsheetml/2006/main" xmlns:x14ac="http://schemas.microsoft.com/office/spreadsheetml/2009/9/ac" xmlns:mc="http://schemas.openxmlformats.org/markup-compatibility/2006">
  <fonts count="107">
    <font>
      <b val="0"/>
      <i val="0"/>
      <strike val="0"/>
      <u val="none"/>
      <sz val="10.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4.0"/>
      <color rgb="FF000000"/>
      <name val="Arial"/>
    </font>
    <font>
      <b val="0"/>
      <i val="0"/>
      <strike val="0"/>
      <u val="none"/>
      <sz val="10.0"/>
      <color rgb="FF000000"/>
      <name val="Arial"/>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Verdana"/>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Verdana"/>
    </font>
    <font>
      <b/>
      <i val="0"/>
      <strike val="0"/>
      <u val="none"/>
      <sz val="10.0"/>
      <color rgb="FF000000"/>
      <name val="Arial"/>
    </font>
    <font>
      <b val="0"/>
      <i val="0"/>
      <strike val="0"/>
      <u val="none"/>
      <sz val="10.0"/>
      <color rgb="FF000000"/>
      <name val="Arial"/>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4.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Verdana"/>
    </font>
    <font>
      <b val="0"/>
      <i val="0"/>
      <strike val="0"/>
      <u val="none"/>
      <sz val="14.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Arial"/>
    </font>
    <font>
      <b val="0"/>
      <i val="0"/>
      <strike val="0"/>
      <u val="none"/>
      <sz val="14.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Arial"/>
    </font>
    <font>
      <b val="0"/>
      <i val="0"/>
      <strike val="0"/>
      <u val="none"/>
      <sz val="14.0"/>
      <color rgb="FF000000"/>
      <name val="Arial"/>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Arial"/>
    </font>
    <font>
      <b/>
      <i val="0"/>
      <strike val="0"/>
      <u val="none"/>
      <sz val="10.0"/>
      <color rgb="FF000000"/>
      <name val="Verdana"/>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Arial"/>
    </font>
    <font>
      <b val="0"/>
      <i val="0"/>
      <strike val="0"/>
      <u val="none"/>
      <sz val="10.0"/>
      <color rgb="FF000000"/>
      <name val="Verdana"/>
    </font>
    <font>
      <b val="0"/>
      <i val="0"/>
      <strike val="0"/>
      <u val="none"/>
      <sz val="10.0"/>
      <color rgb="FF000000"/>
      <name val="Arial"/>
    </font>
    <font>
      <b/>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Verdana"/>
    </font>
    <font>
      <b val="0"/>
      <i val="0"/>
      <strike val="0"/>
      <u val="none"/>
      <sz val="10.0"/>
      <color rgb="FF000000"/>
      <name val="Arial"/>
    </font>
    <font>
      <b val="0"/>
      <i val="0"/>
      <strike val="0"/>
      <u val="none"/>
      <sz val="10.0"/>
      <color rgb="FF000000"/>
      <name val="Verdana"/>
    </font>
    <font>
      <b/>
      <i val="0"/>
      <strike val="0"/>
      <u val="none"/>
      <sz val="14.0"/>
      <color rgb="FF000000"/>
      <name val="Arial"/>
    </font>
  </fonts>
  <fills count="102">
    <fill>
      <patternFill patternType="none"/>
    </fill>
    <fill>
      <patternFill patternType="gray125">
        <bgColor rgb="FFFFFFFF"/>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FF0000"/>
        <bgColor indexed="64"/>
      </patternFill>
    </fill>
    <fill>
      <patternFill patternType="solid">
        <fgColor rgb="FFCCFF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CC99FF"/>
        <bgColor indexed="64"/>
      </patternFill>
    </fill>
    <fill>
      <patternFill patternType="solid">
        <fgColor rgb="FFCC99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CCFFCC"/>
        <bgColor indexed="64"/>
      </patternFill>
    </fill>
    <fill>
      <patternFill patternType="solid">
        <fgColor rgb="FFFFFF99"/>
        <bgColor indexed="64"/>
      </patternFill>
    </fill>
    <fill>
      <patternFill patternType="solid">
        <fgColor rgb="FFCC99FF"/>
        <bgColor indexed="64"/>
      </patternFill>
    </fill>
    <fill>
      <patternFill patternType="solid">
        <fgColor rgb="FFCC99FF"/>
        <bgColor indexed="64"/>
      </patternFill>
    </fill>
    <fill>
      <patternFill patternType="solid">
        <fgColor rgb="FFCCFFCC"/>
        <bgColor indexed="64"/>
      </patternFill>
    </fill>
    <fill>
      <patternFill patternType="solid">
        <fgColor rgb="FF33CCCC"/>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0000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CCFFCC"/>
        <bgColor indexed="64"/>
      </patternFill>
    </fill>
    <fill>
      <patternFill patternType="solid">
        <fgColor rgb="FFCC99FF"/>
        <bgColor indexed="64"/>
      </patternFill>
    </fill>
    <fill>
      <patternFill patternType="solid">
        <fgColor rgb="FFCCFFCC"/>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0000"/>
        <bgColor indexed="64"/>
      </patternFill>
    </fill>
    <fill>
      <patternFill patternType="solid">
        <fgColor rgb="FF33CCCC"/>
        <bgColor indexed="64"/>
      </patternFill>
    </fill>
    <fill>
      <patternFill patternType="solid">
        <fgColor rgb="FFFFCC99"/>
        <bgColor indexed="64"/>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CC99FF"/>
        <bgColor indexed="64"/>
      </patternFill>
    </fill>
    <fill>
      <patternFill patternType="solid">
        <fgColor rgb="FFCCFFCC"/>
        <bgColor indexed="64"/>
      </patternFill>
    </fill>
    <fill>
      <patternFill patternType="solid">
        <fgColor rgb="FFCC99FF"/>
        <bgColor indexed="64"/>
      </patternFill>
    </fill>
    <fill>
      <patternFill patternType="solid">
        <fgColor rgb="FF0000FF"/>
        <bgColor indexed="64"/>
      </patternFill>
    </fill>
    <fill>
      <patternFill patternType="solid">
        <fgColor rgb="FFFF0000"/>
        <bgColor indexed="64"/>
      </patternFill>
    </fill>
    <fill>
      <patternFill patternType="solid">
        <fgColor rgb="FFCC99FF"/>
        <bgColor indexed="64"/>
      </patternFill>
    </fill>
    <fill>
      <patternFill patternType="solid">
        <fgColor rgb="FFCC99FF"/>
        <bgColor indexed="64"/>
      </patternFill>
    </fill>
    <fill>
      <patternFill patternType="solid">
        <fgColor rgb="FFCC99FF"/>
        <bgColor indexed="64"/>
      </patternFill>
    </fill>
    <fill>
      <patternFill patternType="solid">
        <fgColor rgb="FFFFFF99"/>
        <bgColor indexed="64"/>
      </patternFill>
    </fill>
    <fill>
      <patternFill patternType="solid">
        <fgColor rgb="FFFF0000"/>
        <bgColor indexed="64"/>
      </patternFill>
    </fill>
    <fill>
      <patternFill patternType="solid">
        <fgColor rgb="FFFF99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FF0000"/>
        <bgColor indexed="64"/>
      </patternFill>
    </fill>
    <fill>
      <patternFill patternType="solid">
        <fgColor rgb="FFFFFF99"/>
        <bgColor indexed="64"/>
      </patternFill>
    </fill>
    <fill>
      <patternFill patternType="solid">
        <fgColor rgb="FFCCFFCC"/>
        <bgColor indexed="64"/>
      </patternFill>
    </fill>
    <fill>
      <patternFill patternType="solid">
        <fgColor rgb="FFFFFF99"/>
        <bgColor indexed="64"/>
      </patternFill>
    </fill>
    <fill>
      <patternFill patternType="solid">
        <fgColor rgb="FFCC99FF"/>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FF0000"/>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CCFFCC"/>
        <bgColor indexed="64"/>
      </patternFill>
    </fill>
    <fill>
      <patternFill patternType="solid">
        <fgColor rgb="FF33CCCC"/>
        <bgColor indexed="64"/>
      </patternFill>
    </fill>
    <fill>
      <patternFill patternType="solid">
        <fgColor rgb="FF33CCCC"/>
        <bgColor indexed="64"/>
      </patternFill>
    </fill>
    <fill>
      <patternFill patternType="solid">
        <fgColor rgb="FFFFFF99"/>
        <bgColor indexed="64"/>
      </patternFill>
    </fill>
    <fill>
      <patternFill patternType="solid">
        <fgColor rgb="FF33CCCC"/>
        <bgColor indexed="64"/>
      </patternFill>
    </fill>
    <fill>
      <patternFill patternType="solid">
        <fgColor rgb="FFFF0000"/>
        <bgColor indexed="64"/>
      </patternFill>
    </fill>
    <fill>
      <patternFill patternType="solid">
        <fgColor rgb="FFFFFF99"/>
        <bgColor indexed="64"/>
      </patternFill>
    </fill>
    <fill>
      <patternFill patternType="solid">
        <fgColor rgb="FFFF0000"/>
        <bgColor indexed="64"/>
      </patternFill>
    </fill>
    <fill>
      <patternFill patternType="solid">
        <fgColor rgb="FFFFFF99"/>
        <bgColor indexed="64"/>
      </patternFill>
    </fill>
    <fill>
      <patternFill patternType="solid">
        <fgColor rgb="FFFF99CC"/>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
      <patternFill patternType="solid">
        <fgColor rgb="FF33CCCC"/>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0000"/>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bottom/>
      <diagonal/>
    </border>
    <border>
      <left/>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rgb="FF000000"/>
      </top>
      <bottom/>
      <diagonal/>
    </border>
    <border>
      <left style="thin">
        <color rgb="FF000000"/>
      </left>
      <right style="thin">
        <color rgb="FF000000"/>
      </right>
      <top style="thin">
        <color rgb="FF000000"/>
      </top>
      <bottom/>
      <diagonal/>
    </border>
    <border>
      <left/>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
      <left/>
      <right style="thin">
        <color rgb="FF000000"/>
      </right>
      <top/>
      <bottom/>
      <diagonal/>
    </border>
    <border>
      <left style="thin">
        <color rgb="FF000000"/>
      </left>
      <right style="thin">
        <color rgb="FF000000"/>
      </right>
      <top style="thin">
        <color indexed="64"/>
      </top>
      <bottom/>
      <diagonal/>
    </border>
    <border>
      <left/>
      <right/>
      <top/>
      <bottom style="thin">
        <color rgb="FF000000"/>
      </bottom>
      <diagonal/>
    </border>
    <border>
      <left/>
      <right style="thin">
        <color indexed="64"/>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right style="thin">
        <color indexed="64"/>
      </right>
      <top/>
      <bottom style="thin">
        <color indexed="64"/>
      </bottom>
      <diagonal/>
    </border>
    <border>
      <left/>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style="thin">
        <color indexed="64"/>
      </top>
      <bottom style="thin">
        <color rgb="FF000000"/>
      </bottom>
      <diagonal/>
    </border>
    <border>
      <left style="thin">
        <color rgb="FF000000"/>
      </left>
      <right style="thin">
        <color indexed="64"/>
      </right>
      <top/>
      <bottom/>
      <diagonal/>
    </border>
    <border>
      <left/>
      <right style="thin">
        <color rgb="FF000000"/>
      </right>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indexed="64"/>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bottom/>
      <diagonal/>
    </border>
  </borders>
  <cellStyleXfs count="1">
    <xf fillId="0" numFmtId="0" borderId="0" fontId="0"/>
  </cellStyleXfs>
  <cellXfs count="135">
    <xf applyAlignment="1" fillId="0" xfId="0" numFmtId="0" borderId="0" fontId="0">
      <alignment vertical="bottom" horizontal="general" wrapText="1"/>
    </xf>
    <xf applyBorder="1" applyAlignment="1" fillId="0" xfId="0" numFmtId="0" borderId="1" fontId="0">
      <alignment vertical="bottom" horizontal="general" wrapText="1"/>
    </xf>
    <xf applyBorder="1" applyAlignment="1" fillId="2" xfId="0" numFmtId="0" borderId="2" applyFont="1" fontId="1" applyFill="1">
      <alignment vertical="bottom" horizontal="center"/>
    </xf>
    <xf applyBorder="1" applyAlignment="1" fillId="3" xfId="0" numFmtId="0" borderId="3" applyFont="1" fontId="2" applyFill="1">
      <alignment vertical="bottom" horizontal="center" wrapText="1"/>
    </xf>
    <xf applyBorder="1" applyAlignment="1" fillId="0" xfId="0" numFmtId="0" borderId="4" fontId="0">
      <alignment vertical="bottom" horizontal="general" wrapText="1"/>
    </xf>
    <xf applyBorder="1" applyAlignment="1" fillId="0" xfId="0" numFmtId="0" borderId="5" fontId="0">
      <alignment vertical="bottom" horizontal="general" wrapText="1"/>
    </xf>
    <xf applyBorder="1" applyAlignment="1" fillId="4" xfId="0" numFmtId="0" borderId="6" applyFont="1" fontId="3" applyFill="1">
      <alignment vertical="bottom" horizontal="center"/>
    </xf>
    <xf applyBorder="1" applyAlignment="1" fillId="5" xfId="0" numFmtId="0" borderId="7" applyFont="1" fontId="4" applyFill="1">
      <alignment vertical="center" horizontal="center"/>
    </xf>
    <xf applyBorder="1" applyAlignment="1" fillId="6" xfId="0" numFmtId="0" borderId="8" applyFont="1" fontId="5" applyFill="1">
      <alignment vertical="bottom" horizontal="center"/>
    </xf>
    <xf applyBorder="1" applyAlignment="1" fillId="7" xfId="0" numFmtId="0" borderId="9" applyFont="1" fontId="6" applyFill="1">
      <alignment vertical="bottom" horizontal="general" wrapText="1"/>
    </xf>
    <xf applyBorder="1" applyAlignment="1" fillId="0" xfId="0" numFmtId="0" borderId="10" fontId="0">
      <alignment vertical="bottom" horizontal="general" wrapText="1"/>
    </xf>
    <xf applyBorder="1" applyAlignment="1" fillId="8" xfId="0" numFmtId="0" borderId="11" applyFont="1" fontId="7" applyFill="1">
      <alignment vertical="bottom" horizontal="general" wrapText="1"/>
    </xf>
    <xf applyBorder="1" applyAlignment="1" fillId="9" xfId="0" numFmtId="0" borderId="12" applyFont="1" fontId="8" applyFill="1">
      <alignment vertical="bottom" horizontal="general" wrapText="1"/>
    </xf>
    <xf applyBorder="1" applyAlignment="1" fillId="10" xfId="0" numFmtId="0" borderId="13" applyFont="1" fontId="9" applyFill="1">
      <alignment vertical="bottom" horizontal="center"/>
    </xf>
    <xf applyBorder="1" applyAlignment="1" fillId="11" xfId="0" numFmtId="0" borderId="14" applyFont="1" fontId="10" applyFill="1">
      <alignment vertical="bottom" horizontal="center"/>
    </xf>
    <xf applyBorder="1" applyAlignment="1" fillId="12" xfId="0" numFmtId="0" borderId="15" applyFont="1" fontId="11" applyFill="1">
      <alignment vertical="center" horizontal="general"/>
    </xf>
    <xf applyBorder="1" applyAlignment="1" fillId="13" xfId="0" numFmtId="0" borderId="16" applyFont="1" fontId="12" applyFill="1">
      <alignment vertical="bottom" horizontal="center"/>
    </xf>
    <xf applyBorder="1" applyAlignment="1" fillId="14" xfId="0" numFmtId="0" borderId="17" applyFont="1" fontId="13" applyFill="1">
      <alignment vertical="bottom" horizontal="center"/>
    </xf>
    <xf applyBorder="1" applyAlignment="1" fillId="15" xfId="0" numFmtId="0" borderId="18" applyFont="1" fontId="14" applyFill="1">
      <alignment vertical="bottom" horizontal="center"/>
    </xf>
    <xf applyBorder="1" applyAlignment="1" fillId="0" xfId="0" numFmtId="0" borderId="19" fontId="0">
      <alignment vertical="bottom" horizontal="general" wrapText="1"/>
    </xf>
    <xf applyBorder="1" applyAlignment="1" fillId="0" xfId="0" numFmtId="0" borderId="20" fontId="0">
      <alignment vertical="bottom" horizontal="general" wrapText="1"/>
    </xf>
    <xf applyBorder="1" applyAlignment="1" fillId="16" xfId="0" numFmtId="0" borderId="21" applyFont="1" fontId="15" applyFill="1">
      <alignment vertical="bottom" horizontal="center"/>
    </xf>
    <xf applyBorder="1" applyAlignment="1" fillId="17" xfId="0" numFmtId="0" borderId="22" applyFont="1" fontId="16" applyFill="1">
      <alignment vertical="bottom" horizontal="center"/>
    </xf>
    <xf applyBorder="1" applyAlignment="1" fillId="18" xfId="0" numFmtId="0" borderId="23" applyFont="1" fontId="17" applyFill="1">
      <alignment vertical="bottom" horizontal="center"/>
    </xf>
    <xf applyBorder="1" applyAlignment="1" fillId="19" xfId="0" numFmtId="0" borderId="24" applyFont="1" fontId="18" applyFill="1">
      <alignment vertical="bottom" horizontal="center"/>
    </xf>
    <xf applyBorder="1" applyAlignment="1" fillId="20" xfId="0" numFmtId="0" borderId="25" applyFont="1" fontId="19" applyFill="1">
      <alignment vertical="bottom" horizontal="center"/>
    </xf>
    <xf applyBorder="1" applyAlignment="1" fillId="21" xfId="0" numFmtId="0" borderId="26" applyFont="1" fontId="20" applyFill="1">
      <alignment vertical="bottom" horizontal="center"/>
    </xf>
    <xf applyBorder="1" applyAlignment="1" fillId="22" xfId="0" numFmtId="0" borderId="27" applyFont="1" fontId="21" applyFill="1">
      <alignment vertical="bottom" horizontal="center"/>
    </xf>
    <xf applyBorder="1" applyAlignment="1" fillId="0" xfId="0" numFmtId="0" borderId="28" fontId="0">
      <alignment vertical="bottom" horizontal="general" wrapText="1"/>
    </xf>
    <xf applyBorder="1" applyAlignment="1" fillId="23" xfId="0" numFmtId="0" borderId="29" applyFont="1" fontId="22" applyFill="1">
      <alignment vertical="bottom" horizontal="center"/>
    </xf>
    <xf applyBorder="1" applyAlignment="1" fillId="24" xfId="0" numFmtId="0" borderId="30" applyFont="1" fontId="23" applyFill="1">
      <alignment vertical="bottom" horizontal="center"/>
    </xf>
    <xf applyBorder="1" applyAlignment="1" fillId="0" xfId="0" numFmtId="0" borderId="31" fontId="0">
      <alignment vertical="bottom" horizontal="general" wrapText="1"/>
    </xf>
    <xf applyBorder="1" applyAlignment="1" fillId="25" xfId="0" numFmtId="0" borderId="32" applyFont="1" fontId="24" applyFill="1">
      <alignment vertical="bottom" horizontal="center"/>
    </xf>
    <xf applyBorder="1" applyAlignment="1" fillId="0" xfId="0" numFmtId="0" borderId="33" fontId="0">
      <alignment vertical="bottom" horizontal="general" wrapText="1"/>
    </xf>
    <xf applyAlignment="1" fillId="0" xfId="0" numFmtId="0" borderId="0" applyFont="1" fontId="25">
      <alignment vertical="bottom" horizontal="general" wrapText="1"/>
    </xf>
    <xf applyBorder="1" applyAlignment="1" fillId="26" xfId="0" numFmtId="0" borderId="34" applyFont="1" fontId="26" applyFill="1">
      <alignment vertical="bottom" horizontal="general" wrapText="1"/>
    </xf>
    <xf applyBorder="1" applyAlignment="1" fillId="27" xfId="0" numFmtId="0" borderId="35" applyFont="1" fontId="27" applyFill="1">
      <alignment vertical="bottom" horizontal="center"/>
    </xf>
    <xf applyBorder="1" applyAlignment="1" fillId="28" xfId="0" numFmtId="0" borderId="36" applyFont="1" fontId="28" applyFill="1">
      <alignment vertical="bottom" horizontal="center"/>
    </xf>
    <xf applyBorder="1" applyAlignment="1" fillId="29" xfId="0" numFmtId="0" borderId="37" applyFont="1" fontId="29" applyFill="1">
      <alignment vertical="bottom" horizontal="center"/>
    </xf>
    <xf applyBorder="1" applyAlignment="1" fillId="30" xfId="0" numFmtId="0" borderId="38" applyFont="1" fontId="30" applyFill="1">
      <alignment vertical="bottom" horizontal="general" wrapText="1"/>
    </xf>
    <xf applyBorder="1" applyAlignment="1" fillId="31" xfId="0" numFmtId="0" borderId="39" applyFont="1" fontId="31" applyFill="1">
      <alignment vertical="bottom" horizontal="center"/>
    </xf>
    <xf applyBorder="1" applyAlignment="1" fillId="32" xfId="0" numFmtId="0" borderId="40" applyFont="1" fontId="32" applyFill="1">
      <alignment vertical="bottom" horizontal="center"/>
    </xf>
    <xf applyBorder="1" fillId="0" xfId="0" numFmtId="0" borderId="41" applyFont="1" fontId="33"/>
    <xf applyBorder="1" applyAlignment="1" fillId="33" xfId="0" numFmtId="0" borderId="42" applyFont="1" fontId="34" applyFill="1">
      <alignment vertical="bottom" horizontal="center"/>
    </xf>
    <xf applyBorder="1" applyAlignment="1" fillId="0" xfId="0" numFmtId="0" borderId="43" fontId="0">
      <alignment vertical="bottom" horizontal="general" wrapText="1"/>
    </xf>
    <xf applyBorder="1" applyAlignment="1" fillId="0" xfId="0" numFmtId="0" borderId="44" fontId="0">
      <alignment vertical="bottom" horizontal="general" wrapText="1"/>
    </xf>
    <xf applyBorder="1" applyAlignment="1" fillId="0" xfId="0" numFmtId="0" borderId="45" fontId="0">
      <alignment vertical="bottom" horizontal="general" wrapText="1"/>
    </xf>
    <xf applyBorder="1" applyAlignment="1" fillId="34" xfId="0" numFmtId="0" borderId="46" applyFont="1" fontId="35" applyFill="1">
      <alignment vertical="bottom" horizontal="center" wrapText="1"/>
    </xf>
    <xf applyBorder="1" applyAlignment="1" fillId="35" xfId="0" numFmtId="0" borderId="47" applyFont="1" fontId="36" applyFill="1">
      <alignment vertical="bottom" horizontal="center"/>
    </xf>
    <xf applyBorder="1" applyAlignment="1" fillId="36" xfId="0" numFmtId="0" borderId="48" applyFont="1" fontId="37" applyFill="1">
      <alignment vertical="bottom" horizontal="center" wrapText="1"/>
    </xf>
    <xf applyBorder="1" applyAlignment="1" fillId="37" xfId="0" numFmtId="0" borderId="49" applyFont="1" fontId="38" applyFill="1">
      <alignment vertical="bottom" horizontal="center"/>
    </xf>
    <xf applyBorder="1" applyAlignment="1" fillId="0" xfId="0" numFmtId="0" borderId="50" fontId="0">
      <alignment vertical="bottom" horizontal="general" wrapText="1"/>
    </xf>
    <xf applyBorder="1" applyAlignment="1" fillId="0" xfId="0" numFmtId="0" borderId="51" fontId="0">
      <alignment vertical="bottom" horizontal="general" wrapText="1"/>
    </xf>
    <xf applyBorder="1" applyAlignment="1" fillId="38" xfId="0" numFmtId="0" borderId="52" applyFont="1" fontId="39" applyFill="1">
      <alignment vertical="bottom" horizontal="center"/>
    </xf>
    <xf applyBorder="1" applyAlignment="1" fillId="39" xfId="0" numFmtId="0" borderId="53" applyFont="1" fontId="40" applyFill="1">
      <alignment vertical="bottom" horizontal="left"/>
    </xf>
    <xf applyBorder="1" applyAlignment="1" fillId="40" xfId="0" numFmtId="0" borderId="54" applyFont="1" fontId="41" applyFill="1">
      <alignment vertical="bottom" horizontal="center"/>
    </xf>
    <xf applyBorder="1" applyAlignment="1" fillId="41" xfId="0" numFmtId="0" borderId="55" applyFont="1" fontId="42" applyFill="1">
      <alignment vertical="bottom" horizontal="center" wrapText="1"/>
    </xf>
    <xf applyBorder="1" applyAlignment="1" fillId="42" xfId="0" numFmtId="0" borderId="56" applyFont="1" fontId="43" applyFill="1">
      <alignment vertical="bottom" horizontal="center"/>
    </xf>
    <xf applyBorder="1" applyAlignment="1" fillId="43" xfId="0" numFmtId="0" borderId="57" applyFont="1" fontId="44" applyFill="1">
      <alignment vertical="bottom" horizontal="center"/>
    </xf>
    <xf applyBorder="1" applyAlignment="1" fillId="44" xfId="0" numFmtId="0" borderId="58" applyFont="1" fontId="45" applyFill="1">
      <alignment vertical="center" horizontal="general"/>
    </xf>
    <xf applyBorder="1" applyAlignment="1" fillId="0" xfId="0" numFmtId="0" borderId="59" fontId="0">
      <alignment vertical="bottom" horizontal="general" wrapText="1"/>
    </xf>
    <xf applyAlignment="1" fillId="0" xfId="0" numFmtId="0" borderId="0" applyFont="1" fontId="46">
      <alignment vertical="bottom" horizontal="general" wrapText="1"/>
    </xf>
    <xf applyBorder="1" applyAlignment="1" fillId="45" xfId="0" numFmtId="0" borderId="60" applyFont="1" fontId="47" applyFill="1">
      <alignment vertical="bottom" horizontal="center"/>
    </xf>
    <xf applyBorder="1" applyAlignment="1" fillId="46" xfId="0" numFmtId="0" borderId="61" applyFont="1" fontId="48" applyFill="1">
      <alignment vertical="bottom" horizontal="center" wrapText="1"/>
    </xf>
    <xf applyBorder="1" applyAlignment="1" fillId="47" xfId="0" numFmtId="0" borderId="62" applyFont="1" fontId="49" applyFill="1">
      <alignment vertical="bottom" horizontal="center"/>
    </xf>
    <xf applyBorder="1" applyAlignment="1" fillId="48" xfId="0" numFmtId="0" borderId="63" applyFont="1" fontId="50" applyFill="1">
      <alignment vertical="bottom" horizontal="center"/>
    </xf>
    <xf applyBorder="1" applyAlignment="1" fillId="49" xfId="0" numFmtId="0" borderId="64" applyFont="1" fontId="51" applyFill="1">
      <alignment vertical="center" horizontal="general" wrapText="1"/>
    </xf>
    <xf applyBorder="1" applyAlignment="1" fillId="0" xfId="0" numFmtId="0" borderId="65" fontId="0">
      <alignment vertical="bottom" horizontal="general" wrapText="1"/>
    </xf>
    <xf applyBorder="1" applyAlignment="1" fillId="0" xfId="0" numFmtId="0" borderId="66" fontId="0">
      <alignment vertical="bottom" horizontal="general" wrapText="1"/>
    </xf>
    <xf applyBorder="1" applyAlignment="1" fillId="50" xfId="0" numFmtId="0" borderId="67" applyFont="1" fontId="52" applyFill="1">
      <alignment vertical="bottom" horizontal="center" wrapText="1"/>
    </xf>
    <xf applyBorder="1" applyAlignment="1" fillId="51" xfId="0" numFmtId="0" borderId="68" applyFont="1" fontId="53" applyFill="1">
      <alignment vertical="center" horizontal="left"/>
    </xf>
    <xf applyAlignment="1" fillId="52" xfId="0" numFmtId="0" borderId="0" applyFont="1" fontId="54" applyFill="1">
      <alignment vertical="bottom" horizontal="center" wrapText="1"/>
    </xf>
    <xf applyBorder="1" applyAlignment="1" fillId="53" xfId="0" numFmtId="0" borderId="69" applyFont="1" fontId="55" applyFill="1">
      <alignment vertical="bottom" horizontal="center"/>
    </xf>
    <xf applyBorder="1" applyAlignment="1" fillId="54" xfId="0" numFmtId="0" borderId="70" applyFont="1" fontId="56" applyFill="1">
      <alignment vertical="bottom" horizontal="center"/>
    </xf>
    <xf applyBorder="1" applyAlignment="1" fillId="55" xfId="0" numFmtId="0" borderId="71" applyFont="1" fontId="57" applyFill="1">
      <alignment vertical="bottom" horizontal="center"/>
    </xf>
    <xf applyBorder="1" applyAlignment="1" fillId="56" xfId="0" numFmtId="0" borderId="72" applyFont="1" fontId="58" applyFill="1">
      <alignment vertical="bottom" horizontal="center"/>
    </xf>
    <xf applyBorder="1" applyAlignment="1" fillId="57" xfId="0" numFmtId="0" borderId="73" applyFont="1" fontId="59" applyFill="1">
      <alignment vertical="center" horizontal="center"/>
    </xf>
    <xf applyBorder="1" applyAlignment="1" fillId="58" xfId="0" numFmtId="0" borderId="74" applyFont="1" fontId="60" applyFill="1">
      <alignment vertical="bottom" horizontal="center"/>
    </xf>
    <xf applyBorder="1" applyAlignment="1" fillId="59" xfId="0" numFmtId="0" borderId="75" applyFont="1" fontId="61" applyFill="1">
      <alignment vertical="bottom" horizontal="center"/>
    </xf>
    <xf applyBorder="1" applyAlignment="1" fillId="60" xfId="0" numFmtId="0" borderId="76" applyFont="1" fontId="62" applyFill="1">
      <alignment vertical="bottom" horizontal="center"/>
    </xf>
    <xf applyBorder="1" applyAlignment="1" fillId="61" xfId="0" numFmtId="0" borderId="77" applyFont="1" fontId="63" applyFill="1">
      <alignment vertical="center" horizontal="left" wrapText="1"/>
    </xf>
    <xf applyBorder="1" applyAlignment="1" fillId="62" xfId="0" numFmtId="0" borderId="78" applyFont="1" fontId="64" applyFill="1">
      <alignment vertical="center" horizontal="center"/>
    </xf>
    <xf applyBorder="1" applyAlignment="1" fillId="63" xfId="0" numFmtId="0" borderId="79" applyFont="1" fontId="65" applyFill="1">
      <alignment vertical="top" horizontal="left" wrapText="1"/>
    </xf>
    <xf applyBorder="1" applyAlignment="1" fillId="64" xfId="0" numFmtId="0" borderId="80" applyFont="1" fontId="66" applyFill="1">
      <alignment vertical="bottom" horizontal="center" wrapText="1"/>
    </xf>
    <xf applyBorder="1" applyAlignment="1" fillId="65" xfId="0" numFmtId="0" borderId="81" applyFont="1" fontId="67" applyFill="1">
      <alignment vertical="center" horizontal="left" wrapText="1"/>
    </xf>
    <xf applyBorder="1" applyAlignment="1" fillId="0" xfId="0" numFmtId="0" borderId="82" fontId="0">
      <alignment vertical="bottom" horizontal="general" wrapText="1"/>
    </xf>
    <xf applyBorder="1" applyAlignment="1" fillId="0" xfId="0" numFmtId="0" borderId="83" fontId="0">
      <alignment vertical="bottom" horizontal="general" wrapText="1"/>
    </xf>
    <xf applyBorder="1" applyAlignment="1" fillId="66" xfId="0" numFmtId="0" borderId="84" applyFont="1" fontId="68" applyFill="1">
      <alignment vertical="bottom" horizontal="center"/>
    </xf>
    <xf applyBorder="1" applyAlignment="1" fillId="67" xfId="0" numFmtId="0" borderId="85" applyFont="1" fontId="69" applyFill="1">
      <alignment vertical="center" horizontal="center" wrapText="1"/>
    </xf>
    <xf applyBorder="1" applyAlignment="1" fillId="68" xfId="0" numFmtId="0" borderId="86" applyFont="1" fontId="70" applyFill="1">
      <alignment vertical="bottom" horizontal="center" wrapText="1"/>
    </xf>
    <xf applyAlignment="1" fillId="69" xfId="0" numFmtId="0" borderId="0" applyFont="1" fontId="71" applyFill="1">
      <alignment vertical="bottom" horizontal="center" wrapText="1"/>
    </xf>
    <xf applyBorder="1" applyAlignment="1" fillId="70" xfId="0" numFmtId="0" borderId="87" applyFont="1" fontId="72" applyFill="1">
      <alignment vertical="bottom" horizontal="center" wrapText="1"/>
    </xf>
    <xf applyBorder="1" applyAlignment="1" fillId="0" xfId="0" numFmtId="0" borderId="88" fontId="0">
      <alignment vertical="bottom" horizontal="general" wrapText="1"/>
    </xf>
    <xf applyBorder="1" applyAlignment="1" fillId="71" xfId="0" numFmtId="0" borderId="89" applyFont="1" fontId="73" applyFill="1">
      <alignment vertical="bottom" horizontal="center"/>
    </xf>
    <xf applyBorder="1" applyAlignment="1" fillId="72" xfId="0" numFmtId="0" borderId="90" applyFont="1" fontId="74" applyFill="1">
      <alignment vertical="center" horizontal="center"/>
    </xf>
    <xf applyBorder="1" applyAlignment="1" fillId="73" xfId="0" numFmtId="0" borderId="91" applyFont="1" fontId="75" applyFill="1">
      <alignment vertical="bottom" horizontal="center"/>
    </xf>
    <xf applyBorder="1" applyAlignment="1" fillId="74" xfId="0" numFmtId="0" borderId="92" applyFont="1" fontId="76" applyFill="1">
      <alignment vertical="bottom" horizontal="center"/>
    </xf>
    <xf applyBorder="1" applyAlignment="1" fillId="75" xfId="0" numFmtId="0" borderId="93" applyFont="1" fontId="77" applyFill="1">
      <alignment vertical="bottom" horizontal="general" wrapText="1"/>
    </xf>
    <xf applyBorder="1" applyAlignment="1" fillId="0" xfId="0" numFmtId="0" borderId="94" fontId="0">
      <alignment vertical="bottom" horizontal="general" wrapText="1"/>
    </xf>
    <xf applyBorder="1" applyAlignment="1" fillId="76" xfId="0" numFmtId="0" borderId="95" applyFont="1" fontId="78" applyFill="1">
      <alignment vertical="bottom" horizontal="center"/>
    </xf>
    <xf applyBorder="1" applyAlignment="1" fillId="77" xfId="0" numFmtId="0" borderId="96" applyFont="1" fontId="79" applyFill="1">
      <alignment vertical="center" horizontal="left" wrapText="1"/>
    </xf>
    <xf applyBorder="1" applyAlignment="1" fillId="78" xfId="0" numFmtId="0" borderId="97" applyFont="1" fontId="80" applyFill="1">
      <alignment vertical="bottom" horizontal="center" wrapText="1"/>
    </xf>
    <xf applyBorder="1" applyAlignment="1" fillId="79" xfId="0" numFmtId="0" borderId="98" applyFont="1" fontId="81" applyFill="1">
      <alignment vertical="bottom" horizontal="center"/>
    </xf>
    <xf applyBorder="1" applyAlignment="1" fillId="80" xfId="0" numFmtId="0" borderId="99" applyFont="1" fontId="82" applyFill="1">
      <alignment vertical="center" horizontal="center"/>
    </xf>
    <xf applyBorder="1" applyAlignment="1" fillId="0" xfId="0" numFmtId="0" borderId="100" fontId="0">
      <alignment vertical="bottom" horizontal="general" wrapText="1"/>
    </xf>
    <xf applyBorder="1" applyAlignment="1" fillId="81" xfId="0" numFmtId="0" borderId="101" applyFont="1" fontId="83" applyFill="1">
      <alignment vertical="bottom" horizontal="center" wrapText="1"/>
    </xf>
    <xf applyBorder="1" applyAlignment="1" fillId="82" xfId="0" numFmtId="0" borderId="102" applyFont="1" fontId="84" applyFill="1">
      <alignment vertical="bottom" horizontal="center"/>
    </xf>
    <xf applyBorder="1" applyAlignment="1" fillId="0" xfId="0" numFmtId="0" borderId="103" fontId="0">
      <alignment vertical="bottom" horizontal="general" wrapText="1"/>
    </xf>
    <xf applyBorder="1" applyAlignment="1" fillId="83" xfId="0" numFmtId="0" borderId="104" applyFont="1" fontId="85" applyFill="1">
      <alignment vertical="bottom" horizontal="center" wrapText="1"/>
    </xf>
    <xf applyBorder="1" applyAlignment="1" fillId="84" xfId="0" numFmtId="0" borderId="105" applyFont="1" fontId="86" applyFill="1">
      <alignment vertical="bottom" horizontal="center"/>
    </xf>
    <xf applyBorder="1" applyAlignment="1" fillId="85" xfId="0" numFmtId="0" borderId="106" applyFont="1" fontId="87" applyFill="1">
      <alignment vertical="bottom" horizontal="center"/>
    </xf>
    <xf applyBorder="1" applyAlignment="1" fillId="86" xfId="0" numFmtId="0" borderId="107" applyFont="1" fontId="88" applyFill="1">
      <alignment vertical="bottom" horizontal="center"/>
    </xf>
    <xf applyBorder="1" applyAlignment="1" fillId="87" xfId="0" numFmtId="0" borderId="108" applyFont="1" fontId="89" applyFill="1">
      <alignment vertical="bottom" horizontal="center"/>
    </xf>
    <xf applyAlignment="1" fillId="0" xfId="0" numFmtId="0" borderId="0" applyFont="1" fontId="90">
      <alignment vertical="top" horizontal="left" wrapText="1"/>
    </xf>
    <xf applyBorder="1" applyAlignment="1" fillId="0" xfId="0" numFmtId="0" borderId="109" fontId="0">
      <alignment vertical="bottom" horizontal="general" wrapText="1"/>
    </xf>
    <xf applyBorder="1" applyAlignment="1" fillId="0" xfId="0" numFmtId="0" borderId="110" fontId="0">
      <alignment vertical="bottom" horizontal="general" wrapText="1"/>
    </xf>
    <xf applyBorder="1" applyAlignment="1" fillId="88" xfId="0" numFmtId="0" borderId="111" applyFont="1" fontId="91" applyFill="1">
      <alignment vertical="bottom" horizontal="left"/>
    </xf>
    <xf applyBorder="1" applyAlignment="1" fillId="89" xfId="0" numFmtId="0" borderId="112" applyFont="1" fontId="92" applyFill="1">
      <alignment vertical="bottom" horizontal="center"/>
    </xf>
    <xf applyBorder="1" applyAlignment="1" fillId="90" xfId="0" numFmtId="0" borderId="113" applyFont="1" fontId="93" applyFill="1">
      <alignment vertical="bottom" horizontal="center" wrapText="1"/>
    </xf>
    <xf applyBorder="1" applyAlignment="1" fillId="0" xfId="0" numFmtId="0" borderId="114" fontId="0">
      <alignment vertical="bottom" horizontal="general" wrapText="1"/>
    </xf>
    <xf applyBorder="1" applyAlignment="1" fillId="91" xfId="0" numFmtId="0" borderId="115" applyFont="1" fontId="94" applyFill="1">
      <alignment vertical="bottom" horizontal="center"/>
    </xf>
    <xf applyBorder="1" applyAlignment="1" fillId="92" xfId="0" numFmtId="0" borderId="116" applyFont="1" fontId="95" applyFill="1">
      <alignment vertical="bottom" horizontal="center"/>
    </xf>
    <xf applyBorder="1" applyAlignment="1" fillId="93" xfId="0" numFmtId="0" borderId="117" applyFont="1" fontId="96" applyFill="1">
      <alignment vertical="top" horizontal="left" wrapText="1"/>
    </xf>
    <xf applyBorder="1" applyAlignment="1" fillId="94" xfId="0" numFmtId="0" borderId="118" applyFont="1" fontId="97" applyFill="1">
      <alignment vertical="bottom" horizontal="center"/>
    </xf>
    <xf applyBorder="1" applyAlignment="1" fillId="0" xfId="0" numFmtId="0" borderId="119" fontId="0">
      <alignment vertical="bottom" horizontal="general" wrapText="1"/>
    </xf>
    <xf applyBorder="1" applyAlignment="1" fillId="95" xfId="0" numFmtId="0" borderId="120" applyFont="1" fontId="98" applyFill="1">
      <alignment vertical="bottom" horizontal="center" wrapText="1"/>
    </xf>
    <xf applyBorder="1" applyAlignment="1" fillId="0" xfId="0" numFmtId="0" borderId="121" applyFont="1" fontId="99">
      <alignment vertical="bottom" horizontal="center"/>
    </xf>
    <xf applyBorder="1" applyAlignment="1" fillId="96" xfId="0" numFmtId="0" borderId="122" applyFont="1" fontId="100" applyFill="1">
      <alignment vertical="bottom" horizontal="center"/>
    </xf>
    <xf applyBorder="1" applyAlignment="1" fillId="97" xfId="0" numFmtId="0" borderId="123" applyFont="1" fontId="101" applyFill="1">
      <alignment vertical="bottom" horizontal="center"/>
    </xf>
    <xf applyAlignment="1" fillId="0" xfId="0" numFmtId="0" borderId="0" applyFont="1" fontId="102">
      <alignment vertical="bottom" horizontal="center"/>
    </xf>
    <xf applyBorder="1" applyAlignment="1" fillId="0" xfId="0" numFmtId="0" borderId="124" fontId="0">
      <alignment vertical="bottom" horizontal="general" wrapText="1"/>
    </xf>
    <xf applyBorder="1" applyAlignment="1" fillId="98" xfId="0" numFmtId="0" borderId="125" applyFont="1" fontId="103" applyFill="1">
      <alignment vertical="center" horizontal="left" wrapText="1"/>
    </xf>
    <xf applyBorder="1" applyAlignment="1" fillId="99" xfId="0" numFmtId="0" borderId="126" applyFont="1" fontId="104" applyFill="1">
      <alignment vertical="bottom" horizontal="center"/>
    </xf>
    <xf applyBorder="1" applyAlignment="1" fillId="100" xfId="0" numFmtId="0" borderId="127" applyFont="1" fontId="105" applyFill="1">
      <alignment vertical="bottom" horizontal="center"/>
    </xf>
    <xf applyBorder="1" applyAlignment="1" fillId="101" xfId="0" numFmtId="0" borderId="128" applyFont="1" fontId="106" applyFill="1">
      <alignment vertical="center" horizontal="center"/>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6.43"/>
    <col min="3" customWidth="1" max="6" width="13.57"/>
    <col min="7" customWidth="1" max="7" width="23.57"/>
    <col min="9" customWidth="1" max="9" width="25.71"/>
    <col min="10" customWidth="1" max="10" width="24.57"/>
  </cols>
  <sheetData>
    <row customHeight="1" r="1" ht="13.5">
      <c s="52" r="B1"/>
      <c s="52" r="C1"/>
      <c s="52" r="D1"/>
      <c s="52" r="E1"/>
      <c s="52" r="F1"/>
      <c s="52" r="G1"/>
      <c s="44" r="I1"/>
      <c s="44" r="J1"/>
    </row>
    <row customHeight="1" r="2" ht="14.25">
      <c s="67" r="A2"/>
      <c t="s" s="64" r="B2">
        <v>0</v>
      </c>
      <c s="86" r="C2"/>
      <c s="86" r="D2"/>
      <c s="86" r="E2"/>
      <c s="86" r="F2"/>
      <c s="124" r="G2"/>
      <c s="28" r="H2"/>
      <c t="s" s="53" r="I2">
        <v>1</v>
      </c>
      <c s="45" r="J2"/>
      <c s="60" r="K2"/>
    </row>
    <row customHeight="1" r="3" ht="14.25">
      <c s="10" r="A3"/>
      <c t="s" s="55" r="B3">
        <v>2</v>
      </c>
      <c t="s" s="55" r="C3">
        <v>3</v>
      </c>
      <c t="s" s="55" r="D3">
        <v>4</v>
      </c>
      <c t="s" s="55" r="E3">
        <v>5</v>
      </c>
      <c t="s" s="55" r="F3">
        <v>6</v>
      </c>
      <c t="s" s="55" r="G3">
        <v>7</v>
      </c>
      <c s="104" r="H3"/>
      <c t="s" s="73" r="I3">
        <v>8</v>
      </c>
      <c s="87" r="J3">
        <v>1</v>
      </c>
      <c s="60" r="K3"/>
    </row>
    <row customHeight="1" r="4" ht="13.5">
      <c s="42" r="A4">
        <v>1</v>
      </c>
      <c t="s" s="108" r="B4">
        <v>9</v>
      </c>
      <c t="str" s="40" r="C4">
        <f>VLOOKUP(B4,'Moves Index'!$B$3:$C$561,2,FALSE)</f>
        <v>No</v>
      </c>
      <c t="str" s="40" r="D4">
        <f>VLOOKUP(B4,'Moves Index'!$B$3:$D$561,3,FALSE)</f>
        <v>Non-Attacking</v>
      </c>
      <c t="str" s="40" r="E4">
        <f>VLOOKUP(B4,'Moves Index'!$B$3:$E$561,4,FALSE)</f>
        <v>N/A</v>
      </c>
      <c t="str" s="72" r="F4">
        <f>VLOOKUP(B4,Lookup!$B$3:$C$54,2,FALSE)</f>
        <v>#N/A:lookupNotFound:Attract</v>
      </c>
      <c t="str" s="72" r="G4">
        <f>VLOOKUP(B4,Lookup!$E$24:$F$121,2,FALSE)</f>
        <v>#N/A:lookupNotFound:Attract</v>
      </c>
      <c s="104" r="H4"/>
      <c t="s" s="23" r="I4">
        <v>10</v>
      </c>
      <c s="132" r="J4">
        <v>1</v>
      </c>
      <c s="60" r="K4"/>
    </row>
    <row customHeight="1" r="5" ht="13.5">
      <c s="42" r="A5">
        <f>A4+1</f>
        <v>2</v>
      </c>
      <c t="s" s="69" r="B5">
        <v>11</v>
      </c>
      <c t="str" s="8" r="C5">
        <f>VLOOKUP(B5,'Moves Index'!$B$3:$C$561,2,FALSE)</f>
        <v>No</v>
      </c>
      <c t="str" s="8" r="D5">
        <f>VLOOKUP(B5,'Moves Index'!$B$3:$D$561,3,FALSE)</f>
        <v>Non-Attacking</v>
      </c>
      <c t="str" s="8" r="E5">
        <f>VLOOKUP(B5,'Moves Index'!$B$3:$E$561,4,FALSE)</f>
        <v>N/A</v>
      </c>
      <c t="str" s="74" r="F5">
        <f>VLOOKUP(B5,Lookup!$B$3:$C$54,2,FALSE)</f>
        <v>#N/A:lookupNotFound:Double Team</v>
      </c>
      <c t="str" s="77" r="G5">
        <f>VLOOKUP(B5,Lookup!$E$24:$F$121,2,FALSE)</f>
        <v>#N/A:lookupNotFound:Double Team</v>
      </c>
      <c s="60" r="H5"/>
      <c s="86" r="I5"/>
      <c s="86" r="J5"/>
    </row>
    <row customHeight="1" r="6" ht="13.5">
      <c s="42" r="A6">
        <f>A5+1</f>
        <v>3</v>
      </c>
      <c t="s" s="69" r="B6">
        <v>12</v>
      </c>
      <c t="str" s="8" r="C6">
        <f>VLOOKUP(B6,'Moves Index'!$B$3:$C$561,2,FALSE)</f>
        <v>Yes</v>
      </c>
      <c t="str" s="8" r="D6">
        <f>VLOOKUP(B6,'Moves Index'!$B$3:$D$561,3,FALSE)</f>
        <v>Attacking</v>
      </c>
      <c t="str" s="8" r="E6">
        <f>VLOOKUP(B6,'Moves Index'!$B$3:$E$561,4,FALSE)</f>
        <v>Physical</v>
      </c>
      <c t="str" s="74" r="F6">
        <f>VLOOKUP(B6,Lookup!$B$3:$C$54,2,FALSE)</f>
        <v>#N/A:lookupNotFound:Facade</v>
      </c>
      <c t="str" s="77" r="G6">
        <f>VLOOKUP(B6,Lookup!$E$24:$F$121,2,FALSE)</f>
        <v>#N/A:lookupNotFound:Facade</v>
      </c>
      <c s="98" r="H6"/>
      <c t="s" s="16" r="I6">
        <v>13</v>
      </c>
      <c s="107" r="J6"/>
      <c s="60" r="K6"/>
    </row>
    <row r="7">
      <c s="42" r="A7">
        <f>A6+1</f>
        <v>4</v>
      </c>
      <c t="s" s="69" r="B7">
        <v>14</v>
      </c>
      <c t="str" s="8" r="C7">
        <f>VLOOKUP(B7,'Moves Index'!$B$3:$C$561,2,FALSE)</f>
        <v>Yes</v>
      </c>
      <c t="str" s="8" r="D7">
        <f>VLOOKUP(B7,'Moves Index'!$B$3:$D$561,3,FALSE)</f>
        <v>Attacking</v>
      </c>
      <c t="str" s="8" r="E7">
        <f>VLOOKUP(B7,'Moves Index'!$B$3:$E$561,4,FALSE)</f>
        <v>Physical</v>
      </c>
      <c t="str" s="74" r="F7">
        <f>VLOOKUP(B7,Lookup!$B$3:$C$54,2,FALSE)</f>
        <v>Return</v>
      </c>
      <c t="str" s="74" r="G7">
        <f>VLOOKUP(B7,Lookup!$E$24:$F$121,2,FALSE)</f>
        <v>#N/A:lookupNotFound:Frustration</v>
      </c>
      <c s="4" r="H7"/>
      <c t="s" s="48" r="I7">
        <v>4</v>
      </c>
      <c t="s" s="53" r="J7">
        <v>7</v>
      </c>
      <c s="60" r="K7"/>
    </row>
    <row r="8">
      <c s="42" r="A8">
        <f>A7+1</f>
        <v>5</v>
      </c>
      <c t="s" s="69" r="B8">
        <v>15</v>
      </c>
      <c t="str" s="8" r="C8">
        <f>VLOOKUP(B8,'Moves Index'!$B$3:$C$561,2,FALSE)</f>
        <v>No</v>
      </c>
      <c t="str" s="8" r="D8">
        <f>VLOOKUP(B8,'Moves Index'!$B$3:$D$561,3,FALSE)</f>
        <v>Attacking</v>
      </c>
      <c t="str" s="8" r="E8">
        <f>VLOOKUP(B8,'Moves Index'!$B$3:$E$561,4,FALSE)</f>
        <v>Physical</v>
      </c>
      <c t="str" s="74" r="F8">
        <f>VLOOKUP(B8,Lookup!$B$3:$C$54,2,FALSE)</f>
        <v>#N/A:lookupNotFound:Giga Impact</v>
      </c>
      <c t="str" s="74" r="G8">
        <f>VLOOKUP(B8,Lookup!$E$24:$F$121,2,FALSE)</f>
        <v>#N/A:lookupNotFound:Giga Impact</v>
      </c>
      <c s="4" r="H8"/>
      <c s="58" r="I8"/>
      <c t="str" s="6" r="J8">
        <f>VLOOKUP(I8,Lookup!$E$4:$F$20,2,FALSE)</f>
        <v>#N/A:blankIndicator:</v>
      </c>
      <c s="60" r="K8"/>
    </row>
    <row r="9">
      <c s="42" r="A9">
        <f>A8+1</f>
        <v>6</v>
      </c>
      <c t="s" s="69" r="B9">
        <v>16</v>
      </c>
      <c t="str" s="8" r="C9">
        <f>VLOOKUP(B9,'Moves Index'!$B$3:$C$561,2,FALSE)</f>
        <v>Yes</v>
      </c>
      <c t="str" s="8" r="D9">
        <f>VLOOKUP(B9,'Moves Index'!$B$3:$D$561,3,FALSE)</f>
        <v>Attacking</v>
      </c>
      <c t="str" s="8" r="E9">
        <f>VLOOKUP(B9,'Moves Index'!$B$3:$E$561,4,FALSE)</f>
        <v>Special</v>
      </c>
      <c t="str" s="74" r="F9">
        <f>VLOOKUP(B9,Lookup!$B$3:$C$54,2,FALSE)</f>
        <v>#N/A:lookupNotFound:Hidden Power</v>
      </c>
      <c t="str" s="74" r="G9">
        <f>VLOOKUP(B9,Lookup!$E$24:$F$121,2,FALSE)</f>
        <v>#N/A:lookupNotFound:Hidden Power</v>
      </c>
      <c s="4" r="H9"/>
      <c s="112" r="I9"/>
      <c t="str" s="25" r="J9">
        <f>VLOOKUP(I9,Lookup!$E$4:$F$20,2,FALSE)</f>
        <v>#N/A:blankIndicator:</v>
      </c>
      <c s="60" r="K9"/>
    </row>
    <row customHeight="1" r="10" ht="13.5">
      <c s="42" r="A10">
        <f>A9+1</f>
        <v>7</v>
      </c>
      <c t="s" s="69" r="B10">
        <v>17</v>
      </c>
      <c t="str" s="8" r="C10">
        <f>VLOOKUP(B10,'Moves Index'!$B$3:$C$561,2,FALSE)</f>
        <v>No</v>
      </c>
      <c t="str" s="8" r="D10">
        <f>VLOOKUP(B10,'Moves Index'!$B$3:$D$561,3,FALSE)</f>
        <v>Attacking</v>
      </c>
      <c t="str" s="8" r="E10">
        <f>VLOOKUP(B10,'Moves Index'!$B$3:$E$561,4,FALSE)</f>
        <v>Special</v>
      </c>
      <c t="str" s="74" r="F10">
        <f>VLOOKUP(B10,Lookup!$B$3:$C$54,2,FALSE)</f>
        <v>#N/A:lookupNotFound:Hyper Beam</v>
      </c>
      <c t="str" s="74" r="G10">
        <f>VLOOKUP(B10,Lookup!$E$24:$F$121,2,FALSE)</f>
        <v>#N/A:lookupNotFound:Hyper Beam</v>
      </c>
      <c s="46" r="H10"/>
      <c s="86" r="I10"/>
      <c s="86" r="J10"/>
    </row>
    <row customHeight="1" r="11" ht="14.25">
      <c s="42" r="A11">
        <f>A10+1</f>
        <v>8</v>
      </c>
      <c t="s" s="69" r="B11">
        <v>18</v>
      </c>
      <c t="str" s="8" r="C11">
        <f>VLOOKUP(B11,'Moves Index'!$B$3:$C$561,2,FALSE)</f>
        <v>Yes</v>
      </c>
      <c t="str" s="8" r="D11">
        <f>VLOOKUP(B11,'Moves Index'!$B$3:$D$561,3,FALSE)</f>
        <v>Non-Attacking</v>
      </c>
      <c t="str" s="8" r="E11">
        <f>VLOOKUP(B11,'Moves Index'!$B$3:$E$561,4,FALSE)</f>
        <v>N/A</v>
      </c>
      <c t="str" s="74" r="F11">
        <f>VLOOKUP(B11,Lookup!$B$3:$C$54,2,FALSE)</f>
        <v>#N/A:lookupNotFound:Protect</v>
      </c>
      <c t="str" s="74" r="G11">
        <f>VLOOKUP(B11,Lookup!$E$24:$F$121,2,FALSE)</f>
        <v>#N/A:lookupNotFound:Protect</v>
      </c>
      <c s="4" r="H11"/>
      <c t="s" s="36" r="I11">
        <v>19</v>
      </c>
      <c s="1" r="J11"/>
      <c s="60" r="K11"/>
    </row>
    <row customHeight="1" r="12" ht="13.5">
      <c s="42" r="A12">
        <f>A11+1</f>
        <v>9</v>
      </c>
      <c t="s" s="69" r="B12">
        <v>20</v>
      </c>
      <c t="str" s="8" r="C12">
        <f>VLOOKUP(B12,'Moves Index'!$B$3:$C$561,2,FALSE)</f>
        <v>No</v>
      </c>
      <c t="str" s="8" r="D12">
        <f>VLOOKUP(B12,'Moves Index'!$B$3:$D$561,3,FALSE)</f>
        <v>Non-Attacking</v>
      </c>
      <c t="str" s="8" r="E12">
        <f>VLOOKUP(B12,'Moves Index'!$B$3:$E$561,4,FALSE)</f>
        <v>N/A</v>
      </c>
      <c t="str" s="74" r="F12">
        <f>VLOOKUP(B12,Lookup!$B$3:$C$54,2,FALSE)</f>
        <v>#N/A:lookupNotFound:Recycle</v>
      </c>
      <c t="str" s="74" r="G12">
        <f>VLOOKUP(B12,Lookup!$E$24:$F$121,2,FALSE)</f>
        <v>#N/A:lookupNotFound:Recycle</v>
      </c>
      <c s="4" r="H12"/>
      <c t="s" s="7" r="I12">
        <v>21</v>
      </c>
      <c s="81" r="J12">
        <f>COUNTA(B4:B103)</f>
        <v>17</v>
      </c>
      <c s="60" r="K12"/>
    </row>
    <row r="13">
      <c s="42" r="A13">
        <f>A12+1</f>
        <v>10</v>
      </c>
      <c t="s" s="69" r="B13">
        <v>22</v>
      </c>
      <c t="str" s="8" r="C13">
        <f>VLOOKUP(B13,'Moves Index'!$B$3:$C$561,2,FALSE)</f>
        <v>Yes</v>
      </c>
      <c t="str" s="8" r="D13">
        <f>VLOOKUP(B13,'Moves Index'!$B$3:$D$561,3,FALSE)</f>
        <v>Non-Attacking</v>
      </c>
      <c t="str" s="8" r="E13">
        <f>VLOOKUP(B13,'Moves Index'!$B$3:$E$561,4,FALSE)</f>
        <v>N/A</v>
      </c>
      <c t="str" s="74" r="F13">
        <f>VLOOKUP(B13,Lookup!$B$3:$C$54,2,FALSE)</f>
        <v>#N/A:lookupNotFound:Rest</v>
      </c>
      <c t="str" s="74" r="G13">
        <f>VLOOKUP(B13,Lookup!$E$24:$F$121,2,FALSE)</f>
        <v>#N/A:lookupNotFound:Rest</v>
      </c>
      <c s="4" r="H13"/>
      <c s="1" r="I13"/>
      <c s="1" r="J13"/>
      <c s="60" r="K13"/>
    </row>
    <row r="14">
      <c s="42" r="A14">
        <f>A13+1</f>
        <v>11</v>
      </c>
      <c t="s" s="69" r="B14">
        <v>23</v>
      </c>
      <c t="str" s="8" r="C14">
        <f>VLOOKUP(B14,'Moves Index'!$B$3:$C$561,2,FALSE)</f>
        <v>Yes</v>
      </c>
      <c t="str" s="8" r="D14">
        <f>VLOOKUP(B14,'Moves Index'!$B$3:$D$561,3,FALSE)</f>
        <v>Attacking</v>
      </c>
      <c t="str" s="8" r="E14">
        <f>VLOOKUP(B14,'Moves Index'!$B$3:$E$561,4,FALSE)</f>
        <v>Physical</v>
      </c>
      <c t="str" s="74" r="F14">
        <f>VLOOKUP(B14,Lookup!$B$3:$C$54,2,FALSE)</f>
        <v>Frustration</v>
      </c>
      <c t="str" s="74" r="G14">
        <f>VLOOKUP(B14,Lookup!$E$24:$F$121,2,FALSE)</f>
        <v>#N/A:lookupNotFound:Return</v>
      </c>
      <c s="4" r="H14"/>
      <c t="s" s="7" r="I14">
        <v>24</v>
      </c>
      <c s="81" r="J14">
        <f>COUNTIF(C4:C103,"Yes")-J4</f>
        <v>8</v>
      </c>
      <c s="60" r="K14"/>
    </row>
    <row r="15">
      <c s="42" r="A15">
        <f>A14+1</f>
        <v>12</v>
      </c>
      <c t="s" s="69" r="B15">
        <v>25</v>
      </c>
      <c t="str" s="8" r="C15">
        <f>VLOOKUP(B15,'Moves Index'!$B$3:$C$561,2,FALSE)</f>
        <v>No</v>
      </c>
      <c t="str" s="8" r="D15">
        <f>VLOOKUP(B15,'Moves Index'!$B$3:$D$561,3,FALSE)</f>
        <v>Attacking</v>
      </c>
      <c t="str" s="8" r="E15">
        <f>VLOOKUP(B15,'Moves Index'!$B$3:$E$561,4,FALSE)</f>
        <v>Special</v>
      </c>
      <c t="str" s="74" r="F15">
        <f>VLOOKUP(B15,Lookup!$B$3:$C$54,2,FALSE)</f>
        <v>#N/A:lookupNotFound:Round</v>
      </c>
      <c t="str" s="74" r="G15">
        <f>VLOOKUP(B15,Lookup!$E$24:$F$121,2,FALSE)</f>
        <v>#N/A:lookupNotFound:Round</v>
      </c>
      <c s="4" r="H15"/>
      <c s="1" r="I15"/>
      <c s="1" r="J15"/>
      <c s="60" r="K15"/>
    </row>
    <row r="16">
      <c s="42" r="A16">
        <f>A15+1</f>
        <v>13</v>
      </c>
      <c t="s" s="69" r="B16">
        <v>26</v>
      </c>
      <c t="str" s="8" r="C16">
        <f>VLOOKUP(B16,'Moves Index'!$B$3:$C$561,2,FALSE)</f>
        <v>Yes</v>
      </c>
      <c t="str" s="8" r="D16">
        <f>VLOOKUP(B16,'Moves Index'!$B$3:$D$561,3,FALSE)</f>
        <v>Non-Attacking</v>
      </c>
      <c t="str" s="8" r="E16">
        <f>VLOOKUP(B16,'Moves Index'!$B$3:$E$561,4,FALSE)</f>
        <v>N/A</v>
      </c>
      <c t="str" s="74" r="F16">
        <f>VLOOKUP(B16,Lookup!$B$3:$C$54,2,FALSE)</f>
        <v>#N/A:lookupNotFound:Sleep Talk</v>
      </c>
      <c t="str" s="74" r="G16">
        <f>VLOOKUP(B16,Lookup!$E$24:$F$121,2,FALSE)</f>
        <v>#N/A:lookupNotFound:Sleep Talk</v>
      </c>
      <c s="4" r="H16"/>
      <c t="s" s="117" r="I16">
        <v>27</v>
      </c>
      <c s="93" r="J16">
        <f>COUNTIF(D4:D103,"Attacking")</f>
        <v>8</v>
      </c>
      <c s="60" r="K16"/>
    </row>
    <row r="17">
      <c s="42" r="A17">
        <f>A16+1</f>
        <v>14</v>
      </c>
      <c t="s" s="69" r="B17">
        <v>28</v>
      </c>
      <c t="str" s="8" r="C17">
        <f>VLOOKUP(B17,'Moves Index'!$B$3:$C$561,2,FALSE)</f>
        <v>No</v>
      </c>
      <c t="str" s="8" r="D17">
        <f>VLOOKUP(B17,'Moves Index'!$B$3:$D$561,3,FALSE)</f>
        <v>Attacking</v>
      </c>
      <c t="str" s="8" r="E17">
        <f>VLOOKUP(B17,'Moves Index'!$B$3:$E$561,4,FALSE)</f>
        <v>Special</v>
      </c>
      <c t="str" s="74" r="F17">
        <f>VLOOKUP(B17,Lookup!$B$3:$C$54,2,FALSE)</f>
        <v>#N/A:lookupNotFound:Snore</v>
      </c>
      <c t="str" s="74" r="G17">
        <f>VLOOKUP(B17,Lookup!$E$24:$F$121,2,FALSE)</f>
        <v>#N/A:lookupNotFound:Snore</v>
      </c>
      <c s="4" r="H17"/>
      <c t="s" s="117" r="I17">
        <v>29</v>
      </c>
      <c s="93" r="J17">
        <f>COUNTIF(D4:D103,"Non-Attacking")</f>
        <v>9</v>
      </c>
      <c s="60" r="K17"/>
    </row>
    <row r="18">
      <c s="42" r="A18">
        <f>A17+1</f>
        <v>15</v>
      </c>
      <c t="s" s="69" r="B18">
        <v>30</v>
      </c>
      <c t="str" s="8" r="C18">
        <f>VLOOKUP(B18,'Moves Index'!$B$3:$C$561,2,FALSE)</f>
        <v>Yes</v>
      </c>
      <c t="str" s="8" r="D18">
        <f>VLOOKUP(B18,'Moves Index'!$B$3:$D$561,3,FALSE)</f>
        <v>Non-Attacking</v>
      </c>
      <c t="str" s="8" r="E18">
        <f>VLOOKUP(B18,'Moves Index'!$B$3:$E$561,4,FALSE)</f>
        <v>N/A</v>
      </c>
      <c t="str" s="74" r="F18">
        <f>VLOOKUP(B18,Lookup!$B$3:$C$54,2,FALSE)</f>
        <v>#N/A:lookupNotFound:Substitute</v>
      </c>
      <c t="str" s="74" r="G18">
        <f>VLOOKUP(B18,Lookup!$E$24:$F$121,2,FALSE)</f>
        <v>#N/A:lookupNotFound:Substitute</v>
      </c>
      <c s="4" r="H18"/>
      <c t="s" s="117" r="I18">
        <v>31</v>
      </c>
      <c s="93" r="J18">
        <f>COUNTIF(E4:E103,"Physical")</f>
        <v>4</v>
      </c>
      <c s="60" r="K18"/>
    </row>
    <row customHeight="1" r="19" ht="13.5">
      <c s="42" r="A19">
        <f>A18+1</f>
        <v>16</v>
      </c>
      <c t="s" s="69" r="B19">
        <v>32</v>
      </c>
      <c t="str" s="8" r="C19">
        <f>VLOOKUP(B19,'Moves Index'!$B$3:$C$561,2,FALSE)</f>
        <v>No</v>
      </c>
      <c t="str" s="8" r="D19">
        <f>VLOOKUP(B19,'Moves Index'!$B$3:$D$561,3,FALSE)</f>
        <v>Non-Attacking</v>
      </c>
      <c t="str" s="8" r="E19">
        <f>VLOOKUP(B19,'Moves Index'!$B$3:$E$561,4,FALSE)</f>
        <v>N/A</v>
      </c>
      <c t="str" s="74" r="F19">
        <f>VLOOKUP(B19,Lookup!$B$3:$C$54,2,FALSE)</f>
        <v>#N/A:lookupNotFound:Swagger</v>
      </c>
      <c t="str" s="74" r="G19">
        <f>VLOOKUP(B19,Lookup!$E$24:$F$121,2,FALSE)</f>
        <v>#N/A:lookupNotFound:Swagger</v>
      </c>
      <c s="4" r="H19"/>
      <c t="s" s="117" r="I19">
        <v>33</v>
      </c>
      <c s="93" r="J19">
        <f>COUNTIF(E4:E103,"Special")</f>
        <v>4</v>
      </c>
      <c s="60" r="K19"/>
    </row>
    <row customHeight="1" r="20" ht="13.5">
      <c s="42" r="A20">
        <f>A19+1</f>
        <v>17</v>
      </c>
      <c t="s" s="69" r="B20">
        <v>34</v>
      </c>
      <c t="str" s="8" r="C20">
        <f>VLOOKUP(B20,'Moves Index'!$B$3:$C$561,2,FALSE)</f>
        <v>Yes</v>
      </c>
      <c t="str" s="8" r="D20">
        <f>VLOOKUP(B20,'Moves Index'!$B$3:$D$561,3,FALSE)</f>
        <v>Non-Attacking</v>
      </c>
      <c t="str" s="8" r="E20">
        <f>VLOOKUP(B20,'Moves Index'!$B$3:$E$561,4,FALSE)</f>
        <v>N/A</v>
      </c>
      <c t="str" s="74" r="F20">
        <f>VLOOKUP(B20,Lookup!$B$3:$C$54,2,FALSE)</f>
        <v>#N/A:lookupNotFound:Toxic</v>
      </c>
      <c t="str" s="74" r="G20">
        <f>VLOOKUP(B20,Lookup!$E$24:$F$121,2,FALSE)</f>
        <v>#N/A:lookupNotFound:Toxic</v>
      </c>
      <c s="46" r="H20"/>
      <c s="33" r="I20"/>
      <c s="33" r="J20"/>
    </row>
    <row r="21">
      <c s="42" r="A21">
        <f>A20+1</f>
        <v>18</v>
      </c>
      <c s="69" r="B21"/>
      <c t="str" s="8" r="C21">
        <f>VLOOKUP(B21,'Moves Index'!$B$3:$C$561,2,FALSE)</f>
        <v>#N/A:blankIndicator:</v>
      </c>
      <c t="str" s="8" r="D21">
        <f>VLOOKUP(B21,'Moves Index'!$B$3:$D$561,3,FALSE)</f>
        <v>#N/A:blankIndicator:</v>
      </c>
      <c t="str" s="8" r="E21">
        <f>VLOOKUP(B21,'Moves Index'!$B$3:$E$561,4,FALSE)</f>
        <v>#N/A:blankIndicator:</v>
      </c>
      <c t="str" s="74" r="F21">
        <f>VLOOKUP(B21,Lookup!$B$3:$C$54,2,FALSE)</f>
        <v>#N/A:blankIndicator:</v>
      </c>
      <c t="str" s="74" r="G21">
        <f>VLOOKUP(B21,Lookup!$E$24:$F$121,2,FALSE)</f>
        <v>#N/A:blankIndicator:</v>
      </c>
      <c s="46" r="H21"/>
      <c t="s" s="61" r="I21">
        <v>35</v>
      </c>
    </row>
    <row r="22">
      <c s="42" r="A22">
        <f>A21+1</f>
        <v>19</v>
      </c>
      <c s="69" r="B22"/>
      <c t="str" s="8" r="C22">
        <f>VLOOKUP(B22,'Moves Index'!$B$3:$C$561,2,FALSE)</f>
        <v>#N/A:blankIndicator:</v>
      </c>
      <c t="str" s="8" r="D22">
        <f>VLOOKUP(B22,'Moves Index'!$B$3:$D$561,3,FALSE)</f>
        <v>#N/A:blankIndicator:</v>
      </c>
      <c t="str" s="8" r="E22">
        <f>VLOOKUP(B22,'Moves Index'!$B$3:$E$561,4,FALSE)</f>
        <v>#N/A:blankIndicator:</v>
      </c>
      <c t="str" s="74" r="F22">
        <f>VLOOKUP(B22,Lookup!$B$3:$C$54,2,FALSE)</f>
        <v>#N/A:blankIndicator:</v>
      </c>
      <c t="str" s="74" r="G22">
        <f>VLOOKUP(B22,Lookup!$E$24:$F$121,2,FALSE)</f>
        <v>#N/A:blankIndicator:</v>
      </c>
      <c s="46" r="H22"/>
    </row>
    <row r="23">
      <c s="42" r="A23">
        <f>A22+1</f>
        <v>20</v>
      </c>
      <c s="69" r="B23"/>
      <c t="str" s="8" r="C23">
        <f>VLOOKUP(B23,'Moves Index'!$B$3:$C$561,2,FALSE)</f>
        <v>#N/A:blankIndicator:</v>
      </c>
      <c t="str" s="8" r="D23">
        <f>VLOOKUP(B23,'Moves Index'!$B$3:$D$561,3,FALSE)</f>
        <v>#N/A:blankIndicator:</v>
      </c>
      <c t="str" s="8" r="E23">
        <f>VLOOKUP(B23,'Moves Index'!$B$3:$E$561,4,FALSE)</f>
        <v>#N/A:blankIndicator:</v>
      </c>
      <c t="str" s="74" r="F23">
        <f>VLOOKUP(B23,Lookup!$B$3:$C$54,2,FALSE)</f>
        <v>#N/A:blankIndicator:</v>
      </c>
      <c t="str" s="74" r="G23">
        <f>VLOOKUP(B23,Lookup!$E$24:$F$121,2,FALSE)</f>
        <v>#N/A:blankIndicator:</v>
      </c>
      <c s="46" r="H23"/>
    </row>
    <row r="24">
      <c s="42" r="A24">
        <f>A23+1</f>
        <v>21</v>
      </c>
      <c s="69" r="B24"/>
      <c t="str" s="8" r="C24">
        <f>VLOOKUP(B24,'Moves Index'!$B$3:$C$561,2,FALSE)</f>
        <v>#N/A:blankIndicator:</v>
      </c>
      <c t="str" s="8" r="D24">
        <f>VLOOKUP(B24,'Moves Index'!$B$3:$D$561,3,FALSE)</f>
        <v>#N/A:blankIndicator:</v>
      </c>
      <c t="str" s="8" r="E24">
        <f>VLOOKUP(B24,'Moves Index'!$B$3:$E$561,4,FALSE)</f>
        <v>#N/A:blankIndicator:</v>
      </c>
      <c t="str" s="74" r="F24">
        <f>VLOOKUP(B24,Lookup!$B$3:$C$54,2,FALSE)</f>
        <v>#N/A:blankIndicator:</v>
      </c>
      <c t="str" s="74" r="G24">
        <f>VLOOKUP(B24,Lookup!$E$24:$F$121,2,FALSE)</f>
        <v>#N/A:blankIndicator:</v>
      </c>
      <c s="46" r="H24"/>
    </row>
    <row r="25">
      <c s="42" r="A25">
        <f>A24+1</f>
        <v>22</v>
      </c>
      <c s="69" r="B25"/>
      <c t="str" s="8" r="C25">
        <f>VLOOKUP(B25,'Moves Index'!$B$3:$C$561,2,FALSE)</f>
        <v>#N/A:blankIndicator:</v>
      </c>
      <c t="str" s="8" r="D25">
        <f>VLOOKUP(B25,'Moves Index'!$B$3:$D$561,3,FALSE)</f>
        <v>#N/A:blankIndicator:</v>
      </c>
      <c t="str" s="8" r="E25">
        <f>VLOOKUP(B25,'Moves Index'!$B$3:$E$561,4,FALSE)</f>
        <v>#N/A:blankIndicator:</v>
      </c>
      <c t="str" s="74" r="F25">
        <f>VLOOKUP(B25,Lookup!$B$3:$C$54,2,FALSE)</f>
        <v>#N/A:blankIndicator:</v>
      </c>
      <c t="str" s="74" r="G25">
        <f>VLOOKUP(B25,Lookup!$E$24:$F$121,2,FALSE)</f>
        <v>#N/A:blankIndicator:</v>
      </c>
      <c s="46" r="H25"/>
    </row>
    <row r="26">
      <c s="42" r="A26">
        <f>A25+1</f>
        <v>23</v>
      </c>
      <c s="69" r="B26"/>
      <c t="str" s="8" r="C26">
        <f>VLOOKUP(B26,'Moves Index'!$B$3:$C$561,2,FALSE)</f>
        <v>#N/A:blankIndicator:</v>
      </c>
      <c t="str" s="8" r="D26">
        <f>VLOOKUP(B26,'Moves Index'!$B$3:$D$561,3,FALSE)</f>
        <v>#N/A:blankIndicator:</v>
      </c>
      <c t="str" s="8" r="E26">
        <f>VLOOKUP(B26,'Moves Index'!$B$3:$E$561,4,FALSE)</f>
        <v>#N/A:blankIndicator:</v>
      </c>
      <c t="str" s="74" r="F26">
        <f>VLOOKUP(B26,Lookup!$B$3:$C$54,2,FALSE)</f>
        <v>#N/A:blankIndicator:</v>
      </c>
      <c t="str" s="74" r="G26">
        <f>VLOOKUP(B26,Lookup!$E$24:$F$121,2,FALSE)</f>
        <v>#N/A:blankIndicator:</v>
      </c>
      <c s="46" r="H26"/>
    </row>
    <row r="27">
      <c s="42" r="A27">
        <f>A26+1</f>
        <v>24</v>
      </c>
      <c s="69" r="B27"/>
      <c t="str" s="8" r="C27">
        <f>VLOOKUP(B27,'Moves Index'!$B$3:$C$561,2,FALSE)</f>
        <v>#N/A:blankIndicator:</v>
      </c>
      <c t="str" s="8" r="D27">
        <f>VLOOKUP(B27,'Moves Index'!$B$3:$D$561,3,FALSE)</f>
        <v>#N/A:blankIndicator:</v>
      </c>
      <c t="str" s="8" r="E27">
        <f>VLOOKUP(B27,'Moves Index'!$B$3:$E$561,4,FALSE)</f>
        <v>#N/A:blankIndicator:</v>
      </c>
      <c t="str" s="74" r="F27">
        <f>VLOOKUP(B27,Lookup!$B$3:$C$54,2,FALSE)</f>
        <v>#N/A:blankIndicator:</v>
      </c>
      <c t="str" s="74" r="G27">
        <f>VLOOKUP(B27,Lookup!$E$24:$F$121,2,FALSE)</f>
        <v>#N/A:blankIndicator:</v>
      </c>
      <c s="46" r="H27"/>
    </row>
    <row r="28">
      <c s="42" r="A28">
        <f>A27+1</f>
        <v>25</v>
      </c>
      <c s="69" r="B28"/>
      <c t="str" s="8" r="C28">
        <f>VLOOKUP(B28,'Moves Index'!$B$3:$C$561,2,FALSE)</f>
        <v>#N/A:blankIndicator:</v>
      </c>
      <c t="str" s="8" r="D28">
        <f>VLOOKUP(B28,'Moves Index'!$B$3:$D$561,3,FALSE)</f>
        <v>#N/A:blankIndicator:</v>
      </c>
      <c t="str" s="8" r="E28">
        <f>VLOOKUP(B28,'Moves Index'!$B$3:$E$561,4,FALSE)</f>
        <v>#N/A:blankIndicator:</v>
      </c>
      <c t="str" s="74" r="F28">
        <f>VLOOKUP(B28,Lookup!$B$3:$C$54,2,FALSE)</f>
        <v>#N/A:blankIndicator:</v>
      </c>
      <c t="str" s="74" r="G28">
        <f>VLOOKUP(B28,Lookup!$E$24:$F$121,2,FALSE)</f>
        <v>#N/A:blankIndicator:</v>
      </c>
      <c s="46" r="H28"/>
    </row>
    <row r="29">
      <c s="42" r="A29">
        <f>A28+1</f>
        <v>26</v>
      </c>
      <c s="69" r="B29"/>
      <c t="str" s="8" r="C29">
        <f>VLOOKUP(B29,'Moves Index'!$B$3:$C$561,2,FALSE)</f>
        <v>#N/A:blankIndicator:</v>
      </c>
      <c t="str" s="8" r="D29">
        <f>VLOOKUP(B29,'Moves Index'!$B$3:$D$561,3,FALSE)</f>
        <v>#N/A:blankIndicator:</v>
      </c>
      <c t="str" s="8" r="E29">
        <f>VLOOKUP(B29,'Moves Index'!$B$3:$E$561,4,FALSE)</f>
        <v>#N/A:blankIndicator:</v>
      </c>
      <c t="str" s="74" r="F29">
        <f>VLOOKUP(B29,Lookup!$B$3:$C$54,2,FALSE)</f>
        <v>#N/A:blankIndicator:</v>
      </c>
      <c t="str" s="74" r="G29">
        <f>VLOOKUP(B29,Lookup!$E$24:$F$121,2,FALSE)</f>
        <v>#N/A:blankIndicator:</v>
      </c>
      <c s="46" r="H29"/>
    </row>
    <row r="30">
      <c s="42" r="A30">
        <f>A29+1</f>
        <v>27</v>
      </c>
      <c s="69" r="B30"/>
      <c t="str" s="8" r="C30">
        <f>VLOOKUP(B30,'Moves Index'!$B$3:$C$561,2,FALSE)</f>
        <v>#N/A:blankIndicator:</v>
      </c>
      <c t="str" s="8" r="D30">
        <f>VLOOKUP(B30,'Moves Index'!$B$3:$D$561,3,FALSE)</f>
        <v>#N/A:blankIndicator:</v>
      </c>
      <c t="str" s="8" r="E30">
        <f>VLOOKUP(B30,'Moves Index'!$B$3:$E$561,4,FALSE)</f>
        <v>#N/A:blankIndicator:</v>
      </c>
      <c t="str" s="74" r="F30">
        <f>VLOOKUP(B30,Lookup!$B$3:$C$54,2,FALSE)</f>
        <v>#N/A:blankIndicator:</v>
      </c>
      <c t="str" s="74" r="G30">
        <f>VLOOKUP(B30,Lookup!$E$24:$F$121,2,FALSE)</f>
        <v>#N/A:blankIndicator:</v>
      </c>
      <c s="46" r="H30"/>
    </row>
    <row r="31">
      <c s="42" r="A31">
        <f>A30+1</f>
        <v>28</v>
      </c>
      <c s="69" r="B31"/>
      <c t="str" s="8" r="C31">
        <f>VLOOKUP(B31,'Moves Index'!$B$3:$C$561,2,FALSE)</f>
        <v>#N/A:blankIndicator:</v>
      </c>
      <c t="str" s="8" r="D31">
        <f>VLOOKUP(B31,'Moves Index'!$B$3:$D$561,3,FALSE)</f>
        <v>#N/A:blankIndicator:</v>
      </c>
      <c t="str" s="8" r="E31">
        <f>VLOOKUP(B31,'Moves Index'!$B$3:$E$561,4,FALSE)</f>
        <v>#N/A:blankIndicator:</v>
      </c>
      <c t="str" s="74" r="F31">
        <f>VLOOKUP(B31,Lookup!$B$3:$C$54,2,FALSE)</f>
        <v>#N/A:blankIndicator:</v>
      </c>
      <c t="str" s="74" r="G31">
        <f>VLOOKUP(B31,Lookup!$E$24:$F$121,2,FALSE)</f>
        <v>#N/A:blankIndicator:</v>
      </c>
      <c s="46" r="H31"/>
    </row>
    <row r="32">
      <c s="42" r="A32">
        <f>A31+1</f>
        <v>29</v>
      </c>
      <c s="69" r="B32"/>
      <c t="str" s="8" r="C32">
        <f>VLOOKUP(B32,'Moves Index'!$B$3:$C$561,2,FALSE)</f>
        <v>#N/A:blankIndicator:</v>
      </c>
      <c t="str" s="8" r="D32">
        <f>VLOOKUP(B32,'Moves Index'!$B$3:$D$561,3,FALSE)</f>
        <v>#N/A:blankIndicator:</v>
      </c>
      <c t="str" s="8" r="E32">
        <f>VLOOKUP(B32,'Moves Index'!$B$3:$E$561,4,FALSE)</f>
        <v>#N/A:blankIndicator:</v>
      </c>
      <c t="str" s="74" r="F32">
        <f>VLOOKUP(B32,Lookup!$B$3:$C$54,2,FALSE)</f>
        <v>#N/A:blankIndicator:</v>
      </c>
      <c t="str" s="74" r="G32">
        <f>VLOOKUP(B32,Lookup!$E$24:$F$121,2,FALSE)</f>
        <v>#N/A:blankIndicator:</v>
      </c>
      <c s="46" r="H32"/>
    </row>
    <row r="33">
      <c s="42" r="A33">
        <f>A32+1</f>
        <v>30</v>
      </c>
      <c s="69" r="B33"/>
      <c t="str" s="8" r="C33">
        <f>VLOOKUP(B33,'Moves Index'!$B$3:$C$561,2,FALSE)</f>
        <v>#N/A:blankIndicator:</v>
      </c>
      <c t="str" s="8" r="D33">
        <f>VLOOKUP(B33,'Moves Index'!$B$3:$D$561,3,FALSE)</f>
        <v>#N/A:blankIndicator:</v>
      </c>
      <c t="str" s="8" r="E33">
        <f>VLOOKUP(B33,'Moves Index'!$B$3:$E$561,4,FALSE)</f>
        <v>#N/A:blankIndicator:</v>
      </c>
      <c t="str" s="74" r="F33">
        <f>VLOOKUP(B33,Lookup!$B$3:$C$54,2,FALSE)</f>
        <v>#N/A:blankIndicator:</v>
      </c>
      <c t="str" s="74" r="G33">
        <f>VLOOKUP(B33,Lookup!$E$24:$F$121,2,FALSE)</f>
        <v>#N/A:blankIndicator:</v>
      </c>
      <c s="46" r="H33"/>
    </row>
    <row r="34">
      <c s="42" r="A34">
        <f>A33+1</f>
        <v>31</v>
      </c>
      <c s="69" r="B34"/>
      <c t="str" s="8" r="C34">
        <f>VLOOKUP(B34,'Moves Index'!$B$3:$C$561,2,FALSE)</f>
        <v>#N/A:blankIndicator:</v>
      </c>
      <c t="str" s="8" r="D34">
        <f>VLOOKUP(B34,'Moves Index'!$B$3:$D$561,3,FALSE)</f>
        <v>#N/A:blankIndicator:</v>
      </c>
      <c t="str" s="8" r="E34">
        <f>VLOOKUP(B34,'Moves Index'!$B$3:$E$561,4,FALSE)</f>
        <v>#N/A:blankIndicator:</v>
      </c>
      <c t="str" s="74" r="F34">
        <f>VLOOKUP(B34,Lookup!$B$3:$C$54,2,FALSE)</f>
        <v>#N/A:blankIndicator:</v>
      </c>
      <c t="str" s="74" r="G34">
        <f>VLOOKUP(B34,Lookup!$E$24:$F$121,2,FALSE)</f>
        <v>#N/A:blankIndicator:</v>
      </c>
      <c s="46" r="H34"/>
    </row>
    <row r="35">
      <c s="42" r="A35">
        <f>A34+1</f>
        <v>32</v>
      </c>
      <c s="69" r="B35"/>
      <c t="str" s="8" r="C35">
        <f>VLOOKUP(B35,'Moves Index'!$B$3:$C$561,2,FALSE)</f>
        <v>#N/A:blankIndicator:</v>
      </c>
      <c t="str" s="8" r="D35">
        <f>VLOOKUP(B35,'Moves Index'!$B$3:$D$561,3,FALSE)</f>
        <v>#N/A:blankIndicator:</v>
      </c>
      <c t="str" s="8" r="E35">
        <f>VLOOKUP(B35,'Moves Index'!$B$3:$E$561,4,FALSE)</f>
        <v>#N/A:blankIndicator:</v>
      </c>
      <c t="str" s="74" r="F35">
        <f>VLOOKUP(B35,Lookup!$B$3:$C$54,2,FALSE)</f>
        <v>#N/A:blankIndicator:</v>
      </c>
      <c t="str" s="74" r="G35">
        <f>VLOOKUP(B35,Lookup!$E$24:$F$121,2,FALSE)</f>
        <v>#N/A:blankIndicator:</v>
      </c>
      <c s="46" r="H35"/>
    </row>
    <row r="36">
      <c s="42" r="A36">
        <f>A35+1</f>
        <v>33</v>
      </c>
      <c s="69" r="B36"/>
      <c t="str" s="8" r="C36">
        <f>VLOOKUP(B36,'Moves Index'!$B$3:$C$561,2,FALSE)</f>
        <v>#N/A:blankIndicator:</v>
      </c>
      <c t="str" s="8" r="D36">
        <f>VLOOKUP(B36,'Moves Index'!$B$3:$D$561,3,FALSE)</f>
        <v>#N/A:blankIndicator:</v>
      </c>
      <c t="str" s="8" r="E36">
        <f>VLOOKUP(B36,'Moves Index'!$B$3:$E$561,4,FALSE)</f>
        <v>#N/A:blankIndicator:</v>
      </c>
      <c t="str" s="74" r="F36">
        <f>VLOOKUP(B36,Lookup!$B$3:$C$54,2,FALSE)</f>
        <v>#N/A:blankIndicator:</v>
      </c>
      <c t="str" s="74" r="G36">
        <f>VLOOKUP(B36,Lookup!$E$24:$F$121,2,FALSE)</f>
        <v>#N/A:blankIndicator:</v>
      </c>
      <c s="46" r="H36"/>
    </row>
    <row r="37">
      <c s="42" r="A37">
        <f>A36+1</f>
        <v>34</v>
      </c>
      <c s="69" r="B37"/>
      <c t="str" s="8" r="C37">
        <f>VLOOKUP(B37,'Moves Index'!$B$3:$C$561,2,FALSE)</f>
        <v>#N/A:blankIndicator:</v>
      </c>
      <c t="str" s="8" r="D37">
        <f>VLOOKUP(B37,'Moves Index'!$B$3:$D$561,3,FALSE)</f>
        <v>#N/A:blankIndicator:</v>
      </c>
      <c t="str" s="8" r="E37">
        <f>VLOOKUP(B37,'Moves Index'!$B$3:$E$561,4,FALSE)</f>
        <v>#N/A:blankIndicator:</v>
      </c>
      <c t="str" s="74" r="F37">
        <f>VLOOKUP(B37,Lookup!$B$3:$C$54,2,FALSE)</f>
        <v>#N/A:blankIndicator:</v>
      </c>
      <c t="str" s="74" r="G37">
        <f>VLOOKUP(B37,Lookup!$E$24:$F$121,2,FALSE)</f>
        <v>#N/A:blankIndicator:</v>
      </c>
      <c s="46" r="H37"/>
    </row>
    <row r="38">
      <c s="42" r="A38">
        <f>A37+1</f>
        <v>35</v>
      </c>
      <c s="69" r="B38"/>
      <c t="str" s="8" r="C38">
        <f>VLOOKUP(B38,'Moves Index'!$B$3:$C$561,2,FALSE)</f>
        <v>#N/A:blankIndicator:</v>
      </c>
      <c t="str" s="8" r="D38">
        <f>VLOOKUP(B38,'Moves Index'!$B$3:$D$561,3,FALSE)</f>
        <v>#N/A:blankIndicator:</v>
      </c>
      <c t="str" s="8" r="E38">
        <f>VLOOKUP(B38,'Moves Index'!$B$3:$E$561,4,FALSE)</f>
        <v>#N/A:blankIndicator:</v>
      </c>
      <c t="str" s="74" r="F38">
        <f>VLOOKUP(B38,Lookup!$B$3:$C$54,2,FALSE)</f>
        <v>#N/A:blankIndicator:</v>
      </c>
      <c t="str" s="74" r="G38">
        <f>VLOOKUP(B38,Lookup!$E$24:$F$121,2,FALSE)</f>
        <v>#N/A:blankIndicator:</v>
      </c>
      <c s="46" r="H38"/>
    </row>
    <row r="39">
      <c s="42" r="A39">
        <f>A38+1</f>
        <v>36</v>
      </c>
      <c s="69" r="B39"/>
      <c t="str" s="8" r="C39">
        <f>VLOOKUP(B39,'Moves Index'!$B$3:$C$561,2,FALSE)</f>
        <v>#N/A:blankIndicator:</v>
      </c>
      <c t="str" s="8" r="D39">
        <f>VLOOKUP(B39,'Moves Index'!$B$3:$D$561,3,FALSE)</f>
        <v>#N/A:blankIndicator:</v>
      </c>
      <c t="str" s="8" r="E39">
        <f>VLOOKUP(B39,'Moves Index'!$B$3:$E$561,4,FALSE)</f>
        <v>#N/A:blankIndicator:</v>
      </c>
      <c t="str" s="74" r="F39">
        <f>VLOOKUP(B39,Lookup!$B$3:$C$54,2,FALSE)</f>
        <v>#N/A:blankIndicator:</v>
      </c>
      <c t="str" s="74" r="G39">
        <f>VLOOKUP(B39,Lookup!$E$24:$F$121,2,FALSE)</f>
        <v>#N/A:blankIndicator:</v>
      </c>
      <c s="46" r="H39"/>
    </row>
    <row r="40">
      <c s="42" r="A40">
        <f>A39+1</f>
        <v>37</v>
      </c>
      <c s="69" r="B40"/>
      <c t="str" s="8" r="C40">
        <f>VLOOKUP(B40,'Moves Index'!$B$3:$C$561,2,FALSE)</f>
        <v>#N/A:blankIndicator:</v>
      </c>
      <c t="str" s="8" r="D40">
        <f>VLOOKUP(B40,'Moves Index'!$B$3:$D$561,3,FALSE)</f>
        <v>#N/A:blankIndicator:</v>
      </c>
      <c t="str" s="8" r="E40">
        <f>VLOOKUP(B40,'Moves Index'!$B$3:$E$561,4,FALSE)</f>
        <v>#N/A:blankIndicator:</v>
      </c>
      <c t="str" s="74" r="F40">
        <f>VLOOKUP(B40,Lookup!$B$3:$C$54,2,FALSE)</f>
        <v>#N/A:blankIndicator:</v>
      </c>
      <c t="str" s="74" r="G40">
        <f>VLOOKUP(B40,Lookup!$E$24:$F$121,2,FALSE)</f>
        <v>#N/A:blankIndicator:</v>
      </c>
      <c s="46" r="H40"/>
    </row>
    <row r="41">
      <c s="42" r="A41">
        <f>A40+1</f>
        <v>38</v>
      </c>
      <c s="69" r="B41"/>
      <c t="str" s="8" r="C41">
        <f>VLOOKUP(B41,'Moves Index'!$B$3:$C$561,2,FALSE)</f>
        <v>#N/A:blankIndicator:</v>
      </c>
      <c t="str" s="8" r="D41">
        <f>VLOOKUP(B41,'Moves Index'!$B$3:$D$561,3,FALSE)</f>
        <v>#N/A:blankIndicator:</v>
      </c>
      <c t="str" s="8" r="E41">
        <f>VLOOKUP(B41,'Moves Index'!$B$3:$E$561,4,FALSE)</f>
        <v>#N/A:blankIndicator:</v>
      </c>
      <c t="str" s="74" r="F41">
        <f>VLOOKUP(B41,Lookup!$B$3:$C$54,2,FALSE)</f>
        <v>#N/A:blankIndicator:</v>
      </c>
      <c t="str" s="74" r="G41">
        <f>VLOOKUP(B41,Lookup!$E$24:$F$121,2,FALSE)</f>
        <v>#N/A:blankIndicator:</v>
      </c>
      <c s="46" r="H41"/>
    </row>
    <row r="42">
      <c s="42" r="A42">
        <f>A41+1</f>
        <v>39</v>
      </c>
      <c s="69" r="B42"/>
      <c t="str" s="8" r="C42">
        <f>VLOOKUP(B42,'Moves Index'!$B$3:$C$561,2,FALSE)</f>
        <v>#N/A:blankIndicator:</v>
      </c>
      <c t="str" s="8" r="D42">
        <f>VLOOKUP(B42,'Moves Index'!$B$3:$D$561,3,FALSE)</f>
        <v>#N/A:blankIndicator:</v>
      </c>
      <c t="str" s="8" r="E42">
        <f>VLOOKUP(B42,'Moves Index'!$B$3:$E$561,4,FALSE)</f>
        <v>#N/A:blankIndicator:</v>
      </c>
      <c t="str" s="74" r="F42">
        <f>VLOOKUP(B42,Lookup!$B$3:$C$54,2,FALSE)</f>
        <v>#N/A:blankIndicator:</v>
      </c>
      <c t="str" s="74" r="G42">
        <f>VLOOKUP(B42,Lookup!$E$24:$F$121,2,FALSE)</f>
        <v>#N/A:blankIndicator:</v>
      </c>
      <c s="46" r="H42"/>
    </row>
    <row r="43">
      <c s="42" r="A43">
        <f>A42+1</f>
        <v>40</v>
      </c>
      <c s="69" r="B43"/>
      <c t="str" s="8" r="C43">
        <f>VLOOKUP(B43,'Moves Index'!$B$3:$C$561,2,FALSE)</f>
        <v>#N/A:blankIndicator:</v>
      </c>
      <c t="str" s="8" r="D43">
        <f>VLOOKUP(B43,'Moves Index'!$B$3:$D$561,3,FALSE)</f>
        <v>#N/A:blankIndicator:</v>
      </c>
      <c t="str" s="8" r="E43">
        <f>VLOOKUP(B43,'Moves Index'!$B$3:$E$561,4,FALSE)</f>
        <v>#N/A:blankIndicator:</v>
      </c>
      <c t="str" s="74" r="F43">
        <f>VLOOKUP(B43,Lookup!$B$3:$C$54,2,FALSE)</f>
        <v>#N/A:blankIndicator:</v>
      </c>
      <c t="str" s="74" r="G43">
        <f>VLOOKUP(B43,Lookup!$E$24:$F$121,2,FALSE)</f>
        <v>#N/A:blankIndicator:</v>
      </c>
      <c s="46" r="H43"/>
    </row>
    <row r="44">
      <c s="42" r="A44">
        <f>A43+1</f>
        <v>41</v>
      </c>
      <c s="69" r="B44"/>
      <c t="str" s="8" r="C44">
        <f>VLOOKUP(B44,'Moves Index'!$B$3:$C$561,2,FALSE)</f>
        <v>#N/A:blankIndicator:</v>
      </c>
      <c t="str" s="8" r="D44">
        <f>VLOOKUP(B44,'Moves Index'!$B$3:$D$561,3,FALSE)</f>
        <v>#N/A:blankIndicator:</v>
      </c>
      <c t="str" s="8" r="E44">
        <f>VLOOKUP(B44,'Moves Index'!$B$3:$E$561,4,FALSE)</f>
        <v>#N/A:blankIndicator:</v>
      </c>
      <c t="str" s="74" r="F44">
        <f>VLOOKUP(B44,Lookup!$B$3:$C$54,2,FALSE)</f>
        <v>#N/A:blankIndicator:</v>
      </c>
      <c t="str" s="74" r="G44">
        <f>VLOOKUP(B44,Lookup!$E$24:$F$121,2,FALSE)</f>
        <v>#N/A:blankIndicator:</v>
      </c>
      <c s="46" r="H44"/>
    </row>
    <row r="45">
      <c s="42" r="A45">
        <f>A44+1</f>
        <v>42</v>
      </c>
      <c s="69" r="B45"/>
      <c t="str" s="8" r="C45">
        <f>VLOOKUP(B45,'Moves Index'!$B$3:$C$561,2,FALSE)</f>
        <v>#N/A:blankIndicator:</v>
      </c>
      <c t="str" s="8" r="D45">
        <f>VLOOKUP(B45,'Moves Index'!$B$3:$D$561,3,FALSE)</f>
        <v>#N/A:blankIndicator:</v>
      </c>
      <c t="str" s="8" r="E45">
        <f>VLOOKUP(B45,'Moves Index'!$B$3:$E$561,4,FALSE)</f>
        <v>#N/A:blankIndicator:</v>
      </c>
      <c t="str" s="74" r="F45">
        <f>VLOOKUP(B45,Lookup!$B$3:$C$54,2,FALSE)</f>
        <v>#N/A:blankIndicator:</v>
      </c>
      <c t="str" s="74" r="G45">
        <f>VLOOKUP(B45,Lookup!$E$24:$F$121,2,FALSE)</f>
        <v>#N/A:blankIndicator:</v>
      </c>
      <c s="46" r="H45"/>
    </row>
    <row r="46">
      <c s="42" r="A46">
        <f>A45+1</f>
        <v>43</v>
      </c>
      <c s="69" r="B46"/>
      <c t="str" s="8" r="C46">
        <f>VLOOKUP(B46,'Moves Index'!$B$3:$C$561,2,FALSE)</f>
        <v>#N/A:blankIndicator:</v>
      </c>
      <c t="str" s="8" r="D46">
        <f>VLOOKUP(B46,'Moves Index'!$B$3:$D$561,3,FALSE)</f>
        <v>#N/A:blankIndicator:</v>
      </c>
      <c t="str" s="8" r="E46">
        <f>VLOOKUP(B46,'Moves Index'!$B$3:$E$561,4,FALSE)</f>
        <v>#N/A:blankIndicator:</v>
      </c>
      <c t="str" s="74" r="F46">
        <f>VLOOKUP(B46,Lookup!$B$3:$C$54,2,FALSE)</f>
        <v>#N/A:blankIndicator:</v>
      </c>
      <c t="str" s="74" r="G46">
        <f>VLOOKUP(B46,Lookup!$E$24:$F$121,2,FALSE)</f>
        <v>#N/A:blankIndicator:</v>
      </c>
      <c s="46" r="H46"/>
    </row>
    <row r="47">
      <c s="42" r="A47">
        <f>A46+1</f>
        <v>44</v>
      </c>
      <c s="69" r="B47"/>
      <c t="str" s="8" r="C47">
        <f>VLOOKUP(B47,'Moves Index'!$B$3:$C$561,2,FALSE)</f>
        <v>#N/A:blankIndicator:</v>
      </c>
      <c t="str" s="8" r="D47">
        <f>VLOOKUP(B47,'Moves Index'!$B$3:$D$561,3,FALSE)</f>
        <v>#N/A:blankIndicator:</v>
      </c>
      <c t="str" s="8" r="E47">
        <f>VLOOKUP(B47,'Moves Index'!$B$3:$E$561,4,FALSE)</f>
        <v>#N/A:blankIndicator:</v>
      </c>
      <c t="str" s="74" r="F47">
        <f>VLOOKUP(B47,Lookup!$B$3:$C$54,2,FALSE)</f>
        <v>#N/A:blankIndicator:</v>
      </c>
      <c t="str" s="74" r="G47">
        <f>VLOOKUP(B47,Lookup!$E$24:$F$121,2,FALSE)</f>
        <v>#N/A:blankIndicator:</v>
      </c>
      <c s="46" r="H47"/>
    </row>
    <row r="48">
      <c s="42" r="A48">
        <f>A47+1</f>
        <v>45</v>
      </c>
      <c s="69" r="B48"/>
      <c t="str" s="8" r="C48">
        <f>VLOOKUP(B48,'Moves Index'!$B$3:$C$561,2,FALSE)</f>
        <v>#N/A:blankIndicator:</v>
      </c>
      <c t="str" s="8" r="D48">
        <f>VLOOKUP(B48,'Moves Index'!$B$3:$D$561,3,FALSE)</f>
        <v>#N/A:blankIndicator:</v>
      </c>
      <c t="str" s="8" r="E48">
        <f>VLOOKUP(B48,'Moves Index'!$B$3:$E$561,4,FALSE)</f>
        <v>#N/A:blankIndicator:</v>
      </c>
      <c t="str" s="74" r="F48">
        <f>VLOOKUP(B48,Lookup!$B$3:$C$54,2,FALSE)</f>
        <v>#N/A:blankIndicator:</v>
      </c>
      <c t="str" s="74" r="G48">
        <f>VLOOKUP(B48,Lookup!$E$24:$F$121,2,FALSE)</f>
        <v>#N/A:blankIndicator:</v>
      </c>
      <c s="46" r="H48"/>
    </row>
    <row r="49">
      <c s="42" r="A49">
        <f>A48+1</f>
        <v>46</v>
      </c>
      <c s="69" r="B49"/>
      <c t="str" s="8" r="C49">
        <f>VLOOKUP(B49,'Moves Index'!$B$3:$C$561,2,FALSE)</f>
        <v>#N/A:blankIndicator:</v>
      </c>
      <c t="str" s="8" r="D49">
        <f>VLOOKUP(B49,'Moves Index'!$B$3:$D$561,3,FALSE)</f>
        <v>#N/A:blankIndicator:</v>
      </c>
      <c t="str" s="8" r="E49">
        <f>VLOOKUP(B49,'Moves Index'!$B$3:$E$561,4,FALSE)</f>
        <v>#N/A:blankIndicator:</v>
      </c>
      <c t="str" s="74" r="F49">
        <f>VLOOKUP(B49,Lookup!$B$3:$C$54,2,FALSE)</f>
        <v>#N/A:blankIndicator:</v>
      </c>
      <c t="str" s="74" r="G49">
        <f>VLOOKUP(B49,Lookup!$E$24:$F$121,2,FALSE)</f>
        <v>#N/A:blankIndicator:</v>
      </c>
      <c s="46" r="H49"/>
    </row>
    <row r="50">
      <c s="42" r="A50">
        <f>A49+1</f>
        <v>47</v>
      </c>
      <c s="69" r="B50"/>
      <c t="str" s="8" r="C50">
        <f>VLOOKUP(B50,'Moves Index'!$B$3:$C$561,2,FALSE)</f>
        <v>#N/A:blankIndicator:</v>
      </c>
      <c t="str" s="8" r="D50">
        <f>VLOOKUP(B50,'Moves Index'!$B$3:$D$561,3,FALSE)</f>
        <v>#N/A:blankIndicator:</v>
      </c>
      <c t="str" s="8" r="E50">
        <f>VLOOKUP(B50,'Moves Index'!$B$3:$E$561,4,FALSE)</f>
        <v>#N/A:blankIndicator:</v>
      </c>
      <c t="str" s="74" r="F50">
        <f>VLOOKUP(B50,Lookup!$B$3:$C$54,2,FALSE)</f>
        <v>#N/A:blankIndicator:</v>
      </c>
      <c t="str" s="74" r="G50">
        <f>VLOOKUP(B50,Lookup!$E$24:$F$121,2,FALSE)</f>
        <v>#N/A:blankIndicator:</v>
      </c>
      <c s="46" r="H50"/>
    </row>
    <row r="51">
      <c s="42" r="A51">
        <f>A50+1</f>
        <v>48</v>
      </c>
      <c s="69" r="B51"/>
      <c t="str" s="8" r="C51">
        <f>VLOOKUP(B51,'Moves Index'!$B$3:$C$561,2,FALSE)</f>
        <v>#N/A:blankIndicator:</v>
      </c>
      <c t="str" s="8" r="D51">
        <f>VLOOKUP(B51,'Moves Index'!$B$3:$D$561,3,FALSE)</f>
        <v>#N/A:blankIndicator:</v>
      </c>
      <c t="str" s="8" r="E51">
        <f>VLOOKUP(B51,'Moves Index'!$B$3:$E$561,4,FALSE)</f>
        <v>#N/A:blankIndicator:</v>
      </c>
      <c t="str" s="74" r="F51">
        <f>VLOOKUP(B51,Lookup!$B$3:$C$54,2,FALSE)</f>
        <v>#N/A:blankIndicator:</v>
      </c>
      <c t="str" s="74" r="G51">
        <f>VLOOKUP(B51,Lookup!$E$24:$F$121,2,FALSE)</f>
        <v>#N/A:blankIndicator:</v>
      </c>
      <c s="46" r="H51"/>
    </row>
    <row r="52">
      <c s="42" r="A52">
        <f>A51+1</f>
        <v>49</v>
      </c>
      <c s="69" r="B52"/>
      <c t="str" s="8" r="C52">
        <f>VLOOKUP(B52,'Moves Index'!$B$3:$C$561,2,FALSE)</f>
        <v>#N/A:blankIndicator:</v>
      </c>
      <c t="str" s="8" r="D52">
        <f>VLOOKUP(B52,'Moves Index'!$B$3:$D$561,3,FALSE)</f>
        <v>#N/A:blankIndicator:</v>
      </c>
      <c t="str" s="8" r="E52">
        <f>VLOOKUP(B52,'Moves Index'!$B$3:$E$561,4,FALSE)</f>
        <v>#N/A:blankIndicator:</v>
      </c>
      <c t="str" s="74" r="F52">
        <f>VLOOKUP(B52,Lookup!$B$3:$C$54,2,FALSE)</f>
        <v>#N/A:blankIndicator:</v>
      </c>
      <c t="str" s="74" r="G52">
        <f>VLOOKUP(B52,Lookup!$E$24:$F$121,2,FALSE)</f>
        <v>#N/A:blankIndicator:</v>
      </c>
      <c s="46" r="H52"/>
    </row>
    <row r="53">
      <c s="42" r="A53">
        <f>A52+1</f>
        <v>50</v>
      </c>
      <c s="69" r="B53"/>
      <c t="str" s="8" r="C53">
        <f>VLOOKUP(B53,'Moves Index'!$B$3:$C$561,2,FALSE)</f>
        <v>#N/A:blankIndicator:</v>
      </c>
      <c t="str" s="8" r="D53">
        <f>VLOOKUP(B53,'Moves Index'!$B$3:$D$561,3,FALSE)</f>
        <v>#N/A:blankIndicator:</v>
      </c>
      <c t="str" s="8" r="E53">
        <f>VLOOKUP(B53,'Moves Index'!$B$3:$E$561,4,FALSE)</f>
        <v>#N/A:blankIndicator:</v>
      </c>
      <c t="str" s="74" r="F53">
        <f>VLOOKUP(B53,Lookup!$B$3:$C$54,2,FALSE)</f>
        <v>#N/A:blankIndicator:</v>
      </c>
      <c t="str" s="74" r="G53">
        <f>VLOOKUP(B53,Lookup!$E$24:$F$121,2,FALSE)</f>
        <v>#N/A:blankIndicator:</v>
      </c>
      <c s="46" r="H53"/>
    </row>
    <row r="54">
      <c s="42" r="A54">
        <f>A53+1</f>
        <v>51</v>
      </c>
      <c s="69" r="B54"/>
      <c t="str" s="8" r="C54">
        <f>VLOOKUP(B54,'Moves Index'!$B$3:$C$561,2,FALSE)</f>
        <v>#N/A:blankIndicator:</v>
      </c>
      <c t="str" s="8" r="D54">
        <f>VLOOKUP(B54,'Moves Index'!$B$3:$D$561,3,FALSE)</f>
        <v>#N/A:blankIndicator:</v>
      </c>
      <c t="str" s="8" r="E54">
        <f>VLOOKUP(B54,'Moves Index'!$B$3:$E$561,4,FALSE)</f>
        <v>#N/A:blankIndicator:</v>
      </c>
      <c t="str" s="74" r="F54">
        <f>VLOOKUP(B54,Lookup!$B$3:$C$54,2,FALSE)</f>
        <v>#N/A:blankIndicator:</v>
      </c>
      <c t="str" s="74" r="G54">
        <f>VLOOKUP(B54,Lookup!$E$24:$F$121,2,FALSE)</f>
        <v>#N/A:blankIndicator:</v>
      </c>
      <c s="46" r="H54"/>
    </row>
    <row r="55">
      <c s="42" r="A55">
        <f>A54+1</f>
        <v>52</v>
      </c>
      <c s="69" r="B55"/>
      <c t="str" s="8" r="C55">
        <f>VLOOKUP(B55,'Moves Index'!$B$3:$C$561,2,FALSE)</f>
        <v>#N/A:blankIndicator:</v>
      </c>
      <c t="str" s="8" r="D55">
        <f>VLOOKUP(B55,'Moves Index'!$B$3:$D$561,3,FALSE)</f>
        <v>#N/A:blankIndicator:</v>
      </c>
      <c t="str" s="8" r="E55">
        <f>VLOOKUP(B55,'Moves Index'!$B$3:$E$561,4,FALSE)</f>
        <v>#N/A:blankIndicator:</v>
      </c>
      <c t="str" s="74" r="F55">
        <f>VLOOKUP(B55,Lookup!$B$3:$C$54,2,FALSE)</f>
        <v>#N/A:blankIndicator:</v>
      </c>
      <c t="str" s="74" r="G55">
        <f>VLOOKUP(B55,Lookup!$E$24:$F$121,2,FALSE)</f>
        <v>#N/A:blankIndicator:</v>
      </c>
      <c s="46" r="H55"/>
    </row>
    <row r="56">
      <c s="42" r="A56">
        <f>A55+1</f>
        <v>53</v>
      </c>
      <c s="69" r="B56"/>
      <c t="str" s="8" r="C56">
        <f>VLOOKUP(B56,'Moves Index'!$B$3:$C$561,2,FALSE)</f>
        <v>#N/A:blankIndicator:</v>
      </c>
      <c t="str" s="8" r="D56">
        <f>VLOOKUP(B56,'Moves Index'!$B$3:$D$561,3,FALSE)</f>
        <v>#N/A:blankIndicator:</v>
      </c>
      <c t="str" s="8" r="E56">
        <f>VLOOKUP(B56,'Moves Index'!$B$3:$E$561,4,FALSE)</f>
        <v>#N/A:blankIndicator:</v>
      </c>
      <c t="str" s="74" r="F56">
        <f>VLOOKUP(B56,Lookup!$B$3:$C$54,2,FALSE)</f>
        <v>#N/A:blankIndicator:</v>
      </c>
      <c t="str" s="74" r="G56">
        <f>VLOOKUP(B56,Lookup!$E$24:$F$121,2,FALSE)</f>
        <v>#N/A:blankIndicator:</v>
      </c>
      <c s="46" r="H56"/>
    </row>
    <row r="57">
      <c s="42" r="A57">
        <f>A56+1</f>
        <v>54</v>
      </c>
      <c s="69" r="B57"/>
      <c t="str" s="8" r="C57">
        <f>VLOOKUP(B57,'Moves Index'!$B$3:$C$561,2,FALSE)</f>
        <v>#N/A:blankIndicator:</v>
      </c>
      <c t="str" s="8" r="D57">
        <f>VLOOKUP(B57,'Moves Index'!$B$3:$D$561,3,FALSE)</f>
        <v>#N/A:blankIndicator:</v>
      </c>
      <c t="str" s="8" r="E57">
        <f>VLOOKUP(B57,'Moves Index'!$B$3:$E$561,4,FALSE)</f>
        <v>#N/A:blankIndicator:</v>
      </c>
      <c t="str" s="74" r="F57">
        <f>VLOOKUP(B57,Lookup!$B$3:$C$54,2,FALSE)</f>
        <v>#N/A:blankIndicator:</v>
      </c>
      <c t="str" s="74" r="G57">
        <f>VLOOKUP(B57,Lookup!$E$24:$F$121,2,FALSE)</f>
        <v>#N/A:blankIndicator:</v>
      </c>
      <c s="46" r="H57"/>
    </row>
    <row r="58">
      <c s="42" r="A58">
        <f>A57+1</f>
        <v>55</v>
      </c>
      <c s="69" r="B58"/>
      <c t="str" s="8" r="C58">
        <f>VLOOKUP(B58,'Moves Index'!$B$3:$C$561,2,FALSE)</f>
        <v>#N/A:blankIndicator:</v>
      </c>
      <c t="str" s="8" r="D58">
        <f>VLOOKUP(B58,'Moves Index'!$B$3:$D$561,3,FALSE)</f>
        <v>#N/A:blankIndicator:</v>
      </c>
      <c t="str" s="8" r="E58">
        <f>VLOOKUP(B58,'Moves Index'!$B$3:$E$561,4,FALSE)</f>
        <v>#N/A:blankIndicator:</v>
      </c>
      <c t="str" s="74" r="F58">
        <f>VLOOKUP(B58,Lookup!$B$3:$C$54,2,FALSE)</f>
        <v>#N/A:blankIndicator:</v>
      </c>
      <c t="str" s="74" r="G58">
        <f>VLOOKUP(B58,Lookup!$E$24:$F$121,2,FALSE)</f>
        <v>#N/A:blankIndicator:</v>
      </c>
      <c s="46" r="H58"/>
    </row>
    <row r="59">
      <c s="42" r="A59">
        <f>A58+1</f>
        <v>56</v>
      </c>
      <c s="69" r="B59"/>
      <c t="str" s="8" r="C59">
        <f>VLOOKUP(B59,'Moves Index'!$B$3:$C$561,2,FALSE)</f>
        <v>#N/A:blankIndicator:</v>
      </c>
      <c t="str" s="8" r="D59">
        <f>VLOOKUP(B59,'Moves Index'!$B$3:$D$561,3,FALSE)</f>
        <v>#N/A:blankIndicator:</v>
      </c>
      <c t="str" s="8" r="E59">
        <f>VLOOKUP(B59,'Moves Index'!$B$3:$E$561,4,FALSE)</f>
        <v>#N/A:blankIndicator:</v>
      </c>
      <c t="str" s="74" r="F59">
        <f>VLOOKUP(B59,Lookup!$B$3:$C$54,2,FALSE)</f>
        <v>#N/A:blankIndicator:</v>
      </c>
      <c t="str" s="74" r="G59">
        <f>VLOOKUP(B59,Lookup!$E$24:$F$121,2,FALSE)</f>
        <v>#N/A:blankIndicator:</v>
      </c>
      <c s="46" r="H59"/>
    </row>
    <row r="60">
      <c s="42" r="A60">
        <f>A59+1</f>
        <v>57</v>
      </c>
      <c s="69" r="B60"/>
      <c t="str" s="8" r="C60">
        <f>VLOOKUP(B60,'Moves Index'!$B$3:$C$561,2,FALSE)</f>
        <v>#N/A:blankIndicator:</v>
      </c>
      <c t="str" s="8" r="D60">
        <f>VLOOKUP(B60,'Moves Index'!$B$3:$D$561,3,FALSE)</f>
        <v>#N/A:blankIndicator:</v>
      </c>
      <c t="str" s="8" r="E60">
        <f>VLOOKUP(B60,'Moves Index'!$B$3:$E$561,4,FALSE)</f>
        <v>#N/A:blankIndicator:</v>
      </c>
      <c t="str" s="74" r="F60">
        <f>VLOOKUP(B60,Lookup!$B$3:$C$54,2,FALSE)</f>
        <v>#N/A:blankIndicator:</v>
      </c>
      <c t="str" s="74" r="G60">
        <f>VLOOKUP(B60,Lookup!$E$24:$F$121,2,FALSE)</f>
        <v>#N/A:blankIndicator:</v>
      </c>
      <c s="46" r="H60"/>
    </row>
    <row r="61">
      <c s="42" r="A61">
        <f>A60+1</f>
        <v>58</v>
      </c>
      <c s="69" r="B61"/>
      <c t="str" s="8" r="C61">
        <f>VLOOKUP(B61,'Moves Index'!$B$3:$C$561,2,FALSE)</f>
        <v>#N/A:blankIndicator:</v>
      </c>
      <c t="str" s="8" r="D61">
        <f>VLOOKUP(B61,'Moves Index'!$B$3:$D$561,3,FALSE)</f>
        <v>#N/A:blankIndicator:</v>
      </c>
      <c t="str" s="8" r="E61">
        <f>VLOOKUP(B61,'Moves Index'!$B$3:$E$561,4,FALSE)</f>
        <v>#N/A:blankIndicator:</v>
      </c>
      <c t="str" s="74" r="F61">
        <f>VLOOKUP(B61,Lookup!$B$3:$C$54,2,FALSE)</f>
        <v>#N/A:blankIndicator:</v>
      </c>
      <c t="str" s="74" r="G61">
        <f>VLOOKUP(B61,Lookup!$E$24:$F$121,2,FALSE)</f>
        <v>#N/A:blankIndicator:</v>
      </c>
      <c s="46" r="H61"/>
    </row>
    <row r="62">
      <c s="42" r="A62">
        <f>A61+1</f>
        <v>59</v>
      </c>
      <c s="69" r="B62"/>
      <c t="str" s="8" r="C62">
        <f>VLOOKUP(B62,'Moves Index'!$B$3:$C$561,2,FALSE)</f>
        <v>#N/A:blankIndicator:</v>
      </c>
      <c t="str" s="8" r="D62">
        <f>VLOOKUP(B62,'Moves Index'!$B$3:$D$561,3,FALSE)</f>
        <v>#N/A:blankIndicator:</v>
      </c>
      <c t="str" s="8" r="E62">
        <f>VLOOKUP(B62,'Moves Index'!$B$3:$E$561,4,FALSE)</f>
        <v>#N/A:blankIndicator:</v>
      </c>
      <c t="str" s="74" r="F62">
        <f>VLOOKUP(B62,Lookup!$B$3:$C$54,2,FALSE)</f>
        <v>#N/A:blankIndicator:</v>
      </c>
      <c t="str" s="74" r="G62">
        <f>VLOOKUP(B62,Lookup!$E$24:$F$121,2,FALSE)</f>
        <v>#N/A:blankIndicator:</v>
      </c>
      <c s="46" r="H62"/>
    </row>
    <row r="63">
      <c s="42" r="A63">
        <f>A62+1</f>
        <v>60</v>
      </c>
      <c s="69" r="B63"/>
      <c t="str" s="8" r="C63">
        <f>VLOOKUP(B63,'Moves Index'!$B$3:$C$561,2,FALSE)</f>
        <v>#N/A:blankIndicator:</v>
      </c>
      <c t="str" s="8" r="D63">
        <f>VLOOKUP(B63,'Moves Index'!$B$3:$D$561,3,FALSE)</f>
        <v>#N/A:blankIndicator:</v>
      </c>
      <c t="str" s="8" r="E63">
        <f>VLOOKUP(B63,'Moves Index'!$B$3:$E$561,4,FALSE)</f>
        <v>#N/A:blankIndicator:</v>
      </c>
      <c t="str" s="74" r="F63">
        <f>VLOOKUP(B63,Lookup!$B$3:$C$54,2,FALSE)</f>
        <v>#N/A:blankIndicator:</v>
      </c>
      <c t="str" s="74" r="G63">
        <f>VLOOKUP(B63,Lookup!$E$24:$F$121,2,FALSE)</f>
        <v>#N/A:blankIndicator:</v>
      </c>
      <c s="46" r="H63"/>
    </row>
    <row r="64">
      <c s="42" r="A64">
        <f>A63+1</f>
        <v>61</v>
      </c>
      <c s="69" r="B64"/>
      <c t="str" s="8" r="C64">
        <f>VLOOKUP(B64,'Moves Index'!$B$3:$C$561,2,FALSE)</f>
        <v>#N/A:blankIndicator:</v>
      </c>
      <c t="str" s="8" r="D64">
        <f>VLOOKUP(B64,'Moves Index'!$B$3:$D$561,3,FALSE)</f>
        <v>#N/A:blankIndicator:</v>
      </c>
      <c t="str" s="8" r="E64">
        <f>VLOOKUP(B64,'Moves Index'!$B$3:$E$561,4,FALSE)</f>
        <v>#N/A:blankIndicator:</v>
      </c>
      <c t="str" s="74" r="F64">
        <f>VLOOKUP(B64,Lookup!$B$3:$C$54,2,FALSE)</f>
        <v>#N/A:blankIndicator:</v>
      </c>
      <c t="str" s="74" r="G64">
        <f>VLOOKUP(B64,Lookup!$E$24:$F$121,2,FALSE)</f>
        <v>#N/A:blankIndicator:</v>
      </c>
      <c s="46" r="H64"/>
    </row>
    <row r="65">
      <c s="42" r="A65">
        <f>A64+1</f>
        <v>62</v>
      </c>
      <c s="69" r="B65"/>
      <c t="str" s="8" r="C65">
        <f>VLOOKUP(B65,'Moves Index'!$B$3:$C$561,2,FALSE)</f>
        <v>#N/A:blankIndicator:</v>
      </c>
      <c t="str" s="8" r="D65">
        <f>VLOOKUP(B65,'Moves Index'!$B$3:$D$561,3,FALSE)</f>
        <v>#N/A:blankIndicator:</v>
      </c>
      <c t="str" s="8" r="E65">
        <f>VLOOKUP(B65,'Moves Index'!$B$3:$E$561,4,FALSE)</f>
        <v>#N/A:blankIndicator:</v>
      </c>
      <c t="str" s="74" r="F65">
        <f>VLOOKUP(B65,Lookup!$B$3:$C$54,2,FALSE)</f>
        <v>#N/A:blankIndicator:</v>
      </c>
      <c t="str" s="74" r="G65">
        <f>VLOOKUP(B65,Lookup!$E$24:$F$121,2,FALSE)</f>
        <v>#N/A:blankIndicator:</v>
      </c>
      <c s="46" r="H65"/>
    </row>
    <row r="66">
      <c s="42" r="A66">
        <f>A65+1</f>
        <v>63</v>
      </c>
      <c s="69" r="B66"/>
      <c t="str" s="8" r="C66">
        <f>VLOOKUP(B66,'Moves Index'!$B$3:$C$561,2,FALSE)</f>
        <v>#N/A:blankIndicator:</v>
      </c>
      <c t="str" s="8" r="D66">
        <f>VLOOKUP(B66,'Moves Index'!$B$3:$D$561,3,FALSE)</f>
        <v>#N/A:blankIndicator:</v>
      </c>
      <c t="str" s="8" r="E66">
        <f>VLOOKUP(B66,'Moves Index'!$B$3:$E$561,4,FALSE)</f>
        <v>#N/A:blankIndicator:</v>
      </c>
      <c t="str" s="74" r="F66">
        <f>VLOOKUP(B66,Lookup!$B$3:$C$54,2,FALSE)</f>
        <v>#N/A:blankIndicator:</v>
      </c>
      <c t="str" s="74" r="G66">
        <f>VLOOKUP(B66,Lookup!$E$24:$F$121,2,FALSE)</f>
        <v>#N/A:blankIndicator:</v>
      </c>
      <c s="46" r="H66"/>
    </row>
    <row r="67">
      <c s="42" r="A67">
        <f>A66+1</f>
        <v>64</v>
      </c>
      <c s="69" r="B67"/>
      <c t="str" s="8" r="C67">
        <f>VLOOKUP(B67,'Moves Index'!$B$3:$C$561,2,FALSE)</f>
        <v>#N/A:blankIndicator:</v>
      </c>
      <c t="str" s="8" r="D67">
        <f>VLOOKUP(B67,'Moves Index'!$B$3:$D$561,3,FALSE)</f>
        <v>#N/A:blankIndicator:</v>
      </c>
      <c t="str" s="8" r="E67">
        <f>VLOOKUP(B67,'Moves Index'!$B$3:$E$561,4,FALSE)</f>
        <v>#N/A:blankIndicator:</v>
      </c>
      <c t="str" s="74" r="F67">
        <f>VLOOKUP(B67,Lookup!$B$3:$C$54,2,FALSE)</f>
        <v>#N/A:blankIndicator:</v>
      </c>
      <c t="str" s="74" r="G67">
        <f>VLOOKUP(B67,Lookup!$E$24:$F$121,2,FALSE)</f>
        <v>#N/A:blankIndicator:</v>
      </c>
      <c s="46" r="H67"/>
    </row>
    <row r="68">
      <c s="42" r="A68">
        <f>A67+1</f>
        <v>65</v>
      </c>
      <c s="69" r="B68"/>
      <c t="str" s="8" r="C68">
        <f>VLOOKUP(B68,'Moves Index'!$B$3:$C$561,2,FALSE)</f>
        <v>#N/A:blankIndicator:</v>
      </c>
      <c t="str" s="8" r="D68">
        <f>VLOOKUP(B68,'Moves Index'!$B$3:$D$561,3,FALSE)</f>
        <v>#N/A:blankIndicator:</v>
      </c>
      <c t="str" s="8" r="E68">
        <f>VLOOKUP(B68,'Moves Index'!$B$3:$E$561,4,FALSE)</f>
        <v>#N/A:blankIndicator:</v>
      </c>
      <c t="str" s="74" r="F68">
        <f>VLOOKUP(B68,Lookup!$B$3:$C$54,2,FALSE)</f>
        <v>#N/A:blankIndicator:</v>
      </c>
      <c t="str" s="74" r="G68">
        <f>VLOOKUP(B68,Lookup!$E$24:$F$121,2,FALSE)</f>
        <v>#N/A:blankIndicator:</v>
      </c>
      <c s="46" r="H68"/>
    </row>
    <row r="69">
      <c s="42" r="A69">
        <f>A68+1</f>
        <v>66</v>
      </c>
      <c s="69" r="B69"/>
      <c t="str" s="8" r="C69">
        <f>VLOOKUP(B69,'Moves Index'!$B$3:$C$561,2,FALSE)</f>
        <v>#N/A:blankIndicator:</v>
      </c>
      <c t="str" s="8" r="D69">
        <f>VLOOKUP(B69,'Moves Index'!$B$3:$D$561,3,FALSE)</f>
        <v>#N/A:blankIndicator:</v>
      </c>
      <c t="str" s="8" r="E69">
        <f>VLOOKUP(B69,'Moves Index'!$B$3:$E$561,4,FALSE)</f>
        <v>#N/A:blankIndicator:</v>
      </c>
      <c t="str" s="74" r="F69">
        <f>VLOOKUP(B69,Lookup!$B$3:$C$54,2,FALSE)</f>
        <v>#N/A:blankIndicator:</v>
      </c>
      <c t="str" s="74" r="G69">
        <f>VLOOKUP(B69,Lookup!$E$24:$F$121,2,FALSE)</f>
        <v>#N/A:blankIndicator:</v>
      </c>
      <c s="46" r="H69"/>
    </row>
    <row r="70">
      <c s="42" r="A70">
        <f>A69+1</f>
        <v>67</v>
      </c>
      <c s="69" r="B70"/>
      <c t="str" s="8" r="C70">
        <f>VLOOKUP(B70,'Moves Index'!$B$3:$C$561,2,FALSE)</f>
        <v>#N/A:blankIndicator:</v>
      </c>
      <c t="str" s="8" r="D70">
        <f>VLOOKUP(B70,'Moves Index'!$B$3:$D$561,3,FALSE)</f>
        <v>#N/A:blankIndicator:</v>
      </c>
      <c t="str" s="8" r="E70">
        <f>VLOOKUP(B70,'Moves Index'!$B$3:$E$561,4,FALSE)</f>
        <v>#N/A:blankIndicator:</v>
      </c>
      <c t="str" s="74" r="F70">
        <f>VLOOKUP(B70,Lookup!$B$3:$C$54,2,FALSE)</f>
        <v>#N/A:blankIndicator:</v>
      </c>
      <c t="str" s="74" r="G70">
        <f>VLOOKUP(B70,Lookup!$E$24:$F$121,2,FALSE)</f>
        <v>#N/A:blankIndicator:</v>
      </c>
      <c s="46" r="H70"/>
    </row>
    <row r="71">
      <c s="42" r="A71">
        <f>A70+1</f>
        <v>68</v>
      </c>
      <c s="69" r="B71"/>
      <c t="str" s="8" r="C71">
        <f>VLOOKUP(B71,'Moves Index'!$B$3:$C$561,2,FALSE)</f>
        <v>#N/A:blankIndicator:</v>
      </c>
      <c t="str" s="8" r="D71">
        <f>VLOOKUP(B71,'Moves Index'!$B$3:$D$561,3,FALSE)</f>
        <v>#N/A:blankIndicator:</v>
      </c>
      <c t="str" s="8" r="E71">
        <f>VLOOKUP(B71,'Moves Index'!$B$3:$E$561,4,FALSE)</f>
        <v>#N/A:blankIndicator:</v>
      </c>
      <c t="str" s="74" r="F71">
        <f>VLOOKUP(B71,Lookup!$B$3:$C$54,2,FALSE)</f>
        <v>#N/A:blankIndicator:</v>
      </c>
      <c t="str" s="74" r="G71">
        <f>VLOOKUP(B71,Lookup!$E$24:$F$121,2,FALSE)</f>
        <v>#N/A:blankIndicator:</v>
      </c>
      <c s="46" r="H71"/>
    </row>
    <row r="72">
      <c s="42" r="A72">
        <f>A71+1</f>
        <v>69</v>
      </c>
      <c s="69" r="B72"/>
      <c t="str" s="8" r="C72">
        <f>VLOOKUP(B72,'Moves Index'!$B$3:$C$561,2,FALSE)</f>
        <v>#N/A:blankIndicator:</v>
      </c>
      <c t="str" s="8" r="D72">
        <f>VLOOKUP(B72,'Moves Index'!$B$3:$D$561,3,FALSE)</f>
        <v>#N/A:blankIndicator:</v>
      </c>
      <c t="str" s="8" r="E72">
        <f>VLOOKUP(B72,'Moves Index'!$B$3:$E$561,4,FALSE)</f>
        <v>#N/A:blankIndicator:</v>
      </c>
      <c t="str" s="74" r="F72">
        <f>VLOOKUP(B72,Lookup!$B$3:$C$54,2,FALSE)</f>
        <v>#N/A:blankIndicator:</v>
      </c>
      <c t="str" s="74" r="G72">
        <f>VLOOKUP(B72,Lookup!$E$24:$F$121,2,FALSE)</f>
        <v>#N/A:blankIndicator:</v>
      </c>
      <c s="46" r="H72"/>
    </row>
    <row r="73">
      <c s="42" r="A73">
        <f>A72+1</f>
        <v>70</v>
      </c>
      <c s="69" r="B73"/>
      <c t="str" s="8" r="C73">
        <f>VLOOKUP(B73,'Moves Index'!$B$3:$C$561,2,FALSE)</f>
        <v>#N/A:blankIndicator:</v>
      </c>
      <c t="str" s="8" r="D73">
        <f>VLOOKUP(B73,'Moves Index'!$B$3:$D$561,3,FALSE)</f>
        <v>#N/A:blankIndicator:</v>
      </c>
      <c t="str" s="8" r="E73">
        <f>VLOOKUP(B73,'Moves Index'!$B$3:$E$561,4,FALSE)</f>
        <v>#N/A:blankIndicator:</v>
      </c>
      <c t="str" s="74" r="F73">
        <f>VLOOKUP(B73,Lookup!$B$3:$C$54,2,FALSE)</f>
        <v>#N/A:blankIndicator:</v>
      </c>
      <c t="str" s="74" r="G73">
        <f>VLOOKUP(B73,Lookup!$E$24:$F$121,2,FALSE)</f>
        <v>#N/A:blankIndicator:</v>
      </c>
      <c s="46" r="H73"/>
    </row>
    <row r="74">
      <c s="42" r="A74">
        <f>A73+1</f>
        <v>71</v>
      </c>
      <c s="69" r="B74"/>
      <c t="str" s="8" r="C74">
        <f>VLOOKUP(B74,'Moves Index'!$B$3:$C$561,2,FALSE)</f>
        <v>#N/A:blankIndicator:</v>
      </c>
      <c t="str" s="8" r="D74">
        <f>VLOOKUP(B74,'Moves Index'!$B$3:$D$561,3,FALSE)</f>
        <v>#N/A:blankIndicator:</v>
      </c>
      <c t="str" s="8" r="E74">
        <f>VLOOKUP(B74,'Moves Index'!$B$3:$E$561,4,FALSE)</f>
        <v>#N/A:blankIndicator:</v>
      </c>
      <c t="str" s="74" r="F74">
        <f>VLOOKUP(B74,Lookup!$B$3:$C$54,2,FALSE)</f>
        <v>#N/A:blankIndicator:</v>
      </c>
      <c t="str" s="74" r="G74">
        <f>VLOOKUP(B74,Lookup!$E$24:$F$121,2,FALSE)</f>
        <v>#N/A:blankIndicator:</v>
      </c>
      <c s="46" r="H74"/>
    </row>
    <row r="75">
      <c s="42" r="A75">
        <f>A74+1</f>
        <v>72</v>
      </c>
      <c s="69" r="B75"/>
      <c t="str" s="8" r="C75">
        <f>VLOOKUP(B75,'Moves Index'!$B$3:$C$561,2,FALSE)</f>
        <v>#N/A:blankIndicator:</v>
      </c>
      <c t="str" s="8" r="D75">
        <f>VLOOKUP(B75,'Moves Index'!$B$3:$D$561,3,FALSE)</f>
        <v>#N/A:blankIndicator:</v>
      </c>
      <c t="str" s="8" r="E75">
        <f>VLOOKUP(B75,'Moves Index'!$B$3:$E$561,4,FALSE)</f>
        <v>#N/A:blankIndicator:</v>
      </c>
      <c t="str" s="74" r="F75">
        <f>VLOOKUP(B75,Lookup!$B$3:$C$54,2,FALSE)</f>
        <v>#N/A:blankIndicator:</v>
      </c>
      <c t="str" s="74" r="G75">
        <f>VLOOKUP(B75,Lookup!$E$24:$F$121,2,FALSE)</f>
        <v>#N/A:blankIndicator:</v>
      </c>
      <c s="46" r="H75"/>
    </row>
    <row r="76">
      <c s="42" r="A76">
        <f>A75+1</f>
        <v>73</v>
      </c>
      <c s="69" r="B76"/>
      <c t="str" s="8" r="C76">
        <f>VLOOKUP(B76,'Moves Index'!$B$3:$C$561,2,FALSE)</f>
        <v>#N/A:blankIndicator:</v>
      </c>
      <c t="str" s="8" r="D76">
        <f>VLOOKUP(B76,'Moves Index'!$B$3:$D$561,3,FALSE)</f>
        <v>#N/A:blankIndicator:</v>
      </c>
      <c t="str" s="8" r="E76">
        <f>VLOOKUP(B76,'Moves Index'!$B$3:$E$561,4,FALSE)</f>
        <v>#N/A:blankIndicator:</v>
      </c>
      <c t="str" s="74" r="F76">
        <f>VLOOKUP(B76,Lookup!$B$3:$C$54,2,FALSE)</f>
        <v>#N/A:blankIndicator:</v>
      </c>
      <c t="str" s="74" r="G76">
        <f>VLOOKUP(B76,Lookup!$E$24:$F$121,2,FALSE)</f>
        <v>#N/A:blankIndicator:</v>
      </c>
      <c s="46" r="H76"/>
    </row>
    <row r="77">
      <c s="42" r="A77">
        <f>A76+1</f>
        <v>74</v>
      </c>
      <c s="69" r="B77"/>
      <c t="str" s="8" r="C77">
        <f>VLOOKUP(B77,'Moves Index'!$B$3:$C$561,2,FALSE)</f>
        <v>#N/A:blankIndicator:</v>
      </c>
      <c t="str" s="8" r="D77">
        <f>VLOOKUP(B77,'Moves Index'!$B$3:$D$561,3,FALSE)</f>
        <v>#N/A:blankIndicator:</v>
      </c>
      <c t="str" s="8" r="E77">
        <f>VLOOKUP(B77,'Moves Index'!$B$3:$E$561,4,FALSE)</f>
        <v>#N/A:blankIndicator:</v>
      </c>
      <c t="str" s="74" r="F77">
        <f>VLOOKUP(B77,Lookup!$B$3:$C$54,2,FALSE)</f>
        <v>#N/A:blankIndicator:</v>
      </c>
      <c t="str" s="74" r="G77">
        <f>VLOOKUP(B77,Lookup!$E$24:$F$121,2,FALSE)</f>
        <v>#N/A:blankIndicator:</v>
      </c>
      <c s="46" r="H77"/>
    </row>
    <row r="78">
      <c s="42" r="A78">
        <f>A77+1</f>
        <v>75</v>
      </c>
      <c s="69" r="B78"/>
      <c t="str" s="8" r="C78">
        <f>VLOOKUP(B78,'Moves Index'!$B$3:$C$561,2,FALSE)</f>
        <v>#N/A:blankIndicator:</v>
      </c>
      <c t="str" s="8" r="D78">
        <f>VLOOKUP(B78,'Moves Index'!$B$3:$D$561,3,FALSE)</f>
        <v>#N/A:blankIndicator:</v>
      </c>
      <c t="str" s="8" r="E78">
        <f>VLOOKUP(B78,'Moves Index'!$B$3:$E$561,4,FALSE)</f>
        <v>#N/A:blankIndicator:</v>
      </c>
      <c t="str" s="74" r="F78">
        <f>VLOOKUP(B78,Lookup!$B$3:$C$54,2,FALSE)</f>
        <v>#N/A:blankIndicator:</v>
      </c>
      <c t="str" s="74" r="G78">
        <f>VLOOKUP(B78,Lookup!$E$24:$F$121,2,FALSE)</f>
        <v>#N/A:blankIndicator:</v>
      </c>
      <c s="46" r="H78"/>
    </row>
    <row r="79">
      <c s="42" r="A79">
        <f>A78+1</f>
        <v>76</v>
      </c>
      <c s="69" r="B79"/>
      <c t="str" s="8" r="C79">
        <f>VLOOKUP(B79,'Moves Index'!$B$3:$C$561,2,FALSE)</f>
        <v>#N/A:blankIndicator:</v>
      </c>
      <c t="str" s="8" r="D79">
        <f>VLOOKUP(B79,'Moves Index'!$B$3:$D$561,3,FALSE)</f>
        <v>#N/A:blankIndicator:</v>
      </c>
      <c t="str" s="8" r="E79">
        <f>VLOOKUP(B79,'Moves Index'!$B$3:$E$561,4,FALSE)</f>
        <v>#N/A:blankIndicator:</v>
      </c>
      <c t="str" s="74" r="F79">
        <f>VLOOKUP(B79,Lookup!$B$3:$C$54,2,FALSE)</f>
        <v>#N/A:blankIndicator:</v>
      </c>
      <c t="str" s="74" r="G79">
        <f>VLOOKUP(B79,Lookup!$E$24:$F$121,2,FALSE)</f>
        <v>#N/A:blankIndicator:</v>
      </c>
      <c s="46" r="H79"/>
    </row>
    <row r="80">
      <c s="42" r="A80">
        <f>A79+1</f>
        <v>77</v>
      </c>
      <c s="69" r="B80"/>
      <c t="str" s="8" r="C80">
        <f>VLOOKUP(B80,'Moves Index'!$B$3:$C$561,2,FALSE)</f>
        <v>#N/A:blankIndicator:</v>
      </c>
      <c t="str" s="8" r="D80">
        <f>VLOOKUP(B80,'Moves Index'!$B$3:$D$561,3,FALSE)</f>
        <v>#N/A:blankIndicator:</v>
      </c>
      <c t="str" s="8" r="E80">
        <f>VLOOKUP(B80,'Moves Index'!$B$3:$E$561,4,FALSE)</f>
        <v>#N/A:blankIndicator:</v>
      </c>
      <c t="str" s="74" r="F80">
        <f>VLOOKUP(B80,Lookup!$B$3:$C$54,2,FALSE)</f>
        <v>#N/A:blankIndicator:</v>
      </c>
      <c t="str" s="74" r="G80">
        <f>VLOOKUP(B80,Lookup!$E$24:$F$121,2,FALSE)</f>
        <v>#N/A:blankIndicator:</v>
      </c>
      <c s="46" r="H80"/>
    </row>
    <row r="81">
      <c s="42" r="A81">
        <f>A80+1</f>
        <v>78</v>
      </c>
      <c s="69" r="B81"/>
      <c t="str" s="8" r="C81">
        <f>VLOOKUP(B81,'Moves Index'!$B$3:$C$561,2,FALSE)</f>
        <v>#N/A:blankIndicator:</v>
      </c>
      <c t="str" s="8" r="D81">
        <f>VLOOKUP(B81,'Moves Index'!$B$3:$D$561,3,FALSE)</f>
        <v>#N/A:blankIndicator:</v>
      </c>
      <c t="str" s="8" r="E81">
        <f>VLOOKUP(B81,'Moves Index'!$B$3:$E$561,4,FALSE)</f>
        <v>#N/A:blankIndicator:</v>
      </c>
      <c t="str" s="74" r="F81">
        <f>VLOOKUP(B81,Lookup!$B$3:$C$54,2,FALSE)</f>
        <v>#N/A:blankIndicator:</v>
      </c>
      <c t="str" s="74" r="G81">
        <f>VLOOKUP(B81,Lookup!$E$24:$F$121,2,FALSE)</f>
        <v>#N/A:blankIndicator:</v>
      </c>
      <c s="46" r="H81"/>
    </row>
    <row r="82">
      <c s="42" r="A82">
        <f>A81+1</f>
        <v>79</v>
      </c>
      <c s="69" r="B82"/>
      <c t="str" s="8" r="C82">
        <f>VLOOKUP(B82,'Moves Index'!$B$3:$C$561,2,FALSE)</f>
        <v>#N/A:blankIndicator:</v>
      </c>
      <c t="str" s="8" r="D82">
        <f>VLOOKUP(B82,'Moves Index'!$B$3:$D$561,3,FALSE)</f>
        <v>#N/A:blankIndicator:</v>
      </c>
      <c t="str" s="8" r="E82">
        <f>VLOOKUP(B82,'Moves Index'!$B$3:$E$561,4,FALSE)</f>
        <v>#N/A:blankIndicator:</v>
      </c>
      <c t="str" s="74" r="F82">
        <f>VLOOKUP(B82,Lookup!$B$3:$C$54,2,FALSE)</f>
        <v>#N/A:blankIndicator:</v>
      </c>
      <c t="str" s="74" r="G82">
        <f>VLOOKUP(B82,Lookup!$E$24:$F$121,2,FALSE)</f>
        <v>#N/A:blankIndicator:</v>
      </c>
      <c s="46" r="H82"/>
    </row>
    <row r="83">
      <c s="42" r="A83">
        <f>A82+1</f>
        <v>80</v>
      </c>
      <c s="69" r="B83"/>
      <c t="str" s="8" r="C83">
        <f>VLOOKUP(B83,'Moves Index'!$B$3:$C$561,2,FALSE)</f>
        <v>#N/A:blankIndicator:</v>
      </c>
      <c t="str" s="8" r="D83">
        <f>VLOOKUP(B83,'Moves Index'!$B$3:$D$561,3,FALSE)</f>
        <v>#N/A:blankIndicator:</v>
      </c>
      <c t="str" s="8" r="E83">
        <f>VLOOKUP(B83,'Moves Index'!$B$3:$E$561,4,FALSE)</f>
        <v>#N/A:blankIndicator:</v>
      </c>
      <c t="str" s="74" r="F83">
        <f>VLOOKUP(B83,Lookup!$B$3:$C$54,2,FALSE)</f>
        <v>#N/A:blankIndicator:</v>
      </c>
      <c t="str" s="74" r="G83">
        <f>VLOOKUP(B83,Lookup!$E$24:$F$121,2,FALSE)</f>
        <v>#N/A:blankIndicator:</v>
      </c>
      <c s="46" r="H83"/>
    </row>
    <row r="84">
      <c s="42" r="A84">
        <f>A83+1</f>
        <v>81</v>
      </c>
      <c s="69" r="B84"/>
      <c t="str" s="8" r="C84">
        <f>VLOOKUP(B84,'Moves Index'!$B$3:$C$561,2,FALSE)</f>
        <v>#N/A:blankIndicator:</v>
      </c>
      <c t="str" s="8" r="D84">
        <f>VLOOKUP(B84,'Moves Index'!$B$3:$D$561,3,FALSE)</f>
        <v>#N/A:blankIndicator:</v>
      </c>
      <c t="str" s="8" r="E84">
        <f>VLOOKUP(B84,'Moves Index'!$B$3:$E$561,4,FALSE)</f>
        <v>#N/A:blankIndicator:</v>
      </c>
      <c t="str" s="74" r="F84">
        <f>VLOOKUP(B84,Lookup!$B$3:$C$54,2,FALSE)</f>
        <v>#N/A:blankIndicator:</v>
      </c>
      <c t="str" s="74" r="G84">
        <f>VLOOKUP(B84,Lookup!$E$24:$F$121,2,FALSE)</f>
        <v>#N/A:blankIndicator:</v>
      </c>
      <c s="46" r="H84"/>
    </row>
    <row r="85">
      <c s="42" r="A85">
        <f>A84+1</f>
        <v>82</v>
      </c>
      <c s="69" r="B85"/>
      <c t="str" s="8" r="C85">
        <f>VLOOKUP(B85,'Moves Index'!$B$3:$C$561,2,FALSE)</f>
        <v>#N/A:blankIndicator:</v>
      </c>
      <c t="str" s="8" r="D85">
        <f>VLOOKUP(B85,'Moves Index'!$B$3:$D$561,3,FALSE)</f>
        <v>#N/A:blankIndicator:</v>
      </c>
      <c t="str" s="8" r="E85">
        <f>VLOOKUP(B85,'Moves Index'!$B$3:$E$561,4,FALSE)</f>
        <v>#N/A:blankIndicator:</v>
      </c>
      <c t="str" s="74" r="F85">
        <f>VLOOKUP(B85,Lookup!$B$3:$C$54,2,FALSE)</f>
        <v>#N/A:blankIndicator:</v>
      </c>
      <c t="str" s="74" r="G85">
        <f>VLOOKUP(B85,Lookup!$E$24:$F$121,2,FALSE)</f>
        <v>#N/A:blankIndicator:</v>
      </c>
      <c s="46" r="H85"/>
    </row>
    <row r="86">
      <c s="42" r="A86">
        <f>A85+1</f>
        <v>83</v>
      </c>
      <c s="69" r="B86"/>
      <c t="str" s="8" r="C86">
        <f>VLOOKUP(B86,'Moves Index'!$B$3:$C$561,2,FALSE)</f>
        <v>#N/A:blankIndicator:</v>
      </c>
      <c t="str" s="8" r="D86">
        <f>VLOOKUP(B86,'Moves Index'!$B$3:$D$561,3,FALSE)</f>
        <v>#N/A:blankIndicator:</v>
      </c>
      <c t="str" s="8" r="E86">
        <f>VLOOKUP(B86,'Moves Index'!$B$3:$E$561,4,FALSE)</f>
        <v>#N/A:blankIndicator:</v>
      </c>
      <c t="str" s="74" r="F86">
        <f>VLOOKUP(B86,Lookup!$B$3:$C$54,2,FALSE)</f>
        <v>#N/A:blankIndicator:</v>
      </c>
      <c t="str" s="74" r="G86">
        <f>VLOOKUP(B86,Lookup!$E$24:$F$121,2,FALSE)</f>
        <v>#N/A:blankIndicator:</v>
      </c>
      <c s="46" r="H86"/>
    </row>
    <row r="87">
      <c s="42" r="A87">
        <f>A86+1</f>
        <v>84</v>
      </c>
      <c s="69" r="B87"/>
      <c t="str" s="8" r="C87">
        <f>VLOOKUP(B87,'Moves Index'!$B$3:$C$561,2,FALSE)</f>
        <v>#N/A:blankIndicator:</v>
      </c>
      <c t="str" s="8" r="D87">
        <f>VLOOKUP(B87,'Moves Index'!$B$3:$D$561,3,FALSE)</f>
        <v>#N/A:blankIndicator:</v>
      </c>
      <c t="str" s="8" r="E87">
        <f>VLOOKUP(B87,'Moves Index'!$B$3:$E$561,4,FALSE)</f>
        <v>#N/A:blankIndicator:</v>
      </c>
      <c t="str" s="74" r="F87">
        <f>VLOOKUP(B87,Lookup!$B$3:$C$54,2,FALSE)</f>
        <v>#N/A:blankIndicator:</v>
      </c>
      <c t="str" s="74" r="G87">
        <f>VLOOKUP(B87,Lookup!$E$24:$F$121,2,FALSE)</f>
        <v>#N/A:blankIndicator:</v>
      </c>
      <c s="46" r="H87"/>
    </row>
    <row r="88">
      <c s="42" r="A88">
        <f>A87+1</f>
        <v>85</v>
      </c>
      <c s="69" r="B88"/>
      <c t="str" s="8" r="C88">
        <f>VLOOKUP(B88,'Moves Index'!$B$3:$C$561,2,FALSE)</f>
        <v>#N/A:blankIndicator:</v>
      </c>
      <c t="str" s="8" r="D88">
        <f>VLOOKUP(B88,'Moves Index'!$B$3:$D$561,3,FALSE)</f>
        <v>#N/A:blankIndicator:</v>
      </c>
      <c t="str" s="8" r="E88">
        <f>VLOOKUP(B88,'Moves Index'!$B$3:$E$561,4,FALSE)</f>
        <v>#N/A:blankIndicator:</v>
      </c>
      <c t="str" s="74" r="F88">
        <f>VLOOKUP(B88,Lookup!$B$3:$C$54,2,FALSE)</f>
        <v>#N/A:blankIndicator:</v>
      </c>
      <c t="str" s="74" r="G88">
        <f>VLOOKUP(B88,Lookup!$E$24:$F$121,2,FALSE)</f>
        <v>#N/A:blankIndicator:</v>
      </c>
      <c s="46" r="H88"/>
    </row>
    <row r="89">
      <c s="42" r="A89">
        <f>A88+1</f>
        <v>86</v>
      </c>
      <c s="69" r="B89"/>
      <c t="str" s="8" r="C89">
        <f>VLOOKUP(B89,'Moves Index'!$B$3:$C$561,2,FALSE)</f>
        <v>#N/A:blankIndicator:</v>
      </c>
      <c t="str" s="8" r="D89">
        <f>VLOOKUP(B89,'Moves Index'!$B$3:$D$561,3,FALSE)</f>
        <v>#N/A:blankIndicator:</v>
      </c>
      <c t="str" s="8" r="E89">
        <f>VLOOKUP(B89,'Moves Index'!$B$3:$E$561,4,FALSE)</f>
        <v>#N/A:blankIndicator:</v>
      </c>
      <c t="str" s="74" r="F89">
        <f>VLOOKUP(B89,Lookup!$B$3:$C$54,2,FALSE)</f>
        <v>#N/A:blankIndicator:</v>
      </c>
      <c t="str" s="74" r="G89">
        <f>VLOOKUP(B89,Lookup!$E$24:$F$121,2,FALSE)</f>
        <v>#N/A:blankIndicator:</v>
      </c>
      <c s="46" r="H89"/>
    </row>
    <row r="90">
      <c s="42" r="A90">
        <f>A89+1</f>
        <v>87</v>
      </c>
      <c s="69" r="B90"/>
      <c t="str" s="8" r="C90">
        <f>VLOOKUP(B90,'Moves Index'!$B$3:$C$561,2,FALSE)</f>
        <v>#N/A:blankIndicator:</v>
      </c>
      <c t="str" s="8" r="D90">
        <f>VLOOKUP(B90,'Moves Index'!$B$3:$D$561,3,FALSE)</f>
        <v>#N/A:blankIndicator:</v>
      </c>
      <c t="str" s="8" r="E90">
        <f>VLOOKUP(B90,'Moves Index'!$B$3:$E$561,4,FALSE)</f>
        <v>#N/A:blankIndicator:</v>
      </c>
      <c t="str" s="74" r="F90">
        <f>VLOOKUP(B90,Lookup!$B$3:$C$54,2,FALSE)</f>
        <v>#N/A:blankIndicator:</v>
      </c>
      <c t="str" s="74" r="G90">
        <f>VLOOKUP(B90,Lookup!$E$24:$F$121,2,FALSE)</f>
        <v>#N/A:blankIndicator:</v>
      </c>
      <c s="46" r="H90"/>
    </row>
    <row r="91">
      <c s="42" r="A91">
        <f>A90+1</f>
        <v>88</v>
      </c>
      <c s="69" r="B91"/>
      <c t="str" s="8" r="C91">
        <f>VLOOKUP(B91,'Moves Index'!$B$3:$C$561,2,FALSE)</f>
        <v>#N/A:blankIndicator:</v>
      </c>
      <c t="str" s="8" r="D91">
        <f>VLOOKUP(B91,'Moves Index'!$B$3:$D$561,3,FALSE)</f>
        <v>#N/A:blankIndicator:</v>
      </c>
      <c t="str" s="8" r="E91">
        <f>VLOOKUP(B91,'Moves Index'!$B$3:$E$561,4,FALSE)</f>
        <v>#N/A:blankIndicator:</v>
      </c>
      <c t="str" s="74" r="F91">
        <f>VLOOKUP(B91,Lookup!$B$3:$C$54,2,FALSE)</f>
        <v>#N/A:blankIndicator:</v>
      </c>
      <c t="str" s="74" r="G91">
        <f>VLOOKUP(B91,Lookup!$E$24:$F$121,2,FALSE)</f>
        <v>#N/A:blankIndicator:</v>
      </c>
      <c s="46" r="H91"/>
    </row>
    <row r="92">
      <c s="42" r="A92">
        <f>A91+1</f>
        <v>89</v>
      </c>
      <c s="69" r="B92"/>
      <c t="str" s="8" r="C92">
        <f>VLOOKUP(B92,'Moves Index'!$B$3:$C$561,2,FALSE)</f>
        <v>#N/A:blankIndicator:</v>
      </c>
      <c t="str" s="8" r="D92">
        <f>VLOOKUP(B92,'Moves Index'!$B$3:$D$561,3,FALSE)</f>
        <v>#N/A:blankIndicator:</v>
      </c>
      <c t="str" s="8" r="E92">
        <f>VLOOKUP(B92,'Moves Index'!$B$3:$E$561,4,FALSE)</f>
        <v>#N/A:blankIndicator:</v>
      </c>
      <c t="str" s="74" r="F92">
        <f>VLOOKUP(B92,Lookup!$B$3:$C$54,2,FALSE)</f>
        <v>#N/A:blankIndicator:</v>
      </c>
      <c t="str" s="74" r="G92">
        <f>VLOOKUP(B92,Lookup!$E$24:$F$121,2,FALSE)</f>
        <v>#N/A:blankIndicator:</v>
      </c>
      <c s="46" r="H92"/>
    </row>
    <row r="93">
      <c s="42" r="A93">
        <f>A92+1</f>
        <v>90</v>
      </c>
      <c s="69" r="B93"/>
      <c t="str" s="8" r="C93">
        <f>VLOOKUP(B93,'Moves Index'!$B$3:$C$561,2,FALSE)</f>
        <v>#N/A:blankIndicator:</v>
      </c>
      <c t="str" s="8" r="D93">
        <f>VLOOKUP(B93,'Moves Index'!$B$3:$D$561,3,FALSE)</f>
        <v>#N/A:blankIndicator:</v>
      </c>
      <c t="str" s="8" r="E93">
        <f>VLOOKUP(B93,'Moves Index'!$B$3:$E$561,4,FALSE)</f>
        <v>#N/A:blankIndicator:</v>
      </c>
      <c t="str" s="74" r="F93">
        <f>VLOOKUP(B93,Lookup!$B$3:$C$54,2,FALSE)</f>
        <v>#N/A:blankIndicator:</v>
      </c>
      <c t="str" s="74" r="G93">
        <f>VLOOKUP(B93,Lookup!$E$24:$F$121,2,FALSE)</f>
        <v>#N/A:blankIndicator:</v>
      </c>
      <c s="46" r="H93"/>
    </row>
    <row r="94">
      <c s="42" r="A94">
        <f>A93+1</f>
        <v>91</v>
      </c>
      <c s="69" r="B94"/>
      <c t="str" s="8" r="C94">
        <f>VLOOKUP(B94,'Moves Index'!$B$3:$C$561,2,FALSE)</f>
        <v>#N/A:blankIndicator:</v>
      </c>
      <c t="str" s="8" r="D94">
        <f>VLOOKUP(B94,'Moves Index'!$B$3:$D$561,3,FALSE)</f>
        <v>#N/A:blankIndicator:</v>
      </c>
      <c t="str" s="8" r="E94">
        <f>VLOOKUP(B94,'Moves Index'!$B$3:$E$561,4,FALSE)</f>
        <v>#N/A:blankIndicator:</v>
      </c>
      <c t="str" s="74" r="F94">
        <f>VLOOKUP(B94,Lookup!$B$3:$C$54,2,FALSE)</f>
        <v>#N/A:blankIndicator:</v>
      </c>
      <c t="str" s="74" r="G94">
        <f>VLOOKUP(B94,Lookup!$E$24:$F$121,2,FALSE)</f>
        <v>#N/A:blankIndicator:</v>
      </c>
      <c s="46" r="H94"/>
    </row>
    <row r="95">
      <c s="42" r="A95">
        <f>A94+1</f>
        <v>92</v>
      </c>
      <c s="69" r="B95"/>
      <c t="str" s="8" r="C95">
        <f>VLOOKUP(B95,'Moves Index'!$B$3:$C$561,2,FALSE)</f>
        <v>#N/A:blankIndicator:</v>
      </c>
      <c t="str" s="8" r="D95">
        <f>VLOOKUP(B95,'Moves Index'!$B$3:$D$561,3,FALSE)</f>
        <v>#N/A:blankIndicator:</v>
      </c>
      <c t="str" s="8" r="E95">
        <f>VLOOKUP(B95,'Moves Index'!$B$3:$E$561,4,FALSE)</f>
        <v>#N/A:blankIndicator:</v>
      </c>
      <c t="str" s="74" r="F95">
        <f>VLOOKUP(B95,Lookup!$B$3:$C$54,2,FALSE)</f>
        <v>#N/A:blankIndicator:</v>
      </c>
      <c t="str" s="74" r="G95">
        <f>VLOOKUP(B95,Lookup!$E$24:$F$121,2,FALSE)</f>
        <v>#N/A:blankIndicator:</v>
      </c>
      <c s="46" r="H95"/>
    </row>
    <row r="96">
      <c s="42" r="A96">
        <f>A95+1</f>
        <v>93</v>
      </c>
      <c s="69" r="B96"/>
      <c t="str" s="8" r="C96">
        <f>VLOOKUP(B96,'Moves Index'!$B$3:$C$561,2,FALSE)</f>
        <v>#N/A:blankIndicator:</v>
      </c>
      <c t="str" s="8" r="D96">
        <f>VLOOKUP(B96,'Moves Index'!$B$3:$D$561,3,FALSE)</f>
        <v>#N/A:blankIndicator:</v>
      </c>
      <c t="str" s="8" r="E96">
        <f>VLOOKUP(B96,'Moves Index'!$B$3:$E$561,4,FALSE)</f>
        <v>#N/A:blankIndicator:</v>
      </c>
      <c t="str" s="74" r="F96">
        <f>VLOOKUP(B96,Lookup!$B$3:$C$54,2,FALSE)</f>
        <v>#N/A:blankIndicator:</v>
      </c>
      <c t="str" s="74" r="G96">
        <f>VLOOKUP(B96,Lookup!$E$24:$F$121,2,FALSE)</f>
        <v>#N/A:blankIndicator:</v>
      </c>
      <c s="46" r="H96"/>
    </row>
    <row r="97">
      <c s="42" r="A97">
        <f>A96+1</f>
        <v>94</v>
      </c>
      <c s="69" r="B97"/>
      <c t="str" s="8" r="C97">
        <f>VLOOKUP(B97,'Moves Index'!$B$3:$C$561,2,FALSE)</f>
        <v>#N/A:blankIndicator:</v>
      </c>
      <c t="str" s="8" r="D97">
        <f>VLOOKUP(B97,'Moves Index'!$B$3:$D$561,3,FALSE)</f>
        <v>#N/A:blankIndicator:</v>
      </c>
      <c t="str" s="8" r="E97">
        <f>VLOOKUP(B97,'Moves Index'!$B$3:$E$561,4,FALSE)</f>
        <v>#N/A:blankIndicator:</v>
      </c>
      <c t="str" s="74" r="F97">
        <f>VLOOKUP(B97,Lookup!$B$3:$C$54,2,FALSE)</f>
        <v>#N/A:blankIndicator:</v>
      </c>
      <c t="str" s="74" r="G97">
        <f>VLOOKUP(B97,Lookup!$E$24:$F$121,2,FALSE)</f>
        <v>#N/A:blankIndicator:</v>
      </c>
      <c s="46" r="H97"/>
    </row>
    <row r="98">
      <c s="42" r="A98">
        <f>A97+1</f>
        <v>95</v>
      </c>
      <c s="69" r="B98"/>
      <c t="str" s="8" r="C98">
        <f>VLOOKUP(B98,'Moves Index'!$B$3:$C$561,2,FALSE)</f>
        <v>#N/A:blankIndicator:</v>
      </c>
      <c t="str" s="8" r="D98">
        <f>VLOOKUP(B98,'Moves Index'!$B$3:$D$561,3,FALSE)</f>
        <v>#N/A:blankIndicator:</v>
      </c>
      <c t="str" s="8" r="E98">
        <f>VLOOKUP(B98,'Moves Index'!$B$3:$E$561,4,FALSE)</f>
        <v>#N/A:blankIndicator:</v>
      </c>
      <c t="str" s="74" r="F98">
        <f>VLOOKUP(B98,Lookup!$B$3:$C$54,2,FALSE)</f>
        <v>#N/A:blankIndicator:</v>
      </c>
      <c t="str" s="74" r="G98">
        <f>VLOOKUP(B98,Lookup!$E$24:$F$121,2,FALSE)</f>
        <v>#N/A:blankIndicator:</v>
      </c>
      <c s="46" r="H98"/>
    </row>
    <row r="99">
      <c s="42" r="A99">
        <f>A98+1</f>
        <v>96</v>
      </c>
      <c s="69" r="B99"/>
      <c t="str" s="8" r="C99">
        <f>VLOOKUP(B99,'Moves Index'!$B$3:$C$561,2,FALSE)</f>
        <v>#N/A:blankIndicator:</v>
      </c>
      <c t="str" s="8" r="D99">
        <f>VLOOKUP(B99,'Moves Index'!$B$3:$D$561,3,FALSE)</f>
        <v>#N/A:blankIndicator:</v>
      </c>
      <c t="str" s="8" r="E99">
        <f>VLOOKUP(B99,'Moves Index'!$B$3:$E$561,4,FALSE)</f>
        <v>#N/A:blankIndicator:</v>
      </c>
      <c t="str" s="74" r="F99">
        <f>VLOOKUP(B99,Lookup!$B$3:$C$54,2,FALSE)</f>
        <v>#N/A:blankIndicator:</v>
      </c>
      <c t="str" s="74" r="G99">
        <f>VLOOKUP(B99,Lookup!$E$24:$F$121,2,FALSE)</f>
        <v>#N/A:blankIndicator:</v>
      </c>
      <c s="46" r="H99"/>
    </row>
    <row r="100">
      <c s="42" r="A100">
        <f>A99+1</f>
        <v>97</v>
      </c>
      <c s="69" r="B100"/>
      <c t="str" s="8" r="C100">
        <f>VLOOKUP(B100,'Moves Index'!$B$3:$C$561,2,FALSE)</f>
        <v>#N/A:blankIndicator:</v>
      </c>
      <c t="str" s="8" r="D100">
        <f>VLOOKUP(B100,'Moves Index'!$B$3:$D$561,3,FALSE)</f>
        <v>#N/A:blankIndicator:</v>
      </c>
      <c t="str" s="8" r="E100">
        <f>VLOOKUP(B100,'Moves Index'!$B$3:$E$561,4,FALSE)</f>
        <v>#N/A:blankIndicator:</v>
      </c>
      <c t="str" s="74" r="F100">
        <f>VLOOKUP(B100,Lookup!$B$3:$C$54,2,FALSE)</f>
        <v>#N/A:blankIndicator:</v>
      </c>
      <c t="str" s="74" r="G100">
        <f>VLOOKUP(B100,Lookup!$E$24:$F$121,2,FALSE)</f>
        <v>#N/A:blankIndicator:</v>
      </c>
      <c s="46" r="H100"/>
    </row>
    <row r="101">
      <c s="42" r="A101">
        <f>A100+1</f>
        <v>98</v>
      </c>
      <c s="69" r="B101"/>
      <c t="str" s="8" r="C101">
        <f>VLOOKUP(B101,'Moves Index'!$B$3:$C$561,2,FALSE)</f>
        <v>#N/A:blankIndicator:</v>
      </c>
      <c t="str" s="8" r="D101">
        <f>VLOOKUP(B101,'Moves Index'!$B$3:$D$561,3,FALSE)</f>
        <v>#N/A:blankIndicator:</v>
      </c>
      <c t="str" s="8" r="E101">
        <f>VLOOKUP(B101,'Moves Index'!$B$3:$E$561,4,FALSE)</f>
        <v>#N/A:blankIndicator:</v>
      </c>
      <c t="str" s="74" r="F101">
        <f>VLOOKUP(B101,Lookup!$B$3:$C$54,2,FALSE)</f>
        <v>#N/A:blankIndicator:</v>
      </c>
      <c t="str" s="74" r="G101">
        <f>VLOOKUP(B101,Lookup!$E$24:$F$121,2,FALSE)</f>
        <v>#N/A:blankIndicator:</v>
      </c>
      <c s="46" r="H101"/>
    </row>
    <row r="102">
      <c s="42" r="A102">
        <f>A101+1</f>
        <v>99</v>
      </c>
      <c s="69" r="B102"/>
      <c t="str" s="8" r="C102">
        <f>VLOOKUP(B102,'Moves Index'!$B$3:$C$561,2,FALSE)</f>
        <v>#N/A:blankIndicator:</v>
      </c>
      <c t="str" s="8" r="D102">
        <f>VLOOKUP(B102,'Moves Index'!$B$3:$D$561,3,FALSE)</f>
        <v>#N/A:blankIndicator:</v>
      </c>
      <c t="str" s="8" r="E102">
        <f>VLOOKUP(B102,'Moves Index'!$B$3:$E$561,4,FALSE)</f>
        <v>#N/A:blankIndicator:</v>
      </c>
      <c t="str" s="74" r="F102">
        <f>VLOOKUP(B102,Lookup!$B$3:$C$54,2,FALSE)</f>
        <v>#N/A:blankIndicator:</v>
      </c>
      <c t="str" s="74" r="G102">
        <f>VLOOKUP(B102,Lookup!$E$24:$F$121,2,FALSE)</f>
        <v>#N/A:blankIndicator:</v>
      </c>
      <c s="46" r="H102"/>
    </row>
    <row customHeight="1" r="103" ht="13.5">
      <c s="42" r="A103">
        <f>A102+1</f>
        <v>100</v>
      </c>
      <c s="83" r="B103"/>
      <c t="str" s="27" r="C103">
        <f>VLOOKUP(B103,'Moves Index'!$B$3:$C$561,2,FALSE)</f>
        <v>#N/A:blankIndicator:</v>
      </c>
      <c t="str" s="27" r="D103">
        <f>VLOOKUP(B103,'Moves Index'!$B$3:$D$561,3,FALSE)</f>
        <v>#N/A:blankIndicator:</v>
      </c>
      <c t="str" s="27" r="E103">
        <f>VLOOKUP(B103,'Moves Index'!$B$3:$E$561,4,FALSE)</f>
        <v>#N/A:blankIndicator:</v>
      </c>
      <c t="str" s="78" r="F103">
        <f>VLOOKUP(B103,Lookup!$B$3:$C$54,2,FALSE)</f>
        <v>#N/A:blankIndicator:</v>
      </c>
      <c t="str" s="78" r="G103">
        <f>VLOOKUP(B103,Lookup!$E$24:$F$121,2,FALSE)</f>
        <v>#N/A:blankIndicator:</v>
      </c>
      <c s="46" r="H103"/>
    </row>
  </sheetData>
  <mergeCells count="9">
    <mergeCell ref="B2:G2"/>
    <mergeCell ref="I2:J2"/>
    <mergeCell ref="I6:J6"/>
    <mergeCell ref="I11:J11"/>
    <mergeCell ref="I12:I13"/>
    <mergeCell ref="J12:J13"/>
    <mergeCell ref="I14:I15"/>
    <mergeCell ref="J14:J15"/>
    <mergeCell ref="I21:J2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3" customWidth="1" max="3" width="16.43"/>
    <col min="5" customWidth="1" max="5" width="12.0"/>
    <col min="6" customWidth="1" max="6" width="9.29"/>
    <col min="7" customWidth="1" max="7" width="16.43"/>
    <col min="9" customWidth="1" max="9" width="12.14"/>
    <col min="10" customWidth="1" max="10" width="9.29"/>
    <col min="11" customWidth="1" max="11" width="16.43"/>
    <col min="13" customWidth="1" max="13" width="12.14"/>
    <col min="14" customWidth="1" max="14" width="9.29"/>
    <col min="15" customWidth="1" max="15" width="16.43"/>
    <col min="17" customWidth="1" max="17" width="12.14"/>
    <col min="18" customWidth="1" max="18" width="9.29"/>
    <col min="20" customWidth="1" max="20" width="25.43"/>
    <col min="23" customWidth="1" max="23" width="25.0"/>
    <col min="24" customWidth="1" max="24" width="18.29"/>
    <col min="26" customWidth="1" max="26" width="16.43"/>
    <col min="27" customWidth="1" max="28" width="77.86"/>
  </cols>
  <sheetData>
    <row customHeight="1" r="2" ht="13.5">
      <c s="52" r="C2"/>
      <c s="52" r="D2"/>
      <c s="52" r="E2"/>
      <c s="52" r="F2"/>
      <c s="52" r="G2"/>
      <c s="52" r="H2"/>
      <c s="52" r="I2"/>
      <c s="52" r="J2"/>
      <c s="52" r="K2"/>
      <c s="52" r="L2"/>
      <c s="52" r="M2"/>
      <c s="52" r="N2"/>
      <c s="52" r="O2"/>
      <c s="52" r="P2"/>
      <c s="52" r="Q2"/>
      <c s="52" r="R2"/>
    </row>
    <row customHeight="1" r="3" ht="14.25">
      <c s="67" r="B3"/>
      <c t="s" s="64" r="C3">
        <v>36</v>
      </c>
      <c s="86" r="D3"/>
      <c s="86" r="E3"/>
      <c s="86" r="F3"/>
      <c s="86" r="G3"/>
      <c s="86" r="H3"/>
      <c s="86" r="I3"/>
      <c s="86" r="J3"/>
      <c s="86" r="K3"/>
      <c s="86" r="L3"/>
      <c s="86" r="M3"/>
      <c s="86" r="N3"/>
      <c s="86" r="O3"/>
      <c s="86" r="P3"/>
      <c s="86" r="Q3"/>
      <c s="124" r="R3"/>
      <c s="60" r="S3"/>
    </row>
    <row customHeight="1" r="4" ht="14.25">
      <c s="10" r="B4"/>
      <c t="s" s="55" r="C4">
        <v>2</v>
      </c>
      <c t="s" s="55" r="D4">
        <v>3</v>
      </c>
      <c t="s" s="55" r="E4">
        <v>4</v>
      </c>
      <c t="s" s="55" r="F4">
        <v>5</v>
      </c>
      <c t="s" s="55" r="G4">
        <v>2</v>
      </c>
      <c t="s" s="55" r="H4">
        <v>3</v>
      </c>
      <c t="s" s="55" r="I4">
        <v>4</v>
      </c>
      <c t="s" s="55" r="J4">
        <v>5</v>
      </c>
      <c t="s" s="55" r="K4">
        <v>2</v>
      </c>
      <c t="s" s="55" r="L4">
        <v>3</v>
      </c>
      <c t="s" s="55" r="M4">
        <v>4</v>
      </c>
      <c t="s" s="55" r="N4">
        <v>5</v>
      </c>
      <c t="s" s="55" r="O4">
        <v>2</v>
      </c>
      <c t="s" s="55" r="P4">
        <v>3</v>
      </c>
      <c t="s" s="55" r="Q4">
        <v>4</v>
      </c>
      <c t="s" s="55" r="R4">
        <v>5</v>
      </c>
      <c s="46" r="S4"/>
      <c s="52" r="T4"/>
      <c s="52" r="U4"/>
      <c s="52" r="W4"/>
      <c s="52" r="X4"/>
      <c s="44" r="Z4"/>
      <c s="44" r="AA4"/>
      <c s="44" r="AB4"/>
    </row>
    <row customHeight="1" r="5" ht="14.25">
      <c s="10" r="B5"/>
      <c t="s" s="108" r="C5">
        <v>37</v>
      </c>
      <c t="str" s="40" r="D5">
        <f>VLOOKUP(C5,'Moves Index'!$B$3:$C$561,2,FALSE)</f>
        <v>Yes</v>
      </c>
      <c t="str" s="40" r="E5">
        <f>VLOOKUP(C5,'Moves Index'!$B$3:$D$561,3,FALSE)</f>
        <v>Non-Attacking</v>
      </c>
      <c t="str" s="40" r="F5">
        <f>VLOOKUP(C5,'Moves Index'!$B$3:$E$561,4,FALSE)</f>
        <v>N/A</v>
      </c>
      <c t="s" s="108" r="G5">
        <v>38</v>
      </c>
      <c t="str" s="40" r="H5">
        <f>VLOOKUP(G5,'Moves Index'!$B$3:$C$561,2,FALSE)</f>
        <v>Yes</v>
      </c>
      <c t="str" s="40" r="I5">
        <f>VLOOKUP(G5,'Moves Index'!$B$3:$D$561,3,FALSE)</f>
        <v>Attacking</v>
      </c>
      <c t="str" s="40" r="J5">
        <f>VLOOKUP(G5,'Moves Index'!$B$3:$E$561,4,FALSE)</f>
        <v>Physical</v>
      </c>
      <c t="s" s="108" r="K5">
        <v>39</v>
      </c>
      <c t="str" s="40" r="L5">
        <f>VLOOKUP(K5,'Moves Index'!$B$3:$C$561,2,FALSE)</f>
        <v>No</v>
      </c>
      <c t="str" s="40" r="M5">
        <f>VLOOKUP(K5,'Moves Index'!$B$3:$D$561,3,FALSE)</f>
        <v>Non-Attacking</v>
      </c>
      <c t="str" s="40" r="N5">
        <f>VLOOKUP(K5,'Moves Index'!$B$3:$E$561,4,FALSE)</f>
        <v>N/A</v>
      </c>
      <c t="s" s="108" r="O5">
        <v>40</v>
      </c>
      <c t="str" s="40" r="P5">
        <f>VLOOKUP(O5,'Moves Index'!$B$3:$C$561,2,FALSE)</f>
        <v>No</v>
      </c>
      <c t="str" s="40" r="Q5">
        <f>VLOOKUP(O5,'Moves Index'!$B$3:$D$561,3,FALSE)</f>
        <v>Attacking</v>
      </c>
      <c t="str" s="40" r="R5">
        <f>VLOOKUP(O5,'Moves Index'!$B$3:$E$561,4,FALSE)</f>
        <v>Special</v>
      </c>
      <c s="4" r="S5"/>
      <c t="s" s="64" r="T5">
        <v>41</v>
      </c>
      <c s="124" r="U5"/>
      <c s="98" r="V5"/>
      <c t="s" s="64" r="W5">
        <v>1</v>
      </c>
      <c s="124" r="X5"/>
      <c s="28" r="Y5"/>
      <c t="s" s="53" r="Z5">
        <v>42</v>
      </c>
      <c s="20" r="AA5"/>
      <c s="45" r="AB5"/>
    </row>
    <row customHeight="1" r="6" ht="14.25">
      <c s="10" r="B6"/>
      <c t="s" s="69" r="C6">
        <v>43</v>
      </c>
      <c t="str" s="8" r="D6">
        <f>VLOOKUP(C6,'Moves Index'!$B$3:$C$561,2,FALSE)</f>
        <v>Yes</v>
      </c>
      <c t="str" s="8" r="E6">
        <f>VLOOKUP(C6,'Moves Index'!$B$3:$D$561,3,FALSE)</f>
        <v>Attacking</v>
      </c>
      <c t="str" s="8" r="F6">
        <f>VLOOKUP(C6,'Moves Index'!$B$3:$E$561,4,FALSE)</f>
        <v>Physical</v>
      </c>
      <c t="s" s="91" r="G6">
        <v>23</v>
      </c>
      <c t="str" s="8" r="H6">
        <f>VLOOKUP(G6,'Moves Index'!$B$3:$C$561,2,FALSE)</f>
        <v>Yes</v>
      </c>
      <c t="str" s="8" r="I6">
        <f>VLOOKUP(G6,'Moves Index'!$B$3:$D$561,3,FALSE)</f>
        <v>Attacking</v>
      </c>
      <c t="str" s="8" r="J6">
        <f>VLOOKUP(G6,'Moves Index'!$B$3:$E$561,4,FALSE)</f>
        <v>Physical</v>
      </c>
      <c t="s" s="69" r="K6">
        <v>44</v>
      </c>
      <c t="str" s="8" r="L6">
        <f>VLOOKUP(K6,'Moves Index'!$B$3:$C$561,2,FALSE)</f>
        <v>Yes</v>
      </c>
      <c t="str" s="8" r="M6">
        <f>VLOOKUP(K6,'Moves Index'!$B$3:$D$561,3,FALSE)</f>
        <v>Attacking</v>
      </c>
      <c t="str" s="8" r="N6">
        <f>VLOOKUP(K6,'Moves Index'!$B$3:$E$561,4,FALSE)</f>
        <v>Special</v>
      </c>
      <c t="s" s="69" r="O6">
        <v>45</v>
      </c>
      <c t="str" s="8" r="P6">
        <f>VLOOKUP(O6,'Moves Index'!$B$3:$C$561,2,FALSE)</f>
        <v>No</v>
      </c>
      <c t="str" s="8" r="Q6">
        <f>VLOOKUP(O6,'Moves Index'!$B$3:$D$561,3,FALSE)</f>
        <v>Non-Attacking</v>
      </c>
      <c t="str" s="8" r="R6">
        <f>VLOOKUP(O6,'Moves Index'!$B$3:$E$561,4,FALSE)</f>
        <v>N/A</v>
      </c>
      <c s="104" r="S6"/>
      <c t="s" s="57" r="T6">
        <v>46</v>
      </c>
      <c s="99" r="U6">
        <f>((COUNTA(C5:C30)+COUNTA(G5:G30))+COUNTA(K5:K30))+COUNTA(O5:O30)</f>
        <v>101</v>
      </c>
      <c s="104" r="V6"/>
      <c t="s" s="96" r="W6">
        <v>10</v>
      </c>
      <c s="24" r="X6"/>
      <c s="104" r="Y6"/>
      <c t="s" s="116" r="Z6">
        <v>36</v>
      </c>
      <c s="20" r="AA6"/>
      <c s="45" r="AB6"/>
    </row>
    <row customHeight="1" r="7" ht="14.25">
      <c s="10" r="B7"/>
      <c t="s" s="69" r="C7">
        <v>47</v>
      </c>
      <c t="str" s="8" r="D7">
        <f>VLOOKUP(C7,'Moves Index'!$B$3:$C$561,2,FALSE)</f>
        <v>Yes</v>
      </c>
      <c t="str" s="8" r="E7">
        <f>VLOOKUP(C7,'Moves Index'!$B$3:$D$561,3,FALSE)</f>
        <v>Attacking</v>
      </c>
      <c t="str" s="8" r="F7">
        <f>VLOOKUP(C7,'Moves Index'!$B$3:$E$561,4,FALSE)</f>
        <v>Special</v>
      </c>
      <c t="s" s="69" r="G7">
        <v>48</v>
      </c>
      <c t="str" s="8" r="H7">
        <f>VLOOKUP(G7,'Moves Index'!$B$3:$C$561,2,FALSE)</f>
        <v>No</v>
      </c>
      <c t="str" s="8" r="I7">
        <f>VLOOKUP(G7,'Moves Index'!$B$3:$D$561,3,FALSE)</f>
        <v>Attacking</v>
      </c>
      <c t="str" s="8" r="J7">
        <f>VLOOKUP(G7,'Moves Index'!$B$3:$E$561,4,FALSE)</f>
        <v>Physical</v>
      </c>
      <c t="s" s="69" r="K7">
        <v>49</v>
      </c>
      <c t="str" s="8" r="L7">
        <f>VLOOKUP(K7,'Moves Index'!$B$3:$C$561,2,FALSE)</f>
        <v>Yes</v>
      </c>
      <c t="str" s="8" r="M7">
        <f>VLOOKUP(K7,'Moves Index'!$B$3:$D$561,3,FALSE)</f>
        <v>Attacking</v>
      </c>
      <c t="str" s="8" r="N7">
        <f>VLOOKUP(K7,'Moves Index'!$B$3:$E$561,4,FALSE)</f>
        <v>Special</v>
      </c>
      <c t="s" s="69" r="O7">
        <v>50</v>
      </c>
      <c t="str" s="8" r="P7">
        <f>VLOOKUP(O7,'Moves Index'!$B$3:$C$561,2,FALSE)</f>
        <v>No</v>
      </c>
      <c t="str" s="8" r="Q7">
        <f>VLOOKUP(O7,'Moves Index'!$B$3:$D$561,3,FALSE)</f>
        <v>Attacking</v>
      </c>
      <c t="str" s="8" r="R7">
        <f>VLOOKUP(O7,'Moves Index'!$B$3:$E$561,4,FALSE)</f>
        <v>Physical</v>
      </c>
      <c s="104" r="S7"/>
      <c t="s" s="21" r="T7">
        <v>51</v>
      </c>
      <c s="74" r="U7">
        <f>((COUNTIF(D5:D30,"Yes")+COUNTIF(H5:H30,"Yes"))+COUNTIF(L5:L30,"Yes"))+COUNTIF(P5:P30,"Yes")</f>
        <v>60</v>
      </c>
      <c s="46" r="V7"/>
      <c s="126" r="W7"/>
      <c s="126" r="X7"/>
      <c s="10" r="Y7"/>
      <c t="s" s="30" r="Z7">
        <v>2</v>
      </c>
      <c t="s" s="30" r="AA7">
        <v>6</v>
      </c>
      <c t="s" s="53" r="AB7">
        <v>7</v>
      </c>
    </row>
    <row customHeight="1" r="8" ht="14.25">
      <c s="10" r="B8"/>
      <c t="s" s="69" r="C8">
        <v>52</v>
      </c>
      <c t="str" s="8" r="D8">
        <f>VLOOKUP(C8,'Moves Index'!$B$3:$C$561,2,FALSE)</f>
        <v>Yes</v>
      </c>
      <c t="str" s="8" r="E8">
        <f>VLOOKUP(C8,'Moves Index'!$B$3:$D$561,3,FALSE)</f>
        <v>Non-Attacking</v>
      </c>
      <c t="str" s="8" r="F8">
        <f>VLOOKUP(C8,'Moves Index'!$B$3:$E$561,4,FALSE)</f>
        <v>N/A</v>
      </c>
      <c t="s" s="69" r="G8">
        <v>53</v>
      </c>
      <c t="str" s="8" r="H8">
        <f>VLOOKUP(G8,'Moves Index'!$B$3:$C$561,2,FALSE)</f>
        <v>Yes</v>
      </c>
      <c t="str" s="8" r="I8">
        <f>VLOOKUP(G8,'Moves Index'!$B$3:$D$561,3,FALSE)</f>
        <v>Attacking</v>
      </c>
      <c t="str" s="8" r="J8">
        <f>VLOOKUP(G8,'Moves Index'!$B$3:$E$561,4,FALSE)</f>
        <v>Special</v>
      </c>
      <c t="s" s="69" r="K8">
        <v>54</v>
      </c>
      <c t="str" s="8" r="L8">
        <f>VLOOKUP(K8,'Moves Index'!$B$3:$C$561,2,FALSE)</f>
        <v>No</v>
      </c>
      <c t="str" s="8" r="M8">
        <f>VLOOKUP(K8,'Moves Index'!$B$3:$D$561,3,FALSE)</f>
        <v>Attacking</v>
      </c>
      <c t="str" s="8" r="N8">
        <f>VLOOKUP(K8,'Moves Index'!$B$3:$E$561,4,FALSE)</f>
        <v>Physical</v>
      </c>
      <c t="s" s="69" r="O8">
        <v>55</v>
      </c>
      <c t="str" s="8" r="P8">
        <f>VLOOKUP(O8,'Moves Index'!$B$3:$C$561,2,FALSE)</f>
        <v>Yes</v>
      </c>
      <c t="str" s="8" r="Q8">
        <f>VLOOKUP(O8,'Moves Index'!$B$3:$D$561,3,FALSE)</f>
        <v>Attacking</v>
      </c>
      <c t="str" s="8" r="R8">
        <f>VLOOKUP(O8,'Moves Index'!$B$3:$E$561,4,FALSE)</f>
        <v>Special</v>
      </c>
      <c s="104" r="S8"/>
      <c t="s" s="21" r="T8">
        <v>27</v>
      </c>
      <c s="74" r="U8">
        <f>((COUNTIF(E5:E30,"Attacking")+COUNTIF(I5:I30,"Attacking"))+COUNTIF(M5:M30,"Attacking"))+COUNTIF(Q5:Q30,"Attacking")</f>
        <v>69</v>
      </c>
      <c s="46" r="V8"/>
      <c s="52" r="W8"/>
      <c s="52" r="X8"/>
      <c s="10" r="Y8"/>
      <c t="str" s="95" r="Z8">
        <f>C5</f>
        <v>Hone Claws</v>
      </c>
      <c t="str" s="72" r="AA8">
        <f>VLOOKUP(Z8,Lookup!$B$3:$C$54,2,FALSE)</f>
        <v>Meditate, Sharpen, Howl, Coil</v>
      </c>
      <c t="str" s="6" r="AB8">
        <f>VLOOKUP(Z8,Lookup!$E$24:$F$121,2,FALSE)</f>
        <v>#N/A:lookupNotFound:Hone Claws</v>
      </c>
    </row>
    <row customHeight="1" r="9" ht="14.25">
      <c s="10" r="B9"/>
      <c t="s" s="69" r="C9">
        <v>56</v>
      </c>
      <c t="str" s="8" r="D9">
        <f>VLOOKUP(C9,'Moves Index'!$B$3:$C$561,2,FALSE)</f>
        <v>Yes</v>
      </c>
      <c t="str" s="8" r="E9">
        <f>VLOOKUP(C9,'Moves Index'!$B$3:$D$561,3,FALSE)</f>
        <v>Non-Attacking</v>
      </c>
      <c t="str" s="8" r="F9">
        <f>VLOOKUP(C9,'Moves Index'!$B$3:$E$561,4,FALSE)</f>
        <v>N/A</v>
      </c>
      <c t="s" s="69" r="G9">
        <v>57</v>
      </c>
      <c t="str" s="8" r="H9">
        <f>VLOOKUP(G9,'Moves Index'!$B$3:$C$561,2,FALSE)</f>
        <v>Yes</v>
      </c>
      <c t="str" s="8" r="I9">
        <f>VLOOKUP(G9,'Moves Index'!$B$3:$D$561,3,FALSE)</f>
        <v>Attacking</v>
      </c>
      <c t="str" s="8" r="J9">
        <f>VLOOKUP(G9,'Moves Index'!$B$3:$E$561,4,FALSE)</f>
        <v>Special</v>
      </c>
      <c t="s" s="69" r="K9">
        <v>58</v>
      </c>
      <c t="str" s="8" r="L9">
        <f>VLOOKUP(K9,'Moves Index'!$B$3:$C$561,2,FALSE)</f>
        <v>Yes</v>
      </c>
      <c t="str" s="8" r="M9">
        <f>VLOOKUP(K9,'Moves Index'!$B$3:$D$561,3,FALSE)</f>
        <v>Attacking</v>
      </c>
      <c t="str" s="8" r="N9">
        <f>VLOOKUP(K9,'Moves Index'!$B$3:$E$561,4,FALSE)</f>
        <v>Special</v>
      </c>
      <c t="s" s="69" r="O9">
        <v>59</v>
      </c>
      <c t="str" s="8" r="P9">
        <f>VLOOKUP(O9,'Moves Index'!$B$3:$C$561,2,FALSE)</f>
        <v>Yes</v>
      </c>
      <c t="str" s="8" r="Q9">
        <f>VLOOKUP(O9,'Moves Index'!$B$3:$D$561,3,FALSE)</f>
        <v>Attacking</v>
      </c>
      <c t="str" s="8" r="R9">
        <f>VLOOKUP(O9,'Moves Index'!$B$3:$E$561,4,FALSE)</f>
        <v>Physical</v>
      </c>
      <c s="104" r="S9"/>
      <c t="s" s="21" r="T9">
        <v>29</v>
      </c>
      <c s="74" r="U9">
        <f>((COUNTIF(E5:E30,"Non-Attacking")+COUNTIF(I5:I30,"Non-Attacking"))+COUNTIF(M5:M30,"Non-Attacking"))+COUNTIF(Q5:Q30,"Non-Attacking")</f>
        <v>32</v>
      </c>
      <c s="4" r="V9"/>
      <c t="s" s="64" r="W9">
        <v>60</v>
      </c>
      <c s="124" r="X9"/>
      <c s="28" r="Y9"/>
      <c t="str" s="65" r="Z9">
        <f>C6</f>
        <v>Dragon Claw</v>
      </c>
      <c t="str" s="74" r="AA9">
        <f>VLOOKUP(Z9,Lookup!$B$3:$C$54,2,FALSE)</f>
        <v>#N/A:lookupNotFound:Dragon Claw</v>
      </c>
      <c t="str" s="77" r="AB9">
        <f>VLOOKUP(Z9,Lookup!$E$24:$F$121,2,FALSE)</f>
        <v>Hone Claws</v>
      </c>
    </row>
    <row customHeight="1" r="10" ht="13.5">
      <c s="10" r="B10"/>
      <c t="s" s="91" r="C10">
        <v>34</v>
      </c>
      <c t="str" s="8" r="D10">
        <f>VLOOKUP(C10,'Moves Index'!$B$3:$C$561,2,FALSE)</f>
        <v>Yes</v>
      </c>
      <c t="str" s="8" r="E10">
        <f>VLOOKUP(C10,'Moves Index'!$B$3:$D$561,3,FALSE)</f>
        <v>Non-Attacking</v>
      </c>
      <c t="str" s="8" r="F10">
        <f>VLOOKUP(C10,'Moves Index'!$B$3:$E$561,4,FALSE)</f>
        <v>N/A</v>
      </c>
      <c t="s" s="69" r="G10">
        <v>61</v>
      </c>
      <c t="str" s="8" r="H10">
        <f>VLOOKUP(G10,'Moves Index'!$B$3:$C$561,2,FALSE)</f>
        <v>Yes</v>
      </c>
      <c t="str" s="8" r="I10">
        <f>VLOOKUP(G10,'Moves Index'!$B$3:$D$561,3,FALSE)</f>
        <v>Attacking</v>
      </c>
      <c t="str" s="8" r="J10">
        <f>VLOOKUP(G10,'Moves Index'!$B$3:$E$561,4,FALSE)</f>
        <v>Physical</v>
      </c>
      <c t="s" s="69" r="K10">
        <v>62</v>
      </c>
      <c t="str" s="8" r="L10">
        <f>VLOOKUP(K10,'Moves Index'!$B$3:$C$561,2,FALSE)</f>
        <v>No</v>
      </c>
      <c t="str" s="8" r="M10">
        <f>VLOOKUP(K10,'Moves Index'!$B$3:$D$561,3,FALSE)</f>
        <v>Attacking</v>
      </c>
      <c t="str" s="8" r="N10">
        <f>VLOOKUP(K10,'Moves Index'!$B$3:$E$561,4,FALSE)</f>
        <v>Physical</v>
      </c>
      <c t="s" s="69" r="O10">
        <v>63</v>
      </c>
      <c t="str" s="8" r="P10">
        <f>VLOOKUP(O10,'Moves Index'!$B$3:$C$561,2,FALSE)</f>
        <v>Yes</v>
      </c>
      <c t="str" s="8" r="Q10">
        <f>VLOOKUP(O10,'Moves Index'!$B$3:$D$561,3,FALSE)</f>
        <v>Attacking</v>
      </c>
      <c t="str" s="8" r="R10">
        <f>VLOOKUP(O10,'Moves Index'!$B$3:$E$561,4,FALSE)</f>
        <v>Physical</v>
      </c>
      <c s="104" r="S10"/>
      <c t="s" s="21" r="T10">
        <v>31</v>
      </c>
      <c s="74" r="U10">
        <f>((COUNTIF(F5:F30,"Physical")+COUNTIF(J5:J30,"Physical"))+COUNTIF(N5:N30,"Physical"))+COUNTIF(R5:R30,"Physical")</f>
        <v>38</v>
      </c>
      <c s="104" r="V10"/>
      <c t="s" s="43" r="W10">
        <v>64</v>
      </c>
      <c s="37" r="X10"/>
      <c s="104" r="Y10"/>
      <c t="str" s="65" r="Z10">
        <f>C7</f>
        <v>Psyshock</v>
      </c>
      <c t="str" s="74" r="AA10">
        <f>VLOOKUP(Z10,Lookup!$B$3:$C$54,2,FALSE)</f>
        <v>#N/A:lookupNotFound:Psyshock</v>
      </c>
      <c t="str" s="77" r="AB10">
        <f>VLOOKUP(Z10,Lookup!$E$24:$F$121,2,FALSE)</f>
        <v>Dream Eater, Flash, Light Screen, Psychic, Psych Up, Shadow Ball, Telekinesis</v>
      </c>
    </row>
    <row customHeight="1" r="11" ht="13.5">
      <c s="10" r="B11"/>
      <c t="s" s="69" r="C11">
        <v>65</v>
      </c>
      <c t="str" s="8" r="D11">
        <f>VLOOKUP(C11,'Moves Index'!$B$3:$C$561,2,FALSE)</f>
        <v>No</v>
      </c>
      <c t="str" s="8" r="E11">
        <f>VLOOKUP(C11,'Moves Index'!$B$3:$D$561,3,FALSE)</f>
        <v>Non-Attacking</v>
      </c>
      <c t="str" s="8" r="F11">
        <f>VLOOKUP(C11,'Moves Index'!$B$3:$E$561,4,FALSE)</f>
        <v>N/A</v>
      </c>
      <c t="s" s="91" r="G11">
        <v>11</v>
      </c>
      <c t="str" s="8" r="H11">
        <f>VLOOKUP(G11,'Moves Index'!$B$3:$C$561,2,FALSE)</f>
        <v>No</v>
      </c>
      <c t="str" s="8" r="I11">
        <f>VLOOKUP(G11,'Moves Index'!$B$3:$D$561,3,FALSE)</f>
        <v>Non-Attacking</v>
      </c>
      <c t="str" s="8" r="J11">
        <f>VLOOKUP(G11,'Moves Index'!$B$3:$E$561,4,FALSE)</f>
        <v>N/A</v>
      </c>
      <c t="s" s="69" r="K11">
        <v>66</v>
      </c>
      <c t="str" s="8" r="L11">
        <f>VLOOKUP(K11,'Moves Index'!$B$3:$C$561,2,FALSE)</f>
        <v>Yes</v>
      </c>
      <c t="str" s="8" r="M11">
        <f>VLOOKUP(K11,'Moves Index'!$B$3:$D$561,3,FALSE)</f>
        <v>Attacking</v>
      </c>
      <c t="str" s="8" r="N11">
        <f>VLOOKUP(K11,'Moves Index'!$B$3:$E$561,4,FALSE)</f>
        <v>Special</v>
      </c>
      <c t="s" s="69" r="O11">
        <v>67</v>
      </c>
      <c t="str" s="8" r="P11">
        <f>VLOOKUP(O11,'Moves Index'!$B$3:$C$561,2,FALSE)</f>
        <v>Yes</v>
      </c>
      <c t="str" s="8" r="Q11">
        <f>VLOOKUP(O11,'Moves Index'!$B$3:$D$561,3,FALSE)</f>
        <v>Attacking</v>
      </c>
      <c t="str" s="8" r="R11">
        <f>VLOOKUP(O11,'Moves Index'!$B$3:$E$561,4,FALSE)</f>
        <v>Physical</v>
      </c>
      <c s="104" r="S11"/>
      <c t="s" s="26" r="T11">
        <v>33</v>
      </c>
      <c s="78" r="U11">
        <f>((COUNTIF(F5:F30,"Special")+COUNTIF(J5:J30,"Special"))+COUNTIF(N5:N30,"Special"))+COUNTIF(R5:R30,"Special")</f>
        <v>31</v>
      </c>
      <c s="104" r="V11"/>
      <c t="s" s="109" r="W11">
        <v>68</v>
      </c>
      <c s="123" r="X11"/>
      <c s="104" r="Y11"/>
      <c t="str" s="65" r="Z11">
        <f>C8</f>
        <v>Calm Mind</v>
      </c>
      <c t="str" s="74" r="AA11">
        <f>VLOOKUP(Z11,Lookup!$B$3:$C$54,2,FALSE)</f>
        <v>Quiver Dance</v>
      </c>
      <c t="str" s="77" r="AB11">
        <f>VLOOKUP(Z11,Lookup!$E$24:$F$121,2,FALSE)</f>
        <v>Psych Up</v>
      </c>
    </row>
    <row customHeight="1" r="12" ht="14.25">
      <c s="10" r="B12"/>
      <c t="s" s="69" r="C12">
        <v>69</v>
      </c>
      <c t="str" s="8" r="D12">
        <f>VLOOKUP(C12,'Moves Index'!$B$3:$C$561,2,FALSE)</f>
        <v>Yes</v>
      </c>
      <c t="str" s="8" r="E12">
        <f>VLOOKUP(C12,'Moves Index'!$B$3:$D$561,3,FALSE)</f>
        <v>Non-Attacking</v>
      </c>
      <c t="str" s="8" r="F12">
        <f>VLOOKUP(C12,'Moves Index'!$B$3:$E$561,4,FALSE)</f>
        <v>N/A</v>
      </c>
      <c t="s" s="69" r="G12">
        <v>70</v>
      </c>
      <c t="str" s="8" r="H12">
        <f>VLOOKUP(G12,'Moves Index'!$B$3:$C$561,2,FALSE)</f>
        <v>Yes</v>
      </c>
      <c t="str" s="8" r="I12">
        <f>VLOOKUP(G12,'Moves Index'!$B$3:$D$561,3,FALSE)</f>
        <v>Non-Attacking</v>
      </c>
      <c t="str" s="8" r="J12">
        <f>VLOOKUP(G12,'Moves Index'!$B$3:$E$561,4,FALSE)</f>
        <v>N/A</v>
      </c>
      <c t="s" s="69" r="K12">
        <v>71</v>
      </c>
      <c t="str" s="8" r="L12">
        <f>VLOOKUP(K12,'Moves Index'!$B$3:$C$561,2,FALSE)</f>
        <v>No</v>
      </c>
      <c t="str" s="8" r="M12">
        <f>VLOOKUP(K12,'Moves Index'!$B$3:$D$561,3,FALSE)</f>
        <v>Attacking</v>
      </c>
      <c t="str" s="8" r="N12">
        <f>VLOOKUP(K12,'Moves Index'!$B$3:$E$561,4,FALSE)</f>
        <v>Physical</v>
      </c>
      <c t="s" s="69" r="O12">
        <v>72</v>
      </c>
      <c t="str" s="8" r="P12">
        <f>VLOOKUP(O12,'Moves Index'!$B$3:$C$561,2,FALSE)</f>
        <v>Yes</v>
      </c>
      <c t="str" s="8" r="Q12">
        <f>VLOOKUP(O12,'Moves Index'!$B$3:$D$561,3,FALSE)</f>
        <v>Non-Attacking</v>
      </c>
      <c t="str" s="8" r="R12">
        <f>VLOOKUP(O12,'Moves Index'!$B$3:$E$561,4,FALSE)</f>
        <v>N/A</v>
      </c>
      <c s="46" r="S12"/>
      <c s="115" r="T12"/>
      <c s="115" r="U12"/>
      <c s="5" r="W12"/>
      <c s="5" r="X12"/>
      <c s="10" r="Y12"/>
      <c t="str" s="65" r="Z12">
        <f>C9</f>
        <v>Roar</v>
      </c>
      <c t="str" s="74" r="AA12">
        <f>VLOOKUP(Z12,Lookup!$B$3:$C$54,2,FALSE)</f>
        <v>Whirlwind</v>
      </c>
      <c t="str" s="77" r="AB12">
        <f>VLOOKUP(Z12,Lookup!$E$24:$F$121,2,FALSE)</f>
        <v>#N/A:lookupNotFound:Roar</v>
      </c>
    </row>
    <row customHeight="1" r="13" ht="14.25">
      <c s="10" r="B13"/>
      <c t="s" s="69" r="C13">
        <v>73</v>
      </c>
      <c t="str" s="8" r="D13">
        <f>VLOOKUP(C13,'Moves Index'!$B$3:$C$561,2,FALSE)</f>
        <v>No</v>
      </c>
      <c t="str" s="8" r="E13">
        <f>VLOOKUP(C13,'Moves Index'!$B$3:$D$561,3,FALSE)</f>
        <v>Attacking</v>
      </c>
      <c t="str" s="8" r="F13">
        <f>VLOOKUP(C13,'Moves Index'!$B$3:$E$561,4,FALSE)</f>
        <v>Special</v>
      </c>
      <c t="s" s="69" r="G13">
        <v>74</v>
      </c>
      <c t="str" s="8" r="H13">
        <f>VLOOKUP(G13,'Moves Index'!$B$3:$C$561,2,FALSE)</f>
        <v>Yes</v>
      </c>
      <c t="str" s="8" r="I13">
        <f>VLOOKUP(G13,'Moves Index'!$B$3:$D$561,3,FALSE)</f>
        <v>Attacking</v>
      </c>
      <c t="str" s="8" r="J13">
        <f>VLOOKUP(G13,'Moves Index'!$B$3:$E$561,4,FALSE)</f>
        <v>Special</v>
      </c>
      <c t="s" s="69" r="K13">
        <v>75</v>
      </c>
      <c t="str" s="8" r="L13">
        <f>VLOOKUP(K13,'Moves Index'!$B$3:$C$561,2,FALSE)</f>
        <v>No</v>
      </c>
      <c t="str" s="8" r="M13">
        <f>VLOOKUP(K13,'Moves Index'!$B$3:$D$561,3,FALSE)</f>
        <v>Attacking</v>
      </c>
      <c t="str" s="8" r="N13">
        <f>VLOOKUP(K13,'Moves Index'!$B$3:$E$561,4,FALSE)</f>
        <v>Special</v>
      </c>
      <c t="s" s="69" r="O13">
        <v>76</v>
      </c>
      <c t="str" s="8" r="P13">
        <f>VLOOKUP(O13,'Moves Index'!$B$3:$C$561,2,FALSE)</f>
        <v>Yes</v>
      </c>
      <c t="str" s="8" r="Q13">
        <f>VLOOKUP(O13,'Moves Index'!$B$3:$D$561,3,FALSE)</f>
        <v>Attacking</v>
      </c>
      <c t="str" s="8" r="R13">
        <f>VLOOKUP(O13,'Moves Index'!$B$3:$E$561,4,FALSE)</f>
        <v>Physical</v>
      </c>
      <c s="4" r="S13"/>
      <c t="s" s="64" r="T13">
        <v>77</v>
      </c>
      <c s="124" r="U13"/>
      <c s="60" r="V13"/>
      <c s="10" r="Y13"/>
      <c t="str" s="65" r="Z13">
        <f>C10</f>
        <v>Toxic</v>
      </c>
      <c t="str" s="74" r="AA13">
        <f>VLOOKUP(Z13,Lookup!$B$3:$C$54,2,FALSE)</f>
        <v>#N/A:lookupNotFound:Toxic</v>
      </c>
      <c t="str" s="77" r="AB13">
        <f>VLOOKUP(Z13,Lookup!$E$24:$F$121,2,FALSE)</f>
        <v>#N/A:lookupNotFound:Toxic</v>
      </c>
    </row>
    <row customHeight="1" r="14" ht="13.5">
      <c s="10" r="B14"/>
      <c t="s" s="91" r="C14">
        <v>16</v>
      </c>
      <c t="str" s="8" r="D14">
        <f>VLOOKUP(C14,'Moves Index'!$B$3:$C$561,2,FALSE)</f>
        <v>Yes</v>
      </c>
      <c t="str" s="8" r="E14">
        <f>VLOOKUP(C14,'Moves Index'!$B$3:$D$561,3,FALSE)</f>
        <v>Attacking</v>
      </c>
      <c t="str" s="8" r="F14">
        <f>VLOOKUP(C14,'Moves Index'!$B$3:$E$561,4,FALSE)</f>
        <v>Special</v>
      </c>
      <c t="s" s="69" r="G14">
        <v>78</v>
      </c>
      <c t="str" s="8" r="H14">
        <f>VLOOKUP(G14,'Moves Index'!$B$3:$C$561,2,FALSE)</f>
        <v>Yes</v>
      </c>
      <c t="str" s="8" r="I14">
        <f>VLOOKUP(G14,'Moves Index'!$B$3:$D$561,3,FALSE)</f>
        <v>Attacking</v>
      </c>
      <c t="str" s="8" r="J14">
        <f>VLOOKUP(G14,'Moves Index'!$B$3:$E$561,4,FALSE)</f>
        <v>Special</v>
      </c>
      <c t="s" s="69" r="K14">
        <v>79</v>
      </c>
      <c t="str" s="8" r="L14">
        <f>VLOOKUP(K14,'Moves Index'!$B$3:$C$561,2,FALSE)</f>
        <v>No</v>
      </c>
      <c t="str" s="8" r="M14">
        <f>VLOOKUP(K14,'Moves Index'!$B$3:$D$561,3,FALSE)</f>
        <v>Non-Attacking</v>
      </c>
      <c t="str" s="8" r="N14">
        <f>VLOOKUP(K14,'Moves Index'!$B$3:$E$561,4,FALSE)</f>
        <v>N/A</v>
      </c>
      <c t="s" s="69" r="O14">
        <v>80</v>
      </c>
      <c t="str" s="8" r="P14">
        <f>VLOOKUP(O14,'Moves Index'!$B$3:$C$561,2,FALSE)</f>
        <v>No</v>
      </c>
      <c t="str" s="8" r="Q14">
        <f>VLOOKUP(O14,'Moves Index'!$B$3:$D$561,3,FALSE)</f>
        <v>Attacking</v>
      </c>
      <c t="str" s="8" r="R14">
        <f>VLOOKUP(O14,'Moves Index'!$B$3:$E$561,4,FALSE)</f>
        <v>Special</v>
      </c>
      <c s="104" r="S14"/>
      <c t="s" s="57" r="T14">
        <v>46</v>
      </c>
      <c s="99" r="U14">
        <f>COUNTA(C34:C51)-X10</f>
        <v>0</v>
      </c>
      <c s="46" r="V14"/>
      <c s="10" r="Y14"/>
      <c t="str" s="65" r="Z14">
        <f>C11</f>
        <v>Hail</v>
      </c>
      <c t="str" s="74" r="AA14">
        <f>VLOOKUP(Z14,Lookup!$B$3:$C$54,2,FALSE)</f>
        <v>#N/A:lookupNotFound:Hail</v>
      </c>
      <c t="str" s="77" r="AB14">
        <f>VLOOKUP(Z14,Lookup!$E$24:$F$121,2,FALSE)</f>
        <v>#N/A:lookupNotFound:Hail</v>
      </c>
    </row>
    <row r="15">
      <c s="10" r="B15"/>
      <c t="s" s="69" r="C15">
        <v>81</v>
      </c>
      <c t="str" s="8" r="D15">
        <f>VLOOKUP(C15,'Moves Index'!$B$3:$C$561,2,FALSE)</f>
        <v>No</v>
      </c>
      <c t="str" s="8" r="E15">
        <f>VLOOKUP(C15,'Moves Index'!$B$3:$D$561,3,FALSE)</f>
        <v>Non-Attacking</v>
      </c>
      <c t="str" s="8" r="F15">
        <f>VLOOKUP(C15,'Moves Index'!$B$3:$E$561,4,FALSE)</f>
        <v>N/A</v>
      </c>
      <c t="s" s="69" r="G15">
        <v>82</v>
      </c>
      <c t="str" s="8" r="H15">
        <f>VLOOKUP(G15,'Moves Index'!$B$3:$C$561,2,FALSE)</f>
        <v>Yes</v>
      </c>
      <c t="str" s="8" r="I15">
        <f>VLOOKUP(G15,'Moves Index'!$B$3:$D$561,3,FALSE)</f>
        <v>Attacking</v>
      </c>
      <c t="str" s="8" r="J15">
        <f>VLOOKUP(G15,'Moves Index'!$B$3:$E$561,4,FALSE)</f>
        <v>Special</v>
      </c>
      <c t="s" s="69" r="K15">
        <v>83</v>
      </c>
      <c t="str" s="8" r="L15">
        <f>VLOOKUP(K15,'Moves Index'!$B$3:$C$561,2,FALSE)</f>
        <v>Yes</v>
      </c>
      <c t="str" s="8" r="M15">
        <f>VLOOKUP(K15,'Moves Index'!$B$3:$D$561,3,FALSE)</f>
        <v>Non-Attacking</v>
      </c>
      <c t="str" s="8" r="N15">
        <f>VLOOKUP(K15,'Moves Index'!$B$3:$E$561,4,FALSE)</f>
        <v>N/A</v>
      </c>
      <c t="s" s="69" r="O15">
        <v>84</v>
      </c>
      <c t="str" s="8" r="P15">
        <f>VLOOKUP(O15,'Moves Index'!$B$3:$C$561,2,FALSE)</f>
        <v>Yes</v>
      </c>
      <c t="str" s="8" r="Q15">
        <f>VLOOKUP(O15,'Moves Index'!$B$3:$D$561,3,FALSE)</f>
        <v>Attacking</v>
      </c>
      <c t="str" s="8" r="R15">
        <f>VLOOKUP(O15,'Moves Index'!$B$3:$E$561,4,FALSE)</f>
        <v>Special</v>
      </c>
      <c s="104" r="S15"/>
      <c t="s" s="21" r="T15">
        <v>51</v>
      </c>
      <c s="74" r="U15">
        <f>COUNTIF(D34:D51,"Yes")</f>
        <v>0</v>
      </c>
      <c s="46" r="V15"/>
      <c s="10" r="Y15"/>
      <c t="str" s="65" r="Z15">
        <f>C12</f>
        <v>Bulk Up</v>
      </c>
      <c t="str" s="74" r="AA15">
        <f>VLOOKUP(Z15,Lookup!$B$3:$C$54,2,FALSE)</f>
        <v>Meditate, Sharpen, Howl, Coil</v>
      </c>
      <c t="str" s="77" r="AB15">
        <f>VLOOKUP(Z15,Lookup!$E$24:$F$121,2,FALSE)</f>
        <v>Brick Break, Focus Blast, Rock Slide, Rock Tomb</v>
      </c>
    </row>
    <row r="16">
      <c s="10" r="B16"/>
      <c t="s" s="69" r="C16">
        <v>85</v>
      </c>
      <c t="str" s="8" r="D16">
        <f>VLOOKUP(C16,'Moves Index'!$B$3:$C$561,2,FALSE)</f>
        <v>Yes</v>
      </c>
      <c t="str" s="8" r="E16">
        <f>VLOOKUP(C16,'Moves Index'!$B$3:$D$561,3,FALSE)</f>
        <v>Non-Attacking</v>
      </c>
      <c t="str" s="8" r="F16">
        <f>VLOOKUP(C16,'Moves Index'!$B$3:$E$561,4,FALSE)</f>
        <v>N/A</v>
      </c>
      <c t="s" s="69" r="G16">
        <v>86</v>
      </c>
      <c t="str" s="8" r="H16">
        <f>VLOOKUP(G16,'Moves Index'!$B$3:$C$561,2,FALSE)</f>
        <v>No</v>
      </c>
      <c t="str" s="8" r="I16">
        <f>VLOOKUP(G16,'Moves Index'!$B$3:$D$561,3,FALSE)</f>
        <v>Non-Attacking</v>
      </c>
      <c t="str" s="8" r="J16">
        <f>VLOOKUP(G16,'Moves Index'!$B$3:$E$561,4,FALSE)</f>
        <v>N/A</v>
      </c>
      <c t="s" s="69" r="K16">
        <v>87</v>
      </c>
      <c t="str" s="8" r="L16">
        <f>VLOOKUP(K16,'Moves Index'!$B$3:$C$561,2,FALSE)</f>
        <v>Yes</v>
      </c>
      <c t="str" s="8" r="M16">
        <f>VLOOKUP(K16,'Moves Index'!$B$3:$D$561,3,FALSE)</f>
        <v>Attacking</v>
      </c>
      <c t="str" s="8" r="N16">
        <f>VLOOKUP(K16,'Moves Index'!$B$3:$E$561,4,FALSE)</f>
        <v>Physical</v>
      </c>
      <c t="s" s="91" r="O16">
        <v>32</v>
      </c>
      <c t="str" s="8" r="P16">
        <f>VLOOKUP(O16,'Moves Index'!$B$3:$C$561,2,FALSE)</f>
        <v>No</v>
      </c>
      <c t="str" s="8" r="Q16">
        <f>VLOOKUP(O16,'Moves Index'!$B$3:$D$561,3,FALSE)</f>
        <v>Non-Attacking</v>
      </c>
      <c t="str" s="8" r="R16">
        <f>VLOOKUP(O16,'Moves Index'!$B$3:$E$561,4,FALSE)</f>
        <v>N/A</v>
      </c>
      <c s="104" r="S16"/>
      <c t="s" s="21" r="T16">
        <v>27</v>
      </c>
      <c s="74" r="U16">
        <f>COUNTIF(E34:E51,"Attacking")</f>
        <v>0</v>
      </c>
      <c s="46" r="V16"/>
      <c s="10" r="Y16"/>
      <c t="str" s="65" r="Z16">
        <f>C13</f>
        <v>Venoshock</v>
      </c>
      <c t="str" s="74" r="AA16">
        <f>VLOOKUP(Z16,Lookup!$B$3:$C$54,2,FALSE)</f>
        <v>#N/A:lookupNotFound:Venoshock</v>
      </c>
      <c t="str" s="77" r="AB16">
        <f>VLOOKUP(Z16,Lookup!$E$24:$F$121,2,FALSE)</f>
        <v>#N/A:lookupNotFound:Venoshock</v>
      </c>
    </row>
    <row r="17">
      <c s="10" r="B17"/>
      <c t="s" s="69" r="C17">
        <v>88</v>
      </c>
      <c t="str" s="8" r="D17">
        <f>VLOOKUP(C17,'Moves Index'!$B$3:$C$561,2,FALSE)</f>
        <v>Yes</v>
      </c>
      <c t="str" s="8" r="E17">
        <f>VLOOKUP(C17,'Moves Index'!$B$3:$D$561,3,FALSE)</f>
        <v>Attacking</v>
      </c>
      <c t="str" s="8" r="F17">
        <f>VLOOKUP(C17,'Moves Index'!$B$3:$E$561,4,FALSE)</f>
        <v>Special</v>
      </c>
      <c t="s" s="69" r="G17">
        <v>89</v>
      </c>
      <c t="str" s="8" r="H17">
        <f>VLOOKUP(G17,'Moves Index'!$B$3:$C$561,2,FALSE)</f>
        <v>Yes</v>
      </c>
      <c t="str" s="8" r="I17">
        <f>VLOOKUP(G17,'Moves Index'!$B$3:$D$561,3,FALSE)</f>
        <v>Attacking</v>
      </c>
      <c t="str" s="8" r="J17">
        <f>VLOOKUP(G17,'Moves Index'!$B$3:$E$561,4,FALSE)</f>
        <v>Special</v>
      </c>
      <c t="s" s="69" r="K17">
        <v>90</v>
      </c>
      <c t="str" s="8" r="L17">
        <f>VLOOKUP(K17,'Moves Index'!$B$3:$C$561,2,FALSE)</f>
        <v>No</v>
      </c>
      <c t="str" s="8" r="M17">
        <f>VLOOKUP(K17,'Moves Index'!$B$3:$D$561,3,FALSE)</f>
        <v>Non-Attacking</v>
      </c>
      <c t="str" s="8" r="N17">
        <f>VLOOKUP(K17,'Moves Index'!$B$3:$E$561,4,FALSE)</f>
        <v>N/A</v>
      </c>
      <c t="s" s="69" r="O17">
        <v>91</v>
      </c>
      <c t="str" s="8" r="P17">
        <f>VLOOKUP(O17,'Moves Index'!$B$3:$C$561,2,FALSE)</f>
        <v>No</v>
      </c>
      <c t="str" s="8" r="Q17">
        <f>VLOOKUP(O17,'Moves Index'!$B$3:$D$561,3,FALSE)</f>
        <v>Attacking</v>
      </c>
      <c t="str" s="8" r="R17">
        <f>VLOOKUP(O17,'Moves Index'!$B$3:$E$561,4,FALSE)</f>
        <v>Physical</v>
      </c>
      <c s="104" r="S17"/>
      <c t="s" s="21" r="T17">
        <v>29</v>
      </c>
      <c s="74" r="U17">
        <f>COUNTIF(E34:E51,"Non-Attacking")</f>
        <v>0</v>
      </c>
      <c s="46" r="V17"/>
      <c s="10" r="Y17"/>
      <c t="str" s="65" r="Z17">
        <f>C14</f>
        <v>Hidden Power</v>
      </c>
      <c t="str" s="74" r="AA17">
        <f>VLOOKUP(Z17,Lookup!$B$3:$C$54,2,FALSE)</f>
        <v>#N/A:lookupNotFound:Hidden Power</v>
      </c>
      <c t="str" s="77" r="AB17">
        <f>VLOOKUP(Z17,Lookup!$E$24:$F$121,2,FALSE)</f>
        <v>#N/A:lookupNotFound:Hidden Power</v>
      </c>
    </row>
    <row r="18">
      <c s="10" r="B18"/>
      <c t="s" s="69" r="C18">
        <v>92</v>
      </c>
      <c t="str" s="8" r="D18">
        <f>VLOOKUP(C18,'Moves Index'!$B$3:$C$561,2,FALSE)</f>
        <v>Yes</v>
      </c>
      <c t="str" s="8" r="E18">
        <f>VLOOKUP(C18,'Moves Index'!$B$3:$D$561,3,FALSE)</f>
        <v>Attacking</v>
      </c>
      <c t="str" s="8" r="F18">
        <f>VLOOKUP(C18,'Moves Index'!$B$3:$E$561,4,FALSE)</f>
        <v>Special</v>
      </c>
      <c t="s" s="69" r="G18">
        <v>93</v>
      </c>
      <c t="str" s="8" r="H18">
        <f>VLOOKUP(G18,'Moves Index'!$B$3:$C$561,2,FALSE)</f>
        <v>No</v>
      </c>
      <c t="str" s="8" r="I18">
        <f>VLOOKUP(G18,'Moves Index'!$B$3:$D$561,3,FALSE)</f>
        <v>Attacking</v>
      </c>
      <c t="str" s="8" r="J18">
        <f>VLOOKUP(G18,'Moves Index'!$B$3:$E$561,4,FALSE)</f>
        <v>Physical</v>
      </c>
      <c t="s" s="69" r="K18">
        <v>94</v>
      </c>
      <c t="str" s="8" r="L18">
        <f>VLOOKUP(K18,'Moves Index'!$B$3:$C$561,2,FALSE)</f>
        <v>No</v>
      </c>
      <c t="str" s="8" r="M18">
        <f>VLOOKUP(K18,'Moves Index'!$B$3:$D$561,3,FALSE)</f>
        <v>Attacking</v>
      </c>
      <c t="str" s="8" r="N18">
        <f>VLOOKUP(K18,'Moves Index'!$B$3:$E$561,4,FALSE)</f>
        <v>Physical</v>
      </c>
      <c t="s" s="69" r="O18">
        <v>95</v>
      </c>
      <c t="str" s="8" r="P18">
        <f>VLOOKUP(O18,'Moves Index'!$B$3:$C$561,2,FALSE)</f>
        <v>Yes</v>
      </c>
      <c t="str" s="8" r="Q18">
        <f>VLOOKUP(O18,'Moves Index'!$B$3:$D$561,3,FALSE)</f>
        <v>Attacking</v>
      </c>
      <c t="str" s="8" r="R18">
        <f>VLOOKUP(O18,'Moves Index'!$B$3:$E$561,4,FALSE)</f>
        <v>Physical</v>
      </c>
      <c s="104" r="S18"/>
      <c t="s" s="21" r="T18">
        <v>31</v>
      </c>
      <c s="74" r="U18">
        <f>COUNTIF(F34:F51,"Physical")</f>
        <v>0</v>
      </c>
      <c s="46" r="V18"/>
      <c s="10" r="Y18"/>
      <c t="str" s="65" r="Z18">
        <f>C15</f>
        <v>Sunny Day</v>
      </c>
      <c t="str" s="74" r="AA18">
        <f>VLOOKUP(Z18,Lookup!$B$3:$C$54,2,FALSE)</f>
        <v>#N/A:lookupNotFound:Sunny Day</v>
      </c>
      <c t="str" s="77" r="AB18">
        <f>VLOOKUP(Z18,Lookup!$E$24:$F$121,2,FALSE)</f>
        <v>#N/A:lookupNotFound:Sunny Day</v>
      </c>
    </row>
    <row customHeight="1" r="19" ht="13.5">
      <c s="10" r="B19"/>
      <c t="s" s="91" r="C19">
        <v>17</v>
      </c>
      <c t="str" s="8" r="D19">
        <f>VLOOKUP(C19,'Moves Index'!$B$3:$C$561,2,FALSE)</f>
        <v>No</v>
      </c>
      <c t="str" s="8" r="E19">
        <f>VLOOKUP(C19,'Moves Index'!$B$3:$D$561,3,FALSE)</f>
        <v>Attacking</v>
      </c>
      <c t="str" s="8" r="F19">
        <f>VLOOKUP(C19,'Moves Index'!$B$3:$E$561,4,FALSE)</f>
        <v>Special</v>
      </c>
      <c t="s" s="69" r="G19">
        <v>96</v>
      </c>
      <c t="str" s="8" r="H19">
        <f>VLOOKUP(G19,'Moves Index'!$B$3:$C$561,2,FALSE)</f>
        <v>Yes</v>
      </c>
      <c t="str" s="8" r="I19">
        <f>VLOOKUP(G19,'Moves Index'!$B$3:$D$561,3,FALSE)</f>
        <v>Attacking</v>
      </c>
      <c t="str" s="8" r="J19">
        <f>VLOOKUP(G19,'Moves Index'!$B$3:$E$561,4,FALSE)</f>
        <v>Physical</v>
      </c>
      <c t="s" s="69" r="K19">
        <v>97</v>
      </c>
      <c t="str" s="8" r="L19">
        <f>VLOOKUP(K19,'Moves Index'!$B$3:$C$561,2,FALSE)</f>
        <v>Yes</v>
      </c>
      <c t="str" s="8" r="M19">
        <f>VLOOKUP(K19,'Moves Index'!$B$3:$D$561,3,FALSE)</f>
        <v>Attacking</v>
      </c>
      <c t="str" s="8" r="N19">
        <f>VLOOKUP(K19,'Moves Index'!$B$3:$E$561,4,FALSE)</f>
        <v>Physical</v>
      </c>
      <c t="s" s="91" r="O19">
        <v>30</v>
      </c>
      <c t="str" s="8" r="P19">
        <f>VLOOKUP(O19,'Moves Index'!$B$3:$C$561,2,FALSE)</f>
        <v>Yes</v>
      </c>
      <c t="str" s="8" r="Q19">
        <f>VLOOKUP(O19,'Moves Index'!$B$3:$D$561,3,FALSE)</f>
        <v>Non-Attacking</v>
      </c>
      <c t="str" s="8" r="R19">
        <f>VLOOKUP(O19,'Moves Index'!$B$3:$E$561,4,FALSE)</f>
        <v>N/A</v>
      </c>
      <c s="104" r="S19"/>
      <c t="s" s="26" r="T19">
        <v>33</v>
      </c>
      <c s="78" r="U19">
        <f>COUNTIF(F34:F51,"Special")</f>
        <v>0</v>
      </c>
      <c s="46" r="V19"/>
      <c s="10" r="Y19"/>
      <c t="str" s="65" r="Z19">
        <f>C16</f>
        <v>Taunt</v>
      </c>
      <c t="str" s="74" r="AA19">
        <f>VLOOKUP(Z19,Lookup!$B$3:$C$54,2,FALSE)</f>
        <v>#N/A:lookupNotFound:Taunt</v>
      </c>
      <c t="str" s="77" r="AB19">
        <f>VLOOKUP(Z19,Lookup!$E$24:$F$121,2,FALSE)</f>
        <v>#N/A:lookupNotFound:Taunt</v>
      </c>
    </row>
    <row customHeight="1" r="20" ht="14.25">
      <c s="10" r="B20"/>
      <c t="s" s="69" r="C20">
        <v>98</v>
      </c>
      <c t="str" s="8" r="D20">
        <f>VLOOKUP(C20,'Moves Index'!$B$3:$C$561,2,FALSE)</f>
        <v>Yes</v>
      </c>
      <c t="str" s="8" r="E20">
        <f>VLOOKUP(C20,'Moves Index'!$B$3:$D$561,3,FALSE)</f>
        <v>Non-Attacking</v>
      </c>
      <c t="str" s="8" r="F20">
        <f>VLOOKUP(C20,'Moves Index'!$B$3:$E$561,4,FALSE)</f>
        <v>N/A</v>
      </c>
      <c t="s" s="69" r="G20">
        <v>99</v>
      </c>
      <c t="str" s="8" r="H20">
        <f>VLOOKUP(G20,'Moves Index'!$B$3:$C$561,2,FALSE)</f>
        <v>No</v>
      </c>
      <c t="str" s="8" r="I20">
        <f>VLOOKUP(G20,'Moves Index'!$B$3:$D$561,3,FALSE)</f>
        <v>Non-Attacking</v>
      </c>
      <c t="str" s="8" r="J20">
        <f>VLOOKUP(G20,'Moves Index'!$B$3:$E$561,4,FALSE)</f>
        <v>N/A</v>
      </c>
      <c t="s" s="69" r="K20">
        <v>100</v>
      </c>
      <c t="str" s="8" r="L20">
        <f>VLOOKUP(K20,'Moves Index'!$B$3:$C$561,2,FALSE)</f>
        <v>Yes</v>
      </c>
      <c t="str" s="8" r="M20">
        <f>VLOOKUP(K20,'Moves Index'!$B$3:$D$561,3,FALSE)</f>
        <v>Attacking</v>
      </c>
      <c t="str" s="8" r="N20">
        <f>VLOOKUP(K20,'Moves Index'!$B$3:$E$561,4,FALSE)</f>
        <v>Physical</v>
      </c>
      <c t="s" s="69" r="O20">
        <v>101</v>
      </c>
      <c t="str" s="8" r="P20">
        <f>VLOOKUP(O20,'Moves Index'!$B$3:$C$561,2,FALSE)</f>
        <v>Yes</v>
      </c>
      <c t="str" s="8" r="Q20">
        <f>VLOOKUP(O20,'Moves Index'!$B$3:$D$561,3,FALSE)</f>
        <v>Attacking</v>
      </c>
      <c t="str" s="8" r="R20">
        <f>VLOOKUP(O20,'Moves Index'!$B$3:$E$561,4,FALSE)</f>
        <v>Special</v>
      </c>
      <c s="46" r="S20"/>
      <c s="115" r="T20"/>
      <c s="115" r="U20"/>
      <c s="10" r="Y20"/>
      <c t="str" s="65" r="Z20">
        <f>C17</f>
        <v>Ice Beam</v>
      </c>
      <c t="str" s="74" r="AA20">
        <f>VLOOKUP(Z20,Lookup!$B$3:$C$54,2,FALSE)</f>
        <v>#N/A:lookupNotFound:Ice Beam</v>
      </c>
      <c t="str" s="77" r="AB20">
        <f>VLOOKUP(Z20,Lookup!$E$24:$F$121,2,FALSE)</f>
        <v>Blizzard</v>
      </c>
    </row>
    <row customHeight="1" r="21" ht="14.25">
      <c s="10" r="B21"/>
      <c t="s" s="91" r="C21">
        <v>18</v>
      </c>
      <c t="str" s="8" r="D21">
        <f>VLOOKUP(C21,'Moves Index'!$B$3:$C$561,2,FALSE)</f>
        <v>Yes</v>
      </c>
      <c t="str" s="8" r="E21">
        <f>VLOOKUP(C21,'Moves Index'!$B$3:$D$561,3,FALSE)</f>
        <v>Non-Attacking</v>
      </c>
      <c t="str" s="8" r="F21">
        <f>VLOOKUP(C21,'Moves Index'!$B$3:$E$561,4,FALSE)</f>
        <v>N/A</v>
      </c>
      <c t="s" s="91" r="G21">
        <v>12</v>
      </c>
      <c t="str" s="8" r="H21">
        <f>VLOOKUP(G21,'Moves Index'!$B$3:$C$561,2,FALSE)</f>
        <v>Yes</v>
      </c>
      <c t="str" s="8" r="I21">
        <f>VLOOKUP(G21,'Moves Index'!$B$3:$D$561,3,FALSE)</f>
        <v>Attacking</v>
      </c>
      <c t="str" s="8" r="J21">
        <f>VLOOKUP(G21,'Moves Index'!$B$3:$E$561,4,FALSE)</f>
        <v>Physical</v>
      </c>
      <c t="s" s="69" r="K21">
        <v>102</v>
      </c>
      <c t="str" s="8" r="L21">
        <f>VLOOKUP(K21,'Moves Index'!$B$3:$C$561,2,FALSE)</f>
        <v>No</v>
      </c>
      <c t="str" s="8" r="M21">
        <f>VLOOKUP(K21,'Moves Index'!$B$3:$D$561,3,FALSE)</f>
        <v>Attacking</v>
      </c>
      <c t="str" s="8" r="N21">
        <f>VLOOKUP(K21,'Moves Index'!$B$3:$E$561,4,FALSE)</f>
        <v>Physical</v>
      </c>
      <c t="s" s="69" r="O21">
        <v>103</v>
      </c>
      <c t="str" s="8" r="P21">
        <f>VLOOKUP(O21,'Moves Index'!$B$3:$C$561,2,FALSE)</f>
        <v>Yes</v>
      </c>
      <c t="str" s="8" r="Q21">
        <f>VLOOKUP(O21,'Moves Index'!$B$3:$D$561,3,FALSE)</f>
        <v>Non-Attacking</v>
      </c>
      <c t="str" s="8" r="R21">
        <f>VLOOKUP(O21,'Moves Index'!$B$3:$E$561,4,FALSE)</f>
        <v>N/A</v>
      </c>
      <c s="4" r="S21"/>
      <c t="s" s="16" r="T21">
        <v>104</v>
      </c>
      <c s="107" r="U21"/>
      <c s="60" r="V21"/>
      <c s="52" r="W21"/>
      <c s="52" r="X21"/>
      <c s="10" r="Y21"/>
      <c t="str" s="65" r="Z21">
        <f>C18</f>
        <v>Blizzard</v>
      </c>
      <c t="str" s="74" r="AA21">
        <f>VLOOKUP(Z21,Lookup!$B$3:$C$54,2,FALSE)</f>
        <v>#N/A:lookupNotFound:Blizzard</v>
      </c>
      <c t="str" s="77" r="AB21">
        <f>VLOOKUP(Z21,Lookup!$E$24:$F$121,2,FALSE)</f>
        <v>Ice Beam</v>
      </c>
    </row>
    <row customHeight="1" r="22" ht="14.25">
      <c s="10" r="B22"/>
      <c t="s" s="69" r="C22">
        <v>105</v>
      </c>
      <c t="str" s="8" r="D22">
        <f>VLOOKUP(C22,'Moves Index'!$B$3:$C$561,2,FALSE)</f>
        <v>Yes</v>
      </c>
      <c t="str" s="8" r="E22">
        <f>VLOOKUP(C22,'Moves Index'!$B$3:$D$561,3,FALSE)</f>
        <v>Non-Attacking</v>
      </c>
      <c t="str" s="8" r="F22">
        <f>VLOOKUP(C22,'Moves Index'!$B$3:$E$561,4,FALSE)</f>
        <v>N/A</v>
      </c>
      <c t="s" s="69" r="G22">
        <v>106</v>
      </c>
      <c t="str" s="8" r="H22">
        <f>VLOOKUP(G22,'Moves Index'!$B$3:$C$561,2,FALSE)</f>
        <v>Yes</v>
      </c>
      <c t="str" s="8" r="I22">
        <f>VLOOKUP(G22,'Moves Index'!$B$3:$D$561,3,FALSE)</f>
        <v>Attacking</v>
      </c>
      <c t="str" s="8" r="J22">
        <f>VLOOKUP(G22,'Moves Index'!$B$3:$E$561,4,FALSE)</f>
        <v>Physical</v>
      </c>
      <c t="s" s="91" r="K22">
        <v>15</v>
      </c>
      <c t="str" s="8" r="L22">
        <f>VLOOKUP(K22,'Moves Index'!$B$3:$C$561,2,FALSE)</f>
        <v>No</v>
      </c>
      <c t="str" s="8" r="M22">
        <f>VLOOKUP(K22,'Moves Index'!$B$3:$D$561,3,FALSE)</f>
        <v>Attacking</v>
      </c>
      <c t="str" s="8" r="N22">
        <f>VLOOKUP(K22,'Moves Index'!$B$3:$E$561,4,FALSE)</f>
        <v>Physical</v>
      </c>
      <c t="s" s="69" r="O22">
        <v>107</v>
      </c>
      <c t="str" s="8" r="P22">
        <f>VLOOKUP(O22,'Moves Index'!$B$3:$C$561,2,FALSE)</f>
        <v>Yes</v>
      </c>
      <c t="str" s="8" r="Q22">
        <f>VLOOKUP(O22,'Moves Index'!$B$3:$D$561,3,FALSE)</f>
        <v>Attacking</v>
      </c>
      <c t="str" s="8" r="R22">
        <f>VLOOKUP(O22,'Moves Index'!$B$3:$E$561,4,FALSE)</f>
        <v>Physical</v>
      </c>
      <c s="4" r="S22"/>
      <c t="s" s="14" r="T22">
        <v>46</v>
      </c>
      <c s="6" r="U22">
        <f>COUNTA(G34:G51)</f>
        <v>0</v>
      </c>
      <c s="98" r="V22"/>
      <c t="s" s="75" r="W22">
        <v>19</v>
      </c>
      <c s="107" r="X22"/>
      <c s="28" r="Y22"/>
      <c t="str" s="65" r="Z22">
        <f>C19</f>
        <v>Hyper Beam</v>
      </c>
      <c t="str" s="74" r="AA22">
        <f>VLOOKUP(Z22,Lookup!$B$3:$C$54,2,FALSE)</f>
        <v>#N/A:lookupNotFound:Hyper Beam</v>
      </c>
      <c t="str" s="77" r="AB22">
        <f>VLOOKUP(Z22,Lookup!$E$24:$F$121,2,FALSE)</f>
        <v>#N/A:lookupNotFound:Hyper Beam</v>
      </c>
    </row>
    <row customHeight="1" r="23" ht="13.5">
      <c s="10" r="B23"/>
      <c t="s" s="69" r="C23">
        <v>108</v>
      </c>
      <c t="str" s="8" r="D23">
        <f>VLOOKUP(C23,'Moves Index'!$B$3:$C$561,2,FALSE)</f>
        <v>No</v>
      </c>
      <c t="str" s="8" r="E23">
        <f>VLOOKUP(C23,'Moves Index'!$B$3:$D$561,3,FALSE)</f>
        <v>Non-Attacking</v>
      </c>
      <c t="str" s="8" r="F23">
        <f>VLOOKUP(C23,'Moves Index'!$B$3:$E$561,4,FALSE)</f>
        <v>N/A</v>
      </c>
      <c t="s" s="91" r="G23">
        <v>22</v>
      </c>
      <c t="str" s="8" r="H23">
        <f>VLOOKUP(G23,'Moves Index'!$B$3:$C$561,2,FALSE)</f>
        <v>Yes</v>
      </c>
      <c t="str" s="8" r="I23">
        <f>VLOOKUP(G23,'Moves Index'!$B$3:$D$561,3,FALSE)</f>
        <v>Non-Attacking</v>
      </c>
      <c t="str" s="8" r="J23">
        <f>VLOOKUP(G23,'Moves Index'!$B$3:$E$561,4,FALSE)</f>
        <v>N/A</v>
      </c>
      <c t="s" s="69" r="K23">
        <v>109</v>
      </c>
      <c t="str" s="8" r="L23">
        <f>VLOOKUP(K23,'Moves Index'!$B$3:$C$561,2,FALSE)</f>
        <v>Yes</v>
      </c>
      <c t="str" s="8" r="M23">
        <f>VLOOKUP(K23,'Moves Index'!$B$3:$D$561,3,FALSE)</f>
        <v>Non-Attacking</v>
      </c>
      <c t="str" s="8" r="N23">
        <f>VLOOKUP(K23,'Moves Index'!$B$3:$E$561,4,FALSE)</f>
        <v>N/A</v>
      </c>
      <c t="s" s="69" r="O23">
        <v>110</v>
      </c>
      <c t="str" s="8" r="P23">
        <f>VLOOKUP(O23,'Moves Index'!$B$3:$C$561,2,FALSE)</f>
        <v>No</v>
      </c>
      <c t="str" s="8" r="Q23">
        <f>VLOOKUP(O23,'Moves Index'!$B$3:$D$561,3,FALSE)</f>
        <v>Attacking</v>
      </c>
      <c t="str" s="8" r="R23">
        <f>VLOOKUP(O23,'Moves Index'!$B$3:$E$561,4,FALSE)</f>
        <v>Physical</v>
      </c>
      <c s="4" r="S23"/>
      <c t="s" s="41" r="T23">
        <v>51</v>
      </c>
      <c s="77" r="U23">
        <f>COUNTIF(H34:H51,"Yes")</f>
        <v>0</v>
      </c>
      <c s="98" r="V23"/>
      <c t="s" s="76" r="W23">
        <v>21</v>
      </c>
      <c s="103" r="X23">
        <f>(((U6+U14)+U22)+U30)-X10</f>
        <v>137</v>
      </c>
      <c s="28" r="Y23"/>
      <c t="str" s="65" r="Z23">
        <f>C20</f>
        <v>Light Screen</v>
      </c>
      <c t="str" s="74" r="AA23">
        <f>VLOOKUP(Z23,Lookup!$B$3:$C$54,2,FALSE)</f>
        <v>#N/A:lookupNotFound:Light Screen</v>
      </c>
      <c t="str" s="77" r="AB23">
        <f>VLOOKUP(Z23,Lookup!$E$24:$F$121,2,FALSE)</f>
        <v>#N/A:lookupNotFound:Light Screen</v>
      </c>
    </row>
    <row r="24">
      <c s="10" r="B24"/>
      <c t="s" s="69" r="C24">
        <v>111</v>
      </c>
      <c t="str" s="8" r="D24">
        <f>VLOOKUP(C24,'Moves Index'!$B$3:$C$561,2,FALSE)</f>
        <v>No</v>
      </c>
      <c t="str" s="8" r="E24">
        <f>VLOOKUP(C24,'Moves Index'!$B$3:$D$561,3,FALSE)</f>
        <v>Non-Attacking</v>
      </c>
      <c t="str" s="8" r="F24">
        <f>VLOOKUP(C24,'Moves Index'!$B$3:$E$561,4,FALSE)</f>
        <v>N/A</v>
      </c>
      <c t="s" s="91" r="G24">
        <v>9</v>
      </c>
      <c t="str" s="8" r="H24">
        <f>VLOOKUP(G24,'Moves Index'!$B$3:$C$561,2,FALSE)</f>
        <v>No</v>
      </c>
      <c t="str" s="8" r="I24">
        <f>VLOOKUP(G24,'Moves Index'!$B$3:$D$561,3,FALSE)</f>
        <v>Non-Attacking</v>
      </c>
      <c t="str" s="8" r="J24">
        <f>VLOOKUP(G24,'Moves Index'!$B$3:$E$561,4,FALSE)</f>
        <v>N/A</v>
      </c>
      <c t="s" s="69" r="K24">
        <v>112</v>
      </c>
      <c t="str" s="8" r="L24">
        <f>VLOOKUP(K24,'Moves Index'!$B$3:$C$561,2,FALSE)</f>
        <v>No</v>
      </c>
      <c t="str" s="8" r="M24">
        <f>VLOOKUP(K24,'Moves Index'!$B$3:$D$561,3,FALSE)</f>
        <v>Non-Attacking</v>
      </c>
      <c t="str" s="8" r="N24">
        <f>VLOOKUP(K24,'Moves Index'!$B$3:$E$561,4,FALSE)</f>
        <v>N/A</v>
      </c>
      <c t="s" s="69" r="O24">
        <v>113</v>
      </c>
      <c t="str" s="8" r="P24">
        <f>VLOOKUP(O24,'Moves Index'!$B$3:$C$561,2,FALSE)</f>
        <v>No</v>
      </c>
      <c t="str" s="8" r="Q24">
        <f>VLOOKUP(O24,'Moves Index'!$B$3:$D$561,3,FALSE)</f>
        <v>Attacking</v>
      </c>
      <c t="str" s="8" r="R24">
        <f>VLOOKUP(O24,'Moves Index'!$B$3:$E$561,4,FALSE)</f>
        <v>Special</v>
      </c>
      <c s="4" r="S24"/>
      <c t="s" s="41" r="T24">
        <v>27</v>
      </c>
      <c s="77" r="U24">
        <f>COUNTIF(I34:I45,"Attacking")</f>
        <v>0</v>
      </c>
      <c s="98" r="V24"/>
      <c s="60" r="W24"/>
      <c s="67" r="X24"/>
      <c s="28" r="Y24"/>
      <c t="str" s="65" r="Z24">
        <f>C21</f>
        <v>Protect</v>
      </c>
      <c t="str" s="74" r="AA24">
        <f>VLOOKUP(Z24,Lookup!$B$3:$C$54,2,FALSE)</f>
        <v>#N/A:lookupNotFound:Protect</v>
      </c>
      <c t="str" s="77" r="AB24">
        <f>VLOOKUP(Z24,Lookup!$E$24:$F$121,2,FALSE)</f>
        <v>#N/A:lookupNotFound:Protect</v>
      </c>
    </row>
    <row r="25">
      <c s="10" r="B25"/>
      <c t="s" s="91" r="C25">
        <v>14</v>
      </c>
      <c t="str" s="8" r="D25">
        <f>VLOOKUP(C25,'Moves Index'!$B$3:$C$561,2,FALSE)</f>
        <v>Yes</v>
      </c>
      <c t="str" s="8" r="E25">
        <f>VLOOKUP(C25,'Moves Index'!$B$3:$D$561,3,FALSE)</f>
        <v>Attacking</v>
      </c>
      <c t="str" s="8" r="F25">
        <f>VLOOKUP(C25,'Moves Index'!$B$3:$E$561,4,FALSE)</f>
        <v>Physical</v>
      </c>
      <c t="s" s="69" r="G25">
        <v>114</v>
      </c>
      <c t="str" s="8" r="H25">
        <f>VLOOKUP(G25,'Moves Index'!$B$3:$C$561,2,FALSE)</f>
        <v>No</v>
      </c>
      <c t="str" s="8" r="I25">
        <f>VLOOKUP(G25,'Moves Index'!$B$3:$D$561,3,FALSE)</f>
        <v>Attacking</v>
      </c>
      <c t="str" s="8" r="J25">
        <f>VLOOKUP(G25,'Moves Index'!$B$3:$E$561,4,FALSE)</f>
        <v>Physical</v>
      </c>
      <c t="s" s="69" r="K25">
        <v>115</v>
      </c>
      <c t="str" s="8" r="L25">
        <f>VLOOKUP(K25,'Moves Index'!$B$3:$C$561,2,FALSE)</f>
        <v>Yes</v>
      </c>
      <c t="str" s="8" r="M25">
        <f>VLOOKUP(K25,'Moves Index'!$B$3:$D$561,3,FALSE)</f>
        <v>Attacking</v>
      </c>
      <c t="str" s="8" r="N25">
        <f>VLOOKUP(K25,'Moves Index'!$B$3:$E$561,4,FALSE)</f>
        <v>Physical</v>
      </c>
      <c t="s" s="69" r="O25">
        <v>116</v>
      </c>
      <c t="str" s="8" r="P25">
        <f>VLOOKUP(O25,'Moves Index'!$B$3:$C$561,2,FALSE)</f>
        <v>No</v>
      </c>
      <c t="str" s="8" r="Q25">
        <f>VLOOKUP(O25,'Moves Index'!$B$3:$D$561,3,FALSE)</f>
        <v>Attacking</v>
      </c>
      <c t="str" s="8" r="R25">
        <f>VLOOKUP(O25,'Moves Index'!$B$3:$E$561,4,FALSE)</f>
        <v>Physical</v>
      </c>
      <c s="4" r="S25"/>
      <c t="s" s="41" r="T25">
        <v>29</v>
      </c>
      <c s="77" r="U25">
        <f>COUNTIF(I34:I45,"Non-Attacking")</f>
        <v>0</v>
      </c>
      <c s="98" r="V25"/>
      <c t="s" s="134" r="W25">
        <v>24</v>
      </c>
      <c s="94" r="X25">
        <f>((((U7+U15)+U23)+U31)-X6)-X11</f>
        <v>83</v>
      </c>
      <c s="28" r="Y25"/>
      <c t="str" s="65" r="Z25">
        <f>C22</f>
        <v>Rain Dance</v>
      </c>
      <c t="str" s="74" r="AA25">
        <f>VLOOKUP(Z25,Lookup!$B$3:$C$54,2,FALSE)</f>
        <v>#N/A:lookupNotFound:Rain Dance</v>
      </c>
      <c t="str" s="77" r="AB25">
        <f>VLOOKUP(Z25,Lookup!$E$24:$F$121,2,FALSE)</f>
        <v>#N/A:lookupNotFound:Rain Dance</v>
      </c>
    </row>
    <row r="26">
      <c s="10" r="B26"/>
      <c t="s" s="69" r="C26">
        <v>117</v>
      </c>
      <c t="str" s="8" r="D26">
        <f>VLOOKUP(C26,'Moves Index'!$B$3:$C$561,2,FALSE)</f>
        <v>No</v>
      </c>
      <c t="str" s="8" r="E26">
        <f>VLOOKUP(C26,'Moves Index'!$B$3:$D$561,3,FALSE)</f>
        <v>Attacking</v>
      </c>
      <c t="str" s="8" r="F26">
        <f>VLOOKUP(C26,'Moves Index'!$B$3:$E$561,4,FALSE)</f>
        <v>Special</v>
      </c>
      <c t="s" s="69" r="G26">
        <v>118</v>
      </c>
      <c t="str" s="8" r="H26">
        <f>VLOOKUP(G26,'Moves Index'!$B$3:$C$561,2,FALSE)</f>
        <v>No</v>
      </c>
      <c t="str" s="8" r="I26">
        <f>VLOOKUP(G26,'Moves Index'!$B$3:$D$561,3,FALSE)</f>
        <v>Attacking</v>
      </c>
      <c t="str" s="8" r="J26">
        <f>VLOOKUP(G26,'Moves Index'!$B$3:$E$561,4,FALSE)</f>
        <v>Physical</v>
      </c>
      <c t="s" s="69" r="K26">
        <v>119</v>
      </c>
      <c t="str" s="8" r="L26">
        <f>VLOOKUP(K26,'Moves Index'!$B$3:$C$561,2,FALSE)</f>
        <v>Yes</v>
      </c>
      <c t="str" s="8" r="M26">
        <f>VLOOKUP(K26,'Moves Index'!$B$3:$D$561,3,FALSE)</f>
        <v>Attacking</v>
      </c>
      <c t="str" s="8" r="N26">
        <f>VLOOKUP(K26,'Moves Index'!$B$3:$E$561,4,FALSE)</f>
        <v>Special</v>
      </c>
      <c t="s" s="69" r="O26">
        <v>120</v>
      </c>
      <c t="str" s="8" r="P26">
        <f>VLOOKUP(O26,'Moves Index'!$B$3:$C$561,2,FALSE)</f>
        <v>No</v>
      </c>
      <c t="str" s="8" r="Q26">
        <f>VLOOKUP(O26,'Moves Index'!$B$3:$D$561,3,FALSE)</f>
        <v>Attacking</v>
      </c>
      <c t="str" s="8" r="R26">
        <f>VLOOKUP(O26,'Moves Index'!$B$3:$E$561,4,FALSE)</f>
        <v>Physical</v>
      </c>
      <c s="4" r="S26"/>
      <c t="s" s="41" r="T26">
        <v>31</v>
      </c>
      <c s="77" r="U26">
        <f>COUNTIF(J34:J51,"Physical")</f>
        <v>0</v>
      </c>
      <c s="98" r="V26"/>
      <c s="60" r="W26"/>
      <c s="67" r="X26"/>
      <c s="28" r="Y26"/>
      <c t="str" s="65" r="Z26">
        <f>C23</f>
        <v>Telekinesis</v>
      </c>
      <c t="str" s="74" r="AA26">
        <f>VLOOKUP(Z26,Lookup!$B$3:$C$54,2,FALSE)</f>
        <v>#N/A:lookupNotFound:Telekinesis</v>
      </c>
      <c t="str" s="77" r="AB26">
        <f>VLOOKUP(Z26,Lookup!$E$24:$F$121,2,FALSE)</f>
        <v>#N/A:lookupNotFound:Telekinesis</v>
      </c>
    </row>
    <row customHeight="1" r="27" ht="13.5">
      <c s="10" r="B27"/>
      <c t="s" s="69" r="C27">
        <v>121</v>
      </c>
      <c t="str" s="8" r="D27">
        <f>VLOOKUP(C27,'Moves Index'!$B$3:$C$561,2,FALSE)</f>
        <v>No</v>
      </c>
      <c t="str" s="8" r="E27">
        <f>VLOOKUP(C27,'Moves Index'!$B$3:$D$561,3,FALSE)</f>
        <v>Attacking</v>
      </c>
      <c t="str" s="8" r="F27">
        <f>VLOOKUP(C27,'Moves Index'!$B$3:$E$561,4,FALSE)</f>
        <v>Physical</v>
      </c>
      <c t="s" s="91" r="G27">
        <v>25</v>
      </c>
      <c t="str" s="8" r="H27">
        <f>VLOOKUP(G27,'Moves Index'!$B$3:$C$561,2,FALSE)</f>
        <v>No</v>
      </c>
      <c t="str" s="8" r="I27">
        <f>VLOOKUP(G27,'Moves Index'!$B$3:$D$561,3,FALSE)</f>
        <v>Attacking</v>
      </c>
      <c t="str" s="8" r="J27">
        <f>VLOOKUP(G27,'Moves Index'!$B$3:$E$561,4,FALSE)</f>
        <v>Special</v>
      </c>
      <c t="s" s="69" r="K27">
        <v>122</v>
      </c>
      <c t="str" s="8" r="L27">
        <f>VLOOKUP(K27,'Moves Index'!$B$3:$C$561,2,FALSE)</f>
        <v>Yes</v>
      </c>
      <c t="str" s="8" r="M27">
        <f>VLOOKUP(K27,'Moves Index'!$B$3:$D$561,3,FALSE)</f>
        <v>Non-Attacking</v>
      </c>
      <c t="str" s="8" r="N27">
        <f>VLOOKUP(K27,'Moves Index'!$B$3:$E$561,4,FALSE)</f>
        <v>N/A</v>
      </c>
      <c t="s" s="69" r="O27">
        <v>123</v>
      </c>
      <c t="str" s="8" r="P27">
        <f>VLOOKUP(O27,'Moves Index'!$B$3:$C$561,2,FALSE)</f>
        <v>Yes</v>
      </c>
      <c t="str" s="8" r="Q27">
        <f>VLOOKUP(O27,'Moves Index'!$B$3:$D$561,3,FALSE)</f>
        <v>Attacking</v>
      </c>
      <c t="str" s="8" r="R27">
        <f>VLOOKUP(O27,'Moves Index'!$B$3:$E$561,4,FALSE)</f>
        <v>Special</v>
      </c>
      <c s="4" r="S27"/>
      <c t="s" s="79" r="T27">
        <v>33</v>
      </c>
      <c s="25" r="U27">
        <f>COUNTIF(J34:J51,"Special")</f>
        <v>0</v>
      </c>
      <c s="98" r="V27"/>
      <c t="s" s="127" r="W27">
        <v>27</v>
      </c>
      <c s="120" r="X27">
        <f>((U8+U16)+U24)+U32</f>
        <v>92</v>
      </c>
      <c s="28" r="Y27"/>
      <c t="str" s="65" r="Z27">
        <f>C24</f>
        <v>Safeguard</v>
      </c>
      <c t="str" s="74" r="AA27">
        <f>VLOOKUP(Z27,Lookup!$B$3:$C$54,2,FALSE)</f>
        <v>#N/A:lookupNotFound:Safeguard</v>
      </c>
      <c t="str" s="77" r="AB27">
        <f>VLOOKUP(Z27,Lookup!$E$24:$F$121,2,FALSE)</f>
        <v>#N/A:lookupNotFound:Safeguard</v>
      </c>
    </row>
    <row customHeight="1" r="28" ht="14.25">
      <c s="10" r="B28"/>
      <c t="s" s="69" r="C28">
        <v>124</v>
      </c>
      <c t="str" s="8" r="D28">
        <f>VLOOKUP(C28,'Moves Index'!$B$3:$C$561,2,FALSE)</f>
        <v>Yes</v>
      </c>
      <c t="str" s="8" r="E28">
        <f>VLOOKUP(C28,'Moves Index'!$B$3:$D$561,3,FALSE)</f>
        <v>Attacking</v>
      </c>
      <c t="str" s="8" r="F28">
        <f>VLOOKUP(C28,'Moves Index'!$B$3:$E$561,4,FALSE)</f>
        <v>Special</v>
      </c>
      <c t="s" s="69" r="G28">
        <v>125</v>
      </c>
      <c t="str" s="8" r="H28">
        <f>VLOOKUP(G28,'Moves Index'!$B$3:$C$561,2,FALSE)</f>
        <v>No</v>
      </c>
      <c t="str" s="8" r="I28">
        <f>VLOOKUP(G28,'Moves Index'!$B$3:$D$561,3,FALSE)</f>
        <v>Attacking</v>
      </c>
      <c t="str" s="8" r="J28">
        <f>VLOOKUP(G28,'Moves Index'!$B$3:$E$561,4,FALSE)</f>
        <v>Special</v>
      </c>
      <c t="s" s="69" r="K28">
        <v>126</v>
      </c>
      <c t="str" s="8" r="L28">
        <f>VLOOKUP(K28,'Moves Index'!$B$3:$C$561,2,FALSE)</f>
        <v>Yes</v>
      </c>
      <c t="str" s="8" r="M28">
        <f>VLOOKUP(K28,'Moves Index'!$B$3:$D$561,3,FALSE)</f>
        <v>Attacking</v>
      </c>
      <c t="str" s="8" r="N28">
        <f>VLOOKUP(K28,'Moves Index'!$B$3:$E$561,4,FALSE)</f>
        <v>Physical</v>
      </c>
      <c t="s" s="69" r="O28">
        <v>127</v>
      </c>
      <c t="str" s="8" r="P28">
        <f>VLOOKUP(O28,'Moves Index'!$B$3:$C$561,2,FALSE)</f>
        <v>No</v>
      </c>
      <c t="str" s="8" r="Q28">
        <f>VLOOKUP(O28,'Moves Index'!$B$3:$D$561,3,FALSE)</f>
        <v>Attacking</v>
      </c>
      <c t="str" s="8" r="R28">
        <f>VLOOKUP(O28,'Moves Index'!$B$3:$E$561,4,FALSE)</f>
        <v>Physical</v>
      </c>
      <c s="46" r="S28"/>
      <c s="86" r="T28"/>
      <c s="86" r="U28"/>
      <c s="67" r="V28"/>
      <c t="s" s="127" r="W28">
        <v>29</v>
      </c>
      <c s="120" r="X28">
        <f>((U9+U17)+U25)+U33</f>
        <v>45</v>
      </c>
      <c s="28" r="Y28"/>
      <c t="str" s="65" r="Z28">
        <f>C25</f>
        <v>Frustration</v>
      </c>
      <c t="str" s="74" r="AA28">
        <f>VLOOKUP(Z28,Lookup!$B$3:$C$54,2,FALSE)</f>
        <v>Return</v>
      </c>
      <c t="str" s="77" r="AB28">
        <f>VLOOKUP(Z28,Lookup!$E$24:$F$121,2,FALSE)</f>
        <v>#N/A:lookupNotFound:Frustration</v>
      </c>
    </row>
    <row customHeight="1" r="29" ht="14.25">
      <c s="10" r="B29"/>
      <c t="s" s="69" r="C29">
        <v>128</v>
      </c>
      <c t="str" s="8" r="D29">
        <f>VLOOKUP(C29,'Moves Index'!$B$3:$C$561,2,FALSE)</f>
        <v>Yes</v>
      </c>
      <c t="str" s="8" r="E29">
        <f>VLOOKUP(C29,'Moves Index'!$B$3:$D$561,3,FALSE)</f>
        <v>Attacking</v>
      </c>
      <c t="str" s="8" r="F29">
        <f>VLOOKUP(C29,'Moves Index'!$B$3:$E$561,4,FALSE)</f>
        <v>Special</v>
      </c>
      <c t="s" s="69" r="G29">
        <v>129</v>
      </c>
      <c t="str" s="8" r="H29">
        <f>VLOOKUP(G29,'Moves Index'!$B$3:$C$561,2,FALSE)</f>
        <v>Yes</v>
      </c>
      <c t="str" s="8" r="I29">
        <f>VLOOKUP(G29,'Moves Index'!$B$3:$D$561,3,FALSE)</f>
        <v>Attacking</v>
      </c>
      <c t="str" s="8" r="J29">
        <f>VLOOKUP(G29,'Moves Index'!$B$3:$E$561,4,FALSE)</f>
        <v>Special</v>
      </c>
      <c t="s" s="69" r="K29">
        <v>130</v>
      </c>
      <c t="str" s="8" r="L29">
        <f>VLOOKUP(K29,'Moves Index'!$B$3:$C$561,2,FALSE)</f>
        <v>Yes</v>
      </c>
      <c t="str" s="8" r="M29">
        <f>VLOOKUP(K29,'Moves Index'!$B$3:$D$561,3,FALSE)</f>
        <v>Non-Attacking</v>
      </c>
      <c t="str" s="8" r="N29">
        <f>VLOOKUP(K29,'Moves Index'!$B$3:$E$561,4,FALSE)</f>
        <v>N/A</v>
      </c>
      <c t="s" s="69" r="O29">
        <v>131</v>
      </c>
      <c t="str" s="8" r="P29">
        <f>VLOOKUP(O29,'Moves Index'!$B$3:$C$561,2,FALSE)</f>
        <v>Yes</v>
      </c>
      <c t="str" s="8" r="Q29">
        <f>VLOOKUP(O29,'Moves Index'!$B$3:$D$561,3,FALSE)</f>
        <v>Attacking</v>
      </c>
      <c t="str" s="8" r="R29">
        <f>VLOOKUP(O29,'Moves Index'!$B$3:$E$561,4,FALSE)</f>
        <v>Physical</v>
      </c>
      <c s="4" r="S29"/>
      <c t="s" s="64" r="T29">
        <v>132</v>
      </c>
      <c s="124" r="U29"/>
      <c s="98" r="V29"/>
      <c t="s" s="127" r="W29">
        <v>31</v>
      </c>
      <c s="120" r="X29">
        <f>((U10+U18)+U26)+U34</f>
        <v>55</v>
      </c>
      <c s="28" r="Y29"/>
      <c t="str" s="65" r="Z29">
        <f>C26</f>
        <v>SolarBeam</v>
      </c>
      <c t="str" s="74" r="AA29">
        <f>VLOOKUP(Z29,Lookup!$B$3:$C$54,2,FALSE)</f>
        <v>#N/A:lookupNotFound:SolarBeam</v>
      </c>
      <c t="str" s="77" r="AB29">
        <f>VLOOKUP(Z29,Lookup!$E$24:$F$121,2,FALSE)</f>
        <v>#N/A:lookupNotFound:SolarBeam</v>
      </c>
    </row>
    <row customHeight="1" r="30" ht="14.25">
      <c s="10" r="B30"/>
      <c s="83" r="C30"/>
      <c s="27" r="D30"/>
      <c s="27" r="E30"/>
      <c s="27" r="F30"/>
      <c s="83" r="G30"/>
      <c s="27" r="H30"/>
      <c s="27" r="I30"/>
      <c s="27" r="J30"/>
      <c s="83" r="K30"/>
      <c s="27" r="L30"/>
      <c s="27" r="M30"/>
      <c s="27" r="N30"/>
      <c t="s" s="83" r="O30">
        <v>133</v>
      </c>
      <c t="str" s="27" r="P30">
        <f>VLOOKUP(O30,'Moves Index'!$B$3:$C$561,2,FALSE)</f>
        <v>No</v>
      </c>
      <c t="str" s="27" r="Q30">
        <f>VLOOKUP(O30,'Moves Index'!$B$3:$D$561,3,FALSE)</f>
        <v>Attacking</v>
      </c>
      <c t="str" s="27" r="R30">
        <f>VLOOKUP(O30,'Moves Index'!$B$3:$E$561,4,FALSE)</f>
        <v>Physical</v>
      </c>
      <c s="104" r="S30"/>
      <c t="s" s="57" r="T30">
        <v>46</v>
      </c>
      <c s="99" r="U30">
        <f>COUNTA(K34:K51)+COUNTA(O34:O51)</f>
        <v>36</v>
      </c>
      <c s="4" r="V30"/>
      <c t="s" s="50" r="W30">
        <v>33</v>
      </c>
      <c s="102" r="X30">
        <f>((U11+U19)+U27)+U35</f>
        <v>39</v>
      </c>
      <c s="28" r="Y30"/>
      <c t="str" s="65" r="Z30">
        <f>C27</f>
        <v>Smack Down</v>
      </c>
      <c t="str" s="74" r="AA30">
        <f>VLOOKUP(Z30,Lookup!$B$3:$C$54,2,FALSE)</f>
        <v>#N/A:lookupNotFound:Smack Down</v>
      </c>
      <c t="str" s="77" r="AB30">
        <f>VLOOKUP(Z30,Lookup!$E$24:$F$121,2,FALSE)</f>
        <v>#N/A:lookupNotFound:Smack Down</v>
      </c>
    </row>
    <row customHeight="1" r="31" ht="14.25">
      <c s="52" r="B31"/>
      <c s="115" r="C31"/>
      <c s="115" r="D31"/>
      <c s="115" r="E31"/>
      <c s="115" r="F31"/>
      <c s="115" r="G31"/>
      <c s="115" r="H31"/>
      <c s="115" r="I31"/>
      <c s="115" r="J31"/>
      <c s="115" r="K31"/>
      <c s="115" r="L31"/>
      <c s="115" r="M31"/>
      <c s="115" r="N31"/>
      <c s="115" r="O31"/>
      <c s="115" r="P31"/>
      <c s="115" r="Q31"/>
      <c s="115" r="R31"/>
      <c s="10" r="S31"/>
      <c t="s" s="21" r="T31">
        <v>51</v>
      </c>
      <c s="74" r="U31">
        <f>COUNTIF(L34:L51,"Yes")+COUNTIF(P34:P51,"Yes")</f>
        <v>23</v>
      </c>
      <c s="46" r="V31"/>
      <c s="33" r="W31"/>
      <c s="33" r="X31"/>
      <c s="10" r="Y31"/>
      <c t="str" s="65" r="Z31">
        <f>C28</f>
        <v>Thunderbolt</v>
      </c>
      <c t="str" s="74" r="AA31">
        <f>VLOOKUP(Z31,Lookup!$B$3:$C$54,2,FALSE)</f>
        <v>#N/A:lookupNotFound:Thunderbolt</v>
      </c>
      <c t="str" s="77" r="AB31">
        <f>VLOOKUP(Z31,Lookup!$E$24:$F$121,2,FALSE)</f>
        <v>Thunder</v>
      </c>
    </row>
    <row customHeight="1" r="32" ht="14.25">
      <c s="67" r="A32"/>
      <c t="s" s="64" r="B32">
        <v>134</v>
      </c>
      <c s="1" r="C32"/>
      <c s="1" r="D32"/>
      <c s="1" r="E32"/>
      <c s="1" r="F32"/>
      <c t="s" s="64" r="G32">
        <v>135</v>
      </c>
      <c s="1" r="H32"/>
      <c s="1" r="I32"/>
      <c s="1" r="J32"/>
      <c t="s" s="64" r="K32">
        <v>136</v>
      </c>
      <c s="1" r="L32"/>
      <c s="1" r="M32"/>
      <c s="1" r="N32"/>
      <c s="1" r="O32"/>
      <c s="1" r="P32"/>
      <c s="1" r="Q32"/>
      <c s="1" r="R32"/>
      <c s="28" r="S32"/>
      <c t="s" s="21" r="T32">
        <v>27</v>
      </c>
      <c s="74" r="U32">
        <f>COUNTIF(M34:M51,"Attacking")+COUNTIF(Q34:Q51,"Attacking")</f>
        <v>23</v>
      </c>
      <c s="46" r="V32"/>
      <c s="10" r="Y32"/>
      <c t="str" s="65" r="Z32">
        <f>C29</f>
        <v>Thunder</v>
      </c>
      <c t="str" s="74" r="AA32">
        <f>VLOOKUP(Z32,Lookup!$B$3:$C$54,2,FALSE)</f>
        <v>#N/A:lookupNotFound:Thunder</v>
      </c>
      <c t="str" s="77" r="AB32">
        <f>VLOOKUP(Z32,Lookup!$E$24:$F$121,2,FALSE)</f>
        <v>Thunderbolt</v>
      </c>
    </row>
    <row customHeight="1" r="33" ht="14.25">
      <c s="10" r="A33"/>
      <c t="s" s="110" r="B33">
        <v>137</v>
      </c>
      <c t="s" s="55" r="C33">
        <v>2</v>
      </c>
      <c t="s" s="55" r="D33">
        <v>3</v>
      </c>
      <c t="s" s="55" r="E33">
        <v>4</v>
      </c>
      <c t="s" s="55" r="F33">
        <v>5</v>
      </c>
      <c t="s" s="55" r="G33">
        <v>2</v>
      </c>
      <c t="s" s="55" r="H33">
        <v>3</v>
      </c>
      <c t="s" s="55" r="I33">
        <v>4</v>
      </c>
      <c t="s" s="55" r="J33">
        <v>5</v>
      </c>
      <c t="s" s="55" r="K33">
        <v>2</v>
      </c>
      <c t="s" s="55" r="L33">
        <v>3</v>
      </c>
      <c t="s" s="55" r="M33">
        <v>4</v>
      </c>
      <c t="s" s="55" r="N33">
        <v>5</v>
      </c>
      <c t="s" s="55" r="O33">
        <v>2</v>
      </c>
      <c t="s" s="55" r="P33">
        <v>3</v>
      </c>
      <c t="s" s="55" r="Q33">
        <v>4</v>
      </c>
      <c t="s" s="55" r="R33">
        <v>5</v>
      </c>
      <c s="104" r="S33"/>
      <c t="s" s="21" r="T33">
        <v>29</v>
      </c>
      <c s="74" r="U33">
        <f>COUNTIF(M34:M51,"Non-Attacking")+COUNTIF(Q34:Q51,"Non-Attacking")</f>
        <v>13</v>
      </c>
      <c s="46" r="V33"/>
      <c s="10" r="Y33"/>
      <c t="str" s="65" r="Z33">
        <f>G5</f>
        <v>Earthquake</v>
      </c>
      <c t="str" s="74" r="AA33">
        <f>VLOOKUP(Z33,Lookup!$B$3:$C$54,2,FALSE)</f>
        <v>#N/A:lookupNotFound:Earthquake</v>
      </c>
      <c t="str" s="77" r="AB33">
        <f>VLOOKUP(Z33,Lookup!$E$24:$F$121,2,FALSE)</f>
        <v>Bulldoze</v>
      </c>
    </row>
    <row customHeight="1" r="34" ht="13.5">
      <c s="10" r="A34"/>
      <c s="133" r="B34"/>
      <c s="108" r="C34"/>
      <c t="str" s="40" r="D34">
        <f>VLOOKUP(C34,'Moves Index'!$B$3:$C$561,2,FALSE)</f>
        <v>#N/A:blankIndicator:</v>
      </c>
      <c t="str" s="40" r="E34">
        <f>VLOOKUP(C34,'Moves Index'!$B$3:$D$561,3,FALSE)</f>
        <v>#N/A:blankIndicator:</v>
      </c>
      <c t="str" s="40" r="F34">
        <f>VLOOKUP(C34,'Moves Index'!$B$3:$E$561,4,FALSE)</f>
        <v>#N/A:blankIndicator:</v>
      </c>
      <c s="108" r="G34"/>
      <c t="str" s="40" r="H34">
        <f>VLOOKUP(G34,'Moves Index'!$B$3:$C$561,2,FALSE)</f>
        <v>#N/A:blankIndicator:</v>
      </c>
      <c t="str" s="40" r="I34">
        <f>VLOOKUP(G34,'Moves Index'!$B$3:$D$561,3,FALSE)</f>
        <v>#N/A:blankIndicator:</v>
      </c>
      <c t="str" s="40" r="J34">
        <f>VLOOKUP(G34,'Moves Index'!$B$3:$E$561,4,FALSE)</f>
        <v>#N/A:blankIndicator:</v>
      </c>
      <c t="s" s="108" r="K34">
        <v>138</v>
      </c>
      <c t="str" s="40" r="L34">
        <f>VLOOKUP(K34,'Moves Index'!$B$3:$C$561,2,FALSE)</f>
        <v>No</v>
      </c>
      <c t="str" s="40" r="M34">
        <f>VLOOKUP(K34,'Moves Index'!$B$3:$D$561,3,FALSE)</f>
        <v>Non-Attacking</v>
      </c>
      <c t="str" s="40" r="N34">
        <f>VLOOKUP(K34,'Moves Index'!$B$3:$E$561,4,FALSE)</f>
        <v>N/A</v>
      </c>
      <c t="s" s="108" r="O34">
        <v>139</v>
      </c>
      <c t="str" s="40" r="P34">
        <f>VLOOKUP(O34,'Moves Index'!$B$3:$C$561,2,FALSE)</f>
        <v>Yes</v>
      </c>
      <c t="str" s="40" r="Q34">
        <f>VLOOKUP(O34,'Moves Index'!$B$3:$D$561,3,FALSE)</f>
        <v>Attacking</v>
      </c>
      <c t="str" s="40" r="R34">
        <f>VLOOKUP(O34,'Moves Index'!$B$3:$E$561,4,FALSE)</f>
        <v>Physical</v>
      </c>
      <c s="104" r="S34"/>
      <c t="s" s="21" r="T34">
        <v>31</v>
      </c>
      <c s="74" r="U34">
        <f>COUNTIF(N34:N51,"Physical")+COUNTIF(R34:R51,"Physical")</f>
        <v>17</v>
      </c>
      <c s="46" r="V34"/>
      <c s="10" r="Y34"/>
      <c t="str" s="65" r="Z34">
        <f>G6</f>
        <v>Return</v>
      </c>
      <c t="str" s="74" r="AA34">
        <f>VLOOKUP(Z34,Lookup!$B$3:$C$54,2,FALSE)</f>
        <v>Frustration</v>
      </c>
      <c t="str" s="77" r="AB34">
        <f>VLOOKUP(Z34,Lookup!$E$24:$F$121,2,FALSE)</f>
        <v>#N/A:lookupNotFound:Return</v>
      </c>
    </row>
    <row customHeight="1" r="35" ht="13.5">
      <c s="10" r="A35"/>
      <c s="106" r="B35"/>
      <c s="69" r="C35"/>
      <c t="str" s="8" r="D35">
        <f>VLOOKUP(C35,'Moves Index'!$B$3:$C$561,2,FALSE)</f>
        <v>#N/A:blankIndicator:</v>
      </c>
      <c t="str" s="8" r="E35">
        <f>VLOOKUP(C35,'Moves Index'!$B$3:$D$561,3,FALSE)</f>
        <v>#N/A:blankIndicator:</v>
      </c>
      <c t="str" s="8" r="F35">
        <f>VLOOKUP(C35,'Moves Index'!$B$3:$E$561,4,FALSE)</f>
        <v>#N/A:blankIndicator:</v>
      </c>
      <c s="69" r="G35"/>
      <c t="str" s="8" r="H35">
        <f>VLOOKUP(G35,'Moves Index'!$B$3:$C$561,2,FALSE)</f>
        <v>#N/A:blankIndicator:</v>
      </c>
      <c t="str" s="8" r="I35">
        <f>VLOOKUP(G35,'Moves Index'!$B$3:$D$561,3,FALSE)</f>
        <v>#N/A:blankIndicator:</v>
      </c>
      <c t="str" s="8" r="J35">
        <f>VLOOKUP(G35,'Moves Index'!$B$3:$E$561,4,FALSE)</f>
        <v>#N/A:blankIndicator:</v>
      </c>
      <c t="s" s="69" r="K35">
        <v>140</v>
      </c>
      <c t="str" s="8" r="L35">
        <f>VLOOKUP(K35,'Moves Index'!$B$3:$C$561,2,FALSE)</f>
        <v>Yes</v>
      </c>
      <c t="str" s="8" r="M35">
        <f>VLOOKUP(K35,'Moves Index'!$B$3:$D$561,3,FALSE)</f>
        <v>Attacking</v>
      </c>
      <c t="str" s="8" r="N35">
        <f>VLOOKUP(K35,'Moves Index'!$B$3:$E$561,4,FALSE)</f>
        <v>Physical</v>
      </c>
      <c t="s" s="69" r="O35">
        <v>141</v>
      </c>
      <c t="str" s="8" r="P35">
        <f>VLOOKUP(O35,'Moves Index'!$B$3:$C$561,2,FALSE)</f>
        <v>Yes</v>
      </c>
      <c t="str" s="8" r="Q35">
        <f>VLOOKUP(O35,'Moves Index'!$B$3:$D$561,3,FALSE)</f>
        <v>Attacking</v>
      </c>
      <c t="str" s="8" r="R35">
        <f>VLOOKUP(O35,'Moves Index'!$B$3:$E$561,4,FALSE)</f>
        <v>Physical</v>
      </c>
      <c s="104" r="S35"/>
      <c t="s" s="26" r="T35">
        <v>33</v>
      </c>
      <c s="78" r="U35">
        <f>COUNTIF(N34:N51,"Special")+COUNTIF(R34:R51,"Special")</f>
        <v>8</v>
      </c>
      <c s="46" r="V35"/>
      <c s="10" r="Y35"/>
      <c t="str" s="65" r="Z35">
        <f>G7</f>
        <v>Dig</v>
      </c>
      <c t="str" s="74" r="AA35">
        <f>VLOOKUP(Z35,Lookup!$B$3:$C$54,2,FALSE)</f>
        <v>#N/A:lookupNotFound:Dig</v>
      </c>
      <c t="str" s="77" r="AB35">
        <f>VLOOKUP(Z35,Lookup!$E$24:$F$121,2,FALSE)</f>
        <v>#N/A:lookupNotFound:Dig</v>
      </c>
    </row>
    <row customHeight="1" r="36" ht="14.25">
      <c s="10" r="A36"/>
      <c s="106" r="B36"/>
      <c s="69" r="C36"/>
      <c t="str" s="8" r="D36">
        <f>VLOOKUP(C36,'Moves Index'!$B$3:$C$561,2,FALSE)</f>
        <v>#N/A:blankIndicator:</v>
      </c>
      <c t="str" s="8" r="E36">
        <f>VLOOKUP(C36,'Moves Index'!$B$3:$D$561,3,FALSE)</f>
        <v>#N/A:blankIndicator:</v>
      </c>
      <c t="str" s="8" r="F36">
        <f>VLOOKUP(C36,'Moves Index'!$B$3:$E$561,4,FALSE)</f>
        <v>#N/A:blankIndicator:</v>
      </c>
      <c s="69" r="G36"/>
      <c t="str" s="8" r="H36">
        <f>VLOOKUP(G36,'Moves Index'!$B$3:$C$561,2,FALSE)</f>
        <v>#N/A:blankIndicator:</v>
      </c>
      <c t="str" s="8" r="I36">
        <f>VLOOKUP(G36,'Moves Index'!$B$3:$D$561,3,FALSE)</f>
        <v>#N/A:blankIndicator:</v>
      </c>
      <c t="str" s="8" r="J36">
        <f>VLOOKUP(G36,'Moves Index'!$B$3:$E$561,4,FALSE)</f>
        <v>#N/A:blankIndicator:</v>
      </c>
      <c t="s" s="69" r="K36">
        <v>142</v>
      </c>
      <c t="str" s="8" r="L36">
        <f>VLOOKUP(K36,'Moves Index'!$B$3:$C$561,2,FALSE)</f>
        <v>No</v>
      </c>
      <c t="str" s="8" r="M36">
        <f>VLOOKUP(K36,'Moves Index'!$B$3:$D$561,3,FALSE)</f>
        <v>Attacking</v>
      </c>
      <c t="str" s="8" r="N36">
        <f>VLOOKUP(K36,'Moves Index'!$B$3:$E$561,4,FALSE)</f>
        <v>Physical</v>
      </c>
      <c t="s" s="69" r="O36">
        <v>143</v>
      </c>
      <c t="str" s="8" r="P36">
        <f>VLOOKUP(O36,'Moves Index'!$B$3:$C$561,2,FALSE)</f>
        <v>Yes</v>
      </c>
      <c t="str" s="8" r="Q36">
        <f>VLOOKUP(O36,'Moves Index'!$B$3:$D$561,3,FALSE)</f>
        <v>Non-Attacking</v>
      </c>
      <c t="str" s="8" r="R36">
        <f>VLOOKUP(O36,'Moves Index'!$B$3:$E$561,4,FALSE)</f>
        <v>Physical</v>
      </c>
      <c s="46" r="S36"/>
      <c s="115" r="T36"/>
      <c s="115" r="U36"/>
      <c s="52" r="V36"/>
      <c s="52" r="W36"/>
      <c s="10" r="Y36"/>
      <c t="str" s="65" r="Z36">
        <f>G8</f>
        <v>Psychic</v>
      </c>
      <c t="str" s="74" r="AA36">
        <f>VLOOKUP(Z36,Lookup!$B$3:$C$54,2,FALSE)</f>
        <v>#N/A:lookupNotFound:Psychic</v>
      </c>
      <c t="str" s="77" r="AB36">
        <f>VLOOKUP(Z36,Lookup!$E$24:$F$121,2,FALSE)</f>
        <v>#N/A:lookupNotFound:Psychic</v>
      </c>
    </row>
    <row customHeight="1" r="37" ht="14.25">
      <c s="10" r="A37"/>
      <c s="106" r="B37"/>
      <c s="69" r="C37"/>
      <c t="str" s="8" r="D37">
        <f>VLOOKUP(C37,'Moves Index'!$B$3:$C$561,2,FALSE)</f>
        <v>#N/A:blankIndicator:</v>
      </c>
      <c t="str" s="8" r="E37">
        <f>VLOOKUP(C37,'Moves Index'!$B$3:$D$561,3,FALSE)</f>
        <v>#N/A:blankIndicator:</v>
      </c>
      <c t="str" s="8" r="F37">
        <f>VLOOKUP(C37,'Moves Index'!$B$3:$E$561,4,FALSE)</f>
        <v>#N/A:blankIndicator:</v>
      </c>
      <c s="69" r="G37"/>
      <c t="str" s="8" r="H37">
        <f>VLOOKUP(G37,'Moves Index'!$B$3:$C$561,2,FALSE)</f>
        <v>#N/A:blankIndicator:</v>
      </c>
      <c t="str" s="8" r="I37">
        <f>VLOOKUP(G37,'Moves Index'!$B$3:$D$561,3,FALSE)</f>
        <v>#N/A:blankIndicator:</v>
      </c>
      <c t="str" s="8" r="J37">
        <f>VLOOKUP(G37,'Moves Index'!$B$3:$E$561,4,FALSE)</f>
        <v>#N/A:blankIndicator:</v>
      </c>
      <c t="s" s="69" r="K37">
        <v>144</v>
      </c>
      <c t="str" s="8" r="L37">
        <f>VLOOKUP(K37,'Moves Index'!$B$3:$C$561,2,FALSE)</f>
        <v>No</v>
      </c>
      <c t="str" s="8" r="M37">
        <f>VLOOKUP(K37,'Moves Index'!$B$3:$D$561,3,FALSE)</f>
        <v>Attacking</v>
      </c>
      <c t="str" s="8" r="N37">
        <f>VLOOKUP(K37,'Moves Index'!$B$3:$E$561,4,FALSE)</f>
        <v>Special</v>
      </c>
      <c t="s" s="69" r="O37">
        <v>145</v>
      </c>
      <c t="str" s="8" r="P37">
        <f>VLOOKUP(O37,'Moves Index'!$B$3:$C$561,2,FALSE)</f>
        <v>No</v>
      </c>
      <c t="str" s="8" r="Q37">
        <f>VLOOKUP(O37,'Moves Index'!$B$3:$D$561,3,FALSE)</f>
        <v>Attacking</v>
      </c>
      <c t="str" s="8" r="R37">
        <f>VLOOKUP(O37,'Moves Index'!$B$3:$E$561,4,FALSE)</f>
        <v>Physical</v>
      </c>
      <c s="4" r="S37"/>
      <c t="s" s="54" r="T37">
        <v>146</v>
      </c>
      <c s="119" r="U37"/>
      <c s="119" r="V37"/>
      <c s="107" r="W37"/>
      <c s="60" r="X37"/>
      <c s="10" r="Y37"/>
      <c t="str" s="65" r="Z37">
        <f>G9</f>
        <v>Shadow Ball</v>
      </c>
      <c t="str" s="74" r="AA37">
        <f>VLOOKUP(Z37,Lookup!$B$3:$C$54,2,FALSE)</f>
        <v>#N/A:lookupNotFound:Shadow Ball</v>
      </c>
      <c t="str" s="77" r="AB37">
        <f>VLOOKUP(Z37,Lookup!$E$24:$F$121,2,FALSE)</f>
        <v>#N/A:lookupNotFound:Shadow Ball</v>
      </c>
    </row>
    <row customHeight="1" r="38" ht="13.5">
      <c s="10" r="A38"/>
      <c s="106" r="B38"/>
      <c s="69" r="C38"/>
      <c t="str" s="8" r="D38">
        <f>VLOOKUP(C38,'Moves Index'!$B$3:$C$561,2,FALSE)</f>
        <v>#N/A:blankIndicator:</v>
      </c>
      <c t="str" s="8" r="E38">
        <f>VLOOKUP(C38,'Moves Index'!$B$3:$D$561,3,FALSE)</f>
        <v>#N/A:blankIndicator:</v>
      </c>
      <c t="str" s="8" r="F38">
        <f>VLOOKUP(C38,'Moves Index'!$B$3:$E$561,4,FALSE)</f>
        <v>#N/A:blankIndicator:</v>
      </c>
      <c s="69" r="G38"/>
      <c t="str" s="8" r="H38">
        <f>VLOOKUP(G38,'Moves Index'!$B$3:$C$561,2,FALSE)</f>
        <v>#N/A:blankIndicator:</v>
      </c>
      <c t="str" s="8" r="I38">
        <f>VLOOKUP(G38,'Moves Index'!$B$3:$D$561,3,FALSE)</f>
        <v>#N/A:blankIndicator:</v>
      </c>
      <c t="str" s="8" r="J38">
        <f>VLOOKUP(G38,'Moves Index'!$B$3:$E$561,4,FALSE)</f>
        <v>#N/A:blankIndicator:</v>
      </c>
      <c t="s" s="69" r="K38">
        <v>147</v>
      </c>
      <c t="str" s="8" r="L38">
        <f>VLOOKUP(K38,'Moves Index'!$B$3:$C$561,2,FALSE)</f>
        <v>Yes</v>
      </c>
      <c t="str" s="8" r="M38">
        <f>VLOOKUP(K38,'Moves Index'!$B$3:$D$561,3,FALSE)</f>
        <v>Non-Attacking</v>
      </c>
      <c t="str" s="8" r="N38">
        <f>VLOOKUP(K38,'Moves Index'!$B$3:$E$561,4,FALSE)</f>
        <v>N/A</v>
      </c>
      <c t="s" s="69" r="O38">
        <v>148</v>
      </c>
      <c t="str" s="8" r="P38">
        <f>VLOOKUP(O38,'Moves Index'!$B$3:$C$561,2,FALSE)</f>
        <v>Yes</v>
      </c>
      <c t="str" s="8" r="Q38">
        <f>VLOOKUP(O38,'Moves Index'!$B$3:$D$561,3,FALSE)</f>
        <v>Attacking</v>
      </c>
      <c t="str" s="8" r="R38">
        <f>VLOOKUP(O38,'Moves Index'!$B$3:$E$561,4,FALSE)</f>
        <v>Physical</v>
      </c>
      <c s="4" r="S38"/>
      <c t="s" s="122" r="T38">
        <v>149</v>
      </c>
      <c s="20" r="U38"/>
      <c s="20" r="V38"/>
      <c s="45" r="W38"/>
      <c s="60" r="X38"/>
      <c s="10" r="Y38"/>
      <c t="str" s="65" r="Z38">
        <f>G10</f>
        <v>Brick Break</v>
      </c>
      <c t="str" s="74" r="AA38">
        <f>VLOOKUP(Z38,Lookup!$B$3:$C$54,2,FALSE)</f>
        <v>#N/A:lookupNotFound:Brick Break</v>
      </c>
      <c t="str" s="77" r="AB38">
        <f>VLOOKUP(Z38,Lookup!$E$24:$F$121,2,FALSE)</f>
        <v>Fling</v>
      </c>
    </row>
    <row r="39">
      <c s="10" r="A39"/>
      <c s="106" r="B39"/>
      <c s="69" r="C39"/>
      <c t="str" s="8" r="D39">
        <f>VLOOKUP(C39,'Moves Index'!$B$3:$C$561,2,FALSE)</f>
        <v>#N/A:blankIndicator:</v>
      </c>
      <c t="str" s="8" r="E39">
        <f>VLOOKUP(C39,'Moves Index'!$B$3:$D$561,3,FALSE)</f>
        <v>#N/A:blankIndicator:</v>
      </c>
      <c t="str" s="8" r="F39">
        <f>VLOOKUP(C39,'Moves Index'!$B$3:$E$561,4,FALSE)</f>
        <v>#N/A:blankIndicator:</v>
      </c>
      <c s="91" r="G39"/>
      <c t="str" s="8" r="H39">
        <f>VLOOKUP(G39,'Moves Index'!$B$3:$C$561,2,FALSE)</f>
        <v>#N/A:blankIndicator:</v>
      </c>
      <c t="str" s="8" r="I39">
        <f>VLOOKUP(G39,'Moves Index'!$B$3:$D$561,3,FALSE)</f>
        <v>#N/A:blankIndicator:</v>
      </c>
      <c t="str" s="8" r="J39">
        <f>VLOOKUP(G39,'Moves Index'!$B$3:$E$561,4,FALSE)</f>
        <v>#N/A:blankIndicator:</v>
      </c>
      <c t="s" s="69" r="K39">
        <v>150</v>
      </c>
      <c t="str" s="8" r="L39">
        <f>VLOOKUP(K39,'Moves Index'!$B$3:$C$561,2,FALSE)</f>
        <v>Yes</v>
      </c>
      <c t="str" s="8" r="M39">
        <f>VLOOKUP(K39,'Moves Index'!$B$3:$D$561,3,FALSE)</f>
        <v>Attacking</v>
      </c>
      <c t="str" s="8" r="N39">
        <f>VLOOKUP(K39,'Moves Index'!$B$3:$E$561,4,FALSE)</f>
        <v>Physical</v>
      </c>
      <c t="s" s="69" r="O39">
        <v>151</v>
      </c>
      <c t="str" s="8" r="P39">
        <f>VLOOKUP(O39,'Moves Index'!$B$3:$C$561,2,FALSE)</f>
        <v>Yes</v>
      </c>
      <c t="str" s="8" r="Q39">
        <f>VLOOKUP(O39,'Moves Index'!$B$3:$D$561,3,FALSE)</f>
        <v>Non-Attacking</v>
      </c>
      <c t="str" s="8" r="R39">
        <f>VLOOKUP(O39,'Moves Index'!$B$3:$E$561,4,FALSE)</f>
        <v>N/A</v>
      </c>
      <c s="4" r="S39"/>
      <c s="19" r="T39"/>
      <c s="20" r="U39"/>
      <c s="20" r="V39"/>
      <c s="45" r="W39"/>
      <c s="60" r="X39"/>
      <c s="10" r="Y39"/>
      <c t="str" s="65" r="Z39">
        <f>G11</f>
        <v>Double Team</v>
      </c>
      <c t="str" s="74" r="AA39">
        <f>VLOOKUP(Z39,Lookup!$B$3:$C$54,2,FALSE)</f>
        <v>#N/A:lookupNotFound:Double Team</v>
      </c>
      <c t="str" s="77" r="AB39">
        <f>VLOOKUP(Z39,Lookup!$E$24:$F$121,2,FALSE)</f>
        <v>#N/A:lookupNotFound:Double Team</v>
      </c>
    </row>
    <row r="40">
      <c s="10" r="A40"/>
      <c s="106" r="B40"/>
      <c s="69" r="C40"/>
      <c t="str" s="8" r="D40">
        <f>VLOOKUP(C40,'Moves Index'!$B$3:$C$561,2,FALSE)</f>
        <v>#N/A:blankIndicator:</v>
      </c>
      <c t="str" s="8" r="E40">
        <f>VLOOKUP(C40,'Moves Index'!$B$3:$D$561,3,FALSE)</f>
        <v>#N/A:blankIndicator:</v>
      </c>
      <c t="str" s="8" r="F40">
        <f>VLOOKUP(C40,'Moves Index'!$B$3:$E$561,4,FALSE)</f>
        <v>#N/A:blankIndicator:</v>
      </c>
      <c s="69" r="G40"/>
      <c t="str" s="8" r="H40">
        <f>VLOOKUP(G40,'Moves Index'!$B$3:$C$561,2,FALSE)</f>
        <v>#N/A:blankIndicator:</v>
      </c>
      <c t="str" s="8" r="I40">
        <f>VLOOKUP(G40,'Moves Index'!$B$3:$D$561,3,FALSE)</f>
        <v>#N/A:blankIndicator:</v>
      </c>
      <c t="str" s="8" r="J40">
        <f>VLOOKUP(G40,'Moves Index'!$B$3:$E$561,4,FALSE)</f>
        <v>#N/A:blankIndicator:</v>
      </c>
      <c t="s" s="69" r="K40">
        <v>152</v>
      </c>
      <c t="str" s="8" r="L40">
        <f>VLOOKUP(K40,'Moves Index'!$B$3:$C$561,2,FALSE)</f>
        <v>No</v>
      </c>
      <c t="str" s="8" r="M40">
        <f>VLOOKUP(K40,'Moves Index'!$B$3:$D$561,3,FALSE)</f>
        <v>Attacking</v>
      </c>
      <c t="str" s="8" r="N40">
        <f>VLOOKUP(K40,'Moves Index'!$B$3:$E$561,4,FALSE)</f>
        <v>Physical</v>
      </c>
      <c t="s" s="69" r="O40">
        <v>153</v>
      </c>
      <c t="str" s="8" r="P40">
        <f>VLOOKUP(O40,'Moves Index'!$B$3:$C$561,2,FALSE)</f>
        <v>No</v>
      </c>
      <c t="str" s="8" r="Q40">
        <f>VLOOKUP(O40,'Moves Index'!$B$3:$D$561,3,FALSE)</f>
        <v>Non-Attacking</v>
      </c>
      <c t="str" s="8" r="R40">
        <f>VLOOKUP(O40,'Moves Index'!$B$3:$E$561,4,FALSE)</f>
        <v>N/A</v>
      </c>
      <c s="4" r="S40"/>
      <c s="19" r="T40"/>
      <c s="20" r="U40"/>
      <c s="20" r="V40"/>
      <c s="45" r="W40"/>
      <c s="60" r="X40"/>
      <c s="10" r="Y40"/>
      <c t="str" s="65" r="Z40">
        <f>G12</f>
        <v>Reflect</v>
      </c>
      <c t="str" s="74" r="AA40">
        <f>VLOOKUP(Z40,Lookup!$B$3:$C$54,2,FALSE)</f>
        <v>#N/A:lookupNotFound:Reflect</v>
      </c>
      <c t="str" s="77" r="AB40">
        <f>VLOOKUP(Z40,Lookup!$E$24:$F$121,2,FALSE)</f>
        <v>#N/A:lookupNotFound:Reflect</v>
      </c>
    </row>
    <row r="41">
      <c s="10" r="A41"/>
      <c s="106" r="B41"/>
      <c s="69" r="C41"/>
      <c t="str" s="8" r="D41">
        <f>VLOOKUP(C41,'Moves Index'!$B$3:$C$561,2,FALSE)</f>
        <v>#N/A:blankIndicator:</v>
      </c>
      <c t="str" s="8" r="E41">
        <f>VLOOKUP(C41,'Moves Index'!$B$3:$D$561,3,FALSE)</f>
        <v>#N/A:blankIndicator:</v>
      </c>
      <c t="str" s="8" r="F41">
        <f>VLOOKUP(C41,'Moves Index'!$B$3:$E$561,4,FALSE)</f>
        <v>#N/A:blankIndicator:</v>
      </c>
      <c s="69" r="G41"/>
      <c t="str" s="8" r="H41">
        <f>VLOOKUP(G41,'Moves Index'!$B$3:$C$561,2,FALSE)</f>
        <v>#N/A:blankIndicator:</v>
      </c>
      <c t="str" s="8" r="I41">
        <f>VLOOKUP(G41,'Moves Index'!$B$3:$D$561,3,FALSE)</f>
        <v>#N/A:blankIndicator:</v>
      </c>
      <c t="str" s="8" r="J41">
        <f>VLOOKUP(G41,'Moves Index'!$B$3:$E$561,4,FALSE)</f>
        <v>#N/A:blankIndicator:</v>
      </c>
      <c t="s" s="69" r="K41">
        <v>154</v>
      </c>
      <c t="str" s="8" r="L41">
        <f>VLOOKUP(K41,'Moves Index'!$B$3:$C$561,2,FALSE)</f>
        <v>No</v>
      </c>
      <c t="str" s="8" r="M41">
        <f>VLOOKUP(K41,'Moves Index'!$B$3:$D$561,3,FALSE)</f>
        <v>Attacking</v>
      </c>
      <c t="str" s="8" r="N41">
        <f>VLOOKUP(K41,'Moves Index'!$B$3:$E$561,4,FALSE)</f>
        <v>Physical</v>
      </c>
      <c t="s" s="69" r="O41">
        <v>155</v>
      </c>
      <c t="str" s="8" r="P41">
        <f>VLOOKUP(O41,'Moves Index'!$B$3:$C$561,2,FALSE)</f>
        <v>Yes</v>
      </c>
      <c t="str" s="8" r="Q41">
        <f>VLOOKUP(O41,'Moves Index'!$B$3:$D$561,3,FALSE)</f>
        <v>Non-Attacking</v>
      </c>
      <c t="str" s="8" r="R41">
        <f>VLOOKUP(O41,'Moves Index'!$B$3:$E$561,4,FALSE)</f>
        <v>N/A</v>
      </c>
      <c s="4" r="S41"/>
      <c s="19" r="T41"/>
      <c s="20" r="U41"/>
      <c s="20" r="V41"/>
      <c s="45" r="W41"/>
      <c s="60" r="X41"/>
      <c s="10" r="Y41"/>
      <c t="str" s="65" r="Z41">
        <f>G13</f>
        <v>Sludge Wave</v>
      </c>
      <c t="str" s="74" r="AA41">
        <f>VLOOKUP(Z41,Lookup!$B$3:$C$54,2,FALSE)</f>
        <v>#N/A:lookupNotFound:Sludge Wave</v>
      </c>
      <c t="str" s="77" r="AB41">
        <f>VLOOKUP(Z41,Lookup!$E$24:$F$121,2,FALSE)</f>
        <v>Sludge Bomb</v>
      </c>
    </row>
    <row r="42">
      <c s="10" r="A42"/>
      <c s="106" r="B42"/>
      <c s="69" r="C42"/>
      <c t="str" s="8" r="D42">
        <f>VLOOKUP(C42,'Moves Index'!$B$3:$C$561,2,FALSE)</f>
        <v>#N/A:blankIndicator:</v>
      </c>
      <c t="str" s="8" r="E42">
        <f>VLOOKUP(C42,'Moves Index'!$B$3:$D$561,3,FALSE)</f>
        <v>#N/A:blankIndicator:</v>
      </c>
      <c t="str" s="8" r="F42">
        <f>VLOOKUP(C42,'Moves Index'!$B$3:$E$561,4,FALSE)</f>
        <v>#N/A:blankIndicator:</v>
      </c>
      <c s="69" r="G42"/>
      <c t="str" s="8" r="H42">
        <f>VLOOKUP(G42,'Moves Index'!$B$3:$C$561,2,FALSE)</f>
        <v>#N/A:blankIndicator:</v>
      </c>
      <c t="str" s="8" r="I42">
        <f>VLOOKUP(G42,'Moves Index'!$B$3:$D$561,3,FALSE)</f>
        <v>#N/A:blankIndicator:</v>
      </c>
      <c t="str" s="8" r="J42">
        <f>VLOOKUP(G42,'Moves Index'!$B$3:$E$561,4,FALSE)</f>
        <v>#N/A:blankIndicator:</v>
      </c>
      <c t="s" s="69" r="K42">
        <v>156</v>
      </c>
      <c t="str" s="8" r="L42">
        <f>VLOOKUP(K42,'Moves Index'!$B$3:$C$561,2,FALSE)</f>
        <v>Yes</v>
      </c>
      <c t="str" s="8" r="M42">
        <f>VLOOKUP(K42,'Moves Index'!$B$3:$D$561,3,FALSE)</f>
        <v>Attacking</v>
      </c>
      <c t="str" s="8" r="N42">
        <f>VLOOKUP(K42,'Moves Index'!$B$3:$E$561,4,FALSE)</f>
        <v>Special</v>
      </c>
      <c t="s" s="69" r="O42">
        <v>157</v>
      </c>
      <c t="str" s="8" r="P42">
        <f>VLOOKUP(O42,'Moves Index'!$B$3:$C$561,2,FALSE)</f>
        <v>Yes</v>
      </c>
      <c t="str" s="8" r="Q42">
        <f>VLOOKUP(O42,'Moves Index'!$B$3:$D$561,3,FALSE)</f>
        <v>Attacking</v>
      </c>
      <c t="str" s="8" r="R42">
        <f>VLOOKUP(O42,'Moves Index'!$B$3:$E$561,4,FALSE)</f>
        <v>Physical</v>
      </c>
      <c s="4" r="S42"/>
      <c s="19" r="T42"/>
      <c s="20" r="U42"/>
      <c s="20" r="V42"/>
      <c s="45" r="W42"/>
      <c s="60" r="X42"/>
      <c s="10" r="Y42"/>
      <c t="str" s="65" r="Z42">
        <f>G14</f>
        <v>Flamethrower</v>
      </c>
      <c t="str" s="74" r="AA42">
        <f>VLOOKUP(Z42,Lookup!$B$3:$C$54,2,FALSE)</f>
        <v>#N/A:lookupNotFound:Flamethrower</v>
      </c>
      <c t="str" s="77" r="AB42">
        <f>VLOOKUP(Z42,Lookup!$E$24:$F$121,2,FALSE)</f>
        <v>Incinerate</v>
      </c>
    </row>
    <row r="43">
      <c s="10" r="A43"/>
      <c s="106" r="B43"/>
      <c s="69" r="C43"/>
      <c t="str" s="8" r="D43">
        <f>VLOOKUP(C43,'Moves Index'!$B$3:$C$561,2,FALSE)</f>
        <v>#N/A:blankIndicator:</v>
      </c>
      <c t="str" s="8" r="E43">
        <f>VLOOKUP(C43,'Moves Index'!$B$3:$D$561,3,FALSE)</f>
        <v>#N/A:blankIndicator:</v>
      </c>
      <c t="str" s="8" r="F43">
        <f>VLOOKUP(C43,'Moves Index'!$B$3:$E$561,4,FALSE)</f>
        <v>#N/A:blankIndicator:</v>
      </c>
      <c s="91" r="G43"/>
      <c t="str" s="8" r="H43">
        <f>VLOOKUP(G43,'Moves Index'!$B$3:$C$561,2,FALSE)</f>
        <v>#N/A:blankIndicator:</v>
      </c>
      <c t="str" s="8" r="I43">
        <f>VLOOKUP(G43,'Moves Index'!$B$3:$D$561,3,FALSE)</f>
        <v>#N/A:blankIndicator:</v>
      </c>
      <c t="str" s="8" r="J43">
        <f>VLOOKUP(G43,'Moves Index'!$B$3:$E$561,4,FALSE)</f>
        <v>#N/A:blankIndicator:</v>
      </c>
      <c t="s" s="69" r="K43">
        <v>158</v>
      </c>
      <c t="str" s="8" r="L43">
        <f>VLOOKUP(K43,'Moves Index'!$B$3:$C$561,2,FALSE)</f>
        <v>Yes</v>
      </c>
      <c t="str" s="8" r="M43">
        <f>VLOOKUP(K43,'Moves Index'!$B$3:$D$561,3,FALSE)</f>
        <v>Attacking</v>
      </c>
      <c t="str" s="8" r="N43">
        <f>VLOOKUP(K43,'Moves Index'!$B$3:$E$561,4,FALSE)</f>
        <v>Special</v>
      </c>
      <c t="s" s="69" r="O43">
        <v>159</v>
      </c>
      <c t="str" s="8" r="P43">
        <f>VLOOKUP(O43,'Moves Index'!$B$3:$C$561,2,FALSE)</f>
        <v>Yes</v>
      </c>
      <c t="str" s="8" r="Q43">
        <f>VLOOKUP(O43,'Moves Index'!$B$3:$D$561,3,FALSE)</f>
        <v>Non-Attacking</v>
      </c>
      <c t="str" s="8" r="R43">
        <f>VLOOKUP(O43,'Moves Index'!$B$3:$E$561,4,FALSE)</f>
        <v>N/A</v>
      </c>
      <c s="4" r="S43"/>
      <c s="19" r="T43"/>
      <c s="20" r="U43"/>
      <c s="20" r="V43"/>
      <c s="45" r="W43"/>
      <c s="60" r="X43"/>
      <c s="10" r="Y43"/>
      <c t="str" s="65" r="Z43">
        <f>G15</f>
        <v>Sludge Bomb</v>
      </c>
      <c t="str" s="74" r="AA43">
        <f>VLOOKUP(Z43,Lookup!$B$3:$C$54,2,FALSE)</f>
        <v>#N/A:lookupNotFound:Sludge Bomb</v>
      </c>
      <c t="str" s="77" r="AB43">
        <f>VLOOKUP(Z43,Lookup!$E$24:$F$121,2,FALSE)</f>
        <v>#N/A:lookupNotFound:Sludge Bomb</v>
      </c>
    </row>
    <row r="44">
      <c s="10" r="A44"/>
      <c s="106" r="B44"/>
      <c s="69" r="C44"/>
      <c t="str" s="8" r="D44">
        <f>VLOOKUP(C44,'Moves Index'!$B$3:$C$561,2,FALSE)</f>
        <v>#N/A:blankIndicator:</v>
      </c>
      <c t="str" s="8" r="E44">
        <f>VLOOKUP(C44,'Moves Index'!$B$3:$D$561,3,FALSE)</f>
        <v>#N/A:blankIndicator:</v>
      </c>
      <c t="str" s="8" r="F44">
        <f>VLOOKUP(C44,'Moves Index'!$B$3:$E$561,4,FALSE)</f>
        <v>#N/A:blankIndicator:</v>
      </c>
      <c s="91" r="G44"/>
      <c t="str" s="8" r="H44">
        <f>VLOOKUP(G44,'Moves Index'!$B$3:$C$561,2,FALSE)</f>
        <v>#N/A:blankIndicator:</v>
      </c>
      <c t="str" s="8" r="I44">
        <f>VLOOKUP(G44,'Moves Index'!$B$3:$D$561,3,FALSE)</f>
        <v>#N/A:blankIndicator:</v>
      </c>
      <c t="str" s="8" r="J44">
        <f>VLOOKUP(G44,'Moves Index'!$B$3:$E$561,4,FALSE)</f>
        <v>#N/A:blankIndicator:</v>
      </c>
      <c t="s" s="69" r="K44">
        <v>160</v>
      </c>
      <c t="str" s="8" r="L44">
        <f>VLOOKUP(K44,'Moves Index'!$B$3:$C$561,2,FALSE)</f>
        <v>Yes</v>
      </c>
      <c t="str" s="8" r="M44">
        <f>VLOOKUP(K44,'Moves Index'!$B$3:$D$561,3,FALSE)</f>
        <v>Attacking</v>
      </c>
      <c t="str" s="8" r="N44">
        <f>VLOOKUP(K44,'Moves Index'!$B$3:$E$561,4,FALSE)</f>
        <v>Special</v>
      </c>
      <c t="s" s="91" r="O44">
        <v>20</v>
      </c>
      <c t="str" s="8" r="P44">
        <f>VLOOKUP(O44,'Moves Index'!$B$3:$C$561,2,FALSE)</f>
        <v>No</v>
      </c>
      <c t="str" s="8" r="Q44">
        <f>VLOOKUP(O44,'Moves Index'!$B$3:$D$561,3,FALSE)</f>
        <v>Non-Attacking</v>
      </c>
      <c t="str" s="8" r="R44">
        <f>VLOOKUP(O44,'Moves Index'!$B$3:$E$561,4,FALSE)</f>
        <v>N/A</v>
      </c>
      <c s="4" r="S44"/>
      <c s="19" r="T44"/>
      <c s="20" r="U44"/>
      <c s="20" r="V44"/>
      <c s="45" r="W44"/>
      <c s="60" r="X44"/>
      <c s="10" r="Y44"/>
      <c t="str" s="65" r="Z44">
        <f>G16</f>
        <v>Sandstorm</v>
      </c>
      <c t="str" s="74" r="AA44">
        <f>VLOOKUP(Z44,Lookup!$B$3:$C$54,2,FALSE)</f>
        <v>#N/A:lookupNotFound:Sandstorm</v>
      </c>
      <c t="str" s="77" r="AB44">
        <f>VLOOKUP(Z44,Lookup!$E$24:$F$121,2,FALSE)</f>
        <v>#N/A:lookupNotFound:Sandstorm</v>
      </c>
    </row>
    <row customHeight="1" r="45" ht="13.5">
      <c s="10" r="A45"/>
      <c s="106" r="B45"/>
      <c s="69" r="C45"/>
      <c t="str" s="8" r="D45">
        <f>VLOOKUP(C45,'Moves Index'!$B$3:$C$561,2,FALSE)</f>
        <v>#N/A:blankIndicator:</v>
      </c>
      <c t="str" s="8" r="E45">
        <f>VLOOKUP(C45,'Moves Index'!$B$3:$D$561,3,FALSE)</f>
        <v>#N/A:blankIndicator:</v>
      </c>
      <c t="str" s="8" r="F45">
        <f>VLOOKUP(C45,'Moves Index'!$B$3:$E$561,4,FALSE)</f>
        <v>#N/A:blankIndicator:</v>
      </c>
      <c s="83" r="G45"/>
      <c t="str" s="27" r="H45">
        <f>VLOOKUP(G45,'Moves Index'!$B$3:$C$561,2,FALSE)</f>
        <v>#N/A:blankIndicator:</v>
      </c>
      <c t="str" s="27" r="I45">
        <f>VLOOKUP(G45,'Moves Index'!$B$3:$D$561,3,FALSE)</f>
        <v>#N/A:blankIndicator:</v>
      </c>
      <c t="str" s="27" r="J45">
        <f>VLOOKUP(G45,'Moves Index'!$B$3:$E$561,4,FALSE)</f>
        <v>#N/A:blankIndicator:</v>
      </c>
      <c t="s" s="69" r="K45">
        <v>161</v>
      </c>
      <c t="str" s="8" r="L45">
        <f>VLOOKUP(K45,'Moves Index'!$B$3:$C$561,2,FALSE)</f>
        <v>Yes</v>
      </c>
      <c t="str" s="8" r="M45">
        <f>VLOOKUP(K45,'Moves Index'!$B$3:$D$561,3,FALSE)</f>
        <v>Attacking</v>
      </c>
      <c t="str" s="8" r="N45">
        <f>VLOOKUP(K45,'Moves Index'!$B$3:$E$561,4,FALSE)</f>
        <v>Physical</v>
      </c>
      <c t="s" s="69" r="O45">
        <v>162</v>
      </c>
      <c t="str" s="8" r="P45">
        <f>VLOOKUP(O45,'Moves Index'!$B$3:$C$561,2,FALSE)</f>
        <v>No</v>
      </c>
      <c t="str" s="8" r="Q45">
        <f>VLOOKUP(O45,'Moves Index'!$B$3:$D$561,3,FALSE)</f>
        <v>Non-Attacking</v>
      </c>
      <c t="str" s="8" r="R45">
        <f>VLOOKUP(O45,'Moves Index'!$B$3:$E$561,4,FALSE)</f>
        <v>N/A</v>
      </c>
      <c s="4" r="S45"/>
      <c s="19" r="T45"/>
      <c s="20" r="U45"/>
      <c s="20" r="V45"/>
      <c s="45" r="W45"/>
      <c s="60" r="X45"/>
      <c s="10" r="Y45"/>
      <c t="str" s="65" r="Z45">
        <f>G17</f>
        <v>Fire Blast</v>
      </c>
      <c t="str" s="74" r="AA45">
        <f>VLOOKUP(Z45,Lookup!$B$3:$C$54,2,FALSE)</f>
        <v>#N/A:lookupNotFound:Fire Blast</v>
      </c>
      <c t="str" s="77" r="AB45">
        <f>VLOOKUP(Z45,Lookup!$E$24:$F$121,2,FALSE)</f>
        <v>#N/A:lookupNotFound:Fire Blast</v>
      </c>
    </row>
    <row customHeight="1" r="46" ht="13.5">
      <c s="10" r="A46"/>
      <c s="106" r="B46"/>
      <c s="69" r="C46"/>
      <c t="str" s="8" r="D46">
        <f>VLOOKUP(C46,'Moves Index'!$B$3:$C$561,2,FALSE)</f>
        <v>#N/A:blankIndicator:</v>
      </c>
      <c t="str" s="8" r="E46">
        <f>VLOOKUP(C46,'Moves Index'!$B$3:$D$561,3,FALSE)</f>
        <v>#N/A:blankIndicator:</v>
      </c>
      <c t="str" s="8" r="F46">
        <f>VLOOKUP(C46,'Moves Index'!$B$3:$E$561,4,FALSE)</f>
        <v>#N/A:blankIndicator:</v>
      </c>
      <c s="85" r="G46"/>
      <c s="5" r="H46"/>
      <c s="5" r="I46"/>
      <c s="92" r="J46"/>
      <c t="s" s="69" r="K46">
        <v>163</v>
      </c>
      <c t="str" s="8" r="L46">
        <f>VLOOKUP(K46,'Moves Index'!$B$3:$C$561,2,FALSE)</f>
        <v>Yes</v>
      </c>
      <c t="str" s="8" r="M46">
        <f>VLOOKUP(K46,'Moves Index'!$B$3:$D$561,3,FALSE)</f>
        <v>Attacking</v>
      </c>
      <c t="str" s="8" r="N46">
        <f>VLOOKUP(K46,'Moves Index'!$B$3:$E$561,4,FALSE)</f>
        <v>Physical</v>
      </c>
      <c t="s" s="69" r="O46">
        <v>164</v>
      </c>
      <c t="str" s="8" r="P46">
        <f>VLOOKUP(O46,'Moves Index'!$B$3:$C$561,2,FALSE)</f>
        <v>Yes</v>
      </c>
      <c t="str" s="8" r="Q46">
        <f>VLOOKUP(O46,'Moves Index'!$B$3:$D$561,3,FALSE)</f>
        <v>Non-Attacking</v>
      </c>
      <c t="str" s="8" r="R46">
        <f>VLOOKUP(O46,'Moves Index'!$B$3:$E$561,4,FALSE)</f>
        <v>N/A</v>
      </c>
      <c s="4" r="S46"/>
      <c s="19" r="T46"/>
      <c s="20" r="U46"/>
      <c s="20" r="V46"/>
      <c s="45" r="W46"/>
      <c s="60" r="X46"/>
      <c s="10" r="Y46"/>
      <c t="str" s="65" r="Z46">
        <f>G18</f>
        <v>Rock Tomb</v>
      </c>
      <c t="str" s="74" r="AA46">
        <f>VLOOKUP(Z46,Lookup!$B$3:$C$54,2,FALSE)</f>
        <v>#N/A:lookupNotFound:Rock Tomb</v>
      </c>
      <c t="str" s="77" r="AB46">
        <f>VLOOKUP(Z46,Lookup!$E$24:$F$121,2,FALSE)</f>
        <v>#N/A:lookupNotFound:Rock Tomb</v>
      </c>
    </row>
    <row customHeight="1" r="47" ht="13.5">
      <c s="10" r="A47"/>
      <c s="106" r="B47"/>
      <c s="69" r="C47"/>
      <c t="str" s="8" r="D47">
        <f>VLOOKUP(C47,'Moves Index'!$B$3:$C$561,2,FALSE)</f>
        <v>#N/A:blankIndicator:</v>
      </c>
      <c t="str" s="8" r="E47">
        <f>VLOOKUP(C47,'Moves Index'!$B$3:$D$561,3,FALSE)</f>
        <v>#N/A:blankIndicator:</v>
      </c>
      <c t="str" s="8" r="F47">
        <f>VLOOKUP(C47,'Moves Index'!$B$3:$E$561,4,FALSE)</f>
        <v>#N/A:blankIndicator:</v>
      </c>
      <c s="46" r="G47"/>
      <c s="10" r="J47"/>
      <c t="s" s="69" r="K47">
        <v>165</v>
      </c>
      <c t="str" s="8" r="L47">
        <f>VLOOKUP(K47,'Moves Index'!$B$3:$C$561,2,FALSE)</f>
        <v>Yes</v>
      </c>
      <c t="str" s="8" r="M47">
        <f>VLOOKUP(K47,'Moves Index'!$B$3:$D$561,3,FALSE)</f>
        <v>Attacking</v>
      </c>
      <c t="str" s="8" r="N47">
        <f>VLOOKUP(K47,'Moves Index'!$B$3:$E$561,4,FALSE)</f>
        <v>Physical</v>
      </c>
      <c t="s" s="69" r="O47">
        <v>166</v>
      </c>
      <c t="str" s="8" r="P47">
        <f>VLOOKUP(O47,'Moves Index'!$B$3:$C$561,2,FALSE)</f>
        <v>Yes</v>
      </c>
      <c t="str" s="8" r="Q47">
        <f>VLOOKUP(O47,'Moves Index'!$B$3:$D$561,3,FALSE)</f>
        <v>Attacking</v>
      </c>
      <c t="str" s="8" r="R47">
        <f>VLOOKUP(O47,'Moves Index'!$B$3:$E$561,4,FALSE)</f>
        <v>Physical</v>
      </c>
      <c s="4" r="S47"/>
      <c s="19" r="T47"/>
      <c s="20" r="U47"/>
      <c s="20" r="V47"/>
      <c s="45" r="W47"/>
      <c s="60" r="X47"/>
      <c s="10" r="Y47"/>
      <c t="str" s="65" r="Z47">
        <f>G19</f>
        <v>Aerial Ace</v>
      </c>
      <c t="str" s="74" r="AA47">
        <f>VLOOKUP(Z47,Lookup!$B$3:$C$54,2,FALSE)</f>
        <v>#N/A:lookupNotFound:Aerial Ace</v>
      </c>
      <c t="str" s="77" r="AB47">
        <f>VLOOKUP(Z47,Lookup!$E$24:$F$121,2,FALSE)</f>
        <v>#N/A:lookupNotFound:Aerial Ace</v>
      </c>
    </row>
    <row r="48">
      <c s="10" r="A48"/>
      <c s="106" r="B48"/>
      <c s="69" r="C48"/>
      <c t="str" s="8" r="D48">
        <f>VLOOKUP(C48,'Moves Index'!$B$3:$C$561,2,FALSE)</f>
        <v>#N/A:blankIndicator:</v>
      </c>
      <c t="str" s="8" r="E48">
        <f>VLOOKUP(C48,'Moves Index'!$B$3:$D$561,3,FALSE)</f>
        <v>#N/A:blankIndicator:</v>
      </c>
      <c t="str" s="8" r="F48">
        <f>VLOOKUP(C48,'Moves Index'!$B$3:$E$561,4,FALSE)</f>
        <v>#N/A:blankIndicator:</v>
      </c>
      <c s="46" r="G48"/>
      <c s="10" r="J48"/>
      <c t="s" s="69" r="K48">
        <v>167</v>
      </c>
      <c t="str" s="8" r="L48">
        <f>VLOOKUP(K48,'Moves Index'!$B$3:$C$561,2,FALSE)</f>
        <v>Yes</v>
      </c>
      <c t="str" s="8" r="M48">
        <f>VLOOKUP(K48,'Moves Index'!$B$3:$D$561,3,FALSE)</f>
        <v>Attacking</v>
      </c>
      <c t="str" s="8" r="N48">
        <f>VLOOKUP(K48,'Moves Index'!$B$3:$E$561,4,FALSE)</f>
        <v>Special</v>
      </c>
      <c t="s" s="69" r="O48">
        <v>168</v>
      </c>
      <c t="str" s="8" r="P48">
        <f>VLOOKUP(O48,'Moves Index'!$B$3:$C$561,2,FALSE)</f>
        <v>Yes</v>
      </c>
      <c t="str" s="8" r="Q48">
        <f>VLOOKUP(O48,'Moves Index'!$B$3:$D$561,3,FALSE)</f>
        <v>Attacking</v>
      </c>
      <c t="str" s="8" r="R48">
        <f>VLOOKUP(O48,'Moves Index'!$B$3:$E$561,4,FALSE)</f>
        <v>Special</v>
      </c>
      <c s="4" r="S48"/>
      <c t="s" s="122" r="T48">
        <v>169</v>
      </c>
      <c s="20" r="U48"/>
      <c s="20" r="V48"/>
      <c s="45" r="W48"/>
      <c s="60" r="X48"/>
      <c s="10" r="Y48"/>
      <c t="str" s="65" r="Z48">
        <f>G20</f>
        <v>Torment</v>
      </c>
      <c t="str" s="74" r="AA48">
        <f>VLOOKUP(Z48,Lookup!$B$3:$C$54,2,FALSE)</f>
        <v>#N/A:lookupNotFound:Torment</v>
      </c>
      <c t="str" s="77" r="AB48">
        <f>VLOOKUP(Z48,Lookup!$E$24:$F$121,2,FALSE)</f>
        <v>#N/A:lookupNotFound:Torment</v>
      </c>
    </row>
    <row r="49">
      <c s="10" r="A49"/>
      <c s="106" r="B49"/>
      <c s="69" r="C49"/>
      <c t="str" s="8" r="D49">
        <f>VLOOKUP(C49,'Moves Index'!$B$3:$C$561,2,FALSE)</f>
        <v>#N/A:blankIndicator:</v>
      </c>
      <c t="str" s="8" r="E49">
        <f>VLOOKUP(C49,'Moves Index'!$B$3:$D$561,3,FALSE)</f>
        <v>#N/A:blankIndicator:</v>
      </c>
      <c t="str" s="8" r="F49">
        <f>VLOOKUP(C49,'Moves Index'!$B$3:$E$561,4,FALSE)</f>
        <v>#N/A:blankIndicator:</v>
      </c>
      <c s="46" r="G49"/>
      <c s="10" r="J49"/>
      <c t="s" s="69" r="K49">
        <v>170</v>
      </c>
      <c t="str" s="8" r="L49">
        <f>VLOOKUP(K49,'Moves Index'!$B$3:$C$561,2,FALSE)</f>
        <v>No</v>
      </c>
      <c t="str" s="8" r="M49">
        <f>VLOOKUP(K49,'Moves Index'!$B$3:$D$561,3,FALSE)</f>
        <v>Attacking</v>
      </c>
      <c t="str" s="8" r="N49">
        <f>VLOOKUP(K49,'Moves Index'!$B$3:$E$561,4,FALSE)</f>
        <v>Special</v>
      </c>
      <c t="s" s="69" r="O49">
        <v>171</v>
      </c>
      <c t="str" s="8" r="P49">
        <f>VLOOKUP(O49,'Moves Index'!$B$3:$C$561,2,FALSE)</f>
        <v>No</v>
      </c>
      <c t="str" s="8" r="Q49">
        <f>VLOOKUP(O49,'Moves Index'!$B$3:$D$561,3,FALSE)</f>
        <v>Non-Attacking</v>
      </c>
      <c t="str" s="8" r="R49">
        <f>VLOOKUP(O49,'Moves Index'!$B$3:$E$561,4,FALSE)</f>
        <v>N/A</v>
      </c>
      <c s="4" r="S49"/>
      <c s="19" r="T49"/>
      <c s="20" r="U49"/>
      <c s="20" r="V49"/>
      <c s="45" r="W49"/>
      <c s="60" r="X49"/>
      <c s="10" r="Y49"/>
      <c t="str" s="65" r="Z49">
        <f>G21</f>
        <v>Facade</v>
      </c>
      <c t="str" s="74" r="AA49">
        <f>VLOOKUP(Z49,Lookup!$B$3:$C$54,2,FALSE)</f>
        <v>#N/A:lookupNotFound:Facade</v>
      </c>
      <c t="str" s="77" r="AB49">
        <f>VLOOKUP(Z49,Lookup!$E$24:$F$121,2,FALSE)</f>
        <v>#N/A:lookupNotFound:Facade</v>
      </c>
    </row>
    <row r="50">
      <c s="10" r="A50"/>
      <c s="106" r="B50"/>
      <c s="69" r="C50"/>
      <c t="str" s="8" r="D50">
        <f>VLOOKUP(C50,'Moves Index'!$B$3:$C$561,2,FALSE)</f>
        <v>#N/A:blankIndicator:</v>
      </c>
      <c t="str" s="8" r="E50">
        <f>VLOOKUP(C50,'Moves Index'!$B$3:$D$561,3,FALSE)</f>
        <v>#N/A:blankIndicator:</v>
      </c>
      <c t="str" s="8" r="F50">
        <f>VLOOKUP(C50,'Moves Index'!$B$3:$E$561,4,FALSE)</f>
        <v>#N/A:blankIndicator:</v>
      </c>
      <c s="46" r="G50"/>
      <c s="10" r="J50"/>
      <c t="s" s="69" r="K50">
        <v>172</v>
      </c>
      <c t="str" s="8" r="L50">
        <f>VLOOKUP(K50,'Moves Index'!$B$3:$C$561,2,FALSE)</f>
        <v>Yes</v>
      </c>
      <c t="str" s="8" r="M50">
        <f>VLOOKUP(K50,'Moves Index'!$B$3:$D$561,3,FALSE)</f>
        <v>Non-Attacking</v>
      </c>
      <c t="str" s="8" r="N50">
        <f>VLOOKUP(K50,'Moves Index'!$B$3:$E$561,4,FALSE)</f>
        <v>Physical</v>
      </c>
      <c t="s" s="69" r="O50">
        <v>173</v>
      </c>
      <c t="str" s="8" r="P50">
        <f>VLOOKUP(O50,'Moves Index'!$B$3:$C$561,2,FALSE)</f>
        <v>No</v>
      </c>
      <c t="str" s="8" r="Q50">
        <f>VLOOKUP(O50,'Moves Index'!$B$3:$D$561,3,FALSE)</f>
        <v>Attacking</v>
      </c>
      <c t="str" s="8" r="R50">
        <f>VLOOKUP(O50,'Moves Index'!$B$3:$E$561,4,FALSE)</f>
        <v>Physical</v>
      </c>
      <c s="4" r="S50"/>
      <c t="s" s="122" r="T50">
        <v>174</v>
      </c>
      <c s="20" r="U50"/>
      <c s="20" r="V50"/>
      <c s="45" r="W50"/>
      <c s="60" r="X50"/>
      <c s="10" r="Y50"/>
      <c t="str" s="65" r="Z50">
        <f>G22</f>
        <v>Flame Charge</v>
      </c>
      <c t="str" s="74" r="AA50">
        <f>VLOOKUP(Z50,Lookup!$B$3:$C$54,2,FALSE)</f>
        <v>#N/A:lookupNotFound:Flame Charge</v>
      </c>
      <c t="str" s="77" r="AB50">
        <f>VLOOKUP(Z50,Lookup!$E$24:$F$121,2,FALSE)</f>
        <v>Fire Blast, Flamethrower, Incinerate, Overheat, Solarbeam, Will-O-Wisp</v>
      </c>
    </row>
    <row customHeight="1" r="51" ht="13.5">
      <c s="10" r="A51"/>
      <c s="22" r="B51"/>
      <c s="83" r="C51"/>
      <c t="str" s="27" r="D51">
        <f>VLOOKUP(C51,'Moves Index'!$B$3:$C$561,2,FALSE)</f>
        <v>#N/A:blankIndicator:</v>
      </c>
      <c t="str" s="27" r="E51">
        <f>VLOOKUP(C51,'Moves Index'!$B$3:$D$561,3,FALSE)</f>
        <v>#N/A:blankIndicator:</v>
      </c>
      <c t="str" s="27" r="F51">
        <f>VLOOKUP(C51,'Moves Index'!$B$3:$E$561,4,FALSE)</f>
        <v>#N/A:blankIndicator:</v>
      </c>
      <c s="46" r="G51"/>
      <c s="10" r="J51"/>
      <c t="s" s="69" r="K51">
        <v>175</v>
      </c>
      <c t="str" s="8" r="L51">
        <f>VLOOKUP(K51,'Moves Index'!$B$3:$C$561,2,FALSE)</f>
        <v>No</v>
      </c>
      <c t="str" s="8" r="M51">
        <f>VLOOKUP(K51,'Moves Index'!$B$3:$D$561,3,FALSE)</f>
        <v>Attacking</v>
      </c>
      <c t="str" s="8" r="N51">
        <f>VLOOKUP(K51,'Moves Index'!$B$3:$E$561,4,FALSE)</f>
        <v>Special</v>
      </c>
      <c t="s" s="91" r="O51">
        <v>26</v>
      </c>
      <c t="str" s="8" r="P51">
        <f>VLOOKUP(O51,'Moves Index'!$B$3:$C$561,2,FALSE)</f>
        <v>Yes</v>
      </c>
      <c t="str" s="8" r="Q51">
        <f>VLOOKUP(O51,'Moves Index'!$B$3:$D$561,3,FALSE)</f>
        <v>Non-Attacking</v>
      </c>
      <c t="str" s="8" r="R51">
        <f>VLOOKUP(O51,'Moves Index'!$B$3:$E$561,4,FALSE)</f>
        <v>N/A</v>
      </c>
      <c s="4" r="S51"/>
      <c s="19" r="T51"/>
      <c s="20" r="U51"/>
      <c s="20" r="V51"/>
      <c s="45" r="W51"/>
      <c s="60" r="X51"/>
      <c s="10" r="Y51"/>
      <c t="str" s="65" r="Z51">
        <f>G23</f>
        <v>Rest</v>
      </c>
      <c t="str" s="74" r="AA51">
        <f>VLOOKUP(Z51,Lookup!$B$3:$C$54,2,FALSE)</f>
        <v>#N/A:lookupNotFound:Rest</v>
      </c>
      <c t="str" s="77" r="AB51">
        <f>VLOOKUP(Z51,Lookup!$E$24:$F$121,2,FALSE)</f>
        <v>#N/A:lookupNotFound:Rest</v>
      </c>
    </row>
    <row customHeight="1" r="52" ht="13.5">
      <c s="5" r="B52"/>
      <c s="5" r="C52"/>
      <c s="5" r="D52"/>
      <c s="5" r="E52"/>
      <c s="5" r="F52"/>
      <c s="10" r="J52"/>
      <c t="s" s="69" r="K52">
        <v>176</v>
      </c>
      <c t="str" s="8" r="L52">
        <f>VLOOKUP(K52,'Moves Index'!$B$3:$C$561,2,FALSE)</f>
        <v>Yes</v>
      </c>
      <c t="str" s="8" r="M52">
        <f>VLOOKUP(K52,'Moves Index'!$B$3:$D$561,3,FALSE)</f>
        <v>Attacking</v>
      </c>
      <c t="str" s="8" r="N52">
        <f>VLOOKUP(K52,'Moves Index'!$B$3:$E$561,4,FALSE)</f>
        <v>Physical</v>
      </c>
      <c t="s" s="69" r="O52">
        <v>177</v>
      </c>
      <c t="str" s="8" r="P52">
        <f>VLOOKUP(O52,'Moves Index'!$B$3:$C$561,2,FALSE)</f>
        <v>Yes</v>
      </c>
      <c t="str" s="8" r="Q52">
        <f>VLOOKUP(O52,'Moves Index'!$B$3:$D$561,3,FALSE)</f>
        <v>Non-Attacking</v>
      </c>
      <c t="str" s="8" r="R52">
        <f>VLOOKUP(O52,'Moves Index'!$B$3:$E$561,4,FALSE)</f>
        <v>N/A</v>
      </c>
      <c s="4" r="S52"/>
      <c s="19" r="T52"/>
      <c s="20" r="U52"/>
      <c s="20" r="V52"/>
      <c s="45" r="W52"/>
      <c s="60" r="X52"/>
      <c s="10" r="Y52"/>
      <c t="str" s="65" r="Z52">
        <f>G24</f>
        <v>Attract</v>
      </c>
      <c t="str" s="74" r="AA52">
        <f>VLOOKUP(Z52,Lookup!$B$3:$C$54,2,FALSE)</f>
        <v>#N/A:lookupNotFound:Attract</v>
      </c>
      <c t="str" s="77" r="AB52">
        <f>VLOOKUP(Z52,Lookup!$E$24:$F$121,2,FALSE)</f>
        <v>#N/A:lookupNotFound:Attract</v>
      </c>
    </row>
    <row r="53">
      <c s="10" r="J53"/>
      <c t="s" s="69" r="K53">
        <v>178</v>
      </c>
      <c t="str" s="8" r="L53">
        <f>VLOOKUP(K53,'Moves Index'!$B$3:$C$561,2,FALSE)</f>
        <v>Yes</v>
      </c>
      <c t="str" s="8" r="M53">
        <f>VLOOKUP(K53,'Moves Index'!$B$3:$D$561,3,FALSE)</f>
        <v>Attacking</v>
      </c>
      <c t="str" s="8" r="N53">
        <f>VLOOKUP(K53,'Moves Index'!$B$3:$E$561,4,FALSE)</f>
        <v>Physical</v>
      </c>
      <c t="s" s="91" r="O53">
        <v>28</v>
      </c>
      <c t="str" s="8" r="P53">
        <f>VLOOKUP(O53,'Moves Index'!$B$3:$C$561,2,FALSE)</f>
        <v>No</v>
      </c>
      <c t="str" s="8" r="Q53">
        <f>VLOOKUP(O53,'Moves Index'!$B$3:$D$561,3,FALSE)</f>
        <v>Attacking</v>
      </c>
      <c t="str" s="8" r="R53">
        <f>VLOOKUP(O53,'Moves Index'!$B$3:$E$561,4,FALSE)</f>
        <v>Special</v>
      </c>
      <c s="4" r="S53"/>
      <c t="s" s="122" r="T53">
        <v>179</v>
      </c>
      <c s="20" r="U53"/>
      <c s="20" r="V53"/>
      <c s="45" r="W53"/>
      <c s="60" r="X53"/>
      <c s="10" r="Y53"/>
      <c t="str" s="65" r="Z53">
        <f>G25</f>
        <v>Thief</v>
      </c>
      <c t="str" s="74" r="AA53">
        <f>VLOOKUP(Z53,Lookup!$B$3:$C$54,2,FALSE)</f>
        <v>#N/A:lookupNotFound:Thief</v>
      </c>
      <c t="str" s="77" r="AB53">
        <f>VLOOKUP(Z53,Lookup!$E$24:$F$121,2,FALSE)</f>
        <v>#N/A:lookupNotFound:Thief</v>
      </c>
    </row>
    <row r="54">
      <c s="10" r="J54"/>
      <c t="s" s="69" r="K54">
        <v>180</v>
      </c>
      <c t="str" s="8" r="L54">
        <f>VLOOKUP(K54,'Moves Index'!$B$3:$C$561,2,FALSE)</f>
        <v>No</v>
      </c>
      <c t="str" s="8" r="M54">
        <f>VLOOKUP(K54,'Moves Index'!$B$3:$D$561,3,FALSE)</f>
        <v>Attacking</v>
      </c>
      <c t="str" s="8" r="N54">
        <f>VLOOKUP(K54,'Moves Index'!$B$3:$E$561,4,FALSE)</f>
        <v>Special</v>
      </c>
      <c t="s" s="69" r="O54">
        <v>181</v>
      </c>
      <c t="str" s="8" r="P54">
        <f>VLOOKUP(O54,'Moves Index'!$B$3:$C$561,2,FALSE)</f>
        <v>No</v>
      </c>
      <c t="str" s="8" r="Q54">
        <f>VLOOKUP(O54,'Moves Index'!$B$3:$D$561,3,FALSE)</f>
        <v>Non-Attacking</v>
      </c>
      <c t="str" s="8" r="R54">
        <f>VLOOKUP(O54,'Moves Index'!$B$3:$E$561,4,FALSE)</f>
        <v>N/A</v>
      </c>
      <c s="4" r="S54"/>
      <c s="19" r="T54"/>
      <c s="20" r="U54"/>
      <c s="20" r="V54"/>
      <c s="45" r="W54"/>
      <c s="60" r="X54"/>
      <c s="10" r="Y54"/>
      <c t="str" s="65" r="Z54">
        <f>G26</f>
        <v>Low Sweep</v>
      </c>
      <c t="str" s="74" r="AA54">
        <f>VLOOKUP(Z54,Lookup!$B$3:$C$54,2,FALSE)</f>
        <v>#N/A:lookupNotFound:Low Sweep</v>
      </c>
      <c t="str" s="77" r="AB54">
        <f>VLOOKUP(Z54,Lookup!$E$24:$F$121,2,FALSE)</f>
        <v>#N/A:lookupNotFound:Low Sweep</v>
      </c>
    </row>
    <row r="55">
      <c s="10" r="J55"/>
      <c t="s" s="69" r="K55">
        <v>182</v>
      </c>
      <c t="str" s="8" r="L55">
        <f>VLOOKUP(K55,'Moves Index'!$B$3:$C$561,2,FALSE)</f>
        <v>No</v>
      </c>
      <c t="str" s="8" r="M55">
        <f>VLOOKUP(K55,'Moves Index'!$B$3:$D$561,3,FALSE)</f>
        <v>Non-Attacking</v>
      </c>
      <c t="str" s="8" r="N55">
        <f>VLOOKUP(K55,'Moves Index'!$B$3:$E$561,4,FALSE)</f>
        <v>N/A</v>
      </c>
      <c t="s" s="69" r="O55">
        <v>183</v>
      </c>
      <c t="str" s="8" r="P55">
        <f>VLOOKUP(O55,'Moves Index'!$B$3:$C$561,2,FALSE)</f>
        <v>Yes</v>
      </c>
      <c t="str" s="8" r="Q55">
        <f>VLOOKUP(O55,'Moves Index'!$B$3:$D$561,3,FALSE)</f>
        <v>Non-Attacking</v>
      </c>
      <c t="str" s="8" r="R55">
        <f>VLOOKUP(O55,'Moves Index'!$B$3:$E$561,4,FALSE)</f>
        <v>N/A</v>
      </c>
      <c s="4" r="S55"/>
      <c t="s" s="122" r="T55">
        <v>184</v>
      </c>
      <c s="20" r="U55"/>
      <c s="20" r="V55"/>
      <c s="45" r="W55"/>
      <c s="60" r="X55"/>
      <c s="10" r="Y55"/>
      <c t="str" s="65" r="Z55">
        <f>G27</f>
        <v>Round</v>
      </c>
      <c t="str" s="74" r="AA55">
        <f>VLOOKUP(Z55,Lookup!$B$3:$C$54,2,FALSE)</f>
        <v>#N/A:lookupNotFound:Round</v>
      </c>
      <c t="str" s="77" r="AB55">
        <f>VLOOKUP(Z55,Lookup!$E$24:$F$121,2,FALSE)</f>
        <v>#N/A:lookupNotFound:Round</v>
      </c>
    </row>
    <row r="56">
      <c s="10" r="J56"/>
      <c t="s" s="69" r="K56">
        <v>185</v>
      </c>
      <c t="str" s="8" r="L56">
        <f>VLOOKUP(K56,'Moves Index'!$B$3:$C$561,2,FALSE)</f>
        <v>Yes</v>
      </c>
      <c t="str" s="8" r="M56">
        <f>VLOOKUP(K56,'Moves Index'!$B$3:$D$561,3,FALSE)</f>
        <v>Attacking</v>
      </c>
      <c t="str" s="8" r="N56">
        <f>VLOOKUP(K56,'Moves Index'!$B$3:$E$561,4,FALSE)</f>
        <v>Special</v>
      </c>
      <c t="s" s="69" r="O56">
        <v>186</v>
      </c>
      <c t="str" s="8" r="P56">
        <f>VLOOKUP(O56,'Moves Index'!$B$3:$C$561,2,FALSE)</f>
        <v>Yes</v>
      </c>
      <c t="str" s="8" r="Q56">
        <f>VLOOKUP(O56,'Moves Index'!$B$3:$D$561,3,FALSE)</f>
        <v>Non-Attacking</v>
      </c>
      <c t="str" s="8" r="R56">
        <f>VLOOKUP(O56,'Moves Index'!$B$3:$E$561,4,FALSE)</f>
        <v>Physical</v>
      </c>
      <c s="4" r="S56"/>
      <c s="19" r="T56"/>
      <c s="20" r="U56"/>
      <c s="20" r="V56"/>
      <c s="45" r="W56"/>
      <c s="60" r="X56"/>
      <c s="10" r="Y56"/>
      <c t="str" s="65" r="Z56">
        <f>G28</f>
        <v>Echoed Voice</v>
      </c>
      <c t="str" s="74" r="AA56">
        <f>VLOOKUP(Z56,Lookup!$B$3:$C$54,2,FALSE)</f>
        <v>#N/A:lookupNotFound:Echoed Voice</v>
      </c>
      <c t="str" s="77" r="AB56">
        <f>VLOOKUP(Z56,Lookup!$E$24:$F$121,2,FALSE)</f>
        <v>#N/A:lookupNotFound:Echoed Voice</v>
      </c>
    </row>
    <row r="57">
      <c s="10" r="J57"/>
      <c t="s" s="69" r="K57">
        <v>187</v>
      </c>
      <c t="str" s="8" r="L57">
        <f>VLOOKUP(K57,'Moves Index'!$B$3:$C$561,2,FALSE)</f>
        <v>No</v>
      </c>
      <c t="str" s="8" r="M57">
        <f>VLOOKUP(K57,'Moves Index'!$B$3:$D$561,3,FALSE)</f>
        <v>Attacking</v>
      </c>
      <c t="str" s="8" r="N57">
        <f>VLOOKUP(K57,'Moves Index'!$B$3:$E$561,4,FALSE)</f>
        <v>Special</v>
      </c>
      <c t="s" s="69" r="O57">
        <v>188</v>
      </c>
      <c t="str" s="8" r="P57">
        <f>VLOOKUP(O57,'Moves Index'!$B$3:$C$561,2,FALSE)</f>
        <v>Yes</v>
      </c>
      <c t="str" s="8" r="Q57">
        <f>VLOOKUP(O57,'Moves Index'!$B$3:$D$561,3,FALSE)</f>
        <v>Attacking</v>
      </c>
      <c t="str" s="8" r="R57">
        <f>VLOOKUP(O57,'Moves Index'!$B$3:$E$561,4,FALSE)</f>
        <v>Physical</v>
      </c>
      <c s="4" r="S57"/>
      <c s="19" r="T57"/>
      <c s="20" r="U57"/>
      <c s="20" r="V57"/>
      <c s="45" r="W57"/>
      <c s="60" r="X57"/>
      <c s="10" r="Y57"/>
      <c t="str" s="65" r="Z57">
        <f>G29</f>
        <v>Overheat</v>
      </c>
      <c t="str" s="74" r="AA57">
        <f>VLOOKUP(Z57,Lookup!$B$3:$C$54,2,FALSE)</f>
        <v>#N/A:lookupNotFound:Overheat</v>
      </c>
      <c t="str" s="77" r="AB57">
        <f>VLOOKUP(Z57,Lookup!$E$24:$F$121,2,FALSE)</f>
        <v>Fire Blast, Flamethrower, Incinerate</v>
      </c>
    </row>
    <row customHeight="1" r="58" ht="13.5">
      <c s="10" r="J58"/>
      <c t="s" s="69" r="K58">
        <v>189</v>
      </c>
      <c t="str" s="8" r="L58">
        <f>VLOOKUP(K58,'Moves Index'!$B$3:$C$561,2,FALSE)</f>
        <v>Yes</v>
      </c>
      <c t="str" s="8" r="M58">
        <f>VLOOKUP(K58,'Moves Index'!$B$3:$D$561,3,FALSE)</f>
        <v>Non-Attacking</v>
      </c>
      <c t="str" s="8" r="N58">
        <f>VLOOKUP(K58,'Moves Index'!$B$3:$E$561,4,FALSE)</f>
        <v>N/A</v>
      </c>
      <c t="s" s="69" r="O58">
        <v>190</v>
      </c>
      <c t="str" s="8" r="P58">
        <f>VLOOKUP(O58,'Moves Index'!$B$3:$C$561,2,FALSE)</f>
        <v>Yes</v>
      </c>
      <c t="str" s="8" r="Q58">
        <f>VLOOKUP(O58,'Moves Index'!$B$3:$D$561,3,FALSE)</f>
        <v>Non-Attacking</v>
      </c>
      <c t="str" s="8" r="R58">
        <f>VLOOKUP(O58,'Moves Index'!$B$3:$E$561,4,FALSE)</f>
        <v>N/A</v>
      </c>
      <c s="4" r="S58"/>
      <c t="s" s="82" r="T58">
        <v>191</v>
      </c>
      <c s="115" r="U58"/>
      <c s="115" r="V58"/>
      <c s="68" r="W58"/>
      <c s="60" r="X58"/>
      <c s="10" r="Y58"/>
      <c t="str" s="65" r="Z58">
        <f>K5</f>
        <v>Ally Switch</v>
      </c>
      <c t="str" s="74" r="AA58">
        <f>VLOOKUP(Z58,Lookup!$B$3:$C$54,2,FALSE)</f>
        <v>#N/A:lookupNotFound:Ally Switch</v>
      </c>
      <c t="str" s="77" r="AB58">
        <f>VLOOKUP(Z58,Lookup!$E$24:$F$121,2,FALSE)</f>
        <v>#N/A:lookupNotFound:Ally Switch</v>
      </c>
    </row>
    <row customHeight="1" r="59" ht="13.5">
      <c s="10" r="J59"/>
      <c t="s" s="69" r="K59">
        <v>192</v>
      </c>
      <c t="str" s="8" r="L59">
        <f>VLOOKUP(K59,'Moves Index'!$B$3:$C$561,2,FALSE)</f>
        <v>Yes</v>
      </c>
      <c t="str" s="8" r="M59">
        <f>VLOOKUP(K59,'Moves Index'!$B$3:$D$561,3,FALSE)</f>
        <v>Attacking</v>
      </c>
      <c t="str" s="8" r="N59">
        <f>VLOOKUP(K59,'Moves Index'!$B$3:$E$561,4,FALSE)</f>
        <v>Physical</v>
      </c>
      <c t="s" s="69" r="O59">
        <v>193</v>
      </c>
      <c t="str" s="8" r="P59">
        <f>VLOOKUP(O59,'Moves Index'!$B$3:$C$561,2,FALSE)</f>
        <v>No</v>
      </c>
      <c t="str" s="8" r="Q59">
        <f>VLOOKUP(O59,'Moves Index'!$B$3:$D$561,3,FALSE)</f>
        <v>Non-Attacking</v>
      </c>
      <c t="str" s="8" r="R59">
        <f>VLOOKUP(O59,'Moves Index'!$B$3:$E$561,4,FALSE)</f>
        <v>N/A</v>
      </c>
      <c s="46" r="S59"/>
      <c s="33" r="T59"/>
      <c s="33" r="U59"/>
      <c s="33" r="V59"/>
      <c s="33" r="W59"/>
      <c s="10" r="Y59"/>
      <c t="str" s="65" r="Z59">
        <f>K6</f>
        <v>Focus Blast</v>
      </c>
      <c t="str" s="74" r="AA59">
        <f>VLOOKUP(Z59,Lookup!$B$3:$C$54,2,FALSE)</f>
        <v>#N/A:lookupNotFound:Focus Blast</v>
      </c>
      <c t="str" s="77" r="AB59">
        <f>VLOOKUP(Z59,Lookup!$E$24:$F$121,2,FALSE)</f>
        <v>Fling</v>
      </c>
    </row>
    <row r="60">
      <c s="10" r="J60"/>
      <c t="s" s="69" r="K60">
        <v>194</v>
      </c>
      <c t="str" s="8" r="L60">
        <f>VLOOKUP(K60,'Moves Index'!$B$3:$C$561,2,FALSE)</f>
        <v>Yes</v>
      </c>
      <c t="str" s="8" r="M60">
        <f>VLOOKUP(K60,'Moves Index'!$B$3:$D$561,3,FALSE)</f>
        <v>Non-Attacking</v>
      </c>
      <c t="str" s="8" r="N60">
        <f>VLOOKUP(K60,'Moves Index'!$B$3:$E$561,4,FALSE)</f>
        <v>N/A</v>
      </c>
      <c t="s" s="69" r="O60">
        <v>195</v>
      </c>
      <c t="str" s="8" r="P60">
        <f>VLOOKUP(O60,'Moves Index'!$B$3:$C$561,2,FALSE)</f>
        <v>Yes</v>
      </c>
      <c t="str" s="8" r="Q60">
        <f>VLOOKUP(O60,'Moves Index'!$B$3:$D$561,3,FALSE)</f>
        <v>Attacking</v>
      </c>
      <c t="str" s="8" r="R60">
        <f>VLOOKUP(O60,'Moves Index'!$B$3:$E$561,4,FALSE)</f>
        <v>Physical</v>
      </c>
      <c s="46" r="S60"/>
      <c t="s" s="113" r="T60">
        <v>196</v>
      </c>
      <c s="10" r="Y60"/>
      <c t="str" s="65" r="Z60">
        <f>K7</f>
        <v>Energy Ball</v>
      </c>
      <c t="str" s="74" r="AA60">
        <f>VLOOKUP(Z60,Lookup!$B$3:$C$54,2,FALSE)</f>
        <v>#N/A:lookupNotFound:Energy Ball</v>
      </c>
      <c t="str" s="77" r="AB60">
        <f>VLOOKUP(Z60,Lookup!$E$24:$F$121,2,FALSE)</f>
        <v>#N/A:lookupNotFound:Energy Ball</v>
      </c>
    </row>
    <row r="61">
      <c s="10" r="J61"/>
      <c t="s" s="69" r="K61">
        <v>197</v>
      </c>
      <c t="str" s="8" r="L61">
        <f>VLOOKUP(K61,'Moves Index'!$B$3:$C$561,2,FALSE)</f>
        <v>Yes</v>
      </c>
      <c t="str" s="8" r="M61">
        <f>VLOOKUP(K61,'Moves Index'!$B$3:$D$561,3,FALSE)</f>
        <v>Attacking</v>
      </c>
      <c t="str" s="8" r="N61">
        <f>VLOOKUP(K61,'Moves Index'!$B$3:$E$561,4,FALSE)</f>
        <v>Special</v>
      </c>
      <c t="s" s="69" r="O61">
        <v>198</v>
      </c>
      <c t="str" s="8" r="P61">
        <f>VLOOKUP(O61,'Moves Index'!$B$3:$C$561,2,FALSE)</f>
        <v>Yes</v>
      </c>
      <c t="str" s="8" r="Q61">
        <f>VLOOKUP(O61,'Moves Index'!$B$3:$D$561,3,FALSE)</f>
        <v>Non-Attacking</v>
      </c>
      <c t="str" s="8" r="R61">
        <f>VLOOKUP(O61,'Moves Index'!$B$3:$E$561,4,FALSE)</f>
        <v>N/A</v>
      </c>
      <c s="46" r="S61"/>
      <c s="10" r="Y61"/>
      <c t="str" s="65" r="Z61">
        <f>K8</f>
        <v>False Swipe</v>
      </c>
      <c t="str" s="74" r="AA61">
        <f>VLOOKUP(Z61,Lookup!$B$3:$C$54,2,FALSE)</f>
        <v>#N/A:lookupNotFound:False Swipe</v>
      </c>
      <c t="str" s="77" r="AB61">
        <f>VLOOKUP(Z61,Lookup!$E$24:$F$121,2,FALSE)</f>
        <v>#N/A:lookupNotFound:False Swipe</v>
      </c>
    </row>
    <row r="62">
      <c s="10" r="J62"/>
      <c t="s" s="69" r="K62">
        <v>199</v>
      </c>
      <c t="str" s="8" r="L62">
        <f>VLOOKUP(K62,'Moves Index'!$B$3:$C$561,2,FALSE)</f>
        <v>No</v>
      </c>
      <c t="str" s="8" r="M62">
        <f>VLOOKUP(K62,'Moves Index'!$B$3:$D$561,3,FALSE)</f>
        <v>Non-Attacking</v>
      </c>
      <c t="str" s="8" r="N62">
        <f>VLOOKUP(K62,'Moves Index'!$B$3:$E$561,4,FALSE)</f>
        <v>N/A</v>
      </c>
      <c t="s" s="69" r="O62">
        <v>200</v>
      </c>
      <c t="str" s="8" r="P62">
        <f>VLOOKUP(O62,'Moves Index'!$B$3:$C$561,2,FALSE)</f>
        <v>No</v>
      </c>
      <c t="str" s="8" r="Q62">
        <f>VLOOKUP(O62,'Moves Index'!$B$3:$D$561,3,FALSE)</f>
        <v>Attacking</v>
      </c>
      <c t="str" s="8" r="R62">
        <f>VLOOKUP(O62,'Moves Index'!$B$3:$E$561,4,FALSE)</f>
        <v>Special</v>
      </c>
      <c s="46" r="S62"/>
      <c s="10" r="Y62"/>
      <c t="str" s="65" r="Z62">
        <f>K9</f>
        <v>Scald</v>
      </c>
      <c t="str" s="74" r="AA62">
        <f>VLOOKUP(Z62,Lookup!$B$3:$C$54,2,FALSE)</f>
        <v>#N/A:lookupNotFound:Scald</v>
      </c>
      <c t="str" s="77" r="AB62">
        <f>VLOOKUP(Z62,Lookup!$E$24:$F$121,2,FALSE)</f>
        <v>Ice Beam, Surf</v>
      </c>
    </row>
    <row r="63">
      <c s="10" r="J63"/>
      <c t="s" s="69" r="K63">
        <v>201</v>
      </c>
      <c t="str" s="8" r="L63">
        <f>VLOOKUP(K63,'Moves Index'!$B$3:$C$561,2,FALSE)</f>
        <v>No</v>
      </c>
      <c t="str" s="8" r="M63">
        <f>VLOOKUP(K63,'Moves Index'!$B$3:$D$561,3,FALSE)</f>
        <v>Attacking</v>
      </c>
      <c t="str" s="8" r="N63">
        <f>VLOOKUP(K63,'Moves Index'!$B$3:$E$561,4,FALSE)</f>
        <v>Special</v>
      </c>
      <c t="s" s="69" r="O63">
        <v>202</v>
      </c>
      <c t="str" s="8" r="P63">
        <f>VLOOKUP(O63,'Moves Index'!$B$3:$C$561,2,FALSE)</f>
        <v>No</v>
      </c>
      <c t="str" s="8" r="Q63">
        <f>VLOOKUP(O63,'Moves Index'!$B$3:$D$561,3,FALSE)</f>
        <v>Attacking</v>
      </c>
      <c t="str" s="8" r="R63">
        <f>VLOOKUP(O63,'Moves Index'!$B$3:$E$561,4,FALSE)</f>
        <v>Special</v>
      </c>
      <c s="46" r="S63"/>
      <c s="10" r="Y63"/>
      <c t="str" s="65" r="Z63">
        <f>K10</f>
        <v>Fling</v>
      </c>
      <c t="str" s="74" r="AA63">
        <f>VLOOKUP(Z63,Lookup!$B$3:$C$54,2,FALSE)</f>
        <v>#N/A:lookupNotFound:Fling</v>
      </c>
      <c t="str" s="77" r="AB63">
        <f>VLOOKUP(Z63,Lookup!$E$24:$F$121,2,FALSE)</f>
        <v>#N/A:lookupNotFound:Fling</v>
      </c>
    </row>
    <row r="64">
      <c s="10" r="J64"/>
      <c t="s" s="69" r="K64">
        <v>203</v>
      </c>
      <c t="str" s="8" r="L64">
        <f>VLOOKUP(K64,'Moves Index'!$B$3:$C$561,2,FALSE)</f>
        <v>Yes</v>
      </c>
      <c t="str" s="8" r="M64">
        <f>VLOOKUP(K64,'Moves Index'!$B$3:$D$561,3,FALSE)</f>
        <v>Attacking</v>
      </c>
      <c t="str" s="8" r="N64">
        <f>VLOOKUP(K64,'Moves Index'!$B$3:$E$561,4,FALSE)</f>
        <v>Special</v>
      </c>
      <c t="s" s="69" r="O64">
        <v>204</v>
      </c>
      <c t="str" s="8" r="P64">
        <f>VLOOKUP(O64,'Moves Index'!$B$3:$C$561,2,FALSE)</f>
        <v>No</v>
      </c>
      <c t="str" s="8" r="Q64">
        <f>VLOOKUP(O64,'Moves Index'!$B$3:$D$561,3,FALSE)</f>
        <v>Non-Attacking</v>
      </c>
      <c t="str" s="8" r="R64">
        <f>VLOOKUP(O64,'Moves Index'!$B$3:$E$561,4,FALSE)</f>
        <v>N/A</v>
      </c>
      <c s="46" r="S64"/>
      <c s="10" r="Y64"/>
      <c t="str" s="65" r="Z64">
        <f>K11</f>
        <v>Charge Beam</v>
      </c>
      <c t="str" s="74" r="AA64">
        <f>VLOOKUP(Z64,Lookup!$B$3:$C$54,2,FALSE)</f>
        <v>#N/A:lookupNotFound:Charge Beam</v>
      </c>
      <c t="str" s="77" r="AB64">
        <f>VLOOKUP(Z64,Lookup!$E$24:$F$121,2,FALSE)</f>
        <v>#N/A:lookupNotFound:Charge Beam</v>
      </c>
    </row>
    <row r="65">
      <c s="10" r="J65"/>
      <c t="s" s="69" r="K65">
        <v>205</v>
      </c>
      <c t="str" s="8" r="L65">
        <f>VLOOKUP(K65,'Moves Index'!$B$3:$C$561,2,FALSE)</f>
        <v>Yes</v>
      </c>
      <c t="str" s="8" r="M65">
        <f>VLOOKUP(K65,'Moves Index'!$B$3:$D$561,3,FALSE)</f>
        <v>Attacking</v>
      </c>
      <c t="str" s="8" r="N65">
        <f>VLOOKUP(K65,'Moves Index'!$B$3:$E$561,4,FALSE)</f>
        <v>Physical</v>
      </c>
      <c t="s" s="69" r="O65">
        <v>206</v>
      </c>
      <c t="str" s="8" r="P65">
        <f>VLOOKUP(O65,'Moves Index'!$B$3:$C$561,2,FALSE)</f>
        <v>No</v>
      </c>
      <c t="str" s="8" r="Q65">
        <f>VLOOKUP(O65,'Moves Index'!$B$3:$D$561,3,FALSE)</f>
        <v>Non-Attacking</v>
      </c>
      <c t="str" s="8" r="R65">
        <f>VLOOKUP(O65,'Moves Index'!$B$3:$E$561,4,FALSE)</f>
        <v>N/A</v>
      </c>
      <c s="46" r="S65"/>
      <c s="10" r="Y65"/>
      <c t="str" s="65" r="Z65">
        <f>K12</f>
        <v>Sky Drop</v>
      </c>
      <c t="str" s="74" r="AA65">
        <f>VLOOKUP(Z65,Lookup!$B$3:$C$54,2,FALSE)</f>
        <v>#N/A:lookupNotFound:Sky Drop</v>
      </c>
      <c t="str" s="77" r="AB65">
        <f>VLOOKUP(Z65,Lookup!$E$24:$F$121,2,FALSE)</f>
        <v>#N/A:lookupNotFound:Sky Drop</v>
      </c>
    </row>
    <row r="66">
      <c s="10" r="J66"/>
      <c t="s" s="69" r="K66">
        <v>207</v>
      </c>
      <c t="str" s="8" r="L66">
        <f>VLOOKUP(K66,'Moves Index'!$B$3:$C$561,2,FALSE)</f>
        <v>No</v>
      </c>
      <c t="str" s="8" r="M66">
        <f>VLOOKUP(K66,'Moves Index'!$B$3:$D$561,3,FALSE)</f>
        <v>Attacking</v>
      </c>
      <c t="str" s="8" r="N66">
        <f>VLOOKUP(K66,'Moves Index'!$B$3:$E$561,4,FALSE)</f>
        <v>Special</v>
      </c>
      <c t="s" s="69" r="O66">
        <v>208</v>
      </c>
      <c t="str" s="8" r="P66">
        <f>VLOOKUP(O66,'Moves Index'!$B$3:$C$561,2,FALSE)</f>
        <v>Yes</v>
      </c>
      <c t="str" s="8" r="Q66">
        <f>VLOOKUP(O66,'Moves Index'!$B$3:$D$561,3,FALSE)</f>
        <v>Attacking</v>
      </c>
      <c t="str" s="8" r="R66">
        <f>VLOOKUP(O66,'Moves Index'!$B$3:$E$561,4,FALSE)</f>
        <v>Physical</v>
      </c>
      <c s="46" r="S66"/>
      <c s="10" r="Y66"/>
      <c t="str" s="65" r="Z66">
        <f>K13</f>
        <v>Incinerate</v>
      </c>
      <c t="str" s="74" r="AA66">
        <f>VLOOKUP(Z66,Lookup!$B$3:$C$54,2,FALSE)</f>
        <v>#N/A:lookupNotFound:Incinerate</v>
      </c>
      <c t="str" s="77" r="AB66">
        <f>VLOOKUP(Z66,Lookup!$E$24:$F$121,2,FALSE)</f>
        <v>#N/A:lookupNotFound:Incinerate</v>
      </c>
    </row>
    <row customHeight="1" r="67" ht="13.5">
      <c s="10" r="J67"/>
      <c t="s" s="83" r="K67">
        <v>209</v>
      </c>
      <c t="str" s="27" r="L67">
        <f>VLOOKUP(K67,'Moves Index'!$B$3:$C$561,2,FALSE)</f>
        <v>Yes</v>
      </c>
      <c t="str" s="27" r="M67">
        <f>VLOOKUP(K67,'Moves Index'!$B$3:$D$561,3,FALSE)</f>
        <v>Non-Attacking</v>
      </c>
      <c t="str" s="27" r="N67">
        <f>VLOOKUP(K67,'Moves Index'!$B$3:$E$561,4,FALSE)</f>
        <v>N/A</v>
      </c>
      <c s="83" r="O67"/>
      <c s="27" r="P67"/>
      <c s="27" r="Q67"/>
      <c s="27" r="R67"/>
      <c s="46" r="S67"/>
      <c s="10" r="Y67"/>
      <c t="str" s="65" r="Z67">
        <f>K14</f>
        <v>Quash</v>
      </c>
      <c t="str" s="74" r="AA67">
        <f>VLOOKUP(Z67,Lookup!$B$3:$C$54,2,FALSE)</f>
        <v>#N/A:lookupNotFound:Quash</v>
      </c>
      <c t="str" s="77" r="AB67">
        <f>VLOOKUP(Z67,Lookup!$E$24:$F$121,2,FALSE)</f>
        <v>#N/A:lookupNotFound:Quash</v>
      </c>
    </row>
    <row customHeight="1" r="68" ht="14.25">
      <c s="5" r="K68"/>
      <c s="5" r="L68"/>
      <c s="5" r="M68"/>
      <c s="5" r="N68"/>
      <c s="5" r="O68"/>
      <c s="5" r="P68"/>
      <c s="5" r="Q68"/>
      <c s="5" r="R68"/>
      <c s="52" r="S68"/>
      <c s="52" r="T68"/>
      <c s="52" r="U68"/>
      <c s="52" r="V68"/>
      <c s="52" r="W68"/>
      <c s="52" r="X68"/>
      <c s="10" r="Y68"/>
      <c t="str" s="65" r="Z68">
        <f>K15</f>
        <v>Will-O-Wisp</v>
      </c>
      <c t="str" s="74" r="AA68">
        <f>VLOOKUP(Z68,Lookup!$B$3:$C$54,2,FALSE)</f>
        <v>#N/A:lookupNotFound:Will-O-Wisp</v>
      </c>
      <c t="str" s="77" r="AB68">
        <f>VLOOKUP(Z68,Lookup!$E$24:$F$121,2,FALSE)</f>
        <v>#N/A:lookupNotFound:Will-O-Wisp</v>
      </c>
    </row>
    <row customHeight="1" r="69" ht="14.25">
      <c s="67" r="R69"/>
      <c t="s" s="16" r="S69">
        <v>13</v>
      </c>
      <c s="119" r="T69"/>
      <c s="119" r="U69"/>
      <c s="119" r="V69"/>
      <c s="119" r="W69"/>
      <c s="107" r="X69"/>
      <c s="28" r="Y69"/>
      <c t="str" s="65" r="Z69">
        <f>K16</f>
        <v>Acrobatics</v>
      </c>
      <c t="str" s="74" r="AA69">
        <f>VLOOKUP(Z69,Lookup!$B$3:$C$54,2,FALSE)</f>
        <v>#N/A:lookupNotFound:Acrobatics</v>
      </c>
      <c t="str" s="77" r="AB69">
        <f>VLOOKUP(Z69,Lookup!$E$24:$F$121,2,FALSE)</f>
        <v>#N/A:lookupNotFound:Acrobatics</v>
      </c>
    </row>
    <row customHeight="1" r="70" ht="14.25">
      <c s="67" r="R70"/>
      <c t="s" s="48" r="S70">
        <v>4</v>
      </c>
      <c t="s" s="53" r="T70">
        <v>7</v>
      </c>
      <c s="20" r="U70"/>
      <c s="20" r="V70"/>
      <c s="20" r="W70"/>
      <c s="45" r="X70"/>
      <c s="28" r="Y70"/>
      <c t="str" s="65" r="Z70">
        <f>K17</f>
        <v>Embargo</v>
      </c>
      <c t="str" s="74" r="AA70">
        <f>VLOOKUP(Z70,Lookup!$B$3:$C$54,2,FALSE)</f>
        <v>#N/A:lookupNotFound:Embargo</v>
      </c>
      <c t="str" s="77" r="AB70">
        <f>VLOOKUP(Z70,Lookup!$E$24:$F$121,2,FALSE)</f>
        <v>#N/A:lookupNotFound:Embargo</v>
      </c>
    </row>
    <row customHeight="1" r="71" ht="13.5">
      <c s="67" r="R71"/>
      <c s="58" r="S71"/>
      <c t="str" s="6" r="T71">
        <f>VLOOKUP(S71,Lookup!$E$4:$F$20,2,FALSE)</f>
        <v>#N/A:blankIndicator:</v>
      </c>
      <c s="5" r="U71"/>
      <c s="5" r="V71"/>
      <c s="5" r="W71"/>
      <c s="31" r="X71"/>
      <c s="28" r="Y71"/>
      <c t="str" s="65" r="Z71">
        <f>K18</f>
        <v>Explosion</v>
      </c>
      <c t="str" s="74" r="AA71">
        <f>VLOOKUP(Z71,Lookup!$B$3:$C$54,2,FALSE)</f>
        <v>#N/A:lookupNotFound:Explosion</v>
      </c>
      <c t="str" s="77" r="AB71">
        <f>VLOOKUP(Z71,Lookup!$E$24:$F$121,2,FALSE)</f>
        <v>#N/A:lookupNotFound:Explosion</v>
      </c>
    </row>
    <row customHeight="1" r="72" ht="13.5">
      <c s="67" r="R72"/>
      <c s="112" r="S72"/>
      <c t="str" s="25" r="T72">
        <f>VLOOKUP(S72,Lookup!$E$4:$F$20,2,FALSE)</f>
        <v>#N/A:blankIndicator:</v>
      </c>
      <c s="52" r="U72"/>
      <c s="52" r="V72"/>
      <c s="52" r="W72"/>
      <c s="114" r="X72"/>
      <c s="28" r="Y72"/>
      <c t="str" s="65" r="Z72">
        <f>K19</f>
        <v>Shadow Claw</v>
      </c>
      <c t="str" s="74" r="AA72">
        <f>VLOOKUP(Z72,Lookup!$B$3:$C$54,2,FALSE)</f>
        <v>#N/A:lookupNotFound:Shadow Claw</v>
      </c>
      <c t="str" s="77" r="AB72">
        <f>VLOOKUP(Z72,Lookup!$E$24:$F$121,2,FALSE)</f>
        <v>#N/A:lookupNotFound:Shadow Claw</v>
      </c>
    </row>
    <row customHeight="1" r="73" ht="13.5">
      <c s="33" r="S73"/>
      <c s="33" r="T73"/>
      <c s="33" r="U73"/>
      <c s="33" r="V73"/>
      <c s="33" r="W73"/>
      <c s="33" r="X73"/>
      <c s="10" r="Y73"/>
      <c t="str" s="65" r="Z73">
        <f>K20</f>
        <v>Payback</v>
      </c>
      <c t="str" s="74" r="AA73">
        <f>VLOOKUP(Z73,Lookup!$B$3:$C$54,2,FALSE)</f>
        <v>#N/A:lookupNotFound:Payback</v>
      </c>
      <c t="str" s="77" r="AB73">
        <f>VLOOKUP(Z73,Lookup!$E$24:$F$121,2,FALSE)</f>
        <v>#N/A:lookupNotFound:Payback</v>
      </c>
    </row>
    <row r="74">
      <c s="10" r="Y74"/>
      <c t="str" s="65" r="Z74">
        <f>K21</f>
        <v>Retaliate</v>
      </c>
      <c t="str" s="74" r="AA74">
        <f>VLOOKUP(Z74,Lookup!$B$3:$C$54,2,FALSE)</f>
        <v>#N/A:lookupNotFound:Retaliate</v>
      </c>
      <c t="str" s="77" r="AB74">
        <f>VLOOKUP(Z74,Lookup!$E$24:$F$121,2,FALSE)</f>
        <v>#N/A:lookupNotFound:Retaliate</v>
      </c>
    </row>
    <row r="75">
      <c s="10" r="Y75"/>
      <c t="str" s="65" r="Z75">
        <f>K22</f>
        <v>Giga Impact</v>
      </c>
      <c t="str" s="74" r="AA75">
        <f>VLOOKUP(Z75,Lookup!$B$3:$C$54,2,FALSE)</f>
        <v>#N/A:lookupNotFound:Giga Impact</v>
      </c>
      <c t="str" s="77" r="AB75">
        <f>VLOOKUP(Z75,Lookup!$E$24:$F$121,2,FALSE)</f>
        <v>#N/A:lookupNotFound:Giga Impact</v>
      </c>
    </row>
    <row r="76">
      <c s="10" r="Y76"/>
      <c t="str" s="65" r="Z76">
        <f>K23</f>
        <v>Rock Polish</v>
      </c>
      <c t="str" s="74" r="AA76">
        <f>VLOOKUP(Z76,Lookup!$B$3:$C$54,2,FALSE)</f>
        <v>Agility, Autotomize, Shift Gear</v>
      </c>
      <c t="str" s="77" r="AB76">
        <f>VLOOKUP(Z76,Lookup!$E$24:$F$121,2,FALSE)</f>
        <v>#N/A:lookupNotFound:Rock Polish</v>
      </c>
    </row>
    <row r="77">
      <c s="10" r="Y77"/>
      <c t="str" s="65" r="Z77">
        <f>K24</f>
        <v>Flash</v>
      </c>
      <c t="str" s="74" r="AA77">
        <f>VLOOKUP(Z77,Lookup!$B$3:$C$54,2,FALSE)</f>
        <v>#N/A:lookupNotFound:Flash</v>
      </c>
      <c t="str" s="77" r="AB77">
        <f>VLOOKUP(Z77,Lookup!$E$24:$F$121,2,FALSE)</f>
        <v>#N/A:lookupNotFound:Flash</v>
      </c>
    </row>
    <row r="78">
      <c s="10" r="Y78"/>
      <c t="str" s="65" r="Z78">
        <f>K25</f>
        <v>Stone Edge</v>
      </c>
      <c t="str" s="74" r="AA78">
        <f>VLOOKUP(Z78,Lookup!$B$3:$C$54,2,FALSE)</f>
        <v>#N/A:lookupNotFound:Stone Edge</v>
      </c>
      <c t="str" s="77" r="AB78">
        <f>VLOOKUP(Z78,Lookup!$E$24:$F$121,2,FALSE)</f>
        <v>Rock Slide, Rock Tomb</v>
      </c>
    </row>
    <row r="79">
      <c s="10" r="Y79"/>
      <c t="str" s="65" r="Z79">
        <f>K26</f>
        <v>Volt Switch</v>
      </c>
      <c t="str" s="74" r="AA79">
        <f>VLOOKUP(Z79,Lookup!$B$3:$C$54,2,FALSE)</f>
        <v>#N/A:lookupNotFound:Volt Switch</v>
      </c>
      <c t="str" s="77" r="AB79">
        <f>VLOOKUP(Z79,Lookup!$E$24:$F$121,2,FALSE)</f>
        <v>Thunder, Thunderbolt, Thunder Wave</v>
      </c>
    </row>
    <row r="80">
      <c s="10" r="Y80"/>
      <c t="str" s="65" r="Z80">
        <f>K27</f>
        <v>Thunder Wave</v>
      </c>
      <c t="str" s="74" r="AA80">
        <f>VLOOKUP(Z80,Lookup!$B$3:$C$54,2,FALSE)</f>
        <v>#N/A:lookupNotFound:Thunder Wave</v>
      </c>
      <c t="str" s="77" r="AB80">
        <f>VLOOKUP(Z80,Lookup!$E$24:$F$121,2,FALSE)</f>
        <v>#N/A:lookupNotFound:Thunder Wave</v>
      </c>
    </row>
    <row r="81">
      <c s="10" r="Y81"/>
      <c t="str" s="65" r="Z81">
        <f>K28</f>
        <v>Gyro Ball</v>
      </c>
      <c t="str" s="74" r="AA81">
        <f>VLOOKUP(Z81,Lookup!$B$3:$C$54,2,FALSE)</f>
        <v>#N/A:lookupNotFound:Gyro Ball</v>
      </c>
      <c t="str" s="77" r="AB81">
        <f>VLOOKUP(Z81,Lookup!$E$24:$F$121,2,FALSE)</f>
        <v>#N/A:lookupNotFound:Gyro Ball</v>
      </c>
    </row>
    <row r="82">
      <c s="10" r="Y82"/>
      <c t="str" s="65" r="Z82">
        <f>K29</f>
        <v>Swords Dance</v>
      </c>
      <c t="str" s="74" r="AA82">
        <f>VLOOKUP(Z82,Lookup!$B$3:$C$54,2,FALSE)</f>
        <v>Howl, Sharpen, Meditate</v>
      </c>
      <c t="str" s="77" r="AB82">
        <f>VLOOKUP(Z82,Lookup!$E$24:$F$121,2,FALSE)</f>
        <v>#N/A:lookupNotFound:Swords Dance</v>
      </c>
    </row>
    <row r="83">
      <c s="10" r="Y83"/>
      <c t="str" s="65" r="Z83">
        <f>O5</f>
        <v>Struggle Bug</v>
      </c>
      <c t="str" s="74" r="AA83">
        <f>VLOOKUP(Z83,Lookup!$B$3:$C$54,2,FALSE)</f>
        <v>#N/A:lookupNotFound:Struggle Bug</v>
      </c>
      <c t="str" s="77" r="AB83">
        <f>VLOOKUP(Z83,Lookup!$E$24:$F$121,2,FALSE)</f>
        <v>#N/A:lookupNotFound:Struggle Bug</v>
      </c>
    </row>
    <row r="84">
      <c s="10" r="Y84"/>
      <c t="str" s="65" r="Z84">
        <f>O6</f>
        <v>Psych Up</v>
      </c>
      <c t="str" s="74" r="AA84">
        <f>VLOOKUP(Z84,Lookup!$B$3:$C$54,2,FALSE)</f>
        <v>#N/A:lookupNotFound:Psych Up</v>
      </c>
      <c t="str" s="77" r="AB84">
        <f>VLOOKUP(Z84,Lookup!$E$24:$F$121,2,FALSE)</f>
        <v>#N/A:lookupNotFound:Psych Up</v>
      </c>
    </row>
    <row r="85">
      <c s="10" r="Y85"/>
      <c t="str" s="65" r="Z85">
        <f>O7</f>
        <v>Bulldoze</v>
      </c>
      <c t="str" s="74" r="AA85">
        <f>VLOOKUP(Z85,Lookup!$B$3:$C$54,2,FALSE)</f>
        <v>#N/A:lookupNotFound:Bulldoze</v>
      </c>
      <c t="str" s="77" r="AB85">
        <f>VLOOKUP(Z85,Lookup!$E$24:$F$121,2,FALSE)</f>
        <v>#N/A:lookupNotFound:Bulldoze</v>
      </c>
    </row>
    <row r="86">
      <c s="10" r="Y86"/>
      <c t="str" s="65" r="Z86">
        <f>O8</f>
        <v>Frost Breath</v>
      </c>
      <c t="str" s="74" r="AA86">
        <f>VLOOKUP(Z86,Lookup!$B$3:$C$54,2,FALSE)</f>
        <v>#N/A:lookupNotFound:Frost Breath</v>
      </c>
      <c t="str" s="77" r="AB86">
        <f>VLOOKUP(Z86,Lookup!$E$24:$F$121,2,FALSE)</f>
        <v>Blizzard, Hail, Ice Beam</v>
      </c>
    </row>
    <row r="87">
      <c s="10" r="Y87"/>
      <c t="str" s="65" r="Z87">
        <f>O9</f>
        <v>Rock Slide</v>
      </c>
      <c t="str" s="74" r="AA87">
        <f>VLOOKUP(Z87,Lookup!$B$3:$C$54,2,FALSE)</f>
        <v>#N/A:lookupNotFound:Rock Slide</v>
      </c>
      <c t="str" s="77" r="AB87">
        <f>VLOOKUP(Z87,Lookup!$E$24:$F$121,2,FALSE)</f>
        <v>Rock Tomb</v>
      </c>
    </row>
    <row r="88">
      <c s="10" r="Y88"/>
      <c t="str" s="65" r="Z88">
        <f>O10</f>
        <v>X-Scissor</v>
      </c>
      <c t="str" s="74" r="AA88">
        <f>VLOOKUP(Z88,Lookup!$B$3:$C$54,2,FALSE)</f>
        <v>Attack Order</v>
      </c>
      <c t="str" s="77" r="AB88">
        <f>VLOOKUP(Z88,Lookup!$E$24:$F$121,2,FALSE)</f>
        <v>#N/A:lookupNotFound:X-Scissor</v>
      </c>
    </row>
    <row r="89">
      <c s="10" r="Y89"/>
      <c t="str" s="65" r="Z89">
        <f>O11</f>
        <v>Dragon Tail</v>
      </c>
      <c t="str" s="74" r="AA89">
        <f>VLOOKUP(Z89,Lookup!$B$3:$C$54,2,FALSE)</f>
        <v>#N/A:lookupNotFound:Dragon Tail</v>
      </c>
      <c t="str" s="77" r="AB89">
        <f>VLOOKUP(Z89,Lookup!$E$24:$F$121,2,FALSE)</f>
        <v>#N/A:lookupNotFound:Dragon Tail</v>
      </c>
    </row>
    <row r="90">
      <c s="10" r="Y90"/>
      <c t="str" s="65" r="Z90">
        <f>O12</f>
        <v>Work Up</v>
      </c>
      <c t="str" s="74" r="AA90">
        <f>VLOOKUP(Z90,Lookup!$B$3:$C$54,2,FALSE)</f>
        <v>Growth, Meditate, Sharpen, Howl</v>
      </c>
      <c t="str" s="77" r="AB90">
        <f>VLOOKUP(Z90,Lookup!$E$24:$F$121,2,FALSE)</f>
        <v>#N/A:lookupNotFound:Work Up</v>
      </c>
    </row>
    <row r="91">
      <c s="10" r="Y91"/>
      <c t="str" s="65" r="Z91">
        <f>O13</f>
        <v>Poison Jab</v>
      </c>
      <c t="str" s="74" r="AA91">
        <f>VLOOKUP(Z91,Lookup!$B$3:$C$54,2,FALSE)</f>
        <v>#N/A:lookupNotFound:Poison Jab</v>
      </c>
      <c t="str" s="77" r="AB91">
        <f>VLOOKUP(Z91,Lookup!$E$24:$F$121,2,FALSE)</f>
        <v>#N/A:lookupNotFound:Poison Jab</v>
      </c>
    </row>
    <row r="92">
      <c s="10" r="Y92"/>
      <c t="str" s="65" r="Z92">
        <f>O14</f>
        <v>Dream Eater</v>
      </c>
      <c t="str" s="74" r="AA92">
        <f>VLOOKUP(Z92,Lookup!$B$3:$C$54,2,FALSE)</f>
        <v>#N/A:lookupNotFound:Dream Eater</v>
      </c>
      <c t="str" s="77" r="AB92">
        <f>VLOOKUP(Z92,Lookup!$E$24:$F$121,2,FALSE)</f>
        <v>#N/A:lookupNotFound:Dream Eater</v>
      </c>
    </row>
    <row r="93">
      <c s="10" r="Y93"/>
      <c t="str" s="65" r="Z93">
        <f>O15</f>
        <v>Grass Knot</v>
      </c>
      <c t="str" s="74" r="AA93">
        <f>VLOOKUP(Z93,Lookup!$B$3:$C$54,2,FALSE)</f>
        <v>#N/A:lookupNotFound:Grass Knot</v>
      </c>
      <c t="str" s="77" r="AB93">
        <f>VLOOKUP(Z93,Lookup!$E$24:$F$121,2,FALSE)</f>
        <v>#N/A:lookupNotFound:Grass Knot</v>
      </c>
    </row>
    <row r="94">
      <c s="10" r="Y94"/>
      <c t="str" s="65" r="Z94">
        <f>O16</f>
        <v>Swagger</v>
      </c>
      <c t="str" s="74" r="AA94">
        <f>VLOOKUP(Z94,Lookup!$B$3:$C$54,2,FALSE)</f>
        <v>#N/A:lookupNotFound:Swagger</v>
      </c>
      <c t="str" s="77" r="AB94">
        <f>VLOOKUP(Z94,Lookup!$E$24:$F$121,2,FALSE)</f>
        <v>#N/A:lookupNotFound:Swagger</v>
      </c>
    </row>
    <row r="95">
      <c s="10" r="Y95"/>
      <c t="str" s="65" r="Z95">
        <f>O17</f>
        <v>Pluck</v>
      </c>
      <c t="str" s="74" r="AA95">
        <f>VLOOKUP(Z95,Lookup!$B$3:$C$54,2,FALSE)</f>
        <v>#N/A:lookupNotFound:Pluck</v>
      </c>
      <c t="str" s="77" r="AB95">
        <f>VLOOKUP(Z95,Lookup!$E$24:$F$121,2,FALSE)</f>
        <v>#N/A:lookupNotFound:Pluck</v>
      </c>
    </row>
    <row r="96">
      <c s="10" r="Y96"/>
      <c t="str" s="65" r="Z96">
        <f>O18</f>
        <v>U-turn</v>
      </c>
      <c t="str" s="74" r="AA96">
        <f>VLOOKUP(Z96,Lookup!$B$3:$C$54,2,FALSE)</f>
        <v>#N/A:lookupNotFound:U-turn</v>
      </c>
      <c t="str" s="77" r="AB96">
        <f>VLOOKUP(Z96,Lookup!$E$24:$F$121,2,FALSE)</f>
        <v>#N/A:lookupNotFound:U-turn</v>
      </c>
    </row>
    <row r="97">
      <c s="10" r="Y97"/>
      <c t="str" s="65" r="Z97">
        <f>O19</f>
        <v>Substitute</v>
      </c>
      <c t="str" s="74" r="AA97">
        <f>VLOOKUP(Z97,Lookup!$B$3:$C$54,2,FALSE)</f>
        <v>#N/A:lookupNotFound:Substitute</v>
      </c>
      <c t="str" s="77" r="AB97">
        <f>VLOOKUP(Z97,Lookup!$E$24:$F$121,2,FALSE)</f>
        <v>#N/A:lookupNotFound:Substitute</v>
      </c>
    </row>
    <row r="98">
      <c s="10" r="Y98"/>
      <c t="str" s="65" r="Z98">
        <f>O20</f>
        <v>Flash Cannon</v>
      </c>
      <c t="str" s="74" r="AA98">
        <f>VLOOKUP(Z98,Lookup!$B$3:$C$54,2,FALSE)</f>
        <v>#N/A:lookupNotFound:Flash Cannon</v>
      </c>
      <c t="str" s="77" r="AB98">
        <f>VLOOKUP(Z98,Lookup!$E$24:$F$121,2,FALSE)</f>
        <v>#N/A:lookupNotFound:Flash Cannon</v>
      </c>
    </row>
    <row r="99">
      <c s="10" r="Y99"/>
      <c t="str" s="65" r="Z99">
        <f>O21</f>
        <v>Trick Room</v>
      </c>
      <c t="str" s="74" r="AA99">
        <f>VLOOKUP(Z99,Lookup!$B$3:$C$54,2,FALSE)</f>
        <v>#N/A:lookupNotFound:Trick Room</v>
      </c>
      <c t="str" s="77" r="AB99">
        <f>VLOOKUP(Z99,Lookup!$E$24:$F$121,2,FALSE)</f>
        <v>Dream Eater, Flash, Psychic, Psych Up, Shadow Ball</v>
      </c>
    </row>
    <row r="100">
      <c s="10" r="Y100"/>
      <c t="str" s="65" r="Z100">
        <f>O22</f>
        <v>Wild Charge</v>
      </c>
      <c t="str" s="74" r="AA100">
        <f>VLOOKUP(Z100,Lookup!$B$3:$C$54,2,FALSE)</f>
        <v>#N/A:lookupNotFound:Wild Charge</v>
      </c>
      <c t="str" s="77" r="AB100">
        <f>VLOOKUP(Z100,Lookup!$E$24:$F$121,2,FALSE)</f>
        <v>#N/A:lookupNotFound:Wild Charge</v>
      </c>
    </row>
    <row r="101">
      <c s="10" r="Y101"/>
      <c t="str" s="65" r="Z101">
        <f>O23</f>
        <v>Rock Smash</v>
      </c>
      <c t="str" s="74" r="AA101">
        <f>VLOOKUP(Z101,Lookup!$B$3:$C$54,2,FALSE)</f>
        <v>#N/A:lookupNotFound:Rock Smash</v>
      </c>
      <c t="str" s="77" r="AB101">
        <f>VLOOKUP(Z101,Lookup!$E$24:$F$121,2,FALSE)</f>
        <v>#N/A:lookupNotFound:Rock Smash</v>
      </c>
    </row>
    <row r="102">
      <c s="10" r="Y102"/>
      <c t="str" s="65" r="Z102">
        <f>O24</f>
        <v>Snarl</v>
      </c>
      <c t="str" s="74" r="AA102">
        <f>VLOOKUP(Z102,Lookup!$B$3:$C$54,2,FALSE)</f>
        <v>#N/A:lookupNotFound:Snarl</v>
      </c>
      <c t="str" s="77" r="AB102">
        <f>VLOOKUP(Z102,Lookup!$E$24:$F$121,2,FALSE)</f>
        <v>#N/A:lookupNotFound:Snarl</v>
      </c>
    </row>
    <row r="103">
      <c s="10" r="Y103"/>
      <c t="str" s="65" r="Z103">
        <f>O25</f>
        <v>Cut</v>
      </c>
      <c t="str" s="74" r="AA103">
        <f>VLOOKUP(Z103,Lookup!$B$3:$C$54,2,FALSE)</f>
        <v>#N/A:lookupNotFound:Cut</v>
      </c>
      <c t="str" s="77" r="AB103">
        <f>VLOOKUP(Z103,Lookup!$E$24:$F$121,2,FALSE)</f>
        <v>#N/A:lookupNotFound:Cut</v>
      </c>
    </row>
    <row r="104">
      <c s="10" r="Y104"/>
      <c t="str" s="65" r="Z104">
        <f>O26</f>
        <v>Fly</v>
      </c>
      <c t="str" s="74" r="AA104">
        <f>VLOOKUP(Z104,Lookup!$B$3:$C$54,2,FALSE)</f>
        <v>#N/A:lookupNotFound:Fly</v>
      </c>
      <c t="str" s="77" r="AB104">
        <f>VLOOKUP(Z104,Lookup!$E$24:$F$121,2,FALSE)</f>
        <v>#N/A:lookupNotFound:Fly</v>
      </c>
    </row>
    <row r="105">
      <c s="10" r="Y105"/>
      <c t="str" s="65" r="Z105">
        <f>O27</f>
        <v>Surf</v>
      </c>
      <c t="str" s="74" r="AA105">
        <f>VLOOKUP(Z105,Lookup!$B$3:$C$54,2,FALSE)</f>
        <v>#N/A:lookupNotFound:Surf</v>
      </c>
      <c t="str" s="77" r="AB105">
        <f>VLOOKUP(Z105,Lookup!$E$24:$F$121,2,FALSE)</f>
        <v>#N/A:lookupNotFound:Surf</v>
      </c>
    </row>
    <row r="106">
      <c s="10" r="Y106"/>
      <c t="str" s="65" r="Z106">
        <f>O28</f>
        <v>Strength</v>
      </c>
      <c t="str" s="74" r="AA106">
        <f>VLOOKUP(Z106,Lookup!$B$3:$C$54,2,FALSE)</f>
        <v>#N/A:lookupNotFound:Strength</v>
      </c>
      <c t="str" s="77" r="AB106">
        <f>VLOOKUP(Z106,Lookup!$E$24:$F$121,2,FALSE)</f>
        <v>#N/A:lookupNotFound:Strength</v>
      </c>
    </row>
    <row r="107">
      <c s="10" r="Y107"/>
      <c t="str" s="65" r="Z107">
        <f>O29</f>
        <v>Waterfall</v>
      </c>
      <c t="str" s="74" r="AA107">
        <f>VLOOKUP(Z107,Lookup!$B$3:$C$54,2,FALSE)</f>
        <v>#N/A:lookupNotFound:Waterfall</v>
      </c>
      <c t="str" s="77" r="AB107">
        <f>VLOOKUP(Z107,Lookup!$E$24:$F$121,2,FALSE)</f>
        <v>Blizzard, Dive, Ice Beam, Surf</v>
      </c>
    </row>
    <row customHeight="1" r="108" ht="13.5">
      <c s="10" r="Y108"/>
      <c t="str" s="123" r="Z108">
        <f>O30</f>
        <v>Dive</v>
      </c>
      <c t="str" s="78" r="AA108">
        <f>VLOOKUP(Z108,Lookup!$B$3:$C$54,2,FALSE)</f>
        <v>#N/A:lookupNotFound:Dive</v>
      </c>
      <c t="str" s="13" r="AB108">
        <f>VLOOKUP(Z108,Lookup!$E$24:$F$121,2,FALSE)</f>
        <v>#N/A:lookupNotFound:Dive</v>
      </c>
    </row>
    <row customHeight="1" r="109" ht="14.25">
      <c s="10" r="Y109"/>
      <c t="s" s="116" r="Z109">
        <v>134</v>
      </c>
      <c s="20" r="AA109"/>
      <c s="45" r="AB109"/>
    </row>
    <row customHeight="1" r="110" ht="14.25">
      <c s="10" r="Y110"/>
      <c t="s" s="30" r="Z110">
        <v>2</v>
      </c>
      <c t="s" s="30" r="AA110">
        <v>6</v>
      </c>
      <c t="s" s="53" r="AB110">
        <v>7</v>
      </c>
    </row>
    <row customHeight="1" r="111" ht="13.5">
      <c s="10" r="Y111"/>
      <c t="str" s="95" r="Z111">
        <f>C34</f>
        <v/>
      </c>
      <c t="str" s="72" r="AA111">
        <f>VLOOKUP(Z111,Lookup!$B$3:$C$54,2,FALSE)</f>
        <v>#N/A:blankIndicator:</v>
      </c>
      <c t="str" s="6" r="AB111">
        <f>VLOOKUP(Z111,Lookup!$E$24:$F$121,2,FALSE)</f>
        <v>#N/A:blankIndicator:</v>
      </c>
    </row>
    <row r="112">
      <c s="10" r="Y112"/>
      <c t="str" s="65" r="Z112">
        <f>C35</f>
        <v/>
      </c>
      <c t="str" s="74" r="AA112">
        <f>VLOOKUP(Z112,Lookup!$B$3:$C$54,2,FALSE)</f>
        <v>#N/A:blankIndicator:</v>
      </c>
      <c t="str" s="77" r="AB112">
        <f>VLOOKUP(Z112,Lookup!$E$24:$F$121,2,FALSE)</f>
        <v>#N/A:blankIndicator:</v>
      </c>
    </row>
    <row r="113">
      <c s="10" r="Y113"/>
      <c t="str" s="65" r="Z113">
        <f>C36</f>
        <v/>
      </c>
      <c t="str" s="74" r="AA113">
        <f>VLOOKUP(Z113,Lookup!$B$3:$C$54,2,FALSE)</f>
        <v>#N/A:blankIndicator:</v>
      </c>
      <c t="str" s="77" r="AB113">
        <f>VLOOKUP(Z113,Lookup!$E$24:$F$121,2,FALSE)</f>
        <v>#N/A:blankIndicator:</v>
      </c>
    </row>
    <row r="114">
      <c s="10" r="Y114"/>
      <c t="str" s="65" r="Z114">
        <f>C37</f>
        <v/>
      </c>
      <c t="str" s="74" r="AA114">
        <f>VLOOKUP(Z114,Lookup!$B$3:$C$54,2,FALSE)</f>
        <v>#N/A:blankIndicator:</v>
      </c>
      <c t="str" s="77" r="AB114">
        <f>VLOOKUP(Z114,Lookup!$E$24:$F$121,2,FALSE)</f>
        <v>#N/A:blankIndicator:</v>
      </c>
    </row>
    <row r="115">
      <c s="10" r="Y115"/>
      <c t="str" s="65" r="Z115">
        <f>C38</f>
        <v/>
      </c>
      <c t="str" s="74" r="AA115">
        <f>VLOOKUP(Z115,Lookup!$B$3:$C$54,2,FALSE)</f>
        <v>#N/A:blankIndicator:</v>
      </c>
      <c t="str" s="77" r="AB115">
        <f>VLOOKUP(Z115,Lookup!$E$24:$F$121,2,FALSE)</f>
        <v>#N/A:blankIndicator:</v>
      </c>
    </row>
    <row r="116">
      <c s="10" r="Y116"/>
      <c t="str" s="65" r="Z116">
        <f>C39</f>
        <v/>
      </c>
      <c t="str" s="74" r="AA116">
        <f>VLOOKUP(Z116,Lookup!$B$3:$C$54,2,FALSE)</f>
        <v>#N/A:blankIndicator:</v>
      </c>
      <c t="str" s="77" r="AB116">
        <f>VLOOKUP(Z116,Lookup!$E$24:$F$121,2,FALSE)</f>
        <v>#N/A:blankIndicator:</v>
      </c>
    </row>
    <row r="117">
      <c s="10" r="Y117"/>
      <c t="str" s="65" r="Z117">
        <f>C40</f>
        <v/>
      </c>
      <c t="str" s="74" r="AA117">
        <f>VLOOKUP(Z117,Lookup!$B$3:$C$54,2,FALSE)</f>
        <v>#N/A:blankIndicator:</v>
      </c>
      <c t="str" s="77" r="AB117">
        <f>VLOOKUP(Z117,Lookup!$E$24:$F$121,2,FALSE)</f>
        <v>#N/A:blankIndicator:</v>
      </c>
    </row>
    <row r="118">
      <c s="10" r="Y118"/>
      <c t="str" s="65" r="Z118">
        <f>C41</f>
        <v/>
      </c>
      <c t="str" s="74" r="AA118">
        <f>VLOOKUP(Z118,Lookup!$B$3:$C$54,2,FALSE)</f>
        <v>#N/A:blankIndicator:</v>
      </c>
      <c t="str" s="77" r="AB118">
        <f>VLOOKUP(Z118,Lookup!$E$24:$F$121,2,FALSE)</f>
        <v>#N/A:blankIndicator:</v>
      </c>
    </row>
    <row r="119">
      <c s="10" r="Y119"/>
      <c t="str" s="65" r="Z119">
        <f>C42</f>
        <v/>
      </c>
      <c t="str" s="74" r="AA119">
        <f>VLOOKUP(Z119,Lookup!$B$3:$C$54,2,FALSE)</f>
        <v>#N/A:blankIndicator:</v>
      </c>
      <c t="str" s="77" r="AB119">
        <f>VLOOKUP(Z119,Lookup!$E$24:$F$121,2,FALSE)</f>
        <v>#N/A:blankIndicator:</v>
      </c>
    </row>
    <row r="120">
      <c s="10" r="Y120"/>
      <c t="str" s="65" r="Z120">
        <f>C43</f>
        <v/>
      </c>
      <c t="str" s="74" r="AA120">
        <f>VLOOKUP(Z120,Lookup!$B$3:$C$54,2,FALSE)</f>
        <v>#N/A:blankIndicator:</v>
      </c>
      <c t="str" s="77" r="AB120">
        <f>VLOOKUP(Z120,Lookup!$E$24:$F$121,2,FALSE)</f>
        <v>#N/A:blankIndicator:</v>
      </c>
    </row>
    <row r="121">
      <c s="10" r="Y121"/>
      <c t="str" s="65" r="Z121">
        <f>C44</f>
        <v/>
      </c>
      <c t="str" s="74" r="AA121">
        <f>VLOOKUP(Z121,Lookup!$B$3:$C$54,2,FALSE)</f>
        <v>#N/A:blankIndicator:</v>
      </c>
      <c t="str" s="77" r="AB121">
        <f>VLOOKUP(Z121,Lookup!$E$24:$F$121,2,FALSE)</f>
        <v>#N/A:blankIndicator:</v>
      </c>
    </row>
    <row r="122">
      <c s="10" r="Y122"/>
      <c t="str" s="65" r="Z122">
        <f>C45</f>
        <v/>
      </c>
      <c t="str" s="74" r="AA122">
        <f>VLOOKUP(Z122,Lookup!$B$3:$C$54,2,FALSE)</f>
        <v>#N/A:blankIndicator:</v>
      </c>
      <c t="str" s="77" r="AB122">
        <f>VLOOKUP(Z122,Lookup!$E$24:$F$121,2,FALSE)</f>
        <v>#N/A:blankIndicator:</v>
      </c>
    </row>
    <row r="123">
      <c s="10" r="Y123"/>
      <c t="str" s="65" r="Z123">
        <f>C46</f>
        <v/>
      </c>
      <c t="str" s="74" r="AA123">
        <f>VLOOKUP(Z123,Lookup!$B$3:$C$54,2,FALSE)</f>
        <v>#N/A:blankIndicator:</v>
      </c>
      <c t="str" s="77" r="AB123">
        <f>VLOOKUP(Z123,Lookup!$E$24:$F$121,2,FALSE)</f>
        <v>#N/A:blankIndicator:</v>
      </c>
    </row>
    <row r="124">
      <c s="10" r="Y124"/>
      <c t="str" s="65" r="Z124">
        <f>C47</f>
        <v/>
      </c>
      <c t="str" s="74" r="AA124">
        <f>VLOOKUP(Z124,Lookup!$B$3:$C$54,2,FALSE)</f>
        <v>#N/A:blankIndicator:</v>
      </c>
      <c t="str" s="77" r="AB124">
        <f>VLOOKUP(Z124,Lookup!$E$24:$F$121,2,FALSE)</f>
        <v>#N/A:blankIndicator:</v>
      </c>
    </row>
    <row r="125">
      <c s="10" r="Y125"/>
      <c t="str" s="65" r="Z125">
        <f>C48</f>
        <v/>
      </c>
      <c t="str" s="74" r="AA125">
        <f>VLOOKUP(Z125,Lookup!$B$3:$C$54,2,FALSE)</f>
        <v>#N/A:blankIndicator:</v>
      </c>
      <c t="str" s="77" r="AB125">
        <f>VLOOKUP(Z125,Lookup!$E$24:$F$121,2,FALSE)</f>
        <v>#N/A:blankIndicator:</v>
      </c>
    </row>
    <row r="126">
      <c s="10" r="Y126"/>
      <c t="str" s="65" r="Z126">
        <f>C49</f>
        <v/>
      </c>
      <c t="str" s="74" r="AA126">
        <f>VLOOKUP(Z126,Lookup!$B$3:$C$54,2,FALSE)</f>
        <v>#N/A:blankIndicator:</v>
      </c>
      <c t="str" s="77" r="AB126">
        <f>VLOOKUP(Z126,Lookup!$E$24:$F$121,2,FALSE)</f>
        <v>#N/A:blankIndicator:</v>
      </c>
    </row>
    <row r="127">
      <c s="10" r="Y127"/>
      <c t="str" s="65" r="Z127">
        <f>C50</f>
        <v/>
      </c>
      <c t="str" s="74" r="AA127">
        <f>VLOOKUP(Z127,Lookup!$B$3:$C$54,2,FALSE)</f>
        <v>#N/A:blankIndicator:</v>
      </c>
      <c t="str" s="77" r="AB127">
        <f>VLOOKUP(Z127,Lookup!$E$24:$F$121,2,FALSE)</f>
        <v>#N/A:blankIndicator:</v>
      </c>
    </row>
    <row customHeight="1" r="128" ht="13.5">
      <c s="10" r="Y128"/>
      <c t="str" s="123" r="Z128">
        <f>C51</f>
        <v/>
      </c>
      <c t="str" s="78" r="AA128">
        <f>VLOOKUP(Z128,Lookup!$B$3:$C$54,2,FALSE)</f>
        <v>#N/A:blankIndicator:</v>
      </c>
      <c t="str" s="13" r="AB128">
        <f>VLOOKUP(Z128,Lookup!$E$24:$F$121,2,FALSE)</f>
        <v>#N/A:blankIndicator:</v>
      </c>
    </row>
    <row customHeight="1" r="129" ht="14.25">
      <c s="10" r="Y129"/>
      <c t="s" s="116" r="Z129">
        <v>135</v>
      </c>
      <c s="20" r="AA129"/>
      <c s="45" r="AB129"/>
    </row>
    <row customHeight="1" r="130" ht="14.25">
      <c s="10" r="Y130"/>
      <c t="s" s="30" r="Z130">
        <v>2</v>
      </c>
      <c t="s" s="30" r="AA130">
        <v>6</v>
      </c>
      <c t="s" s="53" r="AB130">
        <v>7</v>
      </c>
    </row>
    <row customHeight="1" r="131" ht="13.5">
      <c s="10" r="Y131"/>
      <c t="str" s="95" r="Z131">
        <f>G34</f>
        <v/>
      </c>
      <c t="str" s="72" r="AA131">
        <f>VLOOKUP(Z131,Lookup!$B$3:$C$54,2,FALSE)</f>
        <v>#N/A:blankIndicator:</v>
      </c>
      <c t="str" s="6" r="AB131">
        <f>VLOOKUP(Z131,Lookup!$E$24:$F$121,2,FALSE)</f>
        <v>#N/A:blankIndicator:</v>
      </c>
    </row>
    <row r="132">
      <c s="10" r="Y132"/>
      <c t="str" s="65" r="Z132">
        <f>G35</f>
        <v/>
      </c>
      <c t="str" s="74" r="AA132">
        <f>VLOOKUP(Z132,Lookup!$B$3:$C$54,2,FALSE)</f>
        <v>#N/A:blankIndicator:</v>
      </c>
      <c t="str" s="77" r="AB132">
        <f>VLOOKUP(Z132,Lookup!$E$24:$F$121,2,FALSE)</f>
        <v>#N/A:blankIndicator:</v>
      </c>
    </row>
    <row r="133">
      <c s="10" r="Y133"/>
      <c t="str" s="65" r="Z133">
        <f>G36</f>
        <v/>
      </c>
      <c t="str" s="74" r="AA133">
        <f>VLOOKUP(Z133,Lookup!$B$3:$C$54,2,FALSE)</f>
        <v>#N/A:blankIndicator:</v>
      </c>
      <c t="str" s="77" r="AB133">
        <f>VLOOKUP(Z133,Lookup!$E$24:$F$121,2,FALSE)</f>
        <v>#N/A:blankIndicator:</v>
      </c>
    </row>
    <row r="134">
      <c s="10" r="Y134"/>
      <c t="str" s="65" r="Z134">
        <f>G37</f>
        <v/>
      </c>
      <c t="str" s="74" r="AA134">
        <f>VLOOKUP(Z134,Lookup!$B$3:$C$54,2,FALSE)</f>
        <v>#N/A:blankIndicator:</v>
      </c>
      <c t="str" s="77" r="AB134">
        <f>VLOOKUP(Z134,Lookup!$E$24:$F$121,2,FALSE)</f>
        <v>#N/A:blankIndicator:</v>
      </c>
    </row>
    <row r="135">
      <c s="10" r="Y135"/>
      <c t="str" s="65" r="Z135">
        <f>G38</f>
        <v/>
      </c>
      <c t="str" s="74" r="AA135">
        <f>VLOOKUP(Z135,Lookup!$B$3:$C$54,2,FALSE)</f>
        <v>#N/A:blankIndicator:</v>
      </c>
      <c t="str" s="77" r="AB135">
        <f>VLOOKUP(Z135,Lookup!$E$24:$F$121,2,FALSE)</f>
        <v>#N/A:blankIndicator:</v>
      </c>
    </row>
    <row r="136">
      <c s="10" r="Y136"/>
      <c t="str" s="65" r="Z136">
        <f>G39</f>
        <v/>
      </c>
      <c t="str" s="74" r="AA136">
        <f>VLOOKUP(Z136,Lookup!$B$3:$C$54,2,FALSE)</f>
        <v>#N/A:blankIndicator:</v>
      </c>
      <c t="str" s="77" r="AB136">
        <f>VLOOKUP(Z136,Lookup!$E$24:$F$121,2,FALSE)</f>
        <v>#N/A:blankIndicator:</v>
      </c>
    </row>
    <row r="137">
      <c s="10" r="Y137"/>
      <c t="str" s="65" r="Z137">
        <f>G40</f>
        <v/>
      </c>
      <c t="str" s="74" r="AA137">
        <f>VLOOKUP(Z137,Lookup!$B$3:$C$54,2,FALSE)</f>
        <v>#N/A:blankIndicator:</v>
      </c>
      <c t="str" s="77" r="AB137">
        <f>VLOOKUP(Z137,Lookup!$E$24:$F$121,2,FALSE)</f>
        <v>#N/A:blankIndicator:</v>
      </c>
    </row>
    <row r="138">
      <c s="10" r="Y138"/>
      <c t="str" s="65" r="Z138">
        <f>G41</f>
        <v/>
      </c>
      <c t="str" s="74" r="AA138">
        <f>VLOOKUP(Z138,Lookup!$B$3:$C$54,2,FALSE)</f>
        <v>#N/A:blankIndicator:</v>
      </c>
      <c t="str" s="77" r="AB138">
        <f>VLOOKUP(Z138,Lookup!$E$24:$F$121,2,FALSE)</f>
        <v>#N/A:blankIndicator:</v>
      </c>
    </row>
    <row r="139">
      <c s="10" r="Y139"/>
      <c t="str" s="65" r="Z139">
        <f>G42</f>
        <v/>
      </c>
      <c t="str" s="74" r="AA139">
        <f>VLOOKUP(Z139,Lookup!$B$3:$C$54,2,FALSE)</f>
        <v>#N/A:blankIndicator:</v>
      </c>
      <c t="str" s="77" r="AB139">
        <f>VLOOKUP(Z139,Lookup!$E$24:$F$121,2,FALSE)</f>
        <v>#N/A:blankIndicator:</v>
      </c>
    </row>
    <row r="140">
      <c s="10" r="Y140"/>
      <c t="str" s="65" r="Z140">
        <f>G43</f>
        <v/>
      </c>
      <c t="str" s="74" r="AA140">
        <f>VLOOKUP(Z140,Lookup!$B$3:$C$54,2,FALSE)</f>
        <v>#N/A:blankIndicator:</v>
      </c>
      <c t="str" s="77" r="AB140">
        <f>VLOOKUP(Z140,Lookup!$E$24:$F$121,2,FALSE)</f>
        <v>#N/A:blankIndicator:</v>
      </c>
    </row>
    <row r="141">
      <c s="10" r="Y141"/>
      <c t="str" s="65" r="Z141">
        <f>G44</f>
        <v/>
      </c>
      <c t="str" s="74" r="AA141">
        <f>VLOOKUP(Z141,Lookup!$B$3:$C$54,2,FALSE)</f>
        <v>#N/A:blankIndicator:</v>
      </c>
      <c t="str" s="77" r="AB141">
        <f>VLOOKUP(Z141,Lookup!$E$24:$F$121,2,FALSE)</f>
        <v>#N/A:blankIndicator:</v>
      </c>
    </row>
    <row customHeight="1" r="142" ht="13.5">
      <c s="10" r="Y142"/>
      <c t="str" s="123" r="Z142">
        <f>G45</f>
        <v/>
      </c>
      <c t="str" s="78" r="AA142">
        <f>VLOOKUP(Z142,Lookup!$B$3:$C$54,2,FALSE)</f>
        <v>#N/A:blankIndicator:</v>
      </c>
      <c t="str" s="13" r="AB142">
        <f>VLOOKUP(Z142,Lookup!$E$24:$F$121,2,FALSE)</f>
        <v>#N/A:blankIndicator:</v>
      </c>
    </row>
    <row customHeight="1" r="143" ht="14.25">
      <c s="10" r="Y143"/>
      <c t="s" s="116" r="Z143">
        <v>136</v>
      </c>
      <c s="20" r="AA143"/>
      <c s="45" r="AB143"/>
    </row>
    <row customHeight="1" r="144" ht="14.25">
      <c s="10" r="Y144"/>
      <c t="s" s="30" r="Z144">
        <v>2</v>
      </c>
      <c t="s" s="30" r="AA144">
        <v>6</v>
      </c>
      <c t="s" s="53" r="AB144">
        <v>7</v>
      </c>
    </row>
    <row customHeight="1" r="145" ht="13.5">
      <c s="10" r="Y145"/>
      <c t="str" s="95" r="Z145">
        <f>K34</f>
        <v>After You</v>
      </c>
      <c t="str" s="72" r="AA145">
        <f>VLOOKUP(Z145,Lookup!$B$3:$C$54,2,FALSE)</f>
        <v>#N/A:lookupNotFound:After You</v>
      </c>
      <c t="str" s="6" r="AB145">
        <f>VLOOKUP(Z145,Lookup!$E$24:$F$121,2,FALSE)</f>
        <v>#N/A:lookupNotFound:After You</v>
      </c>
    </row>
    <row r="146">
      <c s="10" r="Y146"/>
      <c t="str" s="65" r="Z146">
        <f>K35</f>
        <v>Aqua Tail</v>
      </c>
      <c t="str" s="74" r="AA146">
        <f>VLOOKUP(Z146,Lookup!$B$3:$C$54,2,FALSE)</f>
        <v>#N/A:lookupNotFound:Aqua Tail</v>
      </c>
      <c t="str" s="77" r="AB146">
        <f>VLOOKUP(Z146,Lookup!$E$24:$F$121,2,FALSE)</f>
        <v>#N/A:lookupNotFound:Aqua Tail</v>
      </c>
    </row>
    <row r="147">
      <c s="10" r="Y147"/>
      <c t="str" s="65" r="Z147">
        <f>K36</f>
        <v>Bind</v>
      </c>
      <c t="str" s="74" r="AA147">
        <f>VLOOKUP(Z147,Lookup!$B$3:$C$54,2,FALSE)</f>
        <v>#N/A:lookupNotFound:Bind</v>
      </c>
      <c t="str" s="77" r="AB147">
        <f>VLOOKUP(Z147,Lookup!$E$24:$F$121,2,FALSE)</f>
        <v>#N/A:lookupNotFound:Bind</v>
      </c>
    </row>
    <row r="148">
      <c s="10" r="Y148"/>
      <c t="str" s="65" r="Z148">
        <f>K37</f>
        <v>Blast Burn</v>
      </c>
      <c t="str" s="74" r="AA148">
        <f>VLOOKUP(Z148,Lookup!$B$3:$C$54,2,FALSE)</f>
        <v>#N/A:lookupNotFound:Blast Burn</v>
      </c>
      <c t="str" s="77" r="AB148">
        <f>VLOOKUP(Z148,Lookup!$E$24:$F$121,2,FALSE)</f>
        <v>#N/A:lookupNotFound:Blast Burn</v>
      </c>
    </row>
    <row r="149">
      <c s="10" r="Y149"/>
      <c t="str" s="65" r="Z149">
        <f>K38</f>
        <v>Block</v>
      </c>
      <c t="str" s="74" r="AA149">
        <f>VLOOKUP(Z149,Lookup!$B$3:$C$54,2,FALSE)</f>
        <v>Mean Look, Spider Web</v>
      </c>
      <c t="str" s="77" r="AB149">
        <f>VLOOKUP(Z149,Lookup!$E$24:$F$121,2,FALSE)</f>
        <v>Bulldoze</v>
      </c>
    </row>
    <row r="150">
      <c s="10" r="Y150"/>
      <c t="str" s="65" r="Z150">
        <f>K39</f>
        <v>Bounce</v>
      </c>
      <c t="str" s="74" r="AA150">
        <f>VLOOKUP(Z150,Lookup!$B$3:$C$54,2,FALSE)</f>
        <v>#N/A:lookupNotFound:Bounce</v>
      </c>
      <c t="str" s="77" r="AB150">
        <f>VLOOKUP(Z150,Lookup!$E$24:$F$121,2,FALSE)</f>
        <v>#N/A:lookupNotFound:Bounce</v>
      </c>
    </row>
    <row r="151">
      <c s="10" r="Y151"/>
      <c t="str" s="65" r="Z151">
        <f>K40</f>
        <v>Bug Bite</v>
      </c>
      <c t="str" s="74" r="AA151">
        <f>VLOOKUP(Z151,Lookup!$B$3:$C$54,2,FALSE)</f>
        <v>#N/A:lookupNotFound:Bug Bite</v>
      </c>
      <c t="str" s="77" r="AB151">
        <f>VLOOKUP(Z151,Lookup!$E$24:$F$121,2,FALSE)</f>
        <v>#N/A:lookupNotFound:Bug Bite</v>
      </c>
    </row>
    <row r="152">
      <c s="10" r="Y152"/>
      <c t="str" s="65" r="Z152">
        <f>K41</f>
        <v>Covet</v>
      </c>
      <c t="str" s="74" r="AA152">
        <f>VLOOKUP(Z152,Lookup!$B$3:$C$54,2,FALSE)</f>
        <v>#N/A:lookupNotFound:Covet</v>
      </c>
      <c t="str" s="77" r="AB152">
        <f>VLOOKUP(Z152,Lookup!$E$24:$F$121,2,FALSE)</f>
        <v>#N/A:lookupNotFound:Covet</v>
      </c>
    </row>
    <row r="153">
      <c s="10" r="Y153"/>
      <c t="str" s="65" r="Z153">
        <f>K42</f>
        <v>Dark Pulse</v>
      </c>
      <c t="str" s="74" r="AA153">
        <f>VLOOKUP(Z153,Lookup!$B$3:$C$54,2,FALSE)</f>
        <v>#N/A:lookupNotFound:Dark Pulse</v>
      </c>
      <c t="str" s="77" r="AB153">
        <f>VLOOKUP(Z153,Lookup!$E$24:$F$121,2,FALSE)</f>
        <v>Payback</v>
      </c>
    </row>
    <row r="154">
      <c s="10" r="Y154"/>
      <c t="str" s="65" r="Z154">
        <f>K43</f>
        <v>Draco Meteor</v>
      </c>
      <c t="str" s="74" r="AA154">
        <f>VLOOKUP(Z154,Lookup!$B$3:$C$54,2,FALSE)</f>
        <v>#N/A:lookupNotFound:Draco Meteor</v>
      </c>
      <c t="str" s="77" r="AB154">
        <f>VLOOKUP(Z154,Lookup!$E$24:$F$121,2,FALSE)</f>
        <v>#N/A:lookupNotFound:Draco Meteor</v>
      </c>
    </row>
    <row r="155">
      <c s="10" r="Y155"/>
      <c t="str" s="65" r="Z155">
        <f>K44</f>
        <v>Dragon Pulse</v>
      </c>
      <c t="str" s="74" r="AA155">
        <f>VLOOKUP(Z155,Lookup!$B$3:$C$54,2,FALSE)</f>
        <v>#N/A:lookupNotFound:Dragon Pulse</v>
      </c>
      <c t="str" s="77" r="AB155">
        <f>VLOOKUP(Z155,Lookup!$E$24:$F$121,2,FALSE)</f>
        <v>Bulldoze</v>
      </c>
    </row>
    <row r="156">
      <c s="10" r="Y156"/>
      <c t="str" s="65" r="Z156">
        <f>K45</f>
        <v>Drain Punch</v>
      </c>
      <c t="str" s="74" r="AA156">
        <f>VLOOKUP(Z156,Lookup!$B$3:$C$54,2,FALSE)</f>
        <v>#N/A:lookupNotFound:Drain Punch</v>
      </c>
      <c t="str" s="77" r="AB156">
        <f>VLOOKUP(Z156,Lookup!$E$24:$F$121,2,FALSE)</f>
        <v>Fling</v>
      </c>
    </row>
    <row r="157">
      <c s="10" r="Y157"/>
      <c t="str" s="65" r="Z157">
        <f>K46</f>
        <v>Drill Run</v>
      </c>
      <c t="str" s="74" r="AA157">
        <f>VLOOKUP(Z157,Lookup!$B$3:$C$54,2,FALSE)</f>
        <v>#N/A:lookupNotFound:Drill Run</v>
      </c>
      <c t="str" s="77" r="AB157">
        <f>VLOOKUP(Z157,Lookup!$E$24:$F$121,2,FALSE)</f>
        <v>#N/A:lookupNotFound:Drill Run</v>
      </c>
    </row>
    <row r="158">
      <c s="10" r="Y158"/>
      <c t="str" s="65" r="Z158">
        <f>K47</f>
        <v>Dual Chop</v>
      </c>
      <c t="str" s="74" r="AA158">
        <f>VLOOKUP(Z158,Lookup!$B$3:$C$54,2,FALSE)</f>
        <v>#N/A:lookupNotFound:Dual Chop</v>
      </c>
      <c t="str" s="77" r="AB158">
        <f>VLOOKUP(Z158,Lookup!$E$24:$F$121,2,FALSE)</f>
        <v>#N/A:lookupNotFound:Dual Chop</v>
      </c>
    </row>
    <row r="159">
      <c s="10" r="Y159"/>
      <c t="str" s="65" r="Z159">
        <f>K48</f>
        <v>Earth Power</v>
      </c>
      <c t="str" s="74" r="AA159">
        <f>VLOOKUP(Z159,Lookup!$B$3:$C$54,2,FALSE)</f>
        <v>#N/A:lookupNotFound:Earth Power</v>
      </c>
      <c t="str" s="77" r="AB159">
        <f>VLOOKUP(Z159,Lookup!$E$24:$F$121,2,FALSE)</f>
        <v>Bulldoze, Earthquake, Rock Slide, Rock Tomb</v>
      </c>
    </row>
    <row r="160">
      <c s="10" r="Y160"/>
      <c t="str" s="65" r="Z160">
        <f>K49</f>
        <v>Electroweb</v>
      </c>
      <c t="str" s="74" r="AA160">
        <f>VLOOKUP(Z160,Lookup!$B$3:$C$54,2,FALSE)</f>
        <v>#N/A:lookupNotFound:Electroweb</v>
      </c>
      <c t="str" s="77" r="AB160">
        <f>VLOOKUP(Z160,Lookup!$E$24:$F$121,2,FALSE)</f>
        <v>#N/A:lookupNotFound:Electroweb</v>
      </c>
    </row>
    <row r="161">
      <c s="10" r="Y161"/>
      <c t="str" s="65" r="Z161">
        <f>K50</f>
        <v>Endeavor</v>
      </c>
      <c t="str" s="74" r="AA161">
        <f>VLOOKUP(Z161,Lookup!$B$3:$C$54,2,FALSE)</f>
        <v>#N/A:lookupNotFound:Endeavor</v>
      </c>
      <c t="str" s="77" r="AB161">
        <f>VLOOKUP(Z161,Lookup!$E$24:$F$121,2,FALSE)</f>
        <v>#N/A:lookupNotFound:Endeavor</v>
      </c>
    </row>
    <row r="162">
      <c s="10" r="Y162"/>
      <c t="str" s="65" r="Z162">
        <f>K51</f>
        <v>Fire Pledge</v>
      </c>
      <c t="str" s="74" r="AA162">
        <f>VLOOKUP(Z162,Lookup!$B$3:$C$54,2,FALSE)</f>
        <v>#N/A:lookupNotFound:Fire Pledge</v>
      </c>
      <c t="str" s="77" r="AB162">
        <f>VLOOKUP(Z162,Lookup!$E$24:$F$121,2,FALSE)</f>
        <v>#N/A:lookupNotFound:Fire Pledge</v>
      </c>
    </row>
    <row r="163">
      <c s="10" r="Y163"/>
      <c t="str" s="65" r="Z163">
        <f>K52</f>
        <v>Fire Punch</v>
      </c>
      <c t="str" s="74" r="AA163">
        <f>VLOOKUP(Z163,Lookup!$B$3:$C$54,2,FALSE)</f>
        <v>#N/A:lookupNotFound:Fire Punch</v>
      </c>
      <c t="str" s="77" r="AB163">
        <f>VLOOKUP(Z163,Lookup!$E$24:$F$121,2,FALSE)</f>
        <v>Fling</v>
      </c>
    </row>
    <row r="164">
      <c s="10" r="Y164"/>
      <c t="str" s="65" r="Z164">
        <f>K53</f>
        <v>Foul Play</v>
      </c>
      <c t="str" s="74" r="AA164">
        <f>VLOOKUP(Z164,Lookup!$B$3:$C$54,2,FALSE)</f>
        <v>#N/A:lookupNotFound:Foul Play</v>
      </c>
      <c t="str" s="77" r="AB164">
        <f>VLOOKUP(Z164,Lookup!$E$24:$F$121,2,FALSE)</f>
        <v>Payback, Shadow Ball, Thief, Torment</v>
      </c>
    </row>
    <row r="165">
      <c s="10" r="Y165"/>
      <c t="str" s="65" r="Z165">
        <f>K54</f>
        <v>Frenzy Plant</v>
      </c>
      <c t="str" s="74" r="AA165">
        <f>VLOOKUP(Z165,Lookup!$B$3:$C$54,2,FALSE)</f>
        <v>#N/A:lookupNotFound:Frenzy Plant</v>
      </c>
      <c t="str" s="77" r="AB165">
        <f>VLOOKUP(Z165,Lookup!$E$24:$F$121,2,FALSE)</f>
        <v>#N/A:lookupNotFound:Frenzy Plant</v>
      </c>
    </row>
    <row r="166">
      <c s="10" r="Y166"/>
      <c t="str" s="65" r="Z166">
        <f>K55</f>
        <v>Gastro Acid</v>
      </c>
      <c t="str" s="74" r="AA166">
        <f>VLOOKUP(Z166,Lookup!$B$3:$C$54,2,FALSE)</f>
        <v>#N/A:lookupNotFound:Gastro Acid</v>
      </c>
      <c t="str" s="77" r="AB166">
        <f>VLOOKUP(Z166,Lookup!$E$24:$F$121,2,FALSE)</f>
        <v>#N/A:lookupNotFound:Gastro Acid</v>
      </c>
    </row>
    <row r="167">
      <c s="10" r="Y167"/>
      <c t="str" s="65" r="Z167">
        <f>K56</f>
        <v>Giga Drain</v>
      </c>
      <c t="str" s="74" r="AA167">
        <f>VLOOKUP(Z167,Lookup!$B$3:$C$54,2,FALSE)</f>
        <v>#N/A:lookupNotFound:Giga Drain</v>
      </c>
      <c t="str" s="77" r="AB167">
        <f>VLOOKUP(Z167,Lookup!$E$24:$F$121,2,FALSE)</f>
        <v>#N/A:lookupNotFound:Giga Drain</v>
      </c>
    </row>
    <row r="168">
      <c s="10" r="Y168"/>
      <c t="str" s="65" r="Z168">
        <f>K57</f>
        <v>Grass Pledge</v>
      </c>
      <c t="str" s="74" r="AA168">
        <f>VLOOKUP(Z168,Lookup!$B$3:$C$54,2,FALSE)</f>
        <v>#N/A:lookupNotFound:Grass Pledge</v>
      </c>
      <c t="str" s="77" r="AB168">
        <f>VLOOKUP(Z168,Lookup!$E$24:$F$121,2,FALSE)</f>
        <v>#N/A:lookupNotFound:Grass Pledge</v>
      </c>
    </row>
    <row r="169">
      <c s="10" r="Y169"/>
      <c t="str" s="65" r="Z169">
        <f>K58</f>
        <v>Gravity</v>
      </c>
      <c t="str" s="74" r="AA169">
        <f>VLOOKUP(Z169,Lookup!$B$3:$C$54,2,FALSE)</f>
        <v>#N/A:lookupNotFound:Gravity</v>
      </c>
      <c t="str" s="77" r="AB169">
        <f>VLOOKUP(Z169,Lookup!$E$24:$F$121,2,FALSE)</f>
        <v>#N/A:lookupNotFound:Gravity</v>
      </c>
    </row>
    <row r="170">
      <c s="10" r="Y170"/>
      <c t="str" s="65" r="Z170">
        <f>K59</f>
        <v>Gunk Shot</v>
      </c>
      <c t="str" s="74" r="AA170">
        <f>VLOOKUP(Z170,Lookup!$B$3:$C$54,2,FALSE)</f>
        <v>#N/A:lookupNotFound:Gunk Shot</v>
      </c>
      <c t="str" s="77" r="AB170">
        <f>VLOOKUP(Z170,Lookup!$E$24:$F$121,2,FALSE)</f>
        <v>#N/A:lookupNotFound:Gunk Shot</v>
      </c>
    </row>
    <row r="171">
      <c s="10" r="Y171"/>
      <c t="str" s="65" r="Z171">
        <f>K60</f>
        <v>Heal Bell</v>
      </c>
      <c t="str" s="74" r="AA171">
        <f>VLOOKUP(Z171,Lookup!$B$3:$C$54,2,FALSE)</f>
        <v>Aromatherapy</v>
      </c>
      <c t="str" s="77" r="AB171">
        <f>VLOOKUP(Z171,Lookup!$E$24:$F$121,2,FALSE)</f>
        <v>#N/A:lookupNotFound:Heal Bell</v>
      </c>
    </row>
    <row r="172">
      <c s="10" r="Y172"/>
      <c t="str" s="65" r="Z172">
        <f>K61</f>
        <v>Heat Wave</v>
      </c>
      <c t="str" s="74" r="AA172">
        <f>VLOOKUP(Z172,Lookup!$B$3:$C$54,2,FALSE)</f>
        <v>#N/A:lookupNotFound:Heat Wave</v>
      </c>
      <c t="str" s="77" r="AB172">
        <f>VLOOKUP(Z172,Lookup!$E$24:$F$121,2,FALSE)</f>
        <v>#N/A:lookupNotFound:Heat Wave</v>
      </c>
    </row>
    <row r="173">
      <c s="10" r="Y173"/>
      <c t="str" s="65" r="Z173">
        <f>K62</f>
        <v>Helping Hand</v>
      </c>
      <c t="str" s="74" r="AA173">
        <f>VLOOKUP(Z173,Lookup!$B$3:$C$54,2,FALSE)</f>
        <v>#N/A:lookupNotFound:Helping Hand</v>
      </c>
      <c t="str" s="77" r="AB173">
        <f>VLOOKUP(Z173,Lookup!$E$24:$F$121,2,FALSE)</f>
        <v>#N/A:lookupNotFound:Helping Hand</v>
      </c>
    </row>
    <row r="174">
      <c s="10" r="Y174"/>
      <c t="str" s="65" r="Z174">
        <f>K63</f>
        <v>Hydro Cannon</v>
      </c>
      <c t="str" s="74" r="AA174">
        <f>VLOOKUP(Z174,Lookup!$B$3:$C$54,2,FALSE)</f>
        <v>#N/A:lookupNotFound:Hydro Cannon</v>
      </c>
      <c t="str" s="77" r="AB174">
        <f>VLOOKUP(Z174,Lookup!$E$24:$F$121,2,FALSE)</f>
        <v>#N/A:lookupNotFound:Hydro Cannon</v>
      </c>
    </row>
    <row r="175">
      <c s="10" r="Y175"/>
      <c t="str" s="65" r="Z175">
        <f>O34</f>
        <v>Iron Head</v>
      </c>
      <c t="str" s="74" r="AA175">
        <f>VLOOKUP(Z175,Lookup!$B$3:$C$54,2,FALSE)</f>
        <v>#N/A:lookupNotFound:Iron Head</v>
      </c>
      <c t="str" s="77" r="AB175">
        <f>VLOOKUP(Z175,Lookup!$E$24:$F$121,2,FALSE)</f>
        <v>#N/A:lookupNotFound:Iron Head</v>
      </c>
    </row>
    <row r="176">
      <c s="10" r="Y176"/>
      <c t="str" s="65" r="Z176">
        <f>O35</f>
        <v>Iron Tail</v>
      </c>
      <c t="str" s="74" r="AA176">
        <f>VLOOKUP(Z176,Lookup!$B$3:$C$54,2,FALSE)</f>
        <v>#N/A:lookupNotFound:Iron Tail</v>
      </c>
      <c t="str" s="77" r="AB176">
        <f>VLOOKUP(Z176,Lookup!$E$24:$F$121,2,FALSE)</f>
        <v>#N/A:lookupNotFound:Iron Tail</v>
      </c>
    </row>
    <row r="177">
      <c s="10" r="Y177"/>
      <c t="str" s="65" r="Z177">
        <f>O36</f>
        <v>Knock Off</v>
      </c>
      <c t="str" s="74" r="AA177">
        <f>VLOOKUP(Z177,Lookup!$B$3:$C$54,2,FALSE)</f>
        <v>#N/A:lookupNotFound:Knock Off</v>
      </c>
      <c t="str" s="77" r="AB177">
        <f>VLOOKUP(Z177,Lookup!$E$24:$F$121,2,FALSE)</f>
        <v>#N/A:lookupNotFound:Knock Off</v>
      </c>
    </row>
    <row r="178">
      <c s="10" r="Y178"/>
      <c t="str" s="65" r="Z178">
        <f>O37</f>
        <v>Last Resort</v>
      </c>
      <c t="str" s="74" r="AA178">
        <f>VLOOKUP(Z178,Lookup!$B$3:$C$54,2,FALSE)</f>
        <v>#N/A:lookupNotFound:Last Resort</v>
      </c>
      <c t="str" s="77" r="AB178">
        <f>VLOOKUP(Z178,Lookup!$E$24:$F$121,2,FALSE)</f>
        <v>#N/A:lookupNotFound:Last Resort</v>
      </c>
    </row>
    <row r="179">
      <c s="10" r="Y179"/>
      <c t="str" s="65" r="Z179">
        <f>O38</f>
        <v>Low Kick</v>
      </c>
      <c t="str" s="74" r="AA179">
        <f>VLOOKUP(Z179,Lookup!$B$3:$C$54,2,FALSE)</f>
        <v>#N/A:lookupNotFound:Low Kick</v>
      </c>
      <c t="str" s="77" r="AB179">
        <f>VLOOKUP(Z179,Lookup!$E$24:$F$121,2,FALSE)</f>
        <v>Brick Break</v>
      </c>
    </row>
    <row r="180">
      <c s="10" r="Y180"/>
      <c t="str" s="65" r="Z180">
        <f>O39</f>
        <v>Magic Coat</v>
      </c>
      <c t="str" s="74" r="AA180">
        <f>VLOOKUP(Z180,Lookup!$B$3:$C$54,2,FALSE)</f>
        <v>#N/A:lookupNotFound:Magic Coat</v>
      </c>
      <c t="str" s="77" r="AB180">
        <f>VLOOKUP(Z180,Lookup!$E$24:$F$121,2,FALSE)</f>
        <v>#N/A:lookupNotFound:Magic Coat</v>
      </c>
    </row>
    <row r="181">
      <c s="10" r="Y181"/>
      <c t="str" s="65" r="Z181">
        <f>O40</f>
        <v>Magic Room</v>
      </c>
      <c t="str" s="74" r="AA181">
        <f>VLOOKUP(Z181,Lookup!$B$3:$C$54,2,FALSE)</f>
        <v>#N/A:lookupNotFound:Magic Room</v>
      </c>
      <c t="str" s="77" r="AB181">
        <f>VLOOKUP(Z181,Lookup!$E$24:$F$121,2,FALSE)</f>
        <v>#N/A:lookupNotFound:Magic Room</v>
      </c>
    </row>
    <row r="182">
      <c s="10" r="Y182"/>
      <c t="str" s="65" r="Z182">
        <f>O41</f>
        <v>Magnet Rise</v>
      </c>
      <c t="str" s="74" r="AA182">
        <f>VLOOKUP(Z182,Lookup!$B$3:$C$54,2,FALSE)</f>
        <v>#N/A:lookupNotFound:Magnet Rise</v>
      </c>
      <c t="str" s="77" r="AB182">
        <f>VLOOKUP(Z182,Lookup!$E$24:$F$121,2,FALSE)</f>
        <v>#N/A:lookupNotFound:Magnet Rise</v>
      </c>
    </row>
    <row r="183">
      <c s="10" r="Y183"/>
      <c t="str" s="65" r="Z183">
        <f>O42</f>
        <v>Outrage</v>
      </c>
      <c t="str" s="74" r="AA183">
        <f>VLOOKUP(Z183,Lookup!$B$3:$C$54,2,FALSE)</f>
        <v>#N/A:lookupNotFound:Outrage</v>
      </c>
      <c t="str" s="77" r="AB183">
        <f>VLOOKUP(Z183,Lookup!$E$24:$F$121,2,FALSE)</f>
        <v>Bulldoze</v>
      </c>
    </row>
    <row r="184">
      <c s="10" r="Y184"/>
      <c t="str" s="65" r="Z184">
        <f>O43</f>
        <v>Pain Split</v>
      </c>
      <c t="str" s="74" r="AA184">
        <f>VLOOKUP(Z184,Lookup!$B$3:$C$54,2,FALSE)</f>
        <v>#N/A:lookupNotFound:Pain Split</v>
      </c>
      <c t="str" s="77" r="AB184">
        <f>VLOOKUP(Z184,Lookup!$E$24:$F$121,2,FALSE)</f>
        <v>#N/A:lookupNotFound:Pain Split</v>
      </c>
    </row>
    <row r="185">
      <c s="10" r="Y185"/>
      <c t="str" s="65" r="Z185">
        <f>O44</f>
        <v>Recycle</v>
      </c>
      <c t="str" s="74" r="AA185">
        <f>VLOOKUP(Z185,Lookup!$B$3:$C$54,2,FALSE)</f>
        <v>#N/A:lookupNotFound:Recycle</v>
      </c>
      <c t="str" s="77" r="AB185">
        <f>VLOOKUP(Z185,Lookup!$E$24:$F$121,2,FALSE)</f>
        <v>#N/A:lookupNotFound:Recycle</v>
      </c>
    </row>
    <row r="186">
      <c s="10" r="Y186"/>
      <c t="str" s="65" r="Z186">
        <f>O45</f>
        <v>Role Play</v>
      </c>
      <c t="str" s="74" r="AA186">
        <f>VLOOKUP(Z186,Lookup!$B$3:$C$54,2,FALSE)</f>
        <v>#N/A:lookupNotFound:Role Play</v>
      </c>
      <c t="str" s="77" r="AB186">
        <f>VLOOKUP(Z186,Lookup!$E$24:$F$121,2,FALSE)</f>
        <v>#N/A:lookupNotFound:Role Play</v>
      </c>
    </row>
    <row r="187">
      <c s="10" r="Y187"/>
      <c t="str" s="65" r="Z187">
        <f>O46</f>
        <v>Roost</v>
      </c>
      <c t="str" s="74" r="AA187">
        <f>VLOOKUP(Z187,Lookup!$B$3:$C$54,2,FALSE)</f>
        <v>#N/A:lookupNotFound:Roost</v>
      </c>
      <c t="str" s="77" r="AB187">
        <f>VLOOKUP(Z187,Lookup!$E$24:$F$121,2,FALSE)</f>
        <v>Aerial Ace</v>
      </c>
    </row>
    <row r="188">
      <c s="10" r="Y188"/>
      <c t="str" s="65" r="Z188">
        <f>O47</f>
        <v>Seed Bomb</v>
      </c>
      <c t="str" s="74" r="AA188">
        <f>VLOOKUP(Z188,Lookup!$B$3:$C$54,2,FALSE)</f>
        <v>Leaf Blade</v>
      </c>
      <c t="str" s="77" r="AB188">
        <f>VLOOKUP(Z188,Lookup!$E$24:$F$121,2,FALSE)</f>
        <v>#N/A:lookupNotFound:Seed Bomb</v>
      </c>
    </row>
    <row r="189">
      <c s="10" r="Y189"/>
      <c t="str" s="65" r="Z189">
        <f>O48</f>
        <v>Signal Beam</v>
      </c>
      <c t="str" s="74" r="AA189">
        <f>VLOOKUP(Z189,Lookup!$B$3:$C$54,2,FALSE)</f>
        <v>#N/A:lookupNotFound:Signal Beam</v>
      </c>
      <c t="str" s="77" r="AB189">
        <f>VLOOKUP(Z189,Lookup!$E$24:$F$121,2,FALSE)</f>
        <v>#N/A:lookupNotFound:Signal Beam</v>
      </c>
    </row>
    <row r="190">
      <c s="10" r="Y190"/>
      <c t="str" s="65" r="Z190">
        <f>O49</f>
        <v>Skill Swap</v>
      </c>
      <c t="str" s="74" r="AA190">
        <f>VLOOKUP(Z190,Lookup!$B$3:$C$54,2,FALSE)</f>
        <v>#N/A:lookupNotFound:Skill Swap</v>
      </c>
      <c t="str" s="77" r="AB190">
        <f>VLOOKUP(Z190,Lookup!$E$24:$F$121,2,FALSE)</f>
        <v>#N/A:lookupNotFound:Skill Swap</v>
      </c>
    </row>
    <row r="191">
      <c s="10" r="Y191"/>
      <c t="str" s="65" r="Z191">
        <f>O50</f>
        <v>Sky Attack</v>
      </c>
      <c t="str" s="74" r="AA191">
        <f>VLOOKUP(Z191,Lookup!$B$3:$C$54,2,FALSE)</f>
        <v>#N/A:lookupNotFound:Sky Attack</v>
      </c>
      <c t="str" s="77" r="AB191">
        <f>VLOOKUP(Z191,Lookup!$E$24:$F$121,2,FALSE)</f>
        <v>#N/A:lookupNotFound:Sky Attack</v>
      </c>
    </row>
    <row r="192">
      <c s="10" r="Y192"/>
      <c t="str" s="65" r="Z192">
        <f>O51</f>
        <v>Sleep Talk</v>
      </c>
      <c t="str" s="74" r="AA192">
        <f>VLOOKUP(Z192,Lookup!$B$3:$C$54,2,FALSE)</f>
        <v>#N/A:lookupNotFound:Sleep Talk</v>
      </c>
      <c t="str" s="77" r="AB192">
        <f>VLOOKUP(Z192,Lookup!$E$24:$F$121,2,FALSE)</f>
        <v>#N/A:lookupNotFound:Sleep Talk</v>
      </c>
    </row>
    <row r="193">
      <c s="10" r="Y193"/>
      <c t="str" s="65" r="Z193">
        <f>O52</f>
        <v>Snatch</v>
      </c>
      <c t="str" s="74" r="AA193">
        <f>VLOOKUP(Z193,Lookup!$B$3:$C$54,2,FALSE)</f>
        <v>#N/A:lookupNotFound:Snatch</v>
      </c>
      <c t="str" s="77" r="AB193">
        <f>VLOOKUP(Z193,Lookup!$E$24:$F$121,2,FALSE)</f>
        <v>#N/A:lookupNotFound:Snatch</v>
      </c>
    </row>
    <row r="194">
      <c s="10" r="Y194"/>
      <c t="str" s="65" r="Z194">
        <f>O53</f>
        <v>Snore</v>
      </c>
      <c t="str" s="74" r="AA194">
        <f>VLOOKUP(Z194,Lookup!$B$3:$C$54,2,FALSE)</f>
        <v>#N/A:lookupNotFound:Snore</v>
      </c>
      <c t="str" s="77" r="AB194">
        <f>VLOOKUP(Z194,Lookup!$E$24:$F$121,2,FALSE)</f>
        <v>#N/A:lookupNotFound:Snore</v>
      </c>
    </row>
    <row r="195">
      <c s="10" r="Y195"/>
      <c t="str" s="65" r="Z195">
        <f>O54</f>
        <v>Spite</v>
      </c>
      <c t="str" s="74" r="AA195">
        <f>VLOOKUP(Z195,Lookup!$B$3:$C$54,2,FALSE)</f>
        <v>#N/A:lookupNotFound:Spite</v>
      </c>
      <c t="str" s="77" r="AB195">
        <f>VLOOKUP(Z195,Lookup!$E$24:$F$121,2,FALSE)</f>
        <v>#N/A:lookupNotFound:Spite</v>
      </c>
    </row>
    <row r="196">
      <c s="10" r="Y196"/>
      <c t="str" s="65" r="Z196">
        <f>O55</f>
        <v>Stealth Rock</v>
      </c>
      <c t="str" s="74" r="AA196">
        <f>VLOOKUP(Z196,Lookup!$B$3:$C$54,2,FALSE)</f>
        <v>#N/A:lookupNotFound:Stealth Rock</v>
      </c>
      <c t="str" s="77" r="AB196">
        <f>VLOOKUP(Z196,Lookup!$E$24:$F$121,2,FALSE)</f>
        <v>#N/A:lookupNotFound:Stealth Rock</v>
      </c>
    </row>
    <row r="197">
      <c s="10" r="Y197"/>
      <c t="str" s="65" r="Z197">
        <f>O56</f>
        <v>Super Fang</v>
      </c>
      <c t="str" s="74" r="AA197">
        <f>VLOOKUP(Z197,Lookup!$B$3:$C$54,2,FALSE)</f>
        <v>#N/A:lookupNotFound:Super Fang</v>
      </c>
      <c t="str" s="77" r="AB197">
        <f>VLOOKUP(Z197,Lookup!$E$24:$F$121,2,FALSE)</f>
        <v>#N/A:lookupNotFound:Super Fang</v>
      </c>
    </row>
    <row r="198">
      <c s="10" r="Y198"/>
      <c t="str" s="65" r="Z198">
        <f>O57</f>
        <v>Superpower</v>
      </c>
      <c t="str" s="74" r="AA198">
        <f>VLOOKUP(Z198,Lookup!$B$3:$C$54,2,FALSE)</f>
        <v>#N/A:lookupNotFound:Superpower</v>
      </c>
      <c t="str" s="77" r="AB198">
        <f>VLOOKUP(Z198,Lookup!$E$24:$F$121,2,FALSE)</f>
        <v>#N/A:lookupNotFound:Superpower</v>
      </c>
    </row>
    <row r="199">
      <c s="10" r="Y199"/>
      <c t="str" s="65" r="Z199">
        <f>O58</f>
        <v>Synthesis</v>
      </c>
      <c t="str" s="74" r="AA199">
        <f>VLOOKUP(Z199,Lookup!$B$3:$C$54,2,FALSE)</f>
        <v>Moonlight, Morning Sun</v>
      </c>
      <c t="str" s="77" r="AB199">
        <f>VLOOKUP(Z199,Lookup!$E$24:$F$121,2,FALSE)</f>
        <v>Energy Ball, Flash, Grass Knot, Solarbeam, Swords Dance</v>
      </c>
    </row>
    <row r="200">
      <c s="10" r="Y200"/>
      <c t="str" s="65" r="Z200">
        <f>O59</f>
        <v>Tailwind</v>
      </c>
      <c t="str" s="74" r="AA200">
        <f>VLOOKUP(Z200,Lookup!$B$3:$C$54,2,FALSE)</f>
        <v>#N/A:lookupNotFound:Tailwind</v>
      </c>
      <c t="str" s="77" r="AB200">
        <f>VLOOKUP(Z200,Lookup!$E$24:$F$121,2,FALSE)</f>
        <v>#N/A:lookupNotFound:Tailwind</v>
      </c>
    </row>
    <row r="201">
      <c s="10" r="Y201"/>
      <c t="str" s="65" r="Z201">
        <f>O60</f>
        <v>Thunderpunch</v>
      </c>
      <c t="str" s="74" r="AA201">
        <f>VLOOKUP(Z201,Lookup!$B$3:$C$54,2,FALSE)</f>
        <v>#N/A:lookupNotFound:Thunderpunch</v>
      </c>
      <c t="str" s="77" r="AB201">
        <f>VLOOKUP(Z201,Lookup!$E$24:$F$121,2,FALSE)</f>
        <v>Fling</v>
      </c>
    </row>
    <row r="202">
      <c s="10" r="Y202"/>
      <c t="str" s="65" r="Z202">
        <f>O61</f>
        <v>Trick</v>
      </c>
      <c t="str" s="74" r="AA202">
        <f>VLOOKUP(Z202,Lookup!$B$3:$C$54,2,FALSE)</f>
        <v>Switcheroo</v>
      </c>
      <c t="str" s="77" r="AB202">
        <f>VLOOKUP(Z202,Lookup!$E$24:$F$121,2,FALSE)</f>
        <v>Dream Eater, Flash, Psych Up, Shadow Ball</v>
      </c>
    </row>
    <row r="203">
      <c s="10" r="Y203"/>
      <c t="str" s="65" r="Z203">
        <f>O62</f>
        <v>Uproar</v>
      </c>
      <c t="str" s="74" r="AA203">
        <f>VLOOKUP(Z203,Lookup!$B$3:$C$54,2,FALSE)</f>
        <v>#N/A:lookupNotFound:Uproar</v>
      </c>
      <c t="str" s="77" r="AB203">
        <f>VLOOKUP(Z203,Lookup!$E$24:$F$121,2,FALSE)</f>
        <v>#N/A:lookupNotFound:Uproar</v>
      </c>
    </row>
    <row customHeight="1" r="204" ht="13.5">
      <c s="10" r="Y204"/>
      <c t="str" s="123" r="Z204">
        <f>O63</f>
        <v>Water Pledge</v>
      </c>
      <c t="str" s="78" r="AA204">
        <f>VLOOKUP(Z204,Lookup!$B$3:$C$54,2,FALSE)</f>
        <v>#N/A:lookupNotFound:Water Pledge</v>
      </c>
      <c t="str" s="13" r="AB204">
        <f>VLOOKUP(Z204,Lookup!$E$24:$F$121,2,FALSE)</f>
        <v>#N/A:lookupNotFound:Water Pledge</v>
      </c>
    </row>
  </sheetData>
  <mergeCells count="32">
    <mergeCell ref="C3:R3"/>
    <mergeCell ref="T5:U5"/>
    <mergeCell ref="W5:X5"/>
    <mergeCell ref="Z5:AB5"/>
    <mergeCell ref="Z6:AB6"/>
    <mergeCell ref="W9:X9"/>
    <mergeCell ref="T13:U13"/>
    <mergeCell ref="T21:U21"/>
    <mergeCell ref="W22:X22"/>
    <mergeCell ref="W23:W24"/>
    <mergeCell ref="X23:X24"/>
    <mergeCell ref="W25:W26"/>
    <mergeCell ref="X25:X26"/>
    <mergeCell ref="T29:U29"/>
    <mergeCell ref="B32:F32"/>
    <mergeCell ref="G32:J32"/>
    <mergeCell ref="K32:R32"/>
    <mergeCell ref="T37:W37"/>
    <mergeCell ref="T38:W47"/>
    <mergeCell ref="T48:W49"/>
    <mergeCell ref="T50:W52"/>
    <mergeCell ref="T53:W54"/>
    <mergeCell ref="T55:W57"/>
    <mergeCell ref="T58:W58"/>
    <mergeCell ref="T60:W61"/>
    <mergeCell ref="S69:X69"/>
    <mergeCell ref="T70:X70"/>
    <mergeCell ref="T71:X71"/>
    <mergeCell ref="T72:X72"/>
    <mergeCell ref="Z109:AB109"/>
    <mergeCell ref="Z129:AB129"/>
    <mergeCell ref="Z143:AB143"/>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21.43" defaultRowHeight="12.75"/>
  <sheetData>
    <row r="2">
      <c s="44" r="B2"/>
      <c s="44" r="C2"/>
      <c s="44" r="D2"/>
      <c s="44" r="E2"/>
    </row>
    <row r="3">
      <c s="10" r="A3"/>
      <c t="s" s="62" r="B3">
        <v>36</v>
      </c>
      <c s="20" r="C3"/>
      <c s="20" r="D3"/>
      <c s="20" r="E3"/>
    </row>
    <row r="4">
      <c s="10" r="A4"/>
      <c t="s" s="3" r="B4">
        <v>210</v>
      </c>
      <c t="s" s="118" r="C4">
        <v>211</v>
      </c>
      <c t="s" s="118" r="D4">
        <v>212</v>
      </c>
      <c t="s" s="47" r="E4">
        <v>213</v>
      </c>
      <c s="46" r="F4"/>
    </row>
    <row r="5">
      <c s="10" r="A5"/>
      <c t="s" s="56" r="B5">
        <v>214</v>
      </c>
      <c t="s" s="71" r="C5">
        <v>215</v>
      </c>
      <c t="s" s="90" r="D5">
        <v>216</v>
      </c>
      <c t="s" s="49" r="E5">
        <v>217</v>
      </c>
      <c s="46" r="F5"/>
    </row>
    <row r="6">
      <c s="10" r="A6"/>
      <c t="s" s="56" r="B6">
        <v>218</v>
      </c>
      <c t="s" s="90" r="C6">
        <v>219</v>
      </c>
      <c t="s" s="90" r="D6">
        <v>220</v>
      </c>
      <c t="s" s="49" r="E6">
        <v>221</v>
      </c>
      <c s="46" r="F6"/>
    </row>
    <row r="7">
      <c s="10" r="A7"/>
      <c t="s" s="56" r="B7">
        <v>222</v>
      </c>
      <c t="s" s="90" r="C7">
        <v>223</v>
      </c>
      <c t="s" s="90" r="D7">
        <v>224</v>
      </c>
      <c t="s" s="49" r="E7">
        <v>225</v>
      </c>
      <c s="46" r="F7"/>
    </row>
    <row r="8">
      <c s="10" r="A8"/>
      <c t="s" s="56" r="B8">
        <v>226</v>
      </c>
      <c t="s" s="90" r="C8">
        <v>227</v>
      </c>
      <c t="s" s="90" r="D8">
        <v>228</v>
      </c>
      <c t="s" s="49" r="E8">
        <v>229</v>
      </c>
      <c s="46" r="F8"/>
    </row>
    <row r="9">
      <c s="10" r="A9"/>
      <c t="s" s="105" r="B9">
        <v>230</v>
      </c>
      <c t="s" s="90" r="C9">
        <v>231</v>
      </c>
      <c t="s" s="90" r="D9">
        <v>232</v>
      </c>
      <c t="s" s="49" r="E9">
        <v>233</v>
      </c>
      <c s="46" r="F9"/>
    </row>
    <row r="10">
      <c s="10" r="A10"/>
      <c t="s" s="56" r="B10">
        <v>234</v>
      </c>
      <c t="s" s="71" r="C10">
        <v>235</v>
      </c>
      <c t="s" s="90" r="D10">
        <v>236</v>
      </c>
      <c t="s" s="49" r="E10">
        <v>237</v>
      </c>
      <c s="46" r="F10"/>
    </row>
    <row r="11">
      <c s="10" r="A11"/>
      <c t="s" s="56" r="B11">
        <v>238</v>
      </c>
      <c t="s" s="90" r="C11">
        <v>239</v>
      </c>
      <c t="s" s="90" r="D11">
        <v>240</v>
      </c>
      <c t="s" s="49" r="E11">
        <v>241</v>
      </c>
      <c s="46" r="F11"/>
    </row>
    <row r="12">
      <c s="10" r="A12"/>
      <c t="s" s="56" r="B12">
        <v>242</v>
      </c>
      <c t="s" s="90" r="C12">
        <v>243</v>
      </c>
      <c t="s" s="90" r="D12">
        <v>244</v>
      </c>
      <c t="s" s="49" r="E12">
        <v>245</v>
      </c>
      <c s="46" r="F12"/>
    </row>
    <row r="13">
      <c s="10" r="A13"/>
      <c t="s" s="105" r="B13">
        <v>246</v>
      </c>
      <c t="s" s="90" r="C13">
        <v>247</v>
      </c>
      <c t="s" s="90" r="D13">
        <v>248</v>
      </c>
      <c t="s" s="49" r="E13">
        <v>249</v>
      </c>
      <c s="46" r="F13"/>
    </row>
    <row r="14">
      <c s="10" r="A14"/>
      <c t="s" s="56" r="B14">
        <v>250</v>
      </c>
      <c t="s" s="90" r="C14">
        <v>251</v>
      </c>
      <c t="s" s="90" r="D14">
        <v>252</v>
      </c>
      <c t="s" s="49" r="E14">
        <v>253</v>
      </c>
      <c s="46" r="F14"/>
    </row>
    <row r="15">
      <c s="10" r="A15"/>
      <c t="s" s="56" r="B15">
        <v>254</v>
      </c>
      <c t="s" s="90" r="C15">
        <v>255</v>
      </c>
      <c t="s" s="90" r="D15">
        <v>256</v>
      </c>
      <c t="s" s="63" r="E15">
        <v>257</v>
      </c>
      <c s="46" r="F15"/>
      <c t="s" s="129" r="G15">
        <v>258</v>
      </c>
    </row>
    <row r="16">
      <c s="10" r="A16"/>
      <c t="s" s="56" r="B16">
        <v>259</v>
      </c>
      <c t="s" s="90" r="C16">
        <v>260</v>
      </c>
      <c t="s" s="90" r="D16">
        <v>261</v>
      </c>
      <c t="s" s="49" r="E16">
        <v>262</v>
      </c>
      <c s="46" r="F16"/>
    </row>
    <row r="17">
      <c s="10" r="A17"/>
      <c t="s" s="56" r="B17">
        <v>263</v>
      </c>
      <c t="s" s="90" r="C17">
        <v>264</v>
      </c>
      <c t="s" s="90" r="D17">
        <v>265</v>
      </c>
      <c t="s" s="49" r="E17">
        <v>266</v>
      </c>
      <c s="46" r="F17"/>
    </row>
    <row r="18">
      <c s="10" r="A18"/>
      <c t="s" s="105" r="B18">
        <v>267</v>
      </c>
      <c t="s" s="90" r="C18">
        <v>268</v>
      </c>
      <c t="s" s="90" r="D18">
        <v>269</v>
      </c>
      <c t="s" s="63" r="E18">
        <v>270</v>
      </c>
      <c s="46" r="F18"/>
    </row>
    <row r="19">
      <c s="10" r="A19"/>
      <c t="s" s="56" r="B19">
        <v>271</v>
      </c>
      <c t="s" s="90" r="C19">
        <v>272</v>
      </c>
      <c t="s" s="90" r="D19">
        <v>273</v>
      </c>
      <c t="s" s="49" r="E19">
        <v>274</v>
      </c>
      <c s="46" r="F19"/>
    </row>
    <row r="20">
      <c s="10" r="A20"/>
      <c t="s" s="105" r="B20">
        <v>275</v>
      </c>
      <c t="s" s="71" r="C20">
        <v>276</v>
      </c>
      <c t="s" s="90" r="D20">
        <v>277</v>
      </c>
      <c t="s" s="49" r="E20">
        <v>278</v>
      </c>
      <c s="46" r="F20"/>
    </row>
    <row r="21">
      <c s="10" r="A21"/>
      <c t="s" s="56" r="B21">
        <v>279</v>
      </c>
      <c t="s" s="90" r="C21">
        <v>280</v>
      </c>
      <c t="s" s="71" r="D21">
        <v>281</v>
      </c>
      <c t="s" s="49" r="E21">
        <v>282</v>
      </c>
      <c s="46" r="F21"/>
    </row>
    <row r="22">
      <c s="10" r="A22"/>
      <c t="s" s="56" r="B22">
        <v>283</v>
      </c>
      <c t="s" s="71" r="C22">
        <v>284</v>
      </c>
      <c t="s" s="90" r="D22">
        <v>285</v>
      </c>
      <c t="s" s="49" r="E22">
        <v>286</v>
      </c>
      <c s="46" r="F22"/>
    </row>
    <row r="23">
      <c s="10" r="A23"/>
      <c t="s" s="56" r="B23">
        <v>287</v>
      </c>
      <c t="s" s="71" r="C23">
        <v>288</v>
      </c>
      <c t="s" s="90" r="D23">
        <v>289</v>
      </c>
      <c t="s" s="49" r="E23">
        <v>290</v>
      </c>
      <c s="46" r="F23"/>
    </row>
    <row r="24">
      <c s="10" r="A24"/>
      <c t="s" s="105" r="B24">
        <v>291</v>
      </c>
      <c t="s" s="90" r="C24">
        <v>292</v>
      </c>
      <c t="s" s="90" r="D24">
        <v>293</v>
      </c>
      <c t="s" s="49" r="E24">
        <v>294</v>
      </c>
      <c s="46" r="F24"/>
    </row>
    <row r="25">
      <c s="10" r="A25"/>
      <c t="s" s="56" r="B25">
        <v>295</v>
      </c>
      <c t="s" s="90" r="C25">
        <v>296</v>
      </c>
      <c t="s" s="90" r="D25">
        <v>297</v>
      </c>
      <c t="s" s="49" r="E25">
        <v>298</v>
      </c>
      <c s="46" r="F25"/>
    </row>
    <row r="26">
      <c s="10" r="A26"/>
      <c t="s" s="56" r="B26">
        <v>299</v>
      </c>
      <c t="s" s="71" r="C26">
        <v>300</v>
      </c>
      <c t="s" s="90" r="D26">
        <v>301</v>
      </c>
      <c t="s" s="49" r="E26">
        <v>302</v>
      </c>
      <c s="46" r="F26"/>
    </row>
    <row r="27">
      <c s="10" r="A27"/>
      <c t="s" s="56" r="B27">
        <v>303</v>
      </c>
      <c t="s" s="90" r="C27">
        <v>304</v>
      </c>
      <c t="s" s="90" r="D27">
        <v>305</v>
      </c>
      <c t="s" s="49" r="E27">
        <v>306</v>
      </c>
      <c s="46" r="F27"/>
    </row>
    <row r="28">
      <c s="10" r="A28"/>
      <c t="s" s="56" r="B28">
        <v>307</v>
      </c>
      <c t="s" s="90" r="C28">
        <v>308</v>
      </c>
      <c t="s" s="90" r="D28">
        <v>309</v>
      </c>
      <c t="s" s="49" r="E28">
        <v>310</v>
      </c>
      <c s="46" r="F28"/>
    </row>
    <row r="29">
      <c s="10" r="A29"/>
      <c s="89" r="B29"/>
      <c s="125" r="C29"/>
      <c s="125" r="D29"/>
      <c t="s" s="101" r="E29">
        <v>311</v>
      </c>
      <c s="46" r="F29"/>
    </row>
    <row r="30">
      <c s="20" r="B30"/>
      <c s="20" r="C30"/>
      <c s="20" r="D30"/>
      <c s="20" r="E30"/>
      <c s="44" r="F30"/>
      <c s="44" r="G30"/>
      <c s="44" r="H30"/>
    </row>
    <row r="31">
      <c s="10" r="A31"/>
      <c t="s" s="2" r="B31">
        <v>136</v>
      </c>
      <c s="20" r="C31"/>
      <c s="20" r="D31"/>
      <c s="20" r="E31"/>
      <c s="20" r="F31"/>
      <c s="20" r="G31"/>
      <c s="20" r="H31"/>
    </row>
    <row r="32">
      <c s="10" r="A32"/>
      <c t="s" s="3" r="B32">
        <v>138</v>
      </c>
      <c t="s" s="118" r="C32">
        <v>160</v>
      </c>
      <c t="s" s="118" r="D32">
        <v>180</v>
      </c>
      <c t="s" s="118" r="E32">
        <v>203</v>
      </c>
      <c t="s" s="118" r="F32">
        <v>153</v>
      </c>
      <c t="s" s="118" r="G32">
        <v>173</v>
      </c>
      <c t="s" s="47" r="H32">
        <v>195</v>
      </c>
    </row>
    <row r="33">
      <c s="10" r="A33"/>
      <c t="s" s="56" r="B33">
        <v>140</v>
      </c>
      <c t="s" s="90" r="C33">
        <v>161</v>
      </c>
      <c t="s" s="90" r="D33">
        <v>182</v>
      </c>
      <c t="s" s="90" r="E33">
        <v>205</v>
      </c>
      <c t="s" s="90" r="F33">
        <v>155</v>
      </c>
      <c t="s" s="71" r="G33">
        <v>26</v>
      </c>
      <c t="s" s="49" r="H33">
        <v>198</v>
      </c>
    </row>
    <row r="34">
      <c s="10" r="A34"/>
      <c t="s" s="56" r="B34">
        <v>142</v>
      </c>
      <c t="s" s="90" r="C34">
        <v>163</v>
      </c>
      <c t="s" s="90" r="D34">
        <v>185</v>
      </c>
      <c t="s" s="90" r="E34">
        <v>207</v>
      </c>
      <c t="s" s="90" r="F34">
        <v>157</v>
      </c>
      <c t="s" s="90" r="G34">
        <v>177</v>
      </c>
      <c t="s" s="49" r="H34">
        <v>200</v>
      </c>
    </row>
    <row r="35">
      <c s="10" r="A35"/>
      <c t="s" s="56" r="B35">
        <v>144</v>
      </c>
      <c t="s" s="90" r="C35">
        <v>165</v>
      </c>
      <c t="s" s="90" r="D35">
        <v>187</v>
      </c>
      <c t="s" s="90" r="E35">
        <v>209</v>
      </c>
      <c t="s" s="90" r="F35">
        <v>159</v>
      </c>
      <c t="s" s="71" r="G35">
        <v>28</v>
      </c>
      <c t="s" s="49" r="H35">
        <v>202</v>
      </c>
    </row>
    <row r="36">
      <c s="10" r="A36"/>
      <c t="s" s="56" r="B36">
        <v>147</v>
      </c>
      <c t="s" s="90" r="C36">
        <v>167</v>
      </c>
      <c t="s" s="90" r="D36">
        <v>189</v>
      </c>
      <c t="s" s="90" r="E36">
        <v>139</v>
      </c>
      <c t="s" s="71" r="F36">
        <v>20</v>
      </c>
      <c t="s" s="90" r="G36">
        <v>181</v>
      </c>
      <c t="s" s="49" r="H36">
        <v>204</v>
      </c>
    </row>
    <row r="37">
      <c s="10" r="A37"/>
      <c t="s" s="56" r="B37">
        <v>150</v>
      </c>
      <c t="s" s="90" r="C37">
        <v>170</v>
      </c>
      <c t="s" s="90" r="D37">
        <v>192</v>
      </c>
      <c t="s" s="90" r="E37">
        <v>141</v>
      </c>
      <c t="s" s="90" r="F37">
        <v>162</v>
      </c>
      <c t="s" s="90" r="G37">
        <v>183</v>
      </c>
      <c t="s" s="49" r="H37">
        <v>206</v>
      </c>
    </row>
    <row r="38">
      <c s="10" r="A38"/>
      <c t="s" s="56" r="B38">
        <v>152</v>
      </c>
      <c t="s" s="90" r="C38">
        <v>172</v>
      </c>
      <c t="s" s="90" r="D38">
        <v>194</v>
      </c>
      <c t="s" s="90" r="E38">
        <v>143</v>
      </c>
      <c t="s" s="90" r="F38">
        <v>164</v>
      </c>
      <c t="s" s="90" r="G38">
        <v>186</v>
      </c>
      <c t="s" s="49" r="H38">
        <v>208</v>
      </c>
    </row>
    <row r="39">
      <c s="10" r="A39"/>
      <c t="s" s="56" r="B39">
        <v>154</v>
      </c>
      <c t="s" s="90" r="C39">
        <v>175</v>
      </c>
      <c t="s" s="90" r="D39">
        <v>197</v>
      </c>
      <c t="s" s="90" r="E39">
        <v>145</v>
      </c>
      <c t="s" s="90" r="F39">
        <v>166</v>
      </c>
      <c t="s" s="90" r="G39">
        <v>188</v>
      </c>
      <c s="49" r="H39"/>
    </row>
    <row r="40">
      <c s="10" r="A40"/>
      <c t="s" s="56" r="B40">
        <v>156</v>
      </c>
      <c t="s" s="90" r="C40">
        <v>176</v>
      </c>
      <c t="s" s="90" r="D40">
        <v>199</v>
      </c>
      <c t="s" s="90" r="E40">
        <v>148</v>
      </c>
      <c t="s" s="90" r="F40">
        <v>168</v>
      </c>
      <c t="s" s="90" r="G40">
        <v>190</v>
      </c>
      <c s="49" r="H40"/>
    </row>
    <row r="41">
      <c s="10" r="A41"/>
      <c t="s" s="89" r="B41">
        <v>158</v>
      </c>
      <c t="s" s="125" r="C41">
        <v>178</v>
      </c>
      <c t="s" s="125" r="D41">
        <v>201</v>
      </c>
      <c t="s" s="125" r="E41">
        <v>151</v>
      </c>
      <c t="s" s="125" r="F41">
        <v>171</v>
      </c>
      <c t="s" s="125" r="G41">
        <v>193</v>
      </c>
      <c s="121" r="H41"/>
    </row>
  </sheetData>
  <mergeCells count="3">
    <mergeCell ref="B3:E3"/>
    <mergeCell ref="G15:H15"/>
    <mergeCell ref="B31:H3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5" width="20.71"/>
    <col min="6" customWidth="1" max="6" width="20.57"/>
  </cols>
  <sheetData>
    <row r="1">
      <c s="44" r="B1"/>
      <c s="44" r="C1"/>
      <c s="44" r="D1"/>
      <c s="44" r="E1"/>
      <c s="44" r="F1"/>
    </row>
    <row r="2">
      <c s="10" r="A2"/>
      <c t="s" s="88" r="B2">
        <v>312</v>
      </c>
      <c s="20" r="C2"/>
      <c s="20" r="D2"/>
      <c s="20" r="E2"/>
      <c s="51" r="F2"/>
    </row>
    <row r="3">
      <c s="10" r="A3"/>
      <c t="s" s="66" r="B3">
        <v>313</v>
      </c>
      <c t="s" s="66" r="C3">
        <v>314</v>
      </c>
      <c t="s" s="66" r="D3">
        <v>315</v>
      </c>
      <c t="s" s="66" r="E3">
        <v>316</v>
      </c>
      <c t="s" s="66" r="F3">
        <v>53</v>
      </c>
    </row>
    <row r="4">
      <c s="10" r="A4"/>
      <c t="s" s="84" r="B4">
        <v>317</v>
      </c>
      <c t="s" s="84" r="C4">
        <v>61</v>
      </c>
      <c t="s" s="84" r="D4">
        <v>87</v>
      </c>
      <c t="s" s="84" r="E4">
        <v>318</v>
      </c>
      <c t="s" s="100" r="F4">
        <v>208</v>
      </c>
    </row>
    <row r="5">
      <c s="10" r="A5"/>
      <c t="s" s="131" r="B5">
        <v>319</v>
      </c>
      <c t="s" s="131" r="C5">
        <v>320</v>
      </c>
      <c t="s" s="131" r="D5">
        <v>96</v>
      </c>
      <c t="s" s="131" r="E5">
        <v>321</v>
      </c>
      <c t="s" s="66" r="F5">
        <v>322</v>
      </c>
    </row>
    <row r="6">
      <c s="10" r="A6"/>
      <c t="s" s="131" r="B6">
        <v>95</v>
      </c>
      <c t="s" s="131" r="C6">
        <v>323</v>
      </c>
      <c t="s" s="131" r="D6">
        <v>150</v>
      </c>
      <c t="s" s="131" r="E6">
        <v>324</v>
      </c>
      <c t="s" s="84" r="F6">
        <v>325</v>
      </c>
    </row>
    <row r="7">
      <c s="10" r="A7"/>
      <c t="s" s="80" r="B7">
        <v>63</v>
      </c>
      <c t="s" s="131" r="C7">
        <v>326</v>
      </c>
      <c t="s" s="131" r="D7">
        <v>327</v>
      </c>
      <c t="s" s="131" r="E7">
        <v>205</v>
      </c>
      <c t="s" s="131" r="F7">
        <v>59</v>
      </c>
    </row>
    <row r="8">
      <c s="10" r="A8"/>
      <c t="s" s="66" r="B8">
        <v>328</v>
      </c>
      <c t="s" s="131" r="C8">
        <v>161</v>
      </c>
      <c t="s" s="80" r="D8">
        <v>329</v>
      </c>
      <c t="s" s="131" r="E8">
        <v>330</v>
      </c>
      <c t="s" s="131" r="F8">
        <v>331</v>
      </c>
    </row>
    <row r="9">
      <c s="10" r="A9"/>
      <c t="s" s="84" r="B9">
        <v>332</v>
      </c>
      <c t="s" s="131" r="C9">
        <v>333</v>
      </c>
      <c t="s" s="66" r="D9">
        <v>334</v>
      </c>
      <c t="s" s="131" r="E9">
        <v>335</v>
      </c>
      <c t="s" s="80" r="F9">
        <v>115</v>
      </c>
    </row>
    <row r="10">
      <c s="10" r="A10"/>
      <c t="s" s="131" r="B10">
        <v>178</v>
      </c>
      <c t="s" s="131" r="C10">
        <v>336</v>
      </c>
      <c t="s" s="84" r="D10">
        <v>97</v>
      </c>
      <c t="s" s="80" r="E10">
        <v>337</v>
      </c>
      <c t="s" s="66" r="F10">
        <v>338</v>
      </c>
    </row>
    <row r="11">
      <c s="10" r="A11"/>
      <c t="s" s="131" r="B11">
        <v>339</v>
      </c>
      <c t="s" s="131" r="C11">
        <v>340</v>
      </c>
      <c t="s" s="131" r="D11">
        <v>341</v>
      </c>
      <c t="s" s="66" r="E11">
        <v>342</v>
      </c>
      <c t="s" s="84" r="F11">
        <v>343</v>
      </c>
    </row>
    <row r="12">
      <c s="10" r="A12"/>
      <c t="s" s="131" r="B12">
        <v>100</v>
      </c>
      <c t="s" s="131" r="C12">
        <v>344</v>
      </c>
      <c t="s" s="131" r="D12">
        <v>345</v>
      </c>
      <c t="s" s="84" r="E12">
        <v>346</v>
      </c>
      <c t="s" s="131" r="F12">
        <v>347</v>
      </c>
    </row>
    <row r="13">
      <c s="10" r="A13"/>
      <c t="s" s="131" r="B13">
        <v>348</v>
      </c>
      <c t="s" s="131" r="C13">
        <v>148</v>
      </c>
      <c t="s" s="131" r="D13">
        <v>349</v>
      </c>
      <c t="s" s="131" r="E13">
        <v>350</v>
      </c>
      <c t="s" s="131" r="F13">
        <v>126</v>
      </c>
    </row>
    <row r="14">
      <c s="10" r="A14"/>
      <c t="s" s="80" r="B14">
        <v>351</v>
      </c>
      <c t="s" s="131" r="C14">
        <v>352</v>
      </c>
      <c t="s" s="80" r="D14">
        <v>353</v>
      </c>
      <c t="s" s="131" r="E14">
        <v>354</v>
      </c>
      <c t="s" s="131" r="F14">
        <v>355</v>
      </c>
    </row>
    <row r="15">
      <c s="10" r="A15"/>
      <c t="s" s="66" r="B15">
        <v>356</v>
      </c>
      <c t="s" s="131" r="C15">
        <v>357</v>
      </c>
      <c t="s" s="66" r="D15">
        <v>358</v>
      </c>
      <c t="s" s="131" r="E15">
        <v>12</v>
      </c>
      <c t="s" s="131" r="F15">
        <v>139</v>
      </c>
    </row>
    <row r="16">
      <c s="10" r="A16"/>
      <c t="s" s="84" r="B16">
        <v>43</v>
      </c>
      <c t="s" s="131" r="C16">
        <v>359</v>
      </c>
      <c t="s" s="84" r="D16">
        <v>360</v>
      </c>
      <c t="s" s="131" r="E16">
        <v>361</v>
      </c>
      <c t="s" s="131" r="F16">
        <v>141</v>
      </c>
    </row>
    <row r="17">
      <c s="10" r="A17"/>
      <c t="s" s="131" r="B17">
        <v>362</v>
      </c>
      <c t="s" s="131" r="C17">
        <v>363</v>
      </c>
      <c t="s" s="131" r="D17">
        <v>364</v>
      </c>
      <c t="s" s="131" r="E17">
        <v>14</v>
      </c>
      <c t="s" s="80" r="F17">
        <v>365</v>
      </c>
    </row>
    <row r="18">
      <c s="10" r="A18"/>
      <c t="s" s="131" r="B18">
        <v>67</v>
      </c>
      <c t="s" s="131" r="C18">
        <v>366</v>
      </c>
      <c t="s" s="131" r="D18">
        <v>367</v>
      </c>
      <c t="s" s="131" r="E18">
        <v>368</v>
      </c>
      <c t="s" s="66" r="F18">
        <v>369</v>
      </c>
    </row>
    <row r="19">
      <c s="10" r="A19"/>
      <c t="s" s="131" r="B19">
        <v>165</v>
      </c>
      <c t="s" s="131" r="C19">
        <v>370</v>
      </c>
      <c t="s" s="131" r="D19">
        <v>371</v>
      </c>
      <c t="s" s="131" r="E19">
        <v>372</v>
      </c>
      <c t="s" s="84" r="F19">
        <v>373</v>
      </c>
    </row>
    <row r="20">
      <c s="10" r="A20"/>
      <c t="s" s="80" r="B20">
        <v>157</v>
      </c>
      <c t="s" s="80" r="C20">
        <v>188</v>
      </c>
      <c t="s" s="131" r="D20">
        <v>166</v>
      </c>
      <c t="s" s="131" r="E20">
        <v>374</v>
      </c>
      <c t="s" s="131" r="F20">
        <v>140</v>
      </c>
    </row>
    <row r="21">
      <c s="10" r="A21"/>
      <c t="s" s="66" r="B21">
        <v>375</v>
      </c>
      <c t="s" s="66" r="C21">
        <v>376</v>
      </c>
      <c t="s" s="80" r="D21">
        <v>377</v>
      </c>
      <c t="s" s="131" r="E21">
        <v>378</v>
      </c>
      <c t="s" s="131" r="F21">
        <v>379</v>
      </c>
    </row>
    <row r="22">
      <c s="10" r="A22"/>
      <c t="s" s="84" r="B22">
        <v>380</v>
      </c>
      <c t="s" s="84" r="C22">
        <v>381</v>
      </c>
      <c t="s" s="66" r="D22">
        <v>382</v>
      </c>
      <c t="s" s="131" r="E22">
        <v>23</v>
      </c>
      <c t="s" s="131" r="F22">
        <v>131</v>
      </c>
    </row>
    <row r="23">
      <c s="10" r="A23"/>
      <c t="s" s="131" r="B23">
        <v>383</v>
      </c>
      <c t="s" s="131" r="C23">
        <v>106</v>
      </c>
      <c t="s" s="84" r="D23">
        <v>384</v>
      </c>
      <c t="s" s="131" r="E23">
        <v>385</v>
      </c>
      <c s="15" r="F23"/>
    </row>
    <row r="24">
      <c s="10" r="A24"/>
      <c t="s" s="131" r="B24">
        <v>386</v>
      </c>
      <c t="s" s="131" r="C24">
        <v>387</v>
      </c>
      <c t="s" s="131" r="D24">
        <v>388</v>
      </c>
      <c t="s" s="80" r="E24">
        <v>389</v>
      </c>
      <c s="15" r="F24"/>
    </row>
    <row r="25">
      <c s="10" r="A25"/>
      <c t="s" s="131" r="B25">
        <v>390</v>
      </c>
      <c t="s" s="131" r="C25">
        <v>176</v>
      </c>
      <c t="s" s="131" r="D25">
        <v>163</v>
      </c>
      <c t="s" s="66" r="E25">
        <v>391</v>
      </c>
      <c s="15" r="F25"/>
    </row>
    <row r="26">
      <c s="10" r="A26"/>
      <c t="s" s="131" r="B26">
        <v>392</v>
      </c>
      <c t="s" s="131" r="C26">
        <v>393</v>
      </c>
      <c t="s" s="131" r="D26">
        <v>38</v>
      </c>
      <c t="s" s="84" r="E26">
        <v>394</v>
      </c>
      <c s="15" r="F26"/>
    </row>
    <row r="27">
      <c s="10" r="A27"/>
      <c t="s" s="131" r="B27">
        <v>395</v>
      </c>
      <c t="s" s="131" r="C27">
        <v>396</v>
      </c>
      <c t="s" s="131" r="D27">
        <v>374</v>
      </c>
      <c t="s" s="131" r="E27">
        <v>192</v>
      </c>
      <c s="15" r="F27"/>
    </row>
    <row r="28">
      <c s="10" r="A28"/>
      <c t="s" s="131" r="B28">
        <v>107</v>
      </c>
      <c t="s" s="131" r="C28">
        <v>397</v>
      </c>
      <c s="15" r="D28"/>
      <c t="s" s="131" r="E28">
        <v>76</v>
      </c>
      <c s="15" r="F28"/>
    </row>
    <row r="29">
      <c s="10" r="A29"/>
      <c s="80" r="B29"/>
      <c t="s" s="80" r="C29">
        <v>398</v>
      </c>
      <c s="59" r="D29"/>
      <c s="80" r="E29"/>
      <c s="59" r="F29"/>
    </row>
    <row r="30">
      <c s="20" r="B30"/>
      <c s="20" r="C30"/>
      <c s="20" r="D30"/>
      <c s="20" r="E30"/>
      <c s="5" r="F30"/>
    </row>
    <row r="31">
      <c s="10" r="A31"/>
      <c t="s" s="88" r="B31">
        <v>399</v>
      </c>
      <c s="20" r="C31"/>
      <c s="20" r="D31"/>
      <c s="51" r="E31"/>
      <c s="46" r="F31"/>
    </row>
    <row r="32">
      <c s="10" r="A32"/>
      <c t="s" s="66" r="B32">
        <v>313</v>
      </c>
      <c t="s" s="66" r="C32">
        <v>376</v>
      </c>
      <c t="s" s="66" r="D32">
        <v>382</v>
      </c>
      <c t="s" s="66" r="E32">
        <v>53</v>
      </c>
      <c s="46" r="F32"/>
    </row>
    <row r="33">
      <c s="10" r="A33"/>
      <c t="s" s="84" r="B33">
        <v>400</v>
      </c>
      <c t="s" s="84" r="C33">
        <v>401</v>
      </c>
      <c t="s" s="100" r="D33">
        <v>167</v>
      </c>
      <c t="s" s="84" r="E33">
        <v>402</v>
      </c>
      <c s="46" r="F33"/>
    </row>
    <row r="34">
      <c s="10" r="A34"/>
      <c t="s" s="80" r="B34">
        <v>168</v>
      </c>
      <c t="s" s="131" r="C34">
        <v>403</v>
      </c>
      <c t="s" s="66" r="D34">
        <v>316</v>
      </c>
      <c t="s" s="131" r="E34">
        <v>404</v>
      </c>
      <c s="46" r="F34"/>
    </row>
    <row r="35">
      <c s="10" r="A35"/>
      <c t="s" s="66" r="B35">
        <v>328</v>
      </c>
      <c t="s" s="131" r="C35">
        <v>89</v>
      </c>
      <c t="s" s="84" r="D35">
        <v>92</v>
      </c>
      <c t="s" s="131" r="E35">
        <v>405</v>
      </c>
      <c s="46" r="F35"/>
    </row>
    <row r="36">
      <c s="10" r="A36"/>
      <c t="s" s="84" r="B36">
        <v>156</v>
      </c>
      <c t="s" s="131" r="C36">
        <v>78</v>
      </c>
      <c t="s" s="131" r="D36">
        <v>55</v>
      </c>
      <c t="s" s="131" r="E36">
        <v>53</v>
      </c>
      <c s="46" r="F36"/>
    </row>
    <row r="37">
      <c s="10" r="A37"/>
      <c t="s" s="80" r="B37">
        <v>406</v>
      </c>
      <c t="s" s="131" r="C37">
        <v>407</v>
      </c>
      <c t="s" s="131" r="D37">
        <v>408</v>
      </c>
      <c t="s" s="131" r="E37">
        <v>409</v>
      </c>
      <c s="46" r="F37"/>
    </row>
    <row r="38">
      <c s="10" r="A38"/>
      <c t="s" s="66" r="B38">
        <v>356</v>
      </c>
      <c t="s" s="131" r="C38">
        <v>197</v>
      </c>
      <c t="s" s="131" r="D38">
        <v>88</v>
      </c>
      <c t="s" s="131" r="E38">
        <v>47</v>
      </c>
      <c s="46" r="F38"/>
    </row>
    <row r="39">
      <c s="10" r="A39"/>
      <c t="s" s="84" r="B39">
        <v>158</v>
      </c>
      <c t="s" s="131" r="C39">
        <v>410</v>
      </c>
      <c t="s" s="80" r="D39">
        <v>411</v>
      </c>
      <c t="s" s="131" r="E39">
        <v>412</v>
      </c>
      <c s="46" r="F39"/>
    </row>
    <row r="40">
      <c s="10" r="A40"/>
      <c t="s" s="131" r="B40">
        <v>160</v>
      </c>
      <c t="s" s="131" r="C40">
        <v>413</v>
      </c>
      <c t="s" s="66" r="D40">
        <v>342</v>
      </c>
      <c t="s" s="80" r="E40">
        <v>414</v>
      </c>
      <c s="46" r="F40"/>
    </row>
    <row r="41">
      <c s="10" r="A41"/>
      <c t="s" s="131" r="B41">
        <v>415</v>
      </c>
      <c t="s" s="131" r="C41">
        <v>129</v>
      </c>
      <c t="s" s="84" r="D41">
        <v>416</v>
      </c>
      <c t="s" s="66" r="E41">
        <v>322</v>
      </c>
      <c s="46" r="F41"/>
    </row>
    <row r="42">
      <c s="10" r="A42"/>
      <c t="s" s="80" r="B42">
        <v>417</v>
      </c>
      <c t="s" s="80" r="C42">
        <v>418</v>
      </c>
      <c t="s" s="131" r="D42">
        <v>16</v>
      </c>
      <c t="s" s="84" r="E42">
        <v>419</v>
      </c>
      <c s="46" r="F42"/>
    </row>
    <row r="43">
      <c s="10" r="A43"/>
      <c t="s" s="66" r="B43">
        <v>375</v>
      </c>
      <c t="s" s="66" r="C43">
        <v>315</v>
      </c>
      <c t="s" s="131" r="D43">
        <v>203</v>
      </c>
      <c t="s" s="80" r="E43">
        <v>420</v>
      </c>
      <c s="46" r="F43"/>
    </row>
    <row r="44">
      <c s="10" r="A44"/>
      <c t="s" s="84" r="B44">
        <v>66</v>
      </c>
      <c t="s" s="84" r="C44">
        <v>421</v>
      </c>
      <c t="s" s="131" r="D44">
        <v>422</v>
      </c>
      <c t="s" s="66" r="E44">
        <v>338</v>
      </c>
      <c s="46" r="F44"/>
    </row>
    <row r="45">
      <c s="10" r="A45"/>
      <c t="s" s="131" r="B45">
        <v>423</v>
      </c>
      <c t="s" s="131" r="C45">
        <v>424</v>
      </c>
      <c t="s" s="131" r="D45">
        <v>425</v>
      </c>
      <c t="s" s="84" r="E45">
        <v>426</v>
      </c>
      <c s="46" r="F45"/>
    </row>
    <row r="46">
      <c s="10" r="A46"/>
      <c t="s" s="131" r="B46">
        <v>427</v>
      </c>
      <c t="s" s="80" r="C46">
        <v>428</v>
      </c>
      <c t="s" s="131" r="D46">
        <v>429</v>
      </c>
      <c t="s" s="80" r="E46">
        <v>101</v>
      </c>
      <c s="46" r="F46"/>
    </row>
    <row r="47">
      <c s="10" r="A47"/>
      <c t="s" s="131" r="B47">
        <v>128</v>
      </c>
      <c t="s" s="66" r="C47">
        <v>334</v>
      </c>
      <c t="s" s="131" r="D47">
        <v>430</v>
      </c>
      <c t="s" s="66" r="E47">
        <v>369</v>
      </c>
      <c s="46" r="F47"/>
    </row>
    <row r="48">
      <c s="10" r="A48"/>
      <c t="s" s="80" r="B48">
        <v>124</v>
      </c>
      <c t="s" s="84" r="C48">
        <v>431</v>
      </c>
      <c t="s" s="80" r="D48">
        <v>432</v>
      </c>
      <c t="s" s="84" r="E48">
        <v>433</v>
      </c>
      <c s="46" r="F48"/>
    </row>
    <row r="49">
      <c s="10" r="A49"/>
      <c t="s" s="66" r="B49">
        <v>314</v>
      </c>
      <c t="s" s="80" r="C49">
        <v>57</v>
      </c>
      <c t="s" s="66" r="D49">
        <v>391</v>
      </c>
      <c t="s" s="131" r="E49">
        <v>434</v>
      </c>
      <c s="46" r="F49"/>
    </row>
    <row r="50">
      <c s="10" r="A50"/>
      <c t="s" s="84" r="B50">
        <v>435</v>
      </c>
      <c t="s" s="66" r="C50">
        <v>358</v>
      </c>
      <c t="s" s="84" r="D50">
        <v>436</v>
      </c>
      <c t="s" s="131" r="E50">
        <v>58</v>
      </c>
      <c s="46" r="F50"/>
    </row>
    <row r="51">
      <c s="10" r="A51"/>
      <c t="s" s="131" r="B51">
        <v>44</v>
      </c>
      <c t="s" s="84" r="C51">
        <v>49</v>
      </c>
      <c t="s" s="131" r="D51">
        <v>437</v>
      </c>
      <c t="s" s="131" r="E51">
        <v>123</v>
      </c>
      <c s="46" r="F51"/>
    </row>
    <row r="52">
      <c s="10" r="A52"/>
      <c t="s" s="131" r="B52">
        <v>438</v>
      </c>
      <c t="s" s="131" r="C52">
        <v>185</v>
      </c>
      <c t="s" s="131" r="D52">
        <v>82</v>
      </c>
      <c t="s" s="131" r="E52">
        <v>439</v>
      </c>
      <c s="46" r="F52"/>
    </row>
    <row r="53">
      <c s="10" r="A53"/>
      <c t="s" s="131" r="B53">
        <v>440</v>
      </c>
      <c t="s" s="131" r="C53">
        <v>84</v>
      </c>
      <c t="s" s="131" r="D53">
        <v>74</v>
      </c>
      <c s="15" r="E53"/>
      <c s="46" r="F53"/>
    </row>
    <row r="54">
      <c s="10" r="A54"/>
      <c s="15" r="B54"/>
      <c t="s" s="131" r="C54">
        <v>441</v>
      </c>
      <c s="15" r="D54"/>
      <c s="15" r="E54"/>
      <c s="46" r="F54"/>
    </row>
    <row r="55">
      <c s="10" r="A55"/>
      <c s="15" r="B55"/>
      <c t="s" s="131" r="C55">
        <v>442</v>
      </c>
      <c s="15" r="D55"/>
      <c s="15" r="E55"/>
      <c s="46" r="F55"/>
    </row>
    <row r="56">
      <c s="10" r="A56"/>
      <c s="59" r="B56"/>
      <c t="s" s="80" r="C56">
        <v>443</v>
      </c>
      <c s="59" r="D56"/>
      <c s="59" r="E56"/>
      <c s="46" r="F56"/>
    </row>
    <row r="57">
      <c s="20" r="B57"/>
      <c s="20" r="C57"/>
      <c s="20" r="D57"/>
      <c s="20" r="E57"/>
    </row>
    <row r="58">
      <c s="10" r="A58"/>
      <c t="s" s="88" r="B58">
        <v>444</v>
      </c>
      <c s="20" r="C58"/>
      <c s="20" r="D58"/>
      <c s="51" r="E58"/>
      <c s="46" r="F58"/>
    </row>
    <row r="59">
      <c s="10" r="A59"/>
      <c t="s" s="66" r="B59">
        <v>445</v>
      </c>
      <c t="s" s="66" r="C59">
        <v>446</v>
      </c>
      <c t="s" s="66" r="D59">
        <v>447</v>
      </c>
      <c t="s" s="66" r="E59">
        <v>448</v>
      </c>
      <c s="46" r="F59"/>
    </row>
    <row r="60">
      <c s="10" r="A60"/>
      <c t="s" s="84" r="B60">
        <v>449</v>
      </c>
      <c t="s" s="84" r="C60">
        <v>436</v>
      </c>
      <c t="s" s="84" r="D60">
        <v>450</v>
      </c>
      <c t="s" s="84" r="E60">
        <v>451</v>
      </c>
      <c s="46" r="F60"/>
    </row>
    <row r="61">
      <c s="10" r="A61"/>
      <c t="s" s="131" r="B61">
        <v>452</v>
      </c>
      <c t="s" s="80" r="C61">
        <v>453</v>
      </c>
      <c t="s" s="131" r="D61">
        <v>454</v>
      </c>
      <c t="s" s="131" r="E61">
        <v>455</v>
      </c>
      <c s="46" r="F61"/>
    </row>
    <row r="62">
      <c s="10" r="A62"/>
      <c t="s" s="131" r="B62">
        <v>456</v>
      </c>
      <c t="s" s="66" r="C62">
        <v>457</v>
      </c>
      <c t="s" s="131" r="D62">
        <v>320</v>
      </c>
      <c t="s" s="131" r="E62">
        <v>458</v>
      </c>
      <c s="46" r="F62"/>
    </row>
    <row r="63">
      <c s="10" r="A63"/>
      <c t="s" s="131" r="B63">
        <v>459</v>
      </c>
      <c t="s" s="84" r="C63">
        <v>460</v>
      </c>
      <c t="s" s="131" r="D63">
        <v>437</v>
      </c>
      <c t="s" s="131" r="E63">
        <v>461</v>
      </c>
      <c s="46" r="F63"/>
    </row>
    <row r="64">
      <c s="10" r="A64"/>
      <c t="s" s="131" r="B64">
        <v>462</v>
      </c>
      <c t="s" s="131" r="C64">
        <v>463</v>
      </c>
      <c t="s" s="131" r="D64">
        <v>67</v>
      </c>
      <c t="s" s="131" r="E64">
        <v>464</v>
      </c>
      <c s="46" r="F64"/>
    </row>
    <row r="65">
      <c s="10" r="A65"/>
      <c t="s" s="131" r="B65">
        <v>465</v>
      </c>
      <c t="s" s="131" r="C65">
        <v>466</v>
      </c>
      <c t="s" s="131" r="D65">
        <v>467</v>
      </c>
      <c t="s" s="131" r="E65">
        <v>468</v>
      </c>
      <c s="46" r="F65"/>
    </row>
    <row r="66">
      <c s="10" r="A66"/>
      <c t="s" s="131" r="B66">
        <v>69</v>
      </c>
      <c t="s" s="131" r="C66">
        <v>469</v>
      </c>
      <c t="s" s="131" r="D66">
        <v>189</v>
      </c>
      <c t="s" s="131" r="E66">
        <v>470</v>
      </c>
      <c s="46" r="F66"/>
    </row>
    <row r="67">
      <c s="10" r="A67"/>
      <c t="s" s="131" r="B67">
        <v>52</v>
      </c>
      <c t="s" s="131" r="C67">
        <v>471</v>
      </c>
      <c t="s" s="131" r="D67">
        <v>472</v>
      </c>
      <c t="s" s="131" r="E67">
        <v>473</v>
      </c>
      <c s="46" r="F67"/>
    </row>
    <row r="68">
      <c s="10" r="A68"/>
      <c t="s" s="131" r="B68">
        <v>66</v>
      </c>
      <c t="s" s="131" r="C68">
        <v>474</v>
      </c>
      <c t="s" s="131" r="D68">
        <v>194</v>
      </c>
      <c t="s" s="131" r="E68">
        <v>475</v>
      </c>
      <c s="46" r="F68"/>
    </row>
    <row r="69">
      <c s="10" r="A69"/>
      <c t="s" s="131" r="B69">
        <v>476</v>
      </c>
      <c t="s" s="131" r="C69">
        <v>477</v>
      </c>
      <c t="s" s="131" r="D69">
        <v>143</v>
      </c>
      <c t="s" s="131" r="E69">
        <v>478</v>
      </c>
      <c s="46" r="F69"/>
    </row>
    <row r="70">
      <c s="10" r="A70"/>
      <c t="s" s="131" r="B70">
        <v>479</v>
      </c>
      <c t="s" s="131" r="C70">
        <v>159</v>
      </c>
      <c t="s" s="131" r="D70">
        <v>480</v>
      </c>
      <c t="s" s="131" r="E70">
        <v>481</v>
      </c>
      <c s="46" r="F70"/>
    </row>
    <row r="71">
      <c s="10" r="A71"/>
      <c t="s" s="131" r="B71">
        <v>482</v>
      </c>
      <c t="s" s="131" r="C71">
        <v>483</v>
      </c>
      <c t="s" s="131" r="D71">
        <v>98</v>
      </c>
      <c t="s" s="131" r="E71">
        <v>484</v>
      </c>
      <c s="46" r="F71"/>
    </row>
    <row r="72">
      <c s="10" r="A72"/>
      <c t="s" s="131" r="B72">
        <v>485</v>
      </c>
      <c t="s" s="131" r="C72">
        <v>22</v>
      </c>
      <c t="s" s="131" r="D72">
        <v>105</v>
      </c>
      <c t="s" s="131" r="E72">
        <v>122</v>
      </c>
      <c s="46" r="F72"/>
    </row>
    <row r="73">
      <c s="10" r="A73"/>
      <c t="s" s="131" r="B73">
        <v>486</v>
      </c>
      <c t="s" s="131" r="C73">
        <v>164</v>
      </c>
      <c t="s" s="131" r="D73">
        <v>487</v>
      </c>
      <c t="s" s="131" r="E73">
        <v>34</v>
      </c>
      <c s="46" r="F73"/>
    </row>
    <row r="74">
      <c s="10" r="A74"/>
      <c t="s" s="131" r="B74">
        <v>488</v>
      </c>
      <c t="s" s="131" r="C74">
        <v>489</v>
      </c>
      <c t="s" s="131" r="D74">
        <v>70</v>
      </c>
      <c t="s" s="131" r="E74">
        <v>83</v>
      </c>
      <c s="46" r="F74"/>
    </row>
    <row r="75">
      <c s="10" r="A75"/>
      <c t="s" s="131" r="B75">
        <v>106</v>
      </c>
      <c t="s" s="131" r="C75">
        <v>490</v>
      </c>
      <c t="s" s="131" r="D75">
        <v>26</v>
      </c>
      <c t="s" s="80" r="E75">
        <v>491</v>
      </c>
      <c s="46" r="F75"/>
    </row>
    <row r="76">
      <c s="10" r="A76"/>
      <c t="s" s="131" r="B76">
        <v>492</v>
      </c>
      <c t="s" s="131" r="C76">
        <v>190</v>
      </c>
      <c t="s" s="131" r="D76">
        <v>493</v>
      </c>
      <c t="s" s="66" r="E76">
        <v>494</v>
      </c>
      <c s="46" r="F76"/>
    </row>
    <row r="77">
      <c s="10" r="A77"/>
      <c t="s" s="131" r="B77">
        <v>37</v>
      </c>
      <c t="s" s="131" r="C77">
        <v>495</v>
      </c>
      <c t="s" s="131" r="D77">
        <v>183</v>
      </c>
      <c t="s" s="84" r="E77">
        <v>147</v>
      </c>
      <c s="46" r="F77"/>
    </row>
    <row r="78">
      <c s="10" r="A78"/>
      <c t="s" s="131" r="B78">
        <v>496</v>
      </c>
      <c s="15" r="C78"/>
      <c t="s" s="131" r="D78">
        <v>497</v>
      </c>
      <c t="s" s="131" r="E78">
        <v>498</v>
      </c>
      <c s="46" r="F78"/>
    </row>
    <row r="79">
      <c s="10" r="A79"/>
      <c t="s" s="131" r="B79">
        <v>209</v>
      </c>
      <c s="15" r="C79"/>
      <c t="s" s="131" r="D79">
        <v>85</v>
      </c>
      <c t="s" s="131" r="E79">
        <v>499</v>
      </c>
      <c s="46" r="F79"/>
    </row>
    <row r="80">
      <c s="10" r="A80"/>
      <c t="s" s="131" r="B80">
        <v>500</v>
      </c>
      <c s="15" r="C80"/>
      <c t="s" s="131" r="D80">
        <v>501</v>
      </c>
      <c t="s" s="131" r="E80">
        <v>172</v>
      </c>
      <c s="46" r="F80"/>
    </row>
    <row r="81">
      <c s="10" r="A81"/>
      <c t="s" s="131" r="B81">
        <v>502</v>
      </c>
      <c s="15" r="C81"/>
      <c t="s" s="131" r="D81">
        <v>198</v>
      </c>
      <c t="s" s="131" r="E81">
        <v>503</v>
      </c>
      <c s="46" r="F81"/>
    </row>
    <row r="82">
      <c s="10" r="A82"/>
      <c t="s" s="131" r="B82">
        <v>504</v>
      </c>
      <c s="15" r="C82"/>
      <c t="s" s="131" r="D82">
        <v>103</v>
      </c>
      <c t="s" s="131" r="E82">
        <v>505</v>
      </c>
      <c s="46" r="F82"/>
    </row>
    <row r="83">
      <c s="10" r="A83"/>
      <c t="s" s="131" r="B83">
        <v>109</v>
      </c>
      <c s="15" r="C83"/>
      <c t="s" s="131" r="D83">
        <v>95</v>
      </c>
      <c t="s" s="131" r="E83">
        <v>151</v>
      </c>
      <c s="46" r="F83"/>
    </row>
    <row r="84">
      <c s="10" r="A84"/>
      <c t="s" s="131" r="B84">
        <v>506</v>
      </c>
      <c s="15" r="C84"/>
      <c t="s" s="131" r="D84">
        <v>507</v>
      </c>
      <c t="s" s="131" r="E84">
        <v>155</v>
      </c>
      <c s="46" r="F84"/>
    </row>
    <row r="85">
      <c s="10" r="A85"/>
      <c t="s" s="131" r="B85">
        <v>508</v>
      </c>
      <c s="15" r="C85"/>
      <c s="15" r="D85"/>
      <c t="s" s="131" r="E85">
        <v>509</v>
      </c>
      <c s="46" r="F85"/>
    </row>
    <row r="86">
      <c s="10" r="A86"/>
      <c t="s" s="131" r="B86">
        <v>510</v>
      </c>
      <c s="15" r="C86"/>
      <c s="15" r="D86"/>
      <c t="s" s="131" r="E86">
        <v>511</v>
      </c>
      <c s="46" r="F86"/>
    </row>
    <row r="87">
      <c s="10" r="A87"/>
      <c t="s" s="131" r="B87">
        <v>512</v>
      </c>
      <c s="15" r="C87"/>
      <c s="15" r="D87"/>
      <c t="s" s="131" r="E87">
        <v>513</v>
      </c>
      <c s="46" r="F87"/>
    </row>
    <row r="88">
      <c s="10" r="A88"/>
      <c t="s" s="131" r="B88">
        <v>130</v>
      </c>
      <c s="15" r="C88"/>
      <c s="15" r="D88"/>
      <c t="s" s="131" r="E88">
        <v>18</v>
      </c>
      <c s="46" r="F88"/>
    </row>
    <row r="89">
      <c s="10" r="A89"/>
      <c t="s" s="131" r="B89">
        <v>514</v>
      </c>
      <c s="15" r="C89"/>
      <c s="15" r="D89"/>
      <c t="s" s="131" r="E89">
        <v>56</v>
      </c>
      <c s="46" r="F89"/>
    </row>
    <row r="90">
      <c s="10" r="A90"/>
      <c t="s" s="131" r="B90">
        <v>72</v>
      </c>
      <c s="15" r="C90"/>
      <c s="15" r="D90"/>
      <c t="s" s="131" r="E90">
        <v>515</v>
      </c>
      <c s="46" r="F90"/>
    </row>
    <row r="91">
      <c s="10" r="A91"/>
      <c s="15" r="B91"/>
      <c s="15" r="C91"/>
      <c s="15" r="D91"/>
      <c t="s" s="131" r="E91">
        <v>30</v>
      </c>
      <c s="46" r="F91"/>
    </row>
    <row r="92">
      <c s="10" r="A92"/>
      <c s="59" r="B92"/>
      <c s="59" r="C92"/>
      <c s="59" r="D92"/>
      <c t="s" s="80" r="E92">
        <v>186</v>
      </c>
      <c s="46" r="F92"/>
    </row>
  </sheetData>
  <mergeCells count="3">
    <mergeCell ref="B2:F2"/>
    <mergeCell ref="B31:E31"/>
    <mergeCell ref="B58:E58"/>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3.57"/>
    <col min="4" customWidth="1" max="4" width="20.71"/>
    <col min="5" customWidth="1" max="5" width="13.57"/>
  </cols>
  <sheetData>
    <row customHeight="1" r="1" ht="13.5">
      <c s="44" r="B1"/>
      <c s="44" r="C1"/>
      <c s="44" r="D1"/>
      <c s="44" r="E1"/>
    </row>
    <row customHeight="1" r="2" ht="14.25">
      <c s="10" r="A2"/>
      <c t="s" s="30" r="B2">
        <v>516</v>
      </c>
      <c t="s" s="30" r="C2">
        <v>3</v>
      </c>
      <c t="s" s="30" r="D2">
        <v>4</v>
      </c>
      <c t="s" s="30" r="E2">
        <v>5</v>
      </c>
      <c s="46" r="F2"/>
    </row>
    <row customHeight="1" r="3" ht="13.5">
      <c s="10" r="A3"/>
      <c t="s" s="29" r="B3">
        <v>517</v>
      </c>
      <c t="s" s="95" r="C3">
        <v>518</v>
      </c>
      <c t="s" s="95" r="D3">
        <v>519</v>
      </c>
      <c t="s" s="95" r="E3">
        <v>520</v>
      </c>
      <c s="46" r="F3"/>
    </row>
    <row r="4">
      <c s="10" r="A4"/>
      <c t="s" s="38" r="B4">
        <v>521</v>
      </c>
      <c t="s" s="65" r="C4">
        <v>518</v>
      </c>
      <c t="s" s="65" r="D4">
        <v>519</v>
      </c>
      <c t="s" s="65" r="E4">
        <v>520</v>
      </c>
      <c s="46" r="F4"/>
    </row>
    <row r="5">
      <c s="10" r="A5"/>
      <c t="s" s="38" r="B5">
        <v>449</v>
      </c>
      <c t="s" s="65" r="C5">
        <v>522</v>
      </c>
      <c t="s" s="65" r="D5">
        <v>523</v>
      </c>
      <c t="s" s="65" r="E5">
        <v>524</v>
      </c>
      <c s="46" r="F5"/>
    </row>
    <row r="6">
      <c s="10" r="A6"/>
      <c t="s" s="38" r="B6">
        <v>436</v>
      </c>
      <c t="s" s="65" r="C6">
        <v>522</v>
      </c>
      <c t="s" s="65" r="D6">
        <v>519</v>
      </c>
      <c t="s" s="65" r="E6">
        <v>520</v>
      </c>
      <c s="46" r="F6"/>
    </row>
    <row r="7">
      <c s="10" r="A7"/>
      <c t="s" s="38" r="B7">
        <v>87</v>
      </c>
      <c t="s" s="65" r="C7">
        <v>522</v>
      </c>
      <c t="s" s="65" r="D7">
        <v>519</v>
      </c>
      <c t="s" s="65" r="E7">
        <v>525</v>
      </c>
      <c s="46" r="F7"/>
    </row>
    <row r="8">
      <c s="10" r="A8"/>
      <c t="s" s="38" r="B8">
        <v>526</v>
      </c>
      <c t="s" s="65" r="C8">
        <v>518</v>
      </c>
      <c t="s" s="65" r="D8">
        <v>523</v>
      </c>
      <c t="s" s="65" r="E8">
        <v>524</v>
      </c>
      <c s="46" r="F8"/>
    </row>
    <row r="9">
      <c s="10" r="A9"/>
      <c t="s" s="38" r="B9">
        <v>96</v>
      </c>
      <c t="s" s="65" r="C9">
        <v>522</v>
      </c>
      <c t="s" s="65" r="D9">
        <v>519</v>
      </c>
      <c t="s" s="65" r="E9">
        <v>525</v>
      </c>
      <c s="46" r="F9"/>
    </row>
    <row r="10">
      <c s="10" r="A10"/>
      <c t="s" s="38" r="B10">
        <v>421</v>
      </c>
      <c t="s" s="65" r="C10">
        <v>522</v>
      </c>
      <c t="s" s="65" r="D10">
        <v>519</v>
      </c>
      <c t="s" s="65" r="E10">
        <v>520</v>
      </c>
      <c s="46" r="F10"/>
    </row>
    <row r="11">
      <c s="10" r="A11"/>
      <c t="s" s="38" r="B11">
        <v>138</v>
      </c>
      <c t="s" s="65" r="C11">
        <v>518</v>
      </c>
      <c t="s" s="65" r="D11">
        <v>523</v>
      </c>
      <c t="s" s="65" r="E11">
        <v>524</v>
      </c>
      <c s="46" r="F11"/>
    </row>
    <row r="12">
      <c s="10" r="A12"/>
      <c t="s" s="38" r="B12">
        <v>452</v>
      </c>
      <c t="s" s="65" r="C12">
        <v>522</v>
      </c>
      <c t="s" s="65" r="D12">
        <v>523</v>
      </c>
      <c t="s" s="65" r="E12">
        <v>524</v>
      </c>
      <c s="46" r="F12"/>
    </row>
    <row r="13">
      <c s="10" r="A13"/>
      <c t="s" s="38" r="B13">
        <v>527</v>
      </c>
      <c t="s" s="65" r="C13">
        <v>518</v>
      </c>
      <c t="s" s="65" r="D13">
        <v>519</v>
      </c>
      <c t="s" s="65" r="E13">
        <v>520</v>
      </c>
      <c s="46" r="F13"/>
    </row>
    <row r="14">
      <c s="10" r="A14"/>
      <c t="s" s="38" r="B14">
        <v>424</v>
      </c>
      <c t="s" s="65" r="C14">
        <v>522</v>
      </c>
      <c t="s" s="65" r="D14">
        <v>519</v>
      </c>
      <c t="s" s="65" r="E14">
        <v>520</v>
      </c>
      <c s="46" r="F14"/>
    </row>
    <row r="15">
      <c s="10" r="A15"/>
      <c t="s" s="38" r="B15">
        <v>39</v>
      </c>
      <c t="s" s="65" r="C15">
        <v>518</v>
      </c>
      <c t="s" s="65" r="D15">
        <v>523</v>
      </c>
      <c t="s" s="65" r="E15">
        <v>524</v>
      </c>
      <c s="46" r="F15"/>
    </row>
    <row r="16">
      <c s="10" r="A16"/>
      <c t="s" s="38" r="B16">
        <v>456</v>
      </c>
      <c t="s" s="65" r="C16">
        <v>522</v>
      </c>
      <c t="s" s="65" r="D16">
        <v>523</v>
      </c>
      <c t="s" s="65" r="E16">
        <v>524</v>
      </c>
      <c s="46" r="F16"/>
    </row>
    <row r="17">
      <c s="10" r="A17"/>
      <c t="s" s="38" r="B17">
        <v>528</v>
      </c>
      <c t="s" s="65" r="C17">
        <v>518</v>
      </c>
      <c t="s" s="65" r="D17">
        <v>519</v>
      </c>
      <c t="s" s="65" r="E17">
        <v>520</v>
      </c>
      <c s="46" r="F17"/>
    </row>
    <row r="18">
      <c s="10" r="A18"/>
      <c t="s" s="38" r="B18">
        <v>373</v>
      </c>
      <c t="s" s="65" r="C18">
        <v>522</v>
      </c>
      <c t="s" s="65" r="D18">
        <v>519</v>
      </c>
      <c t="s" s="65" r="E18">
        <v>525</v>
      </c>
      <c s="46" r="F18"/>
    </row>
    <row r="19">
      <c s="10" r="A19"/>
      <c t="s" s="38" r="B19">
        <v>529</v>
      </c>
      <c t="s" s="65" r="C19">
        <v>518</v>
      </c>
      <c t="s" s="65" r="D19">
        <v>523</v>
      </c>
      <c t="s" s="65" r="E19">
        <v>524</v>
      </c>
      <c s="46" r="F19"/>
    </row>
    <row r="20">
      <c s="10" r="A20"/>
      <c t="s" s="38" r="B20">
        <v>140</v>
      </c>
      <c t="s" s="65" r="C20">
        <v>522</v>
      </c>
      <c t="s" s="65" r="D20">
        <v>519</v>
      </c>
      <c t="s" s="65" r="E20">
        <v>525</v>
      </c>
      <c s="46" r="F20"/>
    </row>
    <row r="21">
      <c s="10" r="A21"/>
      <c t="s" s="38" r="B21">
        <v>530</v>
      </c>
      <c t="s" s="65" r="C21">
        <v>518</v>
      </c>
      <c t="s" s="65" r="D21">
        <v>519</v>
      </c>
      <c t="s" s="65" r="E21">
        <v>525</v>
      </c>
      <c s="46" r="F21"/>
    </row>
    <row r="22">
      <c s="10" r="A22"/>
      <c t="s" s="38" r="B22">
        <v>450</v>
      </c>
      <c t="s" s="65" r="C22">
        <v>522</v>
      </c>
      <c t="s" s="65" r="D22">
        <v>523</v>
      </c>
      <c t="s" s="65" r="E22">
        <v>524</v>
      </c>
      <c s="46" r="F22"/>
    </row>
    <row r="23">
      <c s="10" r="A23"/>
      <c t="s" s="38" r="B23">
        <v>531</v>
      </c>
      <c t="s" s="65" r="C23">
        <v>518</v>
      </c>
      <c t="s" s="65" r="D23">
        <v>523</v>
      </c>
      <c t="s" s="65" r="E23">
        <v>524</v>
      </c>
      <c s="46" r="F23"/>
    </row>
    <row r="24">
      <c s="10" r="A24"/>
      <c t="s" s="38" r="B24">
        <v>532</v>
      </c>
      <c t="s" s="65" r="C24">
        <v>518</v>
      </c>
      <c t="s" s="65" r="D24">
        <v>519</v>
      </c>
      <c t="s" s="65" r="E24">
        <v>525</v>
      </c>
      <c s="46" r="F24"/>
    </row>
    <row r="25">
      <c s="10" r="A25"/>
      <c t="s" s="38" r="B25">
        <v>533</v>
      </c>
      <c t="s" s="65" r="C25">
        <v>518</v>
      </c>
      <c t="s" s="65" r="D25">
        <v>519</v>
      </c>
      <c t="s" s="65" r="E25">
        <v>525</v>
      </c>
      <c s="46" r="F25"/>
    </row>
    <row r="26">
      <c s="10" r="A26"/>
      <c t="s" s="38" r="B26">
        <v>317</v>
      </c>
      <c t="s" s="65" r="C26">
        <v>522</v>
      </c>
      <c t="s" s="65" r="D26">
        <v>519</v>
      </c>
      <c t="s" s="65" r="E26">
        <v>525</v>
      </c>
      <c s="46" r="F26"/>
    </row>
    <row r="27">
      <c s="10" r="A27"/>
      <c t="s" s="38" r="B27">
        <v>9</v>
      </c>
      <c t="s" s="65" r="C27">
        <v>518</v>
      </c>
      <c t="s" s="65" r="D27">
        <v>523</v>
      </c>
      <c t="s" s="65" r="E27">
        <v>524</v>
      </c>
      <c s="46" r="F27"/>
    </row>
    <row r="28">
      <c s="10" r="A28"/>
      <c t="s" s="38" r="B28">
        <v>435</v>
      </c>
      <c t="s" s="65" r="C28">
        <v>522</v>
      </c>
      <c t="s" s="65" r="D28">
        <v>519</v>
      </c>
      <c t="s" s="65" r="E28">
        <v>520</v>
      </c>
      <c s="46" r="F28"/>
    </row>
    <row r="29">
      <c s="10" r="A29"/>
      <c t="s" s="38" r="B29">
        <v>534</v>
      </c>
      <c t="s" s="65" r="C29">
        <v>518</v>
      </c>
      <c t="s" s="65" r="D29">
        <v>519</v>
      </c>
      <c t="s" s="65" r="E29">
        <v>520</v>
      </c>
      <c s="46" r="F29"/>
    </row>
    <row r="30">
      <c s="10" r="A30"/>
      <c t="s" s="38" r="B30">
        <v>459</v>
      </c>
      <c t="s" s="65" r="C30">
        <v>522</v>
      </c>
      <c t="s" s="65" r="D30">
        <v>523</v>
      </c>
      <c t="s" s="65" r="E30">
        <v>524</v>
      </c>
      <c s="46" r="F30"/>
    </row>
    <row r="31">
      <c s="10" r="A31"/>
      <c t="s" s="38" r="B31">
        <v>318</v>
      </c>
      <c t="s" s="65" r="C31">
        <v>522</v>
      </c>
      <c t="s" s="65" r="D31">
        <v>519</v>
      </c>
      <c t="s" s="65" r="E31">
        <v>525</v>
      </c>
      <c s="46" r="F31"/>
    </row>
    <row r="32">
      <c s="10" r="A32"/>
      <c t="s" s="38" r="B32">
        <v>535</v>
      </c>
      <c t="s" s="65" r="C32">
        <v>518</v>
      </c>
      <c t="s" s="65" r="D32">
        <v>519</v>
      </c>
      <c t="s" s="65" r="E32">
        <v>525</v>
      </c>
      <c s="46" r="F32"/>
    </row>
    <row r="33">
      <c s="10" r="A33"/>
      <c t="s" s="38" r="B33">
        <v>462</v>
      </c>
      <c t="s" s="65" r="C33">
        <v>522</v>
      </c>
      <c t="s" s="65" r="D33">
        <v>523</v>
      </c>
      <c t="s" s="65" r="E33">
        <v>524</v>
      </c>
      <c s="46" r="F33"/>
    </row>
    <row r="34">
      <c s="10" r="A34"/>
      <c t="s" s="38" r="B34">
        <v>454</v>
      </c>
      <c t="s" s="65" r="C34">
        <v>522</v>
      </c>
      <c t="s" s="65" r="D34">
        <v>523</v>
      </c>
      <c t="s" s="65" r="E34">
        <v>524</v>
      </c>
      <c s="46" r="F34"/>
    </row>
    <row r="35">
      <c s="10" r="A35"/>
      <c t="s" s="38" r="B35">
        <v>536</v>
      </c>
      <c t="s" s="65" r="C35">
        <v>518</v>
      </c>
      <c t="s" s="65" r="D35">
        <v>519</v>
      </c>
      <c t="s" s="65" r="E35">
        <v>525</v>
      </c>
      <c s="46" r="F35"/>
    </row>
    <row r="36">
      <c s="10" r="A36"/>
      <c t="s" s="38" r="B36">
        <v>465</v>
      </c>
      <c t="s" s="65" r="C36">
        <v>522</v>
      </c>
      <c t="s" s="65" r="D36">
        <v>523</v>
      </c>
      <c t="s" s="65" r="E36">
        <v>524</v>
      </c>
      <c s="46" r="F36"/>
    </row>
    <row r="37">
      <c s="10" r="A37"/>
      <c t="s" s="38" r="B37">
        <v>537</v>
      </c>
      <c t="s" s="65" r="C37">
        <v>518</v>
      </c>
      <c t="s" s="65" r="D37">
        <v>523</v>
      </c>
      <c t="s" s="65" r="E37">
        <v>524</v>
      </c>
      <c s="46" r="F37"/>
    </row>
    <row r="38">
      <c s="10" r="A38"/>
      <c t="s" s="38" r="B38">
        <v>538</v>
      </c>
      <c t="s" s="65" r="C38">
        <v>518</v>
      </c>
      <c t="s" s="65" r="D38">
        <v>519</v>
      </c>
      <c t="s" s="65" r="E38">
        <v>525</v>
      </c>
      <c s="46" r="F38"/>
    </row>
    <row r="39">
      <c s="10" r="A39"/>
      <c t="s" s="38" r="B39">
        <v>142</v>
      </c>
      <c t="s" s="65" r="C39">
        <v>518</v>
      </c>
      <c t="s" s="65" r="D39">
        <v>519</v>
      </c>
      <c t="s" s="65" r="E39">
        <v>525</v>
      </c>
      <c s="46" r="F39"/>
    </row>
    <row r="40">
      <c s="10" r="A40"/>
      <c t="s" s="38" r="B40">
        <v>539</v>
      </c>
      <c t="s" s="65" r="C40">
        <v>518</v>
      </c>
      <c t="s" s="65" r="D40">
        <v>519</v>
      </c>
      <c t="s" s="65" r="E40">
        <v>525</v>
      </c>
      <c s="46" r="F40"/>
    </row>
    <row r="41">
      <c s="10" r="A41"/>
      <c t="s" s="38" r="B41">
        <v>144</v>
      </c>
      <c t="s" s="65" r="C41">
        <v>518</v>
      </c>
      <c t="s" s="65" r="D41">
        <v>519</v>
      </c>
      <c t="s" s="65" r="E41">
        <v>520</v>
      </c>
      <c s="46" r="F41"/>
    </row>
    <row r="42">
      <c s="10" r="A42"/>
      <c t="s" s="38" r="B42">
        <v>381</v>
      </c>
      <c t="s" s="65" r="C42">
        <v>522</v>
      </c>
      <c t="s" s="65" r="D42">
        <v>519</v>
      </c>
      <c t="s" s="65" r="E42">
        <v>525</v>
      </c>
      <c s="46" r="F42"/>
    </row>
    <row r="43">
      <c s="10" r="A43"/>
      <c t="s" s="38" r="B43">
        <v>92</v>
      </c>
      <c t="s" s="65" r="C43">
        <v>522</v>
      </c>
      <c t="s" s="65" r="D43">
        <v>519</v>
      </c>
      <c t="s" s="65" r="E43">
        <v>520</v>
      </c>
      <c s="46" r="F43"/>
    </row>
    <row r="44">
      <c s="10" r="A44"/>
      <c t="s" s="38" r="B44">
        <v>147</v>
      </c>
      <c t="s" s="65" r="C44">
        <v>522</v>
      </c>
      <c t="s" s="65" r="D44">
        <v>523</v>
      </c>
      <c t="s" s="65" r="E44">
        <v>524</v>
      </c>
      <c s="46" r="F44"/>
    </row>
    <row r="45">
      <c s="10" r="A45"/>
      <c t="s" s="38" r="B45">
        <v>401</v>
      </c>
      <c t="s" s="65" r="C45">
        <v>522</v>
      </c>
      <c t="s" s="65" r="D45">
        <v>519</v>
      </c>
      <c t="s" s="65" r="E45">
        <v>520</v>
      </c>
      <c s="46" r="F45"/>
    </row>
    <row r="46">
      <c s="10" r="A46"/>
      <c t="s" s="38" r="B46">
        <v>346</v>
      </c>
      <c t="s" s="65" r="C46">
        <v>522</v>
      </c>
      <c t="s" s="65" r="D46">
        <v>519</v>
      </c>
      <c t="s" s="65" r="E46">
        <v>525</v>
      </c>
      <c s="46" r="F46"/>
    </row>
    <row r="47">
      <c s="10" r="A47"/>
      <c t="s" s="38" r="B47">
        <v>380</v>
      </c>
      <c t="s" s="65" r="C47">
        <v>522</v>
      </c>
      <c t="s" s="65" r="D47">
        <v>519</v>
      </c>
      <c t="s" s="65" r="E47">
        <v>525</v>
      </c>
      <c s="46" r="F47"/>
    </row>
    <row r="48">
      <c s="10" r="A48"/>
      <c t="s" s="38" r="B48">
        <v>540</v>
      </c>
      <c t="s" s="65" r="C48">
        <v>518</v>
      </c>
      <c t="s" s="65" r="D48">
        <v>519</v>
      </c>
      <c t="s" s="65" r="E48">
        <v>525</v>
      </c>
      <c s="46" r="F48"/>
    </row>
    <row r="49">
      <c s="10" r="A49"/>
      <c t="s" s="38" r="B49">
        <v>384</v>
      </c>
      <c t="s" s="65" r="C49">
        <v>522</v>
      </c>
      <c t="s" s="65" r="D49">
        <v>519</v>
      </c>
      <c t="s" s="65" r="E49">
        <v>525</v>
      </c>
      <c s="46" r="F49"/>
    </row>
    <row r="50">
      <c s="10" r="A50"/>
      <c t="s" s="38" r="B50">
        <v>388</v>
      </c>
      <c t="s" s="65" r="C50">
        <v>522</v>
      </c>
      <c t="s" s="65" r="D50">
        <v>519</v>
      </c>
      <c t="s" s="65" r="E50">
        <v>525</v>
      </c>
      <c s="46" r="F50"/>
    </row>
    <row r="51">
      <c s="10" r="A51"/>
      <c t="s" s="38" r="B51">
        <v>150</v>
      </c>
      <c t="s" s="65" r="C51">
        <v>522</v>
      </c>
      <c t="s" s="65" r="D51">
        <v>519</v>
      </c>
      <c t="s" s="65" r="E51">
        <v>525</v>
      </c>
      <c s="46" r="F51"/>
    </row>
    <row r="52">
      <c s="10" r="A52"/>
      <c t="s" s="38" r="B52">
        <v>327</v>
      </c>
      <c t="s" s="65" r="C52">
        <v>522</v>
      </c>
      <c t="s" s="65" r="D52">
        <v>519</v>
      </c>
      <c t="s" s="65" r="E52">
        <v>525</v>
      </c>
      <c s="46" r="F52"/>
    </row>
    <row r="53">
      <c s="10" r="A53"/>
      <c t="s" s="38" r="B53">
        <v>61</v>
      </c>
      <c t="s" s="65" r="C53">
        <v>522</v>
      </c>
      <c t="s" s="65" r="D53">
        <v>519</v>
      </c>
      <c t="s" s="65" r="E53">
        <v>525</v>
      </c>
      <c s="46" r="F53"/>
    </row>
    <row r="54">
      <c s="10" r="A54"/>
      <c t="s" s="38" r="B54">
        <v>541</v>
      </c>
      <c t="s" s="65" r="C54">
        <v>518</v>
      </c>
      <c t="s" s="65" r="D54">
        <v>519</v>
      </c>
      <c t="s" s="65" r="E54">
        <v>520</v>
      </c>
      <c s="46" r="F54"/>
    </row>
    <row r="55">
      <c s="10" r="A55"/>
      <c t="s" s="38" r="B55">
        <v>542</v>
      </c>
      <c t="s" s="65" r="C55">
        <v>518</v>
      </c>
      <c t="s" s="65" r="D55">
        <v>519</v>
      </c>
      <c t="s" s="65" r="E55">
        <v>520</v>
      </c>
      <c s="46" r="F55"/>
    </row>
    <row r="56">
      <c s="10" r="A56"/>
      <c t="s" s="38" r="B56">
        <v>543</v>
      </c>
      <c t="s" s="65" r="C56">
        <v>518</v>
      </c>
      <c t="s" s="65" r="D56">
        <v>519</v>
      </c>
      <c t="s" s="65" r="E56">
        <v>520</v>
      </c>
      <c s="46" r="F56"/>
    </row>
    <row r="57">
      <c s="10" r="A57"/>
      <c t="s" s="38" r="B57">
        <v>152</v>
      </c>
      <c t="s" s="65" r="C57">
        <v>518</v>
      </c>
      <c t="s" s="65" r="D57">
        <v>519</v>
      </c>
      <c t="s" s="65" r="E57">
        <v>525</v>
      </c>
      <c s="46" r="F57"/>
    </row>
    <row r="58">
      <c s="10" r="A58"/>
      <c t="s" s="38" r="B58">
        <v>400</v>
      </c>
      <c t="s" s="65" r="C58">
        <v>522</v>
      </c>
      <c t="s" s="65" r="D58">
        <v>519</v>
      </c>
      <c t="s" s="65" r="E58">
        <v>520</v>
      </c>
      <c s="46" r="F58"/>
    </row>
    <row r="59">
      <c s="10" r="A59"/>
      <c t="s" s="38" r="B59">
        <v>69</v>
      </c>
      <c t="s" s="65" r="C59">
        <v>522</v>
      </c>
      <c t="s" s="65" r="D59">
        <v>523</v>
      </c>
      <c t="s" s="65" r="E59">
        <v>524</v>
      </c>
      <c s="46" r="F59"/>
    </row>
    <row r="60">
      <c s="10" r="A60"/>
      <c t="s" s="38" r="B60">
        <v>50</v>
      </c>
      <c t="s" s="65" r="C60">
        <v>518</v>
      </c>
      <c t="s" s="65" r="D60">
        <v>519</v>
      </c>
      <c t="s" s="65" r="E60">
        <v>525</v>
      </c>
      <c s="46" r="F60"/>
    </row>
    <row r="61">
      <c s="10" r="A61"/>
      <c t="s" s="38" r="B61">
        <v>343</v>
      </c>
      <c t="s" s="65" r="C61">
        <v>522</v>
      </c>
      <c t="s" s="65" r="D61">
        <v>519</v>
      </c>
      <c t="s" s="65" r="E61">
        <v>525</v>
      </c>
      <c s="46" r="F61"/>
    </row>
    <row r="62">
      <c s="10" r="A62"/>
      <c t="s" s="38" r="B62">
        <v>360</v>
      </c>
      <c t="s" s="65" r="C62">
        <v>522</v>
      </c>
      <c t="s" s="65" r="D62">
        <v>519</v>
      </c>
      <c t="s" s="65" r="E62">
        <v>525</v>
      </c>
      <c s="46" r="F62"/>
    </row>
    <row r="63">
      <c s="10" r="A63"/>
      <c t="s" s="38" r="B63">
        <v>52</v>
      </c>
      <c t="s" s="65" r="C63">
        <v>522</v>
      </c>
      <c t="s" s="65" r="D63">
        <v>523</v>
      </c>
      <c t="s" s="65" r="E63">
        <v>524</v>
      </c>
      <c s="46" r="F63"/>
    </row>
    <row r="64">
      <c s="10" r="A64"/>
      <c t="s" s="38" r="B64">
        <v>544</v>
      </c>
      <c t="s" s="65" r="C64">
        <v>518</v>
      </c>
      <c t="s" s="65" r="D64">
        <v>523</v>
      </c>
      <c t="s" s="65" r="E64">
        <v>524</v>
      </c>
      <c s="46" r="F64"/>
    </row>
    <row r="65">
      <c s="10" r="A65"/>
      <c t="s" s="38" r="B65">
        <v>545</v>
      </c>
      <c t="s" s="65" r="C65">
        <v>518</v>
      </c>
      <c t="s" s="65" r="D65">
        <v>523</v>
      </c>
      <c t="s" s="65" r="E65">
        <v>524</v>
      </c>
      <c s="46" r="F65"/>
    </row>
    <row r="66">
      <c s="10" r="A66"/>
      <c t="s" s="38" r="B66">
        <v>546</v>
      </c>
      <c t="s" s="65" r="C66">
        <v>518</v>
      </c>
      <c t="s" s="65" r="D66">
        <v>523</v>
      </c>
      <c t="s" s="65" r="E66">
        <v>524</v>
      </c>
      <c s="46" r="F66"/>
    </row>
    <row r="67">
      <c s="10" r="A67"/>
      <c t="s" s="38" r="B67">
        <v>66</v>
      </c>
      <c t="s" s="65" r="C67">
        <v>522</v>
      </c>
      <c t="s" s="65" r="D67">
        <v>519</v>
      </c>
      <c t="s" s="65" r="E67">
        <v>520</v>
      </c>
      <c s="46" r="F67"/>
    </row>
    <row r="68">
      <c s="10" r="A68"/>
      <c t="s" s="38" r="B68">
        <v>547</v>
      </c>
      <c t="s" s="65" r="C68">
        <v>518</v>
      </c>
      <c t="s" s="65" r="D68">
        <v>523</v>
      </c>
      <c t="s" s="65" r="E68">
        <v>524</v>
      </c>
      <c s="46" r="F68"/>
    </row>
    <row r="69">
      <c s="10" r="A69"/>
      <c t="s" s="38" r="B69">
        <v>548</v>
      </c>
      <c t="s" s="65" r="C69">
        <v>518</v>
      </c>
      <c t="s" s="65" r="D69">
        <v>519</v>
      </c>
      <c t="s" s="65" r="E69">
        <v>520</v>
      </c>
      <c s="46" r="F69"/>
    </row>
    <row r="70">
      <c s="10" r="A70"/>
      <c t="s" s="38" r="B70">
        <v>549</v>
      </c>
      <c t="s" s="65" r="C70">
        <v>518</v>
      </c>
      <c t="s" s="65" r="D70">
        <v>519</v>
      </c>
      <c t="s" s="65" r="E70">
        <v>525</v>
      </c>
      <c s="46" r="F70"/>
    </row>
    <row r="71">
      <c s="10" r="A71"/>
      <c t="s" s="38" r="B71">
        <v>320</v>
      </c>
      <c t="s" s="65" r="C71">
        <v>522</v>
      </c>
      <c t="s" s="65" r="D71">
        <v>519</v>
      </c>
      <c t="s" s="65" r="E71">
        <v>525</v>
      </c>
      <c s="46" r="F71"/>
    </row>
    <row r="72">
      <c s="10" r="A72"/>
      <c t="s" s="38" r="B72">
        <v>550</v>
      </c>
      <c t="s" s="65" r="C72">
        <v>518</v>
      </c>
      <c t="s" s="65" r="D72">
        <v>519</v>
      </c>
      <c t="s" s="65" r="E72">
        <v>525</v>
      </c>
      <c s="46" r="F72"/>
    </row>
    <row r="73">
      <c s="10" r="A73"/>
      <c t="s" s="38" r="B73">
        <v>437</v>
      </c>
      <c t="s" s="65" r="C73">
        <v>522</v>
      </c>
      <c t="s" s="65" r="D73">
        <v>519</v>
      </c>
      <c t="s" s="65" r="E73">
        <v>520</v>
      </c>
      <c s="46" r="F73"/>
    </row>
    <row r="74">
      <c s="10" r="A74"/>
      <c t="s" s="38" r="B74">
        <v>323</v>
      </c>
      <c t="s" s="65" r="C74">
        <v>522</v>
      </c>
      <c t="s" s="65" r="D74">
        <v>519</v>
      </c>
      <c t="s" s="65" r="E74">
        <v>525</v>
      </c>
      <c s="46" r="F74"/>
    </row>
    <row r="75">
      <c s="10" r="A75"/>
      <c t="s" s="38" r="B75">
        <v>476</v>
      </c>
      <c t="s" s="65" r="C75">
        <v>522</v>
      </c>
      <c t="s" s="65" r="D75">
        <v>523</v>
      </c>
      <c t="s" s="65" r="E75">
        <v>524</v>
      </c>
      <c s="46" r="F75"/>
    </row>
    <row r="76">
      <c s="10" r="A76"/>
      <c t="s" s="38" r="B76">
        <v>551</v>
      </c>
      <c t="s" s="65" r="C76">
        <v>518</v>
      </c>
      <c t="s" s="65" r="D76">
        <v>519</v>
      </c>
      <c t="s" s="65" r="E76">
        <v>525</v>
      </c>
      <c s="46" r="F76"/>
    </row>
    <row r="77">
      <c s="10" r="A77"/>
      <c t="s" s="38" r="B77">
        <v>451</v>
      </c>
      <c t="s" s="65" r="C77">
        <v>522</v>
      </c>
      <c t="s" s="65" r="D77">
        <v>523</v>
      </c>
      <c t="s" s="65" r="E77">
        <v>524</v>
      </c>
      <c s="46" r="F77"/>
    </row>
    <row r="78">
      <c s="10" r="A78"/>
      <c t="s" s="38" r="B78">
        <v>552</v>
      </c>
      <c t="s" s="65" r="C78">
        <v>518</v>
      </c>
      <c t="s" s="65" r="D78">
        <v>519</v>
      </c>
      <c t="s" s="65" r="E78">
        <v>520</v>
      </c>
      <c s="46" r="F78"/>
    </row>
    <row r="79">
      <c s="10" r="A79"/>
      <c t="s" s="38" r="B79">
        <v>553</v>
      </c>
      <c t="s" s="65" r="C79">
        <v>518</v>
      </c>
      <c t="s" s="65" r="D79">
        <v>519</v>
      </c>
      <c t="s" s="65" r="E79">
        <v>525</v>
      </c>
      <c s="46" r="F79"/>
    </row>
    <row r="80">
      <c s="10" r="A80"/>
      <c t="s" s="38" r="B80">
        <v>554</v>
      </c>
      <c t="s" s="65" r="C80">
        <v>518</v>
      </c>
      <c t="s" s="65" r="D80">
        <v>523</v>
      </c>
      <c t="s" s="65" r="E80">
        <v>524</v>
      </c>
      <c s="46" r="F80"/>
    </row>
    <row r="81">
      <c s="10" r="A81"/>
      <c t="s" s="38" r="B81">
        <v>555</v>
      </c>
      <c t="s" s="65" r="C81">
        <v>518</v>
      </c>
      <c t="s" s="65" r="D81">
        <v>523</v>
      </c>
      <c t="s" s="65" r="E81">
        <v>524</v>
      </c>
      <c s="46" r="F81"/>
    </row>
    <row r="82">
      <c s="10" r="A82"/>
      <c t="s" s="38" r="B82">
        <v>556</v>
      </c>
      <c t="s" s="65" r="C82">
        <v>518</v>
      </c>
      <c t="s" s="65" r="D82">
        <v>523</v>
      </c>
      <c t="s" s="65" r="E82">
        <v>524</v>
      </c>
      <c s="46" r="F82"/>
    </row>
    <row r="83">
      <c s="10" r="A83"/>
      <c t="s" s="38" r="B83">
        <v>479</v>
      </c>
      <c t="s" s="65" r="C83">
        <v>522</v>
      </c>
      <c t="s" s="65" r="D83">
        <v>523</v>
      </c>
      <c t="s" s="65" r="E83">
        <v>524</v>
      </c>
      <c s="46" r="F83"/>
    </row>
    <row r="84">
      <c s="10" r="A84"/>
      <c t="s" s="38" r="B84">
        <v>482</v>
      </c>
      <c t="s" s="65" r="C84">
        <v>522</v>
      </c>
      <c t="s" s="65" r="D84">
        <v>523</v>
      </c>
      <c t="s" s="65" r="E84">
        <v>524</v>
      </c>
      <c s="46" r="F84"/>
    </row>
    <row r="85">
      <c s="10" r="A85"/>
      <c t="s" s="38" r="B85">
        <v>557</v>
      </c>
      <c t="s" s="65" r="C85">
        <v>518</v>
      </c>
      <c t="s" s="65" r="D85">
        <v>523</v>
      </c>
      <c t="s" s="65" r="E85">
        <v>524</v>
      </c>
      <c s="46" r="F85"/>
    </row>
    <row r="86">
      <c s="10" r="A86"/>
      <c t="s" s="38" r="B86">
        <v>498</v>
      </c>
      <c t="s" s="65" r="C86">
        <v>522</v>
      </c>
      <c t="s" s="65" r="D86">
        <v>523</v>
      </c>
      <c t="s" s="65" r="E86">
        <v>525</v>
      </c>
      <c s="46" r="F86"/>
    </row>
    <row r="87">
      <c s="10" r="A87"/>
      <c t="s" s="38" r="B87">
        <v>154</v>
      </c>
      <c t="s" s="65" r="C87">
        <v>518</v>
      </c>
      <c t="s" s="65" r="D87">
        <v>519</v>
      </c>
      <c t="s" s="65" r="E87">
        <v>525</v>
      </c>
      <c s="46" r="F87"/>
    </row>
    <row r="88">
      <c s="10" r="A88"/>
      <c t="s" s="38" r="B88">
        <v>558</v>
      </c>
      <c t="s" s="65" r="C88">
        <v>522</v>
      </c>
      <c t="s" s="65" r="D88">
        <v>519</v>
      </c>
      <c t="s" s="65" r="E88">
        <v>525</v>
      </c>
      <c s="46" r="F88"/>
    </row>
    <row r="89">
      <c s="10" r="A89"/>
      <c t="s" s="38" r="B89">
        <v>326</v>
      </c>
      <c t="s" s="65" r="C89">
        <v>522</v>
      </c>
      <c t="s" s="65" r="D89">
        <v>519</v>
      </c>
      <c t="s" s="65" r="E89">
        <v>525</v>
      </c>
      <c s="46" r="F89"/>
    </row>
    <row r="90">
      <c s="10" r="A90"/>
      <c t="s" s="38" r="B90">
        <v>394</v>
      </c>
      <c t="s" s="65" r="C90">
        <v>522</v>
      </c>
      <c t="s" s="65" r="D90">
        <v>519</v>
      </c>
      <c t="s" s="65" r="E90">
        <v>525</v>
      </c>
      <c s="46" r="F90"/>
    </row>
    <row r="91">
      <c s="10" r="A91"/>
      <c t="s" s="38" r="B91">
        <v>332</v>
      </c>
      <c t="s" s="65" r="C91">
        <v>522</v>
      </c>
      <c t="s" s="65" r="D91">
        <v>519</v>
      </c>
      <c t="s" s="65" r="E91">
        <v>525</v>
      </c>
      <c s="46" r="F91"/>
    </row>
    <row r="92">
      <c s="10" r="A92"/>
      <c t="s" s="38" r="B92">
        <v>559</v>
      </c>
      <c t="s" s="65" r="C92">
        <v>518</v>
      </c>
      <c t="s" s="65" r="D92">
        <v>519</v>
      </c>
      <c t="s" s="65" r="E92">
        <v>525</v>
      </c>
      <c s="46" r="F92"/>
    </row>
    <row r="93">
      <c s="10" r="A93"/>
      <c t="s" s="38" r="B93">
        <v>416</v>
      </c>
      <c t="s" s="65" r="C93">
        <v>518</v>
      </c>
      <c t="s" s="65" r="D93">
        <v>519</v>
      </c>
      <c t="s" s="65" r="E93">
        <v>525</v>
      </c>
      <c s="46" r="F93"/>
    </row>
    <row r="94">
      <c s="10" r="A94"/>
      <c t="s" s="38" r="B94">
        <v>485</v>
      </c>
      <c t="s" s="65" r="C94">
        <v>522</v>
      </c>
      <c t="s" s="65" r="D94">
        <v>523</v>
      </c>
      <c t="s" s="65" r="E94">
        <v>524</v>
      </c>
      <c s="46" r="F94"/>
    </row>
    <row r="95">
      <c s="10" r="A95"/>
      <c t="s" s="38" r="B95">
        <v>116</v>
      </c>
      <c t="s" s="65" r="C95">
        <v>518</v>
      </c>
      <c t="s" s="65" r="D95">
        <v>519</v>
      </c>
      <c t="s" s="65" r="E95">
        <v>525</v>
      </c>
      <c s="46" r="F95"/>
    </row>
    <row r="96">
      <c s="10" r="A96"/>
      <c t="s" s="38" r="B96">
        <v>156</v>
      </c>
      <c t="s" s="65" r="C96">
        <v>522</v>
      </c>
      <c t="s" s="65" r="D96">
        <v>519</v>
      </c>
      <c t="s" s="65" r="E96">
        <v>520</v>
      </c>
      <c s="46" r="F96"/>
    </row>
    <row r="97">
      <c s="10" r="A97"/>
      <c t="s" s="38" r="B97">
        <v>455</v>
      </c>
      <c t="s" s="65" r="C97">
        <v>522</v>
      </c>
      <c t="s" s="65" r="D97">
        <v>523</v>
      </c>
      <c t="s" s="65" r="E97">
        <v>524</v>
      </c>
      <c s="46" r="F97"/>
    </row>
    <row r="98">
      <c s="10" r="A98"/>
      <c t="s" s="38" r="B98">
        <v>486</v>
      </c>
      <c t="s" s="65" r="C98">
        <v>522</v>
      </c>
      <c t="s" s="65" r="D98">
        <v>523</v>
      </c>
      <c t="s" s="65" r="E98">
        <v>524</v>
      </c>
      <c s="46" r="F98"/>
    </row>
    <row r="99">
      <c s="10" r="A99"/>
      <c t="s" s="38" r="B99">
        <v>560</v>
      </c>
      <c t="s" s="65" r="C99">
        <v>518</v>
      </c>
      <c t="s" s="65" r="D99">
        <v>523</v>
      </c>
      <c t="s" s="65" r="E99">
        <v>524</v>
      </c>
      <c s="46" r="F99"/>
    </row>
    <row r="100">
      <c s="10" r="A100"/>
      <c t="s" s="38" r="B100">
        <v>561</v>
      </c>
      <c t="s" s="65" r="C100">
        <v>518</v>
      </c>
      <c t="s" s="65" r="D100">
        <v>523</v>
      </c>
      <c t="s" s="65" r="E100">
        <v>524</v>
      </c>
      <c s="46" r="F100"/>
    </row>
    <row r="101">
      <c s="10" r="A101"/>
      <c t="s" s="38" r="B101">
        <v>499</v>
      </c>
      <c t="s" s="65" r="C101">
        <v>522</v>
      </c>
      <c t="s" s="65" r="D101">
        <v>523</v>
      </c>
      <c t="s" s="65" r="E101">
        <v>524</v>
      </c>
      <c s="46" r="F101"/>
    </row>
    <row r="102">
      <c s="10" r="A102"/>
      <c t="s" s="38" r="B102">
        <v>458</v>
      </c>
      <c t="s" s="65" r="C102">
        <v>522</v>
      </c>
      <c t="s" s="65" r="D102">
        <v>523</v>
      </c>
      <c t="s" s="65" r="E102">
        <v>524</v>
      </c>
      <c s="46" r="F102"/>
    </row>
    <row r="103">
      <c s="10" r="A103"/>
      <c t="s" s="38" r="B103">
        <v>48</v>
      </c>
      <c t="s" s="65" r="C103">
        <v>518</v>
      </c>
      <c t="s" s="65" r="D103">
        <v>519</v>
      </c>
      <c t="s" s="65" r="E103">
        <v>525</v>
      </c>
      <c s="46" r="F103"/>
    </row>
    <row r="104">
      <c s="10" r="A104"/>
      <c t="s" s="38" r="B104">
        <v>562</v>
      </c>
      <c t="s" s="65" r="C104">
        <v>522</v>
      </c>
      <c t="s" s="65" r="D104">
        <v>523</v>
      </c>
      <c t="s" s="65" r="E104">
        <v>524</v>
      </c>
      <c s="46" r="F104"/>
    </row>
    <row r="105">
      <c s="10" r="A105"/>
      <c t="s" s="38" r="B105">
        <v>423</v>
      </c>
      <c t="s" s="65" r="C105">
        <v>522</v>
      </c>
      <c t="s" s="65" r="D105">
        <v>519</v>
      </c>
      <c t="s" s="65" r="E105">
        <v>520</v>
      </c>
      <c s="46" r="F105"/>
    </row>
    <row r="106">
      <c s="10" r="A106"/>
      <c t="s" s="38" r="B106">
        <v>133</v>
      </c>
      <c t="s" s="65" r="C106">
        <v>518</v>
      </c>
      <c t="s" s="65" r="D106">
        <v>519</v>
      </c>
      <c t="s" s="65" r="E106">
        <v>525</v>
      </c>
      <c s="46" r="F106"/>
    </row>
    <row r="107">
      <c s="10" r="A107"/>
      <c t="s" s="38" r="B107">
        <v>563</v>
      </c>
      <c t="s" s="65" r="C107">
        <v>518</v>
      </c>
      <c t="s" s="65" r="D107">
        <v>519</v>
      </c>
      <c t="s" s="65" r="E107">
        <v>525</v>
      </c>
      <c s="46" r="F107"/>
    </row>
    <row r="108">
      <c s="10" r="A108"/>
      <c t="s" s="38" r="B108">
        <v>426</v>
      </c>
      <c t="s" s="65" r="C108">
        <v>522</v>
      </c>
      <c t="s" s="65" r="D108">
        <v>519</v>
      </c>
      <c t="s" s="65" r="E108">
        <v>520</v>
      </c>
      <c s="46" r="F108"/>
    </row>
    <row r="109">
      <c s="10" r="A109"/>
      <c t="s" s="38" r="B109">
        <v>564</v>
      </c>
      <c t="s" s="65" r="C109">
        <v>518</v>
      </c>
      <c t="s" s="65" r="D109">
        <v>519</v>
      </c>
      <c t="s" s="65" r="E109">
        <v>525</v>
      </c>
      <c s="46" r="F109"/>
    </row>
    <row r="110">
      <c s="10" r="A110"/>
      <c t="s" s="38" r="B110">
        <v>565</v>
      </c>
      <c t="s" s="65" r="C110">
        <v>518</v>
      </c>
      <c t="s" s="65" r="D110">
        <v>519</v>
      </c>
      <c t="s" s="65" r="E110">
        <v>525</v>
      </c>
      <c s="46" r="F110"/>
    </row>
    <row r="111">
      <c s="10" r="A111"/>
      <c t="s" s="38" r="B111">
        <v>11</v>
      </c>
      <c t="s" s="65" r="C111">
        <v>518</v>
      </c>
      <c t="s" s="65" r="D111">
        <v>523</v>
      </c>
      <c t="s" s="65" r="E111">
        <v>524</v>
      </c>
      <c s="46" r="F111"/>
    </row>
    <row r="112">
      <c s="10" r="A112"/>
      <c t="s" s="38" r="B112">
        <v>566</v>
      </c>
      <c t="s" s="65" r="C112">
        <v>522</v>
      </c>
      <c t="s" s="65" r="D112">
        <v>519</v>
      </c>
      <c t="s" s="65" r="E112">
        <v>525</v>
      </c>
      <c s="46" r="F112"/>
    </row>
    <row r="113">
      <c s="10" r="A113"/>
      <c t="s" s="38" r="B113">
        <v>567</v>
      </c>
      <c t="s" s="65" r="C113">
        <v>518</v>
      </c>
      <c t="s" s="65" r="D113">
        <v>519</v>
      </c>
      <c t="s" s="65" r="E113">
        <v>525</v>
      </c>
      <c s="46" r="F113"/>
    </row>
    <row r="114">
      <c s="10" r="A114"/>
      <c t="s" s="38" r="B114">
        <v>158</v>
      </c>
      <c t="s" s="65" r="C114">
        <v>522</v>
      </c>
      <c t="s" s="65" r="D114">
        <v>519</v>
      </c>
      <c t="s" s="65" r="E114">
        <v>520</v>
      </c>
      <c s="46" r="F114"/>
    </row>
    <row r="115">
      <c s="10" r="A115"/>
      <c t="s" s="38" r="B115">
        <v>43</v>
      </c>
      <c t="s" s="65" r="C115">
        <v>522</v>
      </c>
      <c t="s" s="65" r="D115">
        <v>519</v>
      </c>
      <c t="s" s="65" r="E115">
        <v>525</v>
      </c>
      <c s="46" r="F115"/>
    </row>
    <row r="116">
      <c s="10" r="A116"/>
      <c t="s" s="38" r="B116">
        <v>488</v>
      </c>
      <c t="s" s="65" r="C116">
        <v>522</v>
      </c>
      <c t="s" s="65" r="D116">
        <v>523</v>
      </c>
      <c t="s" s="65" r="E116">
        <v>524</v>
      </c>
      <c s="46" r="F116"/>
    </row>
    <row r="117">
      <c s="10" r="A117"/>
      <c t="s" s="38" r="B117">
        <v>160</v>
      </c>
      <c t="s" s="65" r="C117">
        <v>522</v>
      </c>
      <c t="s" s="65" r="D117">
        <v>519</v>
      </c>
      <c t="s" s="65" r="E117">
        <v>520</v>
      </c>
      <c s="46" r="F117"/>
    </row>
    <row r="118">
      <c s="10" r="A118"/>
      <c t="s" s="38" r="B118">
        <v>568</v>
      </c>
      <c t="s" s="65" r="C118">
        <v>518</v>
      </c>
      <c t="s" s="65" r="D118">
        <v>519</v>
      </c>
      <c t="s" s="65" r="E118">
        <v>520</v>
      </c>
      <c s="46" r="F118"/>
    </row>
    <row r="119">
      <c s="10" r="A119"/>
      <c t="s" s="38" r="B119">
        <v>362</v>
      </c>
      <c t="s" s="65" r="C119">
        <v>522</v>
      </c>
      <c t="s" s="65" r="D119">
        <v>519</v>
      </c>
      <c t="s" s="65" r="E119">
        <v>525</v>
      </c>
      <c s="46" r="F119"/>
    </row>
    <row r="120">
      <c s="10" r="A120"/>
      <c t="s" s="38" r="B120">
        <v>67</v>
      </c>
      <c t="s" s="65" r="C120">
        <v>522</v>
      </c>
      <c t="s" s="65" r="D120">
        <v>519</v>
      </c>
      <c t="s" s="65" r="E120">
        <v>525</v>
      </c>
      <c s="46" r="F120"/>
    </row>
    <row r="121">
      <c s="10" r="A121"/>
      <c t="s" s="38" r="B121">
        <v>569</v>
      </c>
      <c t="s" s="65" r="C121">
        <v>518</v>
      </c>
      <c t="s" s="65" r="D121">
        <v>519</v>
      </c>
      <c t="s" s="65" r="E121">
        <v>520</v>
      </c>
      <c s="46" r="F121"/>
    </row>
    <row r="122">
      <c s="10" r="A122"/>
      <c t="s" s="38" r="B122">
        <v>161</v>
      </c>
      <c t="s" s="65" r="C122">
        <v>522</v>
      </c>
      <c t="s" s="65" r="D122">
        <v>519</v>
      </c>
      <c t="s" s="65" r="E122">
        <v>525</v>
      </c>
      <c s="46" r="F122"/>
    </row>
    <row r="123">
      <c s="10" r="A123"/>
      <c t="s" s="38" r="B123">
        <v>80</v>
      </c>
      <c t="s" s="65" r="C123">
        <v>518</v>
      </c>
      <c t="s" s="65" r="D123">
        <v>519</v>
      </c>
      <c t="s" s="65" r="E123">
        <v>520</v>
      </c>
      <c s="46" r="F123"/>
    </row>
    <row r="124">
      <c s="10" r="A124"/>
      <c t="s" s="38" r="B124">
        <v>329</v>
      </c>
      <c t="s" s="65" r="C124">
        <v>522</v>
      </c>
      <c t="s" s="65" r="D124">
        <v>519</v>
      </c>
      <c t="s" s="65" r="E124">
        <v>525</v>
      </c>
      <c s="46" r="F124"/>
    </row>
    <row r="125">
      <c s="10" r="A125"/>
      <c t="s" s="38" r="B125">
        <v>163</v>
      </c>
      <c t="s" s="65" r="C125">
        <v>522</v>
      </c>
      <c t="s" s="65" r="D125">
        <v>519</v>
      </c>
      <c t="s" s="65" r="E125">
        <v>525</v>
      </c>
      <c s="46" r="F125"/>
    </row>
    <row r="126">
      <c s="10" r="A126"/>
      <c t="s" s="38" r="B126">
        <v>165</v>
      </c>
      <c t="s" s="65" r="C126">
        <v>522</v>
      </c>
      <c t="s" s="65" r="D126">
        <v>519</v>
      </c>
      <c t="s" s="65" r="E126">
        <v>525</v>
      </c>
      <c s="46" r="F126"/>
    </row>
    <row r="127">
      <c s="10" r="A127"/>
      <c t="s" s="38" r="B127">
        <v>570</v>
      </c>
      <c t="s" s="65" r="C127">
        <v>518</v>
      </c>
      <c t="s" s="65" r="D127">
        <v>519</v>
      </c>
      <c t="s" s="65" r="E127">
        <v>525</v>
      </c>
      <c s="46" r="F127"/>
    </row>
    <row r="128">
      <c s="10" r="A128"/>
      <c t="s" s="38" r="B128">
        <v>167</v>
      </c>
      <c t="s" s="65" r="C128">
        <v>522</v>
      </c>
      <c t="s" s="65" r="D128">
        <v>519</v>
      </c>
      <c t="s" s="65" r="E128">
        <v>520</v>
      </c>
      <c s="46" r="F128"/>
    </row>
    <row r="129">
      <c s="10" r="A129"/>
      <c t="s" s="38" r="B129">
        <v>38</v>
      </c>
      <c t="s" s="65" r="C129">
        <v>522</v>
      </c>
      <c t="s" s="65" r="D129">
        <v>519</v>
      </c>
      <c t="s" s="65" r="E129">
        <v>525</v>
      </c>
      <c s="46" r="F129"/>
    </row>
    <row r="130">
      <c s="10" r="A130"/>
      <c t="s" s="38" r="B130">
        <v>125</v>
      </c>
      <c t="s" s="65" r="C130">
        <v>518</v>
      </c>
      <c t="s" s="65" r="D130">
        <v>519</v>
      </c>
      <c t="s" s="65" r="E130">
        <v>520</v>
      </c>
      <c s="46" r="F130"/>
    </row>
    <row r="131">
      <c s="10" r="A131"/>
      <c t="s" s="38" r="B131">
        <v>571</v>
      </c>
      <c t="s" s="65" r="C131">
        <v>518</v>
      </c>
      <c t="s" s="65" r="D131">
        <v>519</v>
      </c>
      <c t="s" s="65" r="E131">
        <v>525</v>
      </c>
      <c s="46" r="F131"/>
    </row>
    <row r="132">
      <c s="10" r="A132"/>
      <c t="s" s="38" r="B132">
        <v>427</v>
      </c>
      <c t="s" s="65" r="C132">
        <v>522</v>
      </c>
      <c t="s" s="65" r="D132">
        <v>519</v>
      </c>
      <c t="s" s="65" r="E132">
        <v>520</v>
      </c>
      <c s="46" r="F132"/>
    </row>
    <row r="133">
      <c s="10" r="A133"/>
      <c t="s" s="38" r="B133">
        <v>170</v>
      </c>
      <c t="s" s="65" r="C133">
        <v>518</v>
      </c>
      <c t="s" s="65" r="D133">
        <v>519</v>
      </c>
      <c t="s" s="65" r="E133">
        <v>520</v>
      </c>
      <c s="46" r="F133"/>
    </row>
    <row r="134">
      <c s="10" r="A134"/>
      <c t="s" s="38" r="B134">
        <v>90</v>
      </c>
      <c t="s" s="65" r="C134">
        <v>518</v>
      </c>
      <c t="s" s="65" r="D134">
        <v>523</v>
      </c>
      <c t="s" s="65" r="E134">
        <v>524</v>
      </c>
      <c s="46" r="F134"/>
    </row>
    <row r="135">
      <c s="10" r="A135"/>
      <c t="s" s="38" r="B135">
        <v>572</v>
      </c>
      <c t="s" s="65" r="C135">
        <v>518</v>
      </c>
      <c t="s" s="65" r="D135">
        <v>519</v>
      </c>
      <c t="s" s="65" r="E135">
        <v>520</v>
      </c>
      <c s="46" r="F135"/>
    </row>
    <row r="136">
      <c s="10" r="A136"/>
      <c t="s" s="38" r="B136">
        <v>467</v>
      </c>
      <c t="s" s="65" r="C136">
        <v>522</v>
      </c>
      <c t="s" s="65" r="D136">
        <v>523</v>
      </c>
      <c t="s" s="65" r="E136">
        <v>524</v>
      </c>
      <c s="46" r="F136"/>
    </row>
    <row r="137">
      <c s="10" r="A137"/>
      <c t="s" s="38" r="B137">
        <v>172</v>
      </c>
      <c t="s" s="65" r="C137">
        <v>522</v>
      </c>
      <c t="s" s="65" r="D137">
        <v>523</v>
      </c>
      <c t="s" s="65" r="E137">
        <v>525</v>
      </c>
      <c s="46" r="F137"/>
    </row>
    <row r="138">
      <c s="10" r="A138"/>
      <c t="s" s="38" r="B138">
        <v>503</v>
      </c>
      <c t="s" s="65" r="C138">
        <v>522</v>
      </c>
      <c t="s" s="65" r="D138">
        <v>523</v>
      </c>
      <c t="s" s="65" r="E138">
        <v>524</v>
      </c>
      <c s="46" r="F138"/>
    </row>
    <row r="139">
      <c s="10" r="A139"/>
      <c t="s" s="38" r="B139">
        <v>49</v>
      </c>
      <c t="s" s="65" r="C139">
        <v>522</v>
      </c>
      <c t="s" s="65" r="D139">
        <v>519</v>
      </c>
      <c t="s" s="65" r="E139">
        <v>520</v>
      </c>
      <c s="46" r="F139"/>
    </row>
    <row r="140">
      <c s="10" r="A140"/>
      <c t="s" s="38" r="B140">
        <v>573</v>
      </c>
      <c t="s" s="65" r="C140">
        <v>518</v>
      </c>
      <c t="s" s="65" r="D140">
        <v>523</v>
      </c>
      <c t="s" s="65" r="E140">
        <v>524</v>
      </c>
      <c s="46" r="F140"/>
    </row>
    <row r="141">
      <c s="10" r="A141"/>
      <c t="s" s="38" r="B141">
        <v>403</v>
      </c>
      <c t="s" s="65" r="C141">
        <v>522</v>
      </c>
      <c t="s" s="65" r="D141">
        <v>519</v>
      </c>
      <c t="s" s="65" r="E141">
        <v>520</v>
      </c>
      <c s="46" r="F141"/>
    </row>
    <row r="142">
      <c s="10" r="A142"/>
      <c t="s" s="38" r="B142">
        <v>94</v>
      </c>
      <c t="s" s="65" r="C142">
        <v>518</v>
      </c>
      <c t="s" s="65" r="D142">
        <v>519</v>
      </c>
      <c t="s" s="65" r="E142">
        <v>525</v>
      </c>
      <c s="46" r="F142"/>
    </row>
    <row r="143">
      <c s="10" r="A143"/>
      <c t="s" s="38" r="B143">
        <v>402</v>
      </c>
      <c t="s" s="65" r="C143">
        <v>522</v>
      </c>
      <c t="s" s="65" r="D143">
        <v>519</v>
      </c>
      <c t="s" s="65" r="E143">
        <v>520</v>
      </c>
      <c s="46" r="F143"/>
    </row>
    <row r="144">
      <c s="10" r="A144"/>
      <c t="s" s="38" r="B144">
        <v>354</v>
      </c>
      <c t="s" s="65" r="C144">
        <v>522</v>
      </c>
      <c t="s" s="65" r="D144">
        <v>519</v>
      </c>
      <c t="s" s="65" r="E144">
        <v>525</v>
      </c>
      <c s="46" r="F144"/>
    </row>
    <row r="145">
      <c s="10" r="A145"/>
      <c t="s" s="38" r="B145">
        <v>12</v>
      </c>
      <c t="s" s="65" r="C145">
        <v>522</v>
      </c>
      <c t="s" s="65" r="D145">
        <v>519</v>
      </c>
      <c t="s" s="65" r="E145">
        <v>525</v>
      </c>
      <c s="46" r="F145"/>
    </row>
    <row r="146">
      <c s="10" r="A146"/>
      <c t="s" s="38" r="B146">
        <v>574</v>
      </c>
      <c t="s" s="65" r="C146">
        <v>518</v>
      </c>
      <c t="s" s="65" r="D146">
        <v>519</v>
      </c>
      <c t="s" s="65" r="E146">
        <v>525</v>
      </c>
      <c s="46" r="F146"/>
    </row>
    <row r="147">
      <c s="10" r="A147"/>
      <c t="s" s="38" r="B147">
        <v>361</v>
      </c>
      <c t="s" s="65" r="C147">
        <v>522</v>
      </c>
      <c t="s" s="65" r="D147">
        <v>519</v>
      </c>
      <c t="s" s="65" r="E147">
        <v>525</v>
      </c>
      <c s="46" r="F147"/>
    </row>
    <row r="148">
      <c s="10" r="A148"/>
      <c t="s" s="38" r="B148">
        <v>575</v>
      </c>
      <c t="s" s="65" r="C148">
        <v>518</v>
      </c>
      <c t="s" s="65" r="D148">
        <v>523</v>
      </c>
      <c t="s" s="65" r="E148">
        <v>524</v>
      </c>
      <c s="46" r="F148"/>
    </row>
    <row r="149">
      <c s="10" r="A149"/>
      <c t="s" s="38" r="B149">
        <v>54</v>
      </c>
      <c t="s" s="65" r="C149">
        <v>518</v>
      </c>
      <c t="s" s="65" r="D149">
        <v>519</v>
      </c>
      <c t="s" s="65" r="E149">
        <v>525</v>
      </c>
      <c s="46" r="F149"/>
    </row>
    <row r="150">
      <c s="10" r="A150"/>
      <c t="s" s="38" r="B150">
        <v>576</v>
      </c>
      <c t="s" s="65" r="C150">
        <v>518</v>
      </c>
      <c t="s" s="65" r="D150">
        <v>523</v>
      </c>
      <c t="s" s="65" r="E150">
        <v>524</v>
      </c>
      <c s="46" r="F150"/>
    </row>
    <row r="151">
      <c s="10" r="A151"/>
      <c t="s" s="38" r="B151">
        <v>577</v>
      </c>
      <c t="s" s="65" r="C151">
        <v>518</v>
      </c>
      <c t="s" s="65" r="D151">
        <v>519</v>
      </c>
      <c t="s" s="65" r="E151">
        <v>525</v>
      </c>
      <c s="46" r="F151"/>
    </row>
    <row r="152">
      <c s="10" r="A152"/>
      <c t="s" s="38" r="B152">
        <v>578</v>
      </c>
      <c t="s" s="65" r="C152">
        <v>518</v>
      </c>
      <c t="s" s="65" r="D152">
        <v>519</v>
      </c>
      <c t="s" s="65" r="E152">
        <v>520</v>
      </c>
      <c s="46" r="F152"/>
    </row>
    <row r="153">
      <c s="10" r="A153"/>
      <c t="s" s="38" r="B153">
        <v>579</v>
      </c>
      <c t="s" s="65" r="C153">
        <v>518</v>
      </c>
      <c t="s" s="65" r="D153">
        <v>519</v>
      </c>
      <c t="s" s="65" r="E153">
        <v>520</v>
      </c>
      <c s="46" r="F153"/>
    </row>
    <row r="154">
      <c s="10" r="A154"/>
      <c t="s" s="38" r="B154">
        <v>89</v>
      </c>
      <c t="s" s="65" r="C154">
        <v>522</v>
      </c>
      <c t="s" s="65" r="D154">
        <v>519</v>
      </c>
      <c t="s" s="65" r="E154">
        <v>520</v>
      </c>
      <c s="46" r="F154"/>
    </row>
    <row r="155">
      <c s="10" r="A155"/>
      <c t="s" s="38" r="B155">
        <v>393</v>
      </c>
      <c t="s" s="65" r="C155">
        <v>522</v>
      </c>
      <c t="s" s="65" r="D155">
        <v>519</v>
      </c>
      <c t="s" s="65" r="E155">
        <v>525</v>
      </c>
      <c s="46" r="F155"/>
    </row>
    <row r="156">
      <c s="10" r="A156"/>
      <c t="s" s="38" r="B156">
        <v>175</v>
      </c>
      <c t="s" s="65" r="C156">
        <v>518</v>
      </c>
      <c t="s" s="65" r="D156">
        <v>519</v>
      </c>
      <c t="s" s="65" r="E156">
        <v>520</v>
      </c>
      <c s="46" r="F156"/>
    </row>
    <row r="157">
      <c s="10" r="A157"/>
      <c t="s" s="38" r="B157">
        <v>176</v>
      </c>
      <c t="s" s="65" r="C157">
        <v>522</v>
      </c>
      <c t="s" s="65" r="D157">
        <v>519</v>
      </c>
      <c t="s" s="65" r="E157">
        <v>525</v>
      </c>
      <c s="46" r="F157"/>
    </row>
    <row r="158">
      <c s="10" r="A158"/>
      <c t="s" s="38" r="B158">
        <v>580</v>
      </c>
      <c t="s" s="65" r="C158">
        <v>518</v>
      </c>
      <c t="s" s="65" r="D158">
        <v>519</v>
      </c>
      <c t="s" s="65" r="E158">
        <v>520</v>
      </c>
      <c s="46" r="F158"/>
    </row>
    <row r="159">
      <c s="10" r="A159"/>
      <c t="s" s="38" r="B159">
        <v>581</v>
      </c>
      <c t="s" s="65" r="C159">
        <v>518</v>
      </c>
      <c t="s" s="65" r="D159">
        <v>519</v>
      </c>
      <c t="s" s="65" r="E159">
        <v>525</v>
      </c>
      <c s="46" r="F159"/>
    </row>
    <row r="160">
      <c s="10" r="A160"/>
      <c t="s" s="38" r="B160">
        <v>582</v>
      </c>
      <c t="s" s="65" r="C160">
        <v>518</v>
      </c>
      <c t="s" s="65" r="D160">
        <v>519</v>
      </c>
      <c t="s" s="65" r="E160">
        <v>525</v>
      </c>
      <c s="46" r="F160"/>
    </row>
    <row r="161">
      <c s="10" r="A161"/>
      <c t="s" s="38" r="B161">
        <v>583</v>
      </c>
      <c t="s" s="65" r="C161">
        <v>518</v>
      </c>
      <c t="s" s="65" r="D161">
        <v>519</v>
      </c>
      <c t="s" s="65" r="E161">
        <v>520</v>
      </c>
      <c s="46" r="F161"/>
    </row>
    <row r="162">
      <c s="10" r="A162"/>
      <c t="s" s="38" r="B162">
        <v>106</v>
      </c>
      <c t="s" s="65" r="C162">
        <v>522</v>
      </c>
      <c t="s" s="65" r="D162">
        <v>519</v>
      </c>
      <c t="s" s="65" r="E162">
        <v>525</v>
      </c>
      <c s="46" r="F162"/>
    </row>
    <row r="163">
      <c s="10" r="A163"/>
      <c t="s" s="38" r="B163">
        <v>584</v>
      </c>
      <c t="s" s="65" r="C163">
        <v>518</v>
      </c>
      <c t="s" s="65" r="D163">
        <v>519</v>
      </c>
      <c t="s" s="65" r="E163">
        <v>525</v>
      </c>
      <c s="46" r="F163"/>
    </row>
    <row r="164">
      <c s="10" r="A164"/>
      <c t="s" s="38" r="B164">
        <v>78</v>
      </c>
      <c t="s" s="65" r="C164">
        <v>522</v>
      </c>
      <c t="s" s="65" r="D164">
        <v>519</v>
      </c>
      <c t="s" s="65" r="E164">
        <v>520</v>
      </c>
      <c s="46" r="F164"/>
    </row>
    <row r="165">
      <c s="10" r="A165"/>
      <c t="s" s="38" r="B165">
        <v>387</v>
      </c>
      <c t="s" s="65" r="C165">
        <v>522</v>
      </c>
      <c t="s" s="65" r="D165">
        <v>519</v>
      </c>
      <c t="s" s="65" r="E165">
        <v>525</v>
      </c>
      <c s="46" r="F165"/>
    </row>
    <row r="166">
      <c s="10" r="A166"/>
      <c t="s" s="38" r="B166">
        <v>112</v>
      </c>
      <c t="s" s="65" r="C166">
        <v>518</v>
      </c>
      <c t="s" s="65" r="D166">
        <v>523</v>
      </c>
      <c t="s" s="65" r="E166">
        <v>524</v>
      </c>
      <c s="46" r="F166"/>
    </row>
    <row r="167">
      <c s="10" r="A167"/>
      <c t="s" s="38" r="B167">
        <v>101</v>
      </c>
      <c t="s" s="65" r="C167">
        <v>522</v>
      </c>
      <c t="s" s="65" r="D167">
        <v>519</v>
      </c>
      <c t="s" s="65" r="E167">
        <v>520</v>
      </c>
      <c s="46" r="F167"/>
    </row>
    <row r="168">
      <c s="10" r="A168"/>
      <c t="s" s="38" r="B168">
        <v>585</v>
      </c>
      <c t="s" s="65" r="C168">
        <v>518</v>
      </c>
      <c t="s" s="65" r="D168">
        <v>523</v>
      </c>
      <c t="s" s="65" r="E168">
        <v>524</v>
      </c>
      <c s="46" r="F168"/>
    </row>
    <row r="169">
      <c s="10" r="A169"/>
      <c t="s" s="38" r="B169">
        <v>62</v>
      </c>
      <c t="s" s="65" r="C169">
        <v>518</v>
      </c>
      <c t="s" s="65" r="D169">
        <v>519</v>
      </c>
      <c t="s" s="65" r="E169">
        <v>525</v>
      </c>
      <c s="46" r="F169"/>
    </row>
    <row r="170">
      <c s="10" r="A170"/>
      <c t="s" s="38" r="B170">
        <v>120</v>
      </c>
      <c t="s" s="65" r="C170">
        <v>518</v>
      </c>
      <c t="s" s="65" r="D170">
        <v>519</v>
      </c>
      <c t="s" s="65" r="E170">
        <v>525</v>
      </c>
      <c s="46" r="F170"/>
    </row>
    <row r="171">
      <c s="10" r="A171"/>
      <c t="s" s="38" r="B171">
        <v>44</v>
      </c>
      <c t="s" s="65" r="C171">
        <v>522</v>
      </c>
      <c t="s" s="65" r="D171">
        <v>519</v>
      </c>
      <c t="s" s="65" r="E171">
        <v>520</v>
      </c>
      <c s="46" r="F171"/>
    </row>
    <row r="172">
      <c s="10" r="A172"/>
      <c t="s" s="38" r="B172">
        <v>586</v>
      </c>
      <c t="s" s="65" r="C172">
        <v>518</v>
      </c>
      <c t="s" s="65" r="D172">
        <v>523</v>
      </c>
      <c t="s" s="65" r="E172">
        <v>524</v>
      </c>
      <c s="46" r="F172"/>
    </row>
    <row r="173">
      <c s="10" r="A173"/>
      <c t="s" s="38" r="B173">
        <v>333</v>
      </c>
      <c t="s" s="65" r="C173">
        <v>522</v>
      </c>
      <c t="s" s="65" r="D173">
        <v>519</v>
      </c>
      <c t="s" s="65" r="E173">
        <v>525</v>
      </c>
      <c s="46" r="F173"/>
    </row>
    <row r="174">
      <c s="10" r="A174"/>
      <c t="s" s="38" r="B174">
        <v>587</v>
      </c>
      <c t="s" s="65" r="C174">
        <v>518</v>
      </c>
      <c t="s" s="65" r="D174">
        <v>523</v>
      </c>
      <c t="s" s="65" r="E174">
        <v>524</v>
      </c>
      <c s="46" r="F174"/>
    </row>
    <row r="175">
      <c s="10" r="A175"/>
      <c t="s" s="38" r="B175">
        <v>588</v>
      </c>
      <c t="s" s="65" r="C175">
        <v>518</v>
      </c>
      <c t="s" s="65" r="D175">
        <v>519</v>
      </c>
      <c t="s" s="65" r="E175">
        <v>525</v>
      </c>
      <c s="46" r="F175"/>
    </row>
    <row r="176">
      <c s="10" r="A176"/>
      <c t="s" s="38" r="B176">
        <v>589</v>
      </c>
      <c t="s" s="65" r="C176">
        <v>518</v>
      </c>
      <c t="s" s="65" r="D176">
        <v>523</v>
      </c>
      <c t="s" s="65" r="E176">
        <v>524</v>
      </c>
      <c s="46" r="F176"/>
    </row>
    <row r="177">
      <c s="10" r="A177"/>
      <c t="s" s="38" r="B177">
        <v>178</v>
      </c>
      <c t="s" s="65" r="C177">
        <v>522</v>
      </c>
      <c t="s" s="65" r="D177">
        <v>519</v>
      </c>
      <c t="s" s="65" r="E177">
        <v>525</v>
      </c>
      <c s="46" r="F177"/>
    </row>
    <row r="178">
      <c s="10" r="A178"/>
      <c t="s" s="38" r="B178">
        <v>321</v>
      </c>
      <c t="s" s="65" r="C178">
        <v>522</v>
      </c>
      <c t="s" s="65" r="D178">
        <v>519</v>
      </c>
      <c t="s" s="65" r="E178">
        <v>525</v>
      </c>
      <c s="46" r="F178"/>
    </row>
    <row r="179">
      <c s="10" r="A179"/>
      <c t="s" s="38" r="B179">
        <v>180</v>
      </c>
      <c t="s" s="65" r="C179">
        <v>518</v>
      </c>
      <c t="s" s="65" r="D179">
        <v>519</v>
      </c>
      <c t="s" s="65" r="E179">
        <v>520</v>
      </c>
      <c s="46" r="F179"/>
    </row>
    <row r="180">
      <c s="10" r="A180"/>
      <c t="s" s="38" r="B180">
        <v>55</v>
      </c>
      <c t="s" s="65" r="C180">
        <v>522</v>
      </c>
      <c t="s" s="65" r="D180">
        <v>519</v>
      </c>
      <c t="s" s="65" r="E180">
        <v>520</v>
      </c>
      <c s="46" r="F180"/>
    </row>
    <row r="181">
      <c s="10" r="A181"/>
      <c t="s" s="38" r="B181">
        <v>14</v>
      </c>
      <c t="s" s="65" r="C181">
        <v>522</v>
      </c>
      <c t="s" s="65" r="D181">
        <v>519</v>
      </c>
      <c t="s" s="65" r="E181">
        <v>525</v>
      </c>
      <c s="46" r="F181"/>
    </row>
    <row r="182">
      <c s="10" r="A182"/>
      <c t="s" s="38" r="B182">
        <v>590</v>
      </c>
      <c t="s" s="65" r="C182">
        <v>518</v>
      </c>
      <c t="s" s="65" r="D182">
        <v>519</v>
      </c>
      <c t="s" s="65" r="E182">
        <v>525</v>
      </c>
      <c s="46" r="F182"/>
    </row>
    <row r="183">
      <c s="10" r="A183"/>
      <c t="s" s="38" r="B183">
        <v>591</v>
      </c>
      <c t="s" s="65" r="C183">
        <v>518</v>
      </c>
      <c t="s" s="65" r="D183">
        <v>519</v>
      </c>
      <c t="s" s="65" r="E183">
        <v>525</v>
      </c>
      <c s="46" r="F183"/>
    </row>
    <row r="184">
      <c s="10" r="A184"/>
      <c t="s" s="38" r="B184">
        <v>592</v>
      </c>
      <c t="s" s="65" r="C184">
        <v>518</v>
      </c>
      <c t="s" s="65" r="D184">
        <v>519</v>
      </c>
      <c t="s" s="65" r="E184">
        <v>525</v>
      </c>
      <c s="46" r="F184"/>
    </row>
    <row r="185">
      <c s="10" r="A185"/>
      <c t="s" s="38" r="B185">
        <v>383</v>
      </c>
      <c t="s" s="65" r="C185">
        <v>522</v>
      </c>
      <c t="s" s="65" r="D185">
        <v>519</v>
      </c>
      <c t="s" s="65" r="E185">
        <v>525</v>
      </c>
      <c s="46" r="F185"/>
    </row>
    <row r="186">
      <c s="10" r="A186"/>
      <c t="s" s="38" r="B186">
        <v>407</v>
      </c>
      <c t="s" s="65" r="C186">
        <v>522</v>
      </c>
      <c t="s" s="65" r="D186">
        <v>519</v>
      </c>
      <c t="s" s="65" r="E186">
        <v>520</v>
      </c>
      <c s="46" r="F186"/>
    </row>
    <row r="187">
      <c s="10" r="A187"/>
      <c t="s" s="38" r="B187">
        <v>593</v>
      </c>
      <c t="s" s="65" r="C187">
        <v>518</v>
      </c>
      <c t="s" s="65" r="D187">
        <v>519</v>
      </c>
      <c t="s" s="65" r="E187">
        <v>520</v>
      </c>
      <c s="46" r="F187"/>
    </row>
    <row r="188">
      <c s="10" r="A188"/>
      <c t="s" s="38" r="B188">
        <v>182</v>
      </c>
      <c t="s" s="65" r="C188">
        <v>518</v>
      </c>
      <c t="s" s="65" r="D188">
        <v>523</v>
      </c>
      <c t="s" s="65" r="E188">
        <v>524</v>
      </c>
      <c s="46" r="F188"/>
    </row>
    <row r="189">
      <c s="10" r="A189"/>
      <c t="s" s="38" r="B189">
        <v>347</v>
      </c>
      <c t="s" s="65" r="C189">
        <v>522</v>
      </c>
      <c t="s" s="65" r="D189">
        <v>519</v>
      </c>
      <c t="s" s="65" r="E189">
        <v>525</v>
      </c>
      <c s="46" r="F189"/>
    </row>
    <row r="190">
      <c s="10" r="A190"/>
      <c t="s" s="38" r="B190">
        <v>185</v>
      </c>
      <c t="s" s="65" r="C190">
        <v>522</v>
      </c>
      <c t="s" s="65" r="D190">
        <v>519</v>
      </c>
      <c t="s" s="65" r="E190">
        <v>520</v>
      </c>
      <c s="46" r="F190"/>
    </row>
    <row r="191">
      <c s="10" r="A191"/>
      <c t="s" s="38" r="B191">
        <v>15</v>
      </c>
      <c t="s" s="65" r="C191">
        <v>518</v>
      </c>
      <c t="s" s="65" r="D191">
        <v>519</v>
      </c>
      <c t="s" s="65" r="E191">
        <v>525</v>
      </c>
      <c s="46" r="F191"/>
    </row>
    <row r="192">
      <c s="10" r="A192"/>
      <c t="s" s="38" r="B192">
        <v>408</v>
      </c>
      <c t="s" s="65" r="C192">
        <v>522</v>
      </c>
      <c t="s" s="65" r="D192">
        <v>519</v>
      </c>
      <c t="s" s="65" r="E192">
        <v>520</v>
      </c>
      <c s="46" r="F192"/>
    </row>
    <row r="193">
      <c s="10" r="A193"/>
      <c t="s" s="38" r="B193">
        <v>461</v>
      </c>
      <c t="s" s="65" r="C193">
        <v>522</v>
      </c>
      <c t="s" s="65" r="D193">
        <v>523</v>
      </c>
      <c t="s" s="65" r="E193">
        <v>524</v>
      </c>
      <c s="46" r="F193"/>
    </row>
    <row r="194">
      <c s="10" r="A194"/>
      <c t="s" s="38" r="B194">
        <v>84</v>
      </c>
      <c t="s" s="65" r="C194">
        <v>522</v>
      </c>
      <c t="s" s="65" r="D194">
        <v>519</v>
      </c>
      <c t="s" s="65" r="E194">
        <v>520</v>
      </c>
      <c s="46" r="F194"/>
    </row>
    <row r="195">
      <c s="10" r="A195"/>
      <c t="s" s="38" r="B195">
        <v>187</v>
      </c>
      <c t="s" s="65" r="C195">
        <v>518</v>
      </c>
      <c t="s" s="65" r="D195">
        <v>519</v>
      </c>
      <c t="s" s="65" r="E195">
        <v>520</v>
      </c>
      <c s="46" r="F195"/>
    </row>
    <row r="196">
      <c s="10" r="A196"/>
      <c t="s" s="38" r="B196">
        <v>594</v>
      </c>
      <c t="s" s="65" r="C196">
        <v>518</v>
      </c>
      <c t="s" s="65" r="D196">
        <v>523</v>
      </c>
      <c t="s" s="65" r="E196">
        <v>524</v>
      </c>
      <c s="46" r="F196"/>
    </row>
    <row r="197">
      <c s="10" r="A197"/>
      <c t="s" s="38" r="B197">
        <v>189</v>
      </c>
      <c t="s" s="65" r="C197">
        <v>522</v>
      </c>
      <c t="s" s="65" r="D197">
        <v>523</v>
      </c>
      <c t="s" s="65" r="E197">
        <v>524</v>
      </c>
      <c s="46" r="F197"/>
    </row>
    <row r="198">
      <c s="10" r="A198"/>
      <c t="s" s="38" r="B198">
        <v>595</v>
      </c>
      <c t="s" s="65" r="C198">
        <v>518</v>
      </c>
      <c t="s" s="65" r="D198">
        <v>523</v>
      </c>
      <c t="s" s="65" r="E198">
        <v>524</v>
      </c>
      <c s="46" r="F198"/>
    </row>
    <row r="199">
      <c s="10" r="A199"/>
      <c t="s" s="38" r="B199">
        <v>492</v>
      </c>
      <c t="s" s="65" r="C199">
        <v>522</v>
      </c>
      <c t="s" s="65" r="D199">
        <v>523</v>
      </c>
      <c t="s" s="65" r="E199">
        <v>524</v>
      </c>
      <c s="46" r="F199"/>
    </row>
    <row r="200">
      <c s="10" r="A200"/>
      <c t="s" s="38" r="B200">
        <v>596</v>
      </c>
      <c t="s" s="65" r="C200">
        <v>518</v>
      </c>
      <c t="s" s="65" r="D200">
        <v>523</v>
      </c>
      <c t="s" s="65" r="E200">
        <v>524</v>
      </c>
      <c s="46" r="F200"/>
    </row>
    <row r="201">
      <c s="10" r="A201"/>
      <c t="s" s="38" r="B201">
        <v>597</v>
      </c>
      <c t="s" s="65" r="C201">
        <v>518</v>
      </c>
      <c t="s" s="65" r="D201">
        <v>523</v>
      </c>
      <c t="s" s="65" r="E201">
        <v>524</v>
      </c>
      <c s="46" r="F201"/>
    </row>
    <row r="202">
      <c s="10" r="A202"/>
      <c t="s" s="38" r="B202">
        <v>598</v>
      </c>
      <c t="s" s="65" r="C202">
        <v>518</v>
      </c>
      <c t="s" s="65" r="D202">
        <v>523</v>
      </c>
      <c t="s" s="65" r="E202">
        <v>524</v>
      </c>
      <c s="46" r="F202"/>
    </row>
    <row r="203">
      <c s="10" r="A203"/>
      <c t="s" s="38" r="B203">
        <v>599</v>
      </c>
      <c t="s" s="65" r="C203">
        <v>518</v>
      </c>
      <c t="s" s="65" r="D203">
        <v>519</v>
      </c>
      <c t="s" s="65" r="E203">
        <v>525</v>
      </c>
      <c s="46" r="F203"/>
    </row>
    <row r="204">
      <c s="10" r="A204"/>
      <c t="s" s="38" r="B204">
        <v>192</v>
      </c>
      <c t="s" s="65" r="C204">
        <v>522</v>
      </c>
      <c t="s" s="65" r="D204">
        <v>519</v>
      </c>
      <c t="s" s="65" r="E204">
        <v>525</v>
      </c>
      <c s="46" r="F204"/>
    </row>
    <row r="205">
      <c s="10" r="A205"/>
      <c t="s" s="38" r="B205">
        <v>600</v>
      </c>
      <c t="s" s="65" r="C205">
        <v>518</v>
      </c>
      <c t="s" s="65" r="D205">
        <v>519</v>
      </c>
      <c t="s" s="65" r="E205">
        <v>520</v>
      </c>
      <c s="46" r="F205"/>
    </row>
    <row r="206">
      <c s="10" r="A206"/>
      <c t="s" s="38" r="B206">
        <v>126</v>
      </c>
      <c t="s" s="65" r="C206">
        <v>522</v>
      </c>
      <c t="s" s="65" r="D206">
        <v>519</v>
      </c>
      <c t="s" s="65" r="E206">
        <v>525</v>
      </c>
      <c s="46" r="F206"/>
    </row>
    <row r="207">
      <c s="10" r="A207"/>
      <c t="s" s="38" r="B207">
        <v>65</v>
      </c>
      <c t="s" s="65" r="C207">
        <v>518</v>
      </c>
      <c t="s" s="65" r="D207">
        <v>523</v>
      </c>
      <c t="s" s="65" r="E207">
        <v>524</v>
      </c>
      <c s="46" r="F207"/>
    </row>
    <row r="208">
      <c s="10" r="A208"/>
      <c t="s" s="38" r="B208">
        <v>336</v>
      </c>
      <c t="s" s="65" r="C208">
        <v>522</v>
      </c>
      <c t="s" s="65" r="D208">
        <v>519</v>
      </c>
      <c t="s" s="65" r="E208">
        <v>525</v>
      </c>
      <c s="46" r="F208"/>
    </row>
    <row r="209">
      <c s="10" r="A209"/>
      <c t="s" s="38" r="B209">
        <v>601</v>
      </c>
      <c t="s" s="65" r="C209">
        <v>518</v>
      </c>
      <c t="s" s="65" r="D209">
        <v>523</v>
      </c>
      <c t="s" s="65" r="E209">
        <v>524</v>
      </c>
      <c s="46" r="F209"/>
    </row>
    <row r="210">
      <c s="10" r="A210"/>
      <c t="s" s="38" r="B210">
        <v>472</v>
      </c>
      <c t="s" s="65" r="C210">
        <v>522</v>
      </c>
      <c t="s" s="65" r="D210">
        <v>523</v>
      </c>
      <c t="s" s="65" r="E210">
        <v>524</v>
      </c>
      <c s="46" r="F210"/>
    </row>
    <row r="211">
      <c s="10" r="A211"/>
      <c t="s" s="38" r="B211">
        <v>368</v>
      </c>
      <c t="s" s="65" r="C211">
        <v>522</v>
      </c>
      <c t="s" s="65" r="D211">
        <v>519</v>
      </c>
      <c t="s" s="65" r="E211">
        <v>525</v>
      </c>
      <c s="46" r="F211"/>
    </row>
    <row r="212">
      <c s="10" r="A212"/>
      <c t="s" s="38" r="B212">
        <v>325</v>
      </c>
      <c t="s" s="65" r="C212">
        <v>522</v>
      </c>
      <c t="s" s="65" r="D212">
        <v>519</v>
      </c>
      <c t="s" s="65" r="E212">
        <v>525</v>
      </c>
      <c s="46" r="F212"/>
    </row>
    <row r="213">
      <c s="10" r="A213"/>
      <c t="s" s="38" r="B213">
        <v>602</v>
      </c>
      <c t="s" s="65" r="C213">
        <v>518</v>
      </c>
      <c t="s" s="65" r="D213">
        <v>519</v>
      </c>
      <c t="s" s="65" r="E213">
        <v>525</v>
      </c>
      <c s="46" r="F213"/>
    </row>
    <row r="214">
      <c s="10" r="A214"/>
      <c t="s" s="38" r="B214">
        <v>194</v>
      </c>
      <c t="s" s="65" r="C214">
        <v>522</v>
      </c>
      <c t="s" s="65" r="D214">
        <v>523</v>
      </c>
      <c t="s" s="65" r="E214">
        <v>524</v>
      </c>
      <c s="46" r="F214"/>
    </row>
    <row r="215">
      <c s="10" r="A215"/>
      <c t="s" s="38" r="B215">
        <v>603</v>
      </c>
      <c t="s" s="65" r="C215">
        <v>518</v>
      </c>
      <c t="s" s="65" r="D215">
        <v>523</v>
      </c>
      <c t="s" s="65" r="E215">
        <v>524</v>
      </c>
      <c s="46" r="F215"/>
    </row>
    <row r="216">
      <c s="10" r="A216"/>
      <c t="s" s="38" r="B216">
        <v>463</v>
      </c>
      <c t="s" s="65" r="C216">
        <v>522</v>
      </c>
      <c t="s" s="65" r="D216">
        <v>523</v>
      </c>
      <c t="s" s="65" r="E216">
        <v>524</v>
      </c>
      <c s="46" r="F216"/>
    </row>
    <row r="217">
      <c s="10" r="A217"/>
      <c t="s" s="38" r="B217">
        <v>604</v>
      </c>
      <c t="s" s="65" r="C217">
        <v>518</v>
      </c>
      <c t="s" s="65" r="D217">
        <v>523</v>
      </c>
      <c t="s" s="65" r="E217">
        <v>524</v>
      </c>
      <c s="46" r="F217"/>
    </row>
    <row r="218">
      <c s="10" r="A218"/>
      <c t="s" s="38" r="B218">
        <v>460</v>
      </c>
      <c t="s" s="65" r="C218">
        <v>522</v>
      </c>
      <c t="s" s="65" r="D218">
        <v>523</v>
      </c>
      <c t="s" s="65" r="E218">
        <v>524</v>
      </c>
      <c s="46" r="F218"/>
    </row>
    <row r="219">
      <c s="10" r="A219"/>
      <c t="s" s="38" r="B219">
        <v>605</v>
      </c>
      <c t="s" s="65" r="C219">
        <v>518</v>
      </c>
      <c t="s" s="65" r="D219">
        <v>519</v>
      </c>
      <c t="s" s="65" r="E219">
        <v>525</v>
      </c>
      <c s="46" r="F219"/>
    </row>
    <row r="220">
      <c s="10" r="A220"/>
      <c t="s" s="38" r="B220">
        <v>505</v>
      </c>
      <c t="s" s="65" r="C220">
        <v>522</v>
      </c>
      <c t="s" s="65" r="D220">
        <v>523</v>
      </c>
      <c t="s" s="65" r="E220">
        <v>524</v>
      </c>
      <c s="46" r="F220"/>
    </row>
    <row r="221">
      <c s="10" r="A221"/>
      <c t="s" s="38" r="B221">
        <v>396</v>
      </c>
      <c t="s" s="65" r="C221">
        <v>522</v>
      </c>
      <c t="s" s="65" r="D221">
        <v>519</v>
      </c>
      <c t="s" s="65" r="E221">
        <v>525</v>
      </c>
      <c s="46" r="F221"/>
    </row>
    <row r="222">
      <c s="10" r="A222"/>
      <c t="s" s="38" r="B222">
        <v>197</v>
      </c>
      <c t="s" s="65" r="C222">
        <v>522</v>
      </c>
      <c t="s" s="65" r="D222">
        <v>519</v>
      </c>
      <c t="s" s="65" r="E222">
        <v>520</v>
      </c>
      <c s="46" r="F222"/>
    </row>
    <row r="223">
      <c s="10" r="A223"/>
      <c t="s" s="38" r="B223">
        <v>355</v>
      </c>
      <c t="s" s="65" r="C223">
        <v>522</v>
      </c>
      <c t="s" s="65" r="D223">
        <v>519</v>
      </c>
      <c t="s" s="65" r="E223">
        <v>525</v>
      </c>
      <c s="46" r="F223"/>
    </row>
    <row r="224">
      <c s="10" r="A224"/>
      <c t="s" s="38" r="B224">
        <v>199</v>
      </c>
      <c t="s" s="65" r="C224">
        <v>518</v>
      </c>
      <c t="s" s="65" r="D224">
        <v>523</v>
      </c>
      <c t="s" s="65" r="E224">
        <v>524</v>
      </c>
      <c s="46" r="F224"/>
    </row>
    <row r="225">
      <c s="10" r="A225"/>
      <c t="s" s="38" r="B225">
        <v>606</v>
      </c>
      <c t="s" s="65" r="C225">
        <v>518</v>
      </c>
      <c t="s" s="65" r="D225">
        <v>519</v>
      </c>
      <c t="s" s="65" r="E225">
        <v>520</v>
      </c>
      <c s="46" r="F225"/>
    </row>
    <row r="226">
      <c s="10" r="A226"/>
      <c t="s" s="38" r="B226">
        <v>340</v>
      </c>
      <c t="s" s="65" r="C226">
        <v>522</v>
      </c>
      <c t="s" s="65" r="D226">
        <v>519</v>
      </c>
      <c t="s" s="65" r="E226">
        <v>525</v>
      </c>
      <c s="46" r="F226"/>
    </row>
    <row r="227">
      <c s="10" r="A227"/>
      <c t="s" s="38" r="B227">
        <v>16</v>
      </c>
      <c t="s" s="65" r="C227">
        <v>522</v>
      </c>
      <c t="s" s="65" r="D227">
        <v>519</v>
      </c>
      <c t="s" s="65" r="E227">
        <v>520</v>
      </c>
      <c s="46" r="F227"/>
    </row>
    <row r="228">
      <c s="10" r="A228"/>
      <c t="s" s="38" r="B228">
        <v>37</v>
      </c>
      <c t="s" s="65" r="C228">
        <v>522</v>
      </c>
      <c t="s" s="65" r="D228">
        <v>523</v>
      </c>
      <c t="s" s="65" r="E228">
        <v>524</v>
      </c>
      <c s="46" r="F228"/>
    </row>
    <row r="229">
      <c s="10" r="A229"/>
      <c t="s" s="38" r="B229">
        <v>607</v>
      </c>
      <c t="s" s="65" r="C229">
        <v>518</v>
      </c>
      <c t="s" s="65" r="D229">
        <v>519</v>
      </c>
      <c t="s" s="65" r="E229">
        <v>525</v>
      </c>
      <c s="46" r="F229"/>
    </row>
    <row r="230">
      <c s="10" r="A230"/>
      <c t="s" s="38" r="B230">
        <v>608</v>
      </c>
      <c t="s" s="65" r="C230">
        <v>518</v>
      </c>
      <c t="s" s="65" r="D230">
        <v>519</v>
      </c>
      <c t="s" s="65" r="E230">
        <v>525</v>
      </c>
      <c s="46" r="F230"/>
    </row>
    <row r="231">
      <c s="10" r="A231"/>
      <c t="s" s="38" r="B231">
        <v>364</v>
      </c>
      <c t="s" s="65" r="C231">
        <v>522</v>
      </c>
      <c t="s" s="65" r="D231">
        <v>519</v>
      </c>
      <c t="s" s="65" r="E231">
        <v>525</v>
      </c>
      <c s="46" r="F231"/>
    </row>
    <row r="232">
      <c s="10" r="A232"/>
      <c t="s" s="38" r="B232">
        <v>496</v>
      </c>
      <c t="s" s="65" r="C232">
        <v>522</v>
      </c>
      <c t="s" s="65" r="D232">
        <v>523</v>
      </c>
      <c t="s" s="65" r="E232">
        <v>524</v>
      </c>
      <c s="46" r="F232"/>
    </row>
    <row r="233">
      <c s="10" r="A233"/>
      <c t="s" s="38" r="B233">
        <v>428</v>
      </c>
      <c t="s" s="65" r="C233">
        <v>522</v>
      </c>
      <c t="s" s="65" r="D233">
        <v>519</v>
      </c>
      <c t="s" s="65" r="E233">
        <v>520</v>
      </c>
      <c s="46" r="F233"/>
    </row>
    <row r="234">
      <c s="10" r="A234"/>
      <c t="s" s="38" r="B234">
        <v>201</v>
      </c>
      <c t="s" s="65" r="C234">
        <v>518</v>
      </c>
      <c t="s" s="65" r="D234">
        <v>519</v>
      </c>
      <c t="s" s="65" r="E234">
        <v>520</v>
      </c>
      <c s="46" r="F234"/>
    </row>
    <row r="235">
      <c s="10" r="A235"/>
      <c t="s" s="38" r="B235">
        <v>433</v>
      </c>
      <c t="s" s="65" r="C235">
        <v>522</v>
      </c>
      <c t="s" s="65" r="D235">
        <v>519</v>
      </c>
      <c t="s" s="65" r="E235">
        <v>520</v>
      </c>
      <c s="46" r="F235"/>
    </row>
    <row r="236">
      <c s="10" r="A236"/>
      <c t="s" s="38" r="B236">
        <v>17</v>
      </c>
      <c t="s" s="65" r="C236">
        <v>518</v>
      </c>
      <c t="s" s="65" r="D236">
        <v>519</v>
      </c>
      <c t="s" s="65" r="E236">
        <v>520</v>
      </c>
      <c s="46" r="F236"/>
    </row>
    <row r="237">
      <c s="10" r="A237"/>
      <c t="s" s="38" r="B237">
        <v>609</v>
      </c>
      <c t="s" s="65" r="C237">
        <v>518</v>
      </c>
      <c t="s" s="65" r="D237">
        <v>519</v>
      </c>
      <c t="s" s="65" r="E237">
        <v>525</v>
      </c>
      <c s="46" r="F237"/>
    </row>
    <row r="238">
      <c s="10" r="A238"/>
      <c t="s" s="38" r="B238">
        <v>203</v>
      </c>
      <c t="s" s="65" r="C238">
        <v>522</v>
      </c>
      <c t="s" s="65" r="D238">
        <v>519</v>
      </c>
      <c t="s" s="65" r="E238">
        <v>520</v>
      </c>
      <c s="46" r="F238"/>
    </row>
    <row r="239">
      <c s="10" r="A239"/>
      <c t="s" s="38" r="B239">
        <v>610</v>
      </c>
      <c t="s" s="65" r="C239">
        <v>518</v>
      </c>
      <c t="s" s="65" r="D239">
        <v>523</v>
      </c>
      <c t="s" s="65" r="E239">
        <v>524</v>
      </c>
      <c s="46" r="F239"/>
    </row>
    <row r="240">
      <c s="10" r="A240"/>
      <c t="s" s="38" r="B240">
        <v>611</v>
      </c>
      <c t="s" s="65" r="C240">
        <v>518</v>
      </c>
      <c t="s" s="65" r="D240">
        <v>519</v>
      </c>
      <c t="s" s="65" r="E240">
        <v>525</v>
      </c>
      <c s="46" r="F240"/>
    </row>
    <row r="241">
      <c s="10" r="A241"/>
      <c t="s" s="38" r="B241">
        <v>88</v>
      </c>
      <c t="s" s="65" r="C241">
        <v>522</v>
      </c>
      <c t="s" s="65" r="D241">
        <v>519</v>
      </c>
      <c t="s" s="65" r="E241">
        <v>520</v>
      </c>
      <c s="46" r="F241"/>
    </row>
    <row r="242">
      <c s="10" r="A242"/>
      <c t="s" s="38" r="B242">
        <v>411</v>
      </c>
      <c t="s" s="65" r="C242">
        <v>522</v>
      </c>
      <c t="s" s="65" r="D242">
        <v>519</v>
      </c>
      <c t="s" s="65" r="E242">
        <v>520</v>
      </c>
      <c s="46" r="F242"/>
    </row>
    <row r="243">
      <c s="10" r="A243"/>
      <c t="s" s="38" r="B243">
        <v>330</v>
      </c>
      <c t="s" s="65" r="C243">
        <v>522</v>
      </c>
      <c t="s" s="65" r="D243">
        <v>519</v>
      </c>
      <c t="s" s="65" r="E243">
        <v>525</v>
      </c>
      <c s="46" r="F243"/>
    </row>
    <row r="244">
      <c s="10" r="A244"/>
      <c t="s" s="38" r="B244">
        <v>205</v>
      </c>
      <c t="s" s="65" r="C244">
        <v>522</v>
      </c>
      <c t="s" s="65" r="D244">
        <v>519</v>
      </c>
      <c t="s" s="65" r="E244">
        <v>525</v>
      </c>
      <c s="46" r="F244"/>
    </row>
    <row r="245">
      <c s="10" r="A245"/>
      <c t="s" s="38" r="B245">
        <v>324</v>
      </c>
      <c t="s" s="65" r="C245">
        <v>522</v>
      </c>
      <c t="s" s="65" r="D245">
        <v>519</v>
      </c>
      <c t="s" s="65" r="E245">
        <v>525</v>
      </c>
      <c s="46" r="F245"/>
    </row>
    <row r="246">
      <c s="10" r="A246"/>
      <c t="s" s="38" r="B246">
        <v>335</v>
      </c>
      <c t="s" s="65" r="C246">
        <v>522</v>
      </c>
      <c t="s" s="65" r="D246">
        <v>519</v>
      </c>
      <c t="s" s="65" r="E246">
        <v>525</v>
      </c>
      <c s="46" r="F246"/>
    </row>
    <row r="247">
      <c s="10" r="A247"/>
      <c t="s" s="38" r="B247">
        <v>337</v>
      </c>
      <c t="s" s="65" r="C247">
        <v>522</v>
      </c>
      <c t="s" s="65" r="D247">
        <v>519</v>
      </c>
      <c t="s" s="65" r="E247">
        <v>525</v>
      </c>
      <c s="46" r="F247"/>
    </row>
    <row r="248">
      <c s="10" r="A248"/>
      <c t="s" s="38" r="B248">
        <v>207</v>
      </c>
      <c t="s" s="65" r="C248">
        <v>518</v>
      </c>
      <c t="s" s="65" r="D248">
        <v>519</v>
      </c>
      <c t="s" s="65" r="E248">
        <v>520</v>
      </c>
      <c s="46" r="F248"/>
    </row>
    <row r="249">
      <c s="10" r="A249"/>
      <c t="s" s="38" r="B249">
        <v>612</v>
      </c>
      <c t="s" s="65" r="C249">
        <v>518</v>
      </c>
      <c t="s" s="65" r="D249">
        <v>523</v>
      </c>
      <c t="s" s="65" r="E249">
        <v>524</v>
      </c>
      <c s="46" r="F249"/>
    </row>
    <row r="250">
      <c s="10" r="A250"/>
      <c t="s" s="38" r="B250">
        <v>75</v>
      </c>
      <c t="s" s="65" r="C250">
        <v>518</v>
      </c>
      <c t="s" s="65" r="D250">
        <v>519</v>
      </c>
      <c t="s" s="65" r="E250">
        <v>520</v>
      </c>
      <c s="46" r="F250"/>
    </row>
    <row r="251">
      <c s="10" r="A251"/>
      <c t="s" s="38" r="B251">
        <v>613</v>
      </c>
      <c t="s" s="65" r="C251">
        <v>518</v>
      </c>
      <c t="s" s="65" r="D251">
        <v>519</v>
      </c>
      <c t="s" s="65" r="E251">
        <v>520</v>
      </c>
      <c s="46" r="F251"/>
    </row>
    <row r="252">
      <c s="10" r="A252"/>
      <c t="s" s="38" r="B252">
        <v>466</v>
      </c>
      <c t="s" s="65" r="C252">
        <v>522</v>
      </c>
      <c t="s" s="65" r="D252">
        <v>523</v>
      </c>
      <c t="s" s="65" r="E252">
        <v>524</v>
      </c>
      <c s="46" r="F252"/>
    </row>
    <row r="253">
      <c s="10" r="A253"/>
      <c t="s" s="38" r="B253">
        <v>209</v>
      </c>
      <c t="s" s="65" r="C253">
        <v>522</v>
      </c>
      <c t="s" s="65" r="D253">
        <v>523</v>
      </c>
      <c t="s" s="65" r="E253">
        <v>524</v>
      </c>
      <c s="46" r="F253"/>
    </row>
    <row r="254">
      <c s="10" r="A254"/>
      <c t="s" s="38" r="B254">
        <v>139</v>
      </c>
      <c t="s" s="65" r="C254">
        <v>522</v>
      </c>
      <c t="s" s="65" r="D254">
        <v>519</v>
      </c>
      <c t="s" s="65" r="E254">
        <v>525</v>
      </c>
      <c s="46" r="F254"/>
    </row>
    <row r="255">
      <c s="10" r="A255"/>
      <c t="s" s="38" r="B255">
        <v>141</v>
      </c>
      <c t="s" s="65" r="C255">
        <v>522</v>
      </c>
      <c t="s" s="65" r="D255">
        <v>519</v>
      </c>
      <c t="s" s="65" r="E255">
        <v>525</v>
      </c>
      <c s="46" r="F255"/>
    </row>
    <row r="256">
      <c s="10" r="A256"/>
      <c t="s" s="38" r="B256">
        <v>422</v>
      </c>
      <c t="s" s="65" r="C256">
        <v>522</v>
      </c>
      <c t="s" s="65" r="D256">
        <v>519</v>
      </c>
      <c t="s" s="65" r="E256">
        <v>520</v>
      </c>
      <c s="46" r="F256"/>
    </row>
    <row r="257">
      <c s="10" r="A257"/>
      <c t="s" s="38" r="B257">
        <v>344</v>
      </c>
      <c t="s" s="65" r="C257">
        <v>522</v>
      </c>
      <c t="s" s="65" r="D257">
        <v>519</v>
      </c>
      <c t="s" s="65" r="E257">
        <v>525</v>
      </c>
      <c s="46" r="F257"/>
    </row>
    <row r="258">
      <c s="10" r="A258"/>
      <c t="s" s="38" r="B258">
        <v>614</v>
      </c>
      <c t="s" s="65" r="C258">
        <v>518</v>
      </c>
      <c t="s" s="65" r="D258">
        <v>519</v>
      </c>
      <c t="s" s="65" r="E258">
        <v>525</v>
      </c>
      <c s="46" r="F258"/>
    </row>
    <row r="259">
      <c s="10" r="A259"/>
      <c t="s" s="38" r="B259">
        <v>615</v>
      </c>
      <c t="s" s="65" r="C259">
        <v>518</v>
      </c>
      <c t="s" s="65" r="D259">
        <v>523</v>
      </c>
      <c t="s" s="65" r="E259">
        <v>524</v>
      </c>
      <c s="46" r="F259"/>
    </row>
    <row r="260">
      <c s="10" r="A260"/>
      <c t="s" s="38" r="B260">
        <v>143</v>
      </c>
      <c t="s" s="65" r="C260">
        <v>522</v>
      </c>
      <c t="s" s="65" r="D260">
        <v>523</v>
      </c>
      <c t="s" s="65" r="E260">
        <v>525</v>
      </c>
      <c s="46" r="F260"/>
    </row>
    <row r="261">
      <c s="10" r="A261"/>
      <c t="s" s="38" r="B261">
        <v>145</v>
      </c>
      <c t="s" s="65" r="C261">
        <v>518</v>
      </c>
      <c t="s" s="65" r="D261">
        <v>519</v>
      </c>
      <c t="s" s="65" r="E261">
        <v>525</v>
      </c>
      <c s="46" r="F261"/>
    </row>
    <row r="262">
      <c s="10" r="A262"/>
      <c t="s" s="38" r="B262">
        <v>410</v>
      </c>
      <c t="s" s="65" r="C262">
        <v>522</v>
      </c>
      <c t="s" s="65" r="D262">
        <v>519</v>
      </c>
      <c t="s" s="65" r="E262">
        <v>520</v>
      </c>
      <c s="46" r="F262"/>
    </row>
    <row r="263">
      <c s="10" r="A263"/>
      <c t="s" s="38" r="B263">
        <v>367</v>
      </c>
      <c t="s" s="65" r="C263">
        <v>522</v>
      </c>
      <c t="s" s="65" r="D263">
        <v>519</v>
      </c>
      <c t="s" s="65" r="E263">
        <v>525</v>
      </c>
      <c s="46" r="F263"/>
    </row>
    <row r="264">
      <c s="10" r="A264"/>
      <c t="s" s="38" r="B264">
        <v>441</v>
      </c>
      <c t="s" s="65" r="C264">
        <v>522</v>
      </c>
      <c t="s" s="65" r="D264">
        <v>519</v>
      </c>
      <c t="s" s="65" r="E264">
        <v>520</v>
      </c>
      <c s="46" r="F264"/>
    </row>
    <row r="265">
      <c s="10" r="A265"/>
      <c t="s" s="38" r="B265">
        <v>616</v>
      </c>
      <c t="s" s="65" r="C265">
        <v>518</v>
      </c>
      <c t="s" s="65" r="D265">
        <v>519</v>
      </c>
      <c t="s" s="65" r="E265">
        <v>520</v>
      </c>
      <c s="46" r="F265"/>
    </row>
    <row r="266">
      <c s="10" r="A266"/>
      <c t="s" s="38" r="B266">
        <v>617</v>
      </c>
      <c t="s" s="65" r="C266">
        <v>518</v>
      </c>
      <c t="s" s="65" r="D266">
        <v>519</v>
      </c>
      <c t="s" s="65" r="E266">
        <v>525</v>
      </c>
      <c s="46" r="F266"/>
    </row>
    <row r="267">
      <c s="10" r="A267"/>
      <c t="s" s="38" r="B267">
        <v>480</v>
      </c>
      <c t="s" s="65" r="C267">
        <v>522</v>
      </c>
      <c t="s" s="65" r="D267">
        <v>523</v>
      </c>
      <c t="s" s="65" r="E267">
        <v>524</v>
      </c>
      <c s="46" r="F267"/>
    </row>
    <row r="268">
      <c s="10" r="A268"/>
      <c t="s" s="38" r="B268">
        <v>618</v>
      </c>
      <c t="s" s="65" r="C268">
        <v>518</v>
      </c>
      <c t="s" s="65" r="D268">
        <v>523</v>
      </c>
      <c t="s" s="65" r="E268">
        <v>524</v>
      </c>
      <c s="46" r="F268"/>
    </row>
    <row r="269">
      <c s="10" r="A269"/>
      <c t="s" s="38" r="B269">
        <v>619</v>
      </c>
      <c t="s" s="65" r="C269">
        <v>518</v>
      </c>
      <c t="s" s="65" r="D269">
        <v>519</v>
      </c>
      <c t="s" s="65" r="E269">
        <v>525</v>
      </c>
      <c s="46" r="F269"/>
    </row>
    <row r="270">
      <c s="10" r="A270"/>
      <c t="s" s="38" r="B270">
        <v>98</v>
      </c>
      <c t="s" s="65" r="C270">
        <v>522</v>
      </c>
      <c t="s" s="65" r="D270">
        <v>523</v>
      </c>
      <c t="s" s="65" r="E270">
        <v>524</v>
      </c>
      <c s="46" r="F270"/>
    </row>
    <row r="271">
      <c s="10" r="A271"/>
      <c t="s" s="38" r="B271">
        <v>620</v>
      </c>
      <c t="s" s="65" r="C271">
        <v>518</v>
      </c>
      <c t="s" s="65" r="D271">
        <v>523</v>
      </c>
      <c t="s" s="65" r="E271">
        <v>524</v>
      </c>
      <c s="46" r="F271"/>
    </row>
    <row r="272">
      <c s="10" r="A272"/>
      <c t="s" s="38" r="B272">
        <v>464</v>
      </c>
      <c t="s" s="65" r="C272">
        <v>522</v>
      </c>
      <c t="s" s="65" r="D272">
        <v>523</v>
      </c>
      <c t="s" s="65" r="E272">
        <v>524</v>
      </c>
      <c s="46" r="F272"/>
    </row>
    <row r="273">
      <c s="10" r="A273"/>
      <c t="s" s="38" r="B273">
        <v>148</v>
      </c>
      <c t="s" s="65" r="C273">
        <v>522</v>
      </c>
      <c t="s" s="65" r="D273">
        <v>519</v>
      </c>
      <c t="s" s="65" r="E273">
        <v>525</v>
      </c>
      <c s="46" r="F273"/>
    </row>
    <row r="274">
      <c s="10" r="A274"/>
      <c t="s" s="38" r="B274">
        <v>118</v>
      </c>
      <c t="s" s="65" r="C274">
        <v>518</v>
      </c>
      <c t="s" s="65" r="D274">
        <v>519</v>
      </c>
      <c t="s" s="65" r="E274">
        <v>525</v>
      </c>
      <c s="46" r="F274"/>
    </row>
    <row r="275">
      <c s="10" r="A275"/>
      <c t="s" s="38" r="B275">
        <v>621</v>
      </c>
      <c t="s" s="65" r="C275">
        <v>518</v>
      </c>
      <c t="s" s="65" r="D275">
        <v>523</v>
      </c>
      <c t="s" s="65" r="E275">
        <v>524</v>
      </c>
      <c s="46" r="F275"/>
    </row>
    <row r="276">
      <c s="10" r="A276"/>
      <c t="s" s="38" r="B276">
        <v>469</v>
      </c>
      <c t="s" s="65" r="C276">
        <v>522</v>
      </c>
      <c t="s" s="65" r="D276">
        <v>523</v>
      </c>
      <c t="s" s="65" r="E276">
        <v>524</v>
      </c>
      <c s="46" r="F276"/>
    </row>
    <row r="277">
      <c s="10" r="A277"/>
      <c t="s" s="38" r="B277">
        <v>404</v>
      </c>
      <c t="s" s="65" r="C277">
        <v>522</v>
      </c>
      <c t="s" s="65" r="D277">
        <v>519</v>
      </c>
      <c t="s" s="65" r="E277">
        <v>520</v>
      </c>
      <c s="46" r="F277"/>
    </row>
    <row r="278">
      <c s="10" r="A278"/>
      <c t="s" s="38" r="B278">
        <v>352</v>
      </c>
      <c t="s" s="65" r="C278">
        <v>522</v>
      </c>
      <c t="s" s="65" r="D278">
        <v>519</v>
      </c>
      <c t="s" s="65" r="E278">
        <v>525</v>
      </c>
      <c s="46" r="F278"/>
    </row>
    <row r="279">
      <c s="10" r="A279"/>
      <c t="s" s="38" r="B279">
        <v>151</v>
      </c>
      <c t="s" s="65" r="C279">
        <v>522</v>
      </c>
      <c t="s" s="65" r="D279">
        <v>523</v>
      </c>
      <c t="s" s="65" r="E279">
        <v>524</v>
      </c>
      <c s="46" r="F279"/>
    </row>
    <row r="280">
      <c s="10" r="A280"/>
      <c t="s" s="38" r="B280">
        <v>153</v>
      </c>
      <c t="s" s="65" r="C280">
        <v>518</v>
      </c>
      <c t="s" s="65" r="D280">
        <v>523</v>
      </c>
      <c t="s" s="65" r="E280">
        <v>524</v>
      </c>
      <c s="46" r="F280"/>
    </row>
    <row r="281">
      <c s="10" r="A281"/>
      <c t="s" s="38" r="B281">
        <v>622</v>
      </c>
      <c t="s" s="65" r="C281">
        <v>518</v>
      </c>
      <c t="s" s="65" r="D281">
        <v>519</v>
      </c>
      <c t="s" s="65" r="E281">
        <v>520</v>
      </c>
      <c s="46" r="F281"/>
    </row>
    <row r="282">
      <c s="10" r="A282"/>
      <c t="s" s="38" r="B282">
        <v>413</v>
      </c>
      <c t="s" s="65" r="C282">
        <v>522</v>
      </c>
      <c t="s" s="65" r="D282">
        <v>519</v>
      </c>
      <c t="s" s="65" r="E282">
        <v>520</v>
      </c>
      <c s="46" r="F282"/>
    </row>
    <row r="283">
      <c s="10" r="A283"/>
      <c t="s" s="38" r="B283">
        <v>623</v>
      </c>
      <c t="s" s="65" r="C283">
        <v>518</v>
      </c>
      <c t="s" s="65" r="D283">
        <v>519</v>
      </c>
      <c t="s" s="65" r="E283">
        <v>525</v>
      </c>
      <c s="46" r="F283"/>
    </row>
    <row r="284">
      <c s="10" r="A284"/>
      <c t="s" s="38" r="B284">
        <v>155</v>
      </c>
      <c t="s" s="65" r="C284">
        <v>522</v>
      </c>
      <c t="s" s="65" r="D284">
        <v>523</v>
      </c>
      <c t="s" s="65" r="E284">
        <v>524</v>
      </c>
      <c s="46" r="F284"/>
    </row>
    <row r="285">
      <c s="10" r="A285"/>
      <c t="s" s="38" r="B285">
        <v>624</v>
      </c>
      <c t="s" s="65" r="C285">
        <v>518</v>
      </c>
      <c t="s" s="65" r="D285">
        <v>519</v>
      </c>
      <c t="s" s="65" r="E285">
        <v>525</v>
      </c>
      <c s="46" r="F285"/>
    </row>
    <row r="286">
      <c s="10" r="A286"/>
      <c t="s" s="38" r="B286">
        <v>625</v>
      </c>
      <c t="s" s="65" r="C286">
        <v>518</v>
      </c>
      <c t="s" s="65" r="D286">
        <v>523</v>
      </c>
      <c t="s" s="65" r="E286">
        <v>524</v>
      </c>
      <c s="46" r="F286"/>
    </row>
    <row r="287">
      <c s="10" r="A287"/>
      <c t="s" s="38" r="B287">
        <v>509</v>
      </c>
      <c t="s" s="65" r="C287">
        <v>522</v>
      </c>
      <c t="s" s="65" r="D287">
        <v>523</v>
      </c>
      <c t="s" s="65" r="E287">
        <v>524</v>
      </c>
      <c s="46" r="F287"/>
    </row>
    <row r="288">
      <c s="10" r="A288"/>
      <c t="s" s="38" r="B288">
        <v>500</v>
      </c>
      <c t="s" s="65" r="C288">
        <v>522</v>
      </c>
      <c t="s" s="65" r="D288">
        <v>523</v>
      </c>
      <c t="s" s="65" r="E288">
        <v>524</v>
      </c>
      <c s="46" r="F288"/>
    </row>
    <row r="289">
      <c s="10" r="A289"/>
      <c t="s" s="38" r="B289">
        <v>626</v>
      </c>
      <c t="s" s="65" r="C289">
        <v>518</v>
      </c>
      <c t="s" s="65" r="D289">
        <v>519</v>
      </c>
      <c t="s" s="65" r="E289">
        <v>520</v>
      </c>
      <c s="46" r="F289"/>
    </row>
    <row r="290">
      <c s="10" r="A290"/>
      <c t="s" s="38" r="B290">
        <v>372</v>
      </c>
      <c t="s" s="65" r="C290">
        <v>522</v>
      </c>
      <c t="s" s="65" r="D290">
        <v>519</v>
      </c>
      <c t="s" s="65" r="E290">
        <v>525</v>
      </c>
      <c s="46" r="F290"/>
    </row>
    <row r="291">
      <c s="10" r="A291"/>
      <c t="s" s="38" r="B291">
        <v>627</v>
      </c>
      <c t="s" s="65" r="C291">
        <v>518</v>
      </c>
      <c t="s" s="65" r="D291">
        <v>519</v>
      </c>
      <c t="s" s="65" r="E291">
        <v>525</v>
      </c>
      <c s="46" r="F291"/>
    </row>
    <row r="292">
      <c s="10" r="A292"/>
      <c t="s" s="38" r="B292">
        <v>319</v>
      </c>
      <c t="s" s="65" r="C292">
        <v>522</v>
      </c>
      <c t="s" s="65" r="D292">
        <v>519</v>
      </c>
      <c t="s" s="65" r="E292">
        <v>525</v>
      </c>
      <c s="46" r="F292"/>
    </row>
    <row r="293">
      <c s="10" r="A293"/>
      <c t="s" s="38" r="B293">
        <v>453</v>
      </c>
      <c t="s" s="65" r="C293">
        <v>522</v>
      </c>
      <c t="s" s="65" r="D293">
        <v>523</v>
      </c>
      <c t="s" s="65" r="E293">
        <v>524</v>
      </c>
      <c s="46" r="F293"/>
    </row>
    <row r="294">
      <c s="10" r="A294"/>
      <c t="s" s="38" r="B294">
        <v>628</v>
      </c>
      <c t="s" s="65" r="C294">
        <v>518</v>
      </c>
      <c t="s" s="65" r="D294">
        <v>519</v>
      </c>
      <c t="s" s="65" r="E294">
        <v>525</v>
      </c>
      <c s="46" r="F294"/>
    </row>
    <row r="295">
      <c s="10" r="A295"/>
      <c t="s" s="38" r="B295">
        <v>629</v>
      </c>
      <c t="s" s="65" r="C295">
        <v>518</v>
      </c>
      <c t="s" s="65" r="D295">
        <v>519</v>
      </c>
      <c t="s" s="65" r="E295">
        <v>525</v>
      </c>
      <c s="46" r="F295"/>
    </row>
    <row r="296">
      <c s="10" r="A296"/>
      <c t="s" s="38" r="B296">
        <v>630</v>
      </c>
      <c t="s" s="65" r="C296">
        <v>518</v>
      </c>
      <c t="s" s="65" r="D296">
        <v>523</v>
      </c>
      <c t="s" s="65" r="E296">
        <v>524</v>
      </c>
      <c s="46" r="F296"/>
    </row>
    <row r="297">
      <c s="10" r="A297"/>
      <c t="s" s="38" r="B297">
        <v>365</v>
      </c>
      <c t="s" s="65" r="C297">
        <v>522</v>
      </c>
      <c t="s" s="65" r="D297">
        <v>519</v>
      </c>
      <c t="s" s="65" r="E297">
        <v>525</v>
      </c>
      <c s="46" r="F297"/>
    </row>
    <row r="298">
      <c s="10" r="A298"/>
      <c t="s" s="38" r="B298">
        <v>631</v>
      </c>
      <c t="s" s="65" r="C298">
        <v>518</v>
      </c>
      <c t="s" s="65" r="D298">
        <v>523</v>
      </c>
      <c t="s" s="65" r="E298">
        <v>524</v>
      </c>
      <c s="46" r="F298"/>
    </row>
    <row r="299">
      <c s="10" r="A299"/>
      <c t="s" s="38" r="B299">
        <v>471</v>
      </c>
      <c t="s" s="65" r="C299">
        <v>522</v>
      </c>
      <c t="s" s="65" r="D299">
        <v>523</v>
      </c>
      <c t="s" s="65" r="E299">
        <v>524</v>
      </c>
      <c s="46" r="F299"/>
    </row>
    <row r="300">
      <c s="10" r="A300"/>
      <c t="s" s="38" r="B300">
        <v>632</v>
      </c>
      <c t="s" s="65" r="C300">
        <v>518</v>
      </c>
      <c t="s" s="65" r="D300">
        <v>523</v>
      </c>
      <c t="s" s="65" r="E300">
        <v>524</v>
      </c>
      <c s="46" r="F300"/>
    </row>
    <row r="301">
      <c s="10" r="A301"/>
      <c t="s" s="38" r="B301">
        <v>633</v>
      </c>
      <c t="s" s="65" r="C301">
        <v>518</v>
      </c>
      <c t="s" s="65" r="D301">
        <v>523</v>
      </c>
      <c t="s" s="65" r="E301">
        <v>524</v>
      </c>
      <c s="46" r="F301"/>
    </row>
    <row r="302">
      <c s="10" r="A302"/>
      <c t="s" s="38" r="B302">
        <v>634</v>
      </c>
      <c t="s" s="65" r="C302">
        <v>518</v>
      </c>
      <c t="s" s="65" r="D302">
        <v>523</v>
      </c>
      <c t="s" s="65" r="E302">
        <v>524</v>
      </c>
      <c s="46" r="F302"/>
    </row>
    <row r="303">
      <c s="10" r="A303"/>
      <c t="s" s="38" r="B303">
        <v>635</v>
      </c>
      <c t="s" s="65" r="C303">
        <v>518</v>
      </c>
      <c t="s" s="65" r="D303">
        <v>523</v>
      </c>
      <c t="s" s="65" r="E303">
        <v>524</v>
      </c>
      <c s="46" r="F303"/>
    </row>
    <row r="304">
      <c s="10" r="A304"/>
      <c t="s" s="38" r="B304">
        <v>511</v>
      </c>
      <c t="s" s="65" r="C304">
        <v>522</v>
      </c>
      <c t="s" s="65" r="D304">
        <v>523</v>
      </c>
      <c t="s" s="65" r="E304">
        <v>520</v>
      </c>
      <c s="46" r="F304"/>
    </row>
    <row r="305">
      <c s="10" r="A305"/>
      <c t="s" s="38" r="B305">
        <v>636</v>
      </c>
      <c t="s" s="65" r="C305">
        <v>518</v>
      </c>
      <c t="s" s="65" r="D305">
        <v>523</v>
      </c>
      <c t="s" s="65" r="E305">
        <v>524</v>
      </c>
      <c s="46" r="F305"/>
    </row>
    <row r="306">
      <c s="10" r="A306"/>
      <c t="s" s="38" r="B306">
        <v>637</v>
      </c>
      <c t="s" s="65" r="C306">
        <v>518</v>
      </c>
      <c t="s" s="65" r="D306">
        <v>519</v>
      </c>
      <c t="s" s="65" r="E306">
        <v>520</v>
      </c>
      <c s="46" r="F306"/>
    </row>
    <row r="307">
      <c s="10" r="A307"/>
      <c t="s" s="38" r="B307">
        <v>638</v>
      </c>
      <c t="s" s="65" r="C307">
        <v>518</v>
      </c>
      <c t="s" s="65" r="D307">
        <v>523</v>
      </c>
      <c t="s" s="65" r="E307">
        <v>524</v>
      </c>
      <c s="46" r="F307"/>
    </row>
    <row r="308">
      <c s="10" r="A308"/>
      <c t="s" s="38" r="B308">
        <v>405</v>
      </c>
      <c t="s" s="65" r="C308">
        <v>522</v>
      </c>
      <c t="s" s="65" r="D308">
        <v>519</v>
      </c>
      <c t="s" s="65" r="E308">
        <v>520</v>
      </c>
      <c s="46" r="F308"/>
    </row>
    <row r="309">
      <c s="10" r="A309"/>
      <c t="s" s="38" r="B309">
        <v>474</v>
      </c>
      <c t="s" s="65" r="C309">
        <v>522</v>
      </c>
      <c t="s" s="65" r="D309">
        <v>523</v>
      </c>
      <c t="s" s="65" r="E309">
        <v>524</v>
      </c>
      <c s="46" r="F309"/>
    </row>
    <row r="310">
      <c s="10" r="A310"/>
      <c t="s" s="38" r="B310">
        <v>477</v>
      </c>
      <c t="s" s="65" r="C310">
        <v>522</v>
      </c>
      <c t="s" s="65" r="D310">
        <v>523</v>
      </c>
      <c t="s" s="65" r="E310">
        <v>524</v>
      </c>
      <c s="46" r="F310"/>
    </row>
    <row r="311">
      <c s="10" r="A311"/>
      <c t="s" s="38" r="B311">
        <v>639</v>
      </c>
      <c t="s" s="65" r="C311">
        <v>518</v>
      </c>
      <c t="s" s="65" r="D311">
        <v>519</v>
      </c>
      <c t="s" s="65" r="E311">
        <v>520</v>
      </c>
      <c s="46" r="F311"/>
    </row>
    <row r="312">
      <c s="10" r="A312"/>
      <c t="s" s="38" r="B312">
        <v>640</v>
      </c>
      <c t="s" s="65" r="C312">
        <v>518</v>
      </c>
      <c t="s" s="65" r="D312">
        <v>519</v>
      </c>
      <c t="s" s="65" r="E312">
        <v>520</v>
      </c>
      <c s="46" r="F312"/>
    </row>
    <row r="313">
      <c s="10" r="A313"/>
      <c t="s" s="38" r="B313">
        <v>641</v>
      </c>
      <c t="s" s="65" r="C313">
        <v>518</v>
      </c>
      <c t="s" s="65" r="D313">
        <v>523</v>
      </c>
      <c t="s" s="65" r="E313">
        <v>524</v>
      </c>
      <c s="46" r="F313"/>
    </row>
    <row r="314">
      <c s="10" r="A314"/>
      <c t="s" s="38" r="B314">
        <v>434</v>
      </c>
      <c t="s" s="65" r="C314">
        <v>522</v>
      </c>
      <c t="s" s="65" r="D314">
        <v>519</v>
      </c>
      <c t="s" s="65" r="E314">
        <v>520</v>
      </c>
      <c s="46" r="F314"/>
    </row>
    <row r="315">
      <c s="10" r="A315"/>
      <c t="s" s="38" r="B315">
        <v>642</v>
      </c>
      <c t="s" s="65" r="C315">
        <v>518</v>
      </c>
      <c t="s" s="65" r="D315">
        <v>519</v>
      </c>
      <c t="s" s="65" r="E315">
        <v>520</v>
      </c>
      <c s="46" r="F315"/>
    </row>
    <row r="316">
      <c s="10" r="A316"/>
      <c t="s" s="38" r="B316">
        <v>502</v>
      </c>
      <c t="s" s="65" r="C316">
        <v>522</v>
      </c>
      <c t="s" s="65" r="D316">
        <v>523</v>
      </c>
      <c t="s" s="65" r="E316">
        <v>524</v>
      </c>
      <c s="46" r="F316"/>
    </row>
    <row r="317">
      <c s="10" r="A317"/>
      <c t="s" s="38" r="B317">
        <v>643</v>
      </c>
      <c t="s" s="65" r="C317">
        <v>518</v>
      </c>
      <c t="s" s="65" r="D317">
        <v>519</v>
      </c>
      <c t="s" s="65" r="E317">
        <v>525</v>
      </c>
      <c s="46" r="F317"/>
    </row>
    <row r="318">
      <c s="10" r="A318"/>
      <c t="s" s="38" r="B318">
        <v>374</v>
      </c>
      <c t="s" s="65" r="C318">
        <v>522</v>
      </c>
      <c t="s" s="65" r="D318">
        <v>523</v>
      </c>
      <c t="s" s="65" r="E318">
        <v>524</v>
      </c>
      <c s="46" r="F318"/>
    </row>
    <row r="319">
      <c s="10" r="A319"/>
      <c t="s" s="38" r="B319">
        <v>644</v>
      </c>
      <c t="s" s="65" r="C319">
        <v>518</v>
      </c>
      <c t="s" s="65" r="D319">
        <v>519</v>
      </c>
      <c t="s" s="65" r="E319">
        <v>525</v>
      </c>
      <c s="46" r="F319"/>
    </row>
    <row r="320">
      <c s="10" r="A320"/>
      <c t="s" s="38" r="B320">
        <v>406</v>
      </c>
      <c t="s" s="65" r="C320">
        <v>522</v>
      </c>
      <c t="s" s="65" r="D320">
        <v>519</v>
      </c>
      <c t="s" s="65" r="E320">
        <v>520</v>
      </c>
      <c s="46" r="F320"/>
    </row>
    <row r="321">
      <c s="10" r="A321"/>
      <c t="s" s="38" r="B321">
        <v>431</v>
      </c>
      <c t="s" s="65" r="C321">
        <v>522</v>
      </c>
      <c t="s" s="65" r="D321">
        <v>519</v>
      </c>
      <c t="s" s="65" r="E321">
        <v>520</v>
      </c>
      <c s="46" r="F321"/>
    </row>
    <row r="322">
      <c s="10" r="A322"/>
      <c t="s" s="38" r="B322">
        <v>339</v>
      </c>
      <c t="s" s="65" r="C322">
        <v>522</v>
      </c>
      <c t="s" s="65" r="D322">
        <v>519</v>
      </c>
      <c t="s" s="65" r="E322">
        <v>525</v>
      </c>
      <c s="46" r="F322"/>
    </row>
    <row r="323">
      <c s="10" r="A323"/>
      <c t="s" s="38" r="B323">
        <v>645</v>
      </c>
      <c t="s" s="65" r="C323">
        <v>518</v>
      </c>
      <c t="s" s="65" r="D323">
        <v>523</v>
      </c>
      <c t="s" s="65" r="E323">
        <v>524</v>
      </c>
      <c s="46" r="F323"/>
    </row>
    <row r="324">
      <c s="10" r="A324"/>
      <c t="s" s="38" r="B324">
        <v>646</v>
      </c>
      <c t="s" s="65" r="C324">
        <v>518</v>
      </c>
      <c t="s" s="65" r="D324">
        <v>519</v>
      </c>
      <c t="s" s="65" r="E324">
        <v>520</v>
      </c>
      <c s="46" r="F324"/>
    </row>
    <row r="325">
      <c s="10" r="A325"/>
      <c t="s" s="38" r="B325">
        <v>647</v>
      </c>
      <c t="s" s="65" r="C325">
        <v>518</v>
      </c>
      <c t="s" s="65" r="D325">
        <v>523</v>
      </c>
      <c t="s" s="65" r="E325">
        <v>524</v>
      </c>
      <c s="46" r="F325"/>
    </row>
    <row r="326">
      <c s="10" r="A326"/>
      <c t="s" s="38" r="B326">
        <v>648</v>
      </c>
      <c t="s" s="65" r="C326">
        <v>518</v>
      </c>
      <c t="s" s="65" r="D326">
        <v>519</v>
      </c>
      <c t="s" s="65" r="E326">
        <v>520</v>
      </c>
      <c s="46" r="F326"/>
    </row>
    <row r="327">
      <c s="10" r="A327"/>
      <c t="s" s="38" r="B327">
        <v>157</v>
      </c>
      <c t="s" s="65" r="C327">
        <v>522</v>
      </c>
      <c t="s" s="65" r="D327">
        <v>519</v>
      </c>
      <c t="s" s="65" r="E327">
        <v>525</v>
      </c>
      <c s="46" r="F327"/>
    </row>
    <row r="328">
      <c s="10" r="A328"/>
      <c t="s" s="38" r="B328">
        <v>129</v>
      </c>
      <c t="s" s="65" r="C328">
        <v>522</v>
      </c>
      <c t="s" s="65" r="D328">
        <v>519</v>
      </c>
      <c t="s" s="65" r="E328">
        <v>520</v>
      </c>
      <c s="46" r="F328"/>
    </row>
    <row r="329">
      <c s="10" r="A329"/>
      <c t="s" s="38" r="B329">
        <v>159</v>
      </c>
      <c t="s" s="65" r="C329">
        <v>522</v>
      </c>
      <c t="s" s="65" r="D329">
        <v>523</v>
      </c>
      <c t="s" s="65" r="E329">
        <v>524</v>
      </c>
      <c s="46" r="F329"/>
    </row>
    <row r="330">
      <c s="10" r="A330"/>
      <c t="s" s="38" r="B330">
        <v>649</v>
      </c>
      <c t="s" s="65" r="C330">
        <v>518</v>
      </c>
      <c t="s" s="65" r="D330">
        <v>519</v>
      </c>
      <c t="s" s="65" r="E330">
        <v>525</v>
      </c>
      <c s="46" r="F330"/>
    </row>
    <row r="331">
      <c s="10" r="A331"/>
      <c t="s" s="38" r="B331">
        <v>100</v>
      </c>
      <c t="s" s="65" r="C331">
        <v>522</v>
      </c>
      <c t="s" s="65" r="D331">
        <v>519</v>
      </c>
      <c t="s" s="65" r="E331">
        <v>525</v>
      </c>
      <c s="46" r="F331"/>
    </row>
    <row r="332">
      <c s="10" r="A332"/>
      <c t="s" s="38" r="B332">
        <v>650</v>
      </c>
      <c t="s" s="65" r="C332">
        <v>518</v>
      </c>
      <c t="s" s="65" r="D332">
        <v>519</v>
      </c>
      <c t="s" s="65" r="E332">
        <v>525</v>
      </c>
      <c s="46" r="F332"/>
    </row>
    <row r="333">
      <c s="10" r="A333"/>
      <c t="s" s="38" r="B333">
        <v>513</v>
      </c>
      <c t="s" s="65" r="C333">
        <v>522</v>
      </c>
      <c t="s" s="65" r="D333">
        <v>523</v>
      </c>
      <c t="s" s="65" r="E333">
        <v>524</v>
      </c>
      <c s="46" r="F333"/>
    </row>
    <row r="334">
      <c s="10" r="A334"/>
      <c t="s" s="38" r="B334">
        <v>442</v>
      </c>
      <c t="s" s="65" r="C334">
        <v>522</v>
      </c>
      <c t="s" s="65" r="D334">
        <v>519</v>
      </c>
      <c t="s" s="65" r="E334">
        <v>520</v>
      </c>
      <c s="46" r="F334"/>
    </row>
    <row r="335">
      <c s="10" r="A335"/>
      <c t="s" s="38" r="B335">
        <v>651</v>
      </c>
      <c t="s" s="65" r="C335">
        <v>518</v>
      </c>
      <c t="s" s="65" r="D335">
        <v>519</v>
      </c>
      <c t="s" s="65" r="E335">
        <v>525</v>
      </c>
      <c s="46" r="F335"/>
    </row>
    <row r="336">
      <c s="10" r="A336"/>
      <c t="s" s="38" r="B336">
        <v>91</v>
      </c>
      <c t="s" s="65" r="C336">
        <v>518</v>
      </c>
      <c t="s" s="65" r="D336">
        <v>519</v>
      </c>
      <c t="s" s="65" r="E336">
        <v>525</v>
      </c>
      <c s="46" r="F336"/>
    </row>
    <row r="337">
      <c s="10" r="A337"/>
      <c t="s" s="38" r="B337">
        <v>652</v>
      </c>
      <c t="s" s="65" r="C337">
        <v>518</v>
      </c>
      <c t="s" s="65" r="D337">
        <v>519</v>
      </c>
      <c t="s" s="65" r="E337">
        <v>525</v>
      </c>
      <c s="46" r="F337"/>
    </row>
    <row r="338">
      <c s="10" r="A338"/>
      <c t="s" s="38" r="B338">
        <v>653</v>
      </c>
      <c t="s" s="65" r="C338">
        <v>518</v>
      </c>
      <c t="s" s="65" r="D338">
        <v>523</v>
      </c>
      <c t="s" s="65" r="E338">
        <v>524</v>
      </c>
      <c s="46" r="F338"/>
    </row>
    <row r="339">
      <c s="10" r="A339"/>
      <c t="s" s="38" r="B339">
        <v>76</v>
      </c>
      <c t="s" s="65" r="C339">
        <v>522</v>
      </c>
      <c t="s" s="65" r="D339">
        <v>519</v>
      </c>
      <c t="s" s="65" r="E339">
        <v>525</v>
      </c>
      <c s="46" r="F339"/>
    </row>
    <row r="340">
      <c s="10" r="A340"/>
      <c t="s" s="38" r="B340">
        <v>654</v>
      </c>
      <c t="s" s="65" r="C340">
        <v>518</v>
      </c>
      <c t="s" s="65" r="D340">
        <v>519</v>
      </c>
      <c t="s" s="65" r="E340">
        <v>525</v>
      </c>
      <c s="46" r="F340"/>
    </row>
    <row r="341">
      <c s="10" r="A341"/>
      <c t="s" s="38" r="B341">
        <v>655</v>
      </c>
      <c t="s" s="65" r="C341">
        <v>518</v>
      </c>
      <c t="s" s="65" r="D341">
        <v>519</v>
      </c>
      <c t="s" s="65" r="E341">
        <v>525</v>
      </c>
      <c s="46" r="F341"/>
    </row>
    <row r="342">
      <c s="10" r="A342"/>
      <c t="s" s="38" r="B342">
        <v>656</v>
      </c>
      <c t="s" s="65" r="C342">
        <v>518</v>
      </c>
      <c t="s" s="65" r="D342">
        <v>523</v>
      </c>
      <c t="s" s="65" r="E342">
        <v>524</v>
      </c>
      <c s="46" r="F342"/>
    </row>
    <row r="343">
      <c s="10" r="A343"/>
      <c t="s" s="38" r="B343">
        <v>657</v>
      </c>
      <c t="s" s="65" r="C343">
        <v>518</v>
      </c>
      <c t="s" s="65" r="D343">
        <v>519</v>
      </c>
      <c t="s" s="65" r="E343">
        <v>525</v>
      </c>
      <c s="46" r="F343"/>
    </row>
    <row r="344">
      <c s="10" r="A344"/>
      <c t="s" s="38" r="B344">
        <v>658</v>
      </c>
      <c t="s" s="65" r="C344">
        <v>518</v>
      </c>
      <c t="s" s="65" r="D344">
        <v>519</v>
      </c>
      <c t="s" s="65" r="E344">
        <v>520</v>
      </c>
      <c s="46" r="F344"/>
    </row>
    <row r="345">
      <c s="10" r="A345"/>
      <c t="s" s="38" r="B345">
        <v>419</v>
      </c>
      <c t="s" s="65" r="C345">
        <v>522</v>
      </c>
      <c t="s" s="65" r="D345">
        <v>519</v>
      </c>
      <c t="s" s="65" r="E345">
        <v>520</v>
      </c>
      <c s="46" r="F345"/>
    </row>
    <row r="346">
      <c s="10" r="A346"/>
      <c t="s" s="38" r="B346">
        <v>659</v>
      </c>
      <c t="s" s="65" r="C346">
        <v>518</v>
      </c>
      <c t="s" s="65" r="D346">
        <v>523</v>
      </c>
      <c t="s" s="65" r="E346">
        <v>524</v>
      </c>
      <c s="46" r="F346"/>
    </row>
    <row r="347">
      <c s="10" r="A347"/>
      <c t="s" s="38" r="B347">
        <v>660</v>
      </c>
      <c t="s" s="65" r="C347">
        <v>518</v>
      </c>
      <c t="s" s="65" r="D347">
        <v>523</v>
      </c>
      <c t="s" s="65" r="E347">
        <v>524</v>
      </c>
      <c s="46" r="F347"/>
    </row>
    <row r="348">
      <c s="10" r="A348"/>
      <c t="s" s="38" r="B348">
        <v>661</v>
      </c>
      <c t="s" s="65" r="C348">
        <v>518</v>
      </c>
      <c t="s" s="65" r="D348">
        <v>523</v>
      </c>
      <c t="s" s="65" r="E348">
        <v>524</v>
      </c>
      <c s="46" r="F348"/>
    </row>
    <row r="349">
      <c s="10" r="A349"/>
      <c t="s" s="38" r="B349">
        <v>371</v>
      </c>
      <c t="s" s="65" r="C349">
        <v>522</v>
      </c>
      <c t="s" s="65" r="D349">
        <v>519</v>
      </c>
      <c t="s" s="65" r="E349">
        <v>525</v>
      </c>
      <c s="46" r="F349"/>
    </row>
    <row r="350">
      <c s="10" r="A350"/>
      <c t="s" s="38" r="B350">
        <v>662</v>
      </c>
      <c t="s" s="65" r="C350">
        <v>518</v>
      </c>
      <c t="s" s="65" r="D350">
        <v>519</v>
      </c>
      <c t="s" s="65" r="E350">
        <v>525</v>
      </c>
      <c s="46" r="F350"/>
    </row>
    <row r="351">
      <c s="10" r="A351"/>
      <c t="s" s="38" r="B351">
        <v>18</v>
      </c>
      <c t="s" s="65" r="C351">
        <v>522</v>
      </c>
      <c t="s" s="65" r="D351">
        <v>523</v>
      </c>
      <c t="s" s="65" r="E351">
        <v>524</v>
      </c>
      <c s="46" r="F351"/>
    </row>
    <row r="352">
      <c s="10" r="A352"/>
      <c t="s" s="38" r="B352">
        <v>663</v>
      </c>
      <c t="s" s="65" r="C352">
        <v>518</v>
      </c>
      <c t="s" s="65" r="D352">
        <v>519</v>
      </c>
      <c t="s" s="65" r="E352">
        <v>520</v>
      </c>
      <c s="46" r="F352"/>
    </row>
    <row r="353">
      <c s="10" r="A353"/>
      <c t="s" s="38" r="B353">
        <v>45</v>
      </c>
      <c t="s" s="65" r="C353">
        <v>518</v>
      </c>
      <c t="s" s="65" r="D353">
        <v>523</v>
      </c>
      <c t="s" s="65" r="E353">
        <v>524</v>
      </c>
      <c s="46" r="F353"/>
    </row>
    <row r="354">
      <c s="10" r="A354"/>
      <c t="s" s="38" r="B354">
        <v>53</v>
      </c>
      <c t="s" s="65" r="C354">
        <v>522</v>
      </c>
      <c t="s" s="65" r="D354">
        <v>519</v>
      </c>
      <c t="s" s="65" r="E354">
        <v>520</v>
      </c>
      <c s="46" r="F354"/>
    </row>
    <row r="355">
      <c s="10" r="A355"/>
      <c t="s" s="38" r="B355">
        <v>409</v>
      </c>
      <c t="s" s="65" r="C355">
        <v>522</v>
      </c>
      <c t="s" s="65" r="D355">
        <v>519</v>
      </c>
      <c t="s" s="65" r="E355">
        <v>520</v>
      </c>
      <c s="46" r="F355"/>
    </row>
    <row r="356">
      <c s="10" r="A356"/>
      <c t="s" s="38" r="B356">
        <v>664</v>
      </c>
      <c t="s" s="65" r="C356">
        <v>518</v>
      </c>
      <c t="s" s="65" r="D356">
        <v>519</v>
      </c>
      <c t="s" s="65" r="E356">
        <v>525</v>
      </c>
      <c s="46" r="F356"/>
    </row>
    <row r="357">
      <c s="10" r="A357"/>
      <c t="s" s="38" r="B357">
        <v>665</v>
      </c>
      <c t="s" s="65" r="C357">
        <v>518</v>
      </c>
      <c t="s" s="65" r="D357">
        <v>523</v>
      </c>
      <c t="s" s="65" r="E357">
        <v>524</v>
      </c>
      <c s="46" r="F357"/>
    </row>
    <row r="358">
      <c s="10" r="A358"/>
      <c t="s" s="38" r="B358">
        <v>47</v>
      </c>
      <c t="s" s="65" r="C358">
        <v>522</v>
      </c>
      <c t="s" s="65" r="D358">
        <v>519</v>
      </c>
      <c t="s" s="65" r="E358">
        <v>520</v>
      </c>
      <c s="46" r="F358"/>
    </row>
    <row r="359">
      <c s="10" r="A359"/>
      <c t="s" s="38" r="B359">
        <v>412</v>
      </c>
      <c t="s" s="65" r="C359">
        <v>522</v>
      </c>
      <c t="s" s="65" r="D359">
        <v>519</v>
      </c>
      <c t="s" s="65" r="E359">
        <v>520</v>
      </c>
      <c s="46" r="F359"/>
    </row>
    <row r="360">
      <c s="10" r="A360"/>
      <c t="s" s="38" r="B360">
        <v>666</v>
      </c>
      <c t="s" s="65" r="C360">
        <v>518</v>
      </c>
      <c t="s" s="65" r="D360">
        <v>519</v>
      </c>
      <c t="s" s="65" r="E360">
        <v>520</v>
      </c>
      <c s="46" r="F360"/>
    </row>
    <row r="361">
      <c s="10" r="A361"/>
      <c t="s" s="38" r="B361">
        <v>667</v>
      </c>
      <c t="s" s="65" r="C361">
        <v>518</v>
      </c>
      <c t="s" s="65" r="D361">
        <v>519</v>
      </c>
      <c t="s" s="65" r="E361">
        <v>525</v>
      </c>
      <c s="46" r="F361"/>
    </row>
    <row r="362">
      <c s="10" r="A362"/>
      <c t="s" s="38" r="B362">
        <v>348</v>
      </c>
      <c t="s" s="65" r="C362">
        <v>522</v>
      </c>
      <c t="s" s="65" r="D362">
        <v>519</v>
      </c>
      <c t="s" s="65" r="E362">
        <v>525</v>
      </c>
      <c s="46" r="F362"/>
    </row>
    <row r="363">
      <c s="10" r="A363"/>
      <c t="s" s="38" r="B363">
        <v>79</v>
      </c>
      <c t="s" s="65" r="C363">
        <v>518</v>
      </c>
      <c t="s" s="65" r="D363">
        <v>523</v>
      </c>
      <c t="s" s="65" r="E363">
        <v>524</v>
      </c>
      <c s="46" r="F363"/>
    </row>
    <row r="364">
      <c s="10" r="A364"/>
      <c t="s" s="38" r="B364">
        <v>378</v>
      </c>
      <c t="s" s="65" r="C364">
        <v>522</v>
      </c>
      <c t="s" s="65" r="D364">
        <v>519</v>
      </c>
      <c t="s" s="65" r="E364">
        <v>525</v>
      </c>
      <c s="46" r="F364"/>
    </row>
    <row r="365">
      <c s="10" r="A365"/>
      <c t="s" s="38" r="B365">
        <v>668</v>
      </c>
      <c t="s" s="65" r="C365">
        <v>518</v>
      </c>
      <c t="s" s="65" r="D365">
        <v>523</v>
      </c>
      <c t="s" s="65" r="E365">
        <v>524</v>
      </c>
      <c s="46" r="F365"/>
    </row>
    <row r="366">
      <c s="10" r="A366"/>
      <c t="s" s="38" r="B366">
        <v>504</v>
      </c>
      <c t="s" s="65" r="C366">
        <v>522</v>
      </c>
      <c t="s" s="65" r="D366">
        <v>523</v>
      </c>
      <c t="s" s="65" r="E366">
        <v>524</v>
      </c>
      <c s="46" r="F366"/>
    </row>
    <row r="367">
      <c s="10" r="A367"/>
      <c t="s" s="38" r="B367">
        <v>669</v>
      </c>
      <c t="s" s="65" r="C367">
        <v>518</v>
      </c>
      <c t="s" s="65" r="D367">
        <v>519</v>
      </c>
      <c t="s" s="65" r="E367">
        <v>525</v>
      </c>
      <c s="46" r="F367"/>
    </row>
    <row r="368">
      <c s="10" r="A368"/>
      <c t="s" s="38" r="B368">
        <v>670</v>
      </c>
      <c t="s" s="65" r="C368">
        <v>518</v>
      </c>
      <c t="s" s="65" r="D368">
        <v>523</v>
      </c>
      <c t="s" s="65" r="E368">
        <v>524</v>
      </c>
      <c s="46" r="F368"/>
    </row>
    <row r="369">
      <c s="10" r="A369"/>
      <c t="s" s="38" r="B369">
        <v>105</v>
      </c>
      <c t="s" s="65" r="C369">
        <v>522</v>
      </c>
      <c t="s" s="65" r="D369">
        <v>523</v>
      </c>
      <c t="s" s="65" r="E369">
        <v>524</v>
      </c>
      <c s="46" r="F369"/>
    </row>
    <row r="370">
      <c s="10" r="A370"/>
      <c t="s" s="38" r="B370">
        <v>487</v>
      </c>
      <c t="s" s="65" r="C370">
        <v>522</v>
      </c>
      <c t="s" s="65" r="D370">
        <v>523</v>
      </c>
      <c t="s" s="65" r="E370">
        <v>525</v>
      </c>
      <c s="46" r="F370"/>
    </row>
    <row r="371">
      <c s="10" r="A371"/>
      <c t="s" s="38" r="B371">
        <v>671</v>
      </c>
      <c t="s" s="65" r="C371">
        <v>518</v>
      </c>
      <c t="s" s="65" r="D371">
        <v>519</v>
      </c>
      <c t="s" s="65" r="E371">
        <v>525</v>
      </c>
      <c s="46" r="F371"/>
    </row>
    <row r="372">
      <c s="10" r="A372"/>
      <c t="s" s="38" r="B372">
        <v>379</v>
      </c>
      <c t="s" s="65" r="C372">
        <v>522</v>
      </c>
      <c t="s" s="65" r="D372">
        <v>519</v>
      </c>
      <c t="s" s="65" r="E372">
        <v>525</v>
      </c>
      <c s="46" r="F372"/>
    </row>
    <row r="373">
      <c s="10" r="A373"/>
      <c t="s" s="38" r="B373">
        <v>672</v>
      </c>
      <c t="s" s="65" r="C373">
        <v>518</v>
      </c>
      <c t="s" s="65" r="D373">
        <v>519</v>
      </c>
      <c t="s" s="65" r="E373">
        <v>520</v>
      </c>
      <c s="46" r="F373"/>
    </row>
    <row r="374">
      <c s="10" r="A374"/>
      <c t="s" s="38" r="B374">
        <v>483</v>
      </c>
      <c t="s" s="65" r="C374">
        <v>522</v>
      </c>
      <c t="s" s="65" r="D374">
        <v>523</v>
      </c>
      <c t="s" s="65" r="E374">
        <v>524</v>
      </c>
      <c s="46" r="F374"/>
    </row>
    <row r="375">
      <c s="10" r="A375"/>
      <c t="s" s="111" r="B375">
        <v>20</v>
      </c>
      <c t="s" s="65" r="C375">
        <v>518</v>
      </c>
      <c t="s" s="65" r="D375">
        <v>523</v>
      </c>
      <c t="s" s="65" r="E375">
        <v>524</v>
      </c>
      <c s="46" r="F375"/>
    </row>
    <row r="376">
      <c s="10" r="A376"/>
      <c t="s" s="38" r="B376">
        <v>70</v>
      </c>
      <c t="s" s="65" r="C376">
        <v>522</v>
      </c>
      <c t="s" s="65" r="D376">
        <v>523</v>
      </c>
      <c t="s" s="65" r="E376">
        <v>524</v>
      </c>
      <c s="46" r="F376"/>
    </row>
    <row r="377">
      <c s="10" r="A377"/>
      <c t="s" s="38" r="B377">
        <v>673</v>
      </c>
      <c t="s" s="65" r="C377">
        <v>518</v>
      </c>
      <c t="s" s="65" r="D377">
        <v>523</v>
      </c>
      <c t="s" s="65" r="E377">
        <v>524</v>
      </c>
      <c s="46" r="F377"/>
    </row>
    <row r="378">
      <c s="10" r="A378"/>
      <c t="s" s="38" r="B378">
        <v>468</v>
      </c>
      <c t="s" s="65" r="C378">
        <v>522</v>
      </c>
      <c t="s" s="65" r="D378">
        <v>523</v>
      </c>
      <c t="s" s="65" r="E378">
        <v>524</v>
      </c>
      <c s="46" r="F378"/>
    </row>
    <row r="379">
      <c s="10" r="A379"/>
      <c t="s" s="38" r="B379">
        <v>425</v>
      </c>
      <c t="s" s="65" r="C379">
        <v>522</v>
      </c>
      <c t="s" s="65" r="D379">
        <v>519</v>
      </c>
      <c t="s" s="65" r="E379">
        <v>520</v>
      </c>
      <c s="46" r="F379"/>
    </row>
    <row r="380">
      <c s="10" r="A380"/>
      <c t="s" s="38" r="B380">
        <v>22</v>
      </c>
      <c t="s" s="65" r="C380">
        <v>522</v>
      </c>
      <c t="s" s="65" r="D380">
        <v>523</v>
      </c>
      <c t="s" s="65" r="E380">
        <v>524</v>
      </c>
      <c s="46" r="F380"/>
    </row>
    <row r="381">
      <c s="10" r="A381"/>
      <c t="s" s="38" r="B381">
        <v>102</v>
      </c>
      <c t="s" s="65" r="C381">
        <v>518</v>
      </c>
      <c t="s" s="65" r="D381">
        <v>519</v>
      </c>
      <c t="s" s="65" r="E381">
        <v>525</v>
      </c>
      <c s="46" r="F381"/>
    </row>
    <row r="382">
      <c s="10" r="A382"/>
      <c t="s" s="38" r="B382">
        <v>23</v>
      </c>
      <c t="s" s="65" r="C382">
        <v>522</v>
      </c>
      <c t="s" s="65" r="D382">
        <v>519</v>
      </c>
      <c t="s" s="65" r="E382">
        <v>525</v>
      </c>
      <c s="46" r="F382"/>
    </row>
    <row r="383">
      <c s="10" r="A383"/>
      <c t="s" s="38" r="B383">
        <v>674</v>
      </c>
      <c t="s" s="65" r="C383">
        <v>518</v>
      </c>
      <c t="s" s="65" r="D383">
        <v>519</v>
      </c>
      <c t="s" s="65" r="E383">
        <v>525</v>
      </c>
      <c s="46" r="F383"/>
    </row>
    <row r="384">
      <c s="10" r="A384"/>
      <c t="s" s="38" r="B384">
        <v>357</v>
      </c>
      <c t="s" s="65" r="C384">
        <v>522</v>
      </c>
      <c t="s" s="65" r="D384">
        <v>519</v>
      </c>
      <c t="s" s="65" r="E384">
        <v>525</v>
      </c>
      <c s="46" r="F384"/>
    </row>
    <row r="385">
      <c s="10" r="A385"/>
      <c t="s" s="38" r="B385">
        <v>56</v>
      </c>
      <c t="s" s="65" r="C385">
        <v>522</v>
      </c>
      <c t="s" s="65" r="D385">
        <v>523</v>
      </c>
      <c t="s" s="65" r="E385">
        <v>524</v>
      </c>
      <c s="46" r="F385"/>
    </row>
    <row r="386">
      <c s="10" r="A386"/>
      <c t="s" s="38" r="B386">
        <v>415</v>
      </c>
      <c t="s" s="65" r="C386">
        <v>522</v>
      </c>
      <c t="s" s="65" r="D386">
        <v>519</v>
      </c>
      <c t="s" s="65" r="E386">
        <v>520</v>
      </c>
      <c s="46" r="F386"/>
    </row>
    <row r="387">
      <c s="10" r="A387"/>
      <c t="s" s="38" r="B387">
        <v>331</v>
      </c>
      <c t="s" s="65" r="C387">
        <v>522</v>
      </c>
      <c t="s" s="65" r="D387">
        <v>519</v>
      </c>
      <c t="s" s="65" r="E387">
        <v>525</v>
      </c>
      <c s="46" r="F387"/>
    </row>
    <row r="388">
      <c s="10" r="A388"/>
      <c t="s" s="38" r="B388">
        <v>675</v>
      </c>
      <c t="s" s="65" r="C388">
        <v>518</v>
      </c>
      <c t="s" s="65" r="D388">
        <v>519</v>
      </c>
      <c t="s" s="65" r="E388">
        <v>525</v>
      </c>
      <c s="46" r="F388"/>
    </row>
    <row r="389">
      <c s="10" r="A389"/>
      <c t="s" s="38" r="B389">
        <v>109</v>
      </c>
      <c t="s" s="65" r="C389">
        <v>522</v>
      </c>
      <c t="s" s="65" r="D389">
        <v>523</v>
      </c>
      <c t="s" s="65" r="E389">
        <v>524</v>
      </c>
      <c s="46" r="F389"/>
    </row>
    <row r="390">
      <c s="10" r="A390"/>
      <c t="s" s="38" r="B390">
        <v>59</v>
      </c>
      <c t="s" s="65" r="C390">
        <v>522</v>
      </c>
      <c t="s" s="65" r="D390">
        <v>519</v>
      </c>
      <c t="s" s="65" r="E390">
        <v>525</v>
      </c>
      <c s="46" r="F390"/>
    </row>
    <row r="391">
      <c s="10" r="A391"/>
      <c t="s" s="38" r="B391">
        <v>110</v>
      </c>
      <c t="s" s="65" r="C391">
        <v>518</v>
      </c>
      <c t="s" s="65" r="D391">
        <v>519</v>
      </c>
      <c t="s" s="65" r="E391">
        <v>525</v>
      </c>
      <c s="46" r="F391"/>
    </row>
    <row r="392">
      <c s="10" r="A392"/>
      <c t="s" s="38" r="B392">
        <v>676</v>
      </c>
      <c t="s" s="65" r="C392">
        <v>518</v>
      </c>
      <c t="s" s="65" r="D392">
        <v>519</v>
      </c>
      <c t="s" s="65" r="E392">
        <v>525</v>
      </c>
      <c s="46" r="F392"/>
    </row>
    <row r="393">
      <c s="10" r="A393"/>
      <c t="s" s="38" r="B393">
        <v>93</v>
      </c>
      <c t="s" s="65" r="C393">
        <v>518</v>
      </c>
      <c t="s" s="65" r="D393">
        <v>519</v>
      </c>
      <c t="s" s="65" r="E393">
        <v>525</v>
      </c>
      <c s="46" r="F393"/>
    </row>
    <row r="394">
      <c s="10" r="A394"/>
      <c t="s" s="38" r="B394">
        <v>677</v>
      </c>
      <c t="s" s="65" r="C394">
        <v>518</v>
      </c>
      <c t="s" s="65" r="D394">
        <v>519</v>
      </c>
      <c t="s" s="65" r="E394">
        <v>525</v>
      </c>
      <c s="46" r="F394"/>
    </row>
    <row r="395">
      <c s="10" r="A395"/>
      <c t="s" s="38" r="B395">
        <v>162</v>
      </c>
      <c t="s" s="65" r="C395">
        <v>518</v>
      </c>
      <c t="s" s="65" r="D395">
        <v>523</v>
      </c>
      <c t="s" s="65" r="E395">
        <v>524</v>
      </c>
      <c s="46" r="F395"/>
    </row>
    <row r="396">
      <c s="10" r="A396"/>
      <c t="s" s="38" r="B396">
        <v>678</v>
      </c>
      <c t="s" s="65" r="C396">
        <v>518</v>
      </c>
      <c t="s" s="65" r="D396">
        <v>519</v>
      </c>
      <c t="s" s="65" r="E396">
        <v>525</v>
      </c>
      <c s="46" r="F396"/>
    </row>
    <row r="397">
      <c s="10" r="A397"/>
      <c t="s" s="38" r="B397">
        <v>679</v>
      </c>
      <c t="s" s="65" r="C397">
        <v>518</v>
      </c>
      <c t="s" s="65" r="D397">
        <v>519</v>
      </c>
      <c t="s" s="65" r="E397">
        <v>525</v>
      </c>
      <c s="46" r="F397"/>
    </row>
    <row r="398">
      <c s="10" r="A398"/>
      <c t="s" s="38" r="B398">
        <v>164</v>
      </c>
      <c t="s" s="65" r="C398">
        <v>522</v>
      </c>
      <c t="s" s="65" r="D398">
        <v>523</v>
      </c>
      <c t="s" s="65" r="E398">
        <v>524</v>
      </c>
      <c s="46" r="F398"/>
    </row>
    <row r="399">
      <c s="10" r="A399"/>
      <c t="s" s="38" r="B399">
        <v>25</v>
      </c>
      <c t="s" s="65" r="C399">
        <v>518</v>
      </c>
      <c t="s" s="65" r="D399">
        <v>519</v>
      </c>
      <c t="s" s="65" r="E399">
        <v>520</v>
      </c>
      <c s="46" r="F399"/>
    </row>
    <row r="400">
      <c s="10" r="A400"/>
      <c t="s" s="38" r="B400">
        <v>397</v>
      </c>
      <c t="s" s="65" r="C400">
        <v>522</v>
      </c>
      <c t="s" s="65" r="D400">
        <v>519</v>
      </c>
      <c t="s" s="65" r="E400">
        <v>525</v>
      </c>
      <c s="46" r="F400"/>
    </row>
    <row r="401">
      <c s="10" r="A401"/>
      <c t="s" s="38" r="B401">
        <v>359</v>
      </c>
      <c t="s" s="65" r="C401">
        <v>522</v>
      </c>
      <c t="s" s="65" r="D401">
        <v>519</v>
      </c>
      <c t="s" s="65" r="E401">
        <v>525</v>
      </c>
      <c s="46" r="F401"/>
    </row>
    <row r="402">
      <c s="10" r="A402"/>
      <c t="s" s="38" r="B402">
        <v>111</v>
      </c>
      <c t="s" s="65" r="C402">
        <v>518</v>
      </c>
      <c t="s" s="65" r="D402">
        <v>523</v>
      </c>
      <c t="s" s="65" r="E402">
        <v>524</v>
      </c>
      <c s="46" r="F402"/>
    </row>
    <row r="403">
      <c s="10" r="A403"/>
      <c t="s" s="38" r="B403">
        <v>680</v>
      </c>
      <c t="s" s="65" r="C403">
        <v>518</v>
      </c>
      <c t="s" s="65" r="D403">
        <v>519</v>
      </c>
      <c t="s" s="65" r="E403">
        <v>525</v>
      </c>
      <c s="46" r="F403"/>
    </row>
    <row r="404">
      <c s="10" r="A404"/>
      <c t="s" s="38" r="B404">
        <v>681</v>
      </c>
      <c t="s" s="65" r="C404">
        <v>518</v>
      </c>
      <c t="s" s="65" r="D404">
        <v>523</v>
      </c>
      <c t="s" s="65" r="E404">
        <v>524</v>
      </c>
      <c s="46" r="F404"/>
    </row>
    <row r="405">
      <c s="10" r="A405"/>
      <c t="s" s="38" r="B405">
        <v>86</v>
      </c>
      <c t="s" s="65" r="C405">
        <v>518</v>
      </c>
      <c t="s" s="65" r="D405">
        <v>523</v>
      </c>
      <c t="s" s="65" r="E405">
        <v>524</v>
      </c>
      <c s="46" r="F405"/>
    </row>
    <row r="406">
      <c s="10" r="A406"/>
      <c t="s" s="38" r="B406">
        <v>58</v>
      </c>
      <c t="s" s="65" r="C406">
        <v>522</v>
      </c>
      <c t="s" s="65" r="D406">
        <v>519</v>
      </c>
      <c t="s" s="65" r="E406">
        <v>520</v>
      </c>
      <c s="46" r="F406"/>
    </row>
    <row r="407">
      <c s="10" r="A407"/>
      <c t="s" s="38" r="B407">
        <v>682</v>
      </c>
      <c t="s" s="65" r="C407">
        <v>518</v>
      </c>
      <c t="s" s="65" r="D407">
        <v>523</v>
      </c>
      <c t="s" s="65" r="E407">
        <v>524</v>
      </c>
      <c s="46" r="F407"/>
    </row>
    <row r="408">
      <c s="10" r="A408"/>
      <c t="s" s="38" r="B408">
        <v>683</v>
      </c>
      <c t="s" s="65" r="C408">
        <v>518</v>
      </c>
      <c t="s" s="65" r="D408">
        <v>519</v>
      </c>
      <c t="s" s="65" r="E408">
        <v>525</v>
      </c>
      <c s="46" r="F408"/>
    </row>
    <row r="409">
      <c s="10" r="A409"/>
      <c t="s" s="38" r="B409">
        <v>684</v>
      </c>
      <c t="s" s="65" r="C409">
        <v>518</v>
      </c>
      <c t="s" s="65" r="D409">
        <v>523</v>
      </c>
      <c t="s" s="65" r="E409">
        <v>524</v>
      </c>
      <c s="46" r="F409"/>
    </row>
    <row r="410">
      <c s="10" r="A410"/>
      <c t="s" s="38" r="B410">
        <v>418</v>
      </c>
      <c t="s" s="65" r="C410">
        <v>522</v>
      </c>
      <c t="s" s="65" r="D410">
        <v>519</v>
      </c>
      <c t="s" s="65" r="E410">
        <v>520</v>
      </c>
      <c s="46" r="F410"/>
    </row>
    <row r="411">
      <c s="10" r="A411"/>
      <c t="s" s="38" r="B411">
        <v>685</v>
      </c>
      <c t="s" s="65" r="C411">
        <v>518</v>
      </c>
      <c t="s" s="65" r="D411">
        <v>519</v>
      </c>
      <c t="s" s="65" r="E411">
        <v>525</v>
      </c>
      <c s="46" r="F411"/>
    </row>
    <row r="412">
      <c s="10" r="A412"/>
      <c t="s" s="38" r="B412">
        <v>438</v>
      </c>
      <c t="s" s="65" r="C412">
        <v>522</v>
      </c>
      <c t="s" s="65" r="D412">
        <v>519</v>
      </c>
      <c t="s" s="65" r="E412">
        <v>520</v>
      </c>
      <c s="46" r="F412"/>
    </row>
    <row r="413">
      <c s="10" r="A413"/>
      <c t="s" s="38" r="B413">
        <v>166</v>
      </c>
      <c t="s" s="65" r="C413">
        <v>522</v>
      </c>
      <c t="s" s="65" r="D413">
        <v>519</v>
      </c>
      <c t="s" s="65" r="E413">
        <v>525</v>
      </c>
      <c s="46" r="F413"/>
    </row>
    <row r="414">
      <c s="10" r="A414"/>
      <c t="s" s="38" r="B414">
        <v>443</v>
      </c>
      <c t="s" s="65" r="C414">
        <v>522</v>
      </c>
      <c t="s" s="65" r="D414">
        <v>519</v>
      </c>
      <c t="s" s="65" r="E414">
        <v>520</v>
      </c>
      <c s="46" r="F414"/>
    </row>
    <row r="415">
      <c s="10" r="A415"/>
      <c t="s" s="38" r="B415">
        <v>363</v>
      </c>
      <c t="s" s="65" r="C415">
        <v>522</v>
      </c>
      <c t="s" s="65" r="D415">
        <v>519</v>
      </c>
      <c t="s" s="65" r="E415">
        <v>525</v>
      </c>
      <c s="46" r="F415"/>
    </row>
    <row r="416">
      <c s="10" r="A416"/>
      <c t="s" s="38" r="B416">
        <v>686</v>
      </c>
      <c t="s" s="65" r="C416">
        <v>518</v>
      </c>
      <c t="s" s="65" r="D416">
        <v>519</v>
      </c>
      <c t="s" s="65" r="E416">
        <v>525</v>
      </c>
      <c s="46" r="F416"/>
    </row>
    <row r="417">
      <c s="10" r="A417"/>
      <c t="s" s="38" r="B417">
        <v>57</v>
      </c>
      <c t="s" s="65" r="C417">
        <v>522</v>
      </c>
      <c t="s" s="65" r="D417">
        <v>519</v>
      </c>
      <c t="s" s="65" r="E417">
        <v>520</v>
      </c>
      <c s="46" r="F417"/>
    </row>
    <row r="418">
      <c s="10" r="A418"/>
      <c t="s" s="38" r="B418">
        <v>97</v>
      </c>
      <c t="s" s="65" r="C418">
        <v>522</v>
      </c>
      <c t="s" s="65" r="D418">
        <v>519</v>
      </c>
      <c t="s" s="65" r="E418">
        <v>525</v>
      </c>
      <c s="46" r="F418"/>
    </row>
    <row r="419">
      <c s="10" r="A419"/>
      <c t="s" s="38" r="B419">
        <v>341</v>
      </c>
      <c t="s" s="65" r="C419">
        <v>522</v>
      </c>
      <c t="s" s="65" r="D419">
        <v>519</v>
      </c>
      <c t="s" s="65" r="E419">
        <v>525</v>
      </c>
      <c s="46" r="F419"/>
    </row>
    <row r="420">
      <c s="10" r="A420"/>
      <c t="s" s="38" r="B420">
        <v>345</v>
      </c>
      <c t="s" s="65" r="C420">
        <v>518</v>
      </c>
      <c t="s" s="65" r="D420">
        <v>519</v>
      </c>
      <c t="s" s="65" r="E420">
        <v>525</v>
      </c>
      <c s="46" r="F420"/>
    </row>
    <row r="421">
      <c s="10" r="A421"/>
      <c t="s" s="38" r="B421">
        <v>349</v>
      </c>
      <c t="s" s="65" r="C421">
        <v>522</v>
      </c>
      <c t="s" s="65" r="D421">
        <v>519</v>
      </c>
      <c t="s" s="65" r="E421">
        <v>525</v>
      </c>
      <c s="46" r="F421"/>
    </row>
    <row r="422">
      <c s="10" r="A422"/>
      <c t="s" s="38" r="B422">
        <v>506</v>
      </c>
      <c t="s" s="65" r="C422">
        <v>522</v>
      </c>
      <c t="s" s="65" r="D422">
        <v>523</v>
      </c>
      <c t="s" s="65" r="E422">
        <v>524</v>
      </c>
      <c s="46" r="F422"/>
    </row>
    <row r="423">
      <c s="10" r="A423"/>
      <c t="s" s="38" r="B423">
        <v>687</v>
      </c>
      <c t="s" s="65" r="C423">
        <v>518</v>
      </c>
      <c t="s" s="65" r="D423">
        <v>519</v>
      </c>
      <c t="s" s="65" r="E423">
        <v>520</v>
      </c>
      <c s="46" r="F423"/>
    </row>
    <row r="424">
      <c s="10" r="A424"/>
      <c t="s" s="38" r="B424">
        <v>508</v>
      </c>
      <c t="s" s="65" r="C424">
        <v>522</v>
      </c>
      <c t="s" s="65" r="D424">
        <v>523</v>
      </c>
      <c t="s" s="65" r="E424">
        <v>524</v>
      </c>
      <c s="46" r="F424"/>
    </row>
    <row r="425">
      <c s="10" r="A425"/>
      <c t="s" s="38" r="B425">
        <v>510</v>
      </c>
      <c t="s" s="65" r="C425">
        <v>522</v>
      </c>
      <c t="s" s="65" r="D425">
        <v>523</v>
      </c>
      <c t="s" s="65" r="E425">
        <v>524</v>
      </c>
      <c s="46" r="F425"/>
    </row>
    <row r="426">
      <c s="10" r="A426"/>
      <c t="s" s="38" r="B426">
        <v>688</v>
      </c>
      <c t="s" s="65" r="C426">
        <v>518</v>
      </c>
      <c t="s" s="65" r="D426">
        <v>519</v>
      </c>
      <c t="s" s="65" r="E426">
        <v>520</v>
      </c>
      <c s="46" r="F426"/>
    </row>
    <row r="427">
      <c s="10" r="A427"/>
      <c t="s" s="38" r="B427">
        <v>168</v>
      </c>
      <c t="s" s="65" r="C427">
        <v>522</v>
      </c>
      <c t="s" s="65" r="D427">
        <v>519</v>
      </c>
      <c t="s" s="65" r="E427">
        <v>520</v>
      </c>
      <c s="46" r="F427"/>
    </row>
    <row r="428">
      <c s="10" r="A428"/>
      <c t="s" s="38" r="B428">
        <v>689</v>
      </c>
      <c t="s" s="65" r="C428">
        <v>518</v>
      </c>
      <c t="s" s="65" r="D428">
        <v>519</v>
      </c>
      <c t="s" s="65" r="E428">
        <v>520</v>
      </c>
      <c s="46" r="F428"/>
    </row>
    <row r="429">
      <c s="10" r="A429"/>
      <c t="s" s="38" r="B429">
        <v>690</v>
      </c>
      <c t="s" s="65" r="C429">
        <v>518</v>
      </c>
      <c t="s" s="65" r="D429">
        <v>523</v>
      </c>
      <c t="s" s="65" r="E429">
        <v>524</v>
      </c>
      <c s="46" r="F429"/>
    </row>
    <row r="430">
      <c s="10" r="A430"/>
      <c t="s" s="38" r="B430">
        <v>470</v>
      </c>
      <c t="s" s="65" r="C430">
        <v>518</v>
      </c>
      <c t="s" s="65" r="D430">
        <v>523</v>
      </c>
      <c t="s" s="65" r="E430">
        <v>524</v>
      </c>
      <c s="46" r="F430"/>
    </row>
    <row r="431">
      <c s="10" r="A431"/>
      <c t="s" s="38" r="B431">
        <v>691</v>
      </c>
      <c t="s" s="65" r="C431">
        <v>522</v>
      </c>
      <c t="s" s="65" r="D431">
        <v>523</v>
      </c>
      <c t="s" s="65" r="E431">
        <v>524</v>
      </c>
      <c s="46" r="F431"/>
    </row>
    <row r="432">
      <c s="10" r="A432"/>
      <c t="s" s="38" r="B432">
        <v>171</v>
      </c>
      <c t="s" s="65" r="C432">
        <v>518</v>
      </c>
      <c t="s" s="65" r="D432">
        <v>523</v>
      </c>
      <c t="s" s="65" r="E432">
        <v>524</v>
      </c>
      <c s="46" r="F432"/>
    </row>
    <row r="433">
      <c s="10" r="A433"/>
      <c t="s" s="38" r="B433">
        <v>692</v>
      </c>
      <c t="s" s="65" r="C433">
        <v>518</v>
      </c>
      <c t="s" s="65" r="D433">
        <v>519</v>
      </c>
      <c t="s" s="65" r="E433">
        <v>525</v>
      </c>
      <c s="46" r="F433"/>
    </row>
    <row r="434">
      <c s="10" r="A434"/>
      <c t="s" s="38" r="B434">
        <v>173</v>
      </c>
      <c t="s" s="65" r="C434">
        <v>518</v>
      </c>
      <c t="s" s="65" r="D434">
        <v>519</v>
      </c>
      <c t="s" s="65" r="E434">
        <v>525</v>
      </c>
      <c s="46" r="F434"/>
    </row>
    <row r="435">
      <c s="10" r="A435"/>
      <c t="s" s="38" r="B435">
        <v>71</v>
      </c>
      <c t="s" s="65" r="C435">
        <v>518</v>
      </c>
      <c t="s" s="65" r="D435">
        <v>519</v>
      </c>
      <c t="s" s="65" r="E435">
        <v>525</v>
      </c>
      <c s="46" r="F435"/>
    </row>
    <row r="436">
      <c s="10" r="A436"/>
      <c t="s" s="38" r="B436">
        <v>366</v>
      </c>
      <c t="s" s="65" r="C436">
        <v>522</v>
      </c>
      <c t="s" s="65" r="D436">
        <v>519</v>
      </c>
      <c t="s" s="65" r="E436">
        <v>525</v>
      </c>
      <c s="46" r="F436"/>
    </row>
    <row r="437">
      <c s="10" r="A437"/>
      <c t="s" s="38" r="B437">
        <v>490</v>
      </c>
      <c t="s" s="65" r="C437">
        <v>522</v>
      </c>
      <c t="s" s="65" r="D437">
        <v>523</v>
      </c>
      <c t="s" s="65" r="E437">
        <v>524</v>
      </c>
      <c s="46" r="F437"/>
    </row>
    <row r="438">
      <c s="10" r="A438"/>
      <c t="s" s="38" r="B438">
        <v>693</v>
      </c>
      <c t="s" s="65" r="C438">
        <v>518</v>
      </c>
      <c t="s" s="65" r="D438">
        <v>519</v>
      </c>
      <c t="s" s="65" r="E438">
        <v>525</v>
      </c>
      <c s="46" r="F438"/>
    </row>
    <row r="439">
      <c s="10" r="A439"/>
      <c t="s" s="38" r="B439">
        <v>694</v>
      </c>
      <c t="s" s="65" r="C439">
        <v>518</v>
      </c>
      <c t="s" s="65" r="D439">
        <v>519</v>
      </c>
      <c t="s" s="65" r="E439">
        <v>525</v>
      </c>
      <c s="46" r="F439"/>
    </row>
    <row r="440">
      <c s="10" r="A440"/>
      <c t="s" s="38" r="B440">
        <v>473</v>
      </c>
      <c t="s" s="65" r="C440">
        <v>522</v>
      </c>
      <c t="s" s="65" r="D440">
        <v>523</v>
      </c>
      <c t="s" s="65" r="E440">
        <v>524</v>
      </c>
      <c s="46" r="F440"/>
    </row>
    <row r="441">
      <c s="10" r="A441"/>
      <c t="s" s="38" r="B441">
        <v>26</v>
      </c>
      <c t="s" s="65" r="C441">
        <v>522</v>
      </c>
      <c t="s" s="65" r="D441">
        <v>523</v>
      </c>
      <c t="s" s="65" r="E441">
        <v>524</v>
      </c>
      <c s="46" r="F441"/>
    </row>
    <row r="442">
      <c s="10" r="A442"/>
      <c t="s" s="38" r="B442">
        <v>695</v>
      </c>
      <c t="s" s="65" r="C442">
        <v>518</v>
      </c>
      <c t="s" s="65" r="D442">
        <v>519</v>
      </c>
      <c t="s" s="65" r="E442">
        <v>520</v>
      </c>
      <c s="46" r="F442"/>
    </row>
    <row r="443">
      <c s="10" r="A443"/>
      <c t="s" s="38" r="B443">
        <v>82</v>
      </c>
      <c t="s" s="65" r="C443">
        <v>522</v>
      </c>
      <c t="s" s="65" r="D443">
        <v>519</v>
      </c>
      <c t="s" s="65" r="E443">
        <v>520</v>
      </c>
      <c s="46" r="F443"/>
    </row>
    <row r="444">
      <c s="10" r="A444"/>
      <c t="s" s="38" r="B444">
        <v>74</v>
      </c>
      <c t="s" s="65" r="C444">
        <v>522</v>
      </c>
      <c t="s" s="65" r="D444">
        <v>519</v>
      </c>
      <c t="s" s="65" r="E444">
        <v>520</v>
      </c>
      <c s="46" r="F444"/>
    </row>
    <row r="445">
      <c s="10" r="A445"/>
      <c t="s" s="38" r="B445">
        <v>121</v>
      </c>
      <c t="s" s="65" r="C445">
        <v>518</v>
      </c>
      <c t="s" s="65" r="D445">
        <v>519</v>
      </c>
      <c t="s" s="65" r="E445">
        <v>525</v>
      </c>
      <c s="46" r="F445"/>
    </row>
    <row r="446">
      <c s="10" r="A446"/>
      <c t="s" s="38" r="B446">
        <v>696</v>
      </c>
      <c t="s" s="65" r="C446">
        <v>518</v>
      </c>
      <c t="s" s="65" r="D446">
        <v>519</v>
      </c>
      <c t="s" s="65" r="E446">
        <v>525</v>
      </c>
      <c s="46" r="F446"/>
    </row>
    <row r="447">
      <c s="10" r="A447"/>
      <c t="s" s="38" r="B447">
        <v>697</v>
      </c>
      <c t="s" s="65" r="C447">
        <v>518</v>
      </c>
      <c t="s" s="65" r="D447">
        <v>519</v>
      </c>
      <c t="s" s="65" r="E447">
        <v>520</v>
      </c>
      <c s="46" r="F447"/>
    </row>
    <row r="448">
      <c s="10" r="A448"/>
      <c t="s" s="38" r="B448">
        <v>698</v>
      </c>
      <c t="s" s="65" r="C448">
        <v>518</v>
      </c>
      <c t="s" s="65" r="D448">
        <v>523</v>
      </c>
      <c t="s" s="65" r="E448">
        <v>524</v>
      </c>
      <c s="46" r="F448"/>
    </row>
    <row r="449">
      <c s="10" r="A449"/>
      <c t="s" s="38" r="B449">
        <v>113</v>
      </c>
      <c t="s" s="65" r="C449">
        <v>518</v>
      </c>
      <c t="s" s="65" r="D449">
        <v>519</v>
      </c>
      <c t="s" s="65" r="E449">
        <v>520</v>
      </c>
      <c s="46" r="F449"/>
    </row>
    <row r="450">
      <c s="10" r="A450"/>
      <c t="s" s="38" r="B450">
        <v>177</v>
      </c>
      <c t="s" s="65" r="C450">
        <v>522</v>
      </c>
      <c t="s" s="65" r="D450">
        <v>523</v>
      </c>
      <c t="s" s="65" r="E450">
        <v>524</v>
      </c>
      <c s="46" r="F450"/>
    </row>
    <row r="451">
      <c s="10" r="A451"/>
      <c t="s" s="38" r="B451">
        <v>28</v>
      </c>
      <c t="s" s="65" r="C451">
        <v>518</v>
      </c>
      <c t="s" s="65" r="D451">
        <v>519</v>
      </c>
      <c t="s" s="65" r="E451">
        <v>520</v>
      </c>
      <c s="46" r="F451"/>
    </row>
    <row r="452">
      <c s="10" r="A452"/>
      <c t="s" s="38" r="B452">
        <v>699</v>
      </c>
      <c t="s" s="65" r="C452">
        <v>518</v>
      </c>
      <c t="s" s="65" r="D452">
        <v>523</v>
      </c>
      <c t="s" s="65" r="E452">
        <v>524</v>
      </c>
      <c s="46" r="F452"/>
    </row>
    <row r="453">
      <c s="10" r="A453"/>
      <c t="s" s="38" r="B453">
        <v>489</v>
      </c>
      <c t="s" s="65" r="C453">
        <v>522</v>
      </c>
      <c t="s" s="65" r="D453">
        <v>523</v>
      </c>
      <c t="s" s="65" r="E453">
        <v>524</v>
      </c>
      <c s="46" r="F453"/>
    </row>
    <row r="454">
      <c s="10" r="A454"/>
      <c t="s" s="38" r="B454">
        <v>117</v>
      </c>
      <c t="s" s="65" r="C454">
        <v>518</v>
      </c>
      <c t="s" s="65" r="D454">
        <v>519</v>
      </c>
      <c t="s" s="65" r="E454">
        <v>520</v>
      </c>
      <c s="46" r="F454"/>
    </row>
    <row r="455">
      <c s="10" r="A455"/>
      <c t="s" s="38" r="B455">
        <v>700</v>
      </c>
      <c t="s" s="65" r="C455">
        <v>518</v>
      </c>
      <c t="s" s="65" r="D455">
        <v>519</v>
      </c>
      <c t="s" s="65" r="E455">
        <v>520</v>
      </c>
      <c s="46" r="F455"/>
    </row>
    <row r="456">
      <c s="10" r="A456"/>
      <c t="s" s="38" r="B456">
        <v>417</v>
      </c>
      <c t="s" s="65" r="C456">
        <v>522</v>
      </c>
      <c t="s" s="65" r="D456">
        <v>519</v>
      </c>
      <c t="s" s="65" r="E456">
        <v>520</v>
      </c>
      <c s="46" r="F456"/>
    </row>
    <row r="457">
      <c s="10" r="A457"/>
      <c t="s" s="38" r="B457">
        <v>386</v>
      </c>
      <c t="s" s="65" r="C457">
        <v>522</v>
      </c>
      <c t="s" s="65" r="D457">
        <v>519</v>
      </c>
      <c t="s" s="65" r="E457">
        <v>525</v>
      </c>
      <c s="46" r="F457"/>
    </row>
    <row r="458">
      <c s="10" r="A458"/>
      <c t="s" s="38" r="B458">
        <v>515</v>
      </c>
      <c t="s" s="65" r="C458">
        <v>522</v>
      </c>
      <c t="s" s="65" r="D458">
        <v>523</v>
      </c>
      <c t="s" s="65" r="E458">
        <v>524</v>
      </c>
      <c s="46" r="F458"/>
    </row>
    <row r="459">
      <c s="10" r="A459"/>
      <c t="s" s="38" r="B459">
        <v>701</v>
      </c>
      <c t="s" s="65" r="C459">
        <v>518</v>
      </c>
      <c t="s" s="65" r="D459">
        <v>519</v>
      </c>
      <c t="s" s="65" r="E459">
        <v>525</v>
      </c>
      <c s="46" r="F459"/>
    </row>
    <row r="460">
      <c s="10" r="A460"/>
      <c t="s" s="38" r="B460">
        <v>493</v>
      </c>
      <c t="s" s="65" r="C460">
        <v>522</v>
      </c>
      <c t="s" s="65" r="D460">
        <v>523</v>
      </c>
      <c t="s" s="65" r="E460">
        <v>524</v>
      </c>
      <c s="46" r="F460"/>
    </row>
    <row r="461">
      <c s="10" r="A461"/>
      <c t="s" s="38" r="B461">
        <v>702</v>
      </c>
      <c t="s" s="65" r="C461">
        <v>518</v>
      </c>
      <c t="s" s="65" r="D461">
        <v>519</v>
      </c>
      <c t="s" s="65" r="E461">
        <v>520</v>
      </c>
      <c s="46" r="F461"/>
    </row>
    <row r="462">
      <c s="10" r="A462"/>
      <c t="s" s="38" r="B462">
        <v>181</v>
      </c>
      <c t="s" s="65" r="C462">
        <v>518</v>
      </c>
      <c t="s" s="65" r="D462">
        <v>523</v>
      </c>
      <c t="s" s="65" r="E462">
        <v>524</v>
      </c>
      <c s="46" r="F462"/>
    </row>
    <row r="463">
      <c s="10" r="A463"/>
      <c t="s" s="38" r="B463">
        <v>703</v>
      </c>
      <c t="s" s="65" r="C463">
        <v>518</v>
      </c>
      <c t="s" s="65" r="D463">
        <v>523</v>
      </c>
      <c t="s" s="65" r="E463">
        <v>524</v>
      </c>
      <c s="46" r="F463"/>
    </row>
    <row r="464">
      <c s="10" r="A464"/>
      <c t="s" s="38" r="B464">
        <v>475</v>
      </c>
      <c t="s" s="65" r="C464">
        <v>522</v>
      </c>
      <c t="s" s="65" r="D464">
        <v>523</v>
      </c>
      <c t="s" s="65" r="E464">
        <v>524</v>
      </c>
      <c s="46" r="F464"/>
    </row>
    <row r="465">
      <c s="10" r="A465"/>
      <c t="s" s="38" r="B465">
        <v>183</v>
      </c>
      <c t="s" s="65" r="C465">
        <v>522</v>
      </c>
      <c t="s" s="65" r="D465">
        <v>523</v>
      </c>
      <c t="s" s="65" r="E465">
        <v>524</v>
      </c>
      <c s="46" r="F465"/>
    </row>
    <row r="466">
      <c s="10" r="A466"/>
      <c t="s" s="38" r="B466">
        <v>704</v>
      </c>
      <c t="s" s="65" r="C466">
        <v>518</v>
      </c>
      <c t="s" s="65" r="D466">
        <v>519</v>
      </c>
      <c t="s" s="65" r="E466">
        <v>525</v>
      </c>
      <c s="46" r="F466"/>
    </row>
    <row r="467">
      <c s="10" r="A467"/>
      <c t="s" s="38" r="B467">
        <v>705</v>
      </c>
      <c t="s" s="65" r="C467">
        <v>518</v>
      </c>
      <c t="s" s="65" r="D467">
        <v>519</v>
      </c>
      <c t="s" s="65" r="E467">
        <v>525</v>
      </c>
      <c s="46" r="F467"/>
    </row>
    <row r="468">
      <c s="10" r="A468"/>
      <c t="s" s="38" r="B468">
        <v>512</v>
      </c>
      <c t="s" s="65" r="C468">
        <v>522</v>
      </c>
      <c t="s" s="65" r="D468">
        <v>523</v>
      </c>
      <c t="s" s="65" r="E468">
        <v>524</v>
      </c>
      <c s="46" r="F468"/>
    </row>
    <row r="469">
      <c s="10" r="A469"/>
      <c t="s" s="38" r="B469">
        <v>706</v>
      </c>
      <c t="s" s="65" r="C469">
        <v>518</v>
      </c>
      <c t="s" s="65" r="D469">
        <v>519</v>
      </c>
      <c t="s" s="65" r="E469">
        <v>525</v>
      </c>
      <c s="46" r="F469"/>
    </row>
    <row r="470">
      <c s="10" r="A470"/>
      <c t="s" s="38" r="B470">
        <v>115</v>
      </c>
      <c t="s" s="65" r="C470">
        <v>522</v>
      </c>
      <c t="s" s="65" r="D470">
        <v>519</v>
      </c>
      <c t="s" s="65" r="E470">
        <v>525</v>
      </c>
      <c s="46" r="F470"/>
    </row>
    <row r="471">
      <c s="10" r="A471"/>
      <c t="s" s="38" r="B471">
        <v>414</v>
      </c>
      <c t="s" s="65" r="C471">
        <v>522</v>
      </c>
      <c t="s" s="65" r="D471">
        <v>519</v>
      </c>
      <c t="s" s="65" r="E471">
        <v>520</v>
      </c>
      <c s="46" r="F471"/>
    </row>
    <row r="472">
      <c s="10" r="A472"/>
      <c t="s" s="38" r="B472">
        <v>370</v>
      </c>
      <c t="s" s="65" r="C472">
        <v>522</v>
      </c>
      <c t="s" s="65" r="D472">
        <v>519</v>
      </c>
      <c t="s" s="65" r="E472">
        <v>525</v>
      </c>
      <c s="46" r="F472"/>
    </row>
    <row r="473">
      <c s="10" r="A473"/>
      <c t="s" s="38" r="B473">
        <v>127</v>
      </c>
      <c t="s" s="65" r="C473">
        <v>518</v>
      </c>
      <c t="s" s="65" r="D473">
        <v>519</v>
      </c>
      <c t="s" s="65" r="E473">
        <v>525</v>
      </c>
      <c s="46" r="F473"/>
    </row>
    <row r="474">
      <c s="10" r="A474"/>
      <c t="s" s="38" r="B474">
        <v>707</v>
      </c>
      <c t="s" s="65" r="C474">
        <v>518</v>
      </c>
      <c t="s" s="65" r="D474">
        <v>523</v>
      </c>
      <c t="s" s="65" r="E474">
        <v>524</v>
      </c>
      <c s="46" r="F474"/>
    </row>
    <row r="475">
      <c s="10" r="A475"/>
      <c t="s" s="38" r="B475">
        <v>708</v>
      </c>
      <c t="s" s="65" r="C475">
        <v>518</v>
      </c>
      <c t="s" s="65" r="D475">
        <v>519</v>
      </c>
      <c t="s" s="65" r="E475">
        <v>525</v>
      </c>
      <c s="46" r="F475"/>
    </row>
    <row r="476">
      <c s="10" r="A476"/>
      <c t="s" s="38" r="B476">
        <v>40</v>
      </c>
      <c t="s" s="65" r="C476">
        <v>518</v>
      </c>
      <c t="s" s="65" r="D476">
        <v>519</v>
      </c>
      <c t="s" s="65" r="E476">
        <v>520</v>
      </c>
      <c s="46" r="F476"/>
    </row>
    <row r="477">
      <c s="10" r="A477"/>
      <c t="s" s="38" r="B477">
        <v>478</v>
      </c>
      <c t="s" s="65" r="C477">
        <v>522</v>
      </c>
      <c t="s" s="65" r="D477">
        <v>523</v>
      </c>
      <c t="s" s="65" r="E477">
        <v>524</v>
      </c>
      <c s="46" r="F477"/>
    </row>
    <row r="478">
      <c s="10" r="A478"/>
      <c t="s" s="38" r="B478">
        <v>709</v>
      </c>
      <c t="s" s="65" r="C478">
        <v>518</v>
      </c>
      <c t="s" s="65" r="D478">
        <v>519</v>
      </c>
      <c t="s" s="65" r="E478">
        <v>525</v>
      </c>
      <c s="46" r="F478"/>
    </row>
    <row r="479">
      <c s="10" r="A479"/>
      <c t="s" s="38" r="B479">
        <v>30</v>
      </c>
      <c t="s" s="65" r="C479">
        <v>522</v>
      </c>
      <c t="s" s="65" r="D479">
        <v>523</v>
      </c>
      <c t="s" s="65" r="E479">
        <v>524</v>
      </c>
      <c s="46" r="F479"/>
    </row>
    <row r="480">
      <c s="10" r="A480"/>
      <c t="s" s="38" r="B480">
        <v>351</v>
      </c>
      <c t="s" s="65" r="C480">
        <v>522</v>
      </c>
      <c t="s" s="65" r="D480">
        <v>519</v>
      </c>
      <c t="s" s="65" r="E480">
        <v>525</v>
      </c>
      <c s="46" r="F480"/>
    </row>
    <row r="481">
      <c s="10" r="A481"/>
      <c t="s" s="38" r="B481">
        <v>81</v>
      </c>
      <c t="s" s="65" r="C481">
        <v>518</v>
      </c>
      <c t="s" s="65" r="D481">
        <v>523</v>
      </c>
      <c t="s" s="65" r="E481">
        <v>524</v>
      </c>
      <c s="46" r="F481"/>
    </row>
    <row r="482">
      <c s="10" r="A482"/>
      <c t="s" s="38" r="B482">
        <v>186</v>
      </c>
      <c t="s" s="65" r="C482">
        <v>522</v>
      </c>
      <c t="s" s="65" r="D482">
        <v>523</v>
      </c>
      <c t="s" s="65" r="E482">
        <v>525</v>
      </c>
      <c s="46" r="F482"/>
    </row>
    <row r="483">
      <c s="10" r="A483"/>
      <c t="s" s="38" r="B483">
        <v>188</v>
      </c>
      <c t="s" s="65" r="C483">
        <v>522</v>
      </c>
      <c t="s" s="65" r="D483">
        <v>519</v>
      </c>
      <c t="s" s="65" r="E483">
        <v>525</v>
      </c>
      <c s="46" r="F483"/>
    </row>
    <row r="484">
      <c s="10" r="A484"/>
      <c t="s" s="38" r="B484">
        <v>710</v>
      </c>
      <c t="s" s="65" r="C484">
        <v>518</v>
      </c>
      <c t="s" s="65" r="D484">
        <v>523</v>
      </c>
      <c t="s" s="65" r="E484">
        <v>524</v>
      </c>
      <c s="46" r="F484"/>
    </row>
    <row r="485">
      <c s="10" r="A485"/>
      <c t="s" s="38" r="B485">
        <v>123</v>
      </c>
      <c t="s" s="65" r="C485">
        <v>522</v>
      </c>
      <c t="s" s="65" r="D485">
        <v>519</v>
      </c>
      <c t="s" s="65" r="E485">
        <v>520</v>
      </c>
      <c s="46" r="F485"/>
    </row>
    <row r="486">
      <c s="10" r="A486"/>
      <c t="s" s="38" r="B486">
        <v>32</v>
      </c>
      <c t="s" s="65" r="C486">
        <v>518</v>
      </c>
      <c t="s" s="65" r="D486">
        <v>523</v>
      </c>
      <c t="s" s="65" r="E486">
        <v>524</v>
      </c>
      <c s="46" r="F486"/>
    </row>
    <row r="487">
      <c s="10" r="A487"/>
      <c t="s" s="38" r="B487">
        <v>711</v>
      </c>
      <c t="s" s="65" r="C487">
        <v>518</v>
      </c>
      <c t="s" s="65" r="D487">
        <v>523</v>
      </c>
      <c t="s" s="65" r="E487">
        <v>524</v>
      </c>
      <c s="46" r="F487"/>
    </row>
    <row r="488">
      <c s="10" r="A488"/>
      <c t="s" s="38" r="B488">
        <v>481</v>
      </c>
      <c t="s" s="65" r="C488">
        <v>518</v>
      </c>
      <c t="s" s="65" r="D488">
        <v>523</v>
      </c>
      <c t="s" s="65" r="E488">
        <v>524</v>
      </c>
      <c s="46" r="F488"/>
    </row>
    <row r="489">
      <c s="10" r="A489"/>
      <c t="s" s="38" r="B489">
        <v>712</v>
      </c>
      <c t="s" s="65" r="C489">
        <v>518</v>
      </c>
      <c t="s" s="65" r="D489">
        <v>523</v>
      </c>
      <c t="s" s="65" r="E489">
        <v>524</v>
      </c>
      <c s="46" r="F489"/>
    </row>
    <row r="490">
      <c s="10" r="A490"/>
      <c t="s" s="38" r="B490">
        <v>713</v>
      </c>
      <c t="s" s="65" r="C490">
        <v>518</v>
      </c>
      <c t="s" s="65" r="D490">
        <v>519</v>
      </c>
      <c t="s" s="65" r="E490">
        <v>520</v>
      </c>
      <c s="46" r="F490"/>
    </row>
    <row r="491">
      <c s="10" r="A491"/>
      <c t="s" s="38" r="B491">
        <v>497</v>
      </c>
      <c t="s" s="65" r="C491">
        <v>522</v>
      </c>
      <c t="s" s="65" r="D491">
        <v>523</v>
      </c>
      <c t="s" s="65" r="E491">
        <v>524</v>
      </c>
      <c s="46" r="F491"/>
    </row>
    <row r="492">
      <c s="10" r="A492"/>
      <c t="s" s="38" r="B492">
        <v>130</v>
      </c>
      <c t="s" s="65" r="C492">
        <v>522</v>
      </c>
      <c t="s" s="65" r="D492">
        <v>523</v>
      </c>
      <c t="s" s="65" r="E492">
        <v>524</v>
      </c>
      <c s="46" r="F492"/>
    </row>
    <row r="493">
      <c s="10" r="A493"/>
      <c t="s" s="38" r="B493">
        <v>714</v>
      </c>
      <c t="s" s="65" r="C493">
        <v>518</v>
      </c>
      <c t="s" s="65" r="D493">
        <v>519</v>
      </c>
      <c t="s" s="65" r="E493">
        <v>520</v>
      </c>
      <c s="46" r="F493"/>
    </row>
    <row r="494">
      <c s="10" r="A494"/>
      <c t="s" s="38" r="B494">
        <v>190</v>
      </c>
      <c t="s" s="65" r="C494">
        <v>522</v>
      </c>
      <c t="s" s="65" r="D494">
        <v>523</v>
      </c>
      <c t="s" s="65" r="E494">
        <v>524</v>
      </c>
      <c s="46" r="F494"/>
    </row>
    <row r="495">
      <c s="10" r="A495"/>
      <c t="s" s="38" r="B495">
        <v>715</v>
      </c>
      <c t="s" s="65" r="C495">
        <v>518</v>
      </c>
      <c t="s" s="65" r="D495">
        <v>519</v>
      </c>
      <c t="s" s="65" r="E495">
        <v>525</v>
      </c>
      <c s="46" r="F495"/>
    </row>
    <row r="496">
      <c s="10" r="A496"/>
      <c t="s" s="38" r="B496">
        <v>514</v>
      </c>
      <c t="s" s="65" r="C496">
        <v>522</v>
      </c>
      <c t="s" s="65" r="D496">
        <v>523</v>
      </c>
      <c t="s" s="65" r="E496">
        <v>524</v>
      </c>
      <c s="46" r="F496"/>
    </row>
    <row r="497">
      <c s="10" r="A497"/>
      <c t="s" s="38" r="B497">
        <v>385</v>
      </c>
      <c t="s" s="65" r="C497">
        <v>522</v>
      </c>
      <c t="s" s="65" r="D497">
        <v>519</v>
      </c>
      <c t="s" s="65" r="E497">
        <v>525</v>
      </c>
      <c s="46" r="F497"/>
    </row>
    <row r="498">
      <c s="10" r="A498"/>
      <c t="s" s="38" r="B498">
        <v>716</v>
      </c>
      <c t="s" s="65" r="C498">
        <v>518</v>
      </c>
      <c t="s" s="65" r="D498">
        <v>523</v>
      </c>
      <c t="s" s="65" r="E498">
        <v>524</v>
      </c>
      <c s="46" r="F498"/>
    </row>
    <row r="499">
      <c s="10" r="A499"/>
      <c t="s" s="38" r="B499">
        <v>193</v>
      </c>
      <c t="s" s="65" r="C499">
        <v>518</v>
      </c>
      <c t="s" s="65" r="D499">
        <v>523</v>
      </c>
      <c t="s" s="65" r="E499">
        <v>524</v>
      </c>
      <c s="46" r="F499"/>
    </row>
    <row r="500">
      <c s="10" r="A500"/>
      <c t="s" s="38" r="B500">
        <v>717</v>
      </c>
      <c t="s" s="65" r="C500">
        <v>518</v>
      </c>
      <c t="s" s="65" r="D500">
        <v>519</v>
      </c>
      <c t="s" s="65" r="E500">
        <v>525</v>
      </c>
      <c s="46" r="F500"/>
    </row>
    <row r="501">
      <c s="10" r="A501"/>
      <c t="s" s="38" r="B501">
        <v>85</v>
      </c>
      <c t="s" s="65" r="C501">
        <v>522</v>
      </c>
      <c t="s" s="65" r="D501">
        <v>523</v>
      </c>
      <c t="s" s="65" r="E501">
        <v>524</v>
      </c>
      <c s="46" r="F501"/>
    </row>
    <row r="502">
      <c s="10" r="A502"/>
      <c t="s" s="38" r="B502">
        <v>429</v>
      </c>
      <c t="s" s="65" r="C502">
        <v>522</v>
      </c>
      <c t="s" s="65" r="D502">
        <v>519</v>
      </c>
      <c t="s" s="65" r="E502">
        <v>520</v>
      </c>
      <c s="46" r="F502"/>
    </row>
    <row r="503">
      <c s="10" r="A503"/>
      <c t="s" s="38" r="B503">
        <v>484</v>
      </c>
      <c t="s" s="65" r="C503">
        <v>522</v>
      </c>
      <c t="s" s="65" r="D503">
        <v>523</v>
      </c>
      <c t="s" s="65" r="E503">
        <v>524</v>
      </c>
      <c s="46" r="F503"/>
    </row>
    <row r="504">
      <c s="10" r="A504"/>
      <c t="s" s="38" r="B504">
        <v>108</v>
      </c>
      <c t="s" s="65" r="C504">
        <v>518</v>
      </c>
      <c t="s" s="65" r="D504">
        <v>523</v>
      </c>
      <c t="s" s="65" r="E504">
        <v>524</v>
      </c>
      <c s="46" r="F504"/>
    </row>
    <row r="505">
      <c s="10" r="A505"/>
      <c t="s" s="38" r="B505">
        <v>718</v>
      </c>
      <c t="s" s="65" r="C505">
        <v>518</v>
      </c>
      <c t="s" s="65" r="D505">
        <v>523</v>
      </c>
      <c t="s" s="65" r="E505">
        <v>524</v>
      </c>
      <c s="46" r="F505"/>
    </row>
    <row r="506">
      <c s="10" r="A506"/>
      <c t="s" s="38" r="B506">
        <v>114</v>
      </c>
      <c t="s" s="65" r="C506">
        <v>518</v>
      </c>
      <c t="s" s="65" r="D506">
        <v>519</v>
      </c>
      <c t="s" s="65" r="E506">
        <v>525</v>
      </c>
      <c s="46" r="F506"/>
    </row>
    <row r="507">
      <c s="10" r="A507"/>
      <c t="s" s="38" r="B507">
        <v>389</v>
      </c>
      <c t="s" s="65" r="C507">
        <v>522</v>
      </c>
      <c t="s" s="65" r="D507">
        <v>519</v>
      </c>
      <c t="s" s="65" r="E507">
        <v>525</v>
      </c>
      <c s="46" r="F507"/>
    </row>
    <row r="508">
      <c s="10" r="A508"/>
      <c t="s" s="38" r="B508">
        <v>128</v>
      </c>
      <c t="s" s="65" r="C508">
        <v>522</v>
      </c>
      <c t="s" s="65" r="D508">
        <v>519</v>
      </c>
      <c t="s" s="65" r="E508">
        <v>520</v>
      </c>
      <c s="46" r="F508"/>
    </row>
    <row r="509">
      <c s="10" r="A509"/>
      <c t="s" s="38" r="B509">
        <v>390</v>
      </c>
      <c t="s" s="65" r="C509">
        <v>522</v>
      </c>
      <c t="s" s="65" r="D509">
        <v>519</v>
      </c>
      <c t="s" s="65" r="E509">
        <v>525</v>
      </c>
      <c s="46" r="F509"/>
    </row>
    <row r="510">
      <c s="10" r="A510"/>
      <c t="s" s="38" r="B510">
        <v>122</v>
      </c>
      <c t="s" s="65" r="C510">
        <v>522</v>
      </c>
      <c t="s" s="65" r="D510">
        <v>523</v>
      </c>
      <c t="s" s="65" r="E510">
        <v>524</v>
      </c>
      <c s="46" r="F510"/>
    </row>
    <row r="511">
      <c s="10" r="A511"/>
      <c t="s" s="38" r="B511">
        <v>124</v>
      </c>
      <c t="s" s="65" r="C511">
        <v>522</v>
      </c>
      <c t="s" s="65" r="D511">
        <v>519</v>
      </c>
      <c t="s" s="65" r="E511">
        <v>520</v>
      </c>
      <c s="46" r="F511"/>
    </row>
    <row r="512">
      <c s="10" r="A512"/>
      <c t="s" s="38" r="B512">
        <v>392</v>
      </c>
      <c t="s" s="65" r="C512">
        <v>522</v>
      </c>
      <c t="s" s="65" r="D512">
        <v>519</v>
      </c>
      <c t="s" s="65" r="E512">
        <v>525</v>
      </c>
      <c s="46" r="F512"/>
    </row>
    <row r="513">
      <c s="10" r="A513"/>
      <c t="s" s="38" r="B513">
        <v>719</v>
      </c>
      <c t="s" s="65" r="C513">
        <v>518</v>
      </c>
      <c t="s" s="65" r="D513">
        <v>519</v>
      </c>
      <c t="s" s="65" r="E513">
        <v>520</v>
      </c>
      <c s="46" r="F513"/>
    </row>
    <row r="514">
      <c s="10" r="A514"/>
      <c t="s" s="38" r="B514">
        <v>720</v>
      </c>
      <c t="s" s="65" r="C514">
        <v>518</v>
      </c>
      <c t="s" s="65" r="D514">
        <v>523</v>
      </c>
      <c t="s" s="65" r="E514">
        <v>524</v>
      </c>
      <c s="46" r="F514"/>
    </row>
    <row r="515">
      <c s="10" r="A515"/>
      <c t="s" s="38" r="B515">
        <v>99</v>
      </c>
      <c t="s" s="65" r="C515">
        <v>518</v>
      </c>
      <c t="s" s="65" r="D515">
        <v>523</v>
      </c>
      <c t="s" s="65" r="E515">
        <v>524</v>
      </c>
      <c s="46" r="F515"/>
    </row>
    <row r="516">
      <c s="10" r="A516"/>
      <c t="s" s="38" r="B516">
        <v>34</v>
      </c>
      <c t="s" s="65" r="C516">
        <v>522</v>
      </c>
      <c t="s" s="65" r="D516">
        <v>523</v>
      </c>
      <c t="s" s="65" r="E516">
        <v>524</v>
      </c>
      <c s="46" r="F516"/>
    </row>
    <row r="517">
      <c s="10" r="A517"/>
      <c t="s" s="38" r="B517">
        <v>501</v>
      </c>
      <c t="s" s="65" r="C517">
        <v>522</v>
      </c>
      <c t="s" s="65" r="D517">
        <v>523</v>
      </c>
      <c t="s" s="65" r="E517">
        <v>524</v>
      </c>
      <c s="46" r="F517"/>
    </row>
    <row r="518">
      <c s="10" r="A518"/>
      <c t="s" s="38" r="B518">
        <v>721</v>
      </c>
      <c t="s" s="65" r="C518">
        <v>518</v>
      </c>
      <c t="s" s="65" r="D518">
        <v>523</v>
      </c>
      <c t="s" s="65" r="E518">
        <v>524</v>
      </c>
      <c s="46" r="F518"/>
    </row>
    <row r="519">
      <c s="10" r="A519"/>
      <c t="s" s="38" r="B519">
        <v>430</v>
      </c>
      <c t="s" s="65" r="C519">
        <v>522</v>
      </c>
      <c t="s" s="65" r="D519">
        <v>519</v>
      </c>
      <c t="s" s="65" r="E519">
        <v>520</v>
      </c>
      <c s="46" r="F519"/>
    </row>
    <row r="520">
      <c s="10" r="A520"/>
      <c t="s" s="38" r="B520">
        <v>198</v>
      </c>
      <c t="s" s="65" r="C520">
        <v>522</v>
      </c>
      <c t="s" s="65" r="D520">
        <v>523</v>
      </c>
      <c t="s" s="65" r="E520">
        <v>524</v>
      </c>
      <c s="46" r="F520"/>
    </row>
    <row r="521">
      <c s="10" r="A521"/>
      <c t="s" s="38" r="B521">
        <v>103</v>
      </c>
      <c t="s" s="65" r="C521">
        <v>522</v>
      </c>
      <c t="s" s="65" r="D521">
        <v>523</v>
      </c>
      <c t="s" s="65" r="E521">
        <v>524</v>
      </c>
      <c s="46" r="F521"/>
    </row>
    <row r="522">
      <c s="10" r="A522"/>
      <c t="s" s="38" r="B522">
        <v>722</v>
      </c>
      <c t="s" s="65" r="C522">
        <v>518</v>
      </c>
      <c t="s" s="65" r="D522">
        <v>519</v>
      </c>
      <c t="s" s="65" r="E522">
        <v>525</v>
      </c>
      <c s="46" r="F522"/>
    </row>
    <row r="523">
      <c s="10" r="A523"/>
      <c t="s" s="38" r="B523">
        <v>723</v>
      </c>
      <c t="s" s="65" r="C523">
        <v>518</v>
      </c>
      <c t="s" s="65" r="D523">
        <v>519</v>
      </c>
      <c t="s" s="65" r="E523">
        <v>520</v>
      </c>
      <c s="46" r="F523"/>
    </row>
    <row r="524">
      <c s="10" r="A524"/>
      <c t="s" s="38" r="B524">
        <v>724</v>
      </c>
      <c t="s" s="65" r="C524">
        <v>518</v>
      </c>
      <c t="s" s="65" r="D524">
        <v>519</v>
      </c>
      <c t="s" s="65" r="E524">
        <v>525</v>
      </c>
      <c s="46" r="F524"/>
    </row>
    <row r="525">
      <c s="10" r="A525"/>
      <c t="s" s="38" r="B525">
        <v>725</v>
      </c>
      <c t="s" s="65" r="C525">
        <v>518</v>
      </c>
      <c t="s" s="65" r="D525">
        <v>519</v>
      </c>
      <c t="s" s="65" r="E525">
        <v>520</v>
      </c>
      <c s="46" r="F525"/>
    </row>
    <row r="526">
      <c s="10" r="A526"/>
      <c t="s" s="38" r="B526">
        <v>200</v>
      </c>
      <c t="s" s="65" r="C526">
        <v>518</v>
      </c>
      <c t="s" s="65" r="D526">
        <v>519</v>
      </c>
      <c t="s" s="65" r="E526">
        <v>520</v>
      </c>
      <c s="46" r="F526"/>
    </row>
    <row r="527">
      <c s="10" r="A527"/>
      <c t="s" s="38" r="B527">
        <v>95</v>
      </c>
      <c t="s" s="65" r="C527">
        <v>522</v>
      </c>
      <c t="s" s="65" r="D527">
        <v>519</v>
      </c>
      <c t="s" s="65" r="E527">
        <v>525</v>
      </c>
      <c s="46" r="F527"/>
    </row>
    <row r="528">
      <c s="10" r="A528"/>
      <c t="s" s="38" r="B528">
        <v>440</v>
      </c>
      <c t="s" s="65" r="C528">
        <v>522</v>
      </c>
      <c t="s" s="65" r="D528">
        <v>519</v>
      </c>
      <c t="s" s="65" r="E528">
        <v>520</v>
      </c>
      <c s="46" r="F528"/>
    </row>
    <row r="529">
      <c s="10" r="A529"/>
      <c t="s" s="38" r="B529">
        <v>398</v>
      </c>
      <c t="s" s="65" r="C529">
        <v>522</v>
      </c>
      <c t="s" s="65" r="D529">
        <v>519</v>
      </c>
      <c t="s" s="65" r="E529">
        <v>525</v>
      </c>
      <c s="46" r="F529"/>
    </row>
    <row r="530">
      <c s="10" r="A530"/>
      <c t="s" s="38" r="B530">
        <v>73</v>
      </c>
      <c t="s" s="65" r="C530">
        <v>518</v>
      </c>
      <c t="s" s="65" r="D530">
        <v>519</v>
      </c>
      <c t="s" s="65" r="E530">
        <v>520</v>
      </c>
      <c s="46" r="F530"/>
    </row>
    <row r="531">
      <c s="10" r="A531"/>
      <c t="s" s="38" r="B531">
        <v>726</v>
      </c>
      <c t="s" s="65" r="C531">
        <v>518</v>
      </c>
      <c t="s" s="65" r="D531">
        <v>519</v>
      </c>
      <c t="s" s="65" r="E531">
        <v>525</v>
      </c>
      <c s="46" r="F531"/>
    </row>
    <row r="532">
      <c s="10" r="A532"/>
      <c t="s" s="38" r="B532">
        <v>727</v>
      </c>
      <c t="s" s="65" r="C532">
        <v>518</v>
      </c>
      <c t="s" s="65" r="D532">
        <v>519</v>
      </c>
      <c t="s" s="65" r="E532">
        <v>525</v>
      </c>
      <c s="46" r="F532"/>
    </row>
    <row r="533">
      <c s="10" r="A533"/>
      <c t="s" s="38" r="B533">
        <v>728</v>
      </c>
      <c t="s" s="65" r="C533">
        <v>518</v>
      </c>
      <c t="s" s="65" r="D533">
        <v>519</v>
      </c>
      <c t="s" s="65" r="E533">
        <v>525</v>
      </c>
      <c s="46" r="F533"/>
    </row>
    <row r="534">
      <c s="10" r="A534"/>
      <c t="s" s="38" r="B534">
        <v>119</v>
      </c>
      <c t="s" s="65" r="C534">
        <v>522</v>
      </c>
      <c t="s" s="65" r="D534">
        <v>519</v>
      </c>
      <c t="s" s="65" r="E534">
        <v>520</v>
      </c>
      <c s="46" r="F534"/>
    </row>
    <row r="535">
      <c s="10" r="A535"/>
      <c t="s" s="38" r="B535">
        <v>395</v>
      </c>
      <c t="s" s="65" r="C535">
        <v>522</v>
      </c>
      <c t="s" s="65" r="D535">
        <v>519</v>
      </c>
      <c t="s" s="65" r="E535">
        <v>525</v>
      </c>
      <c s="46" r="F535"/>
    </row>
    <row r="536">
      <c s="10" r="A536"/>
      <c t="s" s="38" r="B536">
        <v>729</v>
      </c>
      <c t="s" s="65" r="C536">
        <v>518</v>
      </c>
      <c t="s" s="65" r="D536">
        <v>519</v>
      </c>
      <c t="s" s="65" r="E536">
        <v>525</v>
      </c>
      <c s="46" r="F536"/>
    </row>
    <row r="537">
      <c s="10" r="A537"/>
      <c t="s" s="38" r="B537">
        <v>730</v>
      </c>
      <c t="s" s="65" r="C537">
        <v>518</v>
      </c>
      <c t="s" s="65" r="D537">
        <v>519</v>
      </c>
      <c t="s" s="65" r="E537">
        <v>520</v>
      </c>
      <c s="46" r="F537"/>
    </row>
    <row r="538">
      <c s="10" r="A538"/>
      <c t="s" s="38" r="B538">
        <v>202</v>
      </c>
      <c t="s" s="65" r="C538">
        <v>518</v>
      </c>
      <c t="s" s="65" r="D538">
        <v>519</v>
      </c>
      <c t="s" s="65" r="E538">
        <v>520</v>
      </c>
      <c s="46" r="F538"/>
    </row>
    <row r="539">
      <c s="10" r="A539"/>
      <c t="s" s="38" r="B539">
        <v>731</v>
      </c>
      <c t="s" s="65" r="C539">
        <v>518</v>
      </c>
      <c t="s" s="65" r="D539">
        <v>519</v>
      </c>
      <c t="s" s="65" r="E539">
        <v>520</v>
      </c>
      <c s="46" r="F539"/>
    </row>
    <row r="540">
      <c s="10" r="A540"/>
      <c t="s" s="38" r="B540">
        <v>732</v>
      </c>
      <c t="s" s="65" r="C540">
        <v>518</v>
      </c>
      <c t="s" s="65" r="D540">
        <v>523</v>
      </c>
      <c t="s" s="65" r="E540">
        <v>524</v>
      </c>
      <c s="46" r="F540"/>
    </row>
    <row r="541">
      <c s="10" r="A541"/>
      <c t="s" s="38" r="B541">
        <v>439</v>
      </c>
      <c t="s" s="65" r="C541">
        <v>522</v>
      </c>
      <c t="s" s="65" r="D541">
        <v>519</v>
      </c>
      <c t="s" s="65" r="E541">
        <v>520</v>
      </c>
      <c s="46" r="F541"/>
    </row>
    <row r="542">
      <c s="10" r="A542"/>
      <c t="s" s="38" r="B542">
        <v>131</v>
      </c>
      <c t="s" s="65" r="C542">
        <v>522</v>
      </c>
      <c t="s" s="65" r="D542">
        <v>519</v>
      </c>
      <c t="s" s="65" r="E542">
        <v>525</v>
      </c>
      <c s="46" r="F542"/>
    </row>
    <row r="543">
      <c s="10" r="A543"/>
      <c t="s" s="38" r="B543">
        <v>432</v>
      </c>
      <c t="s" s="65" r="C543">
        <v>522</v>
      </c>
      <c t="s" s="65" r="D543">
        <v>519</v>
      </c>
      <c t="s" s="65" r="E543">
        <v>520</v>
      </c>
      <c s="46" r="F543"/>
    </row>
    <row r="544">
      <c s="10" r="A544"/>
      <c t="s" s="38" r="B544">
        <v>733</v>
      </c>
      <c t="s" s="65" r="C544">
        <v>518</v>
      </c>
      <c t="s" s="65" r="D544">
        <v>519</v>
      </c>
      <c t="s" s="65" r="E544">
        <v>520</v>
      </c>
      <c s="46" r="F544"/>
    </row>
    <row r="545">
      <c s="10" r="A545"/>
      <c t="s" s="38" r="B545">
        <v>507</v>
      </c>
      <c t="s" s="65" r="C545">
        <v>522</v>
      </c>
      <c t="s" s="65" r="D545">
        <v>523</v>
      </c>
      <c t="s" s="65" r="E545">
        <v>524</v>
      </c>
      <c s="46" r="F545"/>
    </row>
    <row r="546">
      <c s="10" r="A546"/>
      <c t="s" s="38" r="B546">
        <v>734</v>
      </c>
      <c t="s" s="65" r="C546">
        <v>518</v>
      </c>
      <c t="s" s="65" r="D546">
        <v>523</v>
      </c>
      <c t="s" s="65" r="E546">
        <v>524</v>
      </c>
      <c s="46" r="F546"/>
    </row>
    <row r="547">
      <c s="10" r="A547"/>
      <c t="s" s="38" r="B547">
        <v>107</v>
      </c>
      <c t="s" s="65" r="C547">
        <v>522</v>
      </c>
      <c t="s" s="65" r="D547">
        <v>519</v>
      </c>
      <c t="s" s="65" r="E547">
        <v>525</v>
      </c>
      <c s="46" r="F547"/>
    </row>
    <row r="548">
      <c s="10" r="A548"/>
      <c t="s" s="38" r="B548">
        <v>83</v>
      </c>
      <c t="s" s="65" r="C548">
        <v>522</v>
      </c>
      <c t="s" s="65" r="D548">
        <v>523</v>
      </c>
      <c t="s" s="65" r="E548">
        <v>524</v>
      </c>
      <c s="46" r="F548"/>
    </row>
    <row r="549">
      <c s="10" r="A549"/>
      <c t="s" s="38" r="B549">
        <v>735</v>
      </c>
      <c t="s" s="65" r="C549">
        <v>518</v>
      </c>
      <c t="s" s="65" r="D549">
        <v>519</v>
      </c>
      <c t="s" s="65" r="E549">
        <v>525</v>
      </c>
      <c s="46" r="F549"/>
    </row>
    <row r="550">
      <c s="10" r="A550"/>
      <c t="s" s="38" r="B550">
        <v>495</v>
      </c>
      <c t="s" s="65" r="C550">
        <v>522</v>
      </c>
      <c t="s" s="65" r="D550">
        <v>523</v>
      </c>
      <c t="s" s="65" r="E550">
        <v>524</v>
      </c>
      <c s="46" r="F550"/>
    </row>
    <row r="551">
      <c s="10" r="A551"/>
      <c t="s" s="38" r="B551">
        <v>736</v>
      </c>
      <c t="s" s="65" r="C551">
        <v>518</v>
      </c>
      <c t="s" s="65" r="D551">
        <v>523</v>
      </c>
      <c t="s" s="65" r="E551">
        <v>524</v>
      </c>
      <c s="46" r="F551"/>
    </row>
    <row r="552">
      <c s="10" r="A552"/>
      <c t="s" s="38" r="B552">
        <v>204</v>
      </c>
      <c t="s" s="65" r="C552">
        <v>518</v>
      </c>
      <c t="s" s="65" r="D552">
        <v>523</v>
      </c>
      <c t="s" s="65" r="E552">
        <v>524</v>
      </c>
      <c s="46" r="F552"/>
    </row>
    <row r="553">
      <c s="10" r="A553"/>
      <c t="s" s="38" r="B553">
        <v>377</v>
      </c>
      <c t="s" s="65" r="C553">
        <v>522</v>
      </c>
      <c t="s" s="65" r="D553">
        <v>519</v>
      </c>
      <c t="s" s="65" r="E553">
        <v>525</v>
      </c>
      <c s="46" r="F553"/>
    </row>
    <row r="554">
      <c s="10" r="A554"/>
      <c t="s" s="38" r="B554">
        <v>72</v>
      </c>
      <c t="s" s="65" r="C554">
        <v>522</v>
      </c>
      <c t="s" s="65" r="D554">
        <v>523</v>
      </c>
      <c t="s" s="65" r="E554">
        <v>524</v>
      </c>
      <c s="46" r="F554"/>
    </row>
    <row r="555">
      <c s="10" r="A555"/>
      <c t="s" s="38" r="B555">
        <v>206</v>
      </c>
      <c t="s" s="65" r="C555">
        <v>518</v>
      </c>
      <c t="s" s="65" r="D555">
        <v>523</v>
      </c>
      <c t="s" s="65" r="E555">
        <v>524</v>
      </c>
      <c s="46" r="F555"/>
    </row>
    <row r="556">
      <c s="10" r="A556"/>
      <c t="s" s="38" r="B556">
        <v>737</v>
      </c>
      <c t="s" s="65" r="C556">
        <v>518</v>
      </c>
      <c t="s" s="65" r="D556">
        <v>519</v>
      </c>
      <c t="s" s="65" r="E556">
        <v>525</v>
      </c>
      <c s="46" r="F556"/>
    </row>
    <row r="557">
      <c s="10" r="A557"/>
      <c t="s" s="38" r="B557">
        <v>738</v>
      </c>
      <c t="s" s="65" r="C557">
        <v>518</v>
      </c>
      <c t="s" s="65" r="D557">
        <v>519</v>
      </c>
      <c t="s" s="65" r="E557">
        <v>520</v>
      </c>
      <c s="46" r="F557"/>
    </row>
    <row r="558">
      <c s="10" r="A558"/>
      <c t="s" s="38" r="B558">
        <v>63</v>
      </c>
      <c t="s" s="65" r="C558">
        <v>522</v>
      </c>
      <c t="s" s="65" r="D558">
        <v>519</v>
      </c>
      <c t="s" s="65" r="E558">
        <v>525</v>
      </c>
      <c s="46" r="F558"/>
    </row>
    <row r="559">
      <c s="10" r="A559"/>
      <c t="s" s="38" r="B559">
        <v>491</v>
      </c>
      <c t="s" s="65" r="C559">
        <v>522</v>
      </c>
      <c t="s" s="65" r="D559">
        <v>523</v>
      </c>
      <c t="s" s="65" r="E559">
        <v>524</v>
      </c>
      <c s="46" r="F559"/>
    </row>
    <row r="560">
      <c s="10" r="A560"/>
      <c t="s" s="38" r="B560">
        <v>739</v>
      </c>
      <c t="s" s="65" r="C560">
        <v>518</v>
      </c>
      <c t="s" s="65" r="D560">
        <v>519</v>
      </c>
      <c t="s" s="65" r="E560">
        <v>520</v>
      </c>
      <c s="46" r="F560"/>
    </row>
    <row customHeight="1" r="561" ht="13.5">
      <c s="10" r="A561"/>
      <c t="s" s="128" r="B561">
        <v>208</v>
      </c>
      <c t="s" s="123" r="C561">
        <v>522</v>
      </c>
      <c t="s" s="123" r="D561">
        <v>519</v>
      </c>
      <c t="s" s="123" r="E561">
        <v>525</v>
      </c>
      <c s="46" r="F561"/>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6.43"/>
    <col min="3" customWidth="1" max="3" width="77.86"/>
    <col min="5" customWidth="1" max="5" width="16.43"/>
    <col min="6" customWidth="1" max="6" width="110.0"/>
  </cols>
  <sheetData>
    <row r="1">
      <c s="44" r="B1"/>
      <c s="44" r="C1"/>
      <c s="44" r="E1"/>
      <c s="44" r="F1"/>
    </row>
    <row r="2">
      <c s="10" r="A2"/>
      <c t="s" s="62" r="B2">
        <v>740</v>
      </c>
      <c s="20" r="C2"/>
      <c s="10" r="D2"/>
      <c t="s" s="2" r="E2">
        <v>13</v>
      </c>
      <c s="20" r="F2"/>
    </row>
    <row r="3">
      <c s="10" r="A3"/>
      <c t="s" s="32" r="B3">
        <v>449</v>
      </c>
      <c t="s" s="95" r="C3">
        <v>741</v>
      </c>
      <c s="104" r="D3"/>
      <c t="s" s="70" r="E3">
        <v>4</v>
      </c>
      <c t="s" s="70" r="F3">
        <v>2</v>
      </c>
    </row>
    <row r="4">
      <c s="10" r="A4"/>
      <c t="s" s="17" r="B4">
        <v>462</v>
      </c>
      <c t="s" s="65" r="C4">
        <v>742</v>
      </c>
      <c s="104" r="D4"/>
      <c t="s" s="35" r="E4">
        <v>313</v>
      </c>
      <c t="s" s="9" r="F4">
        <v>40</v>
      </c>
    </row>
    <row r="5">
      <c s="10" r="A5"/>
      <c t="s" s="17" r="B5">
        <v>209</v>
      </c>
      <c t="s" s="65" r="C5">
        <v>743</v>
      </c>
      <c s="104" r="D5"/>
      <c t="s" s="11" r="E5">
        <v>328</v>
      </c>
      <c t="s" s="12" r="F5">
        <v>744</v>
      </c>
    </row>
    <row r="6">
      <c s="10" r="A6"/>
      <c t="s" s="17" r="B6">
        <v>452</v>
      </c>
      <c t="s" s="65" r="C6">
        <v>745</v>
      </c>
      <c s="104" r="D6"/>
      <c t="s" s="11" r="E6">
        <v>356</v>
      </c>
      <c t="s" s="12" r="F6">
        <v>158</v>
      </c>
    </row>
    <row r="7">
      <c s="10" r="A7"/>
      <c t="s" s="17" r="B7">
        <v>109</v>
      </c>
      <c t="s" s="65" r="C7">
        <v>746</v>
      </c>
      <c s="104" r="D7"/>
      <c t="s" s="11" r="E7">
        <v>375</v>
      </c>
      <c t="s" s="12" r="F7">
        <v>747</v>
      </c>
    </row>
    <row r="8">
      <c s="10" r="A8"/>
      <c t="s" s="17" r="B8">
        <v>450</v>
      </c>
      <c t="s" s="65" r="C8">
        <v>194</v>
      </c>
      <c s="104" r="D8"/>
      <c t="s" s="11" r="E8">
        <v>314</v>
      </c>
      <c t="s" s="12" r="F8">
        <v>748</v>
      </c>
    </row>
    <row r="9">
      <c s="10" r="A9"/>
      <c t="s" s="17" r="B9">
        <v>194</v>
      </c>
      <c t="s" s="65" r="C9">
        <v>450</v>
      </c>
      <c s="104" r="D9"/>
      <c t="s" s="11" r="E9">
        <v>376</v>
      </c>
      <c t="s" s="12" r="F9">
        <v>749</v>
      </c>
    </row>
    <row r="10">
      <c s="10" r="A10"/>
      <c t="s" s="17" r="B10">
        <v>147</v>
      </c>
      <c t="s" s="65" r="C10">
        <v>750</v>
      </c>
      <c s="104" r="D10"/>
      <c t="s" s="11" r="E10">
        <v>315</v>
      </c>
      <c t="s" s="12" r="F10">
        <v>96</v>
      </c>
    </row>
    <row r="11">
      <c s="10" r="A11"/>
      <c t="s" s="17" r="B11">
        <v>509</v>
      </c>
      <c t="s" s="65" r="C11">
        <v>751</v>
      </c>
      <c s="104" r="D11"/>
      <c t="s" s="11" r="E11">
        <v>334</v>
      </c>
      <c t="s" s="12" r="F11">
        <v>752</v>
      </c>
    </row>
    <row r="12">
      <c s="10" r="A12"/>
      <c t="s" s="17" r="B12">
        <v>515</v>
      </c>
      <c t="s" s="65" r="C12">
        <v>753</v>
      </c>
      <c s="104" r="D12"/>
      <c t="s" s="11" r="E12">
        <v>358</v>
      </c>
      <c t="s" s="12" r="F12">
        <v>754</v>
      </c>
    </row>
    <row r="13">
      <c s="10" r="A13"/>
      <c t="s" s="17" r="B13">
        <v>479</v>
      </c>
      <c t="s" s="65" r="C13">
        <v>486</v>
      </c>
      <c s="104" r="D13"/>
      <c t="s" s="11" r="E13">
        <v>382</v>
      </c>
      <c t="s" s="12" r="F13">
        <v>755</v>
      </c>
    </row>
    <row r="14">
      <c s="10" r="A14"/>
      <c t="s" s="17" r="B14">
        <v>14</v>
      </c>
      <c t="s" s="65" r="C14">
        <v>23</v>
      </c>
      <c s="104" r="D14"/>
      <c t="s" s="11" r="E14">
        <v>316</v>
      </c>
      <c t="s" s="12" r="F14">
        <v>756</v>
      </c>
    </row>
    <row r="15">
      <c s="10" r="A15"/>
      <c t="s" s="17" r="B15">
        <v>23</v>
      </c>
      <c t="s" s="65" r="C15">
        <v>14</v>
      </c>
      <c s="104" r="D15"/>
      <c t="s" s="11" r="E15">
        <v>342</v>
      </c>
      <c t="s" s="12" r="F15">
        <v>757</v>
      </c>
    </row>
    <row r="16">
      <c s="10" r="A16"/>
      <c t="s" s="17" r="B16">
        <v>486</v>
      </c>
      <c t="s" s="65" r="C16">
        <v>479</v>
      </c>
      <c s="104" r="D16"/>
      <c t="s" s="11" r="E16">
        <v>391</v>
      </c>
      <c t="s" s="12" r="F16">
        <v>758</v>
      </c>
    </row>
    <row r="17">
      <c s="10" r="A17"/>
      <c t="s" s="17" r="B17">
        <v>458</v>
      </c>
      <c t="s" s="65" r="C17">
        <v>18</v>
      </c>
      <c s="104" r="D17"/>
      <c t="s" s="11" r="E17">
        <v>53</v>
      </c>
      <c t="s" s="12" r="F17">
        <v>759</v>
      </c>
    </row>
    <row r="18">
      <c s="10" r="A18"/>
      <c t="s" s="17" r="B18">
        <v>14</v>
      </c>
      <c t="s" s="65" r="C18">
        <v>23</v>
      </c>
      <c s="104" r="D18"/>
      <c t="s" s="11" r="E18">
        <v>322</v>
      </c>
      <c t="s" s="12" r="F18">
        <v>760</v>
      </c>
    </row>
    <row r="19">
      <c s="10" r="A19"/>
      <c t="s" s="17" r="B19">
        <v>463</v>
      </c>
      <c t="s" s="65" r="C19">
        <v>761</v>
      </c>
      <c s="104" r="D19"/>
      <c t="s" s="11" r="E19">
        <v>338</v>
      </c>
      <c t="s" s="12" r="F19">
        <v>110</v>
      </c>
    </row>
    <row r="20">
      <c s="10" r="A20"/>
      <c t="s" s="17" r="B20">
        <v>471</v>
      </c>
      <c t="s" s="65" r="C20">
        <v>762</v>
      </c>
      <c s="104" r="D20"/>
      <c t="s" s="97" r="E20">
        <v>369</v>
      </c>
      <c t="s" s="39" r="F20">
        <v>763</v>
      </c>
    </row>
    <row r="21">
      <c s="10" r="A21"/>
      <c t="s" s="17" r="B21">
        <v>490</v>
      </c>
      <c t="s" s="65" r="C21">
        <v>764</v>
      </c>
      <c s="46" r="D21"/>
      <c s="20" r="E21"/>
      <c s="20" r="F21"/>
    </row>
    <row r="22">
      <c s="10" r="A22"/>
      <c t="s" s="17" r="B22">
        <v>483</v>
      </c>
      <c t="s" s="65" r="C22">
        <v>765</v>
      </c>
      <c s="104" r="D22"/>
      <c t="s" s="2" r="E22">
        <v>766</v>
      </c>
      <c s="20" r="F22"/>
    </row>
    <row r="23">
      <c s="10" r="A23"/>
      <c t="s" s="17" r="B23">
        <v>489</v>
      </c>
      <c t="s" s="65" r="C23">
        <v>767</v>
      </c>
      <c s="104" r="D23"/>
      <c t="s" s="70" r="E23">
        <v>768</v>
      </c>
      <c t="s" s="70" r="F23">
        <v>769</v>
      </c>
    </row>
    <row r="24">
      <c s="10" r="A24"/>
      <c t="s" s="17" r="B24">
        <v>496</v>
      </c>
      <c t="s" s="65" r="C24">
        <v>770</v>
      </c>
      <c s="104" r="D24"/>
      <c t="s" s="35" r="E24">
        <v>436</v>
      </c>
      <c t="s" s="9" r="F24">
        <v>82</v>
      </c>
    </row>
    <row r="25">
      <c s="10" r="A25"/>
      <c t="s" s="17" r="B25">
        <v>500</v>
      </c>
      <c t="s" s="65" r="C25">
        <v>771</v>
      </c>
      <c s="104" r="D25"/>
      <c t="s" s="11" r="E25">
        <v>424</v>
      </c>
      <c t="s" s="12" r="F25">
        <v>96</v>
      </c>
    </row>
    <row r="26">
      <c s="10" r="A26"/>
      <c t="s" s="17" r="B26">
        <v>506</v>
      </c>
      <c t="s" s="65" r="C26">
        <v>772</v>
      </c>
      <c s="104" r="D26"/>
      <c t="s" s="11" r="E26">
        <v>373</v>
      </c>
      <c t="s" s="12" r="F26">
        <v>773</v>
      </c>
    </row>
    <row r="27">
      <c s="10" r="A27"/>
      <c t="s" s="17" r="B27">
        <v>474</v>
      </c>
      <c t="s" s="65" r="C27">
        <v>774</v>
      </c>
      <c s="104" r="D27"/>
      <c t="s" s="11" r="E27">
        <v>450</v>
      </c>
      <c t="s" s="12" r="F27">
        <v>775</v>
      </c>
    </row>
    <row r="28">
      <c s="10" r="A28"/>
      <c t="s" s="17" r="B28">
        <v>477</v>
      </c>
      <c t="s" s="65" r="C28">
        <v>776</v>
      </c>
      <c s="104" r="D28"/>
      <c t="s" s="11" r="E28">
        <v>318</v>
      </c>
      <c t="s" s="12" r="F28">
        <v>777</v>
      </c>
    </row>
    <row r="29">
      <c s="10" r="A29"/>
      <c t="s" s="17" r="B29">
        <v>190</v>
      </c>
      <c t="s" s="65" r="C29">
        <v>778</v>
      </c>
      <c s="104" r="D29"/>
      <c t="s" s="11" r="E29">
        <v>465</v>
      </c>
      <c t="s" s="12" r="F29">
        <v>779</v>
      </c>
    </row>
    <row r="30">
      <c s="10" r="A30"/>
      <c t="s" s="17" r="B30">
        <v>56</v>
      </c>
      <c t="s" s="65" r="C30">
        <v>507</v>
      </c>
      <c s="104" r="D30"/>
      <c t="s" s="11" r="E30">
        <v>92</v>
      </c>
      <c t="s" s="12" r="F30">
        <v>88</v>
      </c>
    </row>
    <row r="31">
      <c s="10" r="A31"/>
      <c t="s" s="17" r="B31">
        <v>507</v>
      </c>
      <c t="s" s="65" r="C31">
        <v>56</v>
      </c>
      <c s="104" r="D31"/>
      <c t="s" s="11" r="E31">
        <v>147</v>
      </c>
      <c t="s" s="12" r="F31">
        <v>50</v>
      </c>
    </row>
    <row r="32">
      <c s="10" r="A32"/>
      <c t="s" s="17" r="B32">
        <v>198</v>
      </c>
      <c t="s" s="65" r="C32">
        <v>497</v>
      </c>
      <c s="104" r="D32"/>
      <c t="s" s="11" r="E32">
        <v>327</v>
      </c>
      <c t="s" s="12" r="F32">
        <v>780</v>
      </c>
    </row>
    <row r="33">
      <c s="10" r="A33"/>
      <c t="s" s="17" r="B33">
        <v>497</v>
      </c>
      <c t="s" s="65" r="C33">
        <v>198</v>
      </c>
      <c s="104" r="D33"/>
      <c t="s" s="11" r="E33">
        <v>61</v>
      </c>
      <c t="s" s="12" r="F33">
        <v>62</v>
      </c>
    </row>
    <row r="34">
      <c s="10" r="A34"/>
      <c t="s" s="17" r="B34">
        <v>459</v>
      </c>
      <c t="s" s="65" r="C34">
        <v>781</v>
      </c>
      <c s="104" r="D34"/>
      <c t="s" s="11" r="E34">
        <v>400</v>
      </c>
      <c t="s" s="12" r="F34">
        <v>782</v>
      </c>
    </row>
    <row r="35">
      <c s="10" r="A35"/>
      <c t="s" s="17" r="B35">
        <v>317</v>
      </c>
      <c t="s" s="65" r="C35">
        <v>63</v>
      </c>
      <c s="104" r="D35"/>
      <c t="s" s="11" r="E35">
        <v>343</v>
      </c>
      <c t="s" s="12" r="F35">
        <v>783</v>
      </c>
    </row>
    <row r="36">
      <c s="10" r="A36"/>
      <c t="s" s="17" r="B36">
        <v>63</v>
      </c>
      <c t="s" s="65" r="C36">
        <v>317</v>
      </c>
      <c s="104" r="D36"/>
      <c t="s" s="11" r="E36">
        <v>360</v>
      </c>
      <c t="s" s="12" r="F36">
        <v>784</v>
      </c>
    </row>
    <row r="37">
      <c s="10" r="A37"/>
      <c t="s" s="17" r="B37">
        <v>69</v>
      </c>
      <c t="s" s="65" r="C37">
        <v>785</v>
      </c>
      <c s="104" r="D37"/>
      <c t="s" s="11" r="E37">
        <v>69</v>
      </c>
      <c t="s" s="12" r="F37">
        <v>786</v>
      </c>
    </row>
    <row r="38">
      <c s="10" r="A38"/>
      <c t="s" s="17" r="B38">
        <v>37</v>
      </c>
      <c t="s" s="65" r="C38">
        <v>785</v>
      </c>
      <c s="104" r="D38"/>
      <c t="s" s="11" r="E38">
        <v>52</v>
      </c>
      <c t="s" s="12" r="F38">
        <v>45</v>
      </c>
    </row>
    <row r="39">
      <c s="10" r="A39"/>
      <c t="s" s="17" r="B39">
        <v>476</v>
      </c>
      <c t="s" s="65" r="C39">
        <v>787</v>
      </c>
      <c s="104" r="D39"/>
      <c t="s" s="11" r="E39">
        <v>320</v>
      </c>
      <c t="s" s="12" r="F39">
        <v>788</v>
      </c>
    </row>
    <row r="40">
      <c s="10" r="A40"/>
      <c t="s" s="17" r="B40">
        <v>510</v>
      </c>
      <c t="s" s="65" r="C40">
        <v>789</v>
      </c>
      <c s="104" r="D40"/>
      <c t="s" s="11" r="E40">
        <v>323</v>
      </c>
      <c t="s" s="12" r="F40">
        <v>790</v>
      </c>
    </row>
    <row r="41">
      <c s="10" r="A41"/>
      <c t="s" s="17" r="B41">
        <v>492</v>
      </c>
      <c t="s" s="65" r="C41">
        <v>791</v>
      </c>
      <c s="104" r="D41"/>
      <c t="s" s="11" r="E41">
        <v>479</v>
      </c>
      <c t="s" s="12" r="F41">
        <v>792</v>
      </c>
    </row>
    <row r="42">
      <c s="10" r="A42"/>
      <c t="s" s="17" r="B42">
        <v>72</v>
      </c>
      <c t="s" s="65" r="C42">
        <v>793</v>
      </c>
      <c s="104" r="D42"/>
      <c t="s" s="11" r="E42">
        <v>326</v>
      </c>
      <c t="s" s="12" r="F42">
        <v>779</v>
      </c>
    </row>
    <row r="43">
      <c s="10" r="A43"/>
      <c t="s" s="17" r="B43">
        <v>368</v>
      </c>
      <c t="s" s="65" r="C43">
        <v>566</v>
      </c>
      <c s="104" r="D43"/>
      <c t="s" s="11" r="E43">
        <v>156</v>
      </c>
      <c t="s" s="12" r="F43">
        <v>100</v>
      </c>
    </row>
    <row r="44">
      <c s="10" r="A44"/>
      <c t="s" s="17" r="B44">
        <v>566</v>
      </c>
      <c t="s" s="65" r="C44">
        <v>368</v>
      </c>
      <c s="104" r="D44"/>
      <c t="s" s="11" r="E44">
        <v>423</v>
      </c>
      <c t="s" s="12" r="F44">
        <v>794</v>
      </c>
    </row>
    <row r="45">
      <c s="10" r="A45"/>
      <c t="s" s="17" r="B45">
        <v>340</v>
      </c>
      <c t="s" s="65" r="C45">
        <v>344</v>
      </c>
      <c s="104" r="D45"/>
      <c t="s" s="11" r="E45">
        <v>43</v>
      </c>
      <c t="s" s="12" r="F45">
        <v>37</v>
      </c>
    </row>
    <row r="46">
      <c s="10" r="A46"/>
      <c t="s" s="17" r="B46">
        <v>344</v>
      </c>
      <c t="s" s="65" r="C46">
        <v>340</v>
      </c>
      <c s="104" r="D46"/>
      <c t="s" s="11" r="E46">
        <v>160</v>
      </c>
      <c t="s" s="12" r="F46">
        <v>50</v>
      </c>
    </row>
    <row r="47">
      <c s="10" r="A47"/>
      <c t="s" s="17" r="B47">
        <v>367</v>
      </c>
      <c t="s" s="65" r="C47">
        <v>166</v>
      </c>
      <c s="104" r="D47"/>
      <c t="s" s="11" r="E47">
        <v>362</v>
      </c>
      <c t="s" s="12" r="F47">
        <v>795</v>
      </c>
    </row>
    <row r="48">
      <c s="10" r="A48"/>
      <c t="s" s="17" r="B48">
        <v>166</v>
      </c>
      <c t="s" s="65" r="C48">
        <v>367</v>
      </c>
      <c s="104" r="D48"/>
      <c t="s" s="11" r="E48">
        <v>161</v>
      </c>
      <c t="s" s="12" r="F48">
        <v>62</v>
      </c>
    </row>
    <row r="49">
      <c s="10" r="A49"/>
      <c t="s" s="17" r="B49">
        <v>488</v>
      </c>
      <c t="s" s="65" r="C49">
        <v>796</v>
      </c>
      <c s="104" r="D49"/>
      <c t="s" s="11" r="E49">
        <v>329</v>
      </c>
      <c t="s" s="12" r="F49">
        <v>797</v>
      </c>
    </row>
    <row r="50">
      <c s="10" r="A50"/>
      <c t="s" s="17" r="B50">
        <v>504</v>
      </c>
      <c t="s" s="65" r="C50">
        <v>52</v>
      </c>
      <c s="104" r="D50"/>
      <c t="s" s="11" r="E50">
        <v>167</v>
      </c>
      <c t="s" s="12" r="F50">
        <v>798</v>
      </c>
    </row>
    <row r="51">
      <c s="10" r="A51"/>
      <c t="s" s="17" r="B51">
        <v>52</v>
      </c>
      <c t="s" s="65" r="C51">
        <v>504</v>
      </c>
      <c s="104" r="D51"/>
      <c t="s" s="11" r="E51">
        <v>38</v>
      </c>
      <c t="s" s="12" r="F51">
        <v>50</v>
      </c>
    </row>
    <row r="52">
      <c s="10" r="A52"/>
      <c t="s" s="17" r="B52">
        <v>130</v>
      </c>
      <c t="s" s="65" r="C52">
        <v>799</v>
      </c>
      <c s="104" r="D52"/>
      <c t="s" s="11" r="E52">
        <v>427</v>
      </c>
      <c t="s" s="12" r="F52">
        <v>800</v>
      </c>
    </row>
    <row r="53">
      <c s="10" r="A53"/>
      <c t="s" s="17" r="B53">
        <v>514</v>
      </c>
      <c t="s" s="65" r="C53">
        <v>502</v>
      </c>
      <c s="104" r="D53"/>
      <c t="s" s="11" r="E53">
        <v>403</v>
      </c>
      <c t="s" s="12" r="F53">
        <v>801</v>
      </c>
    </row>
    <row r="54">
      <c s="10" r="A54"/>
      <c t="s" s="18" r="B54">
        <v>502</v>
      </c>
      <c t="s" s="123" r="C54">
        <v>514</v>
      </c>
      <c s="104" r="D54"/>
      <c t="s" s="11" r="E54">
        <v>176</v>
      </c>
      <c t="s" s="12" r="F54">
        <v>62</v>
      </c>
    </row>
    <row r="55">
      <c s="5" r="B55"/>
      <c s="5" r="C55"/>
      <c s="10" r="D55"/>
      <c t="s" s="11" r="E55">
        <v>106</v>
      </c>
      <c t="s" s="12" r="F55">
        <v>802</v>
      </c>
    </row>
    <row r="56">
      <c s="10" r="D56"/>
      <c t="s" s="11" r="E56">
        <v>78</v>
      </c>
      <c t="s" s="12" r="F56">
        <v>75</v>
      </c>
    </row>
    <row r="57">
      <c s="10" r="D57"/>
      <c t="s" s="11" r="E57">
        <v>387</v>
      </c>
      <c t="s" s="12" r="F57">
        <v>803</v>
      </c>
    </row>
    <row r="58">
      <c s="10" r="D58"/>
      <c t="s" s="11" r="E58">
        <v>44</v>
      </c>
      <c t="s" s="12" r="F58">
        <v>62</v>
      </c>
    </row>
    <row r="59">
      <c s="10" r="D59"/>
      <c t="s" s="11" r="E59">
        <v>333</v>
      </c>
      <c t="s" s="12" r="F59">
        <v>804</v>
      </c>
    </row>
    <row r="60">
      <c s="10" r="D60"/>
      <c t="s" s="11" r="E60">
        <v>178</v>
      </c>
      <c t="s" s="12" r="F60">
        <v>805</v>
      </c>
    </row>
    <row r="61">
      <c s="10" r="D61"/>
      <c t="s" s="11" r="E61">
        <v>55</v>
      </c>
      <c t="s" s="12" r="F61">
        <v>806</v>
      </c>
    </row>
    <row r="62">
      <c s="10" r="D62"/>
      <c t="s" s="11" r="E62">
        <v>492</v>
      </c>
      <c t="s" s="12" r="F62">
        <v>807</v>
      </c>
    </row>
    <row r="63">
      <c s="10" r="D63"/>
      <c t="s" s="11" r="E63">
        <v>336</v>
      </c>
      <c t="s" s="12" r="F63">
        <v>808</v>
      </c>
    </row>
    <row r="64">
      <c s="10" r="D64"/>
      <c t="s" s="11" r="E64">
        <v>325</v>
      </c>
      <c t="s" s="12" r="F64">
        <v>809</v>
      </c>
    </row>
    <row r="65">
      <c s="10" r="D65"/>
      <c t="s" s="11" r="E65">
        <v>460</v>
      </c>
      <c t="s" s="12" r="F65">
        <v>810</v>
      </c>
    </row>
    <row r="66">
      <c s="10" r="D66"/>
      <c t="s" s="11" r="E66">
        <v>355</v>
      </c>
      <c t="s" s="12" r="F66">
        <v>798</v>
      </c>
    </row>
    <row r="67">
      <c s="10" r="D67"/>
      <c t="s" s="11" r="E67">
        <v>340</v>
      </c>
      <c t="s" s="12" r="F67">
        <v>811</v>
      </c>
    </row>
    <row r="68">
      <c s="10" r="D68"/>
      <c t="s" s="11" r="E68">
        <v>496</v>
      </c>
      <c t="s" s="12" r="F68">
        <v>56</v>
      </c>
    </row>
    <row r="69">
      <c s="10" r="D69"/>
      <c t="s" s="11" r="E69">
        <v>433</v>
      </c>
      <c t="s" s="12" r="F69">
        <v>812</v>
      </c>
    </row>
    <row r="70">
      <c s="10" r="D70"/>
      <c t="s" s="11" r="E70">
        <v>203</v>
      </c>
      <c t="s" s="12" r="F70">
        <v>125</v>
      </c>
    </row>
    <row r="71">
      <c s="10" r="D71"/>
      <c t="s" s="11" r="E71">
        <v>88</v>
      </c>
      <c t="s" s="12" r="F71">
        <v>92</v>
      </c>
    </row>
    <row r="72">
      <c s="10" r="D72"/>
      <c t="s" s="11" r="E72">
        <v>205</v>
      </c>
      <c t="s" s="12" r="F72">
        <v>62</v>
      </c>
    </row>
    <row r="73">
      <c s="10" r="D73"/>
      <c t="s" s="11" r="E73">
        <v>324</v>
      </c>
      <c t="s" s="12" r="F73">
        <v>813</v>
      </c>
    </row>
    <row r="74">
      <c s="10" r="D74"/>
      <c t="s" s="11" r="E74">
        <v>337</v>
      </c>
      <c t="s" s="12" r="F74">
        <v>806</v>
      </c>
    </row>
    <row r="75">
      <c s="10" r="D75"/>
      <c t="s" s="11" r="E75">
        <v>466</v>
      </c>
      <c t="s" s="12" r="F75">
        <v>784</v>
      </c>
    </row>
    <row r="76">
      <c s="10" r="D76"/>
      <c t="s" s="11" r="E76">
        <v>344</v>
      </c>
      <c t="s" s="12" r="F76">
        <v>790</v>
      </c>
    </row>
    <row r="77">
      <c s="10" r="D77"/>
      <c t="s" s="11" r="E77">
        <v>410</v>
      </c>
      <c t="s" s="12" r="F77">
        <v>814</v>
      </c>
    </row>
    <row r="78">
      <c s="10" r="D78"/>
      <c t="s" s="11" r="E78">
        <v>367</v>
      </c>
      <c t="s" s="12" r="F78">
        <v>815</v>
      </c>
    </row>
    <row r="79">
      <c s="10" r="D79"/>
      <c t="s" s="11" r="E79">
        <v>480</v>
      </c>
      <c t="s" s="12" r="F79">
        <v>807</v>
      </c>
    </row>
    <row r="80">
      <c s="10" r="D80"/>
      <c t="s" s="11" r="E80">
        <v>441</v>
      </c>
      <c t="s" s="12" r="F80">
        <v>807</v>
      </c>
    </row>
    <row r="81">
      <c s="10" r="D81"/>
      <c t="s" s="11" r="E81">
        <v>148</v>
      </c>
      <c t="s" s="12" r="F81">
        <v>61</v>
      </c>
    </row>
    <row r="82">
      <c s="10" r="D82"/>
      <c t="s" s="11" r="E82">
        <v>352</v>
      </c>
      <c t="s" s="12" r="F82">
        <v>61</v>
      </c>
    </row>
    <row r="83">
      <c s="10" r="D83"/>
      <c t="s" s="11" r="E83">
        <v>500</v>
      </c>
      <c t="s" s="12" r="F83">
        <v>779</v>
      </c>
    </row>
    <row r="84">
      <c s="10" r="D84"/>
      <c t="s" s="11" r="E84">
        <v>372</v>
      </c>
      <c t="s" s="12" r="F84">
        <v>804</v>
      </c>
    </row>
    <row r="85">
      <c s="10" r="D85"/>
      <c t="s" s="11" r="E85">
        <v>474</v>
      </c>
      <c t="s" s="12" r="F85">
        <v>112</v>
      </c>
    </row>
    <row r="86">
      <c s="10" r="D86"/>
      <c t="s" s="11" r="E86">
        <v>434</v>
      </c>
      <c t="s" s="12" r="F86">
        <v>816</v>
      </c>
    </row>
    <row r="87">
      <c s="10" r="D87"/>
      <c t="s" s="11" r="E87">
        <v>374</v>
      </c>
      <c t="s" s="12" r="F87">
        <v>817</v>
      </c>
    </row>
    <row r="88">
      <c s="10" r="D88"/>
      <c t="s" s="11" r="E88">
        <v>431</v>
      </c>
      <c t="s" s="12" r="F88">
        <v>53</v>
      </c>
    </row>
    <row r="89">
      <c s="10" r="D89"/>
      <c t="s" s="11" r="E89">
        <v>157</v>
      </c>
      <c t="s" s="12" r="F89">
        <v>50</v>
      </c>
    </row>
    <row r="90">
      <c s="10" r="D90"/>
      <c t="s" s="11" r="E90">
        <v>129</v>
      </c>
      <c t="s" s="12" r="F90">
        <v>818</v>
      </c>
    </row>
    <row r="91">
      <c s="10" r="D91"/>
      <c t="s" s="11" r="E91">
        <v>442</v>
      </c>
      <c t="s" s="12" r="F91">
        <v>819</v>
      </c>
    </row>
    <row r="92">
      <c s="10" r="D92"/>
      <c t="s" s="11" r="E92">
        <v>371</v>
      </c>
      <c t="s" s="12" r="F92">
        <v>820</v>
      </c>
    </row>
    <row r="93">
      <c s="10" r="D93"/>
      <c t="s" s="11" r="E93">
        <v>665</v>
      </c>
      <c t="s" s="12" r="F93">
        <v>821</v>
      </c>
    </row>
    <row r="94">
      <c s="10" r="D94"/>
      <c t="s" s="11" r="E94">
        <v>47</v>
      </c>
      <c t="s" s="12" r="F94">
        <v>822</v>
      </c>
    </row>
    <row r="95">
      <c s="10" r="D95"/>
      <c t="s" s="11" r="E95">
        <v>504</v>
      </c>
      <c t="s" s="12" r="F95">
        <v>817</v>
      </c>
    </row>
    <row r="96">
      <c s="10" r="D96"/>
      <c t="s" s="11" r="E96">
        <v>59</v>
      </c>
      <c t="s" s="12" r="F96">
        <v>93</v>
      </c>
    </row>
    <row r="97">
      <c s="10" r="D97"/>
      <c t="s" s="11" r="E97">
        <v>164</v>
      </c>
      <c t="s" s="12" r="F97">
        <v>96</v>
      </c>
    </row>
    <row r="98">
      <c s="10" r="D98"/>
      <c t="s" s="11" r="E98">
        <v>58</v>
      </c>
      <c t="s" s="12" r="F98">
        <v>773</v>
      </c>
    </row>
    <row r="99">
      <c s="10" r="D99"/>
      <c t="s" s="11" r="E99">
        <v>363</v>
      </c>
      <c t="s" s="12" r="F99">
        <v>804</v>
      </c>
    </row>
    <row r="100">
      <c s="10" r="D100"/>
      <c t="s" s="11" r="E100">
        <v>349</v>
      </c>
      <c t="s" s="12" r="F100">
        <v>823</v>
      </c>
    </row>
    <row r="101">
      <c s="10" r="D101"/>
      <c t="s" s="11" r="E101">
        <v>366</v>
      </c>
      <c t="s" s="12" r="F101">
        <v>824</v>
      </c>
    </row>
    <row r="102">
      <c s="10" r="D102"/>
      <c t="s" s="11" r="E102">
        <v>490</v>
      </c>
      <c t="s" s="12" r="F102">
        <v>825</v>
      </c>
    </row>
    <row r="103">
      <c s="10" r="D103"/>
      <c t="s" s="11" r="E103">
        <v>473</v>
      </c>
      <c t="s" s="12" r="F103">
        <v>826</v>
      </c>
    </row>
    <row r="104">
      <c s="10" r="D104"/>
      <c t="s" s="11" r="E104">
        <v>74</v>
      </c>
      <c t="s" s="12" r="F104">
        <v>82</v>
      </c>
    </row>
    <row r="105">
      <c s="10" r="D105"/>
      <c t="s" s="11" r="E105">
        <v>386</v>
      </c>
      <c t="s" s="12" r="F105">
        <v>827</v>
      </c>
    </row>
    <row r="106">
      <c s="10" r="D106"/>
      <c t="s" s="11" r="E106">
        <v>512</v>
      </c>
      <c t="s" s="12" r="F106">
        <v>828</v>
      </c>
    </row>
    <row r="107">
      <c s="10" r="D107"/>
      <c t="s" s="11" r="E107">
        <v>115</v>
      </c>
      <c t="s" s="12" r="F107">
        <v>829</v>
      </c>
    </row>
    <row r="108">
      <c s="10" r="D108"/>
      <c t="s" s="11" r="E108">
        <v>414</v>
      </c>
      <c t="s" s="12" r="F108">
        <v>57</v>
      </c>
    </row>
    <row r="109">
      <c s="10" r="D109"/>
      <c t="s" s="11" r="E109">
        <v>478</v>
      </c>
      <c t="s" s="12" r="F109">
        <v>830</v>
      </c>
    </row>
    <row r="110">
      <c s="10" r="D110"/>
      <c t="s" s="11" r="E110">
        <v>190</v>
      </c>
      <c t="s" s="12" r="F110">
        <v>831</v>
      </c>
    </row>
    <row r="111">
      <c s="10" r="D111"/>
      <c t="s" s="11" r="E111">
        <v>484</v>
      </c>
      <c t="s" s="12" r="F111">
        <v>112</v>
      </c>
    </row>
    <row r="112">
      <c s="10" r="D112"/>
      <c t="s" s="11" r="E112">
        <v>128</v>
      </c>
      <c t="s" s="12" r="F112">
        <v>124</v>
      </c>
    </row>
    <row r="113">
      <c s="10" r="D113"/>
      <c t="s" s="11" r="E113">
        <v>124</v>
      </c>
      <c t="s" s="12" r="F113">
        <v>128</v>
      </c>
    </row>
    <row r="114">
      <c s="10" r="D114"/>
      <c t="s" s="11" r="E114">
        <v>195</v>
      </c>
      <c t="s" s="12" r="F114">
        <v>62</v>
      </c>
    </row>
    <row r="115">
      <c s="10" r="D115"/>
      <c t="s" s="11" r="E115">
        <v>198</v>
      </c>
      <c t="s" s="12" r="F115">
        <v>832</v>
      </c>
    </row>
    <row r="116">
      <c s="10" r="D116"/>
      <c t="s" s="11" r="E116">
        <v>103</v>
      </c>
      <c t="s" s="12" r="F116">
        <v>833</v>
      </c>
    </row>
    <row r="117">
      <c s="10" r="D117"/>
      <c t="s" s="11" r="E117">
        <v>440</v>
      </c>
      <c t="s" s="12" r="F117">
        <v>834</v>
      </c>
    </row>
    <row r="118">
      <c s="10" r="D118"/>
      <c t="s" s="11" r="E118">
        <v>119</v>
      </c>
      <c t="s" s="12" r="F118">
        <v>835</v>
      </c>
    </row>
    <row r="119">
      <c s="10" r="D119"/>
      <c t="s" s="11" r="E119">
        <v>131</v>
      </c>
      <c t="s" s="12" r="F119">
        <v>836</v>
      </c>
    </row>
    <row r="120">
      <c s="10" r="D120"/>
      <c t="s" s="11" r="E120">
        <v>439</v>
      </c>
      <c t="s" s="12" r="F120">
        <v>837</v>
      </c>
    </row>
    <row r="121">
      <c s="10" r="D121"/>
      <c t="s" s="97" r="E121">
        <v>432</v>
      </c>
      <c t="s" s="39" r="F121">
        <v>112</v>
      </c>
    </row>
  </sheetData>
  <mergeCells count="3">
    <mergeCell ref="B2:C2"/>
    <mergeCell ref="E2:F2"/>
    <mergeCell ref="E22:F22"/>
  </mergeCells>
</worksheet>
</file>