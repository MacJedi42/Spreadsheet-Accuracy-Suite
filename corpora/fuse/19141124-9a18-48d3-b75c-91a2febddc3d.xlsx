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LLIE\Dropbox\Print this!!\Check this\"/>
    </mc:Choice>
  </mc:AlternateContent>
  <bookViews>
    <workbookView xWindow="0" yWindow="0" windowWidth="17970" windowHeight="6120" activeTab="1"/>
  </bookViews>
  <sheets>
    <sheet name="Index 1 Student Achievement" sheetId="1" r:id="rId1"/>
    <sheet name="Index 3 Closing the Gap" sheetId="2" r:id="rId2"/>
  </sheets>
  <calcPr calcId="152511"/>
</workbook>
</file>

<file path=xl/calcChain.xml><?xml version="1.0" encoding="utf-8"?>
<calcChain xmlns="http://schemas.openxmlformats.org/spreadsheetml/2006/main">
  <c r="O31" i="1" l="1"/>
  <c r="N31" i="1"/>
  <c r="M31" i="1"/>
  <c r="J31" i="1"/>
  <c r="G31" i="1"/>
  <c r="D31" i="1"/>
  <c r="P31" i="1" l="1"/>
  <c r="I26" i="2"/>
  <c r="F25" i="2"/>
  <c r="G25" i="2" s="1"/>
  <c r="E25" i="2"/>
  <c r="C25" i="2"/>
  <c r="B25" i="2"/>
  <c r="D25" i="2" s="1"/>
  <c r="H25" i="2" s="1"/>
  <c r="H24" i="2"/>
  <c r="F24" i="2"/>
  <c r="E24" i="2"/>
  <c r="C24" i="2"/>
  <c r="B24" i="2"/>
  <c r="F23" i="2"/>
  <c r="G23" i="2" s="1"/>
  <c r="E23" i="2"/>
  <c r="C23" i="2"/>
  <c r="B23" i="2"/>
  <c r="F22" i="2"/>
  <c r="E22" i="2"/>
  <c r="G22" i="2" s="1"/>
  <c r="C22" i="2"/>
  <c r="D22" i="2" s="1"/>
  <c r="H22" i="2" s="1"/>
  <c r="B22" i="2"/>
  <c r="F21" i="2"/>
  <c r="E21" i="2"/>
  <c r="C21" i="2"/>
  <c r="B21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O26" i="1"/>
  <c r="N26" i="1"/>
  <c r="M26" i="1"/>
  <c r="J26" i="1"/>
  <c r="G26" i="1"/>
  <c r="D26" i="1"/>
  <c r="L22" i="1"/>
  <c r="K22" i="1"/>
  <c r="M22" i="1" s="1"/>
  <c r="J22" i="1"/>
  <c r="G22" i="1"/>
  <c r="D22" i="1"/>
  <c r="L18" i="1"/>
  <c r="L36" i="1" s="1"/>
  <c r="K18" i="1"/>
  <c r="K36" i="1" s="1"/>
  <c r="I18" i="1"/>
  <c r="H18" i="1"/>
  <c r="F18" i="1"/>
  <c r="E18" i="1"/>
  <c r="C18" i="1"/>
  <c r="B18" i="1"/>
  <c r="O17" i="1"/>
  <c r="N17" i="1"/>
  <c r="M17" i="1"/>
  <c r="J17" i="1"/>
  <c r="G17" i="1"/>
  <c r="D17" i="1"/>
  <c r="O16" i="1"/>
  <c r="N16" i="1"/>
  <c r="M16" i="1"/>
  <c r="J16" i="1"/>
  <c r="G16" i="1"/>
  <c r="D16" i="1"/>
  <c r="O15" i="1"/>
  <c r="N15" i="1"/>
  <c r="M15" i="1"/>
  <c r="J15" i="1"/>
  <c r="G15" i="1"/>
  <c r="D15" i="1"/>
  <c r="O14" i="1"/>
  <c r="N14" i="1"/>
  <c r="M14" i="1"/>
  <c r="J14" i="1"/>
  <c r="G14" i="1"/>
  <c r="D14" i="1"/>
  <c r="I10" i="1"/>
  <c r="H10" i="1"/>
  <c r="F10" i="1"/>
  <c r="E10" i="1"/>
  <c r="C10" i="1"/>
  <c r="B10" i="1"/>
  <c r="L9" i="1"/>
  <c r="K9" i="1"/>
  <c r="J9" i="1"/>
  <c r="G9" i="1"/>
  <c r="D9" i="1"/>
  <c r="L8" i="1"/>
  <c r="K8" i="1"/>
  <c r="J8" i="1"/>
  <c r="G8" i="1"/>
  <c r="D8" i="1"/>
  <c r="L7" i="1"/>
  <c r="K7" i="1"/>
  <c r="J7" i="1"/>
  <c r="G7" i="1"/>
  <c r="D7" i="1"/>
  <c r="G21" i="2" l="1"/>
  <c r="D23" i="2"/>
  <c r="D21" i="2"/>
  <c r="H21" i="2" s="1"/>
  <c r="H23" i="2"/>
  <c r="I36" i="1"/>
  <c r="M9" i="1"/>
  <c r="M8" i="1"/>
  <c r="M7" i="1"/>
  <c r="J18" i="1"/>
  <c r="H36" i="1"/>
  <c r="F36" i="1"/>
  <c r="E36" i="1"/>
  <c r="P14" i="1"/>
  <c r="C36" i="1"/>
  <c r="P16" i="1"/>
  <c r="P15" i="1"/>
  <c r="B36" i="1"/>
  <c r="J10" i="1"/>
  <c r="N18" i="1"/>
  <c r="P17" i="1"/>
  <c r="K10" i="1"/>
  <c r="M18" i="1"/>
  <c r="P26" i="1"/>
  <c r="D10" i="1"/>
  <c r="D18" i="1"/>
  <c r="G10" i="1"/>
  <c r="G18" i="1"/>
  <c r="O18" i="1"/>
  <c r="L10" i="1"/>
  <c r="M36" i="1"/>
  <c r="H26" i="2" l="1"/>
  <c r="H27" i="2" s="1"/>
  <c r="G36" i="1"/>
  <c r="J36" i="1"/>
  <c r="M10" i="1"/>
  <c r="O36" i="1"/>
  <c r="D36" i="1"/>
  <c r="N36" i="1"/>
  <c r="P18" i="1"/>
  <c r="P36" i="1" l="1"/>
</calcChain>
</file>

<file path=xl/sharedStrings.xml><?xml version="1.0" encoding="utf-8"?>
<sst xmlns="http://schemas.openxmlformats.org/spreadsheetml/2006/main" count="176" uniqueCount="57">
  <si>
    <t xml:space="preserve">Reports: </t>
  </si>
  <si>
    <t># Met Level II</t>
  </si>
  <si>
    <t>Total Students Assessed</t>
  </si>
  <si>
    <t>Percentage of students meeting Level II</t>
  </si>
  <si>
    <t>STAAR</t>
  </si>
  <si>
    <t>STAAR Modified</t>
  </si>
  <si>
    <t>STAAR ALT</t>
  </si>
  <si>
    <t>Reading Overall</t>
  </si>
  <si>
    <t>Campus Reading</t>
  </si>
  <si>
    <t>Campus Math</t>
  </si>
  <si>
    <t>Writing Overall</t>
  </si>
  <si>
    <t>Math Overall</t>
  </si>
  <si>
    <t>Science Overall</t>
  </si>
  <si>
    <t>All STAAR Assessments</t>
  </si>
  <si>
    <t xml:space="preserve"> All STAAR Modified Assessments</t>
  </si>
  <si>
    <t>All STAAR ALT Assessments</t>
  </si>
  <si>
    <t xml:space="preserve">Index 1 </t>
  </si>
  <si>
    <t>STAAR L</t>
  </si>
  <si>
    <t>All STAAR L Assessments</t>
  </si>
  <si>
    <t>Excluded Results:</t>
  </si>
  <si>
    <t xml:space="preserve">5th and 8th grade when retest results are available-  Use selections above with the exception in Select Analysis: Choose HIGHEST Test Result </t>
  </si>
  <si>
    <t>Index 1                 Break Down</t>
  </si>
  <si>
    <t>Reading</t>
  </si>
  <si>
    <t>Math</t>
  </si>
  <si>
    <t>Writing</t>
  </si>
  <si>
    <t>Science</t>
  </si>
  <si>
    <t>Total Points</t>
  </si>
  <si>
    <t>Total</t>
  </si>
  <si>
    <t>Index Score</t>
  </si>
  <si>
    <t># of Tests</t>
  </si>
  <si>
    <t>Minimum size:</t>
  </si>
  <si>
    <t>Performance Rate</t>
  </si>
  <si>
    <t>Maximum Points 200  each for  two sub pops OR 300 for three sub pops</t>
  </si>
  <si>
    <t>Reports for Lowest Performing Ethnicities:</t>
  </si>
  <si>
    <t>.</t>
  </si>
  <si>
    <t>6th Grade Reading</t>
  </si>
  <si>
    <t>7th Grade Reading</t>
  </si>
  <si>
    <t>8th Grade Reading</t>
  </si>
  <si>
    <t>6th Grade Math</t>
  </si>
  <si>
    <t>7th Grade Math</t>
  </si>
  <si>
    <t>8th Grade Math</t>
  </si>
  <si>
    <t>7th Grade Writing</t>
  </si>
  <si>
    <t>8th Grade Science</t>
  </si>
  <si>
    <t>8th Grade Social Studies</t>
  </si>
  <si>
    <t>Social Studies</t>
  </si>
  <si>
    <t>Algebra I</t>
  </si>
  <si>
    <t>Use Pinnacle.  STAAR tab --&gt; Standard Selections: Enrollment Status =Active and Snapshot Status=Active --&gt;Selection Master-Special Pops  --&gt;Select Analysis=Summary by Assessment</t>
  </si>
  <si>
    <t>Reports for Economically Disadvantaged English results:</t>
  </si>
  <si>
    <t xml:space="preserve">Use Pinnacle.   For English results only:  Special Pops Tab --&gt;Selection Master:  Special population=Choose all then unclick LEP; Not LEP will appear in Current Selections --&gt;STAAR tab --&gt; Standard Selections: Enrollment Status =Active and Snapshot Status=Active --&gt;Selection Master-Test Language= English--&gt;Select Analysis=Summary by Special Pop </t>
  </si>
  <si>
    <t>Use Pinnacle.   STAAR tab --&gt; Standard Selections: Enrollment Status =Active and Snapshot Status=Active and Ethnicity=Hispanic for campuses --&gt;Select Analysis=Summary by Assessment</t>
  </si>
  <si>
    <t>25 students.  For 2013 the only ethnicity to meet the minimum size requirement is Hispanic; however, the district meet the Hispanic and African American Ethnicity/Race minimum size requirements.</t>
  </si>
  <si>
    <t>Economically Disadvantaged</t>
  </si>
  <si>
    <t>Lowest Performing Ethnicity Group 1</t>
  </si>
  <si>
    <t>Warning!  DO NOT Delete Formulas!  Type only in the white cells!</t>
  </si>
  <si>
    <t>o Students in US Schools Year 1, 2 or 3
o Asylees or refugees in US Schools Year 1, 2, 3, 4 or 5
o Recent immigrants entering grade 9 or above</t>
  </si>
  <si>
    <t>Warning!  Type only in the white cells!</t>
  </si>
  <si>
    <t xml:space="preserve">o ONLY LEP students tested on English Assessments 
o Asylees/refugees in US Schools Years 1, 2, 3, 4, 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</si>
</sst>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  <font>
      <sz val="8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/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34998626667073579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/>
    <xf numFmtId="0" fontId="6" fillId="8" borderId="10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wrapText="1"/>
    </xf>
    <xf numFmtId="0" fontId="8" fillId="8" borderId="6" xfId="0" applyFont="1" applyFill="1" applyBorder="1" applyAlignment="1">
      <alignment wrapText="1"/>
    </xf>
    <xf numFmtId="0" fontId="6" fillId="0" borderId="0" xfId="0" applyFont="1" applyAlignment="1">
      <alignment vertical="top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" fontId="2" fillId="8" borderId="11" xfId="1" applyNumberFormat="1" applyFont="1" applyFill="1" applyBorder="1" applyAlignment="1">
      <alignment horizontal="center" vertical="center" wrapText="1"/>
    </xf>
    <xf numFmtId="1" fontId="2" fillId="8" borderId="11" xfId="1" applyNumberFormat="1" applyFont="1" applyFill="1" applyBorder="1" applyAlignment="1">
      <alignment horizontal="center" vertical="center"/>
    </xf>
    <xf numFmtId="1" fontId="2" fillId="8" borderId="15" xfId="1" applyNumberFormat="1" applyFont="1" applyFill="1" applyBorder="1" applyAlignment="1">
      <alignment horizontal="center" vertical="center"/>
    </xf>
    <xf numFmtId="1" fontId="2" fillId="8" borderId="19" xfId="0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 applyProtection="1">
      <alignment horizontal="center" vertical="center"/>
      <protection locked="0"/>
    </xf>
    <xf numFmtId="0" fontId="2" fillId="8" borderId="18" xfId="0" applyFont="1" applyFill="1" applyBorder="1" applyAlignment="1" applyProtection="1">
      <alignment horizontal="center" vertical="center"/>
      <protection locked="0"/>
    </xf>
    <xf numFmtId="0" fontId="2" fillId="8" borderId="25" xfId="0" applyFont="1" applyFill="1" applyBorder="1"/>
    <xf numFmtId="0" fontId="2" fillId="8" borderId="26" xfId="0" applyFont="1" applyFill="1" applyBorder="1"/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1" fontId="2" fillId="8" borderId="28" xfId="1" applyNumberFormat="1" applyFont="1" applyFill="1" applyBorder="1" applyAlignment="1">
      <alignment horizontal="center" vertical="center"/>
    </xf>
    <xf numFmtId="1" fontId="2" fillId="8" borderId="29" xfId="1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2" fillId="7" borderId="1" xfId="0" applyFont="1" applyFill="1" applyBorder="1" applyAlignment="1">
      <alignment horizontal="center"/>
    </xf>
    <xf numFmtId="0" fontId="6" fillId="7" borderId="34" xfId="0" applyFont="1" applyFill="1" applyBorder="1" applyAlignment="1">
      <alignment horizontal="center" wrapText="1"/>
    </xf>
    <xf numFmtId="0" fontId="6" fillId="7" borderId="35" xfId="0" applyFont="1" applyFill="1" applyBorder="1" applyAlignment="1">
      <alignment horizontal="center" wrapText="1"/>
    </xf>
    <xf numFmtId="0" fontId="2" fillId="7" borderId="36" xfId="0" applyFont="1" applyFill="1" applyBorder="1" applyAlignment="1">
      <alignment horizontal="center"/>
    </xf>
    <xf numFmtId="0" fontId="2" fillId="7" borderId="37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4" xfId="0" applyFont="1" applyBorder="1" applyAlignment="1" applyProtection="1">
      <alignment horizontal="center"/>
      <protection locked="0"/>
    </xf>
    <xf numFmtId="0" fontId="7" fillId="3" borderId="2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2" fillId="0" borderId="10" xfId="0" applyFont="1" applyBorder="1" applyAlignment="1" applyProtection="1">
      <alignment horizontal="center"/>
      <protection locked="0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4" borderId="41" xfId="0" applyFont="1" applyFill="1" applyBorder="1"/>
    <xf numFmtId="0" fontId="2" fillId="6" borderId="41" xfId="0" applyFont="1" applyFill="1" applyBorder="1"/>
    <xf numFmtId="0" fontId="2" fillId="7" borderId="40" xfId="0" applyFont="1" applyFill="1" applyBorder="1"/>
    <xf numFmtId="0" fontId="2" fillId="7" borderId="41" xfId="0" applyFont="1" applyFill="1" applyBorder="1"/>
    <xf numFmtId="0" fontId="2" fillId="7" borderId="34" xfId="0" applyFont="1" applyFill="1" applyBorder="1" applyAlignment="1">
      <alignment horizontal="center"/>
    </xf>
    <xf numFmtId="0" fontId="3" fillId="5" borderId="34" xfId="0" applyFont="1" applyFill="1" applyBorder="1" applyAlignment="1">
      <alignment horizontal="center" wrapText="1"/>
    </xf>
    <xf numFmtId="0" fontId="3" fillId="5" borderId="35" xfId="0" applyFont="1" applyFill="1" applyBorder="1" applyAlignment="1">
      <alignment horizontal="center" wrapText="1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6" borderId="36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 wrapText="1"/>
    </xf>
    <xf numFmtId="0" fontId="6" fillId="4" borderId="35" xfId="0" applyFont="1" applyFill="1" applyBorder="1" applyAlignment="1">
      <alignment horizontal="center" wrapText="1"/>
    </xf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 wrapText="1"/>
    </xf>
    <xf numFmtId="0" fontId="5" fillId="3" borderId="36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1" fontId="2" fillId="8" borderId="42" xfId="1" applyNumberFormat="1" applyFont="1" applyFill="1" applyBorder="1" applyAlignment="1">
      <alignment horizontal="center" vertical="center"/>
    </xf>
    <xf numFmtId="1" fontId="2" fillId="8" borderId="18" xfId="1" applyNumberFormat="1" applyFont="1" applyFill="1" applyBorder="1" applyAlignment="1">
      <alignment horizontal="center" vertical="center"/>
    </xf>
    <xf numFmtId="1" fontId="2" fillId="8" borderId="28" xfId="1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1" fontId="2" fillId="8" borderId="10" xfId="0" applyNumberFormat="1" applyFont="1" applyFill="1" applyBorder="1" applyAlignment="1">
      <alignment horizontal="center" vertical="center"/>
    </xf>
    <xf numFmtId="1" fontId="2" fillId="8" borderId="12" xfId="0" applyNumberFormat="1" applyFont="1" applyFill="1" applyBorder="1" applyAlignment="1">
      <alignment horizontal="center" vertical="center"/>
    </xf>
    <xf numFmtId="0" fontId="2" fillId="8" borderId="28" xfId="0" applyFont="1" applyFill="1" applyBorder="1" applyAlignment="1" applyProtection="1">
      <alignment horizontal="center" vertical="center"/>
      <protection locked="0"/>
    </xf>
    <xf numFmtId="0" fontId="2" fillId="7" borderId="44" xfId="0" applyFont="1" applyFill="1" applyBorder="1"/>
    <xf numFmtId="0" fontId="2" fillId="0" borderId="45" xfId="0" applyFont="1" applyBorder="1" applyAlignment="1" applyProtection="1">
      <alignment horizontal="center"/>
      <protection locked="0"/>
    </xf>
    <xf numFmtId="0" fontId="2" fillId="0" borderId="46" xfId="0" applyFont="1" applyBorder="1" applyAlignment="1" applyProtection="1">
      <alignment horizontal="center"/>
      <protection locked="0"/>
    </xf>
    <xf numFmtId="0" fontId="2" fillId="4" borderId="41" xfId="0" applyFont="1" applyFill="1" applyBorder="1" applyAlignment="1">
      <alignment wrapText="1"/>
    </xf>
    <xf numFmtId="0" fontId="5" fillId="3" borderId="47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9" fontId="6" fillId="2" borderId="11" xfId="0" applyNumberFormat="1" applyFont="1" applyFill="1" applyBorder="1" applyAlignment="1">
      <alignment horizontal="center" wrapText="1"/>
    </xf>
    <xf numFmtId="9" fontId="6" fillId="7" borderId="35" xfId="0" applyNumberFormat="1" applyFont="1" applyFill="1" applyBorder="1" applyAlignment="1">
      <alignment horizontal="center" wrapText="1"/>
    </xf>
    <xf numFmtId="9" fontId="3" fillId="5" borderId="35" xfId="0" applyNumberFormat="1" applyFont="1" applyFill="1" applyBorder="1" applyAlignment="1">
      <alignment horizontal="center" wrapText="1"/>
    </xf>
    <xf numFmtId="9" fontId="6" fillId="4" borderId="35" xfId="0" applyNumberFormat="1" applyFont="1" applyFill="1" applyBorder="1" applyAlignment="1">
      <alignment horizontal="center" wrapText="1"/>
    </xf>
    <xf numFmtId="9" fontId="7" fillId="3" borderId="11" xfId="0" applyNumberFormat="1" applyFont="1" applyFill="1" applyBorder="1" applyAlignment="1">
      <alignment horizontal="center" wrapText="1"/>
    </xf>
    <xf numFmtId="9" fontId="7" fillId="3" borderId="35" xfId="0" applyNumberFormat="1" applyFont="1" applyFill="1" applyBorder="1" applyAlignment="1">
      <alignment horizontal="center" wrapText="1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49" xfId="0" applyFont="1" applyFill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right"/>
    </xf>
    <xf numFmtId="0" fontId="2" fillId="8" borderId="27" xfId="0" applyFont="1" applyFill="1" applyBorder="1" applyAlignment="1">
      <alignment horizontal="right"/>
    </xf>
    <xf numFmtId="0" fontId="2" fillId="8" borderId="30" xfId="0" applyFont="1" applyFill="1" applyBorder="1" applyAlignment="1">
      <alignment horizontal="right"/>
    </xf>
    <xf numFmtId="0" fontId="2" fillId="8" borderId="23" xfId="0" applyFont="1" applyFill="1" applyBorder="1" applyAlignment="1">
      <alignment horizontal="right"/>
    </xf>
    <xf numFmtId="0" fontId="2" fillId="8" borderId="24" xfId="0" applyFont="1" applyFill="1" applyBorder="1" applyAlignment="1">
      <alignment horizontal="right"/>
    </xf>
    <xf numFmtId="0" fontId="2" fillId="8" borderId="4" xfId="0" applyFont="1" applyFill="1" applyBorder="1" applyAlignment="1">
      <alignment horizontal="center" vertical="top"/>
    </xf>
    <xf numFmtId="0" fontId="2" fillId="8" borderId="5" xfId="0" applyFont="1" applyFill="1" applyBorder="1" applyAlignment="1">
      <alignment horizontal="center" vertical="top"/>
    </xf>
    <xf numFmtId="0" fontId="2" fillId="8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1" fontId="2" fillId="8" borderId="19" xfId="1" applyNumberFormat="1" applyFont="1" applyFill="1" applyBorder="1" applyAlignment="1">
      <alignment horizontal="center" vertical="center"/>
    </xf>
    <xf numFmtId="1" fontId="2" fillId="8" borderId="20" xfId="1" applyNumberFormat="1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wrapText="1"/>
    </xf>
    <xf numFmtId="0" fontId="8" fillId="8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9" fontId="2" fillId="2" borderId="11" xfId="1" applyFont="1" applyFill="1" applyBorder="1" applyAlignment="1">
      <alignment horizontal="center"/>
    </xf>
    <xf numFmtId="9" fontId="2" fillId="2" borderId="28" xfId="1" applyFont="1" applyFill="1" applyBorder="1" applyAlignment="1">
      <alignment horizontal="center"/>
    </xf>
    <xf numFmtId="9" fontId="2" fillId="7" borderId="35" xfId="1" applyFont="1" applyFill="1" applyBorder="1" applyAlignment="1">
      <alignment horizontal="center"/>
    </xf>
    <xf numFmtId="9" fontId="2" fillId="7" borderId="38" xfId="1" applyFont="1" applyFill="1" applyBorder="1" applyAlignment="1">
      <alignment horizontal="center"/>
    </xf>
    <xf numFmtId="9" fontId="2" fillId="5" borderId="38" xfId="1" applyFont="1" applyFill="1" applyBorder="1" applyAlignment="1">
      <alignment horizontal="center"/>
    </xf>
    <xf numFmtId="9" fontId="2" fillId="4" borderId="38" xfId="1" applyFont="1" applyFill="1" applyBorder="1" applyAlignment="1">
      <alignment horizontal="center"/>
    </xf>
    <xf numFmtId="9" fontId="5" fillId="3" borderId="48" xfId="1" applyFont="1" applyFill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9" fontId="2" fillId="2" borderId="28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7" borderId="35" xfId="0" applyNumberFormat="1" applyFont="1" applyFill="1" applyBorder="1" applyAlignment="1">
      <alignment horizontal="center"/>
    </xf>
    <xf numFmtId="9" fontId="2" fillId="7" borderId="38" xfId="0" applyNumberFormat="1" applyFont="1" applyFill="1" applyBorder="1" applyAlignment="1">
      <alignment horizontal="center"/>
    </xf>
    <xf numFmtId="9" fontId="2" fillId="5" borderId="38" xfId="0" applyNumberFormat="1" applyFont="1" applyFill="1" applyBorder="1" applyAlignment="1">
      <alignment horizontal="center"/>
    </xf>
    <xf numFmtId="9" fontId="2" fillId="4" borderId="38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5" fillId="3" borderId="28" xfId="0" applyNumberFormat="1" applyFont="1" applyFill="1" applyBorder="1" applyAlignment="1">
      <alignment horizontal="center"/>
    </xf>
    <xf numFmtId="9" fontId="5" fillId="3" borderId="38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FF"/>
      <color rgb="FFFFFFCC"/>
      <color rgb="FF99FF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P36"/>
  <sheetViews>
    <sheetView view="pageLayout" topLeftCell="A18" zoomScaleNormal="80" workbookViewId="0">
      <selection activeCell="L15" sqref="L15"/>
    </sheetView>
  </sheetViews>
  <sheetFormatPr defaultRowHeight="15" x14ac:dyDescent="0.25"/>
  <cols>
    <col min="1" max="1" width="19" customWidth="1"/>
    <col min="2" max="3" width="9.140625" style="2"/>
    <col min="4" max="4" width="15.140625" style="101" customWidth="1"/>
    <col min="5" max="6" width="9.140625" style="2"/>
    <col min="7" max="7" width="14.5703125" style="178" customWidth="1"/>
    <col min="8" max="9" width="9.140625" style="2"/>
    <col min="10" max="10" width="14.42578125" style="178" customWidth="1"/>
    <col min="11" max="12" width="9.140625" style="2"/>
    <col min="13" max="13" width="14.42578125" style="178" customWidth="1"/>
    <col min="14" max="15" width="9.140625" style="2"/>
    <col min="16" max="16" width="14.42578125" style="178" customWidth="1"/>
  </cols>
  <sheetData>
    <row r="1" spans="1:16" x14ac:dyDescent="0.25">
      <c r="A1" s="121" t="s">
        <v>53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s="1" customFormat="1" ht="29.25" customHeight="1" x14ac:dyDescent="0.2">
      <c r="A2" s="1" t="s">
        <v>0</v>
      </c>
      <c r="B2" s="120" t="s">
        <v>46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3" spans="1:16" s="1" customFormat="1" ht="14.25" customHeight="1" x14ac:dyDescent="0.2">
      <c r="B3" s="120" t="s">
        <v>20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</row>
    <row r="4" spans="1:16" s="1" customFormat="1" ht="52.5" customHeight="1" thickBot="1" x14ac:dyDescent="0.25">
      <c r="A4" s="3" t="s">
        <v>19</v>
      </c>
      <c r="B4" s="120" t="s">
        <v>54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</row>
    <row r="5" spans="1:16" s="1" customFormat="1" ht="14.25" x14ac:dyDescent="0.2">
      <c r="A5" s="111"/>
      <c r="B5" s="127" t="s">
        <v>4</v>
      </c>
      <c r="C5" s="128"/>
      <c r="D5" s="129"/>
      <c r="E5" s="127" t="s">
        <v>5</v>
      </c>
      <c r="F5" s="128"/>
      <c r="G5" s="129"/>
      <c r="H5" s="127" t="s">
        <v>6</v>
      </c>
      <c r="I5" s="128"/>
      <c r="J5" s="129"/>
      <c r="K5" s="127" t="s">
        <v>7</v>
      </c>
      <c r="L5" s="128"/>
      <c r="M5" s="129"/>
      <c r="N5" s="4"/>
      <c r="O5" s="4"/>
      <c r="P5" s="173"/>
    </row>
    <row r="6" spans="1:16" s="1" customFormat="1" ht="41.25" customHeight="1" x14ac:dyDescent="0.2">
      <c r="A6" s="112"/>
      <c r="B6" s="60" t="s">
        <v>2</v>
      </c>
      <c r="C6" s="55" t="s">
        <v>1</v>
      </c>
      <c r="D6" s="61" t="s">
        <v>3</v>
      </c>
      <c r="E6" s="60" t="s">
        <v>2</v>
      </c>
      <c r="F6" s="55" t="s">
        <v>1</v>
      </c>
      <c r="G6" s="102" t="s">
        <v>3</v>
      </c>
      <c r="H6" s="60" t="s">
        <v>2</v>
      </c>
      <c r="I6" s="55" t="s">
        <v>1</v>
      </c>
      <c r="J6" s="102" t="s">
        <v>3</v>
      </c>
      <c r="K6" s="60" t="s">
        <v>2</v>
      </c>
      <c r="L6" s="55" t="s">
        <v>1</v>
      </c>
      <c r="M6" s="102" t="s">
        <v>3</v>
      </c>
      <c r="N6" s="4"/>
      <c r="O6" s="4"/>
      <c r="P6" s="173"/>
    </row>
    <row r="7" spans="1:16" s="1" customFormat="1" ht="14.25" x14ac:dyDescent="0.2">
      <c r="A7" s="58" t="s">
        <v>35</v>
      </c>
      <c r="B7" s="62"/>
      <c r="C7" s="56"/>
      <c r="D7" s="164" t="str">
        <f>IFERROR((SUM(C7/B7)), "")</f>
        <v/>
      </c>
      <c r="E7" s="62"/>
      <c r="F7" s="56"/>
      <c r="G7" s="171" t="str">
        <f>IFERROR((SUM(F7/E7)), "")</f>
        <v/>
      </c>
      <c r="H7" s="62"/>
      <c r="I7" s="56"/>
      <c r="J7" s="171" t="str">
        <f>IFERROR((SUM(I7/H7)), "")</f>
        <v/>
      </c>
      <c r="K7" s="65">
        <f t="shared" ref="K7:L9" si="0">B7+E7+H7</f>
        <v>0</v>
      </c>
      <c r="L7" s="57">
        <f t="shared" si="0"/>
        <v>0</v>
      </c>
      <c r="M7" s="171" t="str">
        <f>IFERROR((SUM(L7/K7)), "")</f>
        <v/>
      </c>
      <c r="N7" s="4"/>
      <c r="O7" s="4"/>
      <c r="P7" s="173"/>
    </row>
    <row r="8" spans="1:16" s="1" customFormat="1" ht="14.25" x14ac:dyDescent="0.2">
      <c r="A8" s="58" t="s">
        <v>36</v>
      </c>
      <c r="B8" s="62"/>
      <c r="C8" s="56"/>
      <c r="D8" s="164" t="str">
        <f>IFERROR((SUM(C8/B8)), "")</f>
        <v/>
      </c>
      <c r="E8" s="62"/>
      <c r="F8" s="56"/>
      <c r="G8" s="171" t="str">
        <f>IFERROR((SUM(F8/E8)), "")</f>
        <v/>
      </c>
      <c r="H8" s="62"/>
      <c r="I8" s="56"/>
      <c r="J8" s="171" t="str">
        <f>IFERROR((SUM(I8/H8)), "")</f>
        <v/>
      </c>
      <c r="K8" s="65">
        <f t="shared" si="0"/>
        <v>0</v>
      </c>
      <c r="L8" s="57">
        <f t="shared" si="0"/>
        <v>0</v>
      </c>
      <c r="M8" s="171" t="str">
        <f t="shared" ref="M8:M10" si="1">IFERROR((SUM(L8/K8)), "")</f>
        <v/>
      </c>
      <c r="N8" s="4"/>
      <c r="O8" s="4"/>
      <c r="P8" s="173"/>
    </row>
    <row r="9" spans="1:16" s="1" customFormat="1" ht="14.25" x14ac:dyDescent="0.2">
      <c r="A9" s="58" t="s">
        <v>37</v>
      </c>
      <c r="B9" s="62"/>
      <c r="C9" s="56"/>
      <c r="D9" s="164" t="str">
        <f>IFERROR((SUM(C9/B9)), "")</f>
        <v/>
      </c>
      <c r="E9" s="62"/>
      <c r="F9" s="56"/>
      <c r="G9" s="171" t="str">
        <f>IFERROR((SUM(F9/E9)), "")</f>
        <v/>
      </c>
      <c r="H9" s="62"/>
      <c r="I9" s="56"/>
      <c r="J9" s="171" t="str">
        <f>IFERROR((SUM(I9/H9)), "")</f>
        <v/>
      </c>
      <c r="K9" s="65">
        <f t="shared" si="0"/>
        <v>0</v>
      </c>
      <c r="L9" s="57">
        <f t="shared" si="0"/>
        <v>0</v>
      </c>
      <c r="M9" s="171" t="str">
        <f t="shared" si="1"/>
        <v/>
      </c>
      <c r="N9" s="4"/>
      <c r="O9" s="4"/>
      <c r="P9" s="173"/>
    </row>
    <row r="10" spans="1:16" s="1" customFormat="1" thickBot="1" x14ac:dyDescent="0.25">
      <c r="A10" s="59" t="s">
        <v>8</v>
      </c>
      <c r="B10" s="63">
        <f>SUM(B7:B9)</f>
        <v>0</v>
      </c>
      <c r="C10" s="64">
        <f>SUM(C7:C9)</f>
        <v>0</v>
      </c>
      <c r="D10" s="165" t="str">
        <f>IFERROR((SUM(C10/B10)), "")</f>
        <v/>
      </c>
      <c r="E10" s="63">
        <f>SUM(E7:E9)</f>
        <v>0</v>
      </c>
      <c r="F10" s="64">
        <f>SUM(F7:F9)</f>
        <v>0</v>
      </c>
      <c r="G10" s="172" t="str">
        <f>IFERROR((SUM(F10/E10)), "")</f>
        <v/>
      </c>
      <c r="H10" s="63">
        <f>SUM(H7:H9)</f>
        <v>0</v>
      </c>
      <c r="I10" s="64">
        <f>SUM(I7:I9)</f>
        <v>0</v>
      </c>
      <c r="J10" s="172" t="str">
        <f>IFERROR((SUM(I10/H10)), "")</f>
        <v/>
      </c>
      <c r="K10" s="63">
        <f>SUM(K7:K9)</f>
        <v>0</v>
      </c>
      <c r="L10" s="64">
        <f>SUM(L7:L9)</f>
        <v>0</v>
      </c>
      <c r="M10" s="171" t="str">
        <f t="shared" si="1"/>
        <v/>
      </c>
      <c r="N10" s="4"/>
      <c r="O10" s="4"/>
      <c r="P10" s="173"/>
    </row>
    <row r="11" spans="1:16" s="1" customFormat="1" thickBot="1" x14ac:dyDescent="0.25">
      <c r="B11" s="4"/>
      <c r="C11" s="4"/>
      <c r="D11" s="4"/>
      <c r="E11" s="4"/>
      <c r="F11" s="4"/>
      <c r="G11" s="173"/>
      <c r="H11" s="4"/>
      <c r="I11" s="4"/>
      <c r="J11" s="173"/>
      <c r="K11" s="4"/>
      <c r="L11" s="4"/>
      <c r="M11" s="173"/>
      <c r="N11" s="4"/>
      <c r="O11" s="4"/>
      <c r="P11" s="173"/>
    </row>
    <row r="12" spans="1:16" s="1" customFormat="1" ht="14.25" x14ac:dyDescent="0.2">
      <c r="A12" s="113"/>
      <c r="B12" s="115" t="s">
        <v>4</v>
      </c>
      <c r="C12" s="116"/>
      <c r="D12" s="117"/>
      <c r="E12" s="115" t="s">
        <v>5</v>
      </c>
      <c r="F12" s="116"/>
      <c r="G12" s="117"/>
      <c r="H12" s="115" t="s">
        <v>6</v>
      </c>
      <c r="I12" s="116"/>
      <c r="J12" s="117"/>
      <c r="K12" s="115" t="s">
        <v>17</v>
      </c>
      <c r="L12" s="116"/>
      <c r="M12" s="117"/>
      <c r="N12" s="115" t="s">
        <v>11</v>
      </c>
      <c r="O12" s="116"/>
      <c r="P12" s="117"/>
    </row>
    <row r="13" spans="1:16" s="1" customFormat="1" ht="38.25" customHeight="1" x14ac:dyDescent="0.2">
      <c r="A13" s="114"/>
      <c r="B13" s="44" t="s">
        <v>2</v>
      </c>
      <c r="C13" s="6" t="s">
        <v>1</v>
      </c>
      <c r="D13" s="45" t="s">
        <v>3</v>
      </c>
      <c r="E13" s="44" t="s">
        <v>2</v>
      </c>
      <c r="F13" s="6" t="s">
        <v>1</v>
      </c>
      <c r="G13" s="103" t="s">
        <v>3</v>
      </c>
      <c r="H13" s="44" t="s">
        <v>2</v>
      </c>
      <c r="I13" s="6" t="s">
        <v>1</v>
      </c>
      <c r="J13" s="103" t="s">
        <v>3</v>
      </c>
      <c r="K13" s="44" t="s">
        <v>2</v>
      </c>
      <c r="L13" s="6" t="s">
        <v>1</v>
      </c>
      <c r="M13" s="103" t="s">
        <v>3</v>
      </c>
      <c r="N13" s="44" t="s">
        <v>2</v>
      </c>
      <c r="O13" s="6" t="s">
        <v>1</v>
      </c>
      <c r="P13" s="103" t="s">
        <v>3</v>
      </c>
    </row>
    <row r="14" spans="1:16" s="1" customFormat="1" ht="14.25" x14ac:dyDescent="0.2">
      <c r="A14" s="68" t="s">
        <v>38</v>
      </c>
      <c r="B14" s="49"/>
      <c r="C14" s="48"/>
      <c r="D14" s="166" t="str">
        <f>IFERROR((SUM(C14/B14)), "")</f>
        <v/>
      </c>
      <c r="E14" s="49"/>
      <c r="F14" s="48"/>
      <c r="G14" s="174" t="str">
        <f>IFERROR((SUM(F14/E14)), "")</f>
        <v/>
      </c>
      <c r="H14" s="49"/>
      <c r="I14" s="48"/>
      <c r="J14" s="174" t="str">
        <f>IFERROR((SUM(I14/H14)), "")</f>
        <v/>
      </c>
      <c r="K14" s="49"/>
      <c r="L14" s="48"/>
      <c r="M14" s="174" t="str">
        <f>IFERROR((SUM(L14/K14)), "")</f>
        <v/>
      </c>
      <c r="N14" s="70">
        <f t="shared" ref="N14:O17" si="2">B14+E14+H14+K14</f>
        <v>0</v>
      </c>
      <c r="O14" s="43">
        <f t="shared" si="2"/>
        <v>0</v>
      </c>
      <c r="P14" s="174" t="str">
        <f>IFERROR((SUM(O14/N14)), "")</f>
        <v/>
      </c>
    </row>
    <row r="15" spans="1:16" s="1" customFormat="1" ht="14.25" x14ac:dyDescent="0.2">
      <c r="A15" s="68" t="s">
        <v>39</v>
      </c>
      <c r="B15" s="49"/>
      <c r="C15" s="48"/>
      <c r="D15" s="166" t="str">
        <f>IFERROR((SUM(C15/B15)), "")</f>
        <v/>
      </c>
      <c r="E15" s="49"/>
      <c r="F15" s="48"/>
      <c r="G15" s="174" t="str">
        <f>IFERROR((SUM(F15/E15)), "")</f>
        <v/>
      </c>
      <c r="H15" s="49"/>
      <c r="I15" s="48"/>
      <c r="J15" s="174" t="str">
        <f>IFERROR((SUM(I15/H15)), "")</f>
        <v/>
      </c>
      <c r="K15" s="49"/>
      <c r="L15" s="48"/>
      <c r="M15" s="174" t="str">
        <f>IFERROR((SUM(L15/K15)), "")</f>
        <v/>
      </c>
      <c r="N15" s="70">
        <f t="shared" si="2"/>
        <v>0</v>
      </c>
      <c r="O15" s="43">
        <f t="shared" si="2"/>
        <v>0</v>
      </c>
      <c r="P15" s="174" t="str">
        <f>IFERROR((SUM(O15/N15)), "")</f>
        <v/>
      </c>
    </row>
    <row r="16" spans="1:16" s="1" customFormat="1" ht="14.25" x14ac:dyDescent="0.2">
      <c r="A16" s="68" t="s">
        <v>40</v>
      </c>
      <c r="B16" s="49"/>
      <c r="C16" s="48"/>
      <c r="D16" s="166" t="str">
        <f>IFERROR((SUM(C16/B16)), "")</f>
        <v/>
      </c>
      <c r="E16" s="49"/>
      <c r="F16" s="48"/>
      <c r="G16" s="174" t="str">
        <f>IFERROR((SUM(F16/E16)), "")</f>
        <v/>
      </c>
      <c r="H16" s="49"/>
      <c r="I16" s="48"/>
      <c r="J16" s="174" t="str">
        <f>IFERROR((SUM(I16/H16)), "")</f>
        <v/>
      </c>
      <c r="K16" s="49"/>
      <c r="L16" s="48"/>
      <c r="M16" s="174" t="str">
        <f>IFERROR((SUM(L16/K16)), "")</f>
        <v/>
      </c>
      <c r="N16" s="70">
        <f t="shared" si="2"/>
        <v>0</v>
      </c>
      <c r="O16" s="43">
        <f t="shared" si="2"/>
        <v>0</v>
      </c>
      <c r="P16" s="174" t="str">
        <f>IFERROR((SUM(O16/N16)), "")</f>
        <v/>
      </c>
    </row>
    <row r="17" spans="1:16" s="1" customFormat="1" ht="14.25" x14ac:dyDescent="0.2">
      <c r="A17" s="94" t="s">
        <v>45</v>
      </c>
      <c r="B17" s="95"/>
      <c r="C17" s="96"/>
      <c r="D17" s="166" t="str">
        <f>IFERROR((SUM(C17/B17)), "")</f>
        <v/>
      </c>
      <c r="E17" s="95"/>
      <c r="F17" s="96"/>
      <c r="G17" s="174" t="str">
        <f>IFERROR((SUM(F17/E17)), "")</f>
        <v/>
      </c>
      <c r="H17" s="95"/>
      <c r="I17" s="96"/>
      <c r="J17" s="174" t="str">
        <f>IFERROR((SUM(I17/H17)), "")</f>
        <v/>
      </c>
      <c r="K17" s="95"/>
      <c r="L17" s="96"/>
      <c r="M17" s="174" t="str">
        <f>IFERROR((SUM(L17/K17)), "")</f>
        <v/>
      </c>
      <c r="N17" s="70">
        <f t="shared" si="2"/>
        <v>0</v>
      </c>
      <c r="O17" s="43">
        <f t="shared" si="2"/>
        <v>0</v>
      </c>
      <c r="P17" s="174" t="str">
        <f>IFERROR((SUM(O17/N17)), "")</f>
        <v/>
      </c>
    </row>
    <row r="18" spans="1:16" s="1" customFormat="1" thickBot="1" x14ac:dyDescent="0.25">
      <c r="A18" s="69" t="s">
        <v>9</v>
      </c>
      <c r="B18" s="46">
        <f>SUM(B14:B17)</f>
        <v>0</v>
      </c>
      <c r="C18" s="47">
        <f>SUM(C14:C17)</f>
        <v>0</v>
      </c>
      <c r="D18" s="167" t="str">
        <f>IFERROR((SUM(C18/B18)), "")</f>
        <v/>
      </c>
      <c r="E18" s="46">
        <f>SUM(E14:E17)</f>
        <v>0</v>
      </c>
      <c r="F18" s="47">
        <f>SUM(F14:F17)</f>
        <v>0</v>
      </c>
      <c r="G18" s="175" t="str">
        <f>IFERROR((SUM(F18/E18)), "")</f>
        <v/>
      </c>
      <c r="H18" s="46">
        <f>SUM(H14:H17)</f>
        <v>0</v>
      </c>
      <c r="I18" s="47">
        <f>SUM(I14:I17)</f>
        <v>0</v>
      </c>
      <c r="J18" s="175" t="str">
        <f>IFERROR((SUM(I18/H18)), "")</f>
        <v/>
      </c>
      <c r="K18" s="46">
        <f>SUM(K14:K17)</f>
        <v>0</v>
      </c>
      <c r="L18" s="47">
        <f>SUM(L14:L17)</f>
        <v>0</v>
      </c>
      <c r="M18" s="175" t="str">
        <f>IFERROR((SUM(L18/K18)), "")</f>
        <v/>
      </c>
      <c r="N18" s="46">
        <f>SUM(N14:N17)</f>
        <v>0</v>
      </c>
      <c r="O18" s="47">
        <f>SUM(O14:O17)</f>
        <v>0</v>
      </c>
      <c r="P18" s="175" t="e">
        <f>SUM(O18/N18)</f>
        <v>#DIV/0!</v>
      </c>
    </row>
    <row r="19" spans="1:16" s="1" customFormat="1" thickBot="1" x14ac:dyDescent="0.25">
      <c r="B19" s="4"/>
      <c r="C19" s="4"/>
      <c r="D19" s="4"/>
      <c r="E19" s="4"/>
      <c r="F19" s="4"/>
      <c r="G19" s="173"/>
      <c r="H19" s="4"/>
      <c r="I19" s="4"/>
      <c r="J19" s="173"/>
      <c r="K19" s="4"/>
      <c r="L19" s="4"/>
      <c r="M19" s="173"/>
      <c r="N19" s="4"/>
      <c r="O19" s="4"/>
      <c r="P19" s="173"/>
    </row>
    <row r="20" spans="1:16" s="1" customFormat="1" ht="14.25" x14ac:dyDescent="0.2">
      <c r="A20" s="122"/>
      <c r="B20" s="124" t="s">
        <v>4</v>
      </c>
      <c r="C20" s="125"/>
      <c r="D20" s="126"/>
      <c r="E20" s="124" t="s">
        <v>5</v>
      </c>
      <c r="F20" s="125"/>
      <c r="G20" s="126"/>
      <c r="H20" s="124" t="s">
        <v>6</v>
      </c>
      <c r="I20" s="125"/>
      <c r="J20" s="126"/>
      <c r="K20" s="124" t="s">
        <v>10</v>
      </c>
      <c r="L20" s="125"/>
      <c r="M20" s="126"/>
      <c r="N20" s="4"/>
      <c r="O20" s="4"/>
      <c r="P20" s="173"/>
    </row>
    <row r="21" spans="1:16" s="1" customFormat="1" ht="38.25" x14ac:dyDescent="0.2">
      <c r="A21" s="123"/>
      <c r="B21" s="71" t="s">
        <v>2</v>
      </c>
      <c r="C21" s="5" t="s">
        <v>1</v>
      </c>
      <c r="D21" s="72" t="s">
        <v>3</v>
      </c>
      <c r="E21" s="71" t="s">
        <v>2</v>
      </c>
      <c r="F21" s="5" t="s">
        <v>1</v>
      </c>
      <c r="G21" s="104" t="s">
        <v>3</v>
      </c>
      <c r="H21" s="71" t="s">
        <v>2</v>
      </c>
      <c r="I21" s="5" t="s">
        <v>1</v>
      </c>
      <c r="J21" s="104" t="s">
        <v>3</v>
      </c>
      <c r="K21" s="71" t="s">
        <v>2</v>
      </c>
      <c r="L21" s="5" t="s">
        <v>1</v>
      </c>
      <c r="M21" s="104" t="s">
        <v>3</v>
      </c>
      <c r="N21" s="4"/>
      <c r="O21" s="4"/>
      <c r="P21" s="173"/>
    </row>
    <row r="22" spans="1:16" s="1" customFormat="1" thickBot="1" x14ac:dyDescent="0.25">
      <c r="A22" s="67" t="s">
        <v>41</v>
      </c>
      <c r="B22" s="73"/>
      <c r="C22" s="74"/>
      <c r="D22" s="168" t="str">
        <f>IFERROR((SUM(C22/B22)), "")</f>
        <v/>
      </c>
      <c r="E22" s="73"/>
      <c r="F22" s="74"/>
      <c r="G22" s="176" t="str">
        <f>IFERROR((SUM(F22/E22)), "")</f>
        <v/>
      </c>
      <c r="H22" s="73"/>
      <c r="I22" s="74"/>
      <c r="J22" s="176" t="str">
        <f>IFERROR((SUM(I22/H22)), "")</f>
        <v/>
      </c>
      <c r="K22" s="75">
        <f>B22+E22+H22</f>
        <v>0</v>
      </c>
      <c r="L22" s="76">
        <f>C22+F22+I22</f>
        <v>0</v>
      </c>
      <c r="M22" s="176" t="str">
        <f>IFERROR((SUM(L22/K22)), "")</f>
        <v/>
      </c>
      <c r="N22" s="4"/>
      <c r="O22" s="4"/>
      <c r="P22" s="173"/>
    </row>
    <row r="23" spans="1:16" s="1" customFormat="1" thickBot="1" x14ac:dyDescent="0.25">
      <c r="B23" s="4"/>
      <c r="C23" s="4"/>
      <c r="D23" s="4"/>
      <c r="E23" s="4"/>
      <c r="F23" s="4"/>
      <c r="G23" s="173"/>
      <c r="H23" s="4"/>
      <c r="I23" s="4"/>
      <c r="J23" s="173"/>
      <c r="K23" s="4"/>
      <c r="L23" s="4"/>
      <c r="M23" s="173"/>
      <c r="N23" s="4"/>
      <c r="O23" s="4"/>
      <c r="P23" s="173"/>
    </row>
    <row r="24" spans="1:16" s="1" customFormat="1" ht="14.25" x14ac:dyDescent="0.2">
      <c r="A24" s="118"/>
      <c r="B24" s="108" t="s">
        <v>4</v>
      </c>
      <c r="C24" s="109"/>
      <c r="D24" s="110"/>
      <c r="E24" s="108" t="s">
        <v>5</v>
      </c>
      <c r="F24" s="109"/>
      <c r="G24" s="110"/>
      <c r="H24" s="108" t="s">
        <v>6</v>
      </c>
      <c r="I24" s="109"/>
      <c r="J24" s="110"/>
      <c r="K24" s="108" t="s">
        <v>17</v>
      </c>
      <c r="L24" s="109"/>
      <c r="M24" s="110"/>
      <c r="N24" s="108" t="s">
        <v>12</v>
      </c>
      <c r="O24" s="109"/>
      <c r="P24" s="110"/>
    </row>
    <row r="25" spans="1:16" s="1" customFormat="1" ht="39" customHeight="1" x14ac:dyDescent="0.2">
      <c r="A25" s="119"/>
      <c r="B25" s="77" t="s">
        <v>2</v>
      </c>
      <c r="C25" s="7" t="s">
        <v>1</v>
      </c>
      <c r="D25" s="78" t="s">
        <v>3</v>
      </c>
      <c r="E25" s="77" t="s">
        <v>2</v>
      </c>
      <c r="F25" s="7" t="s">
        <v>1</v>
      </c>
      <c r="G25" s="105" t="s">
        <v>3</v>
      </c>
      <c r="H25" s="77" t="s">
        <v>2</v>
      </c>
      <c r="I25" s="7" t="s">
        <v>1</v>
      </c>
      <c r="J25" s="105" t="s">
        <v>3</v>
      </c>
      <c r="K25" s="77" t="s">
        <v>2</v>
      </c>
      <c r="L25" s="7" t="s">
        <v>1</v>
      </c>
      <c r="M25" s="105" t="s">
        <v>3</v>
      </c>
      <c r="N25" s="77" t="s">
        <v>2</v>
      </c>
      <c r="O25" s="7" t="s">
        <v>1</v>
      </c>
      <c r="P25" s="105" t="s">
        <v>3</v>
      </c>
    </row>
    <row r="26" spans="1:16" s="1" customFormat="1" thickBot="1" x14ac:dyDescent="0.25">
      <c r="A26" s="66" t="s">
        <v>42</v>
      </c>
      <c r="B26" s="73"/>
      <c r="C26" s="74"/>
      <c r="D26" s="169" t="str">
        <f>IFERROR((SUM(C26/B26)), "")</f>
        <v/>
      </c>
      <c r="E26" s="73"/>
      <c r="F26" s="74"/>
      <c r="G26" s="177" t="str">
        <f>IFERROR((SUM(F26/E26)), "")</f>
        <v/>
      </c>
      <c r="H26" s="73"/>
      <c r="I26" s="74"/>
      <c r="J26" s="177" t="str">
        <f>IFERROR((SUM(I26/H26)), "")</f>
        <v/>
      </c>
      <c r="K26" s="73"/>
      <c r="L26" s="74"/>
      <c r="M26" s="177" t="str">
        <f>IFERROR((SUM(L26/K26)), "")</f>
        <v/>
      </c>
      <c r="N26" s="79">
        <f>B26+E26+H26+K26</f>
        <v>0</v>
      </c>
      <c r="O26" s="80">
        <f>C26+F26+I26+L26</f>
        <v>0</v>
      </c>
      <c r="P26" s="177" t="str">
        <f>IFERROR((SUM(O26/N26)), "")</f>
        <v/>
      </c>
    </row>
    <row r="27" spans="1:16" s="1" customFormat="1" ht="14.25" x14ac:dyDescent="0.2">
      <c r="B27" s="4"/>
      <c r="C27" s="4"/>
      <c r="D27" s="4"/>
      <c r="E27" s="4"/>
      <c r="F27" s="4"/>
      <c r="G27" s="173"/>
      <c r="H27" s="4"/>
      <c r="I27" s="4"/>
      <c r="J27" s="173"/>
      <c r="K27" s="4"/>
      <c r="L27" s="4"/>
      <c r="M27" s="173"/>
      <c r="N27" s="4"/>
      <c r="O27" s="4"/>
      <c r="P27" s="173" t="s">
        <v>34</v>
      </c>
    </row>
    <row r="28" spans="1:16" s="1" customFormat="1" thickBot="1" x14ac:dyDescent="0.25">
      <c r="D28" s="4"/>
      <c r="G28" s="173"/>
      <c r="J28" s="173"/>
      <c r="M28" s="173"/>
      <c r="P28" s="173"/>
    </row>
    <row r="29" spans="1:16" s="1" customFormat="1" ht="40.5" customHeight="1" x14ac:dyDescent="0.2">
      <c r="A29" s="118"/>
      <c r="B29" s="108" t="s">
        <v>4</v>
      </c>
      <c r="C29" s="109"/>
      <c r="D29" s="110"/>
      <c r="E29" s="108" t="s">
        <v>5</v>
      </c>
      <c r="F29" s="109"/>
      <c r="G29" s="110"/>
      <c r="H29" s="108" t="s">
        <v>6</v>
      </c>
      <c r="I29" s="109"/>
      <c r="J29" s="110"/>
      <c r="K29" s="108" t="s">
        <v>17</v>
      </c>
      <c r="L29" s="109"/>
      <c r="M29" s="110"/>
      <c r="N29" s="108" t="s">
        <v>12</v>
      </c>
      <c r="O29" s="109"/>
      <c r="P29" s="110"/>
    </row>
    <row r="30" spans="1:16" s="1" customFormat="1" ht="36" x14ac:dyDescent="0.2">
      <c r="A30" s="119"/>
      <c r="B30" s="77" t="s">
        <v>2</v>
      </c>
      <c r="C30" s="7" t="s">
        <v>1</v>
      </c>
      <c r="D30" s="78" t="s">
        <v>3</v>
      </c>
      <c r="E30" s="77" t="s">
        <v>2</v>
      </c>
      <c r="F30" s="7" t="s">
        <v>1</v>
      </c>
      <c r="G30" s="105" t="s">
        <v>3</v>
      </c>
      <c r="H30" s="77" t="s">
        <v>2</v>
      </c>
      <c r="I30" s="7" t="s">
        <v>1</v>
      </c>
      <c r="J30" s="105" t="s">
        <v>3</v>
      </c>
      <c r="K30" s="77" t="s">
        <v>2</v>
      </c>
      <c r="L30" s="7" t="s">
        <v>1</v>
      </c>
      <c r="M30" s="105" t="s">
        <v>3</v>
      </c>
      <c r="N30" s="77" t="s">
        <v>2</v>
      </c>
      <c r="O30" s="7" t="s">
        <v>1</v>
      </c>
      <c r="P30" s="105" t="s">
        <v>3</v>
      </c>
    </row>
    <row r="31" spans="1:16" ht="30" thickBot="1" x14ac:dyDescent="0.3">
      <c r="A31" s="97" t="s">
        <v>43</v>
      </c>
      <c r="B31" s="73"/>
      <c r="C31" s="74"/>
      <c r="D31" s="169" t="str">
        <f>IFERROR((SUM(C31/B31)), "")</f>
        <v/>
      </c>
      <c r="E31" s="73"/>
      <c r="F31" s="74"/>
      <c r="G31" s="177" t="str">
        <f>IFERROR((SUM(F31/E31)), "")</f>
        <v/>
      </c>
      <c r="H31" s="73"/>
      <c r="I31" s="74"/>
      <c r="J31" s="177" t="str">
        <f>IFERROR((SUM(I31/H31)), "")</f>
        <v/>
      </c>
      <c r="K31" s="73"/>
      <c r="L31" s="74"/>
      <c r="M31" s="177" t="str">
        <f>IFERROR((SUM(L31/K31)), "")</f>
        <v/>
      </c>
      <c r="N31" s="79">
        <f>B31+E31+H31+K31</f>
        <v>0</v>
      </c>
      <c r="O31" s="80">
        <f>C31+F31+I31+L31</f>
        <v>0</v>
      </c>
      <c r="P31" s="177" t="str">
        <f>IFERROR((SUM(O31/N31)), "")</f>
        <v/>
      </c>
    </row>
    <row r="33" spans="1:16" ht="15.75" thickBot="1" x14ac:dyDescent="0.3"/>
    <row r="34" spans="1:16" x14ac:dyDescent="0.25">
      <c r="A34" s="130"/>
      <c r="B34" s="132" t="s">
        <v>13</v>
      </c>
      <c r="C34" s="133"/>
      <c r="D34" s="134"/>
      <c r="E34" s="135" t="s">
        <v>14</v>
      </c>
      <c r="F34" s="136"/>
      <c r="G34" s="137"/>
      <c r="H34" s="132" t="s">
        <v>15</v>
      </c>
      <c r="I34" s="133"/>
      <c r="J34" s="134"/>
      <c r="K34" s="132" t="s">
        <v>18</v>
      </c>
      <c r="L34" s="133"/>
      <c r="M34" s="134"/>
      <c r="N34" s="138" t="s">
        <v>16</v>
      </c>
      <c r="O34" s="139"/>
      <c r="P34" s="140"/>
    </row>
    <row r="35" spans="1:16" ht="36.75" x14ac:dyDescent="0.25">
      <c r="A35" s="131"/>
      <c r="B35" s="99" t="s">
        <v>2</v>
      </c>
      <c r="C35" s="100" t="s">
        <v>1</v>
      </c>
      <c r="D35" s="52" t="s">
        <v>3</v>
      </c>
      <c r="E35" s="51" t="s">
        <v>2</v>
      </c>
      <c r="F35" s="50" t="s">
        <v>1</v>
      </c>
      <c r="G35" s="106" t="s">
        <v>3</v>
      </c>
      <c r="H35" s="51" t="s">
        <v>2</v>
      </c>
      <c r="I35" s="50" t="s">
        <v>1</v>
      </c>
      <c r="J35" s="106" t="s">
        <v>3</v>
      </c>
      <c r="K35" s="51" t="s">
        <v>2</v>
      </c>
      <c r="L35" s="50" t="s">
        <v>1</v>
      </c>
      <c r="M35" s="106" t="s">
        <v>3</v>
      </c>
      <c r="N35" s="81" t="s">
        <v>2</v>
      </c>
      <c r="O35" s="8" t="s">
        <v>1</v>
      </c>
      <c r="P35" s="107" t="s">
        <v>3</v>
      </c>
    </row>
    <row r="36" spans="1:16" ht="30" thickBot="1" x14ac:dyDescent="0.3">
      <c r="A36" s="98" t="s">
        <v>21</v>
      </c>
      <c r="B36" s="53">
        <f>SUM(B18+B22+B26+B10+B31)</f>
        <v>0</v>
      </c>
      <c r="C36" s="54">
        <f>SUM(C18+C22+C26+C10+C31)</f>
        <v>0</v>
      </c>
      <c r="D36" s="170" t="str">
        <f>IFERROR((SUM(C36/B36)), "")</f>
        <v/>
      </c>
      <c r="E36" s="53">
        <f>E18+E22+E26+E10+E31</f>
        <v>0</v>
      </c>
      <c r="F36" s="54">
        <f>F18+F22+F26+F10+F31</f>
        <v>0</v>
      </c>
      <c r="G36" s="179" t="str">
        <f>IFERROR((SUM(F36/E36)), "")</f>
        <v/>
      </c>
      <c r="H36" s="53">
        <f>H10+H18+H22+H26+H31</f>
        <v>0</v>
      </c>
      <c r="I36" s="54">
        <f>I10+I18+I22+I26+I31</f>
        <v>0</v>
      </c>
      <c r="J36" s="179" t="str">
        <f>IFERROR((SUM(I36/H36)), "")</f>
        <v/>
      </c>
      <c r="K36" s="53">
        <f>SUM(K18+K26+K31)</f>
        <v>0</v>
      </c>
      <c r="L36" s="54">
        <f>SUM(L18+L26+L31)</f>
        <v>0</v>
      </c>
      <c r="M36" s="179" t="str">
        <f>IFERROR((SUM(L36/K36)), "")</f>
        <v/>
      </c>
      <c r="N36" s="82">
        <f>K10+N18+N26+K22+N31</f>
        <v>0</v>
      </c>
      <c r="O36" s="83">
        <f>L10+O18+O26+L22+O31</f>
        <v>0</v>
      </c>
      <c r="P36" s="180" t="str">
        <f>IFERROR((SUM(O36/N36)), "")</f>
        <v/>
      </c>
    </row>
  </sheetData>
  <sheetProtection algorithmName="SHA-512" hashValue="qjk+xEPGDxChLaUslF6BOrc7G/ji/ftvXRshReVXoheqJX/OhmSr2Hy5bFXOYm5sdCHNlzzpCQAgscPRJYALRA==" saltValue="OLqaVa+6babJoq7zvDxNwA==" spinCount="100000" sheet="1" objects="1" scenarios="1"/>
  <mergeCells count="38">
    <mergeCell ref="A34:A35"/>
    <mergeCell ref="B34:D34"/>
    <mergeCell ref="E34:G34"/>
    <mergeCell ref="H34:J34"/>
    <mergeCell ref="N34:P34"/>
    <mergeCell ref="K34:M34"/>
    <mergeCell ref="K24:M24"/>
    <mergeCell ref="H12:J12"/>
    <mergeCell ref="B3:P3"/>
    <mergeCell ref="A1:P1"/>
    <mergeCell ref="B2:P2"/>
    <mergeCell ref="A20:A21"/>
    <mergeCell ref="B20:D20"/>
    <mergeCell ref="E20:G20"/>
    <mergeCell ref="H20:J20"/>
    <mergeCell ref="K20:M20"/>
    <mergeCell ref="A24:A25"/>
    <mergeCell ref="B4:P4"/>
    <mergeCell ref="B5:D5"/>
    <mergeCell ref="E5:G5"/>
    <mergeCell ref="H5:J5"/>
    <mergeCell ref="K5:M5"/>
    <mergeCell ref="H29:J29"/>
    <mergeCell ref="K29:M29"/>
    <mergeCell ref="N29:P29"/>
    <mergeCell ref="A5:A6"/>
    <mergeCell ref="A12:A13"/>
    <mergeCell ref="B12:D12"/>
    <mergeCell ref="E12:G12"/>
    <mergeCell ref="A29:A30"/>
    <mergeCell ref="B29:D29"/>
    <mergeCell ref="E29:G29"/>
    <mergeCell ref="B24:D24"/>
    <mergeCell ref="N12:P12"/>
    <mergeCell ref="K12:M12"/>
    <mergeCell ref="E24:G24"/>
    <mergeCell ref="H24:J24"/>
    <mergeCell ref="N24:P24"/>
  </mergeCells>
  <dataValidations count="1">
    <dataValidation type="whole" allowBlank="1" showInputMessage="1" showErrorMessage="1" sqref="B7:C9 E7:F9 H7:I9 B14:C17 E14:F17 H14:I17 K14:L17 H22:I22 E22:F22 B22:C22 B26:C26 E26:F26 H26:I26 K26:L26 B31:C31 E31:F31 H31:I31 K31:L31">
      <formula1>0</formula1>
      <formula2>1000</formula2>
    </dataValidation>
  </dataValidations>
  <pageMargins left="0.50416666666666665" right="0.7" top="0.62" bottom="0.4" header="0.25" footer="0.25"/>
  <pageSetup scale="68" orientation="landscape" horizontalDpi="4294967293" r:id="rId1"/>
  <headerFooter>
    <oddHeader>&amp;C&amp;"Cambria,Bold"&amp;12Index 1: Student Achievement
2012-2013</oddHeader>
    <oddFooter>&amp;CCreated by E. Gearhart Adapted from Technical Description: Performance Index Indicators and Index Construction Guide from TEA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M27"/>
  <sheetViews>
    <sheetView tabSelected="1" view="pageLayout" topLeftCell="A7" zoomScaleNormal="100" workbookViewId="0">
      <selection activeCell="E9" sqref="E9:F11"/>
    </sheetView>
  </sheetViews>
  <sheetFormatPr defaultRowHeight="15" x14ac:dyDescent="0.25"/>
  <cols>
    <col min="1" max="1" width="21.7109375" customWidth="1"/>
    <col min="3" max="3" width="9.140625" customWidth="1"/>
    <col min="4" max="4" width="12.7109375" customWidth="1"/>
    <col min="7" max="7" width="12.5703125" customWidth="1"/>
    <col min="8" max="8" width="14" customWidth="1"/>
    <col min="9" max="9" width="19" customWidth="1"/>
    <col min="10" max="10" width="10.42578125" customWidth="1"/>
  </cols>
  <sheetData>
    <row r="1" spans="1:13" x14ac:dyDescent="0.25">
      <c r="A1" s="141" t="s">
        <v>55</v>
      </c>
      <c r="B1" s="141"/>
      <c r="C1" s="141"/>
      <c r="D1" s="141"/>
      <c r="E1" s="141"/>
      <c r="F1" s="141"/>
      <c r="G1" s="141"/>
      <c r="H1" s="141"/>
      <c r="I1" s="141"/>
      <c r="J1" s="141"/>
      <c r="K1" s="42"/>
      <c r="L1" s="42"/>
      <c r="M1" s="13"/>
    </row>
    <row r="2" spans="1:13" s="1" customFormat="1" ht="43.5" customHeight="1" x14ac:dyDescent="0.2">
      <c r="A2" s="23" t="s">
        <v>47</v>
      </c>
      <c r="B2" s="120" t="s">
        <v>48</v>
      </c>
      <c r="C2" s="120"/>
      <c r="D2" s="120"/>
      <c r="E2" s="120"/>
      <c r="F2" s="120"/>
      <c r="G2" s="120"/>
      <c r="H2" s="120"/>
      <c r="I2" s="120"/>
      <c r="J2" s="120"/>
      <c r="K2" s="12"/>
      <c r="L2" s="12"/>
      <c r="M2" s="12"/>
    </row>
    <row r="3" spans="1:13" s="1" customFormat="1" ht="30" customHeight="1" x14ac:dyDescent="0.2">
      <c r="A3" s="23" t="s">
        <v>33</v>
      </c>
      <c r="B3" s="120" t="s">
        <v>49</v>
      </c>
      <c r="C3" s="120"/>
      <c r="D3" s="120"/>
      <c r="E3" s="120"/>
      <c r="F3" s="120"/>
      <c r="G3" s="120"/>
      <c r="H3" s="120"/>
      <c r="I3" s="120"/>
      <c r="J3" s="120"/>
      <c r="K3" s="12"/>
      <c r="L3" s="12"/>
      <c r="M3" s="12"/>
    </row>
    <row r="4" spans="1:13" s="1" customFormat="1" ht="14.25" x14ac:dyDescent="0.2">
      <c r="A4" s="142" t="s">
        <v>20</v>
      </c>
      <c r="B4" s="142"/>
      <c r="C4" s="142"/>
      <c r="D4" s="142"/>
      <c r="E4" s="142"/>
      <c r="F4" s="142"/>
      <c r="G4" s="142"/>
      <c r="H4" s="142"/>
      <c r="I4" s="142"/>
      <c r="J4" s="142"/>
      <c r="K4" s="12"/>
      <c r="L4" s="12"/>
      <c r="M4" s="12"/>
    </row>
    <row r="5" spans="1:13" s="1" customFormat="1" ht="32.25" customHeight="1" x14ac:dyDescent="0.2">
      <c r="A5" s="3" t="s">
        <v>19</v>
      </c>
      <c r="B5" s="120" t="s">
        <v>56</v>
      </c>
      <c r="C5" s="120"/>
      <c r="D5" s="120"/>
      <c r="E5" s="120"/>
      <c r="F5" s="120"/>
      <c r="G5" s="120"/>
      <c r="H5" s="120"/>
      <c r="I5" s="120"/>
      <c r="J5" s="120"/>
      <c r="K5" s="12"/>
      <c r="L5" s="12"/>
      <c r="M5" s="12"/>
    </row>
    <row r="6" spans="1:13" s="1" customFormat="1" ht="30" customHeight="1" thickBot="1" x14ac:dyDescent="0.25">
      <c r="A6" s="3" t="s">
        <v>30</v>
      </c>
      <c r="B6" s="120" t="s">
        <v>50</v>
      </c>
      <c r="C6" s="120"/>
      <c r="D6" s="120"/>
      <c r="E6" s="120"/>
      <c r="F6" s="120"/>
      <c r="G6" s="120"/>
      <c r="H6" s="120"/>
      <c r="I6" s="120"/>
      <c r="J6" s="120"/>
      <c r="K6" s="12"/>
      <c r="L6" s="12"/>
      <c r="M6" s="10"/>
    </row>
    <row r="7" spans="1:13" ht="33" customHeight="1" x14ac:dyDescent="0.25">
      <c r="A7" s="151"/>
      <c r="B7" s="143" t="s">
        <v>51</v>
      </c>
      <c r="C7" s="144"/>
      <c r="D7" s="145"/>
      <c r="E7" s="153" t="s">
        <v>52</v>
      </c>
      <c r="F7" s="154"/>
      <c r="G7" s="155"/>
      <c r="H7" s="10"/>
      <c r="I7" s="10"/>
    </row>
    <row r="8" spans="1:13" s="9" customFormat="1" ht="24" x14ac:dyDescent="0.25">
      <c r="A8" s="152"/>
      <c r="B8" s="14" t="s">
        <v>29</v>
      </c>
      <c r="C8" s="15" t="s">
        <v>1</v>
      </c>
      <c r="D8" s="16" t="s">
        <v>31</v>
      </c>
      <c r="E8" s="14" t="s">
        <v>29</v>
      </c>
      <c r="F8" s="15" t="s">
        <v>1</v>
      </c>
      <c r="G8" s="16" t="s">
        <v>31</v>
      </c>
      <c r="H8" s="1"/>
      <c r="I8" s="1"/>
    </row>
    <row r="9" spans="1:13" s="9" customFormat="1" ht="16.5" customHeight="1" x14ac:dyDescent="0.25">
      <c r="A9" s="21" t="s">
        <v>35</v>
      </c>
      <c r="B9" s="27"/>
      <c r="C9" s="24"/>
      <c r="D9" s="30" t="str">
        <f t="shared" ref="D9:D17" si="0">IFERROR((SUM((C9/B9)*100)), "")</f>
        <v/>
      </c>
      <c r="E9" s="27"/>
      <c r="F9" s="24"/>
      <c r="G9" s="30" t="str">
        <f t="shared" ref="G9:G17" si="1">IFERROR((SUM((F9/E9)*100)), "")</f>
        <v/>
      </c>
      <c r="H9" s="11"/>
      <c r="I9" s="11"/>
    </row>
    <row r="10" spans="1:13" ht="16.5" customHeight="1" x14ac:dyDescent="0.25">
      <c r="A10" s="21" t="s">
        <v>36</v>
      </c>
      <c r="B10" s="27"/>
      <c r="C10" s="24"/>
      <c r="D10" s="30" t="str">
        <f t="shared" si="0"/>
        <v/>
      </c>
      <c r="E10" s="27"/>
      <c r="F10" s="24"/>
      <c r="G10" s="30" t="str">
        <f t="shared" si="1"/>
        <v/>
      </c>
      <c r="H10" s="11"/>
      <c r="I10" s="11"/>
    </row>
    <row r="11" spans="1:13" ht="16.5" customHeight="1" x14ac:dyDescent="0.25">
      <c r="A11" s="21" t="s">
        <v>37</v>
      </c>
      <c r="B11" s="28"/>
      <c r="C11" s="25"/>
      <c r="D11" s="30" t="str">
        <f t="shared" si="0"/>
        <v/>
      </c>
      <c r="E11" s="28"/>
      <c r="F11" s="25"/>
      <c r="G11" s="30" t="str">
        <f t="shared" si="1"/>
        <v/>
      </c>
      <c r="H11" s="1"/>
      <c r="I11" s="1"/>
    </row>
    <row r="12" spans="1:13" ht="16.5" customHeight="1" x14ac:dyDescent="0.25">
      <c r="A12" s="21" t="s">
        <v>38</v>
      </c>
      <c r="B12" s="28"/>
      <c r="C12" s="25"/>
      <c r="D12" s="30" t="str">
        <f t="shared" si="0"/>
        <v/>
      </c>
      <c r="E12" s="28"/>
      <c r="F12" s="25"/>
      <c r="G12" s="30" t="str">
        <f t="shared" si="1"/>
        <v/>
      </c>
      <c r="H12" s="1"/>
      <c r="I12" s="1"/>
    </row>
    <row r="13" spans="1:13" ht="16.5" customHeight="1" x14ac:dyDescent="0.25">
      <c r="A13" s="21" t="s">
        <v>39</v>
      </c>
      <c r="B13" s="28"/>
      <c r="C13" s="25"/>
      <c r="D13" s="30" t="str">
        <f t="shared" si="0"/>
        <v/>
      </c>
      <c r="E13" s="28"/>
      <c r="F13" s="25"/>
      <c r="G13" s="30" t="str">
        <f t="shared" si="1"/>
        <v/>
      </c>
      <c r="H13" s="1"/>
      <c r="I13" s="1"/>
    </row>
    <row r="14" spans="1:13" ht="16.5" customHeight="1" x14ac:dyDescent="0.25">
      <c r="A14" s="21" t="s">
        <v>40</v>
      </c>
      <c r="B14" s="28"/>
      <c r="C14" s="25"/>
      <c r="D14" s="30" t="str">
        <f t="shared" si="0"/>
        <v/>
      </c>
      <c r="E14" s="28"/>
      <c r="F14" s="25"/>
      <c r="G14" s="30" t="str">
        <f t="shared" si="1"/>
        <v/>
      </c>
      <c r="H14" s="1"/>
      <c r="I14" s="1"/>
    </row>
    <row r="15" spans="1:13" ht="16.5" customHeight="1" x14ac:dyDescent="0.25">
      <c r="A15" s="21" t="s">
        <v>41</v>
      </c>
      <c r="B15" s="28"/>
      <c r="C15" s="25"/>
      <c r="D15" s="30" t="str">
        <f t="shared" si="0"/>
        <v/>
      </c>
      <c r="E15" s="28"/>
      <c r="F15" s="25"/>
      <c r="G15" s="30" t="str">
        <f t="shared" si="1"/>
        <v/>
      </c>
      <c r="H15" s="1"/>
      <c r="I15" s="1"/>
    </row>
    <row r="16" spans="1:13" ht="16.5" customHeight="1" x14ac:dyDescent="0.25">
      <c r="A16" s="21" t="s">
        <v>42</v>
      </c>
      <c r="B16" s="28"/>
      <c r="C16" s="25"/>
      <c r="D16" s="30" t="str">
        <f t="shared" si="0"/>
        <v/>
      </c>
      <c r="E16" s="28"/>
      <c r="F16" s="25"/>
      <c r="G16" s="30" t="str">
        <f t="shared" si="1"/>
        <v/>
      </c>
      <c r="H16" s="1"/>
      <c r="I16" s="1"/>
    </row>
    <row r="17" spans="1:9" ht="16.5" customHeight="1" thickBot="1" x14ac:dyDescent="0.3">
      <c r="A17" s="22" t="s">
        <v>43</v>
      </c>
      <c r="B17" s="29"/>
      <c r="C17" s="26"/>
      <c r="D17" s="88" t="str">
        <f t="shared" si="0"/>
        <v/>
      </c>
      <c r="E17" s="29"/>
      <c r="F17" s="26"/>
      <c r="G17" s="88" t="str">
        <f t="shared" si="1"/>
        <v/>
      </c>
      <c r="H17" s="1"/>
      <c r="I17" s="1"/>
    </row>
    <row r="18" spans="1:9" ht="15.75" thickBo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36" customHeight="1" x14ac:dyDescent="0.25">
      <c r="A19" s="158"/>
      <c r="B19" s="143" t="s">
        <v>51</v>
      </c>
      <c r="C19" s="144"/>
      <c r="D19" s="160"/>
      <c r="E19" s="153" t="s">
        <v>52</v>
      </c>
      <c r="F19" s="154"/>
      <c r="G19" s="155"/>
      <c r="H19" s="153" t="s">
        <v>26</v>
      </c>
      <c r="I19" s="162" t="s">
        <v>32</v>
      </c>
    </row>
    <row r="20" spans="1:9" ht="28.5" customHeight="1" x14ac:dyDescent="0.25">
      <c r="A20" s="159"/>
      <c r="B20" s="14" t="s">
        <v>29</v>
      </c>
      <c r="C20" s="15" t="s">
        <v>1</v>
      </c>
      <c r="D20" s="17" t="s">
        <v>31</v>
      </c>
      <c r="E20" s="14" t="s">
        <v>29</v>
      </c>
      <c r="F20" s="15" t="s">
        <v>1</v>
      </c>
      <c r="G20" s="16" t="s">
        <v>31</v>
      </c>
      <c r="H20" s="161"/>
      <c r="I20" s="163"/>
    </row>
    <row r="21" spans="1:9" x14ac:dyDescent="0.25">
      <c r="A21" s="36" t="s">
        <v>22</v>
      </c>
      <c r="B21" s="18">
        <f>SUM(B9:B11)</f>
        <v>0</v>
      </c>
      <c r="C21" s="19">
        <f>SUM(C9:C11)</f>
        <v>0</v>
      </c>
      <c r="D21" s="32" t="str">
        <f>IFERROR((SUM((C21/B21)*100)), "")</f>
        <v/>
      </c>
      <c r="E21" s="18">
        <f>SUM(E9:E11)</f>
        <v>0</v>
      </c>
      <c r="F21" s="19">
        <f>SUM(F9:F11)</f>
        <v>0</v>
      </c>
      <c r="G21" s="31" t="str">
        <f>IFERROR((SUM((F21/E21)*100)), "")</f>
        <v/>
      </c>
      <c r="H21" s="91" t="str">
        <f>IFERROR((SUM(D21+G21)), "")</f>
        <v/>
      </c>
      <c r="I21" s="34">
        <v>200</v>
      </c>
    </row>
    <row r="22" spans="1:9" x14ac:dyDescent="0.25">
      <c r="A22" s="36" t="s">
        <v>23</v>
      </c>
      <c r="B22" s="18">
        <f>SUM(B12:B14)</f>
        <v>0</v>
      </c>
      <c r="C22" s="19">
        <f>SUM(C12:C14)</f>
        <v>0</v>
      </c>
      <c r="D22" s="32" t="str">
        <f>IFERROR((SUM((C22/B22)*100)), "")</f>
        <v/>
      </c>
      <c r="E22" s="84">
        <f>SUM(E12:E14)</f>
        <v>0</v>
      </c>
      <c r="F22" s="19">
        <f>SUM(F12:F14)</f>
        <v>0</v>
      </c>
      <c r="G22" s="31" t="str">
        <f>IFERROR((SUM((F22/E22)*100)), "")</f>
        <v/>
      </c>
      <c r="H22" s="91" t="str">
        <f>IFERROR((SUM(D22+G22)), "")</f>
        <v/>
      </c>
      <c r="I22" s="34">
        <v>200</v>
      </c>
    </row>
    <row r="23" spans="1:9" x14ac:dyDescent="0.25">
      <c r="A23" s="36" t="s">
        <v>24</v>
      </c>
      <c r="B23" s="18">
        <f>SUM(B15)</f>
        <v>0</v>
      </c>
      <c r="C23" s="89">
        <f>SUM(C15)</f>
        <v>0</v>
      </c>
      <c r="D23" s="32" t="str">
        <f>IFERROR((SUM((C23/B23)*100)), "")</f>
        <v/>
      </c>
      <c r="E23" s="18">
        <f>SUM(E15)</f>
        <v>0</v>
      </c>
      <c r="F23" s="89">
        <f>SUM(F15)</f>
        <v>0</v>
      </c>
      <c r="G23" s="31" t="str">
        <f>IFERROR((SUM((F23/E23)*100)), "")</f>
        <v/>
      </c>
      <c r="H23" s="91" t="str">
        <f>IFERROR((SUM(D23+G23)), "")</f>
        <v/>
      </c>
      <c r="I23" s="34">
        <v>200</v>
      </c>
    </row>
    <row r="24" spans="1:9" x14ac:dyDescent="0.25">
      <c r="A24" s="37" t="s">
        <v>44</v>
      </c>
      <c r="B24" s="84">
        <f>SUM(B17)</f>
        <v>0</v>
      </c>
      <c r="C24" s="85">
        <f>SUM(C17)</f>
        <v>0</v>
      </c>
      <c r="D24" s="86"/>
      <c r="E24" s="90">
        <f>SUM(E17)</f>
        <v>0</v>
      </c>
      <c r="F24" s="85">
        <f>SUM(F17)</f>
        <v>0</v>
      </c>
      <c r="G24" s="87"/>
      <c r="H24" s="91">
        <f>IFERROR((SUM(D24+G24)), "")</f>
        <v>0</v>
      </c>
      <c r="I24" s="35">
        <v>200</v>
      </c>
    </row>
    <row r="25" spans="1:9" ht="15.75" thickBot="1" x14ac:dyDescent="0.3">
      <c r="A25" s="37" t="s">
        <v>25</v>
      </c>
      <c r="B25" s="38">
        <f>SUM(B16)</f>
        <v>0</v>
      </c>
      <c r="C25" s="39">
        <f>SUM(C16)</f>
        <v>0</v>
      </c>
      <c r="D25" s="41" t="str">
        <f>IFERROR((SUM((C25/B25)*100)), "")</f>
        <v/>
      </c>
      <c r="E25" s="38">
        <f>SUM(E16)</f>
        <v>0</v>
      </c>
      <c r="F25" s="39">
        <f>SUM(F16)</f>
        <v>0</v>
      </c>
      <c r="G25" s="40" t="str">
        <f>IFERROR((SUM((F25/E25)*100)), "")</f>
        <v/>
      </c>
      <c r="H25" s="92" t="str">
        <f>IFERROR((SUM(D25+G25)), "")</f>
        <v/>
      </c>
      <c r="I25" s="93">
        <v>200</v>
      </c>
    </row>
    <row r="26" spans="1:9" ht="15.75" thickBot="1" x14ac:dyDescent="0.3">
      <c r="A26" s="146" t="s">
        <v>27</v>
      </c>
      <c r="B26" s="147"/>
      <c r="C26" s="147"/>
      <c r="D26" s="147"/>
      <c r="E26" s="147"/>
      <c r="F26" s="147"/>
      <c r="G26" s="148"/>
      <c r="H26" s="33">
        <f>IFERROR((SUM(H21:H25)), "")</f>
        <v>0</v>
      </c>
      <c r="I26" s="20">
        <f>SUM(I21:I25)</f>
        <v>1000</v>
      </c>
    </row>
    <row r="27" spans="1:9" ht="15.75" thickBot="1" x14ac:dyDescent="0.3">
      <c r="A27" s="146" t="s">
        <v>28</v>
      </c>
      <c r="B27" s="149"/>
      <c r="C27" s="149"/>
      <c r="D27" s="149"/>
      <c r="E27" s="149"/>
      <c r="F27" s="149"/>
      <c r="G27" s="150"/>
      <c r="H27" s="156">
        <f>IFERROR((SUM(H26/I26)), "")</f>
        <v>0</v>
      </c>
      <c r="I27" s="157"/>
    </row>
  </sheetData>
  <sheetProtection algorithmName="SHA-512" hashValue="zcJkLN3gkr5Sdw6ZNhV/ZcxgJe+1fCq64PTGCOQidF8uCeVw/vf086GwWxVatjxK2Sp4NSOR/yvE01vTPLyP+A==" saltValue="pA7dX5wDtI/rf93ogXs6ZA==" spinCount="100000" sheet="1" objects="1" scenarios="1"/>
  <mergeCells count="17">
    <mergeCell ref="B7:D7"/>
    <mergeCell ref="A26:G26"/>
    <mergeCell ref="A27:G27"/>
    <mergeCell ref="B6:J6"/>
    <mergeCell ref="A7:A8"/>
    <mergeCell ref="E7:G7"/>
    <mergeCell ref="H27:I27"/>
    <mergeCell ref="A19:A20"/>
    <mergeCell ref="B19:D19"/>
    <mergeCell ref="E19:G19"/>
    <mergeCell ref="H19:H20"/>
    <mergeCell ref="I19:I20"/>
    <mergeCell ref="A1:J1"/>
    <mergeCell ref="B2:J2"/>
    <mergeCell ref="B3:J3"/>
    <mergeCell ref="B5:J5"/>
    <mergeCell ref="A4:J4"/>
  </mergeCells>
  <dataValidations count="1">
    <dataValidation type="whole" allowBlank="1" showInputMessage="1" showErrorMessage="1" sqref="B9:C17 E9:F17">
      <formula1>0</formula1>
      <formula2>1000</formula2>
    </dataValidation>
  </dataValidations>
  <pageMargins left="0.43" right="0.19" top="0.7" bottom="0.53" header="0.24" footer="0.3"/>
  <pageSetup scale="97" fitToWidth="0" orientation="landscape" horizontalDpi="4294967294" r:id="rId1"/>
  <headerFooter>
    <oddHeader>&amp;C&amp;"Cambria,Bold"&amp;12Index 3:  Closing Performance Gaps
2012-2013</oddHeader>
    <oddFooter>&amp;CCreated by E. Gearhart Adapted from Technical Description: Performance Index Indicators and Index Construction Guide from TEA&amp;R&amp;P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1 Student Achievement</vt:lpstr>
      <vt:lpstr>Index 3 Closing the Gap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GEARHART</dc:creator>
  <cp:lastModifiedBy>ELLIE GEARHART</cp:lastModifiedBy>
  <cp:lastPrinted>2013-05-21T19:54:58Z</cp:lastPrinted>
  <dcterms:created xsi:type="dcterms:W3CDTF">2013-05-19T15:35:03Z</dcterms:created>
  <dcterms:modified xsi:type="dcterms:W3CDTF">2013-05-22T02:30:15Z</dcterms:modified>
</cp:coreProperties>
</file>