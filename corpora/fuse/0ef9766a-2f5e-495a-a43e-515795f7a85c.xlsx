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68" yWindow="-12" windowWidth="7692" windowHeight="7896" tabRatio="654"/>
  </bookViews>
  <sheets>
    <sheet name="CURRENT" sheetId="1" r:id="rId1"/>
    <sheet name="Sheet1" sheetId="7" r:id="rId2"/>
  </sheets>
  <definedNames>
    <definedName name="_xlnm.Print_Area" localSheetId="0">CURRENT!$A$1:$F$1145</definedName>
    <definedName name="_xlnm.Print_Titles" localSheetId="0">CURRENT!$1:$2</definedName>
  </definedNames>
  <calcPr calcId="145621"/>
</workbook>
</file>

<file path=xl/calcChain.xml><?xml version="1.0" encoding="utf-8"?>
<calcChain xmlns="http://schemas.openxmlformats.org/spreadsheetml/2006/main">
  <c r="E156" i="1" l="1"/>
  <c r="D156" i="1"/>
  <c r="E1032" i="1"/>
  <c r="D1032" i="1"/>
  <c r="E564" i="1"/>
  <c r="D564" i="1"/>
  <c r="F74" i="1" l="1"/>
  <c r="E1105" i="1" l="1"/>
  <c r="D1105" i="1"/>
  <c r="B6" i="7" l="1"/>
  <c r="A6" i="7"/>
  <c r="F112" i="1" l="1"/>
  <c r="F65" i="1"/>
  <c r="F70" i="1"/>
  <c r="F78" i="1"/>
  <c r="F53" i="1"/>
  <c r="F48" i="1"/>
  <c r="F39" i="1"/>
  <c r="E14" i="1" l="1"/>
  <c r="D326" i="1" l="1"/>
  <c r="E326" i="1"/>
  <c r="E936" i="1"/>
  <c r="D1141" i="1" s="1"/>
  <c r="D936" i="1"/>
  <c r="D1145" i="1" l="1"/>
  <c r="D1143" i="1" s="1"/>
</calcChain>
</file>

<file path=xl/sharedStrings.xml><?xml version="1.0" encoding="utf-8"?>
<sst xmlns="http://schemas.openxmlformats.org/spreadsheetml/2006/main" count="987" uniqueCount="527">
  <si>
    <t>Dept.</t>
  </si>
  <si>
    <t>Div.</t>
  </si>
  <si>
    <t>Position Title</t>
  </si>
  <si>
    <t>LT</t>
  </si>
  <si>
    <t>LT Exp. Date</t>
  </si>
  <si>
    <t>AGRICULTURE DEPT</t>
  </si>
  <si>
    <t>Agri-Agricultural Commissioner</t>
  </si>
  <si>
    <t>Accounting Technician</t>
  </si>
  <si>
    <t xml:space="preserve">Ag Bio/Wts &amp; Meas Insp (Senior) </t>
  </si>
  <si>
    <t>Ag Commissioner/Sealer Wts/Mea</t>
  </si>
  <si>
    <t>Asst Ag Comm/Sealer Wts &amp; Meas</t>
  </si>
  <si>
    <t>Dep Ag Comm/Sealer Wts &amp; Meas</t>
  </si>
  <si>
    <t>Office Aide</t>
  </si>
  <si>
    <t xml:space="preserve">Office Assistant II </t>
  </si>
  <si>
    <t>DIVISION TOTAL</t>
  </si>
  <si>
    <t>DEPARTMENT TOTAL</t>
  </si>
  <si>
    <t>ASSR/RECORDER DEPT</t>
  </si>
  <si>
    <t>Assr-Administration</t>
  </si>
  <si>
    <t xml:space="preserve">Appraiser </t>
  </si>
  <si>
    <t>Appraiser (Senior)</t>
  </si>
  <si>
    <t>Appraiser (Spvsing)</t>
  </si>
  <si>
    <t>Appraiser Technician</t>
  </si>
  <si>
    <t>Assessor/Recorder (E)</t>
  </si>
  <si>
    <t>Asst Assessor/Recorder</t>
  </si>
  <si>
    <t>Auditor-Appraiser</t>
  </si>
  <si>
    <t>Auditor-Appraiser (Spvsing)</t>
  </si>
  <si>
    <t>Cadastral Mapping Tech II</t>
  </si>
  <si>
    <t>Chief Appraiser</t>
  </si>
  <si>
    <t>Clerical Operations Manager</t>
  </si>
  <si>
    <t>Office Assistant II</t>
  </si>
  <si>
    <t>Office Assistant III</t>
  </si>
  <si>
    <t>Recorder</t>
  </si>
  <si>
    <t>Clerical Operations Supv</t>
  </si>
  <si>
    <t>Office Coordinator</t>
  </si>
  <si>
    <t>Recording Operations Manager</t>
  </si>
  <si>
    <t>AUDITOR/CONTROLLER DEPARTMENT</t>
  </si>
  <si>
    <t>Aud-Administration</t>
  </si>
  <si>
    <t>Asst Auditor-Controller</t>
  </si>
  <si>
    <t>Auditor-Controller (E)</t>
  </si>
  <si>
    <t>Aud-Property Tax</t>
  </si>
  <si>
    <t>Accountant-Auditor III</t>
  </si>
  <si>
    <t>Chief Deputy Auditor-Controller</t>
  </si>
  <si>
    <t>Aud-Systems &amp; Accounting</t>
  </si>
  <si>
    <t>Accounting Clerk II</t>
  </si>
  <si>
    <t xml:space="preserve">Accounting Clerk II (C) </t>
  </si>
  <si>
    <t>Accounting Clerk III</t>
  </si>
  <si>
    <t xml:space="preserve">Accounting Technician </t>
  </si>
  <si>
    <t>Accounting Technician (C)</t>
  </si>
  <si>
    <t>Dep Auditor-Controller</t>
  </si>
  <si>
    <t>Fixed Assets Tech</t>
  </si>
  <si>
    <t>Payroll Officer (C)</t>
  </si>
  <si>
    <t>Systems Accountant</t>
  </si>
  <si>
    <t>Aud-Audit</t>
  </si>
  <si>
    <t>Aud-Grants</t>
  </si>
  <si>
    <t>Aud-Training Accounting</t>
  </si>
  <si>
    <t>BOARD OF SUPERVISORS</t>
  </si>
  <si>
    <t>BOS-District 1</t>
  </si>
  <si>
    <t>Board of Supervisors (E)</t>
  </si>
  <si>
    <t>Board of Supervisors Aide</t>
  </si>
  <si>
    <t>BOS-District 2</t>
  </si>
  <si>
    <t>BOS-District 3</t>
  </si>
  <si>
    <t>BOS-District 4</t>
  </si>
  <si>
    <t>BOS-District 5</t>
  </si>
  <si>
    <t>COOPERATIVE EXTENSION-UC</t>
  </si>
  <si>
    <t>Cooperative Extension Asst</t>
  </si>
  <si>
    <t>COUNTY ADMINISTRATOR'S OFFICE</t>
  </si>
  <si>
    <t>Clerk of the Board of Superv</t>
  </si>
  <si>
    <t>Administrative Secretary (C)</t>
  </si>
  <si>
    <t>Chief Deputy Clerk</t>
  </si>
  <si>
    <t>CAO Administration</t>
  </si>
  <si>
    <t>Asst County Administrator</t>
  </si>
  <si>
    <t>Budget Officer</t>
  </si>
  <si>
    <t>County Administrator</t>
  </si>
  <si>
    <t>County Administrator Exec Asst</t>
  </si>
  <si>
    <t>Legis Intergov &amp; Pub Affairs Off</t>
  </si>
  <si>
    <t>Management Analyst (Principal)</t>
  </si>
  <si>
    <t>Management Analyst (Senior)</t>
  </si>
  <si>
    <t>Office Assistant II (C)</t>
  </si>
  <si>
    <t>Office Assistant III (C)</t>
  </si>
  <si>
    <t>Office Supervisor (C)</t>
  </si>
  <si>
    <t>FIRST 5 SOLANO CHILDREN &amp; FAM</t>
  </si>
  <si>
    <t>1st 5 Solan C&amp;F-Operations</t>
  </si>
  <si>
    <t>Dep Director First 5 Solano</t>
  </si>
  <si>
    <t>Exec Dir of Children&amp;Families</t>
  </si>
  <si>
    <t>First 5 Solano Programs</t>
  </si>
  <si>
    <t>Contract &amp; Program Specialist</t>
  </si>
  <si>
    <t>First 5 Solano CNF-Spcl Proj</t>
  </si>
  <si>
    <t>COUNTY COUNSEL DEPT</t>
  </si>
  <si>
    <t>Asst County Counsel</t>
  </si>
  <si>
    <t>County Counsel</t>
  </si>
  <si>
    <t>Dep County Counsel IV</t>
  </si>
  <si>
    <t>Dep County Counsel V</t>
  </si>
  <si>
    <t>Legal Secretary (C)</t>
  </si>
  <si>
    <t>DEPT OF CHILD SUPPORT SERVICES</t>
  </si>
  <si>
    <t>Chld Supp Svcs Casework Stats</t>
  </si>
  <si>
    <t>Child Support Attorney IV</t>
  </si>
  <si>
    <t>Child Support Program Manager</t>
  </si>
  <si>
    <t>Child Support Spec</t>
  </si>
  <si>
    <t>Child Support Spec (Senior)</t>
  </si>
  <si>
    <t>Child Support Spec (Spvsing)</t>
  </si>
  <si>
    <t>Child Support Training Spec</t>
  </si>
  <si>
    <t>Paralegal</t>
  </si>
  <si>
    <t>Staff Analyst (Senior)</t>
  </si>
  <si>
    <t>Chld Supp Svcs Administration</t>
  </si>
  <si>
    <t>Asst Director Child Supp Svcs</t>
  </si>
  <si>
    <t>Director of Child Support Svcs</t>
  </si>
  <si>
    <t>Chld Supp Svcs Clerical Supp</t>
  </si>
  <si>
    <t>Accountant</t>
  </si>
  <si>
    <t>Accounting Supervisor</t>
  </si>
  <si>
    <t>Legal Secretary</t>
  </si>
  <si>
    <t>Legal Secretary (Senior)</t>
  </si>
  <si>
    <t>DOIT-REGISTRAR OF VOTERS</t>
  </si>
  <si>
    <t>DOIT-ROV-Gen &amp; Primary Electns</t>
  </si>
  <si>
    <t>Asst Registrar of Voters</t>
  </si>
  <si>
    <t>Deputy Registrar of Voters</t>
  </si>
  <si>
    <t>Election Coordinator</t>
  </si>
  <si>
    <t>Elections Technician</t>
  </si>
  <si>
    <t>Elections Technician (Lead)</t>
  </si>
  <si>
    <t>DEPT OF INFORMATION TECHNOLOGY</t>
  </si>
  <si>
    <t>DOIT-L&amp;J-IT Support Team</t>
  </si>
  <si>
    <t>Info Tech Spec II</t>
  </si>
  <si>
    <t>Systems &amp; Programming Manager</t>
  </si>
  <si>
    <t>Systems Analyst (Senior)</t>
  </si>
  <si>
    <t>DOIT-HSS-IT Support Team</t>
  </si>
  <si>
    <t>Business Systems Analyst</t>
  </si>
  <si>
    <t>Info Tech Spec (Senior)</t>
  </si>
  <si>
    <t>Programmer Analyst</t>
  </si>
  <si>
    <t>DOIT-CIO Administration</t>
  </si>
  <si>
    <t>Chief Information Officer</t>
  </si>
  <si>
    <t>Office Supervisor</t>
  </si>
  <si>
    <t>DOIT-Info Tech Support Team</t>
  </si>
  <si>
    <t>DOIT-SCIPS</t>
  </si>
  <si>
    <t>Systems Analyst</t>
  </si>
  <si>
    <t>DOIT-WEB</t>
  </si>
  <si>
    <t>DOIT-Telephone Services</t>
  </si>
  <si>
    <t>Communications Technician II</t>
  </si>
  <si>
    <t>DOIT-Pub Sfty Communications</t>
  </si>
  <si>
    <t>Communications Supervisor</t>
  </si>
  <si>
    <t>Communications Technician (Senior)</t>
  </si>
  <si>
    <t>DOIT-Geographic Info Systems</t>
  </si>
  <si>
    <t>Geographic Info Systems Coord</t>
  </si>
  <si>
    <t>DISTRICT ATTORNEY DEPT</t>
  </si>
  <si>
    <t>DA-Criminal Division</t>
  </si>
  <si>
    <t>Chief D A Investigator</t>
  </si>
  <si>
    <t>Chief Deputy District Attorney</t>
  </si>
  <si>
    <t>Criminalist (Senior)</t>
  </si>
  <si>
    <t>Criminalist Supervisor</t>
  </si>
  <si>
    <t>Dep District Attorney IV</t>
  </si>
  <si>
    <t>Dep District Attorney V</t>
  </si>
  <si>
    <t>District Attorney (E)</t>
  </si>
  <si>
    <t>District Attorney Investigator</t>
  </si>
  <si>
    <t>Forensic Laboratory Director</t>
  </si>
  <si>
    <t>Investigative Asst - Dist Atty</t>
  </si>
  <si>
    <t>Legal Procedures Clerk</t>
  </si>
  <si>
    <t>Office Assistant I</t>
  </si>
  <si>
    <t>Process Server</t>
  </si>
  <si>
    <t>Victim/Witness Assistant</t>
  </si>
  <si>
    <t>DA-Consumer Affairs</t>
  </si>
  <si>
    <t>OFC OF FAM VIOLENCE PREVENTION</t>
  </si>
  <si>
    <t>Ofc of Fam Viol Prev - Admin</t>
  </si>
  <si>
    <t>Family Violence Prevent Officer</t>
  </si>
  <si>
    <t>Ofc of Fam Viol Prev - Grants</t>
  </si>
  <si>
    <t>Asst Family Violence Prev Coord</t>
  </si>
  <si>
    <t>Social Worker III</t>
  </si>
  <si>
    <t>GENL SVCS-FOUTS SPRINGS YOUTH FAC</t>
  </si>
  <si>
    <t>Fouts Springs County Program</t>
  </si>
  <si>
    <t>Building Trades Mechanic - Lead</t>
  </si>
  <si>
    <t>GENERAL SERVICES</t>
  </si>
  <si>
    <t>Gen Svcs Administration</t>
  </si>
  <si>
    <t>Administrative Secretary</t>
  </si>
  <si>
    <t>Deputy Director of General Services</t>
  </si>
  <si>
    <t>Director of General Services</t>
  </si>
  <si>
    <t>Gen Svcs-Architect Admin</t>
  </si>
  <si>
    <t>Architect Proj Coord (Asstnt)</t>
  </si>
  <si>
    <t>Architectural Proj Coordinator</t>
  </si>
  <si>
    <t>Associate County Architect</t>
  </si>
  <si>
    <t>County Architect</t>
  </si>
  <si>
    <t>Gen Svcs-CntrlSvcs Div</t>
  </si>
  <si>
    <t>Buyer</t>
  </si>
  <si>
    <t>Buyer (Senior)</t>
  </si>
  <si>
    <t>Central Services Manager</t>
  </si>
  <si>
    <t>Courier</t>
  </si>
  <si>
    <t>Inventory Clerk</t>
  </si>
  <si>
    <t>Inventory Coordinator</t>
  </si>
  <si>
    <t>Stores Supervisor</t>
  </si>
  <si>
    <t>Gen Svcs-Facilities</t>
  </si>
  <si>
    <t>Building Maintenance Assistant</t>
  </si>
  <si>
    <t>Building Trades Mechanic</t>
  </si>
  <si>
    <t>Facilities Operations Manager</t>
  </si>
  <si>
    <t>Facilities Operations Supv</t>
  </si>
  <si>
    <t>Small Projects Coordinator</t>
  </si>
  <si>
    <t>Stationary Engineer</t>
  </si>
  <si>
    <t>Stationary Engineer (Senior)</t>
  </si>
  <si>
    <t>Gen Svcs-Grounds Maint</t>
  </si>
  <si>
    <t>Groundskeeper</t>
  </si>
  <si>
    <t>Groundskeeper (Supervising)</t>
  </si>
  <si>
    <t>Gen Svcs-Custodial</t>
  </si>
  <si>
    <t>Custodial Supervisor</t>
  </si>
  <si>
    <t>Custodian</t>
  </si>
  <si>
    <t>Custodian (Lead)</t>
  </si>
  <si>
    <t>GENL SVCS-PROPERTY MGMT</t>
  </si>
  <si>
    <t>Real Estate Manager</t>
  </si>
  <si>
    <t>GENLSVCS-FLEET MANAGEMENT</t>
  </si>
  <si>
    <t>Equipment Mechanic</t>
  </si>
  <si>
    <t>Fleet Manager</t>
  </si>
  <si>
    <t>Fleet Services Supervisor</t>
  </si>
  <si>
    <t>GENL SVCS - AIRPORT</t>
  </si>
  <si>
    <t>GS-Airport-Airport</t>
  </si>
  <si>
    <t>Airport Manager</t>
  </si>
  <si>
    <t>HEALTH &amp; SOCIAL SERVICES DEPT</t>
  </si>
  <si>
    <t>H&amp;SS-Administration Div</t>
  </si>
  <si>
    <t>Accountant (Senior)</t>
  </si>
  <si>
    <t xml:space="preserve">Accounting Clerk II </t>
  </si>
  <si>
    <t>Asst Director H&amp;SS/Operations</t>
  </si>
  <si>
    <t>Asst Director H&amp;SS/Resrch&amp;Plan</t>
  </si>
  <si>
    <t>Compliance Officer</t>
  </si>
  <si>
    <t>Director of Health &amp; Soc Svcs</t>
  </si>
  <si>
    <t>H&amp;SS Financial Manager</t>
  </si>
  <si>
    <t xml:space="preserve">Office Supervisor (C) </t>
  </si>
  <si>
    <t>Patient Account Manager (TBD)</t>
  </si>
  <si>
    <t>Policy &amp; Financial Analyst</t>
  </si>
  <si>
    <t>Project Manager</t>
  </si>
  <si>
    <t>Staff Analyst</t>
  </si>
  <si>
    <t>H&amp;SS-SOCIAL SVCS</t>
  </si>
  <si>
    <t>H&amp;SS-Welfare Admin</t>
  </si>
  <si>
    <t>Appeals Specialist</t>
  </si>
  <si>
    <t>Employment Resources Spec III</t>
  </si>
  <si>
    <t>Special Programs Supervisor</t>
  </si>
  <si>
    <t>Welfare Fraud Investig (Spvsg)</t>
  </si>
  <si>
    <t>Welfare Fraud Investigator II</t>
  </si>
  <si>
    <t>Welfare Fraud Investigator Mgr</t>
  </si>
  <si>
    <t>H&amp;SS-Child Welfare Svcs Div</t>
  </si>
  <si>
    <t>Clerical Operations Supervisor</t>
  </si>
  <si>
    <t>Eligibility Benefits Spec II</t>
  </si>
  <si>
    <t>Eligibility Benefits Spec III</t>
  </si>
  <si>
    <t>Public Hlth Nurse</t>
  </si>
  <si>
    <t>Social Services Supervisor</t>
  </si>
  <si>
    <t>Social Svcs Administrator-CWS</t>
  </si>
  <si>
    <t>Social Worker II</t>
  </si>
  <si>
    <t>H&amp;SS-Oldr&amp;Disbl Adult Svcs</t>
  </si>
  <si>
    <t>Dep PubAdmin/PubGuard/PubCons</t>
  </si>
  <si>
    <t>Estate Inventory Specialist</t>
  </si>
  <si>
    <t>Mental Health Clinician (Lic)</t>
  </si>
  <si>
    <t>Public Hlth Nurse Manager</t>
  </si>
  <si>
    <t>Social Services Worker</t>
  </si>
  <si>
    <t>H&amp;SS-Employ &amp; Elig Svcs Div</t>
  </si>
  <si>
    <t>Dep Director H&amp;SS-E&amp;E Programs</t>
  </si>
  <si>
    <t>Eligibility Benefits Specialist I</t>
  </si>
  <si>
    <t>Eligibility Benefits Spec Supv</t>
  </si>
  <si>
    <t>Employment Resources Spec II</t>
  </si>
  <si>
    <t>Employment Resources Spec Supv</t>
  </si>
  <si>
    <t>Employment/Eligibility Admin</t>
  </si>
  <si>
    <t>Employment/Eligibility SvcsMgr</t>
  </si>
  <si>
    <t>Program Analyst</t>
  </si>
  <si>
    <t>Program Specialist</t>
  </si>
  <si>
    <t>Staff Development Trainer</t>
  </si>
  <si>
    <t>H&amp;SS-IHSS-Pub Auth Svcs Div</t>
  </si>
  <si>
    <t>Public Authority Administrator</t>
  </si>
  <si>
    <t>H&amp;SS-BEHAVIORAL HEALTH</t>
  </si>
  <si>
    <t>H&amp;SS-Substance Abuse Division</t>
  </si>
  <si>
    <t>Clinical Services Associate</t>
  </si>
  <si>
    <t>Health Education Spec (Senior)</t>
  </si>
  <si>
    <t>Health Education Specialist</t>
  </si>
  <si>
    <t>Mental Health Clinical Supv</t>
  </si>
  <si>
    <t>Mental Health Nurse</t>
  </si>
  <si>
    <t>H&amp;SS-Mental Health Div</t>
  </si>
  <si>
    <t>Clinical Psychologist</t>
  </si>
  <si>
    <t>Consumer Affairs Liaison</t>
  </si>
  <si>
    <t>Crisis Specialist</t>
  </si>
  <si>
    <t>Dep Director H&amp;SS-Mntl Hlth</t>
  </si>
  <si>
    <t>Health Services Manager (Sr)</t>
  </si>
  <si>
    <t>Medical Records Tech (Senior)</t>
  </si>
  <si>
    <t>Medical Records Technician</t>
  </si>
  <si>
    <t>Mental Health Services Manager</t>
  </si>
  <si>
    <t>Mental Health Services Mgr (Sr)</t>
  </si>
  <si>
    <t>Mental Health Specialist I</t>
  </si>
  <si>
    <t>Mental Health Specialist II</t>
  </si>
  <si>
    <t>Patient Benefits Specialist</t>
  </si>
  <si>
    <t>Psychiatrist (Child-Board Cert)</t>
  </si>
  <si>
    <t>H&amp;SS-HEALTH SVCS</t>
  </si>
  <si>
    <t>H&amp;SS-Family Health Svcs Div</t>
  </si>
  <si>
    <t>Chief Medical Officer/Dep Hlth Off</t>
  </si>
  <si>
    <t>Clinic Physician (Board Cert)</t>
  </si>
  <si>
    <t>Clinic Physician Supervisor</t>
  </si>
  <si>
    <t>Clinic Registered Nurse</t>
  </si>
  <si>
    <t>Clinic Registered Nurse (Sr)</t>
  </si>
  <si>
    <t>Clinical Lab Scientist</t>
  </si>
  <si>
    <t>Dental Assistant (Reg Lead)</t>
  </si>
  <si>
    <t>Dental Assistant (Registered)</t>
  </si>
  <si>
    <t>Dental Office Supervisor</t>
  </si>
  <si>
    <t>Dentist</t>
  </si>
  <si>
    <t>Dentist Manager</t>
  </si>
  <si>
    <t>Dentist Supervisor</t>
  </si>
  <si>
    <t>Health Assistant</t>
  </si>
  <si>
    <t>Health Services Administrator</t>
  </si>
  <si>
    <t>Health Services Manager</t>
  </si>
  <si>
    <t>Medical Assistant</t>
  </si>
  <si>
    <t>Medical Assistant (Lead)</t>
  </si>
  <si>
    <t>Medical Records Supervisor</t>
  </si>
  <si>
    <t>Nurse Practition/PhysicianAsst</t>
  </si>
  <si>
    <t>Nurse Practitioner</t>
  </si>
  <si>
    <t>Psychiatrist (Board Cert)</t>
  </si>
  <si>
    <t>Psychiatrist Supervisor</t>
  </si>
  <si>
    <t>Public Health Nurse</t>
  </si>
  <si>
    <t>Public Hlth Nutritionist</t>
  </si>
  <si>
    <t>H&amp;SS-Public Health Svcs Div</t>
  </si>
  <si>
    <t>Communicable Disease Invest</t>
  </si>
  <si>
    <t>Dep Director H&amp;SS-Health Officer</t>
  </si>
  <si>
    <t>Emergency Medical Svcs Coord</t>
  </si>
  <si>
    <t>Health Education Manager</t>
  </si>
  <si>
    <t>Health Education Spec (Spvsing)</t>
  </si>
  <si>
    <t>Infant Nutrition Counselor</t>
  </si>
  <si>
    <t>Occupational Health Prog Mgr</t>
  </si>
  <si>
    <t>Occupational Therapist</t>
  </si>
  <si>
    <t>Public Hlth Lab Director</t>
  </si>
  <si>
    <t>Public Hlth Lab Technician</t>
  </si>
  <si>
    <t>Public Hlth Microbiologist</t>
  </si>
  <si>
    <t>Public Hlth Nurse (Senior)</t>
  </si>
  <si>
    <t>Public Hlth Nutritionst (Spvsg)</t>
  </si>
  <si>
    <t>Therapist (Senior)</t>
  </si>
  <si>
    <t>HR-EMPLOYEE DEVELOP &amp; RECOG</t>
  </si>
  <si>
    <t>HR-Employee Development</t>
  </si>
  <si>
    <t xml:space="preserve">Office Assistant II (C) </t>
  </si>
  <si>
    <t>Org Development/Train Officer</t>
  </si>
  <si>
    <t>HUMAN RESOURCES DEPT</t>
  </si>
  <si>
    <t>HR-Personnel Administration</t>
  </si>
  <si>
    <t>Director of Human Resources</t>
  </si>
  <si>
    <t>HR-Employee Benefits</t>
  </si>
  <si>
    <t>Benefits and Fiscal Manager</t>
  </si>
  <si>
    <t>Human Resources Assistant</t>
  </si>
  <si>
    <t>HR-Equal Employ Opportunity</t>
  </si>
  <si>
    <t>Human Resources Analyst (Prin)</t>
  </si>
  <si>
    <t>HR-Personnel Recrutng&amp;Testing</t>
  </si>
  <si>
    <t>Asst Director of Human Resources</t>
  </si>
  <si>
    <t>Human Resources Analyst (Sr)</t>
  </si>
  <si>
    <t>HR-Empl Rel/Class &amp; Pay Adm</t>
  </si>
  <si>
    <t>HUMAN RESOURCES-RISK MGMT SVCS</t>
  </si>
  <si>
    <t>HR-RM-Administration</t>
  </si>
  <si>
    <t>Risk Manager</t>
  </si>
  <si>
    <t>HR-RM-Liability</t>
  </si>
  <si>
    <t>Risk Analyst</t>
  </si>
  <si>
    <t>HR-RM-Workers' Comp</t>
  </si>
  <si>
    <t>LIBRARY DEPT</t>
  </si>
  <si>
    <t>Lbry-Automation Project</t>
  </si>
  <si>
    <t>Dep Director of Library Svcs</t>
  </si>
  <si>
    <t>Information Technology Coord</t>
  </si>
  <si>
    <t xml:space="preserve">DIVISION TOTAL </t>
  </si>
  <si>
    <t>Lbry-Literacy Program Grant</t>
  </si>
  <si>
    <t>Literacy Prog Asst (Senior)</t>
  </si>
  <si>
    <t>Literacy Program Assistant</t>
  </si>
  <si>
    <t>Literacy Program Manager</t>
  </si>
  <si>
    <t>Lbry-Headquarters Management</t>
  </si>
  <si>
    <t>Asst Director of Library Svcs</t>
  </si>
  <si>
    <t>Clerical Operations Supv (C)</t>
  </si>
  <si>
    <t>Director of Library Services</t>
  </si>
  <si>
    <t>Librarian</t>
  </si>
  <si>
    <t>Librarian (Spvsing)</t>
  </si>
  <si>
    <t>Library Associate</t>
  </si>
  <si>
    <t>Volunteer Coordinator</t>
  </si>
  <si>
    <t>Lbry-Operations</t>
  </si>
  <si>
    <t>Library Assistant</t>
  </si>
  <si>
    <t>Library Assistant (Senior)</t>
  </si>
  <si>
    <t>Lbry-Telephone Center</t>
  </si>
  <si>
    <t>Lbry-John F. Kennedy</t>
  </si>
  <si>
    <t>Library Assistant (Spvsing)</t>
  </si>
  <si>
    <t>Lbry-Springstowne</t>
  </si>
  <si>
    <t>Lbry-Suisun City Library</t>
  </si>
  <si>
    <t>Lbry-Fairfield/Suisun</t>
  </si>
  <si>
    <t>Lbry-Rio Vista</t>
  </si>
  <si>
    <t>Lbry-Fairfield Cordelia Library</t>
  </si>
  <si>
    <t>Lbry-Vacaville Library Service</t>
  </si>
  <si>
    <t>Lbry-Vcvlle Pub Lib-Townsquare</t>
  </si>
  <si>
    <t>PROBATION DEPT</t>
  </si>
  <si>
    <t>Probation-Juvenile Hall Svcs</t>
  </si>
  <si>
    <t>Group Counselor</t>
  </si>
  <si>
    <t>Group Counselor (Senior)</t>
  </si>
  <si>
    <t>Group Counselor (Spvsing)</t>
  </si>
  <si>
    <t>Probation Services Manager</t>
  </si>
  <si>
    <t>Super of Juv Detention Facility</t>
  </si>
  <si>
    <t>Probation-Administration Div</t>
  </si>
  <si>
    <t>Admin Services Manager</t>
  </si>
  <si>
    <t xml:space="preserve">Asst Director of Probation </t>
  </si>
  <si>
    <t>Collections Officer</t>
  </si>
  <si>
    <t>Director of Probation</t>
  </si>
  <si>
    <t>Probation-Adult</t>
  </si>
  <si>
    <t>Criminal Justice Researcher</t>
  </si>
  <si>
    <t>Dep Probation Officer</t>
  </si>
  <si>
    <t>Dep Probation Officer (Senior)</t>
  </si>
  <si>
    <t>Dep Probation Officer (Spvsing)</t>
  </si>
  <si>
    <t>Legal Procedures Clerk (Senior)</t>
  </si>
  <si>
    <t>Probation-Juvenile</t>
  </si>
  <si>
    <t>PUBLIC DEFENDER DEPT</t>
  </si>
  <si>
    <t>Pub Dfndr-Operations</t>
  </si>
  <si>
    <t xml:space="preserve">Administrative Secretary (C) </t>
  </si>
  <si>
    <t>Chief Deputy Public Defender</t>
  </si>
  <si>
    <t>Chief Public Defender Investig</t>
  </si>
  <si>
    <t>Dep Public Defender IV</t>
  </si>
  <si>
    <t>Dep Public Defender V</t>
  </si>
  <si>
    <t>Public Defender</t>
  </si>
  <si>
    <t>Public Defender Investigator</t>
  </si>
  <si>
    <t>Pub Dfndr-Realignment</t>
  </si>
  <si>
    <t>PUBLIC DEFENDER - CONFLICTS</t>
  </si>
  <si>
    <t>Pub Dfndr-Conflicts Officer</t>
  </si>
  <si>
    <t>DELTA WATER ACTIVITIES</t>
  </si>
  <si>
    <t>RES MGMT-PUBLIC WORKS</t>
  </si>
  <si>
    <t>RMPW-Engineering Svcs</t>
  </si>
  <si>
    <t>Civil Engineer</t>
  </si>
  <si>
    <t>Civil Engineer (Entry)</t>
  </si>
  <si>
    <t>Civil Engineer (Senior)</t>
  </si>
  <si>
    <t>County Surveyor</t>
  </si>
  <si>
    <t>Engineering Manager</t>
  </si>
  <si>
    <t>Engineering Services Supv</t>
  </si>
  <si>
    <t>Engineering Technician</t>
  </si>
  <si>
    <t>Engineering Technician (Senior)</t>
  </si>
  <si>
    <t>Survey Party Chief</t>
  </si>
  <si>
    <t>RMPW-Operation Road Svcs</t>
  </si>
  <si>
    <t>Public Works Maint Wkr (Senior)</t>
  </si>
  <si>
    <t>Public Works Maintenance Supv</t>
  </si>
  <si>
    <t>Public Works Maintenance Wkr</t>
  </si>
  <si>
    <t>Public Works Operations Mgr</t>
  </si>
  <si>
    <t>RMPW-Admin Svcs</t>
  </si>
  <si>
    <t>RESOURCE MANAGEMENT</t>
  </si>
  <si>
    <t>Res Mgmt - Direct</t>
  </si>
  <si>
    <t>Asst Director Resource Mgmt</t>
  </si>
  <si>
    <t>Director of Resource Mgmt</t>
  </si>
  <si>
    <t>Res Mgmt - Lan Use Adm</t>
  </si>
  <si>
    <t>Planner (Principal)</t>
  </si>
  <si>
    <t>Planner (Senior)</t>
  </si>
  <si>
    <t>Planning Program Manager</t>
  </si>
  <si>
    <t>Planning Technician</t>
  </si>
  <si>
    <t>Res Mgmt - Int Wast Mgmt Plng</t>
  </si>
  <si>
    <t>Res Mgmt - Building Inspection</t>
  </si>
  <si>
    <t>Building Inspector (Senior)</t>
  </si>
  <si>
    <t>Building Inspector II</t>
  </si>
  <si>
    <t>Building Official</t>
  </si>
  <si>
    <t>Building Permits Technician II</t>
  </si>
  <si>
    <t>Civil Engineer - Plan Check</t>
  </si>
  <si>
    <t>Code Compliance Officer</t>
  </si>
  <si>
    <t>Res Mgmt - Health Svcs</t>
  </si>
  <si>
    <t>Environmental Health Mgr</t>
  </si>
  <si>
    <t>Environmental Hlth Spec (Sr)</t>
  </si>
  <si>
    <t>Environmental Hlth Spec (Journ)</t>
  </si>
  <si>
    <t>Environmental Hlth Supv</t>
  </si>
  <si>
    <t>Res Mgmt - Comp Haz Mat Insp</t>
  </si>
  <si>
    <t>Hazardous Material Spec (Spvng)</t>
  </si>
  <si>
    <t>Hazardous Materials Spec (Sr)</t>
  </si>
  <si>
    <t>Res Mgmt -UST Oversight</t>
  </si>
  <si>
    <t>Geologist</t>
  </si>
  <si>
    <t>RES MGMT-PARKS&amp;REC</t>
  </si>
  <si>
    <t>Res Mgmt-Parks&amp;Rec</t>
  </si>
  <si>
    <t>Park Ranger</t>
  </si>
  <si>
    <t>Park Ranger Supervisor</t>
  </si>
  <si>
    <t>Parks Services Manager</t>
  </si>
  <si>
    <t>SHERIFF'S OFFICE DEPT.</t>
  </si>
  <si>
    <t>Sheriff-Animal Care Services</t>
  </si>
  <si>
    <t>Animal Care Manager</t>
  </si>
  <si>
    <t>Animal Care Officer</t>
  </si>
  <si>
    <t>Animal Care Specialist</t>
  </si>
  <si>
    <t>Animal Care Specialist (Lead)</t>
  </si>
  <si>
    <t>Animal Care Supv &amp; Vet Tech</t>
  </si>
  <si>
    <t>Asst Animal Care Mgr/Vol Coord</t>
  </si>
  <si>
    <t>Custody Lieutenant</t>
  </si>
  <si>
    <t>Sheriff-Support Services Div</t>
  </si>
  <si>
    <t>Correctional Officer</t>
  </si>
  <si>
    <t>Custody Sergeant</t>
  </si>
  <si>
    <t>Dep Sheriff</t>
  </si>
  <si>
    <t>Director of Admin Services</t>
  </si>
  <si>
    <t>Evidence Technician</t>
  </si>
  <si>
    <t>Identification Bureau Spvsr</t>
  </si>
  <si>
    <t>Identification &amp; Rcrds Svcs Mgr</t>
  </si>
  <si>
    <t>Latent Fingerprint Examiner</t>
  </si>
  <si>
    <t>Nursing Manager</t>
  </si>
  <si>
    <t>Sheriff/Coroner/Pub Admin (E)</t>
  </si>
  <si>
    <t>Undersheriff</t>
  </si>
  <si>
    <t>Sheriff-Operations Div</t>
  </si>
  <si>
    <t>Captain-Sheriff</t>
  </si>
  <si>
    <t>Coordinator-Progrms/Emerg Svcs</t>
  </si>
  <si>
    <t>Coroner Forensic Technician</t>
  </si>
  <si>
    <t>Emergency Services Manager</t>
  </si>
  <si>
    <t>Emergency Services Technician</t>
  </si>
  <si>
    <t>Food Service Coordinator</t>
  </si>
  <si>
    <t>Forensic Pathologist</t>
  </si>
  <si>
    <t>Laundry Coordinator</t>
  </si>
  <si>
    <t>Lieutenant-Sheriff</t>
  </si>
  <si>
    <t>Public Safety Dispatcher (Sr)</t>
  </si>
  <si>
    <t>Public Safety Dispatcher Tech</t>
  </si>
  <si>
    <t>Sergeant-Sheriff</t>
  </si>
  <si>
    <t>Sheriff's Security Officer</t>
  </si>
  <si>
    <t>Sheriff's Services Technician</t>
  </si>
  <si>
    <t>TTCCC-TREASURER'S DEPT</t>
  </si>
  <si>
    <t>Accounting Clerk I</t>
  </si>
  <si>
    <t>Treasurer/Tax Col/Co Clk (E)</t>
  </si>
  <si>
    <t>TREASURER-TAX COLLECTOR-CO CLK</t>
  </si>
  <si>
    <t>TTCCC - Tax Collector</t>
  </si>
  <si>
    <t>Asst Treasurer-Tax Col-Co Clrk</t>
  </si>
  <si>
    <t>Tax Collections Manager</t>
  </si>
  <si>
    <t>TTCCC - County Clerk</t>
  </si>
  <si>
    <t>VETERANS SERVICES</t>
  </si>
  <si>
    <t>Director of Veterans Services</t>
  </si>
  <si>
    <t>Veterans' Benefits Counselor</t>
  </si>
  <si>
    <t>LIMITED TERM TOTAL:</t>
  </si>
  <si>
    <t>REGULAR FULL &amp; PART TIME TOTAL:</t>
  </si>
  <si>
    <t>COUNTY TOTAL ALLOCATION:</t>
  </si>
  <si>
    <t>Equipment Service Worker</t>
  </si>
  <si>
    <t>Physical Therapist</t>
  </si>
  <si>
    <t>Park Ranger Assistant</t>
  </si>
  <si>
    <t>COUNTY LOCAL REVENUE FUND</t>
  </si>
  <si>
    <t>CCP Planning</t>
  </si>
  <si>
    <t>Social Services Manager</t>
  </si>
  <si>
    <t>Epidemiologist</t>
  </si>
  <si>
    <t>Library Marketing &amp; Comm Rel Off</t>
  </si>
  <si>
    <t>Inmate Program &amp; Services Mgr</t>
  </si>
  <si>
    <t>Dep Director H&amp;SS-Soc Prog CWS</t>
  </si>
  <si>
    <t>FTE</t>
  </si>
  <si>
    <t>Lactation Educator &amp; Counselor</t>
  </si>
  <si>
    <t>Psychiatrist</t>
  </si>
  <si>
    <t>Child Support Attorney (Supervising)</t>
  </si>
  <si>
    <t>Contract and Compliance (TBD)</t>
  </si>
  <si>
    <t>Mental Health Services Admin</t>
  </si>
  <si>
    <t>Dep Director H&amp;SS - Soc Prog ODA</t>
  </si>
  <si>
    <t>Public Hlth Microbiol (Supervising)</t>
  </si>
  <si>
    <t>Planner Associate</t>
  </si>
  <si>
    <t>Child Support Spec (Spvsng)</t>
  </si>
  <si>
    <t>Licensed Vocational Nurse</t>
  </si>
  <si>
    <t>Mangmt Anlyst (Sr)/Pub Com Ofcr</t>
  </si>
  <si>
    <t>H&amp;SS-Inter Trnsfer Div</t>
  </si>
  <si>
    <t>Public Health Nurse (Senior)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</si>
</sst>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2" fontId="2" fillId="0" borderId="0" xfId="0" applyNumberFormat="1" applyFont="1" applyFill="1" applyBorder="1"/>
    <xf numFmtId="164" fontId="2" fillId="0" borderId="0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2" fontId="1" fillId="0" borderId="1" xfId="0" applyNumberFormat="1" applyFont="1" applyFill="1" applyBorder="1" applyAlignment="1">
      <alignment horizontal="center" wrapText="1"/>
    </xf>
    <xf numFmtId="164" fontId="1" fillId="0" borderId="1" xfId="0" applyNumberFormat="1" applyFont="1" applyFill="1" applyBorder="1" applyAlignment="1">
      <alignment horizontal="center" wrapText="1"/>
    </xf>
    <xf numFmtId="1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/>
    <xf numFmtId="2" fontId="2" fillId="0" borderId="0" xfId="0" applyNumberFormat="1" applyFont="1" applyFill="1"/>
    <xf numFmtId="0" fontId="2" fillId="0" borderId="0" xfId="0" applyFont="1" applyFill="1"/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/>
    <xf numFmtId="2" fontId="1" fillId="2" borderId="0" xfId="0" applyNumberFormat="1" applyFont="1" applyFill="1"/>
    <xf numFmtId="2" fontId="2" fillId="0" borderId="0" xfId="0" applyNumberFormat="1" applyFont="1" applyFill="1" applyAlignment="1">
      <alignment horizontal="center"/>
    </xf>
    <xf numFmtId="0" fontId="2" fillId="0" borderId="0" xfId="0" applyNumberFormat="1" applyFont="1" applyFill="1"/>
    <xf numFmtId="2" fontId="1" fillId="0" borderId="0" xfId="0" applyNumberFormat="1" applyFont="1" applyFill="1"/>
    <xf numFmtId="2" fontId="1" fillId="0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4" fontId="1" fillId="2" borderId="0" xfId="0" applyNumberFormat="1" applyFont="1" applyFill="1"/>
    <xf numFmtId="4" fontId="1" fillId="0" borderId="0" xfId="0" applyNumberFormat="1" applyFont="1" applyFill="1"/>
    <xf numFmtId="0" fontId="2" fillId="0" borderId="0" xfId="0" applyFont="1" applyFill="1" applyAlignment="1">
      <alignment horizontal="left"/>
    </xf>
    <xf numFmtId="0" fontId="1" fillId="3" borderId="0" xfId="0" applyFont="1" applyFill="1"/>
    <xf numFmtId="2" fontId="1" fillId="3" borderId="0" xfId="0" applyNumberFormat="1" applyFont="1" applyFill="1"/>
    <xf numFmtId="0" fontId="0" fillId="3" borderId="0" xfId="0" applyFill="1"/>
    <xf numFmtId="164" fontId="2" fillId="0" borderId="0" xfId="0" applyNumberFormat="1" applyFont="1" applyBorder="1"/>
    <xf numFmtId="164" fontId="2" fillId="2" borderId="0" xfId="0" applyNumberFormat="1" applyFont="1" applyFill="1" applyBorder="1" applyAlignment="1">
      <alignment horizontal="center"/>
    </xf>
    <xf numFmtId="164" fontId="2" fillId="3" borderId="0" xfId="0" applyNumberFormat="1" applyFont="1" applyFill="1" applyBorder="1" applyAlignment="1">
      <alignment horizontal="center"/>
    </xf>
    <xf numFmtId="164" fontId="2" fillId="2" borderId="0" xfId="0" applyNumberFormat="1" applyFont="1" applyFill="1" applyBorder="1"/>
    <xf numFmtId="1" fontId="3" fillId="0" borderId="0" xfId="0" applyNumberFormat="1" applyFont="1"/>
    <xf numFmtId="164" fontId="2" fillId="0" borderId="0" xfId="0" applyNumberFormat="1" applyFont="1" applyFill="1"/>
    <xf numFmtId="164" fontId="1" fillId="2" borderId="0" xfId="0" applyNumberFormat="1" applyFont="1" applyFill="1" applyBorder="1"/>
    <xf numFmtId="164" fontId="1" fillId="0" borderId="0" xfId="0" applyNumberFormat="1" applyFont="1" applyFill="1" applyBorder="1"/>
    <xf numFmtId="164" fontId="4" fillId="0" borderId="0" xfId="0" applyNumberFormat="1" applyFont="1" applyFill="1"/>
    <xf numFmtId="4" fontId="0" fillId="0" borderId="0" xfId="0" applyNumberFormat="1"/>
    <xf numFmtId="0" fontId="5" fillId="0" borderId="0" xfId="0" applyFont="1" applyFill="1" applyAlignment="1">
      <alignment horizontal="center"/>
    </xf>
    <xf numFmtId="2" fontId="2" fillId="3" borderId="0" xfId="0" applyNumberFormat="1" applyFont="1" applyFill="1"/>
    <xf numFmtId="0" fontId="6" fillId="0" borderId="0" xfId="0" applyFont="1"/>
    <xf numFmtId="0" fontId="0" fillId="0" borderId="0" xfId="0" applyFill="1"/>
    <xf numFmtId="2" fontId="7" fillId="0" borderId="0" xfId="1" applyNumberFormat="1" applyFill="1"/>
    <xf numFmtId="0" fontId="0" fillId="0" borderId="0" xfId="0"/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Fill="1"/>
    <xf numFmtId="0" fontId="2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/>
    <xf numFmtId="0" fontId="2" fillId="0" borderId="0" xfId="0" applyFont="1" applyFill="1" applyAlignment="1">
      <alignment horizontal="center"/>
    </xf>
    <xf numFmtId="2" fontId="2" fillId="0" borderId="0" xfId="0" applyNumberFormat="1" applyFont="1" applyFill="1"/>
    <xf numFmtId="0" fontId="2" fillId="0" borderId="0" xfId="0" applyFont="1" applyFill="1"/>
    <xf numFmtId="2" fontId="1" fillId="2" borderId="0" xfId="0" applyNumberFormat="1" applyFont="1" applyFill="1"/>
    <xf numFmtId="164" fontId="2" fillId="0" borderId="0" xfId="0" applyNumberFormat="1" applyFont="1" applyFill="1"/>
  </cellXfs>
  <cellStyles count="2">
    <cellStyle name="Hyperlink" xfId="1" builtinId="8"/>
    <cellStyle name="Normal" xfId="0" builtinId="0"/>
  </cellStyles>
  <dxfs count="357"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5"/>
  <sheetViews>
    <sheetView tabSelected="1" view="pageBreakPreview" zoomScale="80" zoomScaleNormal="70" zoomScaleSheetLayoutView="80" workbookViewId="0">
      <selection activeCell="C10" sqref="C10"/>
    </sheetView>
  </sheetViews>
  <sheetFormatPr defaultRowHeight="14.4" x14ac:dyDescent="0.3"/>
  <cols>
    <col min="1" max="1" width="7.33203125" style="15" customWidth="1"/>
    <col min="2" max="2" width="5.6640625" style="11" customWidth="1"/>
    <col min="3" max="3" width="43.44140625" style="14" customWidth="1"/>
    <col min="4" max="4" width="11.5546875" style="13" customWidth="1"/>
    <col min="5" max="5" width="6.88671875" style="13" customWidth="1"/>
    <col min="6" max="6" width="10.44140625" style="5" customWidth="1"/>
  </cols>
  <sheetData>
    <row r="1" spans="1:6" ht="15" x14ac:dyDescent="0.25">
      <c r="A1" s="1"/>
      <c r="B1" s="2"/>
      <c r="C1" s="3"/>
      <c r="D1" s="4"/>
      <c r="E1" s="4"/>
    </row>
    <row r="2" spans="1:6" ht="26.25" x14ac:dyDescent="0.25">
      <c r="A2" s="6" t="s">
        <v>0</v>
      </c>
      <c r="B2" s="6" t="s">
        <v>1</v>
      </c>
      <c r="C2" s="7" t="s">
        <v>2</v>
      </c>
      <c r="D2" s="8" t="s">
        <v>513</v>
      </c>
      <c r="E2" s="8" t="s">
        <v>3</v>
      </c>
      <c r="F2" s="9" t="s">
        <v>4</v>
      </c>
    </row>
    <row r="3" spans="1:6" ht="15" x14ac:dyDescent="0.25">
      <c r="A3" s="10">
        <v>2830</v>
      </c>
      <c r="C3" s="12" t="s">
        <v>5</v>
      </c>
    </row>
    <row r="4" spans="1:6" ht="15" x14ac:dyDescent="0.25">
      <c r="A4" s="11"/>
      <c r="B4" s="11">
        <v>2831</v>
      </c>
      <c r="C4" s="14" t="s">
        <v>6</v>
      </c>
    </row>
    <row r="5" spans="1:6" ht="15" x14ac:dyDescent="0.25">
      <c r="A5" s="11"/>
      <c r="C5" s="14" t="s">
        <v>7</v>
      </c>
      <c r="D5" s="13">
        <v>1</v>
      </c>
      <c r="F5" s="38"/>
    </row>
    <row r="6" spans="1:6" ht="15" x14ac:dyDescent="0.25">
      <c r="C6" s="14" t="s">
        <v>8</v>
      </c>
      <c r="D6" s="13">
        <v>10</v>
      </c>
      <c r="F6" s="38"/>
    </row>
    <row r="7" spans="1:6" ht="15" x14ac:dyDescent="0.25">
      <c r="C7" s="14" t="s">
        <v>9</v>
      </c>
      <c r="D7" s="13">
        <v>1</v>
      </c>
      <c r="F7" s="38"/>
    </row>
    <row r="8" spans="1:6" ht="15" x14ac:dyDescent="0.25">
      <c r="C8" s="14" t="s">
        <v>10</v>
      </c>
      <c r="D8" s="13">
        <v>1</v>
      </c>
      <c r="F8" s="38"/>
    </row>
    <row r="9" spans="1:6" ht="15" x14ac:dyDescent="0.25">
      <c r="C9" s="14" t="s">
        <v>11</v>
      </c>
      <c r="D9" s="13">
        <v>2</v>
      </c>
      <c r="F9" s="38"/>
    </row>
    <row r="10" spans="1:6" ht="15" x14ac:dyDescent="0.25">
      <c r="C10" s="14" t="s">
        <v>12</v>
      </c>
      <c r="D10" s="13">
        <v>1</v>
      </c>
      <c r="F10" s="38"/>
    </row>
    <row r="11" spans="1:6" ht="15" x14ac:dyDescent="0.25">
      <c r="C11" s="14" t="s">
        <v>13</v>
      </c>
      <c r="D11" s="13">
        <v>2</v>
      </c>
      <c r="F11" s="38"/>
    </row>
    <row r="12" spans="1:6" ht="15" x14ac:dyDescent="0.25">
      <c r="A12" s="11"/>
      <c r="C12" s="14" t="s">
        <v>14</v>
      </c>
      <c r="D12" s="13">
        <v>18</v>
      </c>
      <c r="E12" s="13">
        <v>0</v>
      </c>
      <c r="F12" s="38"/>
    </row>
    <row r="14" spans="1:6" ht="15" x14ac:dyDescent="0.25">
      <c r="A14" s="16"/>
      <c r="B14" s="17"/>
      <c r="C14" s="18" t="s">
        <v>15</v>
      </c>
      <c r="D14" s="19">
        <v>18</v>
      </c>
      <c r="E14" s="19">
        <f>E12</f>
        <v>0</v>
      </c>
      <c r="F14" s="34"/>
    </row>
    <row r="16" spans="1:6" ht="15" x14ac:dyDescent="0.25">
      <c r="A16" s="15">
        <v>1150</v>
      </c>
      <c r="C16" s="12" t="s">
        <v>16</v>
      </c>
    </row>
    <row r="17" spans="1:7" ht="15" x14ac:dyDescent="0.25">
      <c r="B17" s="11">
        <v>1151</v>
      </c>
      <c r="C17" s="14" t="s">
        <v>17</v>
      </c>
    </row>
    <row r="18" spans="1:7" ht="15" x14ac:dyDescent="0.25">
      <c r="C18" s="14" t="s">
        <v>18</v>
      </c>
      <c r="D18" s="13">
        <v>11</v>
      </c>
      <c r="F18" s="38"/>
    </row>
    <row r="19" spans="1:7" ht="15" x14ac:dyDescent="0.25">
      <c r="C19" s="14" t="s">
        <v>19</v>
      </c>
      <c r="D19" s="13">
        <v>4</v>
      </c>
      <c r="F19" s="38"/>
    </row>
    <row r="20" spans="1:7" ht="15" x14ac:dyDescent="0.25">
      <c r="C20" s="14" t="s">
        <v>20</v>
      </c>
      <c r="D20" s="13">
        <v>2</v>
      </c>
      <c r="F20" s="38"/>
    </row>
    <row r="21" spans="1:7" ht="15" x14ac:dyDescent="0.25">
      <c r="C21" s="14" t="s">
        <v>21</v>
      </c>
      <c r="D21" s="13">
        <v>1</v>
      </c>
      <c r="F21" s="38"/>
    </row>
    <row r="22" spans="1:7" ht="15" x14ac:dyDescent="0.25">
      <c r="C22" s="14" t="s">
        <v>22</v>
      </c>
      <c r="D22" s="13">
        <v>1</v>
      </c>
      <c r="F22" s="38"/>
    </row>
    <row r="23" spans="1:7" ht="15" x14ac:dyDescent="0.25">
      <c r="C23" s="14" t="s">
        <v>23</v>
      </c>
      <c r="D23" s="13">
        <v>1</v>
      </c>
      <c r="F23" s="38"/>
    </row>
    <row r="24" spans="1:7" ht="15" x14ac:dyDescent="0.25">
      <c r="C24" s="14" t="s">
        <v>24</v>
      </c>
      <c r="D24" s="13">
        <v>3</v>
      </c>
      <c r="E24" s="13">
        <v>1</v>
      </c>
      <c r="F24" s="38">
        <v>42185</v>
      </c>
    </row>
    <row r="25" spans="1:7" ht="15" x14ac:dyDescent="0.25">
      <c r="C25" s="14" t="s">
        <v>25</v>
      </c>
      <c r="D25" s="13">
        <v>1</v>
      </c>
      <c r="F25" s="38"/>
    </row>
    <row r="26" spans="1:7" ht="15" x14ac:dyDescent="0.25">
      <c r="C26" s="14" t="s">
        <v>26</v>
      </c>
      <c r="D26" s="13">
        <v>1</v>
      </c>
      <c r="F26" s="38"/>
    </row>
    <row r="27" spans="1:7" ht="15" x14ac:dyDescent="0.25">
      <c r="A27" s="11"/>
      <c r="C27" s="14" t="s">
        <v>27</v>
      </c>
      <c r="D27" s="13">
        <v>1</v>
      </c>
      <c r="F27" s="38"/>
    </row>
    <row r="28" spans="1:7" ht="15" x14ac:dyDescent="0.25">
      <c r="A28" s="11"/>
      <c r="C28" s="14" t="s">
        <v>28</v>
      </c>
      <c r="D28" s="13">
        <v>1</v>
      </c>
      <c r="F28" s="38"/>
    </row>
    <row r="29" spans="1:7" ht="15" x14ac:dyDescent="0.25">
      <c r="A29" s="11"/>
      <c r="C29" s="14" t="s">
        <v>29</v>
      </c>
      <c r="D29" s="13">
        <v>4</v>
      </c>
      <c r="F29" s="38"/>
    </row>
    <row r="30" spans="1:7" ht="15" x14ac:dyDescent="0.25">
      <c r="A30" s="11"/>
      <c r="C30" s="14" t="s">
        <v>30</v>
      </c>
      <c r="D30" s="13">
        <v>5</v>
      </c>
      <c r="F30" s="38"/>
    </row>
    <row r="31" spans="1:7" ht="15" x14ac:dyDescent="0.25">
      <c r="A31" s="11"/>
      <c r="C31" s="14" t="s">
        <v>14</v>
      </c>
      <c r="D31" s="13">
        <v>36</v>
      </c>
      <c r="E31" s="13">
        <v>1</v>
      </c>
      <c r="F31" s="38"/>
      <c r="G31" s="13"/>
    </row>
    <row r="32" spans="1:7" ht="15" x14ac:dyDescent="0.25">
      <c r="A32" s="11"/>
      <c r="F32" s="38"/>
      <c r="G32" s="13"/>
    </row>
    <row r="33" spans="1:7" ht="15" x14ac:dyDescent="0.25">
      <c r="A33" s="11"/>
      <c r="B33" s="11">
        <v>2909</v>
      </c>
      <c r="C33" s="14" t="s">
        <v>31</v>
      </c>
      <c r="F33" s="38"/>
      <c r="G33" s="13"/>
    </row>
    <row r="34" spans="1:7" ht="15" x14ac:dyDescent="0.25">
      <c r="A34" s="11"/>
      <c r="C34" s="14" t="s">
        <v>32</v>
      </c>
      <c r="D34" s="13">
        <v>2</v>
      </c>
      <c r="F34" s="38"/>
      <c r="G34" s="13"/>
    </row>
    <row r="35" spans="1:7" ht="15" x14ac:dyDescent="0.25">
      <c r="A35" s="11"/>
      <c r="C35" s="14" t="s">
        <v>29</v>
      </c>
      <c r="D35" s="13">
        <v>4</v>
      </c>
      <c r="F35" s="38"/>
      <c r="G35" s="13"/>
    </row>
    <row r="36" spans="1:7" ht="15" x14ac:dyDescent="0.25">
      <c r="A36" s="11"/>
      <c r="C36" s="14" t="s">
        <v>30</v>
      </c>
      <c r="D36" s="13">
        <v>5</v>
      </c>
      <c r="F36" s="38"/>
      <c r="G36" s="13"/>
    </row>
    <row r="37" spans="1:7" ht="15" x14ac:dyDescent="0.25">
      <c r="A37" s="11"/>
      <c r="C37" s="14" t="s">
        <v>33</v>
      </c>
      <c r="D37" s="13">
        <v>1</v>
      </c>
      <c r="F37" s="38"/>
      <c r="G37" s="13"/>
    </row>
    <row r="38" spans="1:7" ht="15" x14ac:dyDescent="0.25">
      <c r="A38" s="11"/>
      <c r="C38" s="14" t="s">
        <v>34</v>
      </c>
      <c r="D38" s="13">
        <v>1</v>
      </c>
      <c r="F38" s="38"/>
    </row>
    <row r="39" spans="1:7" ht="15" x14ac:dyDescent="0.25">
      <c r="A39" s="11"/>
      <c r="C39" s="14" t="s">
        <v>14</v>
      </c>
      <c r="D39" s="13">
        <v>13</v>
      </c>
      <c r="E39" s="13">
        <v>0</v>
      </c>
      <c r="F39" s="41" t="e">
        <f>#REF!</f>
        <v>#REF!</v>
      </c>
    </row>
    <row r="41" spans="1:7" ht="15" x14ac:dyDescent="0.25">
      <c r="A41" s="16"/>
      <c r="B41" s="17"/>
      <c r="C41" s="18" t="s">
        <v>15</v>
      </c>
      <c r="D41" s="19">
        <v>49</v>
      </c>
      <c r="E41" s="19">
        <v>1</v>
      </c>
      <c r="F41" s="34"/>
    </row>
    <row r="43" spans="1:7" ht="15" x14ac:dyDescent="0.25">
      <c r="A43" s="15">
        <v>1200</v>
      </c>
      <c r="C43" s="12" t="s">
        <v>35</v>
      </c>
    </row>
    <row r="44" spans="1:7" ht="15" x14ac:dyDescent="0.25">
      <c r="B44" s="11">
        <v>1201</v>
      </c>
      <c r="C44" s="14" t="s">
        <v>36</v>
      </c>
    </row>
    <row r="45" spans="1:7" ht="15" x14ac:dyDescent="0.25">
      <c r="C45" s="14" t="s">
        <v>37</v>
      </c>
      <c r="D45" s="13">
        <v>1</v>
      </c>
      <c r="F45" s="38"/>
    </row>
    <row r="46" spans="1:7" ht="15" x14ac:dyDescent="0.25">
      <c r="C46" s="14" t="s">
        <v>38</v>
      </c>
      <c r="D46" s="13">
        <v>1</v>
      </c>
      <c r="F46" s="38"/>
    </row>
    <row r="47" spans="1:7" ht="15" x14ac:dyDescent="0.25">
      <c r="C47" s="14" t="s">
        <v>33</v>
      </c>
      <c r="D47" s="13">
        <v>1</v>
      </c>
      <c r="F47" s="38"/>
    </row>
    <row r="48" spans="1:7" ht="15" x14ac:dyDescent="0.25">
      <c r="A48" s="11"/>
      <c r="C48" s="14" t="s">
        <v>14</v>
      </c>
      <c r="D48" s="13">
        <v>3</v>
      </c>
      <c r="E48" s="13">
        <v>0</v>
      </c>
      <c r="F48" s="41" t="e">
        <f>#REF!</f>
        <v>#REF!</v>
      </c>
    </row>
    <row r="49" spans="1:6" ht="15" x14ac:dyDescent="0.25">
      <c r="A49" s="11"/>
    </row>
    <row r="50" spans="1:6" ht="15" x14ac:dyDescent="0.25">
      <c r="A50" s="11"/>
      <c r="B50" s="11">
        <v>1202</v>
      </c>
      <c r="C50" s="14" t="s">
        <v>39</v>
      </c>
      <c r="F50" s="38"/>
    </row>
    <row r="51" spans="1:6" ht="15" x14ac:dyDescent="0.25">
      <c r="A51" s="11"/>
      <c r="C51" s="14" t="s">
        <v>40</v>
      </c>
      <c r="D51" s="13">
        <v>4</v>
      </c>
      <c r="F51" s="38"/>
    </row>
    <row r="52" spans="1:6" ht="15" x14ac:dyDescent="0.25">
      <c r="A52" s="11"/>
      <c r="C52" s="14" t="s">
        <v>41</v>
      </c>
      <c r="D52" s="13">
        <v>1</v>
      </c>
      <c r="F52" s="38"/>
    </row>
    <row r="53" spans="1:6" ht="15" x14ac:dyDescent="0.25">
      <c r="A53" s="11"/>
      <c r="C53" s="14" t="s">
        <v>14</v>
      </c>
      <c r="D53" s="13">
        <v>5</v>
      </c>
      <c r="E53" s="13">
        <v>0</v>
      </c>
      <c r="F53" s="41" t="e">
        <f>#REF!</f>
        <v>#REF!</v>
      </c>
    </row>
    <row r="54" spans="1:6" ht="15" x14ac:dyDescent="0.25">
      <c r="A54" s="11"/>
      <c r="F54" s="38"/>
    </row>
    <row r="55" spans="1:6" ht="15" x14ac:dyDescent="0.25">
      <c r="A55" s="11"/>
      <c r="B55" s="11">
        <v>1203</v>
      </c>
      <c r="C55" s="14" t="s">
        <v>42</v>
      </c>
      <c r="F55" s="38"/>
    </row>
    <row r="56" spans="1:6" ht="15" x14ac:dyDescent="0.25">
      <c r="A56" s="11"/>
      <c r="C56" s="14" t="s">
        <v>43</v>
      </c>
      <c r="D56" s="13">
        <v>2</v>
      </c>
      <c r="F56" s="38"/>
    </row>
    <row r="57" spans="1:6" ht="15" x14ac:dyDescent="0.25">
      <c r="A57" s="11"/>
      <c r="C57" s="14" t="s">
        <v>44</v>
      </c>
      <c r="D57" s="13">
        <v>4</v>
      </c>
      <c r="F57" s="38"/>
    </row>
    <row r="58" spans="1:6" ht="15" x14ac:dyDescent="0.25">
      <c r="A58" s="11"/>
      <c r="C58" s="14" t="s">
        <v>45</v>
      </c>
      <c r="D58" s="13">
        <v>1</v>
      </c>
      <c r="F58" s="38"/>
    </row>
    <row r="59" spans="1:6" ht="15" x14ac:dyDescent="0.25">
      <c r="A59" s="11"/>
      <c r="C59" s="14" t="s">
        <v>46</v>
      </c>
      <c r="D59" s="13">
        <v>1</v>
      </c>
      <c r="F59" s="38"/>
    </row>
    <row r="60" spans="1:6" ht="15" x14ac:dyDescent="0.25">
      <c r="A60" s="11"/>
      <c r="C60" s="14" t="s">
        <v>47</v>
      </c>
      <c r="D60" s="13">
        <v>3</v>
      </c>
      <c r="F60" s="38"/>
    </row>
    <row r="61" spans="1:6" ht="15" x14ac:dyDescent="0.25">
      <c r="A61" s="11"/>
      <c r="C61" s="14" t="s">
        <v>48</v>
      </c>
      <c r="D61" s="13">
        <v>1</v>
      </c>
      <c r="F61" s="38"/>
    </row>
    <row r="62" spans="1:6" ht="15" x14ac:dyDescent="0.25">
      <c r="A62" s="11"/>
      <c r="C62" s="14" t="s">
        <v>49</v>
      </c>
      <c r="D62" s="13">
        <v>1</v>
      </c>
      <c r="F62" s="38"/>
    </row>
    <row r="63" spans="1:6" ht="15" x14ac:dyDescent="0.25">
      <c r="A63" s="20"/>
      <c r="C63" s="21" t="s">
        <v>50</v>
      </c>
      <c r="D63" s="13">
        <v>1</v>
      </c>
      <c r="F63" s="38"/>
    </row>
    <row r="64" spans="1:6" ht="15" x14ac:dyDescent="0.25">
      <c r="A64" s="11"/>
      <c r="C64" s="21" t="s">
        <v>51</v>
      </c>
      <c r="D64" s="13">
        <v>2</v>
      </c>
      <c r="F64" s="38"/>
    </row>
    <row r="65" spans="1:6" ht="15" x14ac:dyDescent="0.25">
      <c r="A65" s="11"/>
      <c r="C65" s="21" t="s">
        <v>14</v>
      </c>
      <c r="D65" s="13">
        <v>16</v>
      </c>
      <c r="E65" s="13">
        <v>0</v>
      </c>
      <c r="F65" s="41" t="e">
        <f>#REF!</f>
        <v>#REF!</v>
      </c>
    </row>
    <row r="66" spans="1:6" ht="15" x14ac:dyDescent="0.25">
      <c r="A66" s="11"/>
      <c r="F66" s="38"/>
    </row>
    <row r="67" spans="1:6" ht="15" x14ac:dyDescent="0.25">
      <c r="A67" s="11"/>
      <c r="B67" s="11">
        <v>1204</v>
      </c>
      <c r="C67" s="14" t="s">
        <v>52</v>
      </c>
      <c r="F67" s="38"/>
    </row>
    <row r="68" spans="1:6" ht="15" x14ac:dyDescent="0.25">
      <c r="A68" s="11"/>
      <c r="C68" s="14" t="s">
        <v>40</v>
      </c>
      <c r="D68" s="13">
        <v>4</v>
      </c>
      <c r="F68" s="38"/>
    </row>
    <row r="69" spans="1:6" ht="15" x14ac:dyDescent="0.25">
      <c r="A69" s="11"/>
      <c r="C69" s="14" t="s">
        <v>48</v>
      </c>
      <c r="D69" s="13">
        <v>1</v>
      </c>
      <c r="F69" s="38"/>
    </row>
    <row r="70" spans="1:6" ht="15" x14ac:dyDescent="0.25">
      <c r="A70" s="11"/>
      <c r="C70" s="14" t="s">
        <v>14</v>
      </c>
      <c r="D70" s="13">
        <v>5</v>
      </c>
      <c r="E70" s="13">
        <v>0</v>
      </c>
      <c r="F70" s="41" t="e">
        <f>#REF!</f>
        <v>#REF!</v>
      </c>
    </row>
    <row r="71" spans="1:6" ht="15" x14ac:dyDescent="0.25">
      <c r="A71" s="11"/>
      <c r="F71" s="38"/>
    </row>
    <row r="72" spans="1:6" ht="15" x14ac:dyDescent="0.25">
      <c r="A72" s="11"/>
      <c r="B72" s="11">
        <v>1205</v>
      </c>
      <c r="C72" s="14" t="s">
        <v>53</v>
      </c>
      <c r="F72" s="38"/>
    </row>
    <row r="73" spans="1:6" ht="15" x14ac:dyDescent="0.25">
      <c r="A73" s="11"/>
      <c r="C73" s="14" t="s">
        <v>40</v>
      </c>
      <c r="D73" s="13">
        <v>2</v>
      </c>
      <c r="F73" s="38"/>
    </row>
    <row r="74" spans="1:6" ht="15" x14ac:dyDescent="0.25">
      <c r="A74" s="11"/>
      <c r="C74" s="14" t="s">
        <v>14</v>
      </c>
      <c r="D74" s="13">
        <v>2</v>
      </c>
      <c r="E74" s="13">
        <v>0</v>
      </c>
      <c r="F74" s="41" t="e">
        <f>#REF!</f>
        <v>#REF!</v>
      </c>
    </row>
    <row r="75" spans="1:6" ht="15" x14ac:dyDescent="0.25">
      <c r="A75" s="11"/>
      <c r="F75" s="38"/>
    </row>
    <row r="76" spans="1:6" ht="15" x14ac:dyDescent="0.25">
      <c r="A76" s="11"/>
      <c r="B76" s="11">
        <v>1206</v>
      </c>
      <c r="C76" s="14" t="s">
        <v>54</v>
      </c>
      <c r="F76" s="38"/>
    </row>
    <row r="77" spans="1:6" ht="15" x14ac:dyDescent="0.25">
      <c r="A77" s="11"/>
      <c r="C77" s="14" t="s">
        <v>40</v>
      </c>
      <c r="D77" s="13">
        <v>2</v>
      </c>
      <c r="F77" s="38"/>
    </row>
    <row r="78" spans="1:6" ht="15" x14ac:dyDescent="0.25">
      <c r="A78" s="11"/>
      <c r="C78" s="14" t="s">
        <v>14</v>
      </c>
      <c r="D78" s="13">
        <v>2</v>
      </c>
      <c r="E78" s="13">
        <v>0</v>
      </c>
      <c r="F78" s="41" t="e">
        <f>#REF!</f>
        <v>#REF!</v>
      </c>
    </row>
    <row r="79" spans="1:6" ht="15" x14ac:dyDescent="0.25">
      <c r="A79" s="11"/>
    </row>
    <row r="80" spans="1:6" ht="15" x14ac:dyDescent="0.25">
      <c r="A80" s="16"/>
      <c r="B80" s="17"/>
      <c r="C80" s="18" t="s">
        <v>15</v>
      </c>
      <c r="D80" s="19">
        <v>33</v>
      </c>
      <c r="E80" s="19">
        <v>0</v>
      </c>
      <c r="F80" s="34"/>
    </row>
    <row r="82" spans="1:5" ht="15" x14ac:dyDescent="0.25">
      <c r="A82" s="15">
        <v>1000</v>
      </c>
      <c r="C82" s="12" t="s">
        <v>55</v>
      </c>
    </row>
    <row r="83" spans="1:5" ht="15" x14ac:dyDescent="0.25">
      <c r="B83" s="11">
        <v>1001</v>
      </c>
      <c r="C83" s="14" t="s">
        <v>56</v>
      </c>
    </row>
    <row r="84" spans="1:5" ht="15" x14ac:dyDescent="0.25">
      <c r="C84" s="14" t="s">
        <v>57</v>
      </c>
      <c r="D84" s="13">
        <v>1</v>
      </c>
    </row>
    <row r="85" spans="1:5" ht="15" x14ac:dyDescent="0.25">
      <c r="C85" s="14" t="s">
        <v>58</v>
      </c>
      <c r="D85" s="13">
        <v>1</v>
      </c>
    </row>
    <row r="86" spans="1:5" ht="15" x14ac:dyDescent="0.25">
      <c r="A86" s="11"/>
      <c r="C86" s="14" t="s">
        <v>14</v>
      </c>
      <c r="D86" s="13">
        <v>2</v>
      </c>
      <c r="E86" s="13">
        <v>0</v>
      </c>
    </row>
    <row r="87" spans="1:5" ht="15" x14ac:dyDescent="0.25">
      <c r="A87" s="11"/>
    </row>
    <row r="88" spans="1:5" ht="15" x14ac:dyDescent="0.25">
      <c r="A88" s="11"/>
      <c r="B88" s="11">
        <v>1002</v>
      </c>
      <c r="C88" s="14" t="s">
        <v>59</v>
      </c>
    </row>
    <row r="89" spans="1:5" ht="15" x14ac:dyDescent="0.25">
      <c r="A89" s="11"/>
      <c r="C89" s="14" t="s">
        <v>57</v>
      </c>
      <c r="D89" s="13">
        <v>1</v>
      </c>
    </row>
    <row r="90" spans="1:5" ht="15" x14ac:dyDescent="0.25">
      <c r="A90" s="11"/>
      <c r="C90" s="14" t="s">
        <v>58</v>
      </c>
      <c r="D90" s="13">
        <v>1</v>
      </c>
    </row>
    <row r="91" spans="1:5" ht="15" x14ac:dyDescent="0.25">
      <c r="A91" s="11"/>
      <c r="C91" s="14" t="s">
        <v>14</v>
      </c>
      <c r="D91" s="13">
        <v>2</v>
      </c>
      <c r="E91" s="13">
        <v>0</v>
      </c>
    </row>
    <row r="92" spans="1:5" ht="15" x14ac:dyDescent="0.25">
      <c r="A92" s="11"/>
    </row>
    <row r="93" spans="1:5" ht="15" x14ac:dyDescent="0.25">
      <c r="A93" s="11"/>
      <c r="B93" s="11">
        <v>1003</v>
      </c>
      <c r="C93" s="14" t="s">
        <v>60</v>
      </c>
    </row>
    <row r="94" spans="1:5" ht="15" x14ac:dyDescent="0.25">
      <c r="A94" s="11"/>
      <c r="C94" s="14" t="s">
        <v>57</v>
      </c>
      <c r="D94" s="13">
        <v>1</v>
      </c>
    </row>
    <row r="95" spans="1:5" ht="15" x14ac:dyDescent="0.25">
      <c r="A95" s="11"/>
      <c r="C95" s="14" t="s">
        <v>58</v>
      </c>
      <c r="D95" s="13">
        <v>1</v>
      </c>
    </row>
    <row r="96" spans="1:5" ht="15" x14ac:dyDescent="0.25">
      <c r="A96" s="11"/>
      <c r="C96" s="14" t="s">
        <v>14</v>
      </c>
      <c r="D96" s="13">
        <v>2</v>
      </c>
      <c r="E96" s="13">
        <v>0</v>
      </c>
    </row>
    <row r="97" spans="1:6" ht="15" x14ac:dyDescent="0.25">
      <c r="A97" s="20"/>
    </row>
    <row r="98" spans="1:6" ht="15" x14ac:dyDescent="0.25">
      <c r="A98" s="11"/>
      <c r="B98" s="11">
        <v>1004</v>
      </c>
      <c r="C98" s="14" t="s">
        <v>61</v>
      </c>
    </row>
    <row r="99" spans="1:6" ht="15" x14ac:dyDescent="0.25">
      <c r="A99" s="11"/>
      <c r="C99" s="14" t="s">
        <v>57</v>
      </c>
      <c r="D99" s="13">
        <v>1</v>
      </c>
    </row>
    <row r="100" spans="1:6" ht="15" x14ac:dyDescent="0.25">
      <c r="A100" s="11"/>
      <c r="C100" s="14" t="s">
        <v>58</v>
      </c>
      <c r="D100" s="13">
        <v>1</v>
      </c>
    </row>
    <row r="101" spans="1:6" ht="15" x14ac:dyDescent="0.25">
      <c r="A101" s="11"/>
      <c r="C101" s="14" t="s">
        <v>14</v>
      </c>
      <c r="D101" s="13">
        <v>2</v>
      </c>
      <c r="E101" s="13">
        <v>0</v>
      </c>
    </row>
    <row r="102" spans="1:6" ht="15" x14ac:dyDescent="0.25">
      <c r="A102" s="11"/>
    </row>
    <row r="103" spans="1:6" ht="15" x14ac:dyDescent="0.25">
      <c r="A103" s="11"/>
      <c r="B103" s="11">
        <v>1005</v>
      </c>
      <c r="C103" s="14" t="s">
        <v>62</v>
      </c>
    </row>
    <row r="104" spans="1:6" ht="15" x14ac:dyDescent="0.25">
      <c r="A104" s="11"/>
      <c r="C104" s="14" t="s">
        <v>57</v>
      </c>
      <c r="D104" s="13">
        <v>1</v>
      </c>
    </row>
    <row r="105" spans="1:6" ht="15" x14ac:dyDescent="0.25">
      <c r="A105" s="11"/>
      <c r="C105" s="14" t="s">
        <v>58</v>
      </c>
      <c r="D105" s="13">
        <v>1</v>
      </c>
    </row>
    <row r="106" spans="1:6" ht="15" x14ac:dyDescent="0.25">
      <c r="A106" s="11"/>
      <c r="C106" s="14" t="s">
        <v>14</v>
      </c>
      <c r="D106" s="13">
        <v>2</v>
      </c>
      <c r="E106" s="13">
        <v>0</v>
      </c>
    </row>
    <row r="107" spans="1:6" ht="15" x14ac:dyDescent="0.25">
      <c r="C107" s="12"/>
      <c r="D107" s="22"/>
    </row>
    <row r="108" spans="1:6" ht="15" x14ac:dyDescent="0.25">
      <c r="A108" s="16"/>
      <c r="B108" s="17"/>
      <c r="C108" s="18" t="s">
        <v>15</v>
      </c>
      <c r="D108" s="19">
        <v>10</v>
      </c>
      <c r="E108" s="19">
        <v>0</v>
      </c>
      <c r="F108" s="34"/>
    </row>
    <row r="110" spans="1:6" ht="15" x14ac:dyDescent="0.25">
      <c r="A110" s="15">
        <v>6200</v>
      </c>
      <c r="C110" s="12" t="s">
        <v>63</v>
      </c>
    </row>
    <row r="111" spans="1:6" ht="15" x14ac:dyDescent="0.25">
      <c r="C111" s="14" t="s">
        <v>64</v>
      </c>
      <c r="D111" s="13">
        <v>2</v>
      </c>
      <c r="F111" s="38"/>
    </row>
    <row r="112" spans="1:6" ht="15" x14ac:dyDescent="0.25">
      <c r="A112" s="11"/>
      <c r="C112" s="14" t="s">
        <v>14</v>
      </c>
      <c r="D112" s="13">
        <v>2</v>
      </c>
      <c r="E112" s="13">
        <v>0</v>
      </c>
      <c r="F112" s="41" t="e">
        <f>#REF!</f>
        <v>#REF!</v>
      </c>
    </row>
    <row r="113" spans="1:6" ht="15" x14ac:dyDescent="0.25">
      <c r="C113" s="12"/>
      <c r="D113" s="22"/>
    </row>
    <row r="114" spans="1:6" ht="15" x14ac:dyDescent="0.25">
      <c r="A114" s="16"/>
      <c r="B114" s="17"/>
      <c r="C114" s="18" t="s">
        <v>15</v>
      </c>
      <c r="D114" s="19">
        <v>2</v>
      </c>
      <c r="E114" s="19">
        <v>0</v>
      </c>
      <c r="F114" s="34"/>
    </row>
    <row r="116" spans="1:6" ht="15" x14ac:dyDescent="0.25">
      <c r="A116" s="15">
        <v>1100</v>
      </c>
      <c r="C116" s="12" t="s">
        <v>65</v>
      </c>
    </row>
    <row r="117" spans="1:6" ht="15" x14ac:dyDescent="0.25">
      <c r="B117" s="11">
        <v>1114</v>
      </c>
      <c r="C117" s="14" t="s">
        <v>66</v>
      </c>
    </row>
    <row r="118" spans="1:6" ht="15" x14ac:dyDescent="0.25">
      <c r="C118" s="14" t="s">
        <v>67</v>
      </c>
      <c r="D118" s="13">
        <v>1</v>
      </c>
      <c r="F118" s="38"/>
    </row>
    <row r="119" spans="1:6" ht="15" x14ac:dyDescent="0.25">
      <c r="C119" s="14" t="s">
        <v>68</v>
      </c>
      <c r="D119" s="13">
        <v>1</v>
      </c>
      <c r="F119" s="38"/>
    </row>
    <row r="120" spans="1:6" ht="15" x14ac:dyDescent="0.25">
      <c r="C120" s="14" t="s">
        <v>14</v>
      </c>
      <c r="D120" s="13">
        <v>2</v>
      </c>
      <c r="E120" s="13">
        <v>0</v>
      </c>
      <c r="F120" s="41"/>
    </row>
    <row r="121" spans="1:6" ht="15" x14ac:dyDescent="0.25">
      <c r="F121" s="38"/>
    </row>
    <row r="122" spans="1:6" ht="15" x14ac:dyDescent="0.25">
      <c r="B122" s="11">
        <v>1115</v>
      </c>
      <c r="C122" s="14" t="s">
        <v>69</v>
      </c>
      <c r="F122" s="38"/>
    </row>
    <row r="123" spans="1:6" ht="15" x14ac:dyDescent="0.25">
      <c r="C123" s="14" t="s">
        <v>70</v>
      </c>
      <c r="D123" s="13">
        <v>1</v>
      </c>
      <c r="F123" s="38"/>
    </row>
    <row r="124" spans="1:6" ht="15" x14ac:dyDescent="0.25">
      <c r="C124" s="14" t="s">
        <v>71</v>
      </c>
      <c r="D124" s="13">
        <v>1</v>
      </c>
      <c r="F124" s="38"/>
    </row>
    <row r="125" spans="1:6" ht="15" x14ac:dyDescent="0.25">
      <c r="C125" s="14" t="s">
        <v>72</v>
      </c>
      <c r="D125" s="13">
        <v>1</v>
      </c>
      <c r="F125" s="38"/>
    </row>
    <row r="126" spans="1:6" ht="15" x14ac:dyDescent="0.25">
      <c r="C126" s="14" t="s">
        <v>73</v>
      </c>
      <c r="D126" s="13">
        <v>1</v>
      </c>
      <c r="F126" s="38"/>
    </row>
    <row r="127" spans="1:6" ht="15" x14ac:dyDescent="0.25">
      <c r="C127" s="14" t="s">
        <v>74</v>
      </c>
      <c r="D127" s="13">
        <v>1</v>
      </c>
      <c r="F127" s="38"/>
    </row>
    <row r="128" spans="1:6" ht="15" x14ac:dyDescent="0.25">
      <c r="C128" s="14" t="s">
        <v>75</v>
      </c>
      <c r="D128" s="13">
        <v>2</v>
      </c>
      <c r="F128" s="38"/>
    </row>
    <row r="129" spans="1:6" ht="15" x14ac:dyDescent="0.25">
      <c r="C129" s="14" t="s">
        <v>76</v>
      </c>
      <c r="D129" s="13">
        <v>3</v>
      </c>
      <c r="F129" s="38"/>
    </row>
    <row r="130" spans="1:6" s="45" customFormat="1" ht="15" x14ac:dyDescent="0.25">
      <c r="A130" s="15"/>
      <c r="B130" s="11"/>
      <c r="C130" s="14" t="s">
        <v>524</v>
      </c>
      <c r="D130" s="13">
        <v>1</v>
      </c>
      <c r="E130" s="13"/>
      <c r="F130" s="38"/>
    </row>
    <row r="131" spans="1:6" ht="15" x14ac:dyDescent="0.25">
      <c r="C131" s="14" t="s">
        <v>77</v>
      </c>
      <c r="D131" s="13">
        <v>1</v>
      </c>
      <c r="F131" s="38"/>
    </row>
    <row r="132" spans="1:6" ht="15" x14ac:dyDescent="0.25">
      <c r="C132" s="14" t="s">
        <v>78</v>
      </c>
      <c r="D132" s="13">
        <v>1</v>
      </c>
      <c r="F132" s="38"/>
    </row>
    <row r="133" spans="1:6" ht="15" x14ac:dyDescent="0.25">
      <c r="C133" s="14" t="s">
        <v>79</v>
      </c>
      <c r="D133" s="13">
        <v>1</v>
      </c>
      <c r="F133" s="38"/>
    </row>
    <row r="134" spans="1:6" ht="15" x14ac:dyDescent="0.25">
      <c r="A134" s="11"/>
      <c r="C134" s="14" t="s">
        <v>14</v>
      </c>
      <c r="D134" s="13">
        <v>14</v>
      </c>
      <c r="E134" s="13">
        <v>0</v>
      </c>
      <c r="F134" s="41"/>
    </row>
    <row r="135" spans="1:6" ht="15" x14ac:dyDescent="0.25">
      <c r="C135" s="12"/>
      <c r="D135" s="22"/>
      <c r="E135" s="22"/>
    </row>
    <row r="136" spans="1:6" ht="15" x14ac:dyDescent="0.25">
      <c r="A136" s="15">
        <v>1530</v>
      </c>
      <c r="C136" s="12" t="s">
        <v>80</v>
      </c>
    </row>
    <row r="137" spans="1:6" ht="15" x14ac:dyDescent="0.25">
      <c r="B137" s="11">
        <v>1531</v>
      </c>
      <c r="C137" s="14" t="s">
        <v>81</v>
      </c>
    </row>
    <row r="138" spans="1:6" ht="15" x14ac:dyDescent="0.25">
      <c r="C138" s="14" t="s">
        <v>82</v>
      </c>
      <c r="D138" s="13">
        <v>1</v>
      </c>
      <c r="F138" s="38"/>
    </row>
    <row r="139" spans="1:6" ht="15" x14ac:dyDescent="0.25">
      <c r="C139" s="14" t="s">
        <v>83</v>
      </c>
      <c r="D139" s="13">
        <v>1</v>
      </c>
      <c r="F139" s="38"/>
    </row>
    <row r="140" spans="1:6" ht="15" x14ac:dyDescent="0.25">
      <c r="C140" s="14" t="s">
        <v>30</v>
      </c>
      <c r="D140" s="13">
        <v>1</v>
      </c>
      <c r="F140" s="38"/>
    </row>
    <row r="141" spans="1:6" ht="15" x14ac:dyDescent="0.25">
      <c r="A141" s="11"/>
      <c r="C141" s="14" t="s">
        <v>14</v>
      </c>
      <c r="D141" s="13">
        <v>3</v>
      </c>
      <c r="E141" s="13">
        <v>0</v>
      </c>
      <c r="F141" s="41"/>
    </row>
    <row r="142" spans="1:6" ht="15" x14ac:dyDescent="0.25">
      <c r="A142" s="11"/>
      <c r="F142" s="38"/>
    </row>
    <row r="143" spans="1:6" ht="15" x14ac:dyDescent="0.25">
      <c r="A143" s="11"/>
      <c r="B143" s="11">
        <v>1533</v>
      </c>
      <c r="C143" s="14" t="s">
        <v>84</v>
      </c>
      <c r="F143" s="38"/>
    </row>
    <row r="144" spans="1:6" ht="15" x14ac:dyDescent="0.25">
      <c r="A144" s="11"/>
      <c r="C144" s="14" t="s">
        <v>85</v>
      </c>
      <c r="D144" s="13">
        <v>3</v>
      </c>
      <c r="F144" s="38"/>
    </row>
    <row r="145" spans="1:6" ht="15" x14ac:dyDescent="0.25">
      <c r="A145" s="11"/>
      <c r="C145" s="14" t="s">
        <v>14</v>
      </c>
      <c r="D145" s="13">
        <v>3</v>
      </c>
      <c r="E145" s="13">
        <v>0</v>
      </c>
      <c r="F145" s="41"/>
    </row>
    <row r="146" spans="1:6" ht="15" x14ac:dyDescent="0.25">
      <c r="A146" s="11"/>
      <c r="F146" s="38"/>
    </row>
    <row r="147" spans="1:6" ht="15" x14ac:dyDescent="0.25">
      <c r="A147" s="11"/>
      <c r="B147" s="11">
        <v>1545</v>
      </c>
      <c r="C147" s="14" t="s">
        <v>86</v>
      </c>
      <c r="F147" s="38"/>
    </row>
    <row r="148" spans="1:6" ht="15" x14ac:dyDescent="0.25">
      <c r="A148" s="11"/>
      <c r="C148" s="14" t="s">
        <v>85</v>
      </c>
      <c r="D148" s="13">
        <v>1</v>
      </c>
      <c r="F148" s="38"/>
    </row>
    <row r="149" spans="1:6" ht="15" x14ac:dyDescent="0.25">
      <c r="A149" s="11"/>
      <c r="C149" s="14" t="s">
        <v>14</v>
      </c>
      <c r="D149" s="13">
        <v>1</v>
      </c>
      <c r="E149" s="13">
        <v>0</v>
      </c>
      <c r="F149" s="41"/>
    </row>
    <row r="150" spans="1:6" ht="15" x14ac:dyDescent="0.25">
      <c r="C150" s="12"/>
      <c r="D150" s="22"/>
      <c r="E150" s="22"/>
    </row>
    <row r="151" spans="1:6" ht="15" x14ac:dyDescent="0.25">
      <c r="A151" s="15">
        <v>6901</v>
      </c>
      <c r="C151" s="12" t="s">
        <v>506</v>
      </c>
      <c r="D151" s="22"/>
      <c r="E151" s="22"/>
    </row>
    <row r="152" spans="1:6" ht="15" x14ac:dyDescent="0.25">
      <c r="B152" s="11">
        <v>6902</v>
      </c>
      <c r="C152" s="14" t="s">
        <v>507</v>
      </c>
      <c r="D152" s="22"/>
      <c r="E152" s="22"/>
    </row>
    <row r="153" spans="1:6" s="45" customFormat="1" ht="15" x14ac:dyDescent="0.25">
      <c r="A153" s="15"/>
      <c r="B153" s="15"/>
      <c r="C153" s="14" t="s">
        <v>76</v>
      </c>
      <c r="D153" s="13">
        <v>1</v>
      </c>
      <c r="E153" s="13"/>
      <c r="F153" s="5"/>
    </row>
    <row r="154" spans="1:6" x14ac:dyDescent="0.3">
      <c r="B154" s="15"/>
      <c r="C154" s="14" t="s">
        <v>14</v>
      </c>
      <c r="D154" s="56">
        <v>1</v>
      </c>
      <c r="E154" s="56">
        <v>0</v>
      </c>
    </row>
    <row r="155" spans="1:6" ht="15" x14ac:dyDescent="0.25">
      <c r="B155" s="15"/>
      <c r="C155" s="12"/>
      <c r="D155" s="22"/>
      <c r="E155" s="22"/>
    </row>
    <row r="156" spans="1:6" ht="15" x14ac:dyDescent="0.25">
      <c r="A156" s="16"/>
      <c r="B156" s="17"/>
      <c r="C156" s="18" t="s">
        <v>15</v>
      </c>
      <c r="D156" s="19">
        <f>D120+D134+D141+D145+D149+D154</f>
        <v>24</v>
      </c>
      <c r="E156" s="58">
        <f>E120+E134+E141+E145+E149+E154</f>
        <v>0</v>
      </c>
      <c r="F156" s="34"/>
    </row>
    <row r="157" spans="1:6" ht="15" x14ac:dyDescent="0.25">
      <c r="C157" s="12"/>
      <c r="D157" s="22"/>
      <c r="E157" s="22"/>
    </row>
    <row r="158" spans="1:6" ht="15" x14ac:dyDescent="0.25">
      <c r="A158" s="15">
        <v>1400</v>
      </c>
      <c r="C158" s="12" t="s">
        <v>87</v>
      </c>
    </row>
    <row r="159" spans="1:6" ht="15" x14ac:dyDescent="0.25">
      <c r="C159" s="14" t="s">
        <v>88</v>
      </c>
      <c r="D159" s="13">
        <v>1</v>
      </c>
      <c r="F159" s="38"/>
    </row>
    <row r="160" spans="1:6" ht="15" x14ac:dyDescent="0.25">
      <c r="C160" s="14" t="s">
        <v>89</v>
      </c>
      <c r="D160" s="13">
        <v>1</v>
      </c>
      <c r="F160" s="38"/>
    </row>
    <row r="161" spans="1:6" ht="15" x14ac:dyDescent="0.25">
      <c r="C161" s="14" t="s">
        <v>90</v>
      </c>
      <c r="D161" s="13">
        <v>10.8</v>
      </c>
      <c r="F161" s="38"/>
    </row>
    <row r="162" spans="1:6" ht="15" x14ac:dyDescent="0.25">
      <c r="C162" s="14" t="s">
        <v>91</v>
      </c>
      <c r="D162" s="13">
        <v>1</v>
      </c>
      <c r="F162" s="38"/>
    </row>
    <row r="163" spans="1:6" ht="15" x14ac:dyDescent="0.25">
      <c r="C163" s="14" t="s">
        <v>92</v>
      </c>
      <c r="D163" s="13">
        <v>2.75</v>
      </c>
      <c r="F163" s="38"/>
    </row>
    <row r="164" spans="1:6" ht="15" x14ac:dyDescent="0.25">
      <c r="C164" s="14" t="s">
        <v>79</v>
      </c>
      <c r="D164" s="13">
        <v>1</v>
      </c>
      <c r="F164" s="38"/>
    </row>
    <row r="165" spans="1:6" ht="15" x14ac:dyDescent="0.25">
      <c r="A165" s="11"/>
      <c r="C165" s="14" t="s">
        <v>14</v>
      </c>
      <c r="D165" s="13">
        <v>17.55</v>
      </c>
      <c r="E165" s="13">
        <v>0</v>
      </c>
    </row>
    <row r="166" spans="1:6" ht="15" x14ac:dyDescent="0.25">
      <c r="C166" s="12"/>
      <c r="D166" s="22"/>
    </row>
    <row r="167" spans="1:6" ht="15" x14ac:dyDescent="0.25">
      <c r="A167" s="16"/>
      <c r="B167" s="17"/>
      <c r="C167" s="18" t="s">
        <v>15</v>
      </c>
      <c r="D167" s="19">
        <v>17.55</v>
      </c>
      <c r="E167" s="19">
        <v>0</v>
      </c>
      <c r="F167" s="34"/>
    </row>
    <row r="168" spans="1:6" ht="15" x14ac:dyDescent="0.25">
      <c r="C168" s="12"/>
      <c r="D168" s="22"/>
      <c r="E168" s="22"/>
    </row>
    <row r="169" spans="1:6" ht="15" x14ac:dyDescent="0.25">
      <c r="A169" s="15">
        <v>2480</v>
      </c>
      <c r="C169" s="12" t="s">
        <v>93</v>
      </c>
    </row>
    <row r="170" spans="1:6" ht="15" x14ac:dyDescent="0.25">
      <c r="B170" s="11">
        <v>2485</v>
      </c>
      <c r="C170" s="14" t="s">
        <v>94</v>
      </c>
    </row>
    <row r="171" spans="1:6" ht="15" x14ac:dyDescent="0.25">
      <c r="C171" s="14" t="s">
        <v>95</v>
      </c>
      <c r="D171" s="13">
        <v>3</v>
      </c>
      <c r="F171" s="38"/>
    </row>
    <row r="172" spans="1:6" ht="15" x14ac:dyDescent="0.25">
      <c r="C172" s="14" t="s">
        <v>516</v>
      </c>
      <c r="D172" s="13">
        <v>1</v>
      </c>
      <c r="F172" s="38"/>
    </row>
    <row r="173" spans="1:6" ht="15" x14ac:dyDescent="0.25">
      <c r="C173" s="14" t="s">
        <v>96</v>
      </c>
      <c r="D173" s="13">
        <v>1</v>
      </c>
      <c r="F173" s="38"/>
    </row>
    <row r="174" spans="1:6" ht="15" x14ac:dyDescent="0.25">
      <c r="C174" s="14" t="s">
        <v>97</v>
      </c>
      <c r="D174" s="13">
        <v>51</v>
      </c>
      <c r="F174" s="38"/>
    </row>
    <row r="175" spans="1:6" ht="15" x14ac:dyDescent="0.25">
      <c r="C175" s="14" t="s">
        <v>98</v>
      </c>
      <c r="D175" s="13">
        <v>8</v>
      </c>
      <c r="F175" s="38"/>
    </row>
    <row r="176" spans="1:6" ht="15" x14ac:dyDescent="0.25">
      <c r="C176" s="14" t="s">
        <v>99</v>
      </c>
      <c r="D176" s="13">
        <v>6</v>
      </c>
      <c r="F176" s="38"/>
    </row>
    <row r="177" spans="1:7" ht="15" x14ac:dyDescent="0.25">
      <c r="C177" s="14" t="s">
        <v>100</v>
      </c>
      <c r="D177" s="13">
        <v>1</v>
      </c>
      <c r="F177" s="38"/>
    </row>
    <row r="178" spans="1:7" ht="15" x14ac:dyDescent="0.25">
      <c r="C178" s="14" t="s">
        <v>101</v>
      </c>
      <c r="D178" s="13">
        <v>3</v>
      </c>
      <c r="F178" s="38"/>
    </row>
    <row r="179" spans="1:7" ht="15" x14ac:dyDescent="0.25">
      <c r="C179" s="14" t="s">
        <v>102</v>
      </c>
      <c r="D179" s="13">
        <v>1</v>
      </c>
      <c r="F179" s="38"/>
    </row>
    <row r="180" spans="1:7" ht="15" x14ac:dyDescent="0.25">
      <c r="A180" s="11"/>
      <c r="C180" s="14" t="s">
        <v>14</v>
      </c>
      <c r="D180" s="13">
        <v>75</v>
      </c>
      <c r="E180" s="13">
        <v>0</v>
      </c>
      <c r="F180" s="38"/>
      <c r="G180" s="13"/>
    </row>
    <row r="181" spans="1:7" ht="15" x14ac:dyDescent="0.25">
      <c r="A181" s="11"/>
      <c r="F181" s="38"/>
    </row>
    <row r="182" spans="1:7" ht="15" x14ac:dyDescent="0.25">
      <c r="A182" s="11"/>
      <c r="B182" s="11">
        <v>2486</v>
      </c>
      <c r="C182" s="14" t="s">
        <v>103</v>
      </c>
      <c r="F182" s="38"/>
    </row>
    <row r="183" spans="1:7" ht="15" x14ac:dyDescent="0.25">
      <c r="A183" s="11"/>
      <c r="C183" s="14" t="s">
        <v>104</v>
      </c>
      <c r="D183" s="13">
        <v>1</v>
      </c>
      <c r="F183" s="38"/>
    </row>
    <row r="184" spans="1:7" ht="15" x14ac:dyDescent="0.25">
      <c r="A184" s="11"/>
      <c r="C184" s="14" t="s">
        <v>105</v>
      </c>
      <c r="D184" s="13">
        <v>1</v>
      </c>
      <c r="F184" s="38"/>
    </row>
    <row r="185" spans="1:7" ht="15" x14ac:dyDescent="0.25">
      <c r="A185" s="11"/>
      <c r="C185" s="14" t="s">
        <v>14</v>
      </c>
      <c r="D185" s="13">
        <v>2</v>
      </c>
      <c r="E185" s="13">
        <v>0</v>
      </c>
      <c r="F185" s="41"/>
    </row>
    <row r="186" spans="1:7" ht="15" x14ac:dyDescent="0.25">
      <c r="A186" s="11"/>
      <c r="F186" s="38"/>
    </row>
    <row r="187" spans="1:7" ht="15" x14ac:dyDescent="0.25">
      <c r="A187" s="11"/>
      <c r="B187" s="11">
        <v>2487</v>
      </c>
      <c r="C187" s="14" t="s">
        <v>106</v>
      </c>
      <c r="F187" s="38"/>
    </row>
    <row r="188" spans="1:7" ht="15" x14ac:dyDescent="0.25">
      <c r="A188" s="11"/>
      <c r="C188" s="14" t="s">
        <v>107</v>
      </c>
      <c r="D188" s="13">
        <v>1</v>
      </c>
      <c r="F188" s="38"/>
    </row>
    <row r="189" spans="1:7" ht="15" x14ac:dyDescent="0.25">
      <c r="A189" s="11"/>
      <c r="C189" s="14" t="s">
        <v>43</v>
      </c>
      <c r="D189" s="13">
        <v>6</v>
      </c>
      <c r="F189" s="38"/>
    </row>
    <row r="190" spans="1:7" ht="15" x14ac:dyDescent="0.25">
      <c r="A190" s="11"/>
      <c r="C190" s="14" t="s">
        <v>45</v>
      </c>
      <c r="D190" s="13">
        <v>5</v>
      </c>
      <c r="F190" s="38"/>
    </row>
    <row r="191" spans="1:7" ht="15" x14ac:dyDescent="0.25">
      <c r="A191" s="11"/>
      <c r="C191" s="14" t="s">
        <v>7</v>
      </c>
      <c r="D191" s="13">
        <v>4</v>
      </c>
      <c r="F191" s="38"/>
    </row>
    <row r="192" spans="1:7" ht="15" x14ac:dyDescent="0.25">
      <c r="A192" s="11"/>
      <c r="C192" s="14" t="s">
        <v>522</v>
      </c>
      <c r="D192" s="13">
        <v>1</v>
      </c>
      <c r="F192" s="38"/>
    </row>
    <row r="193" spans="1:7" ht="15" x14ac:dyDescent="0.25">
      <c r="A193" s="11"/>
      <c r="C193" s="14" t="s">
        <v>109</v>
      </c>
      <c r="D193" s="13">
        <v>5</v>
      </c>
      <c r="F193" s="38"/>
    </row>
    <row r="194" spans="1:7" ht="15" x14ac:dyDescent="0.25">
      <c r="A194" s="11"/>
      <c r="C194" s="14" t="s">
        <v>110</v>
      </c>
      <c r="D194" s="13">
        <v>1</v>
      </c>
      <c r="F194" s="38"/>
    </row>
    <row r="195" spans="1:7" ht="15" x14ac:dyDescent="0.25">
      <c r="A195" s="11"/>
      <c r="C195" s="14" t="s">
        <v>29</v>
      </c>
      <c r="D195" s="13">
        <v>5</v>
      </c>
      <c r="E195" s="13">
        <v>1</v>
      </c>
      <c r="F195" s="38">
        <v>42185</v>
      </c>
    </row>
    <row r="196" spans="1:7" ht="15" x14ac:dyDescent="0.25">
      <c r="A196" s="20"/>
      <c r="C196" s="14" t="s">
        <v>30</v>
      </c>
      <c r="D196" s="13">
        <v>1</v>
      </c>
      <c r="F196" s="38"/>
    </row>
    <row r="197" spans="1:7" ht="15" x14ac:dyDescent="0.25">
      <c r="A197" s="20"/>
      <c r="C197" s="14" t="s">
        <v>33</v>
      </c>
      <c r="D197" s="13">
        <v>1</v>
      </c>
      <c r="F197" s="38"/>
    </row>
    <row r="198" spans="1:7" ht="15" x14ac:dyDescent="0.25">
      <c r="A198" s="11"/>
      <c r="C198" s="14" t="s">
        <v>14</v>
      </c>
      <c r="D198" s="13">
        <v>30</v>
      </c>
      <c r="E198" s="13">
        <v>1</v>
      </c>
      <c r="F198" s="38"/>
      <c r="G198" s="13"/>
    </row>
    <row r="199" spans="1:7" ht="15" x14ac:dyDescent="0.25">
      <c r="A199" s="11"/>
    </row>
    <row r="200" spans="1:7" ht="15" x14ac:dyDescent="0.25">
      <c r="A200" s="16"/>
      <c r="B200" s="17"/>
      <c r="C200" s="18" t="s">
        <v>15</v>
      </c>
      <c r="D200" s="19">
        <v>107</v>
      </c>
      <c r="E200" s="19">
        <v>1</v>
      </c>
      <c r="F200" s="39"/>
    </row>
    <row r="201" spans="1:7" ht="15" x14ac:dyDescent="0.25">
      <c r="C201" s="12"/>
      <c r="D201" s="22"/>
      <c r="E201" s="22"/>
    </row>
    <row r="202" spans="1:7" s="46" customFormat="1" ht="15" x14ac:dyDescent="0.25">
      <c r="A202" s="15">
        <v>1550</v>
      </c>
      <c r="B202" s="11"/>
      <c r="C202" s="12" t="s">
        <v>111</v>
      </c>
      <c r="D202" s="22"/>
      <c r="E202" s="22"/>
      <c r="F202" s="5"/>
    </row>
    <row r="203" spans="1:7" s="46" customFormat="1" ht="15" x14ac:dyDescent="0.25">
      <c r="A203" s="15"/>
      <c r="B203" s="11">
        <v>1551</v>
      </c>
      <c r="C203" s="14" t="s">
        <v>112</v>
      </c>
      <c r="D203" s="13"/>
      <c r="E203" s="13"/>
      <c r="F203" s="5"/>
    </row>
    <row r="204" spans="1:7" s="46" customFormat="1" ht="15" x14ac:dyDescent="0.25">
      <c r="A204" s="15"/>
      <c r="B204" s="11"/>
      <c r="C204" s="14" t="s">
        <v>7</v>
      </c>
      <c r="D204" s="13">
        <v>1</v>
      </c>
      <c r="E204" s="13"/>
      <c r="F204" s="38"/>
    </row>
    <row r="205" spans="1:7" s="46" customFormat="1" ht="15" x14ac:dyDescent="0.25">
      <c r="A205" s="15"/>
      <c r="B205" s="11"/>
      <c r="C205" s="14" t="s">
        <v>113</v>
      </c>
      <c r="D205" s="13">
        <v>1</v>
      </c>
      <c r="E205" s="13"/>
      <c r="F205" s="38"/>
    </row>
    <row r="206" spans="1:7" s="46" customFormat="1" ht="15" x14ac:dyDescent="0.25">
      <c r="A206" s="15"/>
      <c r="B206" s="11"/>
      <c r="C206" s="14" t="s">
        <v>114</v>
      </c>
      <c r="D206" s="13">
        <v>1</v>
      </c>
      <c r="E206" s="13"/>
      <c r="F206" s="38"/>
    </row>
    <row r="207" spans="1:7" s="46" customFormat="1" ht="15" x14ac:dyDescent="0.25">
      <c r="A207" s="15"/>
      <c r="B207" s="11"/>
      <c r="C207" s="14" t="s">
        <v>115</v>
      </c>
      <c r="D207" s="13">
        <v>4</v>
      </c>
      <c r="E207" s="13"/>
      <c r="F207" s="38"/>
    </row>
    <row r="208" spans="1:7" s="46" customFormat="1" ht="15" x14ac:dyDescent="0.25">
      <c r="A208" s="15"/>
      <c r="B208" s="11"/>
      <c r="C208" s="14" t="s">
        <v>116</v>
      </c>
      <c r="D208" s="13">
        <v>1</v>
      </c>
      <c r="E208" s="13"/>
      <c r="F208" s="38"/>
    </row>
    <row r="209" spans="1:7" s="46" customFormat="1" ht="15" x14ac:dyDescent="0.25">
      <c r="A209" s="23"/>
      <c r="B209" s="11"/>
      <c r="C209" s="14" t="s">
        <v>117</v>
      </c>
      <c r="D209" s="13">
        <v>2</v>
      </c>
      <c r="E209" s="13"/>
      <c r="F209" s="38"/>
    </row>
    <row r="210" spans="1:7" s="46" customFormat="1" ht="15" x14ac:dyDescent="0.25">
      <c r="A210" s="11"/>
      <c r="B210" s="11"/>
      <c r="C210" s="14" t="s">
        <v>14</v>
      </c>
      <c r="D210" s="13">
        <v>10</v>
      </c>
      <c r="E210" s="13">
        <v>0</v>
      </c>
      <c r="F210" s="38"/>
      <c r="G210" s="13"/>
    </row>
    <row r="211" spans="1:7" ht="15" x14ac:dyDescent="0.25">
      <c r="C211" s="12"/>
      <c r="D211" s="22"/>
    </row>
    <row r="212" spans="1:7" ht="15" x14ac:dyDescent="0.25">
      <c r="A212" s="16"/>
      <c r="B212" s="17"/>
      <c r="C212" s="18" t="s">
        <v>15</v>
      </c>
      <c r="D212" s="19">
        <v>10</v>
      </c>
      <c r="E212" s="19">
        <v>0</v>
      </c>
      <c r="F212" s="34"/>
    </row>
    <row r="214" spans="1:7" ht="15" x14ac:dyDescent="0.25">
      <c r="A214" s="15">
        <v>1870</v>
      </c>
      <c r="C214" s="12" t="s">
        <v>118</v>
      </c>
    </row>
    <row r="215" spans="1:7" ht="15" x14ac:dyDescent="0.25">
      <c r="C215" s="12"/>
    </row>
    <row r="216" spans="1:7" ht="15" x14ac:dyDescent="0.25">
      <c r="B216" s="11">
        <v>1873</v>
      </c>
      <c r="C216" s="14" t="s">
        <v>119</v>
      </c>
    </row>
    <row r="217" spans="1:7" ht="15" x14ac:dyDescent="0.25">
      <c r="C217" s="14" t="s">
        <v>120</v>
      </c>
      <c r="D217" s="13">
        <v>2</v>
      </c>
      <c r="F217" s="38"/>
    </row>
    <row r="218" spans="1:7" ht="15" x14ac:dyDescent="0.25">
      <c r="C218" s="14" t="s">
        <v>121</v>
      </c>
      <c r="D218" s="13">
        <v>1</v>
      </c>
      <c r="F218" s="38"/>
    </row>
    <row r="219" spans="1:7" ht="15" x14ac:dyDescent="0.25">
      <c r="C219" s="14" t="s">
        <v>122</v>
      </c>
      <c r="D219" s="13">
        <v>3</v>
      </c>
      <c r="F219" s="38"/>
    </row>
    <row r="220" spans="1:7" ht="15" x14ac:dyDescent="0.25">
      <c r="A220" s="11"/>
      <c r="C220" s="14" t="s">
        <v>14</v>
      </c>
      <c r="D220" s="13">
        <v>6</v>
      </c>
      <c r="E220" s="13">
        <v>0</v>
      </c>
      <c r="F220" s="38"/>
      <c r="G220" s="13"/>
    </row>
    <row r="221" spans="1:7" ht="15" x14ac:dyDescent="0.25">
      <c r="A221" s="11"/>
      <c r="F221" s="38"/>
    </row>
    <row r="222" spans="1:7" ht="15" x14ac:dyDescent="0.25">
      <c r="A222" s="11"/>
      <c r="B222" s="11">
        <v>1874</v>
      </c>
      <c r="C222" s="14" t="s">
        <v>123</v>
      </c>
      <c r="F222" s="38"/>
    </row>
    <row r="223" spans="1:7" ht="15" x14ac:dyDescent="0.25">
      <c r="A223" s="11"/>
      <c r="C223" s="14" t="s">
        <v>124</v>
      </c>
      <c r="D223" s="13">
        <v>1</v>
      </c>
      <c r="F223" s="38"/>
    </row>
    <row r="224" spans="1:7" ht="15" x14ac:dyDescent="0.25">
      <c r="A224" s="11"/>
      <c r="C224" s="14" t="s">
        <v>125</v>
      </c>
      <c r="D224" s="13">
        <v>1</v>
      </c>
      <c r="F224" s="38"/>
    </row>
    <row r="225" spans="1:7" ht="15" x14ac:dyDescent="0.25">
      <c r="A225" s="11"/>
      <c r="C225" s="14" t="s">
        <v>120</v>
      </c>
      <c r="D225" s="13">
        <v>4</v>
      </c>
      <c r="F225" s="38"/>
    </row>
    <row r="226" spans="1:7" ht="15" x14ac:dyDescent="0.25">
      <c r="A226" s="11"/>
      <c r="C226" s="14" t="s">
        <v>126</v>
      </c>
      <c r="D226" s="13">
        <v>1</v>
      </c>
      <c r="F226" s="38"/>
    </row>
    <row r="227" spans="1:7" ht="15" x14ac:dyDescent="0.25">
      <c r="A227" s="11"/>
      <c r="C227" s="14" t="s">
        <v>121</v>
      </c>
      <c r="D227" s="13">
        <v>1</v>
      </c>
      <c r="F227" s="38"/>
    </row>
    <row r="228" spans="1:7" ht="15" x14ac:dyDescent="0.25">
      <c r="A228" s="11"/>
      <c r="C228" s="14" t="s">
        <v>132</v>
      </c>
      <c r="D228" s="13">
        <v>1</v>
      </c>
      <c r="F228" s="38"/>
    </row>
    <row r="229" spans="1:7" ht="15" x14ac:dyDescent="0.25">
      <c r="A229" s="11"/>
      <c r="C229" s="14" t="s">
        <v>122</v>
      </c>
      <c r="D229" s="13">
        <v>2</v>
      </c>
      <c r="F229" s="38"/>
    </row>
    <row r="230" spans="1:7" ht="15" x14ac:dyDescent="0.25">
      <c r="A230" s="11"/>
      <c r="C230" s="14" t="s">
        <v>14</v>
      </c>
      <c r="D230" s="13">
        <v>11</v>
      </c>
      <c r="E230" s="13">
        <v>0</v>
      </c>
      <c r="F230" s="38"/>
      <c r="G230" s="13"/>
    </row>
    <row r="231" spans="1:7" ht="15" x14ac:dyDescent="0.25">
      <c r="A231" s="11"/>
      <c r="F231" s="38"/>
    </row>
    <row r="232" spans="1:7" ht="15" x14ac:dyDescent="0.25">
      <c r="A232" s="11"/>
      <c r="B232" s="11">
        <v>1875</v>
      </c>
      <c r="C232" s="14" t="s">
        <v>127</v>
      </c>
      <c r="F232" s="38"/>
    </row>
    <row r="233" spans="1:7" ht="15" x14ac:dyDescent="0.25">
      <c r="A233" s="11"/>
      <c r="C233" s="14" t="s">
        <v>43</v>
      </c>
      <c r="D233" s="13">
        <v>1</v>
      </c>
      <c r="F233" s="38"/>
    </row>
    <row r="234" spans="1:7" ht="15" x14ac:dyDescent="0.25">
      <c r="A234" s="11"/>
      <c r="C234" s="14" t="s">
        <v>7</v>
      </c>
      <c r="D234" s="13">
        <v>1</v>
      </c>
      <c r="F234" s="38"/>
    </row>
    <row r="235" spans="1:7" ht="15" x14ac:dyDescent="0.25">
      <c r="A235" s="11"/>
      <c r="C235" s="14" t="s">
        <v>128</v>
      </c>
      <c r="D235" s="13">
        <v>1</v>
      </c>
      <c r="F235" s="38"/>
    </row>
    <row r="236" spans="1:7" ht="15" x14ac:dyDescent="0.25">
      <c r="A236" s="11"/>
      <c r="C236" s="14" t="s">
        <v>129</v>
      </c>
      <c r="D236" s="13">
        <v>1</v>
      </c>
      <c r="F236" s="38"/>
    </row>
    <row r="237" spans="1:7" ht="15" x14ac:dyDescent="0.25">
      <c r="A237" s="20"/>
      <c r="C237" s="14" t="s">
        <v>121</v>
      </c>
      <c r="D237" s="13">
        <v>1</v>
      </c>
      <c r="F237" s="38"/>
    </row>
    <row r="238" spans="1:7" ht="15" x14ac:dyDescent="0.25">
      <c r="A238" s="11"/>
      <c r="C238" s="14" t="s">
        <v>14</v>
      </c>
      <c r="D238" s="13">
        <v>5</v>
      </c>
      <c r="E238" s="13">
        <v>0</v>
      </c>
      <c r="F238" s="38"/>
      <c r="G238" s="13"/>
    </row>
    <row r="239" spans="1:7" ht="15" x14ac:dyDescent="0.25">
      <c r="A239" s="11"/>
      <c r="F239" s="38"/>
    </row>
    <row r="240" spans="1:7" ht="15" x14ac:dyDescent="0.25">
      <c r="A240" s="11"/>
      <c r="B240" s="11">
        <v>1877</v>
      </c>
      <c r="C240" s="14" t="s">
        <v>130</v>
      </c>
      <c r="F240" s="38"/>
    </row>
    <row r="241" spans="1:7" ht="15" x14ac:dyDescent="0.25">
      <c r="A241" s="11"/>
      <c r="C241" s="14" t="s">
        <v>124</v>
      </c>
      <c r="D241" s="13">
        <v>1</v>
      </c>
      <c r="F241" s="38"/>
    </row>
    <row r="242" spans="1:7" ht="15" x14ac:dyDescent="0.25">
      <c r="A242" s="11"/>
      <c r="C242" s="14" t="s">
        <v>122</v>
      </c>
      <c r="D242" s="13">
        <v>4</v>
      </c>
      <c r="F242" s="38"/>
    </row>
    <row r="243" spans="1:7" ht="15" x14ac:dyDescent="0.25">
      <c r="A243" s="11"/>
      <c r="C243" s="14" t="s">
        <v>14</v>
      </c>
      <c r="D243" s="13">
        <v>5</v>
      </c>
      <c r="E243" s="13">
        <v>0</v>
      </c>
      <c r="F243" s="38"/>
      <c r="G243" s="13"/>
    </row>
    <row r="244" spans="1:7" ht="15" x14ac:dyDescent="0.25">
      <c r="A244" s="11"/>
      <c r="F244" s="38"/>
    </row>
    <row r="245" spans="1:7" ht="15" x14ac:dyDescent="0.25">
      <c r="A245" s="11"/>
      <c r="B245" s="11">
        <v>1879</v>
      </c>
      <c r="C245" s="14" t="s">
        <v>131</v>
      </c>
      <c r="F245" s="38"/>
    </row>
    <row r="246" spans="1:7" ht="15" x14ac:dyDescent="0.25">
      <c r="A246" s="11"/>
      <c r="C246" s="14" t="s">
        <v>124</v>
      </c>
      <c r="D246" s="13">
        <v>1</v>
      </c>
      <c r="F246" s="38"/>
    </row>
    <row r="247" spans="1:7" ht="15" x14ac:dyDescent="0.25">
      <c r="A247" s="11"/>
      <c r="C247" s="14" t="s">
        <v>126</v>
      </c>
      <c r="D247" s="13">
        <v>2</v>
      </c>
      <c r="F247" s="38"/>
    </row>
    <row r="248" spans="1:7" ht="15" x14ac:dyDescent="0.25">
      <c r="A248" s="11"/>
      <c r="C248" s="14" t="s">
        <v>121</v>
      </c>
      <c r="D248" s="13">
        <v>1</v>
      </c>
      <c r="F248" s="38"/>
    </row>
    <row r="249" spans="1:7" ht="15" x14ac:dyDescent="0.25">
      <c r="A249" s="11"/>
      <c r="C249" s="14" t="s">
        <v>132</v>
      </c>
      <c r="D249" s="13">
        <v>3</v>
      </c>
      <c r="F249" s="38"/>
    </row>
    <row r="250" spans="1:7" ht="15" x14ac:dyDescent="0.25">
      <c r="A250" s="11"/>
      <c r="C250" s="14" t="s">
        <v>122</v>
      </c>
      <c r="D250" s="13">
        <v>2</v>
      </c>
      <c r="F250" s="38"/>
    </row>
    <row r="251" spans="1:7" ht="15" x14ac:dyDescent="0.25">
      <c r="A251" s="11"/>
      <c r="C251" s="14" t="s">
        <v>14</v>
      </c>
      <c r="D251" s="13">
        <v>9</v>
      </c>
      <c r="E251" s="13">
        <v>0</v>
      </c>
      <c r="F251" s="38"/>
      <c r="G251" s="13"/>
    </row>
    <row r="252" spans="1:7" ht="15" x14ac:dyDescent="0.25">
      <c r="A252" s="11"/>
      <c r="F252" s="38"/>
    </row>
    <row r="253" spans="1:7" ht="15" x14ac:dyDescent="0.25">
      <c r="A253" s="11"/>
      <c r="B253" s="11">
        <v>1880</v>
      </c>
      <c r="C253" s="14" t="s">
        <v>133</v>
      </c>
      <c r="F253" s="38"/>
    </row>
    <row r="254" spans="1:7" ht="15" x14ac:dyDescent="0.25">
      <c r="A254" s="11"/>
      <c r="C254" s="14" t="s">
        <v>126</v>
      </c>
      <c r="D254" s="13">
        <v>2</v>
      </c>
      <c r="F254" s="38"/>
    </row>
    <row r="255" spans="1:7" ht="15" x14ac:dyDescent="0.25">
      <c r="A255" s="11"/>
      <c r="C255" s="14" t="s">
        <v>132</v>
      </c>
      <c r="D255" s="13">
        <v>1</v>
      </c>
      <c r="F255" s="38"/>
    </row>
    <row r="256" spans="1:7" ht="15" x14ac:dyDescent="0.25">
      <c r="A256" s="11"/>
      <c r="C256" s="14" t="s">
        <v>122</v>
      </c>
      <c r="D256" s="13">
        <v>1</v>
      </c>
      <c r="F256" s="38"/>
    </row>
    <row r="257" spans="1:7" ht="15" x14ac:dyDescent="0.25">
      <c r="A257" s="11"/>
      <c r="C257" s="14" t="s">
        <v>14</v>
      </c>
      <c r="D257" s="13">
        <v>4</v>
      </c>
      <c r="E257" s="13">
        <v>0</v>
      </c>
      <c r="F257" s="38"/>
      <c r="G257" s="13"/>
    </row>
    <row r="258" spans="1:7" ht="15" x14ac:dyDescent="0.25">
      <c r="A258" s="11"/>
      <c r="F258" s="38"/>
    </row>
    <row r="259" spans="1:7" ht="15" x14ac:dyDescent="0.25">
      <c r="B259" s="11">
        <v>1883</v>
      </c>
      <c r="C259" s="14" t="s">
        <v>134</v>
      </c>
      <c r="F259" s="38"/>
    </row>
    <row r="260" spans="1:7" ht="15" x14ac:dyDescent="0.25">
      <c r="C260" s="14" t="s">
        <v>135</v>
      </c>
      <c r="D260" s="13">
        <v>2</v>
      </c>
      <c r="F260" s="38"/>
    </row>
    <row r="261" spans="1:7" ht="15" x14ac:dyDescent="0.25">
      <c r="A261" s="11"/>
      <c r="C261" s="14" t="s">
        <v>14</v>
      </c>
      <c r="D261" s="13">
        <v>2</v>
      </c>
      <c r="E261" s="13">
        <v>0</v>
      </c>
      <c r="F261" s="38"/>
      <c r="G261" s="13"/>
    </row>
    <row r="262" spans="1:7" ht="15" x14ac:dyDescent="0.25">
      <c r="A262" s="11"/>
      <c r="F262" s="38"/>
    </row>
    <row r="263" spans="1:7" ht="15" x14ac:dyDescent="0.25">
      <c r="A263" s="11"/>
      <c r="B263" s="11">
        <v>1884</v>
      </c>
      <c r="C263" s="14" t="s">
        <v>136</v>
      </c>
      <c r="F263" s="38"/>
    </row>
    <row r="264" spans="1:7" ht="15" x14ac:dyDescent="0.25">
      <c r="A264" s="11"/>
      <c r="C264" s="14" t="s">
        <v>137</v>
      </c>
      <c r="D264" s="13">
        <v>1</v>
      </c>
      <c r="F264" s="38"/>
    </row>
    <row r="265" spans="1:7" ht="15" x14ac:dyDescent="0.25">
      <c r="A265" s="11"/>
      <c r="C265" s="14" t="s">
        <v>138</v>
      </c>
      <c r="D265" s="13">
        <v>1</v>
      </c>
      <c r="F265" s="38"/>
    </row>
    <row r="266" spans="1:7" ht="15" x14ac:dyDescent="0.25">
      <c r="A266" s="11"/>
      <c r="C266" s="14" t="s">
        <v>14</v>
      </c>
      <c r="D266" s="13">
        <v>2</v>
      </c>
      <c r="E266" s="13">
        <v>0</v>
      </c>
      <c r="F266" s="38"/>
      <c r="G266" s="13"/>
    </row>
    <row r="267" spans="1:7" ht="15" x14ac:dyDescent="0.25">
      <c r="A267" s="11"/>
      <c r="F267" s="38"/>
    </row>
    <row r="268" spans="1:7" ht="15" x14ac:dyDescent="0.25">
      <c r="A268" s="11"/>
      <c r="B268" s="11">
        <v>1896</v>
      </c>
      <c r="C268" s="14" t="s">
        <v>139</v>
      </c>
      <c r="F268" s="38"/>
    </row>
    <row r="269" spans="1:7" ht="15" x14ac:dyDescent="0.25">
      <c r="A269" s="11"/>
      <c r="C269" s="14" t="s">
        <v>140</v>
      </c>
      <c r="D269" s="13">
        <v>1</v>
      </c>
      <c r="F269" s="38"/>
    </row>
    <row r="270" spans="1:7" ht="15" x14ac:dyDescent="0.25">
      <c r="A270" s="11"/>
      <c r="C270" s="14" t="s">
        <v>14</v>
      </c>
      <c r="D270" s="13">
        <v>1</v>
      </c>
      <c r="E270" s="13">
        <v>0</v>
      </c>
      <c r="F270" s="38"/>
      <c r="G270" s="13"/>
    </row>
    <row r="271" spans="1:7" ht="15" x14ac:dyDescent="0.25">
      <c r="A271" s="11"/>
    </row>
    <row r="272" spans="1:7" ht="15" x14ac:dyDescent="0.25">
      <c r="A272" s="16"/>
      <c r="B272" s="17"/>
      <c r="C272" s="18" t="s">
        <v>15</v>
      </c>
      <c r="D272" s="19">
        <v>45</v>
      </c>
      <c r="E272" s="19">
        <v>0</v>
      </c>
      <c r="F272" s="34"/>
    </row>
    <row r="274" spans="1:6" ht="15" x14ac:dyDescent="0.25">
      <c r="A274" s="15">
        <v>6500</v>
      </c>
      <c r="C274" s="12" t="s">
        <v>141</v>
      </c>
    </row>
    <row r="275" spans="1:6" ht="15" x14ac:dyDescent="0.25">
      <c r="B275" s="11">
        <v>6501</v>
      </c>
      <c r="C275" s="14" t="s">
        <v>142</v>
      </c>
    </row>
    <row r="276" spans="1:6" ht="15" x14ac:dyDescent="0.25">
      <c r="C276" s="14" t="s">
        <v>107</v>
      </c>
      <c r="D276" s="13">
        <v>1</v>
      </c>
      <c r="F276" s="38"/>
    </row>
    <row r="277" spans="1:6" ht="15" x14ac:dyDescent="0.25">
      <c r="C277" s="14" t="s">
        <v>45</v>
      </c>
      <c r="D277" s="13">
        <v>0.75</v>
      </c>
      <c r="F277" s="38"/>
    </row>
    <row r="278" spans="1:6" ht="15" x14ac:dyDescent="0.25">
      <c r="C278" s="14" t="s">
        <v>7</v>
      </c>
      <c r="D278" s="13">
        <v>1</v>
      </c>
      <c r="F278" s="38"/>
    </row>
    <row r="279" spans="1:6" ht="15" x14ac:dyDescent="0.25">
      <c r="C279" s="14" t="s">
        <v>380</v>
      </c>
      <c r="D279" s="13">
        <v>1</v>
      </c>
      <c r="F279" s="38"/>
    </row>
    <row r="280" spans="1:6" ht="15" x14ac:dyDescent="0.25">
      <c r="C280" s="14" t="s">
        <v>169</v>
      </c>
      <c r="D280" s="13">
        <v>1</v>
      </c>
      <c r="F280" s="38"/>
    </row>
    <row r="281" spans="1:6" ht="15" x14ac:dyDescent="0.25">
      <c r="A281" s="23"/>
      <c r="B281" s="15"/>
      <c r="C281" s="14" t="s">
        <v>143</v>
      </c>
      <c r="D281" s="13">
        <v>1</v>
      </c>
      <c r="F281" s="38"/>
    </row>
    <row r="282" spans="1:6" ht="15" x14ac:dyDescent="0.25">
      <c r="C282" s="14" t="s">
        <v>144</v>
      </c>
      <c r="D282" s="13">
        <v>3</v>
      </c>
      <c r="F282" s="38"/>
    </row>
    <row r="283" spans="1:6" ht="15" x14ac:dyDescent="0.25">
      <c r="C283" s="14" t="s">
        <v>32</v>
      </c>
      <c r="D283" s="13">
        <v>3</v>
      </c>
      <c r="F283" s="38"/>
    </row>
    <row r="284" spans="1:6" ht="15" x14ac:dyDescent="0.25">
      <c r="C284" s="14" t="s">
        <v>145</v>
      </c>
      <c r="D284" s="13">
        <v>3.5</v>
      </c>
      <c r="E284" s="13">
        <v>0.5</v>
      </c>
      <c r="F284" s="38">
        <v>41820</v>
      </c>
    </row>
    <row r="285" spans="1:6" ht="15" x14ac:dyDescent="0.25">
      <c r="C285" s="14" t="s">
        <v>146</v>
      </c>
      <c r="D285" s="13">
        <v>1</v>
      </c>
      <c r="F285" s="38"/>
    </row>
    <row r="286" spans="1:6" ht="15" x14ac:dyDescent="0.25">
      <c r="F286" s="38">
        <v>41912</v>
      </c>
    </row>
    <row r="287" spans="1:6" ht="15" x14ac:dyDescent="0.25">
      <c r="C287" s="14" t="s">
        <v>147</v>
      </c>
      <c r="D287" s="13">
        <v>38.75</v>
      </c>
      <c r="E287" s="13">
        <v>1.5</v>
      </c>
      <c r="F287" s="38">
        <v>41820</v>
      </c>
    </row>
    <row r="288" spans="1:6" ht="15" x14ac:dyDescent="0.25">
      <c r="C288" s="14" t="s">
        <v>148</v>
      </c>
      <c r="D288" s="13">
        <v>4</v>
      </c>
      <c r="F288" s="38"/>
    </row>
    <row r="289" spans="1:7" ht="15" x14ac:dyDescent="0.25">
      <c r="C289" s="14" t="s">
        <v>149</v>
      </c>
      <c r="D289" s="13">
        <v>1</v>
      </c>
      <c r="F289" s="38"/>
    </row>
    <row r="290" spans="1:7" ht="15" x14ac:dyDescent="0.25">
      <c r="F290" s="38">
        <v>42369</v>
      </c>
    </row>
    <row r="291" spans="1:7" ht="15" x14ac:dyDescent="0.25">
      <c r="C291" s="14" t="s">
        <v>150</v>
      </c>
      <c r="D291" s="13">
        <v>9</v>
      </c>
      <c r="E291" s="13">
        <v>2</v>
      </c>
      <c r="F291" s="38">
        <v>41820</v>
      </c>
    </row>
    <row r="292" spans="1:7" ht="15" x14ac:dyDescent="0.25">
      <c r="C292" s="14" t="s">
        <v>151</v>
      </c>
      <c r="D292" s="13">
        <v>1</v>
      </c>
      <c r="F292" s="38"/>
    </row>
    <row r="293" spans="1:7" ht="15" x14ac:dyDescent="0.25">
      <c r="C293" s="14" t="s">
        <v>152</v>
      </c>
      <c r="D293" s="13">
        <v>3</v>
      </c>
      <c r="E293" s="13">
        <v>0.5</v>
      </c>
      <c r="F293" s="38">
        <v>41820</v>
      </c>
    </row>
    <row r="294" spans="1:7" ht="15" x14ac:dyDescent="0.25">
      <c r="C294" s="14" t="s">
        <v>153</v>
      </c>
      <c r="D294" s="13">
        <v>11</v>
      </c>
      <c r="F294" s="38"/>
    </row>
    <row r="295" spans="1:7" ht="15" x14ac:dyDescent="0.25">
      <c r="F295" s="38">
        <v>41820</v>
      </c>
    </row>
    <row r="296" spans="1:7" ht="15" x14ac:dyDescent="0.25">
      <c r="C296" s="14" t="s">
        <v>109</v>
      </c>
      <c r="D296" s="13">
        <v>14</v>
      </c>
      <c r="E296" s="13">
        <v>2</v>
      </c>
      <c r="F296" s="38">
        <v>41820</v>
      </c>
    </row>
    <row r="297" spans="1:7" ht="15" x14ac:dyDescent="0.25">
      <c r="C297" s="14" t="s">
        <v>154</v>
      </c>
      <c r="D297" s="13">
        <v>1</v>
      </c>
      <c r="F297" s="38"/>
    </row>
    <row r="298" spans="1:7" ht="15" x14ac:dyDescent="0.25">
      <c r="C298" s="14" t="s">
        <v>29</v>
      </c>
      <c r="D298" s="13">
        <v>1</v>
      </c>
      <c r="F298" s="38"/>
    </row>
    <row r="299" spans="1:7" ht="15" x14ac:dyDescent="0.25">
      <c r="C299" s="14" t="s">
        <v>101</v>
      </c>
      <c r="D299" s="13">
        <v>2</v>
      </c>
      <c r="F299" s="38"/>
    </row>
    <row r="300" spans="1:7" ht="15" x14ac:dyDescent="0.25">
      <c r="C300" s="14" t="s">
        <v>155</v>
      </c>
      <c r="D300" s="13">
        <v>6</v>
      </c>
      <c r="F300" s="38"/>
    </row>
    <row r="301" spans="1:7" ht="15" x14ac:dyDescent="0.25">
      <c r="C301" s="14" t="s">
        <v>156</v>
      </c>
      <c r="D301" s="13">
        <v>4</v>
      </c>
      <c r="F301" s="38"/>
    </row>
    <row r="302" spans="1:7" ht="15" x14ac:dyDescent="0.25">
      <c r="A302" s="11"/>
      <c r="C302" s="14" t="s">
        <v>14</v>
      </c>
      <c r="D302" s="13">
        <v>112</v>
      </c>
      <c r="E302" s="13">
        <v>6.5</v>
      </c>
      <c r="F302" s="38"/>
      <c r="G302" s="13"/>
    </row>
    <row r="303" spans="1:7" ht="15" x14ac:dyDescent="0.25">
      <c r="A303" s="11"/>
      <c r="F303" s="38"/>
    </row>
    <row r="304" spans="1:7" ht="15" x14ac:dyDescent="0.25">
      <c r="A304" s="11"/>
      <c r="B304" s="11">
        <v>6502</v>
      </c>
      <c r="C304" s="14" t="s">
        <v>157</v>
      </c>
      <c r="F304" s="38"/>
    </row>
    <row r="305" spans="1:7" ht="15" x14ac:dyDescent="0.25">
      <c r="A305" s="11"/>
      <c r="C305" s="14" t="s">
        <v>147</v>
      </c>
      <c r="D305" s="13">
        <v>2</v>
      </c>
      <c r="F305" s="38"/>
    </row>
    <row r="306" spans="1:7" ht="15" x14ac:dyDescent="0.25">
      <c r="A306" s="11"/>
      <c r="C306" s="14" t="s">
        <v>148</v>
      </c>
      <c r="D306" s="13">
        <v>2</v>
      </c>
      <c r="F306" s="38"/>
    </row>
    <row r="307" spans="1:7" ht="15" x14ac:dyDescent="0.25">
      <c r="A307" s="11"/>
      <c r="C307" s="14" t="s">
        <v>152</v>
      </c>
      <c r="D307" s="13">
        <v>1</v>
      </c>
      <c r="F307" s="38"/>
    </row>
    <row r="308" spans="1:7" ht="15" x14ac:dyDescent="0.25">
      <c r="A308" s="11"/>
      <c r="C308" s="14" t="s">
        <v>109</v>
      </c>
      <c r="D308" s="13">
        <v>1</v>
      </c>
      <c r="F308" s="38"/>
    </row>
    <row r="309" spans="1:7" s="45" customFormat="1" ht="15" x14ac:dyDescent="0.25">
      <c r="A309" s="11"/>
      <c r="B309" s="11"/>
      <c r="C309" s="14" t="s">
        <v>101</v>
      </c>
      <c r="D309" s="13">
        <v>1</v>
      </c>
      <c r="E309" s="13"/>
      <c r="F309" s="38"/>
    </row>
    <row r="310" spans="1:7" ht="15" x14ac:dyDescent="0.25">
      <c r="A310" s="11"/>
      <c r="C310" s="14" t="s">
        <v>14</v>
      </c>
      <c r="D310" s="13">
        <v>7</v>
      </c>
      <c r="E310" s="13">
        <v>0</v>
      </c>
      <c r="F310" s="38"/>
      <c r="G310" s="13"/>
    </row>
    <row r="311" spans="1:7" ht="15" x14ac:dyDescent="0.25">
      <c r="A311" s="11"/>
    </row>
    <row r="312" spans="1:7" ht="15" x14ac:dyDescent="0.25">
      <c r="A312" s="16"/>
      <c r="B312" s="17"/>
      <c r="C312" s="18" t="s">
        <v>15</v>
      </c>
      <c r="D312" s="19">
        <v>119</v>
      </c>
      <c r="E312" s="19">
        <v>6.5</v>
      </c>
      <c r="F312" s="39"/>
    </row>
    <row r="313" spans="1:7" ht="15" x14ac:dyDescent="0.25">
      <c r="C313" s="12"/>
      <c r="D313" s="22"/>
      <c r="E313" s="22"/>
      <c r="F313" s="40"/>
    </row>
    <row r="314" spans="1:7" ht="15" x14ac:dyDescent="0.25">
      <c r="A314" s="15">
        <v>5500</v>
      </c>
      <c r="C314" s="12" t="s">
        <v>158</v>
      </c>
    </row>
    <row r="315" spans="1:7" ht="15" x14ac:dyDescent="0.25">
      <c r="B315" s="11">
        <v>5501</v>
      </c>
      <c r="C315" s="14" t="s">
        <v>159</v>
      </c>
    </row>
    <row r="316" spans="1:7" ht="15" x14ac:dyDescent="0.25">
      <c r="C316" s="14" t="s">
        <v>160</v>
      </c>
      <c r="D316" s="13">
        <v>1</v>
      </c>
      <c r="F316" s="38"/>
    </row>
    <row r="317" spans="1:7" ht="15" x14ac:dyDescent="0.25">
      <c r="C317" s="14" t="s">
        <v>78</v>
      </c>
      <c r="D317" s="13">
        <v>1</v>
      </c>
      <c r="F317" s="38"/>
    </row>
    <row r="318" spans="1:7" ht="15" x14ac:dyDescent="0.25">
      <c r="A318" s="11"/>
      <c r="C318" s="14" t="s">
        <v>14</v>
      </c>
      <c r="D318" s="13">
        <v>2</v>
      </c>
      <c r="E318" s="13">
        <v>0</v>
      </c>
      <c r="F318" s="38"/>
      <c r="G318" s="13"/>
    </row>
    <row r="319" spans="1:7" ht="15" x14ac:dyDescent="0.25">
      <c r="A319" s="11"/>
      <c r="F319" s="38"/>
    </row>
    <row r="320" spans="1:7" ht="15" x14ac:dyDescent="0.25">
      <c r="A320" s="11"/>
      <c r="B320" s="11">
        <v>5502</v>
      </c>
      <c r="C320" s="14" t="s">
        <v>161</v>
      </c>
      <c r="F320" s="38"/>
    </row>
    <row r="321" spans="1:7" ht="15" x14ac:dyDescent="0.25">
      <c r="A321" s="11"/>
      <c r="F321" s="38">
        <v>41912</v>
      </c>
    </row>
    <row r="322" spans="1:7" ht="15" x14ac:dyDescent="0.25">
      <c r="A322" s="11"/>
      <c r="C322" s="14" t="s">
        <v>162</v>
      </c>
      <c r="D322" s="13">
        <v>2</v>
      </c>
      <c r="E322" s="13">
        <v>2</v>
      </c>
      <c r="F322" s="38">
        <v>41820</v>
      </c>
    </row>
    <row r="323" spans="1:7" ht="15" x14ac:dyDescent="0.25">
      <c r="A323" s="11"/>
      <c r="C323" s="14" t="s">
        <v>163</v>
      </c>
      <c r="D323" s="13">
        <v>1</v>
      </c>
      <c r="E323" s="13">
        <v>1</v>
      </c>
      <c r="F323" s="38">
        <v>41820</v>
      </c>
    </row>
    <row r="324" spans="1:7" ht="15" x14ac:dyDescent="0.25">
      <c r="A324" s="11"/>
      <c r="C324" s="14" t="s">
        <v>14</v>
      </c>
      <c r="D324" s="13">
        <v>3</v>
      </c>
      <c r="E324" s="13">
        <v>3</v>
      </c>
      <c r="F324" s="38"/>
      <c r="G324" s="13"/>
    </row>
    <row r="325" spans="1:7" ht="15" x14ac:dyDescent="0.25">
      <c r="A325" s="11"/>
    </row>
    <row r="326" spans="1:7" ht="15" x14ac:dyDescent="0.25">
      <c r="A326" s="16"/>
      <c r="B326" s="17"/>
      <c r="C326" s="18" t="s">
        <v>15</v>
      </c>
      <c r="D326" s="19">
        <f>D318+D324</f>
        <v>5</v>
      </c>
      <c r="E326" s="19">
        <f>E318+E324</f>
        <v>3</v>
      </c>
      <c r="F326" s="39"/>
    </row>
    <row r="327" spans="1:7" ht="15" x14ac:dyDescent="0.25">
      <c r="C327" s="12"/>
      <c r="D327" s="22"/>
      <c r="E327" s="22"/>
    </row>
    <row r="328" spans="1:7" ht="15" x14ac:dyDescent="0.25">
      <c r="A328" s="15">
        <v>1117</v>
      </c>
      <c r="C328" s="12" t="s">
        <v>167</v>
      </c>
    </row>
    <row r="329" spans="1:7" ht="15" x14ac:dyDescent="0.25">
      <c r="B329" s="11">
        <v>1102</v>
      </c>
      <c r="C329" s="14" t="s">
        <v>168</v>
      </c>
    </row>
    <row r="330" spans="1:7" ht="15" x14ac:dyDescent="0.25">
      <c r="C330" s="14" t="s">
        <v>107</v>
      </c>
      <c r="D330" s="13">
        <v>2</v>
      </c>
      <c r="F330" s="38"/>
      <c r="G330" s="13"/>
    </row>
    <row r="331" spans="1:7" ht="15" x14ac:dyDescent="0.25">
      <c r="C331" s="14" t="s">
        <v>7</v>
      </c>
      <c r="D331" s="13">
        <v>2</v>
      </c>
      <c r="F331" s="38"/>
      <c r="G331" s="13"/>
    </row>
    <row r="332" spans="1:7" ht="15" x14ac:dyDescent="0.25">
      <c r="C332" s="14" t="s">
        <v>169</v>
      </c>
      <c r="D332" s="13">
        <v>1</v>
      </c>
      <c r="F332" s="38"/>
      <c r="G332" s="13"/>
    </row>
    <row r="333" spans="1:7" ht="15" x14ac:dyDescent="0.25">
      <c r="C333" s="14" t="s">
        <v>170</v>
      </c>
      <c r="D333" s="13">
        <v>1</v>
      </c>
      <c r="F333" s="38"/>
      <c r="G333" s="13"/>
    </row>
    <row r="334" spans="1:7" ht="15" x14ac:dyDescent="0.25">
      <c r="C334" s="14" t="s">
        <v>171</v>
      </c>
      <c r="D334" s="13">
        <v>1</v>
      </c>
      <c r="F334" s="38"/>
      <c r="G334" s="13"/>
    </row>
    <row r="335" spans="1:7" ht="15" x14ac:dyDescent="0.25">
      <c r="C335" s="14" t="s">
        <v>29</v>
      </c>
      <c r="D335" s="13">
        <v>1</v>
      </c>
      <c r="F335" s="38"/>
      <c r="G335" s="13"/>
    </row>
    <row r="336" spans="1:7" ht="15" x14ac:dyDescent="0.25">
      <c r="C336" s="14" t="s">
        <v>102</v>
      </c>
      <c r="D336" s="13">
        <v>1</v>
      </c>
      <c r="F336" s="38"/>
      <c r="G336" s="13"/>
    </row>
    <row r="337" spans="1:7" ht="15" x14ac:dyDescent="0.25">
      <c r="A337" s="11"/>
      <c r="C337" s="14" t="s">
        <v>14</v>
      </c>
      <c r="D337" s="13">
        <v>9</v>
      </c>
      <c r="E337" s="13">
        <v>0</v>
      </c>
      <c r="F337" s="38"/>
      <c r="G337" s="13"/>
    </row>
    <row r="338" spans="1:7" ht="15" x14ac:dyDescent="0.25">
      <c r="A338" s="20"/>
      <c r="F338" s="38"/>
    </row>
    <row r="339" spans="1:7" ht="15" x14ac:dyDescent="0.25">
      <c r="A339" s="11"/>
      <c r="B339" s="11">
        <v>1270</v>
      </c>
      <c r="C339" s="14" t="s">
        <v>172</v>
      </c>
      <c r="F339" s="38"/>
    </row>
    <row r="340" spans="1:7" ht="15" x14ac:dyDescent="0.25">
      <c r="A340" s="11"/>
      <c r="C340" s="14" t="s">
        <v>173</v>
      </c>
      <c r="D340" s="13">
        <v>1</v>
      </c>
      <c r="F340" s="38"/>
    </row>
    <row r="341" spans="1:7" ht="15" x14ac:dyDescent="0.25">
      <c r="A341" s="11"/>
      <c r="C341" s="14" t="s">
        <v>174</v>
      </c>
      <c r="D341" s="13">
        <v>1</v>
      </c>
      <c r="F341" s="38"/>
    </row>
    <row r="342" spans="1:7" ht="15" x14ac:dyDescent="0.25">
      <c r="A342" s="11"/>
      <c r="C342" s="14" t="s">
        <v>175</v>
      </c>
      <c r="D342" s="13">
        <v>2</v>
      </c>
      <c r="F342" s="38"/>
    </row>
    <row r="343" spans="1:7" ht="15" x14ac:dyDescent="0.25">
      <c r="A343" s="11"/>
      <c r="C343" s="14" t="s">
        <v>176</v>
      </c>
      <c r="D343" s="13">
        <v>1</v>
      </c>
      <c r="F343" s="38"/>
    </row>
    <row r="344" spans="1:7" ht="15" x14ac:dyDescent="0.25">
      <c r="A344" s="11"/>
      <c r="C344" s="14" t="s">
        <v>14</v>
      </c>
      <c r="D344" s="13">
        <v>5</v>
      </c>
      <c r="E344" s="13">
        <v>0</v>
      </c>
      <c r="F344" s="38"/>
      <c r="G344" s="13"/>
    </row>
    <row r="345" spans="1:7" ht="15" x14ac:dyDescent="0.25">
      <c r="A345" s="11"/>
      <c r="F345" s="38"/>
    </row>
    <row r="346" spans="1:7" ht="15" x14ac:dyDescent="0.25">
      <c r="A346" s="11"/>
      <c r="B346" s="11">
        <v>1280</v>
      </c>
      <c r="C346" s="14" t="s">
        <v>177</v>
      </c>
      <c r="F346" s="38"/>
    </row>
    <row r="347" spans="1:7" ht="15" x14ac:dyDescent="0.25">
      <c r="A347" s="11"/>
      <c r="C347" s="14" t="s">
        <v>169</v>
      </c>
      <c r="D347" s="13">
        <v>1</v>
      </c>
      <c r="F347" s="38"/>
    </row>
    <row r="348" spans="1:7" ht="15" x14ac:dyDescent="0.25">
      <c r="A348" s="11"/>
      <c r="C348" s="14" t="s">
        <v>178</v>
      </c>
      <c r="D348" s="13">
        <v>2</v>
      </c>
      <c r="F348" s="38"/>
    </row>
    <row r="349" spans="1:7" ht="15" x14ac:dyDescent="0.25">
      <c r="A349" s="11"/>
      <c r="C349" s="14" t="s">
        <v>179</v>
      </c>
      <c r="D349" s="13">
        <v>1</v>
      </c>
      <c r="F349" s="38"/>
    </row>
    <row r="350" spans="1:7" ht="15" x14ac:dyDescent="0.25">
      <c r="A350" s="11"/>
      <c r="C350" s="14" t="s">
        <v>180</v>
      </c>
      <c r="D350" s="13">
        <v>1</v>
      </c>
      <c r="F350" s="38"/>
    </row>
    <row r="351" spans="1:7" ht="15" x14ac:dyDescent="0.25">
      <c r="A351" s="11"/>
      <c r="C351" s="14" t="s">
        <v>181</v>
      </c>
      <c r="D351" s="13">
        <v>2</v>
      </c>
      <c r="F351" s="38"/>
    </row>
    <row r="352" spans="1:7" ht="15" x14ac:dyDescent="0.25">
      <c r="A352" s="11"/>
      <c r="C352" s="14" t="s">
        <v>182</v>
      </c>
      <c r="D352" s="13">
        <v>1</v>
      </c>
      <c r="F352" s="38"/>
    </row>
    <row r="353" spans="1:7" ht="15" x14ac:dyDescent="0.25">
      <c r="A353" s="11"/>
      <c r="C353" s="14" t="s">
        <v>183</v>
      </c>
      <c r="D353" s="13">
        <v>1</v>
      </c>
      <c r="F353" s="38"/>
    </row>
    <row r="354" spans="1:7" ht="15" x14ac:dyDescent="0.25">
      <c r="A354" s="11"/>
      <c r="C354" s="14" t="s">
        <v>184</v>
      </c>
      <c r="D354" s="13">
        <v>1</v>
      </c>
      <c r="F354" s="38"/>
    </row>
    <row r="355" spans="1:7" ht="15" x14ac:dyDescent="0.25">
      <c r="A355" s="11"/>
      <c r="C355" s="14" t="s">
        <v>14</v>
      </c>
      <c r="D355" s="13">
        <v>10</v>
      </c>
      <c r="E355" s="13">
        <v>0</v>
      </c>
      <c r="F355" s="38"/>
      <c r="G355" s="13"/>
    </row>
    <row r="356" spans="1:7" ht="15" x14ac:dyDescent="0.25">
      <c r="A356" s="11"/>
      <c r="F356" s="38"/>
    </row>
    <row r="357" spans="1:7" ht="15" x14ac:dyDescent="0.25">
      <c r="A357" s="11"/>
      <c r="B357" s="11">
        <v>1650</v>
      </c>
      <c r="C357" s="14" t="s">
        <v>185</v>
      </c>
      <c r="F357" s="38"/>
    </row>
    <row r="358" spans="1:7" ht="15" x14ac:dyDescent="0.25">
      <c r="A358" s="11"/>
      <c r="C358" s="14" t="s">
        <v>186</v>
      </c>
      <c r="D358" s="13">
        <v>4</v>
      </c>
      <c r="F358" s="38"/>
    </row>
    <row r="359" spans="1:7" ht="15" x14ac:dyDescent="0.25">
      <c r="A359" s="11"/>
      <c r="C359" s="14" t="s">
        <v>187</v>
      </c>
      <c r="D359" s="13">
        <v>8</v>
      </c>
      <c r="F359" s="38"/>
    </row>
    <row r="360" spans="1:7" ht="15" x14ac:dyDescent="0.25">
      <c r="A360" s="11"/>
      <c r="C360" s="14" t="s">
        <v>188</v>
      </c>
      <c r="D360" s="13">
        <v>1</v>
      </c>
      <c r="F360" s="38"/>
    </row>
    <row r="361" spans="1:7" ht="15" x14ac:dyDescent="0.25">
      <c r="A361" s="11"/>
      <c r="C361" s="14" t="s">
        <v>189</v>
      </c>
      <c r="D361" s="13">
        <v>2</v>
      </c>
      <c r="F361" s="38"/>
    </row>
    <row r="362" spans="1:7" ht="15" x14ac:dyDescent="0.25">
      <c r="A362" s="11"/>
      <c r="C362" s="14" t="s">
        <v>29</v>
      </c>
      <c r="D362" s="13">
        <v>1</v>
      </c>
      <c r="F362" s="38"/>
    </row>
    <row r="363" spans="1:7" ht="15" x14ac:dyDescent="0.25">
      <c r="A363" s="11"/>
      <c r="C363" s="14" t="s">
        <v>33</v>
      </c>
      <c r="D363" s="13">
        <v>1</v>
      </c>
      <c r="F363" s="38"/>
    </row>
    <row r="364" spans="1:7" ht="15" x14ac:dyDescent="0.25">
      <c r="A364" s="11"/>
      <c r="C364" s="14" t="s">
        <v>190</v>
      </c>
      <c r="D364" s="13">
        <v>1</v>
      </c>
      <c r="F364" s="38"/>
    </row>
    <row r="365" spans="1:7" ht="15" x14ac:dyDescent="0.25">
      <c r="A365" s="11"/>
      <c r="C365" s="14" t="s">
        <v>191</v>
      </c>
      <c r="D365" s="13">
        <v>7</v>
      </c>
      <c r="F365" s="38"/>
    </row>
    <row r="366" spans="1:7" ht="15" x14ac:dyDescent="0.25">
      <c r="A366" s="11"/>
      <c r="C366" s="14" t="s">
        <v>192</v>
      </c>
      <c r="D366" s="13">
        <v>1</v>
      </c>
      <c r="F366" s="38"/>
    </row>
    <row r="367" spans="1:7" ht="15" x14ac:dyDescent="0.25">
      <c r="A367" s="11"/>
      <c r="C367" s="14" t="s">
        <v>14</v>
      </c>
      <c r="D367" s="13">
        <v>26</v>
      </c>
      <c r="E367" s="13">
        <v>0</v>
      </c>
      <c r="F367" s="38"/>
      <c r="G367" s="13"/>
    </row>
    <row r="368" spans="1:7" ht="15" x14ac:dyDescent="0.25">
      <c r="A368" s="11"/>
      <c r="F368" s="38"/>
    </row>
    <row r="369" spans="1:7" ht="15" x14ac:dyDescent="0.25">
      <c r="A369" s="11"/>
      <c r="B369" s="11">
        <v>1658</v>
      </c>
      <c r="C369" s="14" t="s">
        <v>193</v>
      </c>
      <c r="F369" s="38"/>
    </row>
    <row r="370" spans="1:7" ht="15" x14ac:dyDescent="0.25">
      <c r="A370" s="11"/>
      <c r="C370" s="14" t="s">
        <v>194</v>
      </c>
      <c r="D370" s="13">
        <v>4</v>
      </c>
      <c r="F370" s="38"/>
    </row>
    <row r="371" spans="1:7" ht="15" x14ac:dyDescent="0.25">
      <c r="A371" s="11"/>
      <c r="C371" s="14" t="s">
        <v>195</v>
      </c>
      <c r="D371" s="13">
        <v>1</v>
      </c>
      <c r="F371" s="38"/>
    </row>
    <row r="372" spans="1:7" ht="15" x14ac:dyDescent="0.25">
      <c r="A372" s="11"/>
      <c r="C372" s="14" t="s">
        <v>14</v>
      </c>
      <c r="D372" s="13">
        <v>5</v>
      </c>
      <c r="E372" s="13">
        <v>0</v>
      </c>
      <c r="F372" s="38"/>
      <c r="G372" s="13"/>
    </row>
    <row r="373" spans="1:7" ht="15" x14ac:dyDescent="0.25">
      <c r="A373" s="11"/>
      <c r="F373" s="38"/>
    </row>
    <row r="374" spans="1:7" ht="15" x14ac:dyDescent="0.25">
      <c r="A374" s="11"/>
      <c r="B374" s="11">
        <v>1659</v>
      </c>
      <c r="C374" s="14" t="s">
        <v>196</v>
      </c>
      <c r="F374" s="38"/>
    </row>
    <row r="375" spans="1:7" ht="15" x14ac:dyDescent="0.25">
      <c r="A375" s="11"/>
      <c r="C375" s="14" t="s">
        <v>197</v>
      </c>
      <c r="D375" s="13">
        <v>2</v>
      </c>
      <c r="F375" s="38"/>
    </row>
    <row r="376" spans="1:7" ht="15" x14ac:dyDescent="0.25">
      <c r="A376" s="11"/>
      <c r="C376" s="14" t="s">
        <v>198</v>
      </c>
      <c r="D376" s="13">
        <v>20</v>
      </c>
      <c r="F376" s="38"/>
    </row>
    <row r="377" spans="1:7" ht="15" x14ac:dyDescent="0.25">
      <c r="A377" s="11"/>
      <c r="C377" s="14" t="s">
        <v>199</v>
      </c>
      <c r="D377" s="13">
        <v>3</v>
      </c>
      <c r="F377" s="38"/>
    </row>
    <row r="378" spans="1:7" ht="15" x14ac:dyDescent="0.25">
      <c r="A378" s="11"/>
      <c r="C378" s="14" t="s">
        <v>14</v>
      </c>
      <c r="D378" s="13">
        <v>25</v>
      </c>
      <c r="E378" s="13">
        <v>0</v>
      </c>
      <c r="F378" s="38"/>
      <c r="G378" s="13"/>
    </row>
    <row r="379" spans="1:7" ht="15" x14ac:dyDescent="0.25">
      <c r="C379" s="12"/>
      <c r="D379" s="22"/>
      <c r="E379" s="22"/>
    </row>
    <row r="380" spans="1:7" ht="15" x14ac:dyDescent="0.25">
      <c r="A380" s="16"/>
      <c r="B380" s="17"/>
      <c r="C380" s="18" t="s">
        <v>15</v>
      </c>
      <c r="D380" s="19">
        <v>80</v>
      </c>
      <c r="E380" s="19">
        <v>0</v>
      </c>
      <c r="F380" s="34"/>
    </row>
    <row r="381" spans="1:7" ht="15" x14ac:dyDescent="0.25">
      <c r="C381" s="12"/>
      <c r="D381" s="22"/>
      <c r="E381" s="22"/>
    </row>
    <row r="382" spans="1:7" ht="15" x14ac:dyDescent="0.25">
      <c r="A382" s="15">
        <v>1642</v>
      </c>
      <c r="C382" s="12" t="s">
        <v>200</v>
      </c>
    </row>
    <row r="383" spans="1:7" ht="15" x14ac:dyDescent="0.25">
      <c r="C383" s="14" t="s">
        <v>201</v>
      </c>
      <c r="D383" s="13">
        <v>1</v>
      </c>
      <c r="F383" s="38"/>
    </row>
    <row r="384" spans="1:7" ht="15" x14ac:dyDescent="0.25">
      <c r="A384" s="11"/>
      <c r="C384" s="14" t="s">
        <v>14</v>
      </c>
      <c r="D384" s="13">
        <v>1</v>
      </c>
      <c r="E384" s="13">
        <v>0</v>
      </c>
      <c r="F384" s="38"/>
      <c r="G384" s="13"/>
    </row>
    <row r="385" spans="1:6" ht="15" x14ac:dyDescent="0.25">
      <c r="C385" s="12"/>
      <c r="D385" s="22"/>
    </row>
    <row r="386" spans="1:6" ht="15" x14ac:dyDescent="0.25">
      <c r="A386" s="16"/>
      <c r="B386" s="17"/>
      <c r="C386" s="18" t="s">
        <v>15</v>
      </c>
      <c r="D386" s="19">
        <v>1</v>
      </c>
      <c r="E386" s="19">
        <v>0</v>
      </c>
      <c r="F386" s="34"/>
    </row>
    <row r="388" spans="1:6" ht="15" x14ac:dyDescent="0.25">
      <c r="A388" s="15">
        <v>2801</v>
      </c>
      <c r="C388" s="12" t="s">
        <v>164</v>
      </c>
      <c r="D388" s="22"/>
      <c r="E388" s="22"/>
    </row>
    <row r="389" spans="1:6" ht="15" x14ac:dyDescent="0.25">
      <c r="B389" s="11">
        <v>2802</v>
      </c>
      <c r="C389" s="12" t="s">
        <v>165</v>
      </c>
      <c r="D389" s="22"/>
      <c r="E389" s="22"/>
    </row>
    <row r="390" spans="1:6" ht="15" x14ac:dyDescent="0.25">
      <c r="C390" s="14" t="s">
        <v>166</v>
      </c>
      <c r="D390" s="13">
        <v>0.6</v>
      </c>
      <c r="E390" s="13">
        <v>0.6</v>
      </c>
      <c r="F390" s="38">
        <v>41820</v>
      </c>
    </row>
    <row r="391" spans="1:6" ht="15" x14ac:dyDescent="0.25">
      <c r="C391" s="14" t="s">
        <v>14</v>
      </c>
      <c r="D391" s="13">
        <v>0.6</v>
      </c>
      <c r="E391" s="13">
        <v>0.6</v>
      </c>
      <c r="F391" s="38"/>
    </row>
    <row r="392" spans="1:6" ht="15" x14ac:dyDescent="0.25">
      <c r="C392" s="12"/>
      <c r="D392" s="22"/>
      <c r="E392" s="22"/>
    </row>
    <row r="393" spans="1:6" ht="15" x14ac:dyDescent="0.25">
      <c r="A393" s="16"/>
      <c r="B393" s="17"/>
      <c r="C393" s="18" t="s">
        <v>15</v>
      </c>
      <c r="D393" s="19">
        <v>0.6</v>
      </c>
      <c r="E393" s="19">
        <v>0.6</v>
      </c>
      <c r="F393" s="34"/>
    </row>
    <row r="394" spans="1:6" s="32" customFormat="1" ht="15" x14ac:dyDescent="0.25">
      <c r="A394" s="24"/>
      <c r="B394" s="25"/>
      <c r="C394" s="30"/>
      <c r="D394" s="31"/>
      <c r="E394" s="31"/>
      <c r="F394" s="35"/>
    </row>
    <row r="395" spans="1:6" ht="15" x14ac:dyDescent="0.25">
      <c r="A395" s="15">
        <v>3100</v>
      </c>
      <c r="C395" s="12" t="s">
        <v>202</v>
      </c>
    </row>
    <row r="396" spans="1:6" ht="15" x14ac:dyDescent="0.25">
      <c r="C396" s="14" t="s">
        <v>203</v>
      </c>
      <c r="D396" s="13">
        <v>5</v>
      </c>
      <c r="F396" s="38"/>
    </row>
    <row r="397" spans="1:6" ht="15" x14ac:dyDescent="0.25">
      <c r="B397" s="43"/>
      <c r="C397" s="14" t="s">
        <v>503</v>
      </c>
      <c r="D397" s="13">
        <v>1</v>
      </c>
      <c r="F397" s="38"/>
    </row>
    <row r="398" spans="1:6" ht="15" x14ac:dyDescent="0.25">
      <c r="C398" s="14" t="s">
        <v>204</v>
      </c>
      <c r="D398" s="13">
        <v>1</v>
      </c>
      <c r="F398" s="38"/>
    </row>
    <row r="399" spans="1:6" ht="15" x14ac:dyDescent="0.25">
      <c r="C399" s="14" t="s">
        <v>205</v>
      </c>
      <c r="D399" s="13">
        <v>1</v>
      </c>
      <c r="F399" s="38"/>
    </row>
    <row r="400" spans="1:6" ht="15" x14ac:dyDescent="0.25">
      <c r="C400" s="14" t="s">
        <v>33</v>
      </c>
      <c r="D400" s="13">
        <v>1</v>
      </c>
      <c r="F400" s="38"/>
    </row>
    <row r="401" spans="1:7" ht="15" x14ac:dyDescent="0.25">
      <c r="A401" s="11"/>
      <c r="C401" s="14" t="s">
        <v>14</v>
      </c>
      <c r="D401" s="13">
        <v>9</v>
      </c>
      <c r="E401" s="13">
        <v>0</v>
      </c>
      <c r="F401" s="38"/>
      <c r="G401" s="13"/>
    </row>
    <row r="403" spans="1:7" ht="15" x14ac:dyDescent="0.25">
      <c r="A403" s="16"/>
      <c r="B403" s="17"/>
      <c r="C403" s="18" t="s">
        <v>15</v>
      </c>
      <c r="D403" s="19">
        <v>9</v>
      </c>
      <c r="E403" s="19">
        <v>0</v>
      </c>
      <c r="F403" s="34"/>
    </row>
    <row r="404" spans="1:7" ht="15" x14ac:dyDescent="0.25">
      <c r="C404" s="12"/>
      <c r="D404" s="22"/>
      <c r="E404" s="22"/>
    </row>
    <row r="405" spans="1:7" ht="15" x14ac:dyDescent="0.25">
      <c r="A405" s="15">
        <v>9000</v>
      </c>
      <c r="C405" s="12" t="s">
        <v>206</v>
      </c>
    </row>
    <row r="406" spans="1:7" ht="15" x14ac:dyDescent="0.25">
      <c r="B406" s="11">
        <v>9002</v>
      </c>
      <c r="C406" s="14" t="s">
        <v>207</v>
      </c>
    </row>
    <row r="407" spans="1:7" ht="15" x14ac:dyDescent="0.25">
      <c r="C407" s="14" t="s">
        <v>208</v>
      </c>
      <c r="D407" s="13">
        <v>1</v>
      </c>
      <c r="F407" s="38"/>
    </row>
    <row r="408" spans="1:7" ht="15" x14ac:dyDescent="0.25">
      <c r="C408" s="14" t="s">
        <v>187</v>
      </c>
      <c r="D408" s="13">
        <v>1</v>
      </c>
      <c r="F408" s="38"/>
    </row>
    <row r="409" spans="1:7" ht="15" x14ac:dyDescent="0.25">
      <c r="C409" s="14" t="s">
        <v>30</v>
      </c>
      <c r="D409" s="13">
        <v>1</v>
      </c>
      <c r="F409" s="38"/>
    </row>
    <row r="410" spans="1:7" ht="15" x14ac:dyDescent="0.25">
      <c r="A410" s="11"/>
      <c r="C410" s="14" t="s">
        <v>14</v>
      </c>
      <c r="D410" s="13">
        <v>3</v>
      </c>
      <c r="E410" s="13">
        <v>0</v>
      </c>
      <c r="F410" s="38"/>
      <c r="G410" s="13"/>
    </row>
    <row r="411" spans="1:7" ht="9" customHeight="1" x14ac:dyDescent="0.25">
      <c r="C411" s="12"/>
      <c r="D411" s="22"/>
    </row>
    <row r="412" spans="1:7" ht="15" x14ac:dyDescent="0.25">
      <c r="A412" s="16"/>
      <c r="B412" s="17"/>
      <c r="C412" s="18" t="s">
        <v>15</v>
      </c>
      <c r="D412" s="19">
        <v>3</v>
      </c>
      <c r="E412" s="19">
        <v>0</v>
      </c>
      <c r="F412" s="34"/>
    </row>
    <row r="413" spans="1:7" ht="5.25" customHeight="1" x14ac:dyDescent="0.25"/>
    <row r="414" spans="1:7" ht="15" x14ac:dyDescent="0.25">
      <c r="C414" s="12" t="s">
        <v>209</v>
      </c>
    </row>
    <row r="415" spans="1:7" ht="15" x14ac:dyDescent="0.25">
      <c r="A415" s="15">
        <v>7501</v>
      </c>
      <c r="B415" s="15"/>
      <c r="C415" s="14" t="s">
        <v>210</v>
      </c>
    </row>
    <row r="416" spans="1:7" ht="15" x14ac:dyDescent="0.25">
      <c r="C416" s="14" t="s">
        <v>107</v>
      </c>
      <c r="D416" s="13">
        <v>7</v>
      </c>
      <c r="F416" s="38"/>
    </row>
    <row r="417" spans="3:6" ht="15" x14ac:dyDescent="0.25">
      <c r="C417" s="14" t="s">
        <v>211</v>
      </c>
      <c r="D417" s="13">
        <v>2</v>
      </c>
      <c r="F417" s="38"/>
    </row>
    <row r="418" spans="3:6" ht="15" x14ac:dyDescent="0.25">
      <c r="C418" s="14" t="s">
        <v>212</v>
      </c>
      <c r="D418" s="13">
        <v>10</v>
      </c>
      <c r="F418" s="38"/>
    </row>
    <row r="419" spans="3:6" ht="15" x14ac:dyDescent="0.25">
      <c r="C419" s="14" t="s">
        <v>45</v>
      </c>
      <c r="D419" s="13">
        <v>4</v>
      </c>
      <c r="F419" s="38"/>
    </row>
    <row r="420" spans="3:6" ht="15" x14ac:dyDescent="0.25">
      <c r="C420" s="14" t="s">
        <v>108</v>
      </c>
      <c r="D420" s="13">
        <v>4</v>
      </c>
      <c r="F420" s="38"/>
    </row>
    <row r="421" spans="3:6" ht="15" x14ac:dyDescent="0.25">
      <c r="C421" s="14" t="s">
        <v>7</v>
      </c>
      <c r="D421" s="13">
        <v>14</v>
      </c>
      <c r="F421" s="38"/>
    </row>
    <row r="422" spans="3:6" ht="15" x14ac:dyDescent="0.25">
      <c r="C422" s="14" t="s">
        <v>169</v>
      </c>
      <c r="D422" s="13">
        <v>2</v>
      </c>
      <c r="F422" s="38"/>
    </row>
    <row r="423" spans="3:6" ht="15" x14ac:dyDescent="0.25">
      <c r="C423" s="14" t="s">
        <v>213</v>
      </c>
      <c r="D423" s="13">
        <v>1</v>
      </c>
      <c r="F423" s="38"/>
    </row>
    <row r="424" spans="3:6" ht="15" x14ac:dyDescent="0.25">
      <c r="C424" s="14" t="s">
        <v>214</v>
      </c>
      <c r="D424" s="13">
        <v>1</v>
      </c>
      <c r="F424" s="38"/>
    </row>
    <row r="425" spans="3:6" ht="15" x14ac:dyDescent="0.25">
      <c r="C425" s="14" t="s">
        <v>215</v>
      </c>
      <c r="D425" s="13">
        <v>1</v>
      </c>
      <c r="F425" s="38"/>
    </row>
    <row r="426" spans="3:6" ht="15" x14ac:dyDescent="0.25">
      <c r="C426" s="14" t="s">
        <v>517</v>
      </c>
      <c r="D426" s="13">
        <v>4</v>
      </c>
      <c r="F426" s="38"/>
    </row>
    <row r="427" spans="3:6" ht="15" x14ac:dyDescent="0.25">
      <c r="C427" s="14" t="s">
        <v>181</v>
      </c>
      <c r="D427" s="13">
        <v>2</v>
      </c>
      <c r="F427" s="38"/>
    </row>
    <row r="428" spans="3:6" ht="15" x14ac:dyDescent="0.25">
      <c r="C428" s="14" t="s">
        <v>216</v>
      </c>
      <c r="D428" s="13">
        <v>1</v>
      </c>
      <c r="F428" s="38"/>
    </row>
    <row r="429" spans="3:6" ht="15" x14ac:dyDescent="0.25">
      <c r="C429" s="14" t="s">
        <v>217</v>
      </c>
      <c r="D429" s="13">
        <v>1</v>
      </c>
      <c r="F429" s="38"/>
    </row>
    <row r="430" spans="3:6" ht="15" x14ac:dyDescent="0.25">
      <c r="C430" s="14" t="s">
        <v>182</v>
      </c>
      <c r="D430" s="13">
        <v>2</v>
      </c>
      <c r="F430" s="38"/>
    </row>
    <row r="431" spans="3:6" ht="15" x14ac:dyDescent="0.25">
      <c r="C431" s="14" t="s">
        <v>29</v>
      </c>
      <c r="D431" s="13">
        <v>2.5</v>
      </c>
      <c r="F431" s="38"/>
    </row>
    <row r="432" spans="3:6" ht="15" x14ac:dyDescent="0.25">
      <c r="C432" s="14" t="s">
        <v>30</v>
      </c>
      <c r="D432" s="13">
        <v>1</v>
      </c>
      <c r="F432" s="38"/>
    </row>
    <row r="433" spans="1:7" ht="15" x14ac:dyDescent="0.25">
      <c r="C433" s="14" t="s">
        <v>33</v>
      </c>
      <c r="D433" s="13">
        <v>1</v>
      </c>
      <c r="F433" s="38"/>
    </row>
    <row r="434" spans="1:7" ht="15" x14ac:dyDescent="0.25">
      <c r="C434" s="14" t="s">
        <v>218</v>
      </c>
      <c r="D434" s="13">
        <v>1</v>
      </c>
      <c r="F434" s="38"/>
    </row>
    <row r="435" spans="1:7" ht="15" x14ac:dyDescent="0.25">
      <c r="C435" s="14" t="s">
        <v>219</v>
      </c>
      <c r="D435" s="13">
        <v>1</v>
      </c>
      <c r="F435" s="38"/>
    </row>
    <row r="436" spans="1:7" ht="15" x14ac:dyDescent="0.25">
      <c r="C436" s="14" t="s">
        <v>220</v>
      </c>
      <c r="D436" s="13">
        <v>3</v>
      </c>
      <c r="F436" s="38"/>
    </row>
    <row r="437" spans="1:7" ht="15" x14ac:dyDescent="0.25">
      <c r="C437" s="14" t="s">
        <v>221</v>
      </c>
      <c r="D437" s="13">
        <v>1</v>
      </c>
      <c r="F437" s="38"/>
    </row>
    <row r="438" spans="1:7" ht="15" x14ac:dyDescent="0.25">
      <c r="C438" s="14" t="s">
        <v>508</v>
      </c>
      <c r="D438" s="13">
        <v>1</v>
      </c>
      <c r="F438" s="38"/>
    </row>
    <row r="439" spans="1:7" ht="15" x14ac:dyDescent="0.25">
      <c r="C439" s="14" t="s">
        <v>222</v>
      </c>
      <c r="D439" s="13">
        <v>7</v>
      </c>
      <c r="F439" s="38"/>
    </row>
    <row r="440" spans="1:7" ht="15" x14ac:dyDescent="0.25">
      <c r="C440" s="14" t="s">
        <v>102</v>
      </c>
      <c r="D440" s="13">
        <v>4</v>
      </c>
      <c r="F440" s="38"/>
    </row>
    <row r="441" spans="1:7" ht="15" x14ac:dyDescent="0.25">
      <c r="A441" s="11"/>
      <c r="C441" s="14" t="s">
        <v>14</v>
      </c>
      <c r="D441" s="13">
        <v>78.5</v>
      </c>
      <c r="E441" s="13">
        <v>0</v>
      </c>
      <c r="F441" s="38"/>
      <c r="G441" s="13"/>
    </row>
    <row r="442" spans="1:7" ht="12" customHeight="1" x14ac:dyDescent="0.25">
      <c r="C442" s="12"/>
      <c r="F442" s="38"/>
    </row>
    <row r="443" spans="1:7" ht="15" x14ac:dyDescent="0.25">
      <c r="A443" s="15">
        <v>7680</v>
      </c>
      <c r="B443" s="15"/>
      <c r="C443" s="12" t="s">
        <v>223</v>
      </c>
      <c r="F443" s="38"/>
    </row>
    <row r="444" spans="1:7" ht="15" x14ac:dyDescent="0.25">
      <c r="B444" s="11">
        <v>7545</v>
      </c>
      <c r="C444" s="14" t="s">
        <v>224</v>
      </c>
      <c r="F444" s="38"/>
    </row>
    <row r="445" spans="1:7" ht="15" x14ac:dyDescent="0.25">
      <c r="C445" s="14" t="s">
        <v>45</v>
      </c>
      <c r="D445" s="13">
        <v>7</v>
      </c>
      <c r="F445" s="38"/>
    </row>
    <row r="446" spans="1:7" ht="15" x14ac:dyDescent="0.25">
      <c r="C446" s="14" t="s">
        <v>108</v>
      </c>
      <c r="D446" s="13">
        <v>3</v>
      </c>
      <c r="F446" s="38"/>
    </row>
    <row r="447" spans="1:7" ht="15" x14ac:dyDescent="0.25">
      <c r="C447" s="14" t="s">
        <v>7</v>
      </c>
      <c r="D447" s="13">
        <v>4</v>
      </c>
      <c r="F447" s="38"/>
    </row>
    <row r="448" spans="1:7" ht="15" x14ac:dyDescent="0.25">
      <c r="C448" s="14" t="s">
        <v>225</v>
      </c>
      <c r="D448" s="13">
        <v>11</v>
      </c>
      <c r="F448" s="38"/>
    </row>
    <row r="449" spans="1:7" ht="15" x14ac:dyDescent="0.25">
      <c r="C449" s="14" t="s">
        <v>226</v>
      </c>
      <c r="D449" s="13">
        <v>4</v>
      </c>
      <c r="F449" s="38"/>
    </row>
    <row r="450" spans="1:7" ht="15" x14ac:dyDescent="0.25">
      <c r="C450" s="14" t="s">
        <v>29</v>
      </c>
      <c r="D450" s="13">
        <v>2</v>
      </c>
      <c r="F450" s="38"/>
    </row>
    <row r="451" spans="1:7" ht="15" x14ac:dyDescent="0.25">
      <c r="C451" s="14" t="s">
        <v>30</v>
      </c>
      <c r="D451" s="13">
        <v>7</v>
      </c>
      <c r="F451" s="38"/>
    </row>
    <row r="452" spans="1:7" ht="15" x14ac:dyDescent="0.25">
      <c r="C452" s="14" t="s">
        <v>33</v>
      </c>
      <c r="D452" s="13">
        <v>1</v>
      </c>
      <c r="F452" s="38"/>
    </row>
    <row r="453" spans="1:7" ht="15" x14ac:dyDescent="0.25">
      <c r="C453" s="14" t="s">
        <v>227</v>
      </c>
      <c r="D453" s="13">
        <v>3</v>
      </c>
      <c r="F453" s="38"/>
    </row>
    <row r="454" spans="1:7" ht="15" x14ac:dyDescent="0.25">
      <c r="C454" s="14" t="s">
        <v>228</v>
      </c>
      <c r="D454" s="13">
        <v>1</v>
      </c>
      <c r="F454" s="38"/>
    </row>
    <row r="455" spans="1:7" ht="15" x14ac:dyDescent="0.25">
      <c r="C455" s="14" t="s">
        <v>229</v>
      </c>
      <c r="D455" s="13">
        <v>7</v>
      </c>
      <c r="F455" s="38"/>
    </row>
    <row r="456" spans="1:7" ht="15" x14ac:dyDescent="0.25">
      <c r="C456" s="14" t="s">
        <v>230</v>
      </c>
      <c r="D456" s="13">
        <v>1</v>
      </c>
      <c r="F456" s="38"/>
    </row>
    <row r="457" spans="1:7" ht="15" x14ac:dyDescent="0.25">
      <c r="A457" s="11"/>
      <c r="C457" s="14" t="s">
        <v>14</v>
      </c>
      <c r="D457" s="13">
        <v>51</v>
      </c>
      <c r="E457" s="13">
        <v>0</v>
      </c>
      <c r="F457" s="38"/>
      <c r="G457" s="13"/>
    </row>
    <row r="458" spans="1:7" ht="15" x14ac:dyDescent="0.25">
      <c r="C458" s="12"/>
      <c r="F458" s="38"/>
    </row>
    <row r="459" spans="1:7" ht="15" x14ac:dyDescent="0.25">
      <c r="B459" s="11">
        <v>7600</v>
      </c>
      <c r="C459" s="14" t="s">
        <v>231</v>
      </c>
      <c r="F459" s="38"/>
    </row>
    <row r="460" spans="1:7" ht="15" x14ac:dyDescent="0.25">
      <c r="C460" s="14" t="s">
        <v>169</v>
      </c>
      <c r="D460" s="13">
        <v>1</v>
      </c>
      <c r="F460" s="38"/>
    </row>
    <row r="461" spans="1:7" ht="15" x14ac:dyDescent="0.25">
      <c r="C461" s="14" t="s">
        <v>232</v>
      </c>
      <c r="D461" s="13">
        <v>1</v>
      </c>
      <c r="F461" s="38"/>
    </row>
    <row r="462" spans="1:7" ht="15" x14ac:dyDescent="0.25">
      <c r="C462" s="14" t="s">
        <v>512</v>
      </c>
      <c r="D462" s="13">
        <v>1</v>
      </c>
      <c r="F462" s="38"/>
    </row>
    <row r="463" spans="1:7" ht="15" x14ac:dyDescent="0.25">
      <c r="C463" s="14" t="s">
        <v>233</v>
      </c>
      <c r="D463" s="13">
        <v>4</v>
      </c>
      <c r="F463" s="38"/>
    </row>
    <row r="464" spans="1:7" ht="15" x14ac:dyDescent="0.25">
      <c r="C464" s="14" t="s">
        <v>234</v>
      </c>
      <c r="D464" s="13">
        <v>1</v>
      </c>
      <c r="F464" s="38"/>
    </row>
    <row r="465" spans="2:7" ht="15" x14ac:dyDescent="0.25">
      <c r="C465" s="14" t="s">
        <v>153</v>
      </c>
      <c r="D465" s="13">
        <v>1</v>
      </c>
      <c r="F465" s="38"/>
    </row>
    <row r="466" spans="2:7" ht="15" x14ac:dyDescent="0.25">
      <c r="C466" s="14" t="s">
        <v>29</v>
      </c>
      <c r="D466" s="13">
        <v>15</v>
      </c>
      <c r="F466" s="38"/>
    </row>
    <row r="467" spans="2:7" ht="15" x14ac:dyDescent="0.25">
      <c r="C467" s="14" t="s">
        <v>30</v>
      </c>
      <c r="D467" s="13">
        <v>5</v>
      </c>
      <c r="F467" s="38"/>
    </row>
    <row r="468" spans="2:7" ht="15" x14ac:dyDescent="0.25">
      <c r="C468" s="14" t="s">
        <v>33</v>
      </c>
      <c r="D468" s="13">
        <v>1</v>
      </c>
      <c r="F468" s="38"/>
    </row>
    <row r="469" spans="2:7" ht="15" x14ac:dyDescent="0.25">
      <c r="C469" s="14" t="s">
        <v>129</v>
      </c>
      <c r="D469" s="13">
        <v>1</v>
      </c>
      <c r="F469" s="38"/>
    </row>
    <row r="470" spans="2:7" ht="15" x14ac:dyDescent="0.25">
      <c r="C470" s="14" t="s">
        <v>101</v>
      </c>
      <c r="D470" s="13">
        <v>1</v>
      </c>
      <c r="F470" s="38"/>
    </row>
    <row r="471" spans="2:7" ht="15" x14ac:dyDescent="0.25">
      <c r="C471" s="14" t="s">
        <v>235</v>
      </c>
      <c r="D471" s="13">
        <v>1</v>
      </c>
      <c r="F471" s="38"/>
    </row>
    <row r="472" spans="2:7" ht="15" x14ac:dyDescent="0.25">
      <c r="C472" s="14" t="s">
        <v>508</v>
      </c>
      <c r="D472" s="13">
        <v>2</v>
      </c>
      <c r="F472" s="38"/>
    </row>
    <row r="473" spans="2:7" ht="15" x14ac:dyDescent="0.25">
      <c r="C473" s="14" t="s">
        <v>236</v>
      </c>
      <c r="D473" s="13">
        <v>14</v>
      </c>
      <c r="F473" s="38"/>
    </row>
    <row r="474" spans="2:7" ht="15" x14ac:dyDescent="0.25">
      <c r="C474" s="14" t="s">
        <v>237</v>
      </c>
      <c r="D474" s="13">
        <v>1</v>
      </c>
      <c r="F474" s="38"/>
    </row>
    <row r="475" spans="2:7" ht="15" x14ac:dyDescent="0.25">
      <c r="C475" s="14" t="s">
        <v>238</v>
      </c>
      <c r="D475" s="13">
        <v>7</v>
      </c>
      <c r="F475" s="38"/>
    </row>
    <row r="476" spans="2:7" ht="15" x14ac:dyDescent="0.25">
      <c r="C476" s="14" t="s">
        <v>163</v>
      </c>
      <c r="D476" s="13">
        <v>66</v>
      </c>
      <c r="F476" s="38"/>
    </row>
    <row r="477" spans="2:7" ht="15" x14ac:dyDescent="0.25">
      <c r="C477" s="14" t="s">
        <v>227</v>
      </c>
      <c r="D477" s="13">
        <v>1</v>
      </c>
      <c r="F477" s="38"/>
    </row>
    <row r="478" spans="2:7" ht="15" x14ac:dyDescent="0.25">
      <c r="C478" s="14" t="s">
        <v>14</v>
      </c>
      <c r="D478" s="13">
        <v>124</v>
      </c>
      <c r="E478" s="13">
        <v>0</v>
      </c>
      <c r="F478" s="38"/>
      <c r="G478" s="13"/>
    </row>
    <row r="479" spans="2:7" ht="15" x14ac:dyDescent="0.25">
      <c r="F479" s="38"/>
    </row>
    <row r="480" spans="2:7" ht="15" x14ac:dyDescent="0.25">
      <c r="B480" s="11">
        <v>7640</v>
      </c>
      <c r="C480" s="14" t="s">
        <v>239</v>
      </c>
      <c r="F480" s="38"/>
    </row>
    <row r="481" spans="3:6" ht="15" x14ac:dyDescent="0.25">
      <c r="C481" s="14" t="s">
        <v>107</v>
      </c>
      <c r="D481" s="13">
        <v>1</v>
      </c>
      <c r="F481" s="38"/>
    </row>
    <row r="482" spans="3:6" ht="15" x14ac:dyDescent="0.25">
      <c r="C482" s="14" t="s">
        <v>212</v>
      </c>
      <c r="D482" s="13">
        <v>3</v>
      </c>
      <c r="F482" s="38"/>
    </row>
    <row r="483" spans="3:6" ht="15" x14ac:dyDescent="0.25">
      <c r="C483" s="14" t="s">
        <v>45</v>
      </c>
      <c r="D483" s="13">
        <v>1</v>
      </c>
      <c r="F483" s="38"/>
    </row>
    <row r="484" spans="3:6" ht="15" x14ac:dyDescent="0.25">
      <c r="C484" s="14" t="s">
        <v>7</v>
      </c>
      <c r="D484" s="13">
        <v>1</v>
      </c>
      <c r="F484" s="38"/>
    </row>
    <row r="485" spans="3:6" ht="15" x14ac:dyDescent="0.25">
      <c r="C485" s="14" t="s">
        <v>32</v>
      </c>
      <c r="D485" s="13">
        <v>1</v>
      </c>
      <c r="F485" s="38"/>
    </row>
    <row r="486" spans="3:6" ht="15" x14ac:dyDescent="0.25">
      <c r="C486" s="14" t="s">
        <v>519</v>
      </c>
      <c r="D486" s="13">
        <v>1</v>
      </c>
      <c r="F486" s="38"/>
    </row>
    <row r="487" spans="3:6" ht="15" x14ac:dyDescent="0.25">
      <c r="C487" s="14" t="s">
        <v>240</v>
      </c>
      <c r="D487" s="13">
        <v>3</v>
      </c>
      <c r="F487" s="38"/>
    </row>
    <row r="488" spans="3:6" ht="15" x14ac:dyDescent="0.25">
      <c r="C488" s="14" t="s">
        <v>241</v>
      </c>
      <c r="D488" s="13">
        <v>1</v>
      </c>
      <c r="F488" s="38"/>
    </row>
    <row r="489" spans="3:6" ht="15" x14ac:dyDescent="0.25">
      <c r="C489" s="14" t="s">
        <v>242</v>
      </c>
      <c r="D489" s="13">
        <v>2</v>
      </c>
      <c r="F489" s="38"/>
    </row>
    <row r="490" spans="3:6" ht="15" x14ac:dyDescent="0.25">
      <c r="C490" s="14" t="s">
        <v>29</v>
      </c>
      <c r="D490" s="13">
        <v>4</v>
      </c>
      <c r="F490" s="38"/>
    </row>
    <row r="491" spans="3:6" ht="15" x14ac:dyDescent="0.25">
      <c r="C491" s="14" t="s">
        <v>30</v>
      </c>
      <c r="D491" s="13">
        <v>2</v>
      </c>
      <c r="F491" s="38"/>
    </row>
    <row r="492" spans="3:6" ht="15" x14ac:dyDescent="0.25">
      <c r="C492" s="14" t="s">
        <v>33</v>
      </c>
      <c r="D492" s="13">
        <v>1</v>
      </c>
      <c r="F492" s="38"/>
    </row>
    <row r="493" spans="3:6" ht="15" x14ac:dyDescent="0.25">
      <c r="C493" s="14" t="s">
        <v>235</v>
      </c>
      <c r="D493" s="13">
        <v>2</v>
      </c>
      <c r="F493" s="38"/>
    </row>
    <row r="494" spans="3:6" ht="15" x14ac:dyDescent="0.25">
      <c r="C494" s="14" t="s">
        <v>243</v>
      </c>
      <c r="D494" s="13">
        <v>1</v>
      </c>
      <c r="F494" s="38"/>
    </row>
    <row r="495" spans="3:6" ht="15" x14ac:dyDescent="0.25">
      <c r="C495" s="14" t="s">
        <v>236</v>
      </c>
      <c r="D495" s="13">
        <v>4</v>
      </c>
      <c r="F495" s="38"/>
    </row>
    <row r="496" spans="3:6" ht="15" x14ac:dyDescent="0.25">
      <c r="C496" s="14" t="s">
        <v>244</v>
      </c>
      <c r="D496" s="13">
        <v>3</v>
      </c>
      <c r="E496" s="13">
        <v>1</v>
      </c>
      <c r="F496" s="38">
        <v>41820</v>
      </c>
    </row>
    <row r="497" spans="2:7" ht="15" x14ac:dyDescent="0.25">
      <c r="C497" s="14" t="s">
        <v>238</v>
      </c>
      <c r="D497" s="13">
        <v>11.5</v>
      </c>
      <c r="F497" s="38"/>
    </row>
    <row r="498" spans="2:7" ht="15" x14ac:dyDescent="0.25">
      <c r="C498" s="14" t="s">
        <v>163</v>
      </c>
      <c r="D498" s="13">
        <v>15</v>
      </c>
      <c r="F498" s="38"/>
    </row>
    <row r="499" spans="2:7" ht="15" x14ac:dyDescent="0.25">
      <c r="C499" s="14" t="s">
        <v>14</v>
      </c>
      <c r="D499" s="13">
        <v>57.5</v>
      </c>
      <c r="E499" s="13">
        <v>1</v>
      </c>
      <c r="F499" s="38"/>
      <c r="G499" s="13"/>
    </row>
    <row r="500" spans="2:7" ht="15" x14ac:dyDescent="0.25">
      <c r="C500" s="12"/>
      <c r="F500" s="38"/>
    </row>
    <row r="501" spans="2:7" ht="15" x14ac:dyDescent="0.25">
      <c r="B501" s="11">
        <v>7650</v>
      </c>
      <c r="C501" s="14" t="s">
        <v>245</v>
      </c>
      <c r="F501" s="38"/>
    </row>
    <row r="502" spans="2:7" ht="15" x14ac:dyDescent="0.25">
      <c r="C502" s="14" t="s">
        <v>43</v>
      </c>
      <c r="D502" s="13">
        <v>1</v>
      </c>
      <c r="F502" s="38"/>
    </row>
    <row r="503" spans="2:7" ht="15" x14ac:dyDescent="0.25">
      <c r="C503" s="14" t="s">
        <v>169</v>
      </c>
      <c r="D503" s="13">
        <v>1</v>
      </c>
      <c r="F503" s="38"/>
    </row>
    <row r="504" spans="2:7" ht="15" x14ac:dyDescent="0.25">
      <c r="C504" s="14" t="s">
        <v>28</v>
      </c>
      <c r="D504" s="13">
        <v>1</v>
      </c>
      <c r="F504" s="38"/>
    </row>
    <row r="505" spans="2:7" ht="15" x14ac:dyDescent="0.25">
      <c r="C505" s="14" t="s">
        <v>32</v>
      </c>
      <c r="D505" s="13">
        <v>8</v>
      </c>
      <c r="F505" s="38"/>
    </row>
    <row r="506" spans="2:7" ht="15" x14ac:dyDescent="0.25">
      <c r="C506" s="14" t="s">
        <v>246</v>
      </c>
      <c r="D506" s="13">
        <v>1</v>
      </c>
      <c r="F506" s="38"/>
    </row>
    <row r="507" spans="2:7" ht="15" x14ac:dyDescent="0.25">
      <c r="C507" s="14" t="s">
        <v>247</v>
      </c>
      <c r="D507" s="13">
        <v>10</v>
      </c>
      <c r="F507" s="38"/>
    </row>
    <row r="508" spans="2:7" ht="15" x14ac:dyDescent="0.25">
      <c r="F508" s="38">
        <v>41820</v>
      </c>
    </row>
    <row r="509" spans="2:7" ht="15" x14ac:dyDescent="0.25">
      <c r="F509" s="38">
        <v>41820</v>
      </c>
    </row>
    <row r="510" spans="2:7" ht="15" x14ac:dyDescent="0.25">
      <c r="F510" s="38">
        <v>41820</v>
      </c>
    </row>
    <row r="511" spans="2:7" ht="15" x14ac:dyDescent="0.25">
      <c r="C511" s="14" t="s">
        <v>233</v>
      </c>
      <c r="D511" s="13">
        <v>158</v>
      </c>
      <c r="E511" s="13">
        <v>4</v>
      </c>
      <c r="F511" s="38">
        <v>41820</v>
      </c>
    </row>
    <row r="512" spans="2:7" ht="15" x14ac:dyDescent="0.25">
      <c r="C512" s="14" t="s">
        <v>234</v>
      </c>
      <c r="D512" s="13">
        <v>18</v>
      </c>
      <c r="F512" s="38"/>
    </row>
    <row r="513" spans="3:6" ht="15" x14ac:dyDescent="0.25">
      <c r="C513" s="14" t="s">
        <v>248</v>
      </c>
      <c r="D513" s="13">
        <v>18</v>
      </c>
      <c r="F513" s="38"/>
    </row>
    <row r="514" spans="3:6" ht="15" x14ac:dyDescent="0.25">
      <c r="C514" s="14" t="s">
        <v>249</v>
      </c>
      <c r="D514" s="13">
        <v>50</v>
      </c>
      <c r="F514" s="38"/>
    </row>
    <row r="515" spans="3:6" ht="15" x14ac:dyDescent="0.25">
      <c r="C515" s="14" t="s">
        <v>226</v>
      </c>
      <c r="D515" s="13">
        <v>10</v>
      </c>
      <c r="F515" s="38"/>
    </row>
    <row r="516" spans="3:6" ht="15" x14ac:dyDescent="0.25">
      <c r="C516" s="14" t="s">
        <v>250</v>
      </c>
      <c r="D516" s="13">
        <v>8</v>
      </c>
      <c r="F516" s="38"/>
    </row>
    <row r="517" spans="3:6" ht="15" x14ac:dyDescent="0.25">
      <c r="C517" s="14" t="s">
        <v>251</v>
      </c>
      <c r="D517" s="13">
        <v>2</v>
      </c>
      <c r="F517" s="38"/>
    </row>
    <row r="518" spans="3:6" ht="15" x14ac:dyDescent="0.25">
      <c r="C518" s="14" t="s">
        <v>252</v>
      </c>
      <c r="D518" s="13">
        <v>4</v>
      </c>
      <c r="F518" s="38"/>
    </row>
    <row r="519" spans="3:6" ht="15" x14ac:dyDescent="0.25">
      <c r="C519" s="14" t="s">
        <v>12</v>
      </c>
      <c r="D519" s="13">
        <v>1</v>
      </c>
      <c r="F519" s="38"/>
    </row>
    <row r="520" spans="3:6" ht="15" x14ac:dyDescent="0.25">
      <c r="C520" s="14" t="s">
        <v>29</v>
      </c>
      <c r="D520" s="13">
        <v>53.5</v>
      </c>
      <c r="E520" s="13">
        <v>1</v>
      </c>
      <c r="F520" s="38">
        <v>41820</v>
      </c>
    </row>
    <row r="521" spans="3:6" ht="15" x14ac:dyDescent="0.25">
      <c r="C521" s="14" t="s">
        <v>30</v>
      </c>
      <c r="D521" s="13">
        <v>27</v>
      </c>
      <c r="F521" s="38"/>
    </row>
    <row r="522" spans="3:6" ht="15" x14ac:dyDescent="0.25">
      <c r="C522" s="14" t="s">
        <v>129</v>
      </c>
      <c r="D522" s="13">
        <v>1</v>
      </c>
      <c r="F522" s="38"/>
    </row>
    <row r="523" spans="3:6" ht="15" x14ac:dyDescent="0.25">
      <c r="C523" s="14" t="s">
        <v>253</v>
      </c>
      <c r="D523" s="13">
        <v>1</v>
      </c>
      <c r="F523" s="38"/>
    </row>
    <row r="524" spans="3:6" ht="15" x14ac:dyDescent="0.25">
      <c r="C524" s="14" t="s">
        <v>254</v>
      </c>
      <c r="D524" s="13">
        <v>5.9</v>
      </c>
      <c r="F524" s="38"/>
    </row>
    <row r="525" spans="3:6" ht="15" x14ac:dyDescent="0.25">
      <c r="C525" s="14" t="s">
        <v>221</v>
      </c>
      <c r="D525" s="13">
        <v>0.75</v>
      </c>
      <c r="F525" s="38"/>
    </row>
    <row r="526" spans="3:6" ht="15" x14ac:dyDescent="0.25">
      <c r="C526" s="14" t="s">
        <v>236</v>
      </c>
      <c r="D526" s="13">
        <v>1</v>
      </c>
      <c r="F526" s="38"/>
    </row>
    <row r="527" spans="3:6" ht="15" x14ac:dyDescent="0.25">
      <c r="C527" s="14" t="s">
        <v>238</v>
      </c>
      <c r="D527" s="13">
        <v>2</v>
      </c>
      <c r="F527" s="38"/>
    </row>
    <row r="528" spans="3:6" ht="15" x14ac:dyDescent="0.25">
      <c r="C528" s="14" t="s">
        <v>163</v>
      </c>
      <c r="D528" s="13">
        <v>3</v>
      </c>
      <c r="F528" s="38"/>
    </row>
    <row r="529" spans="1:7" ht="15" x14ac:dyDescent="0.25">
      <c r="C529" s="14" t="s">
        <v>227</v>
      </c>
      <c r="D529" s="13">
        <v>2</v>
      </c>
      <c r="F529" s="38"/>
    </row>
    <row r="530" spans="1:7" ht="15" x14ac:dyDescent="0.25">
      <c r="C530" s="14" t="s">
        <v>255</v>
      </c>
      <c r="D530" s="13">
        <v>6</v>
      </c>
      <c r="F530" s="38"/>
    </row>
    <row r="531" spans="1:7" ht="15" x14ac:dyDescent="0.25">
      <c r="A531" s="11"/>
      <c r="C531" s="14" t="s">
        <v>14</v>
      </c>
      <c r="D531" s="13">
        <v>394.15</v>
      </c>
      <c r="E531" s="13">
        <v>5</v>
      </c>
      <c r="F531" s="38"/>
      <c r="G531" s="13"/>
    </row>
    <row r="532" spans="1:7" ht="15" x14ac:dyDescent="0.25">
      <c r="C532" s="12"/>
      <c r="F532" s="38"/>
    </row>
    <row r="533" spans="1:7" ht="15" x14ac:dyDescent="0.25">
      <c r="A533" s="15">
        <v>7690</v>
      </c>
      <c r="B533" s="15"/>
      <c r="C533" s="12" t="s">
        <v>256</v>
      </c>
      <c r="F533" s="38"/>
    </row>
    <row r="534" spans="1:7" ht="15" x14ac:dyDescent="0.25">
      <c r="C534" s="14" t="s">
        <v>43</v>
      </c>
      <c r="D534" s="13">
        <v>1</v>
      </c>
      <c r="F534" s="38"/>
    </row>
    <row r="535" spans="1:7" ht="15" x14ac:dyDescent="0.25">
      <c r="C535" s="14" t="s">
        <v>29</v>
      </c>
      <c r="D535" s="13">
        <v>1</v>
      </c>
      <c r="F535" s="38"/>
    </row>
    <row r="536" spans="1:7" ht="15" x14ac:dyDescent="0.25">
      <c r="C536" s="14" t="s">
        <v>257</v>
      </c>
      <c r="D536" s="13">
        <v>1</v>
      </c>
      <c r="F536" s="38"/>
    </row>
    <row r="537" spans="1:7" ht="15" x14ac:dyDescent="0.25">
      <c r="C537" s="14" t="s">
        <v>244</v>
      </c>
      <c r="D537" s="13">
        <v>1</v>
      </c>
      <c r="F537" s="38"/>
    </row>
    <row r="538" spans="1:7" ht="15" x14ac:dyDescent="0.25">
      <c r="C538" s="14" t="s">
        <v>163</v>
      </c>
      <c r="D538" s="13">
        <v>1</v>
      </c>
      <c r="F538" s="38"/>
    </row>
    <row r="539" spans="1:7" ht="15" x14ac:dyDescent="0.25">
      <c r="A539" s="11"/>
      <c r="C539" s="14" t="s">
        <v>14</v>
      </c>
      <c r="D539" s="13">
        <v>5</v>
      </c>
      <c r="E539" s="13">
        <v>0</v>
      </c>
      <c r="F539" s="38"/>
      <c r="G539" s="13"/>
    </row>
    <row r="540" spans="1:7" ht="15" x14ac:dyDescent="0.25">
      <c r="F540" s="38"/>
    </row>
    <row r="541" spans="1:7" ht="15" x14ac:dyDescent="0.25">
      <c r="A541" s="15">
        <v>7780</v>
      </c>
      <c r="B541" s="15"/>
      <c r="C541" s="12" t="s">
        <v>258</v>
      </c>
      <c r="F541" s="38"/>
    </row>
    <row r="542" spans="1:7" s="54" customFormat="1" ht="15" x14ac:dyDescent="0.25">
      <c r="A542" s="53"/>
      <c r="B542" s="55">
        <v>7560</v>
      </c>
      <c r="C542" s="57" t="s">
        <v>259</v>
      </c>
      <c r="D542" s="56"/>
      <c r="E542" s="56"/>
      <c r="F542" s="59"/>
    </row>
    <row r="543" spans="1:7" s="54" customFormat="1" ht="15" x14ac:dyDescent="0.25">
      <c r="A543" s="53"/>
      <c r="B543" s="55"/>
      <c r="C543" s="57" t="s">
        <v>260</v>
      </c>
      <c r="D543" s="56">
        <v>3</v>
      </c>
      <c r="E543" s="56"/>
      <c r="F543" s="59"/>
    </row>
    <row r="544" spans="1:7" s="54" customFormat="1" x14ac:dyDescent="0.3">
      <c r="A544" s="53"/>
      <c r="B544" s="55"/>
      <c r="C544" s="57" t="s">
        <v>293</v>
      </c>
      <c r="D544" s="56">
        <v>1</v>
      </c>
      <c r="E544" s="56"/>
      <c r="F544" s="59"/>
    </row>
    <row r="545" spans="1:7" s="54" customFormat="1" ht="15" x14ac:dyDescent="0.25">
      <c r="A545" s="53"/>
      <c r="B545" s="55"/>
      <c r="C545" s="57" t="s">
        <v>261</v>
      </c>
      <c r="D545" s="56">
        <v>1</v>
      </c>
      <c r="E545" s="56"/>
      <c r="F545" s="59"/>
    </row>
    <row r="546" spans="1:7" ht="15" x14ac:dyDescent="0.25">
      <c r="C546" s="14" t="s">
        <v>263</v>
      </c>
      <c r="D546" s="13">
        <v>0.5</v>
      </c>
      <c r="F546" s="38"/>
    </row>
    <row r="547" spans="1:7" ht="15" x14ac:dyDescent="0.25">
      <c r="C547" s="14" t="s">
        <v>242</v>
      </c>
      <c r="D547" s="44">
        <v>11</v>
      </c>
      <c r="F547" s="38"/>
    </row>
    <row r="548" spans="1:7" ht="15" x14ac:dyDescent="0.25">
      <c r="C548" s="14" t="s">
        <v>273</v>
      </c>
      <c r="D548" s="13">
        <v>1</v>
      </c>
      <c r="F548" s="38"/>
    </row>
    <row r="549" spans="1:7" ht="15" x14ac:dyDescent="0.25">
      <c r="C549" s="14" t="s">
        <v>29</v>
      </c>
      <c r="D549" s="13">
        <v>1</v>
      </c>
      <c r="F549" s="38"/>
    </row>
    <row r="550" spans="1:7" ht="15" x14ac:dyDescent="0.25">
      <c r="C550" s="14" t="s">
        <v>30</v>
      </c>
      <c r="D550" s="13">
        <v>1</v>
      </c>
      <c r="F550" s="38"/>
    </row>
    <row r="551" spans="1:7" ht="15" x14ac:dyDescent="0.25">
      <c r="A551" s="11"/>
      <c r="C551" s="14" t="s">
        <v>14</v>
      </c>
      <c r="D551" s="13">
        <v>19.5</v>
      </c>
      <c r="E551" s="13">
        <v>0</v>
      </c>
      <c r="F551" s="38"/>
      <c r="G551" s="13"/>
    </row>
    <row r="553" spans="1:7" s="48" customFormat="1" ht="15" x14ac:dyDescent="0.25">
      <c r="A553" s="54"/>
      <c r="B553" s="55">
        <v>7598</v>
      </c>
      <c r="C553" s="57" t="s">
        <v>525</v>
      </c>
      <c r="D553" s="54"/>
      <c r="E553" s="54"/>
      <c r="F553" s="54"/>
      <c r="G553" s="54"/>
    </row>
    <row r="554" spans="1:7" s="54" customFormat="1" ht="15" x14ac:dyDescent="0.25">
      <c r="B554" s="55"/>
      <c r="C554" s="57"/>
      <c r="F554" s="59">
        <v>42301</v>
      </c>
    </row>
    <row r="555" spans="1:7" s="48" customFormat="1" ht="15" x14ac:dyDescent="0.25">
      <c r="A555" s="54"/>
      <c r="B555" s="54"/>
      <c r="C555" s="57" t="s">
        <v>263</v>
      </c>
      <c r="D555" s="56">
        <v>1.5</v>
      </c>
      <c r="E555" s="56">
        <v>1.5</v>
      </c>
      <c r="F555" s="59">
        <v>42301</v>
      </c>
      <c r="G555" s="54"/>
    </row>
    <row r="556" spans="1:7" s="54" customFormat="1" ht="15" x14ac:dyDescent="0.25">
      <c r="C556" s="57"/>
      <c r="D556" s="56"/>
      <c r="E556" s="56"/>
      <c r="F556" s="59">
        <v>42301</v>
      </c>
    </row>
    <row r="557" spans="1:7" s="54" customFormat="1" ht="15" x14ac:dyDescent="0.25">
      <c r="C557" s="57"/>
      <c r="D557" s="56"/>
      <c r="E557" s="56"/>
      <c r="F557" s="59">
        <v>42301</v>
      </c>
    </row>
    <row r="558" spans="1:7" s="54" customFormat="1" ht="15" x14ac:dyDescent="0.25">
      <c r="C558" s="57"/>
      <c r="D558" s="56"/>
      <c r="E558" s="56"/>
      <c r="F558" s="59">
        <v>42301</v>
      </c>
    </row>
    <row r="559" spans="1:7" s="54" customFormat="1" ht="15" x14ac:dyDescent="0.25">
      <c r="C559" s="57"/>
      <c r="D559" s="56"/>
      <c r="E559" s="56"/>
      <c r="F559" s="59">
        <v>42301</v>
      </c>
    </row>
    <row r="560" spans="1:7" s="48" customFormat="1" ht="15" x14ac:dyDescent="0.25">
      <c r="A560" s="53"/>
      <c r="B560" s="54"/>
      <c r="C560" s="57" t="s">
        <v>242</v>
      </c>
      <c r="D560" s="56">
        <v>5</v>
      </c>
      <c r="E560" s="56">
        <v>5</v>
      </c>
      <c r="F560" s="59">
        <v>42301</v>
      </c>
    </row>
    <row r="561" spans="1:6" s="48" customFormat="1" ht="15" x14ac:dyDescent="0.25">
      <c r="A561" s="53"/>
      <c r="B561" s="54"/>
      <c r="C561" s="57" t="s">
        <v>276</v>
      </c>
      <c r="D561" s="56">
        <v>1</v>
      </c>
      <c r="E561" s="56">
        <v>1</v>
      </c>
      <c r="F561" s="59">
        <v>42301</v>
      </c>
    </row>
    <row r="562" spans="1:6" s="48" customFormat="1" ht="15" x14ac:dyDescent="0.25">
      <c r="A562" s="53"/>
      <c r="B562" s="54"/>
      <c r="C562" s="57" t="s">
        <v>29</v>
      </c>
      <c r="D562" s="56">
        <v>0.5</v>
      </c>
      <c r="E562" s="56">
        <v>0.5</v>
      </c>
      <c r="F562" s="59">
        <v>42301</v>
      </c>
    </row>
    <row r="563" spans="1:6" s="48" customFormat="1" ht="15" x14ac:dyDescent="0.25">
      <c r="A563" s="53"/>
      <c r="B563" s="54"/>
      <c r="C563" s="57" t="s">
        <v>277</v>
      </c>
      <c r="D563" s="56">
        <v>1</v>
      </c>
      <c r="E563" s="56">
        <v>1</v>
      </c>
      <c r="F563" s="59">
        <v>42301</v>
      </c>
    </row>
    <row r="564" spans="1:6" s="48" customFormat="1" ht="15" x14ac:dyDescent="0.25">
      <c r="A564" s="53"/>
      <c r="B564" s="54"/>
      <c r="C564" s="57" t="s">
        <v>14</v>
      </c>
      <c r="D564" s="56">
        <f>SUM(D555:D563)</f>
        <v>9</v>
      </c>
      <c r="E564" s="56">
        <f>SUM(E555:E563)</f>
        <v>9</v>
      </c>
      <c r="F564" s="54"/>
    </row>
    <row r="565" spans="1:6" s="48" customFormat="1" ht="15" x14ac:dyDescent="0.25">
      <c r="A565" s="53"/>
      <c r="B565" s="50"/>
      <c r="C565" s="52"/>
      <c r="D565" s="51"/>
      <c r="E565" s="51"/>
      <c r="F565" s="49"/>
    </row>
    <row r="566" spans="1:6" ht="15" x14ac:dyDescent="0.25">
      <c r="B566" s="11">
        <v>7700</v>
      </c>
      <c r="C566" s="14" t="s">
        <v>265</v>
      </c>
      <c r="F566" s="38"/>
    </row>
    <row r="567" spans="1:6" ht="15" x14ac:dyDescent="0.25">
      <c r="C567" s="14" t="s">
        <v>43</v>
      </c>
      <c r="D567" s="13">
        <v>1</v>
      </c>
      <c r="F567" s="38"/>
    </row>
    <row r="568" spans="1:6" ht="15" x14ac:dyDescent="0.25">
      <c r="C568" s="14" t="s">
        <v>169</v>
      </c>
      <c r="D568" s="13">
        <v>1</v>
      </c>
      <c r="F568" s="38"/>
    </row>
    <row r="569" spans="1:6" ht="15" x14ac:dyDescent="0.25">
      <c r="C569" s="14" t="s">
        <v>266</v>
      </c>
      <c r="D569" s="13">
        <v>1</v>
      </c>
      <c r="F569" s="38"/>
    </row>
    <row r="570" spans="1:6" ht="15" x14ac:dyDescent="0.25">
      <c r="C570" s="14" t="s">
        <v>267</v>
      </c>
      <c r="D570" s="13">
        <v>1</v>
      </c>
      <c r="E570" s="47"/>
      <c r="F570" s="38"/>
    </row>
    <row r="571" spans="1:6" ht="15" x14ac:dyDescent="0.25">
      <c r="C571" s="14" t="s">
        <v>268</v>
      </c>
      <c r="D571" s="13">
        <v>2</v>
      </c>
      <c r="F571" s="38"/>
    </row>
    <row r="572" spans="1:6" ht="15" x14ac:dyDescent="0.25">
      <c r="C572" s="14" t="s">
        <v>269</v>
      </c>
      <c r="D572" s="13">
        <v>1</v>
      </c>
      <c r="F572" s="38"/>
    </row>
    <row r="573" spans="1:6" ht="15" x14ac:dyDescent="0.25">
      <c r="C573" s="14" t="s">
        <v>270</v>
      </c>
      <c r="D573" s="13">
        <v>1</v>
      </c>
      <c r="F573" s="38"/>
    </row>
    <row r="574" spans="1:6" ht="15" x14ac:dyDescent="0.25">
      <c r="C574" s="14" t="s">
        <v>271</v>
      </c>
      <c r="D574" s="13">
        <v>1</v>
      </c>
      <c r="F574" s="38"/>
    </row>
    <row r="575" spans="1:6" ht="15" x14ac:dyDescent="0.25">
      <c r="C575" s="14" t="s">
        <v>272</v>
      </c>
      <c r="D575" s="13">
        <v>3</v>
      </c>
      <c r="F575" s="38"/>
    </row>
    <row r="576" spans="1:6" ht="15" x14ac:dyDescent="0.25">
      <c r="C576" s="14" t="s">
        <v>263</v>
      </c>
      <c r="D576" s="13">
        <v>13</v>
      </c>
      <c r="F576" s="38"/>
    </row>
    <row r="577" spans="1:7" ht="15" x14ac:dyDescent="0.25">
      <c r="C577" s="14" t="s">
        <v>242</v>
      </c>
      <c r="D577" s="13">
        <v>52.75</v>
      </c>
      <c r="F577" s="38"/>
    </row>
    <row r="578" spans="1:7" ht="15" x14ac:dyDescent="0.25">
      <c r="C578" s="14" t="s">
        <v>264</v>
      </c>
      <c r="D578" s="13">
        <v>7</v>
      </c>
      <c r="F578" s="38"/>
    </row>
    <row r="579" spans="1:7" ht="15" x14ac:dyDescent="0.25">
      <c r="C579" s="14" t="s">
        <v>518</v>
      </c>
      <c r="D579" s="13">
        <v>2</v>
      </c>
      <c r="F579" s="38"/>
    </row>
    <row r="580" spans="1:7" ht="15" x14ac:dyDescent="0.25">
      <c r="C580" s="14" t="s">
        <v>273</v>
      </c>
      <c r="D580" s="13">
        <v>3</v>
      </c>
      <c r="F580" s="38"/>
    </row>
    <row r="581" spans="1:7" ht="15" x14ac:dyDescent="0.25">
      <c r="C581" s="14" t="s">
        <v>274</v>
      </c>
      <c r="D581" s="13">
        <v>2</v>
      </c>
      <c r="F581" s="38"/>
    </row>
    <row r="582" spans="1:7" ht="15" x14ac:dyDescent="0.25">
      <c r="C582" s="14" t="s">
        <v>275</v>
      </c>
      <c r="D582" s="13">
        <v>2</v>
      </c>
      <c r="F582" s="38"/>
    </row>
    <row r="583" spans="1:7" ht="15" x14ac:dyDescent="0.25">
      <c r="C583" s="14" t="s">
        <v>276</v>
      </c>
      <c r="D583" s="13">
        <v>25</v>
      </c>
      <c r="F583" s="38"/>
    </row>
    <row r="584" spans="1:7" ht="15" x14ac:dyDescent="0.25">
      <c r="C584" s="14" t="s">
        <v>29</v>
      </c>
      <c r="D584" s="13">
        <v>12.5</v>
      </c>
      <c r="F584" s="38"/>
    </row>
    <row r="585" spans="1:7" ht="15" x14ac:dyDescent="0.25">
      <c r="C585" s="14" t="s">
        <v>30</v>
      </c>
      <c r="D585" s="13">
        <v>8</v>
      </c>
      <c r="F585" s="38"/>
    </row>
    <row r="586" spans="1:7" ht="15" x14ac:dyDescent="0.25">
      <c r="C586" s="14" t="s">
        <v>129</v>
      </c>
      <c r="D586" s="13">
        <v>1</v>
      </c>
      <c r="F586" s="38"/>
    </row>
    <row r="587" spans="1:7" ht="15" x14ac:dyDescent="0.25">
      <c r="C587" s="14" t="s">
        <v>277</v>
      </c>
      <c r="D587" s="13">
        <v>2</v>
      </c>
      <c r="F587" s="38"/>
    </row>
    <row r="588" spans="1:7" ht="15" x14ac:dyDescent="0.25">
      <c r="C588" s="14" t="s">
        <v>221</v>
      </c>
      <c r="D588" s="13">
        <v>3</v>
      </c>
      <c r="F588" s="38"/>
    </row>
    <row r="589" spans="1:7" ht="15" x14ac:dyDescent="0.25">
      <c r="C589" s="14" t="s">
        <v>278</v>
      </c>
      <c r="D589" s="13">
        <v>1.75</v>
      </c>
      <c r="F589" s="38"/>
    </row>
    <row r="590" spans="1:7" ht="15" x14ac:dyDescent="0.25">
      <c r="C590" s="14" t="s">
        <v>14</v>
      </c>
      <c r="D590" s="13">
        <v>147</v>
      </c>
      <c r="E590" s="13">
        <v>0</v>
      </c>
      <c r="F590" s="38"/>
      <c r="G590" s="13"/>
    </row>
    <row r="591" spans="1:7" ht="15" x14ac:dyDescent="0.25">
      <c r="F591" s="38"/>
    </row>
    <row r="592" spans="1:7" ht="15" x14ac:dyDescent="0.25">
      <c r="A592" s="15">
        <v>7880</v>
      </c>
      <c r="B592" s="15"/>
      <c r="C592" s="12" t="s">
        <v>279</v>
      </c>
      <c r="F592" s="38"/>
    </row>
    <row r="593" spans="2:6" ht="15" x14ac:dyDescent="0.25">
      <c r="B593" s="11">
        <v>7580</v>
      </c>
      <c r="C593" s="14" t="s">
        <v>280</v>
      </c>
      <c r="F593" s="38"/>
    </row>
    <row r="594" spans="2:6" ht="15" x14ac:dyDescent="0.25">
      <c r="C594" s="14" t="s">
        <v>211</v>
      </c>
      <c r="D594" s="13">
        <v>1</v>
      </c>
      <c r="F594" s="38"/>
    </row>
    <row r="595" spans="2:6" ht="15" x14ac:dyDescent="0.25">
      <c r="C595" s="14" t="s">
        <v>43</v>
      </c>
      <c r="D595" s="13">
        <v>8</v>
      </c>
      <c r="F595" s="38"/>
    </row>
    <row r="596" spans="2:6" ht="15" x14ac:dyDescent="0.25">
      <c r="C596" s="14" t="s">
        <v>45</v>
      </c>
      <c r="D596" s="13">
        <v>1</v>
      </c>
      <c r="F596" s="38"/>
    </row>
    <row r="597" spans="2:6" ht="15" x14ac:dyDescent="0.25">
      <c r="C597" s="14" t="s">
        <v>281</v>
      </c>
      <c r="D597" s="13">
        <v>1</v>
      </c>
      <c r="F597" s="38"/>
    </row>
    <row r="598" spans="2:6" ht="15" x14ac:dyDescent="0.25">
      <c r="C598" s="14" t="s">
        <v>282</v>
      </c>
      <c r="D598" s="13">
        <v>9.8000000000000007</v>
      </c>
      <c r="F598" s="38"/>
    </row>
    <row r="599" spans="2:6" ht="15" x14ac:dyDescent="0.25">
      <c r="C599" s="14" t="s">
        <v>283</v>
      </c>
      <c r="D599" s="13">
        <v>2</v>
      </c>
      <c r="F599" s="38"/>
    </row>
    <row r="600" spans="2:6" ht="15" x14ac:dyDescent="0.25">
      <c r="C600" s="14" t="s">
        <v>284</v>
      </c>
      <c r="D600" s="13">
        <v>2.5</v>
      </c>
      <c r="F600" s="38"/>
    </row>
    <row r="601" spans="2:6" ht="15" x14ac:dyDescent="0.25">
      <c r="C601" s="14" t="s">
        <v>285</v>
      </c>
      <c r="D601" s="44">
        <v>4</v>
      </c>
      <c r="F601" s="38"/>
    </row>
    <row r="602" spans="2:6" ht="15" x14ac:dyDescent="0.25">
      <c r="C602" s="14" t="s">
        <v>286</v>
      </c>
      <c r="D602" s="44">
        <v>1</v>
      </c>
      <c r="F602" s="38"/>
    </row>
    <row r="603" spans="2:6" ht="15" x14ac:dyDescent="0.25">
      <c r="C603" s="14" t="s">
        <v>266</v>
      </c>
      <c r="D603" s="44">
        <v>1</v>
      </c>
      <c r="F603" s="38"/>
    </row>
    <row r="604" spans="2:6" ht="15" x14ac:dyDescent="0.25">
      <c r="C604" s="14" t="s">
        <v>287</v>
      </c>
      <c r="D604" s="44">
        <v>2</v>
      </c>
      <c r="F604" s="38"/>
    </row>
    <row r="605" spans="2:6" ht="15" x14ac:dyDescent="0.25">
      <c r="C605" s="14" t="s">
        <v>288</v>
      </c>
      <c r="D605" s="13">
        <v>9.5</v>
      </c>
      <c r="F605" s="38"/>
    </row>
    <row r="606" spans="2:6" ht="15" x14ac:dyDescent="0.25">
      <c r="C606" s="14" t="s">
        <v>289</v>
      </c>
      <c r="D606" s="13">
        <v>2</v>
      </c>
      <c r="F606" s="38"/>
    </row>
    <row r="607" spans="2:6" ht="15" x14ac:dyDescent="0.25">
      <c r="C607" s="14" t="s">
        <v>290</v>
      </c>
      <c r="D607" s="13">
        <v>5.5</v>
      </c>
      <c r="F607" s="38"/>
    </row>
    <row r="608" spans="2:6" ht="15" x14ac:dyDescent="0.25">
      <c r="C608" s="14" t="s">
        <v>291</v>
      </c>
      <c r="D608" s="13">
        <v>1</v>
      </c>
      <c r="F608" s="38"/>
    </row>
    <row r="609" spans="1:6" ht="15" x14ac:dyDescent="0.25">
      <c r="A609" s="24"/>
      <c r="B609" s="25"/>
      <c r="C609" s="26" t="s">
        <v>292</v>
      </c>
      <c r="D609" s="13">
        <v>1</v>
      </c>
      <c r="F609" s="38"/>
    </row>
    <row r="610" spans="1:6" ht="15" x14ac:dyDescent="0.25">
      <c r="C610" s="14" t="s">
        <v>293</v>
      </c>
      <c r="D610" s="13">
        <v>2</v>
      </c>
      <c r="F610" s="38"/>
    </row>
    <row r="611" spans="1:6" ht="15" x14ac:dyDescent="0.25">
      <c r="C611" s="14" t="s">
        <v>262</v>
      </c>
      <c r="D611" s="13">
        <v>2</v>
      </c>
      <c r="F611" s="38"/>
    </row>
    <row r="612" spans="1:6" ht="15" x14ac:dyDescent="0.25">
      <c r="C612" s="14" t="s">
        <v>294</v>
      </c>
      <c r="D612" s="13">
        <v>2</v>
      </c>
      <c r="F612" s="38"/>
    </row>
    <row r="613" spans="1:6" ht="15" x14ac:dyDescent="0.25">
      <c r="C613" s="14" t="s">
        <v>295</v>
      </c>
      <c r="D613" s="13">
        <v>3</v>
      </c>
      <c r="F613" s="38"/>
    </row>
    <row r="614" spans="1:6" ht="15" x14ac:dyDescent="0.25">
      <c r="C614" s="37" t="s">
        <v>523</v>
      </c>
      <c r="D614" s="13">
        <v>2</v>
      </c>
      <c r="F614" s="38"/>
    </row>
    <row r="615" spans="1:6" ht="15" x14ac:dyDescent="0.25">
      <c r="C615" s="14" t="s">
        <v>296</v>
      </c>
      <c r="D615" s="13">
        <v>54.3</v>
      </c>
      <c r="F615" s="38"/>
    </row>
    <row r="616" spans="1:6" ht="15" x14ac:dyDescent="0.25">
      <c r="C616" s="14" t="s">
        <v>297</v>
      </c>
      <c r="D616" s="13">
        <v>4</v>
      </c>
      <c r="F616" s="38"/>
    </row>
    <row r="617" spans="1:6" ht="15" x14ac:dyDescent="0.25">
      <c r="C617" s="14" t="s">
        <v>298</v>
      </c>
      <c r="D617" s="13">
        <v>1</v>
      </c>
      <c r="F617" s="38"/>
    </row>
    <row r="618" spans="1:6" ht="15" x14ac:dyDescent="0.25">
      <c r="C618" s="14" t="s">
        <v>263</v>
      </c>
      <c r="D618" s="13">
        <v>1</v>
      </c>
      <c r="F618" s="38"/>
    </row>
    <row r="619" spans="1:6" ht="15" x14ac:dyDescent="0.25">
      <c r="C619" s="14" t="s">
        <v>242</v>
      </c>
      <c r="D619" s="13">
        <v>10.5</v>
      </c>
      <c r="E619" s="13">
        <v>1</v>
      </c>
      <c r="F619" s="38">
        <v>42301</v>
      </c>
    </row>
    <row r="620" spans="1:6" ht="15" x14ac:dyDescent="0.25">
      <c r="C620" s="14" t="s">
        <v>299</v>
      </c>
      <c r="D620" s="13">
        <v>9.8000000000000007</v>
      </c>
      <c r="F620" s="38"/>
    </row>
    <row r="621" spans="1:6" ht="15" x14ac:dyDescent="0.25">
      <c r="C621" s="14" t="s">
        <v>300</v>
      </c>
      <c r="D621" s="13">
        <v>1</v>
      </c>
      <c r="F621" s="38"/>
    </row>
    <row r="622" spans="1:6" ht="15" x14ac:dyDescent="0.25">
      <c r="C622" s="14" t="s">
        <v>29</v>
      </c>
      <c r="D622" s="13">
        <v>14</v>
      </c>
      <c r="F622" s="38"/>
    </row>
    <row r="623" spans="1:6" ht="15" x14ac:dyDescent="0.25">
      <c r="C623" s="14" t="s">
        <v>30</v>
      </c>
      <c r="D623" s="13">
        <v>3</v>
      </c>
      <c r="F623" s="38"/>
    </row>
    <row r="624" spans="1:6" ht="15" x14ac:dyDescent="0.25">
      <c r="C624" s="14" t="s">
        <v>33</v>
      </c>
      <c r="D624" s="13">
        <v>1</v>
      </c>
      <c r="F624" s="38"/>
    </row>
    <row r="625" spans="1:7" ht="15" x14ac:dyDescent="0.25">
      <c r="C625" s="14" t="s">
        <v>129</v>
      </c>
      <c r="D625" s="13">
        <v>2</v>
      </c>
      <c r="F625" s="38"/>
    </row>
    <row r="626" spans="1:7" ht="15" x14ac:dyDescent="0.25">
      <c r="C626" s="14" t="s">
        <v>221</v>
      </c>
      <c r="D626" s="13">
        <v>2</v>
      </c>
      <c r="E626" s="13">
        <v>1</v>
      </c>
      <c r="F626" s="38">
        <v>42301</v>
      </c>
    </row>
    <row r="627" spans="1:7" ht="15" x14ac:dyDescent="0.25">
      <c r="C627" s="14" t="s">
        <v>515</v>
      </c>
      <c r="D627" s="13">
        <v>0.5</v>
      </c>
      <c r="E627" s="13">
        <v>0.5</v>
      </c>
      <c r="F627" s="38">
        <v>42301</v>
      </c>
    </row>
    <row r="628" spans="1:7" ht="15" x14ac:dyDescent="0.25">
      <c r="C628" s="14" t="s">
        <v>301</v>
      </c>
      <c r="D628" s="13">
        <v>7.9</v>
      </c>
      <c r="F628" s="38"/>
    </row>
    <row r="629" spans="1:7" ht="15" x14ac:dyDescent="0.25">
      <c r="C629" s="14" t="s">
        <v>302</v>
      </c>
      <c r="D629" s="13">
        <v>1</v>
      </c>
      <c r="F629" s="38"/>
    </row>
    <row r="630" spans="1:7" ht="15" x14ac:dyDescent="0.25">
      <c r="C630" s="14" t="s">
        <v>303</v>
      </c>
      <c r="D630" s="13">
        <v>3</v>
      </c>
      <c r="F630" s="38"/>
    </row>
    <row r="631" spans="1:7" ht="15" x14ac:dyDescent="0.25">
      <c r="C631" s="14" t="s">
        <v>526</v>
      </c>
      <c r="D631" s="13">
        <v>1</v>
      </c>
      <c r="F631" s="38"/>
    </row>
    <row r="632" spans="1:7" ht="15" x14ac:dyDescent="0.25">
      <c r="C632" s="14" t="s">
        <v>243</v>
      </c>
      <c r="D632" s="13">
        <v>2</v>
      </c>
      <c r="F632" s="38"/>
      <c r="G632" s="13"/>
    </row>
    <row r="633" spans="1:7" ht="15" x14ac:dyDescent="0.25">
      <c r="A633" s="11"/>
      <c r="C633" s="14" t="s">
        <v>14</v>
      </c>
      <c r="D633" s="13">
        <v>182.3</v>
      </c>
      <c r="E633" s="13">
        <v>2.5</v>
      </c>
      <c r="F633" s="38"/>
      <c r="G633" s="13"/>
    </row>
    <row r="635" spans="1:7" ht="15" x14ac:dyDescent="0.25">
      <c r="B635" s="11">
        <v>7800</v>
      </c>
      <c r="C635" s="14" t="s">
        <v>305</v>
      </c>
    </row>
    <row r="636" spans="1:7" ht="15" x14ac:dyDescent="0.25">
      <c r="C636" s="14" t="s">
        <v>212</v>
      </c>
      <c r="D636" s="13">
        <v>2</v>
      </c>
      <c r="F636" s="38"/>
    </row>
    <row r="637" spans="1:7" ht="15" x14ac:dyDescent="0.25">
      <c r="C637" s="14" t="s">
        <v>45</v>
      </c>
      <c r="D637" s="13">
        <v>1</v>
      </c>
      <c r="F637" s="38"/>
    </row>
    <row r="638" spans="1:7" ht="15" x14ac:dyDescent="0.25">
      <c r="C638" s="14" t="s">
        <v>169</v>
      </c>
      <c r="D638" s="13">
        <v>2.8</v>
      </c>
      <c r="F638" s="38"/>
    </row>
    <row r="639" spans="1:7" ht="15" x14ac:dyDescent="0.25">
      <c r="C639" s="14" t="s">
        <v>284</v>
      </c>
      <c r="D639" s="13">
        <v>0.5</v>
      </c>
      <c r="F639" s="38"/>
    </row>
    <row r="640" spans="1:7" ht="15" x14ac:dyDescent="0.25">
      <c r="C640" s="14" t="s">
        <v>285</v>
      </c>
      <c r="D640" s="13">
        <v>1</v>
      </c>
      <c r="F640" s="38"/>
    </row>
    <row r="641" spans="3:6" ht="15" x14ac:dyDescent="0.25">
      <c r="C641" s="14" t="s">
        <v>306</v>
      </c>
      <c r="D641" s="13">
        <v>2</v>
      </c>
      <c r="F641" s="38"/>
    </row>
    <row r="642" spans="3:6" ht="15" x14ac:dyDescent="0.25">
      <c r="C642" s="14" t="s">
        <v>181</v>
      </c>
      <c r="D642" s="13">
        <v>1</v>
      </c>
      <c r="F642" s="38"/>
    </row>
    <row r="643" spans="3:6" ht="15" x14ac:dyDescent="0.25">
      <c r="C643" s="14" t="s">
        <v>307</v>
      </c>
      <c r="D643" s="13">
        <v>1</v>
      </c>
      <c r="F643" s="38"/>
    </row>
    <row r="644" spans="3:6" ht="15" x14ac:dyDescent="0.25">
      <c r="C644" s="14" t="s">
        <v>308</v>
      </c>
      <c r="D644" s="13">
        <v>1</v>
      </c>
      <c r="F644" s="38"/>
    </row>
    <row r="645" spans="3:6" ht="15" x14ac:dyDescent="0.25">
      <c r="C645" s="14" t="s">
        <v>509</v>
      </c>
      <c r="D645" s="13">
        <v>2</v>
      </c>
      <c r="F645" s="38"/>
    </row>
    <row r="646" spans="3:6" ht="15" x14ac:dyDescent="0.25">
      <c r="C646" s="14" t="s">
        <v>293</v>
      </c>
      <c r="D646" s="13">
        <v>28.8</v>
      </c>
      <c r="F646" s="38"/>
    </row>
    <row r="647" spans="3:6" ht="15" x14ac:dyDescent="0.25">
      <c r="C647" s="14" t="s">
        <v>309</v>
      </c>
      <c r="D647" s="13">
        <v>1</v>
      </c>
      <c r="F647" s="38"/>
    </row>
    <row r="648" spans="3:6" ht="15" x14ac:dyDescent="0.25">
      <c r="C648" s="14" t="s">
        <v>261</v>
      </c>
      <c r="D648" s="13">
        <v>4</v>
      </c>
      <c r="E648" s="13">
        <v>1</v>
      </c>
      <c r="F648" s="38">
        <v>42642</v>
      </c>
    </row>
    <row r="649" spans="3:6" ht="15" x14ac:dyDescent="0.25">
      <c r="C649" s="14" t="s">
        <v>310</v>
      </c>
      <c r="D649" s="13">
        <v>1</v>
      </c>
      <c r="F649" s="38"/>
    </row>
    <row r="650" spans="3:6" ht="15" x14ac:dyDescent="0.25">
      <c r="C650" s="14" t="s">
        <v>262</v>
      </c>
      <c r="D650" s="13">
        <v>3.5</v>
      </c>
      <c r="F650" s="38"/>
    </row>
    <row r="651" spans="3:6" ht="15" x14ac:dyDescent="0.25">
      <c r="C651" s="14" t="s">
        <v>294</v>
      </c>
      <c r="D651" s="13">
        <v>2</v>
      </c>
      <c r="F651" s="38"/>
    </row>
    <row r="652" spans="3:6" ht="15" x14ac:dyDescent="0.25">
      <c r="C652" s="14" t="s">
        <v>295</v>
      </c>
      <c r="D652" s="13">
        <v>2</v>
      </c>
      <c r="F652" s="38"/>
    </row>
    <row r="653" spans="3:6" ht="15" x14ac:dyDescent="0.25">
      <c r="C653" s="14" t="s">
        <v>270</v>
      </c>
      <c r="D653" s="13">
        <v>1</v>
      </c>
      <c r="F653" s="38"/>
    </row>
    <row r="654" spans="3:6" ht="15" x14ac:dyDescent="0.25">
      <c r="C654" s="14" t="s">
        <v>311</v>
      </c>
      <c r="D654" s="13">
        <v>2</v>
      </c>
      <c r="F654" s="38"/>
    </row>
    <row r="655" spans="3:6" ht="15" x14ac:dyDescent="0.25">
      <c r="C655" s="14" t="s">
        <v>514</v>
      </c>
      <c r="D655" s="13">
        <v>1</v>
      </c>
      <c r="F655" s="38"/>
    </row>
    <row r="656" spans="3:6" ht="15" x14ac:dyDescent="0.25">
      <c r="C656" s="14" t="s">
        <v>312</v>
      </c>
      <c r="D656" s="13">
        <v>1</v>
      </c>
      <c r="F656" s="38"/>
    </row>
    <row r="657" spans="3:6" ht="15" x14ac:dyDescent="0.25">
      <c r="C657" s="14" t="s">
        <v>313</v>
      </c>
      <c r="D657" s="13">
        <v>1.5</v>
      </c>
      <c r="F657" s="38"/>
    </row>
    <row r="658" spans="3:6" ht="15" x14ac:dyDescent="0.25">
      <c r="C658" s="14" t="s">
        <v>29</v>
      </c>
      <c r="D658" s="13">
        <v>10</v>
      </c>
      <c r="F658" s="38"/>
    </row>
    <row r="659" spans="3:6" ht="15" x14ac:dyDescent="0.25">
      <c r="C659" s="14" t="s">
        <v>30</v>
      </c>
      <c r="D659" s="13">
        <v>6</v>
      </c>
      <c r="F659" s="38"/>
    </row>
    <row r="660" spans="3:6" ht="15" x14ac:dyDescent="0.25">
      <c r="C660" s="14" t="s">
        <v>129</v>
      </c>
      <c r="D660" s="13">
        <v>2</v>
      </c>
      <c r="F660" s="38"/>
    </row>
    <row r="661" spans="3:6" ht="15" x14ac:dyDescent="0.25">
      <c r="C661" s="14" t="s">
        <v>504</v>
      </c>
      <c r="D661" s="13">
        <v>1</v>
      </c>
      <c r="F661" s="38"/>
    </row>
    <row r="662" spans="3:6" ht="15" x14ac:dyDescent="0.25">
      <c r="C662" s="14" t="s">
        <v>221</v>
      </c>
      <c r="D662" s="13">
        <v>2</v>
      </c>
      <c r="F662" s="38"/>
    </row>
    <row r="663" spans="3:6" ht="15" x14ac:dyDescent="0.25">
      <c r="C663" s="14" t="s">
        <v>314</v>
      </c>
      <c r="D663" s="13">
        <v>1</v>
      </c>
      <c r="F663" s="38"/>
    </row>
    <row r="664" spans="3:6" ht="15" x14ac:dyDescent="0.25">
      <c r="C664" s="14" t="s">
        <v>315</v>
      </c>
      <c r="D664" s="13">
        <v>2.5</v>
      </c>
      <c r="F664" s="38"/>
    </row>
    <row r="665" spans="3:6" ht="15" x14ac:dyDescent="0.25">
      <c r="C665" s="14" t="s">
        <v>520</v>
      </c>
      <c r="D665" s="13">
        <v>1</v>
      </c>
      <c r="F665" s="38"/>
    </row>
    <row r="666" spans="3:6" ht="15" x14ac:dyDescent="0.25">
      <c r="C666" s="14" t="s">
        <v>316</v>
      </c>
      <c r="D666" s="13">
        <v>5</v>
      </c>
      <c r="F666" s="38"/>
    </row>
    <row r="667" spans="3:6" ht="15" x14ac:dyDescent="0.25">
      <c r="C667" s="14" t="s">
        <v>235</v>
      </c>
      <c r="D667" s="13">
        <v>22.5</v>
      </c>
      <c r="F667" s="38"/>
    </row>
    <row r="668" spans="3:6" ht="15" x14ac:dyDescent="0.25">
      <c r="C668" s="14" t="s">
        <v>317</v>
      </c>
      <c r="D668" s="13">
        <v>5</v>
      </c>
      <c r="F668" s="38"/>
    </row>
    <row r="669" spans="3:6" ht="15" x14ac:dyDescent="0.25">
      <c r="C669" s="14" t="s">
        <v>243</v>
      </c>
      <c r="D669" s="13">
        <v>2</v>
      </c>
      <c r="F669" s="38"/>
    </row>
    <row r="670" spans="3:6" ht="15" x14ac:dyDescent="0.25">
      <c r="C670" s="14" t="s">
        <v>304</v>
      </c>
      <c r="D670" s="13">
        <v>6</v>
      </c>
      <c r="F670" s="38"/>
    </row>
    <row r="671" spans="3:6" ht="15" x14ac:dyDescent="0.25">
      <c r="C671" s="14" t="s">
        <v>318</v>
      </c>
      <c r="D671" s="13">
        <v>4</v>
      </c>
      <c r="F671" s="38"/>
    </row>
    <row r="672" spans="3:6" ht="15" x14ac:dyDescent="0.25">
      <c r="C672" s="14" t="s">
        <v>163</v>
      </c>
      <c r="D672" s="13">
        <v>3</v>
      </c>
      <c r="F672" s="38"/>
    </row>
    <row r="673" spans="1:7" ht="15" x14ac:dyDescent="0.25">
      <c r="C673" s="14" t="s">
        <v>319</v>
      </c>
      <c r="D673" s="13">
        <v>1</v>
      </c>
      <c r="F673" s="38"/>
    </row>
    <row r="674" spans="1:7" ht="15" x14ac:dyDescent="0.25">
      <c r="A674" s="11"/>
      <c r="C674" s="14" t="s">
        <v>14</v>
      </c>
      <c r="D674" s="13">
        <v>137.1</v>
      </c>
      <c r="E674" s="13">
        <v>1</v>
      </c>
      <c r="F674" s="38"/>
      <c r="G674" s="13"/>
    </row>
    <row r="675" spans="1:7" ht="15" x14ac:dyDescent="0.25">
      <c r="A675" s="16"/>
      <c r="B675" s="17"/>
      <c r="C675" s="18" t="s">
        <v>15</v>
      </c>
      <c r="D675" s="27">
        <v>1205.05</v>
      </c>
      <c r="E675" s="27">
        <v>18.5</v>
      </c>
      <c r="F675" s="39"/>
    </row>
    <row r="676" spans="1:7" s="46" customFormat="1" ht="5.25" customHeight="1" x14ac:dyDescent="0.25">
      <c r="A676" s="15"/>
      <c r="B676" s="11"/>
      <c r="C676" s="12"/>
      <c r="D676" s="28"/>
      <c r="E676" s="28"/>
      <c r="F676" s="40"/>
    </row>
    <row r="678" spans="1:7" ht="15" x14ac:dyDescent="0.25">
      <c r="A678" s="15">
        <v>1103</v>
      </c>
      <c r="C678" s="12" t="s">
        <v>320</v>
      </c>
    </row>
    <row r="679" spans="1:7" ht="15" x14ac:dyDescent="0.25">
      <c r="B679" s="11">
        <v>1104</v>
      </c>
      <c r="C679" s="14" t="s">
        <v>321</v>
      </c>
    </row>
    <row r="680" spans="1:7" ht="15" x14ac:dyDescent="0.25">
      <c r="C680" s="14" t="s">
        <v>322</v>
      </c>
      <c r="D680" s="13">
        <v>1</v>
      </c>
      <c r="F680" s="38"/>
    </row>
    <row r="681" spans="1:7" ht="15" x14ac:dyDescent="0.25">
      <c r="A681" s="11"/>
      <c r="C681" s="14" t="s">
        <v>323</v>
      </c>
      <c r="D681" s="13">
        <v>1</v>
      </c>
      <c r="F681" s="38"/>
    </row>
    <row r="682" spans="1:7" ht="15" x14ac:dyDescent="0.25">
      <c r="A682" s="11"/>
      <c r="C682" s="14" t="s">
        <v>14</v>
      </c>
      <c r="D682" s="13">
        <v>2</v>
      </c>
      <c r="E682" s="13">
        <v>0</v>
      </c>
      <c r="F682" s="38"/>
      <c r="G682" s="13"/>
    </row>
    <row r="683" spans="1:7" ht="15" x14ac:dyDescent="0.25">
      <c r="C683" s="12"/>
      <c r="D683" s="22"/>
      <c r="E683" s="22"/>
    </row>
    <row r="684" spans="1:7" ht="15" x14ac:dyDescent="0.25">
      <c r="A684" s="16"/>
      <c r="B684" s="17"/>
      <c r="C684" s="18" t="s">
        <v>15</v>
      </c>
      <c r="D684" s="19">
        <v>2</v>
      </c>
      <c r="E684" s="19">
        <v>0</v>
      </c>
      <c r="F684" s="39"/>
    </row>
    <row r="685" spans="1:7" ht="15" x14ac:dyDescent="0.25">
      <c r="C685" s="12"/>
      <c r="D685" s="28"/>
      <c r="E685" s="28"/>
    </row>
    <row r="686" spans="1:7" ht="15" x14ac:dyDescent="0.25">
      <c r="A686" s="15">
        <v>1500</v>
      </c>
      <c r="C686" s="12" t="s">
        <v>324</v>
      </c>
      <c r="D686" s="22"/>
      <c r="E686" s="22"/>
    </row>
    <row r="687" spans="1:7" ht="15" x14ac:dyDescent="0.25">
      <c r="B687" s="11">
        <v>1501</v>
      </c>
      <c r="C687" s="14" t="s">
        <v>325</v>
      </c>
    </row>
    <row r="688" spans="1:7" ht="15" x14ac:dyDescent="0.25">
      <c r="C688" s="14" t="s">
        <v>67</v>
      </c>
      <c r="D688" s="13">
        <v>1</v>
      </c>
      <c r="F688" s="38"/>
    </row>
    <row r="689" spans="1:7" ht="15" x14ac:dyDescent="0.25">
      <c r="C689" s="14" t="s">
        <v>326</v>
      </c>
      <c r="D689" s="13">
        <v>1</v>
      </c>
      <c r="F689" s="38"/>
    </row>
    <row r="690" spans="1:7" ht="15" x14ac:dyDescent="0.25">
      <c r="A690" s="11"/>
      <c r="C690" s="14" t="s">
        <v>14</v>
      </c>
      <c r="D690" s="13">
        <v>2</v>
      </c>
      <c r="E690" s="13">
        <v>0</v>
      </c>
      <c r="F690" s="38"/>
      <c r="G690" s="13"/>
    </row>
    <row r="691" spans="1:7" ht="15" x14ac:dyDescent="0.25">
      <c r="A691" s="11"/>
      <c r="F691" s="38"/>
    </row>
    <row r="692" spans="1:7" ht="15" x14ac:dyDescent="0.25">
      <c r="A692" s="11"/>
      <c r="B692" s="11">
        <v>1502</v>
      </c>
      <c r="C692" s="14" t="s">
        <v>327</v>
      </c>
      <c r="F692" s="38"/>
    </row>
    <row r="693" spans="1:7" ht="15" x14ac:dyDescent="0.25">
      <c r="A693" s="11"/>
      <c r="C693" s="14" t="s">
        <v>328</v>
      </c>
      <c r="D693" s="13">
        <v>1</v>
      </c>
      <c r="F693" s="38"/>
    </row>
    <row r="694" spans="1:7" ht="15" x14ac:dyDescent="0.25">
      <c r="A694" s="11"/>
      <c r="C694" s="14" t="s">
        <v>329</v>
      </c>
      <c r="D694" s="13">
        <v>4</v>
      </c>
      <c r="F694" s="38"/>
    </row>
    <row r="695" spans="1:7" ht="15" x14ac:dyDescent="0.25">
      <c r="A695" s="11"/>
      <c r="C695" s="14" t="s">
        <v>14</v>
      </c>
      <c r="D695" s="13">
        <v>5</v>
      </c>
      <c r="E695" s="13">
        <v>0</v>
      </c>
      <c r="F695" s="38"/>
      <c r="G695" s="13"/>
    </row>
    <row r="696" spans="1:7" ht="15" x14ac:dyDescent="0.25">
      <c r="A696" s="11"/>
      <c r="F696" s="38"/>
    </row>
    <row r="697" spans="1:7" ht="15" x14ac:dyDescent="0.25">
      <c r="A697" s="11"/>
      <c r="B697" s="11">
        <v>1504</v>
      </c>
      <c r="C697" s="14" t="s">
        <v>330</v>
      </c>
      <c r="F697" s="38"/>
    </row>
    <row r="698" spans="1:7" ht="15" x14ac:dyDescent="0.25">
      <c r="A698" s="11"/>
      <c r="C698" s="14" t="s">
        <v>331</v>
      </c>
      <c r="D698" s="13">
        <v>1</v>
      </c>
      <c r="F698" s="38"/>
    </row>
    <row r="699" spans="1:7" ht="15" x14ac:dyDescent="0.25">
      <c r="A699" s="11"/>
      <c r="C699" s="14" t="s">
        <v>14</v>
      </c>
      <c r="D699" s="13">
        <v>1</v>
      </c>
      <c r="E699" s="13">
        <v>0</v>
      </c>
      <c r="F699" s="38"/>
      <c r="G699" s="13"/>
    </row>
    <row r="700" spans="1:7" ht="15" x14ac:dyDescent="0.25">
      <c r="A700" s="11"/>
      <c r="F700" s="38"/>
    </row>
    <row r="701" spans="1:7" ht="15" x14ac:dyDescent="0.25">
      <c r="A701" s="11"/>
      <c r="B701" s="11">
        <v>1505</v>
      </c>
      <c r="C701" s="14" t="s">
        <v>332</v>
      </c>
      <c r="F701" s="38"/>
    </row>
    <row r="702" spans="1:7" ht="15" x14ac:dyDescent="0.25">
      <c r="A702" s="11"/>
      <c r="C702" s="14" t="s">
        <v>333</v>
      </c>
      <c r="D702" s="13">
        <v>1</v>
      </c>
      <c r="F702" s="38"/>
    </row>
    <row r="703" spans="1:7" ht="15" x14ac:dyDescent="0.25">
      <c r="A703" s="11"/>
      <c r="C703" s="14" t="s">
        <v>331</v>
      </c>
      <c r="D703" s="13">
        <v>1</v>
      </c>
      <c r="F703" s="38"/>
    </row>
    <row r="704" spans="1:7" ht="15" x14ac:dyDescent="0.25">
      <c r="A704" s="11"/>
      <c r="C704" s="14" t="s">
        <v>334</v>
      </c>
      <c r="D704" s="13">
        <v>4</v>
      </c>
      <c r="F704" s="38"/>
    </row>
    <row r="705" spans="1:7" ht="15" x14ac:dyDescent="0.25">
      <c r="A705" s="11"/>
      <c r="C705" s="14" t="s">
        <v>329</v>
      </c>
      <c r="D705" s="13">
        <v>2</v>
      </c>
      <c r="F705" s="38"/>
    </row>
    <row r="706" spans="1:7" ht="15" x14ac:dyDescent="0.25">
      <c r="A706" s="11"/>
      <c r="C706" s="14" t="s">
        <v>14</v>
      </c>
      <c r="D706" s="13">
        <v>8</v>
      </c>
      <c r="E706" s="13">
        <v>0</v>
      </c>
      <c r="F706" s="38"/>
      <c r="G706" s="13"/>
    </row>
    <row r="707" spans="1:7" ht="15" x14ac:dyDescent="0.25">
      <c r="A707" s="11"/>
      <c r="F707" s="38"/>
    </row>
    <row r="708" spans="1:7" ht="15" x14ac:dyDescent="0.25">
      <c r="A708" s="11"/>
      <c r="B708" s="11">
        <v>1508</v>
      </c>
      <c r="C708" s="14" t="s">
        <v>335</v>
      </c>
      <c r="F708" s="38"/>
    </row>
    <row r="709" spans="1:7" ht="15" x14ac:dyDescent="0.25">
      <c r="A709" s="11"/>
      <c r="C709" s="14" t="s">
        <v>331</v>
      </c>
      <c r="D709" s="13">
        <v>1</v>
      </c>
      <c r="F709" s="38"/>
    </row>
    <row r="710" spans="1:7" ht="15" x14ac:dyDescent="0.25">
      <c r="A710" s="11"/>
      <c r="C710" s="14" t="s">
        <v>14</v>
      </c>
      <c r="D710" s="13">
        <v>1</v>
      </c>
      <c r="E710" s="13">
        <v>0</v>
      </c>
      <c r="F710" s="38"/>
      <c r="G710" s="13"/>
    </row>
    <row r="711" spans="1:7" ht="15" x14ac:dyDescent="0.25">
      <c r="A711" s="11"/>
    </row>
    <row r="712" spans="1:7" ht="15" x14ac:dyDescent="0.25">
      <c r="A712" s="16"/>
      <c r="B712" s="17"/>
      <c r="C712" s="18" t="s">
        <v>15</v>
      </c>
      <c r="D712" s="19">
        <v>17</v>
      </c>
      <c r="E712" s="19">
        <v>0</v>
      </c>
      <c r="F712" s="39"/>
    </row>
    <row r="714" spans="1:7" ht="15" x14ac:dyDescent="0.25">
      <c r="A714" s="15">
        <v>1830</v>
      </c>
      <c r="C714" s="12" t="s">
        <v>336</v>
      </c>
    </row>
    <row r="715" spans="1:7" ht="15" x14ac:dyDescent="0.25">
      <c r="B715" s="11">
        <v>1821</v>
      </c>
      <c r="C715" s="14" t="s">
        <v>337</v>
      </c>
    </row>
    <row r="716" spans="1:7" ht="15" x14ac:dyDescent="0.25">
      <c r="C716" s="14" t="s">
        <v>215</v>
      </c>
      <c r="D716" s="13">
        <v>2</v>
      </c>
      <c r="F716" s="38"/>
    </row>
    <row r="717" spans="1:7" ht="15" x14ac:dyDescent="0.25">
      <c r="C717" s="14" t="s">
        <v>78</v>
      </c>
      <c r="D717" s="13">
        <v>1</v>
      </c>
      <c r="F717" s="38"/>
    </row>
    <row r="718" spans="1:7" ht="15" x14ac:dyDescent="0.25">
      <c r="C718" s="14" t="s">
        <v>340</v>
      </c>
      <c r="D718" s="13">
        <v>1</v>
      </c>
      <c r="F718" s="38"/>
    </row>
    <row r="719" spans="1:7" ht="15" x14ac:dyDescent="0.25">
      <c r="C719" s="14" t="s">
        <v>338</v>
      </c>
      <c r="D719" s="13">
        <v>1</v>
      </c>
      <c r="F719" s="38"/>
    </row>
    <row r="720" spans="1:7" ht="15" x14ac:dyDescent="0.25">
      <c r="A720" s="11"/>
      <c r="C720" s="14" t="s">
        <v>14</v>
      </c>
      <c r="D720" s="13">
        <v>5</v>
      </c>
      <c r="E720" s="13">
        <v>0</v>
      </c>
      <c r="F720" s="38"/>
      <c r="G720" s="13"/>
    </row>
    <row r="721" spans="1:7" ht="15" x14ac:dyDescent="0.25">
      <c r="A721" s="11"/>
      <c r="F721" s="38"/>
    </row>
    <row r="722" spans="1:7" ht="15" x14ac:dyDescent="0.25">
      <c r="A722" s="11"/>
      <c r="B722" s="11">
        <v>1822</v>
      </c>
      <c r="C722" s="14" t="s">
        <v>339</v>
      </c>
      <c r="F722" s="38"/>
    </row>
    <row r="723" spans="1:7" ht="15" x14ac:dyDescent="0.25">
      <c r="A723" s="11"/>
      <c r="C723" s="14" t="s">
        <v>340</v>
      </c>
      <c r="D723" s="13">
        <v>1</v>
      </c>
      <c r="F723" s="38"/>
    </row>
    <row r="724" spans="1:7" ht="15" x14ac:dyDescent="0.25">
      <c r="A724" s="11"/>
      <c r="C724" s="14" t="s">
        <v>14</v>
      </c>
      <c r="D724" s="13">
        <v>1</v>
      </c>
      <c r="E724" s="13">
        <v>0</v>
      </c>
      <c r="F724" s="38"/>
      <c r="G724" s="13"/>
    </row>
    <row r="725" spans="1:7" ht="15" x14ac:dyDescent="0.25">
      <c r="A725" s="11"/>
      <c r="F725" s="38"/>
    </row>
    <row r="726" spans="1:7" ht="15" x14ac:dyDescent="0.25">
      <c r="A726" s="11"/>
      <c r="B726" s="11">
        <v>1823</v>
      </c>
      <c r="C726" s="14" t="s">
        <v>341</v>
      </c>
      <c r="F726" s="38"/>
    </row>
    <row r="727" spans="1:7" ht="15" x14ac:dyDescent="0.25">
      <c r="A727" s="11"/>
      <c r="C727" s="14" t="s">
        <v>78</v>
      </c>
      <c r="D727" s="13">
        <v>1</v>
      </c>
      <c r="F727" s="38"/>
    </row>
    <row r="728" spans="1:7" ht="15" x14ac:dyDescent="0.25">
      <c r="A728" s="11"/>
      <c r="C728" s="14" t="s">
        <v>340</v>
      </c>
      <c r="D728" s="13">
        <v>1</v>
      </c>
      <c r="F728" s="38"/>
    </row>
    <row r="729" spans="1:7" ht="15" x14ac:dyDescent="0.25">
      <c r="A729" s="11"/>
      <c r="C729" s="14" t="s">
        <v>14</v>
      </c>
      <c r="D729" s="13">
        <v>2</v>
      </c>
      <c r="E729" s="13">
        <v>0</v>
      </c>
      <c r="F729" s="38"/>
      <c r="G729" s="13"/>
    </row>
    <row r="730" spans="1:7" ht="15" x14ac:dyDescent="0.25">
      <c r="A730" s="11"/>
    </row>
    <row r="731" spans="1:7" ht="15" x14ac:dyDescent="0.25">
      <c r="A731" s="16"/>
      <c r="B731" s="17"/>
      <c r="C731" s="18" t="s">
        <v>15</v>
      </c>
      <c r="D731" s="19">
        <v>8</v>
      </c>
      <c r="E731" s="19">
        <v>0</v>
      </c>
      <c r="F731" s="39"/>
    </row>
    <row r="733" spans="1:7" ht="15" x14ac:dyDescent="0.25">
      <c r="A733" s="15">
        <v>6300</v>
      </c>
      <c r="C733" s="12" t="s">
        <v>342</v>
      </c>
    </row>
    <row r="734" spans="1:7" ht="15" x14ac:dyDescent="0.25">
      <c r="B734" s="11">
        <v>6306</v>
      </c>
      <c r="C734" s="14" t="s">
        <v>343</v>
      </c>
    </row>
    <row r="735" spans="1:7" ht="15" x14ac:dyDescent="0.25">
      <c r="C735" s="14" t="s">
        <v>344</v>
      </c>
      <c r="D735" s="13">
        <v>1</v>
      </c>
      <c r="F735" s="38"/>
    </row>
    <row r="736" spans="1:7" ht="15" x14ac:dyDescent="0.25">
      <c r="C736" s="14" t="s">
        <v>120</v>
      </c>
      <c r="D736" s="13">
        <v>4</v>
      </c>
      <c r="F736" s="38"/>
    </row>
    <row r="737" spans="1:7" ht="15" x14ac:dyDescent="0.25">
      <c r="C737" s="14" t="s">
        <v>345</v>
      </c>
      <c r="D737" s="13">
        <v>1</v>
      </c>
      <c r="F737" s="38"/>
    </row>
    <row r="738" spans="1:7" ht="15" x14ac:dyDescent="0.25">
      <c r="A738" s="11"/>
      <c r="C738" s="14" t="s">
        <v>346</v>
      </c>
      <c r="D738" s="13">
        <v>6</v>
      </c>
      <c r="E738" s="13">
        <v>0</v>
      </c>
      <c r="F738" s="38"/>
      <c r="G738" s="13"/>
    </row>
    <row r="739" spans="1:7" ht="15" x14ac:dyDescent="0.25">
      <c r="A739" s="11"/>
      <c r="F739" s="38"/>
    </row>
    <row r="740" spans="1:7" ht="15" x14ac:dyDescent="0.25">
      <c r="A740" s="11"/>
      <c r="B740" s="11">
        <v>6309</v>
      </c>
      <c r="C740" s="14" t="s">
        <v>347</v>
      </c>
      <c r="F740" s="38"/>
    </row>
    <row r="741" spans="1:7" ht="15" x14ac:dyDescent="0.25">
      <c r="A741" s="11"/>
      <c r="C741" s="14" t="s">
        <v>348</v>
      </c>
      <c r="D741" s="13">
        <v>1</v>
      </c>
      <c r="F741" s="38"/>
    </row>
    <row r="742" spans="1:7" ht="15" x14ac:dyDescent="0.25">
      <c r="A742" s="11"/>
      <c r="C742" s="14" t="s">
        <v>349</v>
      </c>
      <c r="D742" s="13">
        <v>2</v>
      </c>
      <c r="F742" s="38"/>
    </row>
    <row r="743" spans="1:7" ht="15" x14ac:dyDescent="0.25">
      <c r="A743" s="11"/>
      <c r="C743" s="14" t="s">
        <v>350</v>
      </c>
      <c r="D743" s="13">
        <v>1</v>
      </c>
      <c r="F743" s="38"/>
    </row>
    <row r="744" spans="1:7" ht="15" x14ac:dyDescent="0.25">
      <c r="A744" s="11"/>
      <c r="C744" s="14" t="s">
        <v>30</v>
      </c>
      <c r="D744" s="13">
        <v>1</v>
      </c>
      <c r="F744" s="38"/>
    </row>
    <row r="745" spans="1:7" ht="15" x14ac:dyDescent="0.25">
      <c r="A745" s="11"/>
      <c r="C745" s="14" t="s">
        <v>14</v>
      </c>
      <c r="D745" s="13">
        <v>5</v>
      </c>
      <c r="E745" s="13">
        <v>0</v>
      </c>
      <c r="F745" s="38"/>
      <c r="G745" s="13"/>
    </row>
    <row r="746" spans="1:7" ht="15" x14ac:dyDescent="0.25">
      <c r="A746" s="11"/>
      <c r="F746" s="38"/>
    </row>
    <row r="747" spans="1:7" ht="15" x14ac:dyDescent="0.25">
      <c r="A747" s="11"/>
      <c r="B747" s="11">
        <v>6311</v>
      </c>
      <c r="C747" s="14" t="s">
        <v>351</v>
      </c>
      <c r="F747" s="38"/>
    </row>
    <row r="748" spans="1:7" ht="15" x14ac:dyDescent="0.25">
      <c r="A748" s="11"/>
      <c r="C748" s="14" t="s">
        <v>43</v>
      </c>
      <c r="D748" s="13">
        <v>1</v>
      </c>
      <c r="F748" s="38"/>
    </row>
    <row r="749" spans="1:7" ht="15" x14ac:dyDescent="0.25">
      <c r="A749" s="11"/>
      <c r="C749" s="14" t="s">
        <v>7</v>
      </c>
      <c r="D749" s="13">
        <v>1</v>
      </c>
      <c r="F749" s="38"/>
    </row>
    <row r="750" spans="1:7" ht="15" x14ac:dyDescent="0.25">
      <c r="A750" s="11"/>
      <c r="C750" s="14" t="s">
        <v>352</v>
      </c>
      <c r="D750" s="13">
        <v>1</v>
      </c>
      <c r="F750" s="38"/>
    </row>
    <row r="751" spans="1:7" ht="15" x14ac:dyDescent="0.25">
      <c r="A751" s="11"/>
      <c r="C751" s="14" t="s">
        <v>353</v>
      </c>
      <c r="D751" s="13">
        <v>1</v>
      </c>
      <c r="F751" s="38"/>
    </row>
    <row r="752" spans="1:7" ht="15" x14ac:dyDescent="0.25">
      <c r="A752" s="11"/>
      <c r="C752" s="14" t="s">
        <v>344</v>
      </c>
      <c r="D752" s="13">
        <v>1</v>
      </c>
      <c r="F752" s="38"/>
    </row>
    <row r="753" spans="1:7" ht="15" x14ac:dyDescent="0.25">
      <c r="A753" s="11"/>
      <c r="C753" s="14" t="s">
        <v>354</v>
      </c>
      <c r="D753" s="13">
        <v>1</v>
      </c>
      <c r="F753" s="38"/>
    </row>
    <row r="754" spans="1:7" ht="15" x14ac:dyDescent="0.25">
      <c r="A754" s="11"/>
      <c r="C754" s="14" t="s">
        <v>355</v>
      </c>
      <c r="D754" s="13">
        <v>2</v>
      </c>
      <c r="F754" s="38"/>
    </row>
    <row r="755" spans="1:7" ht="15" x14ac:dyDescent="0.25">
      <c r="A755" s="11"/>
      <c r="C755" s="14" t="s">
        <v>356</v>
      </c>
      <c r="D755" s="13">
        <v>1</v>
      </c>
      <c r="F755" s="38"/>
    </row>
    <row r="756" spans="1:7" ht="15" x14ac:dyDescent="0.25">
      <c r="A756" s="11"/>
      <c r="C756" s="14" t="s">
        <v>357</v>
      </c>
      <c r="D756" s="13">
        <v>1</v>
      </c>
      <c r="F756" s="38"/>
    </row>
    <row r="757" spans="1:7" ht="15" x14ac:dyDescent="0.25">
      <c r="A757" s="11"/>
      <c r="C757" s="14" t="s">
        <v>510</v>
      </c>
      <c r="D757" s="13">
        <v>1</v>
      </c>
      <c r="F757" s="38"/>
    </row>
    <row r="758" spans="1:7" ht="15" x14ac:dyDescent="0.25">
      <c r="A758" s="11"/>
      <c r="C758" s="14" t="s">
        <v>29</v>
      </c>
      <c r="D758" s="13">
        <v>1</v>
      </c>
      <c r="F758" s="38"/>
    </row>
    <row r="759" spans="1:7" ht="15" x14ac:dyDescent="0.25">
      <c r="A759" s="11"/>
      <c r="C759" s="14" t="s">
        <v>102</v>
      </c>
      <c r="D759" s="13">
        <v>1</v>
      </c>
      <c r="F759" s="38"/>
    </row>
    <row r="760" spans="1:7" ht="15" x14ac:dyDescent="0.25">
      <c r="A760" s="11"/>
      <c r="C760" s="14" t="s">
        <v>358</v>
      </c>
      <c r="D760" s="13">
        <v>1</v>
      </c>
      <c r="F760" s="38"/>
    </row>
    <row r="761" spans="1:7" ht="15" x14ac:dyDescent="0.25">
      <c r="A761" s="11"/>
      <c r="C761" s="14" t="s">
        <v>14</v>
      </c>
      <c r="D761" s="13">
        <v>14</v>
      </c>
      <c r="E761" s="13">
        <v>0</v>
      </c>
      <c r="F761" s="38"/>
      <c r="G761" s="13"/>
    </row>
    <row r="762" spans="1:7" ht="15" x14ac:dyDescent="0.25">
      <c r="A762" s="11"/>
      <c r="F762" s="38"/>
    </row>
    <row r="763" spans="1:7" ht="15" x14ac:dyDescent="0.25">
      <c r="A763" s="11"/>
      <c r="B763" s="11">
        <v>6316</v>
      </c>
      <c r="C763" s="14" t="s">
        <v>359</v>
      </c>
      <c r="F763" s="38"/>
    </row>
    <row r="764" spans="1:7" ht="15" x14ac:dyDescent="0.25">
      <c r="A764" s="11"/>
      <c r="C764" s="14" t="s">
        <v>181</v>
      </c>
      <c r="D764" s="13">
        <v>2</v>
      </c>
      <c r="F764" s="38"/>
      <c r="G764" s="13"/>
    </row>
    <row r="765" spans="1:7" ht="15" x14ac:dyDescent="0.25">
      <c r="A765" s="11"/>
      <c r="C765" s="14" t="s">
        <v>355</v>
      </c>
      <c r="D765" s="13">
        <v>1</v>
      </c>
      <c r="F765" s="38"/>
    </row>
    <row r="766" spans="1:7" ht="15" x14ac:dyDescent="0.25">
      <c r="A766" s="11"/>
      <c r="C766" s="14" t="s">
        <v>356</v>
      </c>
      <c r="D766" s="13">
        <v>1</v>
      </c>
      <c r="F766" s="38"/>
    </row>
    <row r="767" spans="1:7" ht="15" x14ac:dyDescent="0.25">
      <c r="A767" s="11"/>
      <c r="C767" s="14" t="s">
        <v>360</v>
      </c>
      <c r="D767" s="13">
        <v>4</v>
      </c>
      <c r="F767" s="38"/>
    </row>
    <row r="768" spans="1:7" ht="15" x14ac:dyDescent="0.25">
      <c r="A768" s="11"/>
      <c r="C768" s="14" t="s">
        <v>361</v>
      </c>
      <c r="D768" s="13">
        <v>2</v>
      </c>
      <c r="F768" s="38"/>
    </row>
    <row r="769" spans="1:7" ht="15" x14ac:dyDescent="0.25">
      <c r="A769" s="11"/>
      <c r="C769" s="14" t="s">
        <v>357</v>
      </c>
      <c r="D769" s="13">
        <v>1</v>
      </c>
      <c r="F769" s="38"/>
    </row>
    <row r="770" spans="1:7" ht="15" x14ac:dyDescent="0.25">
      <c r="A770" s="11"/>
      <c r="C770" s="14" t="s">
        <v>14</v>
      </c>
      <c r="D770" s="13">
        <v>11</v>
      </c>
      <c r="E770" s="13">
        <v>0</v>
      </c>
      <c r="F770" s="38"/>
      <c r="G770" s="13"/>
    </row>
    <row r="771" spans="1:7" ht="15" x14ac:dyDescent="0.25">
      <c r="A771" s="11"/>
      <c r="F771" s="38"/>
    </row>
    <row r="772" spans="1:7" ht="15" x14ac:dyDescent="0.25">
      <c r="A772" s="11"/>
      <c r="B772" s="11">
        <v>6342</v>
      </c>
      <c r="C772" s="14" t="s">
        <v>362</v>
      </c>
      <c r="F772" s="38"/>
    </row>
    <row r="773" spans="1:7" ht="15" x14ac:dyDescent="0.25">
      <c r="A773" s="11"/>
      <c r="C773" s="14" t="s">
        <v>357</v>
      </c>
      <c r="D773" s="13">
        <v>3</v>
      </c>
      <c r="F773" s="38"/>
    </row>
    <row r="774" spans="1:7" ht="15" x14ac:dyDescent="0.25">
      <c r="A774" s="11"/>
      <c r="C774" s="14" t="s">
        <v>14</v>
      </c>
      <c r="D774" s="13">
        <v>3</v>
      </c>
      <c r="E774" s="13">
        <v>0</v>
      </c>
      <c r="F774" s="38"/>
      <c r="G774" s="13"/>
    </row>
    <row r="775" spans="1:7" ht="15" x14ac:dyDescent="0.25">
      <c r="A775" s="11"/>
      <c r="F775" s="38"/>
    </row>
    <row r="776" spans="1:7" ht="15" x14ac:dyDescent="0.25">
      <c r="A776" s="11"/>
      <c r="B776" s="11">
        <v>6343</v>
      </c>
      <c r="C776" s="14" t="s">
        <v>363</v>
      </c>
      <c r="F776" s="38"/>
    </row>
    <row r="777" spans="1:7" ht="15" x14ac:dyDescent="0.25">
      <c r="A777" s="11"/>
      <c r="C777" s="14" t="s">
        <v>355</v>
      </c>
      <c r="D777" s="13">
        <v>3</v>
      </c>
      <c r="F777" s="38"/>
    </row>
    <row r="778" spans="1:7" ht="15" x14ac:dyDescent="0.25">
      <c r="A778" s="11"/>
      <c r="C778" s="14" t="s">
        <v>356</v>
      </c>
      <c r="D778" s="13">
        <v>1</v>
      </c>
      <c r="F778" s="38"/>
    </row>
    <row r="779" spans="1:7" ht="15" x14ac:dyDescent="0.25">
      <c r="A779" s="11"/>
      <c r="C779" s="14" t="s">
        <v>360</v>
      </c>
      <c r="D779" s="13">
        <v>3</v>
      </c>
      <c r="F779" s="38"/>
    </row>
    <row r="780" spans="1:7" ht="15" x14ac:dyDescent="0.25">
      <c r="A780" s="11"/>
      <c r="C780" s="14" t="s">
        <v>361</v>
      </c>
      <c r="D780" s="13">
        <v>1</v>
      </c>
      <c r="F780" s="38"/>
    </row>
    <row r="781" spans="1:7" ht="15" x14ac:dyDescent="0.25">
      <c r="A781" s="11"/>
      <c r="C781" s="14" t="s">
        <v>364</v>
      </c>
      <c r="D781" s="13">
        <v>1</v>
      </c>
      <c r="F781" s="38"/>
    </row>
    <row r="782" spans="1:7" ht="15" x14ac:dyDescent="0.25">
      <c r="A782" s="11"/>
      <c r="C782" s="14" t="s">
        <v>357</v>
      </c>
      <c r="D782" s="13">
        <v>2.5</v>
      </c>
      <c r="F782" s="38"/>
    </row>
    <row r="783" spans="1:7" ht="15" x14ac:dyDescent="0.25">
      <c r="A783" s="11"/>
      <c r="C783" s="14" t="s">
        <v>14</v>
      </c>
      <c r="D783" s="13">
        <v>11.5</v>
      </c>
      <c r="E783" s="13">
        <v>0</v>
      </c>
      <c r="F783" s="38"/>
      <c r="G783" s="13"/>
    </row>
    <row r="784" spans="1:7" ht="15" x14ac:dyDescent="0.25">
      <c r="A784" s="11"/>
      <c r="F784" s="38"/>
    </row>
    <row r="785" spans="1:7" ht="15" x14ac:dyDescent="0.25">
      <c r="A785" s="11"/>
      <c r="B785" s="11">
        <v>6344</v>
      </c>
      <c r="C785" s="14" t="s">
        <v>365</v>
      </c>
      <c r="F785" s="38"/>
    </row>
    <row r="786" spans="1:7" ht="15" x14ac:dyDescent="0.25">
      <c r="A786" s="11"/>
      <c r="C786" s="14" t="s">
        <v>355</v>
      </c>
      <c r="D786" s="13">
        <v>2</v>
      </c>
      <c r="F786" s="38"/>
    </row>
    <row r="787" spans="1:7" ht="15" x14ac:dyDescent="0.25">
      <c r="A787" s="11"/>
      <c r="C787" s="14" t="s">
        <v>356</v>
      </c>
      <c r="D787" s="13">
        <v>1</v>
      </c>
      <c r="F787" s="38"/>
    </row>
    <row r="788" spans="1:7" ht="15" x14ac:dyDescent="0.25">
      <c r="A788" s="11"/>
      <c r="C788" s="14" t="s">
        <v>360</v>
      </c>
      <c r="D788" s="13">
        <v>1.5</v>
      </c>
      <c r="F788" s="38"/>
    </row>
    <row r="789" spans="1:7" ht="15" x14ac:dyDescent="0.25">
      <c r="A789" s="11"/>
      <c r="C789" s="14" t="s">
        <v>357</v>
      </c>
      <c r="D789" s="13">
        <v>1</v>
      </c>
      <c r="F789" s="38"/>
    </row>
    <row r="790" spans="1:7" ht="15" x14ac:dyDescent="0.25">
      <c r="A790" s="11"/>
      <c r="C790" s="14" t="s">
        <v>14</v>
      </c>
      <c r="D790" s="13">
        <v>5.5</v>
      </c>
      <c r="E790" s="13">
        <v>0</v>
      </c>
      <c r="F790" s="38"/>
      <c r="G790" s="13"/>
    </row>
    <row r="791" spans="1:7" ht="15" x14ac:dyDescent="0.25">
      <c r="A791" s="11"/>
      <c r="F791" s="38"/>
    </row>
    <row r="792" spans="1:7" ht="15" x14ac:dyDescent="0.25">
      <c r="A792" s="11"/>
      <c r="B792" s="11">
        <v>6361</v>
      </c>
      <c r="C792" s="14" t="s">
        <v>366</v>
      </c>
      <c r="F792" s="38"/>
    </row>
    <row r="793" spans="1:7" ht="15" x14ac:dyDescent="0.25">
      <c r="A793" s="11"/>
      <c r="C793" s="14" t="s">
        <v>355</v>
      </c>
      <c r="D793" s="13">
        <v>2</v>
      </c>
      <c r="F793" s="38"/>
    </row>
    <row r="794" spans="1:7" ht="15" x14ac:dyDescent="0.25">
      <c r="A794" s="11"/>
      <c r="C794" s="14" t="s">
        <v>356</v>
      </c>
      <c r="D794" s="13">
        <v>1</v>
      </c>
      <c r="F794" s="38"/>
    </row>
    <row r="795" spans="1:7" ht="15" x14ac:dyDescent="0.25">
      <c r="A795" s="11"/>
      <c r="C795" s="14" t="s">
        <v>360</v>
      </c>
      <c r="D795" s="13">
        <v>2.5</v>
      </c>
      <c r="F795" s="38"/>
    </row>
    <row r="796" spans="1:7" ht="15" x14ac:dyDescent="0.25">
      <c r="A796" s="11"/>
      <c r="C796" s="14" t="s">
        <v>361</v>
      </c>
      <c r="D796" s="13">
        <v>1</v>
      </c>
      <c r="F796" s="38"/>
    </row>
    <row r="797" spans="1:7" ht="15" x14ac:dyDescent="0.25">
      <c r="A797" s="11"/>
      <c r="C797" s="14" t="s">
        <v>14</v>
      </c>
      <c r="D797" s="13">
        <v>6.5</v>
      </c>
      <c r="E797" s="13">
        <v>0</v>
      </c>
      <c r="F797" s="38"/>
      <c r="G797" s="13"/>
    </row>
    <row r="798" spans="1:7" ht="15" x14ac:dyDescent="0.25">
      <c r="A798" s="11"/>
      <c r="F798" s="38"/>
    </row>
    <row r="799" spans="1:7" ht="15" x14ac:dyDescent="0.25">
      <c r="A799" s="11"/>
      <c r="B799" s="11">
        <v>6362</v>
      </c>
      <c r="C799" s="14" t="s">
        <v>367</v>
      </c>
      <c r="F799" s="38"/>
    </row>
    <row r="800" spans="1:7" ht="15" x14ac:dyDescent="0.25">
      <c r="A800" s="11"/>
      <c r="C800" s="14" t="s">
        <v>355</v>
      </c>
      <c r="D800" s="13">
        <v>4</v>
      </c>
      <c r="F800" s="38"/>
    </row>
    <row r="801" spans="1:7" ht="15" x14ac:dyDescent="0.25">
      <c r="A801" s="11"/>
      <c r="C801" s="14" t="s">
        <v>356</v>
      </c>
      <c r="D801" s="13">
        <v>1</v>
      </c>
      <c r="F801" s="38"/>
    </row>
    <row r="802" spans="1:7" ht="15" x14ac:dyDescent="0.25">
      <c r="A802" s="11"/>
      <c r="C802" s="14" t="s">
        <v>360</v>
      </c>
      <c r="D802" s="13">
        <v>3.5</v>
      </c>
      <c r="F802" s="38"/>
    </row>
    <row r="803" spans="1:7" ht="15" x14ac:dyDescent="0.25">
      <c r="A803" s="11"/>
      <c r="C803" s="14" t="s">
        <v>361</v>
      </c>
      <c r="D803" s="13">
        <v>1</v>
      </c>
      <c r="F803" s="38"/>
    </row>
    <row r="804" spans="1:7" ht="15" x14ac:dyDescent="0.25">
      <c r="A804" s="11"/>
      <c r="C804" s="14" t="s">
        <v>364</v>
      </c>
      <c r="D804" s="13">
        <v>1</v>
      </c>
      <c r="F804" s="38"/>
    </row>
    <row r="805" spans="1:7" ht="15" x14ac:dyDescent="0.25">
      <c r="A805" s="11"/>
      <c r="C805" s="14" t="s">
        <v>357</v>
      </c>
      <c r="D805" s="13">
        <v>3</v>
      </c>
      <c r="F805" s="38"/>
    </row>
    <row r="806" spans="1:7" ht="15" x14ac:dyDescent="0.25">
      <c r="A806" s="11"/>
      <c r="C806" s="14" t="s">
        <v>14</v>
      </c>
      <c r="D806" s="13">
        <v>13.5</v>
      </c>
      <c r="E806" s="13">
        <v>0</v>
      </c>
      <c r="F806" s="38"/>
      <c r="G806" s="13"/>
    </row>
    <row r="807" spans="1:7" ht="15" x14ac:dyDescent="0.25">
      <c r="A807" s="11"/>
      <c r="F807" s="38"/>
    </row>
    <row r="808" spans="1:7" ht="15" x14ac:dyDescent="0.25">
      <c r="A808" s="11"/>
      <c r="B808" s="11">
        <v>6363</v>
      </c>
      <c r="C808" s="14" t="s">
        <v>368</v>
      </c>
      <c r="F808" s="38"/>
    </row>
    <row r="809" spans="1:7" ht="15" x14ac:dyDescent="0.25">
      <c r="A809" s="11"/>
      <c r="C809" s="14" t="s">
        <v>356</v>
      </c>
      <c r="D809" s="13">
        <v>1</v>
      </c>
      <c r="F809" s="38"/>
    </row>
    <row r="810" spans="1:7" ht="15" x14ac:dyDescent="0.25">
      <c r="A810" s="11"/>
      <c r="C810" s="14" t="s">
        <v>360</v>
      </c>
      <c r="D810" s="13">
        <v>2</v>
      </c>
      <c r="F810" s="38"/>
    </row>
    <row r="811" spans="1:7" ht="15" x14ac:dyDescent="0.25">
      <c r="A811" s="11"/>
      <c r="C811" s="14" t="s">
        <v>357</v>
      </c>
      <c r="D811" s="13">
        <v>1</v>
      </c>
      <c r="F811" s="38"/>
    </row>
    <row r="812" spans="1:7" ht="15" x14ac:dyDescent="0.25">
      <c r="A812" s="11"/>
      <c r="C812" s="14" t="s">
        <v>14</v>
      </c>
      <c r="D812" s="13">
        <v>4</v>
      </c>
      <c r="E812" s="13">
        <v>0</v>
      </c>
      <c r="F812" s="38"/>
      <c r="G812" s="13"/>
    </row>
    <row r="813" spans="1:7" ht="15" x14ac:dyDescent="0.25">
      <c r="A813" s="11"/>
      <c r="F813" s="38"/>
    </row>
    <row r="814" spans="1:7" ht="15" x14ac:dyDescent="0.25">
      <c r="A814" s="11"/>
      <c r="B814" s="11">
        <v>6364</v>
      </c>
      <c r="C814" s="29" t="s">
        <v>369</v>
      </c>
      <c r="F814" s="38"/>
    </row>
    <row r="815" spans="1:7" ht="15" x14ac:dyDescent="0.25">
      <c r="A815" s="11"/>
      <c r="C815" s="29" t="s">
        <v>355</v>
      </c>
      <c r="D815" s="13">
        <v>1.5</v>
      </c>
      <c r="F815" s="38"/>
    </row>
    <row r="816" spans="1:7" ht="15" x14ac:dyDescent="0.25">
      <c r="A816" s="11"/>
      <c r="C816" s="29" t="s">
        <v>356</v>
      </c>
      <c r="D816" s="13">
        <v>1</v>
      </c>
      <c r="F816" s="38"/>
    </row>
    <row r="817" spans="1:7" ht="15" x14ac:dyDescent="0.25">
      <c r="A817" s="11"/>
      <c r="C817" s="29" t="s">
        <v>360</v>
      </c>
      <c r="D817" s="13">
        <v>2.5</v>
      </c>
      <c r="F817" s="38"/>
    </row>
    <row r="818" spans="1:7" ht="15" x14ac:dyDescent="0.25">
      <c r="A818" s="11"/>
      <c r="C818" s="29" t="s">
        <v>364</v>
      </c>
      <c r="D818" s="13">
        <v>1</v>
      </c>
      <c r="F818" s="38"/>
    </row>
    <row r="819" spans="1:7" ht="15" x14ac:dyDescent="0.25">
      <c r="A819" s="11"/>
      <c r="C819" s="29" t="s">
        <v>357</v>
      </c>
      <c r="D819" s="13">
        <v>2</v>
      </c>
      <c r="F819" s="38"/>
    </row>
    <row r="820" spans="1:7" ht="15" x14ac:dyDescent="0.25">
      <c r="A820" s="11"/>
      <c r="C820" s="14" t="s">
        <v>14</v>
      </c>
      <c r="D820" s="13">
        <v>8</v>
      </c>
      <c r="E820" s="13">
        <v>0</v>
      </c>
      <c r="F820" s="38"/>
      <c r="G820" s="13"/>
    </row>
    <row r="821" spans="1:7" ht="15" x14ac:dyDescent="0.25">
      <c r="A821" s="11"/>
      <c r="F821" s="38"/>
    </row>
    <row r="822" spans="1:7" ht="15" x14ac:dyDescent="0.25">
      <c r="A822" s="11"/>
      <c r="B822" s="11">
        <v>6367</v>
      </c>
      <c r="C822" s="14" t="s">
        <v>370</v>
      </c>
      <c r="F822" s="38"/>
    </row>
    <row r="823" spans="1:7" ht="15" x14ac:dyDescent="0.25">
      <c r="A823" s="11"/>
      <c r="C823" s="14" t="s">
        <v>355</v>
      </c>
      <c r="D823" s="13">
        <v>3</v>
      </c>
      <c r="F823" s="38"/>
    </row>
    <row r="824" spans="1:7" ht="15" x14ac:dyDescent="0.25">
      <c r="A824" s="11"/>
      <c r="C824" s="14" t="s">
        <v>356</v>
      </c>
      <c r="D824" s="13">
        <v>1</v>
      </c>
      <c r="F824" s="38"/>
    </row>
    <row r="825" spans="1:7" ht="15" x14ac:dyDescent="0.25">
      <c r="A825" s="11"/>
      <c r="C825" s="14" t="s">
        <v>360</v>
      </c>
      <c r="D825" s="13">
        <v>3</v>
      </c>
      <c r="F825" s="38"/>
    </row>
    <row r="826" spans="1:7" ht="15" x14ac:dyDescent="0.25">
      <c r="A826" s="11"/>
      <c r="C826" s="14" t="s">
        <v>361</v>
      </c>
      <c r="D826" s="13">
        <v>1</v>
      </c>
      <c r="F826" s="38"/>
    </row>
    <row r="827" spans="1:7" ht="15" x14ac:dyDescent="0.25">
      <c r="A827" s="11"/>
      <c r="C827" s="14" t="s">
        <v>364</v>
      </c>
      <c r="D827" s="13">
        <v>1</v>
      </c>
      <c r="F827" s="38"/>
    </row>
    <row r="828" spans="1:7" ht="15" x14ac:dyDescent="0.25">
      <c r="A828" s="11"/>
      <c r="C828" s="14" t="s">
        <v>357</v>
      </c>
      <c r="D828" s="13">
        <v>3</v>
      </c>
      <c r="F828" s="38"/>
    </row>
    <row r="829" spans="1:7" ht="15" x14ac:dyDescent="0.25">
      <c r="A829" s="11"/>
      <c r="C829" s="14" t="s">
        <v>14</v>
      </c>
      <c r="D829" s="13">
        <v>12</v>
      </c>
      <c r="E829" s="13">
        <v>0</v>
      </c>
      <c r="F829" s="38"/>
      <c r="G829" s="13"/>
    </row>
    <row r="830" spans="1:7" ht="15" x14ac:dyDescent="0.25">
      <c r="A830" s="11"/>
      <c r="F830" s="38"/>
    </row>
    <row r="831" spans="1:7" ht="15" x14ac:dyDescent="0.25">
      <c r="A831" s="11"/>
      <c r="B831" s="11">
        <v>6368</v>
      </c>
      <c r="C831" s="14" t="s">
        <v>371</v>
      </c>
      <c r="F831" s="38"/>
    </row>
    <row r="832" spans="1:7" ht="15" x14ac:dyDescent="0.25">
      <c r="A832" s="11"/>
      <c r="C832" s="14" t="s">
        <v>355</v>
      </c>
      <c r="D832" s="13">
        <v>2</v>
      </c>
      <c r="F832" s="38"/>
    </row>
    <row r="833" spans="1:7" ht="15" x14ac:dyDescent="0.25">
      <c r="A833" s="11"/>
      <c r="C833" s="14" t="s">
        <v>356</v>
      </c>
      <c r="D833" s="13">
        <v>1</v>
      </c>
      <c r="F833" s="38"/>
    </row>
    <row r="834" spans="1:7" ht="15" x14ac:dyDescent="0.25">
      <c r="A834" s="11"/>
      <c r="C834" s="14" t="s">
        <v>360</v>
      </c>
      <c r="D834" s="13">
        <v>2.5</v>
      </c>
      <c r="F834" s="38"/>
    </row>
    <row r="835" spans="1:7" ht="15" x14ac:dyDescent="0.25">
      <c r="A835" s="11"/>
      <c r="C835" s="14" t="s">
        <v>364</v>
      </c>
      <c r="D835" s="13">
        <v>1</v>
      </c>
      <c r="F835" s="38"/>
    </row>
    <row r="836" spans="1:7" ht="15" x14ac:dyDescent="0.25">
      <c r="A836" s="11"/>
      <c r="C836" s="14" t="s">
        <v>357</v>
      </c>
      <c r="D836" s="13">
        <v>1</v>
      </c>
      <c r="F836" s="38"/>
    </row>
    <row r="837" spans="1:7" ht="15" x14ac:dyDescent="0.25">
      <c r="A837" s="11"/>
      <c r="C837" s="14" t="s">
        <v>14</v>
      </c>
      <c r="D837" s="13">
        <v>7.5</v>
      </c>
      <c r="E837" s="13">
        <v>0</v>
      </c>
      <c r="F837" s="38"/>
      <c r="G837" s="13"/>
    </row>
    <row r="838" spans="1:7" ht="15" x14ac:dyDescent="0.25">
      <c r="A838" s="11"/>
    </row>
    <row r="839" spans="1:7" ht="15" x14ac:dyDescent="0.25">
      <c r="A839" s="16"/>
      <c r="B839" s="17"/>
      <c r="C839" s="18" t="s">
        <v>15</v>
      </c>
      <c r="D839" s="19">
        <v>107.5</v>
      </c>
      <c r="E839" s="19">
        <v>0</v>
      </c>
      <c r="F839" s="39"/>
    </row>
    <row r="841" spans="1:7" ht="15" x14ac:dyDescent="0.25">
      <c r="A841" s="15">
        <v>6650</v>
      </c>
      <c r="C841" s="12" t="s">
        <v>372</v>
      </c>
    </row>
    <row r="842" spans="1:7" ht="15" x14ac:dyDescent="0.25">
      <c r="B842" s="11">
        <v>6651</v>
      </c>
      <c r="C842" s="14" t="s">
        <v>373</v>
      </c>
    </row>
    <row r="843" spans="1:7" ht="15" x14ac:dyDescent="0.25">
      <c r="C843" s="14" t="s">
        <v>260</v>
      </c>
      <c r="D843" s="13">
        <v>1</v>
      </c>
      <c r="F843" s="38"/>
    </row>
    <row r="844" spans="1:7" ht="15" x14ac:dyDescent="0.25">
      <c r="C844" s="14" t="s">
        <v>374</v>
      </c>
      <c r="D844" s="13">
        <v>60</v>
      </c>
      <c r="E844" s="13">
        <v>1</v>
      </c>
      <c r="F844" s="38">
        <v>41883</v>
      </c>
    </row>
    <row r="845" spans="1:7" ht="15" x14ac:dyDescent="0.25">
      <c r="C845" s="14" t="s">
        <v>375</v>
      </c>
      <c r="D845" s="13">
        <v>4</v>
      </c>
      <c r="F845" s="38"/>
    </row>
    <row r="846" spans="1:7" ht="15" x14ac:dyDescent="0.25">
      <c r="C846" s="14" t="s">
        <v>376</v>
      </c>
      <c r="D846" s="13">
        <v>4</v>
      </c>
      <c r="F846" s="38"/>
    </row>
    <row r="847" spans="1:7" ht="15" x14ac:dyDescent="0.25">
      <c r="C847" s="14" t="s">
        <v>29</v>
      </c>
      <c r="D847" s="13">
        <v>1</v>
      </c>
      <c r="F847" s="38"/>
    </row>
    <row r="848" spans="1:7" ht="15" x14ac:dyDescent="0.25">
      <c r="C848" s="14" t="s">
        <v>33</v>
      </c>
      <c r="D848" s="13">
        <v>1</v>
      </c>
      <c r="F848" s="38"/>
    </row>
    <row r="849" spans="1:7" ht="15" x14ac:dyDescent="0.25">
      <c r="C849" s="14" t="s">
        <v>377</v>
      </c>
      <c r="D849" s="13">
        <v>1</v>
      </c>
      <c r="F849" s="38"/>
    </row>
    <row r="850" spans="1:7" ht="15" x14ac:dyDescent="0.25">
      <c r="C850" s="14" t="s">
        <v>378</v>
      </c>
      <c r="D850" s="13">
        <v>1</v>
      </c>
      <c r="F850" s="38"/>
    </row>
    <row r="851" spans="1:7" ht="15" x14ac:dyDescent="0.25">
      <c r="A851" s="11"/>
      <c r="C851" s="14" t="s">
        <v>14</v>
      </c>
      <c r="D851" s="13">
        <v>73</v>
      </c>
      <c r="E851" s="13">
        <v>1</v>
      </c>
      <c r="F851" s="38"/>
      <c r="G851" s="13"/>
    </row>
    <row r="852" spans="1:7" ht="15" x14ac:dyDescent="0.25">
      <c r="A852" s="11"/>
      <c r="F852" s="38"/>
    </row>
    <row r="853" spans="1:7" ht="15" x14ac:dyDescent="0.25">
      <c r="A853" s="11"/>
      <c r="B853" s="11">
        <v>6652</v>
      </c>
      <c r="C853" s="14" t="s">
        <v>379</v>
      </c>
      <c r="F853" s="38"/>
    </row>
    <row r="854" spans="1:7" ht="15" x14ac:dyDescent="0.25">
      <c r="A854" s="11"/>
      <c r="C854" s="14" t="s">
        <v>107</v>
      </c>
      <c r="D854" s="13">
        <v>1</v>
      </c>
      <c r="F854" s="38"/>
    </row>
    <row r="855" spans="1:7" ht="15" x14ac:dyDescent="0.25">
      <c r="A855" s="11"/>
      <c r="C855" s="14" t="s">
        <v>43</v>
      </c>
      <c r="D855" s="13">
        <v>2</v>
      </c>
      <c r="F855" s="38"/>
    </row>
    <row r="856" spans="1:7" ht="15" x14ac:dyDescent="0.25">
      <c r="A856" s="11"/>
      <c r="C856" s="14" t="s">
        <v>45</v>
      </c>
      <c r="D856" s="13">
        <v>1</v>
      </c>
      <c r="F856" s="38"/>
    </row>
    <row r="857" spans="1:7" ht="15" x14ac:dyDescent="0.25">
      <c r="A857" s="11"/>
      <c r="C857" s="14" t="s">
        <v>108</v>
      </c>
      <c r="D857" s="13">
        <v>1</v>
      </c>
      <c r="F857" s="38"/>
    </row>
    <row r="858" spans="1:7" ht="15" x14ac:dyDescent="0.25">
      <c r="A858" s="11"/>
      <c r="C858" s="14" t="s">
        <v>7</v>
      </c>
      <c r="D858" s="13">
        <v>1</v>
      </c>
      <c r="F858" s="38"/>
    </row>
    <row r="859" spans="1:7" ht="15" x14ac:dyDescent="0.25">
      <c r="A859" s="11"/>
      <c r="C859" s="14" t="s">
        <v>380</v>
      </c>
      <c r="D859" s="13">
        <v>1</v>
      </c>
      <c r="F859" s="38"/>
    </row>
    <row r="860" spans="1:7" ht="15" x14ac:dyDescent="0.25">
      <c r="A860" s="11"/>
      <c r="C860" s="14" t="s">
        <v>169</v>
      </c>
      <c r="D860" s="13">
        <v>1</v>
      </c>
      <c r="F860" s="38"/>
    </row>
    <row r="861" spans="1:7" ht="15" x14ac:dyDescent="0.25">
      <c r="A861" s="11"/>
      <c r="C861" s="14" t="s">
        <v>381</v>
      </c>
      <c r="D861" s="13">
        <v>1</v>
      </c>
      <c r="F861" s="38"/>
    </row>
    <row r="862" spans="1:7" ht="15" x14ac:dyDescent="0.25">
      <c r="A862" s="11"/>
      <c r="C862" s="14" t="s">
        <v>28</v>
      </c>
      <c r="D862" s="13">
        <v>1</v>
      </c>
      <c r="F862" s="38"/>
    </row>
    <row r="863" spans="1:7" ht="15" x14ac:dyDescent="0.25">
      <c r="A863" s="11"/>
      <c r="C863" s="14" t="s">
        <v>382</v>
      </c>
      <c r="D863" s="13">
        <v>2</v>
      </c>
      <c r="F863" s="38"/>
    </row>
    <row r="864" spans="1:7" ht="15" x14ac:dyDescent="0.25">
      <c r="A864" s="11"/>
      <c r="C864" s="14" t="s">
        <v>383</v>
      </c>
      <c r="D864" s="13">
        <v>1</v>
      </c>
      <c r="F864" s="38"/>
    </row>
    <row r="865" spans="1:7" ht="15" x14ac:dyDescent="0.25">
      <c r="A865" s="11"/>
      <c r="C865" s="14" t="s">
        <v>33</v>
      </c>
      <c r="D865" s="13">
        <v>1</v>
      </c>
      <c r="F865" s="38"/>
    </row>
    <row r="866" spans="1:7" ht="15" x14ac:dyDescent="0.25">
      <c r="A866" s="11"/>
      <c r="C866" s="14" t="s">
        <v>377</v>
      </c>
      <c r="D866" s="13">
        <v>3</v>
      </c>
      <c r="F866" s="38"/>
    </row>
    <row r="867" spans="1:7" ht="15" x14ac:dyDescent="0.25">
      <c r="A867" s="11"/>
      <c r="C867" s="14" t="s">
        <v>102</v>
      </c>
      <c r="D867" s="13">
        <v>1</v>
      </c>
      <c r="F867" s="38"/>
    </row>
    <row r="868" spans="1:7" ht="15" x14ac:dyDescent="0.25">
      <c r="A868" s="11"/>
      <c r="C868" s="14" t="s">
        <v>14</v>
      </c>
      <c r="D868" s="13">
        <v>18</v>
      </c>
      <c r="E868" s="13">
        <v>0</v>
      </c>
      <c r="F868" s="38"/>
      <c r="G868" s="13"/>
    </row>
    <row r="869" spans="1:7" ht="15" x14ac:dyDescent="0.25">
      <c r="A869" s="11"/>
      <c r="F869" s="38"/>
    </row>
    <row r="870" spans="1:7" ht="15" x14ac:dyDescent="0.25">
      <c r="A870" s="11"/>
      <c r="B870" s="11">
        <v>6653</v>
      </c>
      <c r="C870" s="14" t="s">
        <v>384</v>
      </c>
      <c r="F870" s="38"/>
    </row>
    <row r="871" spans="1:7" ht="15" x14ac:dyDescent="0.25">
      <c r="A871" s="11"/>
      <c r="C871" s="14" t="s">
        <v>32</v>
      </c>
      <c r="D871" s="13">
        <v>1</v>
      </c>
      <c r="F871" s="38"/>
    </row>
    <row r="872" spans="1:7" ht="15" x14ac:dyDescent="0.25">
      <c r="A872" s="11"/>
      <c r="C872" s="14" t="s">
        <v>385</v>
      </c>
      <c r="D872" s="13">
        <v>1</v>
      </c>
      <c r="F872" s="38"/>
    </row>
    <row r="873" spans="1:7" ht="15" x14ac:dyDescent="0.25">
      <c r="A873" s="11"/>
      <c r="C873" s="14" t="s">
        <v>386</v>
      </c>
      <c r="D873" s="13">
        <v>44</v>
      </c>
      <c r="E873" s="13">
        <v>1</v>
      </c>
      <c r="F873" s="38">
        <v>41851</v>
      </c>
    </row>
    <row r="874" spans="1:7" ht="15" x14ac:dyDescent="0.25">
      <c r="A874" s="11"/>
      <c r="F874" s="38">
        <v>41729</v>
      </c>
    </row>
    <row r="875" spans="1:7" ht="15" x14ac:dyDescent="0.25">
      <c r="A875" s="11"/>
      <c r="C875" s="14" t="s">
        <v>387</v>
      </c>
      <c r="D875" s="13">
        <v>11</v>
      </c>
      <c r="E875" s="13">
        <v>2</v>
      </c>
      <c r="F875" s="38">
        <v>41912</v>
      </c>
    </row>
    <row r="876" spans="1:7" ht="15" x14ac:dyDescent="0.25">
      <c r="A876" s="11"/>
      <c r="C876" s="14" t="s">
        <v>388</v>
      </c>
      <c r="D876" s="13">
        <v>9</v>
      </c>
      <c r="E876" s="13">
        <v>1</v>
      </c>
      <c r="F876" s="38">
        <v>41820</v>
      </c>
    </row>
    <row r="877" spans="1:7" ht="15" x14ac:dyDescent="0.25">
      <c r="A877" s="11"/>
      <c r="C877" s="14" t="s">
        <v>153</v>
      </c>
      <c r="D877" s="13">
        <v>9</v>
      </c>
      <c r="F877" s="38"/>
    </row>
    <row r="878" spans="1:7" ht="15" x14ac:dyDescent="0.25">
      <c r="A878" s="11"/>
      <c r="C878" s="14" t="s">
        <v>389</v>
      </c>
      <c r="D878" s="13">
        <v>1</v>
      </c>
      <c r="F878" s="38"/>
    </row>
    <row r="879" spans="1:7" ht="15" x14ac:dyDescent="0.25">
      <c r="A879" s="11"/>
      <c r="C879" s="14" t="s">
        <v>30</v>
      </c>
      <c r="D879" s="13">
        <v>1</v>
      </c>
      <c r="F879" s="38"/>
    </row>
    <row r="880" spans="1:7" ht="15" x14ac:dyDescent="0.25">
      <c r="A880" s="11"/>
      <c r="C880" s="14" t="s">
        <v>14</v>
      </c>
      <c r="D880" s="13">
        <v>77</v>
      </c>
      <c r="E880" s="13">
        <v>4</v>
      </c>
      <c r="F880" s="38"/>
      <c r="G880" s="13"/>
    </row>
    <row r="881" spans="1:7" ht="15" x14ac:dyDescent="0.25">
      <c r="A881" s="11"/>
      <c r="F881" s="38"/>
    </row>
    <row r="882" spans="1:7" ht="15" x14ac:dyDescent="0.25">
      <c r="A882" s="11"/>
      <c r="B882" s="11">
        <v>6654</v>
      </c>
      <c r="C882" s="14" t="s">
        <v>390</v>
      </c>
      <c r="F882" s="38"/>
    </row>
    <row r="883" spans="1:7" ht="15" x14ac:dyDescent="0.25">
      <c r="A883" s="11"/>
      <c r="C883" s="14" t="s">
        <v>32</v>
      </c>
      <c r="D883" s="13">
        <v>1</v>
      </c>
      <c r="F883" s="38"/>
    </row>
    <row r="884" spans="1:7" ht="15" x14ac:dyDescent="0.25">
      <c r="A884" s="11"/>
      <c r="C884" s="14" t="s">
        <v>386</v>
      </c>
      <c r="D884" s="13">
        <v>13</v>
      </c>
      <c r="F884" s="38"/>
    </row>
    <row r="885" spans="1:7" ht="15" x14ac:dyDescent="0.25">
      <c r="A885" s="11"/>
      <c r="F885" s="38">
        <v>41820</v>
      </c>
    </row>
    <row r="886" spans="1:7" ht="15" x14ac:dyDescent="0.25">
      <c r="A886" s="11"/>
      <c r="C886" s="14" t="s">
        <v>387</v>
      </c>
      <c r="D886" s="13">
        <v>15</v>
      </c>
      <c r="E886" s="13">
        <v>2</v>
      </c>
      <c r="F886" s="38">
        <v>41820</v>
      </c>
    </row>
    <row r="887" spans="1:7" ht="15" x14ac:dyDescent="0.25">
      <c r="A887" s="11"/>
      <c r="C887" s="14" t="s">
        <v>388</v>
      </c>
      <c r="D887" s="13">
        <v>5</v>
      </c>
      <c r="E887" s="13">
        <v>1</v>
      </c>
      <c r="F887" s="38">
        <v>41820</v>
      </c>
    </row>
    <row r="888" spans="1:7" ht="15" x14ac:dyDescent="0.25">
      <c r="A888" s="11"/>
      <c r="F888" s="38">
        <v>41820</v>
      </c>
    </row>
    <row r="889" spans="1:7" ht="15" x14ac:dyDescent="0.25">
      <c r="A889" s="11"/>
      <c r="C889" s="14" t="s">
        <v>374</v>
      </c>
      <c r="D889" s="13">
        <v>6</v>
      </c>
      <c r="E889" s="13">
        <v>2</v>
      </c>
      <c r="F889" s="38">
        <v>41820</v>
      </c>
    </row>
    <row r="890" spans="1:7" ht="15" x14ac:dyDescent="0.25">
      <c r="A890" s="11"/>
      <c r="C890" s="14" t="s">
        <v>153</v>
      </c>
      <c r="D890" s="13">
        <v>7.5</v>
      </c>
      <c r="F890" s="38"/>
    </row>
    <row r="891" spans="1:7" ht="15" x14ac:dyDescent="0.25">
      <c r="A891" s="11"/>
      <c r="C891" s="14" t="s">
        <v>389</v>
      </c>
      <c r="D891" s="13">
        <v>1</v>
      </c>
      <c r="F891" s="38"/>
    </row>
    <row r="892" spans="1:7" ht="15" x14ac:dyDescent="0.25">
      <c r="A892" s="11"/>
      <c r="C892" s="14" t="s">
        <v>29</v>
      </c>
      <c r="D892" s="13">
        <v>1</v>
      </c>
      <c r="F892" s="38"/>
    </row>
    <row r="893" spans="1:7" ht="15" x14ac:dyDescent="0.25">
      <c r="A893" s="11"/>
      <c r="C893" s="14" t="s">
        <v>14</v>
      </c>
      <c r="D893" s="13">
        <v>49.5</v>
      </c>
      <c r="E893" s="13">
        <v>5</v>
      </c>
      <c r="F893" s="38"/>
      <c r="G893" s="13"/>
    </row>
    <row r="894" spans="1:7" ht="15" x14ac:dyDescent="0.25">
      <c r="A894" s="11"/>
      <c r="F894" s="33"/>
    </row>
    <row r="895" spans="1:7" ht="15" x14ac:dyDescent="0.25">
      <c r="A895" s="16"/>
      <c r="B895" s="17"/>
      <c r="C895" s="18" t="s">
        <v>15</v>
      </c>
      <c r="D895" s="19">
        <v>217.5</v>
      </c>
      <c r="E895" s="19">
        <v>10</v>
      </c>
      <c r="F895" s="36"/>
    </row>
    <row r="896" spans="1:7" ht="15" x14ac:dyDescent="0.25">
      <c r="F896" s="33"/>
    </row>
    <row r="897" spans="1:7" ht="15" x14ac:dyDescent="0.25">
      <c r="A897" s="15">
        <v>6530</v>
      </c>
      <c r="C897" s="12" t="s">
        <v>391</v>
      </c>
      <c r="F897" s="33"/>
    </row>
    <row r="898" spans="1:7" ht="15" x14ac:dyDescent="0.25">
      <c r="B898" s="11">
        <v>6531</v>
      </c>
      <c r="C898" s="14" t="s">
        <v>392</v>
      </c>
      <c r="F898" s="33"/>
    </row>
    <row r="899" spans="1:7" ht="15" x14ac:dyDescent="0.25">
      <c r="C899" s="14" t="s">
        <v>393</v>
      </c>
      <c r="D899" s="13">
        <v>1</v>
      </c>
      <c r="F899" s="38"/>
    </row>
    <row r="900" spans="1:7" ht="15" x14ac:dyDescent="0.25">
      <c r="C900" s="14" t="s">
        <v>394</v>
      </c>
      <c r="D900" s="13">
        <v>2</v>
      </c>
      <c r="F900" s="38"/>
    </row>
    <row r="901" spans="1:7" ht="15" x14ac:dyDescent="0.25">
      <c r="C901" s="14" t="s">
        <v>395</v>
      </c>
      <c r="D901" s="13">
        <v>1</v>
      </c>
      <c r="F901" s="38"/>
    </row>
    <row r="902" spans="1:7" ht="15" x14ac:dyDescent="0.25">
      <c r="C902" s="14" t="s">
        <v>28</v>
      </c>
      <c r="D902" s="13">
        <v>1</v>
      </c>
      <c r="F902" s="38"/>
    </row>
    <row r="903" spans="1:7" ht="15" x14ac:dyDescent="0.25">
      <c r="F903" s="38">
        <v>41839</v>
      </c>
    </row>
    <row r="904" spans="1:7" ht="15" x14ac:dyDescent="0.25">
      <c r="C904" s="14" t="s">
        <v>396</v>
      </c>
      <c r="D904" s="13">
        <v>27</v>
      </c>
      <c r="E904" s="13">
        <v>2</v>
      </c>
      <c r="F904" s="38">
        <v>42004</v>
      </c>
    </row>
    <row r="905" spans="1:7" ht="15" x14ac:dyDescent="0.25">
      <c r="C905" s="14" t="s">
        <v>397</v>
      </c>
      <c r="D905" s="13">
        <v>4</v>
      </c>
      <c r="F905" s="38"/>
    </row>
    <row r="906" spans="1:7" ht="15" x14ac:dyDescent="0.25">
      <c r="C906" s="14" t="s">
        <v>109</v>
      </c>
      <c r="D906" s="13">
        <v>5</v>
      </c>
      <c r="E906" s="13">
        <v>1</v>
      </c>
      <c r="F906" s="38">
        <v>41839</v>
      </c>
    </row>
    <row r="907" spans="1:7" ht="15" x14ac:dyDescent="0.25">
      <c r="C907" s="14" t="s">
        <v>110</v>
      </c>
      <c r="D907" s="13">
        <v>3</v>
      </c>
      <c r="F907" s="38"/>
    </row>
    <row r="908" spans="1:7" ht="15" x14ac:dyDescent="0.25">
      <c r="C908" s="14" t="s">
        <v>29</v>
      </c>
      <c r="D908" s="13">
        <v>2</v>
      </c>
      <c r="F908" s="38"/>
    </row>
    <row r="909" spans="1:7" ht="15" x14ac:dyDescent="0.25">
      <c r="C909" s="14" t="s">
        <v>129</v>
      </c>
      <c r="D909" s="13">
        <v>1</v>
      </c>
      <c r="F909" s="38"/>
    </row>
    <row r="910" spans="1:7" ht="15" x14ac:dyDescent="0.25">
      <c r="C910" s="14" t="s">
        <v>398</v>
      </c>
      <c r="D910" s="13">
        <v>1</v>
      </c>
      <c r="F910" s="38"/>
    </row>
    <row r="911" spans="1:7" ht="15" x14ac:dyDescent="0.25">
      <c r="C911" s="14" t="s">
        <v>399</v>
      </c>
      <c r="D911" s="13">
        <v>6</v>
      </c>
      <c r="F911" s="38"/>
    </row>
    <row r="912" spans="1:7" ht="15" x14ac:dyDescent="0.25">
      <c r="A912" s="11"/>
      <c r="C912" s="14" t="s">
        <v>14</v>
      </c>
      <c r="D912" s="13">
        <v>54</v>
      </c>
      <c r="E912" s="13">
        <v>3</v>
      </c>
      <c r="F912" s="38"/>
      <c r="G912" s="13"/>
    </row>
    <row r="913" spans="1:7" ht="15" x14ac:dyDescent="0.25">
      <c r="A913" s="11"/>
      <c r="F913" s="38"/>
    </row>
    <row r="914" spans="1:7" ht="15" x14ac:dyDescent="0.25">
      <c r="A914" s="11"/>
      <c r="B914" s="11">
        <v>6534</v>
      </c>
      <c r="C914" s="14" t="s">
        <v>400</v>
      </c>
      <c r="F914" s="38"/>
    </row>
    <row r="915" spans="1:7" ht="15" x14ac:dyDescent="0.25">
      <c r="A915" s="11"/>
      <c r="C915" s="14" t="s">
        <v>396</v>
      </c>
      <c r="D915" s="13">
        <v>2</v>
      </c>
      <c r="F915" s="38"/>
    </row>
    <row r="916" spans="1:7" ht="15" x14ac:dyDescent="0.25">
      <c r="C916" s="14" t="s">
        <v>109</v>
      </c>
      <c r="D916" s="13">
        <v>1</v>
      </c>
      <c r="F916" s="38"/>
    </row>
    <row r="917" spans="1:7" ht="15" x14ac:dyDescent="0.25">
      <c r="A917" s="11"/>
      <c r="C917" s="14" t="s">
        <v>101</v>
      </c>
      <c r="D917" s="13">
        <v>0.5</v>
      </c>
      <c r="F917" s="38"/>
    </row>
    <row r="918" spans="1:7" ht="15" x14ac:dyDescent="0.25">
      <c r="A918" s="11"/>
      <c r="C918" s="14" t="s">
        <v>163</v>
      </c>
      <c r="D918" s="13">
        <v>1</v>
      </c>
      <c r="F918" s="38"/>
    </row>
    <row r="919" spans="1:7" ht="15" x14ac:dyDescent="0.25">
      <c r="A919" s="11"/>
      <c r="C919" s="14" t="s">
        <v>14</v>
      </c>
      <c r="D919" s="13">
        <v>4.5</v>
      </c>
      <c r="E919" s="13">
        <v>0</v>
      </c>
      <c r="F919" s="38"/>
      <c r="G919" s="13"/>
    </row>
    <row r="920" spans="1:7" ht="15" x14ac:dyDescent="0.25">
      <c r="C920" s="12"/>
      <c r="D920" s="22"/>
      <c r="E920" s="22"/>
      <c r="F920" s="33"/>
    </row>
    <row r="921" spans="1:7" ht="15" x14ac:dyDescent="0.25">
      <c r="A921" s="16"/>
      <c r="B921" s="17"/>
      <c r="C921" s="18" t="s">
        <v>15</v>
      </c>
      <c r="D921" s="19">
        <v>58.5</v>
      </c>
      <c r="E921" s="19">
        <v>3</v>
      </c>
      <c r="F921" s="36"/>
    </row>
    <row r="922" spans="1:7" ht="15" x14ac:dyDescent="0.25">
      <c r="C922" s="12"/>
      <c r="D922" s="22"/>
      <c r="E922" s="22"/>
      <c r="F922" s="33"/>
    </row>
    <row r="923" spans="1:7" ht="15" x14ac:dyDescent="0.25">
      <c r="A923" s="15">
        <v>6540</v>
      </c>
      <c r="C923" s="12" t="s">
        <v>401</v>
      </c>
      <c r="F923" s="33"/>
    </row>
    <row r="924" spans="1:7" ht="15" x14ac:dyDescent="0.25">
      <c r="B924" s="11">
        <v>6541</v>
      </c>
      <c r="C924" s="14" t="s">
        <v>402</v>
      </c>
      <c r="F924" s="33"/>
    </row>
    <row r="925" spans="1:7" ht="15" x14ac:dyDescent="0.25">
      <c r="C925" s="14" t="s">
        <v>394</v>
      </c>
      <c r="D925" s="13">
        <v>1</v>
      </c>
      <c r="F925" s="38"/>
    </row>
    <row r="926" spans="1:7" ht="15" x14ac:dyDescent="0.25">
      <c r="F926" s="38">
        <v>41839</v>
      </c>
    </row>
    <row r="927" spans="1:7" ht="15" x14ac:dyDescent="0.25">
      <c r="C927" s="14" t="s">
        <v>396</v>
      </c>
      <c r="D927" s="13">
        <v>8</v>
      </c>
      <c r="E927" s="13">
        <v>2</v>
      </c>
      <c r="F927" s="38">
        <v>42004</v>
      </c>
    </row>
    <row r="928" spans="1:7" ht="15" x14ac:dyDescent="0.25">
      <c r="C928" s="14" t="s">
        <v>397</v>
      </c>
      <c r="D928" s="13">
        <v>3</v>
      </c>
      <c r="F928" s="38"/>
    </row>
    <row r="929" spans="1:7" ht="15" x14ac:dyDescent="0.25">
      <c r="C929" s="14" t="s">
        <v>109</v>
      </c>
      <c r="D929" s="13">
        <v>2.5</v>
      </c>
      <c r="E929" s="13">
        <v>0.5</v>
      </c>
      <c r="F929" s="38">
        <v>41839</v>
      </c>
    </row>
    <row r="930" spans="1:7" ht="15" x14ac:dyDescent="0.25">
      <c r="C930" s="14" t="s">
        <v>29</v>
      </c>
      <c r="D930" s="13">
        <v>1</v>
      </c>
      <c r="F930" s="38"/>
    </row>
    <row r="931" spans="1:7" ht="15" x14ac:dyDescent="0.25">
      <c r="C931" s="14" t="s">
        <v>129</v>
      </c>
      <c r="D931" s="13">
        <v>1</v>
      </c>
      <c r="F931" s="38"/>
    </row>
    <row r="932" spans="1:7" ht="15" x14ac:dyDescent="0.25">
      <c r="C932" s="14" t="s">
        <v>101</v>
      </c>
      <c r="D932" s="13">
        <v>0.5</v>
      </c>
      <c r="F932" s="38"/>
    </row>
    <row r="933" spans="1:7" ht="15" x14ac:dyDescent="0.25">
      <c r="C933" s="14" t="s">
        <v>399</v>
      </c>
      <c r="D933" s="13">
        <v>2</v>
      </c>
      <c r="F933" s="38"/>
    </row>
    <row r="934" spans="1:7" ht="15" x14ac:dyDescent="0.25">
      <c r="A934" s="11"/>
      <c r="C934" s="14" t="s">
        <v>14</v>
      </c>
      <c r="D934" s="13">
        <v>19</v>
      </c>
      <c r="E934" s="13">
        <v>2.5</v>
      </c>
      <c r="F934" s="38"/>
      <c r="G934" s="13"/>
    </row>
    <row r="935" spans="1:7" ht="15" x14ac:dyDescent="0.25">
      <c r="F935" s="33"/>
    </row>
    <row r="936" spans="1:7" ht="15" x14ac:dyDescent="0.25">
      <c r="A936" s="16"/>
      <c r="B936" s="17"/>
      <c r="C936" s="18" t="s">
        <v>15</v>
      </c>
      <c r="D936" s="19">
        <f>D934</f>
        <v>19</v>
      </c>
      <c r="E936" s="19">
        <f>E934</f>
        <v>2.5</v>
      </c>
      <c r="F936" s="36"/>
    </row>
    <row r="937" spans="1:7" ht="15" x14ac:dyDescent="0.25">
      <c r="C937" s="12"/>
      <c r="D937" s="22"/>
      <c r="E937" s="22"/>
      <c r="F937" s="33"/>
    </row>
    <row r="938" spans="1:7" ht="15" x14ac:dyDescent="0.25">
      <c r="A938" s="15">
        <v>1451</v>
      </c>
      <c r="C938" s="12" t="s">
        <v>403</v>
      </c>
      <c r="D938" s="22"/>
      <c r="E938" s="22"/>
      <c r="F938" s="33"/>
    </row>
    <row r="939" spans="1:7" ht="15" x14ac:dyDescent="0.25">
      <c r="A939" s="11"/>
      <c r="C939" s="14" t="s">
        <v>102</v>
      </c>
      <c r="D939" s="13">
        <v>1</v>
      </c>
      <c r="E939" s="13">
        <v>1</v>
      </c>
      <c r="F939" s="38">
        <v>41820</v>
      </c>
    </row>
    <row r="940" spans="1:7" ht="15" x14ac:dyDescent="0.25">
      <c r="C940" s="14" t="s">
        <v>14</v>
      </c>
      <c r="D940" s="13">
        <v>1</v>
      </c>
      <c r="E940" s="13">
        <v>1</v>
      </c>
      <c r="F940" s="38"/>
      <c r="G940" s="13"/>
    </row>
    <row r="941" spans="1:7" ht="15" x14ac:dyDescent="0.25">
      <c r="C941" s="12"/>
      <c r="D941" s="22"/>
      <c r="E941" s="22"/>
      <c r="F941" s="33"/>
    </row>
    <row r="942" spans="1:7" ht="15" x14ac:dyDescent="0.25">
      <c r="A942" s="16"/>
      <c r="B942" s="17"/>
      <c r="C942" s="18" t="s">
        <v>15</v>
      </c>
      <c r="D942" s="19">
        <v>1</v>
      </c>
      <c r="E942" s="19">
        <v>1</v>
      </c>
      <c r="F942" s="36"/>
    </row>
    <row r="943" spans="1:7" ht="15" x14ac:dyDescent="0.25">
      <c r="F943" s="33"/>
    </row>
    <row r="944" spans="1:7" ht="15" x14ac:dyDescent="0.25">
      <c r="A944" s="15">
        <v>3010</v>
      </c>
      <c r="C944" s="12" t="s">
        <v>404</v>
      </c>
      <c r="F944" s="33"/>
    </row>
    <row r="945" spans="1:7" ht="15" x14ac:dyDescent="0.25">
      <c r="B945" s="11">
        <v>3015</v>
      </c>
      <c r="C945" s="14" t="s">
        <v>405</v>
      </c>
      <c r="F945" s="33"/>
    </row>
    <row r="946" spans="1:7" ht="15" x14ac:dyDescent="0.25">
      <c r="C946" s="14" t="s">
        <v>406</v>
      </c>
      <c r="D946" s="13">
        <v>1</v>
      </c>
      <c r="F946" s="38"/>
    </row>
    <row r="947" spans="1:7" ht="15" x14ac:dyDescent="0.25">
      <c r="C947" s="14" t="s">
        <v>407</v>
      </c>
      <c r="D947" s="13">
        <v>1</v>
      </c>
      <c r="F947" s="38"/>
    </row>
    <row r="948" spans="1:7" ht="15" x14ac:dyDescent="0.25">
      <c r="C948" s="14" t="s">
        <v>408</v>
      </c>
      <c r="D948" s="13">
        <v>2</v>
      </c>
      <c r="F948" s="38"/>
    </row>
    <row r="949" spans="1:7" ht="15" x14ac:dyDescent="0.25">
      <c r="C949" s="14" t="s">
        <v>409</v>
      </c>
      <c r="D949" s="13">
        <v>1</v>
      </c>
      <c r="F949" s="38"/>
    </row>
    <row r="950" spans="1:7" ht="15" x14ac:dyDescent="0.25">
      <c r="C950" s="14" t="s">
        <v>410</v>
      </c>
      <c r="D950" s="13">
        <v>1</v>
      </c>
      <c r="F950" s="38"/>
    </row>
    <row r="951" spans="1:7" ht="15" x14ac:dyDescent="0.25">
      <c r="C951" s="14" t="s">
        <v>411</v>
      </c>
      <c r="D951" s="13">
        <v>1</v>
      </c>
      <c r="F951" s="38"/>
    </row>
    <row r="952" spans="1:7" ht="15" x14ac:dyDescent="0.25">
      <c r="C952" s="14" t="s">
        <v>412</v>
      </c>
      <c r="D952" s="13">
        <v>4</v>
      </c>
      <c r="F952" s="38"/>
    </row>
    <row r="953" spans="1:7" ht="15" x14ac:dyDescent="0.25">
      <c r="C953" s="14" t="s">
        <v>413</v>
      </c>
      <c r="D953" s="13">
        <v>4</v>
      </c>
      <c r="F953" s="38"/>
    </row>
    <row r="954" spans="1:7" ht="15" x14ac:dyDescent="0.25">
      <c r="C954" s="14" t="s">
        <v>414</v>
      </c>
      <c r="D954" s="13">
        <v>1</v>
      </c>
      <c r="F954" s="38"/>
    </row>
    <row r="955" spans="1:7" ht="15" x14ac:dyDescent="0.25">
      <c r="A955" s="11"/>
      <c r="C955" s="14" t="s">
        <v>14</v>
      </c>
      <c r="D955" s="13">
        <v>16</v>
      </c>
      <c r="E955" s="13">
        <v>0</v>
      </c>
      <c r="F955" s="38"/>
      <c r="G955" s="13"/>
    </row>
    <row r="956" spans="1:7" ht="15" x14ac:dyDescent="0.25">
      <c r="A956" s="11"/>
      <c r="F956" s="38"/>
    </row>
    <row r="957" spans="1:7" ht="15" x14ac:dyDescent="0.25">
      <c r="A957" s="11"/>
      <c r="B957" s="11">
        <v>3016</v>
      </c>
      <c r="C957" s="14" t="s">
        <v>415</v>
      </c>
      <c r="F957" s="38"/>
    </row>
    <row r="958" spans="1:7" ht="15" x14ac:dyDescent="0.25">
      <c r="A958" s="11"/>
      <c r="C958" s="14" t="s">
        <v>33</v>
      </c>
      <c r="D958" s="13">
        <v>1</v>
      </c>
      <c r="F958" s="38"/>
    </row>
    <row r="959" spans="1:7" ht="15" x14ac:dyDescent="0.25">
      <c r="A959" s="11"/>
      <c r="C959" s="14" t="s">
        <v>416</v>
      </c>
      <c r="D959" s="13">
        <v>10</v>
      </c>
      <c r="F959" s="38"/>
    </row>
    <row r="960" spans="1:7" ht="15" x14ac:dyDescent="0.25">
      <c r="A960" s="11"/>
      <c r="C960" s="14" t="s">
        <v>417</v>
      </c>
      <c r="D960" s="13">
        <v>5</v>
      </c>
      <c r="F960" s="38"/>
    </row>
    <row r="961" spans="1:7" ht="15" x14ac:dyDescent="0.25">
      <c r="A961" s="11"/>
      <c r="C961" s="14" t="s">
        <v>418</v>
      </c>
      <c r="D961" s="13">
        <v>25</v>
      </c>
      <c r="F961" s="38"/>
    </row>
    <row r="962" spans="1:7" ht="15" x14ac:dyDescent="0.25">
      <c r="A962" s="11"/>
      <c r="C962" s="14" t="s">
        <v>419</v>
      </c>
      <c r="D962" s="13">
        <v>1</v>
      </c>
      <c r="F962" s="38"/>
    </row>
    <row r="963" spans="1:7" ht="15" x14ac:dyDescent="0.25">
      <c r="A963" s="11"/>
      <c r="C963" s="14" t="s">
        <v>14</v>
      </c>
      <c r="D963" s="13">
        <v>42</v>
      </c>
      <c r="E963" s="13">
        <v>0</v>
      </c>
      <c r="F963" s="38"/>
      <c r="G963" s="13"/>
    </row>
    <row r="964" spans="1:7" ht="15" x14ac:dyDescent="0.25">
      <c r="A964" s="11"/>
      <c r="F964" s="38"/>
    </row>
    <row r="965" spans="1:7" ht="15" x14ac:dyDescent="0.25">
      <c r="A965" s="11"/>
      <c r="B965" s="11">
        <v>3017</v>
      </c>
      <c r="C965" s="14" t="s">
        <v>420</v>
      </c>
      <c r="F965" s="38"/>
    </row>
    <row r="966" spans="1:7" ht="15" x14ac:dyDescent="0.25">
      <c r="A966" s="11"/>
      <c r="C966" s="14" t="s">
        <v>107</v>
      </c>
      <c r="D966" s="13">
        <v>1</v>
      </c>
      <c r="F966" s="38"/>
    </row>
    <row r="967" spans="1:7" ht="15" x14ac:dyDescent="0.25">
      <c r="A967" s="11"/>
      <c r="C967" s="14" t="s">
        <v>7</v>
      </c>
      <c r="D967" s="13">
        <v>1</v>
      </c>
      <c r="F967" s="38"/>
    </row>
    <row r="968" spans="1:7" ht="15" x14ac:dyDescent="0.25">
      <c r="A968" s="11"/>
      <c r="C968" s="14" t="s">
        <v>32</v>
      </c>
      <c r="D968" s="13">
        <v>1</v>
      </c>
      <c r="F968" s="38"/>
    </row>
    <row r="969" spans="1:7" ht="15" x14ac:dyDescent="0.25">
      <c r="A969" s="11"/>
      <c r="C969" s="14" t="s">
        <v>30</v>
      </c>
      <c r="D969" s="13">
        <v>1</v>
      </c>
      <c r="F969" s="38"/>
    </row>
    <row r="970" spans="1:7" ht="15" x14ac:dyDescent="0.25">
      <c r="A970" s="11"/>
      <c r="C970" s="14" t="s">
        <v>102</v>
      </c>
      <c r="D970" s="13">
        <v>1</v>
      </c>
      <c r="F970" s="38"/>
    </row>
    <row r="971" spans="1:7" ht="15" x14ac:dyDescent="0.25">
      <c r="A971" s="11"/>
      <c r="C971" s="14" t="s">
        <v>14</v>
      </c>
      <c r="D971" s="13">
        <v>5</v>
      </c>
      <c r="E971" s="13">
        <v>0</v>
      </c>
      <c r="F971" s="38"/>
      <c r="G971" s="13"/>
    </row>
    <row r="972" spans="1:7" ht="15" x14ac:dyDescent="0.25">
      <c r="A972" s="11"/>
      <c r="F972" s="33"/>
    </row>
    <row r="973" spans="1:7" ht="15" x14ac:dyDescent="0.25">
      <c r="A973" s="16"/>
      <c r="B973" s="17"/>
      <c r="C973" s="18" t="s">
        <v>15</v>
      </c>
      <c r="D973" s="19">
        <v>63</v>
      </c>
      <c r="E973" s="19">
        <v>0</v>
      </c>
      <c r="F973" s="39"/>
    </row>
    <row r="974" spans="1:7" ht="15" x14ac:dyDescent="0.25">
      <c r="F974" s="33"/>
    </row>
    <row r="975" spans="1:7" ht="15" x14ac:dyDescent="0.25">
      <c r="A975" s="15">
        <v>2910</v>
      </c>
      <c r="C975" s="12" t="s">
        <v>421</v>
      </c>
      <c r="F975" s="33"/>
    </row>
    <row r="976" spans="1:7" ht="15" x14ac:dyDescent="0.25">
      <c r="B976" s="11">
        <v>2911</v>
      </c>
      <c r="C976" s="14" t="s">
        <v>422</v>
      </c>
      <c r="F976" s="33"/>
    </row>
    <row r="977" spans="1:7" ht="15" x14ac:dyDescent="0.25">
      <c r="C977" s="14" t="s">
        <v>7</v>
      </c>
      <c r="D977" s="13">
        <v>1</v>
      </c>
      <c r="F977" s="38"/>
    </row>
    <row r="978" spans="1:7" ht="15" x14ac:dyDescent="0.25">
      <c r="C978" s="14" t="s">
        <v>423</v>
      </c>
      <c r="D978" s="13">
        <v>1</v>
      </c>
      <c r="F978" s="38"/>
    </row>
    <row r="979" spans="1:7" ht="15" x14ac:dyDescent="0.25">
      <c r="C979" s="14" t="s">
        <v>424</v>
      </c>
      <c r="D979" s="13">
        <v>1</v>
      </c>
      <c r="F979" s="38"/>
    </row>
    <row r="980" spans="1:7" ht="15" x14ac:dyDescent="0.25">
      <c r="C980" s="14" t="s">
        <v>29</v>
      </c>
      <c r="D980" s="13">
        <v>3</v>
      </c>
      <c r="F980" s="38"/>
    </row>
    <row r="981" spans="1:7" ht="15" x14ac:dyDescent="0.25">
      <c r="C981" s="14" t="s">
        <v>30</v>
      </c>
      <c r="D981" s="13">
        <v>1</v>
      </c>
      <c r="F981" s="38"/>
    </row>
    <row r="982" spans="1:7" ht="15" x14ac:dyDescent="0.25">
      <c r="A982" s="11"/>
      <c r="C982" s="14" t="s">
        <v>14</v>
      </c>
      <c r="D982" s="13">
        <v>7</v>
      </c>
      <c r="E982" s="13">
        <v>0</v>
      </c>
      <c r="F982" s="38"/>
      <c r="G982" s="13"/>
    </row>
    <row r="983" spans="1:7" ht="15" x14ac:dyDescent="0.25">
      <c r="A983" s="11"/>
      <c r="F983" s="38"/>
    </row>
    <row r="984" spans="1:7" ht="15" x14ac:dyDescent="0.25">
      <c r="A984" s="11"/>
      <c r="B984" s="11">
        <v>2912</v>
      </c>
      <c r="C984" s="14" t="s">
        <v>425</v>
      </c>
      <c r="F984" s="38"/>
    </row>
    <row r="985" spans="1:7" ht="15" x14ac:dyDescent="0.25">
      <c r="A985" s="11"/>
      <c r="C985" s="14" t="s">
        <v>169</v>
      </c>
      <c r="D985" s="13">
        <v>1</v>
      </c>
      <c r="F985" s="38"/>
    </row>
    <row r="986" spans="1:7" ht="15" x14ac:dyDescent="0.25">
      <c r="A986" s="11"/>
      <c r="C986" s="14" t="s">
        <v>426</v>
      </c>
      <c r="D986" s="13">
        <v>2</v>
      </c>
      <c r="F986" s="38"/>
    </row>
    <row r="987" spans="1:7" ht="15" x14ac:dyDescent="0.25">
      <c r="A987" s="11"/>
      <c r="C987" s="14" t="s">
        <v>427</v>
      </c>
      <c r="D987" s="13">
        <v>2</v>
      </c>
      <c r="F987" s="38"/>
    </row>
    <row r="988" spans="1:7" ht="15" x14ac:dyDescent="0.25">
      <c r="A988" s="11"/>
      <c r="C988" s="14" t="s">
        <v>521</v>
      </c>
      <c r="D988" s="13">
        <v>1</v>
      </c>
      <c r="E988" s="13">
        <v>1</v>
      </c>
      <c r="F988" s="38">
        <v>42551</v>
      </c>
    </row>
    <row r="989" spans="1:7" ht="15" x14ac:dyDescent="0.25">
      <c r="A989" s="11"/>
      <c r="C989" s="14" t="s">
        <v>428</v>
      </c>
      <c r="D989" s="13">
        <v>1</v>
      </c>
      <c r="F989" s="38"/>
    </row>
    <row r="990" spans="1:7" ht="15" x14ac:dyDescent="0.25">
      <c r="A990" s="11"/>
      <c r="C990" s="14" t="s">
        <v>429</v>
      </c>
      <c r="D990" s="13">
        <v>1</v>
      </c>
      <c r="F990" s="38"/>
    </row>
    <row r="991" spans="1:7" ht="15" x14ac:dyDescent="0.25">
      <c r="A991" s="11"/>
      <c r="C991" s="14" t="s">
        <v>14</v>
      </c>
      <c r="D991" s="13">
        <v>8</v>
      </c>
      <c r="E991" s="13">
        <v>1</v>
      </c>
      <c r="F991" s="38"/>
      <c r="G991" s="13"/>
    </row>
    <row r="992" spans="1:7" ht="15" x14ac:dyDescent="0.25">
      <c r="A992" s="11"/>
      <c r="F992" s="38"/>
    </row>
    <row r="993" spans="1:7" ht="15" x14ac:dyDescent="0.25">
      <c r="A993" s="11"/>
      <c r="B993" s="11">
        <v>2913</v>
      </c>
      <c r="C993" s="14" t="s">
        <v>430</v>
      </c>
      <c r="F993" s="38"/>
    </row>
    <row r="994" spans="1:7" ht="15" x14ac:dyDescent="0.25">
      <c r="A994" s="11"/>
      <c r="C994" s="14" t="s">
        <v>427</v>
      </c>
      <c r="D994" s="13">
        <v>1</v>
      </c>
      <c r="F994" s="38"/>
    </row>
    <row r="995" spans="1:7" ht="15" x14ac:dyDescent="0.25">
      <c r="A995" s="11"/>
      <c r="C995" s="14" t="s">
        <v>14</v>
      </c>
      <c r="D995" s="13">
        <v>1</v>
      </c>
      <c r="E995" s="13">
        <v>0</v>
      </c>
      <c r="F995" s="38"/>
      <c r="G995" s="13"/>
    </row>
    <row r="996" spans="1:7" ht="15" x14ac:dyDescent="0.25">
      <c r="A996" s="11"/>
      <c r="F996" s="38"/>
    </row>
    <row r="997" spans="1:7" ht="15" x14ac:dyDescent="0.25">
      <c r="A997" s="11"/>
      <c r="B997" s="11">
        <v>2916</v>
      </c>
      <c r="C997" s="14" t="s">
        <v>431</v>
      </c>
      <c r="F997" s="38"/>
    </row>
    <row r="998" spans="1:7" ht="15" x14ac:dyDescent="0.25">
      <c r="A998" s="11"/>
      <c r="C998" s="14" t="s">
        <v>432</v>
      </c>
      <c r="D998" s="13">
        <v>1</v>
      </c>
      <c r="F998" s="38"/>
    </row>
    <row r="999" spans="1:7" ht="15" x14ac:dyDescent="0.25">
      <c r="A999" s="11"/>
      <c r="C999" s="14" t="s">
        <v>433</v>
      </c>
      <c r="D999" s="13">
        <v>1</v>
      </c>
      <c r="E999" s="13">
        <v>1</v>
      </c>
      <c r="F999" s="38">
        <v>41820</v>
      </c>
    </row>
    <row r="1000" spans="1:7" ht="15" x14ac:dyDescent="0.25">
      <c r="A1000" s="11"/>
      <c r="C1000" s="14" t="s">
        <v>434</v>
      </c>
      <c r="D1000" s="13">
        <v>1</v>
      </c>
      <c r="F1000" s="38"/>
    </row>
    <row r="1001" spans="1:7" ht="15" x14ac:dyDescent="0.25">
      <c r="A1001" s="11"/>
      <c r="C1001" s="14" t="s">
        <v>435</v>
      </c>
      <c r="D1001" s="13">
        <v>1</v>
      </c>
      <c r="F1001" s="38"/>
    </row>
    <row r="1002" spans="1:7" ht="15" x14ac:dyDescent="0.25">
      <c r="A1002" s="11"/>
      <c r="C1002" s="14" t="s">
        <v>436</v>
      </c>
      <c r="D1002" s="13">
        <v>1</v>
      </c>
      <c r="F1002" s="38"/>
    </row>
    <row r="1003" spans="1:7" ht="15" x14ac:dyDescent="0.25">
      <c r="A1003" s="11"/>
      <c r="C1003" s="14" t="s">
        <v>437</v>
      </c>
      <c r="D1003" s="13">
        <v>1</v>
      </c>
      <c r="F1003" s="38"/>
    </row>
    <row r="1004" spans="1:7" ht="15" x14ac:dyDescent="0.25">
      <c r="A1004" s="11"/>
      <c r="C1004" s="14" t="s">
        <v>14</v>
      </c>
      <c r="D1004" s="13">
        <v>6</v>
      </c>
      <c r="E1004" s="13">
        <v>1</v>
      </c>
      <c r="F1004" s="38"/>
      <c r="G1004" s="13"/>
    </row>
    <row r="1005" spans="1:7" ht="15" x14ac:dyDescent="0.25">
      <c r="A1005" s="11"/>
      <c r="F1005" s="38"/>
    </row>
    <row r="1006" spans="1:7" ht="15" x14ac:dyDescent="0.25">
      <c r="A1006" s="11"/>
      <c r="B1006" s="11">
        <v>2917</v>
      </c>
      <c r="C1006" s="14" t="s">
        <v>438</v>
      </c>
      <c r="F1006" s="38"/>
    </row>
    <row r="1007" spans="1:7" ht="15" x14ac:dyDescent="0.25">
      <c r="A1007" s="11"/>
      <c r="C1007" s="14" t="s">
        <v>43</v>
      </c>
      <c r="D1007" s="13">
        <v>1</v>
      </c>
      <c r="F1007" s="38"/>
    </row>
    <row r="1008" spans="1:7" ht="15" x14ac:dyDescent="0.25">
      <c r="A1008" s="11"/>
      <c r="C1008" s="14" t="s">
        <v>439</v>
      </c>
      <c r="D1008" s="13">
        <v>1</v>
      </c>
      <c r="F1008" s="38"/>
    </row>
    <row r="1009" spans="1:7" ht="15" x14ac:dyDescent="0.25">
      <c r="A1009" s="11"/>
      <c r="C1009" s="14" t="s">
        <v>440</v>
      </c>
      <c r="D1009" s="13">
        <v>5</v>
      </c>
      <c r="F1009" s="38"/>
    </row>
    <row r="1010" spans="1:7" ht="15" x14ac:dyDescent="0.25">
      <c r="A1010" s="11"/>
      <c r="C1010" s="14" t="s">
        <v>441</v>
      </c>
      <c r="D1010" s="13">
        <v>6</v>
      </c>
      <c r="F1010" s="38"/>
    </row>
    <row r="1011" spans="1:7" ht="15" x14ac:dyDescent="0.25">
      <c r="A1011" s="11"/>
      <c r="C1011" s="14" t="s">
        <v>442</v>
      </c>
      <c r="D1011" s="13">
        <v>1</v>
      </c>
      <c r="F1011" s="38"/>
    </row>
    <row r="1012" spans="1:7" ht="15" x14ac:dyDescent="0.25">
      <c r="A1012" s="11"/>
      <c r="C1012" s="14" t="s">
        <v>14</v>
      </c>
      <c r="D1012" s="13">
        <v>14</v>
      </c>
      <c r="E1012" s="13">
        <v>0</v>
      </c>
      <c r="F1012" s="38"/>
      <c r="G1012" s="13"/>
    </row>
    <row r="1013" spans="1:7" ht="15" x14ac:dyDescent="0.25">
      <c r="A1013" s="11"/>
      <c r="F1013" s="38"/>
    </row>
    <row r="1014" spans="1:7" ht="15" x14ac:dyDescent="0.25">
      <c r="A1014" s="11"/>
      <c r="B1014" s="11">
        <v>2918</v>
      </c>
      <c r="C1014" s="14" t="s">
        <v>443</v>
      </c>
      <c r="F1014" s="38"/>
    </row>
    <row r="1015" spans="1:7" ht="15" x14ac:dyDescent="0.25">
      <c r="A1015" s="11"/>
      <c r="C1015" s="14" t="s">
        <v>444</v>
      </c>
      <c r="D1015" s="13">
        <v>1</v>
      </c>
      <c r="F1015" s="38"/>
    </row>
    <row r="1016" spans="1:7" ht="15" x14ac:dyDescent="0.25">
      <c r="A1016" s="11"/>
      <c r="C1016" s="14" t="s">
        <v>445</v>
      </c>
      <c r="D1016" s="13">
        <v>5</v>
      </c>
      <c r="F1016" s="38"/>
    </row>
    <row r="1017" spans="1:7" ht="15" x14ac:dyDescent="0.25">
      <c r="A1017" s="11"/>
      <c r="C1017" s="14" t="s">
        <v>14</v>
      </c>
      <c r="D1017" s="13">
        <v>6</v>
      </c>
      <c r="E1017" s="13">
        <v>0</v>
      </c>
      <c r="F1017" s="38"/>
      <c r="G1017" s="13"/>
    </row>
    <row r="1018" spans="1:7" ht="15" x14ac:dyDescent="0.25">
      <c r="A1018" s="11"/>
      <c r="F1018" s="38"/>
    </row>
    <row r="1019" spans="1:7" ht="15" x14ac:dyDescent="0.25">
      <c r="A1019" s="11"/>
      <c r="B1019" s="11">
        <v>2919</v>
      </c>
      <c r="C1019" s="14" t="s">
        <v>446</v>
      </c>
      <c r="F1019" s="38"/>
    </row>
    <row r="1020" spans="1:7" ht="15" x14ac:dyDescent="0.25">
      <c r="A1020" s="11"/>
      <c r="C1020" s="14" t="s">
        <v>447</v>
      </c>
      <c r="D1020" s="13">
        <v>1</v>
      </c>
      <c r="F1020" s="38"/>
    </row>
    <row r="1021" spans="1:7" ht="15" x14ac:dyDescent="0.25">
      <c r="A1021" s="11"/>
      <c r="C1021" s="14" t="s">
        <v>445</v>
      </c>
      <c r="D1021" s="13">
        <v>1</v>
      </c>
      <c r="F1021" s="38"/>
    </row>
    <row r="1022" spans="1:7" ht="15" x14ac:dyDescent="0.25">
      <c r="A1022" s="11"/>
      <c r="C1022" s="14" t="s">
        <v>14</v>
      </c>
      <c r="D1022" s="13">
        <v>2</v>
      </c>
      <c r="E1022" s="13">
        <v>0</v>
      </c>
      <c r="F1022" s="38"/>
      <c r="G1022" s="13"/>
    </row>
    <row r="1023" spans="1:7" ht="15" x14ac:dyDescent="0.25">
      <c r="C1023" s="12"/>
      <c r="D1023" s="22"/>
      <c r="E1023" s="22"/>
      <c r="F1023" s="33"/>
    </row>
    <row r="1024" spans="1:7" ht="15" x14ac:dyDescent="0.25">
      <c r="A1024" s="15">
        <v>7000</v>
      </c>
      <c r="C1024" s="12" t="s">
        <v>448</v>
      </c>
      <c r="F1024" s="33"/>
    </row>
    <row r="1025" spans="1:7" ht="15" x14ac:dyDescent="0.25">
      <c r="C1025" s="14" t="s">
        <v>449</v>
      </c>
      <c r="F1025" s="33"/>
    </row>
    <row r="1026" spans="1:7" ht="15" x14ac:dyDescent="0.25">
      <c r="C1026" s="14" t="s">
        <v>450</v>
      </c>
      <c r="D1026" s="13">
        <v>2</v>
      </c>
      <c r="F1026" s="38"/>
    </row>
    <row r="1027" spans="1:7" ht="15" x14ac:dyDescent="0.25">
      <c r="C1027" s="14" t="s">
        <v>505</v>
      </c>
      <c r="D1027" s="13">
        <v>2</v>
      </c>
      <c r="F1027" s="38"/>
    </row>
    <row r="1028" spans="1:7" ht="15" x14ac:dyDescent="0.25">
      <c r="C1028" s="14" t="s">
        <v>451</v>
      </c>
      <c r="D1028" s="13">
        <v>2</v>
      </c>
      <c r="E1028" s="13">
        <v>1</v>
      </c>
      <c r="F1028" s="38">
        <v>41912</v>
      </c>
    </row>
    <row r="1029" spans="1:7" ht="15" x14ac:dyDescent="0.25">
      <c r="C1029" s="14" t="s">
        <v>452</v>
      </c>
      <c r="D1029" s="13">
        <v>1</v>
      </c>
      <c r="F1029" s="38"/>
    </row>
    <row r="1030" spans="1:7" ht="15" x14ac:dyDescent="0.25">
      <c r="A1030" s="11"/>
      <c r="C1030" s="14" t="s">
        <v>14</v>
      </c>
      <c r="D1030" s="13">
        <v>7</v>
      </c>
      <c r="E1030" s="13">
        <v>1</v>
      </c>
      <c r="F1030" s="38"/>
      <c r="G1030" s="13"/>
    </row>
    <row r="1031" spans="1:7" ht="15" x14ac:dyDescent="0.25">
      <c r="A1031" s="11"/>
      <c r="F1031" s="33"/>
    </row>
    <row r="1032" spans="1:7" ht="15" x14ac:dyDescent="0.25">
      <c r="A1032" s="16"/>
      <c r="B1032" s="17"/>
      <c r="C1032" s="18" t="s">
        <v>15</v>
      </c>
      <c r="D1032" s="19">
        <f>D1030+D1022+D1017+D1012+D1004+D995+D991+D982</f>
        <v>51</v>
      </c>
      <c r="E1032" s="58">
        <f>E1030+E1022+E1017+E1012+E1004+E995+E991+E982</f>
        <v>3</v>
      </c>
      <c r="F1032" s="36"/>
    </row>
    <row r="1033" spans="1:7" ht="15" x14ac:dyDescent="0.25">
      <c r="F1033" s="33"/>
    </row>
    <row r="1034" spans="1:7" ht="15" x14ac:dyDescent="0.25">
      <c r="A1034" s="15">
        <v>6550</v>
      </c>
      <c r="C1034" s="12" t="s">
        <v>453</v>
      </c>
      <c r="F1034" s="33"/>
    </row>
    <row r="1035" spans="1:7" ht="15" x14ac:dyDescent="0.25">
      <c r="B1035" s="11">
        <v>2850</v>
      </c>
      <c r="C1035" s="14" t="s">
        <v>454</v>
      </c>
      <c r="F1035" s="33"/>
    </row>
    <row r="1036" spans="1:7" ht="15" x14ac:dyDescent="0.25">
      <c r="C1036" s="14" t="s">
        <v>455</v>
      </c>
      <c r="D1036" s="13">
        <v>1</v>
      </c>
      <c r="F1036" s="38"/>
    </row>
    <row r="1037" spans="1:7" ht="15" x14ac:dyDescent="0.25">
      <c r="C1037" s="14" t="s">
        <v>456</v>
      </c>
      <c r="D1037" s="13">
        <v>3</v>
      </c>
      <c r="F1037" s="38"/>
    </row>
    <row r="1038" spans="1:7" ht="15" x14ac:dyDescent="0.25">
      <c r="C1038" s="14" t="s">
        <v>457</v>
      </c>
      <c r="D1038" s="13">
        <v>10</v>
      </c>
      <c r="E1038" s="13">
        <v>1</v>
      </c>
      <c r="F1038" s="38">
        <v>41852</v>
      </c>
    </row>
    <row r="1039" spans="1:7" ht="15" x14ac:dyDescent="0.25">
      <c r="C1039" s="14" t="s">
        <v>458</v>
      </c>
      <c r="D1039" s="13">
        <v>1</v>
      </c>
      <c r="F1039" s="38"/>
    </row>
    <row r="1040" spans="1:7" ht="15" x14ac:dyDescent="0.25">
      <c r="C1040" s="14" t="s">
        <v>459</v>
      </c>
      <c r="D1040" s="13">
        <v>1</v>
      </c>
      <c r="F1040" s="38"/>
    </row>
    <row r="1041" spans="1:7" ht="15" x14ac:dyDescent="0.25">
      <c r="C1041" s="14" t="s">
        <v>460</v>
      </c>
      <c r="D1041" s="13">
        <v>1</v>
      </c>
      <c r="F1041" s="38"/>
    </row>
    <row r="1042" spans="1:7" ht="15" x14ac:dyDescent="0.25">
      <c r="C1042" s="14" t="s">
        <v>32</v>
      </c>
      <c r="D1042" s="13">
        <v>1</v>
      </c>
      <c r="F1042" s="38"/>
    </row>
    <row r="1043" spans="1:7" ht="15" x14ac:dyDescent="0.25">
      <c r="C1043" s="14" t="s">
        <v>461</v>
      </c>
      <c r="D1043" s="13">
        <v>1</v>
      </c>
      <c r="E1043" s="13">
        <v>1</v>
      </c>
      <c r="F1043" s="38">
        <v>41820</v>
      </c>
    </row>
    <row r="1044" spans="1:7" ht="15" x14ac:dyDescent="0.25">
      <c r="C1044" s="14" t="s">
        <v>29</v>
      </c>
      <c r="D1044" s="13">
        <v>3</v>
      </c>
      <c r="F1044" s="38"/>
    </row>
    <row r="1045" spans="1:7" ht="15" x14ac:dyDescent="0.25">
      <c r="A1045" s="11"/>
      <c r="C1045" s="14" t="s">
        <v>14</v>
      </c>
      <c r="D1045" s="13">
        <v>22</v>
      </c>
      <c r="E1045" s="13">
        <v>2</v>
      </c>
      <c r="F1045" s="38"/>
      <c r="G1045" s="13"/>
    </row>
    <row r="1046" spans="1:7" ht="15" x14ac:dyDescent="0.25">
      <c r="A1046" s="11"/>
      <c r="F1046" s="33"/>
    </row>
    <row r="1047" spans="1:7" ht="15" x14ac:dyDescent="0.25">
      <c r="B1047" s="11">
        <v>6551</v>
      </c>
      <c r="C1047" s="14" t="s">
        <v>462</v>
      </c>
      <c r="F1047" s="33"/>
    </row>
    <row r="1048" spans="1:7" ht="15" x14ac:dyDescent="0.25">
      <c r="C1048" s="14" t="s">
        <v>107</v>
      </c>
      <c r="D1048" s="13">
        <v>1</v>
      </c>
      <c r="F1048" s="38"/>
    </row>
    <row r="1049" spans="1:7" ht="15" x14ac:dyDescent="0.25">
      <c r="C1049" s="14" t="s">
        <v>108</v>
      </c>
      <c r="D1049" s="13">
        <v>1</v>
      </c>
      <c r="F1049" s="38"/>
    </row>
    <row r="1050" spans="1:7" ht="15" x14ac:dyDescent="0.25">
      <c r="C1050" s="14" t="s">
        <v>7</v>
      </c>
      <c r="D1050" s="13">
        <v>6</v>
      </c>
      <c r="F1050" s="38"/>
    </row>
    <row r="1051" spans="1:7" ht="15" x14ac:dyDescent="0.25">
      <c r="C1051" s="14" t="s">
        <v>380</v>
      </c>
      <c r="D1051" s="13">
        <v>1</v>
      </c>
      <c r="F1051" s="38"/>
    </row>
    <row r="1052" spans="1:7" ht="15" x14ac:dyDescent="0.25">
      <c r="C1052" s="14" t="s">
        <v>169</v>
      </c>
      <c r="D1052" s="13">
        <v>2</v>
      </c>
      <c r="F1052" s="38"/>
    </row>
    <row r="1053" spans="1:7" ht="15" x14ac:dyDescent="0.25">
      <c r="C1053" s="14" t="s">
        <v>67</v>
      </c>
      <c r="D1053" s="13">
        <v>1</v>
      </c>
      <c r="F1053" s="38"/>
    </row>
    <row r="1054" spans="1:7" ht="15" x14ac:dyDescent="0.25">
      <c r="C1054" s="14" t="s">
        <v>463</v>
      </c>
      <c r="D1054" s="13">
        <v>1</v>
      </c>
      <c r="F1054" s="38"/>
    </row>
    <row r="1055" spans="1:7" ht="15" x14ac:dyDescent="0.25">
      <c r="C1055" s="14" t="s">
        <v>464</v>
      </c>
      <c r="D1055" s="13">
        <v>1</v>
      </c>
      <c r="F1055" s="38"/>
    </row>
    <row r="1056" spans="1:7" ht="15" x14ac:dyDescent="0.25">
      <c r="C1056" s="14" t="s">
        <v>465</v>
      </c>
      <c r="D1056" s="13">
        <v>3</v>
      </c>
      <c r="F1056" s="38"/>
    </row>
    <row r="1057" spans="3:6" ht="15" x14ac:dyDescent="0.25">
      <c r="C1057" s="14" t="s">
        <v>466</v>
      </c>
      <c r="D1057" s="13">
        <v>1</v>
      </c>
      <c r="F1057" s="38"/>
    </row>
    <row r="1058" spans="3:6" ht="15" x14ac:dyDescent="0.25">
      <c r="C1058" s="14" t="s">
        <v>467</v>
      </c>
      <c r="D1058" s="13">
        <v>2</v>
      </c>
      <c r="F1058" s="38"/>
    </row>
    <row r="1059" spans="3:6" ht="15" x14ac:dyDescent="0.25">
      <c r="C1059" s="14" t="s">
        <v>468</v>
      </c>
      <c r="D1059" s="13">
        <v>1</v>
      </c>
      <c r="F1059" s="38"/>
    </row>
    <row r="1060" spans="3:6" ht="15" x14ac:dyDescent="0.25">
      <c r="C1060" s="14" t="s">
        <v>469</v>
      </c>
      <c r="D1060" s="13">
        <v>1</v>
      </c>
      <c r="F1060" s="38"/>
    </row>
    <row r="1061" spans="3:6" ht="15" x14ac:dyDescent="0.25">
      <c r="C1061" s="14" t="s">
        <v>470</v>
      </c>
      <c r="D1061" s="13">
        <v>2</v>
      </c>
      <c r="F1061" s="38"/>
    </row>
    <row r="1062" spans="3:6" ht="15" x14ac:dyDescent="0.25">
      <c r="C1062" s="14" t="s">
        <v>153</v>
      </c>
      <c r="D1062" s="13">
        <v>10</v>
      </c>
      <c r="F1062" s="38"/>
    </row>
    <row r="1063" spans="3:6" ht="15" x14ac:dyDescent="0.25">
      <c r="C1063" s="14" t="s">
        <v>389</v>
      </c>
      <c r="D1063" s="13">
        <v>4</v>
      </c>
      <c r="F1063" s="38"/>
    </row>
    <row r="1064" spans="3:6" ht="15" x14ac:dyDescent="0.25">
      <c r="C1064" s="14" t="s">
        <v>483</v>
      </c>
      <c r="D1064" s="13">
        <v>1</v>
      </c>
      <c r="F1064" s="38"/>
    </row>
    <row r="1065" spans="3:6" ht="15" x14ac:dyDescent="0.25">
      <c r="C1065" s="14" t="s">
        <v>471</v>
      </c>
      <c r="D1065" s="13">
        <v>1</v>
      </c>
      <c r="F1065" s="38"/>
    </row>
    <row r="1066" spans="3:6" ht="15" x14ac:dyDescent="0.25">
      <c r="C1066" s="14" t="s">
        <v>29</v>
      </c>
      <c r="D1066" s="13">
        <v>3</v>
      </c>
      <c r="F1066" s="38"/>
    </row>
    <row r="1067" spans="3:6" ht="15" x14ac:dyDescent="0.25">
      <c r="C1067" s="14" t="s">
        <v>30</v>
      </c>
      <c r="D1067" s="13">
        <v>2</v>
      </c>
      <c r="F1067" s="38"/>
    </row>
    <row r="1068" spans="3:6" ht="15" x14ac:dyDescent="0.25">
      <c r="C1068" s="14" t="s">
        <v>129</v>
      </c>
      <c r="D1068" s="13">
        <v>2</v>
      </c>
      <c r="F1068" s="38"/>
    </row>
    <row r="1069" spans="3:6" ht="15" x14ac:dyDescent="0.25">
      <c r="C1069" s="14" t="s">
        <v>79</v>
      </c>
      <c r="D1069" s="13">
        <v>1</v>
      </c>
      <c r="F1069" s="38"/>
    </row>
    <row r="1070" spans="3:6" ht="15" x14ac:dyDescent="0.25">
      <c r="C1070" s="14" t="s">
        <v>486</v>
      </c>
      <c r="D1070" s="13">
        <v>1</v>
      </c>
      <c r="F1070" s="38"/>
    </row>
    <row r="1071" spans="3:6" ht="15" x14ac:dyDescent="0.25">
      <c r="C1071" s="14" t="s">
        <v>472</v>
      </c>
      <c r="D1071" s="13">
        <v>1</v>
      </c>
      <c r="F1071" s="38"/>
    </row>
    <row r="1072" spans="3:6" ht="15" x14ac:dyDescent="0.25">
      <c r="C1072" s="14" t="s">
        <v>222</v>
      </c>
      <c r="D1072" s="13">
        <v>1</v>
      </c>
      <c r="F1072" s="38"/>
    </row>
    <row r="1073" spans="1:7" ht="15" x14ac:dyDescent="0.25">
      <c r="C1073" s="14" t="s">
        <v>102</v>
      </c>
      <c r="D1073" s="13">
        <v>1</v>
      </c>
      <c r="F1073" s="38"/>
    </row>
    <row r="1074" spans="1:7" ht="15" x14ac:dyDescent="0.25">
      <c r="C1074" s="14" t="s">
        <v>473</v>
      </c>
      <c r="D1074" s="13">
        <v>1</v>
      </c>
      <c r="F1074" s="38"/>
    </row>
    <row r="1075" spans="1:7" ht="15" x14ac:dyDescent="0.25">
      <c r="A1075" s="11"/>
      <c r="C1075" s="14" t="s">
        <v>14</v>
      </c>
      <c r="D1075" s="13">
        <v>53</v>
      </c>
      <c r="E1075" s="13">
        <v>0</v>
      </c>
      <c r="F1075" s="38"/>
      <c r="G1075" s="13"/>
    </row>
    <row r="1076" spans="1:7" ht="15" x14ac:dyDescent="0.25">
      <c r="F1076" s="38"/>
    </row>
    <row r="1077" spans="1:7" ht="15" x14ac:dyDescent="0.25">
      <c r="B1077" s="11">
        <v>6552</v>
      </c>
      <c r="C1077" s="14" t="s">
        <v>474</v>
      </c>
      <c r="F1077" s="38"/>
    </row>
    <row r="1078" spans="1:7" ht="15" x14ac:dyDescent="0.25">
      <c r="C1078" s="14" t="s">
        <v>475</v>
      </c>
      <c r="D1078" s="13">
        <v>2</v>
      </c>
      <c r="F1078" s="38"/>
    </row>
    <row r="1079" spans="1:7" ht="15" x14ac:dyDescent="0.25">
      <c r="C1079" s="14" t="s">
        <v>476</v>
      </c>
      <c r="D1079" s="13">
        <v>1</v>
      </c>
      <c r="F1079" s="38"/>
    </row>
    <row r="1080" spans="1:7" ht="15" x14ac:dyDescent="0.25">
      <c r="C1080" s="14" t="s">
        <v>477</v>
      </c>
      <c r="D1080" s="13">
        <v>1</v>
      </c>
      <c r="F1080" s="38"/>
    </row>
    <row r="1081" spans="1:7" ht="15" x14ac:dyDescent="0.25">
      <c r="C1081" s="14" t="s">
        <v>463</v>
      </c>
      <c r="D1081" s="13">
        <v>227</v>
      </c>
      <c r="F1081" s="38"/>
    </row>
    <row r="1082" spans="1:7" ht="15" x14ac:dyDescent="0.25">
      <c r="C1082" s="14" t="s">
        <v>181</v>
      </c>
      <c r="D1082" s="13">
        <v>1</v>
      </c>
      <c r="F1082" s="38"/>
    </row>
    <row r="1083" spans="1:7" ht="15" x14ac:dyDescent="0.25">
      <c r="C1083" s="14" t="s">
        <v>461</v>
      </c>
      <c r="D1083" s="13">
        <v>3</v>
      </c>
      <c r="F1083" s="38"/>
    </row>
    <row r="1084" spans="1:7" ht="15" x14ac:dyDescent="0.25">
      <c r="C1084" s="14" t="s">
        <v>464</v>
      </c>
      <c r="D1084" s="13">
        <v>23</v>
      </c>
      <c r="F1084" s="38"/>
    </row>
    <row r="1085" spans="1:7" ht="15" x14ac:dyDescent="0.25">
      <c r="C1085" s="14" t="s">
        <v>465</v>
      </c>
      <c r="D1085" s="13">
        <v>91</v>
      </c>
      <c r="F1085" s="38"/>
    </row>
    <row r="1086" spans="1:7" ht="15" x14ac:dyDescent="0.25">
      <c r="C1086" s="14" t="s">
        <v>478</v>
      </c>
      <c r="D1086" s="13">
        <v>1</v>
      </c>
      <c r="F1086" s="38"/>
    </row>
    <row r="1087" spans="1:7" ht="15" x14ac:dyDescent="0.25">
      <c r="C1087" s="14" t="s">
        <v>479</v>
      </c>
      <c r="D1087" s="13">
        <v>1</v>
      </c>
      <c r="F1087" s="38"/>
    </row>
    <row r="1088" spans="1:7" ht="15" x14ac:dyDescent="0.25">
      <c r="C1088" s="14" t="s">
        <v>480</v>
      </c>
      <c r="D1088" s="13">
        <v>1</v>
      </c>
      <c r="F1088" s="38"/>
    </row>
    <row r="1089" spans="1:7" ht="15" x14ac:dyDescent="0.25">
      <c r="C1089" s="14" t="s">
        <v>481</v>
      </c>
      <c r="D1089" s="13">
        <v>1</v>
      </c>
      <c r="F1089" s="38"/>
    </row>
    <row r="1090" spans="1:7" ht="15" x14ac:dyDescent="0.25">
      <c r="C1090" s="14" t="s">
        <v>511</v>
      </c>
      <c r="D1090" s="13">
        <v>1</v>
      </c>
      <c r="F1090" s="38"/>
    </row>
    <row r="1091" spans="1:7" ht="15" x14ac:dyDescent="0.25">
      <c r="C1091" s="14" t="s">
        <v>482</v>
      </c>
      <c r="D1091" s="13">
        <v>1</v>
      </c>
      <c r="F1091" s="38"/>
    </row>
    <row r="1092" spans="1:7" ht="15" x14ac:dyDescent="0.25">
      <c r="C1092" s="14" t="s">
        <v>483</v>
      </c>
      <c r="D1092" s="13">
        <v>4</v>
      </c>
      <c r="F1092" s="38"/>
    </row>
    <row r="1093" spans="1:7" ht="15" x14ac:dyDescent="0.25">
      <c r="C1093" s="14" t="s">
        <v>12</v>
      </c>
      <c r="D1093" s="13">
        <v>1</v>
      </c>
      <c r="E1093" s="13">
        <v>1</v>
      </c>
      <c r="F1093" s="38">
        <v>41820</v>
      </c>
    </row>
    <row r="1094" spans="1:7" ht="15" x14ac:dyDescent="0.25">
      <c r="C1094" s="14" t="s">
        <v>29</v>
      </c>
      <c r="D1094" s="13">
        <v>7</v>
      </c>
      <c r="F1094" s="38"/>
    </row>
    <row r="1095" spans="1:7" ht="15" x14ac:dyDescent="0.25">
      <c r="C1095" s="14" t="s">
        <v>30</v>
      </c>
      <c r="D1095" s="13">
        <v>3</v>
      </c>
      <c r="F1095" s="38"/>
    </row>
    <row r="1096" spans="1:7" ht="15" x14ac:dyDescent="0.25">
      <c r="C1096" s="14" t="s">
        <v>484</v>
      </c>
      <c r="D1096" s="13">
        <v>16</v>
      </c>
      <c r="F1096" s="38"/>
    </row>
    <row r="1097" spans="1:7" ht="15" x14ac:dyDescent="0.25">
      <c r="C1097" s="14" t="s">
        <v>485</v>
      </c>
      <c r="D1097" s="13">
        <v>1</v>
      </c>
      <c r="F1097" s="38"/>
    </row>
    <row r="1098" spans="1:7" ht="15" x14ac:dyDescent="0.25">
      <c r="C1098" s="14" t="s">
        <v>486</v>
      </c>
      <c r="D1098" s="13">
        <v>15</v>
      </c>
      <c r="F1098" s="38"/>
    </row>
    <row r="1099" spans="1:7" ht="15" x14ac:dyDescent="0.25">
      <c r="F1099" s="38">
        <v>41820</v>
      </c>
    </row>
    <row r="1100" spans="1:7" ht="15" x14ac:dyDescent="0.25">
      <c r="F1100" s="38">
        <v>41820</v>
      </c>
    </row>
    <row r="1101" spans="1:7" ht="15" x14ac:dyDescent="0.25">
      <c r="C1101" s="14" t="s">
        <v>487</v>
      </c>
      <c r="D1101" s="13">
        <v>7</v>
      </c>
      <c r="E1101" s="13">
        <v>3</v>
      </c>
      <c r="F1101" s="38">
        <v>41820</v>
      </c>
    </row>
    <row r="1102" spans="1:7" ht="15" x14ac:dyDescent="0.25">
      <c r="C1102" s="14" t="s">
        <v>488</v>
      </c>
      <c r="D1102" s="13">
        <v>1</v>
      </c>
      <c r="F1102" s="38"/>
    </row>
    <row r="1103" spans="1:7" ht="15" x14ac:dyDescent="0.25">
      <c r="A1103" s="11"/>
      <c r="C1103" s="14" t="s">
        <v>14</v>
      </c>
      <c r="D1103" s="13">
        <v>410</v>
      </c>
      <c r="E1103" s="13">
        <v>4</v>
      </c>
      <c r="F1103" s="38"/>
      <c r="G1103" s="13"/>
    </row>
    <row r="1104" spans="1:7" ht="15" x14ac:dyDescent="0.25">
      <c r="F1104" s="33"/>
    </row>
    <row r="1105" spans="1:7" ht="15" x14ac:dyDescent="0.25">
      <c r="A1105" s="16"/>
      <c r="B1105" s="17"/>
      <c r="C1105" s="18" t="s">
        <v>15</v>
      </c>
      <c r="D1105" s="19">
        <f>D1075+D1103+D1045</f>
        <v>485</v>
      </c>
      <c r="E1105" s="19">
        <f>E1075+E1103+E1045</f>
        <v>6</v>
      </c>
      <c r="F1105" s="36"/>
    </row>
    <row r="1106" spans="1:7" ht="15" x14ac:dyDescent="0.25">
      <c r="C1106" s="12"/>
      <c r="D1106" s="22"/>
      <c r="E1106" s="22"/>
      <c r="F1106" s="33"/>
    </row>
    <row r="1107" spans="1:7" ht="15" x14ac:dyDescent="0.25">
      <c r="A1107" s="15">
        <v>1350</v>
      </c>
      <c r="C1107" s="12" t="s">
        <v>489</v>
      </c>
      <c r="F1107" s="33"/>
    </row>
    <row r="1108" spans="1:7" ht="15" x14ac:dyDescent="0.25">
      <c r="C1108" s="14" t="s">
        <v>490</v>
      </c>
      <c r="D1108" s="13">
        <v>1</v>
      </c>
      <c r="F1108" s="38"/>
    </row>
    <row r="1109" spans="1:7" ht="15" x14ac:dyDescent="0.25">
      <c r="C1109" s="14" t="s">
        <v>7</v>
      </c>
      <c r="D1109" s="13">
        <v>1</v>
      </c>
      <c r="F1109" s="38"/>
    </row>
    <row r="1110" spans="1:7" ht="15" x14ac:dyDescent="0.25">
      <c r="C1110" s="14" t="s">
        <v>491</v>
      </c>
      <c r="D1110" s="13">
        <v>1</v>
      </c>
      <c r="F1110" s="38"/>
    </row>
    <row r="1111" spans="1:7" ht="15" x14ac:dyDescent="0.25">
      <c r="A1111" s="11"/>
      <c r="C1111" s="14" t="s">
        <v>14</v>
      </c>
      <c r="D1111" s="13">
        <v>3</v>
      </c>
      <c r="E1111" s="13">
        <v>0</v>
      </c>
      <c r="F1111" s="38"/>
      <c r="G1111" s="13"/>
    </row>
    <row r="1112" spans="1:7" ht="15" x14ac:dyDescent="0.25">
      <c r="F1112" s="33"/>
    </row>
    <row r="1113" spans="1:7" ht="15" x14ac:dyDescent="0.25">
      <c r="A1113" s="16"/>
      <c r="B1113" s="17"/>
      <c r="C1113" s="18" t="s">
        <v>15</v>
      </c>
      <c r="D1113" s="19">
        <v>3</v>
      </c>
      <c r="E1113" s="19">
        <v>0</v>
      </c>
      <c r="F1113" s="36"/>
    </row>
    <row r="1114" spans="1:7" ht="15" x14ac:dyDescent="0.25">
      <c r="F1114" s="33"/>
    </row>
    <row r="1115" spans="1:7" ht="15" x14ac:dyDescent="0.25">
      <c r="A1115" s="15">
        <v>1300</v>
      </c>
      <c r="C1115" s="12" t="s">
        <v>492</v>
      </c>
      <c r="F1115" s="33"/>
    </row>
    <row r="1116" spans="1:7" ht="15" x14ac:dyDescent="0.25">
      <c r="B1116" s="11">
        <v>1311</v>
      </c>
      <c r="C1116" s="14" t="s">
        <v>493</v>
      </c>
      <c r="F1116" s="33"/>
    </row>
    <row r="1117" spans="1:7" ht="15" x14ac:dyDescent="0.25">
      <c r="C1117" s="14" t="s">
        <v>212</v>
      </c>
      <c r="D1117" s="13">
        <v>1.5</v>
      </c>
      <c r="F1117" s="38"/>
    </row>
    <row r="1118" spans="1:7" ht="15" x14ac:dyDescent="0.25">
      <c r="C1118" s="14" t="s">
        <v>45</v>
      </c>
      <c r="D1118" s="13">
        <v>2</v>
      </c>
      <c r="F1118" s="38"/>
    </row>
    <row r="1119" spans="1:7" ht="15" x14ac:dyDescent="0.25">
      <c r="C1119" s="14" t="s">
        <v>7</v>
      </c>
      <c r="D1119" s="13">
        <v>1</v>
      </c>
      <c r="F1119" s="38"/>
    </row>
    <row r="1120" spans="1:7" ht="15" x14ac:dyDescent="0.25">
      <c r="C1120" s="14" t="s">
        <v>494</v>
      </c>
      <c r="D1120" s="13">
        <v>1</v>
      </c>
      <c r="F1120" s="38"/>
    </row>
    <row r="1121" spans="1:7" ht="15" x14ac:dyDescent="0.25">
      <c r="C1121" s="14" t="s">
        <v>382</v>
      </c>
      <c r="D1121" s="13">
        <v>1</v>
      </c>
      <c r="F1121" s="38"/>
    </row>
    <row r="1122" spans="1:7" ht="15" x14ac:dyDescent="0.25">
      <c r="C1122" s="14" t="s">
        <v>33</v>
      </c>
      <c r="D1122" s="13">
        <v>1</v>
      </c>
      <c r="F1122" s="38"/>
    </row>
    <row r="1123" spans="1:7" ht="15" x14ac:dyDescent="0.25">
      <c r="C1123" s="14" t="s">
        <v>495</v>
      </c>
      <c r="D1123" s="13">
        <v>1</v>
      </c>
      <c r="F1123" s="38"/>
    </row>
    <row r="1124" spans="1:7" ht="15" x14ac:dyDescent="0.25">
      <c r="A1124" s="11"/>
      <c r="C1124" s="14" t="s">
        <v>14</v>
      </c>
      <c r="D1124" s="13">
        <v>8.5</v>
      </c>
      <c r="E1124" s="13">
        <v>0</v>
      </c>
      <c r="F1124" s="38"/>
      <c r="G1124" s="13"/>
    </row>
    <row r="1125" spans="1:7" ht="15" x14ac:dyDescent="0.25">
      <c r="F1125" s="38"/>
    </row>
    <row r="1126" spans="1:7" ht="15" x14ac:dyDescent="0.25">
      <c r="B1126" s="11">
        <v>1312</v>
      </c>
      <c r="C1126" s="14" t="s">
        <v>496</v>
      </c>
      <c r="F1126" s="38"/>
    </row>
    <row r="1127" spans="1:7" ht="15" x14ac:dyDescent="0.25">
      <c r="C1127" s="14" t="s">
        <v>212</v>
      </c>
      <c r="D1127" s="13">
        <v>1</v>
      </c>
      <c r="F1127" s="38"/>
    </row>
    <row r="1128" spans="1:7" ht="15" x14ac:dyDescent="0.25">
      <c r="C1128" s="14" t="s">
        <v>108</v>
      </c>
      <c r="D1128" s="13">
        <v>1</v>
      </c>
      <c r="F1128" s="38"/>
    </row>
    <row r="1129" spans="1:7" ht="15" x14ac:dyDescent="0.25">
      <c r="A1129" s="11"/>
      <c r="C1129" s="14" t="s">
        <v>14</v>
      </c>
      <c r="D1129" s="13">
        <v>2</v>
      </c>
      <c r="E1129" s="13">
        <v>0</v>
      </c>
      <c r="F1129" s="38"/>
      <c r="G1129" s="13"/>
    </row>
    <row r="1130" spans="1:7" ht="15" x14ac:dyDescent="0.25">
      <c r="F1130" s="33"/>
    </row>
    <row r="1131" spans="1:7" ht="15" x14ac:dyDescent="0.25">
      <c r="A1131" s="16"/>
      <c r="B1131" s="17"/>
      <c r="C1131" s="18" t="s">
        <v>15</v>
      </c>
      <c r="D1131" s="19">
        <v>10.5</v>
      </c>
      <c r="E1131" s="19">
        <v>0</v>
      </c>
      <c r="F1131" s="36"/>
    </row>
    <row r="1132" spans="1:7" ht="15" x14ac:dyDescent="0.25">
      <c r="F1132" s="33"/>
    </row>
    <row r="1133" spans="1:7" ht="15" x14ac:dyDescent="0.25">
      <c r="A1133" s="15">
        <v>5800</v>
      </c>
      <c r="C1133" s="12" t="s">
        <v>497</v>
      </c>
      <c r="F1133" s="33"/>
    </row>
    <row r="1134" spans="1:7" x14ac:dyDescent="0.3">
      <c r="C1134" s="14" t="s">
        <v>498</v>
      </c>
      <c r="D1134" s="13">
        <v>1</v>
      </c>
      <c r="F1134" s="38"/>
    </row>
    <row r="1135" spans="1:7" x14ac:dyDescent="0.3">
      <c r="C1135" s="14" t="s">
        <v>29</v>
      </c>
      <c r="D1135" s="13">
        <v>1</v>
      </c>
      <c r="F1135" s="38"/>
    </row>
    <row r="1136" spans="1:7" x14ac:dyDescent="0.3">
      <c r="C1136" s="14" t="s">
        <v>499</v>
      </c>
      <c r="D1136" s="13">
        <v>3</v>
      </c>
      <c r="E1136" s="13">
        <v>1</v>
      </c>
      <c r="F1136" s="38">
        <v>41820</v>
      </c>
    </row>
    <row r="1137" spans="1:9" x14ac:dyDescent="0.3">
      <c r="C1137" s="14" t="s">
        <v>14</v>
      </c>
      <c r="D1137" s="13">
        <v>5</v>
      </c>
      <c r="E1137" s="13">
        <v>1</v>
      </c>
      <c r="F1137" s="38"/>
      <c r="G1137" s="13"/>
    </row>
    <row r="1138" spans="1:9" x14ac:dyDescent="0.3">
      <c r="F1138" s="33"/>
    </row>
    <row r="1139" spans="1:9" x14ac:dyDescent="0.3">
      <c r="A1139" s="16"/>
      <c r="B1139" s="17"/>
      <c r="C1139" s="18" t="s">
        <v>15</v>
      </c>
      <c r="D1139" s="19">
        <v>5</v>
      </c>
      <c r="E1139" s="19">
        <v>1</v>
      </c>
      <c r="F1139" s="36"/>
    </row>
    <row r="1141" spans="1:9" x14ac:dyDescent="0.3">
      <c r="C1141" s="12" t="s">
        <v>500</v>
      </c>
      <c r="D1141" s="28">
        <f>E1139+E1131+E1113+E1105+E1032++E973+E942+E936+E921+E895+E839+E731+E712+E684+E675+E412+E403+E393+E386+E380+E326+E312+E272+E212+E200+E167+E156+E114+E108+E80+E41+E14</f>
        <v>57.1</v>
      </c>
      <c r="F1141" s="40"/>
      <c r="I1141" s="42"/>
    </row>
    <row r="1142" spans="1:9" x14ac:dyDescent="0.3">
      <c r="D1142" s="28"/>
      <c r="I1142" s="42"/>
    </row>
    <row r="1143" spans="1:9" x14ac:dyDescent="0.3">
      <c r="C1143" s="12" t="s">
        <v>501</v>
      </c>
      <c r="D1143" s="28">
        <f>D1145-D1141</f>
        <v>2729.1000000000004</v>
      </c>
      <c r="E1143" s="22"/>
      <c r="I1143" s="42"/>
    </row>
    <row r="1144" spans="1:9" x14ac:dyDescent="0.3">
      <c r="D1144" s="22"/>
      <c r="I1144" s="42"/>
    </row>
    <row r="1145" spans="1:9" x14ac:dyDescent="0.3">
      <c r="C1145" s="12" t="s">
        <v>502</v>
      </c>
      <c r="D1145" s="22">
        <f>D1139+D1131+D1113+D1105+D1032+D973+D942+D936+D921+D895+D839+D731+D712+D684+D675+D412+D403+D393+D386+D380+D326+D312+D272+D212+D200+D167+D156+D114+D108+D80+D41+D14</f>
        <v>2786.2000000000003</v>
      </c>
      <c r="E1145" s="22"/>
      <c r="F1145" s="40"/>
      <c r="I1145" s="42"/>
    </row>
  </sheetData>
  <sortState ref="A672:I673">
    <sortCondition ref="C672:C673"/>
  </sortState>
  <conditionalFormatting sqref="E5 E277:E279 F843:F850 E425:F440 F276:F279 E223:F229 E281:E294 E280:F280 E603:F614 E1026:F1029 E171:F179 E188:F197 E234:F237 E296:E301 F281:F301 E330:G336 E460:F477 E481:F498 E502:F530 F615:F631 E615:E632 E636:F673 E567:F589 F554:F563 E546:F550">
    <cfRule type="cellIs" dxfId="355" priority="389" operator="equal">
      <formula>0</formula>
    </cfRule>
  </conditionalFormatting>
  <conditionalFormatting sqref="F5">
    <cfRule type="cellIs" dxfId="354" priority="388" operator="equal">
      <formula>0</formula>
    </cfRule>
  </conditionalFormatting>
  <conditionalFormatting sqref="E6:E11">
    <cfRule type="cellIs" dxfId="353" priority="387" operator="equal">
      <formula>0</formula>
    </cfRule>
  </conditionalFormatting>
  <conditionalFormatting sqref="F6:F12">
    <cfRule type="cellIs" dxfId="352" priority="386" operator="equal">
      <formula>0</formula>
    </cfRule>
  </conditionalFormatting>
  <conditionalFormatting sqref="E18:E30">
    <cfRule type="cellIs" dxfId="351" priority="385" operator="equal">
      <formula>0</formula>
    </cfRule>
  </conditionalFormatting>
  <conditionalFormatting sqref="F18:F30">
    <cfRule type="cellIs" dxfId="350" priority="384" operator="equal">
      <formula>0</formula>
    </cfRule>
  </conditionalFormatting>
  <conditionalFormatting sqref="F31:F33">
    <cfRule type="cellIs" dxfId="349" priority="383" operator="equal">
      <formula>0</formula>
    </cfRule>
  </conditionalFormatting>
  <conditionalFormatting sqref="G31:G37">
    <cfRule type="cellIs" dxfId="348" priority="382" operator="equal">
      <formula>0</formula>
    </cfRule>
  </conditionalFormatting>
  <conditionalFormatting sqref="E34:E38">
    <cfRule type="cellIs" dxfId="347" priority="381" operator="equal">
      <formula>0</formula>
    </cfRule>
  </conditionalFormatting>
  <conditionalFormatting sqref="F34:F38">
    <cfRule type="cellIs" dxfId="346" priority="380" operator="equal">
      <formula>0</formula>
    </cfRule>
  </conditionalFormatting>
  <conditionalFormatting sqref="E45:E47">
    <cfRule type="cellIs" dxfId="345" priority="379" operator="equal">
      <formula>0</formula>
    </cfRule>
  </conditionalFormatting>
  <conditionalFormatting sqref="F45:F47">
    <cfRule type="cellIs" dxfId="344" priority="378" operator="equal">
      <formula>0</formula>
    </cfRule>
  </conditionalFormatting>
  <conditionalFormatting sqref="E51:E52">
    <cfRule type="cellIs" dxfId="343" priority="377" operator="equal">
      <formula>0</formula>
    </cfRule>
  </conditionalFormatting>
  <conditionalFormatting sqref="F51:F52">
    <cfRule type="cellIs" dxfId="342" priority="376" operator="equal">
      <formula>0</formula>
    </cfRule>
  </conditionalFormatting>
  <conditionalFormatting sqref="E56:E63">
    <cfRule type="cellIs" dxfId="341" priority="375" operator="equal">
      <formula>0</formula>
    </cfRule>
  </conditionalFormatting>
  <conditionalFormatting sqref="F56:F63">
    <cfRule type="cellIs" dxfId="340" priority="374" operator="equal">
      <formula>0</formula>
    </cfRule>
  </conditionalFormatting>
  <conditionalFormatting sqref="E64">
    <cfRule type="cellIs" dxfId="339" priority="373" operator="equal">
      <formula>0</formula>
    </cfRule>
  </conditionalFormatting>
  <conditionalFormatting sqref="F64">
    <cfRule type="cellIs" dxfId="338" priority="372" operator="equal">
      <formula>0</formula>
    </cfRule>
  </conditionalFormatting>
  <conditionalFormatting sqref="E68:E69">
    <cfRule type="cellIs" dxfId="337" priority="371" operator="equal">
      <formula>0</formula>
    </cfRule>
  </conditionalFormatting>
  <conditionalFormatting sqref="F68:F69">
    <cfRule type="cellIs" dxfId="336" priority="370" operator="equal">
      <formula>0</formula>
    </cfRule>
  </conditionalFormatting>
  <conditionalFormatting sqref="E73">
    <cfRule type="cellIs" dxfId="335" priority="369" operator="equal">
      <formula>0</formula>
    </cfRule>
  </conditionalFormatting>
  <conditionalFormatting sqref="F73">
    <cfRule type="cellIs" dxfId="334" priority="368" operator="equal">
      <formula>0</formula>
    </cfRule>
  </conditionalFormatting>
  <conditionalFormatting sqref="E77">
    <cfRule type="cellIs" dxfId="333" priority="367" operator="equal">
      <formula>0</formula>
    </cfRule>
  </conditionalFormatting>
  <conditionalFormatting sqref="F77">
    <cfRule type="cellIs" dxfId="332" priority="366" operator="equal">
      <formula>0</formula>
    </cfRule>
  </conditionalFormatting>
  <conditionalFormatting sqref="E111">
    <cfRule type="cellIs" dxfId="331" priority="365" operator="equal">
      <formula>0</formula>
    </cfRule>
  </conditionalFormatting>
  <conditionalFormatting sqref="F111">
    <cfRule type="cellIs" dxfId="330" priority="364" operator="equal">
      <formula>0</formula>
    </cfRule>
  </conditionalFormatting>
  <conditionalFormatting sqref="E118:E119">
    <cfRule type="cellIs" dxfId="329" priority="363" operator="equal">
      <formula>0</formula>
    </cfRule>
  </conditionalFormatting>
  <conditionalFormatting sqref="F118:F119">
    <cfRule type="cellIs" dxfId="328" priority="362" operator="equal">
      <formula>0</formula>
    </cfRule>
  </conditionalFormatting>
  <conditionalFormatting sqref="E123:E133">
    <cfRule type="cellIs" dxfId="327" priority="361" operator="equal">
      <formula>0</formula>
    </cfRule>
  </conditionalFormatting>
  <conditionalFormatting sqref="F123:F133">
    <cfRule type="cellIs" dxfId="326" priority="360" operator="equal">
      <formula>0</formula>
    </cfRule>
  </conditionalFormatting>
  <conditionalFormatting sqref="E138:E140">
    <cfRule type="cellIs" dxfId="325" priority="359" operator="equal">
      <formula>0</formula>
    </cfRule>
  </conditionalFormatting>
  <conditionalFormatting sqref="F138:F140">
    <cfRule type="cellIs" dxfId="324" priority="358" operator="equal">
      <formula>0</formula>
    </cfRule>
  </conditionalFormatting>
  <conditionalFormatting sqref="E144">
    <cfRule type="cellIs" dxfId="323" priority="357" operator="equal">
      <formula>0</formula>
    </cfRule>
  </conditionalFormatting>
  <conditionalFormatting sqref="F144">
    <cfRule type="cellIs" dxfId="322" priority="356" operator="equal">
      <formula>0</formula>
    </cfRule>
  </conditionalFormatting>
  <conditionalFormatting sqref="E148">
    <cfRule type="cellIs" dxfId="321" priority="355" operator="equal">
      <formula>0</formula>
    </cfRule>
  </conditionalFormatting>
  <conditionalFormatting sqref="F148">
    <cfRule type="cellIs" dxfId="320" priority="354" operator="equal">
      <formula>0</formula>
    </cfRule>
  </conditionalFormatting>
  <conditionalFormatting sqref="E159:E164">
    <cfRule type="cellIs" dxfId="319" priority="353" operator="equal">
      <formula>0</formula>
    </cfRule>
  </conditionalFormatting>
  <conditionalFormatting sqref="F159:F164">
    <cfRule type="cellIs" dxfId="318" priority="352" operator="equal">
      <formula>0</formula>
    </cfRule>
  </conditionalFormatting>
  <conditionalFormatting sqref="G1137">
    <cfRule type="cellIs" dxfId="317" priority="7" operator="equal">
      <formula>0</formula>
    </cfRule>
  </conditionalFormatting>
  <conditionalFormatting sqref="E183:E184">
    <cfRule type="cellIs" dxfId="316" priority="349" operator="equal">
      <formula>0</formula>
    </cfRule>
  </conditionalFormatting>
  <conditionalFormatting sqref="F183:F184">
    <cfRule type="cellIs" dxfId="315" priority="348" operator="equal">
      <formula>0</formula>
    </cfRule>
  </conditionalFormatting>
  <conditionalFormatting sqref="F180">
    <cfRule type="cellIs" dxfId="314" priority="347" operator="equal">
      <formula>0</formula>
    </cfRule>
  </conditionalFormatting>
  <conditionalFormatting sqref="G180">
    <cfRule type="cellIs" dxfId="313" priority="346" operator="equal">
      <formula>0</formula>
    </cfRule>
  </conditionalFormatting>
  <conditionalFormatting sqref="F198">
    <cfRule type="cellIs" dxfId="312" priority="343" operator="equal">
      <formula>0</formula>
    </cfRule>
  </conditionalFormatting>
  <conditionalFormatting sqref="G198">
    <cfRule type="cellIs" dxfId="311" priority="342" operator="equal">
      <formula>0</formula>
    </cfRule>
  </conditionalFormatting>
  <conditionalFormatting sqref="E204:E209">
    <cfRule type="cellIs" dxfId="310" priority="341" operator="equal">
      <formula>0</formula>
    </cfRule>
  </conditionalFormatting>
  <conditionalFormatting sqref="F204:F209">
    <cfRule type="cellIs" dxfId="309" priority="340" operator="equal">
      <formula>0</formula>
    </cfRule>
  </conditionalFormatting>
  <conditionalFormatting sqref="F210">
    <cfRule type="cellIs" dxfId="308" priority="339" operator="equal">
      <formula>0</formula>
    </cfRule>
  </conditionalFormatting>
  <conditionalFormatting sqref="G210">
    <cfRule type="cellIs" dxfId="307" priority="338" operator="equal">
      <formula>0</formula>
    </cfRule>
  </conditionalFormatting>
  <conditionalFormatting sqref="E217:E219">
    <cfRule type="cellIs" dxfId="306" priority="337" operator="equal">
      <formula>0</formula>
    </cfRule>
  </conditionalFormatting>
  <conditionalFormatting sqref="F217:F219">
    <cfRule type="cellIs" dxfId="305" priority="336" operator="equal">
      <formula>0</formula>
    </cfRule>
  </conditionalFormatting>
  <conditionalFormatting sqref="F220">
    <cfRule type="cellIs" dxfId="304" priority="335" operator="equal">
      <formula>0</formula>
    </cfRule>
  </conditionalFormatting>
  <conditionalFormatting sqref="G220">
    <cfRule type="cellIs" dxfId="303" priority="334" operator="equal">
      <formula>0</formula>
    </cfRule>
  </conditionalFormatting>
  <conditionalFormatting sqref="F230">
    <cfRule type="cellIs" dxfId="302" priority="331" operator="equal">
      <formula>0</formula>
    </cfRule>
  </conditionalFormatting>
  <conditionalFormatting sqref="G230">
    <cfRule type="cellIs" dxfId="301" priority="330" operator="equal">
      <formula>0</formula>
    </cfRule>
  </conditionalFormatting>
  <conditionalFormatting sqref="F238">
    <cfRule type="cellIs" dxfId="300" priority="327" operator="equal">
      <formula>0</formula>
    </cfRule>
  </conditionalFormatting>
  <conditionalFormatting sqref="G238">
    <cfRule type="cellIs" dxfId="299" priority="326" operator="equal">
      <formula>0</formula>
    </cfRule>
  </conditionalFormatting>
  <conditionalFormatting sqref="E241:E242">
    <cfRule type="cellIs" dxfId="298" priority="325" operator="equal">
      <formula>0</formula>
    </cfRule>
  </conditionalFormatting>
  <conditionalFormatting sqref="F241:F242">
    <cfRule type="cellIs" dxfId="297" priority="324" operator="equal">
      <formula>0</formula>
    </cfRule>
  </conditionalFormatting>
  <conditionalFormatting sqref="F243">
    <cfRule type="cellIs" dxfId="296" priority="323" operator="equal">
      <formula>0</formula>
    </cfRule>
  </conditionalFormatting>
  <conditionalFormatting sqref="G243">
    <cfRule type="cellIs" dxfId="295" priority="322" operator="equal">
      <formula>0</formula>
    </cfRule>
  </conditionalFormatting>
  <conditionalFormatting sqref="E246:E250">
    <cfRule type="cellIs" dxfId="294" priority="321" operator="equal">
      <formula>0</formula>
    </cfRule>
  </conditionalFormatting>
  <conditionalFormatting sqref="F246:F250">
    <cfRule type="cellIs" dxfId="293" priority="320" operator="equal">
      <formula>0</formula>
    </cfRule>
  </conditionalFormatting>
  <conditionalFormatting sqref="F251">
    <cfRule type="cellIs" dxfId="292" priority="319" operator="equal">
      <formula>0</formula>
    </cfRule>
  </conditionalFormatting>
  <conditionalFormatting sqref="G251">
    <cfRule type="cellIs" dxfId="291" priority="318" operator="equal">
      <formula>0</formula>
    </cfRule>
  </conditionalFormatting>
  <conditionalFormatting sqref="E254:E256">
    <cfRule type="cellIs" dxfId="290" priority="317" operator="equal">
      <formula>0</formula>
    </cfRule>
  </conditionalFormatting>
  <conditionalFormatting sqref="F254:F256">
    <cfRule type="cellIs" dxfId="289" priority="316" operator="equal">
      <formula>0</formula>
    </cfRule>
  </conditionalFormatting>
  <conditionalFormatting sqref="F257">
    <cfRule type="cellIs" dxfId="288" priority="315" operator="equal">
      <formula>0</formula>
    </cfRule>
  </conditionalFormatting>
  <conditionalFormatting sqref="G257">
    <cfRule type="cellIs" dxfId="287" priority="314" operator="equal">
      <formula>0</formula>
    </cfRule>
  </conditionalFormatting>
  <conditionalFormatting sqref="E260">
    <cfRule type="cellIs" dxfId="286" priority="313" operator="equal">
      <formula>0</formula>
    </cfRule>
  </conditionalFormatting>
  <conditionalFormatting sqref="F260">
    <cfRule type="cellIs" dxfId="285" priority="312" operator="equal">
      <formula>0</formula>
    </cfRule>
  </conditionalFormatting>
  <conditionalFormatting sqref="F261">
    <cfRule type="cellIs" dxfId="284" priority="311" operator="equal">
      <formula>0</formula>
    </cfRule>
  </conditionalFormatting>
  <conditionalFormatting sqref="G261">
    <cfRule type="cellIs" dxfId="283" priority="310" operator="equal">
      <formula>0</formula>
    </cfRule>
  </conditionalFormatting>
  <conditionalFormatting sqref="E264:E265">
    <cfRule type="cellIs" dxfId="282" priority="309" operator="equal">
      <formula>0</formula>
    </cfRule>
  </conditionalFormatting>
  <conditionalFormatting sqref="F264:F265">
    <cfRule type="cellIs" dxfId="281" priority="308" operator="equal">
      <formula>0</formula>
    </cfRule>
  </conditionalFormatting>
  <conditionalFormatting sqref="F266">
    <cfRule type="cellIs" dxfId="280" priority="307" operator="equal">
      <formula>0</formula>
    </cfRule>
  </conditionalFormatting>
  <conditionalFormatting sqref="G266">
    <cfRule type="cellIs" dxfId="279" priority="306" operator="equal">
      <formula>0</formula>
    </cfRule>
  </conditionalFormatting>
  <conditionalFormatting sqref="E269">
    <cfRule type="cellIs" dxfId="278" priority="305" operator="equal">
      <formula>0</formula>
    </cfRule>
  </conditionalFormatting>
  <conditionalFormatting sqref="F269">
    <cfRule type="cellIs" dxfId="277" priority="304" operator="equal">
      <formula>0</formula>
    </cfRule>
  </conditionalFormatting>
  <conditionalFormatting sqref="F270">
    <cfRule type="cellIs" dxfId="276" priority="303" operator="equal">
      <formula>0</formula>
    </cfRule>
  </conditionalFormatting>
  <conditionalFormatting sqref="G270">
    <cfRule type="cellIs" dxfId="275" priority="302" operator="equal">
      <formula>0</formula>
    </cfRule>
  </conditionalFormatting>
  <conditionalFormatting sqref="F302">
    <cfRule type="cellIs" dxfId="274" priority="299" operator="equal">
      <formula>0</formula>
    </cfRule>
  </conditionalFormatting>
  <conditionalFormatting sqref="G302">
    <cfRule type="cellIs" dxfId="273" priority="298" operator="equal">
      <formula>0</formula>
    </cfRule>
  </conditionalFormatting>
  <conditionalFormatting sqref="D295">
    <cfRule type="cellIs" dxfId="272" priority="297" operator="equal">
      <formula>0</formula>
    </cfRule>
  </conditionalFormatting>
  <conditionalFormatting sqref="E295">
    <cfRule type="cellIs" dxfId="271" priority="296" operator="equal">
      <formula>0</formula>
    </cfRule>
  </conditionalFormatting>
  <conditionalFormatting sqref="D276">
    <cfRule type="cellIs" dxfId="270" priority="295" operator="equal">
      <formula>0</formula>
    </cfRule>
  </conditionalFormatting>
  <conditionalFormatting sqref="E276">
    <cfRule type="cellIs" dxfId="269" priority="294" operator="equal">
      <formula>0</formula>
    </cfRule>
  </conditionalFormatting>
  <conditionalFormatting sqref="E305:E309">
    <cfRule type="cellIs" dxfId="268" priority="293" operator="equal">
      <formula>0</formula>
    </cfRule>
  </conditionalFormatting>
  <conditionalFormatting sqref="F305:F309">
    <cfRule type="cellIs" dxfId="267" priority="292" operator="equal">
      <formula>0</formula>
    </cfRule>
  </conditionalFormatting>
  <conditionalFormatting sqref="F310">
    <cfRule type="cellIs" dxfId="266" priority="291" operator="equal">
      <formula>0</formula>
    </cfRule>
  </conditionalFormatting>
  <conditionalFormatting sqref="G310">
    <cfRule type="cellIs" dxfId="265" priority="290" operator="equal">
      <formula>0</formula>
    </cfRule>
  </conditionalFormatting>
  <conditionalFormatting sqref="E316:E317">
    <cfRule type="cellIs" dxfId="264" priority="289" operator="equal">
      <formula>0</formula>
    </cfRule>
  </conditionalFormatting>
  <conditionalFormatting sqref="F316:F317">
    <cfRule type="cellIs" dxfId="263" priority="288" operator="equal">
      <formula>0</formula>
    </cfRule>
  </conditionalFormatting>
  <conditionalFormatting sqref="F318">
    <cfRule type="cellIs" dxfId="262" priority="287" operator="equal">
      <formula>0</formula>
    </cfRule>
  </conditionalFormatting>
  <conditionalFormatting sqref="G318">
    <cfRule type="cellIs" dxfId="261" priority="286" operator="equal">
      <formula>0</formula>
    </cfRule>
  </conditionalFormatting>
  <conditionalFormatting sqref="E321:E323">
    <cfRule type="cellIs" dxfId="260" priority="285" operator="equal">
      <formula>0</formula>
    </cfRule>
  </conditionalFormatting>
  <conditionalFormatting sqref="F321:F323">
    <cfRule type="cellIs" dxfId="259" priority="284" operator="equal">
      <formula>0</formula>
    </cfRule>
  </conditionalFormatting>
  <conditionalFormatting sqref="F324">
    <cfRule type="cellIs" dxfId="258" priority="283" operator="equal">
      <formula>0</formula>
    </cfRule>
  </conditionalFormatting>
  <conditionalFormatting sqref="G324">
    <cfRule type="cellIs" dxfId="257" priority="282" operator="equal">
      <formula>0</formula>
    </cfRule>
  </conditionalFormatting>
  <conditionalFormatting sqref="F337">
    <cfRule type="cellIs" dxfId="256" priority="279" operator="equal">
      <formula>0</formula>
    </cfRule>
  </conditionalFormatting>
  <conditionalFormatting sqref="G337">
    <cfRule type="cellIs" dxfId="255" priority="278" operator="equal">
      <formula>0</formula>
    </cfRule>
  </conditionalFormatting>
  <conditionalFormatting sqref="E340:E343">
    <cfRule type="cellIs" dxfId="254" priority="277" operator="equal">
      <formula>0</formula>
    </cfRule>
  </conditionalFormatting>
  <conditionalFormatting sqref="F340:F343">
    <cfRule type="cellIs" dxfId="253" priority="276" operator="equal">
      <formula>0</formula>
    </cfRule>
  </conditionalFormatting>
  <conditionalFormatting sqref="F344">
    <cfRule type="cellIs" dxfId="252" priority="275" operator="equal">
      <formula>0</formula>
    </cfRule>
  </conditionalFormatting>
  <conditionalFormatting sqref="G344">
    <cfRule type="cellIs" dxfId="251" priority="274" operator="equal">
      <formula>0</formula>
    </cfRule>
  </conditionalFormatting>
  <conditionalFormatting sqref="E347:E354">
    <cfRule type="cellIs" dxfId="250" priority="273" operator="equal">
      <formula>0</formula>
    </cfRule>
  </conditionalFormatting>
  <conditionalFormatting sqref="F347:F354">
    <cfRule type="cellIs" dxfId="249" priority="272" operator="equal">
      <formula>0</formula>
    </cfRule>
  </conditionalFormatting>
  <conditionalFormatting sqref="F355">
    <cfRule type="cellIs" dxfId="248" priority="271" operator="equal">
      <formula>0</formula>
    </cfRule>
  </conditionalFormatting>
  <conditionalFormatting sqref="G355">
    <cfRule type="cellIs" dxfId="247" priority="270" operator="equal">
      <formula>0</formula>
    </cfRule>
  </conditionalFormatting>
  <conditionalFormatting sqref="E358:E366">
    <cfRule type="cellIs" dxfId="246" priority="269" operator="equal">
      <formula>0</formula>
    </cfRule>
  </conditionalFormatting>
  <conditionalFormatting sqref="F358:F366">
    <cfRule type="cellIs" dxfId="245" priority="268" operator="equal">
      <formula>0</formula>
    </cfRule>
  </conditionalFormatting>
  <conditionalFormatting sqref="F367">
    <cfRule type="cellIs" dxfId="244" priority="267" operator="equal">
      <formula>0</formula>
    </cfRule>
  </conditionalFormatting>
  <conditionalFormatting sqref="G367">
    <cfRule type="cellIs" dxfId="243" priority="266" operator="equal">
      <formula>0</formula>
    </cfRule>
  </conditionalFormatting>
  <conditionalFormatting sqref="E370:E371">
    <cfRule type="cellIs" dxfId="242" priority="265" operator="equal">
      <formula>0</formula>
    </cfRule>
  </conditionalFormatting>
  <conditionalFormatting sqref="F370:F371">
    <cfRule type="cellIs" dxfId="241" priority="264" operator="equal">
      <formula>0</formula>
    </cfRule>
  </conditionalFormatting>
  <conditionalFormatting sqref="F372">
    <cfRule type="cellIs" dxfId="240" priority="263" operator="equal">
      <formula>0</formula>
    </cfRule>
  </conditionalFormatting>
  <conditionalFormatting sqref="G372">
    <cfRule type="cellIs" dxfId="239" priority="262" operator="equal">
      <formula>0</formula>
    </cfRule>
  </conditionalFormatting>
  <conditionalFormatting sqref="E375:E377">
    <cfRule type="cellIs" dxfId="238" priority="261" operator="equal">
      <formula>0</formula>
    </cfRule>
  </conditionalFormatting>
  <conditionalFormatting sqref="F375:F377">
    <cfRule type="cellIs" dxfId="237" priority="260" operator="equal">
      <formula>0</formula>
    </cfRule>
  </conditionalFormatting>
  <conditionalFormatting sqref="F378">
    <cfRule type="cellIs" dxfId="236" priority="259" operator="equal">
      <formula>0</formula>
    </cfRule>
  </conditionalFormatting>
  <conditionalFormatting sqref="G378">
    <cfRule type="cellIs" dxfId="235" priority="258" operator="equal">
      <formula>0</formula>
    </cfRule>
  </conditionalFormatting>
  <conditionalFormatting sqref="E383">
    <cfRule type="cellIs" dxfId="234" priority="257" operator="equal">
      <formula>0</formula>
    </cfRule>
  </conditionalFormatting>
  <conditionalFormatting sqref="F383">
    <cfRule type="cellIs" dxfId="233" priority="256" operator="equal">
      <formula>0</formula>
    </cfRule>
  </conditionalFormatting>
  <conditionalFormatting sqref="F384">
    <cfRule type="cellIs" dxfId="232" priority="255" operator="equal">
      <formula>0</formula>
    </cfRule>
  </conditionalFormatting>
  <conditionalFormatting sqref="G384">
    <cfRule type="cellIs" dxfId="231" priority="254" operator="equal">
      <formula>0</formula>
    </cfRule>
  </conditionalFormatting>
  <conditionalFormatting sqref="F390:F391">
    <cfRule type="cellIs" dxfId="230" priority="253" operator="equal">
      <formula>0</formula>
    </cfRule>
  </conditionalFormatting>
  <conditionalFormatting sqref="E396:E400">
    <cfRule type="cellIs" dxfId="229" priority="252" operator="equal">
      <formula>0</formula>
    </cfRule>
  </conditionalFormatting>
  <conditionalFormatting sqref="F396:F400">
    <cfRule type="cellIs" dxfId="228" priority="251" operator="equal">
      <formula>0</formula>
    </cfRule>
  </conditionalFormatting>
  <conditionalFormatting sqref="F401">
    <cfRule type="cellIs" dxfId="227" priority="250" operator="equal">
      <formula>0</formula>
    </cfRule>
  </conditionalFormatting>
  <conditionalFormatting sqref="G401">
    <cfRule type="cellIs" dxfId="226" priority="249" operator="equal">
      <formula>0</formula>
    </cfRule>
  </conditionalFormatting>
  <conditionalFormatting sqref="E407:E409">
    <cfRule type="cellIs" dxfId="225" priority="248" operator="equal">
      <formula>0</formula>
    </cfRule>
  </conditionalFormatting>
  <conditionalFormatting sqref="F407:F409">
    <cfRule type="cellIs" dxfId="224" priority="247" operator="equal">
      <formula>0</formula>
    </cfRule>
  </conditionalFormatting>
  <conditionalFormatting sqref="F410">
    <cfRule type="cellIs" dxfId="223" priority="246" operator="equal">
      <formula>0</formula>
    </cfRule>
  </conditionalFormatting>
  <conditionalFormatting sqref="G410">
    <cfRule type="cellIs" dxfId="222" priority="245" operator="equal">
      <formula>0</formula>
    </cfRule>
  </conditionalFormatting>
  <conditionalFormatting sqref="E416:E424">
    <cfRule type="cellIs" dxfId="221" priority="244" operator="equal">
      <formula>0</formula>
    </cfRule>
  </conditionalFormatting>
  <conditionalFormatting sqref="F416:F424">
    <cfRule type="cellIs" dxfId="220" priority="243" operator="equal">
      <formula>0</formula>
    </cfRule>
  </conditionalFormatting>
  <conditionalFormatting sqref="F441">
    <cfRule type="cellIs" dxfId="219" priority="242" operator="equal">
      <formula>0</formula>
    </cfRule>
  </conditionalFormatting>
  <conditionalFormatting sqref="G441">
    <cfRule type="cellIs" dxfId="218" priority="241" operator="equal">
      <formula>0</formula>
    </cfRule>
  </conditionalFormatting>
  <conditionalFormatting sqref="E444:E456">
    <cfRule type="cellIs" dxfId="217" priority="240" operator="equal">
      <formula>0</formula>
    </cfRule>
  </conditionalFormatting>
  <conditionalFormatting sqref="F444:F456">
    <cfRule type="cellIs" dxfId="216" priority="239" operator="equal">
      <formula>0</formula>
    </cfRule>
  </conditionalFormatting>
  <conditionalFormatting sqref="F457">
    <cfRule type="cellIs" dxfId="215" priority="238" operator="equal">
      <formula>0</formula>
    </cfRule>
  </conditionalFormatting>
  <conditionalFormatting sqref="G457">
    <cfRule type="cellIs" dxfId="214" priority="237" operator="equal">
      <formula>0</formula>
    </cfRule>
  </conditionalFormatting>
  <conditionalFormatting sqref="F478">
    <cfRule type="cellIs" dxfId="213" priority="234" operator="equal">
      <formula>0</formula>
    </cfRule>
  </conditionalFormatting>
  <conditionalFormatting sqref="G478">
    <cfRule type="cellIs" dxfId="212" priority="233" operator="equal">
      <formula>0</formula>
    </cfRule>
  </conditionalFormatting>
  <conditionalFormatting sqref="F499">
    <cfRule type="cellIs" dxfId="211" priority="230" operator="equal">
      <formula>0</formula>
    </cfRule>
  </conditionalFormatting>
  <conditionalFormatting sqref="G499">
    <cfRule type="cellIs" dxfId="210" priority="229" operator="equal">
      <formula>0</formula>
    </cfRule>
  </conditionalFormatting>
  <conditionalFormatting sqref="F531">
    <cfRule type="cellIs" dxfId="209" priority="226" operator="equal">
      <formula>0</formula>
    </cfRule>
  </conditionalFormatting>
  <conditionalFormatting sqref="G531">
    <cfRule type="cellIs" dxfId="208" priority="225" operator="equal">
      <formula>0</formula>
    </cfRule>
  </conditionalFormatting>
  <conditionalFormatting sqref="E534:E538">
    <cfRule type="cellIs" dxfId="207" priority="224" operator="equal">
      <formula>0</formula>
    </cfRule>
  </conditionalFormatting>
  <conditionalFormatting sqref="F534:F538">
    <cfRule type="cellIs" dxfId="206" priority="223" operator="equal">
      <formula>0</formula>
    </cfRule>
  </conditionalFormatting>
  <conditionalFormatting sqref="F539">
    <cfRule type="cellIs" dxfId="205" priority="222" operator="equal">
      <formula>0</formula>
    </cfRule>
  </conditionalFormatting>
  <conditionalFormatting sqref="G539">
    <cfRule type="cellIs" dxfId="204" priority="221" operator="equal">
      <formula>0</formula>
    </cfRule>
  </conditionalFormatting>
  <conditionalFormatting sqref="F551">
    <cfRule type="cellIs" dxfId="203" priority="218" operator="equal">
      <formula>0</formula>
    </cfRule>
  </conditionalFormatting>
  <conditionalFormatting sqref="G551">
    <cfRule type="cellIs" dxfId="202" priority="217" operator="equal">
      <formula>0</formula>
    </cfRule>
  </conditionalFormatting>
  <conditionalFormatting sqref="F590">
    <cfRule type="cellIs" dxfId="201" priority="210" operator="equal">
      <formula>0</formula>
    </cfRule>
  </conditionalFormatting>
  <conditionalFormatting sqref="G590">
    <cfRule type="cellIs" dxfId="200" priority="209" operator="equal">
      <formula>0</formula>
    </cfRule>
  </conditionalFormatting>
  <conditionalFormatting sqref="E594:E602">
    <cfRule type="cellIs" dxfId="199" priority="208" operator="equal">
      <formula>0</formula>
    </cfRule>
  </conditionalFormatting>
  <conditionalFormatting sqref="F594:F602">
    <cfRule type="cellIs" dxfId="198" priority="207" operator="equal">
      <formula>0</formula>
    </cfRule>
  </conditionalFormatting>
  <conditionalFormatting sqref="F632">
    <cfRule type="cellIs" dxfId="197" priority="206" operator="equal">
      <formula>0</formula>
    </cfRule>
  </conditionalFormatting>
  <conditionalFormatting sqref="G632">
    <cfRule type="cellIs" dxfId="196" priority="205" operator="equal">
      <formula>0</formula>
    </cfRule>
  </conditionalFormatting>
  <conditionalFormatting sqref="F633">
    <cfRule type="cellIs" dxfId="195" priority="204" operator="equal">
      <formula>0</formula>
    </cfRule>
  </conditionalFormatting>
  <conditionalFormatting sqref="G633">
    <cfRule type="cellIs" dxfId="194" priority="203" operator="equal">
      <formula>0</formula>
    </cfRule>
  </conditionalFormatting>
  <conditionalFormatting sqref="F674">
    <cfRule type="cellIs" dxfId="193" priority="200" operator="equal">
      <formula>0</formula>
    </cfRule>
  </conditionalFormatting>
  <conditionalFormatting sqref="G674">
    <cfRule type="cellIs" dxfId="192" priority="199" operator="equal">
      <formula>0</formula>
    </cfRule>
  </conditionalFormatting>
  <conditionalFormatting sqref="E680:E681">
    <cfRule type="cellIs" dxfId="191" priority="198" operator="equal">
      <formula>0</formula>
    </cfRule>
  </conditionalFormatting>
  <conditionalFormatting sqref="F680:F681">
    <cfRule type="cellIs" dxfId="190" priority="197" operator="equal">
      <formula>0</formula>
    </cfRule>
  </conditionalFormatting>
  <conditionalFormatting sqref="F682">
    <cfRule type="cellIs" dxfId="189" priority="196" operator="equal">
      <formula>0</formula>
    </cfRule>
  </conditionalFormatting>
  <conditionalFormatting sqref="G682">
    <cfRule type="cellIs" dxfId="188" priority="195" operator="equal">
      <formula>0</formula>
    </cfRule>
  </conditionalFormatting>
  <conditionalFormatting sqref="E688:E689">
    <cfRule type="cellIs" dxfId="187" priority="194" operator="equal">
      <formula>0</formula>
    </cfRule>
  </conditionalFormatting>
  <conditionalFormatting sqref="F688:F689">
    <cfRule type="cellIs" dxfId="186" priority="193" operator="equal">
      <formula>0</formula>
    </cfRule>
  </conditionalFormatting>
  <conditionalFormatting sqref="F690">
    <cfRule type="cellIs" dxfId="185" priority="192" operator="equal">
      <formula>0</formula>
    </cfRule>
  </conditionalFormatting>
  <conditionalFormatting sqref="G690">
    <cfRule type="cellIs" dxfId="184" priority="191" operator="equal">
      <formula>0</formula>
    </cfRule>
  </conditionalFormatting>
  <conditionalFormatting sqref="E693:E694">
    <cfRule type="cellIs" dxfId="183" priority="190" operator="equal">
      <formula>0</formula>
    </cfRule>
  </conditionalFormatting>
  <conditionalFormatting sqref="F693:F694">
    <cfRule type="cellIs" dxfId="182" priority="189" operator="equal">
      <formula>0</formula>
    </cfRule>
  </conditionalFormatting>
  <conditionalFormatting sqref="F695">
    <cfRule type="cellIs" dxfId="181" priority="188" operator="equal">
      <formula>0</formula>
    </cfRule>
  </conditionalFormatting>
  <conditionalFormatting sqref="G695">
    <cfRule type="cellIs" dxfId="180" priority="187" operator="equal">
      <formula>0</formula>
    </cfRule>
  </conditionalFormatting>
  <conditionalFormatting sqref="E698">
    <cfRule type="cellIs" dxfId="179" priority="186" operator="equal">
      <formula>0</formula>
    </cfRule>
  </conditionalFormatting>
  <conditionalFormatting sqref="F698">
    <cfRule type="cellIs" dxfId="178" priority="185" operator="equal">
      <formula>0</formula>
    </cfRule>
  </conditionalFormatting>
  <conditionalFormatting sqref="F699">
    <cfRule type="cellIs" dxfId="177" priority="184" operator="equal">
      <formula>0</formula>
    </cfRule>
  </conditionalFormatting>
  <conditionalFormatting sqref="G699">
    <cfRule type="cellIs" dxfId="176" priority="183" operator="equal">
      <formula>0</formula>
    </cfRule>
  </conditionalFormatting>
  <conditionalFormatting sqref="E702:E705">
    <cfRule type="cellIs" dxfId="175" priority="182" operator="equal">
      <formula>0</formula>
    </cfRule>
  </conditionalFormatting>
  <conditionalFormatting sqref="F702:F705">
    <cfRule type="cellIs" dxfId="174" priority="181" operator="equal">
      <formula>0</formula>
    </cfRule>
  </conditionalFormatting>
  <conditionalFormatting sqref="F706">
    <cfRule type="cellIs" dxfId="173" priority="180" operator="equal">
      <formula>0</formula>
    </cfRule>
  </conditionalFormatting>
  <conditionalFormatting sqref="G706">
    <cfRule type="cellIs" dxfId="172" priority="179" operator="equal">
      <formula>0</formula>
    </cfRule>
  </conditionalFormatting>
  <conditionalFormatting sqref="E709">
    <cfRule type="cellIs" dxfId="171" priority="178" operator="equal">
      <formula>0</formula>
    </cfRule>
  </conditionalFormatting>
  <conditionalFormatting sqref="F709">
    <cfRule type="cellIs" dxfId="170" priority="177" operator="equal">
      <formula>0</formula>
    </cfRule>
  </conditionalFormatting>
  <conditionalFormatting sqref="F710">
    <cfRule type="cellIs" dxfId="169" priority="176" operator="equal">
      <formula>0</formula>
    </cfRule>
  </conditionalFormatting>
  <conditionalFormatting sqref="G710">
    <cfRule type="cellIs" dxfId="168" priority="175" operator="equal">
      <formula>0</formula>
    </cfRule>
  </conditionalFormatting>
  <conditionalFormatting sqref="E716:E719">
    <cfRule type="cellIs" dxfId="167" priority="174" operator="equal">
      <formula>0</formula>
    </cfRule>
  </conditionalFormatting>
  <conditionalFormatting sqref="F716:F719">
    <cfRule type="cellIs" dxfId="166" priority="173" operator="equal">
      <formula>0</formula>
    </cfRule>
  </conditionalFormatting>
  <conditionalFormatting sqref="F720">
    <cfRule type="cellIs" dxfId="165" priority="172" operator="equal">
      <formula>0</formula>
    </cfRule>
  </conditionalFormatting>
  <conditionalFormatting sqref="G720">
    <cfRule type="cellIs" dxfId="164" priority="171" operator="equal">
      <formula>0</formula>
    </cfRule>
  </conditionalFormatting>
  <conditionalFormatting sqref="E723">
    <cfRule type="cellIs" dxfId="163" priority="170" operator="equal">
      <formula>0</formula>
    </cfRule>
  </conditionalFormatting>
  <conditionalFormatting sqref="F723">
    <cfRule type="cellIs" dxfId="162" priority="169" operator="equal">
      <formula>0</formula>
    </cfRule>
  </conditionalFormatting>
  <conditionalFormatting sqref="E727:E728">
    <cfRule type="cellIs" dxfId="161" priority="168" operator="equal">
      <formula>0</formula>
    </cfRule>
  </conditionalFormatting>
  <conditionalFormatting sqref="F727:F728">
    <cfRule type="cellIs" dxfId="160" priority="167" operator="equal">
      <formula>0</formula>
    </cfRule>
  </conditionalFormatting>
  <conditionalFormatting sqref="F724">
    <cfRule type="cellIs" dxfId="159" priority="166" operator="equal">
      <formula>0</formula>
    </cfRule>
  </conditionalFormatting>
  <conditionalFormatting sqref="G724">
    <cfRule type="cellIs" dxfId="158" priority="165" operator="equal">
      <formula>0</formula>
    </cfRule>
  </conditionalFormatting>
  <conditionalFormatting sqref="F729">
    <cfRule type="cellIs" dxfId="157" priority="164" operator="equal">
      <formula>0</formula>
    </cfRule>
  </conditionalFormatting>
  <conditionalFormatting sqref="G729">
    <cfRule type="cellIs" dxfId="156" priority="163" operator="equal">
      <formula>0</formula>
    </cfRule>
  </conditionalFormatting>
  <conditionalFormatting sqref="E735:E737">
    <cfRule type="cellIs" dxfId="155" priority="162" operator="equal">
      <formula>0</formula>
    </cfRule>
  </conditionalFormatting>
  <conditionalFormatting sqref="F735:F737">
    <cfRule type="cellIs" dxfId="154" priority="161" operator="equal">
      <formula>0</formula>
    </cfRule>
  </conditionalFormatting>
  <conditionalFormatting sqref="F738">
    <cfRule type="cellIs" dxfId="153" priority="160" operator="equal">
      <formula>0</formula>
    </cfRule>
  </conditionalFormatting>
  <conditionalFormatting sqref="G738">
    <cfRule type="cellIs" dxfId="152" priority="159" operator="equal">
      <formula>0</formula>
    </cfRule>
  </conditionalFormatting>
  <conditionalFormatting sqref="E741:E744">
    <cfRule type="cellIs" dxfId="151" priority="158" operator="equal">
      <formula>0</formula>
    </cfRule>
  </conditionalFormatting>
  <conditionalFormatting sqref="F741:F744">
    <cfRule type="cellIs" dxfId="150" priority="157" operator="equal">
      <formula>0</formula>
    </cfRule>
  </conditionalFormatting>
  <conditionalFormatting sqref="F745">
    <cfRule type="cellIs" dxfId="149" priority="156" operator="equal">
      <formula>0</formula>
    </cfRule>
  </conditionalFormatting>
  <conditionalFormatting sqref="G745">
    <cfRule type="cellIs" dxfId="148" priority="155" operator="equal">
      <formula>0</formula>
    </cfRule>
  </conditionalFormatting>
  <conditionalFormatting sqref="E748:E760">
    <cfRule type="cellIs" dxfId="147" priority="154" operator="equal">
      <formula>0</formula>
    </cfRule>
  </conditionalFormatting>
  <conditionalFormatting sqref="F748:F760">
    <cfRule type="cellIs" dxfId="146" priority="153" operator="equal">
      <formula>0</formula>
    </cfRule>
  </conditionalFormatting>
  <conditionalFormatting sqref="F761">
    <cfRule type="cellIs" dxfId="145" priority="152" operator="equal">
      <formula>0</formula>
    </cfRule>
  </conditionalFormatting>
  <conditionalFormatting sqref="G761">
    <cfRule type="cellIs" dxfId="144" priority="151" operator="equal">
      <formula>0</formula>
    </cfRule>
  </conditionalFormatting>
  <conditionalFormatting sqref="F1137">
    <cfRule type="cellIs" dxfId="143" priority="8" operator="equal">
      <formula>0</formula>
    </cfRule>
  </conditionalFormatting>
  <conditionalFormatting sqref="G764">
    <cfRule type="cellIs" dxfId="142" priority="149" operator="equal">
      <formula>0</formula>
    </cfRule>
  </conditionalFormatting>
  <conditionalFormatting sqref="E764:E769">
    <cfRule type="cellIs" dxfId="141" priority="148" operator="equal">
      <formula>0</formula>
    </cfRule>
  </conditionalFormatting>
  <conditionalFormatting sqref="F764:F769">
    <cfRule type="cellIs" dxfId="140" priority="147" operator="equal">
      <formula>0</formula>
    </cfRule>
  </conditionalFormatting>
  <conditionalFormatting sqref="F770">
    <cfRule type="cellIs" dxfId="139" priority="146" operator="equal">
      <formula>0</formula>
    </cfRule>
  </conditionalFormatting>
  <conditionalFormatting sqref="G770">
    <cfRule type="cellIs" dxfId="138" priority="145" operator="equal">
      <formula>0</formula>
    </cfRule>
  </conditionalFormatting>
  <conditionalFormatting sqref="E773">
    <cfRule type="cellIs" dxfId="137" priority="144" operator="equal">
      <formula>0</formula>
    </cfRule>
  </conditionalFormatting>
  <conditionalFormatting sqref="F773">
    <cfRule type="cellIs" dxfId="136" priority="143" operator="equal">
      <formula>0</formula>
    </cfRule>
  </conditionalFormatting>
  <conditionalFormatting sqref="F774">
    <cfRule type="cellIs" dxfId="135" priority="142" operator="equal">
      <formula>0</formula>
    </cfRule>
  </conditionalFormatting>
  <conditionalFormatting sqref="G774">
    <cfRule type="cellIs" dxfId="134" priority="141" operator="equal">
      <formula>0</formula>
    </cfRule>
  </conditionalFormatting>
  <conditionalFormatting sqref="E777:E782">
    <cfRule type="cellIs" dxfId="133" priority="140" operator="equal">
      <formula>0</formula>
    </cfRule>
  </conditionalFormatting>
  <conditionalFormatting sqref="F777:F782">
    <cfRule type="cellIs" dxfId="132" priority="139" operator="equal">
      <formula>0</formula>
    </cfRule>
  </conditionalFormatting>
  <conditionalFormatting sqref="F783">
    <cfRule type="cellIs" dxfId="131" priority="138" operator="equal">
      <formula>0</formula>
    </cfRule>
  </conditionalFormatting>
  <conditionalFormatting sqref="G783">
    <cfRule type="cellIs" dxfId="130" priority="137" operator="equal">
      <formula>0</formula>
    </cfRule>
  </conditionalFormatting>
  <conditionalFormatting sqref="E786:E789">
    <cfRule type="cellIs" dxfId="129" priority="136" operator="equal">
      <formula>0</formula>
    </cfRule>
  </conditionalFormatting>
  <conditionalFormatting sqref="F786:F789">
    <cfRule type="cellIs" dxfId="128" priority="135" operator="equal">
      <formula>0</formula>
    </cfRule>
  </conditionalFormatting>
  <conditionalFormatting sqref="F790">
    <cfRule type="cellIs" dxfId="127" priority="134" operator="equal">
      <formula>0</formula>
    </cfRule>
  </conditionalFormatting>
  <conditionalFormatting sqref="G790">
    <cfRule type="cellIs" dxfId="126" priority="133" operator="equal">
      <formula>0</formula>
    </cfRule>
  </conditionalFormatting>
  <conditionalFormatting sqref="E793:E796">
    <cfRule type="cellIs" dxfId="125" priority="132" operator="equal">
      <formula>0</formula>
    </cfRule>
  </conditionalFormatting>
  <conditionalFormatting sqref="F793:F796">
    <cfRule type="cellIs" dxfId="124" priority="131" operator="equal">
      <formula>0</formula>
    </cfRule>
  </conditionalFormatting>
  <conditionalFormatting sqref="F797">
    <cfRule type="cellIs" dxfId="123" priority="130" operator="equal">
      <formula>0</formula>
    </cfRule>
  </conditionalFormatting>
  <conditionalFormatting sqref="G797">
    <cfRule type="cellIs" dxfId="122" priority="129" operator="equal">
      <formula>0</formula>
    </cfRule>
  </conditionalFormatting>
  <conditionalFormatting sqref="E800:E805">
    <cfRule type="cellIs" dxfId="121" priority="128" operator="equal">
      <formula>0</formula>
    </cfRule>
  </conditionalFormatting>
  <conditionalFormatting sqref="F800:F805">
    <cfRule type="cellIs" dxfId="120" priority="127" operator="equal">
      <formula>0</formula>
    </cfRule>
  </conditionalFormatting>
  <conditionalFormatting sqref="F806">
    <cfRule type="cellIs" dxfId="119" priority="126" operator="equal">
      <formula>0</formula>
    </cfRule>
  </conditionalFormatting>
  <conditionalFormatting sqref="G806">
    <cfRule type="cellIs" dxfId="118" priority="125" operator="equal">
      <formula>0</formula>
    </cfRule>
  </conditionalFormatting>
  <conditionalFormatting sqref="E809:E811">
    <cfRule type="cellIs" dxfId="117" priority="124" operator="equal">
      <formula>0</formula>
    </cfRule>
  </conditionalFormatting>
  <conditionalFormatting sqref="F809:F811">
    <cfRule type="cellIs" dxfId="116" priority="123" operator="equal">
      <formula>0</formula>
    </cfRule>
  </conditionalFormatting>
  <conditionalFormatting sqref="F812">
    <cfRule type="cellIs" dxfId="115" priority="122" operator="equal">
      <formula>0</formula>
    </cfRule>
  </conditionalFormatting>
  <conditionalFormatting sqref="G812">
    <cfRule type="cellIs" dxfId="114" priority="121" operator="equal">
      <formula>0</formula>
    </cfRule>
  </conditionalFormatting>
  <conditionalFormatting sqref="E815:E819">
    <cfRule type="cellIs" dxfId="113" priority="120" operator="equal">
      <formula>0</formula>
    </cfRule>
  </conditionalFormatting>
  <conditionalFormatting sqref="F815:F819">
    <cfRule type="cellIs" dxfId="112" priority="119" operator="equal">
      <formula>0</formula>
    </cfRule>
  </conditionalFormatting>
  <conditionalFormatting sqref="F820">
    <cfRule type="cellIs" dxfId="111" priority="118" operator="equal">
      <formula>0</formula>
    </cfRule>
  </conditionalFormatting>
  <conditionalFormatting sqref="G820">
    <cfRule type="cellIs" dxfId="110" priority="117" operator="equal">
      <formula>0</formula>
    </cfRule>
  </conditionalFormatting>
  <conditionalFormatting sqref="E823:E828">
    <cfRule type="cellIs" dxfId="109" priority="116" operator="equal">
      <formula>0</formula>
    </cfRule>
  </conditionalFormatting>
  <conditionalFormatting sqref="F823:F828">
    <cfRule type="cellIs" dxfId="108" priority="115" operator="equal">
      <formula>0</formula>
    </cfRule>
  </conditionalFormatting>
  <conditionalFormatting sqref="F829">
    <cfRule type="cellIs" dxfId="107" priority="114" operator="equal">
      <formula>0</formula>
    </cfRule>
  </conditionalFormatting>
  <conditionalFormatting sqref="G829">
    <cfRule type="cellIs" dxfId="106" priority="113" operator="equal">
      <formula>0</formula>
    </cfRule>
  </conditionalFormatting>
  <conditionalFormatting sqref="E832:E836">
    <cfRule type="cellIs" dxfId="105" priority="112" operator="equal">
      <formula>0</formula>
    </cfRule>
  </conditionalFormatting>
  <conditionalFormatting sqref="F832:F836">
    <cfRule type="cellIs" dxfId="104" priority="111" operator="equal">
      <formula>0</formula>
    </cfRule>
  </conditionalFormatting>
  <conditionalFormatting sqref="F837">
    <cfRule type="cellIs" dxfId="103" priority="110" operator="equal">
      <formula>0</formula>
    </cfRule>
  </conditionalFormatting>
  <conditionalFormatting sqref="G837">
    <cfRule type="cellIs" dxfId="102" priority="109" operator="equal">
      <formula>0</formula>
    </cfRule>
  </conditionalFormatting>
  <conditionalFormatting sqref="E843 E845:E850">
    <cfRule type="cellIs" dxfId="101" priority="108" operator="equal">
      <formula>0</formula>
    </cfRule>
  </conditionalFormatting>
  <conditionalFormatting sqref="F851">
    <cfRule type="cellIs" dxfId="100" priority="106" operator="equal">
      <formula>0</formula>
    </cfRule>
  </conditionalFormatting>
  <conditionalFormatting sqref="G851">
    <cfRule type="cellIs" dxfId="99" priority="105" operator="equal">
      <formula>0</formula>
    </cfRule>
  </conditionalFormatting>
  <conditionalFormatting sqref="E854:E867">
    <cfRule type="cellIs" dxfId="98" priority="104" operator="equal">
      <formula>0</formula>
    </cfRule>
  </conditionalFormatting>
  <conditionalFormatting sqref="F854:F867">
    <cfRule type="cellIs" dxfId="97" priority="103" operator="equal">
      <formula>0</formula>
    </cfRule>
  </conditionalFormatting>
  <conditionalFormatting sqref="F868">
    <cfRule type="cellIs" dxfId="96" priority="102" operator="equal">
      <formula>0</formula>
    </cfRule>
  </conditionalFormatting>
  <conditionalFormatting sqref="G868">
    <cfRule type="cellIs" dxfId="95" priority="101" operator="equal">
      <formula>0</formula>
    </cfRule>
  </conditionalFormatting>
  <conditionalFormatting sqref="E871:E879">
    <cfRule type="cellIs" dxfId="94" priority="100" operator="equal">
      <formula>0</formula>
    </cfRule>
  </conditionalFormatting>
  <conditionalFormatting sqref="F871:F879">
    <cfRule type="cellIs" dxfId="93" priority="99" operator="equal">
      <formula>0</formula>
    </cfRule>
  </conditionalFormatting>
  <conditionalFormatting sqref="F880">
    <cfRule type="cellIs" dxfId="92" priority="98" operator="equal">
      <formula>0</formula>
    </cfRule>
  </conditionalFormatting>
  <conditionalFormatting sqref="G880">
    <cfRule type="cellIs" dxfId="91" priority="97" operator="equal">
      <formula>0</formula>
    </cfRule>
  </conditionalFormatting>
  <conditionalFormatting sqref="E884:E892">
    <cfRule type="cellIs" dxfId="90" priority="96" operator="equal">
      <formula>0</formula>
    </cfRule>
  </conditionalFormatting>
  <conditionalFormatting sqref="F884:F892">
    <cfRule type="cellIs" dxfId="89" priority="95" operator="equal">
      <formula>0</formula>
    </cfRule>
  </conditionalFormatting>
  <conditionalFormatting sqref="F893">
    <cfRule type="cellIs" dxfId="88" priority="94" operator="equal">
      <formula>0</formula>
    </cfRule>
  </conditionalFormatting>
  <conditionalFormatting sqref="G893">
    <cfRule type="cellIs" dxfId="87" priority="93" operator="equal">
      <formula>0</formula>
    </cfRule>
  </conditionalFormatting>
  <conditionalFormatting sqref="E899:E911">
    <cfRule type="cellIs" dxfId="86" priority="92" operator="equal">
      <formula>0</formula>
    </cfRule>
  </conditionalFormatting>
  <conditionalFormatting sqref="F899:F911">
    <cfRule type="cellIs" dxfId="85" priority="91" operator="equal">
      <formula>0</formula>
    </cfRule>
  </conditionalFormatting>
  <conditionalFormatting sqref="F912">
    <cfRule type="cellIs" dxfId="84" priority="90" operator="equal">
      <formula>0</formula>
    </cfRule>
  </conditionalFormatting>
  <conditionalFormatting sqref="G912">
    <cfRule type="cellIs" dxfId="83" priority="89" operator="equal">
      <formula>0</formula>
    </cfRule>
  </conditionalFormatting>
  <conditionalFormatting sqref="E915:E918">
    <cfRule type="cellIs" dxfId="82" priority="88" operator="equal">
      <formula>0</formula>
    </cfRule>
  </conditionalFormatting>
  <conditionalFormatting sqref="F915:F918">
    <cfRule type="cellIs" dxfId="81" priority="87" operator="equal">
      <formula>0</formula>
    </cfRule>
  </conditionalFormatting>
  <conditionalFormatting sqref="F919">
    <cfRule type="cellIs" dxfId="80" priority="86" operator="equal">
      <formula>0</formula>
    </cfRule>
  </conditionalFormatting>
  <conditionalFormatting sqref="G919">
    <cfRule type="cellIs" dxfId="79" priority="85" operator="equal">
      <formula>0</formula>
    </cfRule>
  </conditionalFormatting>
  <conditionalFormatting sqref="E925:E933">
    <cfRule type="cellIs" dxfId="78" priority="84" operator="equal">
      <formula>0</formula>
    </cfRule>
  </conditionalFormatting>
  <conditionalFormatting sqref="F925:F933">
    <cfRule type="cellIs" dxfId="77" priority="83" operator="equal">
      <formula>0</formula>
    </cfRule>
  </conditionalFormatting>
  <conditionalFormatting sqref="F934">
    <cfRule type="cellIs" dxfId="76" priority="82" operator="equal">
      <formula>0</formula>
    </cfRule>
  </conditionalFormatting>
  <conditionalFormatting sqref="G934">
    <cfRule type="cellIs" dxfId="75" priority="81" operator="equal">
      <formula>0</formula>
    </cfRule>
  </conditionalFormatting>
  <conditionalFormatting sqref="F940">
    <cfRule type="cellIs" dxfId="74" priority="80" operator="equal">
      <formula>0</formula>
    </cfRule>
  </conditionalFormatting>
  <conditionalFormatting sqref="G940">
    <cfRule type="cellIs" dxfId="73" priority="79" operator="equal">
      <formula>0</formula>
    </cfRule>
  </conditionalFormatting>
  <conditionalFormatting sqref="E946:E954">
    <cfRule type="cellIs" dxfId="72" priority="78" operator="equal">
      <formula>0</formula>
    </cfRule>
  </conditionalFormatting>
  <conditionalFormatting sqref="F946:F954">
    <cfRule type="cellIs" dxfId="71" priority="77" operator="equal">
      <formula>0</formula>
    </cfRule>
  </conditionalFormatting>
  <conditionalFormatting sqref="F955">
    <cfRule type="cellIs" dxfId="70" priority="76" operator="equal">
      <formula>0</formula>
    </cfRule>
  </conditionalFormatting>
  <conditionalFormatting sqref="G955">
    <cfRule type="cellIs" dxfId="69" priority="75" operator="equal">
      <formula>0</formula>
    </cfRule>
  </conditionalFormatting>
  <conditionalFormatting sqref="E958:E962">
    <cfRule type="cellIs" dxfId="68" priority="74" operator="equal">
      <formula>0</formula>
    </cfRule>
  </conditionalFormatting>
  <conditionalFormatting sqref="F958:F962">
    <cfRule type="cellIs" dxfId="67" priority="73" operator="equal">
      <formula>0</formula>
    </cfRule>
  </conditionalFormatting>
  <conditionalFormatting sqref="F963">
    <cfRule type="cellIs" dxfId="66" priority="72" operator="equal">
      <formula>0</formula>
    </cfRule>
  </conditionalFormatting>
  <conditionalFormatting sqref="G963">
    <cfRule type="cellIs" dxfId="65" priority="71" operator="equal">
      <formula>0</formula>
    </cfRule>
  </conditionalFormatting>
  <conditionalFormatting sqref="E966:E970">
    <cfRule type="cellIs" dxfId="64" priority="70" operator="equal">
      <formula>0</formula>
    </cfRule>
  </conditionalFormatting>
  <conditionalFormatting sqref="F966:F970">
    <cfRule type="cellIs" dxfId="63" priority="69" operator="equal">
      <formula>0</formula>
    </cfRule>
  </conditionalFormatting>
  <conditionalFormatting sqref="F971">
    <cfRule type="cellIs" dxfId="62" priority="68" operator="equal">
      <formula>0</formula>
    </cfRule>
  </conditionalFormatting>
  <conditionalFormatting sqref="G971">
    <cfRule type="cellIs" dxfId="61" priority="67" operator="equal">
      <formula>0</formula>
    </cfRule>
  </conditionalFormatting>
  <conditionalFormatting sqref="E977:E981">
    <cfRule type="cellIs" dxfId="60" priority="66" operator="equal">
      <formula>0</formula>
    </cfRule>
  </conditionalFormatting>
  <conditionalFormatting sqref="F977:F981">
    <cfRule type="cellIs" dxfId="59" priority="65" operator="equal">
      <formula>0</formula>
    </cfRule>
  </conditionalFormatting>
  <conditionalFormatting sqref="F982">
    <cfRule type="cellIs" dxfId="58" priority="64" operator="equal">
      <formula>0</formula>
    </cfRule>
  </conditionalFormatting>
  <conditionalFormatting sqref="G982">
    <cfRule type="cellIs" dxfId="57" priority="63" operator="equal">
      <formula>0</formula>
    </cfRule>
  </conditionalFormatting>
  <conditionalFormatting sqref="E985:E990">
    <cfRule type="cellIs" dxfId="56" priority="62" operator="equal">
      <formula>0</formula>
    </cfRule>
  </conditionalFormatting>
  <conditionalFormatting sqref="F985:F990">
    <cfRule type="cellIs" dxfId="55" priority="61" operator="equal">
      <formula>0</formula>
    </cfRule>
  </conditionalFormatting>
  <conditionalFormatting sqref="F991">
    <cfRule type="cellIs" dxfId="54" priority="60" operator="equal">
      <formula>0</formula>
    </cfRule>
  </conditionalFormatting>
  <conditionalFormatting sqref="G991">
    <cfRule type="cellIs" dxfId="53" priority="59" operator="equal">
      <formula>0</formula>
    </cfRule>
  </conditionalFormatting>
  <conditionalFormatting sqref="E994">
    <cfRule type="cellIs" dxfId="52" priority="58" operator="equal">
      <formula>0</formula>
    </cfRule>
  </conditionalFormatting>
  <conditionalFormatting sqref="F994">
    <cfRule type="cellIs" dxfId="51" priority="57" operator="equal">
      <formula>0</formula>
    </cfRule>
  </conditionalFormatting>
  <conditionalFormatting sqref="F995">
    <cfRule type="cellIs" dxfId="50" priority="56" operator="equal">
      <formula>0</formula>
    </cfRule>
  </conditionalFormatting>
  <conditionalFormatting sqref="G995">
    <cfRule type="cellIs" dxfId="49" priority="55" operator="equal">
      <formula>0</formula>
    </cfRule>
  </conditionalFormatting>
  <conditionalFormatting sqref="E998:E1003">
    <cfRule type="cellIs" dxfId="48" priority="54" operator="equal">
      <formula>0</formula>
    </cfRule>
  </conditionalFormatting>
  <conditionalFormatting sqref="F998:F1003">
    <cfRule type="cellIs" dxfId="47" priority="53" operator="equal">
      <formula>0</formula>
    </cfRule>
  </conditionalFormatting>
  <conditionalFormatting sqref="F1004">
    <cfRule type="cellIs" dxfId="46" priority="52" operator="equal">
      <formula>0</formula>
    </cfRule>
  </conditionalFormatting>
  <conditionalFormatting sqref="G1004">
    <cfRule type="cellIs" dxfId="45" priority="51" operator="equal">
      <formula>0</formula>
    </cfRule>
  </conditionalFormatting>
  <conditionalFormatting sqref="E1007:E1011">
    <cfRule type="cellIs" dxfId="44" priority="50" operator="equal">
      <formula>0</formula>
    </cfRule>
  </conditionalFormatting>
  <conditionalFormatting sqref="F1007:F1011">
    <cfRule type="cellIs" dxfId="43" priority="49" operator="equal">
      <formula>0</formula>
    </cfRule>
  </conditionalFormatting>
  <conditionalFormatting sqref="F1012">
    <cfRule type="cellIs" dxfId="42" priority="48" operator="equal">
      <formula>0</formula>
    </cfRule>
  </conditionalFormatting>
  <conditionalFormatting sqref="G1012">
    <cfRule type="cellIs" dxfId="41" priority="47" operator="equal">
      <formula>0</formula>
    </cfRule>
  </conditionalFormatting>
  <conditionalFormatting sqref="E1015:E1016">
    <cfRule type="cellIs" dxfId="40" priority="46" operator="equal">
      <formula>0</formula>
    </cfRule>
  </conditionalFormatting>
  <conditionalFormatting sqref="F1015:F1016">
    <cfRule type="cellIs" dxfId="39" priority="45" operator="equal">
      <formula>0</formula>
    </cfRule>
  </conditionalFormatting>
  <conditionalFormatting sqref="F1017">
    <cfRule type="cellIs" dxfId="38" priority="44" operator="equal">
      <formula>0</formula>
    </cfRule>
  </conditionalFormatting>
  <conditionalFormatting sqref="G1017">
    <cfRule type="cellIs" dxfId="37" priority="43" operator="equal">
      <formula>0</formula>
    </cfRule>
  </conditionalFormatting>
  <conditionalFormatting sqref="E1020:E1021">
    <cfRule type="cellIs" dxfId="36" priority="42" operator="equal">
      <formula>0</formula>
    </cfRule>
  </conditionalFormatting>
  <conditionalFormatting sqref="F1020:F1021">
    <cfRule type="cellIs" dxfId="35" priority="41" operator="equal">
      <formula>0</formula>
    </cfRule>
  </conditionalFormatting>
  <conditionalFormatting sqref="F1022">
    <cfRule type="cellIs" dxfId="34" priority="40" operator="equal">
      <formula>0</formula>
    </cfRule>
  </conditionalFormatting>
  <conditionalFormatting sqref="G1022">
    <cfRule type="cellIs" dxfId="33" priority="39" operator="equal">
      <formula>0</formula>
    </cfRule>
  </conditionalFormatting>
  <conditionalFormatting sqref="F1030">
    <cfRule type="cellIs" dxfId="32" priority="36" operator="equal">
      <formula>0</formula>
    </cfRule>
  </conditionalFormatting>
  <conditionalFormatting sqref="G1030">
    <cfRule type="cellIs" dxfId="31" priority="35" operator="equal">
      <formula>0</formula>
    </cfRule>
  </conditionalFormatting>
  <conditionalFormatting sqref="E1036:E1044">
    <cfRule type="cellIs" dxfId="30" priority="34" operator="equal">
      <formula>0</formula>
    </cfRule>
  </conditionalFormatting>
  <conditionalFormatting sqref="F1036:F1044">
    <cfRule type="cellIs" dxfId="29" priority="33" operator="equal">
      <formula>0</formula>
    </cfRule>
  </conditionalFormatting>
  <conditionalFormatting sqref="F1045">
    <cfRule type="cellIs" dxfId="28" priority="32" operator="equal">
      <formula>0</formula>
    </cfRule>
  </conditionalFormatting>
  <conditionalFormatting sqref="G1045">
    <cfRule type="cellIs" dxfId="27" priority="31" operator="equal">
      <formula>0</formula>
    </cfRule>
  </conditionalFormatting>
  <conditionalFormatting sqref="E1048:E1074">
    <cfRule type="cellIs" dxfId="26" priority="30" operator="equal">
      <formula>0</formula>
    </cfRule>
  </conditionalFormatting>
  <conditionalFormatting sqref="F1048:F1074">
    <cfRule type="cellIs" dxfId="25" priority="29" operator="equal">
      <formula>0</formula>
    </cfRule>
  </conditionalFormatting>
  <conditionalFormatting sqref="F1075">
    <cfRule type="cellIs" dxfId="24" priority="28" operator="equal">
      <formula>0</formula>
    </cfRule>
  </conditionalFormatting>
  <conditionalFormatting sqref="G1075">
    <cfRule type="cellIs" dxfId="23" priority="27" operator="equal">
      <formula>0</formula>
    </cfRule>
  </conditionalFormatting>
  <conditionalFormatting sqref="E1078:E1102">
    <cfRule type="cellIs" dxfId="22" priority="26" operator="equal">
      <formula>0</formula>
    </cfRule>
  </conditionalFormatting>
  <conditionalFormatting sqref="F1078:F1102">
    <cfRule type="cellIs" dxfId="21" priority="25" operator="equal">
      <formula>0</formula>
    </cfRule>
  </conditionalFormatting>
  <conditionalFormatting sqref="F1103">
    <cfRule type="cellIs" dxfId="20" priority="24" operator="equal">
      <formula>0</formula>
    </cfRule>
  </conditionalFormatting>
  <conditionalFormatting sqref="G1103">
    <cfRule type="cellIs" dxfId="19" priority="23" operator="equal">
      <formula>0</formula>
    </cfRule>
  </conditionalFormatting>
  <conditionalFormatting sqref="E1108:E1110">
    <cfRule type="cellIs" dxfId="18" priority="22" operator="equal">
      <formula>0</formula>
    </cfRule>
  </conditionalFormatting>
  <conditionalFormatting sqref="F1108:F1110">
    <cfRule type="cellIs" dxfId="17" priority="21" operator="equal">
      <formula>0</formula>
    </cfRule>
  </conditionalFormatting>
  <conditionalFormatting sqref="F1111">
    <cfRule type="cellIs" dxfId="16" priority="20" operator="equal">
      <formula>0</formula>
    </cfRule>
  </conditionalFormatting>
  <conditionalFormatting sqref="G1111">
    <cfRule type="cellIs" dxfId="15" priority="19" operator="equal">
      <formula>0</formula>
    </cfRule>
  </conditionalFormatting>
  <conditionalFormatting sqref="E1117:E1123">
    <cfRule type="cellIs" dxfId="14" priority="18" operator="equal">
      <formula>0</formula>
    </cfRule>
  </conditionalFormatting>
  <conditionalFormatting sqref="F1117:F1123">
    <cfRule type="cellIs" dxfId="13" priority="17" operator="equal">
      <formula>0</formula>
    </cfRule>
  </conditionalFormatting>
  <conditionalFormatting sqref="F1124">
    <cfRule type="cellIs" dxfId="12" priority="16" operator="equal">
      <formula>0</formula>
    </cfRule>
  </conditionalFormatting>
  <conditionalFormatting sqref="G1124">
    <cfRule type="cellIs" dxfId="11" priority="15" operator="equal">
      <formula>0</formula>
    </cfRule>
  </conditionalFormatting>
  <conditionalFormatting sqref="E1127:E1128">
    <cfRule type="cellIs" dxfId="10" priority="14" operator="equal">
      <formula>0</formula>
    </cfRule>
  </conditionalFormatting>
  <conditionalFormatting sqref="F1127:F1128">
    <cfRule type="cellIs" dxfId="9" priority="13" operator="equal">
      <formula>0</formula>
    </cfRule>
  </conditionalFormatting>
  <conditionalFormatting sqref="F1129">
    <cfRule type="cellIs" dxfId="8" priority="12" operator="equal">
      <formula>0</formula>
    </cfRule>
  </conditionalFormatting>
  <conditionalFormatting sqref="G1129">
    <cfRule type="cellIs" dxfId="7" priority="11" operator="equal">
      <formula>0</formula>
    </cfRule>
  </conditionalFormatting>
  <conditionalFormatting sqref="E1134:E1136">
    <cfRule type="cellIs" dxfId="6" priority="10" operator="equal">
      <formula>0</formula>
    </cfRule>
  </conditionalFormatting>
  <conditionalFormatting sqref="F1134:F1136">
    <cfRule type="cellIs" dxfId="5" priority="9" operator="equal">
      <formula>0</formula>
    </cfRule>
  </conditionalFormatting>
  <conditionalFormatting sqref="E153">
    <cfRule type="cellIs" dxfId="4" priority="6" operator="equal">
      <formula>0</formula>
    </cfRule>
  </conditionalFormatting>
  <conditionalFormatting sqref="E883">
    <cfRule type="cellIs" dxfId="3" priority="5" operator="equal">
      <formula>0</formula>
    </cfRule>
  </conditionalFormatting>
  <conditionalFormatting sqref="F883">
    <cfRule type="cellIs" dxfId="2" priority="4" operator="equal">
      <formula>0</formula>
    </cfRule>
  </conditionalFormatting>
  <conditionalFormatting sqref="E844">
    <cfRule type="cellIs" dxfId="1" priority="3" operator="equal">
      <formula>0</formula>
    </cfRule>
  </conditionalFormatting>
  <conditionalFormatting sqref="E542:F545">
    <cfRule type="cellIs" dxfId="0" priority="1" operator="equal">
      <formula>0</formula>
    </cfRule>
  </conditionalFormatting>
  <pageMargins left="1" right="0.75" top="1" bottom="0.6" header="0.35" footer="0.4"/>
  <pageSetup scale="99" orientation="portrait" cellComments="atEnd" r:id="rId1"/>
  <headerFooter>
    <oddHeader>&amp;C&amp;"-,Bold"County of Solano
FY2013/14 - Third Qtr as of April 22, 2014
Position Allocation Report Summary</oddHeader>
    <oddFooter>&amp;R&amp;"Arial,Regular"&amp;8Page &amp;P of 28</oddFooter>
  </headerFooter>
  <rowBreaks count="12" manualBreakCount="12">
    <brk id="42" max="5" man="1"/>
    <brk id="81" max="5" man="1"/>
    <brk id="121" max="5" man="1"/>
    <brk id="157" max="5" man="1"/>
    <brk id="195" max="16383" man="1"/>
    <brk id="235" max="16383" man="1"/>
    <brk id="316" max="16383" man="1"/>
    <brk id="398" max="16383" man="1"/>
    <brk id="693" max="16383" man="1"/>
    <brk id="818" max="16383" man="1"/>
    <brk id="943" max="16383" man="1"/>
    <brk id="110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6" sqref="A6"/>
    </sheetView>
  </sheetViews>
  <sheetFormatPr defaultRowHeight="14.4" x14ac:dyDescent="0.3"/>
  <sheetData>
    <row r="1" spans="1:2" x14ac:dyDescent="0.25">
      <c r="A1">
        <v>20.350000000000001</v>
      </c>
      <c r="B1">
        <v>4.0999999999999996</v>
      </c>
    </row>
    <row r="2" spans="1:2" x14ac:dyDescent="0.25">
      <c r="A2">
        <v>24.15</v>
      </c>
      <c r="B2">
        <v>-1</v>
      </c>
    </row>
    <row r="3" spans="1:2" x14ac:dyDescent="0.25">
      <c r="A3">
        <v>4.5</v>
      </c>
    </row>
    <row r="4" spans="1:2" x14ac:dyDescent="0.25">
      <c r="A4">
        <v>4</v>
      </c>
    </row>
    <row r="5" spans="1:2" x14ac:dyDescent="0.25">
      <c r="A5">
        <v>40.5</v>
      </c>
      <c r="B5">
        <v>2</v>
      </c>
    </row>
    <row r="6" spans="1:2" x14ac:dyDescent="0.25">
      <c r="A6">
        <f>SUM(A1:A5)</f>
        <v>93.5</v>
      </c>
      <c r="B6">
        <f>SUM(B1:B5)</f>
        <v>5.0999999999999996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CURRENT</vt:lpstr>
      <vt:lpstr>Sheet1</vt:lpstr>
      <vt:lpstr>CURRENT!Print_Area</vt:lpstr>
      <vt:lpstr>CURRENT!Print_Titles</vt:lpstr>
    </vt:vector>
  </TitlesOfParts>
  <Company>Solano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Andrade, Suzette S.</dc:creator>
  <cp:lastModifiedBy>Caldwell, Donna</cp:lastModifiedBy>
  <cp:lastPrinted>2014-04-25T16:13:26Z</cp:lastPrinted>
  <dcterms:created xsi:type="dcterms:W3CDTF">2013-05-20T16:49:56Z</dcterms:created>
  <dcterms:modified xsi:type="dcterms:W3CDTF">2014-04-25T16:40:38Z</dcterms:modified>
</cp:coreProperties>
</file>