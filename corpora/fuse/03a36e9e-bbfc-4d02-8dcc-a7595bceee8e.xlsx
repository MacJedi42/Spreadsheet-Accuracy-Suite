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35" windowWidth="18585" windowHeight="10275"/>
  </bookViews>
  <sheets>
    <sheet name="Sheet1" sheetId="1" r:id="rId1"/>
  </sheets>
  <definedNames>
    <definedName name="_xlnm.Print_Area" localSheetId="0">Sheet1!$B$1:$G$166</definedName>
  </definedNames>
  <calcPr calcId="145621"/>
</workbook>
</file>

<file path=xl/calcChain.xml><?xml version="1.0" encoding="utf-8"?>
<calcChain xmlns="http://schemas.openxmlformats.org/spreadsheetml/2006/main">
  <c r="F125" i="1" l="1"/>
  <c r="G125" i="1"/>
  <c r="E97" i="1" l="1"/>
  <c r="D97" i="1"/>
</calcChain>
</file>

<file path=xl/sharedStrings.xml><?xml version="1.0" encoding="utf-8"?>
<sst xmlns="http://schemas.openxmlformats.org/spreadsheetml/2006/main" count="126" uniqueCount="92">
  <si>
    <t>PPG INDUSTRIES AND CONSOLIDATED SUBSIDIARIES</t>
  </si>
  <si>
    <t>CONDENSED STATEMENT OF OPERATIONS (unaudited)</t>
  </si>
  <si>
    <t>(All amounts in millions except per-share data)</t>
  </si>
  <si>
    <t>3 Months Ended</t>
  </si>
  <si>
    <t>Net sales</t>
  </si>
  <si>
    <t>Interest expense</t>
  </si>
  <si>
    <t>Interest income</t>
  </si>
  <si>
    <t>Asbestos settlement - net</t>
  </si>
  <si>
    <t>INCOME BEFORE INCOME TAXES</t>
  </si>
  <si>
    <t>Net income attributable to the controlling and noncontrolling interests</t>
  </si>
  <si>
    <t>Less: Net income attributable to noncontrolling interests</t>
  </si>
  <si>
    <t>NET INCOME (ATTRIBUTABLE TO PPG)</t>
  </si>
  <si>
    <t>Earnings per common share (attributable to PPG)</t>
  </si>
  <si>
    <t>Earnings per common share (attributable to PPG) - assuming dilution</t>
  </si>
  <si>
    <t>Average shares outstanding</t>
  </si>
  <si>
    <t>Average shares outstanding - assuming dilution</t>
  </si>
  <si>
    <t>Note A:</t>
  </si>
  <si>
    <t>Note B:</t>
  </si>
  <si>
    <t>Note C:</t>
  </si>
  <si>
    <t>Dec 31</t>
  </si>
  <si>
    <t>Dec. 31</t>
  </si>
  <si>
    <t>Current assets:</t>
  </si>
  <si>
    <t>Short-term investments (a)</t>
  </si>
  <si>
    <t>Receivables - net</t>
  </si>
  <si>
    <t>Inventories</t>
  </si>
  <si>
    <t>Other</t>
  </si>
  <si>
    <t xml:space="preserve">     Total current assets</t>
  </si>
  <si>
    <t>Current liabilities:</t>
  </si>
  <si>
    <t>Asbestos settlement</t>
  </si>
  <si>
    <t>Accounts payable and accrued liabilities</t>
  </si>
  <si>
    <t xml:space="preserve">     Total current liabilities</t>
  </si>
  <si>
    <t>Long-term debt</t>
  </si>
  <si>
    <t>(a)</t>
  </si>
  <si>
    <t>PPG OPERATING METRICS  (unaudited)</t>
  </si>
  <si>
    <t>Amount</t>
  </si>
  <si>
    <t>As a percent of quarter sales, annualized</t>
  </si>
  <si>
    <t>Operating working capital includes (1) receivables from customers, net of the allowance for doubtful accounts, plus (2) inventories on a first-in, first-out (FIFO) basis, less (3) the trade creditor's liability.</t>
  </si>
  <si>
    <t>BUSINESS SEGMENT INFORMATION (unaudited)</t>
  </si>
  <si>
    <t>(millions)</t>
  </si>
  <si>
    <t>Performance Coatings</t>
  </si>
  <si>
    <t>Industrial Coatings</t>
  </si>
  <si>
    <t>Architectural Coatings - EMEA</t>
  </si>
  <si>
    <t>Optical and Specialty Materials</t>
  </si>
  <si>
    <t>Glass</t>
  </si>
  <si>
    <t xml:space="preserve">     TOTAL</t>
  </si>
  <si>
    <t>Segment income</t>
  </si>
  <si>
    <t>Interest expense, net of interest income</t>
  </si>
  <si>
    <t>Business restructuring</t>
  </si>
  <si>
    <t>Legacy items (Note A)</t>
  </si>
  <si>
    <t>Business restructuring (Note B)</t>
  </si>
  <si>
    <t>Acquisition-related costs (Note C)</t>
  </si>
  <si>
    <t>Amounts attributable to PPG:</t>
  </si>
  <si>
    <t>Income from discontinued operations, net of tax</t>
  </si>
  <si>
    <t>Net income (attributable to PPG)</t>
  </si>
  <si>
    <t>Note D:</t>
  </si>
  <si>
    <t>(c )</t>
  </si>
  <si>
    <t xml:space="preserve">(b) </t>
  </si>
  <si>
    <t>Inclusive of PPG's former Commodity Chemicals business that was separated in January 2013.</t>
  </si>
  <si>
    <t>Note E:</t>
  </si>
  <si>
    <t>Income from discontinued operations, net of income taxes (Note E)</t>
  </si>
  <si>
    <t>Cost of sales, exclusive of depreciation and amortization (Note A)</t>
  </si>
  <si>
    <t>Selling, R&amp;D and administrative expenses (Note B)</t>
  </si>
  <si>
    <t/>
  </si>
  <si>
    <t>2012 (b)</t>
  </si>
  <si>
    <t>Operating Working Capital (c )</t>
  </si>
  <si>
    <t>Income tax expense (Note D)</t>
  </si>
  <si>
    <t>Income from continuing operations, net of income taxes</t>
  </si>
  <si>
    <t>Income from continuing operations, net of tax</t>
  </si>
  <si>
    <t xml:space="preserve"> </t>
  </si>
  <si>
    <t>Depreciation (Note B)</t>
  </si>
  <si>
    <t>Amortization (Note B)</t>
  </si>
  <si>
    <t>Other (income)/charges - net (Note C)</t>
  </si>
  <si>
    <t>Other unallocated corporate expense</t>
  </si>
  <si>
    <t>Sept. 30</t>
  </si>
  <si>
    <t>9 Months Ended</t>
  </si>
  <si>
    <t>Excluding the Commodity Chemicals business, operating working capital was $2,992 million or 22.0 percent at September 30, 2012 and $2,634 million or 20.3 percent at December 31, 2012.</t>
  </si>
  <si>
    <t>The three and nine months ended September 30, 2013, includes business restructuring charges of $55 million for the Performance Coatings segment, $14 million for the Industrial Coatings segment, $24 million for the Architectural Coatings - EMEA segment, $4 million for the Glass segment and $1 million for Corporate. These costs are considered to be unusual and nonrecurring and will not reduce the segment earnings used to evaluate the performance of the operating segments.</t>
  </si>
  <si>
    <t>The effective rate on pretax earnings from continuing operations for the quarter ended September 30, 2013 includes tax benefits of $33 million or approximately 37 percent for estimated environmental remediation costs at sites in New Jersey, $25 million or approximately 25 percent for business restructuring charges, and $3 million for acquisition related costs.  The effective tax rate on the remaining pre-tax earnings from continuing operations was approximately 24 percent resulting in tax expense of $121 million.</t>
  </si>
  <si>
    <t>The three and nine months ended September 30, 2013 include $7 million and $19 million of certain acquisition-related costs, respectively.  In addition, the nine months ended September 30, 2013 includes $16 million of flow-through cost of sales for the inventory step up to fair value related principally to the Akzo Nobel architectural coatings business.  The nine months ended September 30, 2012 includes $6 million of flow-through cost of sales for the inventory step up to fair value related to the Dyrup and Colpisa acquisitions.  These costs are considered to be unusual and non-recurring and will not reduce the segment earnings used to evaluate the performance of the operating segments.</t>
  </si>
  <si>
    <t>BALANCE SHEET HIGHLIGHTS (unaudited)</t>
  </si>
  <si>
    <t>(All amounts in millions)</t>
  </si>
  <si>
    <t>See accompanying notes on page 2</t>
  </si>
  <si>
    <t>Cost of sales, exclusive of depreciation and amortization for the nine months ended September 30, 2013 includes $16 million for final settlement of certain legacy Canadian pension plans and $16 million of flow-through cost of sales for the inventory step up to fair value related to 2013 acquisitions.  The nine months ended September 30, 2012 includes $6 million of flow-through cost of sales for the inventory step up to fair value related to the Dyrup and Colpisa acquisitions.</t>
  </si>
  <si>
    <t xml:space="preserve">The three months ended September 30, 2013 includes a pretax charge of $89 million related to environmental remediation activities at PPG's former Jersey City, N.J., manufacturing plant and associated sites, as well as, lower income from equity investments and royalties.  The nine months ended September 30, 2013 includes a pretax charge of $101 million for environmental remediation activities, which includes the $89 million charge in the third quarter and a first quarter, $12 million charge related to a legacy manufacturing site.  The nine months ended September 30, 2012 includes a pretax charge of $159 million, relating primarily to environmental remediation activities at PPG’s former Jersey City, N.J., manufacturing plant and associated sites.  </t>
  </si>
  <si>
    <t>Selling, R&amp;D and administrative expenses includes $7 million of acquisition related charges for the quarter ended September 30, 2013.  For the nine months ended September 30, 2013, the caption includes $2 million for final settlement of certain legacy Canadian pension plans and $19 million for acquisition related charges.  Selling and administrative expenses, depreciation and amortization are higher in the three and nine-month periods of 2013 compared to 2012 primarily due to the acquisition of AkzoNobel's North American architectural coatings business in the second quarter of 2013.</t>
  </si>
  <si>
    <t>The three months ended September 30, 2013 includes a pretax charge of $89 million. This charge primarily relates to environmental remediation activities at PPG’s former Jersey City, N.J., manufacturing plant and associated sites.  The nine months ended September 30, 2013 includes pretax charges of $18 million charge for final settlement of certain legacy Canadian pension plans and $101 million for environmental remediation activities at a legacy operating plant site and the Company's former Jersey City, N.J., manufacturing plant and associated sites.  The nine months ended September 30, 2012 includes a pretax charge of $159 million related primarily to environmental remediation activities at PPG’s former Jersey City, N.J., manufacturing plant and associated sites.</t>
  </si>
  <si>
    <t xml:space="preserve">Legacy items include current costs related to former operations of the company, including pension and other postretirement benefit costs, certain charges for legal matters and environmental remediation costs, and certain charges that are considered to be unusual or nonrecurring including the earnings impact of the proposed asbestos settlement. Legacy items also include equity earnings from PPG's approximately 40 percent investment in the former automotive glass and services business. </t>
  </si>
  <si>
    <t>Cash and cash equivalents (a)</t>
  </si>
  <si>
    <t>Short-term debt and current portion of long-term debt (a)</t>
  </si>
  <si>
    <t>Income from discontinued operations includes the historical operating results of PPG's former Commodity Chemicals business that was separated on January 28, 2013.  For the nine months ended September 30, 2013 income from discontinued operations includes a net gain on the separation transaction of $2.2 billion.</t>
  </si>
  <si>
    <t>The decrease in combined cash and cash equivalents and short-term investments from December 2012 to September 2013 is the net result of cash inflows and outflows which include the cash deployed for the acquisition of the AkzoNobel North American architectural coatings business of $957, the repayment of long-term debt of $604, the cash proceeds from the separation and merger of the commodity chemicals business of $940, cash generated from operations and other investing and financing activities.</t>
  </si>
  <si>
    <t>The effective rate on pretax earnings from continuing operations for the nine months ended September 30, 2013 includes tax benefits of $37 million or approximately 37 percent for estimated environmental remediation costs primarily at sites in New Jersey, $25 million or approximately 25 percent for business restructuring charges, $11 million or approximately 31 percent for acquisition related costs, and $5 million or approximately 27 percent for final settlement of legacy pension plans.  The nine-month period also includes an after-tax benefit of $10 million for the retroactive impact of a US tax law change enacted in early 2013 that was not included in previously reported 2012 earnings.  The effective tax rate on the remaining pre-tax earnings from continuing operations was approximately 24 percent resulting in tax expense of $330 million.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</si>
</sst>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0.0_);_(* \(#,##0.0\);_(* &quot;-&quot;?_);_(@_)"/>
    <numFmt numFmtId="166" formatCode="[$-409]mmmm\ d\,\ yyyy;@"/>
    <numFmt numFmtId="167" formatCode="_(* #,##0_);_(* \(#,##0\);_(* &quot;-&quot;??_);_(@_)"/>
    <numFmt numFmtId="168" formatCode="0.0%"/>
    <numFmt numFmtId="169" formatCode="_(&quot;$&quot;* #,##0_);_(&quot;$&quot;* \(#,##0\);_(&quot;$&quot;* &quot;-&quot;??_);_(@_)"/>
    <numFmt numFmtId="170" formatCode="_(&quot;$&quot;* #,##0.000_);_(&quot;$&quot;* \(#,##0.000\);_(&quot;$&quot;* &quot;-&quot;??_);_(@_)"/>
    <numFmt numFmtId="171" formatCode="_(&quot;$&quot;* #,##0.0000_);_(&quot;$&quot;* \(#,##0.0000\);_(&quot;$&quot;* &quot;-&quot;??_);_(@_)"/>
    <numFmt numFmtId="172" formatCode="_(&quot;$&quot;* #,##0.000_);_(&quot;$&quot;* \(#,##0.000\);_(&quot;$&quot;* &quot;-&quot;_);_(@_)"/>
  </numFmts>
  <fonts count="32">
    <font>
      <sz val="10"/>
      <name val="Arial"/>
    </font>
    <font>
      <sz val="10"/>
      <name val="Arial"/>
      <family val="2"/>
    </font>
    <font>
      <sz val="8"/>
      <name val="Arial"/>
      <family val="2"/>
    </font>
    <font>
      <sz val="13"/>
      <name val="Times New Roman"/>
      <family val="1"/>
    </font>
    <font>
      <sz val="13"/>
      <name val="Arial"/>
      <family val="2"/>
    </font>
    <font>
      <u/>
      <sz val="13"/>
      <name val="Arial"/>
      <family val="2"/>
    </font>
    <font>
      <sz val="13"/>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Garamond"/>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aramond"/>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0"/>
      <name val="Arial"/>
      <family val="2"/>
    </font>
    <font>
      <sz val="10"/>
      <name val="Arial"/>
      <family val="2"/>
    </font>
    <font>
      <sz val="10"/>
      <name val="Arial"/>
      <family val="2"/>
    </font>
    <font>
      <sz val="9"/>
      <name val="Arial"/>
      <family val="2"/>
    </font>
    <font>
      <b/>
      <sz val="9"/>
      <name val="Inherit"/>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s>
  <cellStyleXfs count="5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43" fontId="1"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21" fillId="0" borderId="0"/>
    <xf numFmtId="0" fontId="12"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43" fontId="28" fillId="0" borderId="0" applyFont="0" applyFill="0" applyBorder="0" applyAlignment="0" applyProtection="0"/>
    <xf numFmtId="9" fontId="28"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xf numFmtId="9" fontId="29" fillId="0" borderId="0" applyFont="0" applyFill="0" applyBorder="0" applyAlignment="0" applyProtection="0"/>
  </cellStyleXfs>
  <cellXfs count="171">
    <xf numFmtId="0" fontId="0" fillId="0" borderId="0" xfId="0"/>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0" fontId="4" fillId="0" borderId="0" xfId="0" applyFont="1" applyBorder="1"/>
    <xf numFmtId="41" fontId="4" fillId="0" borderId="0" xfId="0" applyNumberFormat="1" applyFont="1" applyFill="1" applyBorder="1"/>
    <xf numFmtId="41" fontId="4" fillId="0" borderId="0" xfId="0" applyNumberFormat="1" applyFont="1" applyFill="1"/>
    <xf numFmtId="0" fontId="4" fillId="0" borderId="10" xfId="0" applyFont="1" applyBorder="1"/>
    <xf numFmtId="41" fontId="4" fillId="0" borderId="10" xfId="0" applyNumberFormat="1" applyFont="1" applyFill="1" applyBorder="1"/>
    <xf numFmtId="0" fontId="4" fillId="0" borderId="11" xfId="0" applyFont="1" applyBorder="1"/>
    <xf numFmtId="0" fontId="3" fillId="0" borderId="0" xfId="0" applyFont="1" applyBorder="1"/>
    <xf numFmtId="42" fontId="4" fillId="0" borderId="11" xfId="0" applyNumberFormat="1" applyFont="1" applyFill="1" applyBorder="1"/>
    <xf numFmtId="42" fontId="4" fillId="0" borderId="0" xfId="0" applyNumberFormat="1" applyFont="1" applyFill="1" applyBorder="1"/>
    <xf numFmtId="42" fontId="4" fillId="0" borderId="0" xfId="0" applyNumberFormat="1" applyFont="1"/>
    <xf numFmtId="0" fontId="4" fillId="0" borderId="12" xfId="0" applyFont="1" applyBorder="1"/>
    <xf numFmtId="165" fontId="4" fillId="0" borderId="0" xfId="0" applyNumberFormat="1" applyFont="1" applyFill="1" applyBorder="1"/>
    <xf numFmtId="0" fontId="4" fillId="0" borderId="0" xfId="0" applyFont="1" applyFill="1" applyBorder="1" applyAlignment="1">
      <alignment vertical="top"/>
    </xf>
    <xf numFmtId="166" fontId="4" fillId="0" borderId="0" xfId="0" quotePrefix="1" applyNumberFormat="1" applyFont="1" applyAlignment="1">
      <alignment horizontal="center"/>
    </xf>
    <xf numFmtId="166" fontId="4" fillId="0" borderId="0" xfId="0" applyNumberFormat="1" applyFont="1" applyAlignment="1">
      <alignment horizontal="center"/>
    </xf>
    <xf numFmtId="167" fontId="4" fillId="0" borderId="0" xfId="28" applyNumberFormat="1" applyFont="1" applyFill="1"/>
    <xf numFmtId="0" fontId="4" fillId="0" borderId="0" xfId="0" quotePrefix="1" applyFont="1" applyBorder="1"/>
    <xf numFmtId="0" fontId="4" fillId="0" borderId="0" xfId="0" applyFont="1" applyFill="1"/>
    <xf numFmtId="0" fontId="4" fillId="0" borderId="0" xfId="0" quotePrefix="1" applyFont="1"/>
    <xf numFmtId="168" fontId="4" fillId="0" borderId="0" xfId="0" applyNumberFormat="1" applyFont="1" applyFill="1"/>
    <xf numFmtId="168" fontId="4" fillId="0" borderId="0" xfId="0" applyNumberFormat="1" applyFont="1"/>
    <xf numFmtId="0" fontId="0" fillId="0" borderId="0" xfId="0" applyAlignment="1"/>
    <xf numFmtId="0" fontId="6" fillId="0" borderId="0" xfId="0" applyFont="1" applyAlignment="1">
      <alignment readingOrder="1"/>
    </xf>
    <xf numFmtId="0" fontId="4" fillId="0" borderId="12" xfId="0" quotePrefix="1" applyFont="1" applyBorder="1"/>
    <xf numFmtId="167" fontId="4" fillId="0" borderId="0" xfId="28" applyNumberFormat="1" applyFont="1" applyFill="1" applyBorder="1"/>
    <xf numFmtId="166" fontId="4" fillId="0" borderId="0" xfId="38" quotePrefix="1" applyNumberFormat="1" applyFont="1" applyAlignment="1">
      <alignment horizontal="center"/>
    </xf>
    <xf numFmtId="0" fontId="5" fillId="0" borderId="0" xfId="38" applyFont="1" applyAlignment="1">
      <alignment horizontal="center"/>
    </xf>
    <xf numFmtId="42" fontId="4" fillId="24" borderId="11" xfId="0" applyNumberFormat="1" applyFont="1" applyFill="1" applyBorder="1"/>
    <xf numFmtId="42" fontId="4" fillId="0" borderId="12" xfId="0" applyNumberFormat="1" applyFont="1" applyFill="1" applyBorder="1"/>
    <xf numFmtId="0" fontId="4" fillId="0" borderId="13" xfId="0" applyFont="1" applyBorder="1"/>
    <xf numFmtId="42" fontId="4" fillId="0" borderId="13" xfId="0" applyNumberFormat="1" applyFont="1" applyFill="1" applyBorder="1"/>
    <xf numFmtId="0" fontId="4" fillId="0" borderId="11" xfId="0" applyFont="1" applyBorder="1" applyAlignment="1">
      <alignment horizontal="left" indent="1"/>
    </xf>
    <xf numFmtId="44" fontId="4" fillId="0" borderId="0" xfId="44" applyFont="1" applyFill="1" applyBorder="1"/>
    <xf numFmtId="169" fontId="4" fillId="0" borderId="11" xfId="44" applyNumberFormat="1" applyFont="1" applyFill="1" applyBorder="1"/>
    <xf numFmtId="167" fontId="4" fillId="0" borderId="0" xfId="28" applyNumberFormat="1" applyFont="1" applyFill="1" applyAlignment="1">
      <alignment horizontal="right"/>
    </xf>
    <xf numFmtId="9" fontId="3" fillId="0" borderId="0" xfId="45" applyFont="1"/>
    <xf numFmtId="42" fontId="4" fillId="0" borderId="0" xfId="0" quotePrefix="1" applyNumberFormat="1" applyFont="1" applyFill="1" applyBorder="1" applyAlignment="1">
      <alignment horizontal="center"/>
    </xf>
    <xf numFmtId="43" fontId="4" fillId="0" borderId="0" xfId="28" applyNumberFormat="1" applyFont="1" applyFill="1" applyBorder="1"/>
    <xf numFmtId="43" fontId="4" fillId="0" borderId="0" xfId="0" applyNumberFormat="1" applyFont="1" applyFill="1"/>
    <xf numFmtId="43" fontId="4" fillId="0" borderId="0" xfId="28" applyNumberFormat="1" applyFont="1" applyFill="1"/>
    <xf numFmtId="170" fontId="3" fillId="0" borderId="0" xfId="0" applyNumberFormat="1" applyFont="1"/>
    <xf numFmtId="42" fontId="4" fillId="0" borderId="0" xfId="0" applyNumberFormat="1" applyFont="1" applyFill="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41" fontId="4" fillId="0" borderId="0" xfId="0" applyNumberFormat="1" applyFont="1" applyFill="1"/>
    <xf numFmtId="42" fontId="4" fillId="0" borderId="11" xfId="0" applyNumberFormat="1" applyFont="1" applyFill="1" applyBorder="1"/>
    <xf numFmtId="164" fontId="4" fillId="0" borderId="13" xfId="0" applyNumberFormat="1" applyFont="1" applyFill="1" applyBorder="1"/>
    <xf numFmtId="44" fontId="4" fillId="0" borderId="0" xfId="0" applyNumberFormat="1" applyFont="1" applyFill="1"/>
    <xf numFmtId="41" fontId="4" fillId="0" borderId="0" xfId="0" applyNumberFormat="1" applyFont="1" applyFill="1"/>
    <xf numFmtId="41" fontId="4" fillId="0" borderId="10" xfId="0" applyNumberFormat="1" applyFont="1" applyFill="1" applyBorder="1"/>
    <xf numFmtId="42" fontId="4" fillId="0" borderId="0" xfId="0" applyNumberFormat="1" applyFont="1" applyFill="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42" fontId="4" fillId="0" borderId="0" xfId="0" applyNumberFormat="1" applyFont="1" applyFill="1"/>
    <xf numFmtId="42" fontId="4" fillId="0" borderId="0" xfId="0" applyNumberFormat="1" applyFont="1" applyFill="1" applyBorder="1"/>
    <xf numFmtId="165" fontId="4" fillId="0" borderId="12" xfId="0" applyNumberFormat="1" applyFont="1" applyFill="1" applyBorder="1"/>
    <xf numFmtId="165" fontId="4" fillId="0" borderId="12" xfId="0" applyNumberFormat="1" applyFont="1" applyFill="1" applyBorder="1"/>
    <xf numFmtId="165" fontId="4" fillId="0" borderId="12" xfId="0" applyNumberFormat="1" applyFont="1" applyFill="1" applyBorder="1"/>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164" fontId="4" fillId="0" borderId="11" xfId="0" applyNumberFormat="1" applyFont="1" applyFill="1" applyBorder="1"/>
    <xf numFmtId="0" fontId="4" fillId="0" borderId="0" xfId="0" applyFont="1" applyFill="1" applyBorder="1"/>
    <xf numFmtId="166" fontId="4" fillId="0" borderId="0" xfId="0" quotePrefix="1" applyNumberFormat="1" applyFont="1" applyAlignment="1">
      <alignment horizontal="center"/>
    </xf>
    <xf numFmtId="165" fontId="4" fillId="0" borderId="12" xfId="0" applyNumberFormat="1" applyFont="1" applyFill="1" applyBorder="1"/>
    <xf numFmtId="42" fontId="4" fillId="0" borderId="12" xfId="0" applyNumberFormat="1" applyFont="1" applyFill="1" applyBorder="1"/>
    <xf numFmtId="42" fontId="4" fillId="0" borderId="0" xfId="48" applyNumberFormat="1" applyFont="1" applyFill="1"/>
    <xf numFmtId="167" fontId="4" fillId="0" borderId="0" xfId="28" applyNumberFormat="1" applyFont="1" applyFill="1"/>
    <xf numFmtId="42" fontId="4" fillId="0" borderId="0" xfId="48" applyNumberFormat="1" applyFont="1" applyFill="1"/>
    <xf numFmtId="167" fontId="4" fillId="0" borderId="0" xfId="28" applyNumberFormat="1" applyFont="1" applyFill="1"/>
    <xf numFmtId="42" fontId="4" fillId="0" borderId="0" xfId="48" applyNumberFormat="1" applyFont="1" applyFill="1"/>
    <xf numFmtId="167" fontId="4" fillId="0" borderId="0" xfId="28" applyNumberFormat="1" applyFont="1" applyFill="1"/>
    <xf numFmtId="42" fontId="4" fillId="0" borderId="0" xfId="48" applyNumberFormat="1" applyFont="1" applyFill="1"/>
    <xf numFmtId="167" fontId="4" fillId="0" borderId="0" xfId="28" applyNumberFormat="1" applyFont="1" applyFill="1"/>
    <xf numFmtId="42" fontId="4" fillId="0" borderId="0" xfId="48" applyNumberFormat="1" applyFont="1" applyFill="1"/>
    <xf numFmtId="41" fontId="4" fillId="0" borderId="0" xfId="48" applyNumberFormat="1" applyFont="1" applyFill="1" applyBorder="1"/>
    <xf numFmtId="41" fontId="4" fillId="0" borderId="0" xfId="48" applyNumberFormat="1" applyFont="1" applyFill="1"/>
    <xf numFmtId="42" fontId="4" fillId="0" borderId="11" xfId="48" applyNumberFormat="1" applyFont="1" applyFill="1" applyBorder="1"/>
    <xf numFmtId="167" fontId="4" fillId="0" borderId="0" xfId="28" applyNumberFormat="1" applyFont="1" applyFill="1"/>
    <xf numFmtId="0" fontId="4" fillId="0" borderId="0" xfId="48" applyFont="1" applyFill="1"/>
    <xf numFmtId="42" fontId="4" fillId="0" borderId="0" xfId="48" applyNumberFormat="1" applyFont="1" applyFill="1"/>
    <xf numFmtId="168" fontId="4" fillId="0" borderId="0" xfId="48" applyNumberFormat="1" applyFont="1" applyFill="1"/>
    <xf numFmtId="0" fontId="4" fillId="0" borderId="0" xfId="48" quotePrefix="1" applyFont="1"/>
    <xf numFmtId="0" fontId="1" fillId="0" borderId="0" xfId="48"/>
    <xf numFmtId="42" fontId="3" fillId="0" borderId="0" xfId="0" applyNumberFormat="1" applyFont="1" applyFill="1"/>
    <xf numFmtId="0" fontId="3" fillId="0" borderId="0" xfId="0" applyFont="1"/>
    <xf numFmtId="168" fontId="3" fillId="0" borderId="0" xfId="45" applyNumberFormat="1" applyFont="1"/>
    <xf numFmtId="0" fontId="4" fillId="0" borderId="11" xfId="0" applyFont="1" applyFill="1" applyBorder="1"/>
    <xf numFmtId="0" fontId="4" fillId="0" borderId="13" xfId="0" applyFont="1" applyFill="1" applyBorder="1"/>
    <xf numFmtId="0" fontId="1" fillId="0" borderId="0" xfId="48" applyFill="1" applyAlignment="1">
      <alignment vertical="top" wrapText="1"/>
    </xf>
    <xf numFmtId="0" fontId="3" fillId="0" borderId="0" xfId="0" applyFont="1"/>
    <xf numFmtId="42" fontId="4" fillId="0" borderId="0" xfId="0" applyNumberFormat="1" applyFont="1" applyFill="1"/>
    <xf numFmtId="42" fontId="3" fillId="0" borderId="0" xfId="0" applyNumberFormat="1" applyFont="1"/>
    <xf numFmtId="168" fontId="4" fillId="0" borderId="0" xfId="0" applyNumberFormat="1" applyFont="1" applyFill="1"/>
    <xf numFmtId="0" fontId="3" fillId="0" borderId="0" xfId="0" applyFont="1" applyFill="1"/>
    <xf numFmtId="0" fontId="0" fillId="0" borderId="0" xfId="0" applyFill="1" applyAlignment="1">
      <alignment wrapText="1"/>
    </xf>
    <xf numFmtId="9" fontId="3" fillId="0" borderId="0" xfId="45" applyNumberFormat="1" applyFont="1" applyBorder="1"/>
    <xf numFmtId="0" fontId="4" fillId="0" borderId="0" xfId="0" applyFont="1" applyFill="1" applyAlignment="1">
      <alignment horizontal="left" wrapText="1"/>
    </xf>
    <xf numFmtId="2" fontId="3" fillId="0" borderId="0" xfId="0" applyNumberFormat="1" applyFont="1"/>
    <xf numFmtId="42" fontId="3" fillId="0" borderId="0" xfId="0" applyNumberFormat="1" applyFont="1" applyBorder="1"/>
    <xf numFmtId="43" fontId="4" fillId="0" borderId="0" xfId="0" applyNumberFormat="1" applyFont="1" applyFill="1" applyBorder="1"/>
    <xf numFmtId="2" fontId="3" fillId="0" borderId="0" xfId="0" applyNumberFormat="1" applyFont="1" applyBorder="1"/>
    <xf numFmtId="168" fontId="3" fillId="0" borderId="0" xfId="45" applyNumberFormat="1" applyFont="1" applyBorder="1"/>
    <xf numFmtId="0" fontId="26" fillId="0" borderId="0" xfId="38" applyFont="1" applyBorder="1"/>
    <xf numFmtId="41" fontId="4" fillId="0" borderId="0" xfId="0" applyNumberFormat="1" applyFont="1" applyFill="1" applyBorder="1"/>
    <xf numFmtId="0" fontId="3" fillId="0" borderId="0" xfId="0" applyFont="1" applyBorder="1"/>
    <xf numFmtId="42" fontId="4" fillId="0" borderId="0" xfId="0" applyNumberFormat="1" applyFont="1" applyFill="1" applyBorder="1"/>
    <xf numFmtId="165" fontId="4" fillId="0" borderId="0" xfId="0" applyNumberFormat="1" applyFont="1" applyFill="1" applyBorder="1"/>
    <xf numFmtId="0" fontId="4" fillId="0" borderId="0" xfId="0" applyFont="1" applyFill="1" applyBorder="1"/>
    <xf numFmtId="167" fontId="4" fillId="0" borderId="0" xfId="28" applyNumberFormat="1" applyFont="1" applyFill="1" applyBorder="1"/>
    <xf numFmtId="44" fontId="4" fillId="0" borderId="0" xfId="49" applyFont="1" applyFill="1" applyBorder="1"/>
    <xf numFmtId="43" fontId="4" fillId="0" borderId="0" xfId="28" applyNumberFormat="1" applyFont="1" applyFill="1" applyBorder="1"/>
    <xf numFmtId="169" fontId="4" fillId="0" borderId="0" xfId="49" applyNumberFormat="1" applyFont="1" applyFill="1" applyBorder="1"/>
    <xf numFmtId="164" fontId="4" fillId="0" borderId="0" xfId="0" applyNumberFormat="1" applyFont="1" applyFill="1" applyBorder="1"/>
    <xf numFmtId="171" fontId="3" fillId="0" borderId="0" xfId="0" applyNumberFormat="1" applyFont="1" applyBorder="1"/>
    <xf numFmtId="168" fontId="4" fillId="0" borderId="0" xfId="45" applyNumberFormat="1" applyFont="1" applyFill="1" applyBorder="1"/>
    <xf numFmtId="10" fontId="3" fillId="0" borderId="0" xfId="45" applyNumberFormat="1" applyFont="1"/>
    <xf numFmtId="0" fontId="3" fillId="0" borderId="0" xfId="0" applyFont="1" applyBorder="1" applyAlignment="1">
      <alignment horizontal="center"/>
    </xf>
    <xf numFmtId="172" fontId="4" fillId="0" borderId="0" xfId="0" applyNumberFormat="1" applyFont="1" applyFill="1" applyBorder="1"/>
    <xf numFmtId="44" fontId="3" fillId="0" borderId="0" xfId="0" applyNumberFormat="1" applyFont="1"/>
    <xf numFmtId="42" fontId="3" fillId="0" borderId="0" xfId="45" applyNumberFormat="1" applyFont="1"/>
    <xf numFmtId="0" fontId="4" fillId="0" borderId="0" xfId="0" applyFont="1" applyAlignment="1">
      <alignment vertical="center" wrapText="1"/>
    </xf>
    <xf numFmtId="0" fontId="30" fillId="0" borderId="0" xfId="0" applyFont="1" applyAlignment="1">
      <alignment vertical="center" wrapText="1" readingOrder="1"/>
    </xf>
    <xf numFmtId="169" fontId="4" fillId="0" borderId="0" xfId="44" applyNumberFormat="1" applyFont="1" applyFill="1" applyBorder="1"/>
    <xf numFmtId="0" fontId="0" fillId="0" borderId="0" xfId="0" applyFill="1" applyAlignment="1">
      <alignment vertical="top" wrapText="1"/>
    </xf>
    <xf numFmtId="0" fontId="1" fillId="0" borderId="0" xfId="0" applyFont="1" applyFill="1" applyAlignment="1">
      <alignment wrapText="1"/>
    </xf>
    <xf numFmtId="0" fontId="6" fillId="0" borderId="0" xfId="0" applyFont="1" applyFill="1" applyAlignment="1">
      <alignment horizontal="left" vertical="top" wrapText="1"/>
    </xf>
    <xf numFmtId="0" fontId="4" fillId="0" borderId="0" xfId="0" applyNumberFormat="1" applyFont="1" applyFill="1" applyAlignment="1">
      <alignment vertical="center" wrapText="1"/>
    </xf>
    <xf numFmtId="0" fontId="30" fillId="0" borderId="0" xfId="0" applyFont="1" applyFill="1" applyAlignment="1">
      <alignment vertical="center" wrapText="1"/>
    </xf>
    <xf numFmtId="0" fontId="3" fillId="0" borderId="0" xfId="0" applyFont="1" applyFill="1" applyBorder="1"/>
    <xf numFmtId="0" fontId="4" fillId="0" borderId="0" xfId="0" applyFont="1" applyFill="1" applyAlignment="1">
      <alignment vertical="center" wrapText="1"/>
    </xf>
    <xf numFmtId="0" fontId="0" fillId="0" borderId="0" xfId="0" applyFill="1" applyAlignment="1">
      <alignment vertical="center" readingOrder="1"/>
    </xf>
    <xf numFmtId="0" fontId="6" fillId="0" borderId="0" xfId="0" applyFont="1" applyFill="1" applyAlignment="1">
      <alignment vertical="center" wrapText="1"/>
    </xf>
    <xf numFmtId="0" fontId="4" fillId="0" borderId="0" xfId="0" applyFont="1" applyFill="1" applyAlignment="1"/>
    <xf numFmtId="0" fontId="1" fillId="0" borderId="0" xfId="48" applyFill="1" applyAlignment="1">
      <alignment wrapText="1"/>
    </xf>
    <xf numFmtId="0" fontId="31" fillId="0" borderId="0" xfId="0" applyFont="1" applyAlignment="1">
      <alignment horizontal="left" vertical="center"/>
    </xf>
    <xf numFmtId="0" fontId="4" fillId="0" borderId="0" xfId="48" quotePrefix="1" applyFont="1" applyAlignment="1">
      <alignment vertical="top"/>
    </xf>
    <xf numFmtId="0" fontId="4" fillId="0" borderId="0" xfId="0" applyFont="1" applyAlignment="1">
      <alignment vertical="top"/>
    </xf>
    <xf numFmtId="0" fontId="5" fillId="0" borderId="0" xfId="0" applyFont="1"/>
    <xf numFmtId="0" fontId="4" fillId="0" borderId="0" xfId="0" applyFont="1" applyAlignment="1">
      <alignment horizontal="center" wrapText="1"/>
    </xf>
    <xf numFmtId="49" fontId="4" fillId="0" borderId="0" xfId="0" quotePrefix="1" applyNumberFormat="1" applyFont="1" applyAlignment="1">
      <alignment horizontal="center" wrapText="1"/>
    </xf>
    <xf numFmtId="0" fontId="4" fillId="0" borderId="0" xfId="0" applyFont="1" applyFill="1" applyBorder="1" applyAlignment="1">
      <alignment wrapText="1"/>
    </xf>
    <xf numFmtId="0" fontId="1" fillId="0" borderId="0" xfId="0" applyFont="1" applyFill="1" applyAlignment="1">
      <alignment wrapText="1"/>
    </xf>
    <xf numFmtId="0" fontId="4" fillId="0" borderId="0" xfId="48" applyFont="1" applyFill="1" applyAlignment="1">
      <alignment horizontal="left" vertical="top" wrapText="1"/>
    </xf>
    <xf numFmtId="0" fontId="4" fillId="0" borderId="0" xfId="0" applyFont="1" applyFill="1" applyBorder="1" applyAlignment="1">
      <alignment horizontal="left" vertical="top" wrapText="1"/>
    </xf>
    <xf numFmtId="0" fontId="6" fillId="0" borderId="0" xfId="0" applyFont="1" applyFill="1" applyAlignment="1">
      <alignment horizontal="left" vertical="top" wrapText="1"/>
    </xf>
    <xf numFmtId="166" fontId="4" fillId="0" borderId="0" xfId="0" quotePrefix="1" applyNumberFormat="1" applyFont="1" applyAlignment="1">
      <alignment horizontal="left"/>
    </xf>
    <xf numFmtId="0" fontId="4" fillId="0" borderId="0" xfId="0" applyNumberFormat="1" applyFont="1" applyFill="1" applyAlignment="1">
      <alignment horizontal="left" vertical="top" wrapText="1" readingOrder="1"/>
    </xf>
    <xf numFmtId="0" fontId="4" fillId="0" borderId="0" xfId="48" applyFont="1" applyFill="1" applyAlignment="1">
      <alignment vertical="top"/>
    </xf>
    <xf numFmtId="0" fontId="1" fillId="0" borderId="0" xfId="48" applyFill="1" applyAlignment="1">
      <alignment vertical="top"/>
    </xf>
    <xf numFmtId="0" fontId="4" fillId="0" borderId="0" xfId="0" applyFont="1" applyAlignment="1">
      <alignment horizontal="center"/>
    </xf>
    <xf numFmtId="0" fontId="6" fillId="0" borderId="0" xfId="0" applyFont="1" applyFill="1" applyAlignment="1">
      <alignment horizontal="left" vertical="top" wrapText="1" readingOrder="1"/>
    </xf>
    <xf numFmtId="0" fontId="4" fillId="0" borderId="0" xfId="0" applyFont="1" applyFill="1" applyAlignment="1">
      <alignment horizontal="left" vertical="top" wrapText="1"/>
    </xf>
    <xf numFmtId="0" fontId="0" fillId="0" borderId="0" xfId="0" applyFill="1" applyAlignment="1">
      <alignment vertical="top" wrapText="1" readingOrder="1"/>
    </xf>
    <xf numFmtId="0" fontId="4" fillId="0" borderId="0" xfId="48" applyFont="1" applyFill="1" applyAlignment="1">
      <alignment vertical="top" wrapText="1"/>
    </xf>
    <xf numFmtId="0" fontId="1" fillId="0" borderId="0" xfId="48" applyFill="1" applyAlignment="1">
      <alignment vertical="top" wrapText="1"/>
    </xf>
    <xf numFmtId="49" fontId="4" fillId="0" borderId="0" xfId="0" applyNumberFormat="1" applyFont="1" applyAlignment="1">
      <alignment horizontal="center"/>
    </xf>
    <xf numFmtId="49" fontId="4" fillId="0" borderId="0" xfId="0" quotePrefix="1" applyNumberFormat="1" applyFont="1" applyAlignment="1">
      <alignment horizont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cellStyle name="Comma 3" xfId="51"/>
    <cellStyle name="Currency" xfId="44" builtinId="4"/>
    <cellStyle name="Currency 2" xfId="49"/>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8"/>
    <cellStyle name="Normal_Sheet1" xfId="38"/>
    <cellStyle name="Note" xfId="39" builtinId="10" customBuiltin="1"/>
    <cellStyle name="Output" xfId="40" builtinId="21" customBuiltin="1"/>
    <cellStyle name="Percent" xfId="45" builtinId="5"/>
    <cellStyle name="Percent 2" xfId="47"/>
    <cellStyle name="Percent 3" xfId="50"/>
    <cellStyle name="Percent 4" xfId="52"/>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6"/>
  <sheetViews>
    <sheetView tabSelected="1" zoomScale="75" zoomScaleNormal="75" workbookViewId="0">
      <selection activeCell="G140" sqref="G140"/>
    </sheetView>
  </sheetViews>
  <sheetFormatPr defaultRowHeight="16.5"/>
  <cols>
    <col min="1" max="1" width="9.5703125" style="1" customWidth="1"/>
    <col min="2" max="2" width="4.42578125" style="1" customWidth="1"/>
    <col min="3" max="3" width="80.85546875" style="1" customWidth="1"/>
    <col min="4" max="4" width="10.7109375" style="1" customWidth="1"/>
    <col min="5" max="5" width="12.7109375" style="1" customWidth="1"/>
    <col min="6" max="6" width="11.28515625" style="1" customWidth="1"/>
    <col min="7" max="7" width="11.5703125" style="1" bestFit="1" customWidth="1"/>
    <col min="8" max="8" width="13.140625" style="1" bestFit="1" customWidth="1"/>
    <col min="9" max="9" width="10.140625" style="1" bestFit="1" customWidth="1"/>
    <col min="10" max="10" width="12.28515625" style="118" bestFit="1" customWidth="1"/>
    <col min="11" max="11" width="11.28515625" style="118" bestFit="1" customWidth="1"/>
    <col min="12" max="12" width="10" style="118" bestFit="1" customWidth="1"/>
    <col min="13" max="13" width="11.28515625" style="118" bestFit="1" customWidth="1"/>
    <col min="14" max="14" width="9.140625" style="118"/>
    <col min="15" max="15" width="11.42578125" style="118" bestFit="1" customWidth="1"/>
    <col min="16" max="16" width="10.140625" style="118" bestFit="1" customWidth="1"/>
    <col min="17" max="17" width="9.140625" style="118"/>
    <col min="18" max="16384" width="9.140625" style="1"/>
  </cols>
  <sheetData>
    <row r="1" spans="2:15">
      <c r="B1" s="2" t="s">
        <v>0</v>
      </c>
      <c r="C1" s="2"/>
      <c r="D1" s="2"/>
      <c r="E1" s="2"/>
    </row>
    <row r="2" spans="2:15">
      <c r="B2" s="2" t="s">
        <v>1</v>
      </c>
      <c r="C2" s="2"/>
      <c r="D2" s="2"/>
      <c r="E2" s="2"/>
    </row>
    <row r="3" spans="2:15">
      <c r="B3" s="2" t="s">
        <v>2</v>
      </c>
      <c r="C3" s="2"/>
      <c r="D3" s="2"/>
      <c r="E3" s="2"/>
    </row>
    <row r="4" spans="2:15" ht="16.5" customHeight="1">
      <c r="B4" s="2"/>
      <c r="C4" s="2"/>
      <c r="D4" s="152" t="s">
        <v>3</v>
      </c>
      <c r="E4" s="152"/>
      <c r="F4" s="152" t="s">
        <v>74</v>
      </c>
      <c r="G4" s="152"/>
    </row>
    <row r="5" spans="2:15" ht="16.5" customHeight="1">
      <c r="B5" s="2"/>
      <c r="C5" s="2"/>
      <c r="D5" s="153" t="s">
        <v>73</v>
      </c>
      <c r="E5" s="153"/>
      <c r="F5" s="153" t="s">
        <v>73</v>
      </c>
      <c r="G5" s="153"/>
    </row>
    <row r="6" spans="2:15">
      <c r="B6" s="2"/>
      <c r="C6" s="2"/>
      <c r="D6" s="3">
        <v>2013</v>
      </c>
      <c r="E6" s="3">
        <v>2012</v>
      </c>
      <c r="F6" s="3">
        <v>2013</v>
      </c>
      <c r="G6" s="3">
        <v>2012</v>
      </c>
      <c r="J6" s="130"/>
    </row>
    <row r="7" spans="2:15" ht="9" customHeight="1">
      <c r="B7" s="2"/>
      <c r="C7" s="2"/>
      <c r="D7" s="2"/>
      <c r="E7" s="2"/>
    </row>
    <row r="8" spans="2:15">
      <c r="B8" s="2" t="s">
        <v>4</v>
      </c>
      <c r="C8" s="2"/>
      <c r="D8" s="4">
        <v>3980</v>
      </c>
      <c r="E8" s="69">
        <v>3408</v>
      </c>
      <c r="F8" s="47">
        <v>11406</v>
      </c>
      <c r="G8" s="57">
        <v>10269</v>
      </c>
      <c r="H8" s="41"/>
      <c r="I8" s="5"/>
      <c r="J8" s="119"/>
      <c r="K8" s="119"/>
      <c r="L8" s="112"/>
      <c r="M8" s="112"/>
      <c r="N8" s="112"/>
      <c r="O8" s="112"/>
    </row>
    <row r="9" spans="2:15">
      <c r="B9" s="6" t="s">
        <v>60</v>
      </c>
      <c r="C9" s="6"/>
      <c r="D9" s="7">
        <v>2238</v>
      </c>
      <c r="E9" s="71">
        <v>1983</v>
      </c>
      <c r="F9" s="48">
        <v>6528</v>
      </c>
      <c r="G9" s="58">
        <v>5995</v>
      </c>
      <c r="H9" s="41"/>
      <c r="I9" s="5"/>
      <c r="J9" s="117"/>
      <c r="K9" s="117"/>
      <c r="N9" s="112"/>
      <c r="O9" s="112"/>
    </row>
    <row r="10" spans="2:15">
      <c r="B10" s="2" t="s">
        <v>61</v>
      </c>
      <c r="C10" s="2"/>
      <c r="D10" s="8">
        <v>1087</v>
      </c>
      <c r="E10" s="55">
        <v>891</v>
      </c>
      <c r="F10" s="49">
        <v>3104</v>
      </c>
      <c r="G10" s="59">
        <v>2729</v>
      </c>
      <c r="H10" s="129"/>
      <c r="I10" s="129"/>
      <c r="J10" s="122"/>
      <c r="K10" s="128"/>
      <c r="L10" s="112"/>
      <c r="M10" s="128"/>
      <c r="N10" s="112"/>
      <c r="O10" s="112"/>
    </row>
    <row r="11" spans="2:15">
      <c r="B11" s="67" t="s">
        <v>69</v>
      </c>
      <c r="C11" s="2"/>
      <c r="D11" s="8">
        <v>91</v>
      </c>
      <c r="E11" s="55">
        <v>78</v>
      </c>
      <c r="F11" s="49">
        <v>262</v>
      </c>
      <c r="G11" s="59">
        <v>233</v>
      </c>
      <c r="H11" s="41"/>
      <c r="I11" s="129"/>
      <c r="J11" s="129"/>
      <c r="K11" s="117"/>
      <c r="L11" s="129"/>
      <c r="N11" s="112"/>
      <c r="O11" s="112"/>
    </row>
    <row r="12" spans="2:15">
      <c r="B12" s="67" t="s">
        <v>70</v>
      </c>
      <c r="C12" s="2"/>
      <c r="D12" s="8">
        <v>28</v>
      </c>
      <c r="E12" s="55">
        <v>27</v>
      </c>
      <c r="F12" s="49">
        <v>88</v>
      </c>
      <c r="G12" s="59">
        <v>82</v>
      </c>
      <c r="H12" s="41"/>
      <c r="I12" s="129"/>
      <c r="J12" s="129"/>
      <c r="K12" s="117"/>
      <c r="N12" s="112"/>
      <c r="O12" s="112"/>
    </row>
    <row r="13" spans="2:15">
      <c r="B13" s="67" t="s">
        <v>5</v>
      </c>
      <c r="C13" s="2"/>
      <c r="D13" s="8">
        <v>48</v>
      </c>
      <c r="E13" s="55">
        <v>54</v>
      </c>
      <c r="F13" s="49">
        <v>148</v>
      </c>
      <c r="G13" s="59">
        <v>155</v>
      </c>
      <c r="H13" s="41"/>
      <c r="I13" s="5"/>
      <c r="J13" s="117"/>
      <c r="K13" s="117"/>
      <c r="N13" s="112"/>
      <c r="O13" s="112"/>
    </row>
    <row r="14" spans="2:15">
      <c r="B14" s="67" t="s">
        <v>6</v>
      </c>
      <c r="C14" s="2"/>
      <c r="D14" s="8">
        <v>-11</v>
      </c>
      <c r="E14" s="55">
        <v>-10</v>
      </c>
      <c r="F14" s="49">
        <v>-30</v>
      </c>
      <c r="G14" s="59">
        <v>-29</v>
      </c>
      <c r="H14" s="41"/>
      <c r="I14" s="5" t="s">
        <v>68</v>
      </c>
      <c r="J14" s="117"/>
      <c r="K14" s="117"/>
      <c r="N14" s="112"/>
      <c r="O14" s="112"/>
    </row>
    <row r="15" spans="2:15">
      <c r="B15" s="67" t="s">
        <v>7</v>
      </c>
      <c r="C15" s="2"/>
      <c r="D15" s="8">
        <v>3</v>
      </c>
      <c r="E15" s="55">
        <v>3</v>
      </c>
      <c r="F15" s="49">
        <v>9</v>
      </c>
      <c r="G15" s="59">
        <v>9</v>
      </c>
      <c r="H15" s="41"/>
      <c r="I15" s="5"/>
      <c r="J15" s="117"/>
      <c r="K15" s="117"/>
      <c r="N15" s="112"/>
      <c r="O15" s="112"/>
    </row>
    <row r="16" spans="2:15">
      <c r="B16" s="67" t="s">
        <v>47</v>
      </c>
      <c r="C16" s="2"/>
      <c r="D16" s="8">
        <v>98</v>
      </c>
      <c r="E16" s="55">
        <v>0</v>
      </c>
      <c r="F16" s="49">
        <v>98</v>
      </c>
      <c r="G16" s="59">
        <v>208</v>
      </c>
      <c r="H16" s="41"/>
      <c r="I16" s="5"/>
      <c r="J16" s="117"/>
      <c r="K16" s="117"/>
      <c r="N16" s="112"/>
      <c r="O16" s="112"/>
    </row>
    <row r="17" spans="2:17">
      <c r="B17" s="9" t="s">
        <v>71</v>
      </c>
      <c r="C17" s="9"/>
      <c r="D17" s="10">
        <v>89</v>
      </c>
      <c r="E17" s="56">
        <v>-20</v>
      </c>
      <c r="F17" s="50">
        <v>83</v>
      </c>
      <c r="G17" s="60">
        <v>106</v>
      </c>
      <c r="H17" s="41"/>
      <c r="I17" s="5"/>
      <c r="J17" s="117"/>
      <c r="K17" s="117"/>
      <c r="N17" s="112"/>
      <c r="O17" s="112"/>
    </row>
    <row r="18" spans="2:17">
      <c r="B18" s="2" t="s">
        <v>8</v>
      </c>
      <c r="C18" s="2"/>
      <c r="D18" s="72">
        <v>309</v>
      </c>
      <c r="E18" s="72">
        <v>402</v>
      </c>
      <c r="F18" s="72">
        <v>1116</v>
      </c>
      <c r="G18" s="72">
        <v>781</v>
      </c>
      <c r="H18" s="41"/>
      <c r="I18" s="5"/>
      <c r="J18" s="117"/>
      <c r="K18" s="117"/>
      <c r="N18" s="112"/>
      <c r="O18" s="112"/>
    </row>
    <row r="19" spans="2:17">
      <c r="B19" s="9" t="s">
        <v>65</v>
      </c>
      <c r="C19" s="9"/>
      <c r="D19" s="73">
        <v>60</v>
      </c>
      <c r="E19" s="73">
        <v>92</v>
      </c>
      <c r="F19" s="73">
        <v>242</v>
      </c>
      <c r="G19" s="60">
        <v>159</v>
      </c>
      <c r="H19" s="99"/>
      <c r="I19" s="5"/>
      <c r="J19" s="117"/>
      <c r="K19" s="117"/>
      <c r="N19" s="112"/>
      <c r="O19" s="112"/>
    </row>
    <row r="20" spans="2:17">
      <c r="B20" s="6" t="s">
        <v>66</v>
      </c>
      <c r="C20" s="2"/>
      <c r="D20" s="72">
        <v>249</v>
      </c>
      <c r="E20" s="72">
        <v>310</v>
      </c>
      <c r="F20" s="72">
        <v>874</v>
      </c>
      <c r="G20" s="72">
        <v>622</v>
      </c>
      <c r="H20" s="41"/>
      <c r="I20" s="5"/>
      <c r="J20" s="117"/>
      <c r="K20" s="117"/>
      <c r="N20" s="112"/>
      <c r="O20" s="112"/>
    </row>
    <row r="21" spans="2:17">
      <c r="B21" s="9" t="s">
        <v>59</v>
      </c>
      <c r="C21" s="9"/>
      <c r="D21" s="10">
        <v>6</v>
      </c>
      <c r="E21" s="73">
        <v>54</v>
      </c>
      <c r="F21" s="50">
        <v>2197</v>
      </c>
      <c r="G21" s="73">
        <v>189</v>
      </c>
      <c r="H21" s="41"/>
      <c r="I21" s="5"/>
      <c r="J21" s="117"/>
      <c r="K21" s="117"/>
      <c r="N21" s="112"/>
      <c r="O21" s="112"/>
    </row>
    <row r="22" spans="2:17">
      <c r="B22" s="6" t="s">
        <v>9</v>
      </c>
      <c r="C22" s="2"/>
      <c r="D22" s="72">
        <v>255</v>
      </c>
      <c r="E22" s="72">
        <v>364</v>
      </c>
      <c r="F22" s="72">
        <v>3071</v>
      </c>
      <c r="G22" s="72">
        <v>811</v>
      </c>
      <c r="H22" s="41"/>
      <c r="I22" s="5"/>
      <c r="J22" s="117"/>
      <c r="K22" s="117"/>
      <c r="N22" s="112"/>
      <c r="O22" s="112"/>
    </row>
    <row r="23" spans="2:17">
      <c r="B23" s="9"/>
      <c r="C23" s="9" t="s">
        <v>10</v>
      </c>
      <c r="D23" s="10">
        <v>-29</v>
      </c>
      <c r="E23" s="73">
        <v>-25</v>
      </c>
      <c r="F23" s="50">
        <v>-94</v>
      </c>
      <c r="G23" s="73">
        <v>-97</v>
      </c>
      <c r="H23" s="41"/>
      <c r="I23" s="5"/>
      <c r="J23" s="117"/>
      <c r="K23" s="117"/>
      <c r="N23" s="112"/>
      <c r="O23" s="112"/>
    </row>
    <row r="24" spans="2:17" ht="17.25" thickBot="1">
      <c r="B24" s="11" t="s">
        <v>11</v>
      </c>
      <c r="C24" s="11"/>
      <c r="D24" s="39">
        <v>226</v>
      </c>
      <c r="E24" s="39">
        <v>339</v>
      </c>
      <c r="F24" s="39">
        <v>2977</v>
      </c>
      <c r="G24" s="39">
        <v>714</v>
      </c>
      <c r="H24" s="41"/>
      <c r="I24" s="5"/>
      <c r="J24" s="125"/>
      <c r="K24" s="125"/>
      <c r="N24" s="112"/>
      <c r="O24" s="112"/>
    </row>
    <row r="25" spans="2:17" s="12" customFormat="1" ht="8.25" customHeight="1" thickTop="1">
      <c r="B25" s="6"/>
      <c r="C25" s="6"/>
      <c r="D25" s="14"/>
      <c r="E25" s="14"/>
      <c r="G25" s="97"/>
      <c r="H25" s="41"/>
      <c r="J25" s="119"/>
      <c r="K25" s="119"/>
      <c r="L25" s="118"/>
      <c r="M25" s="118"/>
      <c r="N25" s="118"/>
      <c r="O25" s="118"/>
      <c r="P25" s="118"/>
      <c r="Q25" s="118"/>
    </row>
    <row r="26" spans="2:17" s="12" customFormat="1">
      <c r="B26" s="35" t="s">
        <v>51</v>
      </c>
      <c r="C26" s="35"/>
      <c r="D26" s="36"/>
      <c r="E26" s="36"/>
      <c r="F26" s="36"/>
      <c r="G26" s="36"/>
      <c r="H26" s="41"/>
      <c r="J26" s="119"/>
      <c r="K26" s="119"/>
      <c r="L26" s="118"/>
      <c r="M26" s="118"/>
      <c r="N26" s="118"/>
      <c r="O26" s="118"/>
      <c r="P26" s="118"/>
      <c r="Q26" s="118"/>
    </row>
    <row r="27" spans="2:17" s="12" customFormat="1">
      <c r="B27" s="6"/>
      <c r="C27" s="75" t="s">
        <v>67</v>
      </c>
      <c r="D27" s="136">
        <v>220</v>
      </c>
      <c r="E27" s="119">
        <v>288</v>
      </c>
      <c r="F27" s="136">
        <v>780</v>
      </c>
      <c r="G27" s="62">
        <v>535</v>
      </c>
      <c r="H27" s="41"/>
      <c r="J27" s="125"/>
      <c r="K27" s="119"/>
      <c r="L27" s="118"/>
      <c r="M27" s="118"/>
      <c r="N27" s="118"/>
      <c r="O27" s="118"/>
      <c r="P27" s="118"/>
      <c r="Q27" s="118"/>
    </row>
    <row r="28" spans="2:17" s="12" customFormat="1">
      <c r="B28" s="6"/>
      <c r="C28" s="75" t="s">
        <v>52</v>
      </c>
      <c r="D28" s="122">
        <v>6</v>
      </c>
      <c r="E28" s="122">
        <v>51</v>
      </c>
      <c r="F28" s="122">
        <v>2197</v>
      </c>
      <c r="G28" s="30">
        <v>179</v>
      </c>
      <c r="H28" s="41"/>
      <c r="J28" s="119"/>
      <c r="K28" s="122"/>
      <c r="L28" s="118"/>
      <c r="M28" s="118"/>
      <c r="N28" s="118"/>
      <c r="O28" s="118"/>
      <c r="P28" s="118"/>
      <c r="Q28" s="118"/>
    </row>
    <row r="29" spans="2:17" s="12" customFormat="1" ht="17.25" thickBot="1">
      <c r="B29" s="37" t="s">
        <v>53</v>
      </c>
      <c r="C29" s="100"/>
      <c r="D29" s="39">
        <v>226</v>
      </c>
      <c r="E29" s="39">
        <v>339</v>
      </c>
      <c r="F29" s="39">
        <v>2977</v>
      </c>
      <c r="G29" s="39">
        <v>714</v>
      </c>
      <c r="H29" s="41"/>
      <c r="J29" s="125"/>
      <c r="K29" s="125"/>
      <c r="L29" s="118"/>
      <c r="M29" s="118"/>
      <c r="N29" s="118"/>
      <c r="O29" s="118"/>
      <c r="P29" s="118"/>
      <c r="Q29" s="118"/>
    </row>
    <row r="30" spans="2:17" s="12" customFormat="1" ht="17.25" thickTop="1">
      <c r="B30" s="6"/>
      <c r="C30" s="75"/>
      <c r="D30" s="119"/>
      <c r="E30" s="119"/>
      <c r="F30" s="119"/>
      <c r="G30" s="62"/>
      <c r="H30" s="41"/>
      <c r="J30" s="119"/>
      <c r="K30" s="119"/>
      <c r="L30" s="118"/>
      <c r="M30" s="118"/>
      <c r="N30" s="118"/>
      <c r="O30" s="118"/>
      <c r="P30" s="109"/>
      <c r="Q30" s="118"/>
    </row>
    <row r="31" spans="2:17" s="12" customFormat="1">
      <c r="B31" s="35" t="s">
        <v>12</v>
      </c>
      <c r="C31" s="101"/>
      <c r="D31" s="36"/>
      <c r="E31" s="53"/>
      <c r="F31" s="36"/>
      <c r="G31" s="53"/>
      <c r="H31" s="41"/>
      <c r="J31" s="131"/>
      <c r="K31" s="119"/>
      <c r="L31" s="118"/>
      <c r="M31" s="118"/>
      <c r="N31" s="118"/>
      <c r="O31" s="118"/>
      <c r="P31" s="118"/>
      <c r="Q31" s="118"/>
    </row>
    <row r="32" spans="2:17" s="12" customFormat="1">
      <c r="B32" s="6"/>
      <c r="C32" s="75" t="s">
        <v>67</v>
      </c>
      <c r="D32" s="126">
        <v>1.54</v>
      </c>
      <c r="E32" s="38">
        <v>1.88</v>
      </c>
      <c r="F32" s="126">
        <v>5.4</v>
      </c>
      <c r="G32" s="38">
        <v>3.49</v>
      </c>
      <c r="H32" s="41"/>
      <c r="J32" s="126"/>
      <c r="K32" s="123"/>
      <c r="L32" s="118"/>
      <c r="M32" s="118"/>
      <c r="N32" s="118"/>
      <c r="O32" s="118"/>
      <c r="P32" s="118"/>
      <c r="Q32" s="118"/>
    </row>
    <row r="33" spans="1:17" s="12" customFormat="1">
      <c r="B33" s="6"/>
      <c r="C33" s="75" t="s">
        <v>52</v>
      </c>
      <c r="D33" s="124">
        <v>0.04</v>
      </c>
      <c r="E33" s="43">
        <v>0.33</v>
      </c>
      <c r="F33" s="124">
        <v>15.21</v>
      </c>
      <c r="G33" s="43">
        <v>1.17</v>
      </c>
      <c r="H33" s="41"/>
      <c r="J33" s="124"/>
      <c r="K33" s="124"/>
      <c r="L33" s="118"/>
      <c r="M33" s="118"/>
      <c r="N33" s="118"/>
      <c r="O33" s="118"/>
      <c r="P33" s="118"/>
      <c r="Q33" s="118"/>
    </row>
    <row r="34" spans="1:17" s="12" customFormat="1" ht="17.25" thickBot="1">
      <c r="B34" s="37" t="s">
        <v>53</v>
      </c>
      <c r="C34" s="100"/>
      <c r="D34" s="74">
        <v>1.58</v>
      </c>
      <c r="E34" s="74">
        <v>2.21</v>
      </c>
      <c r="F34" s="74">
        <v>20.61</v>
      </c>
      <c r="G34" s="74">
        <v>4.66</v>
      </c>
      <c r="H34" s="41"/>
      <c r="J34" s="126"/>
      <c r="K34" s="126"/>
      <c r="L34" s="118"/>
      <c r="M34" s="118"/>
      <c r="N34" s="118"/>
      <c r="O34" s="118"/>
      <c r="P34" s="118"/>
      <c r="Q34" s="118"/>
    </row>
    <row r="35" spans="1:17" ht="10.5" customHeight="1" thickTop="1">
      <c r="B35" s="2"/>
      <c r="C35" s="23"/>
      <c r="D35" s="104"/>
      <c r="E35" s="69"/>
      <c r="F35" s="104"/>
      <c r="G35" s="61"/>
      <c r="H35" s="41"/>
      <c r="J35" s="119"/>
      <c r="K35" s="119"/>
    </row>
    <row r="36" spans="1:17">
      <c r="B36" s="35" t="s">
        <v>13</v>
      </c>
      <c r="C36" s="101"/>
      <c r="D36" s="36"/>
      <c r="E36" s="53"/>
      <c r="F36" s="36"/>
      <c r="G36" s="53"/>
      <c r="H36" s="41"/>
      <c r="J36" s="119" t="s">
        <v>68</v>
      </c>
      <c r="K36" s="119"/>
    </row>
    <row r="37" spans="1:17">
      <c r="B37" s="6"/>
      <c r="C37" s="75" t="s">
        <v>67</v>
      </c>
      <c r="D37" s="126">
        <v>1.52</v>
      </c>
      <c r="E37" s="54">
        <v>1.86</v>
      </c>
      <c r="F37" s="126">
        <v>5.34</v>
      </c>
      <c r="G37" s="44">
        <v>3.46</v>
      </c>
      <c r="H37" s="41"/>
      <c r="J37" s="126"/>
      <c r="K37" s="113"/>
    </row>
    <row r="38" spans="1:17">
      <c r="B38" s="6"/>
      <c r="C38" s="75" t="s">
        <v>52</v>
      </c>
      <c r="D38" s="124">
        <v>0.04</v>
      </c>
      <c r="E38" s="45">
        <v>0.32</v>
      </c>
      <c r="F38" s="124">
        <v>15.05</v>
      </c>
      <c r="G38" s="45">
        <v>1.1499999999999999</v>
      </c>
      <c r="H38" s="41"/>
      <c r="J38" s="124"/>
      <c r="K38" s="124"/>
    </row>
    <row r="39" spans="1:17" ht="17.25" thickBot="1">
      <c r="B39" s="37" t="s">
        <v>53</v>
      </c>
      <c r="C39" s="100"/>
      <c r="D39" s="74">
        <v>1.56</v>
      </c>
      <c r="E39" s="74">
        <v>2.1800000000000002</v>
      </c>
      <c r="F39" s="74">
        <v>20.39</v>
      </c>
      <c r="G39" s="74">
        <v>4.6100000000000003</v>
      </c>
      <c r="H39" s="41"/>
      <c r="J39" s="126"/>
      <c r="K39" s="126"/>
      <c r="O39" s="112"/>
      <c r="P39" s="112"/>
    </row>
    <row r="40" spans="1:17" ht="9" customHeight="1" thickTop="1">
      <c r="B40" s="2"/>
      <c r="C40" s="2"/>
      <c r="D40" s="104"/>
      <c r="E40" s="4"/>
      <c r="F40" s="104"/>
      <c r="G40" s="61"/>
      <c r="H40" s="41"/>
      <c r="J40" s="119"/>
      <c r="K40" s="119"/>
    </row>
    <row r="41" spans="1:17" ht="17.25" thickBot="1">
      <c r="B41" s="16" t="s">
        <v>14</v>
      </c>
      <c r="C41" s="16"/>
      <c r="D41" s="77">
        <v>143.19999999999999</v>
      </c>
      <c r="E41" s="63">
        <v>153.69999999999999</v>
      </c>
      <c r="F41" s="77">
        <v>144.4</v>
      </c>
      <c r="G41" s="65">
        <v>153.19999999999999</v>
      </c>
      <c r="H41" s="41"/>
      <c r="J41" s="120"/>
      <c r="K41" s="120"/>
    </row>
    <row r="42" spans="1:17" ht="11.25" customHeight="1" thickTop="1">
      <c r="B42" s="2"/>
      <c r="C42" s="2"/>
      <c r="D42" s="104"/>
      <c r="E42" s="4"/>
      <c r="F42" s="104"/>
      <c r="G42" s="61"/>
      <c r="H42" s="41"/>
      <c r="J42" s="119"/>
      <c r="K42" s="119"/>
    </row>
    <row r="43" spans="1:17" ht="17.25" thickBot="1">
      <c r="B43" s="16" t="s">
        <v>15</v>
      </c>
      <c r="C43" s="16"/>
      <c r="D43" s="77">
        <v>144.9</v>
      </c>
      <c r="E43" s="64">
        <v>155.5</v>
      </c>
      <c r="F43" s="77">
        <v>146</v>
      </c>
      <c r="G43" s="77">
        <v>154.80000000000001</v>
      </c>
      <c r="H43" s="41"/>
      <c r="J43" s="120"/>
      <c r="K43" s="120"/>
    </row>
    <row r="44" spans="1:17" ht="17.25" thickTop="1">
      <c r="B44" s="22"/>
      <c r="C44" s="6" t="s">
        <v>81</v>
      </c>
      <c r="D44" s="17"/>
      <c r="F44" s="107"/>
      <c r="G44" s="5"/>
      <c r="H44" s="41"/>
      <c r="J44" s="116"/>
    </row>
    <row r="45" spans="1:17" s="103" customFormat="1" ht="24.75" customHeight="1">
      <c r="B45" s="150" t="s">
        <v>1</v>
      </c>
      <c r="C45" s="6"/>
      <c r="D45" s="120"/>
      <c r="F45" s="107"/>
      <c r="G45" s="105"/>
      <c r="H45" s="41"/>
      <c r="J45" s="116"/>
      <c r="K45" s="118"/>
      <c r="L45" s="118"/>
      <c r="M45" s="118"/>
      <c r="N45" s="118"/>
      <c r="O45" s="118"/>
      <c r="P45" s="118"/>
      <c r="Q45" s="118"/>
    </row>
    <row r="46" spans="1:17" ht="15.75" customHeight="1">
      <c r="A46" s="107"/>
      <c r="B46" s="18" t="s">
        <v>16</v>
      </c>
      <c r="C46" s="121"/>
      <c r="D46" s="120"/>
      <c r="E46" s="107"/>
      <c r="F46" s="107"/>
      <c r="G46" s="5"/>
      <c r="H46" s="41"/>
      <c r="J46" s="116"/>
    </row>
    <row r="47" spans="1:17" ht="86.25" customHeight="1">
      <c r="A47" s="107"/>
      <c r="B47" s="18"/>
      <c r="C47" s="157" t="s">
        <v>82</v>
      </c>
      <c r="D47" s="157"/>
      <c r="E47" s="157"/>
      <c r="F47" s="157"/>
      <c r="G47" s="5"/>
      <c r="H47" s="41"/>
      <c r="J47" s="116"/>
    </row>
    <row r="48" spans="1:17" ht="7.5" customHeight="1">
      <c r="A48" s="107"/>
      <c r="B48" s="18"/>
      <c r="C48" s="137"/>
      <c r="D48" s="137"/>
      <c r="E48" s="137"/>
      <c r="F48" s="137"/>
      <c r="G48" s="5"/>
      <c r="H48" s="41"/>
      <c r="J48" s="116"/>
    </row>
    <row r="49" spans="2:17">
      <c r="B49" s="18" t="s">
        <v>17</v>
      </c>
      <c r="C49" s="121"/>
      <c r="D49" s="120"/>
      <c r="E49" s="107"/>
      <c r="F49" s="107"/>
      <c r="G49" s="5"/>
      <c r="H49" s="41"/>
      <c r="J49" s="116"/>
    </row>
    <row r="50" spans="2:17" ht="16.5" customHeight="1">
      <c r="B50" s="121"/>
      <c r="C50" s="154" t="s">
        <v>84</v>
      </c>
      <c r="D50" s="155"/>
      <c r="E50" s="155"/>
      <c r="F50" s="155"/>
      <c r="G50" s="5"/>
      <c r="H50" s="41"/>
      <c r="J50" s="116"/>
    </row>
    <row r="51" spans="2:17" s="103" customFormat="1" ht="16.5" customHeight="1">
      <c r="B51" s="121"/>
      <c r="C51" s="154"/>
      <c r="D51" s="155"/>
      <c r="E51" s="155"/>
      <c r="F51" s="155"/>
      <c r="G51" s="105"/>
      <c r="H51" s="41"/>
      <c r="J51" s="116"/>
      <c r="K51" s="118"/>
      <c r="L51" s="118"/>
      <c r="M51" s="118"/>
      <c r="N51" s="118"/>
      <c r="O51" s="118"/>
      <c r="P51" s="118"/>
      <c r="Q51" s="118"/>
    </row>
    <row r="52" spans="2:17" s="103" customFormat="1" ht="16.5" customHeight="1">
      <c r="B52" s="121"/>
      <c r="C52" s="154"/>
      <c r="D52" s="155"/>
      <c r="E52" s="155"/>
      <c r="F52" s="155"/>
      <c r="G52" s="105"/>
      <c r="H52" s="41"/>
      <c r="J52" s="116"/>
      <c r="K52" s="118"/>
      <c r="L52" s="118"/>
      <c r="M52" s="118"/>
      <c r="N52" s="118"/>
      <c r="O52" s="118"/>
      <c r="P52" s="118"/>
      <c r="Q52" s="118"/>
    </row>
    <row r="53" spans="2:17" s="103" customFormat="1">
      <c r="B53" s="121"/>
      <c r="C53" s="154"/>
      <c r="D53" s="155"/>
      <c r="E53" s="155"/>
      <c r="F53" s="155"/>
      <c r="G53" s="105"/>
      <c r="H53" s="41"/>
      <c r="J53" s="116"/>
      <c r="K53" s="118"/>
      <c r="L53" s="118"/>
      <c r="M53" s="118"/>
      <c r="N53" s="118"/>
      <c r="O53" s="118"/>
      <c r="P53" s="118"/>
      <c r="Q53" s="118"/>
    </row>
    <row r="54" spans="2:17" s="103" customFormat="1">
      <c r="B54" s="121"/>
      <c r="C54" s="154"/>
      <c r="D54" s="155"/>
      <c r="E54" s="155"/>
      <c r="F54" s="155"/>
      <c r="G54" s="105"/>
      <c r="H54" s="41"/>
      <c r="J54" s="116"/>
      <c r="K54" s="118"/>
      <c r="L54" s="118"/>
      <c r="M54" s="118"/>
      <c r="N54" s="118"/>
      <c r="O54" s="118"/>
      <c r="P54" s="118"/>
      <c r="Q54" s="118"/>
    </row>
    <row r="55" spans="2:17">
      <c r="B55" s="121"/>
      <c r="C55" s="155"/>
      <c r="D55" s="155"/>
      <c r="E55" s="155"/>
      <c r="F55" s="155"/>
      <c r="G55" s="5"/>
      <c r="H55" s="41"/>
      <c r="J55" s="116"/>
    </row>
    <row r="56" spans="2:17" s="103" customFormat="1" ht="10.5" customHeight="1">
      <c r="B56" s="121"/>
      <c r="C56" s="138"/>
      <c r="D56" s="138"/>
      <c r="E56" s="138"/>
      <c r="F56" s="138"/>
      <c r="G56" s="105"/>
      <c r="H56" s="41"/>
      <c r="J56" s="116"/>
      <c r="K56" s="118"/>
      <c r="L56" s="118"/>
      <c r="M56" s="118"/>
      <c r="N56" s="118"/>
      <c r="O56" s="118"/>
      <c r="P56" s="118"/>
      <c r="Q56" s="118"/>
    </row>
    <row r="57" spans="2:17">
      <c r="B57" s="18" t="s">
        <v>18</v>
      </c>
      <c r="C57" s="121"/>
      <c r="D57" s="120"/>
      <c r="E57" s="120"/>
      <c r="F57" s="107"/>
      <c r="G57" s="5"/>
      <c r="H57" s="41"/>
      <c r="J57" s="116"/>
    </row>
    <row r="58" spans="2:17" ht="16.5" customHeight="1">
      <c r="B58" s="121"/>
      <c r="C58" s="157" t="s">
        <v>83</v>
      </c>
      <c r="D58" s="157"/>
      <c r="E58" s="157"/>
      <c r="F58" s="157"/>
      <c r="G58" s="5"/>
      <c r="H58" s="41"/>
    </row>
    <row r="59" spans="2:17" s="103" customFormat="1" ht="16.5" customHeight="1">
      <c r="B59" s="121"/>
      <c r="C59" s="157"/>
      <c r="D59" s="157"/>
      <c r="E59" s="157"/>
      <c r="F59" s="157"/>
      <c r="G59" s="105"/>
      <c r="H59" s="41"/>
      <c r="J59" s="118"/>
      <c r="K59" s="118"/>
      <c r="L59" s="118"/>
      <c r="M59" s="118"/>
      <c r="N59" s="118"/>
      <c r="O59" s="118"/>
      <c r="P59" s="118"/>
      <c r="Q59" s="118"/>
    </row>
    <row r="60" spans="2:17" s="103" customFormat="1" ht="16.5" customHeight="1">
      <c r="B60" s="121"/>
      <c r="C60" s="157"/>
      <c r="D60" s="157"/>
      <c r="E60" s="157"/>
      <c r="F60" s="157"/>
      <c r="G60" s="105"/>
      <c r="H60" s="41"/>
      <c r="J60" s="118"/>
      <c r="K60" s="118"/>
      <c r="L60" s="118"/>
      <c r="M60" s="118"/>
      <c r="N60" s="118"/>
      <c r="O60" s="118"/>
      <c r="P60" s="118"/>
      <c r="Q60" s="118"/>
    </row>
    <row r="61" spans="2:17" ht="32.25" customHeight="1">
      <c r="B61" s="121"/>
      <c r="C61" s="157"/>
      <c r="D61" s="157"/>
      <c r="E61" s="157"/>
      <c r="F61" s="157"/>
      <c r="G61" s="5"/>
      <c r="H61" s="41"/>
    </row>
    <row r="62" spans="2:17" ht="29.25" customHeight="1">
      <c r="B62" s="121"/>
      <c r="C62" s="157"/>
      <c r="D62" s="157"/>
      <c r="E62" s="157"/>
      <c r="F62" s="157"/>
      <c r="G62" s="5"/>
      <c r="H62" s="41"/>
    </row>
    <row r="63" spans="2:17" ht="30" customHeight="1">
      <c r="B63" s="121"/>
      <c r="C63" s="157"/>
      <c r="D63" s="157"/>
      <c r="E63" s="157"/>
      <c r="F63" s="157"/>
      <c r="G63" s="5"/>
      <c r="H63" s="41"/>
      <c r="M63" s="116"/>
    </row>
    <row r="64" spans="2:17" ht="9" customHeight="1">
      <c r="B64" s="18"/>
      <c r="C64" s="108"/>
      <c r="D64" s="108"/>
      <c r="E64" s="108"/>
      <c r="F64" s="108"/>
      <c r="G64" s="5"/>
      <c r="H64" s="41"/>
    </row>
    <row r="65" spans="2:17" s="103" customFormat="1" ht="16.5" customHeight="1">
      <c r="B65" s="18" t="s">
        <v>54</v>
      </c>
      <c r="C65" s="108"/>
      <c r="D65" s="108"/>
      <c r="E65" s="108"/>
      <c r="F65" s="108"/>
      <c r="G65" s="105"/>
      <c r="H65" s="41"/>
      <c r="J65" s="118"/>
      <c r="K65" s="118"/>
      <c r="L65" s="118"/>
      <c r="M65" s="118"/>
      <c r="N65" s="118"/>
      <c r="O65" s="118"/>
      <c r="P65" s="118"/>
      <c r="Q65" s="118"/>
    </row>
    <row r="66" spans="2:17" s="66" customFormat="1" ht="104.25" customHeight="1">
      <c r="B66" s="121"/>
      <c r="C66" s="158" t="s">
        <v>77</v>
      </c>
      <c r="D66" s="158"/>
      <c r="E66" s="158"/>
      <c r="F66" s="158"/>
      <c r="G66" s="134"/>
      <c r="H66" s="41"/>
      <c r="I66" s="111"/>
      <c r="J66" s="114"/>
      <c r="K66" s="118"/>
      <c r="L66" s="118"/>
      <c r="M66" s="118"/>
      <c r="N66" s="118"/>
      <c r="O66" s="118"/>
      <c r="P66" s="118"/>
      <c r="Q66" s="118"/>
    </row>
    <row r="67" spans="2:17" s="103" customFormat="1" ht="153.75" customHeight="1">
      <c r="B67" s="121"/>
      <c r="C67" s="158" t="s">
        <v>91</v>
      </c>
      <c r="D67" s="158"/>
      <c r="E67" s="158"/>
      <c r="F67" s="158"/>
      <c r="G67" s="134"/>
      <c r="H67" s="41"/>
      <c r="I67" s="111"/>
      <c r="J67" s="114"/>
      <c r="K67" s="118"/>
      <c r="L67" s="118"/>
      <c r="M67" s="118"/>
      <c r="N67" s="118"/>
      <c r="O67" s="118"/>
      <c r="P67" s="118"/>
      <c r="Q67" s="118"/>
    </row>
    <row r="68" spans="2:17" s="103" customFormat="1" ht="7.5" customHeight="1">
      <c r="B68" s="121"/>
      <c r="C68" s="145"/>
      <c r="D68" s="145"/>
      <c r="E68" s="145"/>
      <c r="F68" s="145"/>
      <c r="G68" s="134"/>
      <c r="H68" s="41"/>
      <c r="I68" s="111"/>
      <c r="J68" s="114"/>
      <c r="K68" s="118"/>
      <c r="L68" s="118"/>
      <c r="M68" s="118"/>
      <c r="N68" s="118"/>
      <c r="O68" s="118"/>
      <c r="P68" s="118"/>
      <c r="Q68" s="118"/>
    </row>
    <row r="69" spans="2:17" ht="16.5" customHeight="1">
      <c r="B69" s="18" t="s">
        <v>58</v>
      </c>
      <c r="C69" s="139"/>
      <c r="D69" s="139"/>
      <c r="E69" s="139"/>
      <c r="F69" s="108"/>
      <c r="G69" s="70"/>
      <c r="H69" s="41"/>
    </row>
    <row r="70" spans="2:17" ht="16.5" customHeight="1">
      <c r="B70" s="121"/>
      <c r="C70" s="157" t="s">
        <v>89</v>
      </c>
      <c r="D70" s="157"/>
      <c r="E70" s="157"/>
      <c r="F70" s="157"/>
      <c r="G70" s="70"/>
      <c r="H70" s="41"/>
    </row>
    <row r="71" spans="2:17" s="98" customFormat="1" ht="16.5" customHeight="1">
      <c r="B71" s="121"/>
      <c r="C71" s="157"/>
      <c r="D71" s="157"/>
      <c r="E71" s="157"/>
      <c r="F71" s="157"/>
      <c r="G71" s="70"/>
      <c r="H71" s="41"/>
      <c r="J71" s="118"/>
      <c r="K71" s="118"/>
      <c r="L71" s="118"/>
      <c r="M71" s="118"/>
      <c r="N71" s="118"/>
      <c r="O71" s="118"/>
      <c r="P71" s="118"/>
      <c r="Q71" s="118"/>
    </row>
    <row r="72" spans="2:17" ht="16.5" customHeight="1">
      <c r="B72" s="121"/>
      <c r="C72" s="157"/>
      <c r="D72" s="157"/>
      <c r="E72" s="157"/>
      <c r="F72" s="157"/>
      <c r="G72" s="70"/>
      <c r="H72" s="41"/>
    </row>
    <row r="73" spans="2:17" ht="16.5" customHeight="1">
      <c r="B73" s="121"/>
      <c r="C73" s="157"/>
      <c r="D73" s="157"/>
      <c r="E73" s="157"/>
      <c r="F73" s="157"/>
      <c r="G73" s="70"/>
      <c r="H73" s="41"/>
    </row>
    <row r="74" spans="2:17">
      <c r="B74" s="67" t="s">
        <v>0</v>
      </c>
      <c r="G74" s="70"/>
      <c r="H74" s="41"/>
    </row>
    <row r="75" spans="2:17" s="103" customFormat="1">
      <c r="B75" s="67" t="s">
        <v>79</v>
      </c>
      <c r="C75" s="148"/>
      <c r="G75" s="105"/>
      <c r="H75" s="41"/>
      <c r="J75" s="118"/>
      <c r="K75" s="118"/>
      <c r="L75" s="118"/>
      <c r="M75" s="118"/>
      <c r="N75" s="118"/>
      <c r="O75" s="118"/>
      <c r="P75" s="118"/>
      <c r="Q75" s="118"/>
    </row>
    <row r="76" spans="2:17">
      <c r="B76" s="67" t="s">
        <v>80</v>
      </c>
      <c r="G76" s="70"/>
      <c r="H76" s="41"/>
    </row>
    <row r="77" spans="2:17">
      <c r="B77" s="2"/>
      <c r="C77" s="67"/>
      <c r="D77" s="31" t="s">
        <v>73</v>
      </c>
      <c r="E77" s="31" t="s">
        <v>73</v>
      </c>
      <c r="F77" s="76" t="s">
        <v>19</v>
      </c>
      <c r="G77" s="70"/>
      <c r="H77" s="41"/>
    </row>
    <row r="78" spans="2:17">
      <c r="B78" s="2"/>
      <c r="C78" s="2"/>
      <c r="D78" s="32">
        <v>2013</v>
      </c>
      <c r="E78" s="3" t="s">
        <v>63</v>
      </c>
      <c r="F78" s="3" t="s">
        <v>63</v>
      </c>
      <c r="G78" s="5"/>
      <c r="H78" s="41"/>
    </row>
    <row r="79" spans="2:17">
      <c r="B79" s="2" t="s">
        <v>21</v>
      </c>
      <c r="C79" s="2"/>
      <c r="D79" s="2"/>
      <c r="E79" s="2"/>
      <c r="F79" s="2"/>
      <c r="G79" s="5"/>
      <c r="H79" s="41"/>
    </row>
    <row r="80" spans="2:17">
      <c r="B80" s="2"/>
      <c r="C80" s="2" t="s">
        <v>87</v>
      </c>
      <c r="D80" s="4">
        <v>1562</v>
      </c>
      <c r="E80" s="87">
        <v>1392</v>
      </c>
      <c r="F80" s="4">
        <v>1306</v>
      </c>
      <c r="G80" s="5"/>
      <c r="H80" s="41"/>
    </row>
    <row r="81" spans="2:8">
      <c r="B81" s="2"/>
      <c r="C81" s="2" t="s">
        <v>22</v>
      </c>
      <c r="D81" s="21">
        <v>687</v>
      </c>
      <c r="E81" s="91">
        <v>619</v>
      </c>
      <c r="F81" s="21">
        <v>1087</v>
      </c>
      <c r="G81" s="5"/>
      <c r="H81" s="41"/>
    </row>
    <row r="82" spans="2:8">
      <c r="B82" s="2"/>
      <c r="C82" s="2" t="s">
        <v>23</v>
      </c>
      <c r="D82" s="21">
        <v>3122</v>
      </c>
      <c r="E82" s="91">
        <v>3190</v>
      </c>
      <c r="F82" s="21">
        <v>2813</v>
      </c>
      <c r="G82" s="5"/>
      <c r="H82" s="41"/>
    </row>
    <row r="83" spans="2:8">
      <c r="B83" s="2"/>
      <c r="C83" s="2" t="s">
        <v>24</v>
      </c>
      <c r="D83" s="21">
        <v>1878</v>
      </c>
      <c r="E83" s="91">
        <v>1777</v>
      </c>
      <c r="F83" s="21">
        <v>1687</v>
      </c>
      <c r="G83" s="5"/>
      <c r="H83" s="41"/>
    </row>
    <row r="84" spans="2:8">
      <c r="B84" s="2"/>
      <c r="C84" s="6" t="s">
        <v>25</v>
      </c>
      <c r="D84" s="71">
        <v>874</v>
      </c>
      <c r="E84" s="88">
        <v>799</v>
      </c>
      <c r="F84" s="7">
        <v>822</v>
      </c>
      <c r="G84" s="5"/>
      <c r="H84" s="41"/>
    </row>
    <row r="85" spans="2:8" ht="17.25" thickBot="1">
      <c r="B85" s="6"/>
      <c r="C85" s="22" t="s">
        <v>26</v>
      </c>
      <c r="D85" s="13">
        <v>8123</v>
      </c>
      <c r="E85" s="90">
        <v>7777</v>
      </c>
      <c r="F85" s="13">
        <v>7715</v>
      </c>
      <c r="G85" s="5"/>
      <c r="H85" s="41"/>
    </row>
    <row r="86" spans="2:8" ht="17.25" thickTop="1">
      <c r="B86" s="6"/>
      <c r="C86" s="6"/>
      <c r="D86" s="23"/>
      <c r="E86" s="92"/>
      <c r="F86" s="23"/>
      <c r="G86" s="5"/>
      <c r="H86" s="41"/>
    </row>
    <row r="87" spans="2:8">
      <c r="B87" s="6" t="s">
        <v>27</v>
      </c>
      <c r="C87" s="6"/>
      <c r="D87" s="23"/>
      <c r="E87" s="92"/>
      <c r="F87" s="23"/>
      <c r="G87" s="5"/>
      <c r="H87" s="41"/>
    </row>
    <row r="88" spans="2:8">
      <c r="B88" s="6"/>
      <c r="C88" s="6" t="s">
        <v>88</v>
      </c>
      <c r="D88" s="4">
        <v>27</v>
      </c>
      <c r="E88" s="87">
        <v>636</v>
      </c>
      <c r="F88" s="4">
        <v>642</v>
      </c>
      <c r="G88" s="5"/>
      <c r="H88" s="41"/>
    </row>
    <row r="89" spans="2:8">
      <c r="B89" s="6"/>
      <c r="C89" s="6" t="s">
        <v>28</v>
      </c>
      <c r="D89" s="40">
        <v>732</v>
      </c>
      <c r="E89" s="91">
        <v>654</v>
      </c>
      <c r="F89" s="21">
        <v>683</v>
      </c>
      <c r="G89" s="5"/>
      <c r="H89" s="41"/>
    </row>
    <row r="90" spans="2:8">
      <c r="B90" s="6"/>
      <c r="C90" s="6" t="s">
        <v>29</v>
      </c>
      <c r="D90" s="71">
        <v>3605</v>
      </c>
      <c r="E90" s="88">
        <v>3200</v>
      </c>
      <c r="F90" s="7">
        <v>3136</v>
      </c>
      <c r="G90" s="5"/>
      <c r="H90" s="41"/>
    </row>
    <row r="91" spans="2:8" ht="17.25" thickBot="1">
      <c r="B91" s="6"/>
      <c r="C91" s="22" t="s">
        <v>30</v>
      </c>
      <c r="D91" s="13">
        <v>4364</v>
      </c>
      <c r="E91" s="90">
        <v>4490</v>
      </c>
      <c r="F91" s="13">
        <v>4461</v>
      </c>
      <c r="G91" s="5"/>
      <c r="H91" s="41"/>
    </row>
    <row r="92" spans="2:8" ht="17.25" thickTop="1">
      <c r="B92" s="2"/>
      <c r="C92" s="24"/>
      <c r="D92" s="8"/>
      <c r="E92" s="89"/>
      <c r="F92" s="8"/>
      <c r="G92" s="5"/>
      <c r="H92" s="41"/>
    </row>
    <row r="93" spans="2:8" ht="17.25" thickBot="1">
      <c r="B93" s="2" t="s">
        <v>31</v>
      </c>
      <c r="C93" s="2"/>
      <c r="D93" s="33">
        <v>3368</v>
      </c>
      <c r="E93" s="90">
        <v>3365</v>
      </c>
      <c r="F93" s="13">
        <v>3368</v>
      </c>
      <c r="G93" s="5"/>
      <c r="H93" s="41"/>
    </row>
    <row r="94" spans="2:8" ht="17.25" thickTop="1">
      <c r="B94" s="2"/>
      <c r="C94" s="2"/>
      <c r="D94" s="14"/>
      <c r="E94" s="14"/>
      <c r="G94" s="5"/>
      <c r="H94" s="41"/>
    </row>
    <row r="95" spans="2:8">
      <c r="B95" s="2" t="s">
        <v>33</v>
      </c>
      <c r="C95" s="2"/>
      <c r="D95" s="14"/>
      <c r="E95" s="14"/>
      <c r="G95" s="5"/>
      <c r="H95" s="41"/>
    </row>
    <row r="96" spans="2:8">
      <c r="B96" s="159" t="s">
        <v>80</v>
      </c>
      <c r="C96" s="159"/>
      <c r="D96" s="14"/>
      <c r="E96" s="42" t="s">
        <v>62</v>
      </c>
      <c r="F96" s="42"/>
      <c r="G96" s="5"/>
      <c r="H96" s="41"/>
    </row>
    <row r="97" spans="2:17">
      <c r="B97" s="2"/>
      <c r="C97" s="2"/>
      <c r="D97" s="19" t="str">
        <f>D77</f>
        <v>Sept. 30</v>
      </c>
      <c r="E97" s="19" t="str">
        <f>E77</f>
        <v>Sept. 30</v>
      </c>
      <c r="F97" s="20" t="s">
        <v>20</v>
      </c>
      <c r="G97" s="5"/>
      <c r="H97" s="41"/>
    </row>
    <row r="98" spans="2:17">
      <c r="B98" s="2"/>
      <c r="C98" s="2"/>
      <c r="D98" s="3">
        <v>2013</v>
      </c>
      <c r="E98" s="3" t="s">
        <v>63</v>
      </c>
      <c r="F98" s="3" t="s">
        <v>63</v>
      </c>
      <c r="G98" s="5"/>
      <c r="H98" s="41"/>
    </row>
    <row r="99" spans="2:17">
      <c r="B99" s="2" t="s">
        <v>64</v>
      </c>
      <c r="C99" s="2"/>
      <c r="D99" s="23"/>
      <c r="E99" s="6"/>
      <c r="G99" s="5"/>
      <c r="H99" s="41"/>
    </row>
    <row r="100" spans="2:17">
      <c r="B100" s="2"/>
      <c r="C100" s="2" t="s">
        <v>34</v>
      </c>
      <c r="D100" s="104">
        <v>3012</v>
      </c>
      <c r="E100" s="104">
        <v>3247</v>
      </c>
      <c r="F100" s="93">
        <v>2878</v>
      </c>
      <c r="G100" s="5"/>
      <c r="H100" s="41"/>
      <c r="I100" s="46"/>
      <c r="K100" s="127"/>
    </row>
    <row r="101" spans="2:17">
      <c r="B101" s="2"/>
      <c r="C101" s="2" t="s">
        <v>35</v>
      </c>
      <c r="D101" s="106">
        <v>0.189</v>
      </c>
      <c r="E101" s="106">
        <v>0.21099999999999999</v>
      </c>
      <c r="F101" s="94">
        <v>0.19700000000000001</v>
      </c>
      <c r="G101" s="5"/>
      <c r="H101" s="41"/>
      <c r="J101" s="112"/>
      <c r="K101" s="112"/>
      <c r="M101" s="112"/>
    </row>
    <row r="102" spans="2:17">
      <c r="B102" s="2"/>
      <c r="C102" s="2"/>
      <c r="D102" s="25"/>
      <c r="E102" s="26"/>
      <c r="G102" s="5"/>
      <c r="H102" s="41"/>
    </row>
    <row r="103" spans="2:17" ht="90" customHeight="1">
      <c r="B103" s="149" t="s">
        <v>32</v>
      </c>
      <c r="C103" s="156" t="s">
        <v>90</v>
      </c>
      <c r="D103" s="156"/>
      <c r="E103" s="156"/>
      <c r="F103" s="156"/>
      <c r="G103" s="5"/>
      <c r="H103" s="41"/>
    </row>
    <row r="104" spans="2:17" ht="7.5" customHeight="1">
      <c r="B104" s="96"/>
      <c r="C104" s="151"/>
      <c r="D104" s="147"/>
      <c r="E104" s="147"/>
      <c r="F104" s="147"/>
      <c r="G104" s="5"/>
      <c r="H104" s="41"/>
    </row>
    <row r="105" spans="2:17">
      <c r="B105" s="95" t="s">
        <v>56</v>
      </c>
      <c r="C105" s="161" t="s">
        <v>57</v>
      </c>
      <c r="D105" s="162"/>
      <c r="E105" s="162"/>
      <c r="F105" s="162"/>
      <c r="G105" s="5"/>
      <c r="H105" s="41"/>
    </row>
    <row r="106" spans="2:17">
      <c r="B106" s="95"/>
      <c r="C106" s="167" t="s">
        <v>75</v>
      </c>
      <c r="D106" s="168"/>
      <c r="E106" s="168"/>
      <c r="F106" s="168"/>
      <c r="G106" s="5"/>
      <c r="H106" s="41"/>
      <c r="K106" s="112"/>
    </row>
    <row r="107" spans="2:17">
      <c r="B107" s="95"/>
      <c r="C107" s="168"/>
      <c r="D107" s="168"/>
      <c r="E107" s="168"/>
      <c r="F107" s="168"/>
      <c r="G107" s="5"/>
      <c r="H107" s="41"/>
      <c r="K107" s="115"/>
    </row>
    <row r="108" spans="2:17" s="66" customFormat="1">
      <c r="B108" s="95"/>
      <c r="C108" s="102"/>
      <c r="D108" s="102"/>
      <c r="E108" s="102"/>
      <c r="F108" s="102"/>
      <c r="G108" s="70"/>
      <c r="H108" s="41"/>
      <c r="J108" s="118"/>
      <c r="K108" s="118"/>
      <c r="L108" s="118"/>
      <c r="M108" s="118"/>
      <c r="N108" s="118"/>
      <c r="O108" s="118"/>
      <c r="P108" s="118"/>
      <c r="Q108" s="118"/>
    </row>
    <row r="109" spans="2:17" ht="16.5" customHeight="1">
      <c r="B109" s="22" t="s">
        <v>55</v>
      </c>
      <c r="C109" s="164" t="s">
        <v>36</v>
      </c>
      <c r="D109" s="164"/>
      <c r="E109" s="164"/>
      <c r="F109" s="166"/>
      <c r="G109" s="5"/>
      <c r="H109" s="41"/>
    </row>
    <row r="110" spans="2:17">
      <c r="B110" s="22"/>
      <c r="C110" s="164"/>
      <c r="D110" s="164"/>
      <c r="E110" s="164"/>
      <c r="F110" s="166"/>
      <c r="G110" s="5"/>
      <c r="H110" s="41"/>
    </row>
    <row r="111" spans="2:17">
      <c r="B111" s="22"/>
      <c r="C111" s="28"/>
      <c r="D111" s="27"/>
      <c r="E111" s="27"/>
      <c r="G111" s="5"/>
      <c r="H111" s="41"/>
    </row>
    <row r="112" spans="2:17" s="103" customFormat="1">
      <c r="B112" s="67" t="s">
        <v>0</v>
      </c>
      <c r="C112" s="28"/>
      <c r="D112" s="27"/>
      <c r="E112" s="27"/>
      <c r="G112" s="105"/>
      <c r="H112" s="41"/>
      <c r="J112" s="118"/>
      <c r="K112" s="118"/>
      <c r="L112" s="118"/>
      <c r="M112" s="118"/>
      <c r="N112" s="118"/>
      <c r="O112" s="118"/>
      <c r="P112" s="118"/>
      <c r="Q112" s="118"/>
    </row>
    <row r="113" spans="2:15">
      <c r="B113" s="2" t="s">
        <v>37</v>
      </c>
      <c r="C113" s="2"/>
      <c r="D113" s="2"/>
      <c r="E113" s="2"/>
      <c r="G113" s="5"/>
      <c r="H113" s="41"/>
    </row>
    <row r="114" spans="2:15">
      <c r="B114" s="67" t="s">
        <v>80</v>
      </c>
      <c r="C114" s="2"/>
      <c r="D114" s="163" t="s">
        <v>3</v>
      </c>
      <c r="E114" s="163"/>
      <c r="F114" s="163" t="s">
        <v>74</v>
      </c>
      <c r="G114" s="163"/>
      <c r="H114" s="41"/>
    </row>
    <row r="115" spans="2:15">
      <c r="B115" s="2"/>
      <c r="C115" s="2"/>
      <c r="D115" s="169" t="s">
        <v>73</v>
      </c>
      <c r="E115" s="170"/>
      <c r="F115" s="169" t="s">
        <v>73</v>
      </c>
      <c r="G115" s="170"/>
      <c r="H115" s="41"/>
    </row>
    <row r="116" spans="2:15">
      <c r="B116" s="2"/>
      <c r="C116" s="2"/>
      <c r="D116" s="3">
        <v>2013</v>
      </c>
      <c r="E116" s="3">
        <v>2012</v>
      </c>
      <c r="F116" s="68">
        <v>2013</v>
      </c>
      <c r="G116" s="68">
        <v>2012</v>
      </c>
      <c r="H116" s="41"/>
    </row>
    <row r="117" spans="2:15">
      <c r="B117" s="2"/>
      <c r="C117" s="2"/>
      <c r="D117" s="152" t="s">
        <v>38</v>
      </c>
      <c r="E117" s="152"/>
      <c r="F117" s="163" t="s">
        <v>38</v>
      </c>
      <c r="G117" s="163"/>
      <c r="H117" s="41"/>
    </row>
    <row r="118" spans="2:15">
      <c r="B118" s="2"/>
      <c r="C118" s="2"/>
      <c r="D118" s="15"/>
      <c r="E118" s="15"/>
      <c r="F118" s="67"/>
      <c r="G118" s="5"/>
      <c r="H118" s="41"/>
    </row>
    <row r="119" spans="2:15">
      <c r="B119" s="2" t="s">
        <v>4</v>
      </c>
      <c r="C119" s="2"/>
      <c r="D119" s="4"/>
      <c r="E119" s="15"/>
      <c r="G119" s="5"/>
      <c r="H119" s="41"/>
    </row>
    <row r="120" spans="2:15">
      <c r="B120" s="2"/>
      <c r="C120" s="2" t="s">
        <v>39</v>
      </c>
      <c r="D120" s="4">
        <v>1619</v>
      </c>
      <c r="E120" s="81">
        <v>1210</v>
      </c>
      <c r="F120" s="69">
        <v>4431</v>
      </c>
      <c r="G120" s="79">
        <v>3601</v>
      </c>
      <c r="H120" s="133"/>
      <c r="I120" s="41"/>
      <c r="J120" s="132"/>
      <c r="K120" s="119"/>
      <c r="N120" s="112"/>
      <c r="O120" s="112"/>
    </row>
    <row r="121" spans="2:15">
      <c r="B121" s="2"/>
      <c r="C121" s="2" t="s">
        <v>40</v>
      </c>
      <c r="D121" s="21">
        <v>1199</v>
      </c>
      <c r="E121" s="82">
        <v>1090</v>
      </c>
      <c r="F121" s="91">
        <v>3623</v>
      </c>
      <c r="G121" s="80">
        <v>3265</v>
      </c>
      <c r="H121" s="133"/>
      <c r="I121" s="41"/>
      <c r="J121" s="122"/>
      <c r="K121" s="122"/>
      <c r="N121" s="112"/>
      <c r="O121" s="112"/>
    </row>
    <row r="122" spans="2:15">
      <c r="B122" s="2"/>
      <c r="C122" s="2" t="s">
        <v>41</v>
      </c>
      <c r="D122" s="21">
        <v>571</v>
      </c>
      <c r="E122" s="82">
        <v>564</v>
      </c>
      <c r="F122" s="91">
        <v>1596</v>
      </c>
      <c r="G122" s="80">
        <v>1682</v>
      </c>
      <c r="H122" s="133"/>
      <c r="I122" s="41"/>
      <c r="J122" s="122"/>
      <c r="K122" s="122"/>
      <c r="N122" s="112"/>
      <c r="O122" s="112"/>
    </row>
    <row r="123" spans="2:15">
      <c r="B123" s="2"/>
      <c r="C123" s="2" t="s">
        <v>42</v>
      </c>
      <c r="D123" s="21">
        <v>313</v>
      </c>
      <c r="E123" s="82">
        <v>282</v>
      </c>
      <c r="F123" s="91">
        <v>953</v>
      </c>
      <c r="G123" s="80">
        <v>930</v>
      </c>
      <c r="H123" s="133"/>
      <c r="I123" s="41"/>
      <c r="J123" s="122"/>
      <c r="K123" s="122"/>
      <c r="N123" s="112"/>
      <c r="O123" s="112"/>
    </row>
    <row r="124" spans="2:15">
      <c r="B124" s="6"/>
      <c r="C124" s="6" t="s">
        <v>43</v>
      </c>
      <c r="D124" s="8">
        <v>278</v>
      </c>
      <c r="E124" s="8">
        <v>262</v>
      </c>
      <c r="F124" s="72">
        <v>803</v>
      </c>
      <c r="G124" s="51">
        <v>791</v>
      </c>
      <c r="H124" s="133"/>
      <c r="I124" s="41"/>
      <c r="J124" s="117"/>
      <c r="K124" s="117"/>
      <c r="N124" s="112"/>
      <c r="O124" s="112"/>
    </row>
    <row r="125" spans="2:15" ht="17.25" thickBot="1">
      <c r="B125" s="16"/>
      <c r="C125" s="29" t="s">
        <v>44</v>
      </c>
      <c r="D125" s="13">
        <v>3980</v>
      </c>
      <c r="E125" s="13">
        <v>3408</v>
      </c>
      <c r="F125" s="52">
        <f>SUM(F120:F124)</f>
        <v>11406</v>
      </c>
      <c r="G125" s="52">
        <f>SUM(G120:G124)</f>
        <v>10269</v>
      </c>
      <c r="H125" s="133"/>
      <c r="I125" s="41"/>
      <c r="J125" s="119"/>
      <c r="K125" s="119"/>
      <c r="N125" s="112"/>
      <c r="O125" s="112"/>
    </row>
    <row r="126" spans="2:15" ht="12.75" customHeight="1" thickTop="1">
      <c r="B126" s="2"/>
      <c r="C126" s="2"/>
      <c r="D126" s="23"/>
      <c r="E126" s="23"/>
      <c r="G126" s="5"/>
      <c r="H126" s="41"/>
      <c r="J126" s="121"/>
      <c r="K126" s="121"/>
      <c r="N126" s="112"/>
      <c r="O126" s="112"/>
    </row>
    <row r="127" spans="2:15" ht="17.25" customHeight="1">
      <c r="B127" s="2" t="s">
        <v>45</v>
      </c>
      <c r="C127" s="2"/>
      <c r="D127" s="23"/>
      <c r="E127" s="23"/>
      <c r="G127" s="5"/>
      <c r="H127" s="41"/>
      <c r="J127" s="121"/>
      <c r="K127" s="121"/>
      <c r="N127" s="112"/>
      <c r="O127" s="112"/>
    </row>
    <row r="128" spans="2:15" ht="17.25" customHeight="1">
      <c r="B128" s="2"/>
      <c r="C128" s="2" t="s">
        <v>39</v>
      </c>
      <c r="D128" s="4">
        <v>252</v>
      </c>
      <c r="E128" s="83">
        <v>203</v>
      </c>
      <c r="F128" s="69">
        <v>679</v>
      </c>
      <c r="G128" s="85">
        <v>567</v>
      </c>
      <c r="H128" s="133"/>
      <c r="I128" s="41"/>
      <c r="J128" s="119"/>
      <c r="K128" s="119"/>
      <c r="N128" s="112"/>
      <c r="O128" s="112"/>
    </row>
    <row r="129" spans="2:17" ht="17.25" customHeight="1">
      <c r="B129" s="2"/>
      <c r="C129" s="2" t="s">
        <v>40</v>
      </c>
      <c r="D129" s="21">
        <v>181</v>
      </c>
      <c r="E129" s="84">
        <v>153</v>
      </c>
      <c r="F129" s="82">
        <v>550</v>
      </c>
      <c r="G129" s="86">
        <v>446</v>
      </c>
      <c r="H129" s="133"/>
      <c r="I129" s="41"/>
      <c r="J129" s="122"/>
      <c r="K129" s="122"/>
      <c r="N129" s="112"/>
      <c r="O129" s="112"/>
    </row>
    <row r="130" spans="2:17" ht="17.25" customHeight="1">
      <c r="B130" s="2"/>
      <c r="C130" s="2" t="s">
        <v>41</v>
      </c>
      <c r="D130" s="21">
        <v>73</v>
      </c>
      <c r="E130" s="84">
        <v>56</v>
      </c>
      <c r="F130" s="82">
        <v>162</v>
      </c>
      <c r="G130" s="86">
        <v>136</v>
      </c>
      <c r="H130" s="133"/>
      <c r="I130" s="41"/>
      <c r="J130" s="122"/>
      <c r="K130" s="122"/>
      <c r="N130" s="112"/>
      <c r="O130" s="112"/>
    </row>
    <row r="131" spans="2:17" ht="17.25" customHeight="1">
      <c r="B131" s="2"/>
      <c r="C131" s="2" t="s">
        <v>42</v>
      </c>
      <c r="D131" s="21">
        <v>88</v>
      </c>
      <c r="E131" s="84">
        <v>76</v>
      </c>
      <c r="F131" s="82">
        <v>283</v>
      </c>
      <c r="G131" s="86">
        <v>280</v>
      </c>
      <c r="H131" s="133"/>
      <c r="I131" s="41"/>
      <c r="J131" s="122"/>
      <c r="K131" s="122"/>
      <c r="N131" s="112"/>
      <c r="O131" s="112"/>
    </row>
    <row r="132" spans="2:17" ht="17.25" customHeight="1">
      <c r="B132" s="2"/>
      <c r="C132" s="2" t="s">
        <v>43</v>
      </c>
      <c r="D132" s="10">
        <v>21</v>
      </c>
      <c r="E132" s="10">
        <v>24</v>
      </c>
      <c r="F132" s="73">
        <v>34</v>
      </c>
      <c r="G132" s="73">
        <v>55</v>
      </c>
      <c r="H132" s="133"/>
      <c r="I132" s="41"/>
      <c r="J132" s="117"/>
      <c r="K132" s="117"/>
      <c r="N132" s="112"/>
      <c r="O132" s="112"/>
    </row>
    <row r="133" spans="2:17" ht="17.25" customHeight="1">
      <c r="B133" s="2"/>
      <c r="C133" s="24" t="s">
        <v>44</v>
      </c>
      <c r="D133" s="7">
        <v>615</v>
      </c>
      <c r="E133" s="7">
        <v>512</v>
      </c>
      <c r="F133" s="71">
        <v>1708</v>
      </c>
      <c r="G133" s="71">
        <v>1484</v>
      </c>
      <c r="H133" s="133"/>
      <c r="I133" s="41"/>
      <c r="J133" s="117"/>
      <c r="K133" s="117"/>
      <c r="N133" s="112"/>
      <c r="O133" s="112"/>
    </row>
    <row r="134" spans="2:17" ht="17.25" customHeight="1">
      <c r="B134" s="2" t="s">
        <v>48</v>
      </c>
      <c r="C134" s="24"/>
      <c r="D134" s="8">
        <v>-99</v>
      </c>
      <c r="E134" s="72">
        <v>-14</v>
      </c>
      <c r="F134" s="72">
        <v>-156</v>
      </c>
      <c r="G134" s="72">
        <v>-203</v>
      </c>
      <c r="H134" s="41"/>
      <c r="J134" s="117"/>
      <c r="K134" s="117"/>
    </row>
    <row r="135" spans="2:17" ht="17.25" customHeight="1">
      <c r="B135" s="2" t="s">
        <v>49</v>
      </c>
      <c r="C135" s="24"/>
      <c r="D135" s="8">
        <v>-98</v>
      </c>
      <c r="E135" s="72">
        <v>0</v>
      </c>
      <c r="F135" s="72">
        <v>-98</v>
      </c>
      <c r="G135" s="72">
        <v>-208</v>
      </c>
      <c r="H135" s="41"/>
      <c r="J135" s="117"/>
      <c r="K135" s="117"/>
    </row>
    <row r="136" spans="2:17" ht="17.25" customHeight="1">
      <c r="B136" s="2" t="s">
        <v>50</v>
      </c>
      <c r="C136" s="24"/>
      <c r="D136" s="8">
        <v>-7</v>
      </c>
      <c r="E136" s="72">
        <v>0</v>
      </c>
      <c r="F136" s="72">
        <v>-35</v>
      </c>
      <c r="G136" s="72">
        <v>-6</v>
      </c>
      <c r="H136" s="41"/>
      <c r="J136" s="117"/>
      <c r="K136" s="117"/>
    </row>
    <row r="137" spans="2:17" ht="17.25" customHeight="1">
      <c r="B137" s="2" t="s">
        <v>46</v>
      </c>
      <c r="C137" s="2"/>
      <c r="D137" s="8">
        <v>-37</v>
      </c>
      <c r="E137" s="72">
        <v>-44</v>
      </c>
      <c r="F137" s="72">
        <v>-118</v>
      </c>
      <c r="G137" s="72">
        <v>-126</v>
      </c>
      <c r="H137" s="5"/>
      <c r="J137" s="117"/>
      <c r="K137" s="117"/>
    </row>
    <row r="138" spans="2:17" ht="17.25" customHeight="1">
      <c r="B138" s="2" t="s">
        <v>72</v>
      </c>
      <c r="C138" s="2"/>
      <c r="D138" s="10">
        <v>-65</v>
      </c>
      <c r="E138" s="73">
        <v>-52</v>
      </c>
      <c r="F138" s="73">
        <v>-185</v>
      </c>
      <c r="G138" s="73">
        <v>-160</v>
      </c>
      <c r="H138" s="41"/>
      <c r="J138" s="117"/>
      <c r="K138" s="117"/>
    </row>
    <row r="139" spans="2:17" ht="17.25" customHeight="1" thickBot="1">
      <c r="B139" s="16" t="s">
        <v>8</v>
      </c>
      <c r="C139" s="16"/>
      <c r="D139" s="34">
        <v>309</v>
      </c>
      <c r="E139" s="78">
        <v>402</v>
      </c>
      <c r="F139" s="78">
        <v>1116</v>
      </c>
      <c r="G139" s="78">
        <v>781</v>
      </c>
      <c r="H139" s="41"/>
      <c r="J139" s="119"/>
      <c r="K139" s="119"/>
    </row>
    <row r="140" spans="2:17" ht="18.75" customHeight="1" thickTop="1">
      <c r="B140" s="18" t="s">
        <v>16</v>
      </c>
      <c r="C140" s="121"/>
      <c r="D140" s="119"/>
      <c r="E140" s="119"/>
      <c r="F140" s="107"/>
    </row>
    <row r="141" spans="2:17" ht="12.75" customHeight="1">
      <c r="B141" s="121"/>
      <c r="C141" s="164" t="s">
        <v>86</v>
      </c>
      <c r="D141" s="164"/>
      <c r="E141" s="164"/>
      <c r="F141" s="164"/>
      <c r="G141" s="135"/>
    </row>
    <row r="142" spans="2:17" ht="12.75" customHeight="1">
      <c r="B142" s="121"/>
      <c r="C142" s="164"/>
      <c r="D142" s="164"/>
      <c r="E142" s="164"/>
      <c r="F142" s="164"/>
      <c r="G142" s="135"/>
    </row>
    <row r="143" spans="2:17" ht="12.75" customHeight="1">
      <c r="B143" s="121"/>
      <c r="C143" s="164"/>
      <c r="D143" s="164"/>
      <c r="E143" s="164"/>
      <c r="F143" s="164"/>
      <c r="G143" s="135"/>
    </row>
    <row r="144" spans="2:17" s="103" customFormat="1" ht="12.75" customHeight="1">
      <c r="B144" s="121"/>
      <c r="C144" s="164"/>
      <c r="D144" s="164"/>
      <c r="E144" s="164"/>
      <c r="F144" s="164"/>
      <c r="G144" s="135"/>
      <c r="J144" s="118"/>
      <c r="K144" s="118"/>
      <c r="L144" s="118"/>
      <c r="M144" s="118"/>
      <c r="N144" s="118"/>
      <c r="O144" s="118"/>
      <c r="P144" s="118"/>
      <c r="Q144" s="118"/>
    </row>
    <row r="145" spans="2:17" s="103" customFormat="1" ht="12.75" customHeight="1">
      <c r="B145" s="121"/>
      <c r="C145" s="164"/>
      <c r="D145" s="164"/>
      <c r="E145" s="164"/>
      <c r="F145" s="164"/>
      <c r="G145" s="135"/>
      <c r="J145" s="118"/>
      <c r="K145" s="118"/>
      <c r="L145" s="118"/>
      <c r="M145" s="118"/>
      <c r="N145" s="118"/>
      <c r="O145" s="118"/>
      <c r="P145" s="118"/>
      <c r="Q145" s="118"/>
    </row>
    <row r="146" spans="2:17" ht="12.75" customHeight="1">
      <c r="B146" s="107"/>
      <c r="C146" s="164"/>
      <c r="D146" s="164"/>
      <c r="E146" s="164"/>
      <c r="F146" s="164"/>
      <c r="G146" s="135"/>
    </row>
    <row r="147" spans="2:17" s="103" customFormat="1" ht="12.75" customHeight="1">
      <c r="B147" s="107"/>
      <c r="C147" s="164"/>
      <c r="D147" s="164"/>
      <c r="E147" s="164"/>
      <c r="F147" s="164"/>
      <c r="G147" s="135"/>
      <c r="J147" s="118"/>
      <c r="K147" s="118"/>
      <c r="L147" s="118"/>
      <c r="M147" s="118"/>
      <c r="N147" s="118"/>
      <c r="O147" s="118"/>
      <c r="P147" s="118"/>
      <c r="Q147" s="118"/>
    </row>
    <row r="148" spans="2:17" ht="12.75" customHeight="1">
      <c r="B148" s="107"/>
      <c r="C148" s="164" t="s">
        <v>85</v>
      </c>
      <c r="D148" s="166"/>
      <c r="E148" s="166"/>
      <c r="F148" s="166"/>
    </row>
    <row r="149" spans="2:17" ht="13.5" customHeight="1">
      <c r="B149" s="107"/>
      <c r="C149" s="164"/>
      <c r="D149" s="166"/>
      <c r="E149" s="166"/>
      <c r="F149" s="166"/>
    </row>
    <row r="150" spans="2:17" ht="26.25" customHeight="1">
      <c r="B150" s="107"/>
      <c r="C150" s="164"/>
      <c r="D150" s="166"/>
      <c r="E150" s="166"/>
      <c r="F150" s="166"/>
    </row>
    <row r="151" spans="2:17" ht="25.5" customHeight="1">
      <c r="B151" s="107"/>
      <c r="C151" s="164"/>
      <c r="D151" s="166"/>
      <c r="E151" s="166"/>
      <c r="F151" s="166"/>
    </row>
    <row r="152" spans="2:17" ht="57" customHeight="1">
      <c r="B152" s="107"/>
      <c r="C152" s="166"/>
      <c r="D152" s="166"/>
      <c r="E152" s="166"/>
      <c r="F152" s="166"/>
    </row>
    <row r="153" spans="2:17" ht="22.5" customHeight="1">
      <c r="B153" s="18" t="s">
        <v>17</v>
      </c>
      <c r="C153" s="108"/>
      <c r="D153" s="146"/>
      <c r="E153" s="146"/>
      <c r="F153" s="107"/>
    </row>
    <row r="154" spans="2:17" ht="12.75" customHeight="1">
      <c r="B154" s="107"/>
      <c r="C154" s="165" t="s">
        <v>76</v>
      </c>
      <c r="D154" s="165"/>
      <c r="E154" s="165"/>
      <c r="F154" s="165"/>
      <c r="G154" s="134"/>
    </row>
    <row r="155" spans="2:17" ht="12.75" customHeight="1">
      <c r="B155" s="107"/>
      <c r="C155" s="165"/>
      <c r="D155" s="165"/>
      <c r="E155" s="165"/>
      <c r="F155" s="165"/>
      <c r="G155" s="134"/>
    </row>
    <row r="156" spans="2:17" ht="12.75" customHeight="1">
      <c r="B156" s="107"/>
      <c r="C156" s="165"/>
      <c r="D156" s="165"/>
      <c r="E156" s="165"/>
      <c r="F156" s="165"/>
      <c r="G156" s="134"/>
    </row>
    <row r="157" spans="2:17" ht="12.75" customHeight="1">
      <c r="B157" s="107"/>
      <c r="C157" s="165"/>
      <c r="D157" s="165"/>
      <c r="E157" s="165"/>
      <c r="F157" s="165"/>
      <c r="G157" s="134"/>
    </row>
    <row r="158" spans="2:17" s="103" customFormat="1" ht="12.75" customHeight="1">
      <c r="B158" s="107"/>
      <c r="C158" s="165"/>
      <c r="D158" s="165"/>
      <c r="E158" s="165"/>
      <c r="F158" s="165"/>
      <c r="G158" s="134"/>
      <c r="J158" s="118"/>
      <c r="K158" s="118"/>
      <c r="L158" s="118"/>
      <c r="M158" s="118"/>
      <c r="N158" s="118"/>
      <c r="O158" s="118"/>
      <c r="P158" s="118"/>
      <c r="Q158" s="118"/>
    </row>
    <row r="159" spans="2:17" ht="24.75" customHeight="1">
      <c r="B159" s="107"/>
      <c r="C159" s="165"/>
      <c r="D159" s="165"/>
      <c r="E159" s="165"/>
      <c r="F159" s="165"/>
      <c r="G159" s="134"/>
    </row>
    <row r="160" spans="2:17" ht="21.75" customHeight="1">
      <c r="B160" s="18" t="s">
        <v>18</v>
      </c>
      <c r="C160" s="110"/>
      <c r="D160" s="110"/>
      <c r="E160" s="110"/>
      <c r="F160" s="107"/>
    </row>
    <row r="161" spans="1:17" ht="12.75" customHeight="1">
      <c r="C161" s="160" t="s">
        <v>78</v>
      </c>
      <c r="D161" s="160"/>
      <c r="E161" s="160"/>
      <c r="F161" s="160"/>
    </row>
    <row r="162" spans="1:17" ht="12.75" customHeight="1">
      <c r="C162" s="160"/>
      <c r="D162" s="160"/>
      <c r="E162" s="160"/>
      <c r="F162" s="160"/>
    </row>
    <row r="163" spans="1:17" s="103" customFormat="1" ht="12.75" customHeight="1">
      <c r="C163" s="160"/>
      <c r="D163" s="160"/>
      <c r="E163" s="160"/>
      <c r="F163" s="160"/>
      <c r="J163" s="118"/>
      <c r="K163" s="118"/>
      <c r="L163" s="118"/>
      <c r="M163" s="118"/>
      <c r="N163" s="118"/>
      <c r="O163" s="118"/>
      <c r="P163" s="118"/>
      <c r="Q163" s="118"/>
    </row>
    <row r="164" spans="1:17" s="103" customFormat="1" ht="12.75" customHeight="1">
      <c r="C164" s="160"/>
      <c r="D164" s="160"/>
      <c r="E164" s="160"/>
      <c r="F164" s="160"/>
      <c r="J164" s="118"/>
      <c r="K164" s="118"/>
      <c r="L164" s="118"/>
      <c r="M164" s="118"/>
      <c r="N164" s="118"/>
      <c r="O164" s="118"/>
      <c r="P164" s="118"/>
      <c r="Q164" s="118"/>
    </row>
    <row r="165" spans="1:17" s="103" customFormat="1" ht="24.75" customHeight="1">
      <c r="C165" s="160"/>
      <c r="D165" s="160"/>
      <c r="E165" s="160"/>
      <c r="F165" s="160"/>
      <c r="J165" s="118"/>
      <c r="K165" s="118"/>
      <c r="L165" s="118"/>
      <c r="M165" s="118"/>
      <c r="N165" s="118"/>
      <c r="O165" s="118"/>
      <c r="P165" s="118"/>
      <c r="Q165" s="118"/>
    </row>
    <row r="166" spans="1:17" ht="44.25" customHeight="1">
      <c r="C166" s="160"/>
      <c r="D166" s="160"/>
      <c r="E166" s="160"/>
      <c r="F166" s="160"/>
    </row>
    <row r="167" spans="1:17" ht="12.75" customHeight="1">
      <c r="C167" s="144"/>
      <c r="D167" s="144"/>
      <c r="E167" s="144"/>
      <c r="F167" s="144"/>
    </row>
    <row r="168" spans="1:17" ht="12.75" customHeight="1">
      <c r="C168" s="144"/>
      <c r="D168" s="144"/>
      <c r="E168" s="144"/>
      <c r="F168" s="144"/>
    </row>
    <row r="169" spans="1:17" ht="12.75" customHeight="1"/>
    <row r="170" spans="1:17" ht="12.75" customHeight="1">
      <c r="A170" s="107"/>
      <c r="B170" s="107"/>
      <c r="C170" s="140"/>
      <c r="D170" s="140"/>
      <c r="E170" s="140"/>
      <c r="F170" s="140"/>
      <c r="G170" s="141"/>
      <c r="H170" s="107"/>
      <c r="I170" s="107"/>
      <c r="J170" s="142"/>
      <c r="K170" s="142"/>
      <c r="L170" s="142"/>
      <c r="M170" s="142"/>
      <c r="N170" s="142"/>
      <c r="O170" s="142"/>
      <c r="P170" s="142"/>
    </row>
    <row r="171" spans="1:17" ht="12.75" customHeight="1">
      <c r="A171" s="107"/>
      <c r="B171" s="107"/>
      <c r="C171" s="140"/>
      <c r="D171" s="140"/>
      <c r="E171" s="140"/>
      <c r="F171" s="140"/>
      <c r="G171" s="141"/>
      <c r="H171" s="107"/>
      <c r="I171" s="107"/>
      <c r="J171" s="142"/>
      <c r="K171" s="142"/>
      <c r="L171" s="142"/>
      <c r="M171" s="142"/>
      <c r="N171" s="142"/>
      <c r="O171" s="142"/>
      <c r="P171" s="142"/>
    </row>
    <row r="172" spans="1:17" ht="12.75" customHeight="1">
      <c r="A172" s="107"/>
      <c r="B172" s="107"/>
      <c r="C172" s="140"/>
      <c r="D172" s="140"/>
      <c r="E172" s="140"/>
      <c r="F172" s="140"/>
      <c r="G172" s="141"/>
      <c r="H172" s="107"/>
      <c r="I172" s="107"/>
      <c r="J172" s="142"/>
      <c r="K172" s="142"/>
      <c r="L172" s="142"/>
      <c r="M172" s="142"/>
      <c r="N172" s="142"/>
      <c r="O172" s="142"/>
      <c r="P172" s="142"/>
    </row>
    <row r="173" spans="1:17" ht="12.75" customHeight="1">
      <c r="A173" s="107"/>
      <c r="B173" s="107"/>
      <c r="C173" s="140"/>
      <c r="D173" s="140"/>
      <c r="E173" s="140"/>
      <c r="F173" s="140"/>
      <c r="G173" s="107"/>
      <c r="H173" s="107"/>
      <c r="I173" s="107"/>
      <c r="J173" s="142"/>
      <c r="K173" s="142"/>
      <c r="L173" s="142"/>
      <c r="M173" s="142"/>
      <c r="N173" s="142"/>
      <c r="O173" s="142"/>
      <c r="P173" s="142"/>
    </row>
    <row r="174" spans="1:17" ht="12.75" customHeight="1">
      <c r="A174" s="107"/>
      <c r="B174" s="18"/>
      <c r="C174" s="107"/>
      <c r="D174" s="107"/>
      <c r="E174" s="107"/>
      <c r="F174" s="107"/>
      <c r="G174" s="107"/>
      <c r="H174" s="107"/>
      <c r="I174" s="107"/>
      <c r="J174" s="142"/>
      <c r="K174" s="142"/>
      <c r="L174" s="142"/>
      <c r="M174" s="142"/>
      <c r="N174" s="142"/>
      <c r="O174" s="142"/>
      <c r="P174" s="142"/>
    </row>
    <row r="175" spans="1:17" ht="12.75" customHeight="1">
      <c r="A175" s="107"/>
      <c r="B175" s="18"/>
      <c r="C175" s="140"/>
      <c r="D175" s="140"/>
      <c r="E175" s="140"/>
      <c r="F175" s="140"/>
      <c r="G175" s="143"/>
      <c r="H175" s="107"/>
      <c r="I175" s="107"/>
      <c r="J175" s="142"/>
      <c r="K175" s="142"/>
      <c r="L175" s="142"/>
      <c r="M175" s="142"/>
      <c r="N175" s="142"/>
      <c r="O175" s="142"/>
      <c r="P175" s="142"/>
    </row>
    <row r="176" spans="1:17" ht="12.75" customHeight="1">
      <c r="A176" s="107"/>
      <c r="B176" s="107"/>
      <c r="C176" s="140"/>
      <c r="D176" s="140"/>
      <c r="E176" s="140"/>
      <c r="F176" s="140"/>
      <c r="G176" s="143"/>
      <c r="H176" s="107"/>
      <c r="I176" s="107"/>
      <c r="J176" s="142"/>
      <c r="K176" s="142"/>
      <c r="L176" s="142"/>
      <c r="M176" s="142"/>
      <c r="N176" s="142"/>
      <c r="O176" s="142"/>
      <c r="P176" s="142"/>
    </row>
    <row r="177" spans="1:16" ht="12.75" customHeight="1">
      <c r="A177" s="107"/>
      <c r="B177" s="107"/>
      <c r="C177" s="140"/>
      <c r="D177" s="140"/>
      <c r="E177" s="140"/>
      <c r="F177" s="140"/>
      <c r="G177" s="107"/>
      <c r="H177" s="107"/>
      <c r="I177" s="107"/>
      <c r="J177" s="142"/>
      <c r="K177" s="142"/>
      <c r="L177" s="142"/>
      <c r="M177" s="142"/>
      <c r="N177" s="142"/>
      <c r="O177" s="142"/>
      <c r="P177" s="142"/>
    </row>
    <row r="178" spans="1:16" ht="12.75" customHeight="1">
      <c r="A178" s="107"/>
      <c r="B178" s="107"/>
      <c r="C178" s="107"/>
      <c r="D178" s="107"/>
      <c r="E178" s="107"/>
      <c r="F178" s="107"/>
      <c r="G178" s="107"/>
      <c r="H178" s="107"/>
      <c r="I178" s="107"/>
      <c r="J178" s="142"/>
      <c r="K178" s="142"/>
      <c r="L178" s="142"/>
      <c r="M178" s="142"/>
      <c r="N178" s="142"/>
      <c r="O178" s="142"/>
      <c r="P178" s="142"/>
    </row>
    <row r="179" spans="1:16" ht="12.75" customHeight="1"/>
    <row r="180" spans="1:16" ht="12.75" customHeight="1"/>
    <row r="181" spans="1:16" ht="12.75" customHeight="1"/>
    <row r="182" spans="1:16" ht="12.75" customHeight="1"/>
    <row r="183" spans="1:16" ht="12.75" customHeight="1"/>
    <row r="184" spans="1:16" ht="12.75" customHeight="1"/>
    <row r="185" spans="1:16" ht="12.75" customHeight="1"/>
    <row r="186" spans="1:16" ht="12.75" customHeight="1"/>
  </sheetData>
  <mergeCells count="25">
    <mergeCell ref="C161:F166"/>
    <mergeCell ref="C105:F105"/>
    <mergeCell ref="F114:G114"/>
    <mergeCell ref="C141:F147"/>
    <mergeCell ref="C154:F159"/>
    <mergeCell ref="C148:F152"/>
    <mergeCell ref="F117:G117"/>
    <mergeCell ref="C106:F107"/>
    <mergeCell ref="C109:F110"/>
    <mergeCell ref="D114:E114"/>
    <mergeCell ref="D115:E115"/>
    <mergeCell ref="D117:E117"/>
    <mergeCell ref="F115:G115"/>
    <mergeCell ref="C103:F103"/>
    <mergeCell ref="C70:F73"/>
    <mergeCell ref="C47:F47"/>
    <mergeCell ref="C66:F66"/>
    <mergeCell ref="C67:F67"/>
    <mergeCell ref="B96:C96"/>
    <mergeCell ref="C58:F63"/>
    <mergeCell ref="F4:G4"/>
    <mergeCell ref="F5:G5"/>
    <mergeCell ref="D4:E4"/>
    <mergeCell ref="D5:E5"/>
    <mergeCell ref="C50:F55"/>
  </mergeCells>
  <phoneticPr fontId="2" type="noConversion"/>
  <pageMargins left="0.75" right="0.75" top="1" bottom="1" header="0.5" footer="0.5"/>
  <pageSetup scale="69" fitToHeight="0" orientation="portrait" r:id="rId1"/>
  <headerFooter alignWithMargins="0"/>
  <rowBreaks count="5" manualBreakCount="5">
    <brk id="44" min="1" max="6" man="1"/>
    <brk id="73" min="1" max="6" man="1"/>
    <brk id="111" min="1" max="6" man="1"/>
    <brk id="167" min="1" max="6" man="1"/>
    <brk id="168"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PPG Industries,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Loy</dc:creator>
  <cp:lastModifiedBy>Mary Anne Bendzsuk</cp:lastModifiedBy>
  <cp:lastPrinted>2013-10-16T22:25:34Z</cp:lastPrinted>
  <dcterms:created xsi:type="dcterms:W3CDTF">2012-01-18T01:15:24Z</dcterms:created>
  <dcterms:modified xsi:type="dcterms:W3CDTF">2013-10-17T11:32:56Z</dcterms:modified>
</cp:coreProperties>
</file>