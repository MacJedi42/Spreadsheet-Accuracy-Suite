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4" yWindow="598" windowWidth="18809" windowHeight="7698"/>
  </bookViews>
  <sheets>
    <sheet name="Summary" sheetId="2" r:id="rId1"/>
    <sheet name="Breakdown by Telecom Clusters" sheetId="1" r:id="rId2"/>
  </sheets>
  <externalReferences>
    <externalReference r:id="rId3"/>
  </externalReferences>
  <definedNames>
    <definedName name="solver_adj" localSheetId="0" hidden="1">Summary!$B$3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Summary!$D$28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Summary!$D$28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3750000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45621"/>
</workbook>
</file>

<file path=xl/calcChain.xml><?xml version="1.0" encoding="utf-8"?>
<calcChain xmlns="http://schemas.openxmlformats.org/spreadsheetml/2006/main">
  <c r="C28" i="2" l="1"/>
  <c r="D28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J18" i="2"/>
  <c r="I18" i="2"/>
  <c r="D16" i="2"/>
  <c r="C16" i="2"/>
  <c r="J17" i="2"/>
  <c r="I17" i="2"/>
  <c r="D15" i="2"/>
  <c r="C15" i="2"/>
  <c r="J16" i="2"/>
  <c r="J19" i="2" s="1"/>
  <c r="I16" i="2"/>
  <c r="I19" i="2" s="1"/>
  <c r="D14" i="2"/>
  <c r="C14" i="2"/>
  <c r="D13" i="2"/>
  <c r="C13" i="2"/>
  <c r="J14" i="2"/>
  <c r="I14" i="2"/>
  <c r="D12" i="2"/>
  <c r="C12" i="2"/>
  <c r="D11" i="2"/>
  <c r="C11" i="2"/>
  <c r="D10" i="2"/>
  <c r="C10" i="2"/>
  <c r="D9" i="2"/>
  <c r="C9" i="2"/>
  <c r="J8" i="2"/>
  <c r="I8" i="2"/>
  <c r="D8" i="2"/>
  <c r="D25" i="2" s="1"/>
  <c r="C8" i="2"/>
  <c r="C25" i="2" s="1"/>
  <c r="M340" i="1" l="1"/>
  <c r="L340" i="1"/>
  <c r="N352" i="1"/>
  <c r="O352" i="1" s="1"/>
  <c r="L352" i="1"/>
  <c r="N351" i="1"/>
  <c r="O351" i="1" s="1"/>
  <c r="L351" i="1"/>
  <c r="N350" i="1"/>
  <c r="O350" i="1" s="1"/>
  <c r="L350" i="1"/>
  <c r="N349" i="1"/>
  <c r="O349" i="1" s="1"/>
  <c r="L349" i="1"/>
  <c r="N348" i="1"/>
  <c r="O348" i="1" s="1"/>
  <c r="L348" i="1"/>
  <c r="N347" i="1"/>
  <c r="O347" i="1" s="1"/>
  <c r="L347" i="1"/>
  <c r="N346" i="1"/>
  <c r="O346" i="1" s="1"/>
  <c r="L346" i="1"/>
  <c r="N345" i="1"/>
  <c r="O345" i="1" s="1"/>
  <c r="L345" i="1"/>
  <c r="N344" i="1"/>
  <c r="O344" i="1" s="1"/>
  <c r="O353" i="1" s="1"/>
  <c r="L344" i="1"/>
  <c r="N340" i="1"/>
  <c r="N341" i="1" s="1"/>
  <c r="N339" i="1"/>
  <c r="O339" i="1" s="1"/>
  <c r="N335" i="1"/>
  <c r="O335" i="1" s="1"/>
  <c r="N334" i="1"/>
  <c r="O334" i="1" s="1"/>
  <c r="N333" i="1"/>
  <c r="N336" i="1" s="1"/>
  <c r="N329" i="1"/>
  <c r="O329" i="1" s="1"/>
  <c r="N328" i="1"/>
  <c r="O328" i="1" s="1"/>
  <c r="N327" i="1"/>
  <c r="O327" i="1" s="1"/>
  <c r="N326" i="1"/>
  <c r="O326" i="1" s="1"/>
  <c r="N325" i="1"/>
  <c r="O325" i="1" s="1"/>
  <c r="N324" i="1"/>
  <c r="O324" i="1" s="1"/>
  <c r="N323" i="1"/>
  <c r="O323" i="1" s="1"/>
  <c r="N322" i="1"/>
  <c r="O322" i="1" s="1"/>
  <c r="N321" i="1"/>
  <c r="O321" i="1" s="1"/>
  <c r="N320" i="1"/>
  <c r="O320" i="1" s="1"/>
  <c r="N319" i="1"/>
  <c r="O319" i="1" s="1"/>
  <c r="N318" i="1"/>
  <c r="O318" i="1" s="1"/>
  <c r="N317" i="1"/>
  <c r="O317" i="1" s="1"/>
  <c r="N316" i="1"/>
  <c r="O316" i="1" s="1"/>
  <c r="N315" i="1"/>
  <c r="O315" i="1" s="1"/>
  <c r="N314" i="1"/>
  <c r="O314" i="1" s="1"/>
  <c r="N313" i="1"/>
  <c r="O313" i="1" s="1"/>
  <c r="N312" i="1"/>
  <c r="O312" i="1" s="1"/>
  <c r="N311" i="1"/>
  <c r="O311" i="1" s="1"/>
  <c r="N310" i="1"/>
  <c r="O310" i="1" s="1"/>
  <c r="N309" i="1"/>
  <c r="O309" i="1" s="1"/>
  <c r="N308" i="1"/>
  <c r="O308" i="1" s="1"/>
  <c r="N307" i="1"/>
  <c r="O307" i="1" s="1"/>
  <c r="N306" i="1"/>
  <c r="O306" i="1" s="1"/>
  <c r="N305" i="1"/>
  <c r="O305" i="1" s="1"/>
  <c r="N304" i="1"/>
  <c r="O304" i="1" s="1"/>
  <c r="N303" i="1"/>
  <c r="O303" i="1" s="1"/>
  <c r="N302" i="1"/>
  <c r="O302" i="1" s="1"/>
  <c r="N301" i="1"/>
  <c r="N330" i="1" s="1"/>
  <c r="N297" i="1"/>
  <c r="O297" i="1" s="1"/>
  <c r="N296" i="1"/>
  <c r="O296" i="1" s="1"/>
  <c r="N295" i="1"/>
  <c r="O295" i="1" s="1"/>
  <c r="N294" i="1"/>
  <c r="O294" i="1" s="1"/>
  <c r="N293" i="1"/>
  <c r="O293" i="1" s="1"/>
  <c r="N292" i="1"/>
  <c r="O292" i="1" s="1"/>
  <c r="N291" i="1"/>
  <c r="O291" i="1" s="1"/>
  <c r="N290" i="1"/>
  <c r="O290" i="1" s="1"/>
  <c r="N289" i="1"/>
  <c r="O289" i="1" s="1"/>
  <c r="N288" i="1"/>
  <c r="O288" i="1" s="1"/>
  <c r="N287" i="1"/>
  <c r="O287" i="1" s="1"/>
  <c r="N286" i="1"/>
  <c r="O286" i="1" s="1"/>
  <c r="N285" i="1"/>
  <c r="O285" i="1" s="1"/>
  <c r="N284" i="1"/>
  <c r="O284" i="1" s="1"/>
  <c r="N283" i="1"/>
  <c r="O283" i="1" s="1"/>
  <c r="N282" i="1"/>
  <c r="O282" i="1" s="1"/>
  <c r="N281" i="1"/>
  <c r="O281" i="1" s="1"/>
  <c r="N280" i="1"/>
  <c r="O280" i="1" s="1"/>
  <c r="N279" i="1"/>
  <c r="O279" i="1" s="1"/>
  <c r="N278" i="1"/>
  <c r="O278" i="1" s="1"/>
  <c r="N277" i="1"/>
  <c r="O277" i="1" s="1"/>
  <c r="N276" i="1"/>
  <c r="O276" i="1" s="1"/>
  <c r="N275" i="1"/>
  <c r="O275" i="1" s="1"/>
  <c r="N274" i="1"/>
  <c r="O274" i="1" s="1"/>
  <c r="N273" i="1"/>
  <c r="O273" i="1" s="1"/>
  <c r="N272" i="1"/>
  <c r="O272" i="1" s="1"/>
  <c r="N271" i="1"/>
  <c r="O271" i="1" s="1"/>
  <c r="N270" i="1"/>
  <c r="O270" i="1" s="1"/>
  <c r="N269" i="1"/>
  <c r="O269" i="1" s="1"/>
  <c r="N268" i="1"/>
  <c r="O268" i="1" s="1"/>
  <c r="N267" i="1"/>
  <c r="O267" i="1" s="1"/>
  <c r="N266" i="1"/>
  <c r="O266" i="1" s="1"/>
  <c r="N265" i="1"/>
  <c r="O265" i="1" s="1"/>
  <c r="N264" i="1"/>
  <c r="O264" i="1" s="1"/>
  <c r="N263" i="1"/>
  <c r="N259" i="1"/>
  <c r="O259" i="1" s="1"/>
  <c r="N258" i="1"/>
  <c r="O258" i="1" s="1"/>
  <c r="N257" i="1"/>
  <c r="O257" i="1" s="1"/>
  <c r="N256" i="1"/>
  <c r="O256" i="1" s="1"/>
  <c r="N255" i="1"/>
  <c r="O255" i="1" s="1"/>
  <c r="N254" i="1"/>
  <c r="O254" i="1" s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N245" i="1"/>
  <c r="O245" i="1" s="1"/>
  <c r="N244" i="1"/>
  <c r="O244" i="1" s="1"/>
  <c r="N243" i="1"/>
  <c r="O243" i="1" s="1"/>
  <c r="N242" i="1"/>
  <c r="O242" i="1" s="1"/>
  <c r="N241" i="1"/>
  <c r="O241" i="1" s="1"/>
  <c r="N240" i="1"/>
  <c r="O240" i="1" s="1"/>
  <c r="N239" i="1"/>
  <c r="O239" i="1" s="1"/>
  <c r="N238" i="1"/>
  <c r="O238" i="1" s="1"/>
  <c r="N237" i="1"/>
  <c r="O237" i="1" s="1"/>
  <c r="N236" i="1"/>
  <c r="O236" i="1" s="1"/>
  <c r="N235" i="1"/>
  <c r="O235" i="1" s="1"/>
  <c r="N234" i="1"/>
  <c r="O234" i="1" s="1"/>
  <c r="N232" i="1"/>
  <c r="O232" i="1" s="1"/>
  <c r="N231" i="1"/>
  <c r="O231" i="1" s="1"/>
  <c r="N230" i="1"/>
  <c r="O230" i="1" s="1"/>
  <c r="N229" i="1"/>
  <c r="O229" i="1" s="1"/>
  <c r="N228" i="1"/>
  <c r="O228" i="1" s="1"/>
  <c r="N227" i="1"/>
  <c r="O227" i="1" s="1"/>
  <c r="N226" i="1"/>
  <c r="O226" i="1" s="1"/>
  <c r="N225" i="1"/>
  <c r="O225" i="1" s="1"/>
  <c r="N224" i="1"/>
  <c r="O224" i="1" s="1"/>
  <c r="N223" i="1"/>
  <c r="O223" i="1" s="1"/>
  <c r="N222" i="1"/>
  <c r="O222" i="1" s="1"/>
  <c r="N221" i="1"/>
  <c r="O221" i="1" s="1"/>
  <c r="N220" i="1"/>
  <c r="O220" i="1" s="1"/>
  <c r="N216" i="1"/>
  <c r="O216" i="1" s="1"/>
  <c r="N215" i="1"/>
  <c r="O215" i="1" s="1"/>
  <c r="N214" i="1"/>
  <c r="O214" i="1" s="1"/>
  <c r="N213" i="1"/>
  <c r="O213" i="1" s="1"/>
  <c r="N212" i="1"/>
  <c r="O212" i="1" s="1"/>
  <c r="N211" i="1"/>
  <c r="O211" i="1" s="1"/>
  <c r="N210" i="1"/>
  <c r="O210" i="1" s="1"/>
  <c r="N209" i="1"/>
  <c r="O209" i="1" s="1"/>
  <c r="N208" i="1"/>
  <c r="O208" i="1" s="1"/>
  <c r="N207" i="1"/>
  <c r="O207" i="1" s="1"/>
  <c r="N206" i="1"/>
  <c r="O206" i="1" s="1"/>
  <c r="N205" i="1"/>
  <c r="O205" i="1" s="1"/>
  <c r="N204" i="1"/>
  <c r="O204" i="1" s="1"/>
  <c r="N203" i="1"/>
  <c r="O203" i="1" s="1"/>
  <c r="N202" i="1"/>
  <c r="O202" i="1" s="1"/>
  <c r="N198" i="1"/>
  <c r="O198" i="1" s="1"/>
  <c r="N197" i="1"/>
  <c r="O197" i="1" s="1"/>
  <c r="N196" i="1"/>
  <c r="O196" i="1" s="1"/>
  <c r="N195" i="1"/>
  <c r="O195" i="1" s="1"/>
  <c r="N194" i="1"/>
  <c r="O194" i="1" s="1"/>
  <c r="N193" i="1"/>
  <c r="O193" i="1" s="1"/>
  <c r="N192" i="1"/>
  <c r="O192" i="1" s="1"/>
  <c r="N191" i="1"/>
  <c r="O191" i="1" s="1"/>
  <c r="N190" i="1"/>
  <c r="O190" i="1" s="1"/>
  <c r="N189" i="1"/>
  <c r="O189" i="1" s="1"/>
  <c r="N188" i="1"/>
  <c r="O188" i="1" s="1"/>
  <c r="N187" i="1"/>
  <c r="O187" i="1" s="1"/>
  <c r="N186" i="1"/>
  <c r="O186" i="1" s="1"/>
  <c r="N185" i="1"/>
  <c r="O185" i="1" s="1"/>
  <c r="N184" i="1"/>
  <c r="O184" i="1" s="1"/>
  <c r="N183" i="1"/>
  <c r="O183" i="1" s="1"/>
  <c r="N182" i="1"/>
  <c r="O182" i="1" s="1"/>
  <c r="N181" i="1"/>
  <c r="O181" i="1" s="1"/>
  <c r="N180" i="1"/>
  <c r="O180" i="1" s="1"/>
  <c r="N179" i="1"/>
  <c r="O179" i="1" s="1"/>
  <c r="N178" i="1"/>
  <c r="O178" i="1" s="1"/>
  <c r="N177" i="1"/>
  <c r="O177" i="1" s="1"/>
  <c r="N173" i="1"/>
  <c r="O173" i="1" s="1"/>
  <c r="N172" i="1"/>
  <c r="O172" i="1" s="1"/>
  <c r="N171" i="1"/>
  <c r="O171" i="1" s="1"/>
  <c r="L171" i="1"/>
  <c r="L170" i="1"/>
  <c r="N170" i="1" s="1"/>
  <c r="O170" i="1" s="1"/>
  <c r="N169" i="1"/>
  <c r="O169" i="1" s="1"/>
  <c r="N168" i="1"/>
  <c r="O168" i="1" s="1"/>
  <c r="L168" i="1"/>
  <c r="O167" i="1"/>
  <c r="N167" i="1"/>
  <c r="O166" i="1"/>
  <c r="N166" i="1"/>
  <c r="O165" i="1"/>
  <c r="O174" i="1" s="1"/>
  <c r="N165" i="1"/>
  <c r="N161" i="1"/>
  <c r="O161" i="1" s="1"/>
  <c r="N160" i="1"/>
  <c r="O160" i="1" s="1"/>
  <c r="M159" i="1"/>
  <c r="N159" i="1"/>
  <c r="O159" i="1" s="1"/>
  <c r="M158" i="1"/>
  <c r="N158" i="1"/>
  <c r="O158" i="1" s="1"/>
  <c r="N157" i="1"/>
  <c r="O157" i="1" s="1"/>
  <c r="N156" i="1"/>
  <c r="O156" i="1" s="1"/>
  <c r="N155" i="1"/>
  <c r="O155" i="1" s="1"/>
  <c r="N154" i="1"/>
  <c r="O154" i="1" s="1"/>
  <c r="N153" i="1"/>
  <c r="O153" i="1" s="1"/>
  <c r="N152" i="1"/>
  <c r="O152" i="1" s="1"/>
  <c r="N151" i="1"/>
  <c r="O151" i="1" s="1"/>
  <c r="N150" i="1"/>
  <c r="O150" i="1" s="1"/>
  <c r="N149" i="1"/>
  <c r="O149" i="1" s="1"/>
  <c r="N147" i="1"/>
  <c r="O147" i="1" s="1"/>
  <c r="O146" i="1"/>
  <c r="O145" i="1"/>
  <c r="N145" i="1"/>
  <c r="O144" i="1"/>
  <c r="N144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N123" i="1"/>
  <c r="O123" i="1" s="1"/>
  <c r="N122" i="1"/>
  <c r="O122" i="1" s="1"/>
  <c r="N121" i="1"/>
  <c r="O121" i="1" s="1"/>
  <c r="N120" i="1"/>
  <c r="O120" i="1" s="1"/>
  <c r="N119" i="1"/>
  <c r="O119" i="1" s="1"/>
  <c r="N118" i="1"/>
  <c r="O118" i="1" s="1"/>
  <c r="N117" i="1"/>
  <c r="O117" i="1" s="1"/>
  <c r="N116" i="1"/>
  <c r="O116" i="1" s="1"/>
  <c r="N115" i="1"/>
  <c r="O115" i="1" s="1"/>
  <c r="N114" i="1"/>
  <c r="O114" i="1" s="1"/>
  <c r="N113" i="1"/>
  <c r="O113" i="1" s="1"/>
  <c r="N112" i="1"/>
  <c r="O112" i="1" s="1"/>
  <c r="N111" i="1"/>
  <c r="O111" i="1" s="1"/>
  <c r="N110" i="1"/>
  <c r="O110" i="1" s="1"/>
  <c r="N109" i="1"/>
  <c r="O109" i="1" s="1"/>
  <c r="N108" i="1"/>
  <c r="O108" i="1" s="1"/>
  <c r="N107" i="1"/>
  <c r="O107" i="1" s="1"/>
  <c r="N106" i="1"/>
  <c r="O106" i="1" s="1"/>
  <c r="N105" i="1"/>
  <c r="O105" i="1" s="1"/>
  <c r="N104" i="1"/>
  <c r="O104" i="1" s="1"/>
  <c r="N103" i="1"/>
  <c r="O103" i="1" s="1"/>
  <c r="N102" i="1"/>
  <c r="O102" i="1" s="1"/>
  <c r="N101" i="1"/>
  <c r="O101" i="1" s="1"/>
  <c r="N100" i="1"/>
  <c r="O100" i="1" s="1"/>
  <c r="N99" i="1"/>
  <c r="O99" i="1" s="1"/>
  <c r="N97" i="1"/>
  <c r="O97" i="1" s="1"/>
  <c r="N96" i="1"/>
  <c r="O96" i="1" s="1"/>
  <c r="N95" i="1"/>
  <c r="O95" i="1" s="1"/>
  <c r="N94" i="1"/>
  <c r="O94" i="1" s="1"/>
  <c r="N93" i="1"/>
  <c r="O93" i="1" s="1"/>
  <c r="N92" i="1"/>
  <c r="O92" i="1" s="1"/>
  <c r="N91" i="1"/>
  <c r="O91" i="1" s="1"/>
  <c r="N90" i="1"/>
  <c r="O90" i="1" s="1"/>
  <c r="N89" i="1"/>
  <c r="O89" i="1" s="1"/>
  <c r="N88" i="1"/>
  <c r="O88" i="1" s="1"/>
  <c r="N87" i="1"/>
  <c r="O87" i="1" s="1"/>
  <c r="N86" i="1"/>
  <c r="O86" i="1" s="1"/>
  <c r="N85" i="1"/>
  <c r="O85" i="1" s="1"/>
  <c r="N84" i="1"/>
  <c r="O84" i="1" s="1"/>
  <c r="N83" i="1"/>
  <c r="O83" i="1" s="1"/>
  <c r="N82" i="1"/>
  <c r="O82" i="1" s="1"/>
  <c r="N81" i="1"/>
  <c r="O81" i="1" s="1"/>
  <c r="N80" i="1"/>
  <c r="O80" i="1" s="1"/>
  <c r="N79" i="1"/>
  <c r="O79" i="1" s="1"/>
  <c r="N78" i="1"/>
  <c r="N141" i="1" s="1"/>
  <c r="N74" i="1"/>
  <c r="O74" i="1" s="1"/>
  <c r="N73" i="1"/>
  <c r="O73" i="1" s="1"/>
  <c r="N72" i="1"/>
  <c r="O72" i="1" s="1"/>
  <c r="N71" i="1"/>
  <c r="O71" i="1" s="1"/>
  <c r="N70" i="1"/>
  <c r="O70" i="1" s="1"/>
  <c r="N69" i="1"/>
  <c r="O69" i="1" s="1"/>
  <c r="N68" i="1"/>
  <c r="O68" i="1" s="1"/>
  <c r="N67" i="1"/>
  <c r="N75" i="1" s="1"/>
  <c r="N63" i="1"/>
  <c r="O63" i="1" s="1"/>
  <c r="N62" i="1"/>
  <c r="O62" i="1" s="1"/>
  <c r="N59" i="1"/>
  <c r="O59" i="1" s="1"/>
  <c r="N58" i="1"/>
  <c r="O58" i="1" s="1"/>
  <c r="N57" i="1"/>
  <c r="O57" i="1" s="1"/>
  <c r="N56" i="1"/>
  <c r="O56" i="1" s="1"/>
  <c r="N55" i="1"/>
  <c r="O55" i="1" s="1"/>
  <c r="N54" i="1"/>
  <c r="O54" i="1" s="1"/>
  <c r="N53" i="1"/>
  <c r="N64" i="1" s="1"/>
  <c r="N49" i="1"/>
  <c r="O49" i="1" s="1"/>
  <c r="N48" i="1"/>
  <c r="O48" i="1" s="1"/>
  <c r="N47" i="1"/>
  <c r="O47" i="1" s="1"/>
  <c r="N46" i="1"/>
  <c r="O46" i="1" s="1"/>
  <c r="N45" i="1"/>
  <c r="O45" i="1" s="1"/>
  <c r="N44" i="1"/>
  <c r="O44" i="1" s="1"/>
  <c r="N43" i="1"/>
  <c r="N50" i="1" s="1"/>
  <c r="N39" i="1"/>
  <c r="O39" i="1" s="1"/>
  <c r="N38" i="1"/>
  <c r="O38" i="1" s="1"/>
  <c r="N37" i="1"/>
  <c r="O37" i="1" s="1"/>
  <c r="N36" i="1"/>
  <c r="O36" i="1" s="1"/>
  <c r="N35" i="1"/>
  <c r="O35" i="1" s="1"/>
  <c r="N34" i="1"/>
  <c r="O34" i="1" s="1"/>
  <c r="N33" i="1"/>
  <c r="O33" i="1" s="1"/>
  <c r="N32" i="1"/>
  <c r="N40" i="1" s="1"/>
  <c r="N28" i="1"/>
  <c r="O28" i="1" s="1"/>
  <c r="N27" i="1"/>
  <c r="O27" i="1" s="1"/>
  <c r="N26" i="1"/>
  <c r="O26" i="1" s="1"/>
  <c r="N25" i="1"/>
  <c r="O25" i="1" s="1"/>
  <c r="N24" i="1"/>
  <c r="O24" i="1" s="1"/>
  <c r="N23" i="1"/>
  <c r="O23" i="1" s="1"/>
  <c r="N22" i="1"/>
  <c r="O22" i="1" s="1"/>
  <c r="N21" i="1"/>
  <c r="O21" i="1" s="1"/>
  <c r="N20" i="1"/>
  <c r="O20" i="1" s="1"/>
  <c r="N19" i="1"/>
  <c r="O19" i="1" s="1"/>
  <c r="N18" i="1"/>
  <c r="O18" i="1" s="1"/>
  <c r="N17" i="1"/>
  <c r="O17" i="1" s="1"/>
  <c r="N16" i="1"/>
  <c r="O16" i="1" s="1"/>
  <c r="N15" i="1"/>
  <c r="N29" i="1" s="1"/>
  <c r="N11" i="1"/>
  <c r="O11" i="1" s="1"/>
  <c r="N10" i="1"/>
  <c r="O10" i="1" s="1"/>
  <c r="N8" i="1"/>
  <c r="O8" i="1" s="1"/>
  <c r="N7" i="1"/>
  <c r="O7" i="1" s="1"/>
  <c r="N6" i="1"/>
  <c r="O6" i="1" s="1"/>
  <c r="N5" i="1"/>
  <c r="O5" i="1" s="1"/>
  <c r="N4" i="1"/>
  <c r="O4" i="1" s="1"/>
  <c r="N3" i="1"/>
  <c r="N12" i="1" s="1"/>
  <c r="O162" i="1" l="1"/>
  <c r="O260" i="1"/>
  <c r="O3" i="1"/>
  <c r="O12" i="1" s="1"/>
  <c r="O15" i="1"/>
  <c r="O29" i="1" s="1"/>
  <c r="O32" i="1"/>
  <c r="O40" i="1" s="1"/>
  <c r="O43" i="1"/>
  <c r="O50" i="1" s="1"/>
  <c r="O53" i="1"/>
  <c r="O64" i="1" s="1"/>
  <c r="O67" i="1"/>
  <c r="O75" i="1" s="1"/>
  <c r="O78" i="1"/>
  <c r="O141" i="1" s="1"/>
  <c r="N162" i="1"/>
  <c r="O199" i="1"/>
  <c r="O217" i="1"/>
  <c r="N174" i="1"/>
  <c r="N199" i="1"/>
  <c r="N217" i="1"/>
  <c r="N260" i="1"/>
  <c r="N298" i="1"/>
  <c r="O263" i="1"/>
  <c r="O298" i="1" s="1"/>
  <c r="O301" i="1"/>
  <c r="O330" i="1" s="1"/>
  <c r="O333" i="1"/>
  <c r="O336" i="1" s="1"/>
  <c r="O340" i="1"/>
  <c r="O341" i="1" s="1"/>
  <c r="N353" i="1"/>
</calcChain>
</file>

<file path=xl/sharedStrings.xml><?xml version="1.0" encoding="utf-8"?>
<sst xmlns="http://schemas.openxmlformats.org/spreadsheetml/2006/main" count="952" uniqueCount="402">
  <si>
    <t>District / School Name</t>
  </si>
  <si>
    <t>Cluster Name</t>
  </si>
  <si>
    <t>Prorated Aid Amount</t>
  </si>
  <si>
    <t>COOP Costs</t>
  </si>
  <si>
    <t>Maint Costs</t>
  </si>
  <si>
    <t>Total Before E Rate</t>
  </si>
  <si>
    <t>E Rate Discount</t>
  </si>
  <si>
    <t>Total After Erate</t>
  </si>
  <si>
    <t>ALEXANDRIA PUBLIC SCHOOL DISTRICT</t>
  </si>
  <si>
    <t>CMETS</t>
  </si>
  <si>
    <t>6054</t>
  </si>
  <si>
    <t>50</t>
  </si>
  <si>
    <t>BRANDON PUBLIC SCHOOL DISTRICT</t>
  </si>
  <si>
    <t>EVANSVILLE PUBLIC SCHOOL DISTRICT</t>
  </si>
  <si>
    <t>OSAKIS PUBLIC SCHOOL DISTRICT</t>
  </si>
  <si>
    <t>PARKERS PRAIRIE PUBLIC SCHOOL DIST.</t>
  </si>
  <si>
    <t>MELROSE PUBLIC SCHOOL DISTRICT</t>
  </si>
  <si>
    <t>SAUK CENTRE PUBLIC SCHOOL DISTRICT</t>
  </si>
  <si>
    <t>No Tech Plan</t>
  </si>
  <si>
    <t>ALBANY PUBLIC SCHOOL DISTRICT</t>
  </si>
  <si>
    <t>MINNEWASKA SCHOOL DISTRICT</t>
  </si>
  <si>
    <t>ST. FRANCIS PUBLIC SCHOOL DISTRICT</t>
  </si>
  <si>
    <t>ECMECC</t>
  </si>
  <si>
    <t>6003</t>
  </si>
  <si>
    <t>NORTH BRANCH PUBLIC SCHOOLS</t>
  </si>
  <si>
    <t>RUSH CITY PUBLIC SCHOOL DISTRICT</t>
  </si>
  <si>
    <t>BRAHAM PUBLIC SCHOOL DISTRICT</t>
  </si>
  <si>
    <t>MORA PUBLIC SCHOOL DISTRICT</t>
  </si>
  <si>
    <t>OGILVIE PUBLIC SCHOOL DISTRICT</t>
  </si>
  <si>
    <t>PRINCETON PUBLIC SCHOOL DISTRICT</t>
  </si>
  <si>
    <t>PINE CITY PUBLIC SCHOOL DISTRICT</t>
  </si>
  <si>
    <t>ELK RIVER PUBLIC SCHOOL DISTRICT</t>
  </si>
  <si>
    <t>CAMBRIDGE-ISANTI PUBLIC SCHOOL DIST</t>
  </si>
  <si>
    <t>MILACA PUBLIC SCHOOL DISTRICT</t>
  </si>
  <si>
    <t>CHISAGO LAKES SCHOOL DISTRICT</t>
  </si>
  <si>
    <t>HINCKLEY-FINLAYSON SCHOOL DISTRICT</t>
  </si>
  <si>
    <t>EAST CENTRAL SCHOOL DISTRICT</t>
  </si>
  <si>
    <t>Bertha-Hewitt</t>
  </si>
  <si>
    <t>FRESHWATER ED. DIST.</t>
  </si>
  <si>
    <t>6004</t>
  </si>
  <si>
    <t>61</t>
  </si>
  <si>
    <t>Browerville</t>
  </si>
  <si>
    <t>Verndale</t>
  </si>
  <si>
    <t>SEBEKA</t>
  </si>
  <si>
    <t>MENAHGA PUBLIC SCHOOL DISTRICT</t>
  </si>
  <si>
    <t>Wadena-Deer Creek</t>
  </si>
  <si>
    <t>STAPLES-MOTLEY SCHOOL DISTRICT</t>
  </si>
  <si>
    <t>EAGLE VALLEY PUBLIC SCHOOL DISTRICT</t>
  </si>
  <si>
    <t>HILL CITY PUBLIC SCHOOL DISTRICT</t>
  </si>
  <si>
    <t>ITASCA AREA SCHOOLS COLLABORATIVE E</t>
  </si>
  <si>
    <t>6070</t>
  </si>
  <si>
    <t>NORTHLAND COMMUNITY SCHOOLS</t>
  </si>
  <si>
    <t>GREENWAY PUBLIC SCHOOL DISTRICT</t>
  </si>
  <si>
    <t>DEER RIVER PUBLIC SCHOOL DISTRICT</t>
  </si>
  <si>
    <t>GRAND RAPIDS PUBLIC SCHOOL DISTRICT</t>
  </si>
  <si>
    <t>NASHWAUK-KEEWATIN SCHOOL DISTRICT</t>
  </si>
  <si>
    <t>FLOODWOOD PUBLIC SCHOOL DISTRICT</t>
  </si>
  <si>
    <t>NEW LONDON-SPICER SCHOOL DISTRICT</t>
  </si>
  <si>
    <t>LITTLE CROW TELE-MEDIA NETWORK</t>
  </si>
  <si>
    <t>6040</t>
  </si>
  <si>
    <t>WILLMAR PUBLIC SCHOOL DISTRICT</t>
  </si>
  <si>
    <t>HUTCHINSON PUBLIC SCHOOL DISTRICT</t>
  </si>
  <si>
    <t>LESTER PRAIRIE PUBLIC SCHOOL DIST.</t>
  </si>
  <si>
    <t>KERKHOVEN-MURDOCK-SUNBURG</t>
  </si>
  <si>
    <t>BUFFALO LK-HECTOR-STEWART PUBLIC SC</t>
  </si>
  <si>
    <t>M.A.C.C.R.A.Y. SCHOOL DISTRICT</t>
  </si>
  <si>
    <t>BELGRADE-BROOTEN-ELROSA SCHOOL DIST</t>
  </si>
  <si>
    <t>A.C.G.C.</t>
  </si>
  <si>
    <t>BIRD ISLAND-OLIVIA-LAKE LILLIAN</t>
  </si>
  <si>
    <t>GLENCOE-SILVER LAKE SCHOOL DISTRICT</t>
  </si>
  <si>
    <t>MONTEVIDEO PUBLIC SCHOOL DISTRICT</t>
  </si>
  <si>
    <t>MN RIVER VALLEY EDUCATION DISTRICT</t>
  </si>
  <si>
    <t>6018</t>
  </si>
  <si>
    <t>DAWSON-BOYD PUBLIC SCHOOL DISTRICT</t>
  </si>
  <si>
    <t>BENSON PUBLIC SCHOOL DISTRICT</t>
  </si>
  <si>
    <t>LAKEVIEW SCHOOL DISTRICT</t>
  </si>
  <si>
    <t>YELLOW MEDICINE EAST</t>
  </si>
  <si>
    <t>LAC QUI PARLE VALLEY SCHOOL DIST.</t>
  </si>
  <si>
    <t>RENVILLE COUNTY WEST SCHOOL DIST.</t>
  </si>
  <si>
    <t>ORTONVILLE PUBLIC SCHOOLS</t>
  </si>
  <si>
    <t>Frazee-Vergas</t>
  </si>
  <si>
    <t>NW-Links</t>
  </si>
  <si>
    <t xml:space="preserve">Pine Point </t>
  </si>
  <si>
    <t>Blackduck</t>
  </si>
  <si>
    <t xml:space="preserve">Kelliher </t>
  </si>
  <si>
    <t xml:space="preserve">Red Lake  </t>
  </si>
  <si>
    <t>Walker-Hackensack-Akeley</t>
  </si>
  <si>
    <t>Barnesville</t>
  </si>
  <si>
    <t xml:space="preserve">Hawley </t>
  </si>
  <si>
    <t xml:space="preserve">Moorhead </t>
  </si>
  <si>
    <t>Bagley</t>
  </si>
  <si>
    <t>Ashby</t>
  </si>
  <si>
    <t>Herman-Norcross</t>
  </si>
  <si>
    <t xml:space="preserve">Nevis </t>
  </si>
  <si>
    <t>Park Rapids</t>
  </si>
  <si>
    <t>Lancaster</t>
  </si>
  <si>
    <t xml:space="preserve">South Koochiching-Rainy River </t>
  </si>
  <si>
    <t xml:space="preserve">Lake of the Woods </t>
  </si>
  <si>
    <t>Mahnomen</t>
  </si>
  <si>
    <t>Waubun</t>
  </si>
  <si>
    <t>Marshall County</t>
  </si>
  <si>
    <t xml:space="preserve">Grygla </t>
  </si>
  <si>
    <t>Battle Lake</t>
  </si>
  <si>
    <t xml:space="preserve">Fergus Falls </t>
  </si>
  <si>
    <t xml:space="preserve">Pelican Rapids </t>
  </si>
  <si>
    <t xml:space="preserve">Perham </t>
  </si>
  <si>
    <t>Underwood</t>
  </si>
  <si>
    <t xml:space="preserve">New York Mills </t>
  </si>
  <si>
    <t>Goodridge</t>
  </si>
  <si>
    <t xml:space="preserve">Thief River Falls </t>
  </si>
  <si>
    <t xml:space="preserve">Climax </t>
  </si>
  <si>
    <t>Crookston</t>
  </si>
  <si>
    <t xml:space="preserve">East Grand Forks </t>
  </si>
  <si>
    <t>Fertile Beltrami</t>
  </si>
  <si>
    <t>Fisher</t>
  </si>
  <si>
    <t>Fosston</t>
  </si>
  <si>
    <t>Oklee</t>
  </si>
  <si>
    <t xml:space="preserve">Plummer </t>
  </si>
  <si>
    <t xml:space="preserve">Red Lake Falls </t>
  </si>
  <si>
    <t>Badger</t>
  </si>
  <si>
    <t xml:space="preserve">Roseau </t>
  </si>
  <si>
    <t xml:space="preserve">Warroad </t>
  </si>
  <si>
    <t>Hancock</t>
  </si>
  <si>
    <t xml:space="preserve">Morris </t>
  </si>
  <si>
    <t xml:space="preserve">Chokio-Alberta </t>
  </si>
  <si>
    <t xml:space="preserve">Browns Valley </t>
  </si>
  <si>
    <t>Wheaton</t>
  </si>
  <si>
    <t>Breckenridge</t>
  </si>
  <si>
    <t xml:space="preserve">Rothsay </t>
  </si>
  <si>
    <t>Campbell-Tintah</t>
  </si>
  <si>
    <t xml:space="preserve">Ulen-Hitterdahl </t>
  </si>
  <si>
    <t>Dilworth-Glyndon-Felton</t>
  </si>
  <si>
    <t>Kittson Central-Hallock</t>
  </si>
  <si>
    <t>Warren-Alvarado-Oslo</t>
  </si>
  <si>
    <t xml:space="preserve">Norman County East </t>
  </si>
  <si>
    <t>Clearbrook-Gonvick</t>
  </si>
  <si>
    <t>Tri-County</t>
  </si>
  <si>
    <t xml:space="preserve">Norman County West </t>
  </si>
  <si>
    <t xml:space="preserve">Win-E-Mac </t>
  </si>
  <si>
    <t xml:space="preserve">Greenbush-Middle River </t>
  </si>
  <si>
    <t xml:space="preserve">Ada-Borup </t>
  </si>
  <si>
    <t>Stephen-Argyle</t>
  </si>
  <si>
    <t>Clinton-Graceville-Beardsley</t>
  </si>
  <si>
    <t>Lake Park-Audubon Public Schools</t>
  </si>
  <si>
    <t>RANDOLPH PUBLIC SCHOOL DISTRICT</t>
  </si>
  <si>
    <t xml:space="preserve">Region 10 (SEMNET) </t>
  </si>
  <si>
    <t>921</t>
  </si>
  <si>
    <t>83</t>
  </si>
  <si>
    <t>CHATFIELD PUBLIC SCHOOLS</t>
  </si>
  <si>
    <t>LANESBORO</t>
  </si>
  <si>
    <t>MABEL-CANTON PUBLIC SCHOOL DIST.</t>
  </si>
  <si>
    <t>RUSHFORD-PETERSON PUBLIC SCHOOLS</t>
  </si>
  <si>
    <t>ALBERT LEA PUBLIC SCHOOL DISTRICT</t>
  </si>
  <si>
    <t>CANNON FALLS PUBLIC SCHOOL DISTRICT</t>
  </si>
  <si>
    <t>PINE ISLAND PUBLIC SCHOOL DIST.</t>
  </si>
  <si>
    <t>RED WING PUBLIC SCHOOL DISTRICT</t>
  </si>
  <si>
    <t>HOUSTON PUBLIC SCHOOL DISTRICT</t>
  </si>
  <si>
    <t>LEROY-OSTRANDER PUBLIC SCHOOLS</t>
  </si>
  <si>
    <t>BYRON PUBLIC SCHOOL DISTRICT</t>
  </si>
  <si>
    <t>DOVER-EYOTA PUBLIC SCHOOL DISTRICT</t>
  </si>
  <si>
    <t>STEWARTVILLE PUBLIC SCHOOL DISTRICT</t>
  </si>
  <si>
    <t>FARIBAULT</t>
  </si>
  <si>
    <t>LAKE CITY</t>
  </si>
  <si>
    <t>KINGSLAND</t>
  </si>
  <si>
    <t>PLAINVIEW-ELGIN-MILLVILLE</t>
  </si>
  <si>
    <t>MCGREGOR PUBLIC SCHOOL DISTRICT</t>
  </si>
  <si>
    <t>REGION 2 - ARCC</t>
  </si>
  <si>
    <t>868</t>
  </si>
  <si>
    <t>82</t>
  </si>
  <si>
    <t>BARNUM PUBLIC SCHOOL DISTRICT</t>
  </si>
  <si>
    <t>CLOQUET PUBLIC SCHOOL DISTRICT</t>
  </si>
  <si>
    <t>CROMWELL-WRIGHT PUBLIC SCHOOLS</t>
  </si>
  <si>
    <t>MOOSE LAKE PUBLIC SCHOOL DISTRICT</t>
  </si>
  <si>
    <t>ESKO PUBLIC SCHOOL DISTRICT</t>
  </si>
  <si>
    <t>LITTLEFORK-BIG FALLS SCHOOL DIST.</t>
  </si>
  <si>
    <t>WILLOW RIVER PUBLIC SCHOOL DISTRICT</t>
  </si>
  <si>
    <t>HERMANTOWN PUBLIC SCHOOL DISTRICT</t>
  </si>
  <si>
    <t>AITKIN PUBLIC SCHOOL DISTRICT</t>
  </si>
  <si>
    <t>REGION 3 - CENTRAL</t>
  </si>
  <si>
    <t>867</t>
  </si>
  <si>
    <t>MINNEAPOLIS PUBLIC SCHOOL DIST.</t>
  </si>
  <si>
    <t>FOLEY PUBLIC SCHOOL DISTRICT</t>
  </si>
  <si>
    <t>BRAINERD PUBLIC SCHOOL DISTRICT</t>
  </si>
  <si>
    <t>CROSBY-IRONTON PUBLIC SCHOOL DIST.</t>
  </si>
  <si>
    <t>PEQUOT LAKES PUBLIC SCHOOLS</t>
  </si>
  <si>
    <t>EDEN VALLEY-WATKINS SCHOOL DISTRICT</t>
  </si>
  <si>
    <t>LITCHFIELD PUBLIC SCHOOL DISTRICT</t>
  </si>
  <si>
    <t>DASSEL-COKATO PUBLIC SCHOOL DIST.</t>
  </si>
  <si>
    <t>BECKER PUBLIC SCHOOL DISTRICT</t>
  </si>
  <si>
    <t>BIG LAKE PUBLIC SCHOOL DISTRICT</t>
  </si>
  <si>
    <t>KIMBALL PUBLIC SCHOOL DISTRICT</t>
  </si>
  <si>
    <t>PAYNESVILLE PUBLIC SCHOOL DISTRICT</t>
  </si>
  <si>
    <t>ST. CLOUD PUBLIC SCHOOL DISTRICT</t>
  </si>
  <si>
    <t>SARTELL-ST. STEPHEN SCHOOL DISTRICT</t>
  </si>
  <si>
    <t>ROCORI PUBLIC SCHOOL DISTRICT</t>
  </si>
  <si>
    <t>DELANO PUBLIC SCHOOL DISTRICT</t>
  </si>
  <si>
    <t>MAPLE LAKE PUBLIC SCHOOL DISTRICT</t>
  </si>
  <si>
    <t>MONTICELLO PUBLIC SCHOOL DISTRICT</t>
  </si>
  <si>
    <t>ROCKFORD PUBLIC SCHOOL DISTRICT</t>
  </si>
  <si>
    <t>PINE RIVER-BACKUS SCHOOL DISTRICT</t>
  </si>
  <si>
    <t>HOWARD LAKE-WAVERLY-WINSTED</t>
  </si>
  <si>
    <t>CARLTON PUBLIC SCHOOL DISTRICT</t>
  </si>
  <si>
    <t>REGION 3 - NORTHEAST SERVICE COOP</t>
  </si>
  <si>
    <t>927</t>
  </si>
  <si>
    <t>COOK COUNTY PUBLIC SCHOOLS</t>
  </si>
  <si>
    <t>INTERNATIONAL FALLS SCHOOL DISTRICT</t>
  </si>
  <si>
    <t>LAKE SUPERIOR PUBLIC SCHOOL DIST.</t>
  </si>
  <si>
    <t>CHISHOLM PUBLIC SCHOOL DISTRICT</t>
  </si>
  <si>
    <t>ELY PUBLIC SCHOOL DISTRICT</t>
  </si>
  <si>
    <t>HIBBING PUBLIC SCHOOL DISTRICT</t>
  </si>
  <si>
    <t>PROCTOR PUBLIC SCHOOL DISTRICT</t>
  </si>
  <si>
    <t>VIRGINIA PUBLIC SCHOOL DISTRICT</t>
  </si>
  <si>
    <t>NETT LAKE PUBLIC SCHOOL DISTRICT</t>
  </si>
  <si>
    <t>DULUTH PUBLIC SCHOOL DISTRICT</t>
  </si>
  <si>
    <t>MOUNTAIN IRON-BUHL SCHOOL DISTRICT</t>
  </si>
  <si>
    <t>ST. LOUIS COUNTY SCHOOL DISTRICT</t>
  </si>
  <si>
    <t>EVELETH-GILBERT SCHOOL DISTRICT</t>
  </si>
  <si>
    <t>MESABI EAST SCHOOL DISTRICT</t>
  </si>
  <si>
    <t>South St Paul</t>
  </si>
  <si>
    <t>REGION 7 - TIES</t>
  </si>
  <si>
    <t>Anoka-Hennepin</t>
  </si>
  <si>
    <t>Centennial</t>
  </si>
  <si>
    <t>Columbia Heights</t>
  </si>
  <si>
    <t>Fridley</t>
  </si>
  <si>
    <t>Spring Lake Park</t>
  </si>
  <si>
    <t>Burnsville-Eagan-Savage</t>
  </si>
  <si>
    <t>Lakeville</t>
  </si>
  <si>
    <t>Rosemount-Apple Valley-Eagan</t>
  </si>
  <si>
    <t>West St Paul</t>
  </si>
  <si>
    <t>Inver Grove Heights</t>
  </si>
  <si>
    <t>Hastings</t>
  </si>
  <si>
    <t>Hopkins</t>
  </si>
  <si>
    <t>Bloomington</t>
  </si>
  <si>
    <t>Eden Prairie</t>
  </si>
  <si>
    <t>Edina</t>
  </si>
  <si>
    <t>Minnetonka</t>
  </si>
  <si>
    <t>Westonka</t>
  </si>
  <si>
    <t>Orono</t>
  </si>
  <si>
    <t>Osseo</t>
  </si>
  <si>
    <t>Richfield</t>
  </si>
  <si>
    <t>Robbinsdale</t>
  </si>
  <si>
    <t>St. Anthony-New Brighton</t>
  </si>
  <si>
    <t>St. Louis Park</t>
  </si>
  <si>
    <t>Wayzata</t>
  </si>
  <si>
    <t>Brooklyn Center</t>
  </si>
  <si>
    <t>Rochester</t>
  </si>
  <si>
    <t>Mounds View</t>
  </si>
  <si>
    <t>North St. Paul-Maplewood-Oakdale</t>
  </si>
  <si>
    <t>Roseville</t>
  </si>
  <si>
    <t>Northfield</t>
  </si>
  <si>
    <t>Jordan</t>
  </si>
  <si>
    <t>New Prague</t>
  </si>
  <si>
    <t>Forest Lake</t>
  </si>
  <si>
    <t>Mahtomedi</t>
  </si>
  <si>
    <t>South Washington County</t>
  </si>
  <si>
    <t>Stillwater</t>
  </si>
  <si>
    <t>Buffalo-Hanover-Montrose</t>
  </si>
  <si>
    <t>St Michael-Albertville</t>
  </si>
  <si>
    <t>Lakes International Language Academy</t>
  </si>
  <si>
    <t>Comfrey Public Schools</t>
  </si>
  <si>
    <t>REGN 6 &amp; 8-S.W/W.C. SRV COOPERATIVE</t>
  </si>
  <si>
    <t>Sleepy Eye Public Schools</t>
  </si>
  <si>
    <t>Springfield Public Schools</t>
  </si>
  <si>
    <t>Mountain Lake Public Schools</t>
  </si>
  <si>
    <t>Windom Public Schools</t>
  </si>
  <si>
    <t>Heron Lake-Okabena</t>
  </si>
  <si>
    <t>Hendricks Public School</t>
  </si>
  <si>
    <t>Ivanhoe Public School</t>
  </si>
  <si>
    <t>Lake Benton Public School</t>
  </si>
  <si>
    <t>Marshall Public Schools</t>
  </si>
  <si>
    <t>Minneota Public Schools</t>
  </si>
  <si>
    <t>Lynd Public Schools</t>
  </si>
  <si>
    <t>Fulda Public Schools</t>
  </si>
  <si>
    <t>Adrian Public Schools</t>
  </si>
  <si>
    <t>Brewster Public School</t>
  </si>
  <si>
    <t>Ellsworth Public School</t>
  </si>
  <si>
    <t>Round Lake Public School</t>
  </si>
  <si>
    <t>Worthington Public Schools</t>
  </si>
  <si>
    <t>Edgerton Public School</t>
  </si>
  <si>
    <t>Milroy Public School</t>
  </si>
  <si>
    <t>Wabasso Public Schools</t>
  </si>
  <si>
    <t>Hills-Beaver Creek</t>
  </si>
  <si>
    <t>Canby Public Schools</t>
  </si>
  <si>
    <t>Murray County Central Schools</t>
  </si>
  <si>
    <t>Luverne Public Schools</t>
  </si>
  <si>
    <t>Pipestone</t>
  </si>
  <si>
    <t>Cedar Mountain</t>
  </si>
  <si>
    <t>Red Rock Central</t>
  </si>
  <si>
    <t>Jackson County Central</t>
  </si>
  <si>
    <t>Redwood Area High School</t>
  </si>
  <si>
    <t>Westbrook-Walnut Grove</t>
  </si>
  <si>
    <t>RTR</t>
  </si>
  <si>
    <t>Tracy Area Public Schools</t>
  </si>
  <si>
    <t>E.C.H.O. Charter School</t>
  </si>
  <si>
    <t>MILROY Charter School</t>
  </si>
  <si>
    <t>St. Clair Public Schools</t>
  </si>
  <si>
    <t>SOCRATES</t>
  </si>
  <si>
    <t>Mankato Public Schools</t>
  </si>
  <si>
    <t>New Ulm Public Schools</t>
  </si>
  <si>
    <t>Alden-Conger Public Schools</t>
  </si>
  <si>
    <t>Cleveland Public Schools</t>
  </si>
  <si>
    <t>Le Center Public Schools</t>
  </si>
  <si>
    <t>Montgomery-Lonsdale Public Schools</t>
  </si>
  <si>
    <t>Truman Public Schools</t>
  </si>
  <si>
    <t>Nicollet Public Schools</t>
  </si>
  <si>
    <t>St. Peter Public Schools</t>
  </si>
  <si>
    <t>Belle Plaine Public Schools</t>
  </si>
  <si>
    <t>Waseca Public Schools</t>
  </si>
  <si>
    <t>Madelia Public Schools</t>
  </si>
  <si>
    <t>St. James Public Schools</t>
  </si>
  <si>
    <t>Lake Crystal-Wellcome Memorial Public Schools</t>
  </si>
  <si>
    <t>United South Central Public Schools</t>
  </si>
  <si>
    <t>Maple River Public Schools</t>
  </si>
  <si>
    <t>Waterville-Elysian-Morristown Public Schools</t>
  </si>
  <si>
    <t>New Richland-Hartland-Ellendale-Geneva Public Schools</t>
  </si>
  <si>
    <t>Sibley East Public Schools</t>
  </si>
  <si>
    <t>Gibbon-Fairfax-Winthrop Public Schools</t>
  </si>
  <si>
    <t>Le Sueur-Henderson Public Schools</t>
  </si>
  <si>
    <t>Martin County West Public Schools</t>
  </si>
  <si>
    <t>Granada-Huntley-East Chain Public Schools</t>
  </si>
  <si>
    <t>Fairmont Area Public Schools</t>
  </si>
  <si>
    <t>Janesville-Waldorf-Pemberton Public Schools</t>
  </si>
  <si>
    <t>Blue Earth Area Public Schools</t>
  </si>
  <si>
    <t>Glenville-Emmons Public Schools</t>
  </si>
  <si>
    <t xml:space="preserve">TEAM ACADEMY </t>
  </si>
  <si>
    <t>GOODHUE PUBLIC SCHOOL DISTRICT</t>
  </si>
  <si>
    <t>WASIOJA ED. TECHNOLOGY COOP.</t>
  </si>
  <si>
    <t>6048</t>
  </si>
  <si>
    <t>KENYON-WANAMINGO SCHOOL DISTRICT</t>
  </si>
  <si>
    <t>ZUMBROTA-MAZEPPA SCHOOL DISTRICT</t>
  </si>
  <si>
    <t>SHAKOPEE PUBLIC SCHOOL DISTRICT</t>
  </si>
  <si>
    <t>SCSN</t>
  </si>
  <si>
    <t>PRIOR LAKE</t>
  </si>
  <si>
    <t>Isle Public School District</t>
    <phoneticPr fontId="0" type="noConversion"/>
  </si>
  <si>
    <t>MSET</t>
  </si>
  <si>
    <t>Onamia Public School District</t>
    <phoneticPr fontId="0" type="noConversion"/>
  </si>
  <si>
    <t>Little Falls Public School</t>
    <phoneticPr fontId="0" type="noConversion"/>
  </si>
  <si>
    <t>Pierz Public School District</t>
  </si>
  <si>
    <t>Roalton Public School District</t>
    <phoneticPr fontId="0" type="noConversion"/>
  </si>
  <si>
    <t>Swanville Public School District</t>
    <phoneticPr fontId="0" type="noConversion"/>
  </si>
  <si>
    <t>Upsala Public School District</t>
    <phoneticPr fontId="0" type="noConversion"/>
  </si>
  <si>
    <t>Holdingford Public School District</t>
    <phoneticPr fontId="0" type="noConversion"/>
  </si>
  <si>
    <t>Long Prairie-Grey Eagle</t>
    <phoneticPr fontId="0" type="noConversion"/>
  </si>
  <si>
    <t>FY 2013 Telecomm Equity Aid</t>
  </si>
  <si>
    <t>Proration Rate</t>
  </si>
  <si>
    <t>PAYMENTS TO TELECOM ACCESS CLUSTERS</t>
  </si>
  <si>
    <t>PAYMENTS TO INDIVIDUAL SCHOOLS</t>
  </si>
  <si>
    <t>Eligible</t>
  </si>
  <si>
    <t>Prorated</t>
  </si>
  <si>
    <t>Cluster</t>
  </si>
  <si>
    <t>Org Type - Org #</t>
  </si>
  <si>
    <t>Aid Amount</t>
  </si>
  <si>
    <t>50-6054</t>
  </si>
  <si>
    <t>NORTHWEST PASSAGE HIGH SCHOOL</t>
  </si>
  <si>
    <t>50-6003</t>
  </si>
  <si>
    <t xml:space="preserve">61-6004 </t>
  </si>
  <si>
    <t xml:space="preserve">IASC </t>
  </si>
  <si>
    <t>50-6070</t>
  </si>
  <si>
    <t>Residence</t>
  </si>
  <si>
    <t>Non Public School</t>
  </si>
  <si>
    <t>50-6040</t>
  </si>
  <si>
    <t>ST. BERNARD</t>
  </si>
  <si>
    <t xml:space="preserve">MNRVED </t>
  </si>
  <si>
    <t>61-6018</t>
  </si>
  <si>
    <t>NW LINKS (REGION I)</t>
  </si>
  <si>
    <t>82-0869</t>
  </si>
  <si>
    <t xml:space="preserve">LOURDES </t>
  </si>
  <si>
    <t>REGION 10 - SOUTHEAST SERVICE COOP</t>
  </si>
  <si>
    <t>83-0921</t>
  </si>
  <si>
    <t>ST. JOHN</t>
  </si>
  <si>
    <t>82-0868</t>
  </si>
  <si>
    <t>ST. PIUS X /535</t>
  </si>
  <si>
    <t>CENTRAL</t>
  </si>
  <si>
    <t>82-0867</t>
  </si>
  <si>
    <t>TOTAL</t>
  </si>
  <si>
    <t xml:space="preserve">NESC </t>
  </si>
  <si>
    <t>83-0927</t>
  </si>
  <si>
    <t>Ties (Region 7)</t>
  </si>
  <si>
    <t>82-0925</t>
  </si>
  <si>
    <t>SOUTHWEST (Region 6 &amp; 8)</t>
  </si>
  <si>
    <t>83-0991</t>
  </si>
  <si>
    <t>50-6036</t>
  </si>
  <si>
    <t>WETC</t>
  </si>
  <si>
    <t>50-6048</t>
  </si>
  <si>
    <t>50-6081</t>
  </si>
  <si>
    <t>61-6979</t>
  </si>
  <si>
    <t>Total for Cluster Members</t>
  </si>
  <si>
    <t>PAYMENTS TO INDIVIDUAL SCHOOLS for Non Public Schools</t>
  </si>
  <si>
    <t>Central Public School District</t>
  </si>
  <si>
    <t xml:space="preserve">District  # of </t>
  </si>
  <si>
    <t>District Name of Residence</t>
  </si>
  <si>
    <t>Rochester Public Schools</t>
  </si>
  <si>
    <t>LCTN</t>
  </si>
  <si>
    <t>Number</t>
  </si>
  <si>
    <t>School</t>
  </si>
  <si>
    <t>Type</t>
  </si>
  <si>
    <t>Before Erate</t>
  </si>
  <si>
    <t>Line Lease</t>
  </si>
  <si>
    <t>After Erate</t>
  </si>
  <si>
    <t>Erate</t>
  </si>
  <si>
    <t>Install Before</t>
  </si>
  <si>
    <t>Install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</si>
</sst>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</font>
    <font>
      <sz val="8"/>
      <name val="Helvetica"/>
    </font>
    <font>
      <sz val="10"/>
      <name val="Arial"/>
      <family val="2"/>
    </font>
    <font>
      <sz val="12"/>
      <color theme="1"/>
      <name val="Arial"/>
      <family val="2"/>
    </font>
    <font>
      <u/>
      <sz val="12"/>
      <color theme="11"/>
      <name val="Arial"/>
      <family val="2"/>
    </font>
    <font>
      <u/>
      <sz val="12"/>
      <color theme="10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6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1" fillId="0" borderId="0"/>
    <xf numFmtId="0" fontId="8" fillId="0" borderId="0"/>
    <xf numFmtId="9" fontId="7" fillId="0" borderId="0" applyFont="0" applyFill="0" applyBorder="0" applyAlignment="0" applyProtection="0"/>
  </cellStyleXfs>
  <cellXfs count="48">
    <xf numFmtId="0" fontId="0" fillId="0" borderId="0" xfId="0"/>
    <xf numFmtId="43" fontId="2" fillId="0" borderId="0" xfId="1" applyFont="1" applyFill="1"/>
    <xf numFmtId="0" fontId="2" fillId="0" borderId="0" xfId="0" applyFont="1" applyFill="1"/>
    <xf numFmtId="0" fontId="2" fillId="0" borderId="0" xfId="0" applyNumberFormat="1" applyFont="1" applyFill="1" applyAlignment="1">
      <alignment horizontal="right"/>
    </xf>
    <xf numFmtId="0" fontId="3" fillId="0" borderId="0" xfId="0" applyFont="1"/>
    <xf numFmtId="1" fontId="2" fillId="0" borderId="0" xfId="0" applyNumberFormat="1" applyFont="1" applyFill="1" applyAlignment="1">
      <alignment horizontal="left"/>
    </xf>
    <xf numFmtId="43" fontId="2" fillId="0" borderId="0" xfId="1" applyFont="1" applyFill="1" applyAlignment="1">
      <alignment horizontal="center"/>
    </xf>
    <xf numFmtId="43" fontId="2" fillId="0" borderId="1" xfId="1" applyFont="1" applyFill="1" applyBorder="1"/>
    <xf numFmtId="43" fontId="4" fillId="0" borderId="0" xfId="1" applyFont="1" applyFill="1"/>
    <xf numFmtId="43" fontId="4" fillId="0" borderId="2" xfId="1" applyFont="1" applyFill="1" applyBorder="1"/>
    <xf numFmtId="1" fontId="2" fillId="0" borderId="0" xfId="1" applyNumberFormat="1" applyFont="1" applyFill="1" applyAlignment="1">
      <alignment horizontal="left"/>
    </xf>
    <xf numFmtId="0" fontId="5" fillId="0" borderId="0" xfId="0" applyFont="1" applyFill="1" applyBorder="1"/>
    <xf numFmtId="164" fontId="5" fillId="0" borderId="0" xfId="1" applyNumberFormat="1" applyFont="1" applyFill="1" applyBorder="1"/>
    <xf numFmtId="164" fontId="5" fillId="0" borderId="0" xfId="0" applyNumberFormat="1" applyFont="1" applyFill="1" applyBorder="1"/>
    <xf numFmtId="43" fontId="5" fillId="0" borderId="0" xfId="1" applyFont="1" applyFill="1" applyBorder="1"/>
    <xf numFmtId="164" fontId="2" fillId="0" borderId="0" xfId="1" applyNumberFormat="1" applyFont="1" applyFill="1"/>
    <xf numFmtId="0" fontId="5" fillId="0" borderId="0" xfId="0" applyNumberFormat="1" applyFont="1" applyFill="1" applyBorder="1"/>
    <xf numFmtId="1" fontId="5" fillId="0" borderId="0" xfId="0" applyNumberFormat="1" applyFont="1" applyFill="1" applyBorder="1" applyAlignment="1">
      <alignment horizontal="left"/>
    </xf>
    <xf numFmtId="43" fontId="6" fillId="0" borderId="0" xfId="1" applyFont="1" applyFill="1"/>
    <xf numFmtId="0" fontId="11" fillId="0" borderId="0" xfId="0" applyFont="1"/>
    <xf numFmtId="0" fontId="12" fillId="0" borderId="0" xfId="0" applyFont="1"/>
    <xf numFmtId="0" fontId="3" fillId="2" borderId="0" xfId="0" applyFont="1" applyFill="1"/>
    <xf numFmtId="0" fontId="3" fillId="0" borderId="0" xfId="0" applyFont="1" applyAlignment="1">
      <alignment horizontal="right"/>
    </xf>
    <xf numFmtId="10" fontId="3" fillId="0" borderId="0" xfId="2" applyNumberFormat="1" applyFont="1"/>
    <xf numFmtId="0" fontId="12" fillId="0" borderId="0" xfId="0" applyFont="1" applyAlignment="1">
      <alignment horizontal="center"/>
    </xf>
    <xf numFmtId="43" fontId="3" fillId="0" borderId="0" xfId="0" applyNumberFormat="1" applyFont="1"/>
    <xf numFmtId="43" fontId="3" fillId="0" borderId="0" xfId="0" applyNumberFormat="1" applyFont="1" applyFill="1"/>
    <xf numFmtId="0" fontId="3" fillId="0" borderId="0" xfId="0" applyNumberFormat="1" applyFont="1" applyFill="1" applyAlignment="1">
      <alignment horizontal="right"/>
    </xf>
    <xf numFmtId="0" fontId="3" fillId="0" borderId="0" xfId="0" applyFont="1" applyFill="1"/>
    <xf numFmtId="43" fontId="3" fillId="0" borderId="0" xfId="1" applyFont="1" applyFill="1"/>
    <xf numFmtId="0" fontId="3" fillId="0" borderId="1" xfId="0" applyNumberFormat="1" applyFont="1" applyFill="1" applyBorder="1" applyAlignment="1">
      <alignment horizontal="right"/>
    </xf>
    <xf numFmtId="0" fontId="3" fillId="0" borderId="1" xfId="0" applyFont="1" applyFill="1" applyBorder="1"/>
    <xf numFmtId="43" fontId="3" fillId="0" borderId="1" xfId="0" applyNumberFormat="1" applyFont="1" applyFill="1" applyBorder="1"/>
    <xf numFmtId="43" fontId="3" fillId="0" borderId="0" xfId="1" applyFont="1"/>
    <xf numFmtId="0" fontId="3" fillId="0" borderId="0" xfId="0" applyFont="1" applyBorder="1"/>
    <xf numFmtId="0" fontId="3" fillId="0" borderId="1" xfId="0" applyFont="1" applyBorder="1"/>
    <xf numFmtId="43" fontId="3" fillId="0" borderId="1" xfId="0" applyNumberFormat="1" applyFont="1" applyBorder="1"/>
    <xf numFmtId="43" fontId="12" fillId="0" borderId="0" xfId="0" applyNumberFormat="1" applyFont="1"/>
    <xf numFmtId="0" fontId="3" fillId="0" borderId="0" xfId="0" applyNumberFormat="1" applyFont="1" applyFill="1" applyAlignment="1">
      <alignment horizontal="left"/>
    </xf>
    <xf numFmtId="0" fontId="12" fillId="0" borderId="0" xfId="0" applyNumberFormat="1" applyFont="1" applyFill="1" applyAlignment="1"/>
    <xf numFmtId="0" fontId="12" fillId="0" borderId="0" xfId="0" applyFont="1" applyAlignment="1"/>
    <xf numFmtId="0" fontId="12" fillId="0" borderId="0" xfId="0" applyFont="1" applyFill="1" applyAlignment="1"/>
    <xf numFmtId="0" fontId="12" fillId="0" borderId="0" xfId="0" applyFont="1" applyFill="1"/>
    <xf numFmtId="0" fontId="3" fillId="0" borderId="1" xfId="0" applyNumberFormat="1" applyFont="1" applyFill="1" applyBorder="1" applyAlignment="1">
      <alignment horizontal="left"/>
    </xf>
    <xf numFmtId="0" fontId="4" fillId="0" borderId="0" xfId="0" applyFont="1" applyFill="1" applyAlignment="1">
      <alignment wrapText="1"/>
    </xf>
    <xf numFmtId="43" fontId="4" fillId="0" borderId="0" xfId="1" applyFont="1" applyFill="1" applyAlignment="1">
      <alignment wrapText="1"/>
    </xf>
    <xf numFmtId="0" fontId="12" fillId="0" borderId="0" xfId="0" applyFont="1" applyAlignment="1">
      <alignment wrapText="1"/>
    </xf>
    <xf numFmtId="1" fontId="4" fillId="0" borderId="0" xfId="0" applyNumberFormat="1" applyFont="1" applyFill="1" applyAlignment="1">
      <alignment wrapText="1"/>
    </xf>
  </cellXfs>
  <cellStyles count="364">
    <cellStyle name="Comma" xfId="1" builtinId="3"/>
    <cellStyle name="Comma 2" xfId="3"/>
    <cellStyle name="Comma 3" xfId="4"/>
    <cellStyle name="Currency 2" xfId="5"/>
    <cellStyle name="Followed Hyperlink 10" xfId="6"/>
    <cellStyle name="Followed Hyperlink 100" xfId="7"/>
    <cellStyle name="Followed Hyperlink 101" xfId="8"/>
    <cellStyle name="Followed Hyperlink 102" xfId="9"/>
    <cellStyle name="Followed Hyperlink 103" xfId="10"/>
    <cellStyle name="Followed Hyperlink 104" xfId="11"/>
    <cellStyle name="Followed Hyperlink 105" xfId="12"/>
    <cellStyle name="Followed Hyperlink 106" xfId="13"/>
    <cellStyle name="Followed Hyperlink 107" xfId="14"/>
    <cellStyle name="Followed Hyperlink 108" xfId="15"/>
    <cellStyle name="Followed Hyperlink 109" xfId="16"/>
    <cellStyle name="Followed Hyperlink 11" xfId="17"/>
    <cellStyle name="Followed Hyperlink 110" xfId="18"/>
    <cellStyle name="Followed Hyperlink 111" xfId="19"/>
    <cellStyle name="Followed Hyperlink 112" xfId="20"/>
    <cellStyle name="Followed Hyperlink 113" xfId="21"/>
    <cellStyle name="Followed Hyperlink 114" xfId="22"/>
    <cellStyle name="Followed Hyperlink 115" xfId="23"/>
    <cellStyle name="Followed Hyperlink 116" xfId="24"/>
    <cellStyle name="Followed Hyperlink 117" xfId="25"/>
    <cellStyle name="Followed Hyperlink 118" xfId="26"/>
    <cellStyle name="Followed Hyperlink 119" xfId="27"/>
    <cellStyle name="Followed Hyperlink 12" xfId="28"/>
    <cellStyle name="Followed Hyperlink 120" xfId="29"/>
    <cellStyle name="Followed Hyperlink 121" xfId="30"/>
    <cellStyle name="Followed Hyperlink 122" xfId="31"/>
    <cellStyle name="Followed Hyperlink 123" xfId="32"/>
    <cellStyle name="Followed Hyperlink 124" xfId="33"/>
    <cellStyle name="Followed Hyperlink 125" xfId="34"/>
    <cellStyle name="Followed Hyperlink 126" xfId="35"/>
    <cellStyle name="Followed Hyperlink 127" xfId="36"/>
    <cellStyle name="Followed Hyperlink 128" xfId="37"/>
    <cellStyle name="Followed Hyperlink 129" xfId="38"/>
    <cellStyle name="Followed Hyperlink 13" xfId="39"/>
    <cellStyle name="Followed Hyperlink 130" xfId="40"/>
    <cellStyle name="Followed Hyperlink 131" xfId="41"/>
    <cellStyle name="Followed Hyperlink 132" xfId="42"/>
    <cellStyle name="Followed Hyperlink 133" xfId="43"/>
    <cellStyle name="Followed Hyperlink 134" xfId="44"/>
    <cellStyle name="Followed Hyperlink 135" xfId="45"/>
    <cellStyle name="Followed Hyperlink 136" xfId="46"/>
    <cellStyle name="Followed Hyperlink 137" xfId="47"/>
    <cellStyle name="Followed Hyperlink 138" xfId="48"/>
    <cellStyle name="Followed Hyperlink 139" xfId="49"/>
    <cellStyle name="Followed Hyperlink 14" xfId="50"/>
    <cellStyle name="Followed Hyperlink 140" xfId="51"/>
    <cellStyle name="Followed Hyperlink 141" xfId="52"/>
    <cellStyle name="Followed Hyperlink 142" xfId="53"/>
    <cellStyle name="Followed Hyperlink 143" xfId="54"/>
    <cellStyle name="Followed Hyperlink 144" xfId="55"/>
    <cellStyle name="Followed Hyperlink 145" xfId="56"/>
    <cellStyle name="Followed Hyperlink 146" xfId="57"/>
    <cellStyle name="Followed Hyperlink 147" xfId="58"/>
    <cellStyle name="Followed Hyperlink 148" xfId="59"/>
    <cellStyle name="Followed Hyperlink 149" xfId="60"/>
    <cellStyle name="Followed Hyperlink 15" xfId="61"/>
    <cellStyle name="Followed Hyperlink 150" xfId="62"/>
    <cellStyle name="Followed Hyperlink 151" xfId="63"/>
    <cellStyle name="Followed Hyperlink 152" xfId="64"/>
    <cellStyle name="Followed Hyperlink 153" xfId="65"/>
    <cellStyle name="Followed Hyperlink 154" xfId="66"/>
    <cellStyle name="Followed Hyperlink 155" xfId="67"/>
    <cellStyle name="Followed Hyperlink 156" xfId="68"/>
    <cellStyle name="Followed Hyperlink 157" xfId="69"/>
    <cellStyle name="Followed Hyperlink 158" xfId="70"/>
    <cellStyle name="Followed Hyperlink 159" xfId="71"/>
    <cellStyle name="Followed Hyperlink 16" xfId="72"/>
    <cellStyle name="Followed Hyperlink 160" xfId="73"/>
    <cellStyle name="Followed Hyperlink 161" xfId="74"/>
    <cellStyle name="Followed Hyperlink 162" xfId="75"/>
    <cellStyle name="Followed Hyperlink 163" xfId="76"/>
    <cellStyle name="Followed Hyperlink 164" xfId="77"/>
    <cellStyle name="Followed Hyperlink 165" xfId="78"/>
    <cellStyle name="Followed Hyperlink 166" xfId="79"/>
    <cellStyle name="Followed Hyperlink 167" xfId="80"/>
    <cellStyle name="Followed Hyperlink 168" xfId="81"/>
    <cellStyle name="Followed Hyperlink 169" xfId="82"/>
    <cellStyle name="Followed Hyperlink 17" xfId="83"/>
    <cellStyle name="Followed Hyperlink 170" xfId="84"/>
    <cellStyle name="Followed Hyperlink 171" xfId="85"/>
    <cellStyle name="Followed Hyperlink 172" xfId="86"/>
    <cellStyle name="Followed Hyperlink 173" xfId="87"/>
    <cellStyle name="Followed Hyperlink 174" xfId="88"/>
    <cellStyle name="Followed Hyperlink 175" xfId="89"/>
    <cellStyle name="Followed Hyperlink 176" xfId="90"/>
    <cellStyle name="Followed Hyperlink 177" xfId="91"/>
    <cellStyle name="Followed Hyperlink 178" xfId="92"/>
    <cellStyle name="Followed Hyperlink 179" xfId="93"/>
    <cellStyle name="Followed Hyperlink 18" xfId="94"/>
    <cellStyle name="Followed Hyperlink 180" xfId="95"/>
    <cellStyle name="Followed Hyperlink 181" xfId="96"/>
    <cellStyle name="Followed Hyperlink 182" xfId="97"/>
    <cellStyle name="Followed Hyperlink 183" xfId="98"/>
    <cellStyle name="Followed Hyperlink 184" xfId="99"/>
    <cellStyle name="Followed Hyperlink 185" xfId="100"/>
    <cellStyle name="Followed Hyperlink 186" xfId="101"/>
    <cellStyle name="Followed Hyperlink 187" xfId="102"/>
    <cellStyle name="Followed Hyperlink 188" xfId="103"/>
    <cellStyle name="Followed Hyperlink 189" xfId="104"/>
    <cellStyle name="Followed Hyperlink 19" xfId="105"/>
    <cellStyle name="Followed Hyperlink 190" xfId="106"/>
    <cellStyle name="Followed Hyperlink 191" xfId="107"/>
    <cellStyle name="Followed Hyperlink 192" xfId="108"/>
    <cellStyle name="Followed Hyperlink 193" xfId="109"/>
    <cellStyle name="Followed Hyperlink 194" xfId="110"/>
    <cellStyle name="Followed Hyperlink 195" xfId="111"/>
    <cellStyle name="Followed Hyperlink 196" xfId="112"/>
    <cellStyle name="Followed Hyperlink 197" xfId="113"/>
    <cellStyle name="Followed Hyperlink 198" xfId="114"/>
    <cellStyle name="Followed Hyperlink 199" xfId="115"/>
    <cellStyle name="Followed Hyperlink 2" xfId="116"/>
    <cellStyle name="Followed Hyperlink 20" xfId="117"/>
    <cellStyle name="Followed Hyperlink 200" xfId="118"/>
    <cellStyle name="Followed Hyperlink 201" xfId="119"/>
    <cellStyle name="Followed Hyperlink 202" xfId="120"/>
    <cellStyle name="Followed Hyperlink 203" xfId="121"/>
    <cellStyle name="Followed Hyperlink 204" xfId="122"/>
    <cellStyle name="Followed Hyperlink 205" xfId="123"/>
    <cellStyle name="Followed Hyperlink 206" xfId="124"/>
    <cellStyle name="Followed Hyperlink 207" xfId="125"/>
    <cellStyle name="Followed Hyperlink 208" xfId="126"/>
    <cellStyle name="Followed Hyperlink 209" xfId="127"/>
    <cellStyle name="Followed Hyperlink 21" xfId="128"/>
    <cellStyle name="Followed Hyperlink 210" xfId="129"/>
    <cellStyle name="Followed Hyperlink 211" xfId="130"/>
    <cellStyle name="Followed Hyperlink 212" xfId="131"/>
    <cellStyle name="Followed Hyperlink 213" xfId="132"/>
    <cellStyle name="Followed Hyperlink 214" xfId="133"/>
    <cellStyle name="Followed Hyperlink 215" xfId="134"/>
    <cellStyle name="Followed Hyperlink 216" xfId="135"/>
    <cellStyle name="Followed Hyperlink 217" xfId="136"/>
    <cellStyle name="Followed Hyperlink 218" xfId="137"/>
    <cellStyle name="Followed Hyperlink 219" xfId="138"/>
    <cellStyle name="Followed Hyperlink 22" xfId="139"/>
    <cellStyle name="Followed Hyperlink 220" xfId="140"/>
    <cellStyle name="Followed Hyperlink 221" xfId="141"/>
    <cellStyle name="Followed Hyperlink 222" xfId="142"/>
    <cellStyle name="Followed Hyperlink 223" xfId="143"/>
    <cellStyle name="Followed Hyperlink 224" xfId="144"/>
    <cellStyle name="Followed Hyperlink 225" xfId="145"/>
    <cellStyle name="Followed Hyperlink 226" xfId="146"/>
    <cellStyle name="Followed Hyperlink 227" xfId="147"/>
    <cellStyle name="Followed Hyperlink 23" xfId="148"/>
    <cellStyle name="Followed Hyperlink 24" xfId="149"/>
    <cellStyle name="Followed Hyperlink 25" xfId="150"/>
    <cellStyle name="Followed Hyperlink 26" xfId="151"/>
    <cellStyle name="Followed Hyperlink 27" xfId="152"/>
    <cellStyle name="Followed Hyperlink 28" xfId="153"/>
    <cellStyle name="Followed Hyperlink 29" xfId="154"/>
    <cellStyle name="Followed Hyperlink 3" xfId="155"/>
    <cellStyle name="Followed Hyperlink 30" xfId="156"/>
    <cellStyle name="Followed Hyperlink 31" xfId="157"/>
    <cellStyle name="Followed Hyperlink 32" xfId="158"/>
    <cellStyle name="Followed Hyperlink 33" xfId="159"/>
    <cellStyle name="Followed Hyperlink 34" xfId="160"/>
    <cellStyle name="Followed Hyperlink 35" xfId="161"/>
    <cellStyle name="Followed Hyperlink 36" xfId="162"/>
    <cellStyle name="Followed Hyperlink 37" xfId="163"/>
    <cellStyle name="Followed Hyperlink 38" xfId="164"/>
    <cellStyle name="Followed Hyperlink 39" xfId="165"/>
    <cellStyle name="Followed Hyperlink 4" xfId="166"/>
    <cellStyle name="Followed Hyperlink 40" xfId="167"/>
    <cellStyle name="Followed Hyperlink 41" xfId="168"/>
    <cellStyle name="Followed Hyperlink 42" xfId="169"/>
    <cellStyle name="Followed Hyperlink 43" xfId="170"/>
    <cellStyle name="Followed Hyperlink 44" xfId="171"/>
    <cellStyle name="Followed Hyperlink 45" xfId="172"/>
    <cellStyle name="Followed Hyperlink 46" xfId="173"/>
    <cellStyle name="Followed Hyperlink 47" xfId="174"/>
    <cellStyle name="Followed Hyperlink 48" xfId="175"/>
    <cellStyle name="Followed Hyperlink 49" xfId="176"/>
    <cellStyle name="Followed Hyperlink 5" xfId="177"/>
    <cellStyle name="Followed Hyperlink 50" xfId="178"/>
    <cellStyle name="Followed Hyperlink 51" xfId="179"/>
    <cellStyle name="Followed Hyperlink 52" xfId="180"/>
    <cellStyle name="Followed Hyperlink 53" xfId="181"/>
    <cellStyle name="Followed Hyperlink 54" xfId="182"/>
    <cellStyle name="Followed Hyperlink 55" xfId="183"/>
    <cellStyle name="Followed Hyperlink 56" xfId="184"/>
    <cellStyle name="Followed Hyperlink 57" xfId="185"/>
    <cellStyle name="Followed Hyperlink 58" xfId="186"/>
    <cellStyle name="Followed Hyperlink 59" xfId="187"/>
    <cellStyle name="Followed Hyperlink 6" xfId="188"/>
    <cellStyle name="Followed Hyperlink 60" xfId="189"/>
    <cellStyle name="Followed Hyperlink 61" xfId="190"/>
    <cellStyle name="Followed Hyperlink 62" xfId="191"/>
    <cellStyle name="Followed Hyperlink 63" xfId="192"/>
    <cellStyle name="Followed Hyperlink 64" xfId="193"/>
    <cellStyle name="Followed Hyperlink 65" xfId="194"/>
    <cellStyle name="Followed Hyperlink 66" xfId="195"/>
    <cellStyle name="Followed Hyperlink 67" xfId="196"/>
    <cellStyle name="Followed Hyperlink 68" xfId="197"/>
    <cellStyle name="Followed Hyperlink 69" xfId="198"/>
    <cellStyle name="Followed Hyperlink 7" xfId="199"/>
    <cellStyle name="Followed Hyperlink 70" xfId="200"/>
    <cellStyle name="Followed Hyperlink 71" xfId="201"/>
    <cellStyle name="Followed Hyperlink 72" xfId="202"/>
    <cellStyle name="Followed Hyperlink 73" xfId="203"/>
    <cellStyle name="Followed Hyperlink 74" xfId="204"/>
    <cellStyle name="Followed Hyperlink 75" xfId="205"/>
    <cellStyle name="Followed Hyperlink 76" xfId="206"/>
    <cellStyle name="Followed Hyperlink 77" xfId="207"/>
    <cellStyle name="Followed Hyperlink 78" xfId="208"/>
    <cellStyle name="Followed Hyperlink 79" xfId="209"/>
    <cellStyle name="Followed Hyperlink 8" xfId="210"/>
    <cellStyle name="Followed Hyperlink 80" xfId="211"/>
    <cellStyle name="Followed Hyperlink 81" xfId="212"/>
    <cellStyle name="Followed Hyperlink 82" xfId="213"/>
    <cellStyle name="Followed Hyperlink 83" xfId="214"/>
    <cellStyle name="Followed Hyperlink 84" xfId="215"/>
    <cellStyle name="Followed Hyperlink 85" xfId="216"/>
    <cellStyle name="Followed Hyperlink 86" xfId="217"/>
    <cellStyle name="Followed Hyperlink 87" xfId="218"/>
    <cellStyle name="Followed Hyperlink 88" xfId="219"/>
    <cellStyle name="Followed Hyperlink 89" xfId="220"/>
    <cellStyle name="Followed Hyperlink 9" xfId="221"/>
    <cellStyle name="Followed Hyperlink 90" xfId="222"/>
    <cellStyle name="Followed Hyperlink 91" xfId="223"/>
    <cellStyle name="Followed Hyperlink 92" xfId="224"/>
    <cellStyle name="Followed Hyperlink 93" xfId="225"/>
    <cellStyle name="Followed Hyperlink 94" xfId="226"/>
    <cellStyle name="Followed Hyperlink 95" xfId="227"/>
    <cellStyle name="Followed Hyperlink 96" xfId="228"/>
    <cellStyle name="Followed Hyperlink 97" xfId="229"/>
    <cellStyle name="Followed Hyperlink 98" xfId="230"/>
    <cellStyle name="Followed Hyperlink 99" xfId="231"/>
    <cellStyle name="Hyperlink 10" xfId="232"/>
    <cellStyle name="Hyperlink 100" xfId="233"/>
    <cellStyle name="Hyperlink 101" xfId="234"/>
    <cellStyle name="Hyperlink 102" xfId="235"/>
    <cellStyle name="Hyperlink 103" xfId="236"/>
    <cellStyle name="Hyperlink 104" xfId="237"/>
    <cellStyle name="Hyperlink 105" xfId="238"/>
    <cellStyle name="Hyperlink 106" xfId="239"/>
    <cellStyle name="Hyperlink 107" xfId="240"/>
    <cellStyle name="Hyperlink 108" xfId="241"/>
    <cellStyle name="Hyperlink 109" xfId="242"/>
    <cellStyle name="Hyperlink 11" xfId="243"/>
    <cellStyle name="Hyperlink 110" xfId="244"/>
    <cellStyle name="Hyperlink 111" xfId="245"/>
    <cellStyle name="Hyperlink 112" xfId="246"/>
    <cellStyle name="Hyperlink 113" xfId="247"/>
    <cellStyle name="Hyperlink 114" xfId="248"/>
    <cellStyle name="Hyperlink 115" xfId="249"/>
    <cellStyle name="Hyperlink 116" xfId="250"/>
    <cellStyle name="Hyperlink 117" xfId="251"/>
    <cellStyle name="Hyperlink 118" xfId="252"/>
    <cellStyle name="Hyperlink 119" xfId="253"/>
    <cellStyle name="Hyperlink 12" xfId="254"/>
    <cellStyle name="Hyperlink 120" xfId="255"/>
    <cellStyle name="Hyperlink 121" xfId="256"/>
    <cellStyle name="Hyperlink 122" xfId="257"/>
    <cellStyle name="Hyperlink 123" xfId="258"/>
    <cellStyle name="Hyperlink 124" xfId="259"/>
    <cellStyle name="Hyperlink 125" xfId="260"/>
    <cellStyle name="Hyperlink 126" xfId="261"/>
    <cellStyle name="Hyperlink 127" xfId="262"/>
    <cellStyle name="Hyperlink 128" xfId="263"/>
    <cellStyle name="Hyperlink 129" xfId="264"/>
    <cellStyle name="Hyperlink 13" xfId="265"/>
    <cellStyle name="Hyperlink 14" xfId="266"/>
    <cellStyle name="Hyperlink 15" xfId="267"/>
    <cellStyle name="Hyperlink 16" xfId="268"/>
    <cellStyle name="Hyperlink 17" xfId="269"/>
    <cellStyle name="Hyperlink 18" xfId="270"/>
    <cellStyle name="Hyperlink 19" xfId="271"/>
    <cellStyle name="Hyperlink 2" xfId="272"/>
    <cellStyle name="Hyperlink 20" xfId="273"/>
    <cellStyle name="Hyperlink 21" xfId="274"/>
    <cellStyle name="Hyperlink 22" xfId="275"/>
    <cellStyle name="Hyperlink 23" xfId="276"/>
    <cellStyle name="Hyperlink 24" xfId="277"/>
    <cellStyle name="Hyperlink 25" xfId="278"/>
    <cellStyle name="Hyperlink 26" xfId="279"/>
    <cellStyle name="Hyperlink 27" xfId="280"/>
    <cellStyle name="Hyperlink 28" xfId="281"/>
    <cellStyle name="Hyperlink 29" xfId="282"/>
    <cellStyle name="Hyperlink 3" xfId="283"/>
    <cellStyle name="Hyperlink 30" xfId="284"/>
    <cellStyle name="Hyperlink 31" xfId="285"/>
    <cellStyle name="Hyperlink 32" xfId="286"/>
    <cellStyle name="Hyperlink 33" xfId="287"/>
    <cellStyle name="Hyperlink 34" xfId="288"/>
    <cellStyle name="Hyperlink 35" xfId="289"/>
    <cellStyle name="Hyperlink 36" xfId="290"/>
    <cellStyle name="Hyperlink 37" xfId="291"/>
    <cellStyle name="Hyperlink 38" xfId="292"/>
    <cellStyle name="Hyperlink 39" xfId="293"/>
    <cellStyle name="Hyperlink 4" xfId="294"/>
    <cellStyle name="Hyperlink 40" xfId="295"/>
    <cellStyle name="Hyperlink 41" xfId="296"/>
    <cellStyle name="Hyperlink 42" xfId="297"/>
    <cellStyle name="Hyperlink 43" xfId="298"/>
    <cellStyle name="Hyperlink 44" xfId="299"/>
    <cellStyle name="Hyperlink 45" xfId="300"/>
    <cellStyle name="Hyperlink 46" xfId="301"/>
    <cellStyle name="Hyperlink 47" xfId="302"/>
    <cellStyle name="Hyperlink 48" xfId="303"/>
    <cellStyle name="Hyperlink 49" xfId="304"/>
    <cellStyle name="Hyperlink 5" xfId="305"/>
    <cellStyle name="Hyperlink 50" xfId="306"/>
    <cellStyle name="Hyperlink 51" xfId="307"/>
    <cellStyle name="Hyperlink 52" xfId="308"/>
    <cellStyle name="Hyperlink 53" xfId="309"/>
    <cellStyle name="Hyperlink 54" xfId="310"/>
    <cellStyle name="Hyperlink 55" xfId="311"/>
    <cellStyle name="Hyperlink 56" xfId="312"/>
    <cellStyle name="Hyperlink 57" xfId="313"/>
    <cellStyle name="Hyperlink 58" xfId="314"/>
    <cellStyle name="Hyperlink 59" xfId="315"/>
    <cellStyle name="Hyperlink 6" xfId="316"/>
    <cellStyle name="Hyperlink 60" xfId="317"/>
    <cellStyle name="Hyperlink 61" xfId="318"/>
    <cellStyle name="Hyperlink 62" xfId="319"/>
    <cellStyle name="Hyperlink 63" xfId="320"/>
    <cellStyle name="Hyperlink 64" xfId="321"/>
    <cellStyle name="Hyperlink 65" xfId="322"/>
    <cellStyle name="Hyperlink 66" xfId="323"/>
    <cellStyle name="Hyperlink 67" xfId="324"/>
    <cellStyle name="Hyperlink 68" xfId="325"/>
    <cellStyle name="Hyperlink 69" xfId="326"/>
    <cellStyle name="Hyperlink 7" xfId="327"/>
    <cellStyle name="Hyperlink 70" xfId="328"/>
    <cellStyle name="Hyperlink 71" xfId="329"/>
    <cellStyle name="Hyperlink 72" xfId="330"/>
    <cellStyle name="Hyperlink 73" xfId="331"/>
    <cellStyle name="Hyperlink 74" xfId="332"/>
    <cellStyle name="Hyperlink 75" xfId="333"/>
    <cellStyle name="Hyperlink 76" xfId="334"/>
    <cellStyle name="Hyperlink 77" xfId="335"/>
    <cellStyle name="Hyperlink 78" xfId="336"/>
    <cellStyle name="Hyperlink 79" xfId="337"/>
    <cellStyle name="Hyperlink 8" xfId="338"/>
    <cellStyle name="Hyperlink 80" xfId="339"/>
    <cellStyle name="Hyperlink 81" xfId="340"/>
    <cellStyle name="Hyperlink 82" xfId="341"/>
    <cellStyle name="Hyperlink 83" xfId="342"/>
    <cellStyle name="Hyperlink 84" xfId="343"/>
    <cellStyle name="Hyperlink 85" xfId="344"/>
    <cellStyle name="Hyperlink 86" xfId="345"/>
    <cellStyle name="Hyperlink 87" xfId="346"/>
    <cellStyle name="Hyperlink 88" xfId="347"/>
    <cellStyle name="Hyperlink 89" xfId="348"/>
    <cellStyle name="Hyperlink 9" xfId="349"/>
    <cellStyle name="Hyperlink 90" xfId="350"/>
    <cellStyle name="Hyperlink 91" xfId="351"/>
    <cellStyle name="Hyperlink 92" xfId="352"/>
    <cellStyle name="Hyperlink 93" xfId="353"/>
    <cellStyle name="Hyperlink 94" xfId="354"/>
    <cellStyle name="Hyperlink 95" xfId="355"/>
    <cellStyle name="Hyperlink 96" xfId="356"/>
    <cellStyle name="Hyperlink 97" xfId="357"/>
    <cellStyle name="Hyperlink 98" xfId="358"/>
    <cellStyle name="Hyperlink 99" xfId="359"/>
    <cellStyle name="Normal" xfId="0" builtinId="0"/>
    <cellStyle name="Normal 2" xfId="360"/>
    <cellStyle name="Normal 3" xfId="361"/>
    <cellStyle name="Normal 4" xfId="362"/>
    <cellStyle name="Percent" xfId="2" builtinId="5"/>
    <cellStyle name="Percent 2" xfId="3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eriK\AppData\Local\Microsoft\Windows\Temporary%20Internet%20Files\Content.Outlook\Z7DB01EQ\telecom%20aid%20FY%2013%20initial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 13 summary to Ann"/>
      <sheetName val="Summary"/>
      <sheetName val="Dist by Cluster Reviewed"/>
      <sheetName val="District no cluster"/>
      <sheetName val="Non Publics"/>
      <sheetName val="No Tech Plans"/>
      <sheetName val="Tech Plan Info"/>
      <sheetName val="Charter Schools"/>
      <sheetName val="Non Public Schools"/>
      <sheetName val="Districts by Cluster"/>
      <sheetName val="Combined"/>
      <sheetName val="Raw File sharepoint"/>
      <sheetName val="SP 1"/>
      <sheetName val="Raw email files"/>
    </sheetNames>
    <sheetDataSet>
      <sheetData sheetId="0"/>
      <sheetData sheetId="1">
        <row r="3">
          <cell r="B3">
            <v>0.43783896752177115</v>
          </cell>
        </row>
      </sheetData>
      <sheetData sheetId="2">
        <row r="11">
          <cell r="M11">
            <v>197293.27000000002</v>
          </cell>
          <cell r="N11">
            <v>86382.681635794012</v>
          </cell>
        </row>
        <row r="26">
          <cell r="M26">
            <v>597833.64</v>
          </cell>
          <cell r="N26">
            <v>261754.86368738223</v>
          </cell>
        </row>
        <row r="35">
          <cell r="M35">
            <v>90847.519999999975</v>
          </cell>
          <cell r="N35">
            <v>39776.584358713451</v>
          </cell>
        </row>
        <row r="43">
          <cell r="M43">
            <v>104476.62</v>
          </cell>
          <cell r="N43">
            <v>45743.935430964426</v>
          </cell>
        </row>
        <row r="55">
          <cell r="M55">
            <v>268934</v>
          </cell>
          <cell r="N55">
            <v>117749.78489149999</v>
          </cell>
        </row>
        <row r="64">
          <cell r="M64">
            <v>132547.67000000001</v>
          </cell>
          <cell r="N64">
            <v>58034.534980216442</v>
          </cell>
        </row>
        <row r="128">
          <cell r="M128">
            <v>919651.14861275116</v>
          </cell>
          <cell r="N128">
            <v>402659.10938881792</v>
          </cell>
        </row>
        <row r="147">
          <cell r="M147">
            <v>356908.99999999994</v>
          </cell>
          <cell r="N147">
            <v>156268.66805922781</v>
          </cell>
        </row>
        <row r="157">
          <cell r="M157">
            <v>77024.24000000002</v>
          </cell>
          <cell r="N157">
            <v>33724.213715749109</v>
          </cell>
        </row>
        <row r="180">
          <cell r="M180">
            <v>583813.36</v>
          </cell>
          <cell r="N180">
            <v>255616.23876781607</v>
          </cell>
        </row>
        <row r="196">
          <cell r="M196">
            <v>441628.1</v>
          </cell>
          <cell r="N196">
            <v>193361.99133260149</v>
          </cell>
        </row>
        <row r="237">
          <cell r="M237">
            <v>2740347.7250179411</v>
          </cell>
          <cell r="N237">
            <v>1199831.01857249</v>
          </cell>
        </row>
        <row r="273">
          <cell r="M273">
            <v>696168.46000000008</v>
          </cell>
          <cell r="N273">
            <v>304809.67974762141</v>
          </cell>
        </row>
        <row r="303">
          <cell r="M303">
            <v>1040412.2728000002</v>
          </cell>
          <cell r="N303">
            <v>455533.03531973128</v>
          </cell>
        </row>
        <row r="307">
          <cell r="M307">
            <v>105012</v>
          </cell>
          <cell r="N307">
            <v>45978.345657396232</v>
          </cell>
        </row>
        <row r="310">
          <cell r="M310">
            <v>72716.72</v>
          </cell>
          <cell r="N310">
            <v>31838.213606369725</v>
          </cell>
        </row>
        <row r="320">
          <cell r="M320">
            <v>111627</v>
          </cell>
          <cell r="N320">
            <v>48874.650427552748</v>
          </cell>
        </row>
      </sheetData>
      <sheetData sheetId="3" refreshError="1"/>
      <sheetData sheetId="4">
        <row r="2">
          <cell r="S2">
            <v>176.7</v>
          </cell>
          <cell r="T2">
            <v>77.366145561096957</v>
          </cell>
        </row>
        <row r="6">
          <cell r="S6">
            <v>7456.63</v>
          </cell>
          <cell r="T6">
            <v>3264.8031803918643</v>
          </cell>
        </row>
        <row r="8">
          <cell r="S8">
            <v>486.9</v>
          </cell>
          <cell r="T8">
            <v>213.18379328635035</v>
          </cell>
        </row>
        <row r="9">
          <cell r="S9">
            <v>165.24</v>
          </cell>
          <cell r="T9">
            <v>72.348510993297467</v>
          </cell>
        </row>
      </sheetData>
      <sheetData sheetId="5" refreshError="1"/>
      <sheetData sheetId="6" refreshError="1"/>
      <sheetData sheetId="7">
        <row r="2">
          <cell r="P2">
            <v>19264.5</v>
          </cell>
          <cell r="Q2">
            <v>8434.7487898231611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/>
  </sheetViews>
  <sheetFormatPr defaultColWidth="9.09765625" defaultRowHeight="10.55" x14ac:dyDescent="0.25"/>
  <cols>
    <col min="1" max="1" width="17.59765625" style="4" customWidth="1"/>
    <col min="2" max="2" width="10.3984375" style="4" customWidth="1"/>
    <col min="3" max="3" width="12.3984375" style="4" customWidth="1"/>
    <col min="4" max="4" width="12.69921875" style="4" customWidth="1"/>
    <col min="5" max="5" width="1.8984375" style="21" customWidth="1"/>
    <col min="6" max="6" width="8.8984375" style="4" customWidth="1"/>
    <col min="7" max="7" width="20.3984375" style="4" customWidth="1"/>
    <col min="8" max="8" width="13" style="4" customWidth="1"/>
    <col min="9" max="9" width="10.8984375" style="4" customWidth="1"/>
    <col min="10" max="10" width="10.296875" style="4" customWidth="1"/>
    <col min="11" max="16384" width="9.09765625" style="4"/>
  </cols>
  <sheetData>
    <row r="1" spans="1:10" ht="15.8" x14ac:dyDescent="0.25">
      <c r="A1" s="19" t="s">
        <v>343</v>
      </c>
    </row>
    <row r="3" spans="1:10" ht="11.25" x14ac:dyDescent="0.2">
      <c r="A3" s="22" t="s">
        <v>344</v>
      </c>
      <c r="B3" s="23">
        <v>0.43783896752177115</v>
      </c>
      <c r="I3" s="24" t="s">
        <v>347</v>
      </c>
      <c r="J3" s="24" t="s">
        <v>348</v>
      </c>
    </row>
    <row r="4" spans="1:10" ht="11.25" x14ac:dyDescent="0.2">
      <c r="A4" s="22"/>
      <c r="B4" s="23"/>
      <c r="I4" s="24" t="s">
        <v>351</v>
      </c>
      <c r="J4" s="24" t="s">
        <v>351</v>
      </c>
    </row>
    <row r="5" spans="1:10" ht="11.25" x14ac:dyDescent="0.2">
      <c r="A5" s="20" t="s">
        <v>345</v>
      </c>
      <c r="F5" s="20" t="s">
        <v>346</v>
      </c>
      <c r="G5" s="20"/>
    </row>
    <row r="6" spans="1:10" ht="11.25" x14ac:dyDescent="0.2">
      <c r="C6" s="24" t="s">
        <v>347</v>
      </c>
      <c r="D6" s="24" t="s">
        <v>348</v>
      </c>
    </row>
    <row r="7" spans="1:10" ht="11.25" x14ac:dyDescent="0.2">
      <c r="A7" s="20" t="s">
        <v>349</v>
      </c>
      <c r="B7" s="20" t="s">
        <v>350</v>
      </c>
      <c r="C7" s="24" t="s">
        <v>351</v>
      </c>
      <c r="D7" s="24" t="s">
        <v>351</v>
      </c>
    </row>
    <row r="8" spans="1:10" ht="11.25" x14ac:dyDescent="0.2">
      <c r="A8" s="4" t="s">
        <v>9</v>
      </c>
      <c r="B8" s="4" t="s">
        <v>352</v>
      </c>
      <c r="C8" s="25">
        <f>'[1]Dist by Cluster Reviewed'!M11</f>
        <v>197293.27000000002</v>
      </c>
      <c r="D8" s="26">
        <f>'[1]Dist by Cluster Reviewed'!N11</f>
        <v>86382.681635794012</v>
      </c>
      <c r="F8" s="27">
        <v>4049</v>
      </c>
      <c r="G8" s="28" t="s">
        <v>353</v>
      </c>
      <c r="I8" s="26">
        <f>'[1]Charter Schools'!P2</f>
        <v>19264.5</v>
      </c>
      <c r="J8" s="26">
        <f>'[1]Charter Schools'!Q2</f>
        <v>8434.7487898231611</v>
      </c>
    </row>
    <row r="9" spans="1:10" ht="11.25" x14ac:dyDescent="0.2">
      <c r="A9" s="4" t="s">
        <v>22</v>
      </c>
      <c r="B9" s="4" t="s">
        <v>354</v>
      </c>
      <c r="C9" s="25">
        <f>'[1]Dist by Cluster Reviewed'!M26</f>
        <v>597833.64</v>
      </c>
      <c r="D9" s="26">
        <f>'[1]Dist by Cluster Reviewed'!N26</f>
        <v>261754.86368738223</v>
      </c>
      <c r="F9" s="27"/>
      <c r="G9" s="27"/>
      <c r="H9" s="28"/>
      <c r="I9" s="26"/>
      <c r="J9" s="26"/>
    </row>
    <row r="10" spans="1:10" ht="11.25" x14ac:dyDescent="0.2">
      <c r="A10" s="4" t="s">
        <v>38</v>
      </c>
      <c r="B10" s="4" t="s">
        <v>355</v>
      </c>
      <c r="C10" s="25">
        <f>'[1]Dist by Cluster Reviewed'!M35</f>
        <v>90847.519999999975</v>
      </c>
      <c r="D10" s="26">
        <f>'[1]Dist by Cluster Reviewed'!N35</f>
        <v>39776.584358713451</v>
      </c>
      <c r="F10" s="20" t="s">
        <v>387</v>
      </c>
      <c r="H10" s="28"/>
      <c r="I10" s="26"/>
      <c r="J10" s="26"/>
    </row>
    <row r="11" spans="1:10" ht="11.25" x14ac:dyDescent="0.2">
      <c r="A11" s="4" t="s">
        <v>356</v>
      </c>
      <c r="B11" s="4" t="s">
        <v>357</v>
      </c>
      <c r="C11" s="25">
        <f>'[1]Dist by Cluster Reviewed'!M43</f>
        <v>104476.62</v>
      </c>
      <c r="D11" s="26">
        <f>'[1]Dist by Cluster Reviewed'!N43</f>
        <v>45743.935430964426</v>
      </c>
      <c r="H11" s="28"/>
      <c r="I11" s="26"/>
      <c r="J11" s="26"/>
    </row>
    <row r="12" spans="1:10" ht="11.25" x14ac:dyDescent="0.2">
      <c r="A12" s="4" t="s">
        <v>392</v>
      </c>
      <c r="B12" s="4" t="s">
        <v>360</v>
      </c>
      <c r="C12" s="25">
        <f>'[1]Dist by Cluster Reviewed'!M55</f>
        <v>268934</v>
      </c>
      <c r="D12" s="26">
        <f>'[1]Dist by Cluster Reviewed'!N55</f>
        <v>117749.78489149999</v>
      </c>
      <c r="F12" s="39" t="s">
        <v>389</v>
      </c>
      <c r="G12" s="40"/>
      <c r="H12" s="28"/>
      <c r="I12" s="26"/>
      <c r="J12" s="26"/>
    </row>
    <row r="13" spans="1:10" ht="11.25" x14ac:dyDescent="0.2">
      <c r="A13" s="4" t="s">
        <v>362</v>
      </c>
      <c r="B13" s="4" t="s">
        <v>363</v>
      </c>
      <c r="C13" s="25">
        <f>'[1]Dist by Cluster Reviewed'!M64</f>
        <v>132547.67000000001</v>
      </c>
      <c r="D13" s="26">
        <f>'[1]Dist by Cluster Reviewed'!N64</f>
        <v>58034.534980216442</v>
      </c>
      <c r="F13" s="41" t="s">
        <v>358</v>
      </c>
      <c r="G13" s="39" t="s">
        <v>390</v>
      </c>
      <c r="H13" s="42" t="s">
        <v>359</v>
      </c>
      <c r="I13" s="28"/>
      <c r="J13" s="28"/>
    </row>
    <row r="14" spans="1:10" ht="11.25" x14ac:dyDescent="0.2">
      <c r="A14" s="4" t="s">
        <v>364</v>
      </c>
      <c r="B14" s="4" t="s">
        <v>365</v>
      </c>
      <c r="C14" s="25">
        <f>'[1]Dist by Cluster Reviewed'!M128</f>
        <v>919651.14861275116</v>
      </c>
      <c r="D14" s="26">
        <f>'[1]Dist by Cluster Reviewed'!N128</f>
        <v>402659.10938881792</v>
      </c>
      <c r="F14" s="27">
        <v>108</v>
      </c>
      <c r="G14" s="38" t="s">
        <v>388</v>
      </c>
      <c r="H14" s="28" t="s">
        <v>361</v>
      </c>
      <c r="I14" s="29">
        <f>'[1]Non Publics'!S2</f>
        <v>176.7</v>
      </c>
      <c r="J14" s="29">
        <f>'[1]Non Publics'!T2</f>
        <v>77.366145561096957</v>
      </c>
    </row>
    <row r="15" spans="1:10" ht="11.25" x14ac:dyDescent="0.2">
      <c r="A15" s="28" t="s">
        <v>367</v>
      </c>
      <c r="B15" s="28" t="s">
        <v>368</v>
      </c>
      <c r="C15" s="25">
        <f>'[1]Dist by Cluster Reviewed'!M147</f>
        <v>356908.99999999994</v>
      </c>
      <c r="D15" s="26">
        <f>'[1]Dist by Cluster Reviewed'!N147</f>
        <v>156268.66805922781</v>
      </c>
      <c r="F15" s="27"/>
      <c r="G15" s="27"/>
      <c r="H15" s="28"/>
      <c r="I15" s="28"/>
      <c r="J15" s="28"/>
    </row>
    <row r="16" spans="1:10" ht="11.25" x14ac:dyDescent="0.2">
      <c r="A16" s="4" t="s">
        <v>166</v>
      </c>
      <c r="B16" s="4" t="s">
        <v>370</v>
      </c>
      <c r="C16" s="25">
        <f>'[1]Dist by Cluster Reviewed'!M157</f>
        <v>77024.24000000002</v>
      </c>
      <c r="D16" s="26">
        <f>'[1]Dist by Cluster Reviewed'!N157</f>
        <v>33724.213715749109</v>
      </c>
      <c r="F16" s="27">
        <v>535</v>
      </c>
      <c r="G16" s="38" t="s">
        <v>391</v>
      </c>
      <c r="H16" s="28" t="s">
        <v>366</v>
      </c>
      <c r="I16" s="26">
        <f>'[1]Non Publics'!S6</f>
        <v>7456.63</v>
      </c>
      <c r="J16" s="26">
        <f>'[1]Non Publics'!T6</f>
        <v>3264.8031803918643</v>
      </c>
    </row>
    <row r="17" spans="1:10" ht="11.25" x14ac:dyDescent="0.2">
      <c r="A17" s="4" t="s">
        <v>372</v>
      </c>
      <c r="B17" s="4" t="s">
        <v>373</v>
      </c>
      <c r="C17" s="25">
        <f>'[1]Dist by Cluster Reviewed'!M180</f>
        <v>583813.36</v>
      </c>
      <c r="D17" s="26">
        <f>'[1]Dist by Cluster Reviewed'!N180</f>
        <v>255616.23876781607</v>
      </c>
      <c r="F17" s="27">
        <v>535</v>
      </c>
      <c r="G17" s="38" t="s">
        <v>391</v>
      </c>
      <c r="H17" s="28" t="s">
        <v>369</v>
      </c>
      <c r="I17" s="26">
        <f>'[1]Non Publics'!S8</f>
        <v>486.9</v>
      </c>
      <c r="J17" s="26">
        <f>'[1]Non Publics'!T8</f>
        <v>213.18379328635035</v>
      </c>
    </row>
    <row r="18" spans="1:10" ht="11.25" x14ac:dyDescent="0.2">
      <c r="A18" s="4" t="s">
        <v>375</v>
      </c>
      <c r="B18" s="4" t="s">
        <v>376</v>
      </c>
      <c r="C18" s="25">
        <f>'[1]Dist by Cluster Reviewed'!M196</f>
        <v>441628.1</v>
      </c>
      <c r="D18" s="26">
        <f>'[1]Dist by Cluster Reviewed'!N196</f>
        <v>193361.99133260149</v>
      </c>
      <c r="F18" s="30">
        <v>535</v>
      </c>
      <c r="G18" s="43" t="s">
        <v>391</v>
      </c>
      <c r="H18" s="31" t="s">
        <v>371</v>
      </c>
      <c r="I18" s="32">
        <f>'[1]Non Publics'!S9</f>
        <v>165.24</v>
      </c>
      <c r="J18" s="32">
        <f>'[1]Non Publics'!T9</f>
        <v>72.348510993297467</v>
      </c>
    </row>
    <row r="19" spans="1:10" ht="11.25" x14ac:dyDescent="0.2">
      <c r="A19" s="4" t="s">
        <v>377</v>
      </c>
      <c r="B19" s="4" t="s">
        <v>378</v>
      </c>
      <c r="C19" s="25">
        <f>'[1]Dist by Cluster Reviewed'!M237</f>
        <v>2740347.7250179411</v>
      </c>
      <c r="D19" s="26">
        <f>'[1]Dist by Cluster Reviewed'!N237</f>
        <v>1199831.01857249</v>
      </c>
      <c r="F19" s="27">
        <v>535</v>
      </c>
      <c r="G19" s="38" t="s">
        <v>391</v>
      </c>
      <c r="H19" s="28" t="s">
        <v>374</v>
      </c>
      <c r="I19" s="26">
        <f>SUM(I16:I18)</f>
        <v>8108.7699999999995</v>
      </c>
      <c r="J19" s="26">
        <f>SUM(J16:J18)</f>
        <v>3550.3354846715124</v>
      </c>
    </row>
    <row r="20" spans="1:10" ht="11.25" x14ac:dyDescent="0.2">
      <c r="A20" s="4" t="s">
        <v>379</v>
      </c>
      <c r="B20" s="4" t="s">
        <v>380</v>
      </c>
      <c r="C20" s="25">
        <f>'[1]Dist by Cluster Reviewed'!M273</f>
        <v>696168.46000000008</v>
      </c>
      <c r="D20" s="26">
        <f>'[1]Dist by Cluster Reviewed'!N273</f>
        <v>304809.67974762141</v>
      </c>
    </row>
    <row r="21" spans="1:10" ht="11.25" x14ac:dyDescent="0.2">
      <c r="A21" s="4" t="s">
        <v>296</v>
      </c>
      <c r="B21" s="4" t="s">
        <v>381</v>
      </c>
      <c r="C21" s="25">
        <f>'[1]Dist by Cluster Reviewed'!M303</f>
        <v>1040412.2728000002</v>
      </c>
      <c r="D21" s="26">
        <f>'[1]Dist by Cluster Reviewed'!N303</f>
        <v>455533.03531973128</v>
      </c>
      <c r="I21" s="33"/>
      <c r="J21" s="25"/>
    </row>
    <row r="22" spans="1:10" ht="11.25" x14ac:dyDescent="0.2">
      <c r="A22" s="4" t="s">
        <v>382</v>
      </c>
      <c r="B22" s="4" t="s">
        <v>383</v>
      </c>
      <c r="C22" s="25">
        <f>'[1]Dist by Cluster Reviewed'!M307</f>
        <v>105012</v>
      </c>
      <c r="D22" s="26">
        <f>'[1]Dist by Cluster Reviewed'!N307</f>
        <v>45978.345657396232</v>
      </c>
    </row>
    <row r="23" spans="1:10" ht="11.25" x14ac:dyDescent="0.2">
      <c r="A23" s="34" t="s">
        <v>331</v>
      </c>
      <c r="B23" s="34" t="s">
        <v>384</v>
      </c>
      <c r="C23" s="25">
        <f>'[1]Dist by Cluster Reviewed'!M310</f>
        <v>72716.72</v>
      </c>
      <c r="D23" s="26">
        <f>'[1]Dist by Cluster Reviewed'!N310</f>
        <v>31838.213606369725</v>
      </c>
    </row>
    <row r="24" spans="1:10" ht="11.25" x14ac:dyDescent="0.2">
      <c r="A24" s="35" t="s">
        <v>334</v>
      </c>
      <c r="B24" s="35" t="s">
        <v>385</v>
      </c>
      <c r="C24" s="36">
        <f>'[1]Dist by Cluster Reviewed'!M320</f>
        <v>111627</v>
      </c>
      <c r="D24" s="32">
        <f>'[1]Dist by Cluster Reviewed'!N320</f>
        <v>48874.650427552748</v>
      </c>
      <c r="I24" s="25"/>
      <c r="J24" s="25"/>
    </row>
    <row r="25" spans="1:10" ht="11.25" x14ac:dyDescent="0.2">
      <c r="A25" s="4" t="s">
        <v>386</v>
      </c>
      <c r="C25" s="25">
        <f>SUM(C8:C24)</f>
        <v>8537242.7464306932</v>
      </c>
      <c r="D25" s="25">
        <f>SUM(D8:D24)</f>
        <v>3737937.549579944</v>
      </c>
    </row>
    <row r="26" spans="1:10" ht="11.25" x14ac:dyDescent="0.2">
      <c r="C26" s="25"/>
      <c r="D26" s="25"/>
    </row>
    <row r="28" spans="1:10" ht="11.25" x14ac:dyDescent="0.2">
      <c r="A28" s="20" t="s">
        <v>374</v>
      </c>
      <c r="B28" s="20"/>
      <c r="C28" s="37">
        <f>C25+I8+I14+I19</f>
        <v>8564792.716430692</v>
      </c>
      <c r="D28" s="37">
        <f>D25+J8+J14+J19</f>
        <v>3749999.9999999995</v>
      </c>
    </row>
    <row r="29" spans="1:10" ht="11.25" x14ac:dyDescent="0.2">
      <c r="H29" s="25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3"/>
  <sheetViews>
    <sheetView workbookViewId="0">
      <pane ySplit="2" topLeftCell="A3" activePane="bottomLeft" state="frozen"/>
      <selection pane="bottomLeft" activeCell="A3" sqref="A3"/>
    </sheetView>
  </sheetViews>
  <sheetFormatPr defaultColWidth="9.09765625" defaultRowHeight="10.55" x14ac:dyDescent="0.25"/>
  <cols>
    <col min="1" max="1" width="8.09765625" style="2" customWidth="1"/>
    <col min="2" max="2" width="16.69921875" style="2" customWidth="1"/>
    <col min="3" max="3" width="8.8984375" style="2" customWidth="1"/>
    <col min="4" max="4" width="7.3984375" style="5" customWidth="1"/>
    <col min="5" max="5" width="6.296875" style="5" customWidth="1"/>
    <col min="6" max="6" width="10.3984375" style="1" customWidth="1"/>
    <col min="7" max="7" width="11.3984375" style="1" customWidth="1"/>
    <col min="8" max="8" width="11" style="1" customWidth="1"/>
    <col min="9" max="9" width="11.09765625" style="1" customWidth="1"/>
    <col min="10" max="10" width="13.09765625" style="1" customWidth="1"/>
    <col min="11" max="11" width="12.3984375" style="1" customWidth="1"/>
    <col min="12" max="12" width="14.69921875" style="1" customWidth="1"/>
    <col min="13" max="13" width="15.3984375" style="1" customWidth="1"/>
    <col min="14" max="14" width="18.09765625" style="1" customWidth="1"/>
    <col min="15" max="15" width="16.3984375" style="1" customWidth="1"/>
    <col min="16" max="16384" width="9.09765625" style="2"/>
  </cols>
  <sheetData>
    <row r="1" spans="1:15" ht="10.55" customHeight="1" x14ac:dyDescent="0.25">
      <c r="A1" s="44" t="s">
        <v>394</v>
      </c>
      <c r="B1" s="44"/>
      <c r="C1" s="44"/>
      <c r="D1" s="47" t="s">
        <v>349</v>
      </c>
      <c r="E1" s="47" t="s">
        <v>349</v>
      </c>
      <c r="F1" s="45" t="s">
        <v>397</v>
      </c>
      <c r="G1" s="45" t="s">
        <v>397</v>
      </c>
      <c r="H1" s="45" t="s">
        <v>400</v>
      </c>
      <c r="I1" s="45" t="s">
        <v>401</v>
      </c>
      <c r="J1" s="8"/>
      <c r="K1" s="8"/>
      <c r="L1" s="8"/>
      <c r="M1" s="8"/>
      <c r="N1" s="8"/>
      <c r="O1" s="45"/>
    </row>
    <row r="2" spans="1:15" x14ac:dyDescent="0.25">
      <c r="A2" s="46" t="s">
        <v>393</v>
      </c>
      <c r="B2" s="46" t="s">
        <v>0</v>
      </c>
      <c r="C2" s="46" t="s">
        <v>1</v>
      </c>
      <c r="D2" s="46" t="s">
        <v>393</v>
      </c>
      <c r="E2" s="46" t="s">
        <v>395</v>
      </c>
      <c r="F2" s="46" t="s">
        <v>396</v>
      </c>
      <c r="G2" s="46" t="s">
        <v>398</v>
      </c>
      <c r="H2" s="46" t="s">
        <v>399</v>
      </c>
      <c r="I2" s="46" t="s">
        <v>399</v>
      </c>
      <c r="J2" s="8" t="s">
        <v>3</v>
      </c>
      <c r="K2" s="8" t="s">
        <v>4</v>
      </c>
      <c r="L2" s="8" t="s">
        <v>5</v>
      </c>
      <c r="M2" s="8" t="s">
        <v>6</v>
      </c>
      <c r="N2" s="8" t="s">
        <v>7</v>
      </c>
      <c r="O2" s="46" t="s">
        <v>2</v>
      </c>
    </row>
    <row r="3" spans="1:15" x14ac:dyDescent="0.25">
      <c r="A3" s="3">
        <v>206</v>
      </c>
      <c r="B3" s="2" t="s">
        <v>8</v>
      </c>
      <c r="C3" s="4" t="s">
        <v>9</v>
      </c>
      <c r="D3" s="5" t="s">
        <v>10</v>
      </c>
      <c r="E3" s="5" t="s">
        <v>11</v>
      </c>
      <c r="F3" s="1">
        <v>74676.56</v>
      </c>
      <c r="G3" s="1">
        <v>42579.360000000001</v>
      </c>
      <c r="H3" s="1">
        <v>15000</v>
      </c>
      <c r="I3" s="1">
        <v>15000</v>
      </c>
      <c r="J3" s="1">
        <v>5060.49</v>
      </c>
      <c r="K3" s="1">
        <v>0</v>
      </c>
      <c r="L3" s="1">
        <v>94737.05</v>
      </c>
      <c r="M3" s="1">
        <v>32097.200000000001</v>
      </c>
      <c r="N3" s="1">
        <f t="shared" ref="N3:N8" si="0">L3-M3</f>
        <v>62639.850000000006</v>
      </c>
      <c r="O3" s="1">
        <f>N3*[1]Summary!$B$3</f>
        <v>27426.167249718619</v>
      </c>
    </row>
    <row r="4" spans="1:15" ht="11.25" x14ac:dyDescent="0.2">
      <c r="A4" s="3">
        <v>207</v>
      </c>
      <c r="B4" s="2" t="s">
        <v>12</v>
      </c>
      <c r="C4" s="4" t="s">
        <v>9</v>
      </c>
      <c r="D4" s="5" t="s">
        <v>10</v>
      </c>
      <c r="E4" s="5" t="s">
        <v>11</v>
      </c>
      <c r="F4" s="1">
        <v>23528.29</v>
      </c>
      <c r="G4" s="1">
        <v>13479.67</v>
      </c>
      <c r="H4" s="1">
        <v>0</v>
      </c>
      <c r="J4" s="1">
        <v>5060.49</v>
      </c>
      <c r="K4" s="1">
        <v>0</v>
      </c>
      <c r="L4" s="1">
        <v>28588.78</v>
      </c>
      <c r="M4" s="1">
        <v>10048.620000000001</v>
      </c>
      <c r="N4" s="1">
        <f t="shared" si="0"/>
        <v>18540.159999999996</v>
      </c>
      <c r="O4" s="1">
        <f>N4*[1]Summary!$B$3</f>
        <v>8117.6045120884392</v>
      </c>
    </row>
    <row r="5" spans="1:15" ht="11.25" x14ac:dyDescent="0.2">
      <c r="A5" s="3">
        <v>208</v>
      </c>
      <c r="B5" s="2" t="s">
        <v>13</v>
      </c>
      <c r="C5" s="4" t="s">
        <v>9</v>
      </c>
      <c r="D5" s="5" t="s">
        <v>10</v>
      </c>
      <c r="E5" s="5" t="s">
        <v>11</v>
      </c>
      <c r="F5" s="1">
        <v>23528.29</v>
      </c>
      <c r="G5" s="1">
        <v>13479.67</v>
      </c>
      <c r="H5" s="1">
        <v>0</v>
      </c>
      <c r="J5" s="1">
        <v>5060.49</v>
      </c>
      <c r="K5" s="1">
        <v>0</v>
      </c>
      <c r="L5" s="1">
        <v>28588.78</v>
      </c>
      <c r="M5" s="1">
        <v>10048.620000000001</v>
      </c>
      <c r="N5" s="1">
        <f t="shared" si="0"/>
        <v>18540.159999999996</v>
      </c>
      <c r="O5" s="1">
        <f>N5*[1]Summary!$B$3</f>
        <v>8117.6045120884392</v>
      </c>
    </row>
    <row r="6" spans="1:15" ht="11.25" x14ac:dyDescent="0.2">
      <c r="A6" s="3">
        <v>213</v>
      </c>
      <c r="B6" s="2" t="s">
        <v>14</v>
      </c>
      <c r="C6" s="4" t="s">
        <v>9</v>
      </c>
      <c r="D6" s="5" t="s">
        <v>10</v>
      </c>
      <c r="E6" s="5" t="s">
        <v>11</v>
      </c>
      <c r="F6" s="1">
        <v>23528.29</v>
      </c>
      <c r="G6" s="1">
        <v>13479.67</v>
      </c>
      <c r="H6" s="1">
        <v>0</v>
      </c>
      <c r="J6" s="1">
        <v>5060.49</v>
      </c>
      <c r="K6" s="1">
        <v>0</v>
      </c>
      <c r="L6" s="1">
        <v>28588.78</v>
      </c>
      <c r="M6" s="1">
        <v>10048.620000000001</v>
      </c>
      <c r="N6" s="1">
        <f t="shared" si="0"/>
        <v>18540.159999999996</v>
      </c>
      <c r="O6" s="1">
        <f>N6*[1]Summary!$B$3</f>
        <v>8117.6045120884392</v>
      </c>
    </row>
    <row r="7" spans="1:15" ht="11.25" x14ac:dyDescent="0.2">
      <c r="A7" s="3">
        <v>547</v>
      </c>
      <c r="B7" s="2" t="s">
        <v>15</v>
      </c>
      <c r="C7" s="4" t="s">
        <v>9</v>
      </c>
      <c r="D7" s="5" t="s">
        <v>10</v>
      </c>
      <c r="E7" s="5" t="s">
        <v>11</v>
      </c>
      <c r="F7" s="1">
        <v>23528.29</v>
      </c>
      <c r="G7" s="1">
        <v>13479.67</v>
      </c>
      <c r="H7" s="1">
        <v>0</v>
      </c>
      <c r="J7" s="1">
        <v>5060.49</v>
      </c>
      <c r="K7" s="1">
        <v>0</v>
      </c>
      <c r="L7" s="1">
        <v>28588.78</v>
      </c>
      <c r="M7" s="1">
        <v>10048.620000000001</v>
      </c>
      <c r="N7" s="1">
        <f t="shared" si="0"/>
        <v>18540.159999999996</v>
      </c>
      <c r="O7" s="1">
        <f>N7*[1]Summary!$B$3</f>
        <v>8117.6045120884392</v>
      </c>
    </row>
    <row r="8" spans="1:15" ht="11.25" x14ac:dyDescent="0.2">
      <c r="A8" s="3">
        <v>740</v>
      </c>
      <c r="B8" s="2" t="s">
        <v>16</v>
      </c>
      <c r="C8" s="4" t="s">
        <v>9</v>
      </c>
      <c r="D8" s="5" t="s">
        <v>10</v>
      </c>
      <c r="E8" s="5" t="s">
        <v>11</v>
      </c>
      <c r="F8" s="1">
        <v>23528.59</v>
      </c>
      <c r="G8" s="1">
        <v>13479.97</v>
      </c>
      <c r="H8" s="1">
        <v>0</v>
      </c>
      <c r="J8" s="1">
        <v>5060.49</v>
      </c>
      <c r="K8" s="1">
        <v>0</v>
      </c>
      <c r="L8" s="1">
        <v>28589.08</v>
      </c>
      <c r="M8" s="1">
        <v>10048.620000000001</v>
      </c>
      <c r="N8" s="1">
        <f t="shared" si="0"/>
        <v>18540.46</v>
      </c>
      <c r="O8" s="1">
        <f>N8*[1]Summary!$B$3</f>
        <v>8117.7358637786965</v>
      </c>
    </row>
    <row r="9" spans="1:15" ht="11.25" x14ac:dyDescent="0.2">
      <c r="A9" s="3">
        <v>743</v>
      </c>
      <c r="B9" s="2" t="s">
        <v>17</v>
      </c>
      <c r="C9" s="4" t="s">
        <v>9</v>
      </c>
      <c r="D9" s="5" t="s">
        <v>10</v>
      </c>
      <c r="E9" s="5" t="s">
        <v>11</v>
      </c>
      <c r="F9" s="1">
        <v>23528.29</v>
      </c>
      <c r="G9" s="1">
        <v>13479.67</v>
      </c>
      <c r="H9" s="1">
        <v>0</v>
      </c>
      <c r="J9" s="1">
        <v>5060.49</v>
      </c>
      <c r="K9" s="1">
        <v>0</v>
      </c>
      <c r="L9" s="1">
        <v>28588.78</v>
      </c>
      <c r="M9" s="1">
        <v>10048.620000000001</v>
      </c>
      <c r="N9" s="6" t="s">
        <v>18</v>
      </c>
      <c r="O9" s="6" t="s">
        <v>18</v>
      </c>
    </row>
    <row r="10" spans="1:15" ht="11.25" x14ac:dyDescent="0.2">
      <c r="A10" s="3">
        <v>745</v>
      </c>
      <c r="B10" s="2" t="s">
        <v>19</v>
      </c>
      <c r="C10" s="4" t="s">
        <v>9</v>
      </c>
      <c r="D10" s="5" t="s">
        <v>10</v>
      </c>
      <c r="E10" s="5" t="s">
        <v>11</v>
      </c>
      <c r="F10" s="1">
        <v>23528.29</v>
      </c>
      <c r="G10" s="1">
        <v>13479.67</v>
      </c>
      <c r="H10" s="1">
        <v>0</v>
      </c>
      <c r="J10" s="1">
        <v>5060.49</v>
      </c>
      <c r="K10" s="1">
        <v>0</v>
      </c>
      <c r="L10" s="1">
        <v>28588.78</v>
      </c>
      <c r="M10" s="1">
        <v>10048.620000000001</v>
      </c>
      <c r="N10" s="1">
        <f>L10-M10</f>
        <v>18540.159999999996</v>
      </c>
      <c r="O10" s="1">
        <f>N10*[1]Summary!$B$3</f>
        <v>8117.6045120884392</v>
      </c>
    </row>
    <row r="11" spans="1:15" ht="11.25" x14ac:dyDescent="0.2">
      <c r="A11" s="3">
        <v>2149</v>
      </c>
      <c r="B11" s="2" t="s">
        <v>20</v>
      </c>
      <c r="C11" s="4" t="s">
        <v>9</v>
      </c>
      <c r="D11" s="5" t="s">
        <v>10</v>
      </c>
      <c r="E11" s="5" t="s">
        <v>11</v>
      </c>
      <c r="F11" s="1">
        <v>40328.29</v>
      </c>
      <c r="G11" s="1">
        <v>18351.669999999998</v>
      </c>
      <c r="H11" s="1">
        <v>0</v>
      </c>
      <c r="J11" s="1">
        <v>5060.49</v>
      </c>
      <c r="K11" s="1">
        <v>0</v>
      </c>
      <c r="L11" s="1">
        <v>45388.78</v>
      </c>
      <c r="M11" s="1">
        <v>21976.62</v>
      </c>
      <c r="N11" s="7">
        <f>L11-M11</f>
        <v>23412.16</v>
      </c>
      <c r="O11" s="7">
        <f>N11*[1]Summary!$B$3</f>
        <v>10250.755961854509</v>
      </c>
    </row>
    <row r="12" spans="1:15" ht="11.25" x14ac:dyDescent="0.2">
      <c r="A12" s="3"/>
      <c r="N12" s="8">
        <f>SUM(N3:N11)</f>
        <v>197293.27000000002</v>
      </c>
      <c r="O12" s="8">
        <f>SUM(O3:O11)</f>
        <v>86382.681635794012</v>
      </c>
    </row>
    <row r="13" spans="1:15" ht="11.25" x14ac:dyDescent="0.2">
      <c r="A13" s="3"/>
    </row>
    <row r="14" spans="1:15" ht="11.25" x14ac:dyDescent="0.2">
      <c r="A14" s="3"/>
    </row>
    <row r="15" spans="1:15" ht="11.25" x14ac:dyDescent="0.2">
      <c r="A15" s="3">
        <v>15</v>
      </c>
      <c r="B15" s="2" t="s">
        <v>21</v>
      </c>
      <c r="C15" s="4" t="s">
        <v>22</v>
      </c>
      <c r="D15" s="5" t="s">
        <v>23</v>
      </c>
      <c r="E15" s="5" t="s">
        <v>11</v>
      </c>
      <c r="F15" s="1">
        <v>72840</v>
      </c>
      <c r="G15" s="1">
        <v>35134.800000000003</v>
      </c>
      <c r="H15" s="1">
        <v>0</v>
      </c>
      <c r="J15" s="1">
        <v>27617.75</v>
      </c>
      <c r="K15" s="1">
        <v>0</v>
      </c>
      <c r="L15" s="1">
        <v>100457.75</v>
      </c>
      <c r="M15" s="1">
        <v>37705.199999999997</v>
      </c>
      <c r="N15" s="1">
        <f t="shared" ref="N15:N28" si="1">L15-M15</f>
        <v>62752.55</v>
      </c>
      <c r="O15" s="1">
        <f>N15*[1]Summary!$B$3</f>
        <v>27475.511701358322</v>
      </c>
    </row>
    <row r="16" spans="1:15" ht="11.25" x14ac:dyDescent="0.2">
      <c r="A16" s="3">
        <v>138</v>
      </c>
      <c r="B16" s="2" t="s">
        <v>24</v>
      </c>
      <c r="C16" s="4" t="s">
        <v>22</v>
      </c>
      <c r="D16" s="5" t="s">
        <v>23</v>
      </c>
      <c r="E16" s="5" t="s">
        <v>11</v>
      </c>
      <c r="F16" s="1">
        <v>55980</v>
      </c>
      <c r="G16" s="1">
        <v>24080.400000000001</v>
      </c>
      <c r="H16" s="1">
        <v>0</v>
      </c>
      <c r="J16" s="1">
        <v>20008.39</v>
      </c>
      <c r="K16" s="1">
        <v>0</v>
      </c>
      <c r="L16" s="1">
        <v>75988.39</v>
      </c>
      <c r="M16" s="1">
        <v>31899.599999999999</v>
      </c>
      <c r="N16" s="1">
        <f t="shared" si="1"/>
        <v>44088.79</v>
      </c>
      <c r="O16" s="1">
        <f>N16*[1]Summary!$B$3</f>
        <v>19303.79029288419</v>
      </c>
    </row>
    <row r="17" spans="1:15" ht="11.25" x14ac:dyDescent="0.2">
      <c r="A17" s="3">
        <v>139</v>
      </c>
      <c r="B17" s="2" t="s">
        <v>25</v>
      </c>
      <c r="C17" s="4" t="s">
        <v>22</v>
      </c>
      <c r="D17" s="5" t="s">
        <v>23</v>
      </c>
      <c r="E17" s="5" t="s">
        <v>11</v>
      </c>
      <c r="F17" s="1">
        <v>47700</v>
      </c>
      <c r="G17" s="1">
        <v>19152</v>
      </c>
      <c r="H17" s="1">
        <v>0</v>
      </c>
      <c r="J17" s="1">
        <v>12488.37</v>
      </c>
      <c r="K17" s="1">
        <v>0</v>
      </c>
      <c r="L17" s="1">
        <v>60188.37</v>
      </c>
      <c r="M17" s="1">
        <v>28548</v>
      </c>
      <c r="N17" s="1">
        <f t="shared" si="1"/>
        <v>31640.370000000003</v>
      </c>
      <c r="O17" s="1">
        <f>N17*[1]Summary!$B$3</f>
        <v>13853.386932806823</v>
      </c>
    </row>
    <row r="18" spans="1:15" ht="11.25" x14ac:dyDescent="0.2">
      <c r="A18" s="3">
        <v>314</v>
      </c>
      <c r="B18" s="2" t="s">
        <v>26</v>
      </c>
      <c r="C18" s="4" t="s">
        <v>22</v>
      </c>
      <c r="D18" s="5" t="s">
        <v>23</v>
      </c>
      <c r="E18" s="5" t="s">
        <v>11</v>
      </c>
      <c r="F18" s="1">
        <v>50840</v>
      </c>
      <c r="G18" s="1">
        <v>17977</v>
      </c>
      <c r="H18" s="1">
        <v>0</v>
      </c>
      <c r="J18" s="1">
        <v>17038.36</v>
      </c>
      <c r="K18" s="1">
        <v>0</v>
      </c>
      <c r="L18" s="1">
        <v>67878.36</v>
      </c>
      <c r="M18" s="1">
        <v>32863</v>
      </c>
      <c r="N18" s="1">
        <f t="shared" si="1"/>
        <v>35015.360000000001</v>
      </c>
      <c r="O18" s="1">
        <f>N18*[1]Summary!$B$3</f>
        <v>15331.089069803125</v>
      </c>
    </row>
    <row r="19" spans="1:15" ht="11.25" x14ac:dyDescent="0.2">
      <c r="A19" s="3">
        <v>332</v>
      </c>
      <c r="B19" s="2" t="s">
        <v>27</v>
      </c>
      <c r="C19" s="4" t="s">
        <v>22</v>
      </c>
      <c r="D19" s="5" t="s">
        <v>23</v>
      </c>
      <c r="E19" s="5" t="s">
        <v>11</v>
      </c>
      <c r="F19" s="1">
        <v>47700</v>
      </c>
      <c r="G19" s="1">
        <v>15912</v>
      </c>
      <c r="H19" s="1">
        <v>0</v>
      </c>
      <c r="J19" s="1">
        <v>12843.9</v>
      </c>
      <c r="K19" s="1">
        <v>0</v>
      </c>
      <c r="L19" s="1">
        <v>60543.9</v>
      </c>
      <c r="M19" s="1">
        <v>31788</v>
      </c>
      <c r="N19" s="1">
        <f t="shared" si="1"/>
        <v>28755.9</v>
      </c>
      <c r="O19" s="1">
        <f>N19*[1]Summary!$B$3</f>
        <v>12590.4535661593</v>
      </c>
    </row>
    <row r="20" spans="1:15" ht="11.25" x14ac:dyDescent="0.2">
      <c r="A20" s="3">
        <v>333</v>
      </c>
      <c r="B20" s="2" t="s">
        <v>28</v>
      </c>
      <c r="C20" s="4" t="s">
        <v>22</v>
      </c>
      <c r="D20" s="5" t="s">
        <v>23</v>
      </c>
      <c r="E20" s="5" t="s">
        <v>11</v>
      </c>
      <c r="F20" s="1">
        <v>38340</v>
      </c>
      <c r="G20" s="1">
        <v>12024</v>
      </c>
      <c r="H20" s="1">
        <v>0</v>
      </c>
      <c r="J20" s="1">
        <v>7691.96</v>
      </c>
      <c r="K20" s="1">
        <v>0</v>
      </c>
      <c r="L20" s="1">
        <v>46031.96</v>
      </c>
      <c r="M20" s="1">
        <v>26316</v>
      </c>
      <c r="N20" s="1">
        <f t="shared" si="1"/>
        <v>19715.96</v>
      </c>
      <c r="O20" s="1">
        <f>N20*[1]Summary!$B$3</f>
        <v>8632.4155701005384</v>
      </c>
    </row>
    <row r="21" spans="1:15" ht="11.25" x14ac:dyDescent="0.2">
      <c r="A21" s="3">
        <v>477</v>
      </c>
      <c r="B21" s="2" t="s">
        <v>29</v>
      </c>
      <c r="C21" s="4" t="s">
        <v>22</v>
      </c>
      <c r="D21" s="5" t="s">
        <v>23</v>
      </c>
      <c r="E21" s="5" t="s">
        <v>11</v>
      </c>
      <c r="F21" s="1">
        <v>48480</v>
      </c>
      <c r="G21" s="1">
        <v>17975.400000000001</v>
      </c>
      <c r="H21" s="1">
        <v>0</v>
      </c>
      <c r="J21" s="1">
        <v>19985.39</v>
      </c>
      <c r="K21" s="1">
        <v>0</v>
      </c>
      <c r="L21" s="1">
        <v>68465.39</v>
      </c>
      <c r="M21" s="1">
        <v>30504.6</v>
      </c>
      <c r="N21" s="1">
        <f t="shared" si="1"/>
        <v>37960.79</v>
      </c>
      <c r="O21" s="1">
        <f>N21*[1]Summary!$B$3</f>
        <v>16620.713099910776</v>
      </c>
    </row>
    <row r="22" spans="1:15" ht="11.25" x14ac:dyDescent="0.2">
      <c r="A22" s="3">
        <v>578</v>
      </c>
      <c r="B22" s="2" t="s">
        <v>30</v>
      </c>
      <c r="C22" s="4" t="s">
        <v>22</v>
      </c>
      <c r="D22" s="5" t="s">
        <v>23</v>
      </c>
      <c r="E22" s="5" t="s">
        <v>11</v>
      </c>
      <c r="F22" s="1">
        <v>57500</v>
      </c>
      <c r="G22" s="1">
        <v>18994</v>
      </c>
      <c r="H22" s="1">
        <v>0</v>
      </c>
      <c r="J22" s="1">
        <v>20996.99</v>
      </c>
      <c r="K22" s="1">
        <v>0</v>
      </c>
      <c r="L22" s="1">
        <v>78496.990000000005</v>
      </c>
      <c r="M22" s="1">
        <v>38506</v>
      </c>
      <c r="N22" s="1">
        <f t="shared" si="1"/>
        <v>39990.990000000005</v>
      </c>
      <c r="O22" s="1">
        <f>N22*[1]Summary!$B$3</f>
        <v>17509.613771773478</v>
      </c>
    </row>
    <row r="23" spans="1:15" ht="11.25" x14ac:dyDescent="0.2">
      <c r="A23" s="3">
        <v>728</v>
      </c>
      <c r="B23" s="2" t="s">
        <v>31</v>
      </c>
      <c r="C23" s="4" t="s">
        <v>22</v>
      </c>
      <c r="D23" s="5" t="s">
        <v>23</v>
      </c>
      <c r="E23" s="5" t="s">
        <v>11</v>
      </c>
      <c r="F23" s="1">
        <v>51108</v>
      </c>
      <c r="G23" s="1">
        <v>30153.72</v>
      </c>
      <c r="H23" s="1">
        <v>0</v>
      </c>
      <c r="J23" s="1">
        <v>20985.200000000001</v>
      </c>
      <c r="K23" s="1">
        <v>0</v>
      </c>
      <c r="L23" s="1">
        <v>72093.2</v>
      </c>
      <c r="M23" s="1">
        <v>20954.28</v>
      </c>
      <c r="N23" s="1">
        <f t="shared" si="1"/>
        <v>51138.92</v>
      </c>
      <c r="O23" s="1">
        <f>N23*[1]Summary!$B$3</f>
        <v>22390.611932978452</v>
      </c>
    </row>
    <row r="24" spans="1:15" ht="11.25" x14ac:dyDescent="0.2">
      <c r="A24" s="3">
        <v>911</v>
      </c>
      <c r="B24" s="2" t="s">
        <v>32</v>
      </c>
      <c r="C24" s="4" t="s">
        <v>22</v>
      </c>
      <c r="D24" s="5" t="s">
        <v>23</v>
      </c>
      <c r="E24" s="5" t="s">
        <v>11</v>
      </c>
      <c r="F24" s="1">
        <v>94080</v>
      </c>
      <c r="G24" s="1">
        <v>40392</v>
      </c>
      <c r="H24" s="1">
        <v>0</v>
      </c>
      <c r="J24" s="1">
        <v>32442.68</v>
      </c>
      <c r="K24" s="1">
        <v>0</v>
      </c>
      <c r="L24" s="1">
        <v>126522.68</v>
      </c>
      <c r="M24" s="1">
        <v>53688</v>
      </c>
      <c r="N24" s="1">
        <f t="shared" si="1"/>
        <v>72834.679999999993</v>
      </c>
      <c r="O24" s="1">
        <f>N24*[1]Summary!$B$3</f>
        <v>31889.861090978593</v>
      </c>
    </row>
    <row r="25" spans="1:15" ht="11.25" x14ac:dyDescent="0.2">
      <c r="A25" s="3">
        <v>912</v>
      </c>
      <c r="B25" s="2" t="s">
        <v>33</v>
      </c>
      <c r="C25" s="4" t="s">
        <v>22</v>
      </c>
      <c r="D25" s="5" t="s">
        <v>23</v>
      </c>
      <c r="E25" s="5" t="s">
        <v>11</v>
      </c>
      <c r="F25" s="1">
        <v>45360</v>
      </c>
      <c r="G25" s="1">
        <v>16056</v>
      </c>
      <c r="H25" s="1">
        <v>0</v>
      </c>
      <c r="J25" s="1">
        <v>15992.67</v>
      </c>
      <c r="K25" s="1">
        <v>0</v>
      </c>
      <c r="L25" s="1">
        <v>61352.67</v>
      </c>
      <c r="M25" s="1">
        <v>29304</v>
      </c>
      <c r="N25" s="1">
        <f t="shared" si="1"/>
        <v>32048.67</v>
      </c>
      <c r="O25" s="1">
        <f>N25*[1]Summary!$B$3</f>
        <v>14032.15658324596</v>
      </c>
    </row>
    <row r="26" spans="1:15" ht="11.25" x14ac:dyDescent="0.2">
      <c r="A26" s="3">
        <v>2144</v>
      </c>
      <c r="B26" s="2" t="s">
        <v>34</v>
      </c>
      <c r="C26" s="4" t="s">
        <v>22</v>
      </c>
      <c r="D26" s="5" t="s">
        <v>23</v>
      </c>
      <c r="E26" s="5" t="s">
        <v>11</v>
      </c>
      <c r="F26" s="1">
        <v>107460</v>
      </c>
      <c r="G26" s="1">
        <v>60185.4</v>
      </c>
      <c r="H26" s="1">
        <v>0</v>
      </c>
      <c r="J26" s="1">
        <v>20607.86</v>
      </c>
      <c r="K26" s="1">
        <v>0</v>
      </c>
      <c r="L26" s="1">
        <v>128067.86</v>
      </c>
      <c r="M26" s="1">
        <v>47274.6</v>
      </c>
      <c r="N26" s="1">
        <f t="shared" si="1"/>
        <v>80793.260000000009</v>
      </c>
      <c r="O26" s="1">
        <f>N26*[1]Summary!$B$3</f>
        <v>35374.437541118015</v>
      </c>
    </row>
    <row r="27" spans="1:15" ht="11.25" x14ac:dyDescent="0.2">
      <c r="A27" s="3">
        <v>2165</v>
      </c>
      <c r="B27" s="2" t="s">
        <v>35</v>
      </c>
      <c r="C27" s="4" t="s">
        <v>22</v>
      </c>
      <c r="D27" s="5" t="s">
        <v>23</v>
      </c>
      <c r="E27" s="5" t="s">
        <v>11</v>
      </c>
      <c r="F27" s="1">
        <v>66980</v>
      </c>
      <c r="G27" s="1">
        <v>19028.8</v>
      </c>
      <c r="H27" s="1">
        <v>0</v>
      </c>
      <c r="J27" s="1">
        <v>15411.25</v>
      </c>
      <c r="K27" s="1">
        <v>0</v>
      </c>
      <c r="L27" s="1">
        <v>82391.25</v>
      </c>
      <c r="M27" s="1">
        <v>47951.199999999997</v>
      </c>
      <c r="N27" s="1">
        <f t="shared" si="1"/>
        <v>34440.050000000003</v>
      </c>
      <c r="O27" s="1">
        <f>N27*[1]Summary!$B$3</f>
        <v>15079.195933398176</v>
      </c>
    </row>
    <row r="28" spans="1:15" ht="11.25" x14ac:dyDescent="0.2">
      <c r="A28" s="3">
        <v>2580</v>
      </c>
      <c r="B28" s="2" t="s">
        <v>36</v>
      </c>
      <c r="C28" s="4" t="s">
        <v>22</v>
      </c>
      <c r="D28" s="5" t="s">
        <v>23</v>
      </c>
      <c r="E28" s="5" t="s">
        <v>11</v>
      </c>
      <c r="F28" s="1">
        <v>45108</v>
      </c>
      <c r="G28" s="1">
        <v>12075.8</v>
      </c>
      <c r="H28" s="1">
        <v>0</v>
      </c>
      <c r="J28" s="1">
        <v>14581.55</v>
      </c>
      <c r="K28" s="1">
        <v>0</v>
      </c>
      <c r="L28" s="1">
        <v>59689.55</v>
      </c>
      <c r="M28" s="1">
        <v>33032.199999999997</v>
      </c>
      <c r="N28" s="1">
        <f t="shared" si="1"/>
        <v>26657.350000000006</v>
      </c>
      <c r="O28" s="1">
        <f>N28*[1]Summary!$B$3</f>
        <v>11671.626600866488</v>
      </c>
    </row>
    <row r="29" spans="1:15" ht="11.25" x14ac:dyDescent="0.2">
      <c r="A29" s="3"/>
      <c r="N29" s="9">
        <f>SUM(N15:N28)</f>
        <v>597833.64</v>
      </c>
      <c r="O29" s="9">
        <f>SUM(O15:O28)</f>
        <v>261754.86368738223</v>
      </c>
    </row>
    <row r="30" spans="1:15" ht="11.25" x14ac:dyDescent="0.2">
      <c r="A30" s="3"/>
    </row>
    <row r="31" spans="1:15" ht="11.25" x14ac:dyDescent="0.2">
      <c r="A31" s="3"/>
    </row>
    <row r="32" spans="1:15" ht="11.25" x14ac:dyDescent="0.2">
      <c r="A32" s="2">
        <v>786</v>
      </c>
      <c r="B32" s="1" t="s">
        <v>37</v>
      </c>
      <c r="C32" s="2" t="s">
        <v>38</v>
      </c>
      <c r="D32" s="5" t="s">
        <v>39</v>
      </c>
      <c r="E32" s="5" t="s">
        <v>40</v>
      </c>
      <c r="F32" s="1">
        <v>15779.16</v>
      </c>
      <c r="G32" s="1">
        <v>3234.2951999999987</v>
      </c>
      <c r="J32" s="1">
        <v>1997.5</v>
      </c>
      <c r="K32" s="2"/>
      <c r="L32" s="1">
        <v>17776.66</v>
      </c>
      <c r="M32" s="2">
        <v>0.8</v>
      </c>
      <c r="N32" s="1">
        <f t="shared" ref="N32:N39" si="2">L32-M32</f>
        <v>17775.86</v>
      </c>
      <c r="O32" s="1">
        <f>N32*[1]Summary!$B$3</f>
        <v>7782.9641892115515</v>
      </c>
    </row>
    <row r="33" spans="1:15" ht="11.25" x14ac:dyDescent="0.2">
      <c r="A33" s="2">
        <v>787</v>
      </c>
      <c r="B33" s="1" t="s">
        <v>41</v>
      </c>
      <c r="C33" s="2" t="s">
        <v>38</v>
      </c>
      <c r="D33" s="5" t="s">
        <v>39</v>
      </c>
      <c r="E33" s="5" t="s">
        <v>40</v>
      </c>
      <c r="F33" s="1">
        <v>16019.16</v>
      </c>
      <c r="G33" s="1">
        <v>3282.2951999999987</v>
      </c>
      <c r="J33" s="1">
        <v>1997.5</v>
      </c>
      <c r="K33" s="2"/>
      <c r="L33" s="1">
        <v>18016.66</v>
      </c>
      <c r="M33" s="2">
        <v>0.8</v>
      </c>
      <c r="N33" s="1">
        <f t="shared" si="2"/>
        <v>18015.86</v>
      </c>
      <c r="O33" s="1">
        <f>N33*[1]Summary!$B$3</f>
        <v>7888.0455414167764</v>
      </c>
    </row>
    <row r="34" spans="1:15" ht="11.25" x14ac:dyDescent="0.2">
      <c r="A34" s="2">
        <v>818</v>
      </c>
      <c r="B34" s="1" t="s">
        <v>42</v>
      </c>
      <c r="C34" s="2" t="s">
        <v>38</v>
      </c>
      <c r="D34" s="5" t="s">
        <v>39</v>
      </c>
      <c r="E34" s="5" t="s">
        <v>40</v>
      </c>
      <c r="F34" s="1">
        <v>12426</v>
      </c>
      <c r="G34" s="1">
        <v>2563.6631999999991</v>
      </c>
      <c r="J34" s="1">
        <v>1997.5</v>
      </c>
      <c r="K34" s="2"/>
      <c r="L34" s="1">
        <v>14423.5</v>
      </c>
      <c r="M34" s="2">
        <v>0.8</v>
      </c>
      <c r="N34" s="1">
        <f t="shared" si="2"/>
        <v>14422.7</v>
      </c>
      <c r="O34" s="1">
        <f>N34*[1]Summary!$B$3</f>
        <v>6314.820076876249</v>
      </c>
    </row>
    <row r="35" spans="1:15" ht="11.25" x14ac:dyDescent="0.2">
      <c r="A35" s="2">
        <v>820</v>
      </c>
      <c r="B35" s="1" t="s">
        <v>43</v>
      </c>
      <c r="C35" s="2" t="s">
        <v>38</v>
      </c>
      <c r="D35" s="5" t="s">
        <v>39</v>
      </c>
      <c r="E35" s="5" t="s">
        <v>40</v>
      </c>
      <c r="F35" s="1">
        <v>8502.9599999999991</v>
      </c>
      <c r="G35" s="1">
        <v>1700.59</v>
      </c>
      <c r="J35" s="1">
        <v>1997.5</v>
      </c>
      <c r="K35" s="2"/>
      <c r="L35" s="1">
        <v>10500.46</v>
      </c>
      <c r="M35" s="1">
        <v>6802.37</v>
      </c>
      <c r="N35" s="1">
        <f t="shared" si="2"/>
        <v>3698.0899999999992</v>
      </c>
      <c r="O35" s="1">
        <f>N35*[1]Summary!$B$3</f>
        <v>1619.1679074025863</v>
      </c>
    </row>
    <row r="36" spans="1:15" ht="11.25" x14ac:dyDescent="0.2">
      <c r="A36" s="3">
        <v>821</v>
      </c>
      <c r="B36" s="2" t="s">
        <v>44</v>
      </c>
      <c r="C36" s="2" t="s">
        <v>38</v>
      </c>
      <c r="D36" s="5" t="s">
        <v>39</v>
      </c>
      <c r="E36" s="5" t="s">
        <v>40</v>
      </c>
      <c r="F36" s="1">
        <v>8502.9599999999991</v>
      </c>
      <c r="G36" s="1">
        <v>1700.59</v>
      </c>
      <c r="H36" s="1">
        <v>0</v>
      </c>
      <c r="J36" s="1">
        <v>1997.5</v>
      </c>
      <c r="K36" s="1">
        <v>0</v>
      </c>
      <c r="L36" s="1">
        <v>10500.46</v>
      </c>
      <c r="M36" s="1">
        <v>6802.37</v>
      </c>
      <c r="N36" s="1">
        <f t="shared" si="2"/>
        <v>3698.0899999999992</v>
      </c>
      <c r="O36" s="1">
        <f>N36*[1]Summary!$B$3</f>
        <v>1619.1679074025863</v>
      </c>
    </row>
    <row r="37" spans="1:15" ht="11.25" x14ac:dyDescent="0.2">
      <c r="A37" s="2">
        <v>2155</v>
      </c>
      <c r="B37" s="1" t="s">
        <v>45</v>
      </c>
      <c r="C37" s="2" t="s">
        <v>38</v>
      </c>
      <c r="D37" s="5" t="s">
        <v>39</v>
      </c>
      <c r="E37" s="5" t="s">
        <v>40</v>
      </c>
      <c r="F37" s="1">
        <v>20775.84</v>
      </c>
      <c r="G37" s="1">
        <v>4233.6311999999998</v>
      </c>
      <c r="J37" s="1">
        <v>1997.5</v>
      </c>
      <c r="K37" s="2"/>
      <c r="L37" s="1">
        <v>22773.34</v>
      </c>
      <c r="M37" s="2">
        <v>0.8</v>
      </c>
      <c r="N37" s="1">
        <f t="shared" si="2"/>
        <v>22772.54</v>
      </c>
      <c r="O37" s="1">
        <f>N37*[1]Summary!$B$3</f>
        <v>9970.7054014482346</v>
      </c>
    </row>
    <row r="38" spans="1:15" ht="11.25" x14ac:dyDescent="0.2">
      <c r="A38" s="3">
        <v>2170</v>
      </c>
      <c r="B38" s="2" t="s">
        <v>46</v>
      </c>
      <c r="C38" s="2" t="s">
        <v>38</v>
      </c>
      <c r="D38" s="5" t="s">
        <v>39</v>
      </c>
      <c r="E38" s="5" t="s">
        <v>40</v>
      </c>
      <c r="F38" s="1">
        <v>13027.56</v>
      </c>
      <c r="G38" s="1">
        <v>2683.98</v>
      </c>
      <c r="H38" s="1">
        <v>0</v>
      </c>
      <c r="J38" s="1">
        <v>1997.5</v>
      </c>
      <c r="K38" s="1">
        <v>0</v>
      </c>
      <c r="L38" s="1">
        <v>15025.06</v>
      </c>
      <c r="M38" s="1">
        <v>10343.58</v>
      </c>
      <c r="N38" s="1">
        <f t="shared" si="2"/>
        <v>4681.4799999999996</v>
      </c>
      <c r="O38" s="1">
        <f>N38*[1]Summary!$B$3</f>
        <v>2049.7343696738212</v>
      </c>
    </row>
    <row r="39" spans="1:15" x14ac:dyDescent="0.25">
      <c r="A39" s="3">
        <v>2759</v>
      </c>
      <c r="B39" s="2" t="s">
        <v>47</v>
      </c>
      <c r="C39" s="2" t="s">
        <v>38</v>
      </c>
      <c r="D39" s="5" t="s">
        <v>39</v>
      </c>
      <c r="E39" s="5" t="s">
        <v>40</v>
      </c>
      <c r="F39" s="1">
        <v>17223</v>
      </c>
      <c r="G39" s="1">
        <v>3785.4</v>
      </c>
      <c r="H39" s="1">
        <v>0</v>
      </c>
      <c r="J39" s="1">
        <v>1997.5</v>
      </c>
      <c r="K39" s="1">
        <v>0</v>
      </c>
      <c r="L39" s="1">
        <v>19220.5</v>
      </c>
      <c r="M39" s="1">
        <v>13437.6</v>
      </c>
      <c r="N39" s="1">
        <f t="shared" si="2"/>
        <v>5782.9</v>
      </c>
      <c r="O39" s="1">
        <f>N39*[1]Summary!$B$3</f>
        <v>2531.9789652816503</v>
      </c>
    </row>
    <row r="40" spans="1:15" x14ac:dyDescent="0.25">
      <c r="B40" s="1"/>
      <c r="E40" s="10"/>
      <c r="K40" s="2"/>
      <c r="M40" s="2"/>
      <c r="N40" s="9">
        <f>SUM(N32:N39)</f>
        <v>90847.519999999975</v>
      </c>
      <c r="O40" s="9">
        <f>SUM(O32:O39)</f>
        <v>39776.584358713451</v>
      </c>
    </row>
    <row r="41" spans="1:15" x14ac:dyDescent="0.25">
      <c r="B41" s="1"/>
      <c r="E41" s="10"/>
      <c r="K41" s="2"/>
      <c r="M41" s="2"/>
    </row>
    <row r="42" spans="1:15" x14ac:dyDescent="0.25">
      <c r="B42" s="1"/>
      <c r="E42" s="10"/>
      <c r="K42" s="2"/>
      <c r="M42" s="2"/>
    </row>
    <row r="43" spans="1:15" x14ac:dyDescent="0.25">
      <c r="A43" s="3">
        <v>2</v>
      </c>
      <c r="B43" s="2" t="s">
        <v>48</v>
      </c>
      <c r="C43" s="2" t="s">
        <v>49</v>
      </c>
      <c r="D43" s="5" t="s">
        <v>50</v>
      </c>
      <c r="E43" s="5" t="s">
        <v>11</v>
      </c>
      <c r="F43" s="1">
        <v>11802.84</v>
      </c>
      <c r="G43" s="1">
        <v>2714.65</v>
      </c>
      <c r="H43" s="1">
        <v>0</v>
      </c>
      <c r="J43" s="1">
        <v>2330.0100000000002</v>
      </c>
      <c r="K43" s="1">
        <v>0</v>
      </c>
      <c r="L43" s="1">
        <v>14132.85</v>
      </c>
      <c r="M43" s="1">
        <v>9088.19</v>
      </c>
      <c r="N43" s="1">
        <f t="shared" ref="N43:N49" si="3">L43-M43</f>
        <v>5044.66</v>
      </c>
      <c r="O43" s="1">
        <f>N43*[1]Summary!$B$3</f>
        <v>2208.7487258983779</v>
      </c>
    </row>
    <row r="44" spans="1:15" x14ac:dyDescent="0.25">
      <c r="A44" s="3">
        <v>118</v>
      </c>
      <c r="B44" s="2" t="s">
        <v>51</v>
      </c>
      <c r="C44" s="2" t="s">
        <v>49</v>
      </c>
      <c r="D44" s="5" t="s">
        <v>50</v>
      </c>
      <c r="E44" s="5" t="s">
        <v>11</v>
      </c>
      <c r="F44" s="1">
        <v>14311.49</v>
      </c>
      <c r="G44" s="1">
        <v>4996.5</v>
      </c>
      <c r="H44" s="1">
        <v>0</v>
      </c>
      <c r="J44" s="1">
        <v>2238.65</v>
      </c>
      <c r="K44" s="1">
        <v>0</v>
      </c>
      <c r="L44" s="1">
        <v>16550.14</v>
      </c>
      <c r="M44" s="1">
        <v>9314.99</v>
      </c>
      <c r="N44" s="1">
        <f t="shared" si="3"/>
        <v>7235.15</v>
      </c>
      <c r="O44" s="1">
        <f>N44*[1]Summary!$B$3</f>
        <v>3167.8306058651424</v>
      </c>
    </row>
    <row r="45" spans="1:15" x14ac:dyDescent="0.25">
      <c r="A45" s="3">
        <v>316</v>
      </c>
      <c r="B45" s="2" t="s">
        <v>52</v>
      </c>
      <c r="C45" s="2" t="s">
        <v>49</v>
      </c>
      <c r="D45" s="5" t="s">
        <v>50</v>
      </c>
      <c r="E45" s="5" t="s">
        <v>11</v>
      </c>
      <c r="F45" s="1">
        <v>15000</v>
      </c>
      <c r="G45" s="1">
        <v>3450</v>
      </c>
      <c r="H45" s="1">
        <v>0</v>
      </c>
      <c r="J45" s="1">
        <v>8499.0499999999993</v>
      </c>
      <c r="K45" s="1">
        <v>0</v>
      </c>
      <c r="L45" s="1">
        <v>23499.05</v>
      </c>
      <c r="M45" s="1">
        <v>11550</v>
      </c>
      <c r="N45" s="1">
        <f t="shared" si="3"/>
        <v>11949.05</v>
      </c>
      <c r="O45" s="1">
        <f>N45*[1]Summary!$B$3</f>
        <v>5231.7597148660188</v>
      </c>
    </row>
    <row r="46" spans="1:15" x14ac:dyDescent="0.25">
      <c r="A46" s="3">
        <v>317</v>
      </c>
      <c r="B46" s="2" t="s">
        <v>53</v>
      </c>
      <c r="C46" s="2" t="s">
        <v>49</v>
      </c>
      <c r="D46" s="5" t="s">
        <v>50</v>
      </c>
      <c r="E46" s="5" t="s">
        <v>11</v>
      </c>
      <c r="F46" s="1">
        <v>23879.96</v>
      </c>
      <c r="G46" s="1">
        <v>8462.98</v>
      </c>
      <c r="H46" s="1">
        <v>0</v>
      </c>
      <c r="J46" s="1">
        <v>6645.07</v>
      </c>
      <c r="K46" s="1">
        <v>0</v>
      </c>
      <c r="L46" s="1">
        <v>30525.03</v>
      </c>
      <c r="M46" s="1">
        <v>15416.98</v>
      </c>
      <c r="N46" s="1">
        <f t="shared" si="3"/>
        <v>15108.05</v>
      </c>
      <c r="O46" s="1">
        <f>N46*[1]Summary!$B$3</f>
        <v>6614.893013267294</v>
      </c>
    </row>
    <row r="47" spans="1:15" x14ac:dyDescent="0.25">
      <c r="A47" s="3">
        <v>318</v>
      </c>
      <c r="B47" s="2" t="s">
        <v>54</v>
      </c>
      <c r="C47" s="2" t="s">
        <v>49</v>
      </c>
      <c r="D47" s="5" t="s">
        <v>50</v>
      </c>
      <c r="E47" s="5" t="s">
        <v>11</v>
      </c>
      <c r="F47" s="1">
        <v>52387</v>
      </c>
      <c r="G47" s="1">
        <v>15017</v>
      </c>
      <c r="H47" s="1">
        <v>0</v>
      </c>
      <c r="J47" s="1">
        <v>36318</v>
      </c>
      <c r="K47" s="1">
        <v>0</v>
      </c>
      <c r="L47" s="1">
        <v>88705</v>
      </c>
      <c r="M47" s="1">
        <v>37370</v>
      </c>
      <c r="N47" s="1">
        <f t="shared" si="3"/>
        <v>51335</v>
      </c>
      <c r="O47" s="1">
        <f>N47*[1]Summary!$B$3</f>
        <v>22476.463397730124</v>
      </c>
    </row>
    <row r="48" spans="1:15" x14ac:dyDescent="0.25">
      <c r="A48" s="3">
        <v>319</v>
      </c>
      <c r="B48" s="2" t="s">
        <v>55</v>
      </c>
      <c r="C48" s="2" t="s">
        <v>49</v>
      </c>
      <c r="D48" s="5" t="s">
        <v>50</v>
      </c>
      <c r="E48" s="5" t="s">
        <v>11</v>
      </c>
      <c r="F48" s="1">
        <v>10876.81</v>
      </c>
      <c r="G48" s="1">
        <v>2175.36</v>
      </c>
      <c r="H48" s="1">
        <v>0</v>
      </c>
      <c r="J48" s="1">
        <v>4503.6400000000003</v>
      </c>
      <c r="K48" s="1">
        <v>0</v>
      </c>
      <c r="L48" s="1">
        <v>15380.45</v>
      </c>
      <c r="M48" s="1">
        <v>8701.4500000000007</v>
      </c>
      <c r="N48" s="1">
        <f t="shared" si="3"/>
        <v>6679</v>
      </c>
      <c r="O48" s="1">
        <f>N48*[1]Summary!$B$3</f>
        <v>2924.3264640779093</v>
      </c>
    </row>
    <row r="49" spans="1:15" x14ac:dyDescent="0.25">
      <c r="A49" s="3">
        <v>698</v>
      </c>
      <c r="B49" s="2" t="s">
        <v>56</v>
      </c>
      <c r="C49" s="2" t="s">
        <v>49</v>
      </c>
      <c r="D49" s="5" t="s">
        <v>50</v>
      </c>
      <c r="E49" s="5" t="s">
        <v>11</v>
      </c>
      <c r="F49" s="1">
        <v>20382.84</v>
      </c>
      <c r="G49" s="1">
        <v>4688.04</v>
      </c>
      <c r="H49" s="1">
        <v>0</v>
      </c>
      <c r="J49" s="1">
        <v>2437.67</v>
      </c>
      <c r="K49" s="1">
        <v>0</v>
      </c>
      <c r="L49" s="1">
        <v>22820.51</v>
      </c>
      <c r="M49" s="1">
        <v>15694.8</v>
      </c>
      <c r="N49" s="1">
        <f t="shared" si="3"/>
        <v>7125.7099999999991</v>
      </c>
      <c r="O49" s="1">
        <f>N49*[1]Summary!$B$3</f>
        <v>3119.9135092595593</v>
      </c>
    </row>
    <row r="50" spans="1:15" x14ac:dyDescent="0.25">
      <c r="N50" s="9">
        <f>SUM(N43:N49)</f>
        <v>104476.62</v>
      </c>
      <c r="O50" s="9">
        <f>SUM(O43:O49)</f>
        <v>45743.935430964426</v>
      </c>
    </row>
    <row r="53" spans="1:15" x14ac:dyDescent="0.25">
      <c r="A53" s="3">
        <v>345</v>
      </c>
      <c r="B53" s="2" t="s">
        <v>57</v>
      </c>
      <c r="C53" s="2" t="s">
        <v>58</v>
      </c>
      <c r="D53" s="5" t="s">
        <v>59</v>
      </c>
      <c r="E53" s="5" t="s">
        <v>11</v>
      </c>
      <c r="F53" s="1">
        <v>31023</v>
      </c>
      <c r="G53" s="1">
        <v>10966</v>
      </c>
      <c r="H53" s="1">
        <v>0</v>
      </c>
      <c r="J53" s="1">
        <v>17070</v>
      </c>
      <c r="K53" s="1">
        <v>350</v>
      </c>
      <c r="L53" s="1">
        <v>48443</v>
      </c>
      <c r="M53" s="1">
        <v>20057</v>
      </c>
      <c r="N53" s="1">
        <f t="shared" ref="N53:N59" si="4">L53-M53</f>
        <v>28386</v>
      </c>
      <c r="O53" s="1">
        <f>N53*[1]Summary!$B$3</f>
        <v>12428.496932072996</v>
      </c>
    </row>
    <row r="54" spans="1:15" x14ac:dyDescent="0.25">
      <c r="A54" s="3">
        <v>347</v>
      </c>
      <c r="B54" s="2" t="s">
        <v>60</v>
      </c>
      <c r="C54" s="2" t="s">
        <v>58</v>
      </c>
      <c r="D54" s="5" t="s">
        <v>59</v>
      </c>
      <c r="E54" s="5" t="s">
        <v>11</v>
      </c>
      <c r="F54" s="1">
        <v>90813</v>
      </c>
      <c r="G54" s="1">
        <v>10364</v>
      </c>
      <c r="H54" s="1">
        <v>0</v>
      </c>
      <c r="J54" s="1">
        <v>16414</v>
      </c>
      <c r="K54" s="1">
        <v>350</v>
      </c>
      <c r="L54" s="1">
        <v>107577</v>
      </c>
      <c r="M54" s="1">
        <v>66373</v>
      </c>
      <c r="N54" s="1">
        <f t="shared" si="4"/>
        <v>41204</v>
      </c>
      <c r="O54" s="1">
        <f>N54*[1]Summary!$B$3</f>
        <v>18040.716817767057</v>
      </c>
    </row>
    <row r="55" spans="1:15" x14ac:dyDescent="0.25">
      <c r="A55" s="3">
        <v>423</v>
      </c>
      <c r="B55" s="2" t="s">
        <v>61</v>
      </c>
      <c r="C55" s="2" t="s">
        <v>58</v>
      </c>
      <c r="D55" s="5" t="s">
        <v>59</v>
      </c>
      <c r="E55" s="5" t="s">
        <v>11</v>
      </c>
      <c r="F55" s="1">
        <v>33874</v>
      </c>
      <c r="G55" s="1">
        <v>10364</v>
      </c>
      <c r="H55" s="1">
        <v>0</v>
      </c>
      <c r="J55" s="1">
        <v>16414</v>
      </c>
      <c r="K55" s="1">
        <v>350</v>
      </c>
      <c r="L55" s="1">
        <v>50638</v>
      </c>
      <c r="M55" s="1">
        <v>19249</v>
      </c>
      <c r="N55" s="1">
        <f t="shared" si="4"/>
        <v>31389</v>
      </c>
      <c r="O55" s="1">
        <f>N55*[1]Summary!$B$3</f>
        <v>13743.327351540875</v>
      </c>
    </row>
    <row r="56" spans="1:15" x14ac:dyDescent="0.25">
      <c r="A56" s="3">
        <v>424</v>
      </c>
      <c r="B56" s="2" t="s">
        <v>62</v>
      </c>
      <c r="C56" s="2" t="s">
        <v>58</v>
      </c>
      <c r="D56" s="5" t="s">
        <v>59</v>
      </c>
      <c r="E56" s="5" t="s">
        <v>11</v>
      </c>
      <c r="F56" s="1">
        <v>29613</v>
      </c>
      <c r="G56" s="1">
        <v>10068</v>
      </c>
      <c r="H56" s="1">
        <v>0</v>
      </c>
      <c r="J56" s="1">
        <v>17070</v>
      </c>
      <c r="K56" s="1">
        <v>350</v>
      </c>
      <c r="L56" s="1">
        <v>47033</v>
      </c>
      <c r="M56" s="1">
        <v>19545</v>
      </c>
      <c r="N56" s="1">
        <f t="shared" si="4"/>
        <v>27488</v>
      </c>
      <c r="O56" s="1">
        <f>N56*[1]Summary!$B$3</f>
        <v>12035.317539238446</v>
      </c>
    </row>
    <row r="57" spans="1:15" x14ac:dyDescent="0.25">
      <c r="A57" s="3">
        <v>775</v>
      </c>
      <c r="B57" s="2" t="s">
        <v>63</v>
      </c>
      <c r="C57" s="2" t="s">
        <v>58</v>
      </c>
      <c r="D57" s="5" t="s">
        <v>59</v>
      </c>
      <c r="E57" s="5" t="s">
        <v>11</v>
      </c>
      <c r="F57" s="1">
        <v>29613</v>
      </c>
      <c r="G57" s="1">
        <v>10068</v>
      </c>
      <c r="H57" s="1">
        <v>950</v>
      </c>
      <c r="I57" s="1">
        <v>950</v>
      </c>
      <c r="J57" s="1">
        <v>17070</v>
      </c>
      <c r="K57" s="1">
        <v>350</v>
      </c>
      <c r="L57" s="1">
        <v>47983</v>
      </c>
      <c r="M57" s="1">
        <v>19545</v>
      </c>
      <c r="N57" s="1">
        <f t="shared" si="4"/>
        <v>28438</v>
      </c>
      <c r="O57" s="1">
        <f>N57*[1]Summary!$B$3</f>
        <v>12451.264558384128</v>
      </c>
    </row>
    <row r="58" spans="1:15" x14ac:dyDescent="0.25">
      <c r="A58" s="3">
        <v>2159</v>
      </c>
      <c r="B58" s="2" t="s">
        <v>64</v>
      </c>
      <c r="C58" s="2" t="s">
        <v>58</v>
      </c>
      <c r="D58" s="5" t="s">
        <v>59</v>
      </c>
      <c r="E58" s="5" t="s">
        <v>11</v>
      </c>
      <c r="F58" s="1">
        <v>30613</v>
      </c>
      <c r="G58" s="1">
        <v>10368</v>
      </c>
      <c r="H58" s="1">
        <v>0</v>
      </c>
      <c r="J58" s="1">
        <v>17070</v>
      </c>
      <c r="K58" s="1">
        <v>350</v>
      </c>
      <c r="L58" s="1">
        <v>48033</v>
      </c>
      <c r="M58" s="1">
        <v>20245</v>
      </c>
      <c r="N58" s="1">
        <f t="shared" si="4"/>
        <v>27788</v>
      </c>
      <c r="O58" s="1">
        <f>N58*[1]Summary!$B$3</f>
        <v>12166.669229494977</v>
      </c>
    </row>
    <row r="59" spans="1:15" x14ac:dyDescent="0.25">
      <c r="A59" s="3">
        <v>2180</v>
      </c>
      <c r="B59" s="2" t="s">
        <v>65</v>
      </c>
      <c r="C59" s="2" t="s">
        <v>58</v>
      </c>
      <c r="D59" s="5" t="s">
        <v>59</v>
      </c>
      <c r="E59" s="5" t="s">
        <v>11</v>
      </c>
      <c r="F59" s="1">
        <v>29613</v>
      </c>
      <c r="G59" s="1">
        <v>10364</v>
      </c>
      <c r="H59" s="1">
        <v>857</v>
      </c>
      <c r="J59" s="1">
        <v>16414</v>
      </c>
      <c r="K59" s="1">
        <v>350</v>
      </c>
      <c r="L59" s="1">
        <v>47234</v>
      </c>
      <c r="M59" s="1">
        <v>19249</v>
      </c>
      <c r="N59" s="1">
        <f t="shared" si="4"/>
        <v>27985</v>
      </c>
      <c r="O59" s="1">
        <f>N59*[1]Summary!$B$3</f>
        <v>12252.923506096766</v>
      </c>
    </row>
    <row r="60" spans="1:15" x14ac:dyDescent="0.25">
      <c r="A60" s="3">
        <v>2364</v>
      </c>
      <c r="B60" s="2" t="s">
        <v>66</v>
      </c>
      <c r="C60" s="2" t="s">
        <v>58</v>
      </c>
      <c r="D60" s="5" t="s">
        <v>59</v>
      </c>
      <c r="E60" s="5" t="s">
        <v>11</v>
      </c>
      <c r="F60" s="1">
        <v>45213</v>
      </c>
      <c r="G60" s="1">
        <v>20988</v>
      </c>
      <c r="H60" s="1">
        <v>0</v>
      </c>
      <c r="J60" s="1">
        <v>17070</v>
      </c>
      <c r="K60" s="1">
        <v>350</v>
      </c>
      <c r="L60" s="1">
        <v>62633</v>
      </c>
      <c r="M60" s="1">
        <v>24225</v>
      </c>
      <c r="N60" s="6" t="s">
        <v>18</v>
      </c>
      <c r="O60" s="6" t="s">
        <v>18</v>
      </c>
    </row>
    <row r="61" spans="1:15" x14ac:dyDescent="0.25">
      <c r="A61" s="3">
        <v>2396</v>
      </c>
      <c r="B61" s="2" t="s">
        <v>67</v>
      </c>
      <c r="C61" s="2" t="s">
        <v>58</v>
      </c>
      <c r="D61" s="5" t="s">
        <v>59</v>
      </c>
      <c r="E61" s="5" t="s">
        <v>11</v>
      </c>
      <c r="F61" s="1">
        <v>29613</v>
      </c>
      <c r="G61" s="1">
        <v>10068</v>
      </c>
      <c r="H61" s="1">
        <v>950</v>
      </c>
      <c r="I61" s="1">
        <v>950</v>
      </c>
      <c r="J61" s="1">
        <v>17070</v>
      </c>
      <c r="K61" s="1">
        <v>350</v>
      </c>
      <c r="L61" s="1">
        <v>47983</v>
      </c>
      <c r="M61" s="1">
        <v>19545</v>
      </c>
      <c r="N61" s="6" t="s">
        <v>18</v>
      </c>
      <c r="O61" s="6" t="s">
        <v>18</v>
      </c>
    </row>
    <row r="62" spans="1:15" x14ac:dyDescent="0.25">
      <c r="A62" s="3">
        <v>2534</v>
      </c>
      <c r="B62" s="2" t="s">
        <v>68</v>
      </c>
      <c r="C62" s="2" t="s">
        <v>58</v>
      </c>
      <c r="D62" s="5" t="s">
        <v>59</v>
      </c>
      <c r="E62" s="5" t="s">
        <v>11</v>
      </c>
      <c r="F62" s="1">
        <v>29613</v>
      </c>
      <c r="G62" s="1">
        <v>10364</v>
      </c>
      <c r="H62" s="1">
        <v>750</v>
      </c>
      <c r="I62" s="1">
        <v>750</v>
      </c>
      <c r="J62" s="1">
        <v>16414</v>
      </c>
      <c r="K62" s="1">
        <v>350</v>
      </c>
      <c r="L62" s="1">
        <v>47127</v>
      </c>
      <c r="M62" s="1">
        <v>19249</v>
      </c>
      <c r="N62" s="1">
        <f>L62-M62</f>
        <v>27878</v>
      </c>
      <c r="O62" s="1">
        <f>N62*[1]Summary!$B$3</f>
        <v>12206.074736571936</v>
      </c>
    </row>
    <row r="63" spans="1:15" x14ac:dyDescent="0.25">
      <c r="A63" s="3">
        <v>2859</v>
      </c>
      <c r="B63" s="2" t="s">
        <v>69</v>
      </c>
      <c r="C63" s="2" t="s">
        <v>58</v>
      </c>
      <c r="D63" s="5" t="s">
        <v>59</v>
      </c>
      <c r="E63" s="5" t="s">
        <v>11</v>
      </c>
      <c r="F63" s="1">
        <v>29613</v>
      </c>
      <c r="G63" s="1">
        <v>10364</v>
      </c>
      <c r="H63" s="1">
        <v>1250</v>
      </c>
      <c r="I63" s="1">
        <v>1250</v>
      </c>
      <c r="J63" s="1">
        <v>16414</v>
      </c>
      <c r="K63" s="1">
        <v>350</v>
      </c>
      <c r="L63" s="1">
        <v>47627</v>
      </c>
      <c r="M63" s="1">
        <v>19249</v>
      </c>
      <c r="N63" s="1">
        <f>L63-M63</f>
        <v>28378</v>
      </c>
      <c r="O63" s="1">
        <f>N63*[1]Summary!$B$3</f>
        <v>12424.994220332821</v>
      </c>
    </row>
    <row r="64" spans="1:15" x14ac:dyDescent="0.25">
      <c r="A64" s="3"/>
      <c r="N64" s="9">
        <f>SUM(N53:N63)</f>
        <v>268934</v>
      </c>
      <c r="O64" s="9">
        <f>SUM(O53:O63)</f>
        <v>117749.78489149999</v>
      </c>
    </row>
    <row r="65" spans="1:15" x14ac:dyDescent="0.25">
      <c r="A65" s="3"/>
    </row>
    <row r="66" spans="1:15" x14ac:dyDescent="0.25">
      <c r="A66" s="3"/>
    </row>
    <row r="67" spans="1:15" x14ac:dyDescent="0.25">
      <c r="A67" s="3">
        <v>129</v>
      </c>
      <c r="B67" s="2" t="s">
        <v>70</v>
      </c>
      <c r="C67" s="2" t="s">
        <v>71</v>
      </c>
      <c r="D67" s="5" t="s">
        <v>72</v>
      </c>
      <c r="E67" s="5" t="s">
        <v>40</v>
      </c>
      <c r="F67" s="1">
        <v>31671.58</v>
      </c>
      <c r="G67" s="1">
        <v>9218.24</v>
      </c>
      <c r="H67" s="1">
        <v>0</v>
      </c>
      <c r="J67" s="1">
        <v>8375.0400000000009</v>
      </c>
      <c r="L67" s="1">
        <v>40046.620000000003</v>
      </c>
      <c r="M67" s="1">
        <v>22453.34</v>
      </c>
      <c r="N67" s="1">
        <f t="shared" ref="N67:N74" si="5">L67-M67</f>
        <v>17593.280000000002</v>
      </c>
      <c r="O67" s="1">
        <f>N67*[1]Summary!$B$3</f>
        <v>7703.0235505214268</v>
      </c>
    </row>
    <row r="68" spans="1:15" x14ac:dyDescent="0.25">
      <c r="A68" s="3">
        <v>378</v>
      </c>
      <c r="B68" s="2" t="s">
        <v>73</v>
      </c>
      <c r="C68" s="2" t="s">
        <v>71</v>
      </c>
      <c r="D68" s="5" t="s">
        <v>72</v>
      </c>
      <c r="E68" s="5" t="s">
        <v>40</v>
      </c>
      <c r="F68" s="1">
        <v>28323.58</v>
      </c>
      <c r="G68" s="1">
        <v>8213.84</v>
      </c>
      <c r="H68" s="1">
        <v>0</v>
      </c>
      <c r="J68" s="1">
        <v>8375.0400000000009</v>
      </c>
      <c r="L68" s="1">
        <v>36698.620000000003</v>
      </c>
      <c r="M68" s="1">
        <v>20109.740000000002</v>
      </c>
      <c r="N68" s="1">
        <f t="shared" si="5"/>
        <v>16588.88</v>
      </c>
      <c r="O68" s="1">
        <f>N68*[1]Summary!$B$3</f>
        <v>7263.2580915425597</v>
      </c>
    </row>
    <row r="69" spans="1:15" x14ac:dyDescent="0.25">
      <c r="A69" s="3">
        <v>777</v>
      </c>
      <c r="B69" s="2" t="s">
        <v>74</v>
      </c>
      <c r="C69" s="2" t="s">
        <v>71</v>
      </c>
      <c r="D69" s="5" t="s">
        <v>72</v>
      </c>
      <c r="E69" s="5" t="s">
        <v>40</v>
      </c>
      <c r="F69" s="1">
        <v>28323.58</v>
      </c>
      <c r="G69" s="1">
        <v>8213.84</v>
      </c>
      <c r="H69" s="1">
        <v>0</v>
      </c>
      <c r="J69" s="1">
        <v>8375.0400000000009</v>
      </c>
      <c r="L69" s="1">
        <v>36698.620000000003</v>
      </c>
      <c r="M69" s="1">
        <v>20109.740000000002</v>
      </c>
      <c r="N69" s="1">
        <f t="shared" si="5"/>
        <v>16588.88</v>
      </c>
      <c r="O69" s="1">
        <f>N69*[1]Summary!$B$3</f>
        <v>7263.2580915425597</v>
      </c>
    </row>
    <row r="70" spans="1:15" x14ac:dyDescent="0.25">
      <c r="A70" s="3">
        <v>2167</v>
      </c>
      <c r="B70" s="2" t="s">
        <v>75</v>
      </c>
      <c r="C70" s="2" t="s">
        <v>71</v>
      </c>
      <c r="D70" s="5" t="s">
        <v>72</v>
      </c>
      <c r="E70" s="5" t="s">
        <v>40</v>
      </c>
      <c r="F70" s="1">
        <v>28323.58</v>
      </c>
      <c r="G70" s="1">
        <v>8213.84</v>
      </c>
      <c r="H70" s="1">
        <v>0</v>
      </c>
      <c r="J70" s="1">
        <v>8375.0400000000009</v>
      </c>
      <c r="L70" s="1">
        <v>36698.620000000003</v>
      </c>
      <c r="M70" s="1">
        <v>20109.740000000002</v>
      </c>
      <c r="N70" s="1">
        <f t="shared" si="5"/>
        <v>16588.88</v>
      </c>
      <c r="O70" s="1">
        <f>N70*[1]Summary!$B$3</f>
        <v>7263.2580915425597</v>
      </c>
    </row>
    <row r="71" spans="1:15" x14ac:dyDescent="0.25">
      <c r="A71" s="3">
        <v>2190</v>
      </c>
      <c r="B71" s="2" t="s">
        <v>76</v>
      </c>
      <c r="C71" s="2" t="s">
        <v>71</v>
      </c>
      <c r="D71" s="5" t="s">
        <v>72</v>
      </c>
      <c r="E71" s="5" t="s">
        <v>40</v>
      </c>
      <c r="F71" s="1">
        <v>28323.58</v>
      </c>
      <c r="G71" s="1">
        <v>8213.84</v>
      </c>
      <c r="H71" s="1">
        <v>0</v>
      </c>
      <c r="J71" s="1">
        <v>8375.0400000000009</v>
      </c>
      <c r="L71" s="1">
        <v>36698.620000000003</v>
      </c>
      <c r="M71" s="1">
        <v>20109.740000000002</v>
      </c>
      <c r="N71" s="1">
        <f t="shared" si="5"/>
        <v>16588.88</v>
      </c>
      <c r="O71" s="1">
        <f>N71*[1]Summary!$B$3</f>
        <v>7263.2580915425597</v>
      </c>
    </row>
    <row r="72" spans="1:15" x14ac:dyDescent="0.25">
      <c r="A72" s="3">
        <v>2853</v>
      </c>
      <c r="B72" s="2" t="s">
        <v>77</v>
      </c>
      <c r="C72" s="2" t="s">
        <v>71</v>
      </c>
      <c r="D72" s="5" t="s">
        <v>72</v>
      </c>
      <c r="E72" s="5" t="s">
        <v>40</v>
      </c>
      <c r="F72" s="1">
        <v>30075.58</v>
      </c>
      <c r="G72" s="1">
        <v>8704.4</v>
      </c>
      <c r="H72" s="1">
        <v>0</v>
      </c>
      <c r="J72" s="1">
        <v>8375.0400000000009</v>
      </c>
      <c r="L72" s="1">
        <v>38450.620000000003</v>
      </c>
      <c r="M72" s="1">
        <v>21371.18</v>
      </c>
      <c r="N72" s="1">
        <f t="shared" si="5"/>
        <v>17079.440000000002</v>
      </c>
      <c r="O72" s="1">
        <f>N72*[1]Summary!$B$3</f>
        <v>7478.0443754500402</v>
      </c>
    </row>
    <row r="73" spans="1:15" x14ac:dyDescent="0.25">
      <c r="A73" s="3">
        <v>2890</v>
      </c>
      <c r="B73" s="2" t="s">
        <v>78</v>
      </c>
      <c r="C73" s="2" t="s">
        <v>71</v>
      </c>
      <c r="D73" s="5" t="s">
        <v>72</v>
      </c>
      <c r="E73" s="5" t="s">
        <v>40</v>
      </c>
      <c r="F73" s="1">
        <v>21414.2</v>
      </c>
      <c r="G73" s="1">
        <v>6424.26</v>
      </c>
      <c r="H73" s="1">
        <v>0</v>
      </c>
      <c r="J73" s="1">
        <v>8375.0400000000009</v>
      </c>
      <c r="L73" s="1">
        <v>29789.24</v>
      </c>
      <c r="M73" s="1">
        <v>14989.94</v>
      </c>
      <c r="N73" s="1">
        <f t="shared" si="5"/>
        <v>14799.300000000001</v>
      </c>
      <c r="O73" s="1">
        <f>N73*[1]Summary!$B$3</f>
        <v>6479.7102320449485</v>
      </c>
    </row>
    <row r="74" spans="1:15" x14ac:dyDescent="0.25">
      <c r="A74" s="3">
        <v>2903</v>
      </c>
      <c r="B74" s="2" t="s">
        <v>79</v>
      </c>
      <c r="C74" s="2" t="s">
        <v>71</v>
      </c>
      <c r="D74" s="5" t="s">
        <v>72</v>
      </c>
      <c r="E74" s="5" t="s">
        <v>40</v>
      </c>
      <c r="F74" s="1">
        <v>28848.58</v>
      </c>
      <c r="G74" s="1">
        <v>8345.09</v>
      </c>
      <c r="H74" s="1">
        <v>0</v>
      </c>
      <c r="J74" s="1">
        <v>8375.0400000000009</v>
      </c>
      <c r="L74" s="1">
        <v>37223.620000000003</v>
      </c>
      <c r="M74" s="1">
        <v>20503.490000000002</v>
      </c>
      <c r="N74" s="1">
        <f t="shared" si="5"/>
        <v>16720.13</v>
      </c>
      <c r="O74" s="1">
        <f>N74*[1]Summary!$B$3</f>
        <v>7320.7244560297922</v>
      </c>
    </row>
    <row r="75" spans="1:15" x14ac:dyDescent="0.25">
      <c r="A75" s="3"/>
      <c r="N75" s="9">
        <f>SUM(N67:N74)</f>
        <v>132547.67000000001</v>
      </c>
      <c r="O75" s="9">
        <f>SUM(O67:O74)</f>
        <v>58034.534980216442</v>
      </c>
    </row>
    <row r="76" spans="1:15" x14ac:dyDescent="0.25">
      <c r="A76" s="3"/>
    </row>
    <row r="77" spans="1:15" x14ac:dyDescent="0.25">
      <c r="A77" s="3"/>
    </row>
    <row r="78" spans="1:15" x14ac:dyDescent="0.25">
      <c r="A78" s="2">
        <v>23</v>
      </c>
      <c r="B78" s="1" t="s">
        <v>80</v>
      </c>
      <c r="C78" s="2" t="s">
        <v>81</v>
      </c>
      <c r="D78" s="5">
        <v>869</v>
      </c>
      <c r="E78" s="10">
        <v>82</v>
      </c>
      <c r="F78" s="1">
        <v>56068.089700911754</v>
      </c>
      <c r="G78" s="1">
        <v>14257.172724316188</v>
      </c>
      <c r="J78" s="1">
        <v>600</v>
      </c>
      <c r="K78" s="2"/>
      <c r="L78" s="1">
        <v>56668.089700911754</v>
      </c>
      <c r="M78" s="1">
        <v>41810.916976595567</v>
      </c>
      <c r="N78" s="1">
        <f t="shared" ref="N78:N97" si="6">L78-M78</f>
        <v>14857.172724316188</v>
      </c>
      <c r="O78" s="1">
        <f>N78*[1]Summary!$B$3</f>
        <v>6505.0491659072195</v>
      </c>
    </row>
    <row r="79" spans="1:15" x14ac:dyDescent="0.25">
      <c r="A79" s="2">
        <v>25</v>
      </c>
      <c r="B79" s="1" t="s">
        <v>82</v>
      </c>
      <c r="C79" s="2" t="s">
        <v>81</v>
      </c>
      <c r="D79" s="5">
        <v>869</v>
      </c>
      <c r="E79" s="10">
        <v>82</v>
      </c>
      <c r="F79" s="1">
        <v>16027.550948916458</v>
      </c>
      <c r="G79" s="1">
        <v>1671.4041459751861</v>
      </c>
      <c r="J79" s="1">
        <v>600</v>
      </c>
      <c r="K79" s="2"/>
      <c r="L79" s="1">
        <v>16627.550948916458</v>
      </c>
      <c r="M79" s="1">
        <v>14356.146802941272</v>
      </c>
      <c r="N79" s="1">
        <f t="shared" si="6"/>
        <v>2271.4041459751861</v>
      </c>
      <c r="O79" s="1">
        <f>N79*[1]Summary!$B$3</f>
        <v>994.50924609844583</v>
      </c>
    </row>
    <row r="80" spans="1:15" x14ac:dyDescent="0.25">
      <c r="A80" s="2">
        <v>32</v>
      </c>
      <c r="B80" s="1" t="s">
        <v>83</v>
      </c>
      <c r="C80" s="2" t="s">
        <v>81</v>
      </c>
      <c r="D80" s="5">
        <v>869</v>
      </c>
      <c r="E80" s="10">
        <v>82</v>
      </c>
      <c r="F80" s="1">
        <v>50515.751422481306</v>
      </c>
      <c r="G80" s="1">
        <v>10319.518862014949</v>
      </c>
      <c r="J80" s="1">
        <v>1200</v>
      </c>
      <c r="K80" s="2"/>
      <c r="L80" s="1">
        <v>51715.751422481306</v>
      </c>
      <c r="M80" s="1">
        <v>40196.232560466357</v>
      </c>
      <c r="N80" s="1">
        <f t="shared" si="6"/>
        <v>11519.518862014949</v>
      </c>
      <c r="O80" s="1">
        <f>N80*[1]Summary!$B$3</f>
        <v>5043.6942448921936</v>
      </c>
    </row>
    <row r="81" spans="1:15" x14ac:dyDescent="0.25">
      <c r="A81" s="2">
        <v>36</v>
      </c>
      <c r="B81" s="1" t="s">
        <v>84</v>
      </c>
      <c r="C81" s="2" t="s">
        <v>81</v>
      </c>
      <c r="D81" s="5">
        <v>869</v>
      </c>
      <c r="E81" s="10">
        <v>82</v>
      </c>
      <c r="F81" s="1">
        <v>33227.499040302537</v>
      </c>
      <c r="G81" s="1">
        <v>3462.4508637277145</v>
      </c>
      <c r="J81" s="1">
        <v>1200</v>
      </c>
      <c r="K81" s="2"/>
      <c r="L81" s="1">
        <v>34427.499040302537</v>
      </c>
      <c r="M81" s="1">
        <v>29765.048176574823</v>
      </c>
      <c r="N81" s="1">
        <f t="shared" si="6"/>
        <v>4662.450863727714</v>
      </c>
      <c r="O81" s="1">
        <f>N81*[1]Summary!$B$3</f>
        <v>2041.4026722955325</v>
      </c>
    </row>
    <row r="82" spans="1:15" x14ac:dyDescent="0.25">
      <c r="A82" s="2">
        <v>38</v>
      </c>
      <c r="B82" s="1" t="s">
        <v>85</v>
      </c>
      <c r="C82" s="2" t="s">
        <v>81</v>
      </c>
      <c r="D82" s="5">
        <v>869</v>
      </c>
      <c r="E82" s="10">
        <v>82</v>
      </c>
      <c r="F82" s="1">
        <v>94238.18949991386</v>
      </c>
      <c r="G82" s="1">
        <v>10374.897450077518</v>
      </c>
      <c r="J82" s="1">
        <v>600</v>
      </c>
      <c r="K82" s="2"/>
      <c r="L82" s="1">
        <v>94838.18949991386</v>
      </c>
      <c r="M82" s="1">
        <v>83863.292049836338</v>
      </c>
      <c r="N82" s="1">
        <f t="shared" si="6"/>
        <v>10974.897450077522</v>
      </c>
      <c r="O82" s="1">
        <f>N82*[1]Summary!$B$3</f>
        <v>4805.2377681992612</v>
      </c>
    </row>
    <row r="83" spans="1:15" x14ac:dyDescent="0.25">
      <c r="A83" s="2">
        <v>113</v>
      </c>
      <c r="B83" s="1" t="s">
        <v>86</v>
      </c>
      <c r="C83" s="2" t="s">
        <v>81</v>
      </c>
      <c r="D83" s="5">
        <v>869</v>
      </c>
      <c r="E83" s="10">
        <v>82</v>
      </c>
      <c r="F83" s="1">
        <v>45690.78766056247</v>
      </c>
      <c r="G83" s="1">
        <v>11161.491377972518</v>
      </c>
      <c r="J83" s="1">
        <v>1200</v>
      </c>
      <c r="K83" s="2"/>
      <c r="L83" s="1">
        <v>46890.78766056247</v>
      </c>
      <c r="M83" s="1">
        <v>34529.296282589952</v>
      </c>
      <c r="N83" s="1">
        <f t="shared" si="6"/>
        <v>12361.491377972518</v>
      </c>
      <c r="O83" s="1">
        <f>N83*[1]Summary!$B$3</f>
        <v>5412.3426219607636</v>
      </c>
    </row>
    <row r="84" spans="1:15" x14ac:dyDescent="0.25">
      <c r="A84" s="2">
        <v>146</v>
      </c>
      <c r="B84" s="1" t="s">
        <v>87</v>
      </c>
      <c r="C84" s="2" t="s">
        <v>81</v>
      </c>
      <c r="D84" s="5">
        <v>869</v>
      </c>
      <c r="E84" s="10">
        <v>82</v>
      </c>
      <c r="F84" s="1">
        <v>31125.832137077196</v>
      </c>
      <c r="G84" s="1">
        <v>15696.233931461404</v>
      </c>
      <c r="J84" s="1">
        <v>600</v>
      </c>
      <c r="K84" s="2"/>
      <c r="L84" s="1">
        <v>31725.832137077196</v>
      </c>
      <c r="M84" s="1">
        <v>15429.598205615792</v>
      </c>
      <c r="N84" s="1">
        <f t="shared" si="6"/>
        <v>16296.233931461404</v>
      </c>
      <c r="O84" s="1">
        <f>N84*[1]Summary!$B$3</f>
        <v>7135.1262390443144</v>
      </c>
    </row>
    <row r="85" spans="1:15" x14ac:dyDescent="0.25">
      <c r="A85" s="2">
        <v>150</v>
      </c>
      <c r="B85" s="1" t="s">
        <v>88</v>
      </c>
      <c r="C85" s="2" t="s">
        <v>81</v>
      </c>
      <c r="D85" s="5">
        <v>869</v>
      </c>
      <c r="E85" s="10">
        <v>82</v>
      </c>
      <c r="F85" s="1">
        <v>39579.513411272121</v>
      </c>
      <c r="G85" s="1">
        <v>22334.054099040266</v>
      </c>
      <c r="J85" s="1">
        <v>600</v>
      </c>
      <c r="K85" s="2"/>
      <c r="L85" s="1">
        <v>40179.513411272121</v>
      </c>
      <c r="M85" s="1">
        <v>17245.459312231855</v>
      </c>
      <c r="N85" s="1">
        <f t="shared" si="6"/>
        <v>22934.054099040266</v>
      </c>
      <c r="O85" s="1">
        <f>N85*[1]Summary!$B$3</f>
        <v>10041.422567812233</v>
      </c>
    </row>
    <row r="86" spans="1:15" x14ac:dyDescent="0.25">
      <c r="A86" s="2">
        <v>152</v>
      </c>
      <c r="B86" s="1" t="s">
        <v>89</v>
      </c>
      <c r="C86" s="2" t="s">
        <v>81</v>
      </c>
      <c r="D86" s="5">
        <v>869</v>
      </c>
      <c r="E86" s="10">
        <v>82</v>
      </c>
      <c r="F86" s="1">
        <v>51338.618615029001</v>
      </c>
      <c r="G86" s="1">
        <v>20583.9448309826</v>
      </c>
      <c r="J86" s="1">
        <v>1200</v>
      </c>
      <c r="K86" s="2"/>
      <c r="L86" s="1">
        <v>52538.618615029001</v>
      </c>
      <c r="M86" s="1">
        <v>30754.673784046401</v>
      </c>
      <c r="N86" s="1">
        <f t="shared" si="6"/>
        <v>21783.9448309826</v>
      </c>
      <c r="O86" s="1">
        <f>N86*[1]Summary!$B$3</f>
        <v>9537.8599133486459</v>
      </c>
    </row>
    <row r="87" spans="1:15" x14ac:dyDescent="0.25">
      <c r="A87" s="2">
        <v>162</v>
      </c>
      <c r="B87" s="1" t="s">
        <v>90</v>
      </c>
      <c r="C87" s="2" t="s">
        <v>81</v>
      </c>
      <c r="D87" s="5">
        <v>869</v>
      </c>
      <c r="E87" s="10">
        <v>82</v>
      </c>
      <c r="F87" s="1">
        <v>39554.779351955563</v>
      </c>
      <c r="G87" s="1">
        <v>9662.5676925137668</v>
      </c>
      <c r="J87" s="1">
        <v>1200</v>
      </c>
      <c r="K87" s="2"/>
      <c r="L87" s="1">
        <v>40754.779351955563</v>
      </c>
      <c r="M87" s="1">
        <v>29892.211659441797</v>
      </c>
      <c r="N87" s="1">
        <f t="shared" si="6"/>
        <v>10862.567692513767</v>
      </c>
      <c r="O87" s="1">
        <f>N87*[1]Summary!$B$3</f>
        <v>4756.0554231255755</v>
      </c>
    </row>
    <row r="88" spans="1:15" x14ac:dyDescent="0.25">
      <c r="A88" s="2">
        <v>261</v>
      </c>
      <c r="B88" s="1" t="s">
        <v>91</v>
      </c>
      <c r="C88" s="2" t="s">
        <v>81</v>
      </c>
      <c r="D88" s="5">
        <v>869</v>
      </c>
      <c r="E88" s="10">
        <v>82</v>
      </c>
      <c r="F88" s="1">
        <v>22615.991404530676</v>
      </c>
      <c r="G88" s="1">
        <v>8012.4655870550578</v>
      </c>
      <c r="J88" s="1">
        <v>1200</v>
      </c>
      <c r="K88" s="2"/>
      <c r="L88" s="1">
        <v>23815.991404530676</v>
      </c>
      <c r="M88" s="1">
        <v>14603.525817475618</v>
      </c>
      <c r="N88" s="1">
        <f t="shared" si="6"/>
        <v>9212.4655870550578</v>
      </c>
      <c r="O88" s="1">
        <f>N88*[1]Summary!$B$3</f>
        <v>4033.5764209660338</v>
      </c>
    </row>
    <row r="89" spans="1:15" x14ac:dyDescent="0.25">
      <c r="A89" s="2">
        <v>264</v>
      </c>
      <c r="B89" s="1" t="s">
        <v>92</v>
      </c>
      <c r="C89" s="2" t="s">
        <v>81</v>
      </c>
      <c r="D89" s="5">
        <v>869</v>
      </c>
      <c r="E89" s="10">
        <v>82</v>
      </c>
      <c r="F89" s="1">
        <v>27912.88380626755</v>
      </c>
      <c r="G89" s="1">
        <v>8493.4213356127184</v>
      </c>
      <c r="J89" s="1">
        <v>1200</v>
      </c>
      <c r="K89" s="2"/>
      <c r="L89" s="1">
        <v>29112.88380626755</v>
      </c>
      <c r="M89" s="1">
        <v>19419.462470654831</v>
      </c>
      <c r="N89" s="1">
        <f t="shared" si="6"/>
        <v>9693.4213356127184</v>
      </c>
      <c r="O89" s="1">
        <f>N89*[1]Summary!$B$3</f>
        <v>4244.1575893381805</v>
      </c>
    </row>
    <row r="90" spans="1:15" x14ac:dyDescent="0.25">
      <c r="A90" s="2">
        <v>308</v>
      </c>
      <c r="B90" s="1" t="s">
        <v>93</v>
      </c>
      <c r="C90" s="2" t="s">
        <v>81</v>
      </c>
      <c r="D90" s="5">
        <v>869</v>
      </c>
      <c r="E90" s="10">
        <v>82</v>
      </c>
      <c r="F90" s="1">
        <v>32589.453169637851</v>
      </c>
      <c r="G90" s="1">
        <v>6657.4774642897173</v>
      </c>
      <c r="J90" s="1">
        <v>600</v>
      </c>
      <c r="K90" s="2"/>
      <c r="L90" s="1">
        <v>33189.453169637854</v>
      </c>
      <c r="M90" s="1">
        <v>25931.975705348133</v>
      </c>
      <c r="N90" s="1">
        <f t="shared" si="6"/>
        <v>7257.477464289721</v>
      </c>
      <c r="O90" s="1">
        <f>N90*[1]Summary!$B$3</f>
        <v>3177.6064397771333</v>
      </c>
    </row>
    <row r="91" spans="1:15" x14ac:dyDescent="0.25">
      <c r="A91" s="2">
        <v>309</v>
      </c>
      <c r="B91" s="1" t="s">
        <v>94</v>
      </c>
      <c r="C91" s="2" t="s">
        <v>81</v>
      </c>
      <c r="D91" s="5">
        <v>869</v>
      </c>
      <c r="E91" s="10">
        <v>82</v>
      </c>
      <c r="F91" s="1">
        <v>19344</v>
      </c>
      <c r="G91" s="1">
        <v>4449.12</v>
      </c>
      <c r="J91" s="1">
        <v>600</v>
      </c>
      <c r="K91" s="2"/>
      <c r="L91" s="1">
        <v>19944</v>
      </c>
      <c r="M91" s="1">
        <v>14894.880000000001</v>
      </c>
      <c r="N91" s="1">
        <f t="shared" si="6"/>
        <v>5049.119999999999</v>
      </c>
      <c r="O91" s="1">
        <f>N91*[1]Summary!$B$3</f>
        <v>2210.7014876935245</v>
      </c>
    </row>
    <row r="92" spans="1:15" x14ac:dyDescent="0.25">
      <c r="A92" s="2">
        <v>356</v>
      </c>
      <c r="B92" s="1" t="s">
        <v>95</v>
      </c>
      <c r="C92" s="2" t="s">
        <v>81</v>
      </c>
      <c r="D92" s="5">
        <v>869</v>
      </c>
      <c r="E92" s="10">
        <v>82</v>
      </c>
      <c r="F92" s="1">
        <v>67149.944009804211</v>
      </c>
      <c r="G92" s="1">
        <v>17075.101992646843</v>
      </c>
      <c r="J92" s="1">
        <v>1200</v>
      </c>
      <c r="K92" s="2"/>
      <c r="L92" s="1">
        <v>68349.944009804211</v>
      </c>
      <c r="M92" s="1">
        <v>50074.842017157367</v>
      </c>
      <c r="N92" s="1">
        <f t="shared" si="6"/>
        <v>18275.101992646843</v>
      </c>
      <c r="O92" s="1">
        <f>N92*[1]Summary!$B$3</f>
        <v>8001.5517878155561</v>
      </c>
    </row>
    <row r="93" spans="1:15" x14ac:dyDescent="0.25">
      <c r="A93" s="2">
        <v>363</v>
      </c>
      <c r="B93" s="1" t="s">
        <v>96</v>
      </c>
      <c r="C93" s="2" t="s">
        <v>81</v>
      </c>
      <c r="D93" s="5">
        <v>869</v>
      </c>
      <c r="E93" s="10">
        <v>82</v>
      </c>
      <c r="F93" s="1">
        <v>86631.879173688314</v>
      </c>
      <c r="G93" s="1">
        <v>17697.436661049345</v>
      </c>
      <c r="J93" s="1">
        <v>1200</v>
      </c>
      <c r="K93" s="2"/>
      <c r="L93" s="1">
        <v>87831.879173688314</v>
      </c>
      <c r="M93" s="1">
        <v>68934.442512638969</v>
      </c>
      <c r="N93" s="1">
        <f t="shared" si="6"/>
        <v>18897.436661049345</v>
      </c>
      <c r="O93" s="1">
        <f>N93*[1]Summary!$B$3</f>
        <v>8274.0341564819119</v>
      </c>
    </row>
    <row r="94" spans="1:15" x14ac:dyDescent="0.25">
      <c r="A94" s="2">
        <v>390</v>
      </c>
      <c r="B94" s="1" t="s">
        <v>97</v>
      </c>
      <c r="C94" s="2" t="s">
        <v>81</v>
      </c>
      <c r="D94" s="5">
        <v>869</v>
      </c>
      <c r="E94" s="10">
        <v>82</v>
      </c>
      <c r="F94" s="1">
        <v>51945.846054994123</v>
      </c>
      <c r="G94" s="1">
        <v>13208.955458754404</v>
      </c>
      <c r="J94" s="1">
        <v>1200</v>
      </c>
      <c r="K94" s="2"/>
      <c r="L94" s="1">
        <v>53145.846054994123</v>
      </c>
      <c r="M94" s="1">
        <v>38736.890596239718</v>
      </c>
      <c r="N94" s="1">
        <f t="shared" si="6"/>
        <v>14408.955458754404</v>
      </c>
      <c r="O94" s="1">
        <f>N94*[1]Summary!$B$3</f>
        <v>6308.8021811282169</v>
      </c>
    </row>
    <row r="95" spans="1:15" x14ac:dyDescent="0.25">
      <c r="A95" s="2">
        <v>432</v>
      </c>
      <c r="B95" s="1" t="s">
        <v>98</v>
      </c>
      <c r="C95" s="2" t="s">
        <v>81</v>
      </c>
      <c r="D95" s="5">
        <v>869</v>
      </c>
      <c r="E95" s="10">
        <v>82</v>
      </c>
      <c r="F95" s="1">
        <v>40649.888789811601</v>
      </c>
      <c r="G95" s="1">
        <v>6271.5945286601418</v>
      </c>
      <c r="J95" s="1">
        <v>1200</v>
      </c>
      <c r="K95" s="2"/>
      <c r="L95" s="1">
        <v>41849.888789811601</v>
      </c>
      <c r="M95" s="1">
        <v>34378.294261151459</v>
      </c>
      <c r="N95" s="1">
        <f t="shared" si="6"/>
        <v>7471.5945286601418</v>
      </c>
      <c r="O95" s="1">
        <f>N95*[1]Summary!$B$3</f>
        <v>3271.355234169871</v>
      </c>
    </row>
    <row r="96" spans="1:15" x14ac:dyDescent="0.25">
      <c r="A96" s="2">
        <v>435</v>
      </c>
      <c r="B96" s="1" t="s">
        <v>99</v>
      </c>
      <c r="C96" s="2" t="s">
        <v>81</v>
      </c>
      <c r="D96" s="5">
        <v>869</v>
      </c>
      <c r="E96" s="10">
        <v>82</v>
      </c>
      <c r="F96" s="1">
        <v>35025.619875664561</v>
      </c>
      <c r="G96" s="1">
        <v>6770.201900711706</v>
      </c>
      <c r="J96" s="1">
        <v>1200</v>
      </c>
      <c r="K96" s="2"/>
      <c r="L96" s="1">
        <v>36225.619875664561</v>
      </c>
      <c r="M96" s="1">
        <v>28255.417974952856</v>
      </c>
      <c r="N96" s="1">
        <f t="shared" si="6"/>
        <v>7970.2019007117051</v>
      </c>
      <c r="O96" s="1">
        <f>N96*[1]Summary!$B$3</f>
        <v>3489.6649711476707</v>
      </c>
    </row>
    <row r="97" spans="1:15" x14ac:dyDescent="0.25">
      <c r="A97" s="2">
        <v>441</v>
      </c>
      <c r="B97" s="1" t="s">
        <v>100</v>
      </c>
      <c r="C97" s="2" t="s">
        <v>81</v>
      </c>
      <c r="D97" s="5">
        <v>869</v>
      </c>
      <c r="E97" s="10">
        <v>82</v>
      </c>
      <c r="F97" s="1">
        <v>81299.488197702187</v>
      </c>
      <c r="G97" s="1">
        <v>22297.545615677409</v>
      </c>
      <c r="J97" s="1">
        <v>1200</v>
      </c>
      <c r="K97" s="2"/>
      <c r="L97" s="1">
        <v>82499.488197702187</v>
      </c>
      <c r="M97" s="1">
        <v>59001.942582024778</v>
      </c>
      <c r="N97" s="1">
        <f t="shared" si="6"/>
        <v>23497.545615677409</v>
      </c>
      <c r="O97" s="1">
        <f>N97*[1]Summary!$B$3</f>
        <v>10288.141111663917</v>
      </c>
    </row>
    <row r="98" spans="1:15" x14ac:dyDescent="0.25">
      <c r="A98" s="2">
        <v>447</v>
      </c>
      <c r="B98" s="1" t="s">
        <v>101</v>
      </c>
      <c r="C98" s="2" t="s">
        <v>81</v>
      </c>
      <c r="D98" s="5">
        <v>869</v>
      </c>
      <c r="E98" s="10">
        <v>82</v>
      </c>
      <c r="F98" s="1">
        <v>33466.994493135324</v>
      </c>
      <c r="G98" s="1">
        <v>6836.744405491736</v>
      </c>
      <c r="J98" s="1">
        <v>1200</v>
      </c>
      <c r="K98" s="2"/>
      <c r="L98" s="1">
        <v>34666.994493135324</v>
      </c>
      <c r="M98" s="1">
        <v>26630.250087643588</v>
      </c>
      <c r="N98" s="6" t="s">
        <v>18</v>
      </c>
      <c r="O98" s="6" t="s">
        <v>18</v>
      </c>
    </row>
    <row r="99" spans="1:15" x14ac:dyDescent="0.25">
      <c r="A99" s="2">
        <v>542</v>
      </c>
      <c r="B99" s="1" t="s">
        <v>102</v>
      </c>
      <c r="C99" s="2" t="s">
        <v>81</v>
      </c>
      <c r="D99" s="5">
        <v>869</v>
      </c>
      <c r="E99" s="10">
        <v>82</v>
      </c>
      <c r="F99" s="1">
        <v>25487.55196413743</v>
      </c>
      <c r="G99" s="1">
        <v>7755.4336251038003</v>
      </c>
      <c r="J99" s="1">
        <v>1200</v>
      </c>
      <c r="K99" s="2"/>
      <c r="L99" s="1">
        <v>26687.55196413743</v>
      </c>
      <c r="M99" s="1">
        <v>17732.11833903363</v>
      </c>
      <c r="N99" s="1">
        <f t="shared" ref="N99:N140" si="7">L99-M99</f>
        <v>8955.4336251038003</v>
      </c>
      <c r="O99" s="1">
        <f>N99*[1]Summary!$B$3</f>
        <v>3921.0378121252002</v>
      </c>
    </row>
    <row r="100" spans="1:15" x14ac:dyDescent="0.25">
      <c r="A100" s="2">
        <v>544</v>
      </c>
      <c r="B100" s="1" t="s">
        <v>103</v>
      </c>
      <c r="C100" s="2" t="s">
        <v>81</v>
      </c>
      <c r="D100" s="5">
        <v>869</v>
      </c>
      <c r="E100" s="10">
        <v>82</v>
      </c>
      <c r="F100" s="1">
        <v>88334.368841057061</v>
      </c>
      <c r="G100" s="1">
        <v>31982.809141723475</v>
      </c>
      <c r="J100" s="1">
        <v>600</v>
      </c>
      <c r="K100" s="2"/>
      <c r="L100" s="1">
        <v>88934.368841057061</v>
      </c>
      <c r="M100" s="1">
        <v>56351.559699333586</v>
      </c>
      <c r="N100" s="1">
        <f t="shared" si="7"/>
        <v>32582.809141723475</v>
      </c>
      <c r="O100" s="1">
        <f>N100*[1]Summary!$B$3</f>
        <v>14266.023513571134</v>
      </c>
    </row>
    <row r="101" spans="1:15" x14ac:dyDescent="0.25">
      <c r="A101" s="2">
        <v>548</v>
      </c>
      <c r="B101" s="1" t="s">
        <v>104</v>
      </c>
      <c r="C101" s="2" t="s">
        <v>81</v>
      </c>
      <c r="D101" s="5">
        <v>869</v>
      </c>
      <c r="E101" s="10">
        <v>82</v>
      </c>
      <c r="F101" s="1">
        <v>55820.012263789133</v>
      </c>
      <c r="G101" s="1">
        <v>14194.090802158149</v>
      </c>
      <c r="J101" s="1">
        <v>1200</v>
      </c>
      <c r="K101" s="2"/>
      <c r="L101" s="1">
        <v>57020.012263789133</v>
      </c>
      <c r="M101" s="1">
        <v>41625.921461630984</v>
      </c>
      <c r="N101" s="1">
        <f t="shared" si="7"/>
        <v>15394.090802158149</v>
      </c>
      <c r="O101" s="1">
        <f>N101*[1]Summary!$B$3</f>
        <v>6740.1328227533177</v>
      </c>
    </row>
    <row r="102" spans="1:15" x14ac:dyDescent="0.25">
      <c r="A102" s="2">
        <v>549</v>
      </c>
      <c r="B102" s="1" t="s">
        <v>105</v>
      </c>
      <c r="C102" s="2" t="s">
        <v>81</v>
      </c>
      <c r="D102" s="5">
        <v>869</v>
      </c>
      <c r="E102" s="10">
        <v>82</v>
      </c>
      <c r="F102" s="1">
        <v>47623.698634986693</v>
      </c>
      <c r="G102" s="1">
        <v>13062.379996459713</v>
      </c>
      <c r="J102" s="1">
        <v>1200</v>
      </c>
      <c r="K102" s="2"/>
      <c r="L102" s="1">
        <v>48823.698634986693</v>
      </c>
      <c r="M102" s="1">
        <v>34561.31863852698</v>
      </c>
      <c r="N102" s="1">
        <f t="shared" si="7"/>
        <v>14262.379996459713</v>
      </c>
      <c r="O102" s="1">
        <f>N102*[1]Summary!$B$3</f>
        <v>6244.6257320530831</v>
      </c>
    </row>
    <row r="103" spans="1:15" x14ac:dyDescent="0.25">
      <c r="A103" s="2">
        <v>550</v>
      </c>
      <c r="B103" s="1" t="s">
        <v>106</v>
      </c>
      <c r="C103" s="2" t="s">
        <v>81</v>
      </c>
      <c r="D103" s="5">
        <v>869</v>
      </c>
      <c r="E103" s="10">
        <v>82</v>
      </c>
      <c r="F103" s="1">
        <v>27081.156253670015</v>
      </c>
      <c r="G103" s="1">
        <v>6886.2828097474921</v>
      </c>
      <c r="J103" s="1">
        <v>1200</v>
      </c>
      <c r="K103" s="2"/>
      <c r="L103" s="1">
        <v>28281.156253670015</v>
      </c>
      <c r="M103" s="1">
        <v>20194.873443922523</v>
      </c>
      <c r="N103" s="1">
        <f t="shared" si="7"/>
        <v>8086.2828097474921</v>
      </c>
      <c r="O103" s="1">
        <f>N103*[1]Summary!$B$3</f>
        <v>3540.4897165088887</v>
      </c>
    </row>
    <row r="104" spans="1:15" x14ac:dyDescent="0.25">
      <c r="A104" s="2">
        <v>553</v>
      </c>
      <c r="B104" s="1" t="s">
        <v>107</v>
      </c>
      <c r="C104" s="2" t="s">
        <v>81</v>
      </c>
      <c r="D104" s="5">
        <v>869</v>
      </c>
      <c r="E104" s="10">
        <v>82</v>
      </c>
      <c r="F104" s="1">
        <v>44404.566789347911</v>
      </c>
      <c r="G104" s="1">
        <v>13511.563247456466</v>
      </c>
      <c r="J104" s="1">
        <v>600</v>
      </c>
      <c r="K104" s="2"/>
      <c r="L104" s="1">
        <v>45004.566789347911</v>
      </c>
      <c r="M104" s="1">
        <v>30893.003541891445</v>
      </c>
      <c r="N104" s="1">
        <f t="shared" si="7"/>
        <v>14111.563247456466</v>
      </c>
      <c r="O104" s="1">
        <f>N104*[1]Summary!$B$3</f>
        <v>6178.5922823845112</v>
      </c>
    </row>
    <row r="105" spans="1:15" x14ac:dyDescent="0.25">
      <c r="A105" s="2">
        <v>561</v>
      </c>
      <c r="B105" s="1" t="s">
        <v>108</v>
      </c>
      <c r="C105" s="2" t="s">
        <v>81</v>
      </c>
      <c r="D105" s="5">
        <v>869</v>
      </c>
      <c r="E105" s="10">
        <v>82</v>
      </c>
      <c r="F105" s="1">
        <v>35469.915600834371</v>
      </c>
      <c r="G105" s="1">
        <v>7245.907519332497</v>
      </c>
      <c r="J105" s="1">
        <v>1200</v>
      </c>
      <c r="K105" s="2"/>
      <c r="L105" s="1">
        <v>36669.915600834371</v>
      </c>
      <c r="M105" s="1">
        <v>28224.008081501874</v>
      </c>
      <c r="N105" s="1">
        <f t="shared" si="7"/>
        <v>8445.907519332497</v>
      </c>
      <c r="O105" s="1">
        <f>N105*[1]Summary!$B$3</f>
        <v>3697.9474280489039</v>
      </c>
    </row>
    <row r="106" spans="1:15" x14ac:dyDescent="0.25">
      <c r="A106" s="2">
        <v>564</v>
      </c>
      <c r="B106" s="1" t="s">
        <v>109</v>
      </c>
      <c r="C106" s="2" t="s">
        <v>81</v>
      </c>
      <c r="D106" s="5">
        <v>869</v>
      </c>
      <c r="E106" s="10">
        <v>82</v>
      </c>
      <c r="F106" s="1">
        <v>68254.186167977052</v>
      </c>
      <c r="G106" s="1">
        <v>22812.275267455374</v>
      </c>
      <c r="J106" s="1">
        <v>600</v>
      </c>
      <c r="K106" s="2"/>
      <c r="L106" s="1">
        <v>68854.186167977052</v>
      </c>
      <c r="M106" s="1">
        <v>45441.910900521674</v>
      </c>
      <c r="N106" s="1">
        <f t="shared" si="7"/>
        <v>23412.275267455378</v>
      </c>
      <c r="O106" s="1">
        <f>N106*[1]Summary!$B$3</f>
        <v>10250.806430438161</v>
      </c>
    </row>
    <row r="107" spans="1:15" x14ac:dyDescent="0.25">
      <c r="A107" s="2">
        <v>592</v>
      </c>
      <c r="B107" s="1" t="s">
        <v>110</v>
      </c>
      <c r="C107" s="2" t="s">
        <v>81</v>
      </c>
      <c r="D107" s="5">
        <v>869</v>
      </c>
      <c r="E107" s="10">
        <v>82</v>
      </c>
      <c r="F107" s="1">
        <v>24381.569099238852</v>
      </c>
      <c r="G107" s="1">
        <v>4980.7447206089164</v>
      </c>
      <c r="J107" s="1">
        <v>600</v>
      </c>
      <c r="K107" s="2"/>
      <c r="L107" s="1">
        <v>24981.569099238852</v>
      </c>
      <c r="M107" s="1">
        <v>19400.824378629935</v>
      </c>
      <c r="N107" s="1">
        <f t="shared" si="7"/>
        <v>5580.7447206089164</v>
      </c>
      <c r="O107" s="1">
        <f>N107*[1]Summary!$B$3</f>
        <v>2443.4675064739831</v>
      </c>
    </row>
    <row r="108" spans="1:15" x14ac:dyDescent="0.25">
      <c r="A108" s="2">
        <v>593</v>
      </c>
      <c r="B108" s="1" t="s">
        <v>111</v>
      </c>
      <c r="C108" s="2" t="s">
        <v>81</v>
      </c>
      <c r="D108" s="5">
        <v>869</v>
      </c>
      <c r="E108" s="10">
        <v>82</v>
      </c>
      <c r="F108" s="1">
        <v>132670.47709670133</v>
      </c>
      <c r="G108" s="1">
        <v>44349.510345210118</v>
      </c>
      <c r="J108" s="1">
        <v>1200</v>
      </c>
      <c r="K108" s="2"/>
      <c r="L108" s="1">
        <v>133870.47709670133</v>
      </c>
      <c r="M108" s="1">
        <v>88320.966751491214</v>
      </c>
      <c r="N108" s="1">
        <f t="shared" si="7"/>
        <v>45549.510345210118</v>
      </c>
      <c r="O108" s="1">
        <f>N108*[1]Summary!$B$3</f>
        <v>19943.35058066903</v>
      </c>
    </row>
    <row r="109" spans="1:15" x14ac:dyDescent="0.25">
      <c r="A109" s="2">
        <v>595</v>
      </c>
      <c r="B109" s="1" t="s">
        <v>112</v>
      </c>
      <c r="C109" s="2" t="s">
        <v>81</v>
      </c>
      <c r="D109" s="5">
        <v>869</v>
      </c>
      <c r="E109" s="10">
        <v>82</v>
      </c>
      <c r="F109" s="1">
        <v>115256.19577788218</v>
      </c>
      <c r="G109" s="1">
        <v>55816.638195501248</v>
      </c>
      <c r="J109" s="1">
        <v>1200</v>
      </c>
      <c r="K109" s="2"/>
      <c r="L109" s="1">
        <v>116456.19577788218</v>
      </c>
      <c r="M109" s="1">
        <v>59439.557582380934</v>
      </c>
      <c r="N109" s="1">
        <f t="shared" si="7"/>
        <v>57016.638195501248</v>
      </c>
      <c r="O109" s="1">
        <f>N109*[1]Summary!$B$3</f>
        <v>24964.105999080646</v>
      </c>
    </row>
    <row r="110" spans="1:15" x14ac:dyDescent="0.25">
      <c r="A110" s="2">
        <v>599</v>
      </c>
      <c r="B110" s="1" t="s">
        <v>113</v>
      </c>
      <c r="C110" s="2" t="s">
        <v>81</v>
      </c>
      <c r="D110" s="5">
        <v>869</v>
      </c>
      <c r="E110" s="10">
        <v>82</v>
      </c>
      <c r="F110" s="1">
        <v>28907.86212476479</v>
      </c>
      <c r="G110" s="1">
        <v>8796.1765126646496</v>
      </c>
      <c r="J110" s="1">
        <v>1200</v>
      </c>
      <c r="K110" s="2"/>
      <c r="L110" s="1">
        <v>30107.86212476479</v>
      </c>
      <c r="M110" s="1">
        <v>20111.68561210014</v>
      </c>
      <c r="N110" s="1">
        <f t="shared" si="7"/>
        <v>9996.1765126646496</v>
      </c>
      <c r="O110" s="1">
        <f>N110*[1]Summary!$B$3</f>
        <v>4376.7156034704694</v>
      </c>
    </row>
    <row r="111" spans="1:15" x14ac:dyDescent="0.25">
      <c r="A111" s="2">
        <v>600</v>
      </c>
      <c r="B111" s="1" t="s">
        <v>114</v>
      </c>
      <c r="C111" s="2" t="s">
        <v>81</v>
      </c>
      <c r="D111" s="5">
        <v>869</v>
      </c>
      <c r="E111" s="10">
        <v>82</v>
      </c>
      <c r="F111" s="1">
        <v>44083.800691592907</v>
      </c>
      <c r="G111" s="1">
        <v>17822.33958504425</v>
      </c>
      <c r="J111" s="1">
        <v>1200</v>
      </c>
      <c r="K111" s="2"/>
      <c r="L111" s="1">
        <v>45283.800691592907</v>
      </c>
      <c r="M111" s="1">
        <v>26261.461106548657</v>
      </c>
      <c r="N111" s="1">
        <f t="shared" si="7"/>
        <v>19022.33958504425</v>
      </c>
      <c r="O111" s="1">
        <f>N111*[1]Summary!$B$3</f>
        <v>8328.7215237642904</v>
      </c>
    </row>
    <row r="112" spans="1:15" x14ac:dyDescent="0.25">
      <c r="A112" s="2">
        <v>601</v>
      </c>
      <c r="B112" s="1" t="s">
        <v>115</v>
      </c>
      <c r="C112" s="2" t="s">
        <v>81</v>
      </c>
      <c r="D112" s="5">
        <v>869</v>
      </c>
      <c r="E112" s="10">
        <v>82</v>
      </c>
      <c r="F112" s="1">
        <v>25430.914552948809</v>
      </c>
      <c r="G112" s="1">
        <v>7738.1998129358399</v>
      </c>
      <c r="J112" s="1">
        <v>1200</v>
      </c>
      <c r="K112" s="2"/>
      <c r="L112" s="1">
        <v>26630.914552948809</v>
      </c>
      <c r="M112" s="1">
        <v>17692.714740012969</v>
      </c>
      <c r="N112" s="1">
        <f t="shared" si="7"/>
        <v>8938.1998129358399</v>
      </c>
      <c r="O112" s="1">
        <f>N112*[1]Summary!$B$3</f>
        <v>3913.4921775991161</v>
      </c>
    </row>
    <row r="113" spans="1:15" x14ac:dyDescent="0.25">
      <c r="A113" s="2">
        <v>627</v>
      </c>
      <c r="B113" s="1" t="s">
        <v>116</v>
      </c>
      <c r="C113" s="2" t="s">
        <v>81</v>
      </c>
      <c r="D113" s="5">
        <v>869</v>
      </c>
      <c r="E113" s="10">
        <v>82</v>
      </c>
      <c r="F113" s="1">
        <v>25430.914552948809</v>
      </c>
      <c r="G113" s="1">
        <v>5195.1083576409546</v>
      </c>
      <c r="J113" s="1">
        <v>1200</v>
      </c>
      <c r="K113" s="2"/>
      <c r="L113" s="1">
        <v>26630.914552948809</v>
      </c>
      <c r="M113" s="1">
        <v>20235.806195307854</v>
      </c>
      <c r="N113" s="1">
        <f t="shared" si="7"/>
        <v>6395.1083576409546</v>
      </c>
      <c r="O113" s="1">
        <f>N113*[1]Summary!$B$3</f>
        <v>2800.0276404993651</v>
      </c>
    </row>
    <row r="114" spans="1:15" x14ac:dyDescent="0.25">
      <c r="A114" s="2">
        <v>628</v>
      </c>
      <c r="B114" s="1" t="s">
        <v>117</v>
      </c>
      <c r="C114" s="2" t="s">
        <v>81</v>
      </c>
      <c r="D114" s="5">
        <v>869</v>
      </c>
      <c r="E114" s="10">
        <v>82</v>
      </c>
      <c r="F114" s="1">
        <v>16027.550948916458</v>
      </c>
      <c r="G114" s="1">
        <v>3274.1592408668312</v>
      </c>
      <c r="J114" s="1">
        <v>600</v>
      </c>
      <c r="K114" s="2"/>
      <c r="L114" s="1">
        <v>16627.550948916458</v>
      </c>
      <c r="M114" s="1">
        <v>12753.391708049627</v>
      </c>
      <c r="N114" s="1">
        <f t="shared" si="7"/>
        <v>3874.1592408668312</v>
      </c>
      <c r="O114" s="1">
        <f>N114*[1]Summary!$B$3</f>
        <v>1696.257882036062</v>
      </c>
    </row>
    <row r="115" spans="1:15" x14ac:dyDescent="0.25">
      <c r="A115" s="2">
        <v>630</v>
      </c>
      <c r="B115" s="1" t="s">
        <v>118</v>
      </c>
      <c r="C115" s="2" t="s">
        <v>81</v>
      </c>
      <c r="D115" s="5">
        <v>869</v>
      </c>
      <c r="E115" s="10">
        <v>82</v>
      </c>
      <c r="F115" s="1">
        <v>26639.744155585289</v>
      </c>
      <c r="G115" s="1">
        <v>9292.1658573137101</v>
      </c>
      <c r="J115" s="1">
        <v>1200</v>
      </c>
      <c r="K115" s="2"/>
      <c r="L115" s="1">
        <v>27839.744155585289</v>
      </c>
      <c r="M115" s="1">
        <v>17347.578298271579</v>
      </c>
      <c r="N115" s="1">
        <f t="shared" si="7"/>
        <v>10492.16585731371</v>
      </c>
      <c r="O115" s="1">
        <f>N115*[1]Summary!$B$3</f>
        <v>4593.8790660334134</v>
      </c>
    </row>
    <row r="116" spans="1:15" x14ac:dyDescent="0.25">
      <c r="A116" s="2">
        <v>676</v>
      </c>
      <c r="B116" s="1" t="s">
        <v>119</v>
      </c>
      <c r="C116" s="2" t="s">
        <v>81</v>
      </c>
      <c r="D116" s="5">
        <v>869</v>
      </c>
      <c r="E116" s="10">
        <v>82</v>
      </c>
      <c r="F116" s="1">
        <v>58425.253519659782</v>
      </c>
      <c r="G116" s="1">
        <v>14856.559860255169</v>
      </c>
      <c r="J116" s="1">
        <v>1200</v>
      </c>
      <c r="K116" s="2"/>
      <c r="L116" s="1">
        <v>59625.253519659782</v>
      </c>
      <c r="M116" s="1">
        <v>43568.693659404613</v>
      </c>
      <c r="N116" s="1">
        <f t="shared" si="7"/>
        <v>16056.559860255169</v>
      </c>
      <c r="O116" s="1">
        <f>N116*[1]Summary!$B$3</f>
        <v>7030.1875911656371</v>
      </c>
    </row>
    <row r="117" spans="1:15" x14ac:dyDescent="0.25">
      <c r="A117" s="2">
        <v>682</v>
      </c>
      <c r="B117" s="1" t="s">
        <v>120</v>
      </c>
      <c r="C117" s="2" t="s">
        <v>81</v>
      </c>
      <c r="D117" s="5">
        <v>869</v>
      </c>
      <c r="E117" s="10">
        <v>82</v>
      </c>
      <c r="F117" s="1">
        <v>59349.31558596198</v>
      </c>
      <c r="G117" s="1">
        <v>23993.930648422815</v>
      </c>
      <c r="J117" s="1">
        <v>1200</v>
      </c>
      <c r="K117" s="2"/>
      <c r="L117" s="1">
        <v>60549.31558596198</v>
      </c>
      <c r="M117" s="1">
        <v>35355.384937539166</v>
      </c>
      <c r="N117" s="1">
        <f t="shared" si="7"/>
        <v>25193.930648422815</v>
      </c>
      <c r="O117" s="1">
        <f>N117*[1]Summary!$B$3</f>
        <v>11030.884582920551</v>
      </c>
    </row>
    <row r="118" spans="1:15" x14ac:dyDescent="0.25">
      <c r="A118" s="2">
        <v>690</v>
      </c>
      <c r="B118" s="1" t="s">
        <v>121</v>
      </c>
      <c r="C118" s="2" t="s">
        <v>81</v>
      </c>
      <c r="D118" s="5">
        <v>869</v>
      </c>
      <c r="E118" s="10">
        <v>82</v>
      </c>
      <c r="F118" s="1">
        <v>66409.186813855631</v>
      </c>
      <c r="G118" s="1">
        <v>22863.566702855271</v>
      </c>
      <c r="J118" s="1">
        <v>1200</v>
      </c>
      <c r="K118" s="2"/>
      <c r="L118" s="1">
        <v>67609.186813855631</v>
      </c>
      <c r="M118" s="1">
        <v>43545.62011100036</v>
      </c>
      <c r="N118" s="1">
        <f t="shared" si="7"/>
        <v>24063.566702855271</v>
      </c>
      <c r="O118" s="1">
        <f>N118*[1]Summary!$B$3</f>
        <v>10535.967200069423</v>
      </c>
    </row>
    <row r="119" spans="1:15" x14ac:dyDescent="0.25">
      <c r="A119" s="2">
        <v>768</v>
      </c>
      <c r="B119" s="1" t="s">
        <v>122</v>
      </c>
      <c r="C119" s="2" t="s">
        <v>81</v>
      </c>
      <c r="D119" s="5">
        <v>869</v>
      </c>
      <c r="E119" s="10">
        <v>82</v>
      </c>
      <c r="F119" s="1">
        <v>32930.950471699231</v>
      </c>
      <c r="G119" s="1">
        <v>10020.334669810542</v>
      </c>
      <c r="J119" s="1">
        <v>1200</v>
      </c>
      <c r="K119" s="2"/>
      <c r="L119" s="1">
        <v>34130.950471699231</v>
      </c>
      <c r="M119" s="1">
        <v>22910.615801888689</v>
      </c>
      <c r="N119" s="1">
        <f t="shared" si="7"/>
        <v>11220.334669810542</v>
      </c>
      <c r="O119" s="1">
        <f>N119*[1]Summary!$B$3</f>
        <v>4912.6997470785809</v>
      </c>
    </row>
    <row r="120" spans="1:15" x14ac:dyDescent="0.25">
      <c r="A120" s="2">
        <v>769</v>
      </c>
      <c r="B120" s="1" t="s">
        <v>123</v>
      </c>
      <c r="C120" s="2" t="s">
        <v>81</v>
      </c>
      <c r="D120" s="5">
        <v>869</v>
      </c>
      <c r="E120" s="10">
        <v>82</v>
      </c>
      <c r="F120" s="1">
        <v>34661.078024089256</v>
      </c>
      <c r="G120" s="1">
        <v>14011.249185546445</v>
      </c>
      <c r="J120" s="1">
        <v>600</v>
      </c>
      <c r="K120" s="2"/>
      <c r="L120" s="1">
        <v>35261.078024089256</v>
      </c>
      <c r="M120" s="1">
        <v>20649.82883854281</v>
      </c>
      <c r="N120" s="1">
        <f t="shared" si="7"/>
        <v>14611.249185546447</v>
      </c>
      <c r="O120" s="1">
        <f>N120*[1]Summary!$B$3</f>
        <v>6397.3742576029763</v>
      </c>
    </row>
    <row r="121" spans="1:15" x14ac:dyDescent="0.25">
      <c r="A121" s="2">
        <v>771</v>
      </c>
      <c r="B121" s="1" t="s">
        <v>124</v>
      </c>
      <c r="C121" s="2" t="s">
        <v>81</v>
      </c>
      <c r="D121" s="5">
        <v>869</v>
      </c>
      <c r="E121" s="10">
        <v>82</v>
      </c>
      <c r="F121" s="1">
        <v>17587.987303028982</v>
      </c>
      <c r="G121" s="1">
        <v>5351.7288878797135</v>
      </c>
      <c r="J121" s="1">
        <v>600</v>
      </c>
      <c r="K121" s="2"/>
      <c r="L121" s="1">
        <v>18187.987303028982</v>
      </c>
      <c r="M121" s="1">
        <v>12236.258415149268</v>
      </c>
      <c r="N121" s="1">
        <f t="shared" si="7"/>
        <v>5951.7288878797135</v>
      </c>
      <c r="O121" s="1">
        <f>N121*[1]Summary!$B$3</f>
        <v>2605.8988312387528</v>
      </c>
    </row>
    <row r="122" spans="1:15" x14ac:dyDescent="0.25">
      <c r="A122" s="2">
        <v>801</v>
      </c>
      <c r="B122" s="1" t="s">
        <v>125</v>
      </c>
      <c r="C122" s="2" t="s">
        <v>81</v>
      </c>
      <c r="D122" s="5">
        <v>869</v>
      </c>
      <c r="E122" s="10">
        <v>82</v>
      </c>
      <c r="F122" s="1">
        <v>16027.550948916458</v>
      </c>
      <c r="G122" s="1">
        <v>2472.7816934210095</v>
      </c>
      <c r="J122" s="1">
        <v>600</v>
      </c>
      <c r="K122" s="2"/>
      <c r="L122" s="1">
        <v>16627.550948916458</v>
      </c>
      <c r="M122" s="1">
        <v>13554.769255495448</v>
      </c>
      <c r="N122" s="1">
        <f t="shared" si="7"/>
        <v>3072.7816934210095</v>
      </c>
      <c r="O122" s="1">
        <f>N122*[1]Summary!$B$3</f>
        <v>1345.3835640672544</v>
      </c>
    </row>
    <row r="123" spans="1:15" x14ac:dyDescent="0.25">
      <c r="A123" s="2">
        <v>803</v>
      </c>
      <c r="B123" s="1" t="s">
        <v>126</v>
      </c>
      <c r="C123" s="2" t="s">
        <v>81</v>
      </c>
      <c r="D123" s="5">
        <v>869</v>
      </c>
      <c r="E123" s="10">
        <v>82</v>
      </c>
      <c r="F123" s="1">
        <v>36513.11736911827</v>
      </c>
      <c r="G123" s="1">
        <v>13301.114883764301</v>
      </c>
      <c r="J123" s="1">
        <v>1200</v>
      </c>
      <c r="K123" s="2"/>
      <c r="L123" s="1">
        <v>37713.11736911827</v>
      </c>
      <c r="M123" s="1">
        <v>23212.002485353969</v>
      </c>
      <c r="N123" s="1">
        <f t="shared" si="7"/>
        <v>14501.114883764301</v>
      </c>
      <c r="O123" s="1">
        <f>N123*[1]Summary!$B$3</f>
        <v>6349.1531686219505</v>
      </c>
    </row>
    <row r="124" spans="1:15" x14ac:dyDescent="0.25">
      <c r="A124" s="2">
        <v>846</v>
      </c>
      <c r="B124" s="1" t="s">
        <v>127</v>
      </c>
      <c r="C124" s="2" t="s">
        <v>81</v>
      </c>
      <c r="D124" s="5">
        <v>869</v>
      </c>
      <c r="E124" s="10">
        <v>82</v>
      </c>
      <c r="F124" s="1">
        <v>29963.938747596312</v>
      </c>
      <c r="G124" s="1">
        <v>10316.080426586432</v>
      </c>
      <c r="J124" s="1">
        <v>600</v>
      </c>
      <c r="K124" s="2"/>
      <c r="L124" s="1">
        <v>30563.938747596312</v>
      </c>
      <c r="M124" s="1">
        <v>19647.85832100988</v>
      </c>
      <c r="N124" s="1">
        <f t="shared" si="7"/>
        <v>10916.080426586432</v>
      </c>
      <c r="O124" s="1">
        <f>N124*[1]Summary!$B$3</f>
        <v>4779.4853833612187</v>
      </c>
    </row>
    <row r="125" spans="1:15" x14ac:dyDescent="0.25">
      <c r="A125" s="2">
        <v>850</v>
      </c>
      <c r="B125" s="1" t="s">
        <v>128</v>
      </c>
      <c r="C125" s="2" t="s">
        <v>81</v>
      </c>
      <c r="D125" s="5">
        <v>869</v>
      </c>
      <c r="E125" s="10">
        <v>82</v>
      </c>
      <c r="F125" s="1">
        <v>31730.522134732419</v>
      </c>
      <c r="G125" s="1">
        <v>9655.0645056873072</v>
      </c>
      <c r="J125" s="1">
        <v>600</v>
      </c>
      <c r="K125" s="2"/>
      <c r="L125" s="1">
        <v>32330.522134732419</v>
      </c>
      <c r="M125" s="1">
        <v>22075.457629045111</v>
      </c>
      <c r="N125" s="1">
        <f t="shared" si="7"/>
        <v>10255.064505687307</v>
      </c>
      <c r="O125" s="1">
        <f>N125*[1]Summary!$B$3</f>
        <v>4490.0668550392929</v>
      </c>
    </row>
    <row r="126" spans="1:15" x14ac:dyDescent="0.25">
      <c r="A126" s="2">
        <v>852</v>
      </c>
      <c r="B126" s="1" t="s">
        <v>129</v>
      </c>
      <c r="C126" s="2" t="s">
        <v>81</v>
      </c>
      <c r="D126" s="5">
        <v>869</v>
      </c>
      <c r="E126" s="10">
        <v>82</v>
      </c>
      <c r="F126" s="1">
        <v>31610.605759390535</v>
      </c>
      <c r="G126" s="1">
        <v>6457.5153924875704</v>
      </c>
      <c r="J126" s="1">
        <v>1200</v>
      </c>
      <c r="K126" s="2"/>
      <c r="L126" s="1">
        <v>32810.605759390535</v>
      </c>
      <c r="M126" s="1">
        <v>25153.090366902965</v>
      </c>
      <c r="N126" s="1">
        <f t="shared" si="7"/>
        <v>7657.5153924875704</v>
      </c>
      <c r="O126" s="1">
        <f>N126*[1]Summary!$B$3</f>
        <v>3352.7586332288279</v>
      </c>
    </row>
    <row r="127" spans="1:15" x14ac:dyDescent="0.25">
      <c r="A127" s="2">
        <v>914</v>
      </c>
      <c r="B127" s="1" t="s">
        <v>130</v>
      </c>
      <c r="C127" s="2" t="s">
        <v>81</v>
      </c>
      <c r="D127" s="5">
        <v>869</v>
      </c>
      <c r="E127" s="10">
        <v>82</v>
      </c>
      <c r="F127" s="1">
        <v>25355.398004697301</v>
      </c>
      <c r="G127" s="1">
        <v>12786.300997651349</v>
      </c>
      <c r="J127" s="1">
        <v>600</v>
      </c>
      <c r="K127" s="2"/>
      <c r="L127" s="1">
        <v>25955.398004697301</v>
      </c>
      <c r="M127" s="1">
        <v>12569.097007045952</v>
      </c>
      <c r="N127" s="1">
        <f t="shared" si="7"/>
        <v>13386.300997651349</v>
      </c>
      <c r="O127" s="1">
        <f>N127*[1]Summary!$B$3</f>
        <v>5861.0442077473217</v>
      </c>
    </row>
    <row r="128" spans="1:15" x14ac:dyDescent="0.25">
      <c r="A128" s="2">
        <v>2164</v>
      </c>
      <c r="B128" s="1" t="s">
        <v>131</v>
      </c>
      <c r="C128" s="2" t="s">
        <v>81</v>
      </c>
      <c r="D128" s="5">
        <v>869</v>
      </c>
      <c r="E128" s="10">
        <v>82</v>
      </c>
      <c r="F128" s="1">
        <v>24606.950948916456</v>
      </c>
      <c r="G128" s="1">
        <v>11387.842487585112</v>
      </c>
      <c r="J128" s="1">
        <v>600</v>
      </c>
      <c r="K128" s="2"/>
      <c r="L128" s="1">
        <v>25206.950948916456</v>
      </c>
      <c r="M128" s="1">
        <v>13219.108461331343</v>
      </c>
      <c r="N128" s="1">
        <f t="shared" si="7"/>
        <v>11987.842487585112</v>
      </c>
      <c r="O128" s="1">
        <f>N128*[1]Summary!$B$3</f>
        <v>5248.744577577886</v>
      </c>
    </row>
    <row r="129" spans="1:15" x14ac:dyDescent="0.25">
      <c r="A129" s="2">
        <v>2171</v>
      </c>
      <c r="B129" s="1" t="s">
        <v>132</v>
      </c>
      <c r="C129" s="2" t="s">
        <v>81</v>
      </c>
      <c r="D129" s="5">
        <v>869</v>
      </c>
      <c r="E129" s="10">
        <v>82</v>
      </c>
      <c r="F129" s="1">
        <v>47297.973776547457</v>
      </c>
      <c r="G129" s="1">
        <v>21013.694685133418</v>
      </c>
      <c r="J129" s="1">
        <v>1200</v>
      </c>
      <c r="K129" s="2"/>
      <c r="L129" s="1">
        <v>48497.973776547457</v>
      </c>
      <c r="M129" s="1">
        <v>26284.279091414039</v>
      </c>
      <c r="N129" s="1">
        <f t="shared" si="7"/>
        <v>22213.694685133418</v>
      </c>
      <c r="O129" s="1">
        <f>N129*[1]Summary!$B$3</f>
        <v>9726.0211457826717</v>
      </c>
    </row>
    <row r="130" spans="1:15" x14ac:dyDescent="0.25">
      <c r="A130" s="2">
        <v>2176</v>
      </c>
      <c r="B130" s="1" t="s">
        <v>133</v>
      </c>
      <c r="C130" s="2" t="s">
        <v>81</v>
      </c>
      <c r="D130" s="5">
        <v>869</v>
      </c>
      <c r="E130" s="10">
        <v>82</v>
      </c>
      <c r="F130" s="1">
        <v>33680.619496588355</v>
      </c>
      <c r="G130" s="1">
        <v>8564.4153775587401</v>
      </c>
      <c r="J130" s="1">
        <v>1200</v>
      </c>
      <c r="K130" s="2"/>
      <c r="L130" s="1">
        <v>34880.619496588355</v>
      </c>
      <c r="M130" s="1">
        <v>25116.204119029615</v>
      </c>
      <c r="N130" s="1">
        <f t="shared" si="7"/>
        <v>9764.4153775587401</v>
      </c>
      <c r="O130" s="1">
        <f>N130*[1]Summary!$B$3</f>
        <v>4275.241547364024</v>
      </c>
    </row>
    <row r="131" spans="1:15" x14ac:dyDescent="0.25">
      <c r="A131" s="2">
        <v>2215</v>
      </c>
      <c r="B131" s="1" t="s">
        <v>134</v>
      </c>
      <c r="C131" s="2" t="s">
        <v>81</v>
      </c>
      <c r="D131" s="5">
        <v>869</v>
      </c>
      <c r="E131" s="10">
        <v>82</v>
      </c>
      <c r="F131" s="1">
        <v>24314.167791866174</v>
      </c>
      <c r="G131" s="1">
        <v>7641.5342236123433</v>
      </c>
      <c r="J131" s="1">
        <v>600</v>
      </c>
      <c r="K131" s="2"/>
      <c r="L131" s="1">
        <v>24914.167791866174</v>
      </c>
      <c r="M131" s="1">
        <v>16672.63356825383</v>
      </c>
      <c r="N131" s="1">
        <f t="shared" si="7"/>
        <v>8241.5342236123433</v>
      </c>
      <c r="O131" s="1">
        <f>N131*[1]Summary!$B$3</f>
        <v>3608.4648352617701</v>
      </c>
    </row>
    <row r="132" spans="1:15" x14ac:dyDescent="0.25">
      <c r="A132" s="2">
        <v>2311</v>
      </c>
      <c r="B132" s="1" t="s">
        <v>135</v>
      </c>
      <c r="C132" s="2" t="s">
        <v>81</v>
      </c>
      <c r="D132" s="5">
        <v>869</v>
      </c>
      <c r="E132" s="10">
        <v>82</v>
      </c>
      <c r="F132" s="1">
        <v>65809.684595952407</v>
      </c>
      <c r="G132" s="1">
        <v>16734.296553035689</v>
      </c>
      <c r="J132" s="1">
        <v>1200</v>
      </c>
      <c r="K132" s="2"/>
      <c r="L132" s="1">
        <v>67009.684595952407</v>
      </c>
      <c r="M132" s="1">
        <v>49075.388042916718</v>
      </c>
      <c r="N132" s="1">
        <f t="shared" si="7"/>
        <v>17934.296553035689</v>
      </c>
      <c r="O132" s="1">
        <f>N132*[1]Summary!$B$3</f>
        <v>7852.333886010405</v>
      </c>
    </row>
    <row r="133" spans="1:15" x14ac:dyDescent="0.25">
      <c r="A133" s="2">
        <v>2358</v>
      </c>
      <c r="B133" s="1" t="s">
        <v>136</v>
      </c>
      <c r="C133" s="2" t="s">
        <v>81</v>
      </c>
      <c r="D133" s="5">
        <v>869</v>
      </c>
      <c r="E133" s="10">
        <v>82</v>
      </c>
      <c r="F133" s="1">
        <v>67396.497972258789</v>
      </c>
      <c r="G133" s="1">
        <v>17137.796520805903</v>
      </c>
      <c r="J133" s="1">
        <v>1200</v>
      </c>
      <c r="K133" s="2"/>
      <c r="L133" s="1">
        <v>68596.497972258789</v>
      </c>
      <c r="M133" s="1">
        <v>50258.701451452886</v>
      </c>
      <c r="N133" s="1">
        <f t="shared" si="7"/>
        <v>18337.796520805903</v>
      </c>
      <c r="O133" s="1">
        <f>N133*[1]Summary!$B$3</f>
        <v>8029.0018952939836</v>
      </c>
    </row>
    <row r="134" spans="1:15" x14ac:dyDescent="0.25">
      <c r="A134" s="2">
        <v>2527</v>
      </c>
      <c r="B134" s="1" t="s">
        <v>137</v>
      </c>
      <c r="C134" s="2" t="s">
        <v>81</v>
      </c>
      <c r="D134" s="5">
        <v>869</v>
      </c>
      <c r="E134" s="10">
        <v>82</v>
      </c>
      <c r="F134" s="1">
        <v>34380.153260342668</v>
      </c>
      <c r="G134" s="1">
        <v>8742.2950547430009</v>
      </c>
      <c r="J134" s="1">
        <v>600</v>
      </c>
      <c r="K134" s="2"/>
      <c r="L134" s="1">
        <v>34980.153260342668</v>
      </c>
      <c r="M134" s="1">
        <v>25637.858205599667</v>
      </c>
      <c r="N134" s="1">
        <f t="shared" si="7"/>
        <v>9342.2950547430009</v>
      </c>
      <c r="O134" s="1">
        <f>N134*[1]Summary!$B$3</f>
        <v>4090.4208210524239</v>
      </c>
    </row>
    <row r="135" spans="1:15" x14ac:dyDescent="0.25">
      <c r="A135" s="2">
        <v>2609</v>
      </c>
      <c r="B135" s="1" t="s">
        <v>138</v>
      </c>
      <c r="C135" s="2" t="s">
        <v>81</v>
      </c>
      <c r="D135" s="5">
        <v>869</v>
      </c>
      <c r="E135" s="10">
        <v>82</v>
      </c>
      <c r="F135" s="1">
        <v>22441.678021923773</v>
      </c>
      <c r="G135" s="1">
        <v>5706.5414835571719</v>
      </c>
      <c r="J135" s="1">
        <v>1200</v>
      </c>
      <c r="K135" s="2"/>
      <c r="L135" s="1">
        <v>23641.678021923773</v>
      </c>
      <c r="M135" s="1">
        <v>16735.136538366602</v>
      </c>
      <c r="N135" s="1">
        <f t="shared" si="7"/>
        <v>6906.5414835571719</v>
      </c>
      <c r="O135" s="1">
        <f>N135*[1]Summary!$B$3</f>
        <v>3023.9529923069535</v>
      </c>
    </row>
    <row r="136" spans="1:15" x14ac:dyDescent="0.25">
      <c r="A136" s="2">
        <v>2683</v>
      </c>
      <c r="B136" s="1" t="s">
        <v>139</v>
      </c>
      <c r="C136" s="2" t="s">
        <v>81</v>
      </c>
      <c r="D136" s="5">
        <v>869</v>
      </c>
      <c r="E136" s="10">
        <v>82</v>
      </c>
      <c r="F136" s="1">
        <v>122332.22289237483</v>
      </c>
      <c r="G136" s="1">
        <v>40884.778662108853</v>
      </c>
      <c r="J136" s="1">
        <v>1200</v>
      </c>
      <c r="K136" s="2"/>
      <c r="L136" s="1">
        <v>123532.22289237483</v>
      </c>
      <c r="M136" s="1">
        <v>81447.444230265974</v>
      </c>
      <c r="N136" s="1">
        <f t="shared" si="7"/>
        <v>42084.77866210886</v>
      </c>
      <c r="O136" s="1">
        <f>N136*[1]Summary!$B$3</f>
        <v>18426.356037800007</v>
      </c>
    </row>
    <row r="137" spans="1:15" x14ac:dyDescent="0.25">
      <c r="A137" s="2">
        <v>2854</v>
      </c>
      <c r="B137" s="1" t="s">
        <v>140</v>
      </c>
      <c r="C137" s="2" t="s">
        <v>81</v>
      </c>
      <c r="D137" s="5">
        <v>869</v>
      </c>
      <c r="E137" s="10">
        <v>82</v>
      </c>
      <c r="F137" s="1">
        <v>31059.297119221639</v>
      </c>
      <c r="G137" s="1">
        <v>7897.8571605837715</v>
      </c>
      <c r="J137" s="1">
        <v>600</v>
      </c>
      <c r="K137" s="2"/>
      <c r="L137" s="1">
        <v>31659.297119221639</v>
      </c>
      <c r="M137" s="1">
        <v>23161.439958637868</v>
      </c>
      <c r="N137" s="1">
        <f t="shared" si="7"/>
        <v>8497.8571605837715</v>
      </c>
      <c r="O137" s="1">
        <f>N137*[1]Summary!$B$3</f>
        <v>3720.6930053374881</v>
      </c>
    </row>
    <row r="138" spans="1:15" x14ac:dyDescent="0.25">
      <c r="A138" s="2">
        <v>2856</v>
      </c>
      <c r="B138" s="1" t="s">
        <v>141</v>
      </c>
      <c r="C138" s="2" t="s">
        <v>81</v>
      </c>
      <c r="D138" s="5">
        <v>869</v>
      </c>
      <c r="E138" s="10">
        <v>82</v>
      </c>
      <c r="F138" s="1">
        <v>83488.204132196392</v>
      </c>
      <c r="G138" s="1">
        <v>25404.057107462519</v>
      </c>
      <c r="J138" s="1">
        <v>1200</v>
      </c>
      <c r="K138" s="2"/>
      <c r="L138" s="1">
        <v>84688.204132196392</v>
      </c>
      <c r="M138" s="1">
        <v>58084.147024733873</v>
      </c>
      <c r="N138" s="1">
        <f t="shared" si="7"/>
        <v>26604.057107462519</v>
      </c>
      <c r="O138" s="1">
        <f>N138*[1]Summary!$B$3</f>
        <v>11648.292895821627</v>
      </c>
    </row>
    <row r="139" spans="1:15" x14ac:dyDescent="0.25">
      <c r="A139" s="2">
        <v>2888</v>
      </c>
      <c r="B139" s="1" t="s">
        <v>142</v>
      </c>
      <c r="C139" s="2" t="s">
        <v>81</v>
      </c>
      <c r="D139" s="5">
        <v>869</v>
      </c>
      <c r="E139" s="10">
        <v>82</v>
      </c>
      <c r="F139" s="1">
        <v>53755.418961493189</v>
      </c>
      <c r="G139" s="1">
        <v>17374.461906184632</v>
      </c>
      <c r="J139" s="1">
        <v>600</v>
      </c>
      <c r="K139" s="2"/>
      <c r="L139" s="1">
        <v>54355.418961493189</v>
      </c>
      <c r="M139" s="1">
        <v>36380.957055308558</v>
      </c>
      <c r="N139" s="1">
        <f t="shared" si="7"/>
        <v>17974.461906184632</v>
      </c>
      <c r="O139" s="1">
        <f>N139*[1]Summary!$B$3</f>
        <v>7869.9198427632855</v>
      </c>
    </row>
    <row r="140" spans="1:15" x14ac:dyDescent="0.25">
      <c r="A140" s="2">
        <v>2889</v>
      </c>
      <c r="B140" s="1" t="s">
        <v>143</v>
      </c>
      <c r="C140" s="2" t="s">
        <v>81</v>
      </c>
      <c r="D140" s="5">
        <v>869</v>
      </c>
      <c r="E140" s="10">
        <v>82</v>
      </c>
      <c r="F140" s="1">
        <v>65407.845748215375</v>
      </c>
      <c r="G140" s="1">
        <v>19902.507976249239</v>
      </c>
      <c r="J140" s="1">
        <v>600</v>
      </c>
      <c r="K140" s="2"/>
      <c r="L140" s="1">
        <v>66007.845748215375</v>
      </c>
      <c r="M140" s="1">
        <v>45505.337771966137</v>
      </c>
      <c r="N140" s="1">
        <f t="shared" si="7"/>
        <v>20502.507976249239</v>
      </c>
      <c r="O140" s="1">
        <f>N140*[1]Summary!$B$3</f>
        <v>8976.7969239278445</v>
      </c>
    </row>
    <row r="141" spans="1:15" x14ac:dyDescent="0.25">
      <c r="A141" s="3"/>
      <c r="N141" s="9">
        <f>SUM(N78:N140)</f>
        <v>919651.14861275116</v>
      </c>
      <c r="O141" s="9">
        <f>SUM(O78:O140)</f>
        <v>402659.10938881792</v>
      </c>
    </row>
    <row r="142" spans="1:15" x14ac:dyDescent="0.25">
      <c r="A142" s="3"/>
    </row>
    <row r="143" spans="1:15" x14ac:dyDescent="0.25">
      <c r="A143" s="3"/>
    </row>
    <row r="144" spans="1:15" x14ac:dyDescent="0.25">
      <c r="A144" s="3">
        <v>195</v>
      </c>
      <c r="B144" s="2" t="s">
        <v>144</v>
      </c>
      <c r="C144" s="2" t="s">
        <v>145</v>
      </c>
      <c r="D144" s="5" t="s">
        <v>146</v>
      </c>
      <c r="E144" s="5" t="s">
        <v>147</v>
      </c>
      <c r="F144" s="1">
        <v>30852</v>
      </c>
      <c r="G144" s="1">
        <v>15426</v>
      </c>
      <c r="H144" s="1">
        <v>0</v>
      </c>
      <c r="J144" s="1">
        <v>825.85</v>
      </c>
      <c r="L144" s="1">
        <v>31677.85</v>
      </c>
      <c r="M144" s="1">
        <v>15426</v>
      </c>
      <c r="N144" s="1">
        <f>L144-M144</f>
        <v>16251.849999999999</v>
      </c>
      <c r="O144" s="1">
        <f>N144*[1]Summary!$B$3</f>
        <v>7115.6932243186957</v>
      </c>
    </row>
    <row r="145" spans="1:15" x14ac:dyDescent="0.25">
      <c r="A145" s="3">
        <v>227</v>
      </c>
      <c r="B145" s="2" t="s">
        <v>148</v>
      </c>
      <c r="C145" s="2" t="s">
        <v>145</v>
      </c>
      <c r="D145" s="5" t="s">
        <v>146</v>
      </c>
      <c r="E145" s="5" t="s">
        <v>147</v>
      </c>
      <c r="F145" s="1">
        <v>47816.65</v>
      </c>
      <c r="G145" s="1">
        <v>26299.16</v>
      </c>
      <c r="H145" s="1">
        <v>0</v>
      </c>
      <c r="J145" s="1">
        <v>2193.3200000000002</v>
      </c>
      <c r="L145" s="1">
        <v>50009.97</v>
      </c>
      <c r="M145" s="1">
        <v>21517.49</v>
      </c>
      <c r="N145" s="1">
        <f>L145-M145</f>
        <v>28492.48</v>
      </c>
      <c r="O145" s="1">
        <f>N145*[1]Summary!$B$3</f>
        <v>12475.118025334714</v>
      </c>
    </row>
    <row r="146" spans="1:15" x14ac:dyDescent="0.25">
      <c r="A146" s="3">
        <v>229</v>
      </c>
      <c r="B146" s="2" t="s">
        <v>149</v>
      </c>
      <c r="C146" s="2" t="s">
        <v>145</v>
      </c>
      <c r="D146" s="5" t="s">
        <v>146</v>
      </c>
      <c r="E146" s="5" t="s">
        <v>147</v>
      </c>
      <c r="F146" s="1">
        <v>0</v>
      </c>
      <c r="G146" s="1">
        <v>0</v>
      </c>
      <c r="L146" s="1">
        <v>0</v>
      </c>
      <c r="M146" s="1">
        <v>0</v>
      </c>
      <c r="N146" s="1">
        <v>0</v>
      </c>
      <c r="O146" s="1">
        <f>N146*[1]Summary!$B$3</f>
        <v>0</v>
      </c>
    </row>
    <row r="147" spans="1:15" x14ac:dyDescent="0.25">
      <c r="A147" s="3">
        <v>238</v>
      </c>
      <c r="B147" s="2" t="s">
        <v>150</v>
      </c>
      <c r="C147" s="2" t="s">
        <v>145</v>
      </c>
      <c r="D147" s="5" t="s">
        <v>146</v>
      </c>
      <c r="E147" s="5" t="s">
        <v>147</v>
      </c>
      <c r="F147" s="1">
        <v>15144</v>
      </c>
      <c r="G147" s="1">
        <v>4543</v>
      </c>
      <c r="H147" s="1">
        <v>0</v>
      </c>
      <c r="J147" s="1">
        <v>1250</v>
      </c>
      <c r="L147" s="1">
        <v>16394</v>
      </c>
      <c r="M147" s="1">
        <v>10601</v>
      </c>
      <c r="N147" s="1">
        <f>L147-M147</f>
        <v>5793</v>
      </c>
      <c r="O147" s="1">
        <f>N147*[1]Summary!$B$3</f>
        <v>2536.4011388536201</v>
      </c>
    </row>
    <row r="148" spans="1:15" x14ac:dyDescent="0.25">
      <c r="A148" s="3">
        <v>239</v>
      </c>
      <c r="B148" s="2" t="s">
        <v>151</v>
      </c>
      <c r="C148" s="2" t="s">
        <v>145</v>
      </c>
      <c r="D148" s="5" t="s">
        <v>146</v>
      </c>
      <c r="E148" s="5" t="s">
        <v>147</v>
      </c>
      <c r="F148" s="1">
        <v>10145.299999999999</v>
      </c>
      <c r="G148" s="1">
        <v>2536.3200000000002</v>
      </c>
      <c r="H148" s="1">
        <v>0</v>
      </c>
      <c r="J148" s="1">
        <v>0</v>
      </c>
      <c r="L148" s="1">
        <v>10145.299999999999</v>
      </c>
      <c r="M148" s="1">
        <v>7608.98</v>
      </c>
      <c r="N148" s="6" t="s">
        <v>18</v>
      </c>
      <c r="O148" s="6" t="s">
        <v>18</v>
      </c>
    </row>
    <row r="149" spans="1:15" x14ac:dyDescent="0.25">
      <c r="A149" s="3">
        <v>241</v>
      </c>
      <c r="B149" s="2" t="s">
        <v>152</v>
      </c>
      <c r="C149" s="2" t="s">
        <v>145</v>
      </c>
      <c r="D149" s="5" t="s">
        <v>146</v>
      </c>
      <c r="E149" s="5" t="s">
        <v>147</v>
      </c>
      <c r="F149" s="1">
        <v>120780</v>
      </c>
      <c r="G149" s="1">
        <v>33818.400000000001</v>
      </c>
      <c r="H149" s="1">
        <v>0</v>
      </c>
      <c r="J149" s="1">
        <v>750</v>
      </c>
      <c r="L149" s="1">
        <v>121530</v>
      </c>
      <c r="M149" s="1">
        <v>86961.600000000006</v>
      </c>
      <c r="N149" s="1">
        <f t="shared" ref="N149:N161" si="8">L149-M149</f>
        <v>34568.399999999994</v>
      </c>
      <c r="O149" s="1">
        <f>N149*[1]Summary!$B$3</f>
        <v>15135.392564879592</v>
      </c>
    </row>
    <row r="150" spans="1:15" x14ac:dyDescent="0.25">
      <c r="A150" s="3">
        <v>252</v>
      </c>
      <c r="B150" s="2" t="s">
        <v>153</v>
      </c>
      <c r="C150" s="2" t="s">
        <v>145</v>
      </c>
      <c r="D150" s="5" t="s">
        <v>146</v>
      </c>
      <c r="E150" s="5" t="s">
        <v>147</v>
      </c>
      <c r="F150" s="1">
        <v>52507.38</v>
      </c>
      <c r="G150" s="1">
        <v>21481.59</v>
      </c>
      <c r="H150" s="1">
        <v>0</v>
      </c>
      <c r="J150" s="1">
        <v>3147.55</v>
      </c>
      <c r="L150" s="1">
        <v>55654.93</v>
      </c>
      <c r="M150" s="1">
        <v>31025.79</v>
      </c>
      <c r="N150" s="1">
        <f t="shared" si="8"/>
        <v>24629.14</v>
      </c>
      <c r="O150" s="1">
        <f>N150*[1]Summary!$B$3</f>
        <v>10783.597228549155</v>
      </c>
    </row>
    <row r="151" spans="1:15" x14ac:dyDescent="0.25">
      <c r="A151" s="3">
        <v>255</v>
      </c>
      <c r="B151" s="2" t="s">
        <v>154</v>
      </c>
      <c r="C151" s="2" t="s">
        <v>145</v>
      </c>
      <c r="D151" s="5" t="s">
        <v>146</v>
      </c>
      <c r="E151" s="5" t="s">
        <v>147</v>
      </c>
      <c r="F151" s="1">
        <v>76387.05</v>
      </c>
      <c r="G151" s="1">
        <v>35196.35</v>
      </c>
      <c r="H151" s="1">
        <v>0</v>
      </c>
      <c r="J151" s="1">
        <v>1946.88</v>
      </c>
      <c r="L151" s="1">
        <v>78333.929999999993</v>
      </c>
      <c r="M151" s="1">
        <v>41190.699999999997</v>
      </c>
      <c r="N151" s="1">
        <f t="shared" si="8"/>
        <v>37143.229999999996</v>
      </c>
      <c r="O151" s="1">
        <f>N151*[1]Summary!$B$3</f>
        <v>16262.753473623674</v>
      </c>
    </row>
    <row r="152" spans="1:15" x14ac:dyDescent="0.25">
      <c r="A152" s="3">
        <v>256</v>
      </c>
      <c r="B152" s="2" t="s">
        <v>155</v>
      </c>
      <c r="C152" s="2" t="s">
        <v>145</v>
      </c>
      <c r="D152" s="5" t="s">
        <v>146</v>
      </c>
      <c r="E152" s="5" t="s">
        <v>147</v>
      </c>
      <c r="F152" s="1">
        <v>11700</v>
      </c>
      <c r="G152" s="1">
        <v>7488</v>
      </c>
      <c r="H152" s="1">
        <v>0</v>
      </c>
      <c r="J152" s="1">
        <v>2353.37</v>
      </c>
      <c r="L152" s="1">
        <v>14053.37</v>
      </c>
      <c r="M152" s="1">
        <v>4212</v>
      </c>
      <c r="N152" s="1">
        <f t="shared" si="8"/>
        <v>9841.3700000000008</v>
      </c>
      <c r="O152" s="1">
        <f>N152*[1]Summary!$B$3</f>
        <v>4308.9352797997335</v>
      </c>
    </row>
    <row r="153" spans="1:15" x14ac:dyDescent="0.25">
      <c r="A153" s="3">
        <v>294</v>
      </c>
      <c r="B153" s="2" t="s">
        <v>156</v>
      </c>
      <c r="C153" s="2" t="s">
        <v>145</v>
      </c>
      <c r="D153" s="5" t="s">
        <v>146</v>
      </c>
      <c r="E153" s="5" t="s">
        <v>147</v>
      </c>
      <c r="F153" s="1">
        <v>59804.15</v>
      </c>
      <c r="G153" s="1">
        <v>33490.379999999997</v>
      </c>
      <c r="H153" s="1">
        <v>0</v>
      </c>
      <c r="J153" s="1">
        <v>1480.4</v>
      </c>
      <c r="L153" s="1">
        <v>61284.55</v>
      </c>
      <c r="M153" s="1">
        <v>26313.77</v>
      </c>
      <c r="N153" s="1">
        <f t="shared" si="8"/>
        <v>34970.78</v>
      </c>
      <c r="O153" s="1">
        <f>N153*[1]Summary!$B$3</f>
        <v>15311.570208631003</v>
      </c>
    </row>
    <row r="154" spans="1:15" x14ac:dyDescent="0.25">
      <c r="A154" s="3">
        <v>499</v>
      </c>
      <c r="B154" s="2" t="s">
        <v>157</v>
      </c>
      <c r="C154" s="2" t="s">
        <v>145</v>
      </c>
      <c r="D154" s="5" t="s">
        <v>146</v>
      </c>
      <c r="E154" s="5" t="s">
        <v>147</v>
      </c>
      <c r="F154" s="1">
        <v>24895.59</v>
      </c>
      <c r="G154" s="1">
        <v>7495.51</v>
      </c>
      <c r="H154" s="1">
        <v>0</v>
      </c>
      <c r="J154" s="1">
        <v>1914.54</v>
      </c>
      <c r="L154" s="1">
        <v>26810.13</v>
      </c>
      <c r="M154" s="1">
        <v>17400.080000000002</v>
      </c>
      <c r="N154" s="1">
        <f t="shared" si="8"/>
        <v>9410.0499999999993</v>
      </c>
      <c r="O154" s="1">
        <f>N154*[1]Summary!$B$3</f>
        <v>4120.0865763282427</v>
      </c>
    </row>
    <row r="155" spans="1:15" x14ac:dyDescent="0.25">
      <c r="A155" s="3">
        <v>531</v>
      </c>
      <c r="B155" s="2" t="s">
        <v>158</v>
      </c>
      <c r="C155" s="2" t="s">
        <v>145</v>
      </c>
      <c r="D155" s="5" t="s">
        <v>146</v>
      </c>
      <c r="E155" s="5" t="s">
        <v>147</v>
      </c>
      <c r="F155" s="1">
        <v>49534.32</v>
      </c>
      <c r="G155" s="1">
        <v>29720.639999999999</v>
      </c>
      <c r="H155" s="1">
        <v>0</v>
      </c>
      <c r="J155" s="1">
        <v>3146.97</v>
      </c>
      <c r="L155" s="1">
        <v>52681.29</v>
      </c>
      <c r="M155" s="1">
        <v>19813.68</v>
      </c>
      <c r="N155" s="1">
        <f t="shared" si="8"/>
        <v>32867.61</v>
      </c>
      <c r="O155" s="1">
        <f>N155*[1]Summary!$B$3</f>
        <v>14390.720427308241</v>
      </c>
    </row>
    <row r="156" spans="1:15" x14ac:dyDescent="0.25">
      <c r="A156" s="3">
        <v>533</v>
      </c>
      <c r="B156" s="2" t="s">
        <v>159</v>
      </c>
      <c r="C156" s="2" t="s">
        <v>145</v>
      </c>
      <c r="D156" s="5" t="s">
        <v>146</v>
      </c>
      <c r="E156" s="5" t="s">
        <v>147</v>
      </c>
      <c r="F156" s="1">
        <v>0</v>
      </c>
      <c r="G156" s="1">
        <v>0</v>
      </c>
      <c r="H156" s="1">
        <v>0</v>
      </c>
      <c r="J156" s="1">
        <v>1852.46</v>
      </c>
      <c r="L156" s="1">
        <v>1852.46</v>
      </c>
      <c r="M156" s="1">
        <v>0</v>
      </c>
      <c r="N156" s="1">
        <f t="shared" si="8"/>
        <v>1852.46</v>
      </c>
      <c r="O156" s="1">
        <f>N156*[1]Summary!$B$3</f>
        <v>811.07917377538024</v>
      </c>
    </row>
    <row r="157" spans="1:15" x14ac:dyDescent="0.25">
      <c r="A157" s="3">
        <v>534</v>
      </c>
      <c r="B157" s="2" t="s">
        <v>160</v>
      </c>
      <c r="C157" s="2" t="s">
        <v>145</v>
      </c>
      <c r="D157" s="5" t="s">
        <v>146</v>
      </c>
      <c r="E157" s="5" t="s">
        <v>147</v>
      </c>
      <c r="F157" s="1">
        <v>35623.919999999998</v>
      </c>
      <c r="G157" s="1">
        <v>17946.12</v>
      </c>
      <c r="H157" s="1">
        <v>0</v>
      </c>
      <c r="J157" s="1">
        <v>1619.67</v>
      </c>
      <c r="L157" s="1">
        <v>37243.589999999997</v>
      </c>
      <c r="M157" s="1">
        <v>17677.8</v>
      </c>
      <c r="N157" s="1">
        <f t="shared" si="8"/>
        <v>19565.789999999997</v>
      </c>
      <c r="O157" s="1">
        <f>N157*[1]Summary!$B$3</f>
        <v>8566.6652923477941</v>
      </c>
    </row>
    <row r="158" spans="1:15" x14ac:dyDescent="0.25">
      <c r="A158" s="3">
        <v>656</v>
      </c>
      <c r="B158" s="2" t="s">
        <v>161</v>
      </c>
      <c r="C158" s="2" t="s">
        <v>145</v>
      </c>
      <c r="D158" s="5" t="s">
        <v>146</v>
      </c>
      <c r="E158" s="5" t="s">
        <v>147</v>
      </c>
      <c r="F158" s="1">
        <v>72000</v>
      </c>
      <c r="G158" s="1">
        <v>53280</v>
      </c>
      <c r="J158" s="1">
        <v>750</v>
      </c>
      <c r="L158" s="1">
        <v>72750</v>
      </c>
      <c r="M158" s="1">
        <f>F158-G158</f>
        <v>18720</v>
      </c>
      <c r="N158" s="1">
        <f t="shared" si="8"/>
        <v>54030</v>
      </c>
      <c r="O158" s="1">
        <f>N158*[1]Summary!$B$3</f>
        <v>23656.439415201294</v>
      </c>
    </row>
    <row r="159" spans="1:15" x14ac:dyDescent="0.25">
      <c r="A159" s="3">
        <v>813</v>
      </c>
      <c r="B159" s="2" t="s">
        <v>162</v>
      </c>
      <c r="C159" s="2" t="s">
        <v>145</v>
      </c>
      <c r="D159" s="5" t="s">
        <v>146</v>
      </c>
      <c r="E159" s="5" t="s">
        <v>147</v>
      </c>
      <c r="F159" s="1">
        <v>24000</v>
      </c>
      <c r="G159" s="1">
        <v>8400</v>
      </c>
      <c r="J159" s="1">
        <v>750</v>
      </c>
      <c r="L159" s="1">
        <v>24750</v>
      </c>
      <c r="M159" s="1">
        <f>F159-G159</f>
        <v>15600</v>
      </c>
      <c r="N159" s="1">
        <f t="shared" si="8"/>
        <v>9150</v>
      </c>
      <c r="O159" s="1">
        <f>N159*[1]Summary!$B$3</f>
        <v>4006.226552824206</v>
      </c>
    </row>
    <row r="160" spans="1:15" x14ac:dyDescent="0.25">
      <c r="A160" s="3">
        <v>2137</v>
      </c>
      <c r="B160" s="2" t="s">
        <v>163</v>
      </c>
      <c r="C160" s="2" t="s">
        <v>145</v>
      </c>
      <c r="D160" s="5" t="s">
        <v>146</v>
      </c>
      <c r="E160" s="5" t="s">
        <v>147</v>
      </c>
      <c r="F160" s="1">
        <v>64058.52</v>
      </c>
      <c r="G160" s="1">
        <v>22420.49</v>
      </c>
      <c r="J160" s="1">
        <v>1000</v>
      </c>
      <c r="L160" s="1">
        <v>65058.52</v>
      </c>
      <c r="M160" s="1">
        <v>41638.04</v>
      </c>
      <c r="N160" s="1">
        <f t="shared" si="8"/>
        <v>23420.479999999996</v>
      </c>
      <c r="O160" s="1">
        <f>N160*[1]Summary!$B$3</f>
        <v>10254.398782064289</v>
      </c>
    </row>
    <row r="161" spans="1:15" x14ac:dyDescent="0.25">
      <c r="A161" s="3">
        <v>2899</v>
      </c>
      <c r="B161" s="2" t="s">
        <v>164</v>
      </c>
      <c r="C161" s="2" t="s">
        <v>145</v>
      </c>
      <c r="D161" s="5" t="s">
        <v>146</v>
      </c>
      <c r="E161" s="5" t="s">
        <v>147</v>
      </c>
      <c r="F161" s="1">
        <v>31452</v>
      </c>
      <c r="G161" s="1">
        <v>13524.36</v>
      </c>
      <c r="H161" s="1">
        <v>0</v>
      </c>
      <c r="J161" s="1">
        <v>1398</v>
      </c>
      <c r="L161" s="1">
        <v>32850</v>
      </c>
      <c r="M161" s="1">
        <v>17927.64</v>
      </c>
      <c r="N161" s="1">
        <f t="shared" si="8"/>
        <v>14922.36</v>
      </c>
      <c r="O161" s="1">
        <f>N161*[1]Summary!$B$3</f>
        <v>6533.5906953881768</v>
      </c>
    </row>
    <row r="162" spans="1:15" x14ac:dyDescent="0.25">
      <c r="A162" s="3"/>
      <c r="N162" s="9">
        <f>SUM(N144:N161)</f>
        <v>356908.99999999994</v>
      </c>
      <c r="O162" s="9">
        <f>SUM(O144:O161)</f>
        <v>156268.66805922781</v>
      </c>
    </row>
    <row r="163" spans="1:15" x14ac:dyDescent="0.25">
      <c r="A163" s="3"/>
    </row>
    <row r="164" spans="1:15" x14ac:dyDescent="0.25">
      <c r="A164" s="3"/>
    </row>
    <row r="165" spans="1:15" x14ac:dyDescent="0.25">
      <c r="A165" s="3">
        <v>4</v>
      </c>
      <c r="B165" s="2" t="s">
        <v>165</v>
      </c>
      <c r="C165" s="2" t="s">
        <v>166</v>
      </c>
      <c r="D165" s="5" t="s">
        <v>167</v>
      </c>
      <c r="E165" s="5" t="s">
        <v>168</v>
      </c>
      <c r="F165" s="1">
        <v>7179.71</v>
      </c>
      <c r="G165" s="1">
        <v>1435.94</v>
      </c>
      <c r="H165" s="1">
        <v>0</v>
      </c>
      <c r="J165" s="1">
        <v>834.72</v>
      </c>
      <c r="L165" s="1">
        <v>8014.43</v>
      </c>
      <c r="M165" s="1">
        <v>5743.77</v>
      </c>
      <c r="N165" s="1">
        <f t="shared" ref="N165:N173" si="9">L165-M165</f>
        <v>2270.66</v>
      </c>
      <c r="O165" s="1">
        <f>N165*[1]Summary!$B$3</f>
        <v>994.18342999298477</v>
      </c>
    </row>
    <row r="166" spans="1:15" x14ac:dyDescent="0.25">
      <c r="A166" s="3">
        <v>91</v>
      </c>
      <c r="B166" s="2" t="s">
        <v>169</v>
      </c>
      <c r="C166" s="2" t="s">
        <v>166</v>
      </c>
      <c r="D166" s="5" t="s">
        <v>167</v>
      </c>
      <c r="E166" s="5" t="s">
        <v>168</v>
      </c>
      <c r="F166" s="1">
        <v>14234.4</v>
      </c>
      <c r="G166" s="1">
        <v>4267.32</v>
      </c>
      <c r="H166" s="1">
        <v>0</v>
      </c>
      <c r="J166" s="1">
        <v>1563.35</v>
      </c>
      <c r="L166" s="1">
        <v>15797.75</v>
      </c>
      <c r="M166" s="1">
        <v>9967.08</v>
      </c>
      <c r="N166" s="1">
        <f t="shared" si="9"/>
        <v>5830.67</v>
      </c>
      <c r="O166" s="1">
        <f>N166*[1]Summary!$B$3</f>
        <v>2552.8945327601655</v>
      </c>
    </row>
    <row r="167" spans="1:15" x14ac:dyDescent="0.25">
      <c r="A167" s="3">
        <v>94</v>
      </c>
      <c r="B167" s="2" t="s">
        <v>170</v>
      </c>
      <c r="C167" s="2" t="s">
        <v>166</v>
      </c>
      <c r="D167" s="5" t="s">
        <v>167</v>
      </c>
      <c r="E167" s="5" t="s">
        <v>168</v>
      </c>
      <c r="F167" s="1">
        <v>48144</v>
      </c>
      <c r="G167" s="1">
        <v>15888</v>
      </c>
      <c r="H167" s="1">
        <v>0</v>
      </c>
      <c r="J167" s="1">
        <v>5383.22</v>
      </c>
      <c r="L167" s="1">
        <v>53527.22</v>
      </c>
      <c r="M167" s="1">
        <v>32256</v>
      </c>
      <c r="N167" s="1">
        <f t="shared" si="9"/>
        <v>21271.22</v>
      </c>
      <c r="O167" s="1">
        <f>N167*[1]Summary!$B$3</f>
        <v>9313.3690027284501</v>
      </c>
    </row>
    <row r="168" spans="1:15" x14ac:dyDescent="0.25">
      <c r="A168" s="3">
        <v>95</v>
      </c>
      <c r="B168" s="2" t="s">
        <v>171</v>
      </c>
      <c r="C168" s="2" t="s">
        <v>166</v>
      </c>
      <c r="D168" s="5" t="s">
        <v>167</v>
      </c>
      <c r="E168" s="5" t="s">
        <v>168</v>
      </c>
      <c r="F168" s="1">
        <v>20592</v>
      </c>
      <c r="G168" s="1">
        <v>6177.6</v>
      </c>
      <c r="H168" s="1">
        <v>0</v>
      </c>
      <c r="J168" s="1">
        <v>665.91</v>
      </c>
      <c r="L168" s="1">
        <f>J168+F168</f>
        <v>21257.91</v>
      </c>
      <c r="M168" s="1">
        <v>14414</v>
      </c>
      <c r="N168" s="1">
        <f t="shared" si="9"/>
        <v>6843.91</v>
      </c>
      <c r="O168" s="1">
        <f>N168*[1]Summary!$B$3</f>
        <v>2996.5304882119249</v>
      </c>
    </row>
    <row r="169" spans="1:15" x14ac:dyDescent="0.25">
      <c r="A169" s="3">
        <v>97</v>
      </c>
      <c r="B169" s="2" t="s">
        <v>172</v>
      </c>
      <c r="C169" s="2" t="s">
        <v>166</v>
      </c>
      <c r="D169" s="5" t="s">
        <v>167</v>
      </c>
      <c r="E169" s="5" t="s">
        <v>168</v>
      </c>
      <c r="F169" s="1">
        <v>8775</v>
      </c>
      <c r="G169" s="1">
        <v>4725</v>
      </c>
      <c r="H169" s="1">
        <v>0</v>
      </c>
      <c r="J169" s="1">
        <v>1574.74</v>
      </c>
      <c r="L169" s="1">
        <v>15074.74</v>
      </c>
      <c r="M169" s="1">
        <v>8775</v>
      </c>
      <c r="N169" s="1">
        <f t="shared" si="9"/>
        <v>6299.74</v>
      </c>
      <c r="O169" s="1">
        <f>N169*[1]Summary!$B$3</f>
        <v>2758.2716572556023</v>
      </c>
    </row>
    <row r="170" spans="1:15" x14ac:dyDescent="0.25">
      <c r="A170" s="3">
        <v>99</v>
      </c>
      <c r="B170" s="2" t="s">
        <v>173</v>
      </c>
      <c r="C170" s="2" t="s">
        <v>166</v>
      </c>
      <c r="D170" s="5" t="s">
        <v>167</v>
      </c>
      <c r="E170" s="5" t="s">
        <v>168</v>
      </c>
      <c r="F170" s="1">
        <v>16200</v>
      </c>
      <c r="G170" s="1">
        <v>8100</v>
      </c>
      <c r="H170" s="1">
        <v>0</v>
      </c>
      <c r="J170" s="1">
        <v>2519.56</v>
      </c>
      <c r="L170" s="1">
        <f>J170+F170</f>
        <v>18719.560000000001</v>
      </c>
      <c r="M170" s="1">
        <v>8100</v>
      </c>
      <c r="N170" s="1">
        <f t="shared" si="9"/>
        <v>10619.560000000001</v>
      </c>
      <c r="O170" s="1">
        <f>N170*[1]Summary!$B$3</f>
        <v>4649.6571859355008</v>
      </c>
    </row>
    <row r="171" spans="1:15" x14ac:dyDescent="0.25">
      <c r="A171" s="3">
        <v>362</v>
      </c>
      <c r="B171" s="2" t="s">
        <v>174</v>
      </c>
      <c r="C171" s="2" t="s">
        <v>166</v>
      </c>
      <c r="D171" s="5" t="s">
        <v>167</v>
      </c>
      <c r="E171" s="5" t="s">
        <v>168</v>
      </c>
      <c r="F171" s="1">
        <v>22800</v>
      </c>
      <c r="G171" s="1">
        <v>6840</v>
      </c>
      <c r="H171" s="1">
        <v>0</v>
      </c>
      <c r="J171" s="1">
        <v>693</v>
      </c>
      <c r="L171" s="1">
        <f>J171+F171</f>
        <v>23493</v>
      </c>
      <c r="M171" s="1">
        <v>15960</v>
      </c>
      <c r="N171" s="1">
        <f t="shared" si="9"/>
        <v>7533</v>
      </c>
      <c r="O171" s="1">
        <f>N171*[1]Summary!$B$3</f>
        <v>3298.240942341502</v>
      </c>
    </row>
    <row r="172" spans="1:15" x14ac:dyDescent="0.25">
      <c r="A172" s="3">
        <v>577</v>
      </c>
      <c r="B172" s="2" t="s">
        <v>175</v>
      </c>
      <c r="C172" s="2" t="s">
        <v>166</v>
      </c>
      <c r="D172" s="5" t="s">
        <v>167</v>
      </c>
      <c r="E172" s="5" t="s">
        <v>168</v>
      </c>
      <c r="F172" s="1">
        <v>15600</v>
      </c>
      <c r="G172" s="1">
        <v>4680</v>
      </c>
      <c r="H172" s="1">
        <v>0</v>
      </c>
      <c r="J172" s="1">
        <v>908.77</v>
      </c>
      <c r="L172" s="1">
        <v>16508.77</v>
      </c>
      <c r="M172" s="1">
        <v>10920</v>
      </c>
      <c r="N172" s="1">
        <f t="shared" si="9"/>
        <v>5588.77</v>
      </c>
      <c r="O172" s="1">
        <f>N172*[1]Summary!$B$3</f>
        <v>2446.9812865166491</v>
      </c>
    </row>
    <row r="173" spans="1:15" x14ac:dyDescent="0.25">
      <c r="A173" s="3">
        <v>700</v>
      </c>
      <c r="B173" s="2" t="s">
        <v>176</v>
      </c>
      <c r="C173" s="2" t="s">
        <v>166</v>
      </c>
      <c r="D173" s="5" t="s">
        <v>167</v>
      </c>
      <c r="E173" s="5" t="s">
        <v>168</v>
      </c>
      <c r="F173" s="1">
        <v>10500</v>
      </c>
      <c r="G173" s="1">
        <v>6300</v>
      </c>
      <c r="H173" s="1">
        <v>0</v>
      </c>
      <c r="J173" s="1">
        <v>4466.71</v>
      </c>
      <c r="L173" s="1">
        <v>14966.71</v>
      </c>
      <c r="M173" s="1">
        <v>4200</v>
      </c>
      <c r="N173" s="1">
        <f t="shared" si="9"/>
        <v>10766.71</v>
      </c>
      <c r="O173" s="1">
        <f>N173*[1]Summary!$B$3</f>
        <v>4714.085190006328</v>
      </c>
    </row>
    <row r="174" spans="1:15" x14ac:dyDescent="0.25">
      <c r="A174" s="3"/>
      <c r="N174" s="9">
        <f>SUM(N165:N173)</f>
        <v>77024.24000000002</v>
      </c>
      <c r="O174" s="9">
        <f>SUM(O165:O173)</f>
        <v>33724.213715749109</v>
      </c>
    </row>
    <row r="175" spans="1:15" x14ac:dyDescent="0.25">
      <c r="A175" s="3"/>
    </row>
    <row r="176" spans="1:15" x14ac:dyDescent="0.25">
      <c r="A176" s="3"/>
    </row>
    <row r="177" spans="1:15" x14ac:dyDescent="0.25">
      <c r="A177" s="3">
        <v>1</v>
      </c>
      <c r="B177" s="2" t="s">
        <v>177</v>
      </c>
      <c r="C177" s="2" t="s">
        <v>178</v>
      </c>
      <c r="D177" s="5" t="s">
        <v>179</v>
      </c>
      <c r="E177" s="5" t="s">
        <v>168</v>
      </c>
      <c r="F177" s="1">
        <v>21827.4</v>
      </c>
      <c r="G177" s="1">
        <v>6476.28</v>
      </c>
      <c r="H177" s="1">
        <v>0</v>
      </c>
      <c r="J177" s="1">
        <v>2745.58</v>
      </c>
      <c r="L177" s="1">
        <v>24572.98</v>
      </c>
      <c r="M177" s="1">
        <v>15351.12</v>
      </c>
      <c r="N177" s="1">
        <f t="shared" ref="N177:N198" si="10">L177-M177</f>
        <v>9221.8599999999988</v>
      </c>
      <c r="O177" s="1">
        <f>N177*[1]Summary!$B$3</f>
        <v>4037.6896610303202</v>
      </c>
    </row>
    <row r="178" spans="1:15" x14ac:dyDescent="0.25">
      <c r="A178" s="3">
        <v>1</v>
      </c>
      <c r="B178" s="2" t="s">
        <v>180</v>
      </c>
      <c r="C178" s="2" t="s">
        <v>178</v>
      </c>
      <c r="D178" s="5" t="s">
        <v>179</v>
      </c>
      <c r="E178" s="5" t="s">
        <v>168</v>
      </c>
      <c r="F178" s="1">
        <v>951160.74</v>
      </c>
      <c r="G178" s="1">
        <v>228278.58</v>
      </c>
      <c r="H178" s="1">
        <v>0</v>
      </c>
      <c r="J178" s="1">
        <v>0</v>
      </c>
      <c r="L178" s="1">
        <v>951160.74</v>
      </c>
      <c r="M178" s="1">
        <v>722882.16</v>
      </c>
      <c r="N178" s="1">
        <f t="shared" si="10"/>
        <v>228278.57999999996</v>
      </c>
      <c r="O178" s="1">
        <f>N178*[1]Summary!$B$3</f>
        <v>99949.257774536018</v>
      </c>
    </row>
    <row r="179" spans="1:15" x14ac:dyDescent="0.25">
      <c r="A179" s="3">
        <v>51</v>
      </c>
      <c r="B179" s="2" t="s">
        <v>181</v>
      </c>
      <c r="C179" s="2" t="s">
        <v>178</v>
      </c>
      <c r="D179" s="5" t="s">
        <v>179</v>
      </c>
      <c r="E179" s="5" t="s">
        <v>168</v>
      </c>
      <c r="F179" s="1">
        <v>30450</v>
      </c>
      <c r="G179" s="1">
        <v>15225</v>
      </c>
      <c r="H179" s="1">
        <v>0</v>
      </c>
      <c r="J179" s="1">
        <v>0</v>
      </c>
      <c r="L179" s="1">
        <v>30450</v>
      </c>
      <c r="M179" s="1">
        <v>15225</v>
      </c>
      <c r="N179" s="1">
        <f t="shared" si="10"/>
        <v>15225</v>
      </c>
      <c r="O179" s="1">
        <f>N179*[1]Summary!$B$3</f>
        <v>6666.098280518966</v>
      </c>
    </row>
    <row r="180" spans="1:15" x14ac:dyDescent="0.25">
      <c r="A180" s="3">
        <v>181</v>
      </c>
      <c r="B180" s="2" t="s">
        <v>182</v>
      </c>
      <c r="C180" s="2" t="s">
        <v>178</v>
      </c>
      <c r="D180" s="5" t="s">
        <v>179</v>
      </c>
      <c r="E180" s="5" t="s">
        <v>168</v>
      </c>
      <c r="F180" s="1">
        <v>25695</v>
      </c>
      <c r="G180" s="1">
        <v>8482.7999999999993</v>
      </c>
      <c r="H180" s="1">
        <v>0</v>
      </c>
      <c r="J180" s="1">
        <v>0</v>
      </c>
      <c r="L180" s="1">
        <v>25695</v>
      </c>
      <c r="M180" s="1">
        <v>17212.2</v>
      </c>
      <c r="N180" s="1">
        <f t="shared" si="10"/>
        <v>8482.7999999999993</v>
      </c>
      <c r="O180" s="1">
        <f>N180*[1]Summary!$B$3</f>
        <v>3714.10039369368</v>
      </c>
    </row>
    <row r="181" spans="1:15" x14ac:dyDescent="0.25">
      <c r="A181" s="3">
        <v>182</v>
      </c>
      <c r="B181" s="2" t="s">
        <v>183</v>
      </c>
      <c r="C181" s="2" t="s">
        <v>178</v>
      </c>
      <c r="D181" s="5" t="s">
        <v>179</v>
      </c>
      <c r="E181" s="5" t="s">
        <v>168</v>
      </c>
      <c r="F181" s="1">
        <v>49182.96</v>
      </c>
      <c r="G181" s="1">
        <v>14674.83</v>
      </c>
      <c r="H181" s="1">
        <v>0</v>
      </c>
      <c r="J181" s="1">
        <v>0</v>
      </c>
      <c r="K181" s="1">
        <v>3274.83</v>
      </c>
      <c r="L181" s="1">
        <v>52457.79</v>
      </c>
      <c r="M181" s="1">
        <v>34508.129999999997</v>
      </c>
      <c r="N181" s="1">
        <f t="shared" si="10"/>
        <v>17949.660000000003</v>
      </c>
      <c r="O181" s="1">
        <f>N181*[1]Summary!$B$3</f>
        <v>7859.060601766836</v>
      </c>
    </row>
    <row r="182" spans="1:15" x14ac:dyDescent="0.25">
      <c r="A182" s="3">
        <v>186</v>
      </c>
      <c r="B182" s="2" t="s">
        <v>184</v>
      </c>
      <c r="C182" s="2" t="s">
        <v>178</v>
      </c>
      <c r="D182" s="5" t="s">
        <v>179</v>
      </c>
      <c r="E182" s="5" t="s">
        <v>168</v>
      </c>
      <c r="F182" s="1">
        <v>34315.199999999997</v>
      </c>
      <c r="G182" s="1">
        <v>13726.08</v>
      </c>
      <c r="H182" s="1">
        <v>0</v>
      </c>
      <c r="J182" s="1">
        <v>0</v>
      </c>
      <c r="K182" s="1">
        <v>0</v>
      </c>
      <c r="L182" s="1">
        <v>34315.199999999997</v>
      </c>
      <c r="M182" s="1">
        <v>20589.12</v>
      </c>
      <c r="N182" s="1">
        <f t="shared" si="10"/>
        <v>13726.079999999998</v>
      </c>
      <c r="O182" s="1">
        <f>N182*[1]Summary!$B$3</f>
        <v>6009.8126953212313</v>
      </c>
    </row>
    <row r="183" spans="1:15" x14ac:dyDescent="0.25">
      <c r="A183" s="3">
        <v>463</v>
      </c>
      <c r="B183" s="2" t="s">
        <v>185</v>
      </c>
      <c r="C183" s="2" t="s">
        <v>178</v>
      </c>
      <c r="D183" s="5" t="s">
        <v>179</v>
      </c>
      <c r="E183" s="5" t="s">
        <v>168</v>
      </c>
      <c r="F183" s="1">
        <v>38162.14</v>
      </c>
      <c r="G183" s="1">
        <v>11448.64</v>
      </c>
      <c r="H183" s="1">
        <v>0</v>
      </c>
      <c r="J183" s="1">
        <v>0</v>
      </c>
      <c r="K183" s="1">
        <v>0</v>
      </c>
      <c r="L183" s="1">
        <v>38162.14</v>
      </c>
      <c r="M183" s="1">
        <v>26713.5</v>
      </c>
      <c r="N183" s="1">
        <f t="shared" si="10"/>
        <v>11448.64</v>
      </c>
      <c r="O183" s="1">
        <f>N183*[1]Summary!$B$3</f>
        <v>5012.6607171284495</v>
      </c>
    </row>
    <row r="184" spans="1:15" x14ac:dyDescent="0.25">
      <c r="A184" s="3">
        <v>465</v>
      </c>
      <c r="B184" s="2" t="s">
        <v>186</v>
      </c>
      <c r="C184" s="2" t="s">
        <v>178</v>
      </c>
      <c r="D184" s="5" t="s">
        <v>179</v>
      </c>
      <c r="E184" s="5" t="s">
        <v>168</v>
      </c>
      <c r="F184" s="1">
        <v>34279.199999999997</v>
      </c>
      <c r="G184" s="1">
        <v>13368.89</v>
      </c>
      <c r="H184" s="1">
        <v>0</v>
      </c>
      <c r="J184" s="1">
        <v>0</v>
      </c>
      <c r="K184" s="1">
        <v>0</v>
      </c>
      <c r="L184" s="1">
        <v>34279.199999999997</v>
      </c>
      <c r="M184" s="1">
        <v>20910.310000000001</v>
      </c>
      <c r="N184" s="1">
        <f t="shared" si="10"/>
        <v>13368.889999999996</v>
      </c>
      <c r="O184" s="1">
        <f>N184*[1]Summary!$B$3</f>
        <v>5853.4209945121293</v>
      </c>
    </row>
    <row r="185" spans="1:15" x14ac:dyDescent="0.25">
      <c r="A185" s="3">
        <v>466</v>
      </c>
      <c r="B185" s="2" t="s">
        <v>187</v>
      </c>
      <c r="C185" s="2" t="s">
        <v>178</v>
      </c>
      <c r="D185" s="5" t="s">
        <v>179</v>
      </c>
      <c r="E185" s="5" t="s">
        <v>168</v>
      </c>
      <c r="F185" s="1">
        <v>19320</v>
      </c>
      <c r="G185" s="1">
        <v>8694</v>
      </c>
      <c r="H185" s="1">
        <v>0</v>
      </c>
      <c r="J185" s="1">
        <v>0</v>
      </c>
      <c r="K185" s="1">
        <v>0</v>
      </c>
      <c r="L185" s="1">
        <v>19320</v>
      </c>
      <c r="M185" s="1">
        <v>10626</v>
      </c>
      <c r="N185" s="1">
        <f t="shared" si="10"/>
        <v>8694</v>
      </c>
      <c r="O185" s="1">
        <f>N185*[1]Summary!$B$3</f>
        <v>3806.5719836342782</v>
      </c>
    </row>
    <row r="186" spans="1:15" x14ac:dyDescent="0.25">
      <c r="A186" s="3">
        <v>726</v>
      </c>
      <c r="B186" s="2" t="s">
        <v>188</v>
      </c>
      <c r="C186" s="2" t="s">
        <v>178</v>
      </c>
      <c r="D186" s="5" t="s">
        <v>179</v>
      </c>
      <c r="E186" s="5" t="s">
        <v>168</v>
      </c>
      <c r="F186" s="1">
        <v>22800</v>
      </c>
      <c r="G186" s="1">
        <v>13224</v>
      </c>
      <c r="H186" s="1">
        <v>0</v>
      </c>
      <c r="J186" s="1">
        <v>0</v>
      </c>
      <c r="K186" s="1">
        <v>0</v>
      </c>
      <c r="L186" s="1">
        <v>22800</v>
      </c>
      <c r="M186" s="1">
        <v>9576</v>
      </c>
      <c r="N186" s="1">
        <f t="shared" si="10"/>
        <v>13224</v>
      </c>
      <c r="O186" s="1">
        <f>N186*[1]Summary!$B$3</f>
        <v>5789.9825065079012</v>
      </c>
    </row>
    <row r="187" spans="1:15" x14ac:dyDescent="0.25">
      <c r="A187" s="3">
        <v>727</v>
      </c>
      <c r="B187" s="2" t="s">
        <v>189</v>
      </c>
      <c r="C187" s="2" t="s">
        <v>178</v>
      </c>
      <c r="D187" s="5" t="s">
        <v>179</v>
      </c>
      <c r="E187" s="5" t="s">
        <v>168</v>
      </c>
      <c r="F187" s="1">
        <v>22625</v>
      </c>
      <c r="G187" s="1">
        <v>13122.5</v>
      </c>
      <c r="H187" s="1">
        <v>0</v>
      </c>
      <c r="J187" s="1">
        <v>0</v>
      </c>
      <c r="K187" s="1">
        <v>0</v>
      </c>
      <c r="L187" s="1">
        <v>22625</v>
      </c>
      <c r="M187" s="1">
        <v>9502.5</v>
      </c>
      <c r="N187" s="1">
        <f t="shared" si="10"/>
        <v>13122.5</v>
      </c>
      <c r="O187" s="1">
        <f>N187*[1]Summary!$B$3</f>
        <v>5745.5418513044415</v>
      </c>
    </row>
    <row r="188" spans="1:15" x14ac:dyDescent="0.25">
      <c r="A188" s="3">
        <v>739</v>
      </c>
      <c r="B188" s="2" t="s">
        <v>190</v>
      </c>
      <c r="C188" s="2" t="s">
        <v>178</v>
      </c>
      <c r="D188" s="5" t="s">
        <v>179</v>
      </c>
      <c r="E188" s="5" t="s">
        <v>168</v>
      </c>
      <c r="F188" s="1">
        <v>13957.73</v>
      </c>
      <c r="G188" s="1">
        <v>6978.86</v>
      </c>
      <c r="H188" s="1">
        <v>0</v>
      </c>
      <c r="J188" s="1">
        <v>0</v>
      </c>
      <c r="K188" s="1">
        <v>0</v>
      </c>
      <c r="L188" s="1">
        <v>13957.73</v>
      </c>
      <c r="M188" s="1">
        <v>6978.87</v>
      </c>
      <c r="N188" s="1">
        <f t="shared" si="10"/>
        <v>6978.86</v>
      </c>
      <c r="O188" s="1">
        <f>N188*[1]Summary!$B$3</f>
        <v>3055.6168568789876</v>
      </c>
    </row>
    <row r="189" spans="1:15" x14ac:dyDescent="0.25">
      <c r="A189" s="3">
        <v>741</v>
      </c>
      <c r="B189" s="2" t="s">
        <v>191</v>
      </c>
      <c r="C189" s="2" t="s">
        <v>178</v>
      </c>
      <c r="D189" s="5" t="s">
        <v>179</v>
      </c>
      <c r="E189" s="5" t="s">
        <v>168</v>
      </c>
      <c r="F189" s="1">
        <v>39240</v>
      </c>
      <c r="G189" s="1">
        <v>13341.6</v>
      </c>
      <c r="H189" s="1">
        <v>0</v>
      </c>
      <c r="J189" s="1">
        <v>0</v>
      </c>
      <c r="K189" s="1">
        <v>0</v>
      </c>
      <c r="L189" s="1">
        <v>39240</v>
      </c>
      <c r="M189" s="1">
        <v>25898.400000000001</v>
      </c>
      <c r="N189" s="1">
        <f t="shared" si="10"/>
        <v>13341.599999999999</v>
      </c>
      <c r="O189" s="1">
        <f>N189*[1]Summary!$B$3</f>
        <v>5841.4723690884612</v>
      </c>
    </row>
    <row r="190" spans="1:15" x14ac:dyDescent="0.25">
      <c r="A190" s="3">
        <v>742</v>
      </c>
      <c r="B190" s="2" t="s">
        <v>192</v>
      </c>
      <c r="C190" s="2" t="s">
        <v>178</v>
      </c>
      <c r="D190" s="5" t="s">
        <v>179</v>
      </c>
      <c r="E190" s="5" t="s">
        <v>168</v>
      </c>
      <c r="F190" s="1">
        <v>58920</v>
      </c>
      <c r="G190" s="1">
        <v>24746.400000000001</v>
      </c>
      <c r="H190" s="1">
        <v>0</v>
      </c>
      <c r="J190" s="1">
        <v>0</v>
      </c>
      <c r="K190" s="1">
        <v>0</v>
      </c>
      <c r="L190" s="1">
        <v>58920</v>
      </c>
      <c r="M190" s="1">
        <v>34173.599999999999</v>
      </c>
      <c r="N190" s="1">
        <f t="shared" si="10"/>
        <v>24746.400000000001</v>
      </c>
      <c r="O190" s="1">
        <f>N190*[1]Summary!$B$3</f>
        <v>10834.938225880758</v>
      </c>
    </row>
    <row r="191" spans="1:15" x14ac:dyDescent="0.25">
      <c r="A191" s="3">
        <v>748</v>
      </c>
      <c r="B191" s="2" t="s">
        <v>193</v>
      </c>
      <c r="C191" s="2" t="s">
        <v>178</v>
      </c>
      <c r="D191" s="5" t="s">
        <v>179</v>
      </c>
      <c r="E191" s="5" t="s">
        <v>168</v>
      </c>
      <c r="F191" s="1">
        <v>42572.88</v>
      </c>
      <c r="G191" s="1">
        <v>22282.63</v>
      </c>
      <c r="H191" s="1">
        <v>0</v>
      </c>
      <c r="J191" s="1">
        <v>0</v>
      </c>
      <c r="K191" s="1">
        <v>0</v>
      </c>
      <c r="L191" s="1">
        <v>42572.88</v>
      </c>
      <c r="M191" s="1">
        <v>20290.25</v>
      </c>
      <c r="N191" s="1">
        <f t="shared" si="10"/>
        <v>22282.629999999997</v>
      </c>
      <c r="O191" s="1">
        <f>N191*[1]Summary!$B$3</f>
        <v>9756.2037128696429</v>
      </c>
    </row>
    <row r="192" spans="1:15" x14ac:dyDescent="0.25">
      <c r="A192" s="3">
        <v>750</v>
      </c>
      <c r="B192" s="2" t="s">
        <v>194</v>
      </c>
      <c r="C192" s="2" t="s">
        <v>178</v>
      </c>
      <c r="D192" s="5" t="s">
        <v>179</v>
      </c>
      <c r="E192" s="5" t="s">
        <v>168</v>
      </c>
      <c r="F192" s="1">
        <v>67500</v>
      </c>
      <c r="G192" s="1">
        <v>36450</v>
      </c>
      <c r="H192" s="1">
        <v>0</v>
      </c>
      <c r="J192" s="1">
        <v>0</v>
      </c>
      <c r="K192" s="1">
        <v>0</v>
      </c>
      <c r="L192" s="1">
        <v>67500</v>
      </c>
      <c r="M192" s="1">
        <v>31050</v>
      </c>
      <c r="N192" s="1">
        <f t="shared" si="10"/>
        <v>36450</v>
      </c>
      <c r="O192" s="1">
        <f>N192*[1]Summary!$B$3</f>
        <v>15959.230366168558</v>
      </c>
    </row>
    <row r="193" spans="1:15" x14ac:dyDescent="0.25">
      <c r="A193" s="3">
        <v>879</v>
      </c>
      <c r="B193" s="2" t="s">
        <v>195</v>
      </c>
      <c r="C193" s="2" t="s">
        <v>178</v>
      </c>
      <c r="D193" s="5" t="s">
        <v>179</v>
      </c>
      <c r="E193" s="5" t="s">
        <v>168</v>
      </c>
      <c r="F193" s="1">
        <v>36960</v>
      </c>
      <c r="G193" s="1">
        <v>22176</v>
      </c>
      <c r="H193" s="1">
        <v>0</v>
      </c>
      <c r="J193" s="1">
        <v>0</v>
      </c>
      <c r="K193" s="1">
        <v>0</v>
      </c>
      <c r="L193" s="1">
        <v>36960</v>
      </c>
      <c r="M193" s="1">
        <v>14784</v>
      </c>
      <c r="N193" s="1">
        <f t="shared" si="10"/>
        <v>22176</v>
      </c>
      <c r="O193" s="1">
        <f>N193*[1]Summary!$B$3</f>
        <v>9709.5169437627974</v>
      </c>
    </row>
    <row r="194" spans="1:15" x14ac:dyDescent="0.25">
      <c r="A194" s="3">
        <v>881</v>
      </c>
      <c r="B194" s="2" t="s">
        <v>196</v>
      </c>
      <c r="C194" s="2" t="s">
        <v>178</v>
      </c>
      <c r="D194" s="5" t="s">
        <v>179</v>
      </c>
      <c r="E194" s="5" t="s">
        <v>168</v>
      </c>
      <c r="F194" s="1">
        <v>17544</v>
      </c>
      <c r="G194" s="1">
        <v>10526.4</v>
      </c>
      <c r="H194" s="1">
        <v>0</v>
      </c>
      <c r="J194" s="1">
        <v>0</v>
      </c>
      <c r="K194" s="1">
        <v>0</v>
      </c>
      <c r="L194" s="1">
        <v>17544</v>
      </c>
      <c r="M194" s="1">
        <v>7017.6</v>
      </c>
      <c r="N194" s="1">
        <f t="shared" si="10"/>
        <v>10526.4</v>
      </c>
      <c r="O194" s="1">
        <f>N194*[1]Summary!$B$3</f>
        <v>4608.8681077211713</v>
      </c>
    </row>
    <row r="195" spans="1:15" x14ac:dyDescent="0.25">
      <c r="A195" s="3">
        <v>882</v>
      </c>
      <c r="B195" s="2" t="s">
        <v>197</v>
      </c>
      <c r="C195" s="2" t="s">
        <v>178</v>
      </c>
      <c r="D195" s="5" t="s">
        <v>179</v>
      </c>
      <c r="E195" s="5" t="s">
        <v>168</v>
      </c>
      <c r="F195" s="1">
        <v>22539.73</v>
      </c>
      <c r="G195" s="1">
        <v>10756.82</v>
      </c>
      <c r="H195" s="1">
        <v>0</v>
      </c>
      <c r="J195" s="1">
        <v>0</v>
      </c>
      <c r="K195" s="1">
        <v>427.8</v>
      </c>
      <c r="L195" s="1">
        <v>22967.53</v>
      </c>
      <c r="M195" s="1">
        <v>11782.91</v>
      </c>
      <c r="N195" s="1">
        <f t="shared" si="10"/>
        <v>11184.619999999999</v>
      </c>
      <c r="O195" s="1">
        <f>N195*[1]Summary!$B$3</f>
        <v>4897.0624729233514</v>
      </c>
    </row>
    <row r="196" spans="1:15" x14ac:dyDescent="0.25">
      <c r="A196" s="3">
        <v>883</v>
      </c>
      <c r="B196" s="2" t="s">
        <v>198</v>
      </c>
      <c r="C196" s="2" t="s">
        <v>178</v>
      </c>
      <c r="D196" s="5" t="s">
        <v>179</v>
      </c>
      <c r="E196" s="5" t="s">
        <v>168</v>
      </c>
      <c r="F196" s="1">
        <v>20832</v>
      </c>
      <c r="G196" s="1">
        <v>11040.96</v>
      </c>
      <c r="H196" s="1">
        <v>0</v>
      </c>
      <c r="J196" s="1">
        <v>0</v>
      </c>
      <c r="K196" s="1">
        <v>3076.62</v>
      </c>
      <c r="L196" s="1">
        <v>23908.62</v>
      </c>
      <c r="M196" s="1">
        <v>9791.0400000000009</v>
      </c>
      <c r="N196" s="1">
        <f t="shared" si="10"/>
        <v>14117.579999999998</v>
      </c>
      <c r="O196" s="1">
        <f>N196*[1]Summary!$B$3</f>
        <v>6181.2266511060052</v>
      </c>
    </row>
    <row r="197" spans="1:15" x14ac:dyDescent="0.25">
      <c r="A197" s="3">
        <v>2174</v>
      </c>
      <c r="B197" s="2" t="s">
        <v>199</v>
      </c>
      <c r="C197" s="2" t="s">
        <v>178</v>
      </c>
      <c r="D197" s="5" t="s">
        <v>179</v>
      </c>
      <c r="E197" s="5" t="s">
        <v>168</v>
      </c>
      <c r="F197" s="1">
        <v>39576</v>
      </c>
      <c r="G197" s="1">
        <v>10194.959999999999</v>
      </c>
      <c r="H197" s="1">
        <v>0</v>
      </c>
      <c r="J197" s="1">
        <v>0</v>
      </c>
      <c r="K197" s="1">
        <v>0</v>
      </c>
      <c r="L197" s="1">
        <v>39576</v>
      </c>
      <c r="M197" s="1">
        <v>29381.040000000001</v>
      </c>
      <c r="N197" s="1">
        <f t="shared" si="10"/>
        <v>10194.959999999999</v>
      </c>
      <c r="O197" s="1">
        <f>N197*[1]Summary!$B$3</f>
        <v>4463.7507603257554</v>
      </c>
    </row>
    <row r="198" spans="1:15" x14ac:dyDescent="0.25">
      <c r="A198" s="3">
        <v>2687</v>
      </c>
      <c r="B198" s="2" t="s">
        <v>200</v>
      </c>
      <c r="C198" s="2" t="s">
        <v>178</v>
      </c>
      <c r="D198" s="5" t="s">
        <v>179</v>
      </c>
      <c r="E198" s="5" t="s">
        <v>168</v>
      </c>
      <c r="F198" s="1">
        <v>109393.14</v>
      </c>
      <c r="G198" s="1">
        <v>59072.3</v>
      </c>
      <c r="H198" s="1">
        <v>0</v>
      </c>
      <c r="J198" s="1">
        <v>0</v>
      </c>
      <c r="K198" s="1">
        <v>0</v>
      </c>
      <c r="L198" s="1">
        <v>109393.14</v>
      </c>
      <c r="M198" s="1">
        <v>50320.84</v>
      </c>
      <c r="N198" s="1">
        <f t="shared" si="10"/>
        <v>59072.3</v>
      </c>
      <c r="O198" s="1">
        <f>N198*[1]Summary!$B$3</f>
        <v>25864.154841136322</v>
      </c>
    </row>
    <row r="199" spans="1:15" x14ac:dyDescent="0.25">
      <c r="A199" s="3"/>
      <c r="N199" s="9">
        <f>SUM(N177:N198)</f>
        <v>583813.36</v>
      </c>
      <c r="O199" s="9">
        <f>SUM(O177:O198)</f>
        <v>255616.23876781607</v>
      </c>
    </row>
    <row r="200" spans="1:15" x14ac:dyDescent="0.25">
      <c r="A200" s="3"/>
    </row>
    <row r="201" spans="1:15" x14ac:dyDescent="0.25">
      <c r="A201" s="3"/>
    </row>
    <row r="202" spans="1:15" x14ac:dyDescent="0.25">
      <c r="A202" s="3">
        <v>93</v>
      </c>
      <c r="B202" s="2" t="s">
        <v>201</v>
      </c>
      <c r="C202" s="2" t="s">
        <v>202</v>
      </c>
      <c r="D202" s="5" t="s">
        <v>203</v>
      </c>
      <c r="E202" s="5" t="s">
        <v>147</v>
      </c>
      <c r="F202" s="1">
        <v>20673.27</v>
      </c>
      <c r="G202" s="1">
        <v>7442.4</v>
      </c>
      <c r="H202" s="1">
        <v>0</v>
      </c>
      <c r="J202" s="1">
        <v>2361.54</v>
      </c>
      <c r="K202" s="1">
        <v>0</v>
      </c>
      <c r="L202" s="1">
        <v>23034.81</v>
      </c>
      <c r="M202" s="1">
        <v>13230.87</v>
      </c>
      <c r="N202" s="1">
        <f t="shared" ref="N202:N216" si="11">L202-M202</f>
        <v>9803.94</v>
      </c>
      <c r="O202" s="1">
        <f>N202*[1]Summary!$B$3</f>
        <v>4292.5469672453937</v>
      </c>
    </row>
    <row r="203" spans="1:15" x14ac:dyDescent="0.25">
      <c r="A203" s="3">
        <v>166</v>
      </c>
      <c r="B203" s="2" t="s">
        <v>204</v>
      </c>
      <c r="C203" s="2" t="s">
        <v>202</v>
      </c>
      <c r="D203" s="5" t="s">
        <v>203</v>
      </c>
      <c r="E203" s="5" t="s">
        <v>147</v>
      </c>
      <c r="F203" s="1">
        <v>38648.370000000003</v>
      </c>
      <c r="G203" s="1">
        <v>13140.45</v>
      </c>
      <c r="H203" s="1">
        <v>0</v>
      </c>
      <c r="J203" s="1">
        <v>2292.81</v>
      </c>
      <c r="K203" s="1">
        <v>0</v>
      </c>
      <c r="L203" s="1">
        <v>40941.18</v>
      </c>
      <c r="M203" s="1">
        <v>25507.919999999998</v>
      </c>
      <c r="N203" s="1">
        <f t="shared" si="11"/>
        <v>15433.260000000002</v>
      </c>
      <c r="O203" s="1">
        <f>N203*[1]Summary!$B$3</f>
        <v>6757.2826238950511</v>
      </c>
    </row>
    <row r="204" spans="1:15" x14ac:dyDescent="0.25">
      <c r="A204" s="3">
        <v>361</v>
      </c>
      <c r="B204" s="2" t="s">
        <v>205</v>
      </c>
      <c r="C204" s="2" t="s">
        <v>202</v>
      </c>
      <c r="D204" s="5" t="s">
        <v>203</v>
      </c>
      <c r="E204" s="5" t="s">
        <v>147</v>
      </c>
      <c r="F204" s="1">
        <v>46303.65</v>
      </c>
      <c r="G204" s="1">
        <v>16206.28</v>
      </c>
      <c r="H204" s="1">
        <v>0</v>
      </c>
      <c r="J204" s="1">
        <v>1187.48</v>
      </c>
      <c r="K204" s="1">
        <v>0</v>
      </c>
      <c r="L204" s="1">
        <v>47491.13</v>
      </c>
      <c r="M204" s="1">
        <v>30097.37</v>
      </c>
      <c r="N204" s="1">
        <f t="shared" si="11"/>
        <v>17393.759999999998</v>
      </c>
      <c r="O204" s="1">
        <f>N204*[1]Summary!$B$3</f>
        <v>7615.6659197214813</v>
      </c>
    </row>
    <row r="205" spans="1:15" x14ac:dyDescent="0.25">
      <c r="A205" s="3">
        <v>381</v>
      </c>
      <c r="B205" s="2" t="s">
        <v>206</v>
      </c>
      <c r="C205" s="2" t="s">
        <v>202</v>
      </c>
      <c r="D205" s="5" t="s">
        <v>203</v>
      </c>
      <c r="E205" s="5" t="s">
        <v>147</v>
      </c>
      <c r="F205" s="1">
        <v>62719.05</v>
      </c>
      <c r="G205" s="1">
        <v>22818.07</v>
      </c>
      <c r="H205" s="1">
        <v>0</v>
      </c>
      <c r="J205" s="1">
        <v>4290.42</v>
      </c>
      <c r="K205" s="1">
        <v>0</v>
      </c>
      <c r="L205" s="1">
        <v>67009.47</v>
      </c>
      <c r="M205" s="1">
        <v>39900.980000000003</v>
      </c>
      <c r="N205" s="1">
        <f t="shared" si="11"/>
        <v>27108.489999999998</v>
      </c>
      <c r="O205" s="1">
        <f>N205*[1]Summary!$B$3</f>
        <v>11869.153272674257</v>
      </c>
    </row>
    <row r="206" spans="1:15" x14ac:dyDescent="0.25">
      <c r="A206" s="3">
        <v>695</v>
      </c>
      <c r="B206" s="2" t="s">
        <v>207</v>
      </c>
      <c r="C206" s="2" t="s">
        <v>202</v>
      </c>
      <c r="D206" s="5" t="s">
        <v>203</v>
      </c>
      <c r="E206" s="5" t="s">
        <v>147</v>
      </c>
      <c r="F206" s="1">
        <v>40729.68</v>
      </c>
      <c r="G206" s="1">
        <v>12218.9</v>
      </c>
      <c r="H206" s="1">
        <v>0</v>
      </c>
      <c r="J206" s="1">
        <v>1601.99</v>
      </c>
      <c r="K206" s="1">
        <v>0</v>
      </c>
      <c r="L206" s="1">
        <v>42331.67</v>
      </c>
      <c r="M206" s="1">
        <v>28510.78</v>
      </c>
      <c r="N206" s="1">
        <f t="shared" si="11"/>
        <v>13820.89</v>
      </c>
      <c r="O206" s="1">
        <f>N206*[1]Summary!$B$3</f>
        <v>6051.3242078319718</v>
      </c>
    </row>
    <row r="207" spans="1:15" x14ac:dyDescent="0.25">
      <c r="A207" s="3">
        <v>696</v>
      </c>
      <c r="B207" s="2" t="s">
        <v>208</v>
      </c>
      <c r="C207" s="2" t="s">
        <v>202</v>
      </c>
      <c r="D207" s="5" t="s">
        <v>203</v>
      </c>
      <c r="E207" s="5" t="s">
        <v>147</v>
      </c>
      <c r="F207" s="1">
        <v>26470.799999999999</v>
      </c>
      <c r="G207" s="1">
        <v>7941.24</v>
      </c>
      <c r="H207" s="1">
        <v>0</v>
      </c>
      <c r="J207" s="1">
        <v>1161.3699999999999</v>
      </c>
      <c r="K207" s="1">
        <v>0</v>
      </c>
      <c r="L207" s="1">
        <v>27632.17</v>
      </c>
      <c r="M207" s="1">
        <v>18529.560000000001</v>
      </c>
      <c r="N207" s="1">
        <f t="shared" si="11"/>
        <v>9102.6099999999969</v>
      </c>
      <c r="O207" s="1">
        <f>N207*[1]Summary!$B$3</f>
        <v>3985.4773641533479</v>
      </c>
    </row>
    <row r="208" spans="1:15" x14ac:dyDescent="0.25">
      <c r="A208" s="3">
        <v>701</v>
      </c>
      <c r="B208" s="2" t="s">
        <v>209</v>
      </c>
      <c r="C208" s="2" t="s">
        <v>202</v>
      </c>
      <c r="D208" s="5" t="s">
        <v>203</v>
      </c>
      <c r="E208" s="5" t="s">
        <v>147</v>
      </c>
      <c r="F208" s="1">
        <v>69857.600000000006</v>
      </c>
      <c r="G208" s="1">
        <v>20957.28</v>
      </c>
      <c r="H208" s="1">
        <v>0</v>
      </c>
      <c r="J208" s="1">
        <v>6276.91</v>
      </c>
      <c r="K208" s="1">
        <v>0</v>
      </c>
      <c r="L208" s="1">
        <v>76134.509999999995</v>
      </c>
      <c r="M208" s="1">
        <v>48900.32</v>
      </c>
      <c r="N208" s="1">
        <f t="shared" si="11"/>
        <v>27234.189999999995</v>
      </c>
      <c r="O208" s="1">
        <f>N208*[1]Summary!$B$3</f>
        <v>11924.189630891742</v>
      </c>
    </row>
    <row r="209" spans="1:15" x14ac:dyDescent="0.25">
      <c r="A209" s="3">
        <v>704</v>
      </c>
      <c r="B209" s="2" t="s">
        <v>210</v>
      </c>
      <c r="C209" s="2" t="s">
        <v>202</v>
      </c>
      <c r="D209" s="5" t="s">
        <v>203</v>
      </c>
      <c r="E209" s="5" t="s">
        <v>147</v>
      </c>
      <c r="F209" s="1">
        <v>46873.68</v>
      </c>
      <c r="G209" s="1">
        <v>23905.58</v>
      </c>
      <c r="H209" s="1">
        <v>0</v>
      </c>
      <c r="J209" s="1">
        <v>3851.46</v>
      </c>
      <c r="K209" s="1">
        <v>0</v>
      </c>
      <c r="L209" s="1">
        <v>50725.14</v>
      </c>
      <c r="M209" s="1">
        <v>22968.1</v>
      </c>
      <c r="N209" s="1">
        <f t="shared" si="11"/>
        <v>27757.040000000001</v>
      </c>
      <c r="O209" s="1">
        <f>N209*[1]Summary!$B$3</f>
        <v>12153.113735060502</v>
      </c>
    </row>
    <row r="210" spans="1:15" x14ac:dyDescent="0.25">
      <c r="A210" s="3">
        <v>706</v>
      </c>
      <c r="B210" s="2" t="s">
        <v>211</v>
      </c>
      <c r="C210" s="2" t="s">
        <v>202</v>
      </c>
      <c r="D210" s="5" t="s">
        <v>203</v>
      </c>
      <c r="E210" s="5" t="s">
        <v>147</v>
      </c>
      <c r="F210" s="1">
        <v>35072.46</v>
      </c>
      <c r="G210" s="1">
        <v>12275.37</v>
      </c>
      <c r="H210" s="1">
        <v>0</v>
      </c>
      <c r="J210" s="1">
        <v>4866.78</v>
      </c>
      <c r="K210" s="1">
        <v>0</v>
      </c>
      <c r="L210" s="1">
        <v>39939.24</v>
      </c>
      <c r="M210" s="1">
        <v>22797.09</v>
      </c>
      <c r="N210" s="1">
        <f t="shared" si="11"/>
        <v>17142.149999999998</v>
      </c>
      <c r="O210" s="1">
        <f>N210*[1]Summary!$B$3</f>
        <v>7505.5012571033285</v>
      </c>
    </row>
    <row r="211" spans="1:15" x14ac:dyDescent="0.25">
      <c r="A211" s="3">
        <v>707</v>
      </c>
      <c r="B211" s="2" t="s">
        <v>212</v>
      </c>
      <c r="C211" s="2" t="s">
        <v>202</v>
      </c>
      <c r="D211" s="5" t="s">
        <v>203</v>
      </c>
      <c r="E211" s="5" t="s">
        <v>147</v>
      </c>
      <c r="F211" s="1">
        <v>10857.27</v>
      </c>
      <c r="G211" s="1">
        <v>2171.46</v>
      </c>
      <c r="H211" s="1">
        <v>0</v>
      </c>
      <c r="J211" s="1">
        <v>1480</v>
      </c>
      <c r="K211" s="1">
        <v>0</v>
      </c>
      <c r="L211" s="1">
        <v>12337.27</v>
      </c>
      <c r="M211" s="1">
        <v>8685.81</v>
      </c>
      <c r="N211" s="1">
        <f t="shared" si="11"/>
        <v>3651.4600000000009</v>
      </c>
      <c r="O211" s="1">
        <f>N211*[1]Summary!$B$3</f>
        <v>1598.7514763470469</v>
      </c>
    </row>
    <row r="212" spans="1:15" x14ac:dyDescent="0.25">
      <c r="A212" s="3">
        <v>709</v>
      </c>
      <c r="B212" s="2" t="s">
        <v>213</v>
      </c>
      <c r="C212" s="2" t="s">
        <v>202</v>
      </c>
      <c r="D212" s="5" t="s">
        <v>203</v>
      </c>
      <c r="E212" s="5" t="s">
        <v>147</v>
      </c>
      <c r="F212" s="1">
        <v>237658.74</v>
      </c>
      <c r="G212" s="1">
        <v>90205.78</v>
      </c>
      <c r="H212" s="1">
        <v>61029.35</v>
      </c>
      <c r="I212" s="1">
        <v>61029.35</v>
      </c>
      <c r="J212" s="1">
        <v>1187.48</v>
      </c>
      <c r="K212" s="1">
        <v>0</v>
      </c>
      <c r="L212" s="1">
        <v>299875.57</v>
      </c>
      <c r="M212" s="1">
        <v>147452.96</v>
      </c>
      <c r="N212" s="1">
        <f t="shared" si="11"/>
        <v>152422.61000000002</v>
      </c>
      <c r="O212" s="1">
        <f>N212*[1]Summary!$B$3</f>
        <v>66736.558189373594</v>
      </c>
    </row>
    <row r="213" spans="1:15" x14ac:dyDescent="0.25">
      <c r="A213" s="3">
        <v>712</v>
      </c>
      <c r="B213" s="2" t="s">
        <v>214</v>
      </c>
      <c r="C213" s="2" t="s">
        <v>202</v>
      </c>
      <c r="D213" s="5" t="s">
        <v>203</v>
      </c>
      <c r="E213" s="5" t="s">
        <v>147</v>
      </c>
      <c r="F213" s="1">
        <v>50134.61</v>
      </c>
      <c r="G213" s="1">
        <v>34689.29</v>
      </c>
      <c r="H213" s="1">
        <v>0</v>
      </c>
      <c r="J213" s="1">
        <v>1243.52</v>
      </c>
      <c r="K213" s="1">
        <v>0</v>
      </c>
      <c r="L213" s="1">
        <v>51378.13</v>
      </c>
      <c r="M213" s="1">
        <v>15445.32</v>
      </c>
      <c r="N213" s="1">
        <f t="shared" si="11"/>
        <v>35932.81</v>
      </c>
      <c r="O213" s="1">
        <f>N213*[1]Summary!$B$3</f>
        <v>15732.784430555972</v>
      </c>
    </row>
    <row r="214" spans="1:15" x14ac:dyDescent="0.25">
      <c r="A214" s="3">
        <v>2142</v>
      </c>
      <c r="B214" s="2" t="s">
        <v>215</v>
      </c>
      <c r="C214" s="2" t="s">
        <v>202</v>
      </c>
      <c r="D214" s="5" t="s">
        <v>203</v>
      </c>
      <c r="E214" s="5" t="s">
        <v>147</v>
      </c>
      <c r="F214" s="1">
        <v>204945.28</v>
      </c>
      <c r="G214" s="1">
        <v>56988.24</v>
      </c>
      <c r="H214" s="1">
        <v>0</v>
      </c>
      <c r="J214" s="1">
        <v>5756.74</v>
      </c>
      <c r="K214" s="1">
        <v>0</v>
      </c>
      <c r="L214" s="1">
        <v>210702.02</v>
      </c>
      <c r="M214" s="1">
        <v>147957.04</v>
      </c>
      <c r="N214" s="1">
        <f t="shared" si="11"/>
        <v>62744.979999999981</v>
      </c>
      <c r="O214" s="1">
        <f>N214*[1]Summary!$B$3</f>
        <v>27472.197260374171</v>
      </c>
    </row>
    <row r="215" spans="1:15" x14ac:dyDescent="0.25">
      <c r="A215" s="3">
        <v>2154</v>
      </c>
      <c r="B215" s="2" t="s">
        <v>216</v>
      </c>
      <c r="C215" s="2" t="s">
        <v>202</v>
      </c>
      <c r="D215" s="5" t="s">
        <v>203</v>
      </c>
      <c r="E215" s="5" t="s">
        <v>147</v>
      </c>
      <c r="F215" s="1">
        <v>29884.73</v>
      </c>
      <c r="G215" s="1">
        <v>8666.57</v>
      </c>
      <c r="H215" s="1">
        <v>0</v>
      </c>
      <c r="J215" s="1">
        <v>3923.84</v>
      </c>
      <c r="K215" s="1">
        <v>0</v>
      </c>
      <c r="L215" s="1">
        <v>33808.57</v>
      </c>
      <c r="M215" s="1">
        <v>21218.16</v>
      </c>
      <c r="N215" s="1">
        <f t="shared" si="11"/>
        <v>12590.41</v>
      </c>
      <c r="O215" s="1">
        <f>N215*[1]Summary!$B$3</f>
        <v>5512.5721150757827</v>
      </c>
    </row>
    <row r="216" spans="1:15" x14ac:dyDescent="0.25">
      <c r="A216" s="3">
        <v>2711</v>
      </c>
      <c r="B216" s="2" t="s">
        <v>217</v>
      </c>
      <c r="C216" s="2" t="s">
        <v>202</v>
      </c>
      <c r="D216" s="5" t="s">
        <v>203</v>
      </c>
      <c r="E216" s="5" t="s">
        <v>147</v>
      </c>
      <c r="F216" s="1">
        <v>20998.02</v>
      </c>
      <c r="G216" s="1">
        <v>6299.41</v>
      </c>
      <c r="H216" s="1">
        <v>0</v>
      </c>
      <c r="J216" s="1">
        <v>3190.09</v>
      </c>
      <c r="K216" s="1">
        <v>0</v>
      </c>
      <c r="L216" s="1">
        <v>24188.11</v>
      </c>
      <c r="M216" s="1">
        <v>14698.61</v>
      </c>
      <c r="N216" s="1">
        <f t="shared" si="11"/>
        <v>9489.5</v>
      </c>
      <c r="O216" s="1">
        <f>N216*[1]Summary!$B$3</f>
        <v>4154.8728822978474</v>
      </c>
    </row>
    <row r="217" spans="1:15" x14ac:dyDescent="0.25">
      <c r="A217" s="3"/>
      <c r="N217" s="9">
        <f>SUM(N202:N216)</f>
        <v>441628.1</v>
      </c>
      <c r="O217" s="9">
        <f>SUM(O202:O216)</f>
        <v>193361.99133260149</v>
      </c>
    </row>
    <row r="218" spans="1:15" x14ac:dyDescent="0.25">
      <c r="A218" s="3"/>
    </row>
    <row r="219" spans="1:15" x14ac:dyDescent="0.25">
      <c r="A219" s="3"/>
    </row>
    <row r="220" spans="1:15" x14ac:dyDescent="0.25">
      <c r="A220" s="2">
        <v>6</v>
      </c>
      <c r="B220" s="1" t="s">
        <v>218</v>
      </c>
      <c r="C220" s="2" t="s">
        <v>219</v>
      </c>
      <c r="D220" s="5">
        <v>925</v>
      </c>
      <c r="E220" s="10">
        <v>82</v>
      </c>
      <c r="F220" s="1">
        <v>13368</v>
      </c>
      <c r="G220" s="1">
        <v>5213.5200000000004</v>
      </c>
      <c r="H220" s="1">
        <v>0</v>
      </c>
      <c r="I220" s="1">
        <v>0</v>
      </c>
      <c r="J220" s="1">
        <v>0</v>
      </c>
      <c r="K220" s="1">
        <v>0</v>
      </c>
      <c r="L220" s="1">
        <v>13368</v>
      </c>
      <c r="M220" s="2">
        <v>8154.48</v>
      </c>
      <c r="N220" s="1">
        <f t="shared" ref="N220:N232" si="12">L220-M220</f>
        <v>5213.5200000000004</v>
      </c>
      <c r="O220" s="1">
        <f>N220*[1]Summary!$B$3</f>
        <v>2282.6822139541046</v>
      </c>
    </row>
    <row r="221" spans="1:15" x14ac:dyDescent="0.25">
      <c r="A221" s="2">
        <v>11</v>
      </c>
      <c r="B221" s="1" t="s">
        <v>220</v>
      </c>
      <c r="C221" s="2" t="s">
        <v>219</v>
      </c>
      <c r="D221" s="5">
        <v>925</v>
      </c>
      <c r="E221" s="10">
        <v>82</v>
      </c>
      <c r="F221" s="1">
        <v>939052.32578191999</v>
      </c>
      <c r="G221" s="1">
        <v>442679.76578192</v>
      </c>
      <c r="H221" s="1">
        <v>0</v>
      </c>
      <c r="I221" s="1">
        <v>0</v>
      </c>
      <c r="J221" s="1">
        <v>0</v>
      </c>
      <c r="K221" s="1">
        <v>0</v>
      </c>
      <c r="L221" s="1">
        <v>939052.32578191999</v>
      </c>
      <c r="M221" s="2">
        <v>496372.56</v>
      </c>
      <c r="N221" s="1">
        <f t="shared" si="12"/>
        <v>442679.76578192</v>
      </c>
      <c r="O221" s="1">
        <f>N221*[1]Summary!$B$3</f>
        <v>193822.45159273533</v>
      </c>
    </row>
    <row r="222" spans="1:15" x14ac:dyDescent="0.25">
      <c r="A222" s="2">
        <v>12</v>
      </c>
      <c r="B222" s="1" t="s">
        <v>221</v>
      </c>
      <c r="C222" s="2" t="s">
        <v>219</v>
      </c>
      <c r="D222" s="5">
        <v>925</v>
      </c>
      <c r="E222" s="10">
        <v>82</v>
      </c>
      <c r="F222" s="1">
        <v>36144</v>
      </c>
      <c r="G222" s="1">
        <v>20963.599999999999</v>
      </c>
      <c r="H222" s="1">
        <v>0</v>
      </c>
      <c r="I222" s="1">
        <v>0</v>
      </c>
      <c r="J222" s="1">
        <v>93721.010600000009</v>
      </c>
      <c r="K222" s="1">
        <v>3650.96</v>
      </c>
      <c r="L222" s="1">
        <v>133515.9706</v>
      </c>
      <c r="M222" s="2">
        <v>15180.4</v>
      </c>
      <c r="N222" s="1">
        <f t="shared" si="12"/>
        <v>118335.57060000001</v>
      </c>
      <c r="O222" s="1">
        <f>N222*[1]Summary!$B$3</f>
        <v>51811.924052603659</v>
      </c>
    </row>
    <row r="223" spans="1:15" x14ac:dyDescent="0.25">
      <c r="A223" s="2">
        <v>13</v>
      </c>
      <c r="B223" s="1" t="s">
        <v>222</v>
      </c>
      <c r="C223" s="2" t="s">
        <v>219</v>
      </c>
      <c r="D223" s="5">
        <v>925</v>
      </c>
      <c r="E223" s="10">
        <v>82</v>
      </c>
      <c r="F223" s="1">
        <v>28968</v>
      </c>
      <c r="G223" s="1">
        <v>4924.5600000000013</v>
      </c>
      <c r="H223" s="1">
        <v>0</v>
      </c>
      <c r="I223" s="1">
        <v>0</v>
      </c>
      <c r="J223" s="1">
        <v>0</v>
      </c>
      <c r="K223" s="1">
        <v>0</v>
      </c>
      <c r="L223" s="1">
        <v>28968</v>
      </c>
      <c r="M223" s="2">
        <v>24043.439999999999</v>
      </c>
      <c r="N223" s="1">
        <f t="shared" si="12"/>
        <v>4924.5600000000013</v>
      </c>
      <c r="O223" s="1">
        <f>N223*[1]Summary!$B$3</f>
        <v>2156.164265899014</v>
      </c>
    </row>
    <row r="224" spans="1:15" x14ac:dyDescent="0.25">
      <c r="A224" s="2">
        <v>14</v>
      </c>
      <c r="B224" s="1" t="s">
        <v>223</v>
      </c>
      <c r="C224" s="2" t="s">
        <v>219</v>
      </c>
      <c r="D224" s="5">
        <v>925</v>
      </c>
      <c r="E224" s="10">
        <v>82</v>
      </c>
      <c r="F224" s="1">
        <v>72957</v>
      </c>
      <c r="G224" s="1">
        <v>26020.92</v>
      </c>
      <c r="H224" s="1">
        <v>0</v>
      </c>
      <c r="I224" s="1">
        <v>0</v>
      </c>
      <c r="J224" s="1">
        <v>15000</v>
      </c>
      <c r="K224" s="1">
        <v>0</v>
      </c>
      <c r="L224" s="1">
        <v>87957</v>
      </c>
      <c r="M224" s="2">
        <v>46936.08</v>
      </c>
      <c r="N224" s="1">
        <f t="shared" si="12"/>
        <v>41020.92</v>
      </c>
      <c r="O224" s="1">
        <f>N224*[1]Summary!$B$3</f>
        <v>17960.557259593174</v>
      </c>
    </row>
    <row r="225" spans="1:15" x14ac:dyDescent="0.25">
      <c r="A225" s="2">
        <v>16</v>
      </c>
      <c r="B225" s="1" t="s">
        <v>224</v>
      </c>
      <c r="C225" s="2" t="s">
        <v>219</v>
      </c>
      <c r="D225" s="5">
        <v>925</v>
      </c>
      <c r="E225" s="10">
        <v>82</v>
      </c>
      <c r="F225" s="1">
        <v>107798</v>
      </c>
      <c r="G225" s="1">
        <v>48536.6</v>
      </c>
      <c r="H225" s="1">
        <v>0</v>
      </c>
      <c r="I225" s="1">
        <v>0</v>
      </c>
      <c r="J225" s="1">
        <v>0</v>
      </c>
      <c r="K225" s="1">
        <v>0</v>
      </c>
      <c r="L225" s="1">
        <v>107798</v>
      </c>
      <c r="M225" s="2">
        <v>59261.4</v>
      </c>
      <c r="N225" s="1">
        <f t="shared" si="12"/>
        <v>48536.6</v>
      </c>
      <c r="O225" s="1">
        <f>N225*[1]Summary!$B$3</f>
        <v>21251.214831017198</v>
      </c>
    </row>
    <row r="226" spans="1:15" x14ac:dyDescent="0.25">
      <c r="A226" s="2">
        <v>191</v>
      </c>
      <c r="B226" s="1" t="s">
        <v>225</v>
      </c>
      <c r="C226" s="2" t="s">
        <v>219</v>
      </c>
      <c r="D226" s="5">
        <v>925</v>
      </c>
      <c r="E226" s="10">
        <v>82</v>
      </c>
      <c r="F226" s="1">
        <v>41136</v>
      </c>
      <c r="G226" s="1">
        <v>17688.480000000003</v>
      </c>
      <c r="H226" s="1">
        <v>0</v>
      </c>
      <c r="I226" s="1">
        <v>0</v>
      </c>
      <c r="J226" s="1">
        <v>0</v>
      </c>
      <c r="K226" s="1">
        <v>15619</v>
      </c>
      <c r="L226" s="1">
        <v>56755</v>
      </c>
      <c r="M226" s="2">
        <v>23447.519999999997</v>
      </c>
      <c r="N226" s="1">
        <f t="shared" si="12"/>
        <v>33307.480000000003</v>
      </c>
      <c r="O226" s="1">
        <f>N226*[1]Summary!$B$3</f>
        <v>14583.312653952044</v>
      </c>
    </row>
    <row r="227" spans="1:15" x14ac:dyDescent="0.25">
      <c r="A227" s="2">
        <v>194</v>
      </c>
      <c r="B227" s="1" t="s">
        <v>226</v>
      </c>
      <c r="C227" s="2" t="s">
        <v>219</v>
      </c>
      <c r="D227" s="5">
        <v>925</v>
      </c>
      <c r="E227" s="10">
        <v>82</v>
      </c>
      <c r="F227" s="1">
        <v>79667.579999999987</v>
      </c>
      <c r="G227" s="1">
        <v>47252.569712920449</v>
      </c>
      <c r="H227" s="1">
        <v>0</v>
      </c>
      <c r="I227" s="1">
        <v>0</v>
      </c>
      <c r="J227" s="1">
        <v>0</v>
      </c>
      <c r="K227" s="1">
        <v>18932.599999999999</v>
      </c>
      <c r="L227" s="1">
        <v>98600.18</v>
      </c>
      <c r="M227" s="2">
        <v>32415.010287079534</v>
      </c>
      <c r="N227" s="1">
        <f t="shared" si="12"/>
        <v>66185.169712920455</v>
      </c>
      <c r="O227" s="1">
        <f>N227*[1]Summary!$B$3</f>
        <v>28978.446372358292</v>
      </c>
    </row>
    <row r="228" spans="1:15" x14ac:dyDescent="0.25">
      <c r="A228" s="2">
        <v>196</v>
      </c>
      <c r="B228" s="1" t="s">
        <v>227</v>
      </c>
      <c r="C228" s="2" t="s">
        <v>219</v>
      </c>
      <c r="D228" s="5">
        <v>925</v>
      </c>
      <c r="E228" s="10">
        <v>82</v>
      </c>
      <c r="F228" s="1">
        <v>52464.71</v>
      </c>
      <c r="G228" s="1">
        <v>31362.71</v>
      </c>
      <c r="H228" s="1">
        <v>0</v>
      </c>
      <c r="I228" s="1">
        <v>0</v>
      </c>
      <c r="J228" s="1">
        <v>29516.928000000004</v>
      </c>
      <c r="K228" s="1">
        <v>15161.48</v>
      </c>
      <c r="L228" s="1">
        <v>97143.118000000002</v>
      </c>
      <c r="M228" s="1">
        <v>21102</v>
      </c>
      <c r="N228" s="1">
        <f t="shared" si="12"/>
        <v>76041.118000000002</v>
      </c>
      <c r="O228" s="1">
        <f>N228*[1]Summary!$B$3</f>
        <v>33293.764594321168</v>
      </c>
    </row>
    <row r="229" spans="1:15" x14ac:dyDescent="0.25">
      <c r="A229" s="2">
        <v>197</v>
      </c>
      <c r="B229" s="1" t="s">
        <v>228</v>
      </c>
      <c r="C229" s="2" t="s">
        <v>219</v>
      </c>
      <c r="D229" s="5">
        <v>925</v>
      </c>
      <c r="E229" s="10">
        <v>82</v>
      </c>
      <c r="F229" s="1">
        <v>125337.84</v>
      </c>
      <c r="G229" s="1">
        <v>52923.599999999991</v>
      </c>
      <c r="H229" s="1">
        <v>0</v>
      </c>
      <c r="I229" s="1">
        <v>0</v>
      </c>
      <c r="J229" s="1">
        <v>0</v>
      </c>
      <c r="K229" s="1">
        <v>0</v>
      </c>
      <c r="L229" s="1">
        <v>125337.84</v>
      </c>
      <c r="M229" s="2">
        <v>72414.240000000005</v>
      </c>
      <c r="N229" s="1">
        <f t="shared" si="12"/>
        <v>52923.599999999991</v>
      </c>
      <c r="O229" s="1">
        <f>N229*[1]Summary!$B$3</f>
        <v>23172.014381535202</v>
      </c>
    </row>
    <row r="230" spans="1:15" x14ac:dyDescent="0.25">
      <c r="A230" s="2">
        <v>199</v>
      </c>
      <c r="B230" s="1" t="s">
        <v>229</v>
      </c>
      <c r="C230" s="2" t="s">
        <v>219</v>
      </c>
      <c r="D230" s="5">
        <v>925</v>
      </c>
      <c r="E230" s="10">
        <v>82</v>
      </c>
      <c r="F230" s="1">
        <v>20235.84</v>
      </c>
      <c r="G230" s="1">
        <v>9310.8094310583783</v>
      </c>
      <c r="H230" s="1">
        <v>0</v>
      </c>
      <c r="I230" s="1">
        <v>0</v>
      </c>
      <c r="J230" s="1">
        <v>0</v>
      </c>
      <c r="K230" s="1">
        <v>0</v>
      </c>
      <c r="L230" s="1">
        <v>20235.84</v>
      </c>
      <c r="M230" s="2">
        <v>10925.030568941622</v>
      </c>
      <c r="N230" s="1">
        <f t="shared" si="12"/>
        <v>9310.8094310583783</v>
      </c>
      <c r="O230" s="1">
        <f>N230*[1]Summary!$B$3</f>
        <v>4076.63518808657</v>
      </c>
    </row>
    <row r="231" spans="1:15" x14ac:dyDescent="0.25">
      <c r="A231" s="2">
        <v>200</v>
      </c>
      <c r="B231" s="1" t="s">
        <v>230</v>
      </c>
      <c r="C231" s="2" t="s">
        <v>219</v>
      </c>
      <c r="D231" s="5">
        <v>925</v>
      </c>
      <c r="E231" s="10">
        <v>82</v>
      </c>
      <c r="F231" s="1">
        <v>86577.48</v>
      </c>
      <c r="G231" s="1">
        <v>46751.839199999995</v>
      </c>
      <c r="H231" s="1">
        <v>0</v>
      </c>
      <c r="I231" s="1">
        <v>0</v>
      </c>
      <c r="J231" s="1">
        <v>0</v>
      </c>
      <c r="K231" s="1">
        <v>0</v>
      </c>
      <c r="L231" s="1">
        <v>86577.48</v>
      </c>
      <c r="M231" s="2">
        <v>39825.640800000001</v>
      </c>
      <c r="N231" s="1">
        <f t="shared" si="12"/>
        <v>46751.839199999995</v>
      </c>
      <c r="O231" s="1">
        <f>N231*[1]Summary!$B$3</f>
        <v>20469.777005071865</v>
      </c>
    </row>
    <row r="232" spans="1:15" x14ac:dyDescent="0.25">
      <c r="A232" s="2">
        <v>270</v>
      </c>
      <c r="B232" s="1" t="s">
        <v>231</v>
      </c>
      <c r="C232" s="2" t="s">
        <v>219</v>
      </c>
      <c r="D232" s="5">
        <v>925</v>
      </c>
      <c r="E232" s="10">
        <v>82</v>
      </c>
      <c r="F232" s="1">
        <v>50400</v>
      </c>
      <c r="G232" s="1">
        <v>24192</v>
      </c>
      <c r="H232" s="1">
        <v>0</v>
      </c>
      <c r="I232" s="1">
        <v>0</v>
      </c>
      <c r="J232" s="1">
        <v>0</v>
      </c>
      <c r="K232" s="1">
        <v>36730.380000000005</v>
      </c>
      <c r="L232" s="1">
        <v>87130.38</v>
      </c>
      <c r="M232" s="2">
        <v>26208</v>
      </c>
      <c r="N232" s="1">
        <f t="shared" si="12"/>
        <v>60922.380000000005</v>
      </c>
      <c r="O232" s="1">
        <f>N232*[1]Summary!$B$3</f>
        <v>26674.191958169002</v>
      </c>
    </row>
    <row r="233" spans="1:15" x14ac:dyDescent="0.25">
      <c r="A233" s="2">
        <v>271</v>
      </c>
      <c r="B233" s="1" t="s">
        <v>232</v>
      </c>
      <c r="C233" s="2" t="s">
        <v>219</v>
      </c>
      <c r="D233" s="5">
        <v>925</v>
      </c>
      <c r="E233" s="10">
        <v>82</v>
      </c>
      <c r="F233" s="1">
        <v>46320</v>
      </c>
      <c r="G233" s="1">
        <v>17601.599999999999</v>
      </c>
      <c r="H233" s="1">
        <v>0</v>
      </c>
      <c r="I233" s="1">
        <v>0</v>
      </c>
      <c r="J233" s="1">
        <v>0</v>
      </c>
      <c r="K233" s="1">
        <v>61268.29</v>
      </c>
      <c r="L233" s="1">
        <v>107588.29000000001</v>
      </c>
      <c r="M233" s="2">
        <v>28718.400000000001</v>
      </c>
      <c r="N233" s="6" t="s">
        <v>18</v>
      </c>
      <c r="O233" s="6" t="s">
        <v>18</v>
      </c>
    </row>
    <row r="234" spans="1:15" x14ac:dyDescent="0.25">
      <c r="A234" s="2">
        <v>272</v>
      </c>
      <c r="B234" s="1" t="s">
        <v>233</v>
      </c>
      <c r="C234" s="2" t="s">
        <v>219</v>
      </c>
      <c r="D234" s="5">
        <v>925</v>
      </c>
      <c r="E234" s="10">
        <v>82</v>
      </c>
      <c r="F234" s="1">
        <v>110916.42</v>
      </c>
      <c r="G234" s="1">
        <v>64714.74</v>
      </c>
      <c r="H234" s="1">
        <v>0</v>
      </c>
      <c r="I234" s="1">
        <v>0</v>
      </c>
      <c r="J234" s="1">
        <v>0</v>
      </c>
      <c r="K234" s="1">
        <v>0</v>
      </c>
      <c r="L234" s="1">
        <v>110916.42</v>
      </c>
      <c r="M234" s="2">
        <v>46201.68</v>
      </c>
      <c r="N234" s="1">
        <f t="shared" ref="N234:N259" si="13">L234-M234</f>
        <v>64714.74</v>
      </c>
      <c r="O234" s="1">
        <f>N234*[1]Summary!$B$3</f>
        <v>28334.634945039863</v>
      </c>
    </row>
    <row r="235" spans="1:15" x14ac:dyDescent="0.25">
      <c r="A235" s="2">
        <v>273</v>
      </c>
      <c r="B235" s="1" t="s">
        <v>234</v>
      </c>
      <c r="C235" s="2" t="s">
        <v>219</v>
      </c>
      <c r="D235" s="5">
        <v>925</v>
      </c>
      <c r="E235" s="10">
        <v>82</v>
      </c>
      <c r="F235" s="1">
        <v>44040</v>
      </c>
      <c r="G235" s="1">
        <v>31197.98</v>
      </c>
      <c r="H235" s="1">
        <v>0</v>
      </c>
      <c r="I235" s="1">
        <v>0</v>
      </c>
      <c r="J235" s="1">
        <v>179940</v>
      </c>
      <c r="K235" s="1">
        <v>37861.839999999997</v>
      </c>
      <c r="L235" s="1">
        <v>261841.84</v>
      </c>
      <c r="M235" s="2">
        <v>12842.02</v>
      </c>
      <c r="N235" s="1">
        <f t="shared" si="13"/>
        <v>248999.82</v>
      </c>
      <c r="O235" s="1">
        <f>N235*[1]Summary!$B$3</f>
        <v>109021.82410190687</v>
      </c>
    </row>
    <row r="236" spans="1:15" x14ac:dyDescent="0.25">
      <c r="A236" s="2">
        <v>276</v>
      </c>
      <c r="B236" s="1" t="s">
        <v>235</v>
      </c>
      <c r="C236" s="2" t="s">
        <v>219</v>
      </c>
      <c r="D236" s="5">
        <v>925</v>
      </c>
      <c r="E236" s="10">
        <v>82</v>
      </c>
      <c r="F236" s="1">
        <v>98397.300000000017</v>
      </c>
      <c r="G236" s="1">
        <v>65824.500000000015</v>
      </c>
      <c r="H236" s="1">
        <v>0</v>
      </c>
      <c r="I236" s="1">
        <v>0</v>
      </c>
      <c r="J236" s="1">
        <v>0</v>
      </c>
      <c r="K236" s="1">
        <v>0</v>
      </c>
      <c r="L236" s="1">
        <v>98397.300000000017</v>
      </c>
      <c r="M236" s="2">
        <v>32572.799999999999</v>
      </c>
      <c r="N236" s="1">
        <f t="shared" si="13"/>
        <v>65824.500000000015</v>
      </c>
      <c r="O236" s="1">
        <f>N236*[1]Summary!$B$3</f>
        <v>28820.53111763683</v>
      </c>
    </row>
    <row r="237" spans="1:15" x14ac:dyDescent="0.25">
      <c r="A237" s="2">
        <v>277</v>
      </c>
      <c r="B237" s="1" t="s">
        <v>236</v>
      </c>
      <c r="C237" s="2" t="s">
        <v>219</v>
      </c>
      <c r="D237" s="5">
        <v>925</v>
      </c>
      <c r="E237" s="10">
        <v>82</v>
      </c>
      <c r="F237" s="1">
        <v>33150</v>
      </c>
      <c r="G237" s="1">
        <v>19227</v>
      </c>
      <c r="H237" s="1">
        <v>0</v>
      </c>
      <c r="I237" s="1">
        <v>0</v>
      </c>
      <c r="J237" s="1">
        <v>0</v>
      </c>
      <c r="K237" s="1">
        <v>0</v>
      </c>
      <c r="L237" s="1">
        <v>33150</v>
      </c>
      <c r="M237" s="2">
        <v>13923</v>
      </c>
      <c r="N237" s="1">
        <f t="shared" si="13"/>
        <v>19227</v>
      </c>
      <c r="O237" s="1">
        <f>N237*[1]Summary!$B$3</f>
        <v>8418.3298285410947</v>
      </c>
    </row>
    <row r="238" spans="1:15" x14ac:dyDescent="0.25">
      <c r="A238" s="2">
        <v>278</v>
      </c>
      <c r="B238" s="1" t="s">
        <v>237</v>
      </c>
      <c r="C238" s="2" t="s">
        <v>219</v>
      </c>
      <c r="D238" s="5">
        <v>925</v>
      </c>
      <c r="E238" s="10">
        <v>82</v>
      </c>
      <c r="F238" s="1">
        <v>36349.919999999998</v>
      </c>
      <c r="G238" s="1">
        <v>21809.949999999997</v>
      </c>
      <c r="H238" s="1">
        <v>0</v>
      </c>
      <c r="I238" s="1">
        <v>0</v>
      </c>
      <c r="J238" s="1">
        <v>0</v>
      </c>
      <c r="K238" s="1">
        <v>0</v>
      </c>
      <c r="L238" s="1">
        <v>36349.919999999998</v>
      </c>
      <c r="M238" s="2">
        <v>14539.97</v>
      </c>
      <c r="N238" s="1">
        <f t="shared" si="13"/>
        <v>21809.949999999997</v>
      </c>
      <c r="O238" s="1">
        <f>N238*[1]Summary!$B$3</f>
        <v>9549.2459897014505</v>
      </c>
    </row>
    <row r="239" spans="1:15" x14ac:dyDescent="0.25">
      <c r="A239" s="2">
        <v>279</v>
      </c>
      <c r="B239" s="1" t="s">
        <v>238</v>
      </c>
      <c r="C239" s="2" t="s">
        <v>219</v>
      </c>
      <c r="D239" s="5">
        <v>925</v>
      </c>
      <c r="E239" s="10">
        <v>82</v>
      </c>
      <c r="F239" s="1">
        <v>117538.59</v>
      </c>
      <c r="G239" s="1">
        <v>51683.069999999992</v>
      </c>
      <c r="H239" s="1">
        <v>0</v>
      </c>
      <c r="I239" s="1">
        <v>0</v>
      </c>
      <c r="J239" s="1">
        <v>0</v>
      </c>
      <c r="K239" s="1">
        <v>0</v>
      </c>
      <c r="L239" s="1">
        <v>117538.59</v>
      </c>
      <c r="M239" s="2">
        <v>65855.520000000004</v>
      </c>
      <c r="N239" s="1">
        <f t="shared" si="13"/>
        <v>51683.069999999992</v>
      </c>
      <c r="O239" s="1">
        <f>N239*[1]Summary!$B$3</f>
        <v>22628.862007155421</v>
      </c>
    </row>
    <row r="240" spans="1:15" x14ac:dyDescent="0.25">
      <c r="A240" s="2">
        <v>280</v>
      </c>
      <c r="B240" s="1" t="s">
        <v>239</v>
      </c>
      <c r="C240" s="2" t="s">
        <v>219</v>
      </c>
      <c r="D240" s="5">
        <v>925</v>
      </c>
      <c r="E240" s="10">
        <v>82</v>
      </c>
      <c r="F240" s="1">
        <v>119844</v>
      </c>
      <c r="G240" s="1">
        <v>22770.36</v>
      </c>
      <c r="H240" s="1">
        <v>0</v>
      </c>
      <c r="I240" s="1">
        <v>0</v>
      </c>
      <c r="J240" s="1">
        <v>19101.600000000006</v>
      </c>
      <c r="K240" s="1">
        <v>0</v>
      </c>
      <c r="L240" s="1">
        <v>138945.60000000001</v>
      </c>
      <c r="M240" s="2">
        <v>97073.64</v>
      </c>
      <c r="N240" s="1">
        <f t="shared" si="13"/>
        <v>41871.960000000006</v>
      </c>
      <c r="O240" s="1">
        <f>N240*[1]Summary!$B$3</f>
        <v>18333.175734512904</v>
      </c>
    </row>
    <row r="241" spans="1:15" x14ac:dyDescent="0.25">
      <c r="A241" s="2">
        <v>281</v>
      </c>
      <c r="B241" s="1" t="s">
        <v>240</v>
      </c>
      <c r="C241" s="2" t="s">
        <v>219</v>
      </c>
      <c r="D241" s="5">
        <v>925</v>
      </c>
      <c r="E241" s="10">
        <v>82</v>
      </c>
      <c r="F241" s="1">
        <v>34336</v>
      </c>
      <c r="G241" s="1">
        <v>12020.2</v>
      </c>
      <c r="H241" s="1">
        <v>0</v>
      </c>
      <c r="I241" s="1">
        <v>0</v>
      </c>
      <c r="J241" s="1">
        <v>0</v>
      </c>
      <c r="K241" s="1">
        <v>48805.68</v>
      </c>
      <c r="L241" s="1">
        <v>83141.679999999993</v>
      </c>
      <c r="M241" s="2">
        <v>22315.8</v>
      </c>
      <c r="N241" s="1">
        <f t="shared" si="13"/>
        <v>60825.87999999999</v>
      </c>
      <c r="O241" s="1">
        <f>N241*[1]Summary!$B$3</f>
        <v>26631.940497803145</v>
      </c>
    </row>
    <row r="242" spans="1:15" x14ac:dyDescent="0.25">
      <c r="A242" s="2">
        <v>282</v>
      </c>
      <c r="B242" s="1" t="s">
        <v>241</v>
      </c>
      <c r="C242" s="2" t="s">
        <v>219</v>
      </c>
      <c r="D242" s="5">
        <v>925</v>
      </c>
      <c r="E242" s="10">
        <v>82</v>
      </c>
      <c r="F242" s="1">
        <v>22120</v>
      </c>
      <c r="G242" s="1">
        <v>14147.2</v>
      </c>
      <c r="H242" s="1">
        <v>0</v>
      </c>
      <c r="I242" s="1">
        <v>0</v>
      </c>
      <c r="J242" s="1">
        <v>0</v>
      </c>
      <c r="K242" s="1">
        <v>0</v>
      </c>
      <c r="L242" s="1">
        <v>22120</v>
      </c>
      <c r="M242" s="2">
        <v>7972.8</v>
      </c>
      <c r="N242" s="1">
        <f t="shared" si="13"/>
        <v>14147.2</v>
      </c>
      <c r="O242" s="1">
        <f>N242*[1]Summary!$B$3</f>
        <v>6194.195441324001</v>
      </c>
    </row>
    <row r="243" spans="1:15" x14ac:dyDescent="0.25">
      <c r="A243" s="2">
        <v>283</v>
      </c>
      <c r="B243" s="1" t="s">
        <v>242</v>
      </c>
      <c r="C243" s="2" t="s">
        <v>219</v>
      </c>
      <c r="D243" s="5">
        <v>925</v>
      </c>
      <c r="E243" s="10">
        <v>82</v>
      </c>
      <c r="F243" s="1">
        <v>40320</v>
      </c>
      <c r="G243" s="1">
        <v>20160</v>
      </c>
      <c r="H243" s="1">
        <v>0</v>
      </c>
      <c r="I243" s="1">
        <v>0</v>
      </c>
      <c r="J243" s="1">
        <v>0</v>
      </c>
      <c r="K243" s="1">
        <v>25821.75</v>
      </c>
      <c r="L243" s="1">
        <v>66141.75</v>
      </c>
      <c r="M243" s="2">
        <v>20160</v>
      </c>
      <c r="N243" s="1">
        <f t="shared" si="13"/>
        <v>45981.75</v>
      </c>
      <c r="O243" s="1">
        <f>N243*[1]Summary!$B$3</f>
        <v>20132.601944844202</v>
      </c>
    </row>
    <row r="244" spans="1:15" x14ac:dyDescent="0.25">
      <c r="A244" s="2">
        <v>284</v>
      </c>
      <c r="B244" s="1" t="s">
        <v>243</v>
      </c>
      <c r="C244" s="2" t="s">
        <v>219</v>
      </c>
      <c r="D244" s="5">
        <v>925</v>
      </c>
      <c r="E244" s="10">
        <v>82</v>
      </c>
      <c r="F244" s="1">
        <v>110548</v>
      </c>
      <c r="G244" s="1">
        <v>64119.520000000004</v>
      </c>
      <c r="H244" s="1">
        <v>0</v>
      </c>
      <c r="I244" s="1">
        <v>0</v>
      </c>
      <c r="J244" s="1">
        <v>0</v>
      </c>
      <c r="K244" s="1">
        <v>12282.82</v>
      </c>
      <c r="L244" s="1">
        <v>122830.82</v>
      </c>
      <c r="M244" s="2">
        <v>46428.479999999996</v>
      </c>
      <c r="N244" s="1">
        <f t="shared" si="13"/>
        <v>76402.340000000011</v>
      </c>
      <c r="O244" s="1">
        <f>N244*[1]Summary!$B$3</f>
        <v>33451.921661847322</v>
      </c>
    </row>
    <row r="245" spans="1:15" x14ac:dyDescent="0.25">
      <c r="A245" s="2">
        <v>286</v>
      </c>
      <c r="B245" s="1" t="s">
        <v>244</v>
      </c>
      <c r="C245" s="2" t="s">
        <v>219</v>
      </c>
      <c r="D245" s="5">
        <v>925</v>
      </c>
      <c r="E245" s="10">
        <v>82</v>
      </c>
      <c r="F245" s="1">
        <v>56235.67</v>
      </c>
      <c r="G245" s="1">
        <v>11542.373135286223</v>
      </c>
      <c r="H245" s="1">
        <v>0</v>
      </c>
      <c r="I245" s="1">
        <v>0</v>
      </c>
      <c r="J245" s="1">
        <v>0</v>
      </c>
      <c r="K245" s="1">
        <v>0</v>
      </c>
      <c r="L245" s="1">
        <v>56235.67</v>
      </c>
      <c r="M245" s="2">
        <v>44693.296864713775</v>
      </c>
      <c r="N245" s="1">
        <f t="shared" si="13"/>
        <v>11542.373135286223</v>
      </c>
      <c r="O245" s="1">
        <f>N245*[1]Summary!$B$3</f>
        <v>5053.7007363047487</v>
      </c>
    </row>
    <row r="246" spans="1:15" x14ac:dyDescent="0.25">
      <c r="A246" s="2">
        <v>535</v>
      </c>
      <c r="B246" s="1" t="s">
        <v>245</v>
      </c>
      <c r="C246" s="2" t="s">
        <v>219</v>
      </c>
      <c r="D246" s="5">
        <v>925</v>
      </c>
      <c r="E246" s="10">
        <v>82</v>
      </c>
      <c r="F246" s="1">
        <v>470932.41</v>
      </c>
      <c r="G246" s="1">
        <v>263653.71000000002</v>
      </c>
      <c r="H246" s="1">
        <v>24871</v>
      </c>
      <c r="I246" s="1">
        <v>11400.2</v>
      </c>
      <c r="J246" s="1">
        <v>9022.84</v>
      </c>
      <c r="K246" s="1">
        <v>0</v>
      </c>
      <c r="L246" s="1">
        <v>504826.25000000006</v>
      </c>
      <c r="M246" s="2">
        <v>277124.51</v>
      </c>
      <c r="N246" s="1">
        <f t="shared" si="13"/>
        <v>227701.74000000005</v>
      </c>
      <c r="O246" s="1">
        <f>N246*[1]Summary!$B$3</f>
        <v>99696.694744510794</v>
      </c>
    </row>
    <row r="247" spans="1:15" x14ac:dyDescent="0.25">
      <c r="A247" s="2">
        <v>621</v>
      </c>
      <c r="B247" s="1" t="s">
        <v>246</v>
      </c>
      <c r="C247" s="2" t="s">
        <v>219</v>
      </c>
      <c r="D247" s="5">
        <v>925</v>
      </c>
      <c r="E247" s="10">
        <v>82</v>
      </c>
      <c r="F247" s="1">
        <v>280268.96999999997</v>
      </c>
      <c r="G247" s="1">
        <v>140055.18</v>
      </c>
      <c r="H247" s="1">
        <v>0</v>
      </c>
      <c r="I247" s="1">
        <v>0</v>
      </c>
      <c r="J247" s="1">
        <v>0</v>
      </c>
      <c r="K247" s="1">
        <v>0</v>
      </c>
      <c r="L247" s="1">
        <v>280268.96999999997</v>
      </c>
      <c r="M247" s="2">
        <v>140213.78999999998</v>
      </c>
      <c r="N247" s="1">
        <f t="shared" si="13"/>
        <v>140055.18</v>
      </c>
      <c r="O247" s="1">
        <f>N247*[1]Summary!$B$3</f>
        <v>61321.615407275807</v>
      </c>
    </row>
    <row r="248" spans="1:15" x14ac:dyDescent="0.25">
      <c r="A248" s="2">
        <v>622</v>
      </c>
      <c r="B248" s="1" t="s">
        <v>247</v>
      </c>
      <c r="C248" s="2" t="s">
        <v>219</v>
      </c>
      <c r="D248" s="5">
        <v>925</v>
      </c>
      <c r="E248" s="10">
        <v>82</v>
      </c>
      <c r="F248" s="1">
        <v>256900</v>
      </c>
      <c r="G248" s="1">
        <v>103486.81262736651</v>
      </c>
      <c r="H248" s="1">
        <v>0</v>
      </c>
      <c r="I248" s="1">
        <v>0</v>
      </c>
      <c r="J248" s="1">
        <v>0</v>
      </c>
      <c r="K248" s="1">
        <v>0</v>
      </c>
      <c r="L248" s="1">
        <v>256900</v>
      </c>
      <c r="M248" s="2">
        <v>153413.18737263349</v>
      </c>
      <c r="N248" s="1">
        <f t="shared" si="13"/>
        <v>103486.81262736651</v>
      </c>
      <c r="O248" s="1">
        <f>N248*[1]Summary!$B$3</f>
        <v>45310.559192885143</v>
      </c>
    </row>
    <row r="249" spans="1:15" x14ac:dyDescent="0.25">
      <c r="A249" s="2">
        <v>623</v>
      </c>
      <c r="B249" s="1" t="s">
        <v>248</v>
      </c>
      <c r="C249" s="2" t="s">
        <v>219</v>
      </c>
      <c r="D249" s="5">
        <v>925</v>
      </c>
      <c r="E249" s="10">
        <v>82</v>
      </c>
      <c r="F249" s="1">
        <v>57340</v>
      </c>
      <c r="G249" s="1">
        <v>21789.199999999997</v>
      </c>
      <c r="H249" s="1">
        <v>0</v>
      </c>
      <c r="I249" s="1">
        <v>0</v>
      </c>
      <c r="J249" s="1">
        <v>0</v>
      </c>
      <c r="K249" s="1">
        <v>0</v>
      </c>
      <c r="L249" s="1">
        <v>57340</v>
      </c>
      <c r="M249" s="2">
        <v>35550.800000000003</v>
      </c>
      <c r="N249" s="1">
        <f t="shared" si="13"/>
        <v>21789.199999999997</v>
      </c>
      <c r="O249" s="1">
        <f>N249*[1]Summary!$B$3</f>
        <v>9540.1608311253749</v>
      </c>
    </row>
    <row r="250" spans="1:15" x14ac:dyDescent="0.25">
      <c r="A250" s="2">
        <v>659</v>
      </c>
      <c r="B250" s="1" t="s">
        <v>249</v>
      </c>
      <c r="C250" s="2" t="s">
        <v>219</v>
      </c>
      <c r="D250" s="5">
        <v>925</v>
      </c>
      <c r="E250" s="10">
        <v>82</v>
      </c>
      <c r="F250" s="1">
        <v>58918.740000000005</v>
      </c>
      <c r="G250" s="1">
        <v>25409.58</v>
      </c>
      <c r="H250" s="1">
        <v>0</v>
      </c>
      <c r="I250" s="1">
        <v>0</v>
      </c>
      <c r="J250" s="1">
        <v>0</v>
      </c>
      <c r="K250" s="1">
        <v>0</v>
      </c>
      <c r="L250" s="1">
        <v>58918.740000000005</v>
      </c>
      <c r="M250" s="2">
        <v>33509.160000000003</v>
      </c>
      <c r="N250" s="1">
        <f t="shared" si="13"/>
        <v>25409.58</v>
      </c>
      <c r="O250" s="1">
        <f>N250*[1]Summary!$B$3</f>
        <v>11125.304272361847</v>
      </c>
    </row>
    <row r="251" spans="1:15" x14ac:dyDescent="0.25">
      <c r="A251" s="2">
        <v>717</v>
      </c>
      <c r="B251" s="1" t="s">
        <v>250</v>
      </c>
      <c r="C251" s="2" t="s">
        <v>219</v>
      </c>
      <c r="D251" s="5">
        <v>925</v>
      </c>
      <c r="E251" s="10">
        <v>82</v>
      </c>
      <c r="F251" s="1">
        <v>29513.039999999994</v>
      </c>
      <c r="G251" s="1">
        <v>14756.519999999997</v>
      </c>
      <c r="H251" s="1">
        <v>0</v>
      </c>
      <c r="I251" s="1">
        <v>0</v>
      </c>
      <c r="J251" s="1">
        <v>0</v>
      </c>
      <c r="K251" s="1">
        <v>0</v>
      </c>
      <c r="L251" s="1">
        <v>29513.039999999994</v>
      </c>
      <c r="M251" s="2">
        <v>14756.519999999997</v>
      </c>
      <c r="N251" s="1">
        <f t="shared" si="13"/>
        <v>14756.519999999997</v>
      </c>
      <c r="O251" s="1">
        <f>N251*[1]Summary!$B$3</f>
        <v>6460.9794810143649</v>
      </c>
    </row>
    <row r="252" spans="1:15" x14ac:dyDescent="0.25">
      <c r="A252" s="2">
        <v>721</v>
      </c>
      <c r="B252" s="1" t="s">
        <v>251</v>
      </c>
      <c r="C252" s="2" t="s">
        <v>219</v>
      </c>
      <c r="D252" s="5">
        <v>925</v>
      </c>
      <c r="E252" s="10">
        <v>82</v>
      </c>
      <c r="F252" s="1">
        <v>45838.14</v>
      </c>
      <c r="G252" s="1">
        <v>26586.121200000001</v>
      </c>
      <c r="H252" s="1">
        <v>0</v>
      </c>
      <c r="I252" s="1">
        <v>0</v>
      </c>
      <c r="J252" s="1">
        <v>0</v>
      </c>
      <c r="K252" s="1">
        <v>0</v>
      </c>
      <c r="L252" s="1">
        <v>45838.14</v>
      </c>
      <c r="M252" s="2">
        <v>19252.018799999998</v>
      </c>
      <c r="N252" s="1">
        <f t="shared" si="13"/>
        <v>26586.121200000001</v>
      </c>
      <c r="O252" s="1">
        <f>N252*[1]Summary!$B$3</f>
        <v>11640.439856616673</v>
      </c>
    </row>
    <row r="253" spans="1:15" x14ac:dyDescent="0.25">
      <c r="A253" s="2">
        <v>831</v>
      </c>
      <c r="B253" s="1" t="s">
        <v>252</v>
      </c>
      <c r="C253" s="2" t="s">
        <v>219</v>
      </c>
      <c r="D253" s="5">
        <v>925</v>
      </c>
      <c r="E253" s="10">
        <v>82</v>
      </c>
      <c r="F253" s="1">
        <v>120282</v>
      </c>
      <c r="G253" s="1">
        <v>64479.839999999997</v>
      </c>
      <c r="H253" s="1">
        <v>0</v>
      </c>
      <c r="I253" s="1">
        <v>0</v>
      </c>
      <c r="J253" s="1">
        <v>0</v>
      </c>
      <c r="K253" s="1">
        <v>0</v>
      </c>
      <c r="L253" s="1">
        <v>120282</v>
      </c>
      <c r="M253" s="2">
        <v>55802.16</v>
      </c>
      <c r="N253" s="1">
        <f t="shared" si="13"/>
        <v>64479.839999999997</v>
      </c>
      <c r="O253" s="1">
        <f>N253*[1]Summary!$B$3</f>
        <v>28231.786571568999</v>
      </c>
    </row>
    <row r="254" spans="1:15" x14ac:dyDescent="0.25">
      <c r="A254" s="2">
        <v>832</v>
      </c>
      <c r="B254" s="1" t="s">
        <v>253</v>
      </c>
      <c r="C254" s="2" t="s">
        <v>219</v>
      </c>
      <c r="D254" s="5">
        <v>925</v>
      </c>
      <c r="E254" s="10">
        <v>82</v>
      </c>
      <c r="F254" s="1">
        <v>43587.58</v>
      </c>
      <c r="G254" s="1">
        <v>26331.58</v>
      </c>
      <c r="H254" s="1">
        <v>0</v>
      </c>
      <c r="I254" s="1">
        <v>0</v>
      </c>
      <c r="J254" s="1">
        <v>0</v>
      </c>
      <c r="K254" s="1">
        <v>0</v>
      </c>
      <c r="L254" s="1">
        <v>43587.58</v>
      </c>
      <c r="M254" s="2">
        <v>17256</v>
      </c>
      <c r="N254" s="1">
        <f t="shared" si="13"/>
        <v>26331.58</v>
      </c>
      <c r="O254" s="1">
        <f>N254*[1]Summary!$B$3</f>
        <v>11528.991800416919</v>
      </c>
    </row>
    <row r="255" spans="1:15" x14ac:dyDescent="0.25">
      <c r="A255" s="2">
        <v>833</v>
      </c>
      <c r="B255" s="1" t="s">
        <v>254</v>
      </c>
      <c r="C255" s="2" t="s">
        <v>219</v>
      </c>
      <c r="D255" s="5">
        <v>925</v>
      </c>
      <c r="E255" s="10">
        <v>82</v>
      </c>
      <c r="F255" s="1">
        <v>59123</v>
      </c>
      <c r="G255" s="1">
        <v>41357.119999999995</v>
      </c>
      <c r="H255" s="1">
        <v>0</v>
      </c>
      <c r="I255" s="1">
        <v>0</v>
      </c>
      <c r="J255" s="1">
        <v>0</v>
      </c>
      <c r="K255" s="1">
        <v>50160.92</v>
      </c>
      <c r="L255" s="1">
        <v>109283.92</v>
      </c>
      <c r="M255" s="2">
        <v>17765.88</v>
      </c>
      <c r="N255" s="1">
        <f t="shared" si="13"/>
        <v>91518.04</v>
      </c>
      <c r="O255" s="1">
        <f>N255*[1]Summary!$B$3</f>
        <v>40070.164143216149</v>
      </c>
    </row>
    <row r="256" spans="1:15" x14ac:dyDescent="0.25">
      <c r="A256" s="2">
        <v>834</v>
      </c>
      <c r="B256" s="1" t="s">
        <v>255</v>
      </c>
      <c r="C256" s="2" t="s">
        <v>219</v>
      </c>
      <c r="D256" s="5">
        <v>925</v>
      </c>
      <c r="E256" s="10">
        <v>82</v>
      </c>
      <c r="F256" s="1">
        <v>210890.08</v>
      </c>
      <c r="G256" s="1">
        <v>122337.27999999998</v>
      </c>
      <c r="H256" s="1">
        <v>0</v>
      </c>
      <c r="I256" s="1">
        <v>0</v>
      </c>
      <c r="J256" s="1">
        <v>7181.7553293895035</v>
      </c>
      <c r="K256" s="1">
        <v>0</v>
      </c>
      <c r="L256" s="1">
        <v>218071.83532938949</v>
      </c>
      <c r="M256" s="2">
        <v>88552.8</v>
      </c>
      <c r="N256" s="1">
        <f t="shared" si="13"/>
        <v>129519.03532938949</v>
      </c>
      <c r="O256" s="1">
        <f>N256*[1]Summary!$B$3</f>
        <v>56708.480703035697</v>
      </c>
    </row>
    <row r="257" spans="1:15" x14ac:dyDescent="0.25">
      <c r="A257" s="2">
        <v>877</v>
      </c>
      <c r="B257" s="1" t="s">
        <v>256</v>
      </c>
      <c r="C257" s="2" t="s">
        <v>219</v>
      </c>
      <c r="D257" s="5">
        <v>925</v>
      </c>
      <c r="E257" s="10">
        <v>82</v>
      </c>
      <c r="F257" s="1">
        <v>163656.56</v>
      </c>
      <c r="G257" s="1">
        <v>81853.279999999999</v>
      </c>
      <c r="H257" s="1">
        <v>0</v>
      </c>
      <c r="I257" s="1">
        <v>0</v>
      </c>
      <c r="J257" s="1">
        <v>0</v>
      </c>
      <c r="K257" s="1">
        <v>0</v>
      </c>
      <c r="L257" s="1">
        <v>163656.56</v>
      </c>
      <c r="M257" s="2">
        <v>81803.28</v>
      </c>
      <c r="N257" s="1">
        <f t="shared" si="13"/>
        <v>81853.279999999999</v>
      </c>
      <c r="O257" s="1">
        <f>N257*[1]Summary!$B$3</f>
        <v>35838.555603470442</v>
      </c>
    </row>
    <row r="258" spans="1:15" x14ac:dyDescent="0.25">
      <c r="A258" s="2">
        <v>885</v>
      </c>
      <c r="B258" s="1" t="s">
        <v>257</v>
      </c>
      <c r="C258" s="2" t="s">
        <v>219</v>
      </c>
      <c r="D258" s="5">
        <v>925</v>
      </c>
      <c r="E258" s="10">
        <v>82</v>
      </c>
      <c r="F258" s="1">
        <v>73116.000000000015</v>
      </c>
      <c r="G258" s="1">
        <v>43138.440000000017</v>
      </c>
      <c r="H258" s="1">
        <v>0</v>
      </c>
      <c r="I258" s="1">
        <v>0</v>
      </c>
      <c r="J258" s="1">
        <v>0</v>
      </c>
      <c r="K258" s="1">
        <v>4211.24</v>
      </c>
      <c r="L258" s="1">
        <v>77327.24000000002</v>
      </c>
      <c r="M258" s="2">
        <v>29977.56</v>
      </c>
      <c r="N258" s="1">
        <f t="shared" si="13"/>
        <v>47349.680000000022</v>
      </c>
      <c r="O258" s="1">
        <f>N258*[1]Summary!$B$3</f>
        <v>20731.535003686266</v>
      </c>
    </row>
    <row r="259" spans="1:15" x14ac:dyDescent="0.25">
      <c r="A259" s="2">
        <v>4116</v>
      </c>
      <c r="B259" s="1" t="s">
        <v>258</v>
      </c>
      <c r="C259" s="2" t="s">
        <v>219</v>
      </c>
      <c r="D259" s="5">
        <v>925</v>
      </c>
      <c r="E259" s="10">
        <v>82</v>
      </c>
      <c r="F259" s="1">
        <v>17212</v>
      </c>
      <c r="G259" s="1">
        <v>10327.200000000001</v>
      </c>
      <c r="H259" s="1">
        <v>0</v>
      </c>
      <c r="I259" s="1">
        <v>0</v>
      </c>
      <c r="J259" s="1">
        <v>0</v>
      </c>
      <c r="K259" s="1">
        <v>0</v>
      </c>
      <c r="L259" s="1">
        <v>17212</v>
      </c>
      <c r="M259" s="2">
        <v>6884.8</v>
      </c>
      <c r="N259" s="1">
        <f t="shared" si="13"/>
        <v>10327.200000000001</v>
      </c>
      <c r="O259" s="1">
        <f>N259*[1]Summary!$B$3</f>
        <v>4521.6505853908357</v>
      </c>
    </row>
    <row r="260" spans="1:15" x14ac:dyDescent="0.25">
      <c r="B260" s="1"/>
      <c r="E260" s="10"/>
      <c r="K260" s="2"/>
      <c r="M260" s="2"/>
      <c r="N260" s="9">
        <f>SUM(N220:N259)</f>
        <v>2740347.7250179411</v>
      </c>
      <c r="O260" s="9">
        <f>SUM(O220:O259)</f>
        <v>1199831.01857249</v>
      </c>
    </row>
    <row r="261" spans="1:15" x14ac:dyDescent="0.25">
      <c r="B261" s="1"/>
      <c r="E261" s="10"/>
      <c r="K261" s="2"/>
      <c r="M261" s="2"/>
    </row>
    <row r="262" spans="1:15" x14ac:dyDescent="0.25">
      <c r="B262" s="1"/>
      <c r="E262" s="10"/>
      <c r="K262" s="2"/>
      <c r="M262" s="2"/>
    </row>
    <row r="263" spans="1:15" x14ac:dyDescent="0.25">
      <c r="A263" s="2">
        <v>81</v>
      </c>
      <c r="B263" s="1" t="s">
        <v>259</v>
      </c>
      <c r="C263" s="2" t="s">
        <v>260</v>
      </c>
      <c r="D263" s="5">
        <v>991</v>
      </c>
      <c r="E263" s="10">
        <v>83</v>
      </c>
      <c r="F263" s="1">
        <v>25475.530000000002</v>
      </c>
      <c r="G263" s="1">
        <v>7749.2</v>
      </c>
      <c r="J263" s="1">
        <v>9316.51</v>
      </c>
      <c r="K263" s="2"/>
      <c r="L263" s="1">
        <v>34792.04</v>
      </c>
      <c r="M263" s="2">
        <v>17726.330000000002</v>
      </c>
      <c r="N263" s="1">
        <f t="shared" ref="N263:N297" si="14">L263-M263</f>
        <v>17065.71</v>
      </c>
      <c r="O263" s="1">
        <f>N263*[1]Summary!$B$3</f>
        <v>7472.0328464259646</v>
      </c>
    </row>
    <row r="264" spans="1:15" x14ac:dyDescent="0.25">
      <c r="A264" s="2">
        <v>84</v>
      </c>
      <c r="B264" s="1" t="s">
        <v>261</v>
      </c>
      <c r="C264" s="2" t="s">
        <v>260</v>
      </c>
      <c r="D264" s="5">
        <v>991</v>
      </c>
      <c r="E264" s="10">
        <v>83</v>
      </c>
      <c r="F264" s="1">
        <v>28979.670000000002</v>
      </c>
      <c r="G264" s="1">
        <v>8730.36</v>
      </c>
      <c r="J264" s="1">
        <v>9316.51</v>
      </c>
      <c r="K264" s="2"/>
      <c r="L264" s="1">
        <v>38296.18</v>
      </c>
      <c r="M264" s="2">
        <v>20249.310000000001</v>
      </c>
      <c r="N264" s="1">
        <f t="shared" si="14"/>
        <v>18046.87</v>
      </c>
      <c r="O264" s="1">
        <f>N264*[1]Summary!$B$3</f>
        <v>7901.6229277996254</v>
      </c>
    </row>
    <row r="265" spans="1:15" x14ac:dyDescent="0.25">
      <c r="A265" s="2">
        <v>85</v>
      </c>
      <c r="B265" s="1" t="s">
        <v>262</v>
      </c>
      <c r="C265" s="2" t="s">
        <v>260</v>
      </c>
      <c r="D265" s="5">
        <v>991</v>
      </c>
      <c r="E265" s="10">
        <v>83</v>
      </c>
      <c r="F265" s="1">
        <v>28543.47</v>
      </c>
      <c r="G265" s="1">
        <v>8608.2200000000012</v>
      </c>
      <c r="J265" s="1">
        <v>9316.51</v>
      </c>
      <c r="K265" s="2"/>
      <c r="L265" s="1">
        <v>37859.980000000003</v>
      </c>
      <c r="M265" s="2">
        <v>19935.25</v>
      </c>
      <c r="N265" s="1">
        <f t="shared" si="14"/>
        <v>17924.730000000003</v>
      </c>
      <c r="O265" s="1">
        <f>N265*[1]Summary!$B$3</f>
        <v>7848.1452763065181</v>
      </c>
    </row>
    <row r="266" spans="1:15" x14ac:dyDescent="0.25">
      <c r="A266" s="2">
        <v>173</v>
      </c>
      <c r="B266" s="1" t="s">
        <v>263</v>
      </c>
      <c r="C266" s="2" t="s">
        <v>260</v>
      </c>
      <c r="D266" s="5">
        <v>991</v>
      </c>
      <c r="E266" s="10">
        <v>83</v>
      </c>
      <c r="F266" s="1">
        <v>29327.5</v>
      </c>
      <c r="G266" s="1">
        <v>8765.27</v>
      </c>
      <c r="J266" s="1">
        <v>9316.51</v>
      </c>
      <c r="K266" s="2"/>
      <c r="L266" s="1">
        <v>38644.01</v>
      </c>
      <c r="M266" s="2">
        <v>20562.23</v>
      </c>
      <c r="N266" s="1">
        <f t="shared" si="14"/>
        <v>18081.780000000002</v>
      </c>
      <c r="O266" s="1">
        <f>N266*[1]Summary!$B$3</f>
        <v>7916.9078861558119</v>
      </c>
    </row>
    <row r="267" spans="1:15" x14ac:dyDescent="0.25">
      <c r="A267" s="2">
        <v>177</v>
      </c>
      <c r="B267" s="1" t="s">
        <v>264</v>
      </c>
      <c r="C267" s="2" t="s">
        <v>260</v>
      </c>
      <c r="D267" s="5">
        <v>991</v>
      </c>
      <c r="E267" s="10">
        <v>83</v>
      </c>
      <c r="F267" s="1">
        <v>31095.24</v>
      </c>
      <c r="G267" s="1">
        <v>9322.7200000000012</v>
      </c>
      <c r="J267" s="1">
        <v>9316.51</v>
      </c>
      <c r="K267" s="2"/>
      <c r="L267" s="1">
        <v>40411.75</v>
      </c>
      <c r="M267" s="2">
        <v>21772.52</v>
      </c>
      <c r="N267" s="1">
        <f t="shared" si="14"/>
        <v>18639.23</v>
      </c>
      <c r="O267" s="1">
        <f>N267*[1]Summary!$B$3</f>
        <v>8160.9812186008221</v>
      </c>
    </row>
    <row r="268" spans="1:15" x14ac:dyDescent="0.25">
      <c r="A268" s="2">
        <v>330</v>
      </c>
      <c r="B268" s="1" t="s">
        <v>265</v>
      </c>
      <c r="C268" s="2" t="s">
        <v>260</v>
      </c>
      <c r="D268" s="5">
        <v>991</v>
      </c>
      <c r="E268" s="10">
        <v>83</v>
      </c>
      <c r="F268" s="1">
        <v>45250.78</v>
      </c>
      <c r="G268" s="1">
        <v>13286.26</v>
      </c>
      <c r="J268" s="1">
        <v>9316.51</v>
      </c>
      <c r="K268" s="2"/>
      <c r="L268" s="1">
        <v>54567.29</v>
      </c>
      <c r="M268" s="2">
        <v>31964.519999999997</v>
      </c>
      <c r="N268" s="1">
        <f t="shared" si="14"/>
        <v>22602.770000000004</v>
      </c>
      <c r="O268" s="1">
        <f>N268*[1]Summary!$B$3</f>
        <v>9896.3734799320646</v>
      </c>
    </row>
    <row r="269" spans="1:15" x14ac:dyDescent="0.25">
      <c r="A269" s="2">
        <v>402</v>
      </c>
      <c r="B269" s="1" t="s">
        <v>266</v>
      </c>
      <c r="C269" s="2" t="s">
        <v>260</v>
      </c>
      <c r="D269" s="5">
        <v>991</v>
      </c>
      <c r="E269" s="10">
        <v>83</v>
      </c>
      <c r="F269" s="1">
        <v>25373.75</v>
      </c>
      <c r="G269" s="1">
        <v>7720.7</v>
      </c>
      <c r="J269" s="1">
        <v>9316.51</v>
      </c>
      <c r="K269" s="2"/>
      <c r="L269" s="1">
        <v>34690.26</v>
      </c>
      <c r="M269" s="2">
        <v>17653.05</v>
      </c>
      <c r="N269" s="1">
        <f t="shared" si="14"/>
        <v>17037.210000000003</v>
      </c>
      <c r="O269" s="1">
        <f>N269*[1]Summary!$B$3</f>
        <v>7459.5544358515963</v>
      </c>
    </row>
    <row r="270" spans="1:15" x14ac:dyDescent="0.25">
      <c r="A270" s="2">
        <v>403</v>
      </c>
      <c r="B270" s="1" t="s">
        <v>267</v>
      </c>
      <c r="C270" s="2" t="s">
        <v>260</v>
      </c>
      <c r="D270" s="5">
        <v>991</v>
      </c>
      <c r="E270" s="10">
        <v>83</v>
      </c>
      <c r="F270" s="1">
        <v>25402.83</v>
      </c>
      <c r="G270" s="1">
        <v>7728.84</v>
      </c>
      <c r="J270" s="1">
        <v>9316.51</v>
      </c>
      <c r="K270" s="2"/>
      <c r="L270" s="1">
        <v>34719.340000000004</v>
      </c>
      <c r="M270" s="2">
        <v>17673.990000000002</v>
      </c>
      <c r="N270" s="1">
        <f t="shared" si="14"/>
        <v>17045.350000000002</v>
      </c>
      <c r="O270" s="1">
        <f>N270*[1]Summary!$B$3</f>
        <v>7463.1184450472228</v>
      </c>
    </row>
    <row r="271" spans="1:15" x14ac:dyDescent="0.25">
      <c r="A271" s="2">
        <v>404</v>
      </c>
      <c r="B271" s="1" t="s">
        <v>268</v>
      </c>
      <c r="C271" s="2" t="s">
        <v>260</v>
      </c>
      <c r="D271" s="5">
        <v>991</v>
      </c>
      <c r="E271" s="10">
        <v>83</v>
      </c>
      <c r="F271" s="1">
        <v>24988.440000000002</v>
      </c>
      <c r="G271" s="1">
        <v>7612.81</v>
      </c>
      <c r="J271" s="1">
        <v>9316.51</v>
      </c>
      <c r="K271" s="2"/>
      <c r="L271" s="1">
        <v>34304.950000000004</v>
      </c>
      <c r="M271" s="2">
        <v>17375.63</v>
      </c>
      <c r="N271" s="1">
        <f t="shared" si="14"/>
        <v>16929.320000000003</v>
      </c>
      <c r="O271" s="1">
        <f>N271*[1]Summary!$B$3</f>
        <v>7412.3159896456718</v>
      </c>
    </row>
    <row r="272" spans="1:15" x14ac:dyDescent="0.25">
      <c r="A272" s="2">
        <v>413</v>
      </c>
      <c r="B272" s="1" t="s">
        <v>269</v>
      </c>
      <c r="C272" s="2" t="s">
        <v>260</v>
      </c>
      <c r="D272" s="5">
        <v>991</v>
      </c>
      <c r="E272" s="10">
        <v>83</v>
      </c>
      <c r="F272" s="1">
        <v>72728.14</v>
      </c>
      <c r="G272" s="1">
        <v>23571.93</v>
      </c>
      <c r="J272" s="1">
        <v>9316.51</v>
      </c>
      <c r="K272" s="2"/>
      <c r="L272" s="1">
        <v>82044.649999999994</v>
      </c>
      <c r="M272" s="2">
        <v>49156.21</v>
      </c>
      <c r="N272" s="1">
        <f t="shared" si="14"/>
        <v>32888.439999999995</v>
      </c>
      <c r="O272" s="1">
        <f>N272*[1]Summary!$B$3</f>
        <v>14399.840613001717</v>
      </c>
    </row>
    <row r="273" spans="1:15" x14ac:dyDescent="0.25">
      <c r="A273" s="2">
        <v>414</v>
      </c>
      <c r="B273" s="1" t="s">
        <v>270</v>
      </c>
      <c r="C273" s="2" t="s">
        <v>260</v>
      </c>
      <c r="D273" s="5">
        <v>991</v>
      </c>
      <c r="E273" s="10">
        <v>83</v>
      </c>
      <c r="F273" s="1">
        <v>27721.96</v>
      </c>
      <c r="G273" s="1">
        <v>8378.2000000000007</v>
      </c>
      <c r="J273" s="1">
        <v>9316.51</v>
      </c>
      <c r="K273" s="2"/>
      <c r="L273" s="1">
        <v>37038.47</v>
      </c>
      <c r="M273" s="2">
        <v>19343.759999999998</v>
      </c>
      <c r="N273" s="1">
        <f t="shared" si="14"/>
        <v>17694.710000000003</v>
      </c>
      <c r="O273" s="1">
        <f>N273*[1]Summary!$B$3</f>
        <v>7747.4335569971599</v>
      </c>
    </row>
    <row r="274" spans="1:15" x14ac:dyDescent="0.25">
      <c r="A274" s="2">
        <v>415</v>
      </c>
      <c r="B274" s="1" t="s">
        <v>271</v>
      </c>
      <c r="C274" s="2" t="s">
        <v>260</v>
      </c>
      <c r="D274" s="5">
        <v>991</v>
      </c>
      <c r="E274" s="10">
        <v>83</v>
      </c>
      <c r="F274" s="1">
        <v>25580.04</v>
      </c>
      <c r="G274" s="1">
        <v>7743.34</v>
      </c>
      <c r="J274" s="1">
        <v>9316.51</v>
      </c>
      <c r="K274" s="2"/>
      <c r="L274" s="1">
        <v>34896.550000000003</v>
      </c>
      <c r="M274" s="2">
        <v>17836.7</v>
      </c>
      <c r="N274" s="1">
        <f t="shared" si="14"/>
        <v>17059.850000000002</v>
      </c>
      <c r="O274" s="1">
        <f>N274*[1]Summary!$B$3</f>
        <v>7469.4671100762889</v>
      </c>
    </row>
    <row r="275" spans="1:15" x14ac:dyDescent="0.25">
      <c r="A275" s="2">
        <v>505</v>
      </c>
      <c r="B275" s="1" t="s">
        <v>272</v>
      </c>
      <c r="C275" s="2" t="s">
        <v>260</v>
      </c>
      <c r="D275" s="5">
        <v>991</v>
      </c>
      <c r="E275" s="10">
        <v>83</v>
      </c>
      <c r="F275" s="1">
        <v>27082.2</v>
      </c>
      <c r="G275" s="1">
        <v>8199.07</v>
      </c>
      <c r="J275" s="1">
        <v>9316.51</v>
      </c>
      <c r="K275" s="2"/>
      <c r="L275" s="1">
        <v>36398.71</v>
      </c>
      <c r="M275" s="2">
        <v>18883.13</v>
      </c>
      <c r="N275" s="1">
        <f t="shared" si="14"/>
        <v>17515.579999999998</v>
      </c>
      <c r="O275" s="1">
        <f>N275*[1]Summary!$B$3</f>
        <v>7669.0034627449832</v>
      </c>
    </row>
    <row r="276" spans="1:15" x14ac:dyDescent="0.25">
      <c r="A276" s="2">
        <v>511</v>
      </c>
      <c r="B276" s="1" t="s">
        <v>273</v>
      </c>
      <c r="C276" s="2" t="s">
        <v>260</v>
      </c>
      <c r="D276" s="5">
        <v>991</v>
      </c>
      <c r="E276" s="10">
        <v>83</v>
      </c>
      <c r="F276" s="1">
        <v>28652.52</v>
      </c>
      <c r="G276" s="1">
        <v>8638.75</v>
      </c>
      <c r="J276" s="1">
        <v>9316.51</v>
      </c>
      <c r="K276" s="2"/>
      <c r="L276" s="1">
        <v>37969.03</v>
      </c>
      <c r="M276" s="2">
        <v>20013.77</v>
      </c>
      <c r="N276" s="1">
        <f t="shared" si="14"/>
        <v>17955.259999999998</v>
      </c>
      <c r="O276" s="1">
        <f>N276*[1]Summary!$B$3</f>
        <v>7861.5124999849559</v>
      </c>
    </row>
    <row r="277" spans="1:15" x14ac:dyDescent="0.25">
      <c r="A277" s="2">
        <v>513</v>
      </c>
      <c r="B277" s="1" t="s">
        <v>274</v>
      </c>
      <c r="C277" s="2" t="s">
        <v>260</v>
      </c>
      <c r="D277" s="5">
        <v>991</v>
      </c>
      <c r="E277" s="10">
        <v>83</v>
      </c>
      <c r="F277" s="1">
        <v>25446.45</v>
      </c>
      <c r="G277" s="1">
        <v>7741.06</v>
      </c>
      <c r="J277" s="1">
        <v>9316.51</v>
      </c>
      <c r="K277" s="2"/>
      <c r="L277" s="1">
        <v>34762.959999999999</v>
      </c>
      <c r="M277" s="2">
        <v>17705.39</v>
      </c>
      <c r="N277" s="1">
        <f t="shared" si="14"/>
        <v>17057.57</v>
      </c>
      <c r="O277" s="1">
        <f>N277*[1]Summary!$B$3</f>
        <v>7468.4688372303381</v>
      </c>
    </row>
    <row r="278" spans="1:15" x14ac:dyDescent="0.25">
      <c r="A278" s="2">
        <v>514</v>
      </c>
      <c r="B278" s="1" t="s">
        <v>275</v>
      </c>
      <c r="C278" s="2" t="s">
        <v>260</v>
      </c>
      <c r="D278" s="5">
        <v>991</v>
      </c>
      <c r="E278" s="10">
        <v>83</v>
      </c>
      <c r="F278" s="1">
        <v>25606.39</v>
      </c>
      <c r="G278" s="1">
        <v>7785.84</v>
      </c>
      <c r="J278" s="1">
        <v>9316.51</v>
      </c>
      <c r="K278" s="2"/>
      <c r="L278" s="1">
        <v>34922.9</v>
      </c>
      <c r="M278" s="2">
        <v>17820.55</v>
      </c>
      <c r="N278" s="1">
        <f t="shared" si="14"/>
        <v>17102.350000000002</v>
      </c>
      <c r="O278" s="1">
        <f>N278*[1]Summary!$B$3</f>
        <v>7488.0752661959641</v>
      </c>
    </row>
    <row r="279" spans="1:15" x14ac:dyDescent="0.25">
      <c r="A279" s="2">
        <v>516</v>
      </c>
      <c r="B279" s="1" t="s">
        <v>276</v>
      </c>
      <c r="C279" s="2" t="s">
        <v>260</v>
      </c>
      <c r="D279" s="5">
        <v>991</v>
      </c>
      <c r="E279" s="10">
        <v>83</v>
      </c>
      <c r="F279" s="1">
        <v>25119.3</v>
      </c>
      <c r="G279" s="1">
        <v>7649.45</v>
      </c>
      <c r="J279" s="1">
        <v>9316.51</v>
      </c>
      <c r="K279" s="2"/>
      <c r="L279" s="1">
        <v>34435.81</v>
      </c>
      <c r="M279" s="2">
        <v>17469.849999999999</v>
      </c>
      <c r="N279" s="1">
        <f t="shared" si="14"/>
        <v>16965.96</v>
      </c>
      <c r="O279" s="1">
        <f>N279*[1]Summary!$B$3</f>
        <v>7428.3584094156677</v>
      </c>
    </row>
    <row r="280" spans="1:15" x14ac:dyDescent="0.25">
      <c r="A280" s="2">
        <v>518</v>
      </c>
      <c r="B280" s="1" t="s">
        <v>277</v>
      </c>
      <c r="C280" s="2" t="s">
        <v>260</v>
      </c>
      <c r="D280" s="5">
        <v>991</v>
      </c>
      <c r="E280" s="10">
        <v>83</v>
      </c>
      <c r="F280" s="1">
        <v>91974.05</v>
      </c>
      <c r="G280" s="1">
        <v>22862.47</v>
      </c>
      <c r="J280" s="1">
        <v>9316.51</v>
      </c>
      <c r="K280" s="2"/>
      <c r="L280" s="1">
        <v>101290.56</v>
      </c>
      <c r="M280" s="2">
        <v>69111.58</v>
      </c>
      <c r="N280" s="1">
        <f t="shared" si="14"/>
        <v>32178.979999999996</v>
      </c>
      <c r="O280" s="1">
        <f>N280*[1]Summary!$B$3</f>
        <v>14089.211379103721</v>
      </c>
    </row>
    <row r="281" spans="1:15" x14ac:dyDescent="0.25">
      <c r="A281" s="2">
        <v>581</v>
      </c>
      <c r="B281" s="1" t="s">
        <v>278</v>
      </c>
      <c r="C281" s="2" t="s">
        <v>260</v>
      </c>
      <c r="D281" s="5">
        <v>991</v>
      </c>
      <c r="E281" s="10">
        <v>83</v>
      </c>
      <c r="F281" s="1">
        <v>26638.73</v>
      </c>
      <c r="G281" s="1">
        <v>8074.89</v>
      </c>
      <c r="J281" s="1">
        <v>9316.51</v>
      </c>
      <c r="K281" s="2"/>
      <c r="L281" s="1">
        <v>35955.24</v>
      </c>
      <c r="M281" s="2">
        <v>18563.84</v>
      </c>
      <c r="N281" s="1">
        <f t="shared" si="14"/>
        <v>17391.399999999998</v>
      </c>
      <c r="O281" s="1">
        <f>N281*[1]Summary!$B$3</f>
        <v>7614.6326197581302</v>
      </c>
    </row>
    <row r="282" spans="1:15" x14ac:dyDescent="0.25">
      <c r="A282" s="2">
        <v>635</v>
      </c>
      <c r="B282" s="1" t="s">
        <v>279</v>
      </c>
      <c r="C282" s="2" t="s">
        <v>260</v>
      </c>
      <c r="D282" s="5">
        <v>991</v>
      </c>
      <c r="E282" s="10">
        <v>83</v>
      </c>
      <c r="F282" s="1">
        <v>24923.010000000002</v>
      </c>
      <c r="G282" s="1">
        <v>7594.49</v>
      </c>
      <c r="J282" s="1">
        <v>9316.51</v>
      </c>
      <c r="K282" s="2"/>
      <c r="L282" s="1">
        <v>34239.520000000004</v>
      </c>
      <c r="M282" s="2">
        <v>17328.520000000004</v>
      </c>
      <c r="N282" s="1">
        <f t="shared" si="14"/>
        <v>16911</v>
      </c>
      <c r="O282" s="1">
        <f>N282*[1]Summary!$B$3</f>
        <v>7404.2947797606721</v>
      </c>
    </row>
    <row r="283" spans="1:15" x14ac:dyDescent="0.25">
      <c r="A283" s="2">
        <v>640</v>
      </c>
      <c r="B283" s="1" t="s">
        <v>280</v>
      </c>
      <c r="C283" s="2" t="s">
        <v>260</v>
      </c>
      <c r="D283" s="5">
        <v>991</v>
      </c>
      <c r="E283" s="10">
        <v>83</v>
      </c>
      <c r="F283" s="1">
        <v>27438.43</v>
      </c>
      <c r="G283" s="1">
        <v>8298.8100000000013</v>
      </c>
      <c r="J283" s="1">
        <v>9316.51</v>
      </c>
      <c r="K283" s="2"/>
      <c r="L283" s="1">
        <v>36754.94</v>
      </c>
      <c r="M283" s="2">
        <v>19139.62</v>
      </c>
      <c r="N283" s="1">
        <f t="shared" si="14"/>
        <v>17615.320000000003</v>
      </c>
      <c r="O283" s="1">
        <f>N283*[1]Summary!$B$3</f>
        <v>7712.6735213656075</v>
      </c>
    </row>
    <row r="284" spans="1:15" x14ac:dyDescent="0.25">
      <c r="A284" s="2">
        <v>671</v>
      </c>
      <c r="B284" s="1" t="s">
        <v>281</v>
      </c>
      <c r="C284" s="2" t="s">
        <v>260</v>
      </c>
      <c r="D284" s="5">
        <v>991</v>
      </c>
      <c r="E284" s="10">
        <v>83</v>
      </c>
      <c r="F284" s="1">
        <v>45454.34</v>
      </c>
      <c r="G284" s="1">
        <v>13343.26</v>
      </c>
      <c r="J284" s="1">
        <v>9316.51</v>
      </c>
      <c r="K284" s="2"/>
      <c r="L284" s="1">
        <v>54770.85</v>
      </c>
      <c r="M284" s="2">
        <v>32111.079999999994</v>
      </c>
      <c r="N284" s="1">
        <f t="shared" si="14"/>
        <v>22659.770000000004</v>
      </c>
      <c r="O284" s="1">
        <f>N284*[1]Summary!$B$3</f>
        <v>9921.3303010808067</v>
      </c>
    </row>
    <row r="285" spans="1:15" x14ac:dyDescent="0.25">
      <c r="A285" s="2">
        <v>891</v>
      </c>
      <c r="B285" s="1" t="s">
        <v>282</v>
      </c>
      <c r="C285" s="2" t="s">
        <v>260</v>
      </c>
      <c r="D285" s="5">
        <v>991</v>
      </c>
      <c r="E285" s="10">
        <v>83</v>
      </c>
      <c r="F285" s="1">
        <v>28194.510000000002</v>
      </c>
      <c r="G285" s="1">
        <v>8510.51</v>
      </c>
      <c r="J285" s="1">
        <v>9316.51</v>
      </c>
      <c r="K285" s="2"/>
      <c r="L285" s="1">
        <v>37511.020000000004</v>
      </c>
      <c r="M285" s="2">
        <v>19684</v>
      </c>
      <c r="N285" s="1">
        <f t="shared" si="14"/>
        <v>17827.020000000004</v>
      </c>
      <c r="O285" s="1">
        <f>N285*[1]Summary!$B$3</f>
        <v>7805.3640307899668</v>
      </c>
    </row>
    <row r="286" spans="1:15" x14ac:dyDescent="0.25">
      <c r="A286" s="2">
        <v>2169</v>
      </c>
      <c r="B286" s="1" t="s">
        <v>283</v>
      </c>
      <c r="C286" s="2" t="s">
        <v>260</v>
      </c>
      <c r="D286" s="5">
        <v>991</v>
      </c>
      <c r="E286" s="10">
        <v>83</v>
      </c>
      <c r="F286" s="1">
        <v>29830.260000000002</v>
      </c>
      <c r="G286" s="1">
        <v>8968.52</v>
      </c>
      <c r="J286" s="1">
        <v>9316.51</v>
      </c>
      <c r="K286" s="2"/>
      <c r="L286" s="1">
        <v>39146.770000000004</v>
      </c>
      <c r="M286" s="2">
        <v>20861.740000000002</v>
      </c>
      <c r="N286" s="1">
        <f t="shared" si="14"/>
        <v>18285.030000000002</v>
      </c>
      <c r="O286" s="1">
        <f>N286*[1]Summary!$B$3</f>
        <v>8005.8986563046119</v>
      </c>
    </row>
    <row r="287" spans="1:15" x14ac:dyDescent="0.25">
      <c r="A287" s="2">
        <v>2184</v>
      </c>
      <c r="B287" s="1" t="s">
        <v>284</v>
      </c>
      <c r="C287" s="2" t="s">
        <v>260</v>
      </c>
      <c r="D287" s="5">
        <v>991</v>
      </c>
      <c r="E287" s="10">
        <v>83</v>
      </c>
      <c r="F287" s="1">
        <v>33781.129999999997</v>
      </c>
      <c r="G287" s="1">
        <v>10146.69</v>
      </c>
      <c r="J287" s="1">
        <v>9316.51</v>
      </c>
      <c r="K287" s="2"/>
      <c r="L287" s="1">
        <v>43097.64</v>
      </c>
      <c r="M287" s="2">
        <v>23634.439999999995</v>
      </c>
      <c r="N287" s="1">
        <f t="shared" si="14"/>
        <v>19463.200000000004</v>
      </c>
      <c r="O287" s="1">
        <f>N287*[1]Summary!$B$3</f>
        <v>8521.7473926697385</v>
      </c>
    </row>
    <row r="288" spans="1:15" x14ac:dyDescent="0.25">
      <c r="A288" s="2">
        <v>2689</v>
      </c>
      <c r="B288" s="1" t="s">
        <v>285</v>
      </c>
      <c r="C288" s="2" t="s">
        <v>260</v>
      </c>
      <c r="D288" s="5">
        <v>991</v>
      </c>
      <c r="E288" s="10">
        <v>83</v>
      </c>
      <c r="F288" s="1">
        <v>71545.279999999999</v>
      </c>
      <c r="G288" s="1">
        <v>21351.689999999995</v>
      </c>
      <c r="J288" s="1">
        <v>9316.51</v>
      </c>
      <c r="K288" s="2"/>
      <c r="L288" s="1">
        <v>80861.789999999994</v>
      </c>
      <c r="M288" s="2">
        <v>50193.590000000004</v>
      </c>
      <c r="N288" s="1">
        <f t="shared" si="14"/>
        <v>30668.19999999999</v>
      </c>
      <c r="O288" s="1">
        <f>N288*[1]Summary!$B$3</f>
        <v>13427.733023751178</v>
      </c>
    </row>
    <row r="289" spans="1:15" x14ac:dyDescent="0.25">
      <c r="A289" s="2">
        <v>2754</v>
      </c>
      <c r="B289" s="1" t="s">
        <v>286</v>
      </c>
      <c r="C289" s="2" t="s">
        <v>260</v>
      </c>
      <c r="D289" s="5">
        <v>991</v>
      </c>
      <c r="E289" s="10">
        <v>83</v>
      </c>
      <c r="F289" s="1">
        <v>46363.09</v>
      </c>
      <c r="G289" s="1">
        <v>13597.71</v>
      </c>
      <c r="J289" s="1">
        <v>9316.51</v>
      </c>
      <c r="K289" s="2"/>
      <c r="L289" s="1">
        <v>55679.6</v>
      </c>
      <c r="M289" s="2">
        <v>32765.379999999997</v>
      </c>
      <c r="N289" s="1">
        <f t="shared" si="14"/>
        <v>22914.22</v>
      </c>
      <c r="O289" s="1">
        <f>N289*[1]Summary!$B$3</f>
        <v>10032.738426366719</v>
      </c>
    </row>
    <row r="290" spans="1:15" x14ac:dyDescent="0.25">
      <c r="A290" s="2">
        <v>2884</v>
      </c>
      <c r="B290" s="1" t="s">
        <v>287</v>
      </c>
      <c r="C290" s="2" t="s">
        <v>260</v>
      </c>
      <c r="D290" s="5">
        <v>991</v>
      </c>
      <c r="E290" s="10">
        <v>83</v>
      </c>
      <c r="F290" s="1">
        <v>46348.55</v>
      </c>
      <c r="G290" s="1">
        <v>13593.64</v>
      </c>
      <c r="J290" s="1">
        <v>9316.51</v>
      </c>
      <c r="K290" s="2"/>
      <c r="L290" s="1">
        <v>55665.060000000005</v>
      </c>
      <c r="M290" s="2">
        <v>32754.910000000003</v>
      </c>
      <c r="N290" s="1">
        <f t="shared" si="14"/>
        <v>22910.15</v>
      </c>
      <c r="O290" s="1">
        <f>N290*[1]Summary!$B$3</f>
        <v>10030.956421768906</v>
      </c>
    </row>
    <row r="291" spans="1:15" x14ac:dyDescent="0.25">
      <c r="A291" s="2">
        <v>2895</v>
      </c>
      <c r="B291" s="1" t="s">
        <v>288</v>
      </c>
      <c r="C291" s="2" t="s">
        <v>260</v>
      </c>
      <c r="D291" s="5">
        <v>991</v>
      </c>
      <c r="E291" s="10">
        <v>83</v>
      </c>
      <c r="F291" s="1">
        <v>51292.15</v>
      </c>
      <c r="G291" s="1">
        <v>14977.849999999999</v>
      </c>
      <c r="J291" s="1">
        <v>9316.51</v>
      </c>
      <c r="K291" s="2"/>
      <c r="L291" s="1">
        <v>60608.66</v>
      </c>
      <c r="M291" s="2">
        <v>36314.300000000003</v>
      </c>
      <c r="N291" s="1">
        <f t="shared" si="14"/>
        <v>24294.36</v>
      </c>
      <c r="O291" s="1">
        <f>N291*[1]Summary!$B$3</f>
        <v>10637.017499002217</v>
      </c>
    </row>
    <row r="292" spans="1:15" x14ac:dyDescent="0.25">
      <c r="A292" s="2">
        <v>2897</v>
      </c>
      <c r="B292" s="1" t="s">
        <v>289</v>
      </c>
      <c r="C292" s="2" t="s">
        <v>260</v>
      </c>
      <c r="D292" s="5">
        <v>991</v>
      </c>
      <c r="E292" s="10">
        <v>83</v>
      </c>
      <c r="F292" s="1">
        <v>33058.14</v>
      </c>
      <c r="G292" s="1">
        <v>9872.3300000000017</v>
      </c>
      <c r="J292" s="1">
        <v>9316.51</v>
      </c>
      <c r="K292" s="2"/>
      <c r="L292" s="1">
        <v>42374.65</v>
      </c>
      <c r="M292" s="2">
        <v>23185.809999999998</v>
      </c>
      <c r="N292" s="1">
        <f t="shared" si="14"/>
        <v>19188.840000000004</v>
      </c>
      <c r="O292" s="1">
        <f>N292*[1]Summary!$B$3</f>
        <v>8401.621893540465</v>
      </c>
    </row>
    <row r="293" spans="1:15" x14ac:dyDescent="0.25">
      <c r="A293" s="2">
        <v>2898</v>
      </c>
      <c r="B293" s="1" t="s">
        <v>290</v>
      </c>
      <c r="C293" s="2" t="s">
        <v>260</v>
      </c>
      <c r="D293" s="5">
        <v>991</v>
      </c>
      <c r="E293" s="10">
        <v>83</v>
      </c>
      <c r="F293" s="1">
        <v>46603</v>
      </c>
      <c r="G293" s="1">
        <v>13664.89</v>
      </c>
      <c r="J293" s="1">
        <v>9316.51</v>
      </c>
      <c r="K293" s="2"/>
      <c r="L293" s="1">
        <v>55919.51</v>
      </c>
      <c r="M293" s="2">
        <v>32938.11</v>
      </c>
      <c r="N293" s="1">
        <f t="shared" si="14"/>
        <v>22981.4</v>
      </c>
      <c r="O293" s="1">
        <f>N293*[1]Summary!$B$3</f>
        <v>10062.152448204832</v>
      </c>
    </row>
    <row r="294" spans="1:15" x14ac:dyDescent="0.25">
      <c r="A294" s="2">
        <v>2902</v>
      </c>
      <c r="B294" s="1" t="s">
        <v>291</v>
      </c>
      <c r="C294" s="2" t="s">
        <v>260</v>
      </c>
      <c r="D294" s="5">
        <v>991</v>
      </c>
      <c r="E294" s="10">
        <v>83</v>
      </c>
      <c r="F294" s="1">
        <v>65607.63</v>
      </c>
      <c r="G294" s="1">
        <v>18986.18</v>
      </c>
      <c r="J294" s="1">
        <v>9316.51</v>
      </c>
      <c r="K294" s="2"/>
      <c r="L294" s="1">
        <v>74924.14</v>
      </c>
      <c r="M294" s="2">
        <v>46621.450000000004</v>
      </c>
      <c r="N294" s="1">
        <f t="shared" si="14"/>
        <v>28302.689999999995</v>
      </c>
      <c r="O294" s="1">
        <f>N294*[1]Summary!$B$3</f>
        <v>12392.020567688754</v>
      </c>
    </row>
    <row r="295" spans="1:15" x14ac:dyDescent="0.25">
      <c r="A295" s="2">
        <v>2904</v>
      </c>
      <c r="B295" s="1" t="s">
        <v>292</v>
      </c>
      <c r="C295" s="2" t="s">
        <v>260</v>
      </c>
      <c r="D295" s="5">
        <v>991</v>
      </c>
      <c r="E295" s="10">
        <v>83</v>
      </c>
      <c r="F295" s="1">
        <v>30804.020000000004</v>
      </c>
      <c r="G295" s="1">
        <v>9226.7899999999991</v>
      </c>
      <c r="J295" s="1">
        <v>9316.51</v>
      </c>
      <c r="K295" s="2"/>
      <c r="L295" s="1">
        <v>40120.530000000006</v>
      </c>
      <c r="M295" s="2">
        <v>21577.230000000003</v>
      </c>
      <c r="N295" s="1">
        <f t="shared" si="14"/>
        <v>18543.300000000003</v>
      </c>
      <c r="O295" s="1">
        <f>N295*[1]Summary!$B$3</f>
        <v>8118.9793264464606</v>
      </c>
    </row>
    <row r="296" spans="1:15" x14ac:dyDescent="0.25">
      <c r="A296" s="2">
        <v>4026</v>
      </c>
      <c r="B296" s="1" t="s">
        <v>293</v>
      </c>
      <c r="C296" s="2" t="s">
        <v>260</v>
      </c>
      <c r="D296" s="5">
        <v>991</v>
      </c>
      <c r="E296" s="10">
        <v>83</v>
      </c>
      <c r="F296" s="1">
        <v>25613.66</v>
      </c>
      <c r="G296" s="1">
        <v>7787.87</v>
      </c>
      <c r="J296" s="1">
        <v>9316.51</v>
      </c>
      <c r="K296" s="2"/>
      <c r="L296" s="1">
        <v>34930.17</v>
      </c>
      <c r="M296" s="2">
        <v>17825.79</v>
      </c>
      <c r="N296" s="1">
        <f t="shared" si="14"/>
        <v>17104.379999999997</v>
      </c>
      <c r="O296" s="1">
        <f>N296*[1]Summary!$B$3</f>
        <v>7488.9640793000308</v>
      </c>
    </row>
    <row r="297" spans="1:15" x14ac:dyDescent="0.25">
      <c r="A297" s="2">
        <v>4138</v>
      </c>
      <c r="B297" s="1" t="s">
        <v>294</v>
      </c>
      <c r="C297" s="2" t="s">
        <v>260</v>
      </c>
      <c r="D297" s="5">
        <v>991</v>
      </c>
      <c r="E297" s="10">
        <v>83</v>
      </c>
      <c r="F297" s="1">
        <v>0</v>
      </c>
      <c r="G297" s="1">
        <v>0</v>
      </c>
      <c r="J297" s="1">
        <v>9316.51</v>
      </c>
      <c r="K297" s="2"/>
      <c r="L297" s="1">
        <v>9316.51</v>
      </c>
      <c r="M297" s="2">
        <v>0</v>
      </c>
      <c r="N297" s="1">
        <f t="shared" si="14"/>
        <v>9316.51</v>
      </c>
      <c r="O297" s="1">
        <f>N297*[1]Summary!$B$3</f>
        <v>4079.1311193062561</v>
      </c>
    </row>
    <row r="298" spans="1:15" x14ac:dyDescent="0.25">
      <c r="B298" s="1"/>
      <c r="E298" s="10"/>
      <c r="K298" s="2"/>
      <c r="M298" s="2"/>
      <c r="N298" s="9">
        <f>SUM(N263:N297)</f>
        <v>696168.46000000008</v>
      </c>
      <c r="O298" s="9">
        <f>SUM(O263:O297)</f>
        <v>304809.67974762141</v>
      </c>
    </row>
    <row r="299" spans="1:15" x14ac:dyDescent="0.25">
      <c r="B299" s="1"/>
      <c r="E299" s="10"/>
      <c r="K299" s="2"/>
      <c r="M299" s="2"/>
    </row>
    <row r="300" spans="1:15" x14ac:dyDescent="0.25">
      <c r="B300" s="1"/>
      <c r="E300" s="10"/>
      <c r="K300" s="2"/>
      <c r="M300" s="2"/>
    </row>
    <row r="301" spans="1:15" x14ac:dyDescent="0.25">
      <c r="A301" s="3">
        <v>75</v>
      </c>
      <c r="B301" s="1" t="s">
        <v>295</v>
      </c>
      <c r="C301" s="2" t="s">
        <v>296</v>
      </c>
      <c r="D301" s="5">
        <v>6036</v>
      </c>
      <c r="E301" s="10">
        <v>50</v>
      </c>
      <c r="F301" s="1">
        <v>27162.95</v>
      </c>
      <c r="G301" s="1">
        <v>9316.8100000000013</v>
      </c>
      <c r="J301" s="1">
        <v>10500</v>
      </c>
      <c r="K301" s="2">
        <v>5320.08</v>
      </c>
      <c r="L301" s="1">
        <v>42983.03</v>
      </c>
      <c r="M301" s="2">
        <v>17846.14</v>
      </c>
      <c r="N301" s="1">
        <f t="shared" ref="N301:N329" si="15">L301-M301</f>
        <v>25136.89</v>
      </c>
      <c r="O301" s="1">
        <f>N301*[1]Summary!$B$3</f>
        <v>11005.909964308334</v>
      </c>
    </row>
    <row r="302" spans="1:15" x14ac:dyDescent="0.25">
      <c r="A302" s="3">
        <v>77</v>
      </c>
      <c r="B302" s="1" t="s">
        <v>297</v>
      </c>
      <c r="C302" s="2" t="s">
        <v>296</v>
      </c>
      <c r="D302" s="5">
        <v>6036</v>
      </c>
      <c r="E302" s="10">
        <v>50</v>
      </c>
      <c r="F302" s="1">
        <v>394473.77</v>
      </c>
      <c r="G302" s="1">
        <v>144456.06000000003</v>
      </c>
      <c r="H302" s="1">
        <v>600</v>
      </c>
      <c r="I302" s="1">
        <v>198</v>
      </c>
      <c r="J302" s="1">
        <v>10500</v>
      </c>
      <c r="K302" s="2"/>
      <c r="L302" s="1">
        <v>405573.77</v>
      </c>
      <c r="M302" s="2">
        <v>250419.71</v>
      </c>
      <c r="N302" s="1">
        <f t="shared" si="15"/>
        <v>155154.06000000003</v>
      </c>
      <c r="O302" s="1">
        <f>N302*[1]Summary!$B$3</f>
        <v>67932.493437210942</v>
      </c>
    </row>
    <row r="303" spans="1:15" x14ac:dyDescent="0.25">
      <c r="A303" s="3">
        <v>88</v>
      </c>
      <c r="B303" s="1" t="s">
        <v>298</v>
      </c>
      <c r="C303" s="2" t="s">
        <v>296</v>
      </c>
      <c r="D303" s="5">
        <v>6036</v>
      </c>
      <c r="E303" s="10">
        <v>50</v>
      </c>
      <c r="F303" s="1">
        <v>51711.7</v>
      </c>
      <c r="G303" s="1">
        <v>17964.620000000003</v>
      </c>
      <c r="J303" s="1">
        <v>21000</v>
      </c>
      <c r="K303" s="2">
        <v>10640.16</v>
      </c>
      <c r="L303" s="1">
        <v>83351.86</v>
      </c>
      <c r="M303" s="2">
        <v>33747.079999999994</v>
      </c>
      <c r="N303" s="1">
        <f t="shared" si="15"/>
        <v>49604.780000000006</v>
      </c>
      <c r="O303" s="1">
        <f>N303*[1]Summary!$B$3</f>
        <v>21718.905659344608</v>
      </c>
    </row>
    <row r="304" spans="1:15" x14ac:dyDescent="0.25">
      <c r="A304" s="3">
        <v>242</v>
      </c>
      <c r="B304" s="1" t="s">
        <v>299</v>
      </c>
      <c r="C304" s="2" t="s">
        <v>296</v>
      </c>
      <c r="D304" s="5">
        <v>6036</v>
      </c>
      <c r="E304" s="10">
        <v>50</v>
      </c>
      <c r="F304" s="1">
        <v>28259.040000000001</v>
      </c>
      <c r="G304" s="1">
        <v>9490.2900000000009</v>
      </c>
      <c r="J304" s="1">
        <v>10500</v>
      </c>
      <c r="K304" s="2">
        <v>5320.08</v>
      </c>
      <c r="L304" s="1">
        <v>44079.12</v>
      </c>
      <c r="M304" s="2">
        <v>18768.75</v>
      </c>
      <c r="N304" s="1">
        <f t="shared" si="15"/>
        <v>25310.370000000003</v>
      </c>
      <c r="O304" s="1">
        <f>N304*[1]Summary!$B$3</f>
        <v>11081.866268394013</v>
      </c>
    </row>
    <row r="305" spans="1:15" x14ac:dyDescent="0.25">
      <c r="A305" s="3">
        <v>391</v>
      </c>
      <c r="B305" s="1" t="s">
        <v>300</v>
      </c>
      <c r="C305" s="2" t="s">
        <v>296</v>
      </c>
      <c r="D305" s="5">
        <v>6036</v>
      </c>
      <c r="E305" s="10">
        <v>50</v>
      </c>
      <c r="F305" s="1">
        <v>20235.48</v>
      </c>
      <c r="G305" s="1">
        <v>6795.7999999999993</v>
      </c>
      <c r="J305" s="1">
        <v>10500</v>
      </c>
      <c r="K305" s="2">
        <v>5320.08</v>
      </c>
      <c r="L305" s="1">
        <v>36055.56</v>
      </c>
      <c r="M305" s="2">
        <v>13439.68</v>
      </c>
      <c r="N305" s="1">
        <f t="shared" si="15"/>
        <v>22615.879999999997</v>
      </c>
      <c r="O305" s="1">
        <f>N305*[1]Summary!$B$3</f>
        <v>9902.1135487962729</v>
      </c>
    </row>
    <row r="306" spans="1:15" x14ac:dyDescent="0.25">
      <c r="A306" s="3">
        <v>392</v>
      </c>
      <c r="B306" s="1" t="s">
        <v>301</v>
      </c>
      <c r="C306" s="2" t="s">
        <v>296</v>
      </c>
      <c r="D306" s="5">
        <v>6036</v>
      </c>
      <c r="E306" s="10">
        <v>50</v>
      </c>
      <c r="F306" s="1">
        <v>41064.720000000001</v>
      </c>
      <c r="G306" s="1">
        <v>9566.8000000000029</v>
      </c>
      <c r="J306" s="1">
        <v>10500</v>
      </c>
      <c r="K306" s="2">
        <v>5320.08</v>
      </c>
      <c r="L306" s="1">
        <v>56884.800000000003</v>
      </c>
      <c r="M306" s="2">
        <v>31497.919999999998</v>
      </c>
      <c r="N306" s="1">
        <f t="shared" si="15"/>
        <v>25386.880000000005</v>
      </c>
      <c r="O306" s="1">
        <f>N306*[1]Summary!$B$3</f>
        <v>11115.365327799103</v>
      </c>
    </row>
    <row r="307" spans="1:15" x14ac:dyDescent="0.25">
      <c r="A307" s="3">
        <v>394</v>
      </c>
      <c r="B307" s="1" t="s">
        <v>302</v>
      </c>
      <c r="C307" s="2" t="s">
        <v>296</v>
      </c>
      <c r="D307" s="5">
        <v>6036</v>
      </c>
      <c r="E307" s="10">
        <v>50</v>
      </c>
      <c r="F307" s="1">
        <v>257936.81</v>
      </c>
      <c r="G307" s="1">
        <v>98975.23000000001</v>
      </c>
      <c r="J307" s="1">
        <v>10500</v>
      </c>
      <c r="K307" s="2">
        <v>5320.08</v>
      </c>
      <c r="L307" s="1">
        <v>273756.89</v>
      </c>
      <c r="M307" s="2">
        <v>158961.57999999999</v>
      </c>
      <c r="N307" s="1">
        <f t="shared" si="15"/>
        <v>114795.31000000003</v>
      </c>
      <c r="O307" s="1">
        <f>N307*[1]Summary!$B$3</f>
        <v>50261.860006741663</v>
      </c>
    </row>
    <row r="308" spans="1:15" x14ac:dyDescent="0.25">
      <c r="A308" s="3">
        <v>458</v>
      </c>
      <c r="B308" s="1" t="s">
        <v>303</v>
      </c>
      <c r="C308" s="2" t="s">
        <v>296</v>
      </c>
      <c r="D308" s="5">
        <v>6036</v>
      </c>
      <c r="E308" s="10">
        <v>50</v>
      </c>
      <c r="F308" s="1">
        <v>29655.84</v>
      </c>
      <c r="G308" s="1">
        <v>5974.4700000000012</v>
      </c>
      <c r="J308" s="1">
        <v>10500</v>
      </c>
      <c r="K308" s="2">
        <v>2260.08</v>
      </c>
      <c r="L308" s="1">
        <v>42415.92</v>
      </c>
      <c r="M308" s="2">
        <v>23681.37</v>
      </c>
      <c r="N308" s="1">
        <f t="shared" si="15"/>
        <v>18734.55</v>
      </c>
      <c r="O308" s="1">
        <f>N308*[1]Summary!$B$3</f>
        <v>8202.716028984998</v>
      </c>
    </row>
    <row r="309" spans="1:15" x14ac:dyDescent="0.25">
      <c r="A309" s="3">
        <v>507</v>
      </c>
      <c r="B309" s="1" t="s">
        <v>304</v>
      </c>
      <c r="C309" s="2" t="s">
        <v>296</v>
      </c>
      <c r="D309" s="5">
        <v>6036</v>
      </c>
      <c r="E309" s="10">
        <v>50</v>
      </c>
      <c r="F309" s="1">
        <v>25466.04</v>
      </c>
      <c r="G309" s="1">
        <v>8552.39</v>
      </c>
      <c r="J309" s="1">
        <v>10500</v>
      </c>
      <c r="K309" s="2">
        <v>5320.08</v>
      </c>
      <c r="L309" s="1">
        <v>41286.120000000003</v>
      </c>
      <c r="M309" s="2">
        <v>16913.650000000001</v>
      </c>
      <c r="N309" s="1">
        <f t="shared" si="15"/>
        <v>24372.47</v>
      </c>
      <c r="O309" s="1">
        <f>N309*[1]Summary!$B$3</f>
        <v>10671.217100755342</v>
      </c>
    </row>
    <row r="310" spans="1:15" x14ac:dyDescent="0.25">
      <c r="A310" s="3">
        <v>508</v>
      </c>
      <c r="B310" s="1" t="s">
        <v>305</v>
      </c>
      <c r="C310" s="2" t="s">
        <v>296</v>
      </c>
      <c r="D310" s="5">
        <v>6036</v>
      </c>
      <c r="E310" s="10">
        <v>50</v>
      </c>
      <c r="F310" s="1">
        <v>27899.87</v>
      </c>
      <c r="G310" s="1">
        <v>10821.8308</v>
      </c>
      <c r="H310" s="1">
        <v>50</v>
      </c>
      <c r="I310" s="1">
        <v>16.5</v>
      </c>
      <c r="J310" s="1">
        <v>10500</v>
      </c>
      <c r="K310" s="2">
        <v>5320.08</v>
      </c>
      <c r="L310" s="1">
        <v>43769.95</v>
      </c>
      <c r="M310" s="2">
        <v>17111.539199999999</v>
      </c>
      <c r="N310" s="1">
        <f t="shared" si="15"/>
        <v>26658.410799999998</v>
      </c>
      <c r="O310" s="1">
        <f>N310*[1]Summary!$B$3</f>
        <v>11672.091060443232</v>
      </c>
    </row>
    <row r="311" spans="1:15" x14ac:dyDescent="0.25">
      <c r="A311" s="3">
        <v>716</v>
      </c>
      <c r="B311" s="1" t="s">
        <v>306</v>
      </c>
      <c r="C311" s="2" t="s">
        <v>296</v>
      </c>
      <c r="D311" s="5">
        <v>6036</v>
      </c>
      <c r="E311" s="10">
        <v>50</v>
      </c>
      <c r="F311" s="1">
        <v>30005.640000000003</v>
      </c>
      <c r="G311" s="1">
        <v>16577.980000000003</v>
      </c>
      <c r="J311" s="1">
        <v>7500</v>
      </c>
      <c r="K311" s="2">
        <v>2260.08</v>
      </c>
      <c r="L311" s="1">
        <v>39765.72</v>
      </c>
      <c r="M311" s="2">
        <v>13427.66</v>
      </c>
      <c r="N311" s="1">
        <f t="shared" si="15"/>
        <v>26338.06</v>
      </c>
      <c r="O311" s="1">
        <f>N311*[1]Summary!$B$3</f>
        <v>11531.828996926461</v>
      </c>
    </row>
    <row r="312" spans="1:15" x14ac:dyDescent="0.25">
      <c r="A312" s="3">
        <v>829</v>
      </c>
      <c r="B312" s="1" t="s">
        <v>307</v>
      </c>
      <c r="C312" s="2" t="s">
        <v>296</v>
      </c>
      <c r="D312" s="5">
        <v>6036</v>
      </c>
      <c r="E312" s="10">
        <v>50</v>
      </c>
      <c r="F312" s="1">
        <v>38923.919999999998</v>
      </c>
      <c r="G312" s="1">
        <v>18568.810000000001</v>
      </c>
      <c r="J312" s="1">
        <v>10500</v>
      </c>
      <c r="K312" s="2">
        <v>5320.08</v>
      </c>
      <c r="L312" s="1">
        <v>54744</v>
      </c>
      <c r="M312" s="2">
        <v>20355.109999999997</v>
      </c>
      <c r="N312" s="1">
        <f t="shared" si="15"/>
        <v>34388.89</v>
      </c>
      <c r="O312" s="1">
        <f>N312*[1]Summary!$B$3</f>
        <v>15056.79609181976</v>
      </c>
    </row>
    <row r="313" spans="1:15" x14ac:dyDescent="0.25">
      <c r="A313" s="3">
        <v>837</v>
      </c>
      <c r="B313" s="1" t="s">
        <v>308</v>
      </c>
      <c r="C313" s="2" t="s">
        <v>296</v>
      </c>
      <c r="D313" s="5">
        <v>6036</v>
      </c>
      <c r="E313" s="10">
        <v>50</v>
      </c>
      <c r="F313" s="1">
        <v>21403.68</v>
      </c>
      <c r="G313" s="1">
        <v>7070.1099999999988</v>
      </c>
      <c r="J313" s="1">
        <v>10500</v>
      </c>
      <c r="K313" s="2">
        <v>2260.08</v>
      </c>
      <c r="L313" s="1">
        <v>34163.760000000002</v>
      </c>
      <c r="M313" s="2">
        <v>14333.570000000002</v>
      </c>
      <c r="N313" s="1">
        <f t="shared" si="15"/>
        <v>19830.190000000002</v>
      </c>
      <c r="O313" s="1">
        <f>N313*[1]Summary!$B$3</f>
        <v>8682.4299153605516</v>
      </c>
    </row>
    <row r="314" spans="1:15" x14ac:dyDescent="0.25">
      <c r="A314" s="3">
        <v>840</v>
      </c>
      <c r="B314" s="1" t="s">
        <v>309</v>
      </c>
      <c r="C314" s="2" t="s">
        <v>296</v>
      </c>
      <c r="D314" s="5">
        <v>6036</v>
      </c>
      <c r="E314" s="10">
        <v>50</v>
      </c>
      <c r="F314" s="1">
        <v>33297.839999999997</v>
      </c>
      <c r="G314" s="1">
        <v>11182.519999999997</v>
      </c>
      <c r="J314" s="1">
        <v>10500</v>
      </c>
      <c r="K314" s="2">
        <v>5320.08</v>
      </c>
      <c r="L314" s="1">
        <v>49117.919999999998</v>
      </c>
      <c r="M314" s="2">
        <v>22115.32</v>
      </c>
      <c r="N314" s="1">
        <f t="shared" si="15"/>
        <v>27002.6</v>
      </c>
      <c r="O314" s="1">
        <f>N314*[1]Summary!$B$3</f>
        <v>11822.790504403378</v>
      </c>
    </row>
    <row r="315" spans="1:15" x14ac:dyDescent="0.25">
      <c r="A315" s="3">
        <v>2071</v>
      </c>
      <c r="B315" s="1" t="s">
        <v>310</v>
      </c>
      <c r="C315" s="2" t="s">
        <v>296</v>
      </c>
      <c r="D315" s="5">
        <v>6036</v>
      </c>
      <c r="E315" s="10">
        <v>50</v>
      </c>
      <c r="F315" s="1">
        <v>51166.9</v>
      </c>
      <c r="G315" s="1">
        <v>34335.230000000003</v>
      </c>
      <c r="J315" s="1">
        <v>10500</v>
      </c>
      <c r="K315" s="2">
        <v>5320.08</v>
      </c>
      <c r="L315" s="1">
        <v>66986.98</v>
      </c>
      <c r="M315" s="2">
        <v>16831.669999999998</v>
      </c>
      <c r="N315" s="1">
        <f t="shared" si="15"/>
        <v>50155.31</v>
      </c>
      <c r="O315" s="1">
        <f>N315*[1]Summary!$B$3</f>
        <v>21959.949146134364</v>
      </c>
    </row>
    <row r="316" spans="1:15" x14ac:dyDescent="0.25">
      <c r="A316" s="3">
        <v>2134</v>
      </c>
      <c r="B316" s="1" t="s">
        <v>311</v>
      </c>
      <c r="C316" s="2" t="s">
        <v>296</v>
      </c>
      <c r="D316" s="5">
        <v>6036</v>
      </c>
      <c r="E316" s="10">
        <v>50</v>
      </c>
      <c r="F316" s="1">
        <v>38332.92</v>
      </c>
      <c r="G316" s="1">
        <v>12873.419999999998</v>
      </c>
      <c r="J316" s="1">
        <v>10500</v>
      </c>
      <c r="K316" s="2">
        <v>5320.08</v>
      </c>
      <c r="L316" s="1">
        <v>54153</v>
      </c>
      <c r="M316" s="2">
        <v>25459.5</v>
      </c>
      <c r="N316" s="1">
        <f t="shared" si="15"/>
        <v>28693.5</v>
      </c>
      <c r="O316" s="1">
        <f>N316*[1]Summary!$B$3</f>
        <v>12563.13241458594</v>
      </c>
    </row>
    <row r="317" spans="1:15" x14ac:dyDescent="0.25">
      <c r="A317" s="3">
        <v>2135</v>
      </c>
      <c r="B317" s="1" t="s">
        <v>312</v>
      </c>
      <c r="C317" s="2" t="s">
        <v>296</v>
      </c>
      <c r="D317" s="5">
        <v>6036</v>
      </c>
      <c r="E317" s="10">
        <v>50</v>
      </c>
      <c r="F317" s="1">
        <v>40912.800000000003</v>
      </c>
      <c r="G317" s="1">
        <v>12942.850000000002</v>
      </c>
      <c r="J317" s="1">
        <v>10500</v>
      </c>
      <c r="K317" s="2">
        <v>2260.08</v>
      </c>
      <c r="L317" s="1">
        <v>53672.880000000005</v>
      </c>
      <c r="M317" s="2">
        <v>27969.95</v>
      </c>
      <c r="N317" s="1">
        <f t="shared" si="15"/>
        <v>25702.930000000004</v>
      </c>
      <c r="O317" s="1">
        <f>N317*[1]Summary!$B$3</f>
        <v>11253.744333484359</v>
      </c>
    </row>
    <row r="318" spans="1:15" x14ac:dyDescent="0.25">
      <c r="A318" s="3">
        <v>2143</v>
      </c>
      <c r="B318" s="1" t="s">
        <v>313</v>
      </c>
      <c r="C318" s="2" t="s">
        <v>296</v>
      </c>
      <c r="D318" s="5">
        <v>6036</v>
      </c>
      <c r="E318" s="10">
        <v>50</v>
      </c>
      <c r="F318" s="1">
        <v>23420.52</v>
      </c>
      <c r="G318" s="1">
        <v>7831.0099999999984</v>
      </c>
      <c r="J318" s="1">
        <v>10500</v>
      </c>
      <c r="K318" s="2">
        <v>2260.08</v>
      </c>
      <c r="L318" s="1">
        <v>36180.600000000006</v>
      </c>
      <c r="M318" s="2">
        <v>15589.510000000002</v>
      </c>
      <c r="N318" s="1">
        <f t="shared" si="15"/>
        <v>20591.090000000004</v>
      </c>
      <c r="O318" s="1">
        <f>N318*[1]Summary!$B$3</f>
        <v>9015.5815857478683</v>
      </c>
    </row>
    <row r="319" spans="1:15" x14ac:dyDescent="0.25">
      <c r="A319" s="3">
        <v>2168</v>
      </c>
      <c r="B319" s="1" t="s">
        <v>314</v>
      </c>
      <c r="C319" s="2" t="s">
        <v>296</v>
      </c>
      <c r="D319" s="5">
        <v>6036</v>
      </c>
      <c r="E319" s="10">
        <v>50</v>
      </c>
      <c r="F319" s="1">
        <v>50616.84</v>
      </c>
      <c r="G319" s="1">
        <v>17350.629999999997</v>
      </c>
      <c r="J319" s="1">
        <v>10500</v>
      </c>
      <c r="K319" s="2">
        <v>5320.08</v>
      </c>
      <c r="L319" s="1">
        <v>66436.92</v>
      </c>
      <c r="M319" s="2">
        <v>33266.21</v>
      </c>
      <c r="N319" s="1">
        <f t="shared" si="15"/>
        <v>33170.71</v>
      </c>
      <c r="O319" s="1">
        <f>N319*[1]Summary!$B$3</f>
        <v>14523.429418364089</v>
      </c>
    </row>
    <row r="320" spans="1:15" x14ac:dyDescent="0.25">
      <c r="A320" s="3">
        <v>2310</v>
      </c>
      <c r="B320" s="1" t="s">
        <v>315</v>
      </c>
      <c r="C320" s="2" t="s">
        <v>296</v>
      </c>
      <c r="D320" s="5">
        <v>6036</v>
      </c>
      <c r="E320" s="10">
        <v>50</v>
      </c>
      <c r="F320" s="1">
        <v>85987.68</v>
      </c>
      <c r="G320" s="1">
        <v>23813.98</v>
      </c>
      <c r="J320" s="1">
        <v>10500</v>
      </c>
      <c r="K320" s="2">
        <v>2260.08</v>
      </c>
      <c r="L320" s="1">
        <v>98747.76</v>
      </c>
      <c r="M320" s="2">
        <v>62173.7</v>
      </c>
      <c r="N320" s="1">
        <f t="shared" si="15"/>
        <v>36574.06</v>
      </c>
      <c r="O320" s="1">
        <f>N320*[1]Summary!$B$3</f>
        <v>16013.548668479309</v>
      </c>
    </row>
    <row r="321" spans="1:15" x14ac:dyDescent="0.25">
      <c r="A321" s="3">
        <v>2365</v>
      </c>
      <c r="B321" s="1" t="s">
        <v>316</v>
      </c>
      <c r="C321" s="2" t="s">
        <v>296</v>
      </c>
      <c r="D321" s="5">
        <v>6036</v>
      </c>
      <c r="E321" s="10">
        <v>50</v>
      </c>
      <c r="F321" s="1">
        <v>53332.2</v>
      </c>
      <c r="G321" s="1">
        <v>16818.470000000005</v>
      </c>
      <c r="J321" s="1">
        <v>10500</v>
      </c>
      <c r="K321" s="2">
        <v>5320.08</v>
      </c>
      <c r="L321" s="1">
        <v>69152.28</v>
      </c>
      <c r="M321" s="2">
        <v>36513.729999999996</v>
      </c>
      <c r="N321" s="1">
        <f t="shared" si="15"/>
        <v>32638.550000000003</v>
      </c>
      <c r="O321" s="1">
        <f>N321*[1]Summary!$B$3</f>
        <v>14290.429033407705</v>
      </c>
    </row>
    <row r="322" spans="1:15" x14ac:dyDescent="0.25">
      <c r="A322" s="3">
        <v>2397</v>
      </c>
      <c r="B322" s="1" t="s">
        <v>317</v>
      </c>
      <c r="C322" s="2" t="s">
        <v>296</v>
      </c>
      <c r="D322" s="5">
        <v>6036</v>
      </c>
      <c r="E322" s="10">
        <v>50</v>
      </c>
      <c r="F322" s="1">
        <v>52260.240000000005</v>
      </c>
      <c r="G322" s="1">
        <v>17914.570000000003</v>
      </c>
      <c r="J322" s="1">
        <v>10500</v>
      </c>
      <c r="K322" s="2">
        <v>5320.08</v>
      </c>
      <c r="L322" s="1">
        <v>68080.320000000007</v>
      </c>
      <c r="M322" s="2">
        <v>34345.67</v>
      </c>
      <c r="N322" s="1">
        <f t="shared" si="15"/>
        <v>33734.650000000009</v>
      </c>
      <c r="O322" s="1">
        <f>N322*[1]Summary!$B$3</f>
        <v>14770.344325708322</v>
      </c>
    </row>
    <row r="323" spans="1:15" x14ac:dyDescent="0.25">
      <c r="A323" s="3">
        <v>2448</v>
      </c>
      <c r="B323" s="1" t="s">
        <v>318</v>
      </c>
      <c r="C323" s="2" t="s">
        <v>296</v>
      </c>
      <c r="D323" s="5">
        <v>6036</v>
      </c>
      <c r="E323" s="10">
        <v>50</v>
      </c>
      <c r="F323" s="1">
        <v>41178.480000000003</v>
      </c>
      <c r="G323" s="1">
        <v>15040.962000000001</v>
      </c>
      <c r="J323" s="1">
        <v>10500</v>
      </c>
      <c r="K323" s="2">
        <v>2260.08</v>
      </c>
      <c r="L323" s="1">
        <v>53938.560000000005</v>
      </c>
      <c r="M323" s="2">
        <v>26137.518000000004</v>
      </c>
      <c r="N323" s="1">
        <f t="shared" si="15"/>
        <v>27801.042000000001</v>
      </c>
      <c r="O323" s="1">
        <f>N323*[1]Summary!$B$3</f>
        <v>12172.379525309396</v>
      </c>
    </row>
    <row r="324" spans="1:15" x14ac:dyDescent="0.25">
      <c r="A324" s="3">
        <v>2536</v>
      </c>
      <c r="B324" s="1" t="s">
        <v>319</v>
      </c>
      <c r="C324" s="2" t="s">
        <v>296</v>
      </c>
      <c r="D324" s="5">
        <v>6036</v>
      </c>
      <c r="E324" s="10">
        <v>50</v>
      </c>
      <c r="F324" s="1">
        <v>40065.24</v>
      </c>
      <c r="G324" s="1">
        <v>13341.229999999994</v>
      </c>
      <c r="J324" s="1">
        <v>10500</v>
      </c>
      <c r="K324" s="2">
        <v>5320.08</v>
      </c>
      <c r="L324" s="1">
        <v>55885.32</v>
      </c>
      <c r="M324" s="2">
        <v>26724.010000000002</v>
      </c>
      <c r="N324" s="1">
        <f t="shared" si="15"/>
        <v>29161.309999999998</v>
      </c>
      <c r="O324" s="1">
        <f>N324*[1]Summary!$B$3</f>
        <v>12767.957861982299</v>
      </c>
    </row>
    <row r="325" spans="1:15" x14ac:dyDescent="0.25">
      <c r="A325" s="3">
        <v>2752</v>
      </c>
      <c r="B325" s="1" t="s">
        <v>320</v>
      </c>
      <c r="C325" s="2" t="s">
        <v>296</v>
      </c>
      <c r="D325" s="5">
        <v>6036</v>
      </c>
      <c r="E325" s="10">
        <v>50</v>
      </c>
      <c r="F325" s="1">
        <v>45497.4</v>
      </c>
      <c r="G325" s="1">
        <v>16737.52</v>
      </c>
      <c r="J325" s="1">
        <v>10500</v>
      </c>
      <c r="K325" s="2">
        <v>5320.08</v>
      </c>
      <c r="L325" s="1">
        <v>61317.48</v>
      </c>
      <c r="M325" s="2">
        <v>28759.88</v>
      </c>
      <c r="N325" s="1">
        <f t="shared" si="15"/>
        <v>32557.600000000002</v>
      </c>
      <c r="O325" s="1">
        <f>N325*[1]Summary!$B$3</f>
        <v>14254.985968986817</v>
      </c>
    </row>
    <row r="326" spans="1:15" x14ac:dyDescent="0.25">
      <c r="A326" s="3">
        <v>2835</v>
      </c>
      <c r="B326" s="1" t="s">
        <v>321</v>
      </c>
      <c r="C326" s="2" t="s">
        <v>296</v>
      </c>
      <c r="D326" s="5">
        <v>6036</v>
      </c>
      <c r="E326" s="10">
        <v>50</v>
      </c>
      <c r="F326" s="1">
        <v>44963.5</v>
      </c>
      <c r="G326" s="1">
        <v>16882.41</v>
      </c>
      <c r="H326" s="1">
        <v>10</v>
      </c>
      <c r="I326" s="1">
        <v>3.3</v>
      </c>
      <c r="J326" s="1">
        <v>10500</v>
      </c>
      <c r="K326" s="2">
        <v>5320.08</v>
      </c>
      <c r="L326" s="1">
        <v>60793.58</v>
      </c>
      <c r="M326" s="2">
        <v>28087.79</v>
      </c>
      <c r="N326" s="1">
        <f t="shared" si="15"/>
        <v>32705.79</v>
      </c>
      <c r="O326" s="1">
        <f>N326*[1]Summary!$B$3</f>
        <v>14319.869325583868</v>
      </c>
    </row>
    <row r="327" spans="1:15" x14ac:dyDescent="0.25">
      <c r="A327" s="3">
        <v>2860</v>
      </c>
      <c r="B327" s="1" t="s">
        <v>322</v>
      </c>
      <c r="C327" s="2" t="s">
        <v>296</v>
      </c>
      <c r="D327" s="5">
        <v>6036</v>
      </c>
      <c r="E327" s="10">
        <v>50</v>
      </c>
      <c r="F327" s="1">
        <v>44930.479999999996</v>
      </c>
      <c r="G327" s="1">
        <v>13748.669999999996</v>
      </c>
      <c r="J327" s="1">
        <v>10500</v>
      </c>
      <c r="K327" s="2">
        <v>5320.08</v>
      </c>
      <c r="L327" s="1">
        <v>60750.559999999998</v>
      </c>
      <c r="M327" s="2">
        <v>31181.809999999998</v>
      </c>
      <c r="N327" s="1">
        <f t="shared" si="15"/>
        <v>29568.75</v>
      </c>
      <c r="O327" s="1">
        <f>N327*[1]Summary!$B$3</f>
        <v>12946.350970909371</v>
      </c>
    </row>
    <row r="328" spans="1:15" x14ac:dyDescent="0.25">
      <c r="A328" s="3">
        <v>2886</v>
      </c>
      <c r="B328" s="1" t="s">
        <v>323</v>
      </c>
      <c r="C328" s="2" t="s">
        <v>296</v>
      </c>
      <c r="D328" s="5">
        <v>6036</v>
      </c>
      <c r="E328" s="10">
        <v>50</v>
      </c>
      <c r="F328" s="1">
        <v>24402.6</v>
      </c>
      <c r="G328" s="1">
        <v>8364.34</v>
      </c>
      <c r="J328" s="1">
        <v>7500</v>
      </c>
      <c r="K328" s="2">
        <v>3060</v>
      </c>
      <c r="L328" s="1">
        <v>34962.6</v>
      </c>
      <c r="M328" s="2">
        <v>16038.259999999998</v>
      </c>
      <c r="N328" s="1">
        <f t="shared" si="15"/>
        <v>18924.34</v>
      </c>
      <c r="O328" s="1">
        <f>N328*[1]Summary!$B$3</f>
        <v>8285.8134866309556</v>
      </c>
    </row>
    <row r="329" spans="1:15" x14ac:dyDescent="0.25">
      <c r="A329" s="3">
        <v>4127</v>
      </c>
      <c r="B329" s="2" t="s">
        <v>324</v>
      </c>
      <c r="C329" s="2" t="s">
        <v>296</v>
      </c>
      <c r="D329" s="5">
        <v>6036</v>
      </c>
      <c r="E329" s="10">
        <v>50</v>
      </c>
      <c r="F329" s="1">
        <v>10212</v>
      </c>
      <c r="G329" s="1">
        <v>8574</v>
      </c>
      <c r="H329" s="1">
        <v>3020.9</v>
      </c>
      <c r="I329" s="1">
        <v>3020.9</v>
      </c>
      <c r="J329" s="1">
        <v>0</v>
      </c>
      <c r="K329" s="1">
        <v>1508.4</v>
      </c>
      <c r="L329" s="1">
        <v>14741.3</v>
      </c>
      <c r="M329" s="1">
        <v>1638</v>
      </c>
      <c r="N329" s="1">
        <f t="shared" si="15"/>
        <v>13103.3</v>
      </c>
      <c r="O329" s="1">
        <f>N329*[1]Summary!$B$3</f>
        <v>5737.135343128024</v>
      </c>
    </row>
    <row r="330" spans="1:15" x14ac:dyDescent="0.25">
      <c r="A330" s="3"/>
      <c r="B330" s="1"/>
      <c r="E330" s="10"/>
      <c r="K330" s="2"/>
      <c r="M330" s="2"/>
      <c r="N330" s="9">
        <f>SUM(N301:N329)</f>
        <v>1040412.2728000002</v>
      </c>
      <c r="O330" s="9">
        <f>SUM(O301:O329)</f>
        <v>455533.03531973128</v>
      </c>
    </row>
    <row r="331" spans="1:15" x14ac:dyDescent="0.25">
      <c r="A331" s="3"/>
      <c r="B331" s="1"/>
      <c r="E331" s="10"/>
      <c r="K331" s="2"/>
      <c r="M331" s="2"/>
    </row>
    <row r="332" spans="1:15" x14ac:dyDescent="0.25">
      <c r="A332" s="3"/>
      <c r="B332" s="1"/>
      <c r="E332" s="10"/>
      <c r="K332" s="2"/>
      <c r="M332" s="2"/>
    </row>
    <row r="333" spans="1:15" x14ac:dyDescent="0.25">
      <c r="A333" s="3">
        <v>253</v>
      </c>
      <c r="B333" s="2" t="s">
        <v>325</v>
      </c>
      <c r="C333" s="2" t="s">
        <v>326</v>
      </c>
      <c r="D333" s="5" t="s">
        <v>327</v>
      </c>
      <c r="E333" s="5" t="s">
        <v>11</v>
      </c>
      <c r="F333" s="1">
        <v>69600</v>
      </c>
      <c r="G333" s="1">
        <v>27840</v>
      </c>
      <c r="H333" s="1">
        <v>0</v>
      </c>
      <c r="J333" s="1">
        <v>0</v>
      </c>
      <c r="K333" s="1">
        <v>0</v>
      </c>
      <c r="L333" s="1">
        <v>69600</v>
      </c>
      <c r="M333" s="1">
        <v>41760</v>
      </c>
      <c r="N333" s="1">
        <f>L333-M333</f>
        <v>27840</v>
      </c>
      <c r="O333" s="1">
        <f>N333*[1]Summary!$B$3</f>
        <v>12189.436855806109</v>
      </c>
    </row>
    <row r="334" spans="1:15" x14ac:dyDescent="0.25">
      <c r="A334" s="3">
        <v>2172</v>
      </c>
      <c r="B334" s="2" t="s">
        <v>328</v>
      </c>
      <c r="C334" s="2" t="s">
        <v>326</v>
      </c>
      <c r="D334" s="5" t="s">
        <v>327</v>
      </c>
      <c r="E334" s="5" t="s">
        <v>11</v>
      </c>
      <c r="F334" s="1">
        <v>96000</v>
      </c>
      <c r="G334" s="1">
        <v>37440</v>
      </c>
      <c r="H334" s="1">
        <v>0</v>
      </c>
      <c r="J334" s="1">
        <v>0</v>
      </c>
      <c r="K334" s="1">
        <v>0</v>
      </c>
      <c r="L334" s="1">
        <v>96000</v>
      </c>
      <c r="M334" s="1">
        <v>58560</v>
      </c>
      <c r="N334" s="1">
        <f>L334-M334</f>
        <v>37440</v>
      </c>
      <c r="O334" s="1">
        <f>N334*[1]Summary!$B$3</f>
        <v>16392.69094401511</v>
      </c>
    </row>
    <row r="335" spans="1:15" x14ac:dyDescent="0.25">
      <c r="A335" s="3">
        <v>2805</v>
      </c>
      <c r="B335" s="2" t="s">
        <v>329</v>
      </c>
      <c r="C335" s="2" t="s">
        <v>326</v>
      </c>
      <c r="D335" s="5" t="s">
        <v>327</v>
      </c>
      <c r="E335" s="5" t="s">
        <v>11</v>
      </c>
      <c r="F335" s="1">
        <v>92400</v>
      </c>
      <c r="G335" s="1">
        <v>39732</v>
      </c>
      <c r="H335" s="1">
        <v>0</v>
      </c>
      <c r="J335" s="1">
        <v>0</v>
      </c>
      <c r="K335" s="1">
        <v>0</v>
      </c>
      <c r="L335" s="1">
        <v>92400</v>
      </c>
      <c r="M335" s="1">
        <v>52668</v>
      </c>
      <c r="N335" s="1">
        <f>L335-M335</f>
        <v>39732</v>
      </c>
      <c r="O335" s="1">
        <f>N335*[1]Summary!$B$3</f>
        <v>17396.217857575011</v>
      </c>
    </row>
    <row r="336" spans="1:15" x14ac:dyDescent="0.25">
      <c r="N336" s="9">
        <f>SUM(N333:N335)</f>
        <v>105012</v>
      </c>
      <c r="O336" s="9">
        <f>SUM(O333:O335)</f>
        <v>45978.345657396232</v>
      </c>
    </row>
    <row r="339" spans="1:15" x14ac:dyDescent="0.25">
      <c r="A339" s="3">
        <v>720</v>
      </c>
      <c r="B339" s="2" t="s">
        <v>330</v>
      </c>
      <c r="C339" s="2" t="s">
        <v>331</v>
      </c>
      <c r="D339" s="5">
        <v>6081</v>
      </c>
      <c r="E339" s="5">
        <v>50</v>
      </c>
      <c r="F339" s="1">
        <v>61208</v>
      </c>
      <c r="G339" s="1">
        <v>35689</v>
      </c>
      <c r="H339" s="1">
        <v>0</v>
      </c>
      <c r="J339" s="1">
        <v>0</v>
      </c>
      <c r="K339" s="1">
        <v>23964.76</v>
      </c>
      <c r="L339" s="1">
        <v>85172.76</v>
      </c>
      <c r="M339" s="1">
        <v>25519</v>
      </c>
      <c r="N339" s="1">
        <f>L339-M339</f>
        <v>59653.759999999995</v>
      </c>
      <c r="O339" s="1">
        <f>N339*[1]Summary!$B$3</f>
        <v>26118.74068719153</v>
      </c>
    </row>
    <row r="340" spans="1:15" x14ac:dyDescent="0.25">
      <c r="A340" s="2">
        <v>719</v>
      </c>
      <c r="B340" s="2" t="s">
        <v>332</v>
      </c>
      <c r="C340" s="2" t="s">
        <v>331</v>
      </c>
      <c r="D340" s="5">
        <v>6081</v>
      </c>
      <c r="E340" s="5">
        <v>50</v>
      </c>
      <c r="F340" s="1">
        <v>28397.74</v>
      </c>
      <c r="G340" s="1">
        <v>13062.96</v>
      </c>
      <c r="L340" s="1">
        <f>F340</f>
        <v>28397.74</v>
      </c>
      <c r="M340" s="1">
        <f>F340-G340</f>
        <v>15334.780000000002</v>
      </c>
      <c r="N340" s="1">
        <f>G340</f>
        <v>13062.96</v>
      </c>
      <c r="O340" s="1">
        <f>N340*[1]Summary!$B$3</f>
        <v>5719.4729191781953</v>
      </c>
    </row>
    <row r="341" spans="1:15" x14ac:dyDescent="0.25">
      <c r="N341" s="9">
        <f>N340+N339</f>
        <v>72716.72</v>
      </c>
      <c r="O341" s="9">
        <f>O340+O339</f>
        <v>31838.213606369725</v>
      </c>
    </row>
    <row r="344" spans="1:15" x14ac:dyDescent="0.25">
      <c r="A344" s="11">
        <v>473</v>
      </c>
      <c r="B344" s="11" t="s">
        <v>333</v>
      </c>
      <c r="C344" s="2" t="s">
        <v>334</v>
      </c>
      <c r="D344" s="5">
        <v>6979</v>
      </c>
      <c r="E344" s="5">
        <v>61</v>
      </c>
      <c r="F344" s="12">
        <v>4210</v>
      </c>
      <c r="G344" s="12">
        <v>1163</v>
      </c>
      <c r="H344" s="13"/>
      <c r="I344" s="11"/>
      <c r="J344" s="14">
        <v>7217</v>
      </c>
      <c r="K344" s="14">
        <v>4023</v>
      </c>
      <c r="L344" s="14">
        <f t="shared" ref="L344:L352" si="16">F344+H344+J344+K344</f>
        <v>15450</v>
      </c>
      <c r="M344" s="14">
        <v>3047</v>
      </c>
      <c r="N344" s="12">
        <f t="shared" ref="N344:N352" si="17">G344+I344+J344+K344</f>
        <v>12403</v>
      </c>
      <c r="O344" s="15">
        <f>N344*[1]Summary!$B$3</f>
        <v>5430.5167141725278</v>
      </c>
    </row>
    <row r="345" spans="1:15" x14ac:dyDescent="0.25">
      <c r="A345" s="11">
        <v>480</v>
      </c>
      <c r="B345" s="11" t="s">
        <v>335</v>
      </c>
      <c r="C345" s="2" t="s">
        <v>334</v>
      </c>
      <c r="D345" s="5">
        <v>6979</v>
      </c>
      <c r="E345" s="5">
        <v>61</v>
      </c>
      <c r="F345" s="12">
        <v>4210</v>
      </c>
      <c r="G345" s="12">
        <v>1163</v>
      </c>
      <c r="H345" s="11"/>
      <c r="I345" s="11"/>
      <c r="J345" s="14">
        <v>7217</v>
      </c>
      <c r="K345" s="14">
        <v>4023</v>
      </c>
      <c r="L345" s="14">
        <f t="shared" si="16"/>
        <v>15450</v>
      </c>
      <c r="M345" s="14">
        <v>3047</v>
      </c>
      <c r="N345" s="12">
        <f t="shared" si="17"/>
        <v>12403</v>
      </c>
      <c r="O345" s="15">
        <f>N345*[1]Summary!$B$3</f>
        <v>5430.5167141725278</v>
      </c>
    </row>
    <row r="346" spans="1:15" x14ac:dyDescent="0.25">
      <c r="A346" s="11">
        <v>482</v>
      </c>
      <c r="B346" s="11" t="s">
        <v>336</v>
      </c>
      <c r="C346" s="2" t="s">
        <v>334</v>
      </c>
      <c r="D346" s="5">
        <v>6979</v>
      </c>
      <c r="E346" s="5">
        <v>61</v>
      </c>
      <c r="F346" s="12">
        <v>4210</v>
      </c>
      <c r="G346" s="12">
        <v>1163</v>
      </c>
      <c r="H346" s="11"/>
      <c r="I346" s="11"/>
      <c r="J346" s="14">
        <v>7217</v>
      </c>
      <c r="K346" s="14">
        <v>4023</v>
      </c>
      <c r="L346" s="14">
        <f t="shared" si="16"/>
        <v>15450</v>
      </c>
      <c r="M346" s="14">
        <v>3047</v>
      </c>
      <c r="N346" s="12">
        <f t="shared" si="17"/>
        <v>12403</v>
      </c>
      <c r="O346" s="15">
        <f>N346*[1]Summary!$B$3</f>
        <v>5430.5167141725278</v>
      </c>
    </row>
    <row r="347" spans="1:15" x14ac:dyDescent="0.25">
      <c r="A347" s="11">
        <v>484</v>
      </c>
      <c r="B347" s="11" t="s">
        <v>337</v>
      </c>
      <c r="C347" s="2" t="s">
        <v>334</v>
      </c>
      <c r="D347" s="5">
        <v>6979</v>
      </c>
      <c r="E347" s="5">
        <v>61</v>
      </c>
      <c r="F347" s="12">
        <v>4210</v>
      </c>
      <c r="G347" s="12">
        <v>1163</v>
      </c>
      <c r="H347" s="11"/>
      <c r="I347" s="11"/>
      <c r="J347" s="14">
        <v>7217</v>
      </c>
      <c r="K347" s="14">
        <v>4023</v>
      </c>
      <c r="L347" s="14">
        <f t="shared" si="16"/>
        <v>15450</v>
      </c>
      <c r="M347" s="14">
        <v>3047</v>
      </c>
      <c r="N347" s="12">
        <f t="shared" si="17"/>
        <v>12403</v>
      </c>
      <c r="O347" s="15">
        <f>N347*[1]Summary!$B$3</f>
        <v>5430.5167141725278</v>
      </c>
    </row>
    <row r="348" spans="1:15" x14ac:dyDescent="0.25">
      <c r="A348" s="11">
        <v>485</v>
      </c>
      <c r="B348" s="11" t="s">
        <v>338</v>
      </c>
      <c r="C348" s="2" t="s">
        <v>334</v>
      </c>
      <c r="D348" s="5">
        <v>6979</v>
      </c>
      <c r="E348" s="5">
        <v>61</v>
      </c>
      <c r="F348" s="12">
        <v>4210</v>
      </c>
      <c r="G348" s="12">
        <v>1163</v>
      </c>
      <c r="H348" s="11"/>
      <c r="I348" s="11"/>
      <c r="J348" s="14">
        <v>7217</v>
      </c>
      <c r="K348" s="14">
        <v>4023</v>
      </c>
      <c r="L348" s="14">
        <f t="shared" si="16"/>
        <v>15450</v>
      </c>
      <c r="M348" s="14">
        <v>3047</v>
      </c>
      <c r="N348" s="12">
        <f t="shared" si="17"/>
        <v>12403</v>
      </c>
      <c r="O348" s="15">
        <f>N348*[1]Summary!$B$3</f>
        <v>5430.5167141725278</v>
      </c>
    </row>
    <row r="349" spans="1:15" x14ac:dyDescent="0.25">
      <c r="A349" s="11">
        <v>486</v>
      </c>
      <c r="B349" s="11" t="s">
        <v>339</v>
      </c>
      <c r="C349" s="2" t="s">
        <v>334</v>
      </c>
      <c r="D349" s="5">
        <v>6979</v>
      </c>
      <c r="E349" s="5">
        <v>61</v>
      </c>
      <c r="F349" s="12">
        <v>4210</v>
      </c>
      <c r="G349" s="12">
        <v>1163</v>
      </c>
      <c r="H349" s="11"/>
      <c r="I349" s="11"/>
      <c r="J349" s="14">
        <v>7217</v>
      </c>
      <c r="K349" s="14">
        <v>4023</v>
      </c>
      <c r="L349" s="14">
        <f t="shared" si="16"/>
        <v>15450</v>
      </c>
      <c r="M349" s="14">
        <v>3047</v>
      </c>
      <c r="N349" s="12">
        <f t="shared" si="17"/>
        <v>12403</v>
      </c>
      <c r="O349" s="15">
        <f>N349*[1]Summary!$B$3</f>
        <v>5430.5167141725278</v>
      </c>
    </row>
    <row r="350" spans="1:15" x14ac:dyDescent="0.25">
      <c r="A350" s="11">
        <v>487</v>
      </c>
      <c r="B350" s="11" t="s">
        <v>340</v>
      </c>
      <c r="C350" s="2" t="s">
        <v>334</v>
      </c>
      <c r="D350" s="5">
        <v>6979</v>
      </c>
      <c r="E350" s="5">
        <v>61</v>
      </c>
      <c r="F350" s="12">
        <v>4210</v>
      </c>
      <c r="G350" s="12">
        <v>1163</v>
      </c>
      <c r="H350" s="11"/>
      <c r="I350" s="11"/>
      <c r="J350" s="14">
        <v>7217</v>
      </c>
      <c r="K350" s="14">
        <v>4023</v>
      </c>
      <c r="L350" s="14">
        <f t="shared" si="16"/>
        <v>15450</v>
      </c>
      <c r="M350" s="14">
        <v>3047</v>
      </c>
      <c r="N350" s="12">
        <f t="shared" si="17"/>
        <v>12403</v>
      </c>
      <c r="O350" s="15">
        <f>N350*[1]Summary!$B$3</f>
        <v>5430.5167141725278</v>
      </c>
    </row>
    <row r="351" spans="1:15" x14ac:dyDescent="0.25">
      <c r="A351" s="11">
        <v>738</v>
      </c>
      <c r="B351" s="11" t="s">
        <v>341</v>
      </c>
      <c r="C351" s="2" t="s">
        <v>334</v>
      </c>
      <c r="D351" s="5">
        <v>6979</v>
      </c>
      <c r="E351" s="5">
        <v>61</v>
      </c>
      <c r="F351" s="12">
        <v>4210</v>
      </c>
      <c r="G351" s="12">
        <v>1163</v>
      </c>
      <c r="H351" s="11"/>
      <c r="I351" s="11"/>
      <c r="J351" s="14">
        <v>7217</v>
      </c>
      <c r="K351" s="14">
        <v>4023</v>
      </c>
      <c r="L351" s="14">
        <f t="shared" si="16"/>
        <v>15450</v>
      </c>
      <c r="M351" s="14">
        <v>3047</v>
      </c>
      <c r="N351" s="12">
        <f t="shared" si="17"/>
        <v>12403</v>
      </c>
      <c r="O351" s="15">
        <f>N351*[1]Summary!$B$3</f>
        <v>5430.5167141725278</v>
      </c>
    </row>
    <row r="352" spans="1:15" x14ac:dyDescent="0.25">
      <c r="A352" s="16">
        <v>2753</v>
      </c>
      <c r="B352" s="16" t="s">
        <v>342</v>
      </c>
      <c r="C352" s="2" t="s">
        <v>334</v>
      </c>
      <c r="D352" s="5">
        <v>6979</v>
      </c>
      <c r="E352" s="5">
        <v>61</v>
      </c>
      <c r="F352" s="12">
        <v>4210</v>
      </c>
      <c r="G352" s="12">
        <v>1163</v>
      </c>
      <c r="H352" s="16"/>
      <c r="I352" s="16"/>
      <c r="J352" s="14">
        <v>7217</v>
      </c>
      <c r="K352" s="18">
        <v>4023</v>
      </c>
      <c r="L352" s="14">
        <f t="shared" si="16"/>
        <v>15450</v>
      </c>
      <c r="M352" s="14">
        <v>3047</v>
      </c>
      <c r="N352" s="12">
        <f t="shared" si="17"/>
        <v>12403</v>
      </c>
      <c r="O352" s="15">
        <f>N352*[1]Summary!$B$3</f>
        <v>5430.5167141725278</v>
      </c>
    </row>
    <row r="353" spans="1:15" x14ac:dyDescent="0.25">
      <c r="A353" s="11"/>
      <c r="B353" s="11"/>
      <c r="C353" s="11"/>
      <c r="D353" s="17"/>
      <c r="F353" s="11"/>
      <c r="G353" s="11"/>
      <c r="H353" s="11"/>
      <c r="I353" s="11"/>
      <c r="J353" s="14"/>
      <c r="K353" s="11"/>
      <c r="L353" s="11"/>
      <c r="M353" s="11"/>
      <c r="N353" s="9">
        <f>SUM(N344:N352)</f>
        <v>111627</v>
      </c>
      <c r="O353" s="9">
        <f>SUM(O344:O352)</f>
        <v>48874.650427552748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Breakdown by Telecom Clusters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Kubesh, Chris</dc:creator>
  <cp:lastModifiedBy>Kostelecky, Teri</cp:lastModifiedBy>
  <cp:lastPrinted>2013-06-20T15:59:26Z</cp:lastPrinted>
  <dcterms:created xsi:type="dcterms:W3CDTF">2013-06-20T15:24:23Z</dcterms:created>
  <dcterms:modified xsi:type="dcterms:W3CDTF">2013-06-20T17:54:03Z</dcterms:modified>
</cp:coreProperties>
</file>