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452" yWindow="0" windowWidth="8796" windowHeight="11496"/>
  </bookViews>
  <sheets>
    <sheet name="CVC by Year and Quarter" sheetId="1" r:id="rId1"/>
    <sheet name="Corporate VC Sectors" sheetId="5" r:id="rId2"/>
    <sheet name="Energy &amp; Clean Tech" sheetId="6" r:id="rId3"/>
    <sheet name="Corporate VC Deal Stages" sheetId="7" r:id="rId4"/>
  </sheets>
  <externalReferences>
    <externalReference r:id="rId5"/>
  </externalReferences>
  <definedNames>
    <definedName name="million">'[1]Total US by Qtr &amp; Year'!$A$3</definedName>
    <definedName name="_xlnm.Print_Area" localSheetId="3">'Corporate VC Deal Stages'!$A$1:$J$11</definedName>
    <definedName name="_xlnm.Print_Area" localSheetId="0">'CVC by Year and Quarter'!$A$1:$I$55</definedName>
  </definedNames>
  <calcPr calcId="125725"/>
</workbook>
</file>

<file path=xl/calcChain.xml><?xml version="1.0" encoding="utf-8"?>
<calcChain xmlns="http://schemas.openxmlformats.org/spreadsheetml/2006/main">
  <c r="E13" i="6"/>
  <c r="B13"/>
  <c r="E6"/>
  <c r="F8" s="1"/>
  <c r="B6"/>
  <c r="F52" i="1"/>
  <c r="E52"/>
  <c r="F51"/>
  <c r="E51"/>
  <c r="F50"/>
  <c r="E50"/>
  <c r="F49"/>
  <c r="E49"/>
  <c r="F48"/>
  <c r="E48"/>
  <c r="F47"/>
  <c r="E47"/>
  <c r="F46"/>
  <c r="E46"/>
  <c r="F45"/>
  <c r="E45"/>
  <c r="I53"/>
  <c r="I52"/>
  <c r="I51"/>
  <c r="I50"/>
  <c r="I49"/>
  <c r="I48"/>
  <c r="I47"/>
  <c r="I46"/>
  <c r="I45"/>
  <c r="I44"/>
  <c r="I43"/>
  <c r="I42"/>
  <c r="D53"/>
  <c r="D52"/>
  <c r="D51"/>
  <c r="D50"/>
  <c r="D49"/>
  <c r="D48"/>
  <c r="D47"/>
  <c r="D46"/>
  <c r="D45"/>
  <c r="D44"/>
  <c r="D43"/>
  <c r="D42"/>
  <c r="D41"/>
  <c r="D40"/>
  <c r="I21"/>
  <c r="F21"/>
  <c r="E21"/>
  <c r="D21"/>
  <c r="C8" i="6"/>
  <c r="C4" i="7"/>
  <c r="I20" i="5"/>
  <c r="I19"/>
  <c r="I18"/>
  <c r="I17"/>
  <c r="I16"/>
  <c r="I15"/>
  <c r="I14"/>
  <c r="I13"/>
  <c r="I12"/>
  <c r="I11"/>
  <c r="I10"/>
  <c r="I9"/>
  <c r="I8"/>
  <c r="I7"/>
  <c r="I6"/>
  <c r="I5"/>
  <c r="F20"/>
  <c r="F19"/>
  <c r="F18"/>
  <c r="F17"/>
  <c r="F16"/>
  <c r="F15"/>
  <c r="F14"/>
  <c r="F13"/>
  <c r="F12"/>
  <c r="F11"/>
  <c r="F10"/>
  <c r="F9"/>
  <c r="F8"/>
  <c r="F7"/>
  <c r="F6"/>
  <c r="F53" i="1"/>
  <c r="E53"/>
  <c r="I41"/>
  <c r="D39"/>
  <c r="D38"/>
  <c r="D37"/>
  <c r="D36"/>
  <c r="G8" i="7"/>
  <c r="H7" s="1"/>
  <c r="E8"/>
  <c r="D8"/>
  <c r="B8"/>
  <c r="J7"/>
  <c r="I7"/>
  <c r="F7"/>
  <c r="C7"/>
  <c r="J6"/>
  <c r="I6"/>
  <c r="F6"/>
  <c r="C6"/>
  <c r="J5"/>
  <c r="I5"/>
  <c r="F5"/>
  <c r="C5"/>
  <c r="J4"/>
  <c r="I4"/>
  <c r="F4"/>
  <c r="E14" i="6"/>
  <c r="B14"/>
  <c r="F4" i="5"/>
  <c r="C20"/>
  <c r="C19"/>
  <c r="C18"/>
  <c r="C17"/>
  <c r="C15"/>
  <c r="C14"/>
  <c r="C13"/>
  <c r="C12"/>
  <c r="C11"/>
  <c r="C10"/>
  <c r="C9"/>
  <c r="C8"/>
  <c r="C7"/>
  <c r="C6"/>
  <c r="C5"/>
  <c r="C4"/>
  <c r="F44" i="1"/>
  <c r="E44"/>
  <c r="F43"/>
  <c r="E43"/>
  <c r="F42"/>
  <c r="E42"/>
  <c r="F41"/>
  <c r="E41"/>
  <c r="F40"/>
  <c r="E40"/>
  <c r="F39"/>
  <c r="E39"/>
  <c r="F38"/>
  <c r="E38"/>
  <c r="F37"/>
  <c r="E37"/>
  <c r="F36"/>
  <c r="E36"/>
  <c r="F35"/>
  <c r="E35"/>
  <c r="F34"/>
  <c r="E34"/>
  <c r="F33"/>
  <c r="E33"/>
  <c r="F32"/>
  <c r="E32"/>
  <c r="F31"/>
  <c r="E31"/>
  <c r="F30"/>
  <c r="E30"/>
  <c r="F29"/>
  <c r="E29"/>
  <c r="F28"/>
  <c r="E28"/>
  <c r="F20"/>
  <c r="F19"/>
  <c r="F18"/>
  <c r="F17"/>
  <c r="F16"/>
  <c r="F15"/>
  <c r="F14"/>
  <c r="F13"/>
  <c r="F12"/>
  <c r="F11"/>
  <c r="F10"/>
  <c r="F9"/>
  <c r="F8"/>
  <c r="F7"/>
  <c r="F6"/>
  <c r="F5"/>
  <c r="F4"/>
  <c r="F3"/>
  <c r="E20"/>
  <c r="E19"/>
  <c r="E18"/>
  <c r="E17"/>
  <c r="E16"/>
  <c r="E15"/>
  <c r="E14"/>
  <c r="E13"/>
  <c r="E12"/>
  <c r="E11"/>
  <c r="E10"/>
  <c r="E9"/>
  <c r="E8"/>
  <c r="E7"/>
  <c r="E6"/>
  <c r="E5"/>
  <c r="E4"/>
  <c r="E3"/>
  <c r="A14" i="6"/>
  <c r="J20" i="5"/>
  <c r="J19"/>
  <c r="J18"/>
  <c r="J17"/>
  <c r="J15"/>
  <c r="J14"/>
  <c r="J13"/>
  <c r="J12"/>
  <c r="J11"/>
  <c r="J10"/>
  <c r="J9"/>
  <c r="J8"/>
  <c r="J7"/>
  <c r="J6"/>
  <c r="J5"/>
  <c r="J4"/>
  <c r="I4"/>
  <c r="I20" i="1"/>
  <c r="D20"/>
  <c r="D8" i="6"/>
  <c r="D7"/>
  <c r="G21" i="5"/>
  <c r="H21" s="1"/>
  <c r="E21"/>
  <c r="D21"/>
  <c r="B21"/>
  <c r="I19" i="1"/>
  <c r="D19"/>
  <c r="D18"/>
  <c r="I40"/>
  <c r="I39"/>
  <c r="I38"/>
  <c r="I37"/>
  <c r="I36"/>
  <c r="I35"/>
  <c r="I34"/>
  <c r="I33"/>
  <c r="I32"/>
  <c r="I31"/>
  <c r="I30"/>
  <c r="I29"/>
  <c r="I28"/>
  <c r="D35"/>
  <c r="D34"/>
  <c r="D33"/>
  <c r="D32"/>
  <c r="D31"/>
  <c r="D30"/>
  <c r="D29"/>
  <c r="D28"/>
  <c r="I18"/>
  <c r="I17"/>
  <c r="I16"/>
  <c r="I15"/>
  <c r="I14"/>
  <c r="I13"/>
  <c r="I12"/>
  <c r="I11"/>
  <c r="I10"/>
  <c r="I9"/>
  <c r="I8"/>
  <c r="I7"/>
  <c r="I6"/>
  <c r="I5"/>
  <c r="I4"/>
  <c r="I3"/>
  <c r="D17"/>
  <c r="D16"/>
  <c r="D15"/>
  <c r="D14"/>
  <c r="D13"/>
  <c r="D12"/>
  <c r="D11"/>
  <c r="D10"/>
  <c r="D9"/>
  <c r="D8"/>
  <c r="D7"/>
  <c r="D6"/>
  <c r="D5"/>
  <c r="D4"/>
  <c r="D3"/>
  <c r="B15" i="6" l="1"/>
  <c r="H6" i="7"/>
  <c r="H4"/>
  <c r="H5"/>
  <c r="J21" i="5"/>
  <c r="I8" i="7"/>
  <c r="C8"/>
  <c r="J8"/>
  <c r="E15" i="6"/>
  <c r="F8" i="7"/>
  <c r="H8"/>
  <c r="F21" i="5"/>
  <c r="H4"/>
  <c r="C21"/>
  <c r="I21"/>
  <c r="H6"/>
  <c r="H8"/>
  <c r="H10"/>
  <c r="H12"/>
  <c r="H14"/>
  <c r="H18"/>
  <c r="H20"/>
  <c r="H5"/>
  <c r="H7"/>
  <c r="H9"/>
  <c r="H11"/>
  <c r="H13"/>
  <c r="H15"/>
  <c r="H17"/>
  <c r="H19"/>
  <c r="C7" i="6"/>
  <c r="C6"/>
  <c r="G8"/>
  <c r="G7"/>
  <c r="F6"/>
  <c r="F7"/>
</calcChain>
</file>

<file path=xl/sharedStrings.xml><?xml version="1.0" encoding="utf-8"?>
<sst xmlns="http://schemas.openxmlformats.org/spreadsheetml/2006/main" count="133" uniqueCount="111">
  <si>
    <t>Year</t>
  </si>
  <si>
    <t>Count of All Venture Capital Deals</t>
  </si>
  <si>
    <t>Number of Deals with CVC Involvement</t>
  </si>
  <si>
    <t>Calculated Percentage of Deals with Corporate VC Involvement</t>
  </si>
  <si>
    <t>$M Average Amount of CVC Participation</t>
  </si>
  <si>
    <t>Total VC Investment $M</t>
  </si>
  <si>
    <t>Total CVC Investment $M</t>
  </si>
  <si>
    <t>Calculated Percentage of Dollars Coming from CVCs</t>
  </si>
  <si>
    <t>$M Average Amount of All VC Deals</t>
  </si>
  <si>
    <t>Source:  PricewaterhouseCoopers/National Venture Capital Association MoneyTree™ Report, Data:  Thomson Reuters</t>
  </si>
  <si>
    <t>Recent Quarters</t>
  </si>
  <si>
    <t>1995</t>
  </si>
  <si>
    <t>1996</t>
  </si>
  <si>
    <t>1997</t>
  </si>
  <si>
    <t>1998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</si>
  <si>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</si>
  <si>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</si>
  <si>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</si>
  <si>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</si>
  <si>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</si>
  <si>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</si>
  <si>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</si>
  <si>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</si>
  <si>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</si>
  <si>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MoneyTree Sector</t>
  </si>
  <si>
    <t>Total # Sector Deals</t>
  </si>
  <si>
    <t>Average $M Per Deal</t>
  </si>
  <si>
    <t># Deals with CVC Participation</t>
  </si>
  <si>
    <t>Avg. CVC investment in Those Rounds Participated In</t>
  </si>
  <si>
    <t>$ CVC Investment</t>
  </si>
  <si>
    <t>Biotechnology</t>
  </si>
  <si>
    <t>Business Products and Services</t>
  </si>
  <si>
    <t>Computers and Peripherals</t>
  </si>
  <si>
    <t>Consumer Products and Services</t>
  </si>
  <si>
    <t>Electronics/Instrumentation</t>
  </si>
  <si>
    <t>Financial Services</t>
  </si>
  <si>
    <t>Healthcare Services</t>
  </si>
  <si>
    <t>Industrial/Energy</t>
  </si>
  <si>
    <t>IT Services</t>
  </si>
  <si>
    <t>Media and Entertainment</t>
  </si>
  <si>
    <t>Medical Devices and Equipment</t>
  </si>
  <si>
    <t>Networking and Equipment</t>
  </si>
  <si>
    <t>Retailing/Distribution</t>
  </si>
  <si>
    <t>Semiconductors</t>
  </si>
  <si>
    <t>Software</t>
  </si>
  <si>
    <t>Telecommunications</t>
  </si>
  <si>
    <t>Total $M Invested in that Sector by All VC Types</t>
  </si>
  <si>
    <t>1999</t>
  </si>
  <si>
    <t>2000</t>
  </si>
  <si>
    <t>2010</t>
  </si>
  <si>
    <t>All sectors - US Venture Capital</t>
  </si>
  <si>
    <t>Total # Deals</t>
  </si>
  <si>
    <t>% of Total Deals</t>
  </si>
  <si>
    <t>$M Invested</t>
  </si>
  <si>
    <t>% of Total Investment</t>
  </si>
  <si>
    <t xml:space="preserve">  </t>
  </si>
  <si>
    <t>% of Clean Tech deals</t>
  </si>
  <si>
    <t>% of Clean Tech $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</si>
  <si>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</si>
  <si>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</si>
  <si>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</si>
  <si>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</si>
  <si>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</si>
  <si>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</si>
  <si>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</si>
  <si>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</si>
  <si>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</si>
  <si>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</si>
  <si>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</si>
  <si>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</si>
  <si>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</si>
  <si>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</si>
  <si>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</si>
  <si>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</si>
  <si>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</si>
  <si>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</si>
  <si>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</si>
  <si>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% of CVC Investment $</t>
  </si>
  <si>
    <t>Q4 2011</t>
  </si>
  <si>
    <t>Q1 2012</t>
  </si>
  <si>
    <t>% of Deals with CVC Involvement</t>
  </si>
  <si>
    <t>CVC % of $ In Sector</t>
  </si>
  <si>
    <t>Clean Technology Deals Only</t>
  </si>
  <si>
    <t>Corporate VC Investment Deals  in Clean Technology companies</t>
  </si>
  <si>
    <t>Total Corporate VC Investment</t>
  </si>
  <si>
    <t>Chart #1</t>
  </si>
  <si>
    <t>Chart #2</t>
  </si>
  <si>
    <t># Deals</t>
  </si>
  <si>
    <t>% of Total CVC Investment Going to Clean Tech</t>
  </si>
  <si>
    <t>Recent Quarterly Investment</t>
  </si>
  <si>
    <t>Q2 2012</t>
  </si>
  <si>
    <t>Q3 2012</t>
  </si>
  <si>
    <t>Other*</t>
  </si>
  <si>
    <t>Seed</t>
  </si>
  <si>
    <t>Early Stage</t>
  </si>
  <si>
    <t>Expansion</t>
  </si>
  <si>
    <t>Later Stage</t>
  </si>
  <si>
    <t>Company Stage as of Investment Round</t>
  </si>
  <si>
    <t>Total $M Invested in that Stage by All VC Types</t>
  </si>
  <si>
    <t>Q4 2012</t>
  </si>
  <si>
    <t>CVC % of $ In Stage Category</t>
  </si>
  <si>
    <t>Corporate Venture Capital Group Investment Analysis 1995 Through Q2 2013</t>
  </si>
  <si>
    <t>01/01/2012-06/30/2013</t>
  </si>
  <si>
    <t>01/01/2012- 06/30/2013</t>
  </si>
  <si>
    <t>Total Venture Capital and Corporate Venture Capital in Energy and Clean Tech Deals</t>
  </si>
  <si>
    <t>Total Venture Capital and Corporate Venture Capital by Deal Stage</t>
  </si>
  <si>
    <t>Total Venture Capital and Corporate Venture Capital by Sector</t>
  </si>
  <si>
    <t>1H 2013</t>
  </si>
  <si>
    <t>1Q 2013</t>
  </si>
  <si>
    <t>2Q 2013</t>
  </si>
  <si>
    <t># CVC Firms Investing During Period</t>
  </si>
</sst>
</file>

<file path=xl/styles.xml><?xml version="1.0" encoding="utf-8"?>
<styleSheet xmlns="http://schemas.openxmlformats.org/spreadsheetml/2006/main">
  <numFmts count="6">
    <numFmt numFmtId="8" formatCode="&quot;$&quot;#,##0.00_);[Red]\(&quot;$&quot;#,##0.00\)"/>
    <numFmt numFmtId="43" formatCode="_(* #,##0.00_);_(* \(#,##0.00\);_(* &quot;-&quot;??_);_(@_)"/>
    <numFmt numFmtId="164" formatCode="0.0%"/>
    <numFmt numFmtId="165" formatCode="#,##0.0"/>
    <numFmt numFmtId="166" formatCode="&quot;$&quot;#,##0.00"/>
    <numFmt numFmtId="167" formatCode="_(* #,##0_);_(* \(#,##0\);_(* &quot;-&quot;??_);_(@_)"/>
  </numFmts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u val="doubleAccounting"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</font>
    <font>
      <u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7"/>
        <bgColor indexed="9"/>
      </patternFill>
    </fill>
    <fill>
      <patternFill patternType="solid">
        <fgColor indexed="47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9"/>
      </patternFill>
    </fill>
    <fill>
      <patternFill patternType="solid">
        <fgColor rgb="FF92D050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 applyNumberFormat="0" applyBorder="0" applyAlignment="0" applyProtection="0">
      <alignment vertical="top"/>
      <protection locked="0"/>
    </xf>
    <xf numFmtId="0" fontId="5" fillId="0" borderId="0" applyNumberFormat="0" applyBorder="0" applyAlignment="0" applyProtection="0">
      <alignment vertical="top"/>
      <protection locked="0"/>
    </xf>
    <xf numFmtId="0" fontId="5" fillId="0" borderId="0" applyNumberFormat="0" applyBorder="0" applyAlignment="0" applyProtection="0">
      <alignment vertical="top"/>
      <protection locked="0"/>
    </xf>
    <xf numFmtId="0" fontId="9" fillId="0" borderId="0"/>
    <xf numFmtId="0" fontId="4" fillId="0" borderId="0"/>
    <xf numFmtId="43" fontId="4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37">
    <xf numFmtId="0" fontId="0" fillId="0" borderId="0" xfId="0" applyFont="1">
      <alignment vertical="top"/>
      <protection locked="0"/>
    </xf>
    <xf numFmtId="0" fontId="2" fillId="0" borderId="0" xfId="1" applyFont="1" applyAlignment="1">
      <alignment horizontal="left"/>
      <protection locked="0"/>
    </xf>
    <xf numFmtId="0" fontId="0" fillId="0" borderId="0" xfId="1" applyFont="1" applyAlignment="1">
      <alignment horizontal="left" vertical="top" wrapText="1"/>
      <protection locked="0"/>
    </xf>
    <xf numFmtId="0" fontId="0" fillId="0" borderId="0" xfId="1" applyFont="1">
      <alignment vertical="top"/>
      <protection locked="0"/>
    </xf>
    <xf numFmtId="0" fontId="2" fillId="0" borderId="1" xfId="1" applyFont="1" applyBorder="1" applyAlignment="1">
      <alignment horizontal="center" wrapText="1"/>
      <protection locked="0"/>
    </xf>
    <xf numFmtId="0" fontId="3" fillId="0" borderId="0" xfId="1" applyFont="1" applyAlignment="1">
      <alignment horizontal="left" vertical="top"/>
      <protection locked="0"/>
    </xf>
    <xf numFmtId="0" fontId="5" fillId="0" borderId="0" xfId="1" applyFont="1">
      <alignment vertical="top"/>
      <protection locked="0"/>
    </xf>
    <xf numFmtId="0" fontId="1" fillId="0" borderId="0" xfId="1" applyFont="1" applyAlignment="1">
      <alignment horizontal="left" vertical="top" wrapText="1"/>
      <protection locked="0"/>
    </xf>
    <xf numFmtId="0" fontId="2" fillId="2" borderId="1" xfId="1" applyFont="1" applyFill="1" applyBorder="1" applyAlignment="1">
      <alignment horizontal="center" wrapText="1"/>
      <protection locked="0"/>
    </xf>
    <xf numFmtId="166" fontId="4" fillId="3" borderId="0" xfId="1" applyNumberFormat="1" applyFont="1" applyFill="1" applyBorder="1" applyAlignment="1" applyProtection="1"/>
    <xf numFmtId="0" fontId="7" fillId="0" borderId="0" xfId="1" applyFont="1" applyAlignment="1">
      <alignment horizontal="left" vertical="top" wrapText="1"/>
      <protection locked="0"/>
    </xf>
    <xf numFmtId="0" fontId="7" fillId="0" borderId="0" xfId="1" applyFont="1">
      <alignment vertical="top"/>
      <protection locked="0"/>
    </xf>
    <xf numFmtId="0" fontId="0" fillId="0" borderId="0" xfId="0" applyAlignment="1" applyProtection="1"/>
    <xf numFmtId="0" fontId="8" fillId="0" borderId="0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horizontal="center" wrapText="1"/>
    </xf>
    <xf numFmtId="167" fontId="0" fillId="0" borderId="0" xfId="1" applyNumberFormat="1" applyFont="1" applyAlignment="1" applyProtection="1"/>
    <xf numFmtId="43" fontId="4" fillId="0" borderId="0" xfId="1" applyNumberFormat="1" applyFont="1" applyFill="1" applyBorder="1" applyAlignment="1" applyProtection="1">
      <alignment horizontal="right"/>
    </xf>
    <xf numFmtId="0" fontId="5" fillId="0" borderId="0" xfId="0" applyFont="1">
      <alignment vertical="top"/>
      <protection locked="0"/>
    </xf>
    <xf numFmtId="165" fontId="5" fillId="0" borderId="0" xfId="1" applyNumberFormat="1">
      <alignment vertical="top"/>
      <protection locked="0"/>
    </xf>
    <xf numFmtId="10" fontId="5" fillId="0" borderId="0" xfId="2" applyNumberFormat="1" applyBorder="1" applyAlignment="1" applyProtection="1">
      <alignment horizontal="right"/>
    </xf>
    <xf numFmtId="0" fontId="8" fillId="4" borderId="0" xfId="0" applyNumberFormat="1" applyFont="1" applyFill="1" applyBorder="1" applyAlignment="1" applyProtection="1">
      <alignment horizontal="center" wrapText="1"/>
    </xf>
    <xf numFmtId="167" fontId="0" fillId="4" borderId="0" xfId="1" applyNumberFormat="1" applyFont="1" applyFill="1" applyAlignment="1" applyProtection="1"/>
    <xf numFmtId="0" fontId="0" fillId="0" borderId="0" xfId="0" applyFont="1" applyFill="1">
      <alignment vertical="top"/>
      <protection locked="0"/>
    </xf>
    <xf numFmtId="167" fontId="0" fillId="0" borderId="0" xfId="1" applyNumberFormat="1" applyFont="1" applyFill="1" applyAlignment="1" applyProtection="1"/>
    <xf numFmtId="164" fontId="5" fillId="0" borderId="0" xfId="2" applyNumberFormat="1" applyBorder="1" applyAlignment="1" applyProtection="1">
      <alignment horizontal="right"/>
    </xf>
    <xf numFmtId="164" fontId="5" fillId="0" borderId="0" xfId="2" applyNumberFormat="1" applyFill="1" applyBorder="1" applyAlignment="1" applyProtection="1">
      <alignment horizontal="right"/>
    </xf>
    <xf numFmtId="164" fontId="4" fillId="0" borderId="0" xfId="1" applyNumberFormat="1" applyFont="1" applyFill="1" applyBorder="1" applyAlignment="1" applyProtection="1">
      <alignment horizontal="right"/>
    </xf>
    <xf numFmtId="0" fontId="4" fillId="0" borderId="0" xfId="4" applyFont="1"/>
    <xf numFmtId="166" fontId="5" fillId="0" borderId="0" xfId="1" applyNumberFormat="1" applyBorder="1" applyAlignment="1" applyProtection="1">
      <alignment horizontal="right"/>
    </xf>
    <xf numFmtId="166" fontId="5" fillId="0" borderId="0" xfId="1" applyNumberFormat="1">
      <alignment vertical="top"/>
      <protection locked="0"/>
    </xf>
    <xf numFmtId="0" fontId="4" fillId="0" borderId="0" xfId="4"/>
    <xf numFmtId="4" fontId="4" fillId="0" borderId="0" xfId="4" applyNumberFormat="1" applyFont="1" applyFill="1" applyBorder="1" applyAlignment="1" applyProtection="1">
      <alignment horizontal="right"/>
    </xf>
    <xf numFmtId="4" fontId="4" fillId="0" borderId="0" xfId="4" applyNumberFormat="1" applyFont="1" applyFill="1" applyBorder="1" applyAlignment="1" applyProtection="1">
      <alignment horizontal="right"/>
    </xf>
    <xf numFmtId="0" fontId="4" fillId="0" borderId="0" xfId="4"/>
    <xf numFmtId="4" fontId="4" fillId="0" borderId="0" xfId="4" applyNumberFormat="1" applyFont="1" applyFill="1" applyBorder="1" applyAlignment="1" applyProtection="1">
      <alignment horizontal="right"/>
    </xf>
    <xf numFmtId="4" fontId="4" fillId="0" borderId="0" xfId="4" applyNumberFormat="1" applyFont="1" applyFill="1" applyBorder="1" applyAlignment="1" applyProtection="1">
      <alignment horizontal="right"/>
    </xf>
    <xf numFmtId="0" fontId="5" fillId="0" borderId="0" xfId="1" applyFont="1" applyAlignment="1">
      <alignment horizontal="left" vertical="top" wrapText="1"/>
      <protection locked="0"/>
    </xf>
    <xf numFmtId="0" fontId="4" fillId="0" borderId="0" xfId="4"/>
    <xf numFmtId="0" fontId="2" fillId="0" borderId="0" xfId="0" applyFont="1">
      <alignment vertical="top"/>
      <protection locked="0"/>
    </xf>
    <xf numFmtId="0" fontId="2" fillId="0" borderId="0" xfId="0" quotePrefix="1" applyFont="1">
      <alignment vertical="top"/>
      <protection locked="0"/>
    </xf>
    <xf numFmtId="4" fontId="5" fillId="0" borderId="0" xfId="1" applyNumberFormat="1" applyAlignment="1" applyProtection="1"/>
    <xf numFmtId="166" fontId="10" fillId="0" borderId="0" xfId="1" applyNumberFormat="1" applyFont="1" applyBorder="1" applyAlignment="1" applyProtection="1">
      <alignment horizontal="right"/>
    </xf>
    <xf numFmtId="4" fontId="10" fillId="0" borderId="0" xfId="1" applyNumberFormat="1" applyFont="1" applyAlignment="1" applyProtection="1"/>
    <xf numFmtId="8" fontId="4" fillId="4" borderId="0" xfId="1" applyNumberFormat="1" applyFont="1" applyFill="1" applyBorder="1" applyAlignment="1" applyProtection="1">
      <alignment horizontal="right"/>
    </xf>
    <xf numFmtId="8" fontId="4" fillId="4" borderId="0" xfId="1" quotePrefix="1" applyNumberFormat="1" applyFont="1" applyFill="1" applyBorder="1" applyAlignment="1" applyProtection="1">
      <alignment horizontal="right"/>
    </xf>
    <xf numFmtId="0" fontId="3" fillId="0" borderId="0" xfId="1" applyFont="1" applyFill="1" applyAlignment="1">
      <alignment horizontal="left" vertical="top"/>
      <protection locked="0"/>
    </xf>
    <xf numFmtId="0" fontId="0" fillId="0" borderId="0" xfId="0" applyFill="1" applyAlignment="1" applyProtection="1"/>
    <xf numFmtId="164" fontId="0" fillId="0" borderId="0" xfId="1" applyNumberFormat="1" applyFont="1" applyFill="1">
      <alignment vertical="top"/>
      <protection locked="0"/>
    </xf>
    <xf numFmtId="166" fontId="4" fillId="0" borderId="0" xfId="1" applyNumberFormat="1" applyFont="1" applyFill="1" applyBorder="1" applyAlignment="1" applyProtection="1"/>
    <xf numFmtId="165" fontId="5" fillId="0" borderId="0" xfId="1" applyNumberFormat="1" applyFill="1" applyBorder="1" applyAlignment="1" applyProtection="1">
      <alignment horizontal="right"/>
    </xf>
    <xf numFmtId="0" fontId="7" fillId="0" borderId="0" xfId="1" applyFont="1" applyFill="1">
      <alignment vertical="top"/>
      <protection locked="0"/>
    </xf>
    <xf numFmtId="0" fontId="7" fillId="0" borderId="0" xfId="1" applyFont="1" applyFill="1" applyAlignment="1">
      <alignment horizontal="left" vertical="top" wrapText="1"/>
      <protection locked="0"/>
    </xf>
    <xf numFmtId="0" fontId="1" fillId="0" borderId="0" xfId="1" applyFont="1" applyFill="1" applyAlignment="1">
      <alignment horizontal="left" vertical="top" wrapText="1"/>
      <protection locked="0"/>
    </xf>
    <xf numFmtId="3" fontId="6" fillId="0" borderId="0" xfId="1" applyNumberFormat="1" applyFont="1" applyFill="1" applyAlignment="1" applyProtection="1"/>
    <xf numFmtId="164" fontId="6" fillId="0" borderId="0" xfId="1" applyNumberFormat="1" applyFont="1" applyFill="1" applyAlignment="1" applyProtection="1"/>
    <xf numFmtId="166" fontId="6" fillId="0" borderId="0" xfId="1" applyNumberFormat="1" applyFont="1" applyFill="1" applyAlignment="1" applyProtection="1"/>
    <xf numFmtId="165" fontId="5" fillId="0" borderId="0" xfId="1" applyNumberFormat="1" applyFill="1" applyBorder="1" applyAlignment="1" applyProtection="1"/>
    <xf numFmtId="164" fontId="6" fillId="0" borderId="0" xfId="1" applyNumberFormat="1" applyFont="1" applyFill="1">
      <alignment vertical="top"/>
      <protection locked="0"/>
    </xf>
    <xf numFmtId="0" fontId="6" fillId="0" borderId="0" xfId="1" applyFont="1" applyFill="1">
      <alignment vertical="top"/>
      <protection locked="0"/>
    </xf>
    <xf numFmtId="0" fontId="5" fillId="0" borderId="0" xfId="1" applyFont="1" applyFill="1" applyAlignment="1">
      <alignment horizontal="left" vertical="top" wrapText="1"/>
      <protection locked="0"/>
    </xf>
    <xf numFmtId="3" fontId="0" fillId="0" borderId="0" xfId="1" applyNumberFormat="1" applyFont="1" applyFill="1" applyAlignment="1" applyProtection="1"/>
    <xf numFmtId="0" fontId="4" fillId="0" borderId="0" xfId="4" applyFill="1"/>
    <xf numFmtId="0" fontId="9" fillId="0" borderId="0" xfId="3"/>
    <xf numFmtId="3" fontId="5" fillId="0" borderId="0" xfId="1" applyNumberFormat="1" applyAlignment="1" applyProtection="1"/>
    <xf numFmtId="3" fontId="5" fillId="0" borderId="0" xfId="1" applyNumberFormat="1">
      <alignment vertical="top"/>
      <protection locked="0"/>
    </xf>
    <xf numFmtId="0" fontId="8" fillId="5" borderId="0" xfId="0" applyNumberFormat="1" applyFont="1" applyFill="1" applyBorder="1" applyAlignment="1" applyProtection="1">
      <alignment horizontal="center" wrapText="1"/>
    </xf>
    <xf numFmtId="164" fontId="5" fillId="5" borderId="0" xfId="2" applyNumberFormat="1" applyFill="1">
      <alignment vertical="top"/>
      <protection locked="0"/>
    </xf>
    <xf numFmtId="164" fontId="10" fillId="5" borderId="0" xfId="2" applyNumberFormat="1" applyFont="1" applyFill="1">
      <alignment vertical="top"/>
      <protection locked="0"/>
    </xf>
    <xf numFmtId="0" fontId="8" fillId="6" borderId="0" xfId="0" applyNumberFormat="1" applyFont="1" applyFill="1" applyBorder="1" applyAlignment="1" applyProtection="1">
      <alignment horizontal="center" wrapText="1"/>
    </xf>
    <xf numFmtId="0" fontId="8" fillId="7" borderId="0" xfId="0" applyNumberFormat="1" applyFont="1" applyFill="1" applyBorder="1" applyAlignment="1" applyProtection="1">
      <alignment horizontal="center" wrapText="1"/>
    </xf>
    <xf numFmtId="164" fontId="5" fillId="7" borderId="0" xfId="2" applyNumberFormat="1" applyFill="1">
      <alignment vertical="top"/>
      <protection locked="0"/>
    </xf>
    <xf numFmtId="164" fontId="10" fillId="7" borderId="0" xfId="2" applyNumberFormat="1" applyFont="1" applyFill="1">
      <alignment vertical="top"/>
      <protection locked="0"/>
    </xf>
    <xf numFmtId="0" fontId="5" fillId="0" borderId="0" xfId="0" applyFont="1" applyAlignment="1" applyProtection="1"/>
    <xf numFmtId="0" fontId="0" fillId="0" borderId="0" xfId="0" applyFont="1" applyAlignment="1" applyProtection="1"/>
    <xf numFmtId="167" fontId="0" fillId="7" borderId="0" xfId="1" applyNumberFormat="1" applyFont="1" applyFill="1" applyAlignment="1" applyProtection="1"/>
    <xf numFmtId="164" fontId="5" fillId="7" borderId="0" xfId="2" applyNumberFormat="1" applyFill="1" applyBorder="1" applyAlignment="1" applyProtection="1">
      <alignment horizontal="right"/>
    </xf>
    <xf numFmtId="8" fontId="4" fillId="0" borderId="0" xfId="1" applyNumberFormat="1" applyFont="1" applyFill="1" applyBorder="1" applyAlignment="1" applyProtection="1">
      <alignment horizontal="right"/>
    </xf>
    <xf numFmtId="0" fontId="2" fillId="7" borderId="0" xfId="0" applyNumberFormat="1" applyFont="1" applyFill="1" applyBorder="1" applyAlignment="1" applyProtection="1">
      <alignment horizontal="center" wrapText="1"/>
    </xf>
    <xf numFmtId="8" fontId="5" fillId="7" borderId="0" xfId="1" applyNumberFormat="1" applyFont="1" applyFill="1" applyBorder="1" applyAlignment="1" applyProtection="1">
      <alignment horizontal="right"/>
    </xf>
    <xf numFmtId="164" fontId="5" fillId="7" borderId="0" xfId="2" applyNumberFormat="1" applyFont="1" applyFill="1" applyBorder="1" applyAlignment="1" applyProtection="1">
      <alignment horizontal="right"/>
    </xf>
    <xf numFmtId="0" fontId="2" fillId="0" borderId="0" xfId="1" applyFont="1" applyFill="1" applyAlignment="1">
      <alignment horizontal="left" vertical="top"/>
      <protection locked="0"/>
    </xf>
    <xf numFmtId="0" fontId="2" fillId="8" borderId="1" xfId="1" applyFont="1" applyFill="1" applyBorder="1" applyAlignment="1">
      <alignment horizontal="center" wrapText="1"/>
      <protection locked="0"/>
    </xf>
    <xf numFmtId="0" fontId="2" fillId="10" borderId="1" xfId="1" applyFont="1" applyFill="1" applyBorder="1" applyAlignment="1">
      <alignment horizontal="center" wrapText="1"/>
      <protection locked="0"/>
    </xf>
    <xf numFmtId="165" fontId="4" fillId="5" borderId="0" xfId="4" applyNumberFormat="1" applyFont="1" applyFill="1" applyBorder="1" applyAlignment="1" applyProtection="1">
      <alignment horizontal="right"/>
    </xf>
    <xf numFmtId="165" fontId="5" fillId="5" borderId="0" xfId="1" applyNumberFormat="1" applyFill="1" applyBorder="1" applyAlignment="1" applyProtection="1">
      <alignment horizontal="right"/>
    </xf>
    <xf numFmtId="164" fontId="0" fillId="10" borderId="0" xfId="1" applyNumberFormat="1" applyFont="1" applyFill="1">
      <alignment vertical="top"/>
      <protection locked="0"/>
    </xf>
    <xf numFmtId="3" fontId="0" fillId="9" borderId="0" xfId="1" applyNumberFormat="1" applyFont="1" applyFill="1" applyAlignment="1" applyProtection="1"/>
    <xf numFmtId="164" fontId="0" fillId="8" borderId="0" xfId="1" applyNumberFormat="1" applyFont="1" applyFill="1">
      <alignment vertical="top"/>
      <protection locked="0"/>
    </xf>
    <xf numFmtId="0" fontId="2" fillId="11" borderId="1" xfId="1" applyFont="1" applyFill="1" applyBorder="1" applyAlignment="1">
      <alignment horizontal="center" wrapText="1"/>
      <protection locked="0"/>
    </xf>
    <xf numFmtId="3" fontId="0" fillId="12" borderId="0" xfId="1" applyNumberFormat="1" applyFont="1" applyFill="1" applyAlignment="1" applyProtection="1"/>
    <xf numFmtId="167" fontId="4" fillId="12" borderId="0" xfId="5" applyNumberFormat="1" applyFont="1" applyFill="1"/>
    <xf numFmtId="164" fontId="0" fillId="11" borderId="0" xfId="1" applyNumberFormat="1" applyFont="1" applyFill="1">
      <alignment vertical="top"/>
      <protection locked="0"/>
    </xf>
    <xf numFmtId="3" fontId="1" fillId="12" borderId="0" xfId="1" applyNumberFormat="1" applyFont="1" applyFill="1" applyAlignment="1" applyProtection="1"/>
    <xf numFmtId="3" fontId="5" fillId="12" borderId="0" xfId="1" applyNumberFormat="1" applyFont="1" applyFill="1" applyAlignment="1" applyProtection="1"/>
    <xf numFmtId="0" fontId="5" fillId="12" borderId="0" xfId="1" applyFont="1" applyFill="1" applyAlignment="1" applyProtection="1"/>
    <xf numFmtId="0" fontId="7" fillId="12" borderId="0" xfId="1" applyFont="1" applyFill="1" applyAlignment="1" applyProtection="1"/>
    <xf numFmtId="3" fontId="7" fillId="12" borderId="0" xfId="1" applyNumberFormat="1" applyFont="1" applyFill="1" applyAlignment="1" applyProtection="1"/>
    <xf numFmtId="165" fontId="5" fillId="5" borderId="1" xfId="1" applyNumberFormat="1" applyFill="1" applyBorder="1" applyAlignment="1">
      <alignment horizontal="center" wrapText="1"/>
      <protection locked="0"/>
    </xf>
    <xf numFmtId="165" fontId="5" fillId="5" borderId="0" xfId="1" applyNumberFormat="1" applyFill="1" applyBorder="1" applyAlignment="1" applyProtection="1"/>
    <xf numFmtId="165" fontId="5" fillId="5" borderId="0" xfId="1" applyNumberFormat="1" applyFill="1" applyAlignment="1" applyProtection="1"/>
    <xf numFmtId="165" fontId="5" fillId="5" borderId="0" xfId="1" applyNumberFormat="1" applyFont="1" applyFill="1" applyAlignment="1" applyProtection="1"/>
    <xf numFmtId="165" fontId="5" fillId="5" borderId="0" xfId="1" applyNumberFormat="1" applyFill="1">
      <alignment vertical="top"/>
      <protection locked="0"/>
    </xf>
    <xf numFmtId="3" fontId="5" fillId="6" borderId="0" xfId="1" applyNumberFormat="1" applyFill="1" applyAlignment="1" applyProtection="1"/>
    <xf numFmtId="166" fontId="5" fillId="6" borderId="0" xfId="1" applyNumberFormat="1" applyFill="1" applyBorder="1" applyAlignment="1" applyProtection="1">
      <alignment horizontal="right"/>
    </xf>
    <xf numFmtId="4" fontId="5" fillId="6" borderId="0" xfId="1" applyNumberFormat="1" applyFill="1" applyAlignment="1" applyProtection="1"/>
    <xf numFmtId="4" fontId="10" fillId="6" borderId="0" xfId="1" applyNumberFormat="1" applyFont="1" applyFill="1" applyAlignment="1" applyProtection="1"/>
    <xf numFmtId="0" fontId="8" fillId="9" borderId="0" xfId="0" applyNumberFormat="1" applyFont="1" applyFill="1" applyBorder="1" applyAlignment="1" applyProtection="1">
      <alignment horizontal="center" wrapText="1"/>
    </xf>
    <xf numFmtId="164" fontId="5" fillId="9" borderId="0" xfId="2" applyNumberFormat="1" applyFill="1">
      <alignment vertical="top"/>
      <protection locked="0"/>
    </xf>
    <xf numFmtId="164" fontId="10" fillId="9" borderId="0" xfId="2" applyNumberFormat="1" applyFont="1" applyFill="1">
      <alignment vertical="top"/>
      <protection locked="0"/>
    </xf>
    <xf numFmtId="3" fontId="10" fillId="0" borderId="0" xfId="1" applyNumberFormat="1" applyFont="1" applyAlignment="1" applyProtection="1"/>
    <xf numFmtId="3" fontId="10" fillId="6" borderId="0" xfId="1" applyNumberFormat="1" applyFont="1" applyFill="1" applyAlignment="1" applyProtection="1"/>
    <xf numFmtId="166" fontId="10" fillId="6" borderId="0" xfId="1" applyNumberFormat="1" applyFont="1" applyFill="1" applyBorder="1" applyAlignment="1" applyProtection="1">
      <alignment horizontal="right"/>
    </xf>
    <xf numFmtId="0" fontId="9" fillId="0" borderId="0" xfId="3" applyFill="1"/>
    <xf numFmtId="165" fontId="8" fillId="0" borderId="0" xfId="0" applyNumberFormat="1" applyFont="1" applyFill="1" applyBorder="1" applyAlignment="1" applyProtection="1">
      <alignment horizontal="center" wrapText="1"/>
    </xf>
    <xf numFmtId="0" fontId="9" fillId="0" borderId="0" xfId="3"/>
    <xf numFmtId="165" fontId="0" fillId="0" borderId="0" xfId="0" applyNumberFormat="1" applyFont="1">
      <alignment vertical="top"/>
      <protection locked="0"/>
    </xf>
    <xf numFmtId="165" fontId="5" fillId="0" borderId="0" xfId="1" applyNumberFormat="1" applyAlignment="1" applyProtection="1"/>
    <xf numFmtId="165" fontId="10" fillId="0" borderId="0" xfId="1" applyNumberFormat="1" applyFont="1" applyAlignment="1" applyProtection="1"/>
    <xf numFmtId="165" fontId="4" fillId="0" borderId="0" xfId="1" applyNumberFormat="1" applyFont="1" applyFill="1" applyBorder="1" applyAlignment="1" applyProtection="1">
      <alignment horizontal="right"/>
    </xf>
    <xf numFmtId="165" fontId="8" fillId="6" borderId="0" xfId="0" applyNumberFormat="1" applyFont="1" applyFill="1" applyBorder="1" applyAlignment="1" applyProtection="1">
      <alignment horizontal="center" wrapText="1"/>
    </xf>
    <xf numFmtId="165" fontId="5" fillId="6" borderId="0" xfId="1" applyNumberFormat="1" applyFill="1" applyAlignment="1" applyProtection="1"/>
    <xf numFmtId="165" fontId="10" fillId="6" borderId="0" xfId="1" applyNumberFormat="1" applyFont="1" applyFill="1" applyAlignment="1" applyProtection="1"/>
    <xf numFmtId="0" fontId="2" fillId="0" borderId="0" xfId="0" quotePrefix="1" applyFont="1" applyFill="1">
      <alignment vertical="top"/>
      <protection locked="0"/>
    </xf>
    <xf numFmtId="0" fontId="4" fillId="0" borderId="0" xfId="4"/>
    <xf numFmtId="0" fontId="9" fillId="0" borderId="0" xfId="0" applyNumberFormat="1" applyFont="1" applyFill="1" applyBorder="1" applyAlignment="1" applyProtection="1">
      <alignment wrapText="1"/>
    </xf>
    <xf numFmtId="0" fontId="5" fillId="0" borderId="0" xfId="0" applyFont="1" applyAlignment="1" applyProtection="1">
      <alignment wrapText="1"/>
    </xf>
    <xf numFmtId="0" fontId="4" fillId="4" borderId="0" xfId="0" applyNumberFormat="1" applyFont="1" applyFill="1" applyBorder="1" applyAlignment="1" applyProtection="1">
      <alignment vertical="top" wrapText="1"/>
    </xf>
    <xf numFmtId="164" fontId="5" fillId="0" borderId="0" xfId="2" applyNumberFormat="1" applyBorder="1" applyAlignment="1" applyProtection="1">
      <alignment horizontal="right" vertical="top"/>
    </xf>
    <xf numFmtId="8" fontId="4" fillId="4" borderId="0" xfId="1" applyNumberFormat="1" applyFont="1" applyFill="1" applyBorder="1" applyAlignment="1" applyProtection="1">
      <alignment horizontal="right" vertical="top"/>
    </xf>
    <xf numFmtId="164" fontId="5" fillId="0" borderId="0" xfId="2" applyNumberFormat="1" applyFill="1" applyBorder="1" applyAlignment="1" applyProtection="1">
      <alignment horizontal="right" vertical="top"/>
    </xf>
    <xf numFmtId="164" fontId="4" fillId="0" borderId="0" xfId="1" applyNumberFormat="1" applyFont="1" applyFill="1" applyBorder="1" applyAlignment="1" applyProtection="1">
      <alignment horizontal="right" vertical="top"/>
    </xf>
    <xf numFmtId="3" fontId="0" fillId="0" borderId="0" xfId="0" applyNumberFormat="1" applyFont="1">
      <alignment vertical="top"/>
      <protection locked="0"/>
    </xf>
    <xf numFmtId="0" fontId="2" fillId="13" borderId="2" xfId="1" applyFont="1" applyFill="1" applyBorder="1" applyAlignment="1">
      <alignment horizontal="center" wrapText="1"/>
      <protection locked="0"/>
    </xf>
    <xf numFmtId="0" fontId="0" fillId="4" borderId="0" xfId="0" applyFont="1" applyFill="1">
      <alignment vertical="top"/>
      <protection locked="0"/>
    </xf>
    <xf numFmtId="0" fontId="5" fillId="4" borderId="0" xfId="1" applyFont="1" applyFill="1">
      <alignment vertical="top"/>
      <protection locked="0"/>
    </xf>
    <xf numFmtId="0" fontId="7" fillId="4" borderId="0" xfId="1" applyFont="1" applyFill="1">
      <alignment vertical="top"/>
      <protection locked="0"/>
    </xf>
    <xf numFmtId="167" fontId="0" fillId="0" borderId="0" xfId="0" applyNumberFormat="1" applyFont="1">
      <alignment vertical="top"/>
      <protection locked="0"/>
    </xf>
  </cellXfs>
  <cellStyles count="7">
    <cellStyle name="Comma" xfId="1" builtinId="3"/>
    <cellStyle name="Comma 2" xfId="5"/>
    <cellStyle name="Normal" xfId="0" builtinId="0"/>
    <cellStyle name="Normal 2" xfId="3"/>
    <cellStyle name="Normal 3" xfId="4"/>
    <cellStyle name="Percent" xfId="2" builtinId="5"/>
    <cellStyle name="Percent 2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VCA%20Local/MoneyTree%202008%20Q4/xxxJST%20scratchpad%20NatlAggSpreadsheetQ4_200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 US by Qtr &amp; Year"/>
      <sheetName val="by Stage of Dev"/>
      <sheetName val="by Industry"/>
      <sheetName val="Internet-Specific"/>
      <sheetName val="Cleantech"/>
      <sheetName val="First Sequence by Stage of Dev"/>
      <sheetName val="First Sequence by Industry"/>
    </sheetNames>
    <sheetDataSet>
      <sheetData sheetId="0">
        <row r="3">
          <cell r="A3">
            <v>1000000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57"/>
  <sheetViews>
    <sheetView tabSelected="1" showOutlineSymbols="0" topLeftCell="A31" zoomScaleNormal="100" workbookViewId="0">
      <selection activeCell="D57" sqref="D57"/>
    </sheetView>
  </sheetViews>
  <sheetFormatPr defaultRowHeight="13.2"/>
  <cols>
    <col min="1" max="9" width="13" customWidth="1"/>
  </cols>
  <sheetData>
    <row r="1" spans="1:14">
      <c r="A1" s="1" t="s">
        <v>101</v>
      </c>
      <c r="B1" s="3"/>
      <c r="C1" s="3"/>
      <c r="E1" s="3"/>
      <c r="F1" s="3"/>
      <c r="G1" s="3"/>
      <c r="H1" s="3"/>
    </row>
    <row r="2" spans="1:14" ht="66">
      <c r="A2" s="4" t="s">
        <v>0</v>
      </c>
      <c r="B2" s="81" t="s">
        <v>1</v>
      </c>
      <c r="C2" s="81" t="s">
        <v>2</v>
      </c>
      <c r="D2" s="81" t="s">
        <v>3</v>
      </c>
      <c r="E2" s="8" t="s">
        <v>8</v>
      </c>
      <c r="F2" s="8" t="s">
        <v>4</v>
      </c>
      <c r="G2" s="82" t="s">
        <v>5</v>
      </c>
      <c r="H2" s="82" t="s">
        <v>6</v>
      </c>
      <c r="I2" s="82" t="s">
        <v>7</v>
      </c>
      <c r="J2" s="132" t="s">
        <v>110</v>
      </c>
    </row>
    <row r="3" spans="1:14">
      <c r="A3" s="2" t="s">
        <v>11</v>
      </c>
      <c r="B3" s="86">
        <v>1896</v>
      </c>
      <c r="C3" s="124">
        <v>149</v>
      </c>
      <c r="D3" s="87">
        <f t="shared" ref="D3:D17" si="0">C3/B3</f>
        <v>7.8586497890295356E-2</v>
      </c>
      <c r="E3" s="9">
        <f>G3/B3</f>
        <v>4.2271993670886081</v>
      </c>
      <c r="F3" s="9">
        <f>H3/C3</f>
        <v>3.1565771812080534</v>
      </c>
      <c r="G3" s="83">
        <v>8014.77</v>
      </c>
      <c r="H3" s="84">
        <v>470.33</v>
      </c>
      <c r="I3" s="85">
        <f t="shared" ref="I3:I20" si="1">H3/G3</f>
        <v>5.868290668353552E-2</v>
      </c>
      <c r="J3" s="133">
        <v>92</v>
      </c>
      <c r="L3" s="33"/>
      <c r="M3" s="35"/>
      <c r="N3" s="34"/>
    </row>
    <row r="4" spans="1:14">
      <c r="A4" s="2" t="s">
        <v>12</v>
      </c>
      <c r="B4" s="86">
        <v>2636</v>
      </c>
      <c r="C4" s="124">
        <v>234</v>
      </c>
      <c r="D4" s="87">
        <f t="shared" si="0"/>
        <v>8.8770864946889225E-2</v>
      </c>
      <c r="E4" s="9">
        <f t="shared" ref="E4:E20" si="2">G4/B4</f>
        <v>4.3041084977238233</v>
      </c>
      <c r="F4" s="9">
        <f t="shared" ref="F4:F20" si="3">H4/C4</f>
        <v>3.5188034188034187</v>
      </c>
      <c r="G4" s="83">
        <v>11345.63</v>
      </c>
      <c r="H4" s="84">
        <v>823.4</v>
      </c>
      <c r="I4" s="85">
        <f t="shared" si="1"/>
        <v>7.2574198171454565E-2</v>
      </c>
      <c r="J4" s="133">
        <v>124</v>
      </c>
      <c r="L4" s="33"/>
      <c r="M4" s="35"/>
      <c r="N4" s="34"/>
    </row>
    <row r="5" spans="1:14">
      <c r="A5" s="2" t="s">
        <v>13</v>
      </c>
      <c r="B5" s="86">
        <v>3223</v>
      </c>
      <c r="C5" s="124">
        <v>352</v>
      </c>
      <c r="D5" s="87">
        <f t="shared" si="0"/>
        <v>0.10921501706484642</v>
      </c>
      <c r="E5" s="9">
        <f t="shared" si="2"/>
        <v>4.6557679180887375</v>
      </c>
      <c r="F5" s="9">
        <f t="shared" si="3"/>
        <v>2.7273295454545452</v>
      </c>
      <c r="G5" s="83">
        <v>15005.54</v>
      </c>
      <c r="H5" s="84">
        <v>960.02</v>
      </c>
      <c r="I5" s="85">
        <f t="shared" si="1"/>
        <v>6.397770423456936E-2</v>
      </c>
      <c r="J5" s="133">
        <v>134</v>
      </c>
      <c r="L5" s="33"/>
      <c r="M5" s="35"/>
      <c r="N5" s="34"/>
    </row>
    <row r="6" spans="1:14">
      <c r="A6" s="2" t="s">
        <v>14</v>
      </c>
      <c r="B6" s="86">
        <v>3727</v>
      </c>
      <c r="C6" s="124">
        <v>507</v>
      </c>
      <c r="D6" s="87">
        <f t="shared" si="0"/>
        <v>0.13603434397638853</v>
      </c>
      <c r="E6" s="9">
        <f t="shared" si="2"/>
        <v>5.760627850818353</v>
      </c>
      <c r="F6" s="9">
        <f t="shared" si="3"/>
        <v>3.5656410256410256</v>
      </c>
      <c r="G6" s="83">
        <v>21469.86</v>
      </c>
      <c r="H6" s="84">
        <v>1807.78</v>
      </c>
      <c r="I6" s="85">
        <f t="shared" si="1"/>
        <v>8.4200828510293035E-2</v>
      </c>
      <c r="J6" s="133">
        <v>162</v>
      </c>
      <c r="L6" s="33"/>
      <c r="M6" s="35"/>
      <c r="N6" s="34"/>
    </row>
    <row r="7" spans="1:14">
      <c r="A7" s="2" t="s">
        <v>47</v>
      </c>
      <c r="B7" s="86">
        <v>5595</v>
      </c>
      <c r="C7" s="124">
        <v>1203</v>
      </c>
      <c r="D7" s="87">
        <f t="shared" si="0"/>
        <v>0.21501340482573728</v>
      </c>
      <c r="E7" s="9">
        <f t="shared" si="2"/>
        <v>9.8040571939231445</v>
      </c>
      <c r="F7" s="9">
        <f t="shared" si="3"/>
        <v>6.474846217788861</v>
      </c>
      <c r="G7" s="83">
        <v>54853.7</v>
      </c>
      <c r="H7" s="84">
        <v>7789.24</v>
      </c>
      <c r="I7" s="85">
        <f t="shared" si="1"/>
        <v>0.1420002661625378</v>
      </c>
      <c r="J7" s="133">
        <v>362</v>
      </c>
      <c r="L7" s="33"/>
      <c r="M7" s="35"/>
      <c r="N7" s="34"/>
    </row>
    <row r="8" spans="1:14">
      <c r="A8" s="2" t="s">
        <v>48</v>
      </c>
      <c r="B8" s="86">
        <v>8037</v>
      </c>
      <c r="C8" s="124">
        <v>1974</v>
      </c>
      <c r="D8" s="87">
        <f t="shared" si="0"/>
        <v>0.24561403508771928</v>
      </c>
      <c r="E8" s="9">
        <f t="shared" si="2"/>
        <v>13.079701381112356</v>
      </c>
      <c r="F8" s="9">
        <f t="shared" si="3"/>
        <v>7.6984397163120564</v>
      </c>
      <c r="G8" s="83">
        <v>105121.56</v>
      </c>
      <c r="H8" s="84">
        <v>15196.72</v>
      </c>
      <c r="I8" s="85">
        <f t="shared" si="1"/>
        <v>0.14456330366482384</v>
      </c>
      <c r="J8" s="133">
        <v>426</v>
      </c>
      <c r="L8" s="33"/>
      <c r="M8" s="35"/>
      <c r="N8" s="34"/>
    </row>
    <row r="9" spans="1:14">
      <c r="A9" s="2" t="s">
        <v>15</v>
      </c>
      <c r="B9" s="86">
        <v>4590</v>
      </c>
      <c r="C9" s="124">
        <v>970</v>
      </c>
      <c r="D9" s="87">
        <f t="shared" si="0"/>
        <v>0.2113289760348584</v>
      </c>
      <c r="E9" s="9">
        <f t="shared" si="2"/>
        <v>8.9232352941176476</v>
      </c>
      <c r="F9" s="9">
        <f t="shared" si="3"/>
        <v>4.7683402061855666</v>
      </c>
      <c r="G9" s="83">
        <v>40957.65</v>
      </c>
      <c r="H9" s="84">
        <v>4625.29</v>
      </c>
      <c r="I9" s="85">
        <f t="shared" si="1"/>
        <v>0.11292859819838295</v>
      </c>
      <c r="J9" s="133">
        <v>305</v>
      </c>
      <c r="L9" s="33"/>
      <c r="M9" s="35"/>
      <c r="N9" s="34"/>
    </row>
    <row r="10" spans="1:14">
      <c r="A10" s="2" t="s">
        <v>16</v>
      </c>
      <c r="B10" s="86">
        <v>3204</v>
      </c>
      <c r="C10" s="124">
        <v>546</v>
      </c>
      <c r="D10" s="87">
        <f t="shared" si="0"/>
        <v>0.17041198501872659</v>
      </c>
      <c r="E10" s="9">
        <f t="shared" si="2"/>
        <v>6.9191822721598006</v>
      </c>
      <c r="F10" s="9">
        <f t="shared" si="3"/>
        <v>3.5068864468864467</v>
      </c>
      <c r="G10" s="83">
        <v>22169.06</v>
      </c>
      <c r="H10" s="84">
        <v>1914.76</v>
      </c>
      <c r="I10" s="85">
        <f t="shared" si="1"/>
        <v>8.6370824924466794E-2</v>
      </c>
      <c r="J10" s="133">
        <v>212</v>
      </c>
      <c r="L10" s="33"/>
      <c r="M10" s="35"/>
      <c r="N10" s="34"/>
    </row>
    <row r="11" spans="1:14">
      <c r="A11" s="2" t="s">
        <v>17</v>
      </c>
      <c r="B11" s="86">
        <v>3025</v>
      </c>
      <c r="C11" s="124">
        <v>435</v>
      </c>
      <c r="D11" s="87">
        <f t="shared" si="0"/>
        <v>0.14380165289256197</v>
      </c>
      <c r="E11" s="9">
        <f t="shared" si="2"/>
        <v>6.5097818181818186</v>
      </c>
      <c r="F11" s="9">
        <f t="shared" si="3"/>
        <v>2.9632873563218389</v>
      </c>
      <c r="G11" s="83">
        <v>19692.09</v>
      </c>
      <c r="H11" s="84">
        <v>1289.03</v>
      </c>
      <c r="I11" s="85">
        <f t="shared" si="1"/>
        <v>6.5459278319365793E-2</v>
      </c>
      <c r="J11" s="133">
        <v>180</v>
      </c>
      <c r="L11" s="33"/>
      <c r="M11" s="35"/>
      <c r="N11" s="34"/>
    </row>
    <row r="12" spans="1:14">
      <c r="A12" s="2" t="s">
        <v>18</v>
      </c>
      <c r="B12" s="86">
        <v>3229</v>
      </c>
      <c r="C12" s="124">
        <v>538</v>
      </c>
      <c r="D12" s="87">
        <f t="shared" si="0"/>
        <v>0.16661505109941158</v>
      </c>
      <c r="E12" s="9">
        <f t="shared" si="2"/>
        <v>7.2039733663672969</v>
      </c>
      <c r="F12" s="9">
        <f t="shared" si="3"/>
        <v>2.8996096654275094</v>
      </c>
      <c r="G12" s="83">
        <v>23261.63</v>
      </c>
      <c r="H12" s="84">
        <v>1559.99</v>
      </c>
      <c r="I12" s="85">
        <f t="shared" si="1"/>
        <v>6.7062798264781953E-2</v>
      </c>
      <c r="J12" s="133">
        <v>176</v>
      </c>
      <c r="L12" s="33"/>
      <c r="M12" s="35"/>
      <c r="N12" s="34"/>
    </row>
    <row r="13" spans="1:14">
      <c r="A13" s="2" t="s">
        <v>19</v>
      </c>
      <c r="B13" s="86">
        <v>3298</v>
      </c>
      <c r="C13" s="124">
        <v>552</v>
      </c>
      <c r="D13" s="87">
        <f t="shared" si="0"/>
        <v>0.16737416616130987</v>
      </c>
      <c r="E13" s="9">
        <f t="shared" si="2"/>
        <v>7.1539690721649487</v>
      </c>
      <c r="F13" s="9">
        <f t="shared" si="3"/>
        <v>2.8211231884057972</v>
      </c>
      <c r="G13" s="83">
        <v>23593.79</v>
      </c>
      <c r="H13" s="84">
        <v>1557.26</v>
      </c>
      <c r="I13" s="85">
        <f t="shared" si="1"/>
        <v>6.6002960948622499E-2</v>
      </c>
      <c r="J13" s="133">
        <v>178</v>
      </c>
      <c r="L13" s="33"/>
      <c r="M13" s="35"/>
      <c r="N13" s="34"/>
    </row>
    <row r="14" spans="1:14">
      <c r="A14" s="2" t="s">
        <v>20</v>
      </c>
      <c r="B14" s="86">
        <v>3889</v>
      </c>
      <c r="C14" s="124">
        <v>801</v>
      </c>
      <c r="D14" s="87">
        <f t="shared" si="0"/>
        <v>0.20596554384160454</v>
      </c>
      <c r="E14" s="9">
        <f t="shared" si="2"/>
        <v>7.0951555669838005</v>
      </c>
      <c r="F14" s="9">
        <f t="shared" si="3"/>
        <v>3.2698876404494381</v>
      </c>
      <c r="G14" s="83">
        <v>27593.06</v>
      </c>
      <c r="H14" s="84">
        <v>2619.1799999999998</v>
      </c>
      <c r="I14" s="85">
        <f t="shared" si="1"/>
        <v>9.4921694078148627E-2</v>
      </c>
      <c r="J14" s="133">
        <v>183</v>
      </c>
      <c r="L14" s="33"/>
      <c r="M14" s="35"/>
      <c r="N14" s="34"/>
    </row>
    <row r="15" spans="1:14">
      <c r="A15" s="2" t="s">
        <v>21</v>
      </c>
      <c r="B15" s="86">
        <v>4223</v>
      </c>
      <c r="C15" s="124">
        <v>817</v>
      </c>
      <c r="D15" s="87">
        <f t="shared" si="0"/>
        <v>0.1934643618280843</v>
      </c>
      <c r="E15" s="9">
        <f t="shared" si="2"/>
        <v>7.5620269950272316</v>
      </c>
      <c r="F15" s="9">
        <f t="shared" si="3"/>
        <v>3.2754222766217871</v>
      </c>
      <c r="G15" s="83">
        <v>31934.44</v>
      </c>
      <c r="H15" s="84">
        <v>2676.02</v>
      </c>
      <c r="I15" s="85">
        <f t="shared" si="1"/>
        <v>8.3797304728061614E-2</v>
      </c>
      <c r="J15" s="133">
        <v>187</v>
      </c>
      <c r="L15" s="33"/>
      <c r="M15" s="35"/>
      <c r="N15" s="34"/>
    </row>
    <row r="16" spans="1:14" s="6" customFormat="1">
      <c r="A16" s="7" t="s">
        <v>22</v>
      </c>
      <c r="B16" s="86">
        <v>4177</v>
      </c>
      <c r="C16" s="124">
        <v>893</v>
      </c>
      <c r="D16" s="87">
        <f t="shared" si="0"/>
        <v>0.21378980129279387</v>
      </c>
      <c r="E16" s="9">
        <f t="shared" si="2"/>
        <v>7.1738137419200383</v>
      </c>
      <c r="F16" s="9">
        <f t="shared" si="3"/>
        <v>3.0629227323628219</v>
      </c>
      <c r="G16" s="83">
        <v>29965.02</v>
      </c>
      <c r="H16" s="84">
        <v>2735.19</v>
      </c>
      <c r="I16" s="85">
        <f t="shared" si="1"/>
        <v>9.1279431817499201E-2</v>
      </c>
      <c r="J16" s="134">
        <v>195</v>
      </c>
      <c r="L16" s="33"/>
      <c r="M16" s="35"/>
      <c r="N16" s="34"/>
    </row>
    <row r="17" spans="1:14" s="11" customFormat="1">
      <c r="A17" s="10" t="s">
        <v>23</v>
      </c>
      <c r="B17" s="86">
        <v>3146</v>
      </c>
      <c r="C17" s="124">
        <v>398</v>
      </c>
      <c r="D17" s="87">
        <f t="shared" si="0"/>
        <v>0.12650985378258106</v>
      </c>
      <c r="E17" s="9">
        <f t="shared" si="2"/>
        <v>6.4372568340750158</v>
      </c>
      <c r="F17" s="9">
        <f t="shared" si="3"/>
        <v>3.3670854271356783</v>
      </c>
      <c r="G17" s="83">
        <v>20251.61</v>
      </c>
      <c r="H17" s="84">
        <v>1340.1</v>
      </c>
      <c r="I17" s="85">
        <f t="shared" si="1"/>
        <v>6.6172516654231434E-2</v>
      </c>
      <c r="J17" s="135">
        <v>130</v>
      </c>
      <c r="L17" s="33"/>
      <c r="M17" s="35"/>
      <c r="N17" s="34"/>
    </row>
    <row r="18" spans="1:14" s="11" customFormat="1">
      <c r="A18" s="10" t="s">
        <v>49</v>
      </c>
      <c r="B18" s="86">
        <v>3633</v>
      </c>
      <c r="C18" s="124">
        <v>473</v>
      </c>
      <c r="D18" s="87">
        <f>C18/B18</f>
        <v>0.13019543077346546</v>
      </c>
      <c r="E18" s="9">
        <f t="shared" si="2"/>
        <v>6.4101624002202033</v>
      </c>
      <c r="F18" s="9">
        <f t="shared" si="3"/>
        <v>4.0485412262156446</v>
      </c>
      <c r="G18" s="83">
        <v>23288.12</v>
      </c>
      <c r="H18" s="84">
        <v>1914.96</v>
      </c>
      <c r="I18" s="85">
        <f t="shared" si="1"/>
        <v>8.2229050691940794E-2</v>
      </c>
      <c r="J18" s="135">
        <v>138</v>
      </c>
      <c r="L18" s="33"/>
      <c r="M18" s="35"/>
      <c r="N18" s="34"/>
    </row>
    <row r="19" spans="1:14" s="11" customFormat="1">
      <c r="A19" s="36">
        <v>2011</v>
      </c>
      <c r="B19" s="86">
        <v>3986</v>
      </c>
      <c r="C19" s="124">
        <v>575</v>
      </c>
      <c r="D19" s="87">
        <f>C19/B19</f>
        <v>0.14425489212242851</v>
      </c>
      <c r="E19" s="9">
        <f t="shared" si="2"/>
        <v>7.4427295534370295</v>
      </c>
      <c r="F19" s="9">
        <f t="shared" si="3"/>
        <v>3.9820347826086957</v>
      </c>
      <c r="G19" s="83">
        <v>29666.720000000001</v>
      </c>
      <c r="H19" s="84">
        <v>2289.67</v>
      </c>
      <c r="I19" s="85">
        <f t="shared" si="1"/>
        <v>7.7179748890339073E-2</v>
      </c>
      <c r="J19" s="135">
        <v>154</v>
      </c>
      <c r="L19" s="33"/>
      <c r="M19" s="35"/>
      <c r="N19" s="34"/>
    </row>
    <row r="20" spans="1:14" s="11" customFormat="1">
      <c r="A20" s="36">
        <v>2012</v>
      </c>
      <c r="B20" s="86">
        <v>3798</v>
      </c>
      <c r="C20" s="124">
        <v>587</v>
      </c>
      <c r="D20" s="87">
        <f>C20/B20</f>
        <v>0.15455502896261189</v>
      </c>
      <c r="E20" s="9">
        <f t="shared" si="2"/>
        <v>7.1017245918904681</v>
      </c>
      <c r="F20" s="9">
        <f t="shared" si="3"/>
        <v>3.8618398637137989</v>
      </c>
      <c r="G20" s="83">
        <v>26972.35</v>
      </c>
      <c r="H20" s="84">
        <v>2266.9</v>
      </c>
      <c r="I20" s="85">
        <f t="shared" si="1"/>
        <v>8.404532790060934E-2</v>
      </c>
      <c r="J20" s="135">
        <v>148</v>
      </c>
      <c r="L20" s="37"/>
      <c r="M20" s="35"/>
      <c r="N20" s="35"/>
    </row>
    <row r="21" spans="1:14" s="11" customFormat="1">
      <c r="A21" s="36" t="s">
        <v>107</v>
      </c>
      <c r="B21" s="86">
        <v>1813</v>
      </c>
      <c r="C21" s="124">
        <v>303</v>
      </c>
      <c r="D21" s="87">
        <f>C21/B21</f>
        <v>0.16712630998345285</v>
      </c>
      <c r="E21" s="9">
        <f t="shared" ref="E21" si="4">G21/B21</f>
        <v>7.007567567567567</v>
      </c>
      <c r="F21" s="9">
        <f t="shared" ref="F21" si="5">H21/C21</f>
        <v>4.5621452145214523</v>
      </c>
      <c r="G21" s="83">
        <v>12704.72</v>
      </c>
      <c r="H21" s="84">
        <v>1382.33</v>
      </c>
      <c r="I21" s="85">
        <f t="shared" ref="I21" si="6">H21/G21</f>
        <v>0.10880444433250004</v>
      </c>
      <c r="J21" s="135">
        <v>107</v>
      </c>
      <c r="L21" s="123"/>
      <c r="M21" s="35"/>
      <c r="N21" s="35"/>
    </row>
    <row r="22" spans="1:14" s="50" customFormat="1">
      <c r="A22" s="59"/>
      <c r="B22" s="60"/>
      <c r="C22" s="60"/>
      <c r="D22" s="47"/>
      <c r="E22" s="48"/>
      <c r="F22" s="48"/>
      <c r="G22" s="49"/>
      <c r="H22" s="49"/>
      <c r="I22" s="47"/>
      <c r="L22" s="61"/>
      <c r="M22" s="35"/>
      <c r="N22" s="35"/>
    </row>
    <row r="23" spans="1:14" s="50" customFormat="1">
      <c r="A23" s="45" t="s">
        <v>9</v>
      </c>
      <c r="B23" s="46"/>
      <c r="C23" s="46"/>
      <c r="D23" s="47"/>
      <c r="E23" s="48"/>
      <c r="F23" s="48"/>
      <c r="G23" s="49"/>
      <c r="H23" s="49"/>
      <c r="I23" s="47"/>
    </row>
    <row r="24" spans="1:14" s="50" customFormat="1">
      <c r="A24" s="51"/>
      <c r="B24" s="46"/>
      <c r="C24" s="46"/>
      <c r="D24" s="47"/>
      <c r="E24" s="48"/>
      <c r="F24" s="48"/>
      <c r="G24" s="49"/>
      <c r="H24" s="49"/>
      <c r="I24" s="47"/>
    </row>
    <row r="25" spans="1:14" s="58" customFormat="1" ht="15">
      <c r="A25" s="52"/>
      <c r="B25" s="53"/>
      <c r="C25" s="53"/>
      <c r="D25" s="54"/>
      <c r="E25" s="55"/>
      <c r="F25" s="55"/>
      <c r="G25" s="56"/>
      <c r="H25" s="56"/>
      <c r="I25" s="57"/>
    </row>
    <row r="26" spans="1:14">
      <c r="A26" s="80" t="s">
        <v>89</v>
      </c>
      <c r="B26" s="2"/>
      <c r="C26" s="3"/>
      <c r="E26" s="3"/>
      <c r="F26" s="3"/>
      <c r="G26" s="18"/>
      <c r="H26" s="18"/>
    </row>
    <row r="27" spans="1:14" ht="66">
      <c r="A27" s="4" t="s">
        <v>10</v>
      </c>
      <c r="B27" s="88" t="s">
        <v>1</v>
      </c>
      <c r="C27" s="88" t="s">
        <v>2</v>
      </c>
      <c r="D27" s="88" t="s">
        <v>3</v>
      </c>
      <c r="E27" s="8" t="s">
        <v>8</v>
      </c>
      <c r="F27" s="8" t="s">
        <v>4</v>
      </c>
      <c r="G27" s="97" t="s">
        <v>5</v>
      </c>
      <c r="H27" s="97" t="s">
        <v>6</v>
      </c>
      <c r="I27" s="82" t="s">
        <v>7</v>
      </c>
    </row>
    <row r="28" spans="1:14" ht="15" customHeight="1">
      <c r="A28" s="37" t="s">
        <v>58</v>
      </c>
      <c r="B28" s="89">
        <v>906</v>
      </c>
      <c r="C28" s="90">
        <v>205</v>
      </c>
      <c r="D28" s="91">
        <f t="shared" ref="D28:D53" si="7">C28/B28</f>
        <v>0.22626931567328917</v>
      </c>
      <c r="E28" s="9">
        <f>G28/B28</f>
        <v>8.1935430463576164</v>
      </c>
      <c r="F28" s="9">
        <f>H28/C28</f>
        <v>4.0434146341463411</v>
      </c>
      <c r="G28" s="98">
        <v>7423.35</v>
      </c>
      <c r="H28" s="84">
        <v>828.9</v>
      </c>
      <c r="I28" s="85">
        <f t="shared" ref="I28:I53" si="8">H28/G28</f>
        <v>0.11166117723130392</v>
      </c>
      <c r="K28" s="30"/>
      <c r="L28" s="31"/>
      <c r="M28" s="32"/>
    </row>
    <row r="29" spans="1:14" ht="15" customHeight="1">
      <c r="A29" s="37" t="s">
        <v>59</v>
      </c>
      <c r="B29" s="89">
        <v>1115</v>
      </c>
      <c r="C29" s="90">
        <v>236</v>
      </c>
      <c r="D29" s="91">
        <f t="shared" si="7"/>
        <v>0.21165919282511211</v>
      </c>
      <c r="E29" s="9">
        <f t="shared" ref="E29:E44" si="9">G29/B29</f>
        <v>7.0370403587443944</v>
      </c>
      <c r="F29" s="9">
        <f t="shared" ref="F29:F44" si="10">H29/C29</f>
        <v>3.1137711864406779</v>
      </c>
      <c r="G29" s="98">
        <v>7846.3</v>
      </c>
      <c r="H29" s="84">
        <v>734.85</v>
      </c>
      <c r="I29" s="85">
        <f t="shared" si="8"/>
        <v>9.3655608375922406E-2</v>
      </c>
      <c r="K29" s="30"/>
      <c r="L29" s="31"/>
      <c r="M29" s="32"/>
    </row>
    <row r="30" spans="1:14" ht="15" customHeight="1">
      <c r="A30" s="37" t="s">
        <v>60</v>
      </c>
      <c r="B30" s="89">
        <v>1050</v>
      </c>
      <c r="C30" s="90">
        <v>172</v>
      </c>
      <c r="D30" s="91">
        <f t="shared" si="7"/>
        <v>0.16380952380952382</v>
      </c>
      <c r="E30" s="9">
        <f t="shared" si="9"/>
        <v>7.8233714285714298</v>
      </c>
      <c r="F30" s="9">
        <f t="shared" si="10"/>
        <v>3.0814534883720928</v>
      </c>
      <c r="G30" s="98">
        <v>8214.5400000000009</v>
      </c>
      <c r="H30" s="84">
        <v>530.01</v>
      </c>
      <c r="I30" s="85">
        <f t="shared" si="8"/>
        <v>6.452095917726372E-2</v>
      </c>
      <c r="K30" s="30"/>
      <c r="L30" s="31"/>
      <c r="M30" s="32"/>
    </row>
    <row r="31" spans="1:14" ht="15" customHeight="1">
      <c r="A31" s="37" t="s">
        <v>61</v>
      </c>
      <c r="B31" s="89">
        <v>1152</v>
      </c>
      <c r="C31" s="90">
        <v>204</v>
      </c>
      <c r="D31" s="91">
        <f t="shared" si="7"/>
        <v>0.17708333333333334</v>
      </c>
      <c r="E31" s="9">
        <f t="shared" si="9"/>
        <v>7.335286458333333</v>
      </c>
      <c r="F31" s="9">
        <f t="shared" si="10"/>
        <v>2.8541666666666665</v>
      </c>
      <c r="G31" s="98">
        <v>8450.25</v>
      </c>
      <c r="H31" s="84">
        <v>582.25</v>
      </c>
      <c r="I31" s="85">
        <f t="shared" si="8"/>
        <v>6.8903286885003398E-2</v>
      </c>
      <c r="K31" s="30"/>
      <c r="L31" s="31"/>
      <c r="M31" s="32"/>
    </row>
    <row r="32" spans="1:14" ht="15" customHeight="1">
      <c r="A32" s="37" t="s">
        <v>62</v>
      </c>
      <c r="B32" s="89">
        <v>1059</v>
      </c>
      <c r="C32" s="90">
        <v>237</v>
      </c>
      <c r="D32" s="91">
        <f t="shared" si="7"/>
        <v>0.22379603399433429</v>
      </c>
      <c r="E32" s="9">
        <f t="shared" si="9"/>
        <v>7.6577525967894244</v>
      </c>
      <c r="F32" s="9">
        <f t="shared" si="10"/>
        <v>3.0826582278481016</v>
      </c>
      <c r="G32" s="98">
        <v>8109.56</v>
      </c>
      <c r="H32" s="84">
        <v>730.59</v>
      </c>
      <c r="I32" s="85">
        <f t="shared" si="8"/>
        <v>9.0089967889749878E-2</v>
      </c>
      <c r="K32" s="30"/>
      <c r="L32" s="31"/>
      <c r="M32" s="32"/>
    </row>
    <row r="33" spans="1:13" ht="15" customHeight="1">
      <c r="A33" s="37" t="s">
        <v>63</v>
      </c>
      <c r="B33" s="89">
        <v>1107</v>
      </c>
      <c r="C33" s="90">
        <v>232</v>
      </c>
      <c r="D33" s="91">
        <f t="shared" si="7"/>
        <v>0.20957542908762422</v>
      </c>
      <c r="E33" s="9">
        <f t="shared" si="9"/>
        <v>7.2559710930442636</v>
      </c>
      <c r="F33" s="9">
        <f t="shared" si="10"/>
        <v>2.8717241379310345</v>
      </c>
      <c r="G33" s="98">
        <v>8032.36</v>
      </c>
      <c r="H33" s="84">
        <v>666.24</v>
      </c>
      <c r="I33" s="85">
        <f t="shared" si="8"/>
        <v>8.294448953981147E-2</v>
      </c>
      <c r="K33" s="30"/>
      <c r="L33" s="31"/>
      <c r="M33" s="32"/>
    </row>
    <row r="34" spans="1:13" ht="15" customHeight="1">
      <c r="A34" s="37" t="s">
        <v>64</v>
      </c>
      <c r="B34" s="89">
        <v>1046</v>
      </c>
      <c r="C34" s="90">
        <v>252</v>
      </c>
      <c r="D34" s="91">
        <f t="shared" si="7"/>
        <v>0.24091778202676864</v>
      </c>
      <c r="E34" s="9">
        <f t="shared" si="9"/>
        <v>7.2906118546845118</v>
      </c>
      <c r="F34" s="9">
        <f t="shared" si="10"/>
        <v>3.29531746031746</v>
      </c>
      <c r="G34" s="98">
        <v>7625.98</v>
      </c>
      <c r="H34" s="84">
        <v>830.42</v>
      </c>
      <c r="I34" s="85">
        <f t="shared" si="8"/>
        <v>0.10889354548530156</v>
      </c>
      <c r="K34" s="30"/>
      <c r="L34" s="31"/>
      <c r="M34" s="32"/>
    </row>
    <row r="35" spans="1:13" ht="15" customHeight="1">
      <c r="A35" s="37" t="s">
        <v>65</v>
      </c>
      <c r="B35" s="89">
        <v>965</v>
      </c>
      <c r="C35" s="90">
        <v>172</v>
      </c>
      <c r="D35" s="91">
        <f t="shared" si="7"/>
        <v>0.17823834196891192</v>
      </c>
      <c r="E35" s="9">
        <f t="shared" si="9"/>
        <v>6.4218756476683936</v>
      </c>
      <c r="F35" s="9">
        <f t="shared" si="10"/>
        <v>2.9531395348837211</v>
      </c>
      <c r="G35" s="98">
        <v>6197.11</v>
      </c>
      <c r="H35" s="84">
        <v>507.94</v>
      </c>
      <c r="I35" s="85">
        <f t="shared" si="8"/>
        <v>8.1964012257326399E-2</v>
      </c>
      <c r="K35" s="30"/>
      <c r="L35" s="31"/>
      <c r="M35" s="32"/>
    </row>
    <row r="36" spans="1:13" ht="15" customHeight="1">
      <c r="A36" s="37" t="s">
        <v>66</v>
      </c>
      <c r="B36" s="92">
        <v>681</v>
      </c>
      <c r="C36" s="90">
        <v>96</v>
      </c>
      <c r="D36" s="91">
        <f t="shared" si="7"/>
        <v>0.14096916299559473</v>
      </c>
      <c r="E36" s="9">
        <f t="shared" si="9"/>
        <v>5.6392804698972094</v>
      </c>
      <c r="F36" s="9">
        <f t="shared" si="10"/>
        <v>2.3259374999999998</v>
      </c>
      <c r="G36" s="98">
        <v>3840.35</v>
      </c>
      <c r="H36" s="84">
        <v>223.29</v>
      </c>
      <c r="I36" s="85">
        <f t="shared" si="8"/>
        <v>5.8143137995234809E-2</v>
      </c>
      <c r="K36" s="30"/>
      <c r="L36" s="31"/>
      <c r="M36" s="32"/>
    </row>
    <row r="37" spans="1:13" ht="15" customHeight="1">
      <c r="A37" s="37" t="s">
        <v>67</v>
      </c>
      <c r="B37" s="93">
        <v>762</v>
      </c>
      <c r="C37" s="90">
        <v>99</v>
      </c>
      <c r="D37" s="91">
        <f t="shared" si="7"/>
        <v>0.12992125984251968</v>
      </c>
      <c r="E37" s="9">
        <f t="shared" si="9"/>
        <v>6.6931627296587921</v>
      </c>
      <c r="F37" s="9">
        <f t="shared" si="10"/>
        <v>3.6232323232323229</v>
      </c>
      <c r="G37" s="98">
        <v>5100.1899999999996</v>
      </c>
      <c r="H37" s="84">
        <v>358.7</v>
      </c>
      <c r="I37" s="85">
        <f t="shared" si="8"/>
        <v>7.0330713169509368E-2</v>
      </c>
      <c r="K37" s="30"/>
      <c r="L37" s="31"/>
      <c r="M37" s="32"/>
    </row>
    <row r="38" spans="1:13" ht="15" customHeight="1">
      <c r="A38" s="37" t="s">
        <v>68</v>
      </c>
      <c r="B38" s="93">
        <v>763</v>
      </c>
      <c r="C38" s="90">
        <v>81</v>
      </c>
      <c r="D38" s="91">
        <f t="shared" si="7"/>
        <v>0.10615989515072084</v>
      </c>
      <c r="E38" s="9">
        <f t="shared" si="9"/>
        <v>7.0831716906946269</v>
      </c>
      <c r="F38" s="9">
        <f t="shared" si="10"/>
        <v>3.6487654320987657</v>
      </c>
      <c r="G38" s="98">
        <v>5404.46</v>
      </c>
      <c r="H38" s="84">
        <v>295.55</v>
      </c>
      <c r="I38" s="85">
        <f t="shared" si="8"/>
        <v>5.4686314636429915E-2</v>
      </c>
      <c r="K38" s="30"/>
      <c r="L38" s="31"/>
      <c r="M38" s="32"/>
    </row>
    <row r="39" spans="1:13" ht="15" customHeight="1">
      <c r="A39" s="37" t="s">
        <v>69</v>
      </c>
      <c r="B39" s="94">
        <v>940</v>
      </c>
      <c r="C39" s="90">
        <v>122</v>
      </c>
      <c r="D39" s="91">
        <f t="shared" si="7"/>
        <v>0.12978723404255318</v>
      </c>
      <c r="E39" s="9">
        <f t="shared" si="9"/>
        <v>6.283627659574468</v>
      </c>
      <c r="F39" s="9">
        <f t="shared" si="10"/>
        <v>3.791393442622951</v>
      </c>
      <c r="G39" s="98">
        <v>5906.61</v>
      </c>
      <c r="H39" s="84">
        <v>462.55</v>
      </c>
      <c r="I39" s="85">
        <f t="shared" si="8"/>
        <v>7.8310570699606036E-2</v>
      </c>
      <c r="K39" s="30"/>
      <c r="L39" s="31"/>
      <c r="M39" s="32"/>
    </row>
    <row r="40" spans="1:13" ht="15" customHeight="1">
      <c r="A40" s="37" t="s">
        <v>70</v>
      </c>
      <c r="B40" s="95">
        <v>818</v>
      </c>
      <c r="C40" s="90">
        <v>101</v>
      </c>
      <c r="D40" s="91">
        <f t="shared" si="7"/>
        <v>0.1234718826405868</v>
      </c>
      <c r="E40" s="9">
        <f t="shared" si="9"/>
        <v>6.1775183374083129</v>
      </c>
      <c r="F40" s="9">
        <f t="shared" si="10"/>
        <v>3.6778217821782175</v>
      </c>
      <c r="G40" s="98">
        <v>5053.21</v>
      </c>
      <c r="H40" s="84">
        <v>371.46</v>
      </c>
      <c r="I40" s="85">
        <f t="shared" si="8"/>
        <v>7.3509709669695097E-2</v>
      </c>
      <c r="K40" s="30"/>
      <c r="L40" s="31"/>
      <c r="M40" s="32"/>
    </row>
    <row r="41" spans="1:13" ht="15" customHeight="1">
      <c r="A41" s="37" t="s">
        <v>71</v>
      </c>
      <c r="B41" s="96">
        <v>1021</v>
      </c>
      <c r="C41" s="90">
        <v>125</v>
      </c>
      <c r="D41" s="91">
        <f t="shared" si="7"/>
        <v>0.12242899118511263</v>
      </c>
      <c r="E41" s="9">
        <f t="shared" si="9"/>
        <v>6.9748090107737513</v>
      </c>
      <c r="F41" s="9">
        <f t="shared" si="10"/>
        <v>5.3205600000000004</v>
      </c>
      <c r="G41" s="98">
        <v>7121.28</v>
      </c>
      <c r="H41" s="84">
        <v>665.07</v>
      </c>
      <c r="I41" s="85">
        <f t="shared" si="8"/>
        <v>9.3391918306821253E-2</v>
      </c>
      <c r="K41" s="30"/>
      <c r="L41" s="31"/>
      <c r="M41" s="32"/>
    </row>
    <row r="42" spans="1:13" ht="15" customHeight="1">
      <c r="A42" s="37" t="s">
        <v>72</v>
      </c>
      <c r="B42" s="95">
        <v>885</v>
      </c>
      <c r="C42" s="90">
        <v>113</v>
      </c>
      <c r="D42" s="91">
        <f t="shared" si="7"/>
        <v>0.12768361581920903</v>
      </c>
      <c r="E42" s="9">
        <f t="shared" si="9"/>
        <v>6.1507909604519773</v>
      </c>
      <c r="F42" s="9">
        <f t="shared" si="10"/>
        <v>3.9050442477876106</v>
      </c>
      <c r="G42" s="98">
        <v>5443.45</v>
      </c>
      <c r="H42" s="84">
        <v>441.27</v>
      </c>
      <c r="I42" s="85">
        <f t="shared" si="8"/>
        <v>8.1064398497276549E-2</v>
      </c>
      <c r="K42" s="30"/>
      <c r="L42" s="31"/>
      <c r="M42" s="32"/>
    </row>
    <row r="43" spans="1:13" ht="15" customHeight="1">
      <c r="A43" s="37" t="s">
        <v>73</v>
      </c>
      <c r="B43" s="96">
        <v>909</v>
      </c>
      <c r="C43" s="90">
        <v>134</v>
      </c>
      <c r="D43" s="91">
        <f t="shared" si="7"/>
        <v>0.1474147414741474</v>
      </c>
      <c r="E43" s="9">
        <f t="shared" si="9"/>
        <v>6.2378217821782185</v>
      </c>
      <c r="F43" s="9">
        <f t="shared" si="10"/>
        <v>3.2623880597014927</v>
      </c>
      <c r="G43" s="99">
        <v>5670.18</v>
      </c>
      <c r="H43" s="84">
        <v>437.16</v>
      </c>
      <c r="I43" s="85">
        <f t="shared" si="8"/>
        <v>7.70980815423849E-2</v>
      </c>
      <c r="K43" s="30"/>
      <c r="L43" s="31"/>
      <c r="M43" s="32"/>
    </row>
    <row r="44" spans="1:13" s="17" customFormat="1" ht="15" customHeight="1">
      <c r="A44" s="37" t="s">
        <v>74</v>
      </c>
      <c r="B44" s="93">
        <v>904</v>
      </c>
      <c r="C44" s="90">
        <v>119</v>
      </c>
      <c r="D44" s="91">
        <f t="shared" si="7"/>
        <v>0.13163716814159293</v>
      </c>
      <c r="E44" s="9">
        <f t="shared" si="9"/>
        <v>7.2367588495575221</v>
      </c>
      <c r="F44" s="9">
        <f t="shared" si="10"/>
        <v>3.8735294117647059</v>
      </c>
      <c r="G44" s="99">
        <v>6542.03</v>
      </c>
      <c r="H44" s="84">
        <v>460.95</v>
      </c>
      <c r="I44" s="85">
        <f t="shared" si="8"/>
        <v>7.0459780832555038E-2</v>
      </c>
      <c r="K44" s="27"/>
      <c r="L44" s="32"/>
      <c r="M44" s="32"/>
    </row>
    <row r="45" spans="1:13" ht="15" customHeight="1">
      <c r="A45" s="37" t="s">
        <v>75</v>
      </c>
      <c r="B45" s="93">
        <v>1081</v>
      </c>
      <c r="C45" s="90">
        <v>162</v>
      </c>
      <c r="D45" s="91">
        <f t="shared" si="7"/>
        <v>0.14986123959296949</v>
      </c>
      <c r="E45" s="9">
        <f t="shared" ref="E45:E52" si="11">G45/B45</f>
        <v>7.579111933395005</v>
      </c>
      <c r="F45" s="9">
        <f t="shared" ref="F45:F52" si="12">H45/C45</f>
        <v>4.5813580246913581</v>
      </c>
      <c r="G45" s="99">
        <v>8193.02</v>
      </c>
      <c r="H45" s="84">
        <v>742.18</v>
      </c>
      <c r="I45" s="85">
        <f t="shared" si="8"/>
        <v>9.0586865404942249E-2</v>
      </c>
      <c r="K45" s="30"/>
      <c r="L45" s="31"/>
      <c r="M45" s="32"/>
    </row>
    <row r="46" spans="1:13" ht="15" customHeight="1">
      <c r="A46" s="37" t="s">
        <v>76</v>
      </c>
      <c r="B46" s="93">
        <v>1014</v>
      </c>
      <c r="C46" s="90">
        <v>154</v>
      </c>
      <c r="D46" s="91">
        <f t="shared" si="7"/>
        <v>0.15187376725838264</v>
      </c>
      <c r="E46" s="9">
        <f t="shared" si="11"/>
        <v>7.4199309664694288</v>
      </c>
      <c r="F46" s="9">
        <f t="shared" si="12"/>
        <v>3.5959740259740256</v>
      </c>
      <c r="G46" s="100">
        <v>7523.81</v>
      </c>
      <c r="H46" s="100">
        <v>553.78</v>
      </c>
      <c r="I46" s="85">
        <f t="shared" si="8"/>
        <v>7.3603666227616049E-2</v>
      </c>
    </row>
    <row r="47" spans="1:13">
      <c r="A47" s="2" t="s">
        <v>78</v>
      </c>
      <c r="B47" s="93">
        <v>987</v>
      </c>
      <c r="C47" s="90">
        <v>140</v>
      </c>
      <c r="D47" s="91">
        <f t="shared" si="7"/>
        <v>0.14184397163120568</v>
      </c>
      <c r="E47" s="9">
        <f t="shared" si="11"/>
        <v>7.5054407294832828</v>
      </c>
      <c r="F47" s="9">
        <f t="shared" si="12"/>
        <v>3.8053571428571429</v>
      </c>
      <c r="G47" s="101">
        <v>7407.87</v>
      </c>
      <c r="H47" s="98">
        <v>532.75</v>
      </c>
      <c r="I47" s="85">
        <f t="shared" si="8"/>
        <v>7.1916758798413041E-2</v>
      </c>
    </row>
    <row r="48" spans="1:13">
      <c r="A48" s="2" t="s">
        <v>79</v>
      </c>
      <c r="B48" s="93">
        <v>871</v>
      </c>
      <c r="C48" s="90">
        <v>145</v>
      </c>
      <c r="D48" s="91">
        <f t="shared" si="7"/>
        <v>0.16647531572904709</v>
      </c>
      <c r="E48" s="9">
        <f t="shared" si="11"/>
        <v>7.1976234213547645</v>
      </c>
      <c r="F48" s="9">
        <f t="shared" si="12"/>
        <v>3.546551724137931</v>
      </c>
      <c r="G48" s="101">
        <v>6269.13</v>
      </c>
      <c r="H48" s="98">
        <v>514.25</v>
      </c>
      <c r="I48" s="85">
        <f t="shared" si="8"/>
        <v>8.2028925863716337E-2</v>
      </c>
    </row>
    <row r="49" spans="1:20">
      <c r="A49" s="2" t="s">
        <v>90</v>
      </c>
      <c r="B49" s="93">
        <v>971</v>
      </c>
      <c r="C49" s="90">
        <v>153</v>
      </c>
      <c r="D49" s="91">
        <f t="shared" si="7"/>
        <v>0.15756951596292482</v>
      </c>
      <c r="E49" s="9">
        <f t="shared" si="11"/>
        <v>7.5742533470648823</v>
      </c>
      <c r="F49" s="9">
        <f t="shared" si="12"/>
        <v>3.7404575163398692</v>
      </c>
      <c r="G49" s="101">
        <v>7354.6</v>
      </c>
      <c r="H49" s="98">
        <v>572.29</v>
      </c>
      <c r="I49" s="85">
        <f t="shared" si="8"/>
        <v>7.7813885187501694E-2</v>
      </c>
    </row>
    <row r="50" spans="1:20">
      <c r="A50" s="36" t="s">
        <v>91</v>
      </c>
      <c r="B50" s="93">
        <v>932</v>
      </c>
      <c r="C50" s="90">
        <v>140</v>
      </c>
      <c r="D50" s="91">
        <f t="shared" si="7"/>
        <v>0.15021459227467812</v>
      </c>
      <c r="E50" s="9">
        <f t="shared" si="11"/>
        <v>7.1153969957081546</v>
      </c>
      <c r="F50" s="9">
        <f t="shared" si="12"/>
        <v>4.901642857142857</v>
      </c>
      <c r="G50" s="101">
        <v>6631.55</v>
      </c>
      <c r="H50" s="98">
        <v>686.23</v>
      </c>
      <c r="I50" s="85">
        <f t="shared" si="8"/>
        <v>0.1034795786807006</v>
      </c>
    </row>
    <row r="51" spans="1:20">
      <c r="A51" s="36" t="s">
        <v>99</v>
      </c>
      <c r="B51" s="93">
        <v>1024</v>
      </c>
      <c r="C51" s="90">
        <v>149</v>
      </c>
      <c r="D51" s="91">
        <f t="shared" si="7"/>
        <v>0.1455078125</v>
      </c>
      <c r="E51" s="9">
        <f t="shared" si="11"/>
        <v>6.5596386718749997</v>
      </c>
      <c r="F51" s="9">
        <f t="shared" si="12"/>
        <v>3.3163758389261746</v>
      </c>
      <c r="G51" s="101">
        <v>6717.07</v>
      </c>
      <c r="H51" s="98">
        <v>494.14</v>
      </c>
      <c r="I51" s="85">
        <f t="shared" si="8"/>
        <v>7.356481322957778E-2</v>
      </c>
    </row>
    <row r="52" spans="1:20">
      <c r="A52" s="36" t="s">
        <v>108</v>
      </c>
      <c r="B52" s="93">
        <v>899</v>
      </c>
      <c r="C52" s="90">
        <v>158</v>
      </c>
      <c r="D52" s="91">
        <f t="shared" si="7"/>
        <v>0.1757508342602892</v>
      </c>
      <c r="E52" s="9">
        <f t="shared" si="11"/>
        <v>6.6493770856507233</v>
      </c>
      <c r="F52" s="9">
        <f t="shared" si="12"/>
        <v>2.9942405063291138</v>
      </c>
      <c r="G52" s="101">
        <v>5977.79</v>
      </c>
      <c r="H52" s="98">
        <v>473.09</v>
      </c>
      <c r="I52" s="85">
        <f t="shared" si="8"/>
        <v>7.9141288001084012E-2</v>
      </c>
    </row>
    <row r="53" spans="1:20">
      <c r="A53" s="36" t="s">
        <v>109</v>
      </c>
      <c r="B53" s="93">
        <v>914</v>
      </c>
      <c r="C53" s="90">
        <v>145</v>
      </c>
      <c r="D53" s="91">
        <f t="shared" si="7"/>
        <v>0.1586433260393873</v>
      </c>
      <c r="E53" s="9">
        <f t="shared" ref="E53" si="13">G53/B53</f>
        <v>7.3598796498905914</v>
      </c>
      <c r="F53" s="9">
        <f t="shared" ref="F53" si="14">H53/C53</f>
        <v>6.2706206896551722</v>
      </c>
      <c r="G53" s="101">
        <v>6726.93</v>
      </c>
      <c r="H53" s="98">
        <v>909.24</v>
      </c>
      <c r="I53" s="85">
        <f t="shared" si="8"/>
        <v>0.1351641833644768</v>
      </c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</row>
    <row r="54" spans="1:20">
      <c r="A54" s="2"/>
      <c r="B54" s="2"/>
    </row>
    <row r="55" spans="1:20">
      <c r="A55" s="5" t="s">
        <v>9</v>
      </c>
      <c r="B55" s="1"/>
    </row>
    <row r="57" spans="1:20">
      <c r="D57" s="136"/>
    </row>
  </sheetData>
  <phoneticPr fontId="0" type="noConversion"/>
  <pageMargins left="0.75" right="0.75" top="1" bottom="1" header="0.5" footer="0.5"/>
  <pageSetup fitToHeight="7" orientation="landscape" r:id="rId1"/>
  <headerFooter alignWithMargins="0"/>
  <ignoredErrors>
    <ignoredError sqref="I3:I20 D3:D20 I28:I41 D28:D3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4"/>
  <sheetViews>
    <sheetView zoomScale="85" zoomScaleNormal="85" workbookViewId="0">
      <selection activeCell="H11" sqref="H11"/>
    </sheetView>
  </sheetViews>
  <sheetFormatPr defaultRowHeight="13.2"/>
  <cols>
    <col min="1" max="1" width="29.6640625" customWidth="1"/>
    <col min="2" max="7" width="12.5546875" customWidth="1"/>
    <col min="8" max="10" width="12.33203125" customWidth="1"/>
  </cols>
  <sheetData>
    <row r="1" spans="1:10">
      <c r="A1" s="38" t="s">
        <v>106</v>
      </c>
    </row>
    <row r="2" spans="1:10">
      <c r="A2" s="122" t="s">
        <v>102</v>
      </c>
    </row>
    <row r="3" spans="1:10" ht="79.2">
      <c r="A3" s="13" t="s">
        <v>24</v>
      </c>
      <c r="B3" s="14" t="s">
        <v>25</v>
      </c>
      <c r="C3" s="14" t="s">
        <v>26</v>
      </c>
      <c r="D3" s="14" t="s">
        <v>46</v>
      </c>
      <c r="E3" s="68" t="s">
        <v>27</v>
      </c>
      <c r="F3" s="68" t="s">
        <v>28</v>
      </c>
      <c r="G3" s="68" t="s">
        <v>29</v>
      </c>
      <c r="H3" s="65" t="s">
        <v>77</v>
      </c>
      <c r="I3" s="106" t="s">
        <v>80</v>
      </c>
      <c r="J3" s="69" t="s">
        <v>81</v>
      </c>
    </row>
    <row r="4" spans="1:10">
      <c r="A4" s="62" t="s">
        <v>30</v>
      </c>
      <c r="B4" s="63">
        <v>681</v>
      </c>
      <c r="C4" s="28">
        <f>D4/B4</f>
        <v>9.3989280469897203</v>
      </c>
      <c r="D4" s="40">
        <v>6400.67</v>
      </c>
      <c r="E4" s="102">
        <v>131</v>
      </c>
      <c r="F4" s="103">
        <f>G4/E4</f>
        <v>4.9232824427480919</v>
      </c>
      <c r="G4" s="104">
        <v>644.95000000000005</v>
      </c>
      <c r="H4" s="66">
        <f>G4/G21</f>
        <v>0.17673591415175252</v>
      </c>
      <c r="I4" s="107">
        <f>E4/B4</f>
        <v>0.19236417033773862</v>
      </c>
      <c r="J4" s="70">
        <f>G4/D4</f>
        <v>0.10076288888506985</v>
      </c>
    </row>
    <row r="5" spans="1:10">
      <c r="A5" s="62" t="s">
        <v>31</v>
      </c>
      <c r="B5" s="63">
        <v>54</v>
      </c>
      <c r="C5" s="28">
        <f t="shared" ref="C5:C21" si="0">D5/B5</f>
        <v>2.6951851851851849</v>
      </c>
      <c r="D5" s="40">
        <v>145.54</v>
      </c>
      <c r="E5" s="102">
        <v>2</v>
      </c>
      <c r="F5" s="103">
        <v>0</v>
      </c>
      <c r="G5" s="104">
        <v>3.8</v>
      </c>
      <c r="H5" s="66">
        <f t="shared" ref="H5:H21" si="1">G5/$G$21</f>
        <v>1.0413155652014257E-3</v>
      </c>
      <c r="I5" s="107">
        <f t="shared" ref="I5:I20" si="2">E5/B5</f>
        <v>3.7037037037037035E-2</v>
      </c>
      <c r="J5" s="70">
        <f t="shared" ref="J5:J21" si="3">G5/D5</f>
        <v>2.6109660574412531E-2</v>
      </c>
    </row>
    <row r="6" spans="1:10">
      <c r="A6" s="62" t="s">
        <v>32</v>
      </c>
      <c r="B6" s="63">
        <v>68</v>
      </c>
      <c r="C6" s="28">
        <f t="shared" si="0"/>
        <v>9.0345588235294123</v>
      </c>
      <c r="D6" s="40">
        <v>614.35</v>
      </c>
      <c r="E6" s="102">
        <v>12</v>
      </c>
      <c r="F6" s="103">
        <f t="shared" ref="F6:F20" si="4">G6/E6</f>
        <v>5.8583333333333334</v>
      </c>
      <c r="G6" s="104">
        <v>70.3</v>
      </c>
      <c r="H6" s="66">
        <f t="shared" si="1"/>
        <v>1.9264337956226375E-2</v>
      </c>
      <c r="I6" s="107">
        <f t="shared" si="2"/>
        <v>0.17647058823529413</v>
      </c>
      <c r="J6" s="70">
        <f t="shared" si="3"/>
        <v>0.11442988524456742</v>
      </c>
    </row>
    <row r="7" spans="1:10">
      <c r="A7" s="62" t="s">
        <v>33</v>
      </c>
      <c r="B7" s="63">
        <v>273</v>
      </c>
      <c r="C7" s="28">
        <f t="shared" si="0"/>
        <v>6.9986446886446894</v>
      </c>
      <c r="D7" s="40">
        <v>1910.63</v>
      </c>
      <c r="E7" s="102">
        <v>26</v>
      </c>
      <c r="F7" s="103">
        <f t="shared" si="4"/>
        <v>3.4953846153846153</v>
      </c>
      <c r="G7" s="104">
        <v>90.88</v>
      </c>
      <c r="H7" s="66">
        <f t="shared" si="1"/>
        <v>2.490388383302778E-2</v>
      </c>
      <c r="I7" s="107">
        <f t="shared" si="2"/>
        <v>9.5238095238095233E-2</v>
      </c>
      <c r="J7" s="70">
        <f t="shared" si="3"/>
        <v>4.7565462700784551E-2</v>
      </c>
    </row>
    <row r="8" spans="1:10">
      <c r="A8" s="62" t="s">
        <v>34</v>
      </c>
      <c r="B8" s="63">
        <v>68</v>
      </c>
      <c r="C8" s="28">
        <f t="shared" si="0"/>
        <v>5.9338235294117645</v>
      </c>
      <c r="D8" s="40">
        <v>403.5</v>
      </c>
      <c r="E8" s="102">
        <v>10</v>
      </c>
      <c r="F8" s="103">
        <f t="shared" si="4"/>
        <v>3.3920000000000003</v>
      </c>
      <c r="G8" s="104">
        <v>33.92</v>
      </c>
      <c r="H8" s="66">
        <f t="shared" si="1"/>
        <v>9.2951115714822018E-3</v>
      </c>
      <c r="I8" s="107">
        <f t="shared" si="2"/>
        <v>0.14705882352941177</v>
      </c>
      <c r="J8" s="70">
        <f t="shared" si="3"/>
        <v>8.4064436183395291E-2</v>
      </c>
    </row>
    <row r="9" spans="1:10">
      <c r="A9" s="62" t="s">
        <v>35</v>
      </c>
      <c r="B9" s="63">
        <v>76</v>
      </c>
      <c r="C9" s="28">
        <f t="shared" si="0"/>
        <v>6.0664473684210529</v>
      </c>
      <c r="D9" s="40">
        <v>461.05</v>
      </c>
      <c r="E9" s="102">
        <v>8</v>
      </c>
      <c r="F9" s="103">
        <f t="shared" si="4"/>
        <v>4.0049999999999999</v>
      </c>
      <c r="G9" s="104">
        <v>32.04</v>
      </c>
      <c r="H9" s="66">
        <f t="shared" si="1"/>
        <v>8.7799343971193891E-3</v>
      </c>
      <c r="I9" s="107">
        <f t="shared" si="2"/>
        <v>0.10526315789473684</v>
      </c>
      <c r="J9" s="70">
        <f t="shared" si="3"/>
        <v>6.9493547337598952E-2</v>
      </c>
    </row>
    <row r="10" spans="1:10">
      <c r="A10" s="62" t="s">
        <v>36</v>
      </c>
      <c r="B10" s="63">
        <v>58</v>
      </c>
      <c r="C10" s="28">
        <f t="shared" si="0"/>
        <v>5.9436206896551731</v>
      </c>
      <c r="D10" s="40">
        <v>344.73</v>
      </c>
      <c r="E10" s="102">
        <v>10</v>
      </c>
      <c r="F10" s="103">
        <f t="shared" si="4"/>
        <v>4.4850000000000003</v>
      </c>
      <c r="G10" s="104">
        <v>44.85</v>
      </c>
      <c r="H10" s="66">
        <f t="shared" si="1"/>
        <v>1.2290263973495776E-2</v>
      </c>
      <c r="I10" s="107">
        <f t="shared" si="2"/>
        <v>0.17241379310344829</v>
      </c>
      <c r="J10" s="70">
        <f t="shared" si="3"/>
        <v>0.13010181881472457</v>
      </c>
    </row>
    <row r="11" spans="1:10">
      <c r="A11" s="62" t="s">
        <v>37</v>
      </c>
      <c r="B11" s="63">
        <v>361</v>
      </c>
      <c r="C11" s="28">
        <f t="shared" si="0"/>
        <v>9.452659279778393</v>
      </c>
      <c r="D11" s="40">
        <v>3412.41</v>
      </c>
      <c r="E11" s="102">
        <v>64</v>
      </c>
      <c r="F11" s="103">
        <f t="shared" si="4"/>
        <v>6.5942187499999996</v>
      </c>
      <c r="G11" s="104">
        <v>422.03</v>
      </c>
      <c r="H11" s="66">
        <f t="shared" si="1"/>
        <v>0.11564905473209414</v>
      </c>
      <c r="I11" s="107">
        <f t="shared" si="2"/>
        <v>0.17728531855955679</v>
      </c>
      <c r="J11" s="70">
        <f t="shared" si="3"/>
        <v>0.12367505663153021</v>
      </c>
    </row>
    <row r="12" spans="1:10">
      <c r="A12" s="62" t="s">
        <v>38</v>
      </c>
      <c r="B12" s="63">
        <v>466</v>
      </c>
      <c r="C12" s="28">
        <f t="shared" si="0"/>
        <v>6.0913519313304727</v>
      </c>
      <c r="D12" s="40">
        <v>2838.57</v>
      </c>
      <c r="E12" s="102">
        <v>66</v>
      </c>
      <c r="F12" s="103">
        <f t="shared" si="4"/>
        <v>4.5425757575757579</v>
      </c>
      <c r="G12" s="104">
        <v>299.81</v>
      </c>
      <c r="H12" s="66">
        <f t="shared" si="1"/>
        <v>8.2157057790273547E-2</v>
      </c>
      <c r="I12" s="107">
        <f t="shared" si="2"/>
        <v>0.14163090128755365</v>
      </c>
      <c r="J12" s="70">
        <f t="shared" si="3"/>
        <v>0.10562008335182856</v>
      </c>
    </row>
    <row r="13" spans="1:10">
      <c r="A13" s="62" t="s">
        <v>39</v>
      </c>
      <c r="B13" s="63">
        <v>598</v>
      </c>
      <c r="C13" s="28">
        <f t="shared" si="0"/>
        <v>5.2458862876254182</v>
      </c>
      <c r="D13" s="40">
        <v>3137.04</v>
      </c>
      <c r="E13" s="102">
        <v>94</v>
      </c>
      <c r="F13" s="103">
        <f t="shared" si="4"/>
        <v>2.5292553191489362</v>
      </c>
      <c r="G13" s="104">
        <v>237.75</v>
      </c>
      <c r="H13" s="66">
        <f t="shared" si="1"/>
        <v>6.5150730428062895E-2</v>
      </c>
      <c r="I13" s="107">
        <f t="shared" si="2"/>
        <v>0.15719063545150502</v>
      </c>
      <c r="J13" s="70">
        <f t="shared" si="3"/>
        <v>7.5788003978272511E-2</v>
      </c>
    </row>
    <row r="14" spans="1:10">
      <c r="A14" s="62" t="s">
        <v>40</v>
      </c>
      <c r="B14" s="63">
        <v>461</v>
      </c>
      <c r="C14" s="28">
        <f t="shared" si="0"/>
        <v>7.8173752711496745</v>
      </c>
      <c r="D14" s="40">
        <v>3603.81</v>
      </c>
      <c r="E14" s="102">
        <v>64</v>
      </c>
      <c r="F14" s="103">
        <f t="shared" si="4"/>
        <v>5.3239062500000003</v>
      </c>
      <c r="G14" s="104">
        <v>340.73</v>
      </c>
      <c r="H14" s="66">
        <f t="shared" si="1"/>
        <v>9.3370382245021533E-2</v>
      </c>
      <c r="I14" s="107">
        <f t="shared" si="2"/>
        <v>0.13882863340563992</v>
      </c>
      <c r="J14" s="70">
        <f t="shared" si="3"/>
        <v>9.454715981142181E-2</v>
      </c>
    </row>
    <row r="15" spans="1:10">
      <c r="A15" s="62" t="s">
        <v>41</v>
      </c>
      <c r="B15" s="63">
        <v>53</v>
      </c>
      <c r="C15" s="28">
        <f t="shared" si="0"/>
        <v>16.151509433962264</v>
      </c>
      <c r="D15" s="40">
        <v>856.03</v>
      </c>
      <c r="E15" s="102">
        <v>11</v>
      </c>
      <c r="F15" s="103">
        <f t="shared" si="4"/>
        <v>2.5500000000000003</v>
      </c>
      <c r="G15" s="104">
        <v>28.05</v>
      </c>
      <c r="H15" s="66">
        <f t="shared" si="1"/>
        <v>7.6865530536578928E-3</v>
      </c>
      <c r="I15" s="107">
        <f t="shared" si="2"/>
        <v>0.20754716981132076</v>
      </c>
      <c r="J15" s="70">
        <f t="shared" si="3"/>
        <v>3.2767543193579669E-2</v>
      </c>
    </row>
    <row r="16" spans="1:10">
      <c r="A16" s="62" t="s">
        <v>92</v>
      </c>
      <c r="B16" s="63">
        <v>29</v>
      </c>
      <c r="C16" s="28">
        <v>0</v>
      </c>
      <c r="D16" s="40">
        <v>43.88</v>
      </c>
      <c r="E16" s="102">
        <v>2</v>
      </c>
      <c r="F16" s="103">
        <f t="shared" si="4"/>
        <v>2.8149999999999999</v>
      </c>
      <c r="G16" s="104">
        <v>5.63</v>
      </c>
      <c r="H16" s="66">
        <v>0</v>
      </c>
      <c r="I16" s="107">
        <f t="shared" si="2"/>
        <v>6.8965517241379309E-2</v>
      </c>
      <c r="J16" s="70">
        <v>0</v>
      </c>
    </row>
    <row r="17" spans="1:10">
      <c r="A17" s="62" t="s">
        <v>42</v>
      </c>
      <c r="B17" s="63">
        <v>83</v>
      </c>
      <c r="C17" s="28">
        <f t="shared" si="0"/>
        <v>8.6881927710843367</v>
      </c>
      <c r="D17" s="40">
        <v>721.12</v>
      </c>
      <c r="E17" s="102">
        <v>13</v>
      </c>
      <c r="F17" s="103">
        <f t="shared" si="4"/>
        <v>11.273076923076925</v>
      </c>
      <c r="G17" s="104">
        <v>146.55000000000001</v>
      </c>
      <c r="H17" s="66">
        <f t="shared" si="1"/>
        <v>4.0159156863228677E-2</v>
      </c>
      <c r="I17" s="107">
        <f t="shared" si="2"/>
        <v>0.15662650602409639</v>
      </c>
      <c r="J17" s="70">
        <f t="shared" si="3"/>
        <v>0.20322553805191926</v>
      </c>
    </row>
    <row r="18" spans="1:10">
      <c r="A18" s="62" t="s">
        <v>43</v>
      </c>
      <c r="B18" s="63">
        <v>154</v>
      </c>
      <c r="C18" s="28">
        <f t="shared" si="0"/>
        <v>7.5666883116883117</v>
      </c>
      <c r="D18" s="40">
        <v>1165.27</v>
      </c>
      <c r="E18" s="102">
        <v>27</v>
      </c>
      <c r="F18" s="103">
        <f t="shared" si="4"/>
        <v>5.094444444444445</v>
      </c>
      <c r="G18" s="104">
        <v>137.55000000000001</v>
      </c>
      <c r="H18" s="66">
        <f t="shared" si="1"/>
        <v>3.7692883156172668E-2</v>
      </c>
      <c r="I18" s="107">
        <f t="shared" si="2"/>
        <v>0.17532467532467533</v>
      </c>
      <c r="J18" s="70">
        <f t="shared" si="3"/>
        <v>0.11804131231388434</v>
      </c>
    </row>
    <row r="19" spans="1:10">
      <c r="A19" s="62" t="s">
        <v>44</v>
      </c>
      <c r="B19" s="63">
        <v>2005</v>
      </c>
      <c r="C19" s="28">
        <f t="shared" si="0"/>
        <v>6.3680847880299254</v>
      </c>
      <c r="D19" s="40">
        <v>12768.01</v>
      </c>
      <c r="E19" s="102">
        <v>323</v>
      </c>
      <c r="F19" s="103">
        <f t="shared" si="4"/>
        <v>3.1346439628482972</v>
      </c>
      <c r="G19" s="104">
        <v>1012.49</v>
      </c>
      <c r="H19" s="66">
        <f t="shared" si="1"/>
        <v>0.27745305173968199</v>
      </c>
      <c r="I19" s="107">
        <f t="shared" si="2"/>
        <v>0.16109725685785536</v>
      </c>
      <c r="J19" s="70">
        <f t="shared" si="3"/>
        <v>7.9298966714468427E-2</v>
      </c>
    </row>
    <row r="20" spans="1:10">
      <c r="A20" s="62" t="s">
        <v>45</v>
      </c>
      <c r="B20" s="109">
        <v>123</v>
      </c>
      <c r="C20" s="41">
        <f t="shared" si="0"/>
        <v>6.9143089430894316</v>
      </c>
      <c r="D20" s="42">
        <v>850.46</v>
      </c>
      <c r="E20" s="110">
        <v>27</v>
      </c>
      <c r="F20" s="103">
        <f t="shared" si="4"/>
        <v>3.6259259259259262</v>
      </c>
      <c r="G20" s="105">
        <v>97.9</v>
      </c>
      <c r="H20" s="67">
        <f t="shared" si="1"/>
        <v>2.6827577324531473E-2</v>
      </c>
      <c r="I20" s="108">
        <f t="shared" si="2"/>
        <v>0.21951219512195122</v>
      </c>
      <c r="J20" s="71">
        <f t="shared" si="3"/>
        <v>0.11511417350610258</v>
      </c>
    </row>
    <row r="21" spans="1:10">
      <c r="A21" s="12"/>
      <c r="B21" s="63">
        <f>SUM(B4:B20)</f>
        <v>5611</v>
      </c>
      <c r="C21" s="28">
        <f t="shared" si="0"/>
        <v>7.0713010158617005</v>
      </c>
      <c r="D21" s="40">
        <f>SUM(D4:D20)</f>
        <v>39677.07</v>
      </c>
      <c r="E21" s="102">
        <f>SUM(E4:E20)</f>
        <v>890</v>
      </c>
      <c r="F21" s="103">
        <f t="shared" ref="F21" si="5">G21/E21</f>
        <v>4.1002584269662936</v>
      </c>
      <c r="G21" s="104">
        <f>SUM(G4:G20)</f>
        <v>3649.2300000000009</v>
      </c>
      <c r="H21" s="66">
        <f t="shared" si="1"/>
        <v>1</v>
      </c>
      <c r="I21" s="107">
        <f t="shared" ref="I21" si="6">E21/B21</f>
        <v>0.15861700231687756</v>
      </c>
      <c r="J21" s="70">
        <f t="shared" si="3"/>
        <v>9.1973273228088695E-2</v>
      </c>
    </row>
    <row r="22" spans="1:10">
      <c r="B22" s="15"/>
      <c r="D22" s="16"/>
      <c r="E22" s="64"/>
      <c r="F22" s="29"/>
    </row>
    <row r="23" spans="1:10">
      <c r="A23" s="112"/>
    </row>
    <row r="24" spans="1:10">
      <c r="A24" s="5" t="s">
        <v>9</v>
      </c>
    </row>
  </sheetData>
  <pageMargins left="0.7" right="0.7" top="0.75" bottom="0.75" header="0.3" footer="0.3"/>
  <pageSetup orientation="portrait" horizontalDpi="0" verticalDpi="0" r:id="rId1"/>
  <ignoredErrors>
    <ignoredError sqref="H5:H15 I4 J5:J15 H17:H21 I21:J21 J17:J20 I5:I20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zoomScale="115" zoomScaleNormal="115" workbookViewId="0">
      <selection activeCell="E6" sqref="E6"/>
    </sheetView>
  </sheetViews>
  <sheetFormatPr defaultRowHeight="13.2"/>
  <cols>
    <col min="1" max="1" width="42.33203125" customWidth="1"/>
    <col min="2" max="8" width="17.5546875" customWidth="1"/>
  </cols>
  <sheetData>
    <row r="1" spans="1:8">
      <c r="A1" s="38" t="s">
        <v>104</v>
      </c>
    </row>
    <row r="2" spans="1:8">
      <c r="A2" s="39" t="s">
        <v>103</v>
      </c>
      <c r="F2" s="22"/>
    </row>
    <row r="3" spans="1:8">
      <c r="A3" s="39"/>
      <c r="F3" s="22"/>
    </row>
    <row r="4" spans="1:8">
      <c r="A4" s="38" t="s">
        <v>85</v>
      </c>
      <c r="F4" s="22"/>
    </row>
    <row r="5" spans="1:8" ht="26.4">
      <c r="A5" s="13" t="s">
        <v>24</v>
      </c>
      <c r="B5" s="20" t="s">
        <v>51</v>
      </c>
      <c r="C5" s="14" t="s">
        <v>52</v>
      </c>
      <c r="D5" s="14" t="s">
        <v>56</v>
      </c>
      <c r="E5" s="20" t="s">
        <v>53</v>
      </c>
      <c r="F5" s="14" t="s">
        <v>54</v>
      </c>
      <c r="G5" s="14" t="s">
        <v>57</v>
      </c>
      <c r="H5" s="14"/>
    </row>
    <row r="6" spans="1:8">
      <c r="A6" s="12" t="s">
        <v>50</v>
      </c>
      <c r="B6" s="21">
        <f>'CVC by Year and Quarter'!B20+'CVC by Year and Quarter'!B21</f>
        <v>5611</v>
      </c>
      <c r="C6" s="24">
        <f>B6/$B$6</f>
        <v>1</v>
      </c>
      <c r="D6" s="24"/>
      <c r="E6" s="44">
        <f>'CVC by Year and Quarter'!G20+'CVC by Year and Quarter'!G21</f>
        <v>39677.07</v>
      </c>
      <c r="F6" s="25">
        <f>E6/$E$6</f>
        <v>1</v>
      </c>
      <c r="G6" s="26"/>
      <c r="H6" s="16"/>
    </row>
    <row r="7" spans="1:8">
      <c r="A7" s="72" t="s">
        <v>82</v>
      </c>
      <c r="B7" s="21">
        <v>375</v>
      </c>
      <c r="C7" s="24">
        <f>B7/$B$6</f>
        <v>6.6833006594189989E-2</v>
      </c>
      <c r="D7" s="24">
        <f>B7/$B$7</f>
        <v>1</v>
      </c>
      <c r="E7" s="43">
        <v>4057.22</v>
      </c>
      <c r="F7" s="25">
        <f>E7/$E$6</f>
        <v>0.10225603856333142</v>
      </c>
      <c r="G7" s="26">
        <f>E7/$E$7</f>
        <v>1</v>
      </c>
      <c r="H7" s="16"/>
    </row>
    <row r="8" spans="1:8" ht="26.4">
      <c r="A8" s="125" t="s">
        <v>83</v>
      </c>
      <c r="B8" s="126">
        <v>74</v>
      </c>
      <c r="C8" s="127">
        <f>B8/$B$6</f>
        <v>1.3188379967920157E-2</v>
      </c>
      <c r="D8" s="127">
        <f>B8/$B$7</f>
        <v>0.19733333333333333</v>
      </c>
      <c r="E8" s="128">
        <v>577.09</v>
      </c>
      <c r="F8" s="129">
        <f>E8/$E$6</f>
        <v>1.4544672779517239E-2</v>
      </c>
      <c r="G8" s="130">
        <f>E8/$E$7</f>
        <v>0.14223778843641707</v>
      </c>
      <c r="H8" s="16"/>
    </row>
    <row r="9" spans="1:8">
      <c r="A9" s="72"/>
      <c r="B9" s="23"/>
      <c r="C9" s="25"/>
      <c r="D9" s="25"/>
      <c r="E9" s="76"/>
      <c r="F9" s="25"/>
      <c r="G9" s="26"/>
      <c r="H9" s="16"/>
    </row>
    <row r="10" spans="1:8">
      <c r="A10" s="72"/>
      <c r="B10" s="23"/>
      <c r="C10" s="25"/>
      <c r="D10" s="25"/>
      <c r="E10" s="76"/>
      <c r="F10" s="25"/>
      <c r="G10" s="26"/>
      <c r="H10" s="16"/>
    </row>
    <row r="11" spans="1:8">
      <c r="A11" s="72" t="s">
        <v>86</v>
      </c>
      <c r="B11" s="23"/>
      <c r="C11" s="25"/>
      <c r="D11" s="25"/>
      <c r="E11" s="76"/>
      <c r="F11" s="25"/>
      <c r="G11" s="26"/>
      <c r="H11" s="16"/>
    </row>
    <row r="12" spans="1:8">
      <c r="A12" s="12"/>
      <c r="B12" s="69" t="s">
        <v>87</v>
      </c>
      <c r="C12" s="24" t="s">
        <v>55</v>
      </c>
      <c r="D12" s="24"/>
      <c r="E12" s="77" t="s">
        <v>53</v>
      </c>
      <c r="F12" s="25"/>
      <c r="G12" s="26"/>
      <c r="H12" s="16"/>
    </row>
    <row r="13" spans="1:8">
      <c r="A13" s="73" t="s">
        <v>84</v>
      </c>
      <c r="B13" s="74">
        <f>'CVC by Year and Quarter'!C20+'CVC by Year and Quarter'!C21</f>
        <v>890</v>
      </c>
      <c r="C13" s="19"/>
      <c r="D13" s="19"/>
      <c r="E13" s="78">
        <f>'CVC by Year and Quarter'!H20+'CVC by Year and Quarter'!H21</f>
        <v>3649.23</v>
      </c>
      <c r="F13" s="23"/>
      <c r="G13" s="16"/>
      <c r="H13" s="16"/>
    </row>
    <row r="14" spans="1:8">
      <c r="A14" s="73" t="str">
        <f>A8</f>
        <v>Corporate VC Investment Deals  in Clean Technology companies</v>
      </c>
      <c r="B14" s="74">
        <f>B8</f>
        <v>74</v>
      </c>
      <c r="C14" s="73"/>
      <c r="D14" s="73"/>
      <c r="E14" s="78">
        <f>E8</f>
        <v>577.09</v>
      </c>
      <c r="F14" s="73"/>
      <c r="G14" s="73"/>
    </row>
    <row r="15" spans="1:8">
      <c r="A15" s="72" t="s">
        <v>88</v>
      </c>
      <c r="B15" s="75">
        <f>B14/B13</f>
        <v>8.3146067415730343E-2</v>
      </c>
      <c r="C15" s="73"/>
      <c r="D15" s="73"/>
      <c r="E15" s="79">
        <f>E14/E13</f>
        <v>0.15814021040055026</v>
      </c>
      <c r="F15" s="73"/>
      <c r="G15" s="73"/>
    </row>
    <row r="17" spans="1:1">
      <c r="A17" s="5" t="s">
        <v>9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topLeftCell="A2" zoomScale="130" zoomScaleNormal="130" workbookViewId="0">
      <selection activeCell="H4" sqref="H4"/>
    </sheetView>
  </sheetViews>
  <sheetFormatPr defaultRowHeight="13.2"/>
  <cols>
    <col min="1" max="1" width="15.5546875" customWidth="1"/>
    <col min="2" max="3" width="11" customWidth="1"/>
    <col min="4" max="4" width="11" style="115" customWidth="1"/>
    <col min="5" max="6" width="13.6640625" customWidth="1"/>
    <col min="7" max="7" width="13.6640625" style="115" customWidth="1"/>
    <col min="8" max="10" width="13.6640625" customWidth="1"/>
  </cols>
  <sheetData>
    <row r="1" spans="1:10">
      <c r="A1" s="38" t="s">
        <v>105</v>
      </c>
    </row>
    <row r="2" spans="1:10">
      <c r="A2" s="122" t="s">
        <v>102</v>
      </c>
    </row>
    <row r="3" spans="1:10" ht="66">
      <c r="A3" s="14" t="s">
        <v>97</v>
      </c>
      <c r="B3" s="14" t="s">
        <v>51</v>
      </c>
      <c r="C3" s="14" t="s">
        <v>26</v>
      </c>
      <c r="D3" s="113" t="s">
        <v>98</v>
      </c>
      <c r="E3" s="68" t="s">
        <v>27</v>
      </c>
      <c r="F3" s="68" t="s">
        <v>28</v>
      </c>
      <c r="G3" s="119" t="s">
        <v>29</v>
      </c>
      <c r="H3" s="65" t="s">
        <v>77</v>
      </c>
      <c r="I3" s="106" t="s">
        <v>80</v>
      </c>
      <c r="J3" s="69" t="s">
        <v>100</v>
      </c>
    </row>
    <row r="4" spans="1:10">
      <c r="A4" s="114" t="s">
        <v>93</v>
      </c>
      <c r="B4" s="123">
        <v>376</v>
      </c>
      <c r="C4" s="28">
        <f t="shared" ref="C4:C8" si="0">D4/B4</f>
        <v>2.8924734042553188</v>
      </c>
      <c r="D4" s="116">
        <v>1087.57</v>
      </c>
      <c r="E4" s="102">
        <v>36</v>
      </c>
      <c r="F4" s="103">
        <f>G4/E4</f>
        <v>2.0041666666666669</v>
      </c>
      <c r="G4" s="120">
        <v>72.150000000000006</v>
      </c>
      <c r="H4" s="66">
        <f>G4/G8</f>
        <v>1.9771240039021826E-2</v>
      </c>
      <c r="I4" s="107">
        <f>E4/B4</f>
        <v>9.5744680851063829E-2</v>
      </c>
      <c r="J4" s="70">
        <f>G4/D4</f>
        <v>6.634055738940943E-2</v>
      </c>
    </row>
    <row r="5" spans="1:10">
      <c r="A5" s="114" t="s">
        <v>94</v>
      </c>
      <c r="B5" s="123">
        <v>2590</v>
      </c>
      <c r="C5" s="28">
        <f t="shared" si="0"/>
        <v>4.6813166023166026</v>
      </c>
      <c r="D5" s="116">
        <v>12124.61</v>
      </c>
      <c r="E5" s="102">
        <v>382</v>
      </c>
      <c r="F5" s="103">
        <f t="shared" ref="F5:F8" si="1">G5/E5</f>
        <v>2.7096073298429317</v>
      </c>
      <c r="G5" s="120">
        <v>1035.07</v>
      </c>
      <c r="H5" s="66">
        <f>G5/$G$8</f>
        <v>0.28363988118073902</v>
      </c>
      <c r="I5" s="107">
        <f t="shared" ref="I5:I8" si="2">E5/B5</f>
        <v>0.14749034749034748</v>
      </c>
      <c r="J5" s="70">
        <f t="shared" ref="J5:J8" si="3">G5/D5</f>
        <v>8.5369343838688411E-2</v>
      </c>
    </row>
    <row r="6" spans="1:10">
      <c r="A6" s="114" t="s">
        <v>95</v>
      </c>
      <c r="B6" s="123">
        <v>1418</v>
      </c>
      <c r="C6" s="28">
        <f t="shared" si="0"/>
        <v>9.5796685472496463</v>
      </c>
      <c r="D6" s="116">
        <v>13583.97</v>
      </c>
      <c r="E6" s="102">
        <v>260</v>
      </c>
      <c r="F6" s="103">
        <f t="shared" si="1"/>
        <v>5.2928846153846161</v>
      </c>
      <c r="G6" s="120">
        <v>1376.15</v>
      </c>
      <c r="H6" s="66">
        <f>G6/$G$8</f>
        <v>0.37710591794455839</v>
      </c>
      <c r="I6" s="107">
        <f t="shared" si="2"/>
        <v>0.18335684062059238</v>
      </c>
      <c r="J6" s="70">
        <f t="shared" si="3"/>
        <v>0.1013069080688488</v>
      </c>
    </row>
    <row r="7" spans="1:10">
      <c r="A7" s="114" t="s">
        <v>96</v>
      </c>
      <c r="B7" s="123">
        <v>1227</v>
      </c>
      <c r="C7" s="41">
        <f t="shared" si="0"/>
        <v>10.497889160554196</v>
      </c>
      <c r="D7" s="117">
        <v>12880.91</v>
      </c>
      <c r="E7" s="110">
        <v>212</v>
      </c>
      <c r="F7" s="111">
        <f t="shared" si="1"/>
        <v>5.4993867924528299</v>
      </c>
      <c r="G7" s="121">
        <v>1165.8699999999999</v>
      </c>
      <c r="H7" s="67">
        <f>G7/$G$8</f>
        <v>0.31948296083568084</v>
      </c>
      <c r="I7" s="108">
        <f t="shared" si="2"/>
        <v>0.17277913610431947</v>
      </c>
      <c r="J7" s="71">
        <f t="shared" si="3"/>
        <v>9.0511462311280794E-2</v>
      </c>
    </row>
    <row r="8" spans="1:10">
      <c r="A8" s="12"/>
      <c r="B8" s="63">
        <f>SUM(B4:B7)</f>
        <v>5611</v>
      </c>
      <c r="C8" s="28">
        <f t="shared" si="0"/>
        <v>7.0712992336481904</v>
      </c>
      <c r="D8" s="116">
        <f>SUM(D4:D7)</f>
        <v>39677.06</v>
      </c>
      <c r="E8" s="102">
        <f>SUM(E4:E7)</f>
        <v>890</v>
      </c>
      <c r="F8" s="103">
        <f t="shared" si="1"/>
        <v>4.100269662921348</v>
      </c>
      <c r="G8" s="120">
        <f>SUM(G4:G7)</f>
        <v>3649.24</v>
      </c>
      <c r="H8" s="66">
        <f>G8/$G$8</f>
        <v>1</v>
      </c>
      <c r="I8" s="107">
        <f t="shared" si="2"/>
        <v>0.15861700231687756</v>
      </c>
      <c r="J8" s="70">
        <f t="shared" si="3"/>
        <v>9.197354844335745E-2</v>
      </c>
    </row>
    <row r="9" spans="1:10">
      <c r="B9" s="15"/>
      <c r="D9" s="118"/>
      <c r="E9" s="64"/>
      <c r="F9" s="29"/>
    </row>
    <row r="11" spans="1:10">
      <c r="A11" s="5" t="s">
        <v>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CVC by Year and Quarter</vt:lpstr>
      <vt:lpstr>Corporate VC Sectors</vt:lpstr>
      <vt:lpstr>Energy &amp; Clean Tech</vt:lpstr>
      <vt:lpstr>Corporate VC Deal Stages</vt:lpstr>
      <vt:lpstr>'Corporate VC Deal Stages'!Print_Area</vt:lpstr>
      <vt:lpstr>'CVC by Year and Quarter'!Print_Area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Taylor</cp:lastModifiedBy>
  <cp:lastPrinted>2010-10-22T17:53:29Z</cp:lastPrinted>
  <dcterms:created xsi:type="dcterms:W3CDTF">2011-08-17T22:20:21Z</dcterms:created>
  <dcterms:modified xsi:type="dcterms:W3CDTF">2013-07-22T15:38:21Z</dcterms:modified>
</cp:coreProperties>
</file>