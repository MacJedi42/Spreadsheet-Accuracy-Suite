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2330"/>
  </bookViews>
  <sheets>
    <sheet name="bid tab 20120724" sheetId="1" r:id="rId1"/>
  </sheets>
  <definedNames>
    <definedName name="_xlnm.Print_Area" localSheetId="0">'bid tab 20120724'!$A$1:$Z$44</definedName>
  </definedNames>
  <calcPr calcId="145621"/>
</workbook>
</file>

<file path=xl/calcChain.xml><?xml version="1.0" encoding="utf-8"?>
<calcChain xmlns="http://schemas.openxmlformats.org/spreadsheetml/2006/main">
  <c r="F38" i="1" l="1"/>
  <c r="Z38" i="1" l="1"/>
  <c r="Z40" i="1" s="1"/>
  <c r="Y38" i="1"/>
  <c r="Y40" i="1" s="1"/>
  <c r="X38" i="1"/>
  <c r="X40" i="1" s="1"/>
  <c r="W38" i="1"/>
  <c r="W40" i="1" s="1"/>
  <c r="V38" i="1"/>
  <c r="V40" i="1" s="1"/>
  <c r="U38" i="1"/>
  <c r="U40" i="1" s="1"/>
  <c r="T38" i="1"/>
  <c r="T40" i="1" s="1"/>
  <c r="S38" i="1"/>
  <c r="S40" i="1" s="1"/>
  <c r="R38" i="1"/>
  <c r="R40" i="1" s="1"/>
  <c r="Q38" i="1"/>
  <c r="Q40" i="1" s="1"/>
  <c r="P38" i="1"/>
  <c r="P40" i="1" s="1"/>
  <c r="O38" i="1"/>
  <c r="O40" i="1" s="1"/>
  <c r="N38" i="1"/>
  <c r="N40" i="1" s="1"/>
  <c r="M38" i="1"/>
  <c r="M40" i="1" s="1"/>
  <c r="L38" i="1"/>
  <c r="L40" i="1" s="1"/>
  <c r="K38" i="1"/>
  <c r="K40" i="1" s="1"/>
  <c r="J38" i="1"/>
  <c r="J40" i="1" s="1"/>
  <c r="I38" i="1"/>
  <c r="I40" i="1" s="1"/>
  <c r="H38" i="1"/>
  <c r="H40" i="1" s="1"/>
  <c r="G38" i="1"/>
  <c r="G40" i="1" s="1"/>
  <c r="F40" i="1"/>
  <c r="W42" i="1" l="1"/>
</calcChain>
</file>

<file path=xl/sharedStrings.xml><?xml version="1.0" encoding="utf-8"?>
<sst xmlns="http://schemas.openxmlformats.org/spreadsheetml/2006/main" count="545" uniqueCount="96">
  <si>
    <t>Mowing Irrigated Area</t>
  </si>
  <si>
    <t>n/a</t>
  </si>
  <si>
    <t>Mowing Non-irrigated area</t>
  </si>
  <si>
    <t>Herbicide applications</t>
  </si>
  <si>
    <t>Nitrogen fertilization</t>
  </si>
  <si>
    <t>Planter bed maintenance</t>
  </si>
  <si>
    <t>Planter bed color installation</t>
  </si>
  <si>
    <t>Pest control</t>
  </si>
  <si>
    <t>Maintenance of Paved Areas</t>
  </si>
  <si>
    <t>Tree pruning</t>
  </si>
  <si>
    <t>Shrub trimming</t>
  </si>
  <si>
    <t xml:space="preserve">Irrigation system check </t>
  </si>
  <si>
    <t>Landscape lighting check</t>
  </si>
  <si>
    <t>Aeration</t>
  </si>
  <si>
    <t>Area ID number</t>
  </si>
  <si>
    <t>Well Site</t>
  </si>
  <si>
    <t>2800 W. Eldorado</t>
  </si>
  <si>
    <t>Rough</t>
  </si>
  <si>
    <t>ROW</t>
  </si>
  <si>
    <t>W Eldorado West Side</t>
  </si>
  <si>
    <t>Lift Station</t>
  </si>
  <si>
    <t>W. Eldorado Pkwy</t>
  </si>
  <si>
    <t>Shell Beach</t>
  </si>
  <si>
    <t>Lobo Lane</t>
  </si>
  <si>
    <t>Lobo Ln</t>
  </si>
  <si>
    <t>Fine</t>
  </si>
  <si>
    <t>Cottonwood</t>
  </si>
  <si>
    <t>City Hall(A)</t>
  </si>
  <si>
    <t>100 W Eldorado Pkwy</t>
  </si>
  <si>
    <t>E. Eldorado</t>
  </si>
  <si>
    <t>240 Park St</t>
  </si>
  <si>
    <t>Senior/Rec Centers</t>
  </si>
  <si>
    <t>301/303 Main St</t>
  </si>
  <si>
    <t>Lake Shore Dr</t>
  </si>
  <si>
    <t>Lakewood</t>
  </si>
  <si>
    <t>Lakeshore</t>
  </si>
  <si>
    <t>Service Center</t>
  </si>
  <si>
    <t>1600 Mark Tree Ln</t>
  </si>
  <si>
    <t>Median</t>
  </si>
  <si>
    <t>Witt Rd</t>
  </si>
  <si>
    <t>King Rd</t>
  </si>
  <si>
    <t>419 Witt Rd</t>
  </si>
  <si>
    <t>Fire Station</t>
  </si>
  <si>
    <t>2301 Walker Ln</t>
  </si>
  <si>
    <t>E Eldorado Pkwy</t>
  </si>
  <si>
    <t>Culvert</t>
  </si>
  <si>
    <t>Behind Goody Goody Liquors</t>
  </si>
  <si>
    <t>Pump Station(A)</t>
  </si>
  <si>
    <t>Fm 423</t>
  </si>
  <si>
    <t>3029 Eldorado Pkwy</t>
  </si>
  <si>
    <t>FM 423 Water Town</t>
  </si>
  <si>
    <t>FM 423</t>
  </si>
  <si>
    <t>Sunset Point</t>
  </si>
  <si>
    <t>Median and ROW</t>
  </si>
  <si>
    <t>Hart Rd</t>
  </si>
  <si>
    <t>Walker</t>
  </si>
  <si>
    <t>Stardust Lift Station</t>
  </si>
  <si>
    <t>Water Tower</t>
  </si>
  <si>
    <t>Walker Tower</t>
  </si>
  <si>
    <t>Main Street</t>
  </si>
  <si>
    <t>Main St</t>
  </si>
  <si>
    <t>City Hall(B)</t>
  </si>
  <si>
    <t>Pump Station(B)</t>
  </si>
  <si>
    <t>Mansell Pump Station</t>
  </si>
  <si>
    <t>Type of Site</t>
  </si>
  <si>
    <t>Name of Site</t>
  </si>
  <si>
    <t>Appx Acres</t>
  </si>
  <si>
    <t>Mow Type</t>
  </si>
  <si>
    <t>Mulching Trees 
and Shrubs</t>
  </si>
  <si>
    <t>Edging - 
non-irrigated</t>
  </si>
  <si>
    <t>Trimming - 
non-irrigated</t>
  </si>
  <si>
    <t>Litter removal - irrigated</t>
  </si>
  <si>
    <t>Litter removal - 
non-irrigated</t>
  </si>
  <si>
    <t>Column total (A)</t>
  </si>
  <si>
    <t>Estimated number of times per year service will be performed (B)</t>
  </si>
  <si>
    <t>Total Cost per year (A x B)</t>
  </si>
  <si>
    <t>TOTAL BID</t>
  </si>
  <si>
    <t>Hourly rate for licensed irrigator and helper</t>
  </si>
  <si>
    <t>Code enforcement mowing</t>
  </si>
  <si>
    <t>Additional items:</t>
  </si>
  <si>
    <t>Edging - 
irrigated</t>
  </si>
  <si>
    <t>Trimming - 
irrigated</t>
  </si>
  <si>
    <t>Winter 
fertilization</t>
  </si>
  <si>
    <t>Additional planter bed color installation</t>
  </si>
  <si>
    <t>Mansell Pump Stn and Big Leaf Circle</t>
  </si>
  <si>
    <t>Ground Stg Tank</t>
  </si>
  <si>
    <t>per hour</t>
  </si>
  <si>
    <t>per sq ft</t>
  </si>
  <si>
    <t>7B</t>
  </si>
  <si>
    <t>7A</t>
  </si>
  <si>
    <t>Old Comm. Center</t>
  </si>
  <si>
    <t>101 Hardwicke</t>
  </si>
  <si>
    <t>22A</t>
  </si>
  <si>
    <t>22B</t>
  </si>
  <si>
    <t>Parkway</t>
  </si>
  <si>
    <t xml:space="preserve">
TOWN OF LITTLE ELM PURCHASING DIVISION
BID FORM - REVISED - ADD#2
Bid #20120724
Landscape Maintenance Services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</si>
</sst>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2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Font="1"/>
    <xf numFmtId="2" fontId="0" fillId="0" borderId="0" xfId="0" applyNumberFormat="1" applyFont="1"/>
    <xf numFmtId="0" fontId="0" fillId="0" borderId="15" xfId="0" applyFont="1" applyBorder="1"/>
    <xf numFmtId="0" fontId="0" fillId="0" borderId="0" xfId="0" applyFont="1" applyFill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Border="1"/>
    <xf numFmtId="0" fontId="0" fillId="33" borderId="0" xfId="0" applyFont="1" applyFill="1"/>
    <xf numFmtId="0" fontId="0" fillId="0" borderId="13" xfId="0" applyFont="1" applyBorder="1" applyAlignment="1" applyProtection="1">
      <alignment horizontal="center" vertical="center" wrapText="1"/>
      <protection locked="0"/>
    </xf>
    <xf numFmtId="0" fontId="0" fillId="0" borderId="10" xfId="0" applyFont="1" applyBorder="1" applyAlignment="1" applyProtection="1">
      <alignment horizontal="center" vertical="center" wrapText="1"/>
      <protection locked="0"/>
    </xf>
    <xf numFmtId="0" fontId="0" fillId="0" borderId="12" xfId="0" applyFont="1" applyBorder="1" applyAlignment="1" applyProtection="1">
      <alignment horizontal="center" vertical="center" wrapText="1"/>
      <protection locked="0"/>
    </xf>
    <xf numFmtId="0" fontId="0" fillId="0" borderId="19" xfId="0" applyFont="1" applyBorder="1" applyAlignment="1" applyProtection="1">
      <alignment horizontal="center" vertical="center" wrapText="1"/>
    </xf>
    <xf numFmtId="0" fontId="0" fillId="0" borderId="12" xfId="0" applyFont="1" applyBorder="1" applyAlignment="1" applyProtection="1">
      <alignment horizontal="center" vertical="center" wrapText="1"/>
    </xf>
    <xf numFmtId="0" fontId="0" fillId="0" borderId="13" xfId="0" applyFont="1" applyBorder="1" applyAlignment="1" applyProtection="1">
      <alignment horizontal="center" vertical="center" wrapText="1"/>
    </xf>
    <xf numFmtId="0" fontId="0" fillId="0" borderId="10" xfId="0" applyFont="1" applyBorder="1" applyAlignment="1" applyProtection="1">
      <alignment horizontal="center" vertical="center" wrapText="1"/>
    </xf>
    <xf numFmtId="0" fontId="0" fillId="33" borderId="10" xfId="0" applyFont="1" applyFill="1" applyBorder="1" applyAlignment="1" applyProtection="1">
      <alignment horizontal="center" vertical="center" wrapText="1"/>
      <protection locked="0"/>
    </xf>
    <xf numFmtId="0" fontId="0" fillId="33" borderId="12" xfId="0" applyFont="1" applyFill="1" applyBorder="1" applyAlignment="1" applyProtection="1">
      <alignment horizontal="center" vertical="center" wrapText="1"/>
    </xf>
    <xf numFmtId="0" fontId="0" fillId="33" borderId="10" xfId="0" applyFont="1" applyFill="1" applyBorder="1" applyAlignment="1" applyProtection="1">
      <alignment horizontal="center" vertical="center" wrapText="1"/>
    </xf>
    <xf numFmtId="0" fontId="0" fillId="0" borderId="14" xfId="0" applyFont="1" applyBorder="1" applyAlignment="1" applyProtection="1">
      <alignment horizontal="center" vertical="center" wrapText="1"/>
      <protection locked="0"/>
    </xf>
    <xf numFmtId="0" fontId="0" fillId="0" borderId="21" xfId="0" applyFont="1" applyBorder="1" applyAlignment="1" applyProtection="1">
      <alignment horizontal="center" vertical="center" wrapText="1"/>
      <protection locked="0"/>
    </xf>
    <xf numFmtId="0" fontId="0" fillId="0" borderId="24" xfId="0" applyFont="1" applyBorder="1" applyAlignment="1" applyProtection="1">
      <alignment vertical="center" textRotation="90" wrapText="1"/>
    </xf>
    <xf numFmtId="0" fontId="0" fillId="0" borderId="23" xfId="0" applyFont="1" applyBorder="1" applyAlignment="1" applyProtection="1">
      <alignment vertical="center" wrapText="1"/>
    </xf>
    <xf numFmtId="2" fontId="0" fillId="0" borderId="23" xfId="0" applyNumberFormat="1" applyFont="1" applyBorder="1" applyAlignment="1" applyProtection="1">
      <alignment horizontal="center" vertical="center" textRotation="90" wrapText="1"/>
    </xf>
    <xf numFmtId="0" fontId="0" fillId="0" borderId="22" xfId="0" applyFont="1" applyBorder="1" applyAlignment="1" applyProtection="1">
      <alignment horizontal="center" vertical="center" textRotation="90" wrapText="1"/>
    </xf>
    <xf numFmtId="0" fontId="0" fillId="0" borderId="33" xfId="0" applyFont="1" applyBorder="1" applyAlignment="1" applyProtection="1">
      <alignment horizontal="center" vertical="center" textRotation="90" wrapText="1"/>
    </xf>
    <xf numFmtId="0" fontId="0" fillId="0" borderId="23" xfId="0" applyFont="1" applyBorder="1" applyAlignment="1" applyProtection="1">
      <alignment horizontal="center" vertical="center" textRotation="90" wrapText="1"/>
    </xf>
    <xf numFmtId="0" fontId="0" fillId="33" borderId="23" xfId="0" applyFont="1" applyFill="1" applyBorder="1" applyAlignment="1" applyProtection="1">
      <alignment horizontal="center" vertical="center" textRotation="90" wrapText="1"/>
    </xf>
    <xf numFmtId="0" fontId="0" fillId="0" borderId="25" xfId="0" applyFont="1" applyBorder="1" applyAlignment="1" applyProtection="1">
      <alignment vertical="center" wrapText="1"/>
    </xf>
    <xf numFmtId="0" fontId="0" fillId="0" borderId="12" xfId="0" applyFont="1" applyBorder="1" applyAlignment="1" applyProtection="1">
      <alignment vertical="center" wrapText="1"/>
    </xf>
    <xf numFmtId="2" fontId="0" fillId="0" borderId="12" xfId="0" applyNumberFormat="1" applyFont="1" applyBorder="1" applyAlignment="1" applyProtection="1">
      <alignment vertical="center" wrapText="1"/>
    </xf>
    <xf numFmtId="0" fontId="0" fillId="0" borderId="20" xfId="0" applyFont="1" applyBorder="1" applyAlignment="1" applyProtection="1">
      <alignment vertical="center" wrapText="1"/>
    </xf>
    <xf numFmtId="0" fontId="0" fillId="0" borderId="20" xfId="0" applyFont="1" applyBorder="1" applyAlignment="1" applyProtection="1">
      <alignment horizontal="center" vertical="center" wrapText="1"/>
    </xf>
    <xf numFmtId="0" fontId="0" fillId="0" borderId="26" xfId="0" applyFont="1" applyBorder="1" applyAlignment="1" applyProtection="1">
      <alignment vertical="center" wrapText="1"/>
    </xf>
    <xf numFmtId="0" fontId="0" fillId="0" borderId="10" xfId="0" applyFont="1" applyBorder="1" applyAlignment="1" applyProtection="1">
      <alignment vertical="center" wrapText="1"/>
    </xf>
    <xf numFmtId="2" fontId="0" fillId="0" borderId="10" xfId="0" applyNumberFormat="1" applyFont="1" applyBorder="1" applyAlignment="1" applyProtection="1">
      <alignment vertical="center" wrapText="1"/>
    </xf>
    <xf numFmtId="0" fontId="0" fillId="0" borderId="14" xfId="0" applyFont="1" applyBorder="1" applyAlignment="1" applyProtection="1">
      <alignment vertical="center" wrapText="1"/>
    </xf>
    <xf numFmtId="0" fontId="0" fillId="0" borderId="14" xfId="0" applyFont="1" applyBorder="1" applyAlignment="1" applyProtection="1">
      <alignment horizontal="center" vertical="center" wrapText="1"/>
    </xf>
    <xf numFmtId="0" fontId="0" fillId="0" borderId="26" xfId="0" applyFont="1" applyFill="1" applyBorder="1" applyAlignment="1" applyProtection="1">
      <alignment vertical="center" wrapText="1"/>
    </xf>
    <xf numFmtId="0" fontId="0" fillId="0" borderId="21" xfId="0" applyFont="1" applyBorder="1" applyAlignment="1" applyProtection="1">
      <alignment vertical="center" wrapText="1"/>
    </xf>
    <xf numFmtId="2" fontId="0" fillId="0" borderId="21" xfId="0" applyNumberFormat="1" applyFont="1" applyBorder="1" applyAlignment="1" applyProtection="1">
      <alignment vertical="center" wrapText="1"/>
    </xf>
    <xf numFmtId="0" fontId="0" fillId="0" borderId="17" xfId="0" applyFont="1" applyBorder="1" applyAlignment="1" applyProtection="1">
      <alignment vertical="center" wrapText="1"/>
    </xf>
    <xf numFmtId="0" fontId="0" fillId="0" borderId="30" xfId="0" applyFont="1" applyBorder="1" applyAlignment="1" applyProtection="1">
      <alignment horizontal="center" vertical="center" wrapText="1"/>
    </xf>
    <xf numFmtId="0" fontId="0" fillId="0" borderId="21" xfId="0" applyFont="1" applyBorder="1" applyAlignment="1" applyProtection="1">
      <alignment horizontal="center" vertical="center" wrapText="1"/>
    </xf>
    <xf numFmtId="0" fontId="0" fillId="33" borderId="21" xfId="0" applyFont="1" applyFill="1" applyBorder="1" applyAlignment="1" applyProtection="1">
      <alignment horizontal="center" vertical="center" wrapText="1"/>
    </xf>
    <xf numFmtId="0" fontId="0" fillId="0" borderId="17" xfId="0" applyFont="1" applyBorder="1" applyAlignment="1" applyProtection="1">
      <alignment horizontal="center" vertical="center" wrapText="1"/>
    </xf>
    <xf numFmtId="0" fontId="0" fillId="0" borderId="26" xfId="0" applyFont="1" applyBorder="1" applyAlignment="1" applyProtection="1">
      <alignment horizontal="center" vertical="center" wrapText="1"/>
    </xf>
    <xf numFmtId="0" fontId="0" fillId="0" borderId="27" xfId="0" applyFont="1" applyBorder="1" applyAlignment="1" applyProtection="1">
      <alignment horizontal="center" vertical="center" wrapText="1"/>
    </xf>
    <xf numFmtId="0" fontId="0" fillId="0" borderId="0" xfId="0" applyFont="1" applyProtection="1"/>
    <xf numFmtId="0" fontId="0" fillId="0" borderId="0" xfId="0" applyFont="1" applyAlignment="1" applyProtection="1">
      <alignment vertical="center"/>
    </xf>
    <xf numFmtId="2" fontId="0" fillId="0" borderId="0" xfId="0" applyNumberFormat="1" applyFont="1" applyProtection="1"/>
    <xf numFmtId="0" fontId="0" fillId="33" borderId="0" xfId="0" applyFont="1" applyFill="1" applyProtection="1"/>
    <xf numFmtId="0" fontId="0" fillId="0" borderId="34" xfId="0" quotePrefix="1" applyFont="1" applyBorder="1" applyProtection="1"/>
    <xf numFmtId="0" fontId="0" fillId="0" borderId="34" xfId="0" applyFont="1" applyBorder="1" applyProtection="1"/>
    <xf numFmtId="0" fontId="18" fillId="0" borderId="0" xfId="0" applyFont="1" applyAlignment="1" applyProtection="1">
      <alignment vertical="center"/>
    </xf>
    <xf numFmtId="0" fontId="0" fillId="0" borderId="0" xfId="0" applyProtection="1"/>
    <xf numFmtId="0" fontId="0" fillId="0" borderId="0" xfId="0" applyFont="1" applyBorder="1" applyProtection="1"/>
    <xf numFmtId="0" fontId="19" fillId="0" borderId="35" xfId="0" applyFont="1" applyBorder="1" applyAlignment="1" applyProtection="1">
      <alignment horizontal="center" vertical="center" wrapText="1"/>
    </xf>
    <xf numFmtId="0" fontId="19" fillId="0" borderId="36" xfId="0" applyFont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44" fontId="0" fillId="0" borderId="18" xfId="42" applyFont="1" applyBorder="1" applyAlignment="1" applyProtection="1">
      <protection locked="0"/>
    </xf>
    <xf numFmtId="0" fontId="0" fillId="0" borderId="18" xfId="0" applyBorder="1" applyAlignment="1" applyProtection="1">
      <protection locked="0"/>
    </xf>
    <xf numFmtId="44" fontId="0" fillId="0" borderId="18" xfId="42" applyFont="1" applyBorder="1" applyAlignment="1" applyProtection="1"/>
    <xf numFmtId="44" fontId="0" fillId="0" borderId="18" xfId="42" applyFont="1" applyBorder="1" applyAlignment="1"/>
    <xf numFmtId="0" fontId="16" fillId="0" borderId="28" xfId="0" applyFont="1" applyBorder="1" applyAlignment="1" applyProtection="1">
      <alignment horizontal="center" vertical="center" wrapText="1"/>
    </xf>
    <xf numFmtId="0" fontId="16" fillId="0" borderId="16" xfId="0" applyFont="1" applyBorder="1" applyAlignment="1" applyProtection="1">
      <alignment horizontal="center" vertical="center" wrapText="1"/>
    </xf>
    <xf numFmtId="0" fontId="16" fillId="0" borderId="31" xfId="0" applyFont="1" applyBorder="1" applyAlignment="1" applyProtection="1">
      <alignment horizontal="center" vertical="center" wrapText="1"/>
    </xf>
    <xf numFmtId="0" fontId="16" fillId="0" borderId="29" xfId="0" applyFont="1" applyBorder="1" applyAlignment="1" applyProtection="1">
      <alignment horizontal="center" vertical="center" wrapText="1"/>
    </xf>
    <xf numFmtId="0" fontId="16" fillId="0" borderId="11" xfId="0" applyFont="1" applyBorder="1" applyAlignment="1" applyProtection="1">
      <alignment horizontal="center" vertical="center" wrapText="1"/>
    </xf>
    <xf numFmtId="0" fontId="16" fillId="0" borderId="32" xfId="0" applyFont="1" applyBorder="1" applyAlignment="1" applyProtection="1">
      <alignment horizontal="center" vertical="center" wrapText="1"/>
    </xf>
    <xf numFmtId="0" fontId="0" fillId="0" borderId="38" xfId="0" applyFont="1" applyBorder="1" applyAlignment="1" applyProtection="1">
      <alignment vertical="center" wrapText="1"/>
    </xf>
    <xf numFmtId="2" fontId="0" fillId="0" borderId="38" xfId="0" applyNumberFormat="1" applyFont="1" applyBorder="1" applyAlignment="1" applyProtection="1">
      <alignment vertical="center" wrapText="1"/>
    </xf>
    <xf numFmtId="0" fontId="0" fillId="0" borderId="39" xfId="0" applyFont="1" applyBorder="1" applyAlignment="1" applyProtection="1">
      <alignment vertical="center" wrapText="1"/>
    </xf>
    <xf numFmtId="0" fontId="0" fillId="0" borderId="40" xfId="0" applyFont="1" applyBorder="1" applyAlignment="1" applyProtection="1">
      <alignment horizontal="center" vertical="center" wrapText="1"/>
    </xf>
    <xf numFmtId="0" fontId="0" fillId="0" borderId="38" xfId="0" applyFont="1" applyBorder="1" applyAlignment="1" applyProtection="1">
      <alignment horizontal="center" vertical="center" wrapText="1"/>
    </xf>
    <xf numFmtId="0" fontId="0" fillId="0" borderId="38" xfId="0" applyFont="1" applyBorder="1" applyAlignment="1" applyProtection="1">
      <alignment horizontal="center" vertical="center" wrapText="1"/>
      <protection locked="0"/>
    </xf>
    <xf numFmtId="0" fontId="0" fillId="33" borderId="38" xfId="0" applyFont="1" applyFill="1" applyBorder="1" applyAlignment="1" applyProtection="1">
      <alignment horizontal="center" vertical="center" wrapText="1"/>
    </xf>
    <xf numFmtId="0" fontId="0" fillId="0" borderId="39" xfId="0" applyFont="1" applyBorder="1" applyAlignment="1" applyProtection="1">
      <alignment horizontal="center" vertical="center" wrapText="1"/>
    </xf>
    <xf numFmtId="0" fontId="16" fillId="0" borderId="41" xfId="0" applyFont="1" applyBorder="1" applyAlignment="1" applyProtection="1">
      <alignment horizontal="center" vertical="center" wrapText="1"/>
    </xf>
    <xf numFmtId="0" fontId="16" fillId="0" borderId="18" xfId="0" applyFont="1" applyBorder="1" applyAlignment="1" applyProtection="1">
      <alignment horizontal="center" vertical="center" wrapText="1"/>
    </xf>
    <xf numFmtId="0" fontId="16" fillId="0" borderId="42" xfId="0" applyFont="1" applyBorder="1" applyAlignment="1" applyProtection="1">
      <alignment horizontal="center" vertical="center" wrapText="1"/>
    </xf>
    <xf numFmtId="0" fontId="0" fillId="0" borderId="25" xfId="0" applyFont="1" applyBorder="1" applyAlignment="1" applyProtection="1">
      <alignment horizontal="center" vertical="center" wrapText="1"/>
    </xf>
    <xf numFmtId="0" fontId="0" fillId="0" borderId="27" xfId="0" applyFont="1" applyBorder="1" applyProtection="1"/>
    <xf numFmtId="0" fontId="0" fillId="0" borderId="30" xfId="0" applyFont="1" applyBorder="1" applyAlignment="1" applyProtection="1">
      <alignment horizontal="center" vertical="center" wrapText="1"/>
      <protection locked="0"/>
    </xf>
    <xf numFmtId="2" fontId="0" fillId="0" borderId="10" xfId="0" applyNumberFormat="1" applyFont="1" applyFill="1" applyBorder="1" applyAlignment="1" applyProtection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57151</xdr:colOff>
      <xdr:row>0</xdr:row>
      <xdr:rowOff>83003</xdr:rowOff>
    </xdr:from>
    <xdr:to>
      <xdr:col>2</xdr:col>
      <xdr:colOff>226079</xdr:colOff>
      <xdr:row>0</xdr:row>
      <xdr:rowOff>1836964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080" y="83003"/>
          <a:ext cx="1475214" cy="1753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54"/>
  <sheetViews>
    <sheetView tabSelected="1" zoomScale="70" zoomScaleNormal="70" workbookViewId="0">
      <selection activeCell="F7" sqref="F7"/>
    </sheetView>
  </sheetViews>
  <sheetFormatPr defaultRowHeight="30" customHeight="1" x14ac:dyDescent="0.25"/>
  <cols>
    <col min="1" max="1" width="5.42578125" style="1" customWidth="1"/>
    <col min="2" max="2" width="19.5703125" style="1" bestFit="1" customWidth="1"/>
    <col min="3" max="3" width="37.5703125" style="1" bestFit="1" customWidth="1"/>
    <col min="4" max="4" width="8.7109375" style="2" customWidth="1"/>
    <col min="5" max="5" width="8.7109375" style="1" customWidth="1"/>
    <col min="6" max="16" width="10.7109375" style="1" customWidth="1"/>
    <col min="17" max="18" width="10.7109375" style="8" customWidth="1"/>
    <col min="19" max="25" width="10.7109375" style="1" customWidth="1"/>
    <col min="26" max="26" width="10.7109375" style="3" customWidth="1"/>
    <col min="27" max="27" width="12.7109375" style="1" customWidth="1"/>
    <col min="28" max="28" width="6.7109375" style="1" customWidth="1"/>
    <col min="29" max="29" width="12.7109375" style="1" customWidth="1"/>
    <col min="30" max="16384" width="9.140625" style="1"/>
  </cols>
  <sheetData>
    <row r="1" spans="1:29" ht="150" customHeight="1" thickTop="1" thickBot="1" x14ac:dyDescent="0.3">
      <c r="A1" s="57" t="s">
        <v>95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9"/>
    </row>
    <row r="2" spans="1:29" ht="96.75" customHeight="1" thickTop="1" thickBot="1" x14ac:dyDescent="0.3">
      <c r="A2" s="21" t="s">
        <v>14</v>
      </c>
      <c r="B2" s="22" t="s">
        <v>64</v>
      </c>
      <c r="C2" s="22" t="s">
        <v>65</v>
      </c>
      <c r="D2" s="23" t="s">
        <v>66</v>
      </c>
      <c r="E2" s="24" t="s">
        <v>67</v>
      </c>
      <c r="F2" s="25" t="s">
        <v>0</v>
      </c>
      <c r="G2" s="26" t="s">
        <v>80</v>
      </c>
      <c r="H2" s="26" t="s">
        <v>81</v>
      </c>
      <c r="I2" s="26" t="s">
        <v>71</v>
      </c>
      <c r="J2" s="26" t="s">
        <v>2</v>
      </c>
      <c r="K2" s="26" t="s">
        <v>69</v>
      </c>
      <c r="L2" s="26" t="s">
        <v>70</v>
      </c>
      <c r="M2" s="26" t="s">
        <v>72</v>
      </c>
      <c r="N2" s="26" t="s">
        <v>3</v>
      </c>
      <c r="O2" s="26" t="s">
        <v>4</v>
      </c>
      <c r="P2" s="26" t="s">
        <v>82</v>
      </c>
      <c r="Q2" s="27" t="s">
        <v>5</v>
      </c>
      <c r="R2" s="27" t="s">
        <v>6</v>
      </c>
      <c r="S2" s="26" t="s">
        <v>7</v>
      </c>
      <c r="T2" s="26" t="s">
        <v>8</v>
      </c>
      <c r="U2" s="26" t="s">
        <v>9</v>
      </c>
      <c r="V2" s="26" t="s">
        <v>68</v>
      </c>
      <c r="W2" s="26" t="s">
        <v>10</v>
      </c>
      <c r="X2" s="26" t="s">
        <v>11</v>
      </c>
      <c r="Y2" s="26" t="s">
        <v>12</v>
      </c>
      <c r="Z2" s="24" t="s">
        <v>13</v>
      </c>
      <c r="AA2" s="4"/>
      <c r="AB2" s="4"/>
      <c r="AC2" s="4"/>
    </row>
    <row r="3" spans="1:29" ht="20.100000000000001" customHeight="1" thickTop="1" x14ac:dyDescent="0.25">
      <c r="A3" s="28">
        <v>1</v>
      </c>
      <c r="B3" s="29" t="s">
        <v>15</v>
      </c>
      <c r="C3" s="29" t="s">
        <v>16</v>
      </c>
      <c r="D3" s="30">
        <v>1.0410470751200001</v>
      </c>
      <c r="E3" s="31" t="s">
        <v>17</v>
      </c>
      <c r="F3" s="12" t="s">
        <v>1</v>
      </c>
      <c r="G3" s="13" t="s">
        <v>1</v>
      </c>
      <c r="H3" s="13" t="s">
        <v>1</v>
      </c>
      <c r="I3" s="13" t="s">
        <v>1</v>
      </c>
      <c r="J3" s="11"/>
      <c r="K3" s="11"/>
      <c r="L3" s="11"/>
      <c r="M3" s="11"/>
      <c r="N3" s="13" t="s">
        <v>1</v>
      </c>
      <c r="O3" s="13" t="s">
        <v>1</v>
      </c>
      <c r="P3" s="13" t="s">
        <v>1</v>
      </c>
      <c r="Q3" s="17" t="s">
        <v>1</v>
      </c>
      <c r="R3" s="17" t="s">
        <v>1</v>
      </c>
      <c r="S3" s="13" t="s">
        <v>1</v>
      </c>
      <c r="T3" s="11"/>
      <c r="U3" s="13" t="s">
        <v>1</v>
      </c>
      <c r="V3" s="13" t="s">
        <v>1</v>
      </c>
      <c r="W3" s="13" t="s">
        <v>1</v>
      </c>
      <c r="X3" s="13" t="s">
        <v>1</v>
      </c>
      <c r="Y3" s="13" t="s">
        <v>1</v>
      </c>
      <c r="Z3" s="32" t="s">
        <v>1</v>
      </c>
      <c r="AA3" s="5"/>
      <c r="AB3" s="5"/>
      <c r="AC3" s="5"/>
    </row>
    <row r="4" spans="1:29" ht="20.100000000000001" customHeight="1" x14ac:dyDescent="0.25">
      <c r="A4" s="33">
        <v>2</v>
      </c>
      <c r="B4" s="34" t="s">
        <v>18</v>
      </c>
      <c r="C4" s="34" t="s">
        <v>19</v>
      </c>
      <c r="D4" s="35">
        <v>4.92</v>
      </c>
      <c r="E4" s="36" t="s">
        <v>17</v>
      </c>
      <c r="F4" s="14" t="s">
        <v>1</v>
      </c>
      <c r="G4" s="15" t="s">
        <v>1</v>
      </c>
      <c r="H4" s="15" t="s">
        <v>1</v>
      </c>
      <c r="I4" s="15" t="s">
        <v>1</v>
      </c>
      <c r="J4" s="10"/>
      <c r="K4" s="10"/>
      <c r="L4" s="10"/>
      <c r="M4" s="10"/>
      <c r="N4" s="15" t="s">
        <v>1</v>
      </c>
      <c r="O4" s="15" t="s">
        <v>1</v>
      </c>
      <c r="P4" s="15" t="s">
        <v>1</v>
      </c>
      <c r="Q4" s="18" t="s">
        <v>1</v>
      </c>
      <c r="R4" s="18" t="s">
        <v>1</v>
      </c>
      <c r="S4" s="15" t="s">
        <v>1</v>
      </c>
      <c r="T4" s="10"/>
      <c r="U4" s="15" t="s">
        <v>1</v>
      </c>
      <c r="V4" s="15" t="s">
        <v>1</v>
      </c>
      <c r="W4" s="15" t="s">
        <v>1</v>
      </c>
      <c r="X4" s="15" t="s">
        <v>1</v>
      </c>
      <c r="Y4" s="15" t="s">
        <v>1</v>
      </c>
      <c r="Z4" s="37" t="s">
        <v>1</v>
      </c>
      <c r="AA4" s="5"/>
      <c r="AB4" s="5"/>
      <c r="AC4" s="5"/>
    </row>
    <row r="5" spans="1:29" ht="20.100000000000001" customHeight="1" x14ac:dyDescent="0.25">
      <c r="A5" s="33">
        <v>3</v>
      </c>
      <c r="B5" s="34" t="s">
        <v>20</v>
      </c>
      <c r="C5" s="34" t="s">
        <v>21</v>
      </c>
      <c r="D5" s="35">
        <v>0.01</v>
      </c>
      <c r="E5" s="36" t="s">
        <v>17</v>
      </c>
      <c r="F5" s="14" t="s">
        <v>1</v>
      </c>
      <c r="G5" s="15" t="s">
        <v>1</v>
      </c>
      <c r="H5" s="15" t="s">
        <v>1</v>
      </c>
      <c r="I5" s="15" t="s">
        <v>1</v>
      </c>
      <c r="J5" s="10"/>
      <c r="K5" s="10"/>
      <c r="L5" s="10"/>
      <c r="M5" s="10"/>
      <c r="N5" s="15" t="s">
        <v>1</v>
      </c>
      <c r="O5" s="15" t="s">
        <v>1</v>
      </c>
      <c r="P5" s="15" t="s">
        <v>1</v>
      </c>
      <c r="Q5" s="18" t="s">
        <v>1</v>
      </c>
      <c r="R5" s="18" t="s">
        <v>1</v>
      </c>
      <c r="S5" s="15" t="s">
        <v>1</v>
      </c>
      <c r="T5" s="10"/>
      <c r="U5" s="15" t="s">
        <v>1</v>
      </c>
      <c r="V5" s="15" t="s">
        <v>1</v>
      </c>
      <c r="W5" s="15" t="s">
        <v>1</v>
      </c>
      <c r="X5" s="15" t="s">
        <v>1</v>
      </c>
      <c r="Y5" s="15" t="s">
        <v>1</v>
      </c>
      <c r="Z5" s="37" t="s">
        <v>1</v>
      </c>
      <c r="AA5" s="5"/>
      <c r="AB5" s="5"/>
      <c r="AC5" s="5"/>
    </row>
    <row r="6" spans="1:29" ht="20.100000000000001" customHeight="1" x14ac:dyDescent="0.25">
      <c r="A6" s="33">
        <v>4</v>
      </c>
      <c r="B6" s="34" t="s">
        <v>20</v>
      </c>
      <c r="C6" s="34" t="s">
        <v>22</v>
      </c>
      <c r="D6" s="35">
        <v>1.28908043476E-2</v>
      </c>
      <c r="E6" s="36" t="s">
        <v>17</v>
      </c>
      <c r="F6" s="14" t="s">
        <v>1</v>
      </c>
      <c r="G6" s="15" t="s">
        <v>1</v>
      </c>
      <c r="H6" s="15" t="s">
        <v>1</v>
      </c>
      <c r="I6" s="15" t="s">
        <v>1</v>
      </c>
      <c r="J6" s="10"/>
      <c r="K6" s="10"/>
      <c r="L6" s="10"/>
      <c r="M6" s="10"/>
      <c r="N6" s="15" t="s">
        <v>1</v>
      </c>
      <c r="O6" s="15" t="s">
        <v>1</v>
      </c>
      <c r="P6" s="15" t="s">
        <v>1</v>
      </c>
      <c r="Q6" s="18" t="s">
        <v>1</v>
      </c>
      <c r="R6" s="18" t="s">
        <v>1</v>
      </c>
      <c r="S6" s="15" t="s">
        <v>1</v>
      </c>
      <c r="T6" s="10"/>
      <c r="U6" s="15" t="s">
        <v>1</v>
      </c>
      <c r="V6" s="15" t="s">
        <v>1</v>
      </c>
      <c r="W6" s="15" t="s">
        <v>1</v>
      </c>
      <c r="X6" s="15" t="s">
        <v>1</v>
      </c>
      <c r="Y6" s="15" t="s">
        <v>1</v>
      </c>
      <c r="Z6" s="37" t="s">
        <v>1</v>
      </c>
      <c r="AA6" s="5"/>
      <c r="AB6" s="6"/>
      <c r="AC6" s="5"/>
    </row>
    <row r="7" spans="1:29" ht="20.100000000000001" customHeight="1" x14ac:dyDescent="0.25">
      <c r="A7" s="33">
        <v>5</v>
      </c>
      <c r="B7" s="34" t="s">
        <v>23</v>
      </c>
      <c r="C7" s="34" t="s">
        <v>24</v>
      </c>
      <c r="D7" s="35">
        <v>2.66</v>
      </c>
      <c r="E7" s="36" t="s">
        <v>25</v>
      </c>
      <c r="F7" s="9"/>
      <c r="G7" s="10"/>
      <c r="H7" s="10"/>
      <c r="I7" s="10"/>
      <c r="J7" s="15" t="s">
        <v>1</v>
      </c>
      <c r="K7" s="15" t="s">
        <v>1</v>
      </c>
      <c r="L7" s="15" t="s">
        <v>1</v>
      </c>
      <c r="M7" s="15" t="s">
        <v>1</v>
      </c>
      <c r="N7" s="10"/>
      <c r="O7" s="10"/>
      <c r="P7" s="10"/>
      <c r="Q7" s="16"/>
      <c r="R7" s="16"/>
      <c r="S7" s="10"/>
      <c r="T7" s="10"/>
      <c r="U7" s="10"/>
      <c r="V7" s="15" t="s">
        <v>1</v>
      </c>
      <c r="W7" s="10"/>
      <c r="X7" s="10"/>
      <c r="Y7" s="15" t="s">
        <v>1</v>
      </c>
      <c r="Z7" s="37" t="s">
        <v>1</v>
      </c>
      <c r="AA7" s="5"/>
      <c r="AB7" s="5"/>
      <c r="AC7" s="5"/>
    </row>
    <row r="8" spans="1:29" ht="20.100000000000001" customHeight="1" x14ac:dyDescent="0.25">
      <c r="A8" s="33">
        <v>6</v>
      </c>
      <c r="B8" s="34" t="s">
        <v>20</v>
      </c>
      <c r="C8" s="34" t="s">
        <v>26</v>
      </c>
      <c r="D8" s="35">
        <v>0.01</v>
      </c>
      <c r="E8" s="36" t="s">
        <v>17</v>
      </c>
      <c r="F8" s="14" t="s">
        <v>1</v>
      </c>
      <c r="G8" s="15" t="s">
        <v>1</v>
      </c>
      <c r="H8" s="15" t="s">
        <v>1</v>
      </c>
      <c r="I8" s="15" t="s">
        <v>1</v>
      </c>
      <c r="J8" s="10"/>
      <c r="K8" s="10"/>
      <c r="L8" s="10"/>
      <c r="M8" s="10"/>
      <c r="N8" s="15" t="s">
        <v>1</v>
      </c>
      <c r="O8" s="15" t="s">
        <v>1</v>
      </c>
      <c r="P8" s="15" t="s">
        <v>1</v>
      </c>
      <c r="Q8" s="18" t="s">
        <v>1</v>
      </c>
      <c r="R8" s="18" t="s">
        <v>1</v>
      </c>
      <c r="S8" s="15" t="s">
        <v>1</v>
      </c>
      <c r="T8" s="10"/>
      <c r="U8" s="15" t="s">
        <v>1</v>
      </c>
      <c r="V8" s="15" t="s">
        <v>1</v>
      </c>
      <c r="W8" s="15" t="s">
        <v>1</v>
      </c>
      <c r="X8" s="15" t="s">
        <v>1</v>
      </c>
      <c r="Y8" s="15" t="s">
        <v>1</v>
      </c>
      <c r="Z8" s="37" t="s">
        <v>1</v>
      </c>
      <c r="AA8" s="5"/>
      <c r="AB8" s="5"/>
      <c r="AC8" s="5"/>
    </row>
    <row r="9" spans="1:29" ht="20.100000000000001" customHeight="1" x14ac:dyDescent="0.25">
      <c r="A9" s="33" t="s">
        <v>89</v>
      </c>
      <c r="B9" s="34" t="s">
        <v>27</v>
      </c>
      <c r="C9" s="34" t="s">
        <v>28</v>
      </c>
      <c r="D9" s="35">
        <v>2.2999999999999998</v>
      </c>
      <c r="E9" s="36" t="s">
        <v>25</v>
      </c>
      <c r="F9" s="9"/>
      <c r="G9" s="10"/>
      <c r="H9" s="10"/>
      <c r="I9" s="10"/>
      <c r="J9" s="15" t="s">
        <v>1</v>
      </c>
      <c r="K9" s="15" t="s">
        <v>1</v>
      </c>
      <c r="L9" s="15" t="s">
        <v>1</v>
      </c>
      <c r="M9" s="15" t="s">
        <v>1</v>
      </c>
      <c r="N9" s="10"/>
      <c r="O9" s="10"/>
      <c r="P9" s="10"/>
      <c r="Q9" s="16"/>
      <c r="R9" s="16"/>
      <c r="S9" s="10"/>
      <c r="T9" s="10"/>
      <c r="U9" s="10"/>
      <c r="V9" s="10"/>
      <c r="W9" s="10"/>
      <c r="X9" s="10"/>
      <c r="Y9" s="10"/>
      <c r="Z9" s="19"/>
      <c r="AA9" s="5"/>
      <c r="AB9" s="5"/>
      <c r="AC9" s="5"/>
    </row>
    <row r="10" spans="1:29" ht="20.100000000000001" customHeight="1" x14ac:dyDescent="0.25">
      <c r="A10" s="38" t="s">
        <v>88</v>
      </c>
      <c r="B10" s="34" t="s">
        <v>61</v>
      </c>
      <c r="C10" s="34" t="s">
        <v>28</v>
      </c>
      <c r="D10" s="35">
        <v>5.8205500107499999</v>
      </c>
      <c r="E10" s="36" t="s">
        <v>17</v>
      </c>
      <c r="F10" s="14" t="s">
        <v>1</v>
      </c>
      <c r="G10" s="15" t="s">
        <v>1</v>
      </c>
      <c r="H10" s="15" t="s">
        <v>1</v>
      </c>
      <c r="I10" s="15" t="s">
        <v>1</v>
      </c>
      <c r="J10" s="10"/>
      <c r="K10" s="10"/>
      <c r="L10" s="10"/>
      <c r="M10" s="10"/>
      <c r="N10" s="15" t="s">
        <v>1</v>
      </c>
      <c r="O10" s="15" t="s">
        <v>1</v>
      </c>
      <c r="P10" s="15" t="s">
        <v>1</v>
      </c>
      <c r="Q10" s="18" t="s">
        <v>1</v>
      </c>
      <c r="R10" s="18" t="s">
        <v>1</v>
      </c>
      <c r="S10" s="15" t="s">
        <v>1</v>
      </c>
      <c r="T10" s="10"/>
      <c r="U10" s="15" t="s">
        <v>1</v>
      </c>
      <c r="V10" s="15" t="s">
        <v>1</v>
      </c>
      <c r="W10" s="15" t="s">
        <v>1</v>
      </c>
      <c r="X10" s="15" t="s">
        <v>1</v>
      </c>
      <c r="Y10" s="15" t="s">
        <v>1</v>
      </c>
      <c r="Z10" s="37" t="s">
        <v>1</v>
      </c>
      <c r="AA10" s="5"/>
      <c r="AB10" s="5"/>
      <c r="AC10" s="5"/>
    </row>
    <row r="11" spans="1:29" ht="20.100000000000001" customHeight="1" x14ac:dyDescent="0.25">
      <c r="A11" s="38">
        <v>8</v>
      </c>
      <c r="B11" s="34" t="s">
        <v>90</v>
      </c>
      <c r="C11" s="34" t="s">
        <v>91</v>
      </c>
      <c r="D11" s="84">
        <v>0.35</v>
      </c>
      <c r="E11" s="36" t="s">
        <v>25</v>
      </c>
      <c r="F11" s="9"/>
      <c r="G11" s="10"/>
      <c r="H11" s="10"/>
      <c r="I11" s="10"/>
      <c r="J11" s="15" t="s">
        <v>1</v>
      </c>
      <c r="K11" s="15" t="s">
        <v>1</v>
      </c>
      <c r="L11" s="15" t="s">
        <v>1</v>
      </c>
      <c r="M11" s="15" t="s">
        <v>1</v>
      </c>
      <c r="N11" s="10"/>
      <c r="O11" s="10"/>
      <c r="P11" s="10"/>
      <c r="Q11" s="18" t="s">
        <v>1</v>
      </c>
      <c r="R11" s="18" t="s">
        <v>1</v>
      </c>
      <c r="S11" s="10"/>
      <c r="T11" s="10"/>
      <c r="U11" s="10"/>
      <c r="V11" s="10"/>
      <c r="W11" s="10"/>
      <c r="X11" s="10"/>
      <c r="Y11" s="10"/>
      <c r="Z11" s="19"/>
      <c r="AA11" s="5"/>
      <c r="AB11" s="5"/>
      <c r="AC11" s="5"/>
    </row>
    <row r="12" spans="1:29" ht="20.100000000000001" customHeight="1" x14ac:dyDescent="0.25">
      <c r="A12" s="33">
        <v>9</v>
      </c>
      <c r="B12" s="34" t="s">
        <v>20</v>
      </c>
      <c r="C12" s="34" t="s">
        <v>29</v>
      </c>
      <c r="D12" s="35">
        <v>7.4511340081200002E-3</v>
      </c>
      <c r="E12" s="36" t="s">
        <v>17</v>
      </c>
      <c r="F12" s="14" t="s">
        <v>1</v>
      </c>
      <c r="G12" s="15" t="s">
        <v>1</v>
      </c>
      <c r="H12" s="15" t="s">
        <v>1</v>
      </c>
      <c r="I12" s="15" t="s">
        <v>1</v>
      </c>
      <c r="J12" s="10"/>
      <c r="K12" s="10"/>
      <c r="L12" s="10"/>
      <c r="M12" s="10"/>
      <c r="N12" s="15" t="s">
        <v>1</v>
      </c>
      <c r="O12" s="15" t="s">
        <v>1</v>
      </c>
      <c r="P12" s="15" t="s">
        <v>1</v>
      </c>
      <c r="Q12" s="18" t="s">
        <v>1</v>
      </c>
      <c r="R12" s="18" t="s">
        <v>1</v>
      </c>
      <c r="S12" s="15" t="s">
        <v>1</v>
      </c>
      <c r="T12" s="10"/>
      <c r="U12" s="15" t="s">
        <v>1</v>
      </c>
      <c r="V12" s="15" t="s">
        <v>1</v>
      </c>
      <c r="W12" s="15" t="s">
        <v>1</v>
      </c>
      <c r="X12" s="15" t="s">
        <v>1</v>
      </c>
      <c r="Y12" s="15" t="s">
        <v>1</v>
      </c>
      <c r="Z12" s="37" t="s">
        <v>1</v>
      </c>
      <c r="AA12" s="5"/>
      <c r="AB12" s="5"/>
      <c r="AC12" s="5"/>
    </row>
    <row r="13" spans="1:29" ht="20.100000000000001" customHeight="1" x14ac:dyDescent="0.25">
      <c r="A13" s="33">
        <v>10</v>
      </c>
      <c r="B13" s="34" t="s">
        <v>85</v>
      </c>
      <c r="C13" s="34" t="s">
        <v>30</v>
      </c>
      <c r="D13" s="35">
        <v>0.24309607308600001</v>
      </c>
      <c r="E13" s="36" t="s">
        <v>25</v>
      </c>
      <c r="F13" s="9"/>
      <c r="G13" s="10"/>
      <c r="H13" s="10"/>
      <c r="I13" s="10"/>
      <c r="J13" s="15" t="s">
        <v>1</v>
      </c>
      <c r="K13" s="15" t="s">
        <v>1</v>
      </c>
      <c r="L13" s="15" t="s">
        <v>1</v>
      </c>
      <c r="M13" s="15" t="s">
        <v>1</v>
      </c>
      <c r="N13" s="10"/>
      <c r="O13" s="10"/>
      <c r="P13" s="10"/>
      <c r="Q13" s="18" t="s">
        <v>1</v>
      </c>
      <c r="R13" s="18" t="s">
        <v>1</v>
      </c>
      <c r="S13" s="10"/>
      <c r="T13" s="10"/>
      <c r="U13" s="10"/>
      <c r="V13" s="15" t="s">
        <v>1</v>
      </c>
      <c r="W13" s="10"/>
      <c r="X13" s="10"/>
      <c r="Y13" s="15" t="s">
        <v>1</v>
      </c>
      <c r="Z13" s="37" t="s">
        <v>1</v>
      </c>
      <c r="AA13" s="5"/>
      <c r="AB13" s="5"/>
      <c r="AC13" s="5"/>
    </row>
    <row r="14" spans="1:29" ht="20.100000000000001" customHeight="1" x14ac:dyDescent="0.25">
      <c r="A14" s="33">
        <v>11</v>
      </c>
      <c r="B14" s="34" t="s">
        <v>31</v>
      </c>
      <c r="C14" s="34" t="s">
        <v>32</v>
      </c>
      <c r="D14" s="35">
        <v>5.1061635921438588</v>
      </c>
      <c r="E14" s="36" t="s">
        <v>25</v>
      </c>
      <c r="F14" s="9"/>
      <c r="G14" s="10"/>
      <c r="H14" s="10"/>
      <c r="I14" s="10"/>
      <c r="J14" s="15" t="s">
        <v>1</v>
      </c>
      <c r="K14" s="15" t="s">
        <v>1</v>
      </c>
      <c r="L14" s="15" t="s">
        <v>1</v>
      </c>
      <c r="M14" s="15" t="s">
        <v>1</v>
      </c>
      <c r="N14" s="10"/>
      <c r="O14" s="10"/>
      <c r="P14" s="10"/>
      <c r="Q14" s="16"/>
      <c r="R14" s="16"/>
      <c r="S14" s="10"/>
      <c r="T14" s="10"/>
      <c r="U14" s="10"/>
      <c r="V14" s="10"/>
      <c r="W14" s="10"/>
      <c r="X14" s="10"/>
      <c r="Y14" s="10"/>
      <c r="Z14" s="19"/>
      <c r="AA14" s="5"/>
      <c r="AB14" s="5"/>
      <c r="AC14" s="5"/>
    </row>
    <row r="15" spans="1:29" ht="20.100000000000001" customHeight="1" x14ac:dyDescent="0.25">
      <c r="A15" s="33">
        <v>12</v>
      </c>
      <c r="B15" s="34" t="s">
        <v>85</v>
      </c>
      <c r="C15" s="34" t="s">
        <v>33</v>
      </c>
      <c r="D15" s="35">
        <v>0.16990707207799999</v>
      </c>
      <c r="E15" s="36" t="s">
        <v>17</v>
      </c>
      <c r="F15" s="14" t="s">
        <v>1</v>
      </c>
      <c r="G15" s="15" t="s">
        <v>1</v>
      </c>
      <c r="H15" s="15" t="s">
        <v>1</v>
      </c>
      <c r="I15" s="15" t="s">
        <v>1</v>
      </c>
      <c r="J15" s="10"/>
      <c r="K15" s="10"/>
      <c r="L15" s="10"/>
      <c r="M15" s="10"/>
      <c r="N15" s="15" t="s">
        <v>1</v>
      </c>
      <c r="O15" s="15" t="s">
        <v>1</v>
      </c>
      <c r="P15" s="15" t="s">
        <v>1</v>
      </c>
      <c r="Q15" s="18" t="s">
        <v>1</v>
      </c>
      <c r="R15" s="18" t="s">
        <v>1</v>
      </c>
      <c r="S15" s="15" t="s">
        <v>1</v>
      </c>
      <c r="T15" s="10"/>
      <c r="U15" s="15" t="s">
        <v>1</v>
      </c>
      <c r="V15" s="15" t="s">
        <v>1</v>
      </c>
      <c r="W15" s="15" t="s">
        <v>1</v>
      </c>
      <c r="X15" s="15" t="s">
        <v>1</v>
      </c>
      <c r="Y15" s="15" t="s">
        <v>1</v>
      </c>
      <c r="Z15" s="37" t="s">
        <v>1</v>
      </c>
      <c r="AA15" s="5"/>
      <c r="AB15" s="5"/>
      <c r="AC15" s="5"/>
    </row>
    <row r="16" spans="1:29" ht="20.100000000000001" customHeight="1" x14ac:dyDescent="0.25">
      <c r="A16" s="33">
        <v>13</v>
      </c>
      <c r="B16" s="34" t="s">
        <v>20</v>
      </c>
      <c r="C16" s="34" t="s">
        <v>34</v>
      </c>
      <c r="D16" s="35">
        <v>1.25822000092E-2</v>
      </c>
      <c r="E16" s="36" t="s">
        <v>17</v>
      </c>
      <c r="F16" s="14" t="s">
        <v>1</v>
      </c>
      <c r="G16" s="15" t="s">
        <v>1</v>
      </c>
      <c r="H16" s="15" t="s">
        <v>1</v>
      </c>
      <c r="I16" s="15" t="s">
        <v>1</v>
      </c>
      <c r="J16" s="10"/>
      <c r="K16" s="10"/>
      <c r="L16" s="10"/>
      <c r="M16" s="10"/>
      <c r="N16" s="15" t="s">
        <v>1</v>
      </c>
      <c r="O16" s="15" t="s">
        <v>1</v>
      </c>
      <c r="P16" s="15" t="s">
        <v>1</v>
      </c>
      <c r="Q16" s="18" t="s">
        <v>1</v>
      </c>
      <c r="R16" s="18" t="s">
        <v>1</v>
      </c>
      <c r="S16" s="15" t="s">
        <v>1</v>
      </c>
      <c r="T16" s="10"/>
      <c r="U16" s="15" t="s">
        <v>1</v>
      </c>
      <c r="V16" s="15" t="s">
        <v>1</v>
      </c>
      <c r="W16" s="15" t="s">
        <v>1</v>
      </c>
      <c r="X16" s="15" t="s">
        <v>1</v>
      </c>
      <c r="Y16" s="15" t="s">
        <v>1</v>
      </c>
      <c r="Z16" s="37" t="s">
        <v>1</v>
      </c>
      <c r="AA16" s="5"/>
      <c r="AB16" s="5"/>
      <c r="AC16" s="5"/>
    </row>
    <row r="17" spans="1:29" ht="20.100000000000001" customHeight="1" x14ac:dyDescent="0.25">
      <c r="A17" s="33">
        <v>14</v>
      </c>
      <c r="B17" s="34" t="s">
        <v>20</v>
      </c>
      <c r="C17" s="34" t="s">
        <v>35</v>
      </c>
      <c r="D17" s="35">
        <v>0.01</v>
      </c>
      <c r="E17" s="36" t="s">
        <v>17</v>
      </c>
      <c r="F17" s="14" t="s">
        <v>1</v>
      </c>
      <c r="G17" s="15" t="s">
        <v>1</v>
      </c>
      <c r="H17" s="15" t="s">
        <v>1</v>
      </c>
      <c r="I17" s="15" t="s">
        <v>1</v>
      </c>
      <c r="J17" s="10"/>
      <c r="K17" s="10"/>
      <c r="L17" s="10"/>
      <c r="M17" s="10"/>
      <c r="N17" s="15" t="s">
        <v>1</v>
      </c>
      <c r="O17" s="15" t="s">
        <v>1</v>
      </c>
      <c r="P17" s="15" t="s">
        <v>1</v>
      </c>
      <c r="Q17" s="16"/>
      <c r="R17" s="16"/>
      <c r="S17" s="15" t="s">
        <v>1</v>
      </c>
      <c r="T17" s="10"/>
      <c r="U17" s="15" t="s">
        <v>1</v>
      </c>
      <c r="V17" s="15" t="s">
        <v>1</v>
      </c>
      <c r="W17" s="15" t="s">
        <v>1</v>
      </c>
      <c r="X17" s="15" t="s">
        <v>1</v>
      </c>
      <c r="Y17" s="15" t="s">
        <v>1</v>
      </c>
      <c r="Z17" s="37" t="s">
        <v>1</v>
      </c>
      <c r="AA17" s="5"/>
      <c r="AB17" s="5"/>
      <c r="AC17" s="5"/>
    </row>
    <row r="18" spans="1:29" ht="20.100000000000001" customHeight="1" x14ac:dyDescent="0.25">
      <c r="A18" s="33">
        <v>15</v>
      </c>
      <c r="B18" s="34" t="s">
        <v>36</v>
      </c>
      <c r="C18" s="34" t="s">
        <v>37</v>
      </c>
      <c r="D18" s="35">
        <v>1.45</v>
      </c>
      <c r="E18" s="36" t="s">
        <v>25</v>
      </c>
      <c r="F18" s="9"/>
      <c r="G18" s="10"/>
      <c r="H18" s="10"/>
      <c r="I18" s="10"/>
      <c r="J18" s="15" t="s">
        <v>1</v>
      </c>
      <c r="K18" s="15" t="s">
        <v>1</v>
      </c>
      <c r="L18" s="15" t="s">
        <v>1</v>
      </c>
      <c r="M18" s="15" t="s">
        <v>1</v>
      </c>
      <c r="N18" s="10"/>
      <c r="O18" s="10"/>
      <c r="P18" s="10"/>
      <c r="Q18" s="18" t="s">
        <v>1</v>
      </c>
      <c r="R18" s="18" t="s">
        <v>1</v>
      </c>
      <c r="S18" s="10"/>
      <c r="T18" s="10"/>
      <c r="U18" s="10"/>
      <c r="V18" s="15"/>
      <c r="W18" s="10"/>
      <c r="X18" s="10"/>
      <c r="Y18" s="10"/>
      <c r="Z18" s="19"/>
      <c r="AA18" s="5"/>
      <c r="AB18" s="5"/>
      <c r="AC18" s="5"/>
    </row>
    <row r="19" spans="1:29" ht="20.100000000000001" customHeight="1" x14ac:dyDescent="0.25">
      <c r="A19" s="33">
        <v>16</v>
      </c>
      <c r="B19" s="34" t="s">
        <v>38</v>
      </c>
      <c r="C19" s="34" t="s">
        <v>39</v>
      </c>
      <c r="D19" s="35">
        <v>0.13</v>
      </c>
      <c r="E19" s="36" t="s">
        <v>25</v>
      </c>
      <c r="F19" s="9"/>
      <c r="G19" s="10"/>
      <c r="H19" s="10"/>
      <c r="I19" s="10"/>
      <c r="J19" s="15" t="s">
        <v>1</v>
      </c>
      <c r="K19" s="15" t="s">
        <v>1</v>
      </c>
      <c r="L19" s="15" t="s">
        <v>1</v>
      </c>
      <c r="M19" s="15" t="s">
        <v>1</v>
      </c>
      <c r="N19" s="10"/>
      <c r="O19" s="10"/>
      <c r="P19" s="10"/>
      <c r="Q19" s="18" t="s">
        <v>1</v>
      </c>
      <c r="R19" s="18" t="s">
        <v>1</v>
      </c>
      <c r="S19" s="10"/>
      <c r="T19" s="10"/>
      <c r="U19" s="10"/>
      <c r="V19" s="15" t="s">
        <v>1</v>
      </c>
      <c r="W19" s="10"/>
      <c r="X19" s="10"/>
      <c r="Y19" s="15" t="s">
        <v>1</v>
      </c>
      <c r="Z19" s="37" t="s">
        <v>1</v>
      </c>
      <c r="AA19" s="5"/>
      <c r="AB19" s="5"/>
      <c r="AC19" s="5"/>
    </row>
    <row r="20" spans="1:29" ht="20.100000000000001" customHeight="1" x14ac:dyDescent="0.25">
      <c r="A20" s="33">
        <v>17</v>
      </c>
      <c r="B20" s="34" t="s">
        <v>38</v>
      </c>
      <c r="C20" s="34" t="s">
        <v>40</v>
      </c>
      <c r="D20" s="35">
        <v>0.9</v>
      </c>
      <c r="E20" s="36" t="s">
        <v>25</v>
      </c>
      <c r="F20" s="9"/>
      <c r="G20" s="10"/>
      <c r="H20" s="10"/>
      <c r="I20" s="10"/>
      <c r="J20" s="15" t="s">
        <v>1</v>
      </c>
      <c r="K20" s="15" t="s">
        <v>1</v>
      </c>
      <c r="L20" s="15" t="s">
        <v>1</v>
      </c>
      <c r="M20" s="15" t="s">
        <v>1</v>
      </c>
      <c r="N20" s="10"/>
      <c r="O20" s="10"/>
      <c r="P20" s="10"/>
      <c r="Q20" s="18" t="s">
        <v>1</v>
      </c>
      <c r="R20" s="18" t="s">
        <v>1</v>
      </c>
      <c r="S20" s="10"/>
      <c r="T20" s="10"/>
      <c r="U20" s="10"/>
      <c r="V20" s="15" t="s">
        <v>1</v>
      </c>
      <c r="W20" s="10"/>
      <c r="X20" s="10"/>
      <c r="Y20" s="15" t="s">
        <v>1</v>
      </c>
      <c r="Z20" s="37" t="s">
        <v>1</v>
      </c>
      <c r="AA20" s="5"/>
      <c r="AB20" s="5"/>
      <c r="AC20" s="5"/>
    </row>
    <row r="21" spans="1:29" ht="20.100000000000001" customHeight="1" x14ac:dyDescent="0.25">
      <c r="A21" s="33">
        <v>18</v>
      </c>
      <c r="B21" s="34" t="s">
        <v>18</v>
      </c>
      <c r="C21" s="34" t="s">
        <v>41</v>
      </c>
      <c r="D21" s="35">
        <v>0.76603454045699992</v>
      </c>
      <c r="E21" s="36" t="s">
        <v>25</v>
      </c>
      <c r="F21" s="9"/>
      <c r="G21" s="10"/>
      <c r="H21" s="10"/>
      <c r="I21" s="10"/>
      <c r="J21" s="15" t="s">
        <v>1</v>
      </c>
      <c r="K21" s="15" t="s">
        <v>1</v>
      </c>
      <c r="L21" s="15" t="s">
        <v>1</v>
      </c>
      <c r="M21" s="15" t="s">
        <v>1</v>
      </c>
      <c r="N21" s="10"/>
      <c r="O21" s="10"/>
      <c r="P21" s="10"/>
      <c r="Q21" s="18" t="s">
        <v>1</v>
      </c>
      <c r="R21" s="18" t="s">
        <v>1</v>
      </c>
      <c r="S21" s="10"/>
      <c r="T21" s="10"/>
      <c r="U21" s="10"/>
      <c r="V21" s="15" t="s">
        <v>1</v>
      </c>
      <c r="W21" s="10"/>
      <c r="X21" s="10"/>
      <c r="Y21" s="15" t="s">
        <v>1</v>
      </c>
      <c r="Z21" s="37" t="s">
        <v>1</v>
      </c>
      <c r="AA21" s="5"/>
      <c r="AB21" s="5"/>
      <c r="AC21" s="5"/>
    </row>
    <row r="22" spans="1:29" ht="20.100000000000001" customHeight="1" x14ac:dyDescent="0.25">
      <c r="A22" s="33">
        <v>19</v>
      </c>
      <c r="B22" s="34" t="s">
        <v>42</v>
      </c>
      <c r="C22" s="34" t="s">
        <v>43</v>
      </c>
      <c r="D22" s="35">
        <v>1.1530118376322001</v>
      </c>
      <c r="E22" s="36" t="s">
        <v>25</v>
      </c>
      <c r="F22" s="9"/>
      <c r="G22" s="10"/>
      <c r="H22" s="10"/>
      <c r="I22" s="10"/>
      <c r="J22" s="15" t="s">
        <v>1</v>
      </c>
      <c r="K22" s="15" t="s">
        <v>1</v>
      </c>
      <c r="L22" s="15" t="s">
        <v>1</v>
      </c>
      <c r="M22" s="15" t="s">
        <v>1</v>
      </c>
      <c r="N22" s="10"/>
      <c r="O22" s="10"/>
      <c r="P22" s="10"/>
      <c r="Q22" s="18" t="s">
        <v>1</v>
      </c>
      <c r="R22" s="18" t="s">
        <v>1</v>
      </c>
      <c r="S22" s="10"/>
      <c r="T22" s="10"/>
      <c r="U22" s="10"/>
      <c r="V22" s="15"/>
      <c r="W22" s="10"/>
      <c r="X22" s="10"/>
      <c r="Y22" s="10"/>
      <c r="Z22" s="19"/>
      <c r="AA22" s="5"/>
      <c r="AB22" s="5"/>
      <c r="AC22" s="5"/>
    </row>
    <row r="23" spans="1:29" ht="20.100000000000001" customHeight="1" x14ac:dyDescent="0.25">
      <c r="A23" s="33">
        <v>20</v>
      </c>
      <c r="B23" s="34" t="s">
        <v>38</v>
      </c>
      <c r="C23" s="34" t="s">
        <v>44</v>
      </c>
      <c r="D23" s="35">
        <v>4.6064405959600006</v>
      </c>
      <c r="E23" s="36" t="s">
        <v>25</v>
      </c>
      <c r="F23" s="9"/>
      <c r="G23" s="10"/>
      <c r="H23" s="10"/>
      <c r="I23" s="10"/>
      <c r="J23" s="15" t="s">
        <v>1</v>
      </c>
      <c r="K23" s="15" t="s">
        <v>1</v>
      </c>
      <c r="L23" s="15" t="s">
        <v>1</v>
      </c>
      <c r="M23" s="15" t="s">
        <v>1</v>
      </c>
      <c r="N23" s="10"/>
      <c r="O23" s="10"/>
      <c r="P23" s="10"/>
      <c r="Q23" s="18" t="s">
        <v>1</v>
      </c>
      <c r="R23" s="18" t="s">
        <v>1</v>
      </c>
      <c r="S23" s="10"/>
      <c r="T23" s="10"/>
      <c r="U23" s="10"/>
      <c r="V23" s="15" t="s">
        <v>1</v>
      </c>
      <c r="W23" s="10"/>
      <c r="X23" s="10"/>
      <c r="Y23" s="15" t="s">
        <v>1</v>
      </c>
      <c r="Z23" s="37" t="s">
        <v>1</v>
      </c>
      <c r="AA23" s="5"/>
      <c r="AB23" s="5"/>
      <c r="AC23" s="5"/>
    </row>
    <row r="24" spans="1:29" ht="20.100000000000001" customHeight="1" x14ac:dyDescent="0.25">
      <c r="A24" s="33">
        <v>21</v>
      </c>
      <c r="B24" s="34" t="s">
        <v>45</v>
      </c>
      <c r="C24" s="34" t="s">
        <v>46</v>
      </c>
      <c r="D24" s="35">
        <v>3.5064035005999998</v>
      </c>
      <c r="E24" s="36" t="s">
        <v>17</v>
      </c>
      <c r="F24" s="14" t="s">
        <v>1</v>
      </c>
      <c r="G24" s="15" t="s">
        <v>1</v>
      </c>
      <c r="H24" s="15" t="s">
        <v>1</v>
      </c>
      <c r="I24" s="15" t="s">
        <v>1</v>
      </c>
      <c r="J24" s="10"/>
      <c r="K24" s="10"/>
      <c r="L24" s="10"/>
      <c r="M24" s="10"/>
      <c r="N24" s="15" t="s">
        <v>1</v>
      </c>
      <c r="O24" s="15" t="s">
        <v>1</v>
      </c>
      <c r="P24" s="15" t="s">
        <v>1</v>
      </c>
      <c r="Q24" s="16"/>
      <c r="R24" s="16"/>
      <c r="S24" s="15" t="s">
        <v>1</v>
      </c>
      <c r="T24" s="10"/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37" t="s">
        <v>1</v>
      </c>
      <c r="AA24" s="5"/>
      <c r="AB24" s="5"/>
      <c r="AC24" s="5"/>
    </row>
    <row r="25" spans="1:29" ht="20.100000000000001" customHeight="1" x14ac:dyDescent="0.25">
      <c r="A25" s="33" t="s">
        <v>92</v>
      </c>
      <c r="B25" s="34" t="s">
        <v>47</v>
      </c>
      <c r="C25" s="34" t="s">
        <v>84</v>
      </c>
      <c r="D25" s="35">
        <v>0.44</v>
      </c>
      <c r="E25" s="36" t="s">
        <v>25</v>
      </c>
      <c r="F25" s="9"/>
      <c r="G25" s="10"/>
      <c r="H25" s="10"/>
      <c r="I25" s="10"/>
      <c r="J25" s="15" t="s">
        <v>1</v>
      </c>
      <c r="K25" s="10"/>
      <c r="L25" s="10"/>
      <c r="M25" s="15" t="s">
        <v>1</v>
      </c>
      <c r="N25" s="10"/>
      <c r="O25" s="10"/>
      <c r="P25" s="10"/>
      <c r="Q25" s="18" t="s">
        <v>1</v>
      </c>
      <c r="R25" s="18" t="s">
        <v>1</v>
      </c>
      <c r="S25" s="10"/>
      <c r="T25" s="10"/>
      <c r="U25" s="10"/>
      <c r="V25" s="15" t="s">
        <v>1</v>
      </c>
      <c r="W25" s="10"/>
      <c r="X25" s="10"/>
      <c r="Y25" s="15" t="s">
        <v>1</v>
      </c>
      <c r="Z25" s="37" t="s">
        <v>1</v>
      </c>
      <c r="AA25" s="5"/>
      <c r="AB25" s="5"/>
      <c r="AC25" s="5"/>
    </row>
    <row r="26" spans="1:29" ht="20.100000000000001" customHeight="1" x14ac:dyDescent="0.25">
      <c r="A26" s="33" t="s">
        <v>93</v>
      </c>
      <c r="B26" s="70" t="s">
        <v>62</v>
      </c>
      <c r="C26" s="70" t="s">
        <v>63</v>
      </c>
      <c r="D26" s="71">
        <v>2.39977926194</v>
      </c>
      <c r="E26" s="72" t="s">
        <v>17</v>
      </c>
      <c r="F26" s="73" t="s">
        <v>1</v>
      </c>
      <c r="G26" s="74" t="s">
        <v>1</v>
      </c>
      <c r="H26" s="74" t="s">
        <v>1</v>
      </c>
      <c r="I26" s="74" t="s">
        <v>1</v>
      </c>
      <c r="J26" s="75"/>
      <c r="K26" s="75"/>
      <c r="L26" s="75"/>
      <c r="M26" s="75"/>
      <c r="N26" s="74" t="s">
        <v>1</v>
      </c>
      <c r="O26" s="74" t="s">
        <v>1</v>
      </c>
      <c r="P26" s="74" t="s">
        <v>1</v>
      </c>
      <c r="Q26" s="76" t="s">
        <v>1</v>
      </c>
      <c r="R26" s="76" t="s">
        <v>1</v>
      </c>
      <c r="S26" s="74" t="s">
        <v>1</v>
      </c>
      <c r="T26" s="75"/>
      <c r="U26" s="74" t="s">
        <v>1</v>
      </c>
      <c r="V26" s="74" t="s">
        <v>1</v>
      </c>
      <c r="W26" s="74" t="s">
        <v>1</v>
      </c>
      <c r="X26" s="74" t="s">
        <v>1</v>
      </c>
      <c r="Y26" s="74" t="s">
        <v>1</v>
      </c>
      <c r="Z26" s="77" t="s">
        <v>1</v>
      </c>
      <c r="AA26" s="5"/>
      <c r="AB26" s="5"/>
      <c r="AC26" s="5"/>
    </row>
    <row r="27" spans="1:29" ht="20.100000000000001" customHeight="1" x14ac:dyDescent="0.25">
      <c r="A27" s="33">
        <v>23</v>
      </c>
      <c r="B27" s="34" t="s">
        <v>45</v>
      </c>
      <c r="C27" s="34" t="s">
        <v>48</v>
      </c>
      <c r="D27" s="35">
        <v>0.64859155318100004</v>
      </c>
      <c r="E27" s="36" t="s">
        <v>17</v>
      </c>
      <c r="F27" s="14" t="s">
        <v>1</v>
      </c>
      <c r="G27" s="15" t="s">
        <v>1</v>
      </c>
      <c r="H27" s="15" t="s">
        <v>1</v>
      </c>
      <c r="I27" s="15" t="s">
        <v>1</v>
      </c>
      <c r="J27" s="10"/>
      <c r="K27" s="10"/>
      <c r="L27" s="10"/>
      <c r="M27" s="10"/>
      <c r="N27" s="15" t="s">
        <v>1</v>
      </c>
      <c r="O27" s="15" t="s">
        <v>1</v>
      </c>
      <c r="P27" s="15" t="s">
        <v>1</v>
      </c>
      <c r="Q27" s="18" t="s">
        <v>1</v>
      </c>
      <c r="R27" s="18" t="s">
        <v>1</v>
      </c>
      <c r="S27" s="15" t="s">
        <v>1</v>
      </c>
      <c r="T27" s="10"/>
      <c r="U27" s="15" t="s">
        <v>1</v>
      </c>
      <c r="V27" s="15" t="s">
        <v>1</v>
      </c>
      <c r="W27" s="15" t="s">
        <v>1</v>
      </c>
      <c r="X27" s="15" t="s">
        <v>1</v>
      </c>
      <c r="Y27" s="15" t="s">
        <v>1</v>
      </c>
      <c r="Z27" s="37" t="s">
        <v>1</v>
      </c>
      <c r="AA27" s="5"/>
      <c r="AB27" s="5"/>
      <c r="AC27" s="5"/>
    </row>
    <row r="28" spans="1:29" ht="20.100000000000001" customHeight="1" x14ac:dyDescent="0.25">
      <c r="A28" s="33">
        <v>24</v>
      </c>
      <c r="B28" s="34" t="s">
        <v>94</v>
      </c>
      <c r="C28" s="34" t="s">
        <v>49</v>
      </c>
      <c r="D28" s="35">
        <v>0.22530021889429999</v>
      </c>
      <c r="E28" s="36" t="s">
        <v>25</v>
      </c>
      <c r="F28" s="9"/>
      <c r="G28" s="10"/>
      <c r="H28" s="10"/>
      <c r="I28" s="10"/>
      <c r="J28" s="15" t="s">
        <v>1</v>
      </c>
      <c r="K28" s="10"/>
      <c r="L28" s="10"/>
      <c r="M28" s="15" t="s">
        <v>1</v>
      </c>
      <c r="N28" s="10"/>
      <c r="O28" s="10"/>
      <c r="P28" s="10"/>
      <c r="Q28" s="18" t="s">
        <v>1</v>
      </c>
      <c r="R28" s="18" t="s">
        <v>1</v>
      </c>
      <c r="S28" s="10"/>
      <c r="T28" s="10"/>
      <c r="U28" s="10"/>
      <c r="V28" s="15" t="s">
        <v>1</v>
      </c>
      <c r="W28" s="10"/>
      <c r="X28" s="10"/>
      <c r="Y28" s="15" t="s">
        <v>1</v>
      </c>
      <c r="Z28" s="37" t="s">
        <v>1</v>
      </c>
      <c r="AA28" s="5"/>
      <c r="AB28" s="5"/>
      <c r="AC28" s="5"/>
    </row>
    <row r="29" spans="1:29" ht="20.100000000000001" customHeight="1" x14ac:dyDescent="0.25">
      <c r="A29" s="33">
        <v>25</v>
      </c>
      <c r="B29" s="34" t="s">
        <v>50</v>
      </c>
      <c r="C29" s="34" t="s">
        <v>51</v>
      </c>
      <c r="D29" s="35">
        <v>0.94184098605199995</v>
      </c>
      <c r="E29" s="36" t="s">
        <v>25</v>
      </c>
      <c r="F29" s="9"/>
      <c r="G29" s="10"/>
      <c r="H29" s="10"/>
      <c r="I29" s="10"/>
      <c r="J29" s="15" t="s">
        <v>1</v>
      </c>
      <c r="K29" s="15" t="s">
        <v>1</v>
      </c>
      <c r="L29" s="15" t="s">
        <v>1</v>
      </c>
      <c r="M29" s="15" t="s">
        <v>1</v>
      </c>
      <c r="N29" s="10"/>
      <c r="O29" s="10"/>
      <c r="P29" s="10"/>
      <c r="Q29" s="18" t="s">
        <v>1</v>
      </c>
      <c r="R29" s="18" t="s">
        <v>1</v>
      </c>
      <c r="S29" s="10"/>
      <c r="T29" s="10"/>
      <c r="U29" s="10"/>
      <c r="V29" s="15" t="s">
        <v>1</v>
      </c>
      <c r="W29" s="10"/>
      <c r="X29" s="10"/>
      <c r="Y29" s="15" t="s">
        <v>1</v>
      </c>
      <c r="Z29" s="37" t="s">
        <v>1</v>
      </c>
      <c r="AA29" s="5"/>
      <c r="AB29" s="5"/>
      <c r="AC29" s="5"/>
    </row>
    <row r="30" spans="1:29" ht="20.100000000000001" customHeight="1" x14ac:dyDescent="0.25">
      <c r="A30" s="33">
        <v>26</v>
      </c>
      <c r="B30" s="34" t="s">
        <v>20</v>
      </c>
      <c r="C30" s="34" t="s">
        <v>52</v>
      </c>
      <c r="D30" s="35">
        <v>1.05936192371E-2</v>
      </c>
      <c r="E30" s="36" t="s">
        <v>25</v>
      </c>
      <c r="F30" s="9"/>
      <c r="G30" s="10"/>
      <c r="H30" s="10"/>
      <c r="I30" s="10"/>
      <c r="J30" s="15" t="s">
        <v>1</v>
      </c>
      <c r="K30" s="15" t="s">
        <v>1</v>
      </c>
      <c r="L30" s="15" t="s">
        <v>1</v>
      </c>
      <c r="M30" s="15" t="s">
        <v>1</v>
      </c>
      <c r="N30" s="10"/>
      <c r="O30" s="10"/>
      <c r="P30" s="10"/>
      <c r="Q30" s="18" t="s">
        <v>1</v>
      </c>
      <c r="R30" s="18" t="s">
        <v>1</v>
      </c>
      <c r="S30" s="10"/>
      <c r="T30" s="10"/>
      <c r="U30" s="10"/>
      <c r="V30" s="15" t="s">
        <v>1</v>
      </c>
      <c r="W30" s="10"/>
      <c r="X30" s="10"/>
      <c r="Y30" s="15" t="s">
        <v>1</v>
      </c>
      <c r="Z30" s="37" t="s">
        <v>1</v>
      </c>
      <c r="AA30" s="5"/>
      <c r="AB30" s="5"/>
      <c r="AC30" s="5"/>
    </row>
    <row r="31" spans="1:29" ht="20.100000000000001" customHeight="1" x14ac:dyDescent="0.25">
      <c r="A31" s="33">
        <v>27</v>
      </c>
      <c r="B31" s="34" t="s">
        <v>53</v>
      </c>
      <c r="C31" s="34" t="s">
        <v>54</v>
      </c>
      <c r="D31" s="35">
        <v>0.88</v>
      </c>
      <c r="E31" s="36" t="s">
        <v>25</v>
      </c>
      <c r="F31" s="9"/>
      <c r="G31" s="10"/>
      <c r="H31" s="10"/>
      <c r="I31" s="10"/>
      <c r="J31" s="15" t="s">
        <v>1</v>
      </c>
      <c r="K31" s="15" t="s">
        <v>1</v>
      </c>
      <c r="L31" s="15" t="s">
        <v>1</v>
      </c>
      <c r="M31" s="15" t="s">
        <v>1</v>
      </c>
      <c r="N31" s="10"/>
      <c r="O31" s="10"/>
      <c r="P31" s="10"/>
      <c r="Q31" s="18" t="s">
        <v>1</v>
      </c>
      <c r="R31" s="18" t="s">
        <v>1</v>
      </c>
      <c r="S31" s="10"/>
      <c r="T31" s="10"/>
      <c r="U31" s="10"/>
      <c r="V31" s="15" t="s">
        <v>1</v>
      </c>
      <c r="W31" s="10"/>
      <c r="X31" s="10"/>
      <c r="Y31" s="15" t="s">
        <v>1</v>
      </c>
      <c r="Z31" s="37" t="s">
        <v>1</v>
      </c>
      <c r="AA31" s="5"/>
      <c r="AB31" s="5"/>
      <c r="AC31" s="5"/>
    </row>
    <row r="32" spans="1:29" ht="20.100000000000001" customHeight="1" x14ac:dyDescent="0.25">
      <c r="A32" s="33">
        <v>28</v>
      </c>
      <c r="B32" s="34" t="s">
        <v>38</v>
      </c>
      <c r="C32" s="34" t="s">
        <v>55</v>
      </c>
      <c r="D32" s="35">
        <v>3.3178743271975999</v>
      </c>
      <c r="E32" s="36" t="s">
        <v>25</v>
      </c>
      <c r="F32" s="9"/>
      <c r="G32" s="10"/>
      <c r="H32" s="10"/>
      <c r="I32" s="10"/>
      <c r="J32" s="15" t="s">
        <v>1</v>
      </c>
      <c r="K32" s="15" t="s">
        <v>1</v>
      </c>
      <c r="L32" s="15" t="s">
        <v>1</v>
      </c>
      <c r="M32" s="15" t="s">
        <v>1</v>
      </c>
      <c r="N32" s="10"/>
      <c r="O32" s="10"/>
      <c r="P32" s="10"/>
      <c r="Q32" s="18" t="s">
        <v>1</v>
      </c>
      <c r="R32" s="18" t="s">
        <v>1</v>
      </c>
      <c r="S32" s="10"/>
      <c r="T32" s="10"/>
      <c r="U32" s="10"/>
      <c r="V32" s="15" t="s">
        <v>1</v>
      </c>
      <c r="W32" s="10"/>
      <c r="X32" s="10"/>
      <c r="Y32" s="15" t="s">
        <v>1</v>
      </c>
      <c r="Z32" s="37" t="s">
        <v>1</v>
      </c>
      <c r="AA32" s="5"/>
      <c r="AB32" s="5"/>
      <c r="AC32" s="5"/>
    </row>
    <row r="33" spans="1:29" ht="20.100000000000001" customHeight="1" x14ac:dyDescent="0.25">
      <c r="A33" s="33">
        <v>29</v>
      </c>
      <c r="B33" s="34" t="s">
        <v>20</v>
      </c>
      <c r="C33" s="34" t="s">
        <v>56</v>
      </c>
      <c r="D33" s="35">
        <v>0.233932512491</v>
      </c>
      <c r="E33" s="36" t="s">
        <v>17</v>
      </c>
      <c r="F33" s="14" t="s">
        <v>1</v>
      </c>
      <c r="G33" s="15" t="s">
        <v>1</v>
      </c>
      <c r="H33" s="15" t="s">
        <v>1</v>
      </c>
      <c r="I33" s="15" t="s">
        <v>1</v>
      </c>
      <c r="J33" s="10"/>
      <c r="K33" s="10"/>
      <c r="L33" s="10"/>
      <c r="M33" s="10"/>
      <c r="N33" s="15" t="s">
        <v>1</v>
      </c>
      <c r="O33" s="15" t="s">
        <v>1</v>
      </c>
      <c r="P33" s="15" t="s">
        <v>1</v>
      </c>
      <c r="Q33" s="18" t="s">
        <v>1</v>
      </c>
      <c r="R33" s="18" t="s">
        <v>1</v>
      </c>
      <c r="S33" s="15" t="s">
        <v>1</v>
      </c>
      <c r="T33" s="10"/>
      <c r="U33" s="15" t="s">
        <v>1</v>
      </c>
      <c r="V33" s="15" t="s">
        <v>1</v>
      </c>
      <c r="W33" s="15" t="s">
        <v>1</v>
      </c>
      <c r="X33" s="15" t="s">
        <v>1</v>
      </c>
      <c r="Y33" s="15" t="s">
        <v>1</v>
      </c>
      <c r="Z33" s="37" t="s">
        <v>1</v>
      </c>
      <c r="AA33" s="5"/>
      <c r="AB33" s="5"/>
      <c r="AC33" s="5"/>
    </row>
    <row r="34" spans="1:29" ht="20.100000000000001" customHeight="1" x14ac:dyDescent="0.25">
      <c r="A34" s="33">
        <v>30</v>
      </c>
      <c r="B34" s="34" t="s">
        <v>57</v>
      </c>
      <c r="C34" s="34" t="s">
        <v>58</v>
      </c>
      <c r="D34" s="35">
        <v>0.55725445281499997</v>
      </c>
      <c r="E34" s="36" t="s">
        <v>25</v>
      </c>
      <c r="F34" s="9"/>
      <c r="G34" s="10"/>
      <c r="H34" s="10"/>
      <c r="I34" s="10"/>
      <c r="J34" s="15" t="s">
        <v>1</v>
      </c>
      <c r="K34" s="15" t="s">
        <v>1</v>
      </c>
      <c r="L34" s="15" t="s">
        <v>1</v>
      </c>
      <c r="M34" s="15" t="s">
        <v>1</v>
      </c>
      <c r="N34" s="10"/>
      <c r="O34" s="10"/>
      <c r="P34" s="10"/>
      <c r="Q34" s="18" t="s">
        <v>1</v>
      </c>
      <c r="R34" s="18" t="s">
        <v>1</v>
      </c>
      <c r="S34" s="10"/>
      <c r="T34" s="10"/>
      <c r="U34" s="10"/>
      <c r="V34" s="15" t="s">
        <v>1</v>
      </c>
      <c r="W34" s="10"/>
      <c r="X34" s="10"/>
      <c r="Y34" s="15" t="s">
        <v>1</v>
      </c>
      <c r="Z34" s="37" t="s">
        <v>1</v>
      </c>
      <c r="AA34" s="5"/>
      <c r="AB34" s="5"/>
      <c r="AC34" s="5"/>
    </row>
    <row r="35" spans="1:29" ht="20.100000000000001" customHeight="1" x14ac:dyDescent="0.25">
      <c r="A35" s="33">
        <v>31</v>
      </c>
      <c r="B35" s="34" t="s">
        <v>20</v>
      </c>
      <c r="C35" s="34" t="s">
        <v>29</v>
      </c>
      <c r="D35" s="35">
        <v>1.0759635408599999E-2</v>
      </c>
      <c r="E35" s="36" t="s">
        <v>17</v>
      </c>
      <c r="F35" s="14" t="s">
        <v>1</v>
      </c>
      <c r="G35" s="15" t="s">
        <v>1</v>
      </c>
      <c r="H35" s="15" t="s">
        <v>1</v>
      </c>
      <c r="I35" s="15" t="s">
        <v>1</v>
      </c>
      <c r="J35" s="10"/>
      <c r="K35" s="10"/>
      <c r="L35" s="10"/>
      <c r="M35" s="10"/>
      <c r="N35" s="15" t="s">
        <v>1</v>
      </c>
      <c r="O35" s="15" t="s">
        <v>1</v>
      </c>
      <c r="P35" s="15" t="s">
        <v>1</v>
      </c>
      <c r="Q35" s="18" t="s">
        <v>1</v>
      </c>
      <c r="R35" s="18" t="s">
        <v>1</v>
      </c>
      <c r="S35" s="15" t="s">
        <v>1</v>
      </c>
      <c r="T35" s="10"/>
      <c r="U35" s="15" t="s">
        <v>1</v>
      </c>
      <c r="V35" s="15" t="s">
        <v>1</v>
      </c>
      <c r="W35" s="15" t="s">
        <v>1</v>
      </c>
      <c r="X35" s="15" t="s">
        <v>1</v>
      </c>
      <c r="Y35" s="15" t="s">
        <v>1</v>
      </c>
      <c r="Z35" s="37" t="s">
        <v>1</v>
      </c>
      <c r="AA35" s="5"/>
      <c r="AB35" s="5"/>
      <c r="AC35" s="5"/>
    </row>
    <row r="36" spans="1:29" ht="20.100000000000001" customHeight="1" x14ac:dyDescent="0.25">
      <c r="A36" s="33">
        <v>32</v>
      </c>
      <c r="B36" s="34" t="s">
        <v>20</v>
      </c>
      <c r="C36" s="34" t="s">
        <v>39</v>
      </c>
      <c r="D36" s="35">
        <v>0.02</v>
      </c>
      <c r="E36" s="36" t="s">
        <v>17</v>
      </c>
      <c r="F36" s="14" t="s">
        <v>1</v>
      </c>
      <c r="G36" s="15" t="s">
        <v>1</v>
      </c>
      <c r="H36" s="15" t="s">
        <v>1</v>
      </c>
      <c r="I36" s="15" t="s">
        <v>1</v>
      </c>
      <c r="J36" s="10"/>
      <c r="K36" s="10"/>
      <c r="L36" s="10"/>
      <c r="M36" s="10"/>
      <c r="N36" s="15" t="s">
        <v>1</v>
      </c>
      <c r="O36" s="15" t="s">
        <v>1</v>
      </c>
      <c r="P36" s="15" t="s">
        <v>1</v>
      </c>
      <c r="Q36" s="18" t="s">
        <v>1</v>
      </c>
      <c r="R36" s="18" t="s">
        <v>1</v>
      </c>
      <c r="S36" s="15" t="s">
        <v>1</v>
      </c>
      <c r="T36" s="10"/>
      <c r="U36" s="15" t="s">
        <v>1</v>
      </c>
      <c r="V36" s="15" t="s">
        <v>1</v>
      </c>
      <c r="W36" s="15" t="s">
        <v>1</v>
      </c>
      <c r="X36" s="15" t="s">
        <v>1</v>
      </c>
      <c r="Y36" s="15" t="s">
        <v>1</v>
      </c>
      <c r="Z36" s="37" t="s">
        <v>1</v>
      </c>
      <c r="AA36" s="5"/>
      <c r="AB36" s="5"/>
      <c r="AC36" s="5"/>
    </row>
    <row r="37" spans="1:29" ht="20.100000000000001" customHeight="1" thickBot="1" x14ac:dyDescent="0.3">
      <c r="A37" s="82">
        <v>33</v>
      </c>
      <c r="B37" s="39" t="s">
        <v>59</v>
      </c>
      <c r="C37" s="39" t="s">
        <v>60</v>
      </c>
      <c r="D37" s="40">
        <v>0.49804972271096998</v>
      </c>
      <c r="E37" s="41" t="s">
        <v>25</v>
      </c>
      <c r="F37" s="83"/>
      <c r="G37" s="20"/>
      <c r="H37" s="20"/>
      <c r="I37" s="20"/>
      <c r="J37" s="43" t="s">
        <v>1</v>
      </c>
      <c r="K37" s="43" t="s">
        <v>1</v>
      </c>
      <c r="L37" s="43" t="s">
        <v>1</v>
      </c>
      <c r="M37" s="43" t="s">
        <v>1</v>
      </c>
      <c r="N37" s="20"/>
      <c r="O37" s="20"/>
      <c r="P37" s="20"/>
      <c r="Q37" s="44" t="s">
        <v>1</v>
      </c>
      <c r="R37" s="44" t="s">
        <v>1</v>
      </c>
      <c r="S37" s="20"/>
      <c r="T37" s="20"/>
      <c r="U37" s="20"/>
      <c r="V37" s="43" t="s">
        <v>1</v>
      </c>
      <c r="W37" s="20"/>
      <c r="X37" s="20"/>
      <c r="Y37" s="43" t="s">
        <v>1</v>
      </c>
      <c r="Z37" s="45" t="s">
        <v>1</v>
      </c>
      <c r="AA37" s="5"/>
      <c r="AB37" s="5"/>
      <c r="AC37" s="5"/>
    </row>
    <row r="38" spans="1:29" ht="42" customHeight="1" thickTop="1" x14ac:dyDescent="0.25">
      <c r="A38" s="78" t="s">
        <v>73</v>
      </c>
      <c r="B38" s="79"/>
      <c r="C38" s="79"/>
      <c r="D38" s="79"/>
      <c r="E38" s="80"/>
      <c r="F38" s="81">
        <f>SUM(F3:F37)</f>
        <v>0</v>
      </c>
      <c r="G38" s="12">
        <f>SUM(G3:G37)</f>
        <v>0</v>
      </c>
      <c r="H38" s="12">
        <f>SUM(H3:H37)</f>
        <v>0</v>
      </c>
      <c r="I38" s="12">
        <f>SUM(I3:I37)</f>
        <v>0</v>
      </c>
      <c r="J38" s="12">
        <f>SUM(J3:J37)</f>
        <v>0</v>
      </c>
      <c r="K38" s="12">
        <f>SUM(K3:K37)</f>
        <v>0</v>
      </c>
      <c r="L38" s="12">
        <f>SUM(L3:L37)</f>
        <v>0</v>
      </c>
      <c r="M38" s="12">
        <f>SUM(M3:M37)</f>
        <v>0</v>
      </c>
      <c r="N38" s="12">
        <f>SUM(N3:N37)</f>
        <v>0</v>
      </c>
      <c r="O38" s="12">
        <f>SUM(O3:O37)</f>
        <v>0</v>
      </c>
      <c r="P38" s="12">
        <f>SUM(P3:P37)</f>
        <v>0</v>
      </c>
      <c r="Q38" s="12">
        <f>SUM(Q3:Q37)</f>
        <v>0</v>
      </c>
      <c r="R38" s="12">
        <f>SUM(R3:R37)</f>
        <v>0</v>
      </c>
      <c r="S38" s="12">
        <f>SUM(S3:S37)</f>
        <v>0</v>
      </c>
      <c r="T38" s="12">
        <f>SUM(T3:T37)</f>
        <v>0</v>
      </c>
      <c r="U38" s="12">
        <f>SUM(U3:U37)</f>
        <v>0</v>
      </c>
      <c r="V38" s="12">
        <f>SUM(V3:V37)</f>
        <v>0</v>
      </c>
      <c r="W38" s="12">
        <f>SUM(W3:W37)</f>
        <v>0</v>
      </c>
      <c r="X38" s="12">
        <f>SUM(X3:X37)</f>
        <v>0</v>
      </c>
      <c r="Y38" s="12">
        <f>SUM(Y3:Y37)</f>
        <v>0</v>
      </c>
      <c r="Z38" s="32">
        <f>SUM(Z3:Z37)</f>
        <v>0</v>
      </c>
      <c r="AA38" s="5"/>
      <c r="AB38" s="5"/>
      <c r="AC38" s="5"/>
    </row>
    <row r="39" spans="1:29" ht="42" customHeight="1" x14ac:dyDescent="0.25">
      <c r="A39" s="64" t="s">
        <v>74</v>
      </c>
      <c r="B39" s="65"/>
      <c r="C39" s="65"/>
      <c r="D39" s="65"/>
      <c r="E39" s="66"/>
      <c r="F39" s="46">
        <v>38</v>
      </c>
      <c r="G39" s="15">
        <v>38</v>
      </c>
      <c r="H39" s="15">
        <v>38</v>
      </c>
      <c r="I39" s="15">
        <v>38</v>
      </c>
      <c r="J39" s="15">
        <v>19</v>
      </c>
      <c r="K39" s="15">
        <v>19</v>
      </c>
      <c r="L39" s="15">
        <v>19</v>
      </c>
      <c r="M39" s="15">
        <v>19</v>
      </c>
      <c r="N39" s="15">
        <v>6</v>
      </c>
      <c r="O39" s="15">
        <v>4</v>
      </c>
      <c r="P39" s="15">
        <v>1</v>
      </c>
      <c r="Q39" s="18">
        <v>19</v>
      </c>
      <c r="R39" s="18">
        <v>2</v>
      </c>
      <c r="S39" s="15">
        <v>2</v>
      </c>
      <c r="T39" s="15">
        <v>12</v>
      </c>
      <c r="U39" s="15">
        <v>12</v>
      </c>
      <c r="V39" s="15">
        <v>2</v>
      </c>
      <c r="W39" s="15">
        <v>12</v>
      </c>
      <c r="X39" s="15">
        <v>12</v>
      </c>
      <c r="Y39" s="15">
        <v>12</v>
      </c>
      <c r="Z39" s="37">
        <v>1</v>
      </c>
    </row>
    <row r="40" spans="1:29" ht="42" customHeight="1" thickBot="1" x14ac:dyDescent="0.3">
      <c r="A40" s="67" t="s">
        <v>75</v>
      </c>
      <c r="B40" s="68"/>
      <c r="C40" s="68"/>
      <c r="D40" s="68"/>
      <c r="E40" s="69"/>
      <c r="F40" s="47">
        <f>(F38*F39)</f>
        <v>0</v>
      </c>
      <c r="G40" s="42">
        <f t="shared" ref="G40:Z40" si="0">(G38*G39)</f>
        <v>0</v>
      </c>
      <c r="H40" s="42">
        <f t="shared" si="0"/>
        <v>0</v>
      </c>
      <c r="I40" s="42">
        <f t="shared" si="0"/>
        <v>0</v>
      </c>
      <c r="J40" s="42">
        <f t="shared" si="0"/>
        <v>0</v>
      </c>
      <c r="K40" s="42">
        <f t="shared" si="0"/>
        <v>0</v>
      </c>
      <c r="L40" s="42">
        <f t="shared" si="0"/>
        <v>0</v>
      </c>
      <c r="M40" s="42">
        <f t="shared" si="0"/>
        <v>0</v>
      </c>
      <c r="N40" s="42">
        <f t="shared" si="0"/>
        <v>0</v>
      </c>
      <c r="O40" s="42">
        <f t="shared" si="0"/>
        <v>0</v>
      </c>
      <c r="P40" s="42">
        <f t="shared" si="0"/>
        <v>0</v>
      </c>
      <c r="Q40" s="42">
        <f t="shared" si="0"/>
        <v>0</v>
      </c>
      <c r="R40" s="42">
        <f t="shared" si="0"/>
        <v>0</v>
      </c>
      <c r="S40" s="42">
        <f t="shared" si="0"/>
        <v>0</v>
      </c>
      <c r="T40" s="42">
        <f t="shared" si="0"/>
        <v>0</v>
      </c>
      <c r="U40" s="42">
        <f t="shared" si="0"/>
        <v>0</v>
      </c>
      <c r="V40" s="42">
        <f t="shared" si="0"/>
        <v>0</v>
      </c>
      <c r="W40" s="42">
        <f t="shared" si="0"/>
        <v>0</v>
      </c>
      <c r="X40" s="42">
        <f t="shared" si="0"/>
        <v>0</v>
      </c>
      <c r="Y40" s="42">
        <f t="shared" si="0"/>
        <v>0</v>
      </c>
      <c r="Z40" s="45">
        <f t="shared" si="0"/>
        <v>0</v>
      </c>
    </row>
    <row r="41" spans="1:29" ht="30" customHeight="1" thickTop="1" x14ac:dyDescent="0.25">
      <c r="A41" s="48"/>
      <c r="B41" s="49" t="s">
        <v>79</v>
      </c>
      <c r="C41" s="48"/>
      <c r="D41" s="50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51"/>
      <c r="R41" s="51"/>
      <c r="S41" s="48"/>
      <c r="T41" s="48"/>
      <c r="U41" s="48"/>
      <c r="V41" s="48"/>
      <c r="W41" s="52"/>
      <c r="X41" s="53"/>
      <c r="Y41" s="53"/>
      <c r="Z41" s="53"/>
    </row>
    <row r="42" spans="1:29" ht="30" customHeight="1" x14ac:dyDescent="0.25">
      <c r="A42" s="48"/>
      <c r="B42" s="49" t="s">
        <v>77</v>
      </c>
      <c r="C42" s="54"/>
      <c r="D42" s="60">
        <v>0</v>
      </c>
      <c r="E42" s="61"/>
      <c r="F42" s="61"/>
      <c r="G42" s="48" t="s">
        <v>86</v>
      </c>
      <c r="H42" s="48"/>
      <c r="I42" s="48"/>
      <c r="J42" s="48"/>
      <c r="K42" s="48"/>
      <c r="L42" s="48"/>
      <c r="M42" s="48"/>
      <c r="N42" s="48"/>
      <c r="O42" s="48"/>
      <c r="P42" s="48"/>
      <c r="Q42" s="51"/>
      <c r="R42" s="51"/>
      <c r="S42" s="48"/>
      <c r="T42" s="48"/>
      <c r="U42" s="48" t="s">
        <v>76</v>
      </c>
      <c r="V42" s="48"/>
      <c r="W42" s="62">
        <f>SUM(F40:Z40)</f>
        <v>0</v>
      </c>
      <c r="X42" s="63"/>
      <c r="Y42" s="63"/>
      <c r="Z42" s="63"/>
    </row>
    <row r="43" spans="1:29" ht="30" customHeight="1" x14ac:dyDescent="0.25">
      <c r="A43" s="48"/>
      <c r="B43" s="49" t="s">
        <v>78</v>
      </c>
      <c r="C43" s="55"/>
      <c r="D43" s="60">
        <v>0</v>
      </c>
      <c r="E43" s="61"/>
      <c r="F43" s="61"/>
      <c r="G43" s="48" t="s">
        <v>86</v>
      </c>
      <c r="H43" s="48"/>
      <c r="I43" s="48"/>
      <c r="J43" s="48"/>
      <c r="K43" s="48"/>
      <c r="L43" s="48"/>
      <c r="M43" s="48"/>
      <c r="N43" s="48"/>
      <c r="O43" s="48"/>
      <c r="P43" s="48"/>
      <c r="Q43" s="51"/>
      <c r="R43" s="51"/>
      <c r="S43" s="48"/>
      <c r="T43" s="48"/>
      <c r="U43" s="48"/>
      <c r="V43" s="48"/>
      <c r="W43" s="48"/>
      <c r="X43" s="48"/>
      <c r="Y43" s="48"/>
      <c r="Z43" s="56"/>
    </row>
    <row r="44" spans="1:29" ht="30" customHeight="1" x14ac:dyDescent="0.25">
      <c r="A44" s="48"/>
      <c r="B44" s="49" t="s">
        <v>83</v>
      </c>
      <c r="C44" s="55"/>
      <c r="D44" s="60">
        <v>0</v>
      </c>
      <c r="E44" s="61"/>
      <c r="F44" s="61"/>
      <c r="G44" s="48" t="s">
        <v>87</v>
      </c>
      <c r="H44" s="48"/>
      <c r="I44" s="48"/>
      <c r="J44" s="48"/>
      <c r="K44" s="48"/>
      <c r="L44" s="48"/>
      <c r="M44" s="48"/>
      <c r="N44" s="48"/>
      <c r="O44" s="48"/>
      <c r="P44" s="48"/>
      <c r="Q44" s="51"/>
      <c r="R44" s="51"/>
      <c r="S44" s="48"/>
      <c r="T44" s="48"/>
      <c r="U44" s="48"/>
      <c r="V44" s="48"/>
      <c r="W44" s="48"/>
      <c r="X44" s="48"/>
      <c r="Y44" s="48"/>
      <c r="Z44" s="56"/>
    </row>
    <row r="45" spans="1:29" ht="30" customHeight="1" x14ac:dyDescent="0.25">
      <c r="Z45" s="7"/>
    </row>
    <row r="46" spans="1:29" ht="30" customHeight="1" x14ac:dyDescent="0.25">
      <c r="Z46" s="7"/>
    </row>
    <row r="47" spans="1:29" ht="30" customHeight="1" x14ac:dyDescent="0.25">
      <c r="Z47" s="7"/>
    </row>
    <row r="48" spans="1:29" ht="30" customHeight="1" x14ac:dyDescent="0.25">
      <c r="Z48" s="7"/>
    </row>
    <row r="49" spans="26:26" ht="30" customHeight="1" x14ac:dyDescent="0.25">
      <c r="Z49" s="7"/>
    </row>
    <row r="50" spans="26:26" ht="30" customHeight="1" x14ac:dyDescent="0.25">
      <c r="Z50" s="7"/>
    </row>
    <row r="51" spans="26:26" ht="30" customHeight="1" x14ac:dyDescent="0.25">
      <c r="Z51" s="7"/>
    </row>
    <row r="52" spans="26:26" ht="30" customHeight="1" x14ac:dyDescent="0.25">
      <c r="Z52" s="7"/>
    </row>
    <row r="53" spans="26:26" ht="30" customHeight="1" x14ac:dyDescent="0.25">
      <c r="Z53" s="7"/>
    </row>
    <row r="54" spans="26:26" ht="30" customHeight="1" x14ac:dyDescent="0.25">
      <c r="Z54" s="7"/>
    </row>
  </sheetData>
  <sheetProtection password="D1D1" sheet="1" objects="1" scenarios="1"/>
  <mergeCells count="8">
    <mergeCell ref="A1:Z1"/>
    <mergeCell ref="D42:F42"/>
    <mergeCell ref="D43:F43"/>
    <mergeCell ref="D44:F44"/>
    <mergeCell ref="W42:Z42"/>
    <mergeCell ref="A38:E38"/>
    <mergeCell ref="A39:E39"/>
    <mergeCell ref="A40:E40"/>
  </mergeCells>
  <pageMargins left="0.7" right="0.7" top="0.75" bottom="0.75" header="0.3" footer="0.3"/>
  <pageSetup paperSize="119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bid tab 20120724</vt:lpstr>
      <vt:lpstr>'bid tab 20120724'!Print_Area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Kelli Campbell</dc:creator>
  <cp:lastModifiedBy>Jason Laumer</cp:lastModifiedBy>
  <cp:lastPrinted>2012-07-19T22:08:20Z</cp:lastPrinted>
  <dcterms:created xsi:type="dcterms:W3CDTF">2012-06-15T14:10:25Z</dcterms:created>
  <dcterms:modified xsi:type="dcterms:W3CDTF">2012-07-19T22:12:27Z</dcterms:modified>
</cp:coreProperties>
</file>