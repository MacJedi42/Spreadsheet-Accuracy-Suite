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0" yWindow="0" windowWidth="25440" windowHeight="20860" tabRatio="500"/>
  </bookViews>
  <sheets>
    <sheet name="Sheet1" sheetId="1" r:id="rId1"/>
    <sheet name="Sheet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2" i="1" l="1"/>
  <c r="J17" i="2"/>
  <c r="I17" i="2"/>
  <c r="C17" i="2"/>
  <c r="B17" i="2"/>
  <c r="I32" i="1"/>
  <c r="H32" i="1"/>
  <c r="G32" i="1"/>
  <c r="F32" i="1"/>
  <c r="D32" i="1"/>
</calcChain>
</file>

<file path=xl/sharedStrings.xml><?xml version="1.0" encoding="utf-8"?>
<sst xmlns="http://schemas.openxmlformats.org/spreadsheetml/2006/main" count="69" uniqueCount="46">
  <si>
    <t>A</t>
  </si>
  <si>
    <t>B</t>
  </si>
  <si>
    <t>C</t>
  </si>
  <si>
    <t>D</t>
  </si>
  <si>
    <t>E</t>
  </si>
  <si>
    <t>F</t>
  </si>
  <si>
    <t>G</t>
  </si>
  <si>
    <t>H</t>
  </si>
  <si>
    <t>RATER</t>
  </si>
  <si>
    <t>WRITTEN</t>
  </si>
  <si>
    <t>DIMENSIONS</t>
  </si>
  <si>
    <t>HIGH GROUP</t>
  </si>
  <si>
    <t>LOW GROUP</t>
  </si>
  <si>
    <t>1= RETURN FOR CORRECTIONS</t>
  </si>
  <si>
    <t>2= COMPETENT</t>
  </si>
  <si>
    <t>A = KNOWLEDGE OF CONTENT AND PEDAGOGY</t>
  </si>
  <si>
    <t>B = DEMONSTRATES KNOWLEDGE OFSTUDENTSW</t>
  </si>
  <si>
    <t>C = SELECTS KEY KNOWLEDGE AND SKILLS</t>
  </si>
  <si>
    <t>D = KNOWLEDGE OF/MAKES USE OF MATERIALS, RESOURCES, AND TECHNOLOGY</t>
  </si>
  <si>
    <t>E = DESIGNS ACTIVITIES THAT PROMOTE STUDENT LEARNING</t>
  </si>
  <si>
    <t>F = PLANS TO ASSESS STUDENT LEARNING</t>
  </si>
  <si>
    <t>G = ASSESSES STUDENT LEARNING</t>
  </si>
  <si>
    <t>H = REFLECTS ON TEACHING</t>
  </si>
  <si>
    <t xml:space="preserve">INTERRATER </t>
  </si>
  <si>
    <t xml:space="preserve">INTERRATER RELIABILITY </t>
  </si>
  <si>
    <t>PERCENTAGE AGGREMENT</t>
  </si>
  <si>
    <t>I</t>
  </si>
  <si>
    <t>J</t>
  </si>
  <si>
    <t>PERCENT AGREEMENT</t>
  </si>
  <si>
    <t>A=KNOWLEDGE OF CONTENT AND PEDAGOGY</t>
  </si>
  <si>
    <t>B=KNOWLEDGE OF/MAKES USEOF MATERIALS, RESOURCES AND TECHNOLOGY</t>
  </si>
  <si>
    <t>C=DESIGNS ACTIVITIES THAT PROMOTE STUDENT LEARNING</t>
  </si>
  <si>
    <t>D=CREATES AN ENVIRONMENT OF RAPPORT AND RESPECT</t>
  </si>
  <si>
    <t>E=MANAGES CLASSROOM PROCEDURES AND BEHAVIOR</t>
  </si>
  <si>
    <t>F=COMMUNICATES CLEARLY AND ACCURATELY</t>
  </si>
  <si>
    <t>G=USES QUESTIONING AND DISCUSSION TECHNIQUES</t>
  </si>
  <si>
    <t>H=ENGAGES STUDENTS IN LEARNING</t>
  </si>
  <si>
    <t>I=ASSESS STUDENT LEARNING</t>
  </si>
  <si>
    <t>J=REFLECTS ON TEACHING</t>
  </si>
  <si>
    <t>*</t>
  </si>
  <si>
    <t>Items B, F, G, I, and J show rater disagreement.</t>
  </si>
  <si>
    <t>Fall 2011</t>
  </si>
  <si>
    <t>These items will be checked again during spring interater assessment.</t>
  </si>
  <si>
    <t>Interrater agreement high on written evaluation of high group.</t>
  </si>
  <si>
    <t>Interrater agreement was adequate on written evaluation of low group.</t>
  </si>
  <si>
    <t>Interrater agreement will assessed again during the spring semester.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</si>
</sst>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47"/>
  <sheetViews>
    <sheetView tabSelected="1" workbookViewId="0">
      <selection activeCell="B48" sqref="B48"/>
    </sheetView>
  </sheetViews>
  <sheetFormatPr baseColWidth="10" defaultRowHeight="15" x14ac:dyDescent="0"/>
  <sheetData>
    <row r="1" spans="1:9">
      <c r="A1" t="s">
        <v>24</v>
      </c>
    </row>
    <row r="2" spans="1:9">
      <c r="A2" t="s">
        <v>11</v>
      </c>
      <c r="C2" t="s">
        <v>9</v>
      </c>
      <c r="D2" t="s">
        <v>10</v>
      </c>
    </row>
    <row r="3" spans="1:9">
      <c r="A3" t="s">
        <v>8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>
      <c r="A4">
        <v>1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9">
      <c r="A5">
        <v>2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</row>
    <row r="6" spans="1:9">
      <c r="A6">
        <v>3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>
        <v>4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</row>
    <row r="8" spans="1:9">
      <c r="A8">
        <v>5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</row>
    <row r="9" spans="1:9">
      <c r="A9">
        <v>6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</row>
    <row r="10" spans="1:9">
      <c r="A10">
        <v>7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</row>
    <row r="11" spans="1:9">
      <c r="A11">
        <v>8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</row>
    <row r="12" spans="1:9">
      <c r="A12">
        <v>9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</row>
    <row r="13" spans="1:9">
      <c r="A13">
        <v>10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</row>
    <row r="14" spans="1:9">
      <c r="A14">
        <v>11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</row>
    <row r="15" spans="1:9">
      <c r="A15" t="s">
        <v>25</v>
      </c>
    </row>
    <row r="16" spans="1:9"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</row>
    <row r="18" spans="1:9">
      <c r="A18" t="s">
        <v>12</v>
      </c>
    </row>
    <row r="19" spans="1:9">
      <c r="A19" t="s">
        <v>8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</row>
    <row r="20" spans="1:9">
      <c r="A20">
        <v>1</v>
      </c>
      <c r="B20">
        <v>1</v>
      </c>
      <c r="C20">
        <v>1</v>
      </c>
      <c r="D20">
        <v>2</v>
      </c>
      <c r="E20">
        <v>1</v>
      </c>
      <c r="F20">
        <v>2</v>
      </c>
      <c r="G20">
        <v>1</v>
      </c>
      <c r="H20">
        <v>1</v>
      </c>
      <c r="I20">
        <v>2</v>
      </c>
    </row>
    <row r="21" spans="1:9">
      <c r="A21">
        <v>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</row>
    <row r="22" spans="1:9">
      <c r="A22">
        <v>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2</v>
      </c>
    </row>
    <row r="23" spans="1:9">
      <c r="A23">
        <v>4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2</v>
      </c>
    </row>
    <row r="24" spans="1:9">
      <c r="A24">
        <v>5</v>
      </c>
      <c r="B24">
        <v>1</v>
      </c>
      <c r="C24">
        <v>1</v>
      </c>
      <c r="D24">
        <v>2</v>
      </c>
      <c r="E24">
        <v>1</v>
      </c>
      <c r="F24">
        <v>1</v>
      </c>
      <c r="G24">
        <v>1</v>
      </c>
      <c r="H24">
        <v>1</v>
      </c>
      <c r="I24">
        <v>2</v>
      </c>
    </row>
    <row r="25" spans="1:9">
      <c r="A25">
        <v>6</v>
      </c>
      <c r="B25">
        <v>1</v>
      </c>
      <c r="C25">
        <v>1</v>
      </c>
      <c r="D25">
        <v>2</v>
      </c>
      <c r="E25">
        <v>1</v>
      </c>
      <c r="F25">
        <v>1</v>
      </c>
      <c r="G25">
        <v>1</v>
      </c>
      <c r="H25">
        <v>1</v>
      </c>
      <c r="I25">
        <v>2</v>
      </c>
    </row>
    <row r="26" spans="1:9">
      <c r="A26">
        <v>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1:9">
      <c r="A27">
        <v>8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2</v>
      </c>
    </row>
    <row r="28" spans="1:9">
      <c r="A28">
        <v>9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2</v>
      </c>
    </row>
    <row r="29" spans="1:9">
      <c r="A29">
        <v>10</v>
      </c>
      <c r="B29">
        <v>1</v>
      </c>
      <c r="C29">
        <v>1</v>
      </c>
      <c r="D29">
        <v>1</v>
      </c>
      <c r="E29">
        <v>1</v>
      </c>
      <c r="F29">
        <v>1</v>
      </c>
      <c r="G29">
        <v>2</v>
      </c>
      <c r="H29">
        <v>1</v>
      </c>
      <c r="I29">
        <v>2</v>
      </c>
    </row>
    <row r="30" spans="1:9">
      <c r="A30">
        <v>11</v>
      </c>
      <c r="B30">
        <v>2</v>
      </c>
      <c r="C30">
        <v>1</v>
      </c>
      <c r="D30">
        <v>2</v>
      </c>
      <c r="E30">
        <v>1</v>
      </c>
      <c r="F30">
        <v>1</v>
      </c>
      <c r="G30">
        <v>2</v>
      </c>
      <c r="H30">
        <v>1</v>
      </c>
      <c r="I30">
        <v>2</v>
      </c>
    </row>
    <row r="31" spans="1:9">
      <c r="A31" t="s">
        <v>25</v>
      </c>
    </row>
    <row r="32" spans="1:9" s="1" customFormat="1">
      <c r="B32" s="1">
        <f>9/11*100</f>
        <v>81.818181818181827</v>
      </c>
      <c r="C32" s="1">
        <v>100</v>
      </c>
      <c r="D32" s="1">
        <f>8/11*100</f>
        <v>72.727272727272734</v>
      </c>
      <c r="E32" s="1">
        <v>100</v>
      </c>
      <c r="F32" s="1">
        <f>9/11*100</f>
        <v>81.818181818181827</v>
      </c>
      <c r="G32" s="1">
        <f>9/11*100</f>
        <v>81.818181818181827</v>
      </c>
      <c r="H32" s="1">
        <f>10/11*100</f>
        <v>90.909090909090907</v>
      </c>
      <c r="I32" s="1">
        <f>9/11*100</f>
        <v>81.818181818181827</v>
      </c>
    </row>
    <row r="34" spans="2:6">
      <c r="C34" t="s">
        <v>13</v>
      </c>
      <c r="F34" t="s">
        <v>14</v>
      </c>
    </row>
    <row r="36" spans="2:6">
      <c r="B36" t="s">
        <v>15</v>
      </c>
    </row>
    <row r="37" spans="2:6">
      <c r="B37" t="s">
        <v>16</v>
      </c>
    </row>
    <row r="38" spans="2:6">
      <c r="B38" t="s">
        <v>17</v>
      </c>
    </row>
    <row r="39" spans="2:6">
      <c r="B39" t="s">
        <v>18</v>
      </c>
    </row>
    <row r="40" spans="2:6">
      <c r="B40" t="s">
        <v>19</v>
      </c>
    </row>
    <row r="41" spans="2:6">
      <c r="B41" t="s">
        <v>20</v>
      </c>
    </row>
    <row r="42" spans="2:6">
      <c r="B42" t="s">
        <v>21</v>
      </c>
    </row>
    <row r="43" spans="2:6">
      <c r="B43" t="s">
        <v>22</v>
      </c>
    </row>
    <row r="45" spans="2:6">
      <c r="B45" t="s">
        <v>43</v>
      </c>
    </row>
    <row r="46" spans="2:6">
      <c r="B46" t="s">
        <v>44</v>
      </c>
    </row>
    <row r="47" spans="2:6">
      <c r="B47" t="s">
        <v>45</v>
      </c>
    </row>
  </sheetData>
  <phoneticPr fontId="3" type="noConversion"/>
  <printOptions gridLines="1"/>
  <pageMargins left="0.75" right="0.75" top="1" bottom="1" header="0.5" footer="0.5"/>
  <pageSetup scale="71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1"/>
  <sheetViews>
    <sheetView workbookViewId="0">
      <selection activeCell="B31" sqref="B31"/>
    </sheetView>
  </sheetViews>
  <sheetFormatPr baseColWidth="10" defaultRowHeight="15" x14ac:dyDescent="0"/>
  <cols>
    <col min="2" max="11" width="8.6640625" customWidth="1"/>
  </cols>
  <sheetData>
    <row r="2" spans="1:11">
      <c r="A2" t="s">
        <v>23</v>
      </c>
      <c r="C2" t="s">
        <v>41</v>
      </c>
    </row>
    <row r="4" spans="1:11">
      <c r="A4" t="s">
        <v>8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26</v>
      </c>
      <c r="K4" t="s">
        <v>27</v>
      </c>
    </row>
    <row r="5" spans="1:11">
      <c r="A5">
        <v>1</v>
      </c>
      <c r="B5">
        <v>3</v>
      </c>
      <c r="C5">
        <v>3</v>
      </c>
      <c r="D5">
        <v>3</v>
      </c>
      <c r="E5">
        <v>3</v>
      </c>
      <c r="F5">
        <v>3</v>
      </c>
      <c r="G5">
        <v>2</v>
      </c>
      <c r="H5">
        <v>3</v>
      </c>
      <c r="I5">
        <v>3</v>
      </c>
      <c r="J5">
        <v>2</v>
      </c>
      <c r="K5">
        <v>2</v>
      </c>
    </row>
    <row r="6" spans="1:11">
      <c r="A6">
        <v>2</v>
      </c>
      <c r="B6">
        <v>3</v>
      </c>
      <c r="C6">
        <v>2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</row>
    <row r="7" spans="1:11">
      <c r="A7">
        <v>3</v>
      </c>
      <c r="B7">
        <v>2</v>
      </c>
      <c r="C7">
        <v>2</v>
      </c>
      <c r="D7">
        <v>3</v>
      </c>
      <c r="E7">
        <v>3</v>
      </c>
      <c r="F7">
        <v>3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4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</row>
    <row r="9" spans="1:11">
      <c r="A9">
        <v>5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</row>
    <row r="10" spans="1:11">
      <c r="A10">
        <v>6</v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</row>
    <row r="11" spans="1:11">
      <c r="A11">
        <v>7</v>
      </c>
      <c r="B11">
        <v>2</v>
      </c>
      <c r="C11">
        <v>2</v>
      </c>
      <c r="D11">
        <v>3</v>
      </c>
      <c r="E11">
        <v>3</v>
      </c>
      <c r="F11">
        <v>3</v>
      </c>
      <c r="G11">
        <v>2</v>
      </c>
      <c r="H11">
        <v>3</v>
      </c>
      <c r="I11">
        <v>3</v>
      </c>
      <c r="J11">
        <v>2</v>
      </c>
      <c r="K11">
        <v>2</v>
      </c>
    </row>
    <row r="12" spans="1:11">
      <c r="A12">
        <v>8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2</v>
      </c>
      <c r="I12">
        <v>3</v>
      </c>
      <c r="J12">
        <v>3</v>
      </c>
      <c r="K12">
        <v>3</v>
      </c>
    </row>
    <row r="13" spans="1:11">
      <c r="A13">
        <v>9</v>
      </c>
      <c r="B13">
        <v>3</v>
      </c>
      <c r="C13">
        <v>3</v>
      </c>
      <c r="D13">
        <v>3</v>
      </c>
      <c r="E13">
        <v>3</v>
      </c>
      <c r="F13">
        <v>3</v>
      </c>
      <c r="G13">
        <v>3</v>
      </c>
      <c r="H13">
        <v>2</v>
      </c>
      <c r="I13">
        <v>3</v>
      </c>
      <c r="J13">
        <v>3</v>
      </c>
      <c r="K13">
        <v>3</v>
      </c>
    </row>
    <row r="14" spans="1:11">
      <c r="A14">
        <v>10</v>
      </c>
      <c r="B14">
        <v>3</v>
      </c>
      <c r="C14">
        <v>2</v>
      </c>
      <c r="D14">
        <v>3</v>
      </c>
      <c r="E14">
        <v>3</v>
      </c>
      <c r="F14">
        <v>3</v>
      </c>
      <c r="G14">
        <v>3</v>
      </c>
      <c r="H14">
        <v>2</v>
      </c>
      <c r="I14">
        <v>3</v>
      </c>
      <c r="J14">
        <v>2</v>
      </c>
      <c r="K14">
        <v>2</v>
      </c>
    </row>
    <row r="15" spans="1:11">
      <c r="A15">
        <v>11</v>
      </c>
      <c r="B15">
        <v>3</v>
      </c>
      <c r="C15">
        <v>3</v>
      </c>
      <c r="D15">
        <v>3</v>
      </c>
      <c r="E15">
        <v>3</v>
      </c>
      <c r="F15">
        <v>3</v>
      </c>
      <c r="G15">
        <v>2</v>
      </c>
      <c r="H15">
        <v>3</v>
      </c>
      <c r="I15">
        <v>3</v>
      </c>
      <c r="J15">
        <v>2</v>
      </c>
      <c r="K15">
        <v>2</v>
      </c>
    </row>
    <row r="16" spans="1:11" s="1" customFormat="1">
      <c r="A16" s="1" t="s">
        <v>28</v>
      </c>
    </row>
    <row r="17" spans="1:11" s="1" customFormat="1">
      <c r="B17" s="1">
        <f>9/11*100</f>
        <v>81.818181818181827</v>
      </c>
      <c r="C17" s="1">
        <f>7/11*100</f>
        <v>63.636363636363633</v>
      </c>
      <c r="D17" s="1">
        <v>100</v>
      </c>
      <c r="E17" s="1">
        <v>100</v>
      </c>
      <c r="F17" s="1">
        <v>100</v>
      </c>
      <c r="G17" s="1">
        <v>64</v>
      </c>
      <c r="H17" s="1">
        <v>64</v>
      </c>
      <c r="I17" s="1">
        <f>10/11*100</f>
        <v>90.909090909090907</v>
      </c>
      <c r="J17" s="1">
        <f>6/11*100</f>
        <v>54.54545454545454</v>
      </c>
      <c r="K17" s="1">
        <v>55</v>
      </c>
    </row>
    <row r="19" spans="1:11">
      <c r="B19" t="s">
        <v>29</v>
      </c>
    </row>
    <row r="20" spans="1:11">
      <c r="A20" t="s">
        <v>39</v>
      </c>
      <c r="B20" t="s">
        <v>30</v>
      </c>
    </row>
    <row r="21" spans="1:11">
      <c r="B21" t="s">
        <v>31</v>
      </c>
    </row>
    <row r="22" spans="1:11">
      <c r="B22" t="s">
        <v>32</v>
      </c>
    </row>
    <row r="23" spans="1:11">
      <c r="B23" t="s">
        <v>33</v>
      </c>
    </row>
    <row r="24" spans="1:11">
      <c r="A24" t="s">
        <v>39</v>
      </c>
      <c r="B24" t="s">
        <v>34</v>
      </c>
    </row>
    <row r="25" spans="1:11">
      <c r="A25" t="s">
        <v>39</v>
      </c>
      <c r="B25" t="s">
        <v>35</v>
      </c>
    </row>
    <row r="26" spans="1:11">
      <c r="B26" t="s">
        <v>36</v>
      </c>
    </row>
    <row r="27" spans="1:11">
      <c r="A27" t="s">
        <v>39</v>
      </c>
      <c r="B27" t="s">
        <v>37</v>
      </c>
    </row>
    <row r="28" spans="1:11">
      <c r="A28" t="s">
        <v>39</v>
      </c>
      <c r="B28" t="s">
        <v>38</v>
      </c>
    </row>
    <row r="30" spans="1:11">
      <c r="B30" t="s">
        <v>40</v>
      </c>
    </row>
    <row r="31" spans="1:11">
      <c r="B31" t="s">
        <v>42</v>
      </c>
    </row>
  </sheetData>
  <phoneticPr fontId="3" type="noConversion"/>
  <printOptions gridLines="1"/>
  <pageMargins left="0.75" right="0.75" top="1" bottom="1" header="0.5" footer="0.5"/>
  <pageSetup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Miazga</dc:creator>
  <cp:lastModifiedBy>Wendy Storms</cp:lastModifiedBy>
  <cp:lastPrinted>2012-04-18T20:07:37Z</cp:lastPrinted>
  <dcterms:created xsi:type="dcterms:W3CDTF">2012-04-17T17:31:46Z</dcterms:created>
  <dcterms:modified xsi:type="dcterms:W3CDTF">2012-05-18T16:12:21Z</dcterms:modified>
</cp:coreProperties>
</file>