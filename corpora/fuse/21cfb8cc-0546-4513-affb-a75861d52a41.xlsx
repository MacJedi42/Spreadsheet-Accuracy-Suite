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9.xml" ContentType="application/vnd.openxmlformats-officedocument.drawing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00" windowWidth="11100" windowHeight="7875" firstSheet="4" activeTab="8"/>
  </bookViews>
  <sheets>
    <sheet name="Denials 2006" sheetId="7" r:id="rId1"/>
    <sheet name="Denials 2007" sheetId="8" r:id="rId2"/>
    <sheet name="Denials 2008" sheetId="11" r:id="rId3"/>
    <sheet name="Denials 2009" sheetId="12" r:id="rId4"/>
    <sheet name="Denials 2010" sheetId="13" r:id="rId5"/>
    <sheet name="Denials 2011" sheetId="16" r:id="rId6"/>
    <sheet name="Denials 2012" sheetId="18" r:id="rId7"/>
    <sheet name="Denial Rate by Race Chart" sheetId="17" r:id="rId8"/>
    <sheet name="Denial Rate by Income Chart" sheetId="15" r:id="rId9"/>
    <sheet name="Denial Rate Trend By Race" sheetId="9" r:id="rId10"/>
    <sheet name="Denial Rate Trend By Income" sheetId="10" r:id="rId11"/>
  </sheets>
  <calcPr calcId="125725"/>
</workbook>
</file>

<file path=xl/calcChain.xml><?xml version="1.0" encoding="utf-8"?>
<calcChain xmlns="http://schemas.openxmlformats.org/spreadsheetml/2006/main">
  <c r="G32" i="18"/>
  <c r="F29"/>
  <c r="E31"/>
  <c r="D29"/>
  <c r="C33"/>
  <c r="B33"/>
  <c r="B32"/>
  <c r="B31"/>
  <c r="B28"/>
  <c r="B27"/>
  <c r="G33" l="1"/>
  <c r="F33"/>
  <c r="E33"/>
  <c r="D33"/>
  <c r="F32"/>
  <c r="E32"/>
  <c r="D32"/>
  <c r="C32"/>
  <c r="G31"/>
  <c r="F31"/>
  <c r="D31"/>
  <c r="C31"/>
  <c r="G30"/>
  <c r="F30"/>
  <c r="E30"/>
  <c r="D30"/>
  <c r="C30"/>
  <c r="G29"/>
  <c r="E29"/>
  <c r="C29"/>
  <c r="G28"/>
  <c r="F28"/>
  <c r="E28"/>
  <c r="D28"/>
  <c r="C28"/>
  <c r="G27"/>
  <c r="F27"/>
  <c r="E27"/>
  <c r="D27"/>
  <c r="C27"/>
  <c r="C28" i="16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27"/>
  <c r="D27"/>
  <c r="E27"/>
  <c r="F27"/>
  <c r="G27"/>
  <c r="B28"/>
  <c r="B29"/>
  <c r="B31"/>
  <c r="B32"/>
  <c r="B33"/>
  <c r="B27"/>
  <c r="C28" i="13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27"/>
  <c r="D27"/>
  <c r="E27"/>
  <c r="F27"/>
  <c r="G27"/>
  <c r="B28"/>
  <c r="B31"/>
  <c r="B32"/>
  <c r="B33"/>
  <c r="B27"/>
  <c r="C28" i="12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27"/>
  <c r="D27"/>
  <c r="E27"/>
  <c r="F27"/>
  <c r="G27"/>
  <c r="B28"/>
  <c r="B29"/>
  <c r="B31"/>
  <c r="B32"/>
  <c r="B33"/>
  <c r="C28" i="11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D27"/>
  <c r="E27"/>
  <c r="F27"/>
  <c r="G27"/>
  <c r="B28"/>
  <c r="B31"/>
  <c r="B32"/>
  <c r="B33"/>
  <c r="C28" i="8"/>
  <c r="D28"/>
  <c r="E28"/>
  <c r="F28"/>
  <c r="G28"/>
  <c r="C29"/>
  <c r="D29"/>
  <c r="E29"/>
  <c r="F29"/>
  <c r="G29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27"/>
  <c r="D27"/>
  <c r="E27"/>
  <c r="F27"/>
  <c r="G27"/>
  <c r="B31"/>
  <c r="B33"/>
  <c r="C28" i="7"/>
  <c r="D28"/>
  <c r="E28"/>
  <c r="F28"/>
  <c r="G28"/>
  <c r="C29"/>
  <c r="D29"/>
  <c r="E29"/>
  <c r="F29"/>
  <c r="G29"/>
  <c r="C31"/>
  <c r="D31"/>
  <c r="E31"/>
  <c r="F31"/>
  <c r="G31"/>
  <c r="C32"/>
  <c r="D32"/>
  <c r="E32"/>
  <c r="F32"/>
  <c r="G32"/>
  <c r="C33"/>
  <c r="D33"/>
  <c r="E33"/>
  <c r="F33"/>
  <c r="G33"/>
  <c r="D27"/>
  <c r="E27"/>
  <c r="F27"/>
  <c r="G27"/>
  <c r="B28"/>
  <c r="B31"/>
  <c r="B32"/>
  <c r="B33"/>
</calcChain>
</file>

<file path=xl/sharedStrings.xml><?xml version="1.0" encoding="utf-8"?>
<sst xmlns="http://schemas.openxmlformats.org/spreadsheetml/2006/main" count="341" uniqueCount="29">
  <si>
    <t>&gt;95% MFI</t>
  </si>
  <si>
    <t>0-30% MFI</t>
  </si>
  <si>
    <t>31-50% MFI</t>
  </si>
  <si>
    <t>51-80% MFI</t>
  </si>
  <si>
    <t>81-95% MFI</t>
  </si>
  <si>
    <t>Total</t>
  </si>
  <si>
    <t>Asian</t>
  </si>
  <si>
    <t>Blacks</t>
  </si>
  <si>
    <t>White</t>
  </si>
  <si>
    <t>Hispanic</t>
  </si>
  <si>
    <t>Race/Ethnicity</t>
  </si>
  <si>
    <t>American Indian</t>
  </si>
  <si>
    <t>I.  Total Applications</t>
  </si>
  <si>
    <t>II.  Total Denials</t>
  </si>
  <si>
    <t>Overall Total</t>
  </si>
  <si>
    <t>III. Denial Rates (II/I) * 100</t>
  </si>
  <si>
    <t>Note: Data reported here is for Multnomah County. These are loans for the purpose of purchasing a home. The loans are for homes that are meant for a primary occupancy of the owner. These are all represented for conventional loans. For ethnic and racial breakout, these are loans originated by households where either the applicant or co-applicant are representative of that group.</t>
  </si>
  <si>
    <t>Black or African American</t>
  </si>
  <si>
    <t>MULTNOMAH COUNTY LOAN DENIAL RATES BY INCOME-RACE GROUPINGS : 2009</t>
  </si>
  <si>
    <t>MULTNOMAH COUNTY LOAN DENIAL RATES BY INCOME-RACE GROUPINGS : 2010</t>
  </si>
  <si>
    <t>MULTNOMAH COUNTY LOAN DENIAL RATES BY INCOME-RACE GROUPINGS : 2008</t>
  </si>
  <si>
    <t>MULTNOMAH COUNTY LOAN DENIAL RATES BY INCOME-RACE GROUPINGS : 2007</t>
  </si>
  <si>
    <t>MULTNOMAH COUNTY LOAN DENIAL RATES BY INCOME-RACE GROUPINGS : 2006</t>
  </si>
  <si>
    <t>Native Hawaiian or Pacific Islander</t>
  </si>
  <si>
    <t>MULTNOMAH COUNTY LOAN DENIAL RATES BY INCOME-RACE GROUPINGS : 2011</t>
  </si>
  <si>
    <t>Source: HMDA (LAR)</t>
  </si>
  <si>
    <t>FHA Loans for Home Purchase &amp; Occupation</t>
  </si>
  <si>
    <t>MULTNOMAH COUNTY LOAN DENIAL RATES BY INCOME-RACE GROUPINGS : 2012</t>
  </si>
  <si>
    <t>Note: Data reported here is for Multnomah County. These are Federal Housing Administration loans for the purpose of purchasing a home. The loans are for homes that are meant for a primary occupancy of the owner. These are all represented for conventional loans. For ethnic and racial breakout, these are loans originated by households where either the applicant or co-applicant are representative of that group.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</si>
</sst>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/>
    <xf numFmtId="0" fontId="4" fillId="0" borderId="0" xfId="0" applyFont="1" applyFill="1" applyBorder="1"/>
    <xf numFmtId="164" fontId="4" fillId="0" borderId="0" xfId="0" applyNumberFormat="1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2" xfId="0" applyNumberFormat="1" applyFont="1" applyBorder="1"/>
    <xf numFmtId="0" fontId="4" fillId="0" borderId="1" xfId="0" applyFont="1" applyFill="1" applyBorder="1"/>
    <xf numFmtId="164" fontId="4" fillId="0" borderId="2" xfId="0" applyNumberFormat="1" applyFont="1" applyBorder="1"/>
    <xf numFmtId="0" fontId="4" fillId="0" borderId="3" xfId="0" applyFont="1" applyFill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0" fontId="6" fillId="0" borderId="0" xfId="0" applyFont="1"/>
    <xf numFmtId="0" fontId="5" fillId="0" borderId="1" xfId="0" applyFont="1" applyFill="1" applyBorder="1"/>
    <xf numFmtId="0" fontId="5" fillId="0" borderId="0" xfId="0" applyFont="1" applyFill="1" applyBorder="1"/>
    <xf numFmtId="0" fontId="5" fillId="0" borderId="2" xfId="0" applyFont="1" applyFill="1" applyBorder="1"/>
    <xf numFmtId="0" fontId="7" fillId="0" borderId="0" xfId="0" applyFont="1" applyBorder="1"/>
    <xf numFmtId="0" fontId="3" fillId="0" borderId="0" xfId="0" applyFont="1"/>
    <xf numFmtId="164" fontId="4" fillId="0" borderId="0" xfId="0" applyNumberFormat="1" applyFont="1"/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4" fillId="0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/>
    <xf numFmtId="164" fontId="4" fillId="0" borderId="0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2006
Home Purchase &amp; Occupation 
</a:t>
            </a:r>
          </a:p>
        </c:rich>
      </c:tx>
      <c:layout>
        <c:manualLayout>
          <c:xMode val="edge"/>
          <c:yMode val="edge"/>
          <c:x val="0.19488817891373739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2"/>
          <c:w val="0.8338658146964909"/>
          <c:h val="0.64573991031390565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6.6666666666666666E-2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2006'!$B$28:$G$28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9.5238095238095233E-2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2006'!$B$29:$G$29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0.125</c:v>
                </c:pt>
                <c:pt idx="3">
                  <c:v>0.5</c:v>
                </c:pt>
                <c:pt idx="4">
                  <c:v>0.2</c:v>
                </c:pt>
                <c:pt idx="5">
                  <c:v>0.29411764705882354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2006'!$B$31:$G$31</c:f>
              <c:numCache>
                <c:formatCode>0.0%</c:formatCode>
                <c:ptCount val="6"/>
                <c:pt idx="0">
                  <c:v>0</c:v>
                </c:pt>
                <c:pt idx="1">
                  <c:v>0.45</c:v>
                </c:pt>
                <c:pt idx="2">
                  <c:v>0.125</c:v>
                </c:pt>
                <c:pt idx="3">
                  <c:v>9.2307692307692313E-2</c:v>
                </c:pt>
                <c:pt idx="4">
                  <c:v>0.14545454545454545</c:v>
                </c:pt>
                <c:pt idx="5">
                  <c:v>0.14376996805111822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2006'!$B$32:$G$32</c:f>
              <c:numCache>
                <c:formatCode>0.0%</c:formatCode>
                <c:ptCount val="6"/>
                <c:pt idx="0">
                  <c:v>0</c:v>
                </c:pt>
                <c:pt idx="1">
                  <c:v>0.33333333333333331</c:v>
                </c:pt>
                <c:pt idx="2">
                  <c:v>8.3333333333333329E-2</c:v>
                </c:pt>
                <c:pt idx="3">
                  <c:v>0.2</c:v>
                </c:pt>
                <c:pt idx="4">
                  <c:v>0.22222222222222221</c:v>
                </c:pt>
                <c:pt idx="5">
                  <c:v>0.16666666666666666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2006'!$B$33:$G$33</c:f>
              <c:numCache>
                <c:formatCode>0.0%</c:formatCode>
                <c:ptCount val="6"/>
                <c:pt idx="0">
                  <c:v>0</c:v>
                </c:pt>
                <c:pt idx="1">
                  <c:v>0.41379310344827586</c:v>
                </c:pt>
                <c:pt idx="2">
                  <c:v>0.12213740458015267</c:v>
                </c:pt>
                <c:pt idx="3">
                  <c:v>9.8591549295774641E-2</c:v>
                </c:pt>
                <c:pt idx="4">
                  <c:v>0.140625</c:v>
                </c:pt>
                <c:pt idx="5">
                  <c:v>0.14402173913043478</c:v>
                </c:pt>
              </c:numCache>
            </c:numRef>
          </c:val>
        </c:ser>
        <c:axId val="51688192"/>
        <c:axId val="51690880"/>
      </c:barChart>
      <c:catAx>
        <c:axId val="5168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90880"/>
        <c:crosses val="autoZero"/>
        <c:auto val="1"/>
        <c:lblAlgn val="ctr"/>
        <c:lblOffset val="100"/>
        <c:tickLblSkip val="1"/>
        <c:tickMarkSkip val="1"/>
      </c:catAx>
      <c:valAx>
        <c:axId val="5169088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114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8819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88"/>
          <c:w val="0.83546325878593974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
Home Purchase &amp; Occupation 
</a:t>
            </a:r>
          </a:p>
        </c:rich>
      </c:tx>
      <c:layout>
        <c:manualLayout>
          <c:xMode val="edge"/>
          <c:yMode val="edge"/>
          <c:x val="0.19488817891373739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2"/>
          <c:w val="0.8338658146964909"/>
          <c:h val="0.64573991031390565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2007'!$B$27:$G$27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0.16666666666666666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2007'!$B$28:$G$28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6.6666666666666666E-2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2007'!$B$29:$G$29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0.16666666666666666</c:v>
                </c:pt>
                <c:pt idx="3">
                  <c:v>0.4</c:v>
                </c:pt>
                <c:pt idx="4">
                  <c:v>0.6</c:v>
                </c:pt>
                <c:pt idx="5">
                  <c:v>0.5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2007'!$B$31:$G$31</c:f>
              <c:numCache>
                <c:formatCode>0.0%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0.22448979591836735</c:v>
                </c:pt>
                <c:pt idx="3">
                  <c:v>0.21126760563380281</c:v>
                </c:pt>
                <c:pt idx="4">
                  <c:v>0.13496932515337423</c:v>
                </c:pt>
                <c:pt idx="5">
                  <c:v>0.18260869565217391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2007'!$B$32:$G$32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9.0909090909090912E-2</c:v>
                </c:pt>
                <c:pt idx="4">
                  <c:v>0</c:v>
                </c:pt>
                <c:pt idx="5">
                  <c:v>2.3255813953488372E-2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2007'!$B$33:$G$33</c:f>
              <c:numCache>
                <c:formatCode>0.0%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0.22522522522522523</c:v>
                </c:pt>
                <c:pt idx="3">
                  <c:v>0.20454545454545456</c:v>
                </c:pt>
                <c:pt idx="4">
                  <c:v>0.17857142857142858</c:v>
                </c:pt>
                <c:pt idx="5">
                  <c:v>0.20048309178743962</c:v>
                </c:pt>
              </c:numCache>
            </c:numRef>
          </c:val>
        </c:ser>
        <c:axId val="52657152"/>
        <c:axId val="52689536"/>
      </c:barChart>
      <c:catAx>
        <c:axId val="5265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689536"/>
        <c:crosses val="autoZero"/>
        <c:auto val="1"/>
        <c:lblAlgn val="ctr"/>
        <c:lblOffset val="100"/>
        <c:tickLblSkip val="1"/>
        <c:tickMarkSkip val="1"/>
      </c:catAx>
      <c:valAx>
        <c:axId val="52689536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114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65715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88"/>
          <c:w val="0.83546325878593974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2008
Home Purchase &amp; Occupation 
</a:t>
            </a:r>
          </a:p>
        </c:rich>
      </c:tx>
      <c:layout>
        <c:manualLayout>
          <c:xMode val="edge"/>
          <c:yMode val="edge"/>
          <c:x val="0.19488817891373739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7"/>
          <c:w val="0.83386581469649135"/>
          <c:h val="0.64573991031390598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0.13333333333333333</c:v>
                </c:pt>
                <c:pt idx="5">
                  <c:v>0.125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2008'!$B$28:$G$28</c:f>
              <c:numCache>
                <c:formatCode>0.0%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0.18181818181818182</c:v>
                </c:pt>
                <c:pt idx="3">
                  <c:v>0.18181818181818182</c:v>
                </c:pt>
                <c:pt idx="4">
                  <c:v>0.23943661971830985</c:v>
                </c:pt>
                <c:pt idx="5">
                  <c:v>0.22689075630252101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2008'!$B$29:$G$29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0.33333333333333331</c:v>
                </c:pt>
                <c:pt idx="3">
                  <c:v>0.36363636363636365</c:v>
                </c:pt>
                <c:pt idx="4">
                  <c:v>0.29411764705882354</c:v>
                </c:pt>
                <c:pt idx="5">
                  <c:v>0.32631578947368423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2008'!$B$31:$G$31</c:f>
              <c:numCache>
                <c:formatCode>0.0%</c:formatCode>
                <c:ptCount val="6"/>
                <c:pt idx="0">
                  <c:v>0.25</c:v>
                </c:pt>
                <c:pt idx="1">
                  <c:v>0.38775510204081631</c:v>
                </c:pt>
                <c:pt idx="2">
                  <c:v>0.20577617328519857</c:v>
                </c:pt>
                <c:pt idx="3">
                  <c:v>0.1544943820224719</c:v>
                </c:pt>
                <c:pt idx="4">
                  <c:v>0.14271047227926079</c:v>
                </c:pt>
                <c:pt idx="5">
                  <c:v>0.16853932584269662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2008'!$B$32:$G$32</c:f>
              <c:numCache>
                <c:formatCode>0.0%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0.35555555555555557</c:v>
                </c:pt>
                <c:pt idx="3">
                  <c:v>0.37254901960784315</c:v>
                </c:pt>
                <c:pt idx="4">
                  <c:v>0.21111111111111111</c:v>
                </c:pt>
                <c:pt idx="5">
                  <c:v>0.30833333333333335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2008'!$B$33:$G$33</c:f>
              <c:numCache>
                <c:formatCode>0.0%</c:formatCode>
                <c:ptCount val="6"/>
                <c:pt idx="0">
                  <c:v>0.2</c:v>
                </c:pt>
                <c:pt idx="1">
                  <c:v>0.40322580645161288</c:v>
                </c:pt>
                <c:pt idx="2">
                  <c:v>0.20341614906832298</c:v>
                </c:pt>
                <c:pt idx="3">
                  <c:v>0.18075117370892019</c:v>
                </c:pt>
                <c:pt idx="4">
                  <c:v>0.15720524017467249</c:v>
                </c:pt>
                <c:pt idx="5">
                  <c:v>0.18020743301642178</c:v>
                </c:pt>
              </c:numCache>
            </c:numRef>
          </c:val>
        </c:ser>
        <c:axId val="69409792"/>
        <c:axId val="101571584"/>
      </c:barChart>
      <c:catAx>
        <c:axId val="69409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571584"/>
        <c:crosses val="autoZero"/>
        <c:auto val="1"/>
        <c:lblAlgn val="ctr"/>
        <c:lblOffset val="100"/>
        <c:tickLblSkip val="1"/>
        <c:tickMarkSkip val="1"/>
      </c:catAx>
      <c:valAx>
        <c:axId val="101571584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114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940979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88"/>
          <c:w val="0.83546325878593974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2009
Home Purchase &amp; Occupation 
</a:t>
            </a:r>
          </a:p>
        </c:rich>
      </c:tx>
      <c:layout>
        <c:manualLayout>
          <c:xMode val="edge"/>
          <c:yMode val="edge"/>
          <c:x val="0.19488817891373733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91"/>
          <c:w val="0.8338658146964919"/>
          <c:h val="0.64573991031390643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0.1111111111111111</c:v>
                </c:pt>
                <c:pt idx="5">
                  <c:v>5.8823529411764705E-2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2009'!$B$28:$G$28</c:f>
              <c:numCache>
                <c:formatCode>0.0%</c:formatCode>
                <c:ptCount val="6"/>
                <c:pt idx="0">
                  <c:v>0</c:v>
                </c:pt>
                <c:pt idx="1">
                  <c:v>0.43478260869565216</c:v>
                </c:pt>
                <c:pt idx="2">
                  <c:v>0.15584415584415584</c:v>
                </c:pt>
                <c:pt idx="3">
                  <c:v>0.08</c:v>
                </c:pt>
                <c:pt idx="4">
                  <c:v>0.19480519480519481</c:v>
                </c:pt>
                <c:pt idx="5">
                  <c:v>0.19323671497584541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2009'!$B$29:$G$29</c:f>
              <c:numCache>
                <c:formatCode>0.0%</c:formatCode>
                <c:ptCount val="6"/>
                <c:pt idx="0">
                  <c:v>0</c:v>
                </c:pt>
                <c:pt idx="1">
                  <c:v>0.22222222222222221</c:v>
                </c:pt>
                <c:pt idx="2">
                  <c:v>0.23809523809523808</c:v>
                </c:pt>
                <c:pt idx="3">
                  <c:v>0.125</c:v>
                </c:pt>
                <c:pt idx="4">
                  <c:v>0.20512820512820512</c:v>
                </c:pt>
                <c:pt idx="5">
                  <c:v>0.20370370370370369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2009'!$B$31:$G$31</c:f>
              <c:numCache>
                <c:formatCode>0.0%</c:formatCode>
                <c:ptCount val="6"/>
                <c:pt idx="0">
                  <c:v>0.78947368421052633</c:v>
                </c:pt>
                <c:pt idx="1">
                  <c:v>0.19029850746268656</c:v>
                </c:pt>
                <c:pt idx="2">
                  <c:v>0.10672268907563025</c:v>
                </c:pt>
                <c:pt idx="3">
                  <c:v>0.12164948453608247</c:v>
                </c:pt>
                <c:pt idx="4">
                  <c:v>9.1200000000000003E-2</c:v>
                </c:pt>
                <c:pt idx="5">
                  <c:v>0.11466338764217646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2009'!$B$32:$G$32</c:f>
              <c:numCache>
                <c:formatCode>0.0%</c:formatCode>
                <c:ptCount val="6"/>
                <c:pt idx="0">
                  <c:v>0.75</c:v>
                </c:pt>
                <c:pt idx="1">
                  <c:v>0.26666666666666666</c:v>
                </c:pt>
                <c:pt idx="2">
                  <c:v>0.18032786885245902</c:v>
                </c:pt>
                <c:pt idx="3">
                  <c:v>0.29729729729729731</c:v>
                </c:pt>
                <c:pt idx="4">
                  <c:v>0.14705882352941177</c:v>
                </c:pt>
                <c:pt idx="5">
                  <c:v>0.20454545454545456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2009'!$B$33:$G$33</c:f>
              <c:numCache>
                <c:formatCode>0.0%</c:formatCode>
                <c:ptCount val="6"/>
                <c:pt idx="0">
                  <c:v>0.5161290322580645</c:v>
                </c:pt>
                <c:pt idx="1">
                  <c:v>0.20172910662824209</c:v>
                </c:pt>
                <c:pt idx="2">
                  <c:v>0.11671270718232044</c:v>
                </c:pt>
                <c:pt idx="3">
                  <c:v>0.11169284467713787</c:v>
                </c:pt>
                <c:pt idx="4">
                  <c:v>0.10246174318030606</c:v>
                </c:pt>
                <c:pt idx="5">
                  <c:v>0.12139605462822459</c:v>
                </c:pt>
              </c:numCache>
            </c:numRef>
          </c:val>
        </c:ser>
        <c:axId val="50698112"/>
        <c:axId val="50708480"/>
      </c:barChart>
      <c:catAx>
        <c:axId val="5069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708480"/>
        <c:crosses val="autoZero"/>
        <c:auto val="1"/>
        <c:lblAlgn val="ctr"/>
        <c:lblOffset val="100"/>
        <c:tickLblSkip val="1"/>
        <c:tickMarkSkip val="1"/>
      </c:catAx>
      <c:valAx>
        <c:axId val="5070848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153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69811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66"/>
          <c:w val="0.83546325878593941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2010
Home Purchase &amp; Occupation 
</a:t>
            </a:r>
          </a:p>
        </c:rich>
      </c:tx>
      <c:layout>
        <c:manualLayout>
          <c:xMode val="edge"/>
          <c:yMode val="edge"/>
          <c:x val="0.19488817891373728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96"/>
          <c:w val="0.83386581469649235"/>
          <c:h val="0.64573991031390676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2.3809523809523808E-2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2010'!$B$28:$G$28</c:f>
              <c:numCache>
                <c:formatCode>0.0%</c:formatCode>
                <c:ptCount val="6"/>
                <c:pt idx="0">
                  <c:v>0</c:v>
                </c:pt>
                <c:pt idx="1">
                  <c:v>0.18421052631578946</c:v>
                </c:pt>
                <c:pt idx="2">
                  <c:v>0.1076923076923077</c:v>
                </c:pt>
                <c:pt idx="3">
                  <c:v>3.5714285714285712E-2</c:v>
                </c:pt>
                <c:pt idx="4">
                  <c:v>0.1702127659574468</c:v>
                </c:pt>
                <c:pt idx="5">
                  <c:v>0.12568306010928962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2010'!$B$29:$G$29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2.0408163265306121E-2</c:v>
                </c:pt>
                <c:pt idx="3">
                  <c:v>0.13333333333333333</c:v>
                </c:pt>
                <c:pt idx="4">
                  <c:v>0.10344827586206896</c:v>
                </c:pt>
                <c:pt idx="5">
                  <c:v>6.6037735849056603E-2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2010'!$B$31:$G$31</c:f>
              <c:numCache>
                <c:formatCode>0.0%</c:formatCode>
                <c:ptCount val="6"/>
                <c:pt idx="0">
                  <c:v>0.44</c:v>
                </c:pt>
                <c:pt idx="1">
                  <c:v>0.14046822742474915</c:v>
                </c:pt>
                <c:pt idx="2">
                  <c:v>8.9041095890410954E-2</c:v>
                </c:pt>
                <c:pt idx="3">
                  <c:v>4.5146726862302484E-2</c:v>
                </c:pt>
                <c:pt idx="4">
                  <c:v>6.5026362038664326E-2</c:v>
                </c:pt>
                <c:pt idx="5">
                  <c:v>8.0552746882372767E-2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2010'!$B$32:$G$32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0.19565217391304349</c:v>
                </c:pt>
                <c:pt idx="2">
                  <c:v>0.13157894736842105</c:v>
                </c:pt>
                <c:pt idx="3">
                  <c:v>3.125E-2</c:v>
                </c:pt>
                <c:pt idx="4">
                  <c:v>6.7796610169491525E-2</c:v>
                </c:pt>
                <c:pt idx="5">
                  <c:v>0.11764705882352941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2010'!$B$33:$G$33</c:f>
              <c:numCache>
                <c:formatCode>0.0%</c:formatCode>
                <c:ptCount val="6"/>
                <c:pt idx="0">
                  <c:v>0.36666666666666664</c:v>
                </c:pt>
                <c:pt idx="1">
                  <c:v>0.14499999999999999</c:v>
                </c:pt>
                <c:pt idx="2">
                  <c:v>9.0614886731391592E-2</c:v>
                </c:pt>
                <c:pt idx="3">
                  <c:v>4.7080979284369114E-2</c:v>
                </c:pt>
                <c:pt idx="4">
                  <c:v>7.105847520355292E-2</c:v>
                </c:pt>
                <c:pt idx="5">
                  <c:v>8.4675180455302604E-2</c:v>
                </c:pt>
              </c:numCache>
            </c:numRef>
          </c:val>
        </c:ser>
        <c:axId val="50760320"/>
        <c:axId val="50766592"/>
      </c:barChart>
      <c:catAx>
        <c:axId val="50760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766592"/>
        <c:crosses val="autoZero"/>
        <c:auto val="1"/>
        <c:lblAlgn val="ctr"/>
        <c:lblOffset val="100"/>
        <c:tickLblSkip val="1"/>
        <c:tickMarkSkip val="1"/>
      </c:catAx>
      <c:valAx>
        <c:axId val="50766592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197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760320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43"/>
          <c:w val="0.83546325878593919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2011
Home Purchase &amp; Occupation 
</a:t>
            </a:r>
          </a:p>
        </c:rich>
      </c:tx>
      <c:layout>
        <c:manualLayout>
          <c:xMode val="edge"/>
          <c:yMode val="edge"/>
          <c:x val="0.19488817891373722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7"/>
          <c:w val="0.8338658146964929"/>
          <c:h val="0.64573991031390721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2011'!$B$27:$G$27</c:f>
              <c:numCache>
                <c:formatCode>0.0%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0.14285714285714285</c:v>
                </c:pt>
                <c:pt idx="5">
                  <c:v>0.17857142857142858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2011'!$B$28:$G$28</c:f>
              <c:numCache>
                <c:formatCode>0.0%</c:formatCode>
                <c:ptCount val="6"/>
                <c:pt idx="0">
                  <c:v>0</c:v>
                </c:pt>
                <c:pt idx="1">
                  <c:v>0.17142857142857143</c:v>
                </c:pt>
                <c:pt idx="2">
                  <c:v>0.13333333333333333</c:v>
                </c:pt>
                <c:pt idx="3">
                  <c:v>0</c:v>
                </c:pt>
                <c:pt idx="4">
                  <c:v>7.8431372549019607E-2</c:v>
                </c:pt>
                <c:pt idx="5">
                  <c:v>0.11176470588235295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2011'!$B$29:$G$29</c:f>
              <c:numCache>
                <c:formatCode>0.0%</c:formatCode>
                <c:ptCount val="6"/>
                <c:pt idx="0">
                  <c:v>1</c:v>
                </c:pt>
                <c:pt idx="1">
                  <c:v>0.24</c:v>
                </c:pt>
                <c:pt idx="2">
                  <c:v>0.21739130434782608</c:v>
                </c:pt>
                <c:pt idx="3">
                  <c:v>0</c:v>
                </c:pt>
                <c:pt idx="4">
                  <c:v>0.10526315789473684</c:v>
                </c:pt>
                <c:pt idx="5">
                  <c:v>0.18421052631578946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2011'!$B$31:$G$31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0.13564668769716087</c:v>
                </c:pt>
                <c:pt idx="2">
                  <c:v>9.3939393939393934E-2</c:v>
                </c:pt>
                <c:pt idx="3">
                  <c:v>7.575757575757576E-2</c:v>
                </c:pt>
                <c:pt idx="4">
                  <c:v>7.9497907949790794E-2</c:v>
                </c:pt>
                <c:pt idx="5">
                  <c:v>9.6774193548387094E-2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2011'!$B$32:$G$32</c:f>
              <c:numCache>
                <c:formatCode>0.0%</c:formatCode>
                <c:ptCount val="6"/>
                <c:pt idx="0">
                  <c:v>0.25</c:v>
                </c:pt>
                <c:pt idx="1">
                  <c:v>0.18333333333333332</c:v>
                </c:pt>
                <c:pt idx="2">
                  <c:v>0.10526315789473684</c:v>
                </c:pt>
                <c:pt idx="3">
                  <c:v>9.5238095238095233E-2</c:v>
                </c:pt>
                <c:pt idx="4">
                  <c:v>0.16</c:v>
                </c:pt>
                <c:pt idx="5">
                  <c:v>0.14572864321608039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2011'!$B$33:$G$33</c:f>
              <c:numCache>
                <c:formatCode>0.0%</c:formatCode>
                <c:ptCount val="6"/>
                <c:pt idx="0">
                  <c:v>0.27272727272727271</c:v>
                </c:pt>
                <c:pt idx="1">
                  <c:v>0.14849187935034802</c:v>
                </c:pt>
                <c:pt idx="2">
                  <c:v>9.5794392523364483E-2</c:v>
                </c:pt>
                <c:pt idx="3">
                  <c:v>7.0796460176991149E-2</c:v>
                </c:pt>
                <c:pt idx="4">
                  <c:v>8.3710407239818999E-2</c:v>
                </c:pt>
                <c:pt idx="5">
                  <c:v>0.1010061919504644</c:v>
                </c:pt>
              </c:numCache>
            </c:numRef>
          </c:val>
        </c:ser>
        <c:axId val="51031424"/>
        <c:axId val="51451392"/>
      </c:barChart>
      <c:catAx>
        <c:axId val="51031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451392"/>
        <c:crosses val="autoZero"/>
        <c:auto val="1"/>
        <c:lblAlgn val="ctr"/>
        <c:lblOffset val="100"/>
        <c:tickLblSkip val="1"/>
        <c:tickMarkSkip val="1"/>
      </c:catAx>
      <c:valAx>
        <c:axId val="51451392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236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031424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921"/>
          <c:w val="0.83546325878593897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33" r="0.75000000000000333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2011
Home Purchase &amp; Occupation 
</a:t>
            </a:r>
          </a:p>
        </c:rich>
      </c:tx>
      <c:layout>
        <c:manualLayout>
          <c:xMode val="edge"/>
          <c:yMode val="edge"/>
          <c:x val="0.19488817891373716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703"/>
          <c:w val="0.83386581469649335"/>
          <c:h val="0.64573991031390765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0.1111111111111111</c:v>
                </c:pt>
                <c:pt idx="5">
                  <c:v>2.8571428571428571E-2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2012'!$B$28:$G$28</c:f>
              <c:numCache>
                <c:formatCode>0.0%</c:formatCode>
                <c:ptCount val="6"/>
                <c:pt idx="0">
                  <c:v>0.5</c:v>
                </c:pt>
                <c:pt idx="1">
                  <c:v>0.26923076923076922</c:v>
                </c:pt>
                <c:pt idx="2">
                  <c:v>0.13333333333333333</c:v>
                </c:pt>
                <c:pt idx="3">
                  <c:v>0.2</c:v>
                </c:pt>
                <c:pt idx="4">
                  <c:v>0.1702127659574468</c:v>
                </c:pt>
                <c:pt idx="5">
                  <c:v>0.1893491124260355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2012'!$B$29:$G$29</c:f>
              <c:numCache>
                <c:formatCode>0.0%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0.21428571428571427</c:v>
                </c:pt>
                <c:pt idx="3">
                  <c:v>0.35714285714285715</c:v>
                </c:pt>
                <c:pt idx="4">
                  <c:v>0</c:v>
                </c:pt>
                <c:pt idx="5">
                  <c:v>0.22077922077922077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2012'!$B$31:$G$31</c:f>
              <c:numCache>
                <c:formatCode>0.0%</c:formatCode>
                <c:ptCount val="6"/>
                <c:pt idx="0">
                  <c:v>0.39285714285714285</c:v>
                </c:pt>
                <c:pt idx="1">
                  <c:v>0.16199376947040497</c:v>
                </c:pt>
                <c:pt idx="2">
                  <c:v>8.8757396449704137E-2</c:v>
                </c:pt>
                <c:pt idx="3">
                  <c:v>7.4803149606299218E-2</c:v>
                </c:pt>
                <c:pt idx="4">
                  <c:v>6.5934065934065936E-2</c:v>
                </c:pt>
                <c:pt idx="5">
                  <c:v>9.6857290056671819E-2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2012'!$B$32:$G$32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0.15151515151515152</c:v>
                </c:pt>
                <c:pt idx="2">
                  <c:v>0.1125</c:v>
                </c:pt>
                <c:pt idx="3">
                  <c:v>8.3333333333333329E-2</c:v>
                </c:pt>
                <c:pt idx="4">
                  <c:v>0.13513513513513514</c:v>
                </c:pt>
                <c:pt idx="5">
                  <c:v>0.12962962962962962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2012'!$B$33:$G$33</c:f>
              <c:numCache>
                <c:formatCode>0.0%</c:formatCode>
                <c:ptCount val="6"/>
                <c:pt idx="0">
                  <c:v>0.34285714285714286</c:v>
                </c:pt>
                <c:pt idx="1">
                  <c:v>0.17464114832535885</c:v>
                </c:pt>
                <c:pt idx="2">
                  <c:v>9.5022624434389136E-2</c:v>
                </c:pt>
                <c:pt idx="3">
                  <c:v>8.7499999999999994E-2</c:v>
                </c:pt>
                <c:pt idx="4">
                  <c:v>7.3202614379084971E-2</c:v>
                </c:pt>
                <c:pt idx="5">
                  <c:v>0.10635696821515893</c:v>
                </c:pt>
              </c:numCache>
            </c:numRef>
          </c:val>
        </c:ser>
        <c:axId val="51626368"/>
        <c:axId val="51628288"/>
      </c:barChart>
      <c:catAx>
        <c:axId val="51626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28288"/>
        <c:crosses val="autoZero"/>
        <c:auto val="1"/>
        <c:lblAlgn val="ctr"/>
        <c:lblOffset val="100"/>
        <c:tickLblSkip val="1"/>
        <c:tickMarkSkip val="1"/>
      </c:catAx>
      <c:valAx>
        <c:axId val="51628288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2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26368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5899"/>
          <c:w val="0.83546325878593874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55" r="0.7500000000000035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FHA Mortgage</a:t>
            </a:r>
            <a:r>
              <a:rPr lang="en-US" baseline="0"/>
              <a:t> Loan </a:t>
            </a:r>
            <a:r>
              <a:rPr lang="en-US"/>
              <a:t>Denial Rate Trends for Race/Ethnic Groups
Multnomah County</a:t>
            </a:r>
          </a:p>
        </c:rich>
      </c:tx>
      <c:layout>
        <c:manualLayout>
          <c:xMode val="edge"/>
          <c:yMode val="edge"/>
          <c:x val="0.23248882265275708"/>
          <c:y val="4.59081836327345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2205663189269814"/>
          <c:y val="0.16367297372632419"/>
          <c:w val="0.58271236959760986"/>
          <c:h val="0.54091921804675425"/>
        </c:manualLayout>
      </c:layout>
      <c:lineChart>
        <c:grouping val="standard"/>
        <c:ser>
          <c:idx val="0"/>
          <c:order val="0"/>
          <c:tx>
            <c:strRef>
              <c:f>'Denial Rate Trend By Race'!$A$2</c:f>
              <c:strCache>
                <c:ptCount val="1"/>
                <c:pt idx="0">
                  <c:v>American Indian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Race'!$B$2:$H$2</c:f>
              <c:numCache>
                <c:formatCode>0.0%</c:formatCode>
                <c:ptCount val="7"/>
                <c:pt idx="0">
                  <c:v>6.6666666666666666E-2</c:v>
                </c:pt>
                <c:pt idx="1">
                  <c:v>0.16666666666666666</c:v>
                </c:pt>
                <c:pt idx="2">
                  <c:v>0.125</c:v>
                </c:pt>
                <c:pt idx="3">
                  <c:v>5.8823529411764705E-2</c:v>
                </c:pt>
                <c:pt idx="4">
                  <c:v>2.3809523809523808E-2</c:v>
                </c:pt>
                <c:pt idx="5">
                  <c:v>0.17857142857142858</c:v>
                </c:pt>
                <c:pt idx="6">
                  <c:v>2.8571428571428571E-2</c:v>
                </c:pt>
              </c:numCache>
            </c:numRef>
          </c:val>
        </c:ser>
        <c:ser>
          <c:idx val="1"/>
          <c:order val="1"/>
          <c:tx>
            <c:strRef>
              <c:f>'Denial Rate Trend By Race'!$A$3</c:f>
              <c:strCache>
                <c:ptCount val="1"/>
                <c:pt idx="0">
                  <c:v>Asian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Race'!$B$3:$H$3</c:f>
              <c:numCache>
                <c:formatCode>0.0%</c:formatCode>
                <c:ptCount val="7"/>
                <c:pt idx="0">
                  <c:v>9.5238095238095233E-2</c:v>
                </c:pt>
                <c:pt idx="1">
                  <c:v>6.6666666666666666E-2</c:v>
                </c:pt>
                <c:pt idx="2">
                  <c:v>0.22689075630252101</c:v>
                </c:pt>
                <c:pt idx="3">
                  <c:v>0.19323671497584541</c:v>
                </c:pt>
                <c:pt idx="4">
                  <c:v>0.12568306010928962</c:v>
                </c:pt>
                <c:pt idx="5">
                  <c:v>0.11176470588235295</c:v>
                </c:pt>
                <c:pt idx="6">
                  <c:v>0.1893491124260355</c:v>
                </c:pt>
              </c:numCache>
            </c:numRef>
          </c:val>
        </c:ser>
        <c:ser>
          <c:idx val="2"/>
          <c:order val="2"/>
          <c:tx>
            <c:strRef>
              <c:f>'Denial Rate Trend By Race'!$A$4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Race'!$B$4:$H$4</c:f>
              <c:numCache>
                <c:formatCode>0.0%</c:formatCode>
                <c:ptCount val="7"/>
                <c:pt idx="0">
                  <c:v>0.29411764705882354</c:v>
                </c:pt>
                <c:pt idx="1">
                  <c:v>0.5</c:v>
                </c:pt>
                <c:pt idx="2">
                  <c:v>0.32631578947368423</c:v>
                </c:pt>
                <c:pt idx="3">
                  <c:v>0.20370370370370369</c:v>
                </c:pt>
                <c:pt idx="4">
                  <c:v>6.6037735849056603E-2</c:v>
                </c:pt>
                <c:pt idx="5">
                  <c:v>0.18421052631578946</c:v>
                </c:pt>
                <c:pt idx="6">
                  <c:v>0.22077922077922077</c:v>
                </c:pt>
              </c:numCache>
            </c:numRef>
          </c:val>
        </c:ser>
        <c:ser>
          <c:idx val="3"/>
          <c:order val="3"/>
          <c:tx>
            <c:strRef>
              <c:f>'Denial Rate Trend By Race'!$A$5</c:f>
              <c:strCache>
                <c:ptCount val="1"/>
                <c:pt idx="0">
                  <c:v>Native Hawaiian or Pacific Islander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Race'!$B$5:$H$5</c:f>
              <c:numCache>
                <c:formatCode>0.0%</c:formatCode>
                <c:ptCount val="7"/>
                <c:pt idx="0">
                  <c:v>0</c:v>
                </c:pt>
                <c:pt idx="1">
                  <c:v>0.33333333333333331</c:v>
                </c:pt>
                <c:pt idx="2">
                  <c:v>0.3</c:v>
                </c:pt>
                <c:pt idx="3">
                  <c:v>0.11627906976744186</c:v>
                </c:pt>
                <c:pt idx="4">
                  <c:v>0.125</c:v>
                </c:pt>
                <c:pt idx="5">
                  <c:v>0.14814814814814814</c:v>
                </c:pt>
                <c:pt idx="6">
                  <c:v>0.16666666666666666</c:v>
                </c:pt>
              </c:numCache>
            </c:numRef>
          </c:val>
        </c:ser>
        <c:ser>
          <c:idx val="4"/>
          <c:order val="4"/>
          <c:tx>
            <c:strRef>
              <c:f>'Denial Rate Trend By Race'!$A$6</c:f>
              <c:strCache>
                <c:ptCount val="1"/>
                <c:pt idx="0">
                  <c:v>Hispanic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Race'!$B$6:$H$6</c:f>
              <c:numCache>
                <c:formatCode>0.0%</c:formatCode>
                <c:ptCount val="7"/>
                <c:pt idx="0">
                  <c:v>0.14376996805111822</c:v>
                </c:pt>
                <c:pt idx="1">
                  <c:v>0.18260869565217391</c:v>
                </c:pt>
                <c:pt idx="2">
                  <c:v>0.16853932584269662</c:v>
                </c:pt>
                <c:pt idx="3">
                  <c:v>0.11466338764217646</c:v>
                </c:pt>
                <c:pt idx="4">
                  <c:v>8.0552746882372767E-2</c:v>
                </c:pt>
                <c:pt idx="5">
                  <c:v>9.6774193548387094E-2</c:v>
                </c:pt>
                <c:pt idx="6">
                  <c:v>9.6857290056671819E-2</c:v>
                </c:pt>
              </c:numCache>
            </c:numRef>
          </c:val>
        </c:ser>
        <c:ser>
          <c:idx val="5"/>
          <c:order val="5"/>
          <c:tx>
            <c:strRef>
              <c:f>'Denial Rate Trend By Race'!$A$7</c:f>
              <c:strCache>
                <c:ptCount val="1"/>
                <c:pt idx="0">
                  <c:v>White</c:v>
                </c:pt>
              </c:strCache>
            </c:strRef>
          </c:tx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Race'!$B$7:$H$7</c:f>
              <c:numCache>
                <c:formatCode>0.0%</c:formatCode>
                <c:ptCount val="7"/>
                <c:pt idx="0">
                  <c:v>0.16666666666666666</c:v>
                </c:pt>
                <c:pt idx="1">
                  <c:v>2.3255813953488372E-2</c:v>
                </c:pt>
                <c:pt idx="2">
                  <c:v>0.30833333333333335</c:v>
                </c:pt>
                <c:pt idx="3">
                  <c:v>0.20454545454545456</c:v>
                </c:pt>
                <c:pt idx="4">
                  <c:v>0.11764705882352941</c:v>
                </c:pt>
                <c:pt idx="5">
                  <c:v>0.14572864321608039</c:v>
                </c:pt>
                <c:pt idx="6">
                  <c:v>0.12962962962962962</c:v>
                </c:pt>
              </c:numCache>
            </c:numRef>
          </c:val>
        </c:ser>
        <c:ser>
          <c:idx val="6"/>
          <c:order val="6"/>
          <c:tx>
            <c:strRef>
              <c:f>'Denial Rate Trend By Race'!$A$8</c:f>
              <c:strCache>
                <c:ptCount val="1"/>
                <c:pt idx="0">
                  <c:v>Overall Total</c:v>
                </c:pt>
              </c:strCache>
            </c:strRef>
          </c:tx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Race'!$B$8:$H$8</c:f>
              <c:numCache>
                <c:formatCode>0.0%</c:formatCode>
                <c:ptCount val="7"/>
                <c:pt idx="0">
                  <c:v>0.14402173913043478</c:v>
                </c:pt>
                <c:pt idx="1">
                  <c:v>0.20048309178743962</c:v>
                </c:pt>
                <c:pt idx="2">
                  <c:v>0.18020743301642178</c:v>
                </c:pt>
                <c:pt idx="3">
                  <c:v>0.12139605462822459</c:v>
                </c:pt>
                <c:pt idx="4">
                  <c:v>8.4675180455302604E-2</c:v>
                </c:pt>
                <c:pt idx="5">
                  <c:v>0.1010061919504644</c:v>
                </c:pt>
                <c:pt idx="6">
                  <c:v>0.10635696821515893</c:v>
                </c:pt>
              </c:numCache>
            </c:numRef>
          </c:val>
        </c:ser>
        <c:marker val="1"/>
        <c:axId val="52545024"/>
        <c:axId val="52546560"/>
      </c:lineChart>
      <c:catAx>
        <c:axId val="525450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546560"/>
        <c:crosses val="autoZero"/>
        <c:auto val="1"/>
        <c:lblAlgn val="ctr"/>
        <c:lblOffset val="100"/>
        <c:tickMarkSkip val="1"/>
      </c:catAx>
      <c:valAx>
        <c:axId val="52546560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545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FHA Mortgage</a:t>
            </a:r>
            <a:r>
              <a:rPr lang="en-US" baseline="0"/>
              <a:t> Loan </a:t>
            </a:r>
            <a:r>
              <a:rPr lang="en-US"/>
              <a:t>Denial Rate Trends for Income Groups
Multnomah County</a:t>
            </a:r>
          </a:p>
        </c:rich>
      </c:tx>
      <c:layout>
        <c:manualLayout>
          <c:xMode val="edge"/>
          <c:yMode val="edge"/>
          <c:x val="0.23248882265275708"/>
          <c:y val="4.59081836327345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2205663189269811"/>
          <c:y val="0.16367297372632419"/>
          <c:w val="0.58271236959761008"/>
          <c:h val="0.54091921804675425"/>
        </c:manualLayout>
      </c:layout>
      <c:lineChart>
        <c:grouping val="standard"/>
        <c:ser>
          <c:idx val="0"/>
          <c:order val="0"/>
          <c:tx>
            <c:strRef>
              <c:f>'Denial Rate Trend By Income'!$A$2</c:f>
              <c:strCache>
                <c:ptCount val="1"/>
                <c:pt idx="0">
                  <c:v>0-30% MFI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6"/>
              <c:layout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Income'!$B$2:$H$2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0.5161290322580645</c:v>
                </c:pt>
                <c:pt idx="4">
                  <c:v>0.36666666666666664</c:v>
                </c:pt>
                <c:pt idx="5">
                  <c:v>0.27272727272727271</c:v>
                </c:pt>
                <c:pt idx="6">
                  <c:v>0.34285714285714286</c:v>
                </c:pt>
              </c:numCache>
            </c:numRef>
          </c:val>
        </c:ser>
        <c:ser>
          <c:idx val="1"/>
          <c:order val="1"/>
          <c:tx>
            <c:strRef>
              <c:f>'Denial Rate Trend By Income'!$A$3</c:f>
              <c:strCache>
                <c:ptCount val="1"/>
                <c:pt idx="0">
                  <c:v>31-50% MFI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6"/>
              <c:layout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Income'!$B$3:$H$3</c:f>
              <c:numCache>
                <c:formatCode>0.0%</c:formatCode>
                <c:ptCount val="7"/>
                <c:pt idx="0">
                  <c:v>0.41379310344827586</c:v>
                </c:pt>
                <c:pt idx="1">
                  <c:v>0.5</c:v>
                </c:pt>
                <c:pt idx="2">
                  <c:v>0.40322580645161288</c:v>
                </c:pt>
                <c:pt idx="3">
                  <c:v>0.20172910662824209</c:v>
                </c:pt>
                <c:pt idx="4">
                  <c:v>0.14499999999999999</c:v>
                </c:pt>
                <c:pt idx="5">
                  <c:v>0.14849187935034802</c:v>
                </c:pt>
                <c:pt idx="6">
                  <c:v>0.17464114832535885</c:v>
                </c:pt>
              </c:numCache>
            </c:numRef>
          </c:val>
        </c:ser>
        <c:ser>
          <c:idx val="2"/>
          <c:order val="2"/>
          <c:tx>
            <c:strRef>
              <c:f>'Denial Rate Trend By Income'!$A$4</c:f>
              <c:strCache>
                <c:ptCount val="1"/>
                <c:pt idx="0">
                  <c:v>51-80% MFI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dLbls>
            <c:dLbl>
              <c:idx val="6"/>
              <c:layout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Income'!$B$4:$H$4</c:f>
              <c:numCache>
                <c:formatCode>0.0%</c:formatCode>
                <c:ptCount val="7"/>
                <c:pt idx="0">
                  <c:v>0.12213740458015267</c:v>
                </c:pt>
                <c:pt idx="1">
                  <c:v>0.22522522522522523</c:v>
                </c:pt>
                <c:pt idx="2">
                  <c:v>0.20341614906832298</c:v>
                </c:pt>
                <c:pt idx="3">
                  <c:v>0.11671270718232044</c:v>
                </c:pt>
                <c:pt idx="4">
                  <c:v>9.0614886731391592E-2</c:v>
                </c:pt>
                <c:pt idx="5">
                  <c:v>9.5794392523364483E-2</c:v>
                </c:pt>
                <c:pt idx="6">
                  <c:v>9.5022624434389136E-2</c:v>
                </c:pt>
              </c:numCache>
            </c:numRef>
          </c:val>
        </c:ser>
        <c:ser>
          <c:idx val="3"/>
          <c:order val="3"/>
          <c:tx>
            <c:strRef>
              <c:f>'Denial Rate Trend By Income'!$A$5</c:f>
              <c:strCache>
                <c:ptCount val="1"/>
                <c:pt idx="0">
                  <c:v>81-95% MFI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layout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Income'!$B$5:$H$5</c:f>
              <c:numCache>
                <c:formatCode>0.0%</c:formatCode>
                <c:ptCount val="7"/>
                <c:pt idx="0">
                  <c:v>9.8591549295774641E-2</c:v>
                </c:pt>
                <c:pt idx="1">
                  <c:v>0.20454545454545456</c:v>
                </c:pt>
                <c:pt idx="2">
                  <c:v>0.18075117370892019</c:v>
                </c:pt>
                <c:pt idx="3">
                  <c:v>0.11169284467713787</c:v>
                </c:pt>
                <c:pt idx="4">
                  <c:v>4.7080979284369114E-2</c:v>
                </c:pt>
                <c:pt idx="5">
                  <c:v>7.0796460176991149E-2</c:v>
                </c:pt>
                <c:pt idx="6">
                  <c:v>8.7499999999999994E-2</c:v>
                </c:pt>
              </c:numCache>
            </c:numRef>
          </c:val>
        </c:ser>
        <c:ser>
          <c:idx val="4"/>
          <c:order val="4"/>
          <c:tx>
            <c:strRef>
              <c:f>'Denial Rate Trend By Income'!$A$6</c:f>
              <c:strCache>
                <c:ptCount val="1"/>
                <c:pt idx="0">
                  <c:v>&gt;95% MFI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layout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Income'!$B$6:$H$6</c:f>
              <c:numCache>
                <c:formatCode>0.0%</c:formatCode>
                <c:ptCount val="7"/>
                <c:pt idx="0">
                  <c:v>0.140625</c:v>
                </c:pt>
                <c:pt idx="1">
                  <c:v>0.17857142857142858</c:v>
                </c:pt>
                <c:pt idx="2">
                  <c:v>0.15720524017467249</c:v>
                </c:pt>
                <c:pt idx="3">
                  <c:v>0.10246174318030606</c:v>
                </c:pt>
                <c:pt idx="4">
                  <c:v>7.105847520355292E-2</c:v>
                </c:pt>
                <c:pt idx="5">
                  <c:v>8.3710407239818999E-2</c:v>
                </c:pt>
                <c:pt idx="6">
                  <c:v>7.3202614379084971E-2</c:v>
                </c:pt>
              </c:numCache>
            </c:numRef>
          </c:val>
        </c:ser>
        <c:marker val="1"/>
        <c:axId val="52667904"/>
        <c:axId val="52669440"/>
      </c:lineChart>
      <c:catAx>
        <c:axId val="5266790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69440"/>
        <c:crosses val="autoZero"/>
        <c:auto val="1"/>
        <c:lblAlgn val="ctr"/>
        <c:lblOffset val="100"/>
        <c:tickMarkSkip val="1"/>
      </c:catAx>
      <c:valAx>
        <c:axId val="52669440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667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92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717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163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selection activeCell="B33" sqref="B33:G3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7">
      <c r="A1" s="36" t="s">
        <v>22</v>
      </c>
      <c r="B1" s="37"/>
      <c r="C1" s="37"/>
      <c r="D1" s="37"/>
      <c r="E1" s="37"/>
      <c r="F1" s="37"/>
      <c r="G1" s="38"/>
    </row>
    <row r="2" spans="1:7">
      <c r="A2" s="39" t="s">
        <v>26</v>
      </c>
      <c r="B2" s="40"/>
      <c r="C2" s="40"/>
      <c r="D2" s="40"/>
      <c r="E2" s="40"/>
      <c r="F2" s="40"/>
      <c r="G2" s="41"/>
    </row>
    <row r="3" spans="1:7">
      <c r="A3" s="24"/>
      <c r="B3" s="25"/>
      <c r="C3" s="25"/>
      <c r="D3" s="25"/>
      <c r="E3" s="25"/>
      <c r="F3" s="25"/>
      <c r="G3" s="26"/>
    </row>
    <row r="4" spans="1:7">
      <c r="A4" s="6"/>
      <c r="B4" s="2"/>
      <c r="C4" s="2"/>
      <c r="D4" s="2"/>
      <c r="E4" s="2"/>
      <c r="F4" s="2"/>
      <c r="G4" s="7"/>
    </row>
    <row r="5" spans="1:7">
      <c r="A5" s="33" t="s">
        <v>12</v>
      </c>
      <c r="B5" s="34"/>
      <c r="C5" s="34"/>
      <c r="D5" s="34"/>
      <c r="E5" s="34"/>
      <c r="F5" s="34"/>
      <c r="G5" s="35"/>
    </row>
    <row r="6" spans="1:7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</row>
    <row r="7" spans="1:7">
      <c r="A7" s="6" t="s">
        <v>11</v>
      </c>
      <c r="B7" s="2">
        <v>0</v>
      </c>
      <c r="C7" s="2">
        <v>0</v>
      </c>
      <c r="D7" s="3">
        <v>5</v>
      </c>
      <c r="E7" s="3">
        <v>4</v>
      </c>
      <c r="F7" s="3">
        <v>6</v>
      </c>
      <c r="G7" s="8">
        <v>15</v>
      </c>
    </row>
    <row r="8" spans="1:7">
      <c r="A8" s="6" t="s">
        <v>6</v>
      </c>
      <c r="B8" s="3">
        <v>1</v>
      </c>
      <c r="C8" s="3">
        <v>3</v>
      </c>
      <c r="D8" s="3">
        <v>6</v>
      </c>
      <c r="E8" s="3">
        <v>5</v>
      </c>
      <c r="F8" s="3">
        <v>6</v>
      </c>
      <c r="G8" s="8">
        <v>21</v>
      </c>
    </row>
    <row r="9" spans="1:7">
      <c r="A9" s="9" t="s">
        <v>7</v>
      </c>
      <c r="B9" s="3">
        <v>0</v>
      </c>
      <c r="C9" s="3">
        <v>2</v>
      </c>
      <c r="D9" s="3">
        <v>8</v>
      </c>
      <c r="E9" s="3">
        <v>2</v>
      </c>
      <c r="F9" s="3">
        <v>5</v>
      </c>
      <c r="G9" s="8">
        <v>17</v>
      </c>
    </row>
    <row r="10" spans="1:7">
      <c r="A10" s="9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8">
        <v>0</v>
      </c>
    </row>
    <row r="11" spans="1:7" s="23" customFormat="1">
      <c r="A11" s="9" t="s">
        <v>8</v>
      </c>
      <c r="B11" s="21">
        <v>1</v>
      </c>
      <c r="C11" s="21">
        <v>20</v>
      </c>
      <c r="D11" s="21">
        <v>112</v>
      </c>
      <c r="E11" s="21">
        <v>65</v>
      </c>
      <c r="F11" s="21">
        <v>110</v>
      </c>
      <c r="G11" s="22">
        <v>313</v>
      </c>
    </row>
    <row r="12" spans="1:7">
      <c r="A12" s="9" t="s">
        <v>9</v>
      </c>
      <c r="B12" s="2">
        <v>1</v>
      </c>
      <c r="C12" s="2">
        <v>3</v>
      </c>
      <c r="D12" s="3">
        <v>12</v>
      </c>
      <c r="E12" s="3">
        <v>5</v>
      </c>
      <c r="F12" s="3">
        <v>9</v>
      </c>
      <c r="G12" s="8">
        <v>30</v>
      </c>
    </row>
    <row r="13" spans="1:7">
      <c r="A13" s="9" t="s">
        <v>14</v>
      </c>
      <c r="B13" s="3">
        <v>4</v>
      </c>
      <c r="C13" s="2">
        <v>29</v>
      </c>
      <c r="D13" s="2">
        <v>131</v>
      </c>
      <c r="E13" s="2">
        <v>71</v>
      </c>
      <c r="F13" s="2">
        <v>128</v>
      </c>
      <c r="G13" s="7">
        <v>368</v>
      </c>
    </row>
    <row r="14" spans="1:7">
      <c r="A14" s="6"/>
      <c r="B14" s="2"/>
      <c r="C14" s="2"/>
      <c r="D14" s="2"/>
      <c r="E14" s="2"/>
      <c r="F14" s="2"/>
      <c r="G14" s="7"/>
    </row>
    <row r="15" spans="1:7">
      <c r="A15" s="33" t="s">
        <v>13</v>
      </c>
      <c r="B15" s="34"/>
      <c r="C15" s="34"/>
      <c r="D15" s="34"/>
      <c r="E15" s="34"/>
      <c r="F15" s="34"/>
      <c r="G15" s="35"/>
    </row>
    <row r="16" spans="1:7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8">
        <v>1</v>
      </c>
    </row>
    <row r="18" spans="1:7">
      <c r="A18" s="6" t="s">
        <v>6</v>
      </c>
      <c r="B18" s="3">
        <v>0</v>
      </c>
      <c r="C18" s="3">
        <v>0</v>
      </c>
      <c r="D18" s="3">
        <v>0</v>
      </c>
      <c r="E18" s="3">
        <v>0</v>
      </c>
      <c r="F18" s="3">
        <v>2</v>
      </c>
      <c r="G18" s="8">
        <v>2</v>
      </c>
    </row>
    <row r="19" spans="1:7">
      <c r="A19" s="9" t="s">
        <v>7</v>
      </c>
      <c r="B19" s="3">
        <v>0</v>
      </c>
      <c r="C19" s="3">
        <v>2</v>
      </c>
      <c r="D19" s="3">
        <v>1</v>
      </c>
      <c r="E19" s="3">
        <v>1</v>
      </c>
      <c r="F19" s="3">
        <v>1</v>
      </c>
      <c r="G19" s="8">
        <v>5</v>
      </c>
    </row>
    <row r="20" spans="1:7">
      <c r="A20" s="9" t="s">
        <v>23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8">
        <v>0</v>
      </c>
    </row>
    <row r="21" spans="1:7">
      <c r="A21" s="9" t="s">
        <v>8</v>
      </c>
      <c r="B21" s="3">
        <v>0</v>
      </c>
      <c r="C21" s="3">
        <v>9</v>
      </c>
      <c r="D21" s="3">
        <v>14</v>
      </c>
      <c r="E21" s="3">
        <v>6</v>
      </c>
      <c r="F21" s="3">
        <v>16</v>
      </c>
      <c r="G21" s="8">
        <v>45</v>
      </c>
    </row>
    <row r="22" spans="1:7">
      <c r="A22" s="9" t="s">
        <v>9</v>
      </c>
      <c r="B22" s="3">
        <v>0</v>
      </c>
      <c r="C22" s="3">
        <v>1</v>
      </c>
      <c r="D22" s="3">
        <v>1</v>
      </c>
      <c r="E22" s="3">
        <v>1</v>
      </c>
      <c r="F22" s="3">
        <v>2</v>
      </c>
      <c r="G22" s="8">
        <v>5</v>
      </c>
    </row>
    <row r="23" spans="1:7">
      <c r="A23" s="9" t="s">
        <v>14</v>
      </c>
      <c r="B23" s="2">
        <v>0</v>
      </c>
      <c r="C23" s="2">
        <v>12</v>
      </c>
      <c r="D23" s="2">
        <v>16</v>
      </c>
      <c r="E23" s="3">
        <v>7</v>
      </c>
      <c r="F23" s="2">
        <v>18</v>
      </c>
      <c r="G23" s="7">
        <v>53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v>0</v>
      </c>
      <c r="C27" s="5">
        <v>0</v>
      </c>
      <c r="D27" s="5">
        <f>D17/D7</f>
        <v>0</v>
      </c>
      <c r="E27" s="5">
        <f t="shared" ref="E27:G27" si="0">E17/E7</f>
        <v>0</v>
      </c>
      <c r="F27" s="5">
        <f t="shared" si="0"/>
        <v>0.16666666666666666</v>
      </c>
      <c r="G27" s="10">
        <f t="shared" si="0"/>
        <v>6.6666666666666666E-2</v>
      </c>
    </row>
    <row r="28" spans="1:7">
      <c r="A28" s="6" t="s">
        <v>6</v>
      </c>
      <c r="B28" s="5">
        <f t="shared" ref="B28:G33" si="1">B18/B8</f>
        <v>0</v>
      </c>
      <c r="C28" s="5">
        <f t="shared" si="1"/>
        <v>0</v>
      </c>
      <c r="D28" s="5">
        <f t="shared" si="1"/>
        <v>0</v>
      </c>
      <c r="E28" s="5">
        <f t="shared" si="1"/>
        <v>0</v>
      </c>
      <c r="F28" s="5">
        <f t="shared" si="1"/>
        <v>0.33333333333333331</v>
      </c>
      <c r="G28" s="10">
        <f t="shared" si="1"/>
        <v>9.5238095238095233E-2</v>
      </c>
    </row>
    <row r="29" spans="1:7">
      <c r="A29" s="9" t="s">
        <v>7</v>
      </c>
      <c r="B29" s="5">
        <v>0</v>
      </c>
      <c r="C29" s="5">
        <f t="shared" si="1"/>
        <v>1</v>
      </c>
      <c r="D29" s="5">
        <f t="shared" si="1"/>
        <v>0.125</v>
      </c>
      <c r="E29" s="5">
        <f t="shared" si="1"/>
        <v>0.5</v>
      </c>
      <c r="F29" s="5">
        <f t="shared" si="1"/>
        <v>0.2</v>
      </c>
      <c r="G29" s="10">
        <f t="shared" si="1"/>
        <v>0.29411764705882354</v>
      </c>
    </row>
    <row r="30" spans="1:7">
      <c r="A30" s="9" t="s">
        <v>23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10">
        <v>0</v>
      </c>
    </row>
    <row r="31" spans="1:7">
      <c r="A31" s="9" t="s">
        <v>8</v>
      </c>
      <c r="B31" s="5">
        <f t="shared" si="1"/>
        <v>0</v>
      </c>
      <c r="C31" s="5">
        <f t="shared" si="1"/>
        <v>0.45</v>
      </c>
      <c r="D31" s="5">
        <f t="shared" si="1"/>
        <v>0.125</v>
      </c>
      <c r="E31" s="5">
        <f t="shared" si="1"/>
        <v>9.2307692307692313E-2</v>
      </c>
      <c r="F31" s="5">
        <f t="shared" si="1"/>
        <v>0.14545454545454545</v>
      </c>
      <c r="G31" s="10">
        <f t="shared" si="1"/>
        <v>0.14376996805111822</v>
      </c>
    </row>
    <row r="32" spans="1:7">
      <c r="A32" s="9" t="s">
        <v>9</v>
      </c>
      <c r="B32" s="5">
        <f t="shared" si="1"/>
        <v>0</v>
      </c>
      <c r="C32" s="5">
        <f t="shared" si="1"/>
        <v>0.33333333333333331</v>
      </c>
      <c r="D32" s="5">
        <f t="shared" si="1"/>
        <v>8.3333333333333329E-2</v>
      </c>
      <c r="E32" s="5">
        <f t="shared" si="1"/>
        <v>0.2</v>
      </c>
      <c r="F32" s="5">
        <f t="shared" si="1"/>
        <v>0.22222222222222221</v>
      </c>
      <c r="G32" s="10">
        <f t="shared" si="1"/>
        <v>0.16666666666666666</v>
      </c>
    </row>
    <row r="33" spans="1:9" ht="13.5" thickBot="1">
      <c r="A33" s="11" t="s">
        <v>14</v>
      </c>
      <c r="B33" s="12">
        <f t="shared" si="1"/>
        <v>0</v>
      </c>
      <c r="C33" s="12">
        <f t="shared" si="1"/>
        <v>0.41379310344827586</v>
      </c>
      <c r="D33" s="12">
        <f t="shared" si="1"/>
        <v>0.12213740458015267</v>
      </c>
      <c r="E33" s="12">
        <f t="shared" si="1"/>
        <v>9.8591549295774641E-2</v>
      </c>
      <c r="F33" s="12">
        <f t="shared" si="1"/>
        <v>0.140625</v>
      </c>
      <c r="G33" s="13">
        <f t="shared" si="1"/>
        <v>0.14402173913043478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5.5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25:G25"/>
    <mergeCell ref="A1:G1"/>
    <mergeCell ref="A2:G2"/>
    <mergeCell ref="A5:G5"/>
    <mergeCell ref="A15:G15"/>
  </mergeCells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"/>
  <sheetViews>
    <sheetView workbookViewId="0">
      <selection activeCell="B33" sqref="B33:G3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5">
      <c r="A1" s="36" t="s">
        <v>21</v>
      </c>
      <c r="B1" s="37"/>
      <c r="C1" s="37"/>
      <c r="D1" s="37"/>
      <c r="E1" s="37"/>
      <c r="F1" s="37"/>
      <c r="G1" s="38"/>
    </row>
    <row r="2" spans="1:15">
      <c r="A2" s="39" t="s">
        <v>26</v>
      </c>
      <c r="B2" s="40"/>
      <c r="C2" s="40"/>
      <c r="D2" s="40"/>
      <c r="E2" s="40"/>
      <c r="F2" s="40"/>
      <c r="G2" s="41"/>
    </row>
    <row r="3" spans="1:15">
      <c r="A3" s="24"/>
      <c r="B3" s="25"/>
      <c r="C3" s="25"/>
      <c r="D3" s="25"/>
      <c r="E3" s="25"/>
      <c r="F3" s="25"/>
      <c r="G3" s="26"/>
    </row>
    <row r="4" spans="1:15">
      <c r="A4" s="6"/>
      <c r="B4" s="2"/>
      <c r="C4" s="2"/>
      <c r="D4" s="2"/>
      <c r="E4" s="2"/>
      <c r="F4" s="2"/>
      <c r="G4" s="7"/>
      <c r="K4" s="2"/>
    </row>
    <row r="5" spans="1:15">
      <c r="A5" s="33" t="s">
        <v>12</v>
      </c>
      <c r="B5" s="34"/>
      <c r="C5" s="34"/>
      <c r="D5" s="34"/>
      <c r="E5" s="34"/>
      <c r="F5" s="34"/>
      <c r="G5" s="35"/>
      <c r="K5" s="3"/>
    </row>
    <row r="6" spans="1:15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K6" s="3"/>
    </row>
    <row r="7" spans="1:15">
      <c r="A7" s="6" t="s">
        <v>11</v>
      </c>
      <c r="B7" s="2">
        <v>0</v>
      </c>
      <c r="C7" s="2">
        <v>1</v>
      </c>
      <c r="D7" s="3">
        <v>1</v>
      </c>
      <c r="E7" s="3">
        <v>5</v>
      </c>
      <c r="F7" s="3">
        <v>5</v>
      </c>
      <c r="G7" s="8">
        <v>12</v>
      </c>
      <c r="K7" s="3"/>
    </row>
    <row r="8" spans="1:15">
      <c r="A8" s="6" t="s">
        <v>6</v>
      </c>
      <c r="B8" s="3">
        <v>0</v>
      </c>
      <c r="C8" s="3">
        <v>1</v>
      </c>
      <c r="D8" s="3">
        <v>2</v>
      </c>
      <c r="E8" s="3">
        <v>4</v>
      </c>
      <c r="F8" s="3">
        <v>8</v>
      </c>
      <c r="G8" s="8">
        <v>15</v>
      </c>
      <c r="K8" s="3"/>
    </row>
    <row r="9" spans="1:15">
      <c r="A9" s="9" t="s">
        <v>7</v>
      </c>
      <c r="B9" s="3">
        <v>0</v>
      </c>
      <c r="C9" s="3">
        <v>2</v>
      </c>
      <c r="D9" s="3">
        <v>6</v>
      </c>
      <c r="E9" s="3">
        <v>5</v>
      </c>
      <c r="F9" s="3">
        <v>15</v>
      </c>
      <c r="G9" s="8">
        <v>28</v>
      </c>
    </row>
    <row r="10" spans="1:15">
      <c r="A10" s="9" t="s">
        <v>23</v>
      </c>
      <c r="B10" s="3">
        <v>0</v>
      </c>
      <c r="C10" s="3">
        <v>0</v>
      </c>
      <c r="D10" s="3">
        <v>0</v>
      </c>
      <c r="E10" s="3">
        <v>2</v>
      </c>
      <c r="F10" s="3">
        <v>1</v>
      </c>
      <c r="G10" s="8">
        <v>3</v>
      </c>
    </row>
    <row r="11" spans="1:15">
      <c r="A11" s="9" t="s">
        <v>8</v>
      </c>
      <c r="B11" s="3">
        <v>3</v>
      </c>
      <c r="C11" s="3">
        <v>8</v>
      </c>
      <c r="D11" s="3">
        <v>98</v>
      </c>
      <c r="E11" s="3">
        <v>71</v>
      </c>
      <c r="F11" s="3">
        <v>163</v>
      </c>
      <c r="G11" s="8">
        <v>345</v>
      </c>
    </row>
    <row r="12" spans="1:15">
      <c r="A12" s="9" t="s">
        <v>9</v>
      </c>
      <c r="B12" s="3">
        <v>0</v>
      </c>
      <c r="C12" s="3">
        <v>4</v>
      </c>
      <c r="D12" s="3">
        <v>13</v>
      </c>
      <c r="E12" s="3">
        <v>11</v>
      </c>
      <c r="F12" s="3">
        <v>15</v>
      </c>
      <c r="G12" s="8">
        <v>43</v>
      </c>
    </row>
    <row r="13" spans="1:15">
      <c r="A13" s="9" t="s">
        <v>14</v>
      </c>
      <c r="B13" s="3">
        <v>3</v>
      </c>
      <c r="C13" s="2">
        <v>10</v>
      </c>
      <c r="D13" s="2">
        <v>111</v>
      </c>
      <c r="E13" s="2">
        <v>88</v>
      </c>
      <c r="F13" s="2">
        <v>196</v>
      </c>
      <c r="G13" s="7">
        <v>414</v>
      </c>
    </row>
    <row r="14" spans="1:15">
      <c r="A14" s="6"/>
      <c r="B14" s="2"/>
      <c r="C14" s="2"/>
      <c r="D14" s="2"/>
      <c r="E14" s="2"/>
      <c r="F14" s="2"/>
      <c r="G14" s="7"/>
    </row>
    <row r="15" spans="1:15">
      <c r="A15" s="33" t="s">
        <v>13</v>
      </c>
      <c r="B15" s="34"/>
      <c r="C15" s="34"/>
      <c r="D15" s="34"/>
      <c r="E15" s="34"/>
      <c r="F15" s="34"/>
      <c r="G15" s="35"/>
      <c r="O15" s="3"/>
    </row>
    <row r="16" spans="1:15" s="14" customFormat="1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  <c r="O16" s="3"/>
    </row>
    <row r="17" spans="1:15">
      <c r="A17" s="6" t="s">
        <v>11</v>
      </c>
      <c r="B17" s="2">
        <v>0</v>
      </c>
      <c r="C17" s="2">
        <v>1</v>
      </c>
      <c r="D17" s="2">
        <v>0</v>
      </c>
      <c r="E17" s="2">
        <v>0</v>
      </c>
      <c r="F17" s="2">
        <v>1</v>
      </c>
      <c r="G17" s="7">
        <v>2</v>
      </c>
      <c r="O17" s="3"/>
    </row>
    <row r="18" spans="1:15">
      <c r="A18" s="6" t="s">
        <v>6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7">
        <v>1</v>
      </c>
      <c r="O18" s="3"/>
    </row>
    <row r="19" spans="1:15">
      <c r="A19" s="9" t="s">
        <v>7</v>
      </c>
      <c r="B19" s="2">
        <v>0</v>
      </c>
      <c r="C19" s="2">
        <v>2</v>
      </c>
      <c r="D19" s="2">
        <v>1</v>
      </c>
      <c r="E19" s="2">
        <v>2</v>
      </c>
      <c r="F19" s="2">
        <v>9</v>
      </c>
      <c r="G19" s="7">
        <v>14</v>
      </c>
      <c r="O19" s="3"/>
    </row>
    <row r="20" spans="1:15">
      <c r="A20" s="9" t="s">
        <v>23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7">
        <v>1</v>
      </c>
      <c r="O20" s="3"/>
    </row>
    <row r="21" spans="1:15">
      <c r="A21" s="9" t="s">
        <v>8</v>
      </c>
      <c r="B21" s="2">
        <v>0</v>
      </c>
      <c r="C21" s="2">
        <v>4</v>
      </c>
      <c r="D21" s="2">
        <v>22</v>
      </c>
      <c r="E21" s="2">
        <v>15</v>
      </c>
      <c r="F21" s="2">
        <v>22</v>
      </c>
      <c r="G21" s="7">
        <v>63</v>
      </c>
    </row>
    <row r="22" spans="1:15">
      <c r="A22" s="9" t="s">
        <v>9</v>
      </c>
      <c r="B22" s="2">
        <v>0</v>
      </c>
      <c r="C22" s="2">
        <v>0</v>
      </c>
      <c r="D22" s="2">
        <v>0</v>
      </c>
      <c r="E22" s="2">
        <v>1</v>
      </c>
      <c r="F22" s="2">
        <v>0</v>
      </c>
      <c r="G22" s="7">
        <v>1</v>
      </c>
    </row>
    <row r="23" spans="1:15">
      <c r="A23" s="9" t="s">
        <v>14</v>
      </c>
      <c r="B23" s="2">
        <v>0</v>
      </c>
      <c r="C23" s="2">
        <v>5</v>
      </c>
      <c r="D23" s="2">
        <v>25</v>
      </c>
      <c r="E23" s="2">
        <v>18</v>
      </c>
      <c r="F23" s="2">
        <v>35</v>
      </c>
      <c r="G23" s="7">
        <v>83</v>
      </c>
    </row>
    <row r="24" spans="1:15">
      <c r="A24" s="6"/>
      <c r="B24" s="2"/>
      <c r="C24" s="2"/>
      <c r="D24" s="2"/>
      <c r="E24" s="2"/>
      <c r="F24" s="2"/>
      <c r="G24" s="7"/>
    </row>
    <row r="25" spans="1:15">
      <c r="A25" s="33" t="s">
        <v>15</v>
      </c>
      <c r="B25" s="34"/>
      <c r="C25" s="34"/>
      <c r="D25" s="34"/>
      <c r="E25" s="34"/>
      <c r="F25" s="34"/>
      <c r="G25" s="35"/>
    </row>
    <row r="26" spans="1:15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15">
      <c r="A27" s="6" t="s">
        <v>11</v>
      </c>
      <c r="B27" s="5">
        <v>0</v>
      </c>
      <c r="C27" s="5">
        <f t="shared" ref="C27:G27" si="0">C17/C7</f>
        <v>1</v>
      </c>
      <c r="D27" s="5">
        <f t="shared" si="0"/>
        <v>0</v>
      </c>
      <c r="E27" s="5">
        <f t="shared" si="0"/>
        <v>0</v>
      </c>
      <c r="F27" s="5">
        <f t="shared" si="0"/>
        <v>0.2</v>
      </c>
      <c r="G27" s="10">
        <f t="shared" si="0"/>
        <v>0.16666666666666666</v>
      </c>
    </row>
    <row r="28" spans="1:15">
      <c r="A28" s="6" t="s">
        <v>6</v>
      </c>
      <c r="B28" s="5">
        <v>0</v>
      </c>
      <c r="C28" s="5">
        <f t="shared" ref="B28:G33" si="1">C18/C8</f>
        <v>0</v>
      </c>
      <c r="D28" s="5">
        <f t="shared" si="1"/>
        <v>0</v>
      </c>
      <c r="E28" s="5">
        <f t="shared" si="1"/>
        <v>0</v>
      </c>
      <c r="F28" s="5">
        <f t="shared" si="1"/>
        <v>0.125</v>
      </c>
      <c r="G28" s="10">
        <f t="shared" si="1"/>
        <v>6.6666666666666666E-2</v>
      </c>
    </row>
    <row r="29" spans="1:15">
      <c r="A29" s="9" t="s">
        <v>7</v>
      </c>
      <c r="B29" s="5">
        <v>0</v>
      </c>
      <c r="C29" s="5">
        <f t="shared" si="1"/>
        <v>1</v>
      </c>
      <c r="D29" s="5">
        <f t="shared" si="1"/>
        <v>0.16666666666666666</v>
      </c>
      <c r="E29" s="5">
        <f t="shared" si="1"/>
        <v>0.4</v>
      </c>
      <c r="F29" s="5">
        <f t="shared" si="1"/>
        <v>0.6</v>
      </c>
      <c r="G29" s="10">
        <f t="shared" si="1"/>
        <v>0.5</v>
      </c>
    </row>
    <row r="30" spans="1:15">
      <c r="A30" s="9" t="s">
        <v>23</v>
      </c>
      <c r="B30" s="5">
        <v>0</v>
      </c>
      <c r="C30" s="5">
        <v>0</v>
      </c>
      <c r="D30" s="5">
        <v>0</v>
      </c>
      <c r="E30" s="5">
        <f t="shared" si="1"/>
        <v>0.5</v>
      </c>
      <c r="F30" s="5">
        <f t="shared" si="1"/>
        <v>0</v>
      </c>
      <c r="G30" s="10">
        <f t="shared" si="1"/>
        <v>0.33333333333333331</v>
      </c>
    </row>
    <row r="31" spans="1:15">
      <c r="A31" s="9" t="s">
        <v>8</v>
      </c>
      <c r="B31" s="5">
        <f t="shared" si="1"/>
        <v>0</v>
      </c>
      <c r="C31" s="5">
        <f t="shared" si="1"/>
        <v>0.5</v>
      </c>
      <c r="D31" s="5">
        <f t="shared" si="1"/>
        <v>0.22448979591836735</v>
      </c>
      <c r="E31" s="5">
        <f t="shared" si="1"/>
        <v>0.21126760563380281</v>
      </c>
      <c r="F31" s="5">
        <f t="shared" si="1"/>
        <v>0.13496932515337423</v>
      </c>
      <c r="G31" s="10">
        <f t="shared" si="1"/>
        <v>0.18260869565217391</v>
      </c>
    </row>
    <row r="32" spans="1:15">
      <c r="A32" s="9" t="s">
        <v>9</v>
      </c>
      <c r="B32" s="5">
        <v>0</v>
      </c>
      <c r="C32" s="5">
        <f t="shared" si="1"/>
        <v>0</v>
      </c>
      <c r="D32" s="5">
        <f t="shared" si="1"/>
        <v>0</v>
      </c>
      <c r="E32" s="5">
        <f t="shared" si="1"/>
        <v>9.0909090909090912E-2</v>
      </c>
      <c r="F32" s="5">
        <f t="shared" si="1"/>
        <v>0</v>
      </c>
      <c r="G32" s="10">
        <f t="shared" si="1"/>
        <v>2.3255813953488372E-2</v>
      </c>
    </row>
    <row r="33" spans="1:9" ht="13.5" thickBot="1">
      <c r="A33" s="11" t="s">
        <v>14</v>
      </c>
      <c r="B33" s="12">
        <f t="shared" si="1"/>
        <v>0</v>
      </c>
      <c r="C33" s="12">
        <f t="shared" si="1"/>
        <v>0.5</v>
      </c>
      <c r="D33" s="12">
        <f t="shared" si="1"/>
        <v>0.22522522522522523</v>
      </c>
      <c r="E33" s="12">
        <f t="shared" si="1"/>
        <v>0.20454545454545456</v>
      </c>
      <c r="F33" s="12">
        <f t="shared" si="1"/>
        <v>0.17857142857142858</v>
      </c>
      <c r="G33" s="13">
        <f t="shared" si="1"/>
        <v>0.20048309178743962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25:G25"/>
    <mergeCell ref="A1:G1"/>
    <mergeCell ref="A2:G2"/>
    <mergeCell ref="A5:G5"/>
    <mergeCell ref="A15:G15"/>
  </mergeCells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selection activeCell="B33" sqref="B33:G3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1">
      <c r="A1" s="36" t="s">
        <v>20</v>
      </c>
      <c r="B1" s="37"/>
      <c r="C1" s="37"/>
      <c r="D1" s="37"/>
      <c r="E1" s="37"/>
      <c r="F1" s="37"/>
      <c r="G1" s="38"/>
    </row>
    <row r="2" spans="1:11">
      <c r="A2" s="39" t="s">
        <v>26</v>
      </c>
      <c r="B2" s="40"/>
      <c r="C2" s="40"/>
      <c r="D2" s="40"/>
      <c r="E2" s="40"/>
      <c r="F2" s="40"/>
      <c r="G2" s="41"/>
    </row>
    <row r="3" spans="1:11">
      <c r="A3" s="24"/>
      <c r="B3" s="25"/>
      <c r="C3" s="25"/>
      <c r="D3" s="25"/>
      <c r="E3" s="25"/>
      <c r="F3" s="25"/>
      <c r="G3" s="26"/>
    </row>
    <row r="4" spans="1:11">
      <c r="A4" s="6"/>
      <c r="B4" s="2"/>
      <c r="C4" s="2"/>
      <c r="D4" s="2"/>
      <c r="E4" s="2"/>
      <c r="F4" s="2"/>
      <c r="G4" s="7"/>
      <c r="K4" s="2"/>
    </row>
    <row r="5" spans="1:11">
      <c r="A5" s="33" t="s">
        <v>12</v>
      </c>
      <c r="B5" s="34"/>
      <c r="C5" s="34"/>
      <c r="D5" s="34"/>
      <c r="E5" s="34"/>
      <c r="F5" s="34"/>
      <c r="G5" s="35"/>
      <c r="K5" s="3"/>
    </row>
    <row r="6" spans="1:11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K6" s="3"/>
    </row>
    <row r="7" spans="1:11">
      <c r="A7" s="6" t="s">
        <v>11</v>
      </c>
      <c r="B7" s="2">
        <v>0</v>
      </c>
      <c r="C7" s="2">
        <v>0</v>
      </c>
      <c r="D7" s="3">
        <v>7</v>
      </c>
      <c r="E7" s="3">
        <v>10</v>
      </c>
      <c r="F7" s="3">
        <v>15</v>
      </c>
      <c r="G7" s="8">
        <v>32</v>
      </c>
      <c r="K7" s="3"/>
    </row>
    <row r="8" spans="1:11">
      <c r="A8" s="6" t="s">
        <v>6</v>
      </c>
      <c r="B8" s="3">
        <v>1</v>
      </c>
      <c r="C8" s="3">
        <v>2</v>
      </c>
      <c r="D8" s="3">
        <v>22</v>
      </c>
      <c r="E8" s="3">
        <v>22</v>
      </c>
      <c r="F8" s="3">
        <v>71</v>
      </c>
      <c r="G8" s="8">
        <v>119</v>
      </c>
      <c r="K8" s="3"/>
    </row>
    <row r="9" spans="1:11">
      <c r="A9" s="9" t="s">
        <v>7</v>
      </c>
      <c r="B9" s="3">
        <v>0</v>
      </c>
      <c r="C9" s="3">
        <v>1</v>
      </c>
      <c r="D9" s="3">
        <v>21</v>
      </c>
      <c r="E9" s="3">
        <v>22</v>
      </c>
      <c r="F9" s="3">
        <v>51</v>
      </c>
      <c r="G9" s="8">
        <v>95</v>
      </c>
    </row>
    <row r="10" spans="1:11">
      <c r="A10" s="9" t="s">
        <v>23</v>
      </c>
      <c r="B10" s="3">
        <v>0</v>
      </c>
      <c r="C10" s="3">
        <v>1</v>
      </c>
      <c r="D10" s="3">
        <v>9</v>
      </c>
      <c r="E10" s="3">
        <v>8</v>
      </c>
      <c r="F10" s="3">
        <v>12</v>
      </c>
      <c r="G10" s="8">
        <v>30</v>
      </c>
    </row>
    <row r="11" spans="1:11">
      <c r="A11" s="9" t="s">
        <v>8</v>
      </c>
      <c r="B11" s="3">
        <v>4</v>
      </c>
      <c r="C11" s="3">
        <v>49</v>
      </c>
      <c r="D11" s="3">
        <v>554</v>
      </c>
      <c r="E11" s="3">
        <v>356</v>
      </c>
      <c r="F11" s="3">
        <v>974</v>
      </c>
      <c r="G11" s="8">
        <v>1958</v>
      </c>
    </row>
    <row r="12" spans="1:11">
      <c r="A12" s="9" t="s">
        <v>9</v>
      </c>
      <c r="B12" s="3">
        <v>1</v>
      </c>
      <c r="C12" s="3">
        <v>8</v>
      </c>
      <c r="D12" s="3">
        <v>90</v>
      </c>
      <c r="E12" s="3">
        <v>51</v>
      </c>
      <c r="F12" s="3">
        <v>90</v>
      </c>
      <c r="G12" s="8">
        <v>240</v>
      </c>
    </row>
    <row r="13" spans="1:11">
      <c r="A13" s="9" t="s">
        <v>14</v>
      </c>
      <c r="B13" s="3">
        <v>5</v>
      </c>
      <c r="C13" s="2">
        <v>62</v>
      </c>
      <c r="D13" s="2">
        <v>644</v>
      </c>
      <c r="E13" s="2">
        <v>426</v>
      </c>
      <c r="F13" s="2">
        <v>1145</v>
      </c>
      <c r="G13" s="7">
        <v>2314</v>
      </c>
    </row>
    <row r="14" spans="1:11">
      <c r="A14" s="6"/>
      <c r="B14" s="2"/>
      <c r="C14" s="2"/>
      <c r="D14" s="2"/>
      <c r="E14" s="2"/>
      <c r="F14" s="2"/>
      <c r="G14" s="7"/>
    </row>
    <row r="15" spans="1:11">
      <c r="A15" s="33" t="s">
        <v>13</v>
      </c>
      <c r="B15" s="34"/>
      <c r="C15" s="34"/>
      <c r="D15" s="34"/>
      <c r="E15" s="34"/>
      <c r="F15" s="34"/>
      <c r="G15" s="35"/>
    </row>
    <row r="16" spans="1:11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0</v>
      </c>
      <c r="C17" s="3">
        <v>0</v>
      </c>
      <c r="D17" s="3">
        <v>0</v>
      </c>
      <c r="E17" s="3">
        <v>2</v>
      </c>
      <c r="F17" s="3">
        <v>2</v>
      </c>
      <c r="G17" s="8">
        <v>4</v>
      </c>
    </row>
    <row r="18" spans="1:7">
      <c r="A18" s="6" t="s">
        <v>6</v>
      </c>
      <c r="B18" s="3">
        <v>1</v>
      </c>
      <c r="C18" s="3">
        <v>1</v>
      </c>
      <c r="D18" s="3">
        <v>4</v>
      </c>
      <c r="E18" s="3">
        <v>4</v>
      </c>
      <c r="F18" s="3">
        <v>17</v>
      </c>
      <c r="G18" s="8">
        <v>27</v>
      </c>
    </row>
    <row r="19" spans="1:7">
      <c r="A19" s="9" t="s">
        <v>7</v>
      </c>
      <c r="B19" s="3">
        <v>0</v>
      </c>
      <c r="C19" s="3">
        <v>1</v>
      </c>
      <c r="D19" s="3">
        <v>7</v>
      </c>
      <c r="E19" s="3">
        <v>8</v>
      </c>
      <c r="F19" s="3">
        <v>15</v>
      </c>
      <c r="G19" s="8">
        <v>31</v>
      </c>
    </row>
    <row r="20" spans="1:7">
      <c r="A20" s="9" t="s">
        <v>23</v>
      </c>
      <c r="B20" s="3">
        <v>0</v>
      </c>
      <c r="C20" s="3">
        <v>1</v>
      </c>
      <c r="D20" s="3">
        <v>2</v>
      </c>
      <c r="E20" s="3">
        <v>4</v>
      </c>
      <c r="F20" s="3">
        <v>2</v>
      </c>
      <c r="G20" s="8">
        <v>9</v>
      </c>
    </row>
    <row r="21" spans="1:7">
      <c r="A21" s="9" t="s">
        <v>8</v>
      </c>
      <c r="B21" s="3">
        <v>1</v>
      </c>
      <c r="C21" s="3">
        <v>19</v>
      </c>
      <c r="D21" s="3">
        <v>114</v>
      </c>
      <c r="E21" s="3">
        <v>55</v>
      </c>
      <c r="F21" s="3">
        <v>139</v>
      </c>
      <c r="G21" s="8">
        <v>330</v>
      </c>
    </row>
    <row r="22" spans="1:7">
      <c r="A22" s="9" t="s">
        <v>9</v>
      </c>
      <c r="B22" s="3">
        <v>0</v>
      </c>
      <c r="C22" s="3">
        <v>4</v>
      </c>
      <c r="D22" s="3">
        <v>32</v>
      </c>
      <c r="E22" s="3">
        <v>19</v>
      </c>
      <c r="F22" s="3">
        <v>19</v>
      </c>
      <c r="G22" s="8">
        <v>74</v>
      </c>
    </row>
    <row r="23" spans="1:7">
      <c r="A23" s="9" t="s">
        <v>14</v>
      </c>
      <c r="B23" s="2">
        <v>1</v>
      </c>
      <c r="C23" s="2">
        <v>25</v>
      </c>
      <c r="D23" s="2">
        <v>131</v>
      </c>
      <c r="E23" s="3">
        <v>77</v>
      </c>
      <c r="F23" s="2">
        <v>180</v>
      </c>
      <c r="G23" s="7">
        <v>417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v>0</v>
      </c>
      <c r="C27" s="5">
        <v>0</v>
      </c>
      <c r="D27" s="5">
        <f t="shared" ref="D27:G27" si="0">D17/D7</f>
        <v>0</v>
      </c>
      <c r="E27" s="5">
        <f t="shared" si="0"/>
        <v>0.2</v>
      </c>
      <c r="F27" s="5">
        <f t="shared" si="0"/>
        <v>0.13333333333333333</v>
      </c>
      <c r="G27" s="10">
        <f t="shared" si="0"/>
        <v>0.125</v>
      </c>
    </row>
    <row r="28" spans="1:7">
      <c r="A28" s="6" t="s">
        <v>6</v>
      </c>
      <c r="B28" s="5">
        <f t="shared" ref="B28:G33" si="1">B18/B8</f>
        <v>1</v>
      </c>
      <c r="C28" s="5">
        <f t="shared" si="1"/>
        <v>0.5</v>
      </c>
      <c r="D28" s="5">
        <f t="shared" si="1"/>
        <v>0.18181818181818182</v>
      </c>
      <c r="E28" s="5">
        <f t="shared" si="1"/>
        <v>0.18181818181818182</v>
      </c>
      <c r="F28" s="5">
        <f t="shared" si="1"/>
        <v>0.23943661971830985</v>
      </c>
      <c r="G28" s="10">
        <f t="shared" si="1"/>
        <v>0.22689075630252101</v>
      </c>
    </row>
    <row r="29" spans="1:7">
      <c r="A29" s="9" t="s">
        <v>7</v>
      </c>
      <c r="B29" s="5">
        <v>0</v>
      </c>
      <c r="C29" s="5">
        <f t="shared" si="1"/>
        <v>1</v>
      </c>
      <c r="D29" s="5">
        <f t="shared" si="1"/>
        <v>0.33333333333333331</v>
      </c>
      <c r="E29" s="5">
        <f t="shared" si="1"/>
        <v>0.36363636363636365</v>
      </c>
      <c r="F29" s="5">
        <f t="shared" si="1"/>
        <v>0.29411764705882354</v>
      </c>
      <c r="G29" s="10">
        <f t="shared" si="1"/>
        <v>0.32631578947368423</v>
      </c>
    </row>
    <row r="30" spans="1:7">
      <c r="A30" s="9" t="s">
        <v>23</v>
      </c>
      <c r="B30" s="5">
        <v>0</v>
      </c>
      <c r="C30" s="5">
        <f t="shared" si="1"/>
        <v>1</v>
      </c>
      <c r="D30" s="5">
        <f t="shared" si="1"/>
        <v>0.22222222222222221</v>
      </c>
      <c r="E30" s="5">
        <f t="shared" si="1"/>
        <v>0.5</v>
      </c>
      <c r="F30" s="5">
        <f t="shared" si="1"/>
        <v>0.16666666666666666</v>
      </c>
      <c r="G30" s="10">
        <f t="shared" si="1"/>
        <v>0.3</v>
      </c>
    </row>
    <row r="31" spans="1:7">
      <c r="A31" s="9" t="s">
        <v>8</v>
      </c>
      <c r="B31" s="5">
        <f t="shared" si="1"/>
        <v>0.25</v>
      </c>
      <c r="C31" s="5">
        <f t="shared" si="1"/>
        <v>0.38775510204081631</v>
      </c>
      <c r="D31" s="5">
        <f t="shared" si="1"/>
        <v>0.20577617328519857</v>
      </c>
      <c r="E31" s="5">
        <f t="shared" si="1"/>
        <v>0.1544943820224719</v>
      </c>
      <c r="F31" s="5">
        <f t="shared" si="1"/>
        <v>0.14271047227926079</v>
      </c>
      <c r="G31" s="10">
        <f t="shared" si="1"/>
        <v>0.16853932584269662</v>
      </c>
    </row>
    <row r="32" spans="1:7">
      <c r="A32" s="9" t="s">
        <v>9</v>
      </c>
      <c r="B32" s="5">
        <f t="shared" si="1"/>
        <v>0</v>
      </c>
      <c r="C32" s="5">
        <f t="shared" si="1"/>
        <v>0.5</v>
      </c>
      <c r="D32" s="5">
        <f t="shared" si="1"/>
        <v>0.35555555555555557</v>
      </c>
      <c r="E32" s="5">
        <f t="shared" si="1"/>
        <v>0.37254901960784315</v>
      </c>
      <c r="F32" s="5">
        <f t="shared" si="1"/>
        <v>0.21111111111111111</v>
      </c>
      <c r="G32" s="10">
        <f t="shared" si="1"/>
        <v>0.30833333333333335</v>
      </c>
    </row>
    <row r="33" spans="1:9" ht="13.5" thickBot="1">
      <c r="A33" s="11" t="s">
        <v>14</v>
      </c>
      <c r="B33" s="12">
        <f t="shared" si="1"/>
        <v>0.2</v>
      </c>
      <c r="C33" s="12">
        <f t="shared" si="1"/>
        <v>0.40322580645161288</v>
      </c>
      <c r="D33" s="12">
        <f t="shared" si="1"/>
        <v>0.20341614906832298</v>
      </c>
      <c r="E33" s="12">
        <f t="shared" si="1"/>
        <v>0.18075117370892019</v>
      </c>
      <c r="F33" s="12">
        <f t="shared" si="1"/>
        <v>0.15720524017467249</v>
      </c>
      <c r="G33" s="13">
        <f t="shared" si="1"/>
        <v>0.18020743301642178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J18" sqref="J18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6" t="s">
        <v>18</v>
      </c>
      <c r="B1" s="37"/>
      <c r="C1" s="37"/>
      <c r="D1" s="37"/>
      <c r="E1" s="37"/>
      <c r="F1" s="37"/>
      <c r="G1" s="38"/>
    </row>
    <row r="2" spans="1:14">
      <c r="A2" s="39" t="s">
        <v>26</v>
      </c>
      <c r="B2" s="40"/>
      <c r="C2" s="40"/>
      <c r="D2" s="40"/>
      <c r="E2" s="40"/>
      <c r="F2" s="40"/>
      <c r="G2" s="41"/>
    </row>
    <row r="3" spans="1:14">
      <c r="A3" s="24"/>
      <c r="B3" s="25"/>
      <c r="C3" s="25"/>
      <c r="D3" s="25"/>
      <c r="E3" s="25"/>
      <c r="F3" s="25"/>
      <c r="G3" s="26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3" t="s">
        <v>12</v>
      </c>
      <c r="B5" s="34"/>
      <c r="C5" s="34"/>
      <c r="D5" s="34"/>
      <c r="E5" s="34"/>
      <c r="F5" s="34"/>
      <c r="G5" s="35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0</v>
      </c>
      <c r="C7" s="2">
        <v>5</v>
      </c>
      <c r="D7" s="3">
        <v>22</v>
      </c>
      <c r="E7" s="3">
        <v>5</v>
      </c>
      <c r="F7" s="3">
        <v>18</v>
      </c>
      <c r="G7" s="8">
        <v>51</v>
      </c>
      <c r="J7" s="3"/>
      <c r="K7" s="3"/>
      <c r="L7" s="3"/>
      <c r="M7" s="3"/>
      <c r="N7" s="3"/>
    </row>
    <row r="8" spans="1:14">
      <c r="A8" s="6" t="s">
        <v>6</v>
      </c>
      <c r="B8" s="3">
        <v>3</v>
      </c>
      <c r="C8" s="3">
        <v>23</v>
      </c>
      <c r="D8" s="3">
        <v>77</v>
      </c>
      <c r="E8" s="3">
        <v>25</v>
      </c>
      <c r="F8" s="3">
        <v>77</v>
      </c>
      <c r="G8" s="8">
        <v>207</v>
      </c>
      <c r="K8" s="3"/>
    </row>
    <row r="9" spans="1:14">
      <c r="A9" s="9" t="s">
        <v>17</v>
      </c>
      <c r="B9" s="3">
        <v>1</v>
      </c>
      <c r="C9" s="3">
        <v>9</v>
      </c>
      <c r="D9" s="3">
        <v>42</v>
      </c>
      <c r="E9" s="3">
        <v>16</v>
      </c>
      <c r="F9" s="3">
        <v>39</v>
      </c>
      <c r="G9" s="8">
        <v>108</v>
      </c>
    </row>
    <row r="10" spans="1:14">
      <c r="A10" s="9" t="s">
        <v>23</v>
      </c>
      <c r="B10" s="3">
        <v>0</v>
      </c>
      <c r="C10" s="3">
        <v>3</v>
      </c>
      <c r="D10" s="3">
        <v>19</v>
      </c>
      <c r="E10" s="3">
        <v>5</v>
      </c>
      <c r="F10" s="3">
        <v>15</v>
      </c>
      <c r="G10" s="8">
        <v>43</v>
      </c>
    </row>
    <row r="11" spans="1:14">
      <c r="A11" s="9" t="s">
        <v>8</v>
      </c>
      <c r="B11" s="3">
        <v>19</v>
      </c>
      <c r="C11" s="3">
        <v>268</v>
      </c>
      <c r="D11" s="3">
        <v>1190</v>
      </c>
      <c r="E11" s="3">
        <v>485</v>
      </c>
      <c r="F11" s="3">
        <v>1250</v>
      </c>
      <c r="G11" s="8">
        <v>3253</v>
      </c>
    </row>
    <row r="12" spans="1:14">
      <c r="A12" s="9" t="s">
        <v>9</v>
      </c>
      <c r="B12" s="3">
        <v>4</v>
      </c>
      <c r="C12" s="3">
        <v>30</v>
      </c>
      <c r="D12" s="3">
        <v>122</v>
      </c>
      <c r="E12" s="3">
        <v>37</v>
      </c>
      <c r="F12" s="3">
        <v>68</v>
      </c>
      <c r="G12" s="8">
        <v>264</v>
      </c>
    </row>
    <row r="13" spans="1:14">
      <c r="A13" s="9" t="s">
        <v>14</v>
      </c>
      <c r="B13" s="3">
        <v>31</v>
      </c>
      <c r="C13" s="2">
        <v>347</v>
      </c>
      <c r="D13" s="2">
        <v>1448</v>
      </c>
      <c r="E13" s="2">
        <v>573</v>
      </c>
      <c r="F13" s="2">
        <v>1503</v>
      </c>
      <c r="G13" s="7">
        <v>3954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3" t="s">
        <v>13</v>
      </c>
      <c r="B15" s="34"/>
      <c r="C15" s="34"/>
      <c r="D15" s="34"/>
      <c r="E15" s="34"/>
      <c r="F15" s="34"/>
      <c r="G15" s="35"/>
    </row>
    <row r="16" spans="1:14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0</v>
      </c>
      <c r="C17" s="3">
        <v>0</v>
      </c>
      <c r="D17" s="3">
        <v>0</v>
      </c>
      <c r="E17" s="3">
        <v>1</v>
      </c>
      <c r="F17" s="3">
        <v>2</v>
      </c>
      <c r="G17" s="8">
        <v>3</v>
      </c>
    </row>
    <row r="18" spans="1:7">
      <c r="A18" s="6" t="s">
        <v>6</v>
      </c>
      <c r="B18" s="3">
        <v>0</v>
      </c>
      <c r="C18" s="3">
        <v>10</v>
      </c>
      <c r="D18" s="3">
        <v>12</v>
      </c>
      <c r="E18" s="3">
        <v>2</v>
      </c>
      <c r="F18" s="3">
        <v>15</v>
      </c>
      <c r="G18" s="8">
        <v>40</v>
      </c>
    </row>
    <row r="19" spans="1:7">
      <c r="A19" s="9" t="s">
        <v>17</v>
      </c>
      <c r="B19" s="3">
        <v>0</v>
      </c>
      <c r="C19" s="3">
        <v>2</v>
      </c>
      <c r="D19" s="3">
        <v>10</v>
      </c>
      <c r="E19" s="3">
        <v>2</v>
      </c>
      <c r="F19" s="3">
        <v>8</v>
      </c>
      <c r="G19" s="8">
        <v>22</v>
      </c>
    </row>
    <row r="20" spans="1:7">
      <c r="A20" s="9" t="s">
        <v>23</v>
      </c>
      <c r="B20" s="3">
        <v>0</v>
      </c>
      <c r="C20" s="3">
        <v>0</v>
      </c>
      <c r="D20" s="3">
        <v>4</v>
      </c>
      <c r="E20" s="3">
        <v>0</v>
      </c>
      <c r="F20" s="3">
        <v>1</v>
      </c>
      <c r="G20" s="8">
        <v>5</v>
      </c>
    </row>
    <row r="21" spans="1:7">
      <c r="A21" s="9" t="s">
        <v>8</v>
      </c>
      <c r="B21" s="3">
        <v>15</v>
      </c>
      <c r="C21" s="3">
        <v>51</v>
      </c>
      <c r="D21" s="3">
        <v>127</v>
      </c>
      <c r="E21" s="3">
        <v>59</v>
      </c>
      <c r="F21" s="3">
        <v>114</v>
      </c>
      <c r="G21" s="8">
        <v>373</v>
      </c>
    </row>
    <row r="22" spans="1:7">
      <c r="A22" s="9" t="s">
        <v>9</v>
      </c>
      <c r="B22" s="3">
        <v>3</v>
      </c>
      <c r="C22" s="3">
        <v>8</v>
      </c>
      <c r="D22" s="3">
        <v>22</v>
      </c>
      <c r="E22" s="3">
        <v>11</v>
      </c>
      <c r="F22" s="3">
        <v>10</v>
      </c>
      <c r="G22" s="8">
        <v>54</v>
      </c>
    </row>
    <row r="23" spans="1:7">
      <c r="A23" s="9" t="s">
        <v>14</v>
      </c>
      <c r="B23" s="2">
        <v>16</v>
      </c>
      <c r="C23" s="2">
        <v>70</v>
      </c>
      <c r="D23" s="2">
        <v>169</v>
      </c>
      <c r="E23" s="3">
        <v>64</v>
      </c>
      <c r="F23" s="2">
        <v>154</v>
      </c>
      <c r="G23" s="7">
        <v>480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v>0</v>
      </c>
      <c r="C27" s="5">
        <f t="shared" ref="C27:G27" si="0">C17/C7</f>
        <v>0</v>
      </c>
      <c r="D27" s="5">
        <f t="shared" si="0"/>
        <v>0</v>
      </c>
      <c r="E27" s="5">
        <f t="shared" si="0"/>
        <v>0.2</v>
      </c>
      <c r="F27" s="5">
        <f t="shared" si="0"/>
        <v>0.1111111111111111</v>
      </c>
      <c r="G27" s="10">
        <f t="shared" si="0"/>
        <v>5.8823529411764705E-2</v>
      </c>
    </row>
    <row r="28" spans="1:7">
      <c r="A28" s="6" t="s">
        <v>6</v>
      </c>
      <c r="B28" s="5">
        <f t="shared" ref="B28:G33" si="1">B18/B8</f>
        <v>0</v>
      </c>
      <c r="C28" s="5">
        <f t="shared" si="1"/>
        <v>0.43478260869565216</v>
      </c>
      <c r="D28" s="5">
        <f t="shared" si="1"/>
        <v>0.15584415584415584</v>
      </c>
      <c r="E28" s="5">
        <f t="shared" si="1"/>
        <v>0.08</v>
      </c>
      <c r="F28" s="5">
        <f t="shared" si="1"/>
        <v>0.19480519480519481</v>
      </c>
      <c r="G28" s="10">
        <f t="shared" si="1"/>
        <v>0.19323671497584541</v>
      </c>
    </row>
    <row r="29" spans="1:7">
      <c r="A29" s="9" t="s">
        <v>17</v>
      </c>
      <c r="B29" s="5">
        <f t="shared" si="1"/>
        <v>0</v>
      </c>
      <c r="C29" s="5">
        <f t="shared" si="1"/>
        <v>0.22222222222222221</v>
      </c>
      <c r="D29" s="5">
        <f t="shared" si="1"/>
        <v>0.23809523809523808</v>
      </c>
      <c r="E29" s="5">
        <f t="shared" si="1"/>
        <v>0.125</v>
      </c>
      <c r="F29" s="5">
        <f t="shared" si="1"/>
        <v>0.20512820512820512</v>
      </c>
      <c r="G29" s="10">
        <f t="shared" si="1"/>
        <v>0.20370370370370369</v>
      </c>
    </row>
    <row r="30" spans="1:7">
      <c r="A30" s="9" t="s">
        <v>23</v>
      </c>
      <c r="B30" s="5">
        <v>0</v>
      </c>
      <c r="C30" s="5">
        <f t="shared" si="1"/>
        <v>0</v>
      </c>
      <c r="D30" s="5">
        <f t="shared" si="1"/>
        <v>0.21052631578947367</v>
      </c>
      <c r="E30" s="5">
        <f t="shared" si="1"/>
        <v>0</v>
      </c>
      <c r="F30" s="5">
        <f t="shared" si="1"/>
        <v>6.6666666666666666E-2</v>
      </c>
      <c r="G30" s="10">
        <f t="shared" si="1"/>
        <v>0.11627906976744186</v>
      </c>
    </row>
    <row r="31" spans="1:7">
      <c r="A31" s="9" t="s">
        <v>8</v>
      </c>
      <c r="B31" s="5">
        <f t="shared" si="1"/>
        <v>0.78947368421052633</v>
      </c>
      <c r="C31" s="5">
        <f t="shared" si="1"/>
        <v>0.19029850746268656</v>
      </c>
      <c r="D31" s="5">
        <f t="shared" si="1"/>
        <v>0.10672268907563025</v>
      </c>
      <c r="E31" s="5">
        <f t="shared" si="1"/>
        <v>0.12164948453608247</v>
      </c>
      <c r="F31" s="5">
        <f t="shared" si="1"/>
        <v>9.1200000000000003E-2</v>
      </c>
      <c r="G31" s="10">
        <f t="shared" si="1"/>
        <v>0.11466338764217646</v>
      </c>
    </row>
    <row r="32" spans="1:7">
      <c r="A32" s="9" t="s">
        <v>9</v>
      </c>
      <c r="B32" s="5">
        <f t="shared" si="1"/>
        <v>0.75</v>
      </c>
      <c r="C32" s="5">
        <f t="shared" si="1"/>
        <v>0.26666666666666666</v>
      </c>
      <c r="D32" s="5">
        <f t="shared" si="1"/>
        <v>0.18032786885245902</v>
      </c>
      <c r="E32" s="5">
        <f t="shared" si="1"/>
        <v>0.29729729729729731</v>
      </c>
      <c r="F32" s="5">
        <f t="shared" si="1"/>
        <v>0.14705882352941177</v>
      </c>
      <c r="G32" s="10">
        <f t="shared" si="1"/>
        <v>0.20454545454545456</v>
      </c>
    </row>
    <row r="33" spans="1:9" ht="13.5" thickBot="1">
      <c r="A33" s="11" t="s">
        <v>14</v>
      </c>
      <c r="B33" s="12">
        <f t="shared" si="1"/>
        <v>0.5161290322580645</v>
      </c>
      <c r="C33" s="12">
        <f t="shared" si="1"/>
        <v>0.20172910662824209</v>
      </c>
      <c r="D33" s="12">
        <f t="shared" si="1"/>
        <v>0.11671270718232044</v>
      </c>
      <c r="E33" s="12">
        <f t="shared" si="1"/>
        <v>0.11169284467713787</v>
      </c>
      <c r="F33" s="12">
        <f t="shared" si="1"/>
        <v>0.10246174318030606</v>
      </c>
      <c r="G33" s="13">
        <f t="shared" si="1"/>
        <v>0.12139605462822459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B33" sqref="B33:G3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6" t="s">
        <v>19</v>
      </c>
      <c r="B1" s="37"/>
      <c r="C1" s="37"/>
      <c r="D1" s="37"/>
      <c r="E1" s="37"/>
      <c r="F1" s="37"/>
      <c r="G1" s="38"/>
    </row>
    <row r="2" spans="1:14">
      <c r="A2" s="39" t="s">
        <v>26</v>
      </c>
      <c r="B2" s="40"/>
      <c r="C2" s="40"/>
      <c r="D2" s="40"/>
      <c r="E2" s="40"/>
      <c r="F2" s="40"/>
      <c r="G2" s="41"/>
    </row>
    <row r="3" spans="1:14">
      <c r="A3" s="24"/>
      <c r="B3" s="25"/>
      <c r="C3" s="25"/>
      <c r="D3" s="25"/>
      <c r="E3" s="25"/>
      <c r="F3" s="25"/>
      <c r="G3" s="26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3" t="s">
        <v>12</v>
      </c>
      <c r="B5" s="34"/>
      <c r="C5" s="34"/>
      <c r="D5" s="34"/>
      <c r="E5" s="34"/>
      <c r="F5" s="34"/>
      <c r="G5" s="35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1</v>
      </c>
      <c r="C7" s="2">
        <v>3</v>
      </c>
      <c r="D7" s="3">
        <v>16</v>
      </c>
      <c r="E7" s="3">
        <v>5</v>
      </c>
      <c r="F7" s="3">
        <v>16</v>
      </c>
      <c r="G7" s="8">
        <v>42</v>
      </c>
      <c r="J7" s="3"/>
      <c r="K7" s="3"/>
      <c r="L7" s="3"/>
      <c r="M7" s="3"/>
      <c r="N7" s="3"/>
    </row>
    <row r="8" spans="1:14">
      <c r="A8" s="6" t="s">
        <v>6</v>
      </c>
      <c r="B8" s="3">
        <v>2</v>
      </c>
      <c r="C8" s="3">
        <v>38</v>
      </c>
      <c r="D8" s="3">
        <v>65</v>
      </c>
      <c r="E8" s="3">
        <v>28</v>
      </c>
      <c r="F8" s="3">
        <v>47</v>
      </c>
      <c r="G8" s="8">
        <v>183</v>
      </c>
      <c r="K8" s="3"/>
    </row>
    <row r="9" spans="1:14">
      <c r="A9" s="9" t="s">
        <v>17</v>
      </c>
      <c r="B9" s="3">
        <v>0</v>
      </c>
      <c r="C9" s="3">
        <v>10</v>
      </c>
      <c r="D9" s="3">
        <v>49</v>
      </c>
      <c r="E9" s="3">
        <v>15</v>
      </c>
      <c r="F9" s="3">
        <v>29</v>
      </c>
      <c r="G9" s="8">
        <v>106</v>
      </c>
    </row>
    <row r="10" spans="1:14">
      <c r="A10" s="9" t="s">
        <v>23</v>
      </c>
      <c r="B10" s="3">
        <v>0</v>
      </c>
      <c r="C10" s="3">
        <v>3</v>
      </c>
      <c r="D10" s="3">
        <v>4</v>
      </c>
      <c r="E10" s="3">
        <v>2</v>
      </c>
      <c r="F10" s="3">
        <v>6</v>
      </c>
      <c r="G10" s="8">
        <v>16</v>
      </c>
    </row>
    <row r="11" spans="1:14">
      <c r="A11" s="9" t="s">
        <v>8</v>
      </c>
      <c r="B11" s="3">
        <v>25</v>
      </c>
      <c r="C11" s="3">
        <v>299</v>
      </c>
      <c r="D11" s="3">
        <v>1022</v>
      </c>
      <c r="E11" s="3">
        <v>443</v>
      </c>
      <c r="F11" s="3">
        <v>1138</v>
      </c>
      <c r="G11" s="8">
        <v>2967</v>
      </c>
    </row>
    <row r="12" spans="1:14">
      <c r="A12" s="9" t="s">
        <v>9</v>
      </c>
      <c r="B12" s="3">
        <v>3</v>
      </c>
      <c r="C12" s="3">
        <v>46</v>
      </c>
      <c r="D12" s="3">
        <v>114</v>
      </c>
      <c r="E12" s="3">
        <v>32</v>
      </c>
      <c r="F12" s="3">
        <v>59</v>
      </c>
      <c r="G12" s="8">
        <v>255</v>
      </c>
    </row>
    <row r="13" spans="1:14">
      <c r="A13" s="9" t="s">
        <v>14</v>
      </c>
      <c r="B13" s="3">
        <v>30</v>
      </c>
      <c r="C13" s="2">
        <v>400</v>
      </c>
      <c r="D13" s="2">
        <v>1236</v>
      </c>
      <c r="E13" s="2">
        <v>531</v>
      </c>
      <c r="F13" s="2">
        <v>1351</v>
      </c>
      <c r="G13" s="7">
        <v>3602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3" t="s">
        <v>13</v>
      </c>
      <c r="B15" s="34"/>
      <c r="C15" s="34"/>
      <c r="D15" s="34"/>
      <c r="E15" s="34"/>
      <c r="F15" s="34"/>
      <c r="G15" s="35"/>
    </row>
    <row r="16" spans="1:14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8">
        <v>1</v>
      </c>
    </row>
    <row r="18" spans="1:7">
      <c r="A18" s="6" t="s">
        <v>6</v>
      </c>
      <c r="B18" s="3">
        <v>0</v>
      </c>
      <c r="C18" s="3">
        <v>7</v>
      </c>
      <c r="D18" s="3">
        <v>7</v>
      </c>
      <c r="E18" s="3">
        <v>1</v>
      </c>
      <c r="F18" s="3">
        <v>8</v>
      </c>
      <c r="G18" s="8">
        <v>23</v>
      </c>
    </row>
    <row r="19" spans="1:7">
      <c r="A19" s="9" t="s">
        <v>17</v>
      </c>
      <c r="B19" s="3">
        <v>0</v>
      </c>
      <c r="C19" s="3">
        <v>0</v>
      </c>
      <c r="D19" s="3">
        <v>1</v>
      </c>
      <c r="E19" s="3">
        <v>2</v>
      </c>
      <c r="F19" s="3">
        <v>3</v>
      </c>
      <c r="G19" s="8">
        <v>7</v>
      </c>
    </row>
    <row r="20" spans="1:7">
      <c r="A20" s="9" t="s">
        <v>23</v>
      </c>
      <c r="B20" s="3">
        <v>0</v>
      </c>
      <c r="C20" s="3">
        <v>1</v>
      </c>
      <c r="D20" s="3">
        <v>0</v>
      </c>
      <c r="E20" s="3">
        <v>1</v>
      </c>
      <c r="F20" s="3">
        <v>0</v>
      </c>
      <c r="G20" s="8">
        <v>2</v>
      </c>
    </row>
    <row r="21" spans="1:7">
      <c r="A21" s="9" t="s">
        <v>8</v>
      </c>
      <c r="B21" s="3">
        <v>11</v>
      </c>
      <c r="C21" s="3">
        <v>42</v>
      </c>
      <c r="D21" s="3">
        <v>91</v>
      </c>
      <c r="E21" s="3">
        <v>20</v>
      </c>
      <c r="F21" s="3">
        <v>74</v>
      </c>
      <c r="G21" s="8">
        <v>239</v>
      </c>
    </row>
    <row r="22" spans="1:7">
      <c r="A22" s="9" t="s">
        <v>9</v>
      </c>
      <c r="B22" s="3">
        <v>1</v>
      </c>
      <c r="C22" s="3">
        <v>9</v>
      </c>
      <c r="D22" s="3">
        <v>15</v>
      </c>
      <c r="E22" s="3">
        <v>1</v>
      </c>
      <c r="F22" s="3">
        <v>4</v>
      </c>
      <c r="G22" s="8">
        <v>30</v>
      </c>
    </row>
    <row r="23" spans="1:7">
      <c r="A23" s="9" t="s">
        <v>14</v>
      </c>
      <c r="B23" s="2">
        <v>11</v>
      </c>
      <c r="C23" s="2">
        <v>58</v>
      </c>
      <c r="D23" s="2">
        <v>112</v>
      </c>
      <c r="E23" s="3">
        <v>25</v>
      </c>
      <c r="F23" s="2">
        <v>96</v>
      </c>
      <c r="G23" s="7">
        <v>305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f>B17/B7</f>
        <v>0</v>
      </c>
      <c r="C27" s="5">
        <f t="shared" ref="C27:G27" si="0">C17/C7</f>
        <v>0</v>
      </c>
      <c r="D27" s="5">
        <f t="shared" si="0"/>
        <v>6.25E-2</v>
      </c>
      <c r="E27" s="5">
        <f t="shared" si="0"/>
        <v>0</v>
      </c>
      <c r="F27" s="5">
        <f t="shared" si="0"/>
        <v>0</v>
      </c>
      <c r="G27" s="10">
        <f t="shared" si="0"/>
        <v>2.3809523809523808E-2</v>
      </c>
    </row>
    <row r="28" spans="1:7">
      <c r="A28" s="6" t="s">
        <v>6</v>
      </c>
      <c r="B28" s="5">
        <f t="shared" ref="B28:G33" si="1">B18/B8</f>
        <v>0</v>
      </c>
      <c r="C28" s="5">
        <f t="shared" si="1"/>
        <v>0.18421052631578946</v>
      </c>
      <c r="D28" s="5">
        <f t="shared" si="1"/>
        <v>0.1076923076923077</v>
      </c>
      <c r="E28" s="5">
        <f t="shared" si="1"/>
        <v>3.5714285714285712E-2</v>
      </c>
      <c r="F28" s="5">
        <f t="shared" si="1"/>
        <v>0.1702127659574468</v>
      </c>
      <c r="G28" s="10">
        <f t="shared" si="1"/>
        <v>0.12568306010928962</v>
      </c>
    </row>
    <row r="29" spans="1:7">
      <c r="A29" s="9" t="s">
        <v>17</v>
      </c>
      <c r="B29" s="5">
        <v>0</v>
      </c>
      <c r="C29" s="5">
        <f t="shared" si="1"/>
        <v>0</v>
      </c>
      <c r="D29" s="5">
        <f t="shared" si="1"/>
        <v>2.0408163265306121E-2</v>
      </c>
      <c r="E29" s="5">
        <f t="shared" si="1"/>
        <v>0.13333333333333333</v>
      </c>
      <c r="F29" s="5">
        <f t="shared" si="1"/>
        <v>0.10344827586206896</v>
      </c>
      <c r="G29" s="10">
        <f t="shared" si="1"/>
        <v>6.6037735849056603E-2</v>
      </c>
    </row>
    <row r="30" spans="1:7">
      <c r="A30" s="9" t="s">
        <v>23</v>
      </c>
      <c r="B30" s="5">
        <v>0</v>
      </c>
      <c r="C30" s="5">
        <f t="shared" si="1"/>
        <v>0.33333333333333331</v>
      </c>
      <c r="D30" s="5">
        <f t="shared" si="1"/>
        <v>0</v>
      </c>
      <c r="E30" s="5">
        <f t="shared" si="1"/>
        <v>0.5</v>
      </c>
      <c r="F30" s="5">
        <f t="shared" si="1"/>
        <v>0</v>
      </c>
      <c r="G30" s="10">
        <f t="shared" si="1"/>
        <v>0.125</v>
      </c>
    </row>
    <row r="31" spans="1:7">
      <c r="A31" s="9" t="s">
        <v>8</v>
      </c>
      <c r="B31" s="5">
        <f t="shared" si="1"/>
        <v>0.44</v>
      </c>
      <c r="C31" s="5">
        <f t="shared" si="1"/>
        <v>0.14046822742474915</v>
      </c>
      <c r="D31" s="5">
        <f t="shared" si="1"/>
        <v>8.9041095890410954E-2</v>
      </c>
      <c r="E31" s="5">
        <f t="shared" si="1"/>
        <v>4.5146726862302484E-2</v>
      </c>
      <c r="F31" s="5">
        <f t="shared" si="1"/>
        <v>6.5026362038664326E-2</v>
      </c>
      <c r="G31" s="10">
        <f t="shared" si="1"/>
        <v>8.0552746882372767E-2</v>
      </c>
    </row>
    <row r="32" spans="1:7">
      <c r="A32" s="9" t="s">
        <v>9</v>
      </c>
      <c r="B32" s="5">
        <f t="shared" si="1"/>
        <v>0.33333333333333331</v>
      </c>
      <c r="C32" s="5">
        <f t="shared" si="1"/>
        <v>0.19565217391304349</v>
      </c>
      <c r="D32" s="5">
        <f t="shared" si="1"/>
        <v>0.13157894736842105</v>
      </c>
      <c r="E32" s="5">
        <f t="shared" si="1"/>
        <v>3.125E-2</v>
      </c>
      <c r="F32" s="5">
        <f t="shared" si="1"/>
        <v>6.7796610169491525E-2</v>
      </c>
      <c r="G32" s="10">
        <f t="shared" si="1"/>
        <v>0.11764705882352941</v>
      </c>
    </row>
    <row r="33" spans="1:9" ht="13.5" thickBot="1">
      <c r="A33" s="11" t="s">
        <v>14</v>
      </c>
      <c r="B33" s="12">
        <f t="shared" si="1"/>
        <v>0.36666666666666664</v>
      </c>
      <c r="C33" s="12">
        <f t="shared" si="1"/>
        <v>0.14499999999999999</v>
      </c>
      <c r="D33" s="12">
        <f t="shared" si="1"/>
        <v>9.0614886731391592E-2</v>
      </c>
      <c r="E33" s="12">
        <f t="shared" si="1"/>
        <v>4.7080979284369114E-2</v>
      </c>
      <c r="F33" s="12">
        <f t="shared" si="1"/>
        <v>7.105847520355292E-2</v>
      </c>
      <c r="G33" s="13">
        <f t="shared" si="1"/>
        <v>8.4675180455302604E-2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N20" sqref="N2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6" t="s">
        <v>24</v>
      </c>
      <c r="B1" s="37"/>
      <c r="C1" s="37"/>
      <c r="D1" s="37"/>
      <c r="E1" s="37"/>
      <c r="F1" s="37"/>
      <c r="G1" s="38"/>
    </row>
    <row r="2" spans="1:14">
      <c r="A2" s="39" t="s">
        <v>26</v>
      </c>
      <c r="B2" s="40"/>
      <c r="C2" s="40"/>
      <c r="D2" s="40"/>
      <c r="E2" s="40"/>
      <c r="F2" s="40"/>
      <c r="G2" s="41"/>
    </row>
    <row r="3" spans="1:14">
      <c r="A3" s="24"/>
      <c r="B3" s="25"/>
      <c r="C3" s="25"/>
      <c r="D3" s="25"/>
      <c r="E3" s="25"/>
      <c r="F3" s="25"/>
      <c r="G3" s="26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3" t="s">
        <v>12</v>
      </c>
      <c r="B5" s="34"/>
      <c r="C5" s="34"/>
      <c r="D5" s="34"/>
      <c r="E5" s="34"/>
      <c r="F5" s="34"/>
      <c r="G5" s="35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1</v>
      </c>
      <c r="C7" s="2">
        <v>4</v>
      </c>
      <c r="D7" s="3">
        <v>8</v>
      </c>
      <c r="E7" s="3">
        <v>1</v>
      </c>
      <c r="F7" s="3">
        <v>14</v>
      </c>
      <c r="G7" s="8">
        <v>28</v>
      </c>
      <c r="J7" s="3"/>
      <c r="K7" s="3"/>
      <c r="L7" s="3"/>
      <c r="M7" s="3"/>
      <c r="N7" s="3"/>
    </row>
    <row r="8" spans="1:14">
      <c r="A8" s="6" t="s">
        <v>6</v>
      </c>
      <c r="B8" s="3">
        <v>2</v>
      </c>
      <c r="C8" s="3">
        <v>35</v>
      </c>
      <c r="D8" s="3">
        <v>60</v>
      </c>
      <c r="E8" s="3">
        <v>21</v>
      </c>
      <c r="F8" s="3">
        <v>51</v>
      </c>
      <c r="G8" s="8">
        <v>170</v>
      </c>
      <c r="K8" s="3"/>
    </row>
    <row r="9" spans="1:14">
      <c r="A9" s="9" t="s">
        <v>17</v>
      </c>
      <c r="B9" s="3">
        <v>1</v>
      </c>
      <c r="C9" s="3">
        <v>25</v>
      </c>
      <c r="D9" s="3">
        <v>23</v>
      </c>
      <c r="E9" s="3">
        <v>8</v>
      </c>
      <c r="F9" s="3">
        <v>19</v>
      </c>
      <c r="G9" s="8">
        <v>76</v>
      </c>
    </row>
    <row r="10" spans="1:14">
      <c r="A10" s="9" t="s">
        <v>23</v>
      </c>
      <c r="B10" s="3">
        <v>0</v>
      </c>
      <c r="C10" s="3">
        <v>4</v>
      </c>
      <c r="D10" s="3">
        <v>8</v>
      </c>
      <c r="E10" s="3">
        <v>2</v>
      </c>
      <c r="F10" s="3">
        <v>13</v>
      </c>
      <c r="G10" s="8">
        <v>27</v>
      </c>
    </row>
    <row r="11" spans="1:14">
      <c r="A11" s="9" t="s">
        <v>8</v>
      </c>
      <c r="B11" s="3">
        <v>27</v>
      </c>
      <c r="C11" s="3">
        <v>317</v>
      </c>
      <c r="D11" s="3">
        <v>660</v>
      </c>
      <c r="E11" s="3">
        <v>264</v>
      </c>
      <c r="F11" s="3">
        <v>717</v>
      </c>
      <c r="G11" s="8">
        <v>2015</v>
      </c>
    </row>
    <row r="12" spans="1:14">
      <c r="A12" s="9" t="s">
        <v>9</v>
      </c>
      <c r="B12" s="3">
        <v>8</v>
      </c>
      <c r="C12" s="3">
        <v>60</v>
      </c>
      <c r="D12" s="3">
        <v>57</v>
      </c>
      <c r="E12" s="3">
        <v>21</v>
      </c>
      <c r="F12" s="3">
        <v>50</v>
      </c>
      <c r="G12" s="8">
        <v>199</v>
      </c>
    </row>
    <row r="13" spans="1:14">
      <c r="A13" s="9" t="s">
        <v>14</v>
      </c>
      <c r="B13" s="3">
        <v>33</v>
      </c>
      <c r="C13" s="2">
        <v>431</v>
      </c>
      <c r="D13" s="2">
        <v>856</v>
      </c>
      <c r="E13" s="2">
        <v>339</v>
      </c>
      <c r="F13" s="2">
        <v>884</v>
      </c>
      <c r="G13" s="7">
        <v>2584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3" t="s">
        <v>13</v>
      </c>
      <c r="B15" s="34"/>
      <c r="C15" s="34"/>
      <c r="D15" s="34"/>
      <c r="E15" s="34"/>
      <c r="F15" s="34"/>
      <c r="G15" s="35"/>
    </row>
    <row r="16" spans="1:14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1</v>
      </c>
      <c r="C17" s="3">
        <v>0</v>
      </c>
      <c r="D17" s="3">
        <v>2</v>
      </c>
      <c r="E17" s="3">
        <v>0</v>
      </c>
      <c r="F17" s="3">
        <v>2</v>
      </c>
      <c r="G17" s="8">
        <v>5</v>
      </c>
    </row>
    <row r="18" spans="1:7">
      <c r="A18" s="6" t="s">
        <v>6</v>
      </c>
      <c r="B18" s="3">
        <v>0</v>
      </c>
      <c r="C18" s="3">
        <v>6</v>
      </c>
      <c r="D18" s="3">
        <v>8</v>
      </c>
      <c r="E18" s="3">
        <v>0</v>
      </c>
      <c r="F18" s="3">
        <v>4</v>
      </c>
      <c r="G18" s="8">
        <v>19</v>
      </c>
    </row>
    <row r="19" spans="1:7">
      <c r="A19" s="9" t="s">
        <v>17</v>
      </c>
      <c r="B19" s="3">
        <v>1</v>
      </c>
      <c r="C19" s="3">
        <v>6</v>
      </c>
      <c r="D19" s="3">
        <v>5</v>
      </c>
      <c r="E19" s="3">
        <v>0</v>
      </c>
      <c r="F19" s="3">
        <v>2</v>
      </c>
      <c r="G19" s="8">
        <v>14</v>
      </c>
    </row>
    <row r="20" spans="1:7">
      <c r="A20" s="9" t="s">
        <v>23</v>
      </c>
      <c r="B20" s="3">
        <v>0</v>
      </c>
      <c r="C20" s="3">
        <v>1</v>
      </c>
      <c r="D20" s="3">
        <v>0</v>
      </c>
      <c r="E20" s="3">
        <v>1</v>
      </c>
      <c r="F20" s="3">
        <v>2</v>
      </c>
      <c r="G20" s="8">
        <v>4</v>
      </c>
    </row>
    <row r="21" spans="1:7">
      <c r="A21" s="9" t="s">
        <v>8</v>
      </c>
      <c r="B21" s="3">
        <v>9</v>
      </c>
      <c r="C21" s="3">
        <v>43</v>
      </c>
      <c r="D21" s="3">
        <v>62</v>
      </c>
      <c r="E21" s="3">
        <v>20</v>
      </c>
      <c r="F21" s="3">
        <v>57</v>
      </c>
      <c r="G21" s="8">
        <v>195</v>
      </c>
    </row>
    <row r="22" spans="1:7">
      <c r="A22" s="9" t="s">
        <v>9</v>
      </c>
      <c r="B22" s="3">
        <v>2</v>
      </c>
      <c r="C22" s="3">
        <v>11</v>
      </c>
      <c r="D22" s="3">
        <v>6</v>
      </c>
      <c r="E22" s="3">
        <v>2</v>
      </c>
      <c r="F22" s="3">
        <v>8</v>
      </c>
      <c r="G22" s="8">
        <v>29</v>
      </c>
    </row>
    <row r="23" spans="1:7">
      <c r="A23" s="9" t="s">
        <v>14</v>
      </c>
      <c r="B23" s="2">
        <v>9</v>
      </c>
      <c r="C23" s="2">
        <v>64</v>
      </c>
      <c r="D23" s="2">
        <v>82</v>
      </c>
      <c r="E23" s="3">
        <v>24</v>
      </c>
      <c r="F23" s="2">
        <v>74</v>
      </c>
      <c r="G23" s="7">
        <v>261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f>B17/B7</f>
        <v>1</v>
      </c>
      <c r="C27" s="5">
        <f t="shared" ref="C27:G27" si="0">C17/C7</f>
        <v>0</v>
      </c>
      <c r="D27" s="5">
        <f t="shared" si="0"/>
        <v>0.25</v>
      </c>
      <c r="E27" s="5">
        <f t="shared" si="0"/>
        <v>0</v>
      </c>
      <c r="F27" s="5">
        <f t="shared" si="0"/>
        <v>0.14285714285714285</v>
      </c>
      <c r="G27" s="10">
        <f t="shared" si="0"/>
        <v>0.17857142857142858</v>
      </c>
    </row>
    <row r="28" spans="1:7">
      <c r="A28" s="6" t="s">
        <v>6</v>
      </c>
      <c r="B28" s="5">
        <f t="shared" ref="B28:G33" si="1">B18/B8</f>
        <v>0</v>
      </c>
      <c r="C28" s="5">
        <f t="shared" si="1"/>
        <v>0.17142857142857143</v>
      </c>
      <c r="D28" s="5">
        <f t="shared" si="1"/>
        <v>0.13333333333333333</v>
      </c>
      <c r="E28" s="5">
        <f t="shared" si="1"/>
        <v>0</v>
      </c>
      <c r="F28" s="5">
        <f t="shared" si="1"/>
        <v>7.8431372549019607E-2</v>
      </c>
      <c r="G28" s="10">
        <f t="shared" si="1"/>
        <v>0.11176470588235295</v>
      </c>
    </row>
    <row r="29" spans="1:7">
      <c r="A29" s="9" t="s">
        <v>17</v>
      </c>
      <c r="B29" s="5">
        <f t="shared" si="1"/>
        <v>1</v>
      </c>
      <c r="C29" s="5">
        <f t="shared" si="1"/>
        <v>0.24</v>
      </c>
      <c r="D29" s="5">
        <f t="shared" si="1"/>
        <v>0.21739130434782608</v>
      </c>
      <c r="E29" s="5">
        <f t="shared" si="1"/>
        <v>0</v>
      </c>
      <c r="F29" s="5">
        <f t="shared" si="1"/>
        <v>0.10526315789473684</v>
      </c>
      <c r="G29" s="10">
        <f t="shared" si="1"/>
        <v>0.18421052631578946</v>
      </c>
    </row>
    <row r="30" spans="1:7">
      <c r="A30" s="9" t="s">
        <v>23</v>
      </c>
      <c r="B30" s="5">
        <v>0</v>
      </c>
      <c r="C30" s="5">
        <f t="shared" si="1"/>
        <v>0.25</v>
      </c>
      <c r="D30" s="5">
        <f t="shared" si="1"/>
        <v>0</v>
      </c>
      <c r="E30" s="5">
        <f t="shared" si="1"/>
        <v>0.5</v>
      </c>
      <c r="F30" s="5">
        <f t="shared" si="1"/>
        <v>0.15384615384615385</v>
      </c>
      <c r="G30" s="10">
        <f t="shared" si="1"/>
        <v>0.14814814814814814</v>
      </c>
    </row>
    <row r="31" spans="1:7">
      <c r="A31" s="9" t="s">
        <v>8</v>
      </c>
      <c r="B31" s="5">
        <f t="shared" si="1"/>
        <v>0.33333333333333331</v>
      </c>
      <c r="C31" s="5">
        <f t="shared" si="1"/>
        <v>0.13564668769716087</v>
      </c>
      <c r="D31" s="5">
        <f t="shared" si="1"/>
        <v>9.3939393939393934E-2</v>
      </c>
      <c r="E31" s="5">
        <f t="shared" si="1"/>
        <v>7.575757575757576E-2</v>
      </c>
      <c r="F31" s="5">
        <f t="shared" si="1"/>
        <v>7.9497907949790794E-2</v>
      </c>
      <c r="G31" s="10">
        <f t="shared" si="1"/>
        <v>9.6774193548387094E-2</v>
      </c>
    </row>
    <row r="32" spans="1:7">
      <c r="A32" s="9" t="s">
        <v>9</v>
      </c>
      <c r="B32" s="5">
        <f t="shared" si="1"/>
        <v>0.25</v>
      </c>
      <c r="C32" s="5">
        <f t="shared" si="1"/>
        <v>0.18333333333333332</v>
      </c>
      <c r="D32" s="5">
        <f t="shared" si="1"/>
        <v>0.10526315789473684</v>
      </c>
      <c r="E32" s="5">
        <f t="shared" si="1"/>
        <v>9.5238095238095233E-2</v>
      </c>
      <c r="F32" s="5">
        <f t="shared" si="1"/>
        <v>0.16</v>
      </c>
      <c r="G32" s="10">
        <f t="shared" si="1"/>
        <v>0.14572864321608039</v>
      </c>
    </row>
    <row r="33" spans="1:9" ht="13.5" thickBot="1">
      <c r="A33" s="11" t="s">
        <v>14</v>
      </c>
      <c r="B33" s="12">
        <f t="shared" si="1"/>
        <v>0.27272727272727271</v>
      </c>
      <c r="C33" s="12">
        <f t="shared" si="1"/>
        <v>0.14849187935034802</v>
      </c>
      <c r="D33" s="12">
        <f t="shared" si="1"/>
        <v>9.5794392523364483E-2</v>
      </c>
      <c r="E33" s="12">
        <f t="shared" si="1"/>
        <v>7.0796460176991149E-2</v>
      </c>
      <c r="F33" s="12">
        <f t="shared" si="1"/>
        <v>8.3710407239818999E-2</v>
      </c>
      <c r="G33" s="13">
        <f t="shared" si="1"/>
        <v>0.1010061919504644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16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P20" sqref="P2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6" t="s">
        <v>27</v>
      </c>
      <c r="B1" s="37"/>
      <c r="C1" s="37"/>
      <c r="D1" s="37"/>
      <c r="E1" s="37"/>
      <c r="F1" s="37"/>
      <c r="G1" s="38"/>
    </row>
    <row r="2" spans="1:14">
      <c r="A2" s="39" t="s">
        <v>26</v>
      </c>
      <c r="B2" s="40"/>
      <c r="C2" s="40"/>
      <c r="D2" s="40"/>
      <c r="E2" s="40"/>
      <c r="F2" s="40"/>
      <c r="G2" s="41"/>
    </row>
    <row r="3" spans="1:14">
      <c r="A3" s="29"/>
      <c r="B3" s="30"/>
      <c r="C3" s="30"/>
      <c r="D3" s="30"/>
      <c r="E3" s="30"/>
      <c r="F3" s="30"/>
      <c r="G3" s="31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3" t="s">
        <v>12</v>
      </c>
      <c r="B5" s="34"/>
      <c r="C5" s="34"/>
      <c r="D5" s="34"/>
      <c r="E5" s="34"/>
      <c r="F5" s="34"/>
      <c r="G5" s="35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2</v>
      </c>
      <c r="C7" s="2">
        <v>2</v>
      </c>
      <c r="D7" s="3">
        <v>17</v>
      </c>
      <c r="E7" s="3">
        <v>5</v>
      </c>
      <c r="F7" s="3">
        <v>9</v>
      </c>
      <c r="G7" s="8">
        <v>35</v>
      </c>
      <c r="J7" s="3"/>
      <c r="K7" s="3"/>
      <c r="L7" s="3"/>
      <c r="M7" s="3"/>
      <c r="N7" s="3"/>
    </row>
    <row r="8" spans="1:14">
      <c r="A8" s="6" t="s">
        <v>6</v>
      </c>
      <c r="B8" s="3">
        <v>2</v>
      </c>
      <c r="C8" s="3">
        <v>26</v>
      </c>
      <c r="D8" s="3">
        <v>75</v>
      </c>
      <c r="E8" s="3">
        <v>15</v>
      </c>
      <c r="F8" s="3">
        <v>47</v>
      </c>
      <c r="G8" s="8">
        <v>169</v>
      </c>
      <c r="K8" s="3"/>
    </row>
    <row r="9" spans="1:14">
      <c r="A9" s="9" t="s">
        <v>17</v>
      </c>
      <c r="B9" s="3">
        <v>0</v>
      </c>
      <c r="C9" s="3">
        <v>15</v>
      </c>
      <c r="D9" s="3">
        <v>28</v>
      </c>
      <c r="E9" s="3">
        <v>14</v>
      </c>
      <c r="F9" s="3">
        <v>19</v>
      </c>
      <c r="G9" s="8">
        <v>77</v>
      </c>
    </row>
    <row r="10" spans="1:14">
      <c r="A10" s="9" t="s">
        <v>23</v>
      </c>
      <c r="B10" s="3">
        <v>2</v>
      </c>
      <c r="C10" s="3">
        <v>4</v>
      </c>
      <c r="D10" s="3">
        <v>9</v>
      </c>
      <c r="E10" s="3">
        <v>4</v>
      </c>
      <c r="F10" s="3">
        <v>5</v>
      </c>
      <c r="G10" s="8">
        <v>24</v>
      </c>
    </row>
    <row r="11" spans="1:14">
      <c r="A11" s="9" t="s">
        <v>8</v>
      </c>
      <c r="B11" s="3">
        <v>28</v>
      </c>
      <c r="C11" s="3">
        <v>321</v>
      </c>
      <c r="D11" s="3">
        <v>676</v>
      </c>
      <c r="E11" s="3">
        <v>254</v>
      </c>
      <c r="F11" s="3">
        <v>637</v>
      </c>
      <c r="G11" s="8">
        <v>1941</v>
      </c>
    </row>
    <row r="12" spans="1:14">
      <c r="A12" s="9" t="s">
        <v>9</v>
      </c>
      <c r="B12" s="3">
        <v>6</v>
      </c>
      <c r="C12" s="3">
        <v>66</v>
      </c>
      <c r="D12" s="3">
        <v>80</v>
      </c>
      <c r="E12" s="3">
        <v>24</v>
      </c>
      <c r="F12" s="3">
        <v>37</v>
      </c>
      <c r="G12" s="8">
        <v>216</v>
      </c>
    </row>
    <row r="13" spans="1:14">
      <c r="A13" s="9" t="s">
        <v>14</v>
      </c>
      <c r="B13" s="3">
        <v>35</v>
      </c>
      <c r="C13" s="2">
        <v>418</v>
      </c>
      <c r="D13" s="2">
        <v>884</v>
      </c>
      <c r="E13" s="2">
        <v>320</v>
      </c>
      <c r="F13" s="2">
        <v>765</v>
      </c>
      <c r="G13" s="7">
        <v>2454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3" t="s">
        <v>13</v>
      </c>
      <c r="B15" s="34"/>
      <c r="C15" s="34"/>
      <c r="D15" s="34"/>
      <c r="E15" s="34"/>
      <c r="F15" s="34"/>
      <c r="G15" s="35"/>
    </row>
    <row r="16" spans="1:14" s="14" customFormat="1" ht="11.25">
      <c r="A16" s="15"/>
      <c r="B16" s="16" t="s">
        <v>1</v>
      </c>
      <c r="C16" s="16" t="s">
        <v>2</v>
      </c>
      <c r="D16" s="16" t="s">
        <v>3</v>
      </c>
      <c r="E16" s="16" t="s">
        <v>4</v>
      </c>
      <c r="F16" s="16" t="s">
        <v>0</v>
      </c>
      <c r="G16" s="17" t="s">
        <v>5</v>
      </c>
    </row>
    <row r="17" spans="1:7">
      <c r="A17" s="6" t="s">
        <v>11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8">
        <v>1</v>
      </c>
    </row>
    <row r="18" spans="1:7">
      <c r="A18" s="6" t="s">
        <v>6</v>
      </c>
      <c r="B18" s="3">
        <v>1</v>
      </c>
      <c r="C18" s="3">
        <v>7</v>
      </c>
      <c r="D18" s="3">
        <v>10</v>
      </c>
      <c r="E18" s="3">
        <v>3</v>
      </c>
      <c r="F18" s="3">
        <v>8</v>
      </c>
      <c r="G18" s="8">
        <v>32</v>
      </c>
    </row>
    <row r="19" spans="1:7">
      <c r="A19" s="9" t="s">
        <v>17</v>
      </c>
      <c r="B19" s="3">
        <v>0</v>
      </c>
      <c r="C19" s="3">
        <v>6</v>
      </c>
      <c r="D19" s="3">
        <v>6</v>
      </c>
      <c r="E19" s="3">
        <v>5</v>
      </c>
      <c r="F19" s="3">
        <v>0</v>
      </c>
      <c r="G19" s="8">
        <v>17</v>
      </c>
    </row>
    <row r="20" spans="1:7">
      <c r="A20" s="9" t="s">
        <v>23</v>
      </c>
      <c r="B20" s="3">
        <v>0</v>
      </c>
      <c r="C20" s="3">
        <v>2</v>
      </c>
      <c r="D20" s="3">
        <v>1</v>
      </c>
      <c r="E20" s="3">
        <v>0</v>
      </c>
      <c r="F20" s="3">
        <v>1</v>
      </c>
      <c r="G20" s="8">
        <v>4</v>
      </c>
    </row>
    <row r="21" spans="1:7">
      <c r="A21" s="9" t="s">
        <v>8</v>
      </c>
      <c r="B21" s="3">
        <v>11</v>
      </c>
      <c r="C21" s="3">
        <v>52</v>
      </c>
      <c r="D21" s="3">
        <v>60</v>
      </c>
      <c r="E21" s="3">
        <v>19</v>
      </c>
      <c r="F21" s="3">
        <v>42</v>
      </c>
      <c r="G21" s="8">
        <v>188</v>
      </c>
    </row>
    <row r="22" spans="1:7">
      <c r="A22" s="9" t="s">
        <v>9</v>
      </c>
      <c r="B22" s="3">
        <v>2</v>
      </c>
      <c r="C22" s="3">
        <v>10</v>
      </c>
      <c r="D22" s="3">
        <v>9</v>
      </c>
      <c r="E22" s="3">
        <v>2</v>
      </c>
      <c r="F22" s="3">
        <v>5</v>
      </c>
      <c r="G22" s="8">
        <v>28</v>
      </c>
    </row>
    <row r="23" spans="1:7">
      <c r="A23" s="9" t="s">
        <v>14</v>
      </c>
      <c r="B23" s="2">
        <v>12</v>
      </c>
      <c r="C23" s="2">
        <v>73</v>
      </c>
      <c r="D23" s="2">
        <v>84</v>
      </c>
      <c r="E23" s="3">
        <v>28</v>
      </c>
      <c r="F23" s="2">
        <v>56</v>
      </c>
      <c r="G23" s="7">
        <v>261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3" t="s">
        <v>15</v>
      </c>
      <c r="B25" s="34"/>
      <c r="C25" s="34"/>
      <c r="D25" s="34"/>
      <c r="E25" s="34"/>
      <c r="F25" s="34"/>
      <c r="G25" s="35"/>
    </row>
    <row r="26" spans="1:7" s="14" customFormat="1" ht="11.25">
      <c r="A26" s="15"/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0</v>
      </c>
      <c r="G26" s="17" t="s">
        <v>5</v>
      </c>
    </row>
    <row r="27" spans="1:7">
      <c r="A27" s="6" t="s">
        <v>11</v>
      </c>
      <c r="B27" s="5">
        <f>B17/B7</f>
        <v>0</v>
      </c>
      <c r="C27" s="5">
        <f t="shared" ref="C27:G27" si="0">C17/C7</f>
        <v>0</v>
      </c>
      <c r="D27" s="5">
        <f t="shared" si="0"/>
        <v>0</v>
      </c>
      <c r="E27" s="5">
        <f t="shared" si="0"/>
        <v>0</v>
      </c>
      <c r="F27" s="5">
        <f t="shared" si="0"/>
        <v>0.1111111111111111</v>
      </c>
      <c r="G27" s="10">
        <f t="shared" si="0"/>
        <v>2.8571428571428571E-2</v>
      </c>
    </row>
    <row r="28" spans="1:7">
      <c r="A28" s="6" t="s">
        <v>6</v>
      </c>
      <c r="B28" s="5">
        <f>B18/B8</f>
        <v>0.5</v>
      </c>
      <c r="C28" s="5">
        <f t="shared" ref="B28:G33" si="1">C18/C8</f>
        <v>0.26923076923076922</v>
      </c>
      <c r="D28" s="5">
        <f t="shared" si="1"/>
        <v>0.13333333333333333</v>
      </c>
      <c r="E28" s="5">
        <f t="shared" si="1"/>
        <v>0.2</v>
      </c>
      <c r="F28" s="5">
        <f t="shared" si="1"/>
        <v>0.1702127659574468</v>
      </c>
      <c r="G28" s="10">
        <f t="shared" si="1"/>
        <v>0.1893491124260355</v>
      </c>
    </row>
    <row r="29" spans="1:7">
      <c r="A29" s="9" t="s">
        <v>17</v>
      </c>
      <c r="B29" s="5">
        <v>0</v>
      </c>
      <c r="C29" s="5">
        <f t="shared" si="1"/>
        <v>0.4</v>
      </c>
      <c r="D29" s="5">
        <f>D19/D9</f>
        <v>0.21428571428571427</v>
      </c>
      <c r="E29" s="5">
        <f t="shared" si="1"/>
        <v>0.35714285714285715</v>
      </c>
      <c r="F29" s="5">
        <f>F19/F9</f>
        <v>0</v>
      </c>
      <c r="G29" s="10">
        <f t="shared" si="1"/>
        <v>0.22077922077922077</v>
      </c>
    </row>
    <row r="30" spans="1:7">
      <c r="A30" s="9" t="s">
        <v>23</v>
      </c>
      <c r="B30" s="5">
        <v>0</v>
      </c>
      <c r="C30" s="5">
        <f t="shared" si="1"/>
        <v>0.5</v>
      </c>
      <c r="D30" s="5">
        <f t="shared" si="1"/>
        <v>0.1111111111111111</v>
      </c>
      <c r="E30" s="5">
        <f t="shared" si="1"/>
        <v>0</v>
      </c>
      <c r="F30" s="5">
        <f t="shared" si="1"/>
        <v>0.2</v>
      </c>
      <c r="G30" s="10">
        <f t="shared" si="1"/>
        <v>0.16666666666666666</v>
      </c>
    </row>
    <row r="31" spans="1:7">
      <c r="A31" s="9" t="s">
        <v>8</v>
      </c>
      <c r="B31" s="5">
        <f>B21/B11</f>
        <v>0.39285714285714285</v>
      </c>
      <c r="C31" s="5">
        <f t="shared" si="1"/>
        <v>0.16199376947040497</v>
      </c>
      <c r="D31" s="5">
        <f t="shared" si="1"/>
        <v>8.8757396449704137E-2</v>
      </c>
      <c r="E31" s="5">
        <f>E21/E11</f>
        <v>7.4803149606299218E-2</v>
      </c>
      <c r="F31" s="5">
        <f t="shared" si="1"/>
        <v>6.5934065934065936E-2</v>
      </c>
      <c r="G31" s="10">
        <f t="shared" si="1"/>
        <v>9.6857290056671819E-2</v>
      </c>
    </row>
    <row r="32" spans="1:7">
      <c r="A32" s="9" t="s">
        <v>9</v>
      </c>
      <c r="B32" s="5">
        <f>B22/B12</f>
        <v>0.33333333333333331</v>
      </c>
      <c r="C32" s="5">
        <f t="shared" si="1"/>
        <v>0.15151515151515152</v>
      </c>
      <c r="D32" s="5">
        <f t="shared" si="1"/>
        <v>0.1125</v>
      </c>
      <c r="E32" s="5">
        <f t="shared" si="1"/>
        <v>8.3333333333333329E-2</v>
      </c>
      <c r="F32" s="5">
        <f t="shared" si="1"/>
        <v>0.13513513513513514</v>
      </c>
      <c r="G32" s="10">
        <f>G22/G12</f>
        <v>0.12962962962962962</v>
      </c>
    </row>
    <row r="33" spans="1:9" ht="13.5" thickBot="1">
      <c r="A33" s="11" t="s">
        <v>14</v>
      </c>
      <c r="B33" s="12">
        <f>B23/B13</f>
        <v>0.34285714285714286</v>
      </c>
      <c r="C33" s="12">
        <f>C23/C13</f>
        <v>0.17464114832535885</v>
      </c>
      <c r="D33" s="12">
        <f t="shared" si="1"/>
        <v>9.5022624434389136E-2</v>
      </c>
      <c r="E33" s="12">
        <f t="shared" si="1"/>
        <v>8.7499999999999994E-2</v>
      </c>
      <c r="F33" s="12">
        <f t="shared" si="1"/>
        <v>7.3202614379084971E-2</v>
      </c>
      <c r="G33" s="13">
        <f t="shared" si="1"/>
        <v>0.10635696821515893</v>
      </c>
    </row>
    <row r="34" spans="1:9">
      <c r="A34" s="18" t="s">
        <v>25</v>
      </c>
      <c r="B34" s="5"/>
      <c r="C34" s="5"/>
      <c r="D34" s="5"/>
      <c r="E34" s="5"/>
      <c r="F34" s="5"/>
      <c r="G34" s="5"/>
    </row>
    <row r="35" spans="1:9" ht="54" customHeight="1">
      <c r="A35" s="32" t="s">
        <v>28</v>
      </c>
      <c r="B35" s="32"/>
      <c r="C35" s="32"/>
      <c r="D35" s="32"/>
      <c r="E35" s="32"/>
      <c r="F35" s="32"/>
      <c r="G35" s="32"/>
      <c r="H35" s="32"/>
      <c r="I35" s="32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zoomScale="140" zoomScaleNormal="140" workbookViewId="0">
      <selection activeCell="G14" sqref="G14"/>
    </sheetView>
  </sheetViews>
  <sheetFormatPr defaultRowHeight="12.75"/>
  <cols>
    <col min="1" max="1" width="17.5703125" style="2" customWidth="1"/>
    <col min="2" max="3" width="9.140625" style="2"/>
    <col min="4" max="4" width="8.5703125" style="2" customWidth="1"/>
    <col min="5" max="16384" width="9.140625" style="2"/>
  </cols>
  <sheetData>
    <row r="1" spans="1:8">
      <c r="B1" s="27">
        <v>2006</v>
      </c>
      <c r="C1" s="27">
        <v>2007</v>
      </c>
      <c r="D1" s="27">
        <v>2008</v>
      </c>
      <c r="E1" s="27">
        <v>2009</v>
      </c>
      <c r="F1" s="27">
        <v>2010</v>
      </c>
      <c r="G1" s="27">
        <v>2011</v>
      </c>
      <c r="H1" s="27">
        <v>2012</v>
      </c>
    </row>
    <row r="2" spans="1:8">
      <c r="A2" s="2" t="s">
        <v>11</v>
      </c>
      <c r="B2" s="5">
        <v>6.6666666666666666E-2</v>
      </c>
      <c r="C2" s="28">
        <v>0.16666666666666666</v>
      </c>
      <c r="D2" s="28">
        <v>0.125</v>
      </c>
      <c r="E2" s="28">
        <v>5.8823529411764705E-2</v>
      </c>
      <c r="F2" s="28">
        <v>2.3809523809523808E-2</v>
      </c>
      <c r="G2" s="28">
        <v>0.17857142857142858</v>
      </c>
      <c r="H2" s="10">
        <v>2.8571428571428571E-2</v>
      </c>
    </row>
    <row r="3" spans="1:8">
      <c r="A3" s="2" t="s">
        <v>6</v>
      </c>
      <c r="B3" s="5">
        <v>9.5238095238095233E-2</v>
      </c>
      <c r="C3" s="28">
        <v>6.6666666666666666E-2</v>
      </c>
      <c r="D3" s="28">
        <v>0.22689075630252101</v>
      </c>
      <c r="E3" s="28">
        <v>0.19323671497584541</v>
      </c>
      <c r="F3" s="28">
        <v>0.12568306010928962</v>
      </c>
      <c r="G3" s="28">
        <v>0.11176470588235295</v>
      </c>
      <c r="H3" s="10">
        <v>0.1893491124260355</v>
      </c>
    </row>
    <row r="4" spans="1:8">
      <c r="A4" s="2" t="s">
        <v>17</v>
      </c>
      <c r="B4" s="5">
        <v>0.29411764705882354</v>
      </c>
      <c r="C4" s="28">
        <v>0.5</v>
      </c>
      <c r="D4" s="28">
        <v>0.32631578947368423</v>
      </c>
      <c r="E4" s="28">
        <v>0.20370370370370369</v>
      </c>
      <c r="F4" s="28">
        <v>6.6037735849056603E-2</v>
      </c>
      <c r="G4" s="28">
        <v>0.18421052631578946</v>
      </c>
      <c r="H4" s="10">
        <v>0.22077922077922077</v>
      </c>
    </row>
    <row r="5" spans="1:8">
      <c r="A5" s="2" t="s">
        <v>23</v>
      </c>
      <c r="B5" s="5">
        <v>0</v>
      </c>
      <c r="C5" s="28">
        <v>0.33333333333333331</v>
      </c>
      <c r="D5" s="28">
        <v>0.3</v>
      </c>
      <c r="E5" s="28">
        <v>0.11627906976744186</v>
      </c>
      <c r="F5" s="28">
        <v>0.125</v>
      </c>
      <c r="G5" s="28">
        <v>0.14814814814814814</v>
      </c>
      <c r="H5" s="10">
        <v>0.16666666666666666</v>
      </c>
    </row>
    <row r="6" spans="1:8">
      <c r="A6" s="2" t="s">
        <v>9</v>
      </c>
      <c r="B6" s="5">
        <v>0.14376996805111822</v>
      </c>
      <c r="C6" s="28">
        <v>0.18260869565217391</v>
      </c>
      <c r="D6" s="28">
        <v>0.16853932584269662</v>
      </c>
      <c r="E6" s="28">
        <v>0.11466338764217646</v>
      </c>
      <c r="F6" s="28">
        <v>8.0552746882372767E-2</v>
      </c>
      <c r="G6" s="28">
        <v>9.6774193548387094E-2</v>
      </c>
      <c r="H6" s="10">
        <v>9.6857290056671819E-2</v>
      </c>
    </row>
    <row r="7" spans="1:8">
      <c r="A7" s="2" t="s">
        <v>8</v>
      </c>
      <c r="B7" s="5">
        <v>0.16666666666666666</v>
      </c>
      <c r="C7" s="28">
        <v>2.3255813953488372E-2</v>
      </c>
      <c r="D7" s="28">
        <v>0.30833333333333335</v>
      </c>
      <c r="E7" s="28">
        <v>0.20454545454545456</v>
      </c>
      <c r="F7" s="28">
        <v>0.11764705882352941</v>
      </c>
      <c r="G7" s="28">
        <v>0.14572864321608039</v>
      </c>
      <c r="H7" s="10">
        <v>0.12962962962962962</v>
      </c>
    </row>
    <row r="8" spans="1:8" ht="13.5" thickBot="1">
      <c r="A8" s="2" t="s">
        <v>14</v>
      </c>
      <c r="B8" s="5">
        <v>0.14402173913043478</v>
      </c>
      <c r="C8" s="28">
        <v>0.20048309178743962</v>
      </c>
      <c r="D8" s="28">
        <v>0.18020743301642178</v>
      </c>
      <c r="E8" s="28">
        <v>0.12139605462822459</v>
      </c>
      <c r="F8" s="28">
        <v>8.4675180455302604E-2</v>
      </c>
      <c r="G8" s="28">
        <v>0.1010061919504644</v>
      </c>
      <c r="H8" s="13">
        <v>0.10635696821515893</v>
      </c>
    </row>
    <row r="9" spans="1:8">
      <c r="B9" s="5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H8" sqref="H8"/>
    </sheetView>
  </sheetViews>
  <sheetFormatPr defaultRowHeight="12.75"/>
  <cols>
    <col min="1" max="1" width="17.5703125" style="1" customWidth="1"/>
    <col min="2" max="16384" width="9.140625" style="1"/>
  </cols>
  <sheetData>
    <row r="1" spans="1:8">
      <c r="B1" s="19">
        <v>2006</v>
      </c>
      <c r="C1" s="19">
        <v>2007</v>
      </c>
      <c r="D1" s="19">
        <v>2008</v>
      </c>
      <c r="E1" s="19">
        <v>2009</v>
      </c>
      <c r="F1" s="19">
        <v>2010</v>
      </c>
      <c r="G1" s="1">
        <v>2011</v>
      </c>
      <c r="H1" s="1">
        <v>2012</v>
      </c>
    </row>
    <row r="2" spans="1:8">
      <c r="A2" s="1" t="s">
        <v>1</v>
      </c>
      <c r="B2" s="28">
        <v>0</v>
      </c>
      <c r="C2" s="28">
        <v>0</v>
      </c>
      <c r="D2" s="28">
        <v>0.2</v>
      </c>
      <c r="E2" s="28">
        <v>0.5161290322580645</v>
      </c>
      <c r="F2" s="28">
        <v>0.36666666666666664</v>
      </c>
      <c r="G2" s="28">
        <v>0.27272727272727271</v>
      </c>
      <c r="H2" s="28">
        <v>0.34285714285714286</v>
      </c>
    </row>
    <row r="3" spans="1:8">
      <c r="A3" s="1" t="s">
        <v>2</v>
      </c>
      <c r="B3" s="28">
        <v>0.41379310344827586</v>
      </c>
      <c r="C3" s="28">
        <v>0.5</v>
      </c>
      <c r="D3" s="28">
        <v>0.40322580645161288</v>
      </c>
      <c r="E3" s="28">
        <v>0.20172910662824209</v>
      </c>
      <c r="F3" s="28">
        <v>0.14499999999999999</v>
      </c>
      <c r="G3" s="28">
        <v>0.14849187935034802</v>
      </c>
      <c r="H3" s="28">
        <v>0.17464114832535885</v>
      </c>
    </row>
    <row r="4" spans="1:8">
      <c r="A4" s="1" t="s">
        <v>3</v>
      </c>
      <c r="B4" s="28">
        <v>0.12213740458015267</v>
      </c>
      <c r="C4" s="28">
        <v>0.22522522522522523</v>
      </c>
      <c r="D4" s="28">
        <v>0.20341614906832298</v>
      </c>
      <c r="E4" s="28">
        <v>0.11671270718232044</v>
      </c>
      <c r="F4" s="28">
        <v>9.0614886731391592E-2</v>
      </c>
      <c r="G4" s="28">
        <v>9.5794392523364483E-2</v>
      </c>
      <c r="H4" s="28">
        <v>9.5022624434389136E-2</v>
      </c>
    </row>
    <row r="5" spans="1:8">
      <c r="A5" s="1" t="s">
        <v>4</v>
      </c>
      <c r="B5" s="28">
        <v>9.8591549295774641E-2</v>
      </c>
      <c r="C5" s="28">
        <v>0.20454545454545456</v>
      </c>
      <c r="D5" s="28">
        <v>0.18075117370892019</v>
      </c>
      <c r="E5" s="28">
        <v>0.11169284467713787</v>
      </c>
      <c r="F5" s="28">
        <v>4.7080979284369114E-2</v>
      </c>
      <c r="G5" s="28">
        <v>7.0796460176991149E-2</v>
      </c>
      <c r="H5" s="28">
        <v>8.7499999999999994E-2</v>
      </c>
    </row>
    <row r="6" spans="1:8">
      <c r="A6" s="1" t="s">
        <v>0</v>
      </c>
      <c r="B6" s="28">
        <v>0.140625</v>
      </c>
      <c r="C6" s="28">
        <v>0.17857142857142858</v>
      </c>
      <c r="D6" s="28">
        <v>0.15720524017467249</v>
      </c>
      <c r="E6" s="28">
        <v>0.10246174318030606</v>
      </c>
      <c r="F6" s="28">
        <v>7.105847520355292E-2</v>
      </c>
      <c r="G6" s="28">
        <v>8.3710407239818999E-2</v>
      </c>
      <c r="H6" s="28">
        <v>7.3202614379084971E-2</v>
      </c>
    </row>
    <row r="7" spans="1:8">
      <c r="B7" s="20"/>
      <c r="C7" s="20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2</vt:i4>
      </vt:variant>
    </vt:vector>
  </HeadingPairs>
  <TitlesOfParts>
    <vt:vector size="11" baseType="lpstr">
      <vt:lpstr>Denials 2006</vt:lpstr>
      <vt:lpstr>Denials 2007</vt:lpstr>
      <vt:lpstr>Denials 2008</vt:lpstr>
      <vt:lpstr>Denials 2009</vt:lpstr>
      <vt:lpstr>Denials 2010</vt:lpstr>
      <vt:lpstr>Denials 2011</vt:lpstr>
      <vt:lpstr>Denials 2012</vt:lpstr>
      <vt:lpstr>Denial Rate Trend By Race</vt:lpstr>
      <vt:lpstr>Denial Rate Trend By Income</vt:lpstr>
      <vt:lpstr>Denial Rate by Race Chart</vt:lpstr>
      <vt:lpstr>Denial Rate by Income Chart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2010-02-26T23:33:15Z</cp:lastPrinted>
  <dcterms:created xsi:type="dcterms:W3CDTF">2007-01-08T21:48:43Z</dcterms:created>
  <dcterms:modified xsi:type="dcterms:W3CDTF">2013-10-21T22:06:44Z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1070667479</vt:i4>
  </property>
  <property fmtid="{D5CDD505-2E9C-101B-9397-08002B2CF9AE}" pid="3" name="_EmailSubject">
    <vt:lpwstr>Denial rates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