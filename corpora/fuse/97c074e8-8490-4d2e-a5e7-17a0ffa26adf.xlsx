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-60" windowWidth="6825" windowHeight="6420"/>
  </bookViews>
  <sheets>
    <sheet name="Instructions" sheetId="15" r:id="rId1"/>
    <sheet name="Cost Detail" sheetId="10" r:id="rId2"/>
    <sheet name="Travel" sheetId="4" r:id="rId3"/>
  </sheets>
  <definedNames>
    <definedName name="_xlnm.Print_Area" localSheetId="1">'Cost Detail'!$A$1:$H$66</definedName>
    <definedName name="_xlnm.Print_Area" localSheetId="0">Instructions!$A$1:$L$57</definedName>
    <definedName name="_xlnm.Print_Area" localSheetId="2">Travel!$A$3:$M$13</definedName>
  </definedNames>
  <calcPr calcId="125725"/>
</workbook>
</file>

<file path=xl/calcChain.xml><?xml version="1.0" encoding="utf-8"?>
<calcChain xmlns="http://schemas.openxmlformats.org/spreadsheetml/2006/main">
  <c r="F8" i="10"/>
  <c r="F9"/>
  <c r="C22"/>
  <c r="C23"/>
  <c r="C24"/>
  <c r="C25"/>
  <c r="C26"/>
  <c r="C27"/>
  <c r="C28"/>
  <c r="C29"/>
  <c r="C30"/>
  <c r="C21"/>
  <c r="J6" i="4"/>
  <c r="K6"/>
  <c r="L6"/>
  <c r="J7"/>
  <c r="K7"/>
  <c r="L7"/>
  <c r="J8"/>
  <c r="K8"/>
  <c r="L8"/>
  <c r="J9"/>
  <c r="K9"/>
  <c r="L9"/>
  <c r="J10"/>
  <c r="K10"/>
  <c r="L10"/>
  <c r="J11"/>
  <c r="K11"/>
  <c r="L11"/>
  <c r="J12"/>
  <c r="K12"/>
  <c r="L12"/>
  <c r="H42" i="10"/>
  <c r="H60"/>
  <c r="H46"/>
  <c r="G8"/>
  <c r="D21" s="1"/>
  <c r="G21" s="1"/>
  <c r="H21" s="1"/>
  <c r="G9"/>
  <c r="D22" s="1"/>
  <c r="G22" s="1"/>
  <c r="H22" s="1"/>
  <c r="F10"/>
  <c r="G10" s="1"/>
  <c r="F12"/>
  <c r="G12" s="1"/>
  <c r="D25" s="1"/>
  <c r="G25" s="1"/>
  <c r="H25" s="1"/>
  <c r="F13"/>
  <c r="G13" s="1"/>
  <c r="F16"/>
  <c r="G16" s="1"/>
  <c r="D29" s="1"/>
  <c r="G29" s="1"/>
  <c r="H29" s="1"/>
  <c r="H39"/>
  <c r="F11"/>
  <c r="G11" s="1"/>
  <c r="F14"/>
  <c r="G14" s="1"/>
  <c r="F15"/>
  <c r="G15" s="1"/>
  <c r="F17"/>
  <c r="G17" s="1"/>
  <c r="H9" l="1"/>
  <c r="M11" i="4"/>
  <c r="M9"/>
  <c r="M12"/>
  <c r="M10"/>
  <c r="M8"/>
  <c r="M7"/>
  <c r="M6"/>
  <c r="D30" i="10"/>
  <c r="G30" s="1"/>
  <c r="H30" s="1"/>
  <c r="H17"/>
  <c r="D24"/>
  <c r="G24" s="1"/>
  <c r="H24" s="1"/>
  <c r="H11"/>
  <c r="D27"/>
  <c r="G27" s="1"/>
  <c r="H27" s="1"/>
  <c r="H14"/>
  <c r="D26"/>
  <c r="G26" s="1"/>
  <c r="H26" s="1"/>
  <c r="H13"/>
  <c r="D28"/>
  <c r="G28" s="1"/>
  <c r="H28" s="1"/>
  <c r="H15"/>
  <c r="D23"/>
  <c r="G23" s="1"/>
  <c r="H23" s="1"/>
  <c r="H10"/>
  <c r="H31"/>
  <c r="M13" i="4"/>
  <c r="H36" i="10" s="1"/>
  <c r="H16"/>
  <c r="H12"/>
  <c r="H8"/>
  <c r="H62" l="1"/>
  <c r="H18"/>
  <c r="H33" s="1"/>
  <c r="H64" l="1"/>
  <c r="H66" s="1"/>
</calcChain>
</file>

<file path=xl/sharedStrings.xml><?xml version="1.0" encoding="utf-8"?>
<sst xmlns="http://schemas.openxmlformats.org/spreadsheetml/2006/main" count="72" uniqueCount="66">
  <si>
    <t xml:space="preserve">Project Title: </t>
  </si>
  <si>
    <t>CODE</t>
  </si>
  <si>
    <t>CATEGORY</t>
  </si>
  <si>
    <t>DESCRIPTION</t>
  </si>
  <si>
    <t>I.  LABOR COSTS</t>
  </si>
  <si>
    <t>SALARIES &amp; WAGES</t>
  </si>
  <si>
    <t>Job Classification</t>
  </si>
  <si>
    <t>% Effort</t>
  </si>
  <si>
    <t>TOTAL SALARIES</t>
  </si>
  <si>
    <t>FRINGE BENEFITS</t>
  </si>
  <si>
    <t>Med/Life</t>
  </si>
  <si>
    <t>TOTAL FRINGE BENEFITS</t>
  </si>
  <si>
    <t>SUBTOTAL LABOR COSTS</t>
  </si>
  <si>
    <t>II.  OTHER DIRECT</t>
  </si>
  <si>
    <t>TRAVEL</t>
  </si>
  <si>
    <t>EQUIPMENT</t>
  </si>
  <si>
    <t>TOTAL EQUIPMENT</t>
  </si>
  <si>
    <t>SUPPLIES</t>
  </si>
  <si>
    <t>Program Consumables</t>
  </si>
  <si>
    <t>TOTAL SUPPLIES</t>
  </si>
  <si>
    <t>TOTAL</t>
  </si>
  <si>
    <t>CONTRACTUAL</t>
  </si>
  <si>
    <t>TOTAL CONTRACTUAL</t>
  </si>
  <si>
    <t>OTHER EXPENSES</t>
  </si>
  <si>
    <t>Item Description</t>
  </si>
  <si>
    <t>TOTAL OTHER EXPENSES</t>
  </si>
  <si>
    <t>SUBTOTAL OTHER DIRECT</t>
  </si>
  <si>
    <t xml:space="preserve"> </t>
  </si>
  <si>
    <t>TOTAL DIRECT COSTS</t>
  </si>
  <si>
    <t>TOTAL TRAVEL</t>
  </si>
  <si>
    <t>Monthly Salary Rate</t>
  </si>
  <si>
    <t>Amount $/mo.</t>
  </si>
  <si>
    <t>Salary Amount $/mo.</t>
  </si>
  <si>
    <t>Benefit Amt. $/mo.</t>
  </si>
  <si>
    <t>ENTER</t>
  </si>
  <si>
    <t>CALC</t>
  </si>
  <si>
    <t>UNITS</t>
  </si>
  <si>
    <t>COSTS</t>
  </si>
  <si>
    <t>Destination</t>
  </si>
  <si>
    <t>Year</t>
  </si>
  <si>
    <t>Purpose</t>
  </si>
  <si>
    <t>#People</t>
  </si>
  <si>
    <t>#Days</t>
  </si>
  <si>
    <t>#Trips</t>
  </si>
  <si>
    <t>R/T Air</t>
  </si>
  <si>
    <t>PerDiem</t>
  </si>
  <si>
    <t>Auto/Misc</t>
  </si>
  <si>
    <t>Reference Travel Detail Page</t>
  </si>
  <si>
    <t>Total Subcontracts/Subgrants &lt;$25K</t>
  </si>
  <si>
    <t xml:space="preserve">Total Subcontracts/Subgrants &gt;$25K </t>
  </si>
  <si>
    <t>TRAVEL ESTIMATE</t>
  </si>
  <si>
    <t>PROJECT TRAVEL WORKSHEET - DETAIL</t>
  </si>
  <si>
    <t>Monthly w/ Inflation</t>
  </si>
  <si>
    <t>Total</t>
  </si>
  <si>
    <t>RATES PER PERSON</t>
  </si>
  <si>
    <t>Inflation factor</t>
  </si>
  <si>
    <t>#months</t>
  </si>
  <si>
    <t>ARRA Government Services Fund (GSF)</t>
  </si>
  <si>
    <t>Other</t>
  </si>
  <si>
    <t>TOTAL PROJECT BUDGET</t>
  </si>
  <si>
    <t>Institution:</t>
  </si>
  <si>
    <t>Job Classification/Titles</t>
  </si>
  <si>
    <t>Approx.Rate %</t>
  </si>
  <si>
    <t>ARRA PROJECT BUDGET</t>
  </si>
  <si>
    <t>DUNS No.:</t>
  </si>
  <si>
    <t>ARRA GSF Incentive 2011 Project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</si>
</sst>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0.0%"/>
    <numFmt numFmtId="168" formatCode="0.000"/>
  </numFmts>
  <fonts count="20">
    <font>
      <sz val="10"/>
      <name val="Arial"/>
    </font>
    <font>
      <sz val="10"/>
      <name val="Arial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b/>
      <sz val="16"/>
      <color indexed="9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Fill="1" applyBorder="1"/>
    <xf numFmtId="0" fontId="3" fillId="0" borderId="0" xfId="0" applyFont="1"/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4" fontId="8" fillId="0" borderId="0" xfId="2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0" fillId="0" borderId="0" xfId="0" applyNumberFormat="1" applyFill="1" applyBorder="1"/>
    <xf numFmtId="0" fontId="0" fillId="0" borderId="1" xfId="0" applyFill="1" applyBorder="1"/>
    <xf numFmtId="0" fontId="10" fillId="0" borderId="0" xfId="0" applyFont="1" applyFill="1" applyBorder="1" applyAlignment="1">
      <alignment horizontal="center"/>
    </xf>
    <xf numFmtId="44" fontId="11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65" fontId="6" fillId="0" borderId="0" xfId="0" applyNumberFormat="1" applyFont="1" applyFill="1" applyBorder="1"/>
    <xf numFmtId="0" fontId="3" fillId="0" borderId="0" xfId="0" applyFont="1" applyFill="1" applyBorder="1"/>
    <xf numFmtId="44" fontId="3" fillId="0" borderId="0" xfId="0" applyNumberFormat="1" applyFont="1" applyFill="1" applyBorder="1"/>
    <xf numFmtId="165" fontId="7" fillId="0" borderId="0" xfId="0" applyNumberFormat="1" applyFont="1" applyFill="1" applyBorder="1"/>
    <xf numFmtId="165" fontId="3" fillId="0" borderId="0" xfId="2" applyNumberFormat="1" applyFont="1" applyFill="1" applyBorder="1" applyAlignment="1">
      <alignment horizontal="center"/>
    </xf>
    <xf numFmtId="165" fontId="1" fillId="0" borderId="0" xfId="2" applyNumberFormat="1" applyFill="1" applyBorder="1"/>
    <xf numFmtId="0" fontId="9" fillId="0" borderId="0" xfId="0" applyFont="1" applyFill="1" applyBorder="1" applyAlignment="1">
      <alignment horizontal="center"/>
    </xf>
    <xf numFmtId="165" fontId="10" fillId="0" borderId="0" xfId="0" applyNumberFormat="1" applyFont="1" applyFill="1" applyBorder="1"/>
    <xf numFmtId="0" fontId="12" fillId="0" borderId="0" xfId="0" applyFont="1" applyFill="1" applyBorder="1" applyAlignment="1">
      <alignment horizontal="center"/>
    </xf>
    <xf numFmtId="165" fontId="8" fillId="0" borderId="0" xfId="2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165" fontId="6" fillId="0" borderId="0" xfId="2" applyNumberFormat="1" applyFont="1" applyFill="1" applyBorder="1" applyAlignment="1">
      <alignment horizontal="center"/>
    </xf>
    <xf numFmtId="0" fontId="11" fillId="0" borderId="0" xfId="0" applyFont="1" applyFill="1" applyBorder="1"/>
    <xf numFmtId="165" fontId="6" fillId="0" borderId="0" xfId="2" applyNumberFormat="1" applyFont="1" applyFill="1" applyBorder="1"/>
    <xf numFmtId="165" fontId="3" fillId="0" borderId="0" xfId="2" applyNumberFormat="1" applyFont="1" applyFill="1" applyBorder="1"/>
    <xf numFmtId="0" fontId="9" fillId="0" borderId="1" xfId="0" applyFont="1" applyFill="1" applyBorder="1" applyAlignment="1">
      <alignment horizontal="center"/>
    </xf>
    <xf numFmtId="165" fontId="9" fillId="0" borderId="0" xfId="2" applyNumberFormat="1" applyFont="1" applyFill="1" applyBorder="1"/>
    <xf numFmtId="0" fontId="8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2" xfId="0" applyFill="1" applyBorder="1" applyAlignment="1">
      <alignment horizontal="centerContinuous"/>
    </xf>
    <xf numFmtId="0" fontId="0" fillId="0" borderId="2" xfId="0" applyBorder="1"/>
    <xf numFmtId="0" fontId="3" fillId="0" borderId="2" xfId="0" applyFont="1" applyBorder="1"/>
    <xf numFmtId="0" fontId="3" fillId="0" borderId="0" xfId="0" applyFont="1" applyBorder="1"/>
    <xf numFmtId="166" fontId="3" fillId="0" borderId="0" xfId="2" applyNumberFormat="1" applyFont="1" applyFill="1" applyBorder="1"/>
    <xf numFmtId="165" fontId="0" fillId="0" borderId="0" xfId="2" applyNumberFormat="1" applyFont="1" applyFill="1" applyBorder="1"/>
    <xf numFmtId="44" fontId="8" fillId="0" borderId="0" xfId="0" applyNumberFormat="1" applyFont="1" applyFill="1" applyBorder="1" applyAlignment="1">
      <alignment horizontal="center" wrapText="1"/>
    </xf>
    <xf numFmtId="44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44" fontId="3" fillId="0" borderId="0" xfId="2" applyFont="1" applyFill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44" fontId="0" fillId="0" borderId="0" xfId="0" applyNumberForma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44" fontId="3" fillId="0" borderId="0" xfId="0" applyNumberFormat="1" applyFont="1" applyFill="1" applyBorder="1" applyAlignment="1">
      <alignment horizontal="center" wrapText="1"/>
    </xf>
    <xf numFmtId="165" fontId="8" fillId="0" borderId="0" xfId="2" applyNumberFormat="1" applyFont="1" applyFill="1" applyBorder="1"/>
    <xf numFmtId="165" fontId="13" fillId="0" borderId="0" xfId="2" applyNumberFormat="1" applyFont="1" applyFill="1" applyBorder="1"/>
    <xf numFmtId="0" fontId="6" fillId="0" borderId="0" xfId="0" applyFont="1" applyFill="1" applyBorder="1" applyAlignment="1">
      <alignment horizontal="center" wrapText="1"/>
    </xf>
    <xf numFmtId="164" fontId="0" fillId="0" borderId="0" xfId="0" applyNumberFormat="1" applyFill="1" applyBorder="1"/>
    <xf numFmtId="44" fontId="3" fillId="0" borderId="0" xfId="2" applyFont="1" applyFill="1" applyBorder="1"/>
    <xf numFmtId="165" fontId="3" fillId="0" borderId="0" xfId="2" applyNumberFormat="1" applyFont="1" applyFill="1" applyBorder="1" applyAlignment="1"/>
    <xf numFmtId="167" fontId="3" fillId="0" borderId="0" xfId="3" applyNumberFormat="1" applyFont="1" applyFill="1" applyBorder="1"/>
    <xf numFmtId="165" fontId="15" fillId="0" borderId="0" xfId="2" applyNumberFormat="1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Continuous"/>
    </xf>
    <xf numFmtId="0" fontId="9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7" fillId="0" borderId="0" xfId="0" applyFont="1"/>
    <xf numFmtId="0" fontId="0" fillId="2" borderId="2" xfId="0" applyFill="1" applyBorder="1"/>
    <xf numFmtId="0" fontId="0" fillId="2" borderId="2" xfId="0" applyFill="1" applyBorder="1" applyAlignment="1">
      <alignment horizontal="centerContinuous"/>
    </xf>
    <xf numFmtId="165" fontId="17" fillId="0" borderId="0" xfId="2" applyNumberFormat="1" applyFo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5" fontId="17" fillId="0" borderId="0" xfId="2" applyNumberFormat="1" applyFont="1" applyBorder="1"/>
    <xf numFmtId="0" fontId="4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17" fillId="0" borderId="3" xfId="2" applyNumberFormat="1" applyFont="1" applyBorder="1"/>
    <xf numFmtId="165" fontId="16" fillId="0" borderId="0" xfId="2" applyNumberFormat="1" applyFont="1" applyAlignment="1">
      <alignment horizontal="center"/>
    </xf>
    <xf numFmtId="0" fontId="16" fillId="0" borderId="9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centerContinuous"/>
    </xf>
    <xf numFmtId="0" fontId="18" fillId="2" borderId="12" xfId="0" applyFont="1" applyFill="1" applyBorder="1" applyAlignment="1">
      <alignment horizontal="left"/>
    </xf>
    <xf numFmtId="165" fontId="4" fillId="0" borderId="0" xfId="2" applyNumberFormat="1" applyFont="1"/>
    <xf numFmtId="0" fontId="17" fillId="3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/>
    </xf>
    <xf numFmtId="165" fontId="0" fillId="0" borderId="11" xfId="0" applyNumberFormat="1" applyFill="1" applyBorder="1"/>
    <xf numFmtId="165" fontId="0" fillId="0" borderId="15" xfId="0" applyNumberFormat="1" applyFill="1" applyBorder="1"/>
    <xf numFmtId="44" fontId="0" fillId="0" borderId="0" xfId="0" applyNumberFormat="1" applyFill="1" applyBorder="1" applyAlignment="1">
      <alignment horizontal="center"/>
    </xf>
    <xf numFmtId="0" fontId="14" fillId="0" borderId="0" xfId="0" quotePrefix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4" fontId="8" fillId="0" borderId="1" xfId="0" applyNumberFormat="1" applyFont="1" applyFill="1" applyBorder="1" applyAlignment="1">
      <alignment horizontal="center" wrapText="1"/>
    </xf>
    <xf numFmtId="165" fontId="1" fillId="0" borderId="1" xfId="2" applyNumberFormat="1" applyFill="1" applyBorder="1"/>
    <xf numFmtId="165" fontId="8" fillId="0" borderId="1" xfId="2" applyNumberFormat="1" applyFont="1" applyFill="1" applyBorder="1" applyAlignment="1">
      <alignment horizontal="center"/>
    </xf>
    <xf numFmtId="165" fontId="9" fillId="0" borderId="1" xfId="2" applyNumberFormat="1" applyFont="1" applyFill="1" applyBorder="1"/>
    <xf numFmtId="0" fontId="0" fillId="0" borderId="0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5" fontId="0" fillId="0" borderId="1" xfId="2" applyNumberFormat="1" applyFont="1" applyFill="1" applyBorder="1"/>
    <xf numFmtId="165" fontId="0" fillId="0" borderId="16" xfId="2" applyNumberFormat="1" applyFont="1" applyBorder="1"/>
    <xf numFmtId="165" fontId="0" fillId="0" borderId="13" xfId="2" applyNumberFormat="1" applyFont="1" applyBorder="1"/>
    <xf numFmtId="165" fontId="0" fillId="0" borderId="14" xfId="2" applyNumberFormat="1" applyFont="1" applyBorder="1"/>
    <xf numFmtId="0" fontId="17" fillId="3" borderId="0" xfId="0" applyFont="1" applyFill="1" applyBorder="1"/>
    <xf numFmtId="165" fontId="17" fillId="3" borderId="0" xfId="2" applyNumberFormat="1" applyFont="1" applyFill="1" applyBorder="1" applyAlignment="1">
      <alignment horizontal="left"/>
    </xf>
    <xf numFmtId="0" fontId="17" fillId="3" borderId="3" xfId="0" applyFont="1" applyFill="1" applyBorder="1"/>
    <xf numFmtId="0" fontId="17" fillId="3" borderId="3" xfId="0" applyFont="1" applyFill="1" applyBorder="1" applyAlignment="1">
      <alignment horizontal="center"/>
    </xf>
    <xf numFmtId="165" fontId="17" fillId="3" borderId="3" xfId="2" applyNumberFormat="1" applyFont="1" applyFill="1" applyBorder="1" applyAlignment="1">
      <alignment horizontal="left"/>
    </xf>
    <xf numFmtId="0" fontId="0" fillId="3" borderId="0" xfId="0" applyFill="1" applyBorder="1"/>
    <xf numFmtId="165" fontId="1" fillId="3" borderId="16" xfId="2" applyNumberFormat="1" applyFill="1" applyBorder="1"/>
    <xf numFmtId="164" fontId="0" fillId="3" borderId="16" xfId="0" applyNumberFormat="1" applyFill="1" applyBorder="1"/>
    <xf numFmtId="165" fontId="1" fillId="3" borderId="13" xfId="2" applyNumberFormat="1" applyFill="1" applyBorder="1"/>
    <xf numFmtId="164" fontId="0" fillId="3" borderId="13" xfId="0" applyNumberFormat="1" applyFill="1" applyBorder="1"/>
    <xf numFmtId="0" fontId="0" fillId="3" borderId="1" xfId="0" applyFill="1" applyBorder="1"/>
    <xf numFmtId="165" fontId="1" fillId="3" borderId="14" xfId="2" applyNumberFormat="1" applyFont="1" applyFill="1" applyBorder="1"/>
    <xf numFmtId="164" fontId="0" fillId="3" borderId="14" xfId="0" applyNumberFormat="1" applyFill="1" applyBorder="1"/>
    <xf numFmtId="0" fontId="3" fillId="3" borderId="1" xfId="0" applyFont="1" applyFill="1" applyBorder="1" applyAlignment="1">
      <alignment horizontal="center"/>
    </xf>
    <xf numFmtId="165" fontId="3" fillId="3" borderId="1" xfId="2" applyNumberFormat="1" applyFont="1" applyFill="1" applyBorder="1"/>
    <xf numFmtId="165" fontId="3" fillId="3" borderId="1" xfId="2" applyNumberFormat="1" applyFont="1" applyFill="1" applyBorder="1" applyAlignment="1">
      <alignment horizontal="center"/>
    </xf>
    <xf numFmtId="165" fontId="3" fillId="3" borderId="0" xfId="2" applyNumberFormat="1" applyFont="1" applyFill="1" applyBorder="1"/>
    <xf numFmtId="165" fontId="3" fillId="0" borderId="12" xfId="0" applyNumberFormat="1" applyFont="1" applyFill="1" applyBorder="1" applyAlignment="1">
      <alignment horizontal="center"/>
    </xf>
    <xf numFmtId="165" fontId="3" fillId="0" borderId="11" xfId="0" applyNumberFormat="1" applyFont="1" applyFill="1" applyBorder="1" applyAlignment="1">
      <alignment horizontal="center"/>
    </xf>
    <xf numFmtId="165" fontId="3" fillId="0" borderId="15" xfId="0" applyNumberFormat="1" applyFont="1" applyFill="1" applyBorder="1" applyAlignment="1">
      <alignment horizontal="center"/>
    </xf>
    <xf numFmtId="165" fontId="1" fillId="0" borderId="17" xfId="2" applyNumberFormat="1" applyFill="1" applyBorder="1"/>
    <xf numFmtId="165" fontId="1" fillId="0" borderId="18" xfId="2" applyNumberFormat="1" applyFill="1" applyBorder="1"/>
    <xf numFmtId="165" fontId="1" fillId="0" borderId="19" xfId="2" applyNumberFormat="1" applyFill="1" applyBorder="1"/>
    <xf numFmtId="0" fontId="4" fillId="0" borderId="0" xfId="0" applyFont="1"/>
    <xf numFmtId="0" fontId="3" fillId="3" borderId="0" xfId="0" applyFont="1" applyFill="1" applyBorder="1"/>
    <xf numFmtId="168" fontId="3" fillId="0" borderId="0" xfId="3" applyNumberFormat="1" applyFont="1" applyFill="1" applyBorder="1" applyAlignment="1">
      <alignment horizontal="center"/>
    </xf>
    <xf numFmtId="44" fontId="3" fillId="3" borderId="0" xfId="2" applyFont="1" applyFill="1" applyBorder="1"/>
    <xf numFmtId="44" fontId="0" fillId="3" borderId="0" xfId="2" applyFont="1" applyFill="1" applyBorder="1"/>
    <xf numFmtId="44" fontId="0" fillId="3" borderId="1" xfId="2" applyFont="1" applyFill="1" applyBorder="1"/>
    <xf numFmtId="9" fontId="3" fillId="3" borderId="0" xfId="3" applyFont="1" applyFill="1" applyBorder="1" applyAlignment="1">
      <alignment horizontal="center"/>
    </xf>
    <xf numFmtId="9" fontId="0" fillId="3" borderId="0" xfId="3" applyFont="1" applyFill="1" applyBorder="1" applyAlignment="1">
      <alignment horizontal="center"/>
    </xf>
    <xf numFmtId="9" fontId="0" fillId="3" borderId="1" xfId="3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0" fontId="0" fillId="0" borderId="20" xfId="0" applyFill="1" applyBorder="1"/>
    <xf numFmtId="165" fontId="8" fillId="0" borderId="20" xfId="2" applyNumberFormat="1" applyFont="1" applyFill="1" applyBorder="1"/>
    <xf numFmtId="49" fontId="5" fillId="0" borderId="0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590550</xdr:colOff>
      <xdr:row>50</xdr:row>
      <xdr:rowOff>76200</xdr:rowOff>
    </xdr:to>
    <xdr:pic>
      <xdr:nvPicPr>
        <xdr:cNvPr id="1434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" y="361950"/>
          <a:ext cx="6686550" cy="7848600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tabSelected="1" workbookViewId="0">
      <selection activeCell="P31" sqref="P31"/>
    </sheetView>
  </sheetViews>
  <sheetFormatPr defaultRowHeight="12.75"/>
  <cols>
    <col min="1" max="1" width="4.42578125" customWidth="1"/>
  </cols>
  <sheetData>
    <row r="1" spans="1:1" ht="15.75">
      <c r="A1" s="125" t="s">
        <v>57</v>
      </c>
    </row>
  </sheetData>
  <pageMargins left="0.7" right="0.7" top="0.75" bottom="0.75" header="0.3" footer="0.3"/>
  <pageSetup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zoomScale="70" zoomScaleNormal="70" zoomScaleSheetLayoutView="85" workbookViewId="0">
      <selection activeCell="L18" sqref="L18"/>
    </sheetView>
  </sheetViews>
  <sheetFormatPr defaultRowHeight="12.75"/>
  <cols>
    <col min="1" max="1" width="23.5703125" customWidth="1"/>
    <col min="2" max="2" width="22.28515625" customWidth="1"/>
    <col min="3" max="3" width="35.140625" customWidth="1"/>
    <col min="4" max="4" width="14.7109375" customWidth="1"/>
    <col min="5" max="5" width="11.85546875" customWidth="1"/>
    <col min="6" max="7" width="12.28515625" customWidth="1"/>
    <col min="8" max="8" width="16" customWidth="1"/>
    <col min="9" max="9" width="12.42578125" customWidth="1"/>
    <col min="10" max="10" width="10.7109375" customWidth="1"/>
    <col min="11" max="11" width="13.85546875" customWidth="1"/>
    <col min="12" max="12" width="20.7109375" customWidth="1"/>
    <col min="13" max="13" width="16.85546875" style="2" customWidth="1"/>
    <col min="15" max="15" width="17.140625" bestFit="1" customWidth="1"/>
    <col min="16" max="16" width="10.42578125" bestFit="1" customWidth="1"/>
    <col min="18" max="18" width="9.85546875" bestFit="1" customWidth="1"/>
  </cols>
  <sheetData>
    <row r="1" spans="1:18" ht="20.25">
      <c r="A1" s="57" t="s">
        <v>63</v>
      </c>
      <c r="B1" s="1"/>
      <c r="C1" s="58"/>
      <c r="D1" s="58"/>
      <c r="E1" s="58"/>
      <c r="F1" s="58"/>
      <c r="G1" s="58"/>
      <c r="H1" s="58"/>
      <c r="I1" s="1"/>
      <c r="J1" s="1"/>
      <c r="K1" s="1"/>
      <c r="L1" s="1"/>
      <c r="M1" s="17"/>
      <c r="N1" s="1"/>
      <c r="O1" s="1"/>
      <c r="P1" s="1"/>
      <c r="Q1" s="1"/>
      <c r="R1" s="1"/>
    </row>
    <row r="2" spans="1:18" ht="18">
      <c r="A2" s="139" t="s">
        <v>60</v>
      </c>
      <c r="B2" s="140"/>
      <c r="C2" s="140"/>
      <c r="D2" s="4"/>
      <c r="E2" s="4"/>
      <c r="F2" s="4"/>
      <c r="G2" s="4"/>
      <c r="H2" s="5"/>
      <c r="I2" s="5"/>
      <c r="J2" s="5"/>
      <c r="K2" s="5"/>
      <c r="L2" s="5"/>
      <c r="M2" s="17"/>
      <c r="N2" s="1"/>
      <c r="O2" s="1"/>
      <c r="P2" s="1"/>
      <c r="Q2" s="1"/>
      <c r="R2" s="1"/>
    </row>
    <row r="3" spans="1:18" ht="18">
      <c r="A3" s="139" t="s">
        <v>64</v>
      </c>
      <c r="B3" s="140"/>
      <c r="C3" s="140"/>
    </row>
    <row r="4" spans="1:18" ht="18">
      <c r="A4" s="139" t="s">
        <v>0</v>
      </c>
      <c r="B4" s="140" t="s">
        <v>65</v>
      </c>
      <c r="C4" s="140"/>
      <c r="D4" s="1"/>
      <c r="E4" s="1"/>
      <c r="F4" s="1"/>
      <c r="G4" s="1"/>
      <c r="H4" s="3"/>
      <c r="I4" s="1"/>
      <c r="J4" s="1"/>
      <c r="K4" s="1"/>
      <c r="L4" s="1"/>
      <c r="M4" s="17"/>
      <c r="N4" s="1"/>
      <c r="O4" s="1"/>
      <c r="P4" s="1"/>
      <c r="Q4" s="1"/>
      <c r="R4" s="1"/>
    </row>
    <row r="5" spans="1:18" ht="15.75">
      <c r="A5" s="33" t="s">
        <v>1</v>
      </c>
      <c r="B5" s="33" t="s">
        <v>2</v>
      </c>
      <c r="C5" s="33" t="s">
        <v>3</v>
      </c>
      <c r="D5" s="33"/>
      <c r="E5" s="33"/>
      <c r="F5" s="33"/>
      <c r="G5" s="33"/>
      <c r="H5" s="91"/>
      <c r="I5" s="5"/>
      <c r="J5" s="5"/>
      <c r="K5" s="5"/>
      <c r="L5" s="5"/>
      <c r="M5" s="3"/>
      <c r="N5" s="1"/>
      <c r="O5" s="1"/>
      <c r="P5" s="1"/>
      <c r="Q5" s="1"/>
      <c r="R5" s="1"/>
    </row>
    <row r="6" spans="1:18" ht="26.25">
      <c r="A6" s="59" t="s">
        <v>4</v>
      </c>
      <c r="B6" s="6"/>
      <c r="C6" s="1"/>
      <c r="D6" s="1"/>
      <c r="E6" s="7" t="s">
        <v>56</v>
      </c>
      <c r="F6" s="107">
        <v>12</v>
      </c>
      <c r="G6" s="96" t="s">
        <v>55</v>
      </c>
      <c r="H6" s="127">
        <v>1</v>
      </c>
      <c r="I6" s="44"/>
      <c r="J6" s="20"/>
      <c r="K6" s="45"/>
      <c r="L6" s="8"/>
      <c r="M6" s="17"/>
      <c r="N6" s="1"/>
      <c r="O6" s="1"/>
      <c r="P6" s="1"/>
      <c r="Q6" s="1"/>
      <c r="R6" s="1"/>
    </row>
    <row r="7" spans="1:18" ht="26.25">
      <c r="A7" s="10"/>
      <c r="B7" s="47" t="s">
        <v>5</v>
      </c>
      <c r="C7" s="43" t="s">
        <v>61</v>
      </c>
      <c r="D7" s="43" t="s">
        <v>30</v>
      </c>
      <c r="E7" s="43" t="s">
        <v>7</v>
      </c>
      <c r="F7" s="43" t="s">
        <v>31</v>
      </c>
      <c r="G7" s="97" t="s">
        <v>52</v>
      </c>
      <c r="H7" s="92" t="s">
        <v>53</v>
      </c>
      <c r="I7" s="46"/>
      <c r="J7" s="47"/>
      <c r="K7" s="41"/>
      <c r="L7" s="41"/>
      <c r="M7" s="51"/>
      <c r="N7" s="1"/>
      <c r="O7" s="1"/>
      <c r="P7" s="1"/>
      <c r="Q7" s="1"/>
      <c r="R7" s="1"/>
    </row>
    <row r="8" spans="1:18">
      <c r="A8" s="10"/>
      <c r="B8" s="10"/>
      <c r="C8" s="126"/>
      <c r="D8" s="108"/>
      <c r="E8" s="109"/>
      <c r="F8" s="87">
        <f t="shared" ref="F8:F17" si="0">E8/100*D8</f>
        <v>0</v>
      </c>
      <c r="G8" s="99">
        <f>F8*$H$6</f>
        <v>0</v>
      </c>
      <c r="H8" s="40">
        <f>G8*$F$6</f>
        <v>0</v>
      </c>
      <c r="I8" s="52"/>
      <c r="J8" s="40"/>
      <c r="K8" s="11"/>
      <c r="L8" s="11"/>
      <c r="M8" s="30"/>
      <c r="N8" s="1"/>
      <c r="O8" s="1"/>
      <c r="P8" s="1"/>
      <c r="Q8" s="1"/>
      <c r="R8" s="1"/>
    </row>
    <row r="9" spans="1:18">
      <c r="A9" s="10"/>
      <c r="B9" s="10"/>
      <c r="C9" s="107"/>
      <c r="D9" s="110"/>
      <c r="E9" s="111"/>
      <c r="F9" s="87">
        <f t="shared" si="0"/>
        <v>0</v>
      </c>
      <c r="G9" s="100">
        <f t="shared" ref="G9:G17" si="1">F9*$H$6</f>
        <v>0</v>
      </c>
      <c r="H9" s="40">
        <f t="shared" ref="H9:H17" si="2">G9*$F$6</f>
        <v>0</v>
      </c>
      <c r="I9" s="52"/>
      <c r="J9" s="40"/>
      <c r="K9" s="11"/>
      <c r="L9" s="11"/>
      <c r="M9" s="30"/>
      <c r="N9" s="1"/>
      <c r="O9" s="1"/>
      <c r="P9" s="1"/>
      <c r="Q9" s="1"/>
      <c r="R9" s="1"/>
    </row>
    <row r="10" spans="1:18">
      <c r="A10" s="10"/>
      <c r="B10" s="10"/>
      <c r="C10" s="107"/>
      <c r="D10" s="110"/>
      <c r="E10" s="111"/>
      <c r="F10" s="87">
        <f t="shared" si="0"/>
        <v>0</v>
      </c>
      <c r="G10" s="100">
        <f t="shared" si="1"/>
        <v>0</v>
      </c>
      <c r="H10" s="40">
        <f t="shared" si="2"/>
        <v>0</v>
      </c>
      <c r="I10" s="52"/>
      <c r="J10" s="40"/>
      <c r="K10" s="11"/>
      <c r="L10" s="11"/>
      <c r="M10" s="30"/>
      <c r="N10" s="1"/>
      <c r="O10" s="1"/>
      <c r="P10" s="1"/>
      <c r="Q10" s="1"/>
      <c r="R10" s="1"/>
    </row>
    <row r="11" spans="1:18">
      <c r="A11" s="10"/>
      <c r="B11" s="10"/>
      <c r="C11" s="107"/>
      <c r="D11" s="110"/>
      <c r="E11" s="111"/>
      <c r="F11" s="87">
        <f t="shared" si="0"/>
        <v>0</v>
      </c>
      <c r="G11" s="100">
        <f t="shared" si="1"/>
        <v>0</v>
      </c>
      <c r="H11" s="40">
        <f t="shared" si="2"/>
        <v>0</v>
      </c>
      <c r="I11" s="52"/>
      <c r="J11" s="40"/>
      <c r="K11" s="11"/>
      <c r="L11" s="11"/>
      <c r="M11" s="30"/>
      <c r="N11" s="1"/>
      <c r="O11" s="1"/>
      <c r="P11" s="1"/>
      <c r="Q11" s="1"/>
      <c r="R11" s="1"/>
    </row>
    <row r="12" spans="1:18">
      <c r="A12" s="10"/>
      <c r="B12" s="10"/>
      <c r="C12" s="107"/>
      <c r="D12" s="110"/>
      <c r="E12" s="111"/>
      <c r="F12" s="87">
        <f t="shared" si="0"/>
        <v>0</v>
      </c>
      <c r="G12" s="100">
        <f t="shared" si="1"/>
        <v>0</v>
      </c>
      <c r="H12" s="40">
        <f t="shared" si="2"/>
        <v>0</v>
      </c>
      <c r="I12" s="52"/>
      <c r="J12" s="40"/>
      <c r="K12" s="11"/>
      <c r="L12" s="11"/>
      <c r="M12" s="30"/>
      <c r="N12" s="1"/>
      <c r="O12" s="1"/>
      <c r="P12" s="1"/>
      <c r="Q12" s="1"/>
      <c r="R12" s="1"/>
    </row>
    <row r="13" spans="1:18">
      <c r="A13" s="10"/>
      <c r="B13" s="10"/>
      <c r="C13" s="107"/>
      <c r="D13" s="110"/>
      <c r="E13" s="111"/>
      <c r="F13" s="87">
        <f t="shared" si="0"/>
        <v>0</v>
      </c>
      <c r="G13" s="100">
        <f t="shared" si="1"/>
        <v>0</v>
      </c>
      <c r="H13" s="40">
        <f t="shared" si="2"/>
        <v>0</v>
      </c>
      <c r="I13" s="52"/>
      <c r="J13" s="40"/>
      <c r="K13" s="11"/>
      <c r="L13" s="11"/>
      <c r="M13" s="30"/>
      <c r="N13" s="1"/>
      <c r="O13" s="1"/>
      <c r="P13" s="1"/>
      <c r="Q13" s="1"/>
      <c r="R13" s="1"/>
    </row>
    <row r="14" spans="1:18">
      <c r="A14" s="10"/>
      <c r="B14" s="10"/>
      <c r="C14" s="107"/>
      <c r="D14" s="110"/>
      <c r="E14" s="111"/>
      <c r="F14" s="87">
        <f t="shared" si="0"/>
        <v>0</v>
      </c>
      <c r="G14" s="100">
        <f t="shared" si="1"/>
        <v>0</v>
      </c>
      <c r="H14" s="40">
        <f t="shared" si="2"/>
        <v>0</v>
      </c>
      <c r="I14" s="52"/>
      <c r="J14" s="40"/>
      <c r="K14" s="11"/>
      <c r="L14" s="11"/>
      <c r="M14" s="30"/>
      <c r="N14" s="1"/>
      <c r="O14" s="1"/>
      <c r="P14" s="1"/>
      <c r="Q14" s="1"/>
      <c r="R14" s="1"/>
    </row>
    <row r="15" spans="1:18">
      <c r="A15" s="10"/>
      <c r="B15" s="10"/>
      <c r="C15" s="107"/>
      <c r="D15" s="110"/>
      <c r="E15" s="111"/>
      <c r="F15" s="87">
        <f t="shared" si="0"/>
        <v>0</v>
      </c>
      <c r="G15" s="100">
        <f t="shared" si="1"/>
        <v>0</v>
      </c>
      <c r="H15" s="40">
        <f t="shared" si="2"/>
        <v>0</v>
      </c>
      <c r="I15" s="52"/>
      <c r="J15" s="40"/>
      <c r="K15" s="11"/>
      <c r="L15" s="11"/>
      <c r="M15" s="30"/>
      <c r="N15" s="1"/>
      <c r="O15" s="1"/>
      <c r="P15" s="1"/>
      <c r="Q15" s="1"/>
      <c r="R15" s="1"/>
    </row>
    <row r="16" spans="1:18">
      <c r="A16" s="10"/>
      <c r="B16" s="10"/>
      <c r="C16" s="107"/>
      <c r="D16" s="110"/>
      <c r="E16" s="111"/>
      <c r="F16" s="87">
        <f t="shared" si="0"/>
        <v>0</v>
      </c>
      <c r="G16" s="100">
        <f t="shared" si="1"/>
        <v>0</v>
      </c>
      <c r="H16" s="40">
        <f t="shared" si="2"/>
        <v>0</v>
      </c>
      <c r="I16" s="52"/>
      <c r="J16" s="40"/>
      <c r="K16" s="11"/>
      <c r="L16" s="11"/>
      <c r="M16" s="30"/>
      <c r="N16" s="1"/>
      <c r="O16" s="1"/>
      <c r="P16" s="1"/>
      <c r="Q16" s="1"/>
      <c r="R16" s="1"/>
    </row>
    <row r="17" spans="1:18">
      <c r="A17" s="10"/>
      <c r="B17" s="10"/>
      <c r="C17" s="112"/>
      <c r="D17" s="113"/>
      <c r="E17" s="114"/>
      <c r="F17" s="88">
        <f t="shared" si="0"/>
        <v>0</v>
      </c>
      <c r="G17" s="101">
        <f t="shared" si="1"/>
        <v>0</v>
      </c>
      <c r="H17" s="98">
        <f t="shared" si="2"/>
        <v>0</v>
      </c>
      <c r="I17" s="52"/>
      <c r="J17" s="40"/>
      <c r="K17" s="11"/>
      <c r="L17" s="11"/>
      <c r="M17" s="30"/>
      <c r="N17" s="1"/>
      <c r="O17" s="1"/>
      <c r="P17" s="1"/>
      <c r="Q17" s="1"/>
      <c r="R17" s="1"/>
    </row>
    <row r="18" spans="1:18">
      <c r="A18" s="10"/>
      <c r="B18" s="10"/>
      <c r="C18" s="13" t="s">
        <v>8</v>
      </c>
      <c r="D18" s="14"/>
      <c r="E18" s="15"/>
      <c r="F18" s="15"/>
      <c r="G18" s="15"/>
      <c r="H18" s="16">
        <f>SUM(H8:H17)</f>
        <v>0</v>
      </c>
      <c r="I18" s="11"/>
      <c r="J18" s="11"/>
      <c r="K18" s="16"/>
      <c r="L18" s="16"/>
      <c r="M18" s="30"/>
      <c r="N18" s="1"/>
      <c r="O18" s="1"/>
      <c r="P18" s="1"/>
      <c r="Q18" s="1"/>
      <c r="R18" s="1"/>
    </row>
    <row r="19" spans="1:18">
      <c r="A19" s="10"/>
      <c r="B19" s="10"/>
      <c r="C19" s="17"/>
      <c r="D19" s="18"/>
      <c r="E19" s="17"/>
      <c r="F19" s="17"/>
      <c r="G19" s="17"/>
      <c r="H19" s="19"/>
      <c r="I19" s="19"/>
      <c r="J19" s="19"/>
      <c r="K19" s="19"/>
      <c r="L19" s="19"/>
      <c r="M19" s="30"/>
      <c r="N19" s="1"/>
      <c r="O19" s="1"/>
      <c r="P19" s="1"/>
      <c r="Q19" s="1"/>
      <c r="R19" s="1"/>
    </row>
    <row r="20" spans="1:18" ht="26.25">
      <c r="A20" s="10"/>
      <c r="B20" s="47" t="s">
        <v>9</v>
      </c>
      <c r="C20" s="43" t="s">
        <v>6</v>
      </c>
      <c r="D20" s="42" t="s">
        <v>32</v>
      </c>
      <c r="E20" s="43" t="s">
        <v>62</v>
      </c>
      <c r="F20" s="43" t="s">
        <v>10</v>
      </c>
      <c r="G20" s="43" t="s">
        <v>33</v>
      </c>
      <c r="H20" s="92" t="s">
        <v>53</v>
      </c>
      <c r="I20" s="48"/>
      <c r="J20" s="47"/>
      <c r="K20" s="41"/>
      <c r="L20" s="41"/>
      <c r="M20" s="30"/>
      <c r="N20" s="1"/>
      <c r="O20" s="1"/>
      <c r="P20" s="1"/>
      <c r="Q20" s="1"/>
      <c r="R20" s="1"/>
    </row>
    <row r="21" spans="1:18">
      <c r="A21" s="10"/>
      <c r="B21" s="10"/>
      <c r="C21" s="1">
        <f t="shared" ref="C21:C30" si="3">C8</f>
        <v>0</v>
      </c>
      <c r="D21" s="119">
        <f>G8</f>
        <v>0</v>
      </c>
      <c r="E21" s="131">
        <v>0.25</v>
      </c>
      <c r="F21" s="128">
        <v>0</v>
      </c>
      <c r="G21" s="122">
        <f>(D21*E21)+(F21*(E8/100))</f>
        <v>0</v>
      </c>
      <c r="H21" s="21">
        <f>G21*$F$6</f>
        <v>0</v>
      </c>
      <c r="I21" s="21"/>
      <c r="J21" s="21"/>
      <c r="K21" s="21"/>
      <c r="L21" s="11"/>
      <c r="M21" s="30"/>
      <c r="N21" s="1"/>
      <c r="O21" s="1"/>
      <c r="P21" s="1"/>
      <c r="Q21" s="1"/>
      <c r="R21" s="1"/>
    </row>
    <row r="22" spans="1:18">
      <c r="A22" s="10"/>
      <c r="B22" s="10"/>
      <c r="C22" s="1">
        <f t="shared" si="3"/>
        <v>0</v>
      </c>
      <c r="D22" s="120">
        <f t="shared" ref="D22:D30" si="4">G9</f>
        <v>0</v>
      </c>
      <c r="E22" s="132">
        <v>0.25</v>
      </c>
      <c r="F22" s="129">
        <v>0</v>
      </c>
      <c r="G22" s="123">
        <f t="shared" ref="G22:G29" si="5">(D22*E22)+(F22*(E9/100))</f>
        <v>0</v>
      </c>
      <c r="H22" s="21">
        <f t="shared" ref="H22:H30" si="6">G22*$F$6</f>
        <v>0</v>
      </c>
      <c r="I22" s="21"/>
      <c r="J22" s="21"/>
      <c r="K22" s="21"/>
      <c r="L22" s="11"/>
      <c r="M22" s="30"/>
      <c r="N22" s="1"/>
      <c r="O22" s="1"/>
      <c r="P22" s="1"/>
      <c r="Q22" s="1"/>
      <c r="R22" s="1"/>
    </row>
    <row r="23" spans="1:18">
      <c r="A23" s="10"/>
      <c r="B23" s="10"/>
      <c r="C23" s="1">
        <f t="shared" si="3"/>
        <v>0</v>
      </c>
      <c r="D23" s="120">
        <f t="shared" si="4"/>
        <v>0</v>
      </c>
      <c r="E23" s="132">
        <v>0.25</v>
      </c>
      <c r="F23" s="129">
        <v>0</v>
      </c>
      <c r="G23" s="123">
        <f t="shared" si="5"/>
        <v>0</v>
      </c>
      <c r="H23" s="21">
        <f t="shared" si="6"/>
        <v>0</v>
      </c>
      <c r="I23" s="21"/>
      <c r="J23" s="21"/>
      <c r="K23" s="21"/>
      <c r="L23" s="11"/>
      <c r="M23" s="30"/>
      <c r="N23" s="1"/>
      <c r="O23" s="1"/>
      <c r="P23" s="1"/>
      <c r="Q23" s="1"/>
      <c r="R23" s="1"/>
    </row>
    <row r="24" spans="1:18">
      <c r="A24" s="10"/>
      <c r="B24" s="10"/>
      <c r="C24" s="1">
        <f t="shared" si="3"/>
        <v>0</v>
      </c>
      <c r="D24" s="120">
        <f t="shared" si="4"/>
        <v>0</v>
      </c>
      <c r="E24" s="132">
        <v>0.25</v>
      </c>
      <c r="F24" s="129">
        <v>0</v>
      </c>
      <c r="G24" s="123">
        <f t="shared" si="5"/>
        <v>0</v>
      </c>
      <c r="H24" s="21">
        <f t="shared" si="6"/>
        <v>0</v>
      </c>
      <c r="I24" s="21"/>
      <c r="J24" s="21"/>
      <c r="K24" s="21"/>
      <c r="L24" s="11"/>
      <c r="M24" s="30"/>
      <c r="N24" s="1"/>
      <c r="O24" s="1"/>
      <c r="P24" s="1"/>
      <c r="Q24" s="1"/>
      <c r="R24" s="1"/>
    </row>
    <row r="25" spans="1:18">
      <c r="A25" s="10"/>
      <c r="B25" s="10"/>
      <c r="C25" s="1">
        <f t="shared" si="3"/>
        <v>0</v>
      </c>
      <c r="D25" s="120">
        <f t="shared" si="4"/>
        <v>0</v>
      </c>
      <c r="E25" s="132">
        <v>0.25</v>
      </c>
      <c r="F25" s="129">
        <v>0</v>
      </c>
      <c r="G25" s="123">
        <f t="shared" si="5"/>
        <v>0</v>
      </c>
      <c r="H25" s="21">
        <f t="shared" si="6"/>
        <v>0</v>
      </c>
      <c r="I25" s="21"/>
      <c r="J25" s="21"/>
      <c r="K25" s="21"/>
      <c r="L25" s="11"/>
      <c r="M25" s="30"/>
      <c r="N25" s="1"/>
      <c r="O25" s="1"/>
      <c r="P25" s="1"/>
      <c r="Q25" s="1"/>
      <c r="R25" s="1"/>
    </row>
    <row r="26" spans="1:18">
      <c r="A26" s="10"/>
      <c r="B26" s="10"/>
      <c r="C26" s="1">
        <f t="shared" si="3"/>
        <v>0</v>
      </c>
      <c r="D26" s="120">
        <f t="shared" si="4"/>
        <v>0</v>
      </c>
      <c r="E26" s="132">
        <v>0.25</v>
      </c>
      <c r="F26" s="129">
        <v>0</v>
      </c>
      <c r="G26" s="123">
        <f t="shared" si="5"/>
        <v>0</v>
      </c>
      <c r="H26" s="21">
        <f t="shared" si="6"/>
        <v>0</v>
      </c>
      <c r="I26" s="21"/>
      <c r="J26" s="21"/>
      <c r="K26" s="21"/>
      <c r="L26" s="11"/>
      <c r="M26" s="30"/>
      <c r="N26" s="1"/>
      <c r="O26" s="1"/>
      <c r="P26" s="1"/>
      <c r="Q26" s="1"/>
      <c r="R26" s="1"/>
    </row>
    <row r="27" spans="1:18">
      <c r="A27" s="10"/>
      <c r="B27" s="10"/>
      <c r="C27" s="1">
        <f t="shared" si="3"/>
        <v>0</v>
      </c>
      <c r="D27" s="120">
        <f t="shared" si="4"/>
        <v>0</v>
      </c>
      <c r="E27" s="132">
        <v>0.25</v>
      </c>
      <c r="F27" s="129">
        <v>0</v>
      </c>
      <c r="G27" s="123">
        <f t="shared" si="5"/>
        <v>0</v>
      </c>
      <c r="H27" s="21">
        <f t="shared" si="6"/>
        <v>0</v>
      </c>
      <c r="I27" s="21"/>
      <c r="J27" s="21"/>
      <c r="K27" s="21"/>
      <c r="L27" s="11"/>
      <c r="M27" s="30"/>
      <c r="N27" s="1"/>
      <c r="O27" s="1"/>
      <c r="P27" s="1"/>
      <c r="Q27" s="1"/>
      <c r="R27" s="1"/>
    </row>
    <row r="28" spans="1:18">
      <c r="A28" s="10"/>
      <c r="B28" s="10"/>
      <c r="C28" s="1">
        <f t="shared" si="3"/>
        <v>0</v>
      </c>
      <c r="D28" s="120">
        <f t="shared" si="4"/>
        <v>0</v>
      </c>
      <c r="E28" s="132">
        <v>0.25</v>
      </c>
      <c r="F28" s="129">
        <v>0</v>
      </c>
      <c r="G28" s="123">
        <f t="shared" si="5"/>
        <v>0</v>
      </c>
      <c r="H28" s="21">
        <f t="shared" si="6"/>
        <v>0</v>
      </c>
      <c r="I28" s="21"/>
      <c r="J28" s="21"/>
      <c r="K28" s="21"/>
      <c r="L28" s="11"/>
      <c r="M28" s="30"/>
      <c r="N28" s="1"/>
      <c r="O28" s="1"/>
      <c r="P28" s="1"/>
      <c r="Q28" s="1"/>
      <c r="R28" s="1"/>
    </row>
    <row r="29" spans="1:18">
      <c r="A29" s="10"/>
      <c r="B29" s="10"/>
      <c r="C29" s="1">
        <f t="shared" si="3"/>
        <v>0</v>
      </c>
      <c r="D29" s="120">
        <f t="shared" si="4"/>
        <v>0</v>
      </c>
      <c r="E29" s="132">
        <v>0.25</v>
      </c>
      <c r="F29" s="129">
        <v>0</v>
      </c>
      <c r="G29" s="123">
        <f t="shared" si="5"/>
        <v>0</v>
      </c>
      <c r="H29" s="21">
        <f t="shared" si="6"/>
        <v>0</v>
      </c>
      <c r="I29" s="21"/>
      <c r="J29" s="21"/>
      <c r="K29" s="21"/>
      <c r="L29" s="11"/>
      <c r="M29" s="30"/>
      <c r="N29" s="1"/>
      <c r="O29" s="1"/>
      <c r="P29" s="1"/>
      <c r="Q29" s="1"/>
      <c r="R29" s="1"/>
    </row>
    <row r="30" spans="1:18">
      <c r="A30" s="10"/>
      <c r="B30" s="10"/>
      <c r="C30" s="12">
        <f t="shared" si="3"/>
        <v>0</v>
      </c>
      <c r="D30" s="121">
        <f t="shared" si="4"/>
        <v>0</v>
      </c>
      <c r="E30" s="133">
        <v>0.25</v>
      </c>
      <c r="F30" s="130">
        <v>0</v>
      </c>
      <c r="G30" s="124">
        <f>(D30*E30)+(F30*(E17/100))</f>
        <v>0</v>
      </c>
      <c r="H30" s="93">
        <f t="shared" si="6"/>
        <v>0</v>
      </c>
      <c r="I30" s="21"/>
      <c r="J30" s="21"/>
      <c r="K30" s="21"/>
      <c r="L30" s="11"/>
      <c r="M30" s="30"/>
      <c r="N30" s="1"/>
      <c r="O30" s="1"/>
      <c r="P30" s="1"/>
      <c r="Q30" s="1"/>
      <c r="R30" s="1"/>
    </row>
    <row r="31" spans="1:18">
      <c r="A31" s="10"/>
      <c r="B31" s="10"/>
      <c r="C31" s="13" t="s">
        <v>11</v>
      </c>
      <c r="D31" s="3"/>
      <c r="E31" s="3"/>
      <c r="F31" s="3"/>
      <c r="G31" s="3"/>
      <c r="H31" s="16">
        <f>SUM(H21:H30)</f>
        <v>0</v>
      </c>
      <c r="I31" s="16"/>
      <c r="J31" s="16"/>
      <c r="K31" s="16"/>
      <c r="L31" s="16"/>
      <c r="M31" s="30"/>
      <c r="N31" s="1"/>
      <c r="O31" s="1"/>
      <c r="P31" s="1"/>
      <c r="Q31" s="1"/>
      <c r="R31" s="1"/>
    </row>
    <row r="32" spans="1:18">
      <c r="A32" s="10"/>
      <c r="B32" s="10"/>
      <c r="C32" s="15"/>
      <c r="D32" s="10"/>
      <c r="E32" s="10"/>
      <c r="F32" s="10"/>
      <c r="G32" s="10"/>
      <c r="H32" s="11"/>
      <c r="I32" s="11"/>
      <c r="J32" s="11"/>
      <c r="K32" s="11"/>
      <c r="L32" s="11"/>
      <c r="M32" s="30"/>
      <c r="N32" s="1"/>
      <c r="O32" s="1"/>
      <c r="P32" s="1"/>
      <c r="Q32" s="1"/>
      <c r="R32" s="1"/>
    </row>
    <row r="33" spans="1:18" ht="14.25">
      <c r="A33" s="3"/>
      <c r="B33" s="1"/>
      <c r="C33" s="22" t="s">
        <v>12</v>
      </c>
      <c r="D33" s="22"/>
      <c r="E33" s="22"/>
      <c r="F33" s="22"/>
      <c r="G33" s="22"/>
      <c r="H33" s="23">
        <f>H31+H18</f>
        <v>0</v>
      </c>
      <c r="I33" s="23"/>
      <c r="J33" s="23"/>
      <c r="K33" s="23"/>
      <c r="L33" s="23"/>
      <c r="M33" s="30"/>
      <c r="N33" s="1"/>
      <c r="O33" s="1"/>
      <c r="P33" s="1"/>
      <c r="Q33" s="1"/>
      <c r="R33" s="1"/>
    </row>
    <row r="34" spans="1:18" ht="15">
      <c r="A34" s="59" t="s">
        <v>13</v>
      </c>
      <c r="B34" s="4"/>
      <c r="C34" s="24"/>
      <c r="D34" s="24"/>
      <c r="E34" s="24"/>
      <c r="F34" s="24"/>
      <c r="G34" s="24"/>
      <c r="H34" s="25"/>
      <c r="I34" s="25"/>
      <c r="J34" s="25"/>
      <c r="K34" s="25"/>
      <c r="L34" s="25"/>
      <c r="M34" s="30"/>
      <c r="N34" s="1"/>
      <c r="O34" s="1"/>
      <c r="P34" s="1"/>
      <c r="Q34" s="1"/>
      <c r="R34" s="1"/>
    </row>
    <row r="35" spans="1:18" ht="15">
      <c r="A35" s="59"/>
      <c r="B35" s="10" t="s">
        <v>14</v>
      </c>
      <c r="C35" s="9" t="s">
        <v>47</v>
      </c>
      <c r="D35" s="26"/>
      <c r="E35" s="26"/>
      <c r="F35" s="26"/>
      <c r="G35" s="26"/>
      <c r="H35" s="94"/>
      <c r="I35" s="25"/>
      <c r="J35" s="25"/>
      <c r="K35" s="25"/>
      <c r="L35" s="25"/>
      <c r="M35" s="30"/>
      <c r="N35" s="1"/>
      <c r="O35" s="1"/>
      <c r="P35" s="1"/>
      <c r="Q35" s="1"/>
      <c r="R35" s="1"/>
    </row>
    <row r="36" spans="1:18" ht="14.25">
      <c r="A36" s="59"/>
      <c r="B36" s="34"/>
      <c r="C36" s="13" t="s">
        <v>29</v>
      </c>
      <c r="D36" s="24"/>
      <c r="E36" s="24"/>
      <c r="F36" s="24"/>
      <c r="G36" s="24"/>
      <c r="H36" s="27">
        <f>Travel!M13</f>
        <v>0</v>
      </c>
      <c r="I36" s="27"/>
      <c r="J36" s="27"/>
      <c r="K36" s="27"/>
      <c r="L36" s="27"/>
      <c r="M36" s="30"/>
      <c r="N36" s="1"/>
      <c r="O36" s="1"/>
      <c r="P36" s="1"/>
      <c r="Q36" s="1"/>
      <c r="R36" s="1"/>
    </row>
    <row r="37" spans="1:18">
      <c r="A37" s="10"/>
      <c r="B37" s="10"/>
      <c r="C37" s="15"/>
      <c r="D37" s="28"/>
      <c r="E37" s="28"/>
      <c r="F37" s="28"/>
      <c r="G37" s="28"/>
      <c r="H37" s="89"/>
      <c r="I37" s="30"/>
      <c r="J37" s="30"/>
      <c r="K37" s="30"/>
      <c r="L37" s="30"/>
      <c r="M37" s="30"/>
      <c r="N37" s="1"/>
      <c r="O37" s="1"/>
      <c r="P37" s="1"/>
      <c r="Q37" s="1"/>
      <c r="R37" s="1"/>
    </row>
    <row r="38" spans="1:18">
      <c r="A38" s="10"/>
      <c r="B38" s="10" t="s">
        <v>15</v>
      </c>
      <c r="C38" s="115"/>
      <c r="D38" s="9"/>
      <c r="E38" s="9"/>
      <c r="F38" s="9"/>
      <c r="G38" s="9"/>
      <c r="H38" s="116">
        <v>0</v>
      </c>
      <c r="I38" s="30"/>
      <c r="J38" s="30"/>
      <c r="K38" s="30"/>
      <c r="L38" s="30"/>
      <c r="M38" s="30"/>
      <c r="N38" s="1"/>
      <c r="O38" s="1"/>
      <c r="P38" s="1"/>
      <c r="Q38" s="1"/>
      <c r="R38" s="1"/>
    </row>
    <row r="39" spans="1:18">
      <c r="A39" s="10"/>
      <c r="B39" s="34"/>
      <c r="C39" s="13" t="s">
        <v>16</v>
      </c>
      <c r="D39" s="3"/>
      <c r="E39" s="3"/>
      <c r="F39" s="3"/>
      <c r="G39" s="3"/>
      <c r="H39" s="29">
        <f>SUM(H38)</f>
        <v>0</v>
      </c>
      <c r="I39" s="29"/>
      <c r="J39" s="29"/>
      <c r="K39" s="29"/>
      <c r="L39" s="29"/>
      <c r="M39" s="30"/>
      <c r="N39" s="1"/>
      <c r="O39" s="1"/>
      <c r="P39" s="1"/>
      <c r="Q39" s="1"/>
      <c r="R39" s="1"/>
    </row>
    <row r="40" spans="1:18">
      <c r="A40" s="10"/>
      <c r="B40" s="4"/>
      <c r="C40" s="4"/>
      <c r="D40" s="4"/>
      <c r="E40" s="4"/>
      <c r="F40" s="4"/>
      <c r="G40" s="4"/>
      <c r="H40" s="19"/>
      <c r="I40" s="19"/>
      <c r="J40" s="19"/>
      <c r="K40" s="19"/>
      <c r="L40" s="19"/>
      <c r="M40" s="30"/>
      <c r="N40" s="1"/>
      <c r="O40" s="1"/>
      <c r="P40" s="1"/>
      <c r="Q40" s="1"/>
      <c r="R40" s="1"/>
    </row>
    <row r="41" spans="1:18">
      <c r="A41" s="10"/>
      <c r="B41" s="10" t="s">
        <v>17</v>
      </c>
      <c r="C41" s="9" t="s">
        <v>18</v>
      </c>
      <c r="D41" s="9"/>
      <c r="E41" s="9"/>
      <c r="F41" s="9"/>
      <c r="G41" s="9"/>
      <c r="H41" s="117">
        <v>0</v>
      </c>
      <c r="I41" s="20"/>
      <c r="J41" s="20"/>
      <c r="K41" s="20"/>
      <c r="L41" s="20"/>
      <c r="M41" s="30"/>
      <c r="N41" s="1"/>
      <c r="O41" s="1"/>
      <c r="P41" s="1"/>
      <c r="Q41" s="1"/>
      <c r="R41" s="1"/>
    </row>
    <row r="42" spans="1:18">
      <c r="A42" s="10"/>
      <c r="B42" s="10"/>
      <c r="C42" s="13" t="s">
        <v>19</v>
      </c>
      <c r="D42" s="3"/>
      <c r="E42" s="3"/>
      <c r="F42" s="3"/>
      <c r="G42" s="3"/>
      <c r="H42" s="29">
        <f>H41</f>
        <v>0</v>
      </c>
      <c r="I42" s="29"/>
      <c r="J42" s="29"/>
      <c r="K42" s="29"/>
      <c r="L42" s="29"/>
      <c r="M42" s="30"/>
      <c r="N42" s="1"/>
      <c r="O42" s="28"/>
      <c r="P42" s="1"/>
      <c r="Q42" s="1"/>
      <c r="R42" s="1"/>
    </row>
    <row r="43" spans="1:18">
      <c r="A43" s="10"/>
      <c r="B43" s="10"/>
      <c r="C43" s="10"/>
      <c r="D43" s="10"/>
      <c r="E43" s="10"/>
      <c r="F43" s="10"/>
      <c r="G43" s="10"/>
      <c r="H43" s="30"/>
      <c r="I43" s="30"/>
      <c r="J43" s="30"/>
      <c r="K43" s="30"/>
      <c r="L43" s="30"/>
      <c r="M43" s="30"/>
      <c r="N43" s="1"/>
      <c r="O43" s="3"/>
      <c r="P43" s="3"/>
      <c r="Q43" s="3"/>
      <c r="R43" s="3"/>
    </row>
    <row r="44" spans="1:18">
      <c r="A44" s="10"/>
      <c r="B44" s="10" t="s">
        <v>21</v>
      </c>
      <c r="C44" s="10" t="s">
        <v>48</v>
      </c>
      <c r="D44" s="10"/>
      <c r="E44" s="10"/>
      <c r="F44" s="10"/>
      <c r="G44" s="10"/>
      <c r="H44" s="118">
        <v>0</v>
      </c>
      <c r="I44" s="30"/>
      <c r="J44" s="30"/>
      <c r="K44" s="30"/>
      <c r="L44" s="30"/>
      <c r="M44" s="30"/>
      <c r="N44" s="1"/>
      <c r="O44" s="1"/>
      <c r="P44" s="21"/>
      <c r="Q44" s="21"/>
      <c r="R44" s="21"/>
    </row>
    <row r="45" spans="1:18">
      <c r="A45" s="10"/>
      <c r="B45" s="10"/>
      <c r="C45" s="9" t="s">
        <v>49</v>
      </c>
      <c r="D45" s="9"/>
      <c r="E45" s="9"/>
      <c r="F45" s="9"/>
      <c r="G45" s="9"/>
      <c r="H45" s="116">
        <v>0</v>
      </c>
      <c r="I45" s="30"/>
      <c r="J45" s="30"/>
      <c r="K45" s="30"/>
      <c r="L45" s="30"/>
      <c r="M45" s="30"/>
      <c r="N45" s="1"/>
      <c r="O45" s="1"/>
      <c r="P45" s="21"/>
      <c r="Q45" s="21"/>
      <c r="R45" s="21"/>
    </row>
    <row r="46" spans="1:18">
      <c r="A46" s="10"/>
      <c r="B46" s="10"/>
      <c r="C46" s="13" t="s">
        <v>22</v>
      </c>
      <c r="D46" s="3"/>
      <c r="E46" s="3"/>
      <c r="F46" s="3"/>
      <c r="G46" s="3"/>
      <c r="H46" s="29">
        <f>H44+H45</f>
        <v>0</v>
      </c>
      <c r="I46" s="29"/>
      <c r="J46" s="29"/>
      <c r="K46" s="29"/>
      <c r="L46" s="29"/>
      <c r="M46" s="53"/>
      <c r="N46" s="1"/>
      <c r="O46" s="1"/>
      <c r="P46" s="21"/>
      <c r="Q46" s="21"/>
      <c r="R46" s="21"/>
    </row>
    <row r="47" spans="1:18">
      <c r="A47" s="10"/>
      <c r="B47" s="10"/>
      <c r="C47" s="1"/>
      <c r="D47" s="1"/>
      <c r="E47" s="1"/>
      <c r="F47" s="1"/>
      <c r="G47" s="1"/>
      <c r="H47" s="11"/>
      <c r="I47" s="11"/>
      <c r="J47" s="11"/>
      <c r="K47" s="11"/>
      <c r="L47" s="11"/>
      <c r="M47" s="30"/>
      <c r="N47" s="1"/>
      <c r="O47" s="1"/>
      <c r="P47" s="21"/>
      <c r="Q47" s="21"/>
      <c r="R47" s="21"/>
    </row>
    <row r="48" spans="1:18">
      <c r="A48" s="10"/>
      <c r="B48" s="10" t="s">
        <v>23</v>
      </c>
      <c r="C48" s="9" t="s">
        <v>24</v>
      </c>
      <c r="D48" s="10"/>
      <c r="E48" s="10"/>
      <c r="F48" s="10"/>
      <c r="G48" s="10"/>
      <c r="H48" s="30"/>
      <c r="I48" s="30"/>
      <c r="J48" s="30"/>
      <c r="K48" s="30"/>
      <c r="L48" s="30"/>
      <c r="M48" s="30"/>
      <c r="N48" s="1"/>
      <c r="O48" s="1"/>
      <c r="P48" s="21"/>
      <c r="Q48" s="21"/>
      <c r="R48" s="21"/>
    </row>
    <row r="49" spans="1:18">
      <c r="A49" s="10"/>
      <c r="B49" s="10" t="s">
        <v>58</v>
      </c>
      <c r="C49" s="107"/>
      <c r="D49" s="10"/>
      <c r="E49" s="10"/>
      <c r="F49" s="10"/>
      <c r="G49" s="10"/>
      <c r="H49" s="118">
        <v>0</v>
      </c>
      <c r="I49" s="39"/>
      <c r="J49" s="39"/>
      <c r="K49" s="54"/>
      <c r="L49" s="30"/>
      <c r="M49" s="30"/>
      <c r="N49" s="1"/>
      <c r="O49" s="3"/>
      <c r="P49" s="3"/>
      <c r="Q49" s="3"/>
      <c r="R49" s="3"/>
    </row>
    <row r="50" spans="1:18">
      <c r="A50" s="10"/>
      <c r="B50" s="10"/>
      <c r="C50" s="107"/>
      <c r="D50" s="10"/>
      <c r="E50" s="10"/>
      <c r="F50" s="10"/>
      <c r="G50" s="10"/>
      <c r="H50" s="118">
        <v>0</v>
      </c>
      <c r="I50" s="39"/>
      <c r="J50" s="39"/>
      <c r="K50" s="54"/>
      <c r="L50" s="21"/>
      <c r="M50" s="30"/>
      <c r="N50" s="1"/>
      <c r="O50" s="1"/>
      <c r="P50" s="21"/>
      <c r="Q50" s="21"/>
      <c r="R50" s="21"/>
    </row>
    <row r="51" spans="1:18">
      <c r="A51" s="10"/>
      <c r="B51" s="10"/>
      <c r="C51" s="107"/>
      <c r="D51" s="10"/>
      <c r="E51" s="10"/>
      <c r="F51" s="10"/>
      <c r="G51" s="10"/>
      <c r="H51" s="118">
        <v>0</v>
      </c>
      <c r="I51" s="39"/>
      <c r="J51" s="39"/>
      <c r="K51" s="54"/>
      <c r="L51" s="21"/>
      <c r="M51" s="30"/>
      <c r="N51" s="1"/>
      <c r="O51" s="1"/>
      <c r="P51" s="21"/>
      <c r="Q51" s="21"/>
      <c r="R51" s="21"/>
    </row>
    <row r="52" spans="1:18">
      <c r="A52" s="10"/>
      <c r="B52" s="10"/>
      <c r="C52" s="107"/>
      <c r="D52" s="10"/>
      <c r="E52" s="10"/>
      <c r="F52" s="10"/>
      <c r="G52" s="10"/>
      <c r="H52" s="118">
        <v>0</v>
      </c>
      <c r="I52" s="39"/>
      <c r="J52" s="39"/>
      <c r="K52" s="54"/>
      <c r="L52" s="21"/>
      <c r="M52" s="30"/>
      <c r="N52" s="1"/>
      <c r="O52" s="1"/>
      <c r="P52" s="21"/>
      <c r="Q52" s="21"/>
      <c r="R52" s="21"/>
    </row>
    <row r="53" spans="1:18">
      <c r="A53" s="10"/>
      <c r="B53" s="10"/>
      <c r="C53" s="107"/>
      <c r="D53" s="10"/>
      <c r="E53" s="10"/>
      <c r="F53" s="10"/>
      <c r="G53" s="10"/>
      <c r="H53" s="118">
        <v>0</v>
      </c>
      <c r="I53" s="39"/>
      <c r="J53" s="39"/>
      <c r="K53" s="54"/>
      <c r="L53" s="21"/>
      <c r="M53" s="30"/>
      <c r="N53" s="1"/>
      <c r="O53" s="1"/>
      <c r="P53" s="21"/>
      <c r="Q53" s="21"/>
      <c r="R53" s="21"/>
    </row>
    <row r="54" spans="1:18">
      <c r="A54" s="10"/>
      <c r="B54" s="10"/>
      <c r="C54" s="107"/>
      <c r="D54" s="10"/>
      <c r="E54" s="10"/>
      <c r="F54" s="10"/>
      <c r="G54" s="10"/>
      <c r="H54" s="118">
        <v>0</v>
      </c>
      <c r="I54" s="39"/>
      <c r="J54" s="39"/>
      <c r="K54" s="54"/>
      <c r="L54" s="21"/>
      <c r="M54" s="30"/>
      <c r="N54" s="1"/>
      <c r="O54" s="1"/>
      <c r="P54" s="21"/>
      <c r="Q54" s="21"/>
      <c r="R54" s="21"/>
    </row>
    <row r="55" spans="1:18">
      <c r="A55" s="10"/>
      <c r="B55" s="10"/>
      <c r="C55" s="107"/>
      <c r="D55" s="10"/>
      <c r="E55" s="10"/>
      <c r="F55" s="10"/>
      <c r="G55" s="10"/>
      <c r="H55" s="118">
        <v>0</v>
      </c>
      <c r="I55" s="39"/>
      <c r="J55" s="39"/>
      <c r="K55" s="54"/>
      <c r="L55" s="21"/>
      <c r="M55" s="30"/>
      <c r="N55" s="1"/>
      <c r="O55" s="1"/>
      <c r="P55" s="21"/>
      <c r="Q55" s="21"/>
      <c r="R55" s="21"/>
    </row>
    <row r="56" spans="1:18">
      <c r="A56" s="10"/>
      <c r="B56" s="10"/>
      <c r="C56" s="107"/>
      <c r="D56" s="10"/>
      <c r="E56" s="10"/>
      <c r="F56" s="10"/>
      <c r="G56" s="10"/>
      <c r="H56" s="118">
        <v>0</v>
      </c>
      <c r="I56" s="39"/>
      <c r="J56" s="39"/>
      <c r="K56" s="54"/>
      <c r="L56" s="21"/>
      <c r="M56" s="30"/>
      <c r="N56" s="1"/>
      <c r="O56" s="1"/>
      <c r="P56" s="21"/>
      <c r="Q56" s="21"/>
      <c r="R56" s="21"/>
    </row>
    <row r="57" spans="1:18">
      <c r="A57" s="10"/>
      <c r="B57" s="10"/>
      <c r="C57" s="107"/>
      <c r="D57" s="10"/>
      <c r="E57" s="10"/>
      <c r="F57" s="10"/>
      <c r="G57" s="10"/>
      <c r="H57" s="118">
        <v>0</v>
      </c>
      <c r="I57" s="39"/>
      <c r="J57" s="39"/>
      <c r="K57" s="54"/>
      <c r="L57" s="21"/>
      <c r="M57" s="30"/>
      <c r="N57" s="1"/>
      <c r="O57" s="1"/>
      <c r="P57" s="21"/>
      <c r="Q57" s="21"/>
      <c r="R57" s="21"/>
    </row>
    <row r="58" spans="1:18">
      <c r="A58" s="10"/>
      <c r="B58" s="10"/>
      <c r="C58" s="107"/>
      <c r="D58" s="10"/>
      <c r="E58" s="10"/>
      <c r="F58" s="10"/>
      <c r="G58" s="10"/>
      <c r="H58" s="118">
        <v>0</v>
      </c>
      <c r="I58" s="39"/>
      <c r="J58" s="39"/>
      <c r="K58" s="54"/>
      <c r="L58" s="21"/>
      <c r="M58" s="30"/>
      <c r="N58" s="1"/>
      <c r="O58" s="1"/>
      <c r="P58" s="21"/>
      <c r="Q58" s="21"/>
      <c r="R58" s="21"/>
    </row>
    <row r="59" spans="1:18">
      <c r="A59" s="10"/>
      <c r="B59" s="10"/>
      <c r="C59" s="112"/>
      <c r="D59" s="9"/>
      <c r="E59" s="9"/>
      <c r="F59" s="9"/>
      <c r="G59" s="9"/>
      <c r="H59" s="116">
        <v>0</v>
      </c>
      <c r="I59" s="39"/>
      <c r="J59" s="39"/>
      <c r="K59" s="54"/>
      <c r="L59" s="21"/>
      <c r="M59" s="30"/>
      <c r="N59" s="1"/>
      <c r="O59" s="3"/>
      <c r="P59" s="21"/>
      <c r="Q59" s="21"/>
      <c r="R59" s="21"/>
    </row>
    <row r="60" spans="1:18">
      <c r="A60" s="10"/>
      <c r="B60" s="10"/>
      <c r="C60" s="13" t="s">
        <v>25</v>
      </c>
      <c r="D60" s="3"/>
      <c r="E60" s="3"/>
      <c r="F60" s="3"/>
      <c r="G60" s="3"/>
      <c r="H60" s="29">
        <f>SUM(H49:H59)</f>
        <v>0</v>
      </c>
      <c r="I60" s="29"/>
      <c r="J60" s="29"/>
      <c r="K60" s="29"/>
      <c r="L60" s="29"/>
      <c r="M60" s="30"/>
      <c r="N60" s="1"/>
      <c r="O60" s="28"/>
      <c r="P60" s="1"/>
      <c r="Q60" s="1"/>
      <c r="R60" s="1"/>
    </row>
    <row r="61" spans="1:18">
      <c r="A61" s="10"/>
      <c r="B61" s="10"/>
      <c r="C61" s="1"/>
      <c r="D61" s="10"/>
      <c r="E61" s="10"/>
      <c r="F61" s="10"/>
      <c r="G61" s="10"/>
      <c r="H61" s="30"/>
      <c r="I61" s="30"/>
      <c r="J61" s="30"/>
      <c r="K61" s="30"/>
      <c r="L61" s="30"/>
      <c r="M61" s="30"/>
      <c r="N61" s="1"/>
      <c r="O61" s="3"/>
      <c r="P61" s="3"/>
      <c r="Q61" s="3"/>
      <c r="R61" s="3"/>
    </row>
    <row r="62" spans="1:18" ht="14.25">
      <c r="A62" s="10"/>
      <c r="B62" s="10"/>
      <c r="C62" s="31" t="s">
        <v>26</v>
      </c>
      <c r="D62" s="31"/>
      <c r="E62" s="31"/>
      <c r="F62" s="31"/>
      <c r="G62" s="31"/>
      <c r="H62" s="95">
        <f>SUM(H36+H39+H42+H46+H60)</f>
        <v>0</v>
      </c>
      <c r="I62" s="32"/>
      <c r="J62" s="32"/>
      <c r="K62" s="32"/>
      <c r="L62" s="32"/>
      <c r="M62" s="30"/>
      <c r="N62" s="1"/>
      <c r="O62" s="1"/>
      <c r="P62" s="21"/>
      <c r="Q62" s="21"/>
      <c r="R62" s="21"/>
    </row>
    <row r="63" spans="1:18" ht="14.25">
      <c r="A63" s="10"/>
      <c r="B63" s="10"/>
      <c r="C63" s="22"/>
      <c r="D63" s="22"/>
      <c r="E63" s="22"/>
      <c r="F63" s="22"/>
      <c r="G63" s="22"/>
      <c r="H63" s="32" t="s">
        <v>27</v>
      </c>
      <c r="I63" s="32"/>
      <c r="J63" s="32"/>
      <c r="K63" s="32"/>
      <c r="L63" s="32"/>
      <c r="M63" s="30"/>
      <c r="N63" s="1"/>
      <c r="O63" s="1"/>
      <c r="P63" s="21"/>
      <c r="Q63" s="21"/>
      <c r="R63" s="21"/>
    </row>
    <row r="64" spans="1:18" ht="14.25">
      <c r="A64" s="10"/>
      <c r="B64" s="10"/>
      <c r="C64" s="22" t="s">
        <v>28</v>
      </c>
      <c r="D64" s="22"/>
      <c r="E64" s="22"/>
      <c r="F64" s="22"/>
      <c r="G64" s="22"/>
      <c r="H64" s="32">
        <f>H62+H33</f>
        <v>0</v>
      </c>
      <c r="I64" s="32"/>
      <c r="J64" s="32"/>
      <c r="K64" s="32"/>
      <c r="L64" s="32"/>
      <c r="M64" s="30"/>
      <c r="N64" s="1"/>
      <c r="O64" s="3"/>
      <c r="P64" s="21"/>
      <c r="Q64" s="21"/>
      <c r="R64" s="21"/>
    </row>
    <row r="65" spans="1:18" ht="15.75" thickBot="1">
      <c r="A65" s="134"/>
      <c r="B65" s="135"/>
      <c r="C65" s="136"/>
      <c r="D65" s="136"/>
      <c r="E65" s="136"/>
      <c r="F65" s="136"/>
      <c r="G65" s="136"/>
      <c r="H65" s="137"/>
      <c r="I65" s="49"/>
      <c r="J65" s="49"/>
      <c r="K65" s="49"/>
      <c r="L65" s="49"/>
      <c r="M65" s="30"/>
      <c r="N65" s="1"/>
      <c r="O65" s="1"/>
      <c r="P65" s="55"/>
      <c r="Q65" s="1"/>
      <c r="R65" s="1"/>
    </row>
    <row r="66" spans="1:18" ht="21" customHeight="1" thickTop="1">
      <c r="A66" s="86" t="s">
        <v>59</v>
      </c>
      <c r="B66" s="90"/>
      <c r="C66" s="60"/>
      <c r="D66" s="60"/>
      <c r="E66" s="60"/>
      <c r="F66" s="60"/>
      <c r="G66" s="60"/>
      <c r="H66" s="50">
        <f>H64</f>
        <v>0</v>
      </c>
      <c r="I66" s="50"/>
      <c r="J66" s="50"/>
      <c r="K66" s="50"/>
      <c r="L66" s="50"/>
      <c r="M66" s="56"/>
      <c r="N66" s="1"/>
      <c r="O66" s="3"/>
      <c r="P66" s="55"/>
      <c r="Q66" s="1"/>
      <c r="R66" s="1"/>
    </row>
  </sheetData>
  <mergeCells count="3">
    <mergeCell ref="B4:C4"/>
    <mergeCell ref="B2:C2"/>
    <mergeCell ref="B3:C3"/>
  </mergeCells>
  <phoneticPr fontId="19" type="noConversion"/>
  <printOptions horizontalCentered="1"/>
  <pageMargins left="0.25" right="0.25" top="0.75" bottom="0.5" header="0.25" footer="0.25"/>
  <pageSetup scale="70" orientation="portrait" horizontalDpi="4294967293" r:id="rId1"/>
  <headerFooter alignWithMargins="0">
    <oddHeader>&amp;C&amp;"Arial,Bold"&amp;14ATTACHMENT A
&amp;12Texas Higher Education Coordinating Board</oddHeader>
    <oddFooter>&amp;Lver.6.2010&amp;R&amp;N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3"/>
  <sheetViews>
    <sheetView zoomScale="70" zoomScaleNormal="70" zoomScaleSheetLayoutView="75" workbookViewId="0">
      <selection activeCell="K30" sqref="K30"/>
    </sheetView>
  </sheetViews>
  <sheetFormatPr defaultRowHeight="12.75"/>
  <cols>
    <col min="1" max="1" width="25.7109375" customWidth="1"/>
    <col min="2" max="2" width="11.28515625" customWidth="1"/>
    <col min="3" max="3" width="29.5703125" customWidth="1"/>
    <col min="4" max="4" width="10" customWidth="1"/>
    <col min="5" max="5" width="10.28515625" customWidth="1"/>
    <col min="6" max="6" width="8" bestFit="1" customWidth="1"/>
    <col min="7" max="7" width="9.42578125" customWidth="1"/>
    <col min="8" max="8" width="11.85546875" customWidth="1"/>
    <col min="9" max="9" width="12.42578125" customWidth="1"/>
    <col min="10" max="10" width="11.28515625" customWidth="1"/>
    <col min="11" max="11" width="12.140625" customWidth="1"/>
    <col min="12" max="12" width="12.42578125" customWidth="1"/>
    <col min="13" max="13" width="12.42578125" style="2" customWidth="1"/>
    <col min="15" max="15" width="17.140625" bestFit="1" customWidth="1"/>
    <col min="16" max="16" width="10.42578125" bestFit="1" customWidth="1"/>
    <col min="18" max="18" width="9.85546875" bestFit="1" customWidth="1"/>
  </cols>
  <sheetData>
    <row r="1" spans="1:19" ht="20.25">
      <c r="A1" s="83" t="s">
        <v>51</v>
      </c>
      <c r="B1" s="63"/>
      <c r="C1" s="64"/>
      <c r="D1" s="35"/>
      <c r="E1" s="35"/>
      <c r="F1" s="35"/>
      <c r="G1" s="35"/>
      <c r="H1" s="35"/>
      <c r="I1" s="36"/>
      <c r="J1" s="36"/>
      <c r="K1" s="36"/>
      <c r="L1" s="36"/>
      <c r="M1" s="37"/>
      <c r="N1" s="36"/>
      <c r="O1" s="36"/>
      <c r="P1" s="36"/>
      <c r="Q1" s="36"/>
      <c r="R1" s="34"/>
      <c r="S1" s="34"/>
    </row>
    <row r="2" spans="1:19" ht="21" thickBot="1">
      <c r="A2" s="80"/>
      <c r="B2" s="81"/>
      <c r="C2" s="82"/>
      <c r="D2" s="58"/>
      <c r="E2" s="58"/>
      <c r="F2" s="58"/>
      <c r="G2" s="58"/>
      <c r="H2" s="58"/>
      <c r="I2" s="34"/>
      <c r="J2" s="34"/>
      <c r="K2" s="34"/>
      <c r="L2" s="34"/>
      <c r="M2" s="38"/>
      <c r="N2" s="34"/>
      <c r="O2" s="34"/>
      <c r="P2" s="34"/>
      <c r="Q2" s="34"/>
      <c r="R2" s="34"/>
      <c r="S2" s="34"/>
    </row>
    <row r="3" spans="1:19" ht="18">
      <c r="A3" s="67" t="s">
        <v>50</v>
      </c>
      <c r="B3" s="66"/>
      <c r="C3" s="66"/>
      <c r="D3" s="69"/>
      <c r="E3" s="70" t="s">
        <v>34</v>
      </c>
      <c r="F3" s="71"/>
      <c r="G3" s="69"/>
      <c r="H3" s="70" t="s">
        <v>34</v>
      </c>
      <c r="I3" s="71"/>
      <c r="J3" s="69"/>
      <c r="K3" s="70" t="s">
        <v>35</v>
      </c>
      <c r="L3" s="71"/>
      <c r="M3" s="66"/>
      <c r="N3" s="34"/>
      <c r="O3" s="34"/>
      <c r="P3" s="34"/>
      <c r="Q3" s="34"/>
      <c r="R3" s="34"/>
      <c r="S3" s="34"/>
    </row>
    <row r="4" spans="1:19" ht="18">
      <c r="A4" s="138"/>
      <c r="B4" s="66"/>
      <c r="C4" s="66"/>
      <c r="D4" s="72"/>
      <c r="E4" s="79" t="s">
        <v>36</v>
      </c>
      <c r="F4" s="73"/>
      <c r="G4" s="72"/>
      <c r="H4" s="79" t="s">
        <v>54</v>
      </c>
      <c r="I4" s="73"/>
      <c r="J4" s="72"/>
      <c r="K4" s="79" t="s">
        <v>37</v>
      </c>
      <c r="L4" s="73"/>
      <c r="M4" s="66"/>
      <c r="N4" s="34"/>
      <c r="O4" s="34"/>
      <c r="P4" s="34"/>
      <c r="Q4" s="34"/>
      <c r="R4" s="34"/>
      <c r="S4" s="34"/>
    </row>
    <row r="5" spans="1:19" ht="16.5" thickBot="1">
      <c r="A5" s="61" t="s">
        <v>38</v>
      </c>
      <c r="B5" s="61" t="s">
        <v>39</v>
      </c>
      <c r="C5" s="75" t="s">
        <v>40</v>
      </c>
      <c r="D5" s="74" t="s">
        <v>41</v>
      </c>
      <c r="E5" s="61" t="s">
        <v>42</v>
      </c>
      <c r="F5" s="75" t="s">
        <v>43</v>
      </c>
      <c r="G5" s="74" t="s">
        <v>44</v>
      </c>
      <c r="H5" s="61" t="s">
        <v>45</v>
      </c>
      <c r="I5" s="75" t="s">
        <v>46</v>
      </c>
      <c r="J5" s="74" t="s">
        <v>44</v>
      </c>
      <c r="K5" s="61" t="s">
        <v>45</v>
      </c>
      <c r="L5" s="75" t="s">
        <v>46</v>
      </c>
      <c r="M5" s="78" t="s">
        <v>20</v>
      </c>
      <c r="N5" s="34"/>
      <c r="O5" s="34"/>
      <c r="P5" s="34"/>
      <c r="Q5" s="34"/>
      <c r="R5" s="34"/>
      <c r="S5" s="34"/>
    </row>
    <row r="6" spans="1:19" ht="15">
      <c r="A6" s="102"/>
      <c r="B6" s="85"/>
      <c r="C6" s="102"/>
      <c r="D6" s="85"/>
      <c r="E6" s="85"/>
      <c r="F6" s="85"/>
      <c r="G6" s="103"/>
      <c r="H6" s="103"/>
      <c r="I6" s="103"/>
      <c r="J6" s="68">
        <f>D6*F6*G6</f>
        <v>0</v>
      </c>
      <c r="K6" s="68">
        <f>D6*E6*F6*H6</f>
        <v>0</v>
      </c>
      <c r="L6" s="68">
        <f>D6*E6*F6*I6</f>
        <v>0</v>
      </c>
      <c r="M6" s="68">
        <f>SUM(J6:L6)</f>
        <v>0</v>
      </c>
      <c r="N6" s="34"/>
      <c r="O6" s="34"/>
      <c r="P6" s="34"/>
      <c r="Q6" s="34"/>
      <c r="R6" s="34"/>
      <c r="S6" s="34"/>
    </row>
    <row r="7" spans="1:19" ht="15">
      <c r="A7" s="102"/>
      <c r="B7" s="85"/>
      <c r="C7" s="102"/>
      <c r="D7" s="85"/>
      <c r="E7" s="85"/>
      <c r="F7" s="85"/>
      <c r="G7" s="103"/>
      <c r="H7" s="103"/>
      <c r="I7" s="103"/>
      <c r="J7" s="68">
        <f t="shared" ref="J7:J12" si="0">D7*F7*G7</f>
        <v>0</v>
      </c>
      <c r="K7" s="68">
        <f t="shared" ref="K7:K12" si="1">D7*E7*F7*H7</f>
        <v>0</v>
      </c>
      <c r="L7" s="68">
        <f t="shared" ref="L7:L12" si="2">D7*E7*F7*I7</f>
        <v>0</v>
      </c>
      <c r="M7" s="68">
        <f t="shared" ref="M7:M12" si="3">SUM(J7:L7)</f>
        <v>0</v>
      </c>
      <c r="N7" s="34"/>
      <c r="O7" s="34"/>
      <c r="P7" s="34"/>
      <c r="Q7" s="34"/>
      <c r="R7" s="34"/>
      <c r="S7" s="34"/>
    </row>
    <row r="8" spans="1:19" ht="15">
      <c r="A8" s="102"/>
      <c r="B8" s="85"/>
      <c r="C8" s="102"/>
      <c r="D8" s="85"/>
      <c r="E8" s="85"/>
      <c r="F8" s="85"/>
      <c r="G8" s="103"/>
      <c r="H8" s="103"/>
      <c r="I8" s="103"/>
      <c r="J8" s="68">
        <f t="shared" si="0"/>
        <v>0</v>
      </c>
      <c r="K8" s="68">
        <f t="shared" si="1"/>
        <v>0</v>
      </c>
      <c r="L8" s="68">
        <f t="shared" si="2"/>
        <v>0</v>
      </c>
      <c r="M8" s="68">
        <f t="shared" si="3"/>
        <v>0</v>
      </c>
      <c r="N8" s="34"/>
      <c r="O8" s="34"/>
      <c r="P8" s="34"/>
      <c r="Q8" s="34"/>
      <c r="R8" s="34"/>
      <c r="S8" s="34"/>
    </row>
    <row r="9" spans="1:19" ht="15">
      <c r="A9" s="102"/>
      <c r="B9" s="85"/>
      <c r="C9" s="102"/>
      <c r="D9" s="85"/>
      <c r="E9" s="85"/>
      <c r="F9" s="85"/>
      <c r="G9" s="103"/>
      <c r="H9" s="103"/>
      <c r="I9" s="103"/>
      <c r="J9" s="68">
        <f t="shared" si="0"/>
        <v>0</v>
      </c>
      <c r="K9" s="68">
        <f t="shared" si="1"/>
        <v>0</v>
      </c>
      <c r="L9" s="68">
        <f t="shared" si="2"/>
        <v>0</v>
      </c>
      <c r="M9" s="68">
        <f t="shared" si="3"/>
        <v>0</v>
      </c>
      <c r="N9" s="34"/>
      <c r="O9" s="34"/>
      <c r="P9" s="34"/>
      <c r="Q9" s="34"/>
      <c r="R9" s="34"/>
      <c r="S9" s="34"/>
    </row>
    <row r="10" spans="1:19" ht="15">
      <c r="A10" s="102"/>
      <c r="B10" s="85"/>
      <c r="C10" s="102"/>
      <c r="D10" s="85"/>
      <c r="E10" s="85"/>
      <c r="F10" s="85"/>
      <c r="G10" s="103"/>
      <c r="H10" s="103"/>
      <c r="I10" s="103"/>
      <c r="J10" s="68">
        <f t="shared" si="0"/>
        <v>0</v>
      </c>
      <c r="K10" s="68">
        <f t="shared" si="1"/>
        <v>0</v>
      </c>
      <c r="L10" s="68">
        <f t="shared" si="2"/>
        <v>0</v>
      </c>
      <c r="M10" s="68">
        <f t="shared" si="3"/>
        <v>0</v>
      </c>
      <c r="N10" s="34"/>
      <c r="O10" s="34"/>
      <c r="P10" s="34"/>
      <c r="Q10" s="34"/>
      <c r="R10" s="34"/>
      <c r="S10" s="34"/>
    </row>
    <row r="11" spans="1:19" ht="15">
      <c r="A11" s="102"/>
      <c r="B11" s="85"/>
      <c r="C11" s="102"/>
      <c r="D11" s="85"/>
      <c r="E11" s="85"/>
      <c r="F11" s="85"/>
      <c r="G11" s="103"/>
      <c r="H11" s="103"/>
      <c r="I11" s="103"/>
      <c r="J11" s="68">
        <f t="shared" si="0"/>
        <v>0</v>
      </c>
      <c r="K11" s="68">
        <f t="shared" si="1"/>
        <v>0</v>
      </c>
      <c r="L11" s="68">
        <f t="shared" si="2"/>
        <v>0</v>
      </c>
      <c r="M11" s="68">
        <f t="shared" si="3"/>
        <v>0</v>
      </c>
      <c r="N11" s="34"/>
      <c r="O11" s="34"/>
      <c r="P11" s="34"/>
      <c r="Q11" s="34"/>
      <c r="R11" s="34"/>
      <c r="S11" s="34"/>
    </row>
    <row r="12" spans="1:19" ht="15.75" thickBot="1">
      <c r="A12" s="104"/>
      <c r="B12" s="105"/>
      <c r="C12" s="104"/>
      <c r="D12" s="105"/>
      <c r="E12" s="105"/>
      <c r="F12" s="105"/>
      <c r="G12" s="106"/>
      <c r="H12" s="106"/>
      <c r="I12" s="106"/>
      <c r="J12" s="76">
        <f t="shared" si="0"/>
        <v>0</v>
      </c>
      <c r="K12" s="76">
        <f t="shared" si="1"/>
        <v>0</v>
      </c>
      <c r="L12" s="76">
        <f t="shared" si="2"/>
        <v>0</v>
      </c>
      <c r="M12" s="76">
        <f t="shared" si="3"/>
        <v>0</v>
      </c>
      <c r="N12" s="34"/>
      <c r="O12" s="34"/>
      <c r="P12" s="34"/>
      <c r="Q12" s="34"/>
      <c r="R12" s="34"/>
      <c r="S12" s="34"/>
    </row>
    <row r="13" spans="1:19" ht="15.75">
      <c r="A13" s="62"/>
      <c r="B13" s="62"/>
      <c r="C13" s="62"/>
      <c r="D13" s="62"/>
      <c r="E13" s="62"/>
      <c r="F13" s="62"/>
      <c r="G13" s="62"/>
      <c r="H13" s="62"/>
      <c r="I13" s="62"/>
      <c r="J13" s="65"/>
      <c r="K13" s="65"/>
      <c r="L13" s="77" t="s">
        <v>20</v>
      </c>
      <c r="M13" s="84">
        <f>SUM(M6:M12)</f>
        <v>0</v>
      </c>
      <c r="N13" s="34"/>
      <c r="O13" s="34"/>
      <c r="P13" s="34"/>
      <c r="Q13" s="34"/>
      <c r="R13" s="34"/>
      <c r="S13" s="34"/>
    </row>
  </sheetData>
  <phoneticPr fontId="0" type="noConversion"/>
  <printOptions horizontalCentered="1"/>
  <pageMargins left="0.25" right="0.25" top="0.5" bottom="0.5" header="0.25" footer="0.25"/>
  <pageSetup scale="77" orientation="landscape" r:id="rId1"/>
  <headerFooter alignWithMargins="0">
    <oddHeader>&amp;C&amp;"Arial,Bold"&amp;16Texas Higher Education Coordinating Board</oddHead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Cost Detail</vt:lpstr>
      <vt:lpstr>Travel</vt:lpstr>
      <vt:lpstr>'Cost Detail'!Print_Area</vt:lpstr>
      <vt:lpstr>Instructions!Print_Area</vt:lpstr>
      <vt:lpstr>Travel!Print_Area</vt:lpstr>
    </vt:vector>
  </TitlesOfParts>
  <Company>TEEX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Griffiths</dc:creator>
  <cp:lastModifiedBy>Administrator</cp:lastModifiedBy>
  <cp:lastPrinted>2010-06-10T22:40:41Z</cp:lastPrinted>
  <dcterms:created xsi:type="dcterms:W3CDTF">2000-06-06T20:07:52Z</dcterms:created>
  <dcterms:modified xsi:type="dcterms:W3CDTF">2010-06-17T20:18:16Z</dcterms:modified>
</cp:coreProperties>
</file>