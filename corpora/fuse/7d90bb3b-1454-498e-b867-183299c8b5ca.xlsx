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80" windowWidth="22995" windowHeight="10080"/>
  </bookViews>
  <sheets>
    <sheet name="Intro" sheetId="6" r:id="rId1"/>
    <sheet name="Sorted By Solicitor Name" sheetId="1" r:id="rId2"/>
    <sheet name="Sorted By Charity Name" sheetId="2" r:id="rId3"/>
    <sheet name="Sorted by $ Amt Kept by Charity" sheetId="4" r:id="rId4"/>
    <sheet name="Sorted by % Kept by Charity" sheetId="7" r:id="rId5"/>
    <sheet name="Solicitor Address" sheetId="3" r:id="rId6"/>
    <sheet name="Charity Addresses" sheetId="5" r:id="rId7"/>
  </sheets>
  <definedNames>
    <definedName name="_xlnm._FilterDatabase" localSheetId="6" hidden="1">'Charity Addresses'!$A$1:$T$1</definedName>
    <definedName name="_xlnm._FilterDatabase" localSheetId="5" hidden="1">'Solicitor Address'!$A$1:$H$1</definedName>
    <definedName name="_xlnm._FilterDatabase" localSheetId="3" hidden="1">'Sorted by $ Amt Kept by Charity'!$A$1:$I$1</definedName>
    <definedName name="_xlnm._FilterDatabase" localSheetId="4" hidden="1">'Sorted by % Kept by Charity'!$A$1:$I$1</definedName>
    <definedName name="_xlnm._FilterDatabase" localSheetId="2" hidden="1">'Sorted By Charity Name'!$A$1:$I$1</definedName>
    <definedName name="_xlnm._FilterDatabase" localSheetId="1" hidden="1">'Sorted By Solicitor Name'!$A$1:$I$1418</definedName>
  </definedNames>
  <calcPr calcId="145621"/>
</workbook>
</file>

<file path=xl/calcChain.xml><?xml version="1.0" encoding="utf-8"?>
<calcChain xmlns="http://schemas.openxmlformats.org/spreadsheetml/2006/main">
  <c r="I1399" i="7" l="1"/>
  <c r="I1413" i="7"/>
  <c r="I1380" i="7"/>
  <c r="I1408" i="7"/>
  <c r="I1355" i="7"/>
  <c r="I1342" i="7"/>
  <c r="I1361" i="7"/>
  <c r="I1371" i="7"/>
  <c r="I1334" i="7"/>
  <c r="I1406" i="7"/>
  <c r="I1357" i="7"/>
  <c r="I1331" i="7"/>
  <c r="I1326" i="7"/>
  <c r="I1323" i="7"/>
  <c r="I1384" i="7"/>
  <c r="I1310" i="7"/>
  <c r="I1379" i="7"/>
  <c r="I1410" i="7"/>
  <c r="I1387" i="7"/>
  <c r="I1359" i="7"/>
  <c r="I1344" i="7"/>
  <c r="I1402" i="7"/>
  <c r="I1389" i="7"/>
  <c r="I1401" i="7"/>
  <c r="I1367" i="7"/>
  <c r="I1400" i="7"/>
  <c r="I1374" i="7"/>
  <c r="I1416" i="7"/>
  <c r="I1337" i="7"/>
  <c r="I1407" i="7"/>
  <c r="I1418" i="7"/>
  <c r="I1349" i="7"/>
  <c r="I1376" i="7"/>
  <c r="I1302" i="7"/>
  <c r="I1386" i="7"/>
  <c r="I1397" i="7"/>
  <c r="I1409" i="7"/>
  <c r="I1318" i="7"/>
  <c r="I1383" i="7"/>
  <c r="I1348" i="7"/>
  <c r="I1328" i="7"/>
  <c r="I1352" i="7"/>
  <c r="I1312" i="7"/>
  <c r="I1388" i="7"/>
  <c r="I1375" i="7"/>
  <c r="I1394" i="7"/>
  <c r="I1350" i="7"/>
  <c r="I1329" i="7"/>
  <c r="I1307" i="7"/>
  <c r="I1381" i="7"/>
  <c r="I1315" i="7"/>
  <c r="I1356" i="7"/>
  <c r="I1314" i="7"/>
  <c r="I1404" i="7"/>
  <c r="I1340" i="7"/>
  <c r="I1354" i="7"/>
  <c r="I1411" i="7"/>
  <c r="I1385" i="7"/>
  <c r="I1382" i="7"/>
  <c r="I1360" i="7"/>
  <c r="I1339" i="7"/>
  <c r="I1325" i="7"/>
  <c r="I1395" i="7"/>
  <c r="I1311" i="7"/>
  <c r="I1346" i="7"/>
  <c r="I1336" i="7"/>
  <c r="I1305" i="7"/>
  <c r="I1403" i="7"/>
  <c r="I1297" i="7"/>
  <c r="I1345" i="7"/>
  <c r="I1308" i="7"/>
  <c r="I1366" i="7"/>
  <c r="I1300" i="7"/>
  <c r="I1301" i="7"/>
  <c r="I1294" i="7"/>
  <c r="I1362" i="7"/>
  <c r="I1292" i="7"/>
  <c r="I1332" i="7"/>
  <c r="I1415" i="7"/>
  <c r="I1303" i="7"/>
  <c r="I1296" i="7"/>
  <c r="I1290" i="7"/>
  <c r="I1358" i="7"/>
  <c r="I1322" i="7"/>
  <c r="I1338" i="7"/>
  <c r="I1295" i="7"/>
  <c r="I1398" i="7"/>
  <c r="I1396" i="7"/>
  <c r="I1353" i="7"/>
  <c r="I1321" i="7"/>
  <c r="I1319" i="7"/>
  <c r="I1306" i="7"/>
  <c r="I1333" i="7"/>
  <c r="I1304" i="7"/>
  <c r="I1369" i="7"/>
  <c r="I1313" i="7"/>
  <c r="I1417" i="7"/>
  <c r="I1293" i="7"/>
  <c r="I1324" i="7"/>
  <c r="I1370" i="7"/>
  <c r="I1291" i="7"/>
  <c r="I1414" i="7"/>
  <c r="I1347" i="7"/>
  <c r="I1316" i="7"/>
  <c r="I1298" i="7"/>
  <c r="I1320" i="7"/>
  <c r="I1327" i="7"/>
  <c r="I1253" i="7"/>
  <c r="I1237" i="7"/>
  <c r="I1236" i="7"/>
  <c r="I1222" i="7"/>
  <c r="I1220" i="7"/>
  <c r="I1209" i="7"/>
  <c r="I1208" i="7"/>
  <c r="I1201" i="7"/>
  <c r="I1200" i="7"/>
  <c r="I1192" i="7"/>
  <c r="I1189" i="7"/>
  <c r="I1188" i="7"/>
  <c r="I1182" i="7"/>
  <c r="I1167" i="7"/>
  <c r="I1166" i="7"/>
  <c r="I1165" i="7"/>
  <c r="I1164" i="7"/>
  <c r="I1163" i="7"/>
  <c r="I1162" i="7"/>
  <c r="I1161" i="7"/>
  <c r="I1160" i="7"/>
  <c r="I1154" i="7"/>
  <c r="I1153" i="7"/>
  <c r="I1144" i="7"/>
  <c r="I1135" i="7"/>
  <c r="I1132" i="7"/>
  <c r="I1131" i="7"/>
  <c r="I1127" i="7"/>
  <c r="I1126" i="7"/>
  <c r="I1125" i="7"/>
  <c r="I1118" i="7"/>
  <c r="I1104" i="7"/>
  <c r="I1111" i="7"/>
  <c r="I32" i="7"/>
  <c r="I1103" i="7"/>
  <c r="I1115" i="7"/>
  <c r="I1107" i="7"/>
  <c r="I1110" i="7"/>
  <c r="I1076" i="7"/>
  <c r="I1100" i="7"/>
  <c r="I1088" i="7"/>
  <c r="I1112" i="7"/>
  <c r="I1117" i="7"/>
  <c r="I1109" i="7"/>
  <c r="I1069" i="7"/>
  <c r="I1095" i="7"/>
  <c r="I1102" i="7"/>
  <c r="I1080" i="7"/>
  <c r="I1089" i="7"/>
  <c r="I1097" i="7"/>
  <c r="I1077" i="7"/>
  <c r="I1106" i="7"/>
  <c r="I915" i="7"/>
  <c r="I1114" i="7"/>
  <c r="I1105" i="7"/>
  <c r="I1082" i="7"/>
  <c r="I914" i="7"/>
  <c r="I690" i="7"/>
  <c r="I1083" i="7"/>
  <c r="I1086" i="7"/>
  <c r="I904" i="7"/>
  <c r="I210" i="7"/>
  <c r="I1078" i="7"/>
  <c r="I823" i="7"/>
  <c r="I1041" i="7"/>
  <c r="I907" i="7"/>
  <c r="I993" i="7"/>
  <c r="I1098" i="7"/>
  <c r="I951" i="7"/>
  <c r="I1087" i="7"/>
  <c r="I1063" i="7"/>
  <c r="I1092" i="7"/>
  <c r="I742" i="7"/>
  <c r="I688" i="7"/>
  <c r="I1068" i="7"/>
  <c r="I108" i="7"/>
  <c r="I1113" i="7"/>
  <c r="I193" i="7"/>
  <c r="I1108" i="7"/>
  <c r="I637" i="7"/>
  <c r="I1057" i="7"/>
  <c r="I944" i="7"/>
  <c r="I1094" i="7"/>
  <c r="I1101" i="7"/>
  <c r="I33" i="7"/>
  <c r="I152" i="7"/>
  <c r="I432" i="7"/>
  <c r="I151" i="7"/>
  <c r="I1035" i="7"/>
  <c r="I235" i="7"/>
  <c r="I312" i="7"/>
  <c r="I1071" i="7"/>
  <c r="I743" i="7"/>
  <c r="I504" i="7"/>
  <c r="I925" i="7"/>
  <c r="I1062" i="7"/>
  <c r="I866" i="7"/>
  <c r="I687" i="7"/>
  <c r="I1075" i="7"/>
  <c r="I1096" i="7"/>
  <c r="I51" i="7"/>
  <c r="I902" i="7"/>
  <c r="I496" i="7"/>
  <c r="I61" i="7"/>
  <c r="I947" i="7"/>
  <c r="I937" i="7"/>
  <c r="I269" i="7"/>
  <c r="I613" i="7"/>
  <c r="I2" i="7"/>
  <c r="I647" i="7"/>
  <c r="I77" i="7"/>
  <c r="I848" i="7"/>
  <c r="I470" i="7"/>
  <c r="I711" i="7"/>
  <c r="I775" i="7"/>
  <c r="I224" i="7"/>
  <c r="I992" i="7"/>
  <c r="I1021" i="7"/>
  <c r="I853" i="7"/>
  <c r="I1025" i="7"/>
  <c r="I917" i="7"/>
  <c r="I782" i="7"/>
  <c r="I774" i="7"/>
  <c r="I939" i="7"/>
  <c r="I1023" i="7"/>
  <c r="I553" i="7"/>
  <c r="I225" i="7"/>
  <c r="I760" i="7"/>
  <c r="I123" i="7"/>
  <c r="I215" i="7"/>
  <c r="I1055" i="7"/>
  <c r="I30" i="7"/>
  <c r="I839" i="7"/>
  <c r="I809" i="7"/>
  <c r="I875" i="7"/>
  <c r="I808" i="7"/>
  <c r="I755" i="7"/>
  <c r="I768" i="7"/>
  <c r="I1033" i="7"/>
  <c r="I62" i="7"/>
  <c r="I474" i="7"/>
  <c r="I893" i="7"/>
  <c r="I766" i="7"/>
  <c r="I773" i="7"/>
  <c r="I724" i="7"/>
  <c r="I871" i="7"/>
  <c r="I763" i="7"/>
  <c r="I765" i="7"/>
  <c r="I555" i="7"/>
  <c r="I750" i="7"/>
  <c r="I910" i="7"/>
  <c r="I397" i="7"/>
  <c r="I807" i="7"/>
  <c r="I554" i="7"/>
  <c r="I24" i="7"/>
  <c r="I247" i="7"/>
  <c r="I865" i="7"/>
  <c r="I1085" i="7"/>
  <c r="I377" i="7"/>
  <c r="I772" i="7"/>
  <c r="I497" i="7"/>
  <c r="I558" i="7"/>
  <c r="I261" i="7"/>
  <c r="I581" i="7"/>
  <c r="I864" i="7"/>
  <c r="I1012" i="7"/>
  <c r="I896" i="7"/>
  <c r="I806" i="7"/>
  <c r="I805" i="7"/>
  <c r="I991" i="7"/>
  <c r="I1031" i="7"/>
  <c r="I883" i="7"/>
  <c r="I1048" i="7"/>
  <c r="I336" i="7"/>
  <c r="I585" i="7"/>
  <c r="I849" i="7"/>
  <c r="I249" i="7"/>
  <c r="I304" i="7"/>
  <c r="I435" i="7"/>
  <c r="I899" i="7"/>
  <c r="I154" i="7"/>
  <c r="I852" i="7"/>
  <c r="I850" i="7"/>
  <c r="I669" i="7"/>
  <c r="I859" i="7"/>
  <c r="I1044" i="7"/>
  <c r="I841" i="7"/>
  <c r="I840" i="7"/>
  <c r="I857" i="7"/>
  <c r="I946" i="7"/>
  <c r="I881" i="7"/>
  <c r="I325" i="7"/>
  <c r="I867" i="7"/>
  <c r="I989" i="7"/>
  <c r="I851" i="7"/>
  <c r="I891" i="7"/>
  <c r="I988" i="7"/>
  <c r="I892" i="7"/>
  <c r="I676" i="7"/>
  <c r="I861" i="7"/>
  <c r="I869" i="7"/>
  <c r="I878" i="7"/>
  <c r="I716" i="7"/>
  <c r="I725" i="7"/>
  <c r="I621" i="7"/>
  <c r="I158" i="7"/>
  <c r="I1091" i="7"/>
  <c r="I236" i="7"/>
  <c r="I804" i="7"/>
  <c r="I187" i="7"/>
  <c r="I764" i="7"/>
  <c r="I803" i="7"/>
  <c r="I706" i="7"/>
  <c r="I714" i="7"/>
  <c r="I666" i="7"/>
  <c r="I888" i="7"/>
  <c r="I307" i="7"/>
  <c r="I366" i="7"/>
  <c r="I987" i="7"/>
  <c r="I862" i="7"/>
  <c r="I847" i="7"/>
  <c r="I1007" i="7"/>
  <c r="I818" i="7"/>
  <c r="I868" i="7"/>
  <c r="I57" i="7"/>
  <c r="I858" i="7"/>
  <c r="I958" i="7"/>
  <c r="I876" i="7"/>
  <c r="I1001" i="7"/>
  <c r="I756" i="7"/>
  <c r="I233" i="7"/>
  <c r="I880" i="7"/>
  <c r="I885" i="7"/>
  <c r="I960" i="7"/>
  <c r="I863" i="7"/>
  <c r="I709" i="7"/>
  <c r="I1000" i="7"/>
  <c r="I735" i="7"/>
  <c r="I1039" i="7"/>
  <c r="I780" i="7"/>
  <c r="I889" i="7"/>
  <c r="I1060" i="7"/>
  <c r="I754" i="7"/>
  <c r="I503" i="7"/>
  <c r="I222" i="7"/>
  <c r="I986" i="7"/>
  <c r="I884" i="7"/>
  <c r="I873" i="7"/>
  <c r="I513" i="7"/>
  <c r="I938" i="7"/>
  <c r="I1040" i="7"/>
  <c r="I898" i="7"/>
  <c r="I959" i="7"/>
  <c r="I263" i="7"/>
  <c r="I323" i="7"/>
  <c r="I443" i="7"/>
  <c r="I829" i="7"/>
  <c r="I894" i="7"/>
  <c r="I753" i="7"/>
  <c r="I895" i="7"/>
  <c r="I582" i="7"/>
  <c r="I872" i="7"/>
  <c r="I200" i="7"/>
  <c r="I727" i="7"/>
  <c r="I886" i="7"/>
  <c r="I23" i="7"/>
  <c r="I343" i="7"/>
  <c r="I115" i="7"/>
  <c r="I157" i="7"/>
  <c r="I890" i="7"/>
  <c r="I985" i="7"/>
  <c r="I1059" i="7"/>
  <c r="I984" i="7"/>
  <c r="I934" i="7"/>
  <c r="I739" i="7"/>
  <c r="I73" i="7"/>
  <c r="I273" i="7"/>
  <c r="I762" i="7"/>
  <c r="I926" i="7"/>
  <c r="I1067" i="7"/>
  <c r="I882" i="7"/>
  <c r="I879" i="7"/>
  <c r="I145" i="7"/>
  <c r="I615" i="7"/>
  <c r="I698" i="7"/>
  <c r="I330" i="7"/>
  <c r="I953" i="7"/>
  <c r="I629" i="7"/>
  <c r="I1064" i="7"/>
  <c r="I870" i="7"/>
  <c r="I930" i="7"/>
  <c r="I652" i="7"/>
  <c r="I999" i="7"/>
  <c r="I998" i="7"/>
  <c r="I713" i="7"/>
  <c r="I860" i="7"/>
  <c r="I440" i="7"/>
  <c r="I855" i="7"/>
  <c r="I874" i="7"/>
  <c r="I248" i="7"/>
  <c r="I887" i="7"/>
  <c r="I983" i="7"/>
  <c r="I877" i="7"/>
  <c r="I137" i="7"/>
  <c r="I501" i="7"/>
  <c r="I234" i="7"/>
  <c r="I1054" i="7"/>
  <c r="I486" i="7"/>
  <c r="I997" i="7"/>
  <c r="I933" i="7"/>
  <c r="I982" i="7"/>
  <c r="I746" i="7"/>
  <c r="I1065" i="7"/>
  <c r="I767" i="7"/>
  <c r="I996" i="7"/>
  <c r="I686" i="7"/>
  <c r="I578" i="7"/>
  <c r="I49" i="7"/>
  <c r="I769" i="7"/>
  <c r="I317" i="7"/>
  <c r="I639" i="7"/>
  <c r="I1024" i="7"/>
  <c r="I778" i="7"/>
  <c r="I835" i="7"/>
  <c r="I961" i="7"/>
  <c r="I492" i="7"/>
  <c r="I712" i="7"/>
  <c r="I1052" i="7"/>
  <c r="I1050" i="7"/>
  <c r="I708" i="7"/>
  <c r="I1046" i="7"/>
  <c r="I386" i="7"/>
  <c r="I678" i="7"/>
  <c r="I717" i="7"/>
  <c r="I31" i="7"/>
  <c r="I220" i="7"/>
  <c r="I67" i="7"/>
  <c r="I1049" i="7"/>
  <c r="I1029" i="7"/>
  <c r="I441" i="7"/>
  <c r="I169" i="7"/>
  <c r="I771" i="7"/>
  <c r="I1027" i="7"/>
  <c r="I401" i="7"/>
  <c r="I715" i="7"/>
  <c r="I1032" i="7"/>
  <c r="I646" i="7"/>
  <c r="I729" i="7"/>
  <c r="I816" i="7"/>
  <c r="I537" i="7"/>
  <c r="I834" i="7"/>
  <c r="I659" i="7"/>
  <c r="I981" i="7"/>
  <c r="I732" i="7"/>
  <c r="I943" i="7"/>
  <c r="I694" i="7"/>
  <c r="I211" i="7"/>
  <c r="I428" i="7"/>
  <c r="I663" i="7"/>
  <c r="I213" i="7"/>
  <c r="I770" i="7"/>
  <c r="I963" i="7"/>
  <c r="I1034" i="7"/>
  <c r="I685" i="7"/>
  <c r="I935" i="7"/>
  <c r="I929" i="7"/>
  <c r="I656" i="7"/>
  <c r="I980" i="7"/>
  <c r="I146" i="7"/>
  <c r="I642" i="7"/>
  <c r="I856" i="7"/>
  <c r="I253" i="7"/>
  <c r="I390" i="7"/>
  <c r="I142" i="7"/>
  <c r="I208" i="7"/>
  <c r="I488" i="7"/>
  <c r="I84" i="7"/>
  <c r="I295" i="7"/>
  <c r="I536" i="7"/>
  <c r="I1026" i="7"/>
  <c r="I945" i="7"/>
  <c r="I798" i="7"/>
  <c r="I117" i="7"/>
  <c r="I612" i="7"/>
  <c r="I1074" i="7"/>
  <c r="I535" i="7"/>
  <c r="I641" i="7"/>
  <c r="I673" i="7"/>
  <c r="I640" i="7"/>
  <c r="I556" i="7"/>
  <c r="I547" i="7"/>
  <c r="I797" i="7"/>
  <c r="I534" i="7"/>
  <c r="I360" i="7"/>
  <c r="I600" i="7"/>
  <c r="I979" i="7"/>
  <c r="I83" i="7"/>
  <c r="I674" i="7"/>
  <c r="I592" i="7"/>
  <c r="I620" i="7"/>
  <c r="I358" i="7"/>
  <c r="I630" i="7"/>
  <c r="I830" i="7"/>
  <c r="I95" i="7"/>
  <c r="I655" i="7"/>
  <c r="I670" i="7"/>
  <c r="I611" i="7"/>
  <c r="I134" i="7"/>
  <c r="I332" i="7"/>
  <c r="I636" i="7"/>
  <c r="I533" i="7"/>
  <c r="I648" i="7"/>
  <c r="I487" i="7"/>
  <c r="I721" i="7"/>
  <c r="I693" i="7"/>
  <c r="I672" i="7"/>
  <c r="I1070" i="7"/>
  <c r="I1090" i="7"/>
  <c r="I399" i="7"/>
  <c r="I575" i="7"/>
  <c r="I1079" i="7"/>
  <c r="I136" i="7"/>
  <c r="I209" i="7"/>
  <c r="I752" i="7"/>
  <c r="I313" i="7"/>
  <c r="I624" i="7"/>
  <c r="I697" i="7"/>
  <c r="I521" i="7"/>
  <c r="I703" i="7"/>
  <c r="I540" i="7"/>
  <c r="I705" i="7"/>
  <c r="I954" i="7"/>
  <c r="I632" i="7"/>
  <c r="I610" i="7"/>
  <c r="I156" i="7"/>
  <c r="I950" i="7"/>
  <c r="I294" i="7"/>
  <c r="I293" i="7"/>
  <c r="I292" i="7"/>
  <c r="I602" i="7"/>
  <c r="I941" i="7"/>
  <c r="I740" i="7"/>
  <c r="I300" i="7"/>
  <c r="I796" i="7"/>
  <c r="I89" i="7"/>
  <c r="I643" i="7"/>
  <c r="I757" i="7"/>
  <c r="I506" i="7"/>
  <c r="I565" i="7"/>
  <c r="I301" i="7"/>
  <c r="I1047" i="7"/>
  <c r="I779" i="7"/>
  <c r="I542" i="7"/>
  <c r="I532" i="7"/>
  <c r="I262" i="7"/>
  <c r="I667" i="7"/>
  <c r="I785" i="7"/>
  <c r="I747" i="7"/>
  <c r="I813" i="7"/>
  <c r="I438" i="7"/>
  <c r="I393" i="7"/>
  <c r="I596" i="7"/>
  <c r="I188" i="7"/>
  <c r="I141" i="7"/>
  <c r="I626" i="7"/>
  <c r="I1084" i="7"/>
  <c r="I733" i="7"/>
  <c r="I609" i="7"/>
  <c r="I539" i="7"/>
  <c r="I270" i="7"/>
  <c r="I38" i="7"/>
  <c r="I433" i="7"/>
  <c r="I520" i="7"/>
  <c r="I541" i="7"/>
  <c r="I692" i="7"/>
  <c r="I684" i="7"/>
  <c r="I327" i="7"/>
  <c r="I608" i="7"/>
  <c r="I138" i="7"/>
  <c r="I731" i="7"/>
  <c r="I469" i="7"/>
  <c r="I531" i="7"/>
  <c r="I250" i="7"/>
  <c r="I601" i="7"/>
  <c r="I658" i="7"/>
  <c r="I149" i="7"/>
  <c r="I450" i="7"/>
  <c r="I177" i="7"/>
  <c r="I324" i="7"/>
  <c r="I570" i="7"/>
  <c r="I133" i="7"/>
  <c r="I551" i="7"/>
  <c r="I82" i="7"/>
  <c r="I459" i="7"/>
  <c r="I977" i="7"/>
  <c r="I675" i="7"/>
  <c r="I734" i="7"/>
  <c r="I1016" i="7"/>
  <c r="I722" i="7"/>
  <c r="I579" i="7"/>
  <c r="I607" i="7"/>
  <c r="I916" i="7"/>
  <c r="I567" i="7"/>
  <c r="I436" i="7"/>
  <c r="I416" i="7"/>
  <c r="I514" i="7"/>
  <c r="I479" i="7"/>
  <c r="I214" i="7"/>
  <c r="I552" i="7"/>
  <c r="I683" i="7"/>
  <c r="I425" i="7"/>
  <c r="I511" i="7"/>
  <c r="I598" i="7"/>
  <c r="I517" i="7"/>
  <c r="I827" i="7"/>
  <c r="I481" i="7"/>
  <c r="I98" i="7"/>
  <c r="I599" i="7"/>
  <c r="I1037" i="7"/>
  <c r="I1073" i="7"/>
  <c r="I751" i="7"/>
  <c r="I576" i="7"/>
  <c r="I218" i="7"/>
  <c r="I229" i="7"/>
  <c r="I228" i="7"/>
  <c r="I434" i="7"/>
  <c r="I976" i="7"/>
  <c r="I530" i="7"/>
  <c r="I784" i="7"/>
  <c r="I36" i="7"/>
  <c r="I340" i="7"/>
  <c r="I603" i="7"/>
  <c r="I633" i="7"/>
  <c r="I388" i="7"/>
  <c r="I361" i="7"/>
  <c r="I290" i="7"/>
  <c r="I704" i="7"/>
  <c r="I561" i="7"/>
  <c r="I56" i="7"/>
  <c r="I498" i="7"/>
  <c r="I468" i="7"/>
  <c r="I723" i="7"/>
  <c r="I591" i="7"/>
  <c r="I1010" i="7"/>
  <c r="I543" i="7"/>
  <c r="I168" i="7"/>
  <c r="I359" i="7"/>
  <c r="I1008" i="7"/>
  <c r="I1030" i="7"/>
  <c r="I924" i="7"/>
  <c r="I99" i="7"/>
  <c r="I820" i="7"/>
  <c r="I402" i="7"/>
  <c r="I489" i="7"/>
  <c r="I908" i="7"/>
  <c r="I606" i="7"/>
  <c r="I205" i="7"/>
  <c r="I322" i="7"/>
  <c r="I921" i="7"/>
  <c r="I472" i="7"/>
  <c r="I679" i="7"/>
  <c r="I147" i="7"/>
  <c r="I817" i="7"/>
  <c r="I661" i="7"/>
  <c r="I155" i="7"/>
  <c r="I109" i="7"/>
  <c r="I387" i="7"/>
  <c r="I139" i="7"/>
  <c r="I467" i="7"/>
  <c r="I594" i="7"/>
  <c r="I394" i="7"/>
  <c r="I571" i="7"/>
  <c r="I964" i="7"/>
  <c r="I605" i="7"/>
  <c r="I1022" i="7"/>
  <c r="I523" i="7"/>
  <c r="I583" i="7"/>
  <c r="I455" i="7"/>
  <c r="I529" i="7"/>
  <c r="I662" i="7"/>
  <c r="I509" i="7"/>
  <c r="I528" i="7"/>
  <c r="I657" i="7"/>
  <c r="I815" i="7"/>
  <c r="I726" i="7"/>
  <c r="I1056" i="7"/>
  <c r="I759" i="7"/>
  <c r="I516" i="7"/>
  <c r="I289" i="7"/>
  <c r="I186" i="7"/>
  <c r="I628" i="7"/>
  <c r="I814" i="7"/>
  <c r="I466" i="7"/>
  <c r="I465" i="7"/>
  <c r="I559" i="7"/>
  <c r="I167" i="7"/>
  <c r="I462" i="7"/>
  <c r="I563" i="7"/>
  <c r="I557" i="7"/>
  <c r="I604" i="7"/>
  <c r="I199" i="7"/>
  <c r="I403" i="7"/>
  <c r="I412" i="7"/>
  <c r="I411" i="7"/>
  <c r="I460" i="7"/>
  <c r="I464" i="7"/>
  <c r="I171" i="7"/>
  <c r="I288" i="7"/>
  <c r="I507" i="7"/>
  <c r="I335" i="7"/>
  <c r="I370" i="7"/>
  <c r="I569" i="7"/>
  <c r="I351" i="7"/>
  <c r="I572" i="7"/>
  <c r="I243" i="7"/>
  <c r="I749" i="7"/>
  <c r="I463" i="7"/>
  <c r="I163" i="7"/>
  <c r="I372" i="7"/>
  <c r="I761" i="7"/>
  <c r="I268" i="7"/>
  <c r="I783" i="7"/>
  <c r="I527" i="7"/>
  <c r="I597" i="7"/>
  <c r="I410" i="7"/>
  <c r="I392" i="7"/>
  <c r="I956" i="7"/>
  <c r="I400" i="7"/>
  <c r="I473" i="7"/>
  <c r="I367" i="7"/>
  <c r="I616" i="7"/>
  <c r="I471" i="7"/>
  <c r="I635" i="7"/>
  <c r="I968" i="7"/>
  <c r="I515" i="7"/>
  <c r="I971" i="7"/>
  <c r="I426" i="7"/>
  <c r="I120" i="7"/>
  <c r="I271" i="7"/>
  <c r="I287" i="7"/>
  <c r="I413" i="7"/>
  <c r="I1020" i="7"/>
  <c r="I338" i="7"/>
  <c r="I316" i="7"/>
  <c r="I162" i="7"/>
  <c r="I189" i="7"/>
  <c r="I623" i="7"/>
  <c r="I940" i="7"/>
  <c r="I255" i="7"/>
  <c r="I668" i="7"/>
  <c r="I1014" i="7"/>
  <c r="I345" i="7"/>
  <c r="I811" i="7"/>
  <c r="I409" i="7"/>
  <c r="I161" i="7"/>
  <c r="I197" i="7"/>
  <c r="I342" i="7"/>
  <c r="I526" i="7"/>
  <c r="I447" i="7"/>
  <c r="I736" i="7"/>
  <c r="I306" i="7"/>
  <c r="I408" i="7"/>
  <c r="I1066" i="7"/>
  <c r="I446" i="7"/>
  <c r="I131" i="7"/>
  <c r="I407" i="7"/>
  <c r="I972" i="7"/>
  <c r="I429" i="7"/>
  <c r="I396" i="7"/>
  <c r="I795" i="7"/>
  <c r="I1013" i="7"/>
  <c r="I508" i="7"/>
  <c r="I786" i="7"/>
  <c r="I449" i="7"/>
  <c r="I223" i="7"/>
  <c r="I518" i="7"/>
  <c r="I259" i="7"/>
  <c r="I258" i="7"/>
  <c r="I375" i="7"/>
  <c r="I406" i="7"/>
  <c r="I405" i="7"/>
  <c r="I174" i="7"/>
  <c r="I1058" i="7"/>
  <c r="I329" i="7"/>
  <c r="I1043" i="7"/>
  <c r="I227" i="7"/>
  <c r="I404" i="7"/>
  <c r="I267" i="7"/>
  <c r="I1003" i="7"/>
  <c r="I102" i="7"/>
  <c r="I451" i="7"/>
  <c r="I728" i="7"/>
  <c r="I794" i="7"/>
  <c r="I932" i="7"/>
  <c r="I738" i="7"/>
  <c r="I580" i="7"/>
  <c r="I677" i="7"/>
  <c r="I568" i="7"/>
  <c r="I654" i="7"/>
  <c r="I548" i="7"/>
  <c r="I278" i="7"/>
  <c r="I458" i="7"/>
  <c r="I1004" i="7"/>
  <c r="I286" i="7"/>
  <c r="I285" i="7"/>
  <c r="I368" i="7"/>
  <c r="I854" i="7"/>
  <c r="I653" i="7"/>
  <c r="I415" i="7"/>
  <c r="I707" i="7"/>
  <c r="I130" i="7"/>
  <c r="I369" i="7"/>
  <c r="I380" i="7"/>
  <c r="I85" i="7"/>
  <c r="I284" i="7"/>
  <c r="I595" i="7"/>
  <c r="I545" i="7"/>
  <c r="I265" i="7"/>
  <c r="I320" i="7"/>
  <c r="I844" i="7"/>
  <c r="I59" i="7"/>
  <c r="I681" i="7"/>
  <c r="I364" i="7"/>
  <c r="I453" i="7"/>
  <c r="I119" i="7"/>
  <c r="I664" i="7"/>
  <c r="I97" i="7"/>
  <c r="I843" i="7"/>
  <c r="I283" i="7"/>
  <c r="I748" i="7"/>
  <c r="I430" i="7"/>
  <c r="I384" i="7"/>
  <c r="I326" i="7"/>
  <c r="I143" i="7"/>
  <c r="I81" i="7"/>
  <c r="I442" i="7"/>
  <c r="I232" i="7"/>
  <c r="I78" i="7"/>
  <c r="I901" i="7"/>
  <c r="I1002" i="7"/>
  <c r="I144" i="7"/>
  <c r="I420" i="7"/>
  <c r="I461" i="7"/>
  <c r="I414" i="7"/>
  <c r="I680" i="7"/>
  <c r="I973" i="7"/>
  <c r="I477" i="7"/>
  <c r="I1028" i="7"/>
  <c r="I311" i="7"/>
  <c r="I525" i="7"/>
  <c r="I339" i="7"/>
  <c r="I524" i="7"/>
  <c r="I254" i="7"/>
  <c r="I485" i="7"/>
  <c r="I418" i="7"/>
  <c r="I427" i="7"/>
  <c r="I969" i="7"/>
  <c r="I365" i="7"/>
  <c r="I282" i="7"/>
  <c r="I274" i="7"/>
  <c r="I281" i="7"/>
  <c r="I272" i="7"/>
  <c r="I305" i="7"/>
  <c r="I212" i="7"/>
  <c r="I1015" i="7"/>
  <c r="I789" i="7"/>
  <c r="I280" i="7"/>
  <c r="I918" i="7"/>
  <c r="I148" i="7"/>
  <c r="I333" i="7"/>
  <c r="I927" i="7"/>
  <c r="I952" i="7"/>
  <c r="I125" i="7"/>
  <c r="I1053" i="7"/>
  <c r="I710" i="7"/>
  <c r="I279" i="7"/>
  <c r="I421" i="7"/>
  <c r="I566" i="7"/>
  <c r="I645" i="7"/>
  <c r="I696" i="7"/>
  <c r="I682" i="7"/>
  <c r="I170" i="7"/>
  <c r="I967" i="7"/>
  <c r="I242" i="7"/>
  <c r="I15" i="7"/>
  <c r="I314" i="7"/>
  <c r="I478" i="7"/>
  <c r="I54" i="7"/>
  <c r="I1038" i="7"/>
  <c r="I1061" i="7"/>
  <c r="I104" i="7"/>
  <c r="I179" i="7"/>
  <c r="I76" i="7"/>
  <c r="I456" i="7"/>
  <c r="I264" i="7"/>
  <c r="I100" i="7"/>
  <c r="I587" i="7"/>
  <c r="I226" i="7"/>
  <c r="I20" i="7"/>
  <c r="I246" i="7"/>
  <c r="I974" i="7"/>
  <c r="I970" i="7"/>
  <c r="I126" i="7"/>
  <c r="I495" i="7"/>
  <c r="I266" i="7"/>
  <c r="I942" i="7"/>
  <c r="I362" i="7"/>
  <c r="I1018" i="7"/>
  <c r="I303" i="7"/>
  <c r="I207" i="7"/>
  <c r="I502" i="7"/>
  <c r="I381" i="7"/>
  <c r="I5" i="7"/>
  <c r="I257" i="7"/>
  <c r="I331" i="7"/>
  <c r="I500" i="7"/>
  <c r="I241" i="7"/>
  <c r="I195" i="7"/>
  <c r="I649" i="7"/>
  <c r="I444" i="7"/>
  <c r="I206" i="7"/>
  <c r="I560" i="7"/>
  <c r="I19" i="7"/>
  <c r="I276" i="7"/>
  <c r="I499" i="7"/>
  <c r="I787" i="7"/>
  <c r="I71" i="7"/>
  <c r="I219" i="7"/>
  <c r="I454" i="7"/>
  <c r="I27" i="7"/>
  <c r="I334" i="7"/>
  <c r="I423" i="7"/>
  <c r="I522" i="7"/>
  <c r="I936" i="7"/>
  <c r="I28" i="7"/>
  <c r="I245" i="7"/>
  <c r="I221" i="7"/>
  <c r="I159" i="7"/>
  <c r="I60" i="7"/>
  <c r="I239" i="7"/>
  <c r="I741" i="7"/>
  <c r="I94" i="7"/>
  <c r="I93" i="7"/>
  <c r="I318" i="7"/>
  <c r="I625" i="7"/>
  <c r="I17" i="7"/>
  <c r="I16" i="7"/>
  <c r="I819" i="7"/>
  <c r="I484" i="7"/>
  <c r="I240" i="7"/>
  <c r="I72" i="7"/>
  <c r="I391" i="7"/>
  <c r="I321" i="7"/>
  <c r="I389" i="7"/>
  <c r="I296" i="7"/>
  <c r="I1017" i="7"/>
  <c r="I181" i="7"/>
  <c r="I538" i="7"/>
  <c r="I638" i="7"/>
  <c r="I614" i="7"/>
  <c r="I382" i="7"/>
  <c r="I14" i="7"/>
  <c r="I13" i="7"/>
  <c r="I74" i="7"/>
  <c r="I79" i="7"/>
  <c r="I328" i="7"/>
  <c r="I113" i="7"/>
  <c r="I577" i="7"/>
  <c r="I165" i="7"/>
  <c r="I593" i="7"/>
  <c r="I4" i="7"/>
  <c r="I1036" i="7"/>
  <c r="I776" i="7"/>
  <c r="I1009" i="7"/>
  <c r="I424" i="7"/>
  <c r="I1011" i="7"/>
  <c r="I150" i="7"/>
  <c r="I417" i="7"/>
  <c r="I308" i="7"/>
  <c r="I828" i="7"/>
  <c r="I90" i="7"/>
  <c r="I201" i="7"/>
  <c r="I319" i="7"/>
  <c r="I788" i="7"/>
  <c r="I584" i="7"/>
  <c r="I217" i="7"/>
  <c r="I251" i="7"/>
  <c r="I164" i="7"/>
  <c r="I252" i="7"/>
  <c r="I385" i="7"/>
  <c r="I923" i="7"/>
  <c r="I758" i="7"/>
  <c r="I41" i="7"/>
  <c r="I660" i="7"/>
  <c r="I909" i="7"/>
  <c r="I634" i="7"/>
  <c r="I107" i="7"/>
  <c r="I140" i="7"/>
  <c r="I490" i="7"/>
  <c r="I644" i="7"/>
  <c r="I298" i="7"/>
  <c r="I564" i="7"/>
  <c r="I127" i="7"/>
  <c r="I101" i="7"/>
  <c r="I302" i="7"/>
  <c r="I124" i="7"/>
  <c r="I650" i="7"/>
  <c r="I512" i="7"/>
  <c r="I337" i="7"/>
  <c r="I96" i="7"/>
  <c r="I132" i="7"/>
  <c r="I588" i="7"/>
  <c r="I315" i="7"/>
  <c r="I256" i="7"/>
  <c r="I277" i="7"/>
  <c r="I29" i="7"/>
  <c r="I448" i="7"/>
  <c r="I379" i="7"/>
  <c r="I116" i="7"/>
  <c r="I53" i="7"/>
  <c r="I482" i="7"/>
  <c r="I452" i="7"/>
  <c r="I439" i="7"/>
  <c r="I519" i="7"/>
  <c r="I65" i="7"/>
  <c r="I3" i="7"/>
  <c r="I180" i="7"/>
  <c r="I378" i="7"/>
  <c r="I374" i="7"/>
  <c r="I398" i="7"/>
  <c r="I419" i="7"/>
  <c r="I395" i="7"/>
  <c r="I26" i="7"/>
  <c r="I25" i="7"/>
  <c r="I66" i="7"/>
  <c r="I373" i="7"/>
  <c r="I431" i="7"/>
  <c r="I69" i="7"/>
  <c r="I905" i="7"/>
  <c r="I627" i="7"/>
  <c r="I118" i="7"/>
  <c r="I437" i="7"/>
  <c r="I111" i="7"/>
  <c r="I135" i="7"/>
  <c r="I483" i="7"/>
  <c r="I12" i="7"/>
  <c r="I491" i="7"/>
  <c r="I10" i="7"/>
  <c r="I457" i="7"/>
  <c r="I63" i="7"/>
  <c r="I275" i="7"/>
  <c r="I363" i="7"/>
  <c r="I55" i="7"/>
  <c r="I80" i="7"/>
  <c r="I21" i="7"/>
  <c r="I445" i="7"/>
  <c r="I68" i="7"/>
  <c r="I112" i="7"/>
  <c r="I297" i="7"/>
  <c r="I166" i="7"/>
  <c r="I58" i="7"/>
  <c r="I309" i="7"/>
  <c r="I216" i="7"/>
  <c r="I11" i="7"/>
  <c r="I9" i="7"/>
  <c r="I1332" i="4"/>
  <c r="I1116" i="4"/>
  <c r="I1362" i="4"/>
  <c r="I1298" i="4"/>
  <c r="I245" i="4"/>
  <c r="I227" i="4"/>
  <c r="I499" i="4"/>
  <c r="I80" i="4"/>
  <c r="I639" i="4"/>
  <c r="I302" i="4"/>
  <c r="I141" i="4"/>
  <c r="I643" i="4"/>
  <c r="I651" i="4"/>
  <c r="I839" i="4"/>
  <c r="I288" i="4"/>
  <c r="I823" i="4"/>
  <c r="I605" i="4"/>
  <c r="I772" i="4"/>
  <c r="I572" i="4"/>
  <c r="I890" i="4"/>
  <c r="I886" i="4"/>
  <c r="I217" i="4"/>
  <c r="I193" i="4"/>
  <c r="I928" i="4"/>
  <c r="I973" i="4"/>
  <c r="I657" i="4"/>
  <c r="I1346" i="4"/>
  <c r="I982" i="4"/>
  <c r="I1025" i="4"/>
  <c r="I863" i="4"/>
  <c r="I1057" i="4"/>
  <c r="I1102" i="4"/>
  <c r="I1379" i="4"/>
  <c r="I1329" i="4"/>
  <c r="I1040" i="4"/>
  <c r="I677" i="4"/>
  <c r="I167" i="4"/>
  <c r="I138" i="4"/>
  <c r="I137" i="4"/>
  <c r="I1418" i="4"/>
  <c r="I55" i="4"/>
  <c r="I978" i="4"/>
  <c r="I992" i="4"/>
  <c r="I911" i="4"/>
  <c r="I612" i="4"/>
  <c r="I110" i="4"/>
  <c r="I247" i="4"/>
  <c r="I241" i="4"/>
  <c r="I328" i="4"/>
  <c r="I240" i="4"/>
  <c r="I700" i="4"/>
  <c r="I882" i="4"/>
  <c r="I904" i="4"/>
  <c r="I898" i="4"/>
  <c r="I629" i="4"/>
  <c r="I100" i="4"/>
  <c r="I778" i="4"/>
  <c r="I132" i="4"/>
  <c r="I964" i="4"/>
  <c r="I463" i="4"/>
  <c r="I777" i="4"/>
  <c r="I764" i="4"/>
  <c r="I124" i="4"/>
  <c r="I87" i="4"/>
  <c r="I698" i="4"/>
  <c r="I386" i="4"/>
  <c r="I73" i="4"/>
  <c r="I43" i="4"/>
  <c r="I807" i="4"/>
  <c r="I308" i="4"/>
  <c r="I1050" i="4"/>
  <c r="I770" i="4"/>
  <c r="I685" i="4"/>
  <c r="I582" i="4"/>
  <c r="I191" i="4"/>
  <c r="I139" i="4"/>
  <c r="I598" i="4"/>
  <c r="I83" i="4"/>
  <c r="I51" i="4"/>
  <c r="I233" i="4"/>
  <c r="I250" i="4"/>
  <c r="I1334" i="4"/>
  <c r="I927" i="4"/>
  <c r="I880" i="4"/>
  <c r="I125" i="4"/>
  <c r="I156" i="4"/>
  <c r="I118" i="4"/>
  <c r="I999" i="4"/>
  <c r="I558" i="4"/>
  <c r="I658" i="4"/>
  <c r="I868" i="4"/>
  <c r="I346" i="4"/>
  <c r="I1105" i="4"/>
  <c r="I721" i="4"/>
  <c r="I230" i="4"/>
  <c r="I742" i="4"/>
  <c r="I974" i="4"/>
  <c r="I470" i="4"/>
  <c r="I1019" i="4"/>
  <c r="I758" i="4"/>
  <c r="I1118" i="4"/>
  <c r="I1111" i="4"/>
  <c r="I792" i="4"/>
  <c r="I753" i="4"/>
  <c r="I155" i="4"/>
  <c r="I113" i="4"/>
  <c r="I280" i="4"/>
  <c r="I235" i="4"/>
  <c r="I869" i="4"/>
  <c r="I178" i="4"/>
  <c r="I1034" i="4"/>
  <c r="I1070" i="4"/>
  <c r="I416" i="4"/>
  <c r="I320" i="4"/>
  <c r="I1117" i="4"/>
  <c r="I1112" i="4"/>
  <c r="I804" i="4"/>
  <c r="I809" i="4"/>
  <c r="I715" i="4"/>
  <c r="I88" i="4"/>
  <c r="I991" i="4"/>
  <c r="I986" i="4"/>
  <c r="I981" i="4"/>
  <c r="I885" i="4"/>
  <c r="I619" i="4"/>
  <c r="I601" i="4"/>
  <c r="I573" i="4"/>
  <c r="I563" i="4"/>
  <c r="I828" i="4"/>
  <c r="I873" i="4"/>
  <c r="I646" i="4"/>
  <c r="I644" i="4"/>
  <c r="I207" i="4"/>
  <c r="I269" i="4"/>
  <c r="I104" i="4"/>
  <c r="I206" i="4"/>
  <c r="I799" i="4"/>
  <c r="I189" i="4"/>
  <c r="I950" i="4"/>
  <c r="I290" i="4"/>
  <c r="I1349" i="4"/>
  <c r="I1074" i="4"/>
  <c r="I592" i="4"/>
  <c r="I98" i="4"/>
  <c r="I495" i="4"/>
  <c r="I597" i="4"/>
  <c r="I299" i="4"/>
  <c r="I954" i="4"/>
  <c r="I506" i="4"/>
  <c r="I534" i="4"/>
  <c r="I632" i="4"/>
  <c r="I523" i="4"/>
  <c r="I144" i="4"/>
  <c r="I79" i="4"/>
  <c r="I1005" i="4"/>
  <c r="I952" i="4"/>
  <c r="I1386" i="4"/>
  <c r="I1383" i="4"/>
  <c r="I1339" i="4"/>
  <c r="I1291" i="4"/>
  <c r="I487" i="4"/>
  <c r="I77" i="4"/>
  <c r="I864" i="4"/>
  <c r="I653" i="4"/>
  <c r="I145" i="4"/>
  <c r="I105" i="4"/>
  <c r="I439" i="4"/>
  <c r="I472" i="4"/>
  <c r="I95" i="4"/>
  <c r="I1407" i="4"/>
  <c r="I1344" i="4"/>
  <c r="I1289" i="4"/>
  <c r="I135" i="4"/>
  <c r="I822" i="4"/>
  <c r="I706" i="4"/>
  <c r="I951" i="4"/>
  <c r="I564" i="4"/>
  <c r="I431" i="4"/>
  <c r="I688" i="4"/>
  <c r="I1012" i="4"/>
  <c r="I1014" i="4"/>
  <c r="I993" i="4"/>
  <c r="I924" i="4"/>
  <c r="I959" i="4"/>
  <c r="I1081" i="4"/>
  <c r="I1023" i="4"/>
  <c r="I650" i="4"/>
  <c r="I501" i="4"/>
  <c r="I50" i="4"/>
  <c r="I36" i="4"/>
  <c r="I35" i="4"/>
  <c r="I496" i="4"/>
  <c r="I600" i="4"/>
  <c r="I404" i="4"/>
  <c r="I406" i="4"/>
  <c r="I1325" i="4"/>
  <c r="I1036" i="4"/>
  <c r="I984" i="4"/>
  <c r="I513" i="4"/>
  <c r="I1253" i="4"/>
  <c r="I998" i="4"/>
  <c r="I492" i="4"/>
  <c r="I631" i="4"/>
  <c r="I122" i="4"/>
  <c r="I856" i="4"/>
  <c r="I703" i="4"/>
  <c r="I279" i="4"/>
  <c r="I192" i="4"/>
  <c r="I1008" i="4"/>
  <c r="I820" i="4"/>
  <c r="I316" i="4"/>
  <c r="I238" i="4"/>
  <c r="I335" i="4"/>
  <c r="I970" i="4"/>
  <c r="I910" i="4"/>
  <c r="I1371" i="4"/>
  <c r="I68" i="4"/>
  <c r="I590" i="4"/>
  <c r="I89" i="4"/>
  <c r="I947" i="4"/>
  <c r="I829" i="4"/>
  <c r="I338" i="4"/>
  <c r="I257" i="4"/>
  <c r="I377" i="4"/>
  <c r="I411" i="4"/>
  <c r="I1364" i="4"/>
  <c r="I1018" i="4"/>
  <c r="I1369" i="4"/>
  <c r="I791" i="4"/>
  <c r="I1308" i="4"/>
  <c r="I1069" i="4"/>
  <c r="I872" i="4"/>
  <c r="I861" i="4"/>
  <c r="I325" i="4"/>
  <c r="I814" i="4"/>
  <c r="I307" i="4"/>
  <c r="I660" i="4"/>
  <c r="I162" i="4"/>
  <c r="I913" i="4"/>
  <c r="I381" i="4"/>
  <c r="I1020" i="4"/>
  <c r="I937" i="4"/>
  <c r="I1390" i="4"/>
  <c r="I1103" i="4"/>
  <c r="I546" i="4"/>
  <c r="I923" i="4"/>
  <c r="I936" i="4"/>
  <c r="I935" i="4"/>
  <c r="I921" i="4"/>
  <c r="I304" i="4"/>
  <c r="I821" i="4"/>
  <c r="I1375" i="4"/>
  <c r="I1115" i="4"/>
  <c r="I997" i="4"/>
  <c r="I1352" i="4"/>
  <c r="I1290" i="4"/>
  <c r="I1389" i="4"/>
  <c r="I1086" i="4"/>
  <c r="I1001" i="4"/>
  <c r="I488" i="4"/>
  <c r="I1302" i="4"/>
  <c r="I988" i="4"/>
  <c r="I800" i="4"/>
  <c r="I329" i="4"/>
  <c r="I808" i="4"/>
  <c r="I126" i="4"/>
  <c r="I205" i="4"/>
  <c r="I200" i="4"/>
  <c r="I133" i="4"/>
  <c r="I119" i="4"/>
  <c r="I1078" i="4"/>
  <c r="I767" i="4"/>
  <c r="I614" i="4"/>
  <c r="I81" i="4"/>
  <c r="I71" i="4"/>
  <c r="I465" i="4"/>
  <c r="I968" i="4"/>
  <c r="I728" i="4"/>
  <c r="I1114" i="4"/>
  <c r="I1101" i="4"/>
  <c r="I966" i="4"/>
  <c r="I453" i="4"/>
  <c r="I654" i="4"/>
  <c r="I239" i="4"/>
  <c r="I490" i="4"/>
  <c r="I616" i="4"/>
  <c r="I832" i="4"/>
  <c r="I815" i="4"/>
  <c r="I421" i="4"/>
  <c r="I483" i="4"/>
  <c r="I441" i="4"/>
  <c r="I444" i="4"/>
  <c r="I344" i="4"/>
  <c r="I343" i="4"/>
  <c r="I365" i="4"/>
  <c r="I1022" i="4"/>
  <c r="I568" i="4"/>
  <c r="I693" i="4"/>
  <c r="I667" i="4"/>
  <c r="I571" i="4"/>
  <c r="I570" i="4"/>
  <c r="I455" i="4"/>
  <c r="I775" i="4"/>
  <c r="I333" i="4"/>
  <c r="I339" i="4"/>
  <c r="I266" i="4"/>
  <c r="I199" i="4"/>
  <c r="I438" i="4"/>
  <c r="I451" i="4"/>
  <c r="I744" i="4"/>
  <c r="I374" i="4"/>
  <c r="I737" i="4"/>
  <c r="I630" i="4"/>
  <c r="I341" i="4"/>
  <c r="I1385" i="4"/>
  <c r="I1041" i="4"/>
  <c r="I1003" i="4"/>
  <c r="I805" i="4"/>
  <c r="I539" i="4"/>
  <c r="I334" i="4"/>
  <c r="I258" i="4"/>
  <c r="I261" i="4"/>
  <c r="I402" i="4"/>
  <c r="I350" i="4"/>
  <c r="I648" i="4"/>
  <c r="I556" i="4"/>
  <c r="I585" i="4"/>
  <c r="I90" i="4"/>
  <c r="I945" i="4"/>
  <c r="I938" i="4"/>
  <c r="I933" i="4"/>
  <c r="I987" i="4"/>
  <c r="I983" i="4"/>
  <c r="I971" i="4"/>
  <c r="I845" i="4"/>
  <c r="I99" i="4"/>
  <c r="I816" i="4"/>
  <c r="I865" i="4"/>
  <c r="I853" i="4"/>
  <c r="I1104" i="4"/>
  <c r="I1072" i="4"/>
  <c r="I1063" i="4"/>
  <c r="I914" i="4"/>
  <c r="I1011" i="4"/>
  <c r="I722" i="4"/>
  <c r="I621" i="4"/>
  <c r="I287" i="4"/>
  <c r="I1237" i="4"/>
  <c r="I1236" i="4"/>
  <c r="I1281" i="4"/>
  <c r="I892" i="4"/>
  <c r="I1414" i="4"/>
  <c r="I1353" i="4"/>
  <c r="I1398" i="4"/>
  <c r="I1317" i="4"/>
  <c r="I1075" i="4"/>
  <c r="I1043" i="4"/>
  <c r="I1341" i="4"/>
  <c r="I1322" i="4"/>
  <c r="I1295" i="4"/>
  <c r="I1280" i="4"/>
  <c r="I1403" i="4"/>
  <c r="I1013" i="4"/>
  <c r="I527" i="4"/>
  <c r="I1026" i="4"/>
  <c r="I1002" i="4"/>
  <c r="I638" i="4"/>
  <c r="I361" i="4"/>
  <c r="I972" i="4"/>
  <c r="I522" i="4"/>
  <c r="I296" i="4"/>
  <c r="I422" i="4"/>
  <c r="I283" i="4"/>
  <c r="I289" i="4"/>
  <c r="I884" i="4"/>
  <c r="I525" i="4"/>
  <c r="I420" i="4"/>
  <c r="I159" i="4"/>
  <c r="I565" i="4"/>
  <c r="I177" i="4"/>
  <c r="I318" i="4"/>
  <c r="I56" i="4"/>
  <c r="I170" i="4"/>
  <c r="I11" i="4"/>
  <c r="I871" i="4"/>
  <c r="I718" i="4"/>
  <c r="I1333" i="4"/>
  <c r="I1083" i="4"/>
  <c r="I1354" i="4"/>
  <c r="I1328" i="4"/>
  <c r="I1319" i="4"/>
  <c r="I996" i="4"/>
  <c r="I796" i="4"/>
  <c r="I256" i="4"/>
  <c r="I456" i="4"/>
  <c r="I857" i="4"/>
  <c r="I295" i="4"/>
  <c r="I390" i="4"/>
  <c r="I389" i="4"/>
  <c r="I63" i="4"/>
  <c r="I58" i="4"/>
  <c r="I330" i="4"/>
  <c r="I617" i="4"/>
  <c r="I1062" i="4"/>
  <c r="I939" i="4"/>
  <c r="I668" i="4"/>
  <c r="I379" i="4"/>
  <c r="I895" i="4"/>
  <c r="I615" i="4"/>
  <c r="I353" i="4"/>
  <c r="I704" i="4"/>
  <c r="I33" i="4"/>
  <c r="I223" i="4"/>
  <c r="I224" i="4"/>
  <c r="I1326" i="4"/>
  <c r="I1027" i="4"/>
  <c r="I1378" i="4"/>
  <c r="I1110" i="4"/>
  <c r="I1355" i="4"/>
  <c r="I164" i="4"/>
  <c r="I476" i="4"/>
  <c r="I1017" i="4"/>
  <c r="I567" i="4"/>
  <c r="I418" i="4"/>
  <c r="I682" i="4"/>
  <c r="I201" i="4"/>
  <c r="I729" i="4"/>
  <c r="I174" i="4"/>
  <c r="I1052" i="4"/>
  <c r="I398" i="4"/>
  <c r="I608" i="4"/>
  <c r="I130" i="4"/>
  <c r="I1361" i="4"/>
  <c r="I480" i="4"/>
  <c r="I679" i="4"/>
  <c r="I797" i="4"/>
  <c r="I248" i="4"/>
  <c r="I60" i="4"/>
  <c r="I161" i="4"/>
  <c r="I49" i="4"/>
  <c r="I32" i="4"/>
  <c r="I1010" i="4"/>
  <c r="I48" i="4"/>
  <c r="I226" i="4"/>
  <c r="I39" i="4"/>
  <c r="I870" i="4"/>
  <c r="I851" i="4"/>
  <c r="I553" i="4"/>
  <c r="I211" i="4"/>
  <c r="I66" i="4"/>
  <c r="I65" i="4"/>
  <c r="I949" i="4"/>
  <c r="I942" i="4"/>
  <c r="I941" i="4"/>
  <c r="I566" i="4"/>
  <c r="I117" i="4"/>
  <c r="I1323" i="4"/>
  <c r="I254" i="4"/>
  <c r="I391" i="4"/>
  <c r="I825" i="4"/>
  <c r="I806" i="4"/>
  <c r="I57" i="4"/>
  <c r="I286" i="4"/>
  <c r="I866" i="4"/>
  <c r="I782" i="4"/>
  <c r="I70" i="4"/>
  <c r="I128" i="4"/>
  <c r="I8" i="4"/>
  <c r="I1054" i="4"/>
  <c r="I780" i="4"/>
  <c r="I185" i="4"/>
  <c r="I15" i="4"/>
  <c r="I990" i="4"/>
  <c r="I953" i="4"/>
  <c r="I963" i="4"/>
  <c r="I961" i="4"/>
  <c r="I989" i="4"/>
  <c r="I278" i="4"/>
  <c r="I271" i="4"/>
  <c r="I393" i="4"/>
  <c r="I666" i="4"/>
  <c r="I445" i="4"/>
  <c r="I166" i="4"/>
  <c r="I91" i="4"/>
  <c r="I21" i="4"/>
  <c r="I19" i="4"/>
  <c r="I16" i="4"/>
  <c r="I4" i="4"/>
  <c r="I3" i="4"/>
  <c r="I2" i="4"/>
  <c r="I1222" i="4"/>
  <c r="I1220" i="4"/>
  <c r="I849" i="4"/>
  <c r="I1377" i="4"/>
  <c r="I841" i="4"/>
  <c r="I547" i="4"/>
  <c r="I1077" i="4"/>
  <c r="I1028" i="4"/>
  <c r="I521" i="4"/>
  <c r="I1392" i="4"/>
  <c r="I1306" i="4"/>
  <c r="I1024" i="4"/>
  <c r="I1288" i="4"/>
  <c r="I1100" i="4"/>
  <c r="I484" i="4"/>
  <c r="I1396" i="4"/>
  <c r="I655" i="4"/>
  <c r="I915" i="4"/>
  <c r="I479" i="4"/>
  <c r="I1363" i="4"/>
  <c r="I579" i="4"/>
  <c r="I1415" i="4"/>
  <c r="I867" i="4"/>
  <c r="I400" i="4"/>
  <c r="I788" i="4"/>
  <c r="I831" i="4"/>
  <c r="I733" i="4"/>
  <c r="I827" i="4"/>
  <c r="I326" i="4"/>
  <c r="I794" i="4"/>
  <c r="I810" i="4"/>
  <c r="I236" i="4"/>
  <c r="I179" i="4"/>
  <c r="I112" i="4"/>
  <c r="I494" i="4"/>
  <c r="I1096" i="4"/>
  <c r="I1307" i="4"/>
  <c r="I701" i="4"/>
  <c r="I1294" i="4"/>
  <c r="I1348" i="4"/>
  <c r="I293" i="4"/>
  <c r="I916" i="4"/>
  <c r="I493" i="4"/>
  <c r="I848" i="4"/>
  <c r="I837" i="4"/>
  <c r="I842" i="4"/>
  <c r="I787" i="4"/>
  <c r="I813" i="4"/>
  <c r="I511" i="4"/>
  <c r="I507" i="4"/>
  <c r="I109" i="4"/>
  <c r="I107" i="4"/>
  <c r="I1366" i="4"/>
  <c r="I1394" i="4"/>
  <c r="I1060" i="4"/>
  <c r="I342" i="4"/>
  <c r="I40" i="4"/>
  <c r="I1282" i="4"/>
  <c r="I1051" i="4"/>
  <c r="I1368" i="4"/>
  <c r="I1300" i="4"/>
  <c r="I720" i="4"/>
  <c r="I686" i="4"/>
  <c r="I662" i="4"/>
  <c r="I628" i="4"/>
  <c r="I584" i="4"/>
  <c r="I887" i="4"/>
  <c r="I26" i="4"/>
  <c r="I906" i="4"/>
  <c r="I1301" i="4"/>
  <c r="I862" i="4"/>
  <c r="I1106" i="4"/>
  <c r="I1067" i="4"/>
  <c r="I761" i="4"/>
  <c r="I160" i="4"/>
  <c r="I461" i="4"/>
  <c r="I47" i="4"/>
  <c r="I716" i="4"/>
  <c r="I243" i="4"/>
  <c r="I944" i="4"/>
  <c r="I373" i="4"/>
  <c r="I850" i="4"/>
  <c r="I824" i="4"/>
  <c r="I423" i="4"/>
  <c r="I397" i="4"/>
  <c r="I930" i="4"/>
  <c r="I324" i="4"/>
  <c r="I1058" i="4"/>
  <c r="I734" i="4"/>
  <c r="I9" i="4"/>
  <c r="I1342" i="4"/>
  <c r="I1276" i="4"/>
  <c r="I42" i="4"/>
  <c r="I67" i="4"/>
  <c r="I383" i="4"/>
  <c r="I955" i="4"/>
  <c r="I684" i="4"/>
  <c r="I673" i="4"/>
  <c r="I581" i="4"/>
  <c r="I508" i="4"/>
  <c r="I1393" i="4"/>
  <c r="I1356" i="4"/>
  <c r="I1209" i="4"/>
  <c r="I1208" i="4"/>
  <c r="I757" i="4"/>
  <c r="I500" i="4"/>
  <c r="I263" i="4"/>
  <c r="I75" i="4"/>
  <c r="I183" i="4"/>
  <c r="I1376" i="4"/>
  <c r="I1091" i="4"/>
  <c r="I1084" i="4"/>
  <c r="I732" i="4"/>
  <c r="I336" i="4"/>
  <c r="I427" i="4"/>
  <c r="I1367" i="4"/>
  <c r="I878" i="4"/>
  <c r="I893" i="4"/>
  <c r="I883" i="4"/>
  <c r="I458" i="4"/>
  <c r="I436" i="4"/>
  <c r="I415" i="4"/>
  <c r="I626" i="4"/>
  <c r="I554" i="4"/>
  <c r="I711" i="4"/>
  <c r="I301" i="4"/>
  <c r="I967" i="4"/>
  <c r="I760" i="4"/>
  <c r="I515" i="4"/>
  <c r="I357" i="4"/>
  <c r="I327" i="4"/>
  <c r="I349" i="4"/>
  <c r="I802" i="4"/>
  <c r="I759" i="4"/>
  <c r="I819" i="4"/>
  <c r="I1076" i="4"/>
  <c r="I624" i="4"/>
  <c r="I969" i="4"/>
  <c r="I408" i="4"/>
  <c r="I559" i="4"/>
  <c r="I360" i="4"/>
  <c r="I1347" i="4"/>
  <c r="I766" i="4"/>
  <c r="I751" i="4"/>
  <c r="I385" i="4"/>
  <c r="I697" i="4"/>
  <c r="I618" i="4"/>
  <c r="I656" i="4"/>
  <c r="I611" i="4"/>
  <c r="I696" i="4"/>
  <c r="I695" i="4"/>
  <c r="I426" i="4"/>
  <c r="I699" i="4"/>
  <c r="I529" i="4"/>
  <c r="I512" i="4"/>
  <c r="I469" i="4"/>
  <c r="I586" i="4"/>
  <c r="I591" i="4"/>
  <c r="I562" i="4"/>
  <c r="I477" i="4"/>
  <c r="I467" i="4"/>
  <c r="I683" i="4"/>
  <c r="I702" i="4"/>
  <c r="I309" i="4"/>
  <c r="I312" i="4"/>
  <c r="I310" i="4"/>
  <c r="I510" i="4"/>
  <c r="I723" i="4"/>
  <c r="I466" i="4"/>
  <c r="I376" i="4"/>
  <c r="I610" i="4"/>
  <c r="I661" i="4"/>
  <c r="I359" i="4"/>
  <c r="I649" i="4"/>
  <c r="I784" i="4"/>
  <c r="I593" i="4"/>
  <c r="I442" i="4"/>
  <c r="I447" i="4"/>
  <c r="I450" i="4"/>
  <c r="I449" i="4"/>
  <c r="I434" i="4"/>
  <c r="I429" i="4"/>
  <c r="I412" i="4"/>
  <c r="I676" i="4"/>
  <c r="I518" i="4"/>
  <c r="I594" i="4"/>
  <c r="I739" i="4"/>
  <c r="I730" i="4"/>
  <c r="I602" i="4"/>
  <c r="I583" i="4"/>
  <c r="I578" i="4"/>
  <c r="I576" i="4"/>
  <c r="I595" i="4"/>
  <c r="I689" i="4"/>
  <c r="I454" i="4"/>
  <c r="I473" i="4"/>
  <c r="I369" i="4"/>
  <c r="I717" i="4"/>
  <c r="I609" i="4"/>
  <c r="I459" i="4"/>
  <c r="I435" i="4"/>
  <c r="I709" i="4"/>
  <c r="I637" i="4"/>
  <c r="I636" i="4"/>
  <c r="I635" i="4"/>
  <c r="I520" i="4"/>
  <c r="I509" i="4"/>
  <c r="I452" i="4"/>
  <c r="I922" i="4"/>
  <c r="I321" i="4"/>
  <c r="I419" i="4"/>
  <c r="I1039" i="4"/>
  <c r="I620" i="4"/>
  <c r="I1038" i="4"/>
  <c r="I756" i="4"/>
  <c r="I260" i="4"/>
  <c r="I252" i="4"/>
  <c r="I877" i="4"/>
  <c r="I907" i="4"/>
  <c r="I1201" i="4"/>
  <c r="I1200" i="4"/>
  <c r="I731" i="4"/>
  <c r="I297" i="4"/>
  <c r="I1082" i="4"/>
  <c r="I675" i="4"/>
  <c r="I560" i="4"/>
  <c r="I491" i="4"/>
  <c r="I154" i="4"/>
  <c r="I121" i="4"/>
  <c r="I120" i="4"/>
  <c r="I926" i="4"/>
  <c r="I920" i="4"/>
  <c r="I836" i="4"/>
  <c r="I719" i="4"/>
  <c r="I795" i="4"/>
  <c r="I803" i="4"/>
  <c r="I331" i="4"/>
  <c r="I314" i="4"/>
  <c r="I273" i="4"/>
  <c r="I505" i="4"/>
  <c r="I86" i="4"/>
  <c r="I375" i="4"/>
  <c r="I875" i="4"/>
  <c r="I603" i="4"/>
  <c r="I1097" i="4"/>
  <c r="I768" i="4"/>
  <c r="I1410" i="4"/>
  <c r="I665" i="4"/>
  <c r="I1192" i="4"/>
  <c r="I276" i="4"/>
  <c r="I1189" i="4"/>
  <c r="I1188" i="4"/>
  <c r="I1374" i="4"/>
  <c r="I1278" i="4"/>
  <c r="I306" i="4"/>
  <c r="I917" i="4"/>
  <c r="I464" i="4"/>
  <c r="I543" i="4"/>
  <c r="I835" i="4"/>
  <c r="I337" i="4"/>
  <c r="I925" i="4"/>
  <c r="I1182" i="4"/>
  <c r="I830" i="4"/>
  <c r="I169" i="4"/>
  <c r="I180" i="4"/>
  <c r="I1391" i="4"/>
  <c r="I1312" i="4"/>
  <c r="I1373" i="4"/>
  <c r="I1021" i="4"/>
  <c r="I168" i="4"/>
  <c r="I225" i="4"/>
  <c r="I176" i="4"/>
  <c r="I580" i="4"/>
  <c r="I994" i="4"/>
  <c r="I1047" i="4"/>
  <c r="I798" i="4"/>
  <c r="I1351" i="4"/>
  <c r="I1277" i="4"/>
  <c r="I714" i="4"/>
  <c r="I268" i="4"/>
  <c r="I1098" i="4"/>
  <c r="I1032" i="4"/>
  <c r="I826" i="4"/>
  <c r="I633" i="4"/>
  <c r="I362" i="4"/>
  <c r="I186" i="4"/>
  <c r="I181" i="4"/>
  <c r="I165" i="4"/>
  <c r="I1382" i="4"/>
  <c r="I195" i="4"/>
  <c r="I277" i="4"/>
  <c r="I1066" i="4"/>
  <c r="I977" i="4"/>
  <c r="I1330" i="4"/>
  <c r="I150" i="4"/>
  <c r="I23" i="4"/>
  <c r="I811" i="4"/>
  <c r="I834" i="4"/>
  <c r="I392" i="4"/>
  <c r="I363" i="4"/>
  <c r="I1304" i="4"/>
  <c r="I1285" i="4"/>
  <c r="I1090" i="4"/>
  <c r="I908" i="4"/>
  <c r="I854" i="4"/>
  <c r="I931" i="4"/>
  <c r="I482" i="4"/>
  <c r="I303" i="4"/>
  <c r="I1167" i="4"/>
  <c r="I1166" i="4"/>
  <c r="I1004" i="4"/>
  <c r="I557" i="4"/>
  <c r="I902" i="4"/>
  <c r="I364" i="4"/>
  <c r="I1165" i="4"/>
  <c r="I1164" i="4"/>
  <c r="I1163" i="4"/>
  <c r="I817" i="4"/>
  <c r="I769" i="4"/>
  <c r="I305" i="4"/>
  <c r="I291" i="4"/>
  <c r="I72" i="4"/>
  <c r="I69" i="4"/>
  <c r="I52" i="4"/>
  <c r="I216" i="4"/>
  <c r="I1162" i="4"/>
  <c r="I1161" i="4"/>
  <c r="I1160" i="4"/>
  <c r="I1093" i="4"/>
  <c r="I707" i="4"/>
  <c r="I604" i="4"/>
  <c r="I367" i="4"/>
  <c r="I53" i="4"/>
  <c r="I1359" i="4"/>
  <c r="I1085" i="4"/>
  <c r="I1029" i="4"/>
  <c r="I294" i="4"/>
  <c r="I285" i="4"/>
  <c r="I212" i="4"/>
  <c r="I538" i="4"/>
  <c r="I537" i="4"/>
  <c r="I551" i="4"/>
  <c r="I471" i="4"/>
  <c r="I622" i="4"/>
  <c r="I545" i="4"/>
  <c r="I111" i="4"/>
  <c r="I430" i="4"/>
  <c r="I407" i="4"/>
  <c r="I28" i="4"/>
  <c r="I1154" i="4"/>
  <c r="I1153" i="4"/>
  <c r="I1320" i="4"/>
  <c r="I1292" i="4"/>
  <c r="I1016" i="4"/>
  <c r="I246" i="4"/>
  <c r="I17" i="4"/>
  <c r="I45" i="4"/>
  <c r="I34" i="4"/>
  <c r="I323" i="4"/>
  <c r="I146" i="4"/>
  <c r="I29" i="4"/>
  <c r="I6" i="4"/>
  <c r="I22" i="4"/>
  <c r="I20" i="4"/>
  <c r="I995" i="4"/>
  <c r="I960" i="4"/>
  <c r="I975" i="4"/>
  <c r="I208" i="4"/>
  <c r="I196" i="4"/>
  <c r="I14" i="4"/>
  <c r="I12" i="4"/>
  <c r="I694" i="4"/>
  <c r="I858" i="4"/>
  <c r="I840" i="4"/>
  <c r="I370" i="4"/>
  <c r="I332" i="4"/>
  <c r="I372" i="4"/>
  <c r="I1031" i="4"/>
  <c r="I526" i="4"/>
  <c r="I1331" i="4"/>
  <c r="I1045" i="4"/>
  <c r="I1337" i="4"/>
  <c r="I1071" i="4"/>
  <c r="I860" i="4"/>
  <c r="I194" i="4"/>
  <c r="I272" i="4"/>
  <c r="I108" i="4"/>
  <c r="I264" i="4"/>
  <c r="I157" i="4"/>
  <c r="I1408" i="4"/>
  <c r="I143" i="4"/>
  <c r="I142" i="4"/>
  <c r="I403" i="4"/>
  <c r="I1007" i="4"/>
  <c r="I779" i="4"/>
  <c r="I1321" i="4"/>
  <c r="I980" i="4"/>
  <c r="I517" i="4"/>
  <c r="I405" i="4"/>
  <c r="I251" i="4"/>
  <c r="I962" i="4"/>
  <c r="I352" i="4"/>
  <c r="I932" i="4"/>
  <c r="I773" i="4"/>
  <c r="I740" i="4"/>
  <c r="I242" i="4"/>
  <c r="I1401" i="4"/>
  <c r="I919" i="4"/>
  <c r="I897" i="4"/>
  <c r="I891" i="4"/>
  <c r="I899" i="4"/>
  <c r="I726" i="4"/>
  <c r="I738" i="4"/>
  <c r="I793" i="4"/>
  <c r="I502" i="4"/>
  <c r="I136" i="4"/>
  <c r="I97" i="4"/>
  <c r="I1399" i="4"/>
  <c r="I1313" i="4"/>
  <c r="I606" i="4"/>
  <c r="I710" i="4"/>
  <c r="I692" i="4"/>
  <c r="I577" i="4"/>
  <c r="I844" i="4"/>
  <c r="I909" i="4"/>
  <c r="I664" i="4"/>
  <c r="I641" i="4"/>
  <c r="I691" i="4"/>
  <c r="I748" i="4"/>
  <c r="I587" i="4"/>
  <c r="I514" i="4"/>
  <c r="I588" i="4"/>
  <c r="I575" i="4"/>
  <c r="I475" i="4"/>
  <c r="I1015" i="4"/>
  <c r="I388" i="4"/>
  <c r="I713" i="4"/>
  <c r="I148" i="4"/>
  <c r="I1095" i="4"/>
  <c r="I535" i="4"/>
  <c r="I417" i="4"/>
  <c r="I569" i="4"/>
  <c r="I413" i="4"/>
  <c r="I232" i="4"/>
  <c r="I127" i="4"/>
  <c r="I765" i="4"/>
  <c r="I552" i="4"/>
  <c r="I1144" i="4"/>
  <c r="I1068" i="4"/>
  <c r="I548" i="4"/>
  <c r="I1357" i="4"/>
  <c r="I1303" i="4"/>
  <c r="I519" i="4"/>
  <c r="I274" i="4"/>
  <c r="I275" i="4"/>
  <c r="I262" i="4"/>
  <c r="I1092" i="4"/>
  <c r="I976" i="4"/>
  <c r="I149" i="4"/>
  <c r="I134" i="4"/>
  <c r="I948" i="4"/>
  <c r="I409" i="4"/>
  <c r="I755" i="4"/>
  <c r="I218" i="4"/>
  <c r="I712" i="4"/>
  <c r="I182" i="4"/>
  <c r="I596" i="4"/>
  <c r="I946" i="4"/>
  <c r="I542" i="4"/>
  <c r="I965" i="4"/>
  <c r="I627" i="4"/>
  <c r="I1311" i="4"/>
  <c r="I1293" i="4"/>
  <c r="I30" i="4"/>
  <c r="I640" i="4"/>
  <c r="I634" i="4"/>
  <c r="I524" i="4"/>
  <c r="I497" i="4"/>
  <c r="I175" i="4"/>
  <c r="I1006" i="4"/>
  <c r="I78" i="4"/>
  <c r="I1089" i="4"/>
  <c r="I1411" i="4"/>
  <c r="I410" i="4"/>
  <c r="I1365" i="4"/>
  <c r="I1279" i="4"/>
  <c r="I1079" i="4"/>
  <c r="I645" i="4"/>
  <c r="I1135" i="4"/>
  <c r="I1113" i="4"/>
  <c r="I1094" i="4"/>
  <c r="I1404" i="4"/>
  <c r="I838" i="4"/>
  <c r="I1387" i="4"/>
  <c r="I31" i="4"/>
  <c r="I197" i="4"/>
  <c r="I203" i="4"/>
  <c r="I10" i="4"/>
  <c r="I1397" i="4"/>
  <c r="I1033" i="4"/>
  <c r="I13" i="4"/>
  <c r="I1358" i="4"/>
  <c r="I1132" i="4"/>
  <c r="I1131" i="4"/>
  <c r="I204" i="4"/>
  <c r="I462" i="4"/>
  <c r="I345" i="4"/>
  <c r="I84" i="4"/>
  <c r="I46" i="4"/>
  <c r="I1108" i="4"/>
  <c r="I1055" i="4"/>
  <c r="I1049" i="4"/>
  <c r="I725" i="4"/>
  <c r="I745" i="4"/>
  <c r="I708" i="4"/>
  <c r="I284" i="4"/>
  <c r="I229" i="4"/>
  <c r="I763" i="4"/>
  <c r="I249" i="4"/>
  <c r="I489" i="4"/>
  <c r="I776" i="4"/>
  <c r="I184" i="4"/>
  <c r="I59" i="4"/>
  <c r="I550" i="4"/>
  <c r="I101" i="4"/>
  <c r="I244" i="4"/>
  <c r="I540" i="4"/>
  <c r="I202" i="4"/>
  <c r="I115" i="4"/>
  <c r="I18" i="4"/>
  <c r="I102" i="4"/>
  <c r="I5" i="4"/>
  <c r="I114" i="4"/>
  <c r="I7" i="4"/>
  <c r="I876" i="4"/>
  <c r="I896" i="4"/>
  <c r="I358" i="4"/>
  <c r="I265" i="4"/>
  <c r="I347" i="4"/>
  <c r="I282" i="4"/>
  <c r="I38" i="4"/>
  <c r="I27" i="4"/>
  <c r="I267" i="4"/>
  <c r="I1127" i="4"/>
  <c r="I1126" i="4"/>
  <c r="I1125" i="4"/>
  <c r="I642" i="4"/>
  <c r="I116" i="4"/>
  <c r="I504" i="4"/>
  <c r="I62" i="4"/>
  <c r="I905" i="4"/>
  <c r="I44" i="4"/>
  <c r="I131" i="4"/>
  <c r="I762" i="4"/>
  <c r="I172" i="4"/>
  <c r="I163" i="4"/>
  <c r="I918" i="4"/>
  <c r="I298" i="4"/>
  <c r="I752" i="4"/>
  <c r="I123" i="4"/>
  <c r="I985" i="4"/>
  <c r="I754" i="4"/>
  <c r="I485" i="4"/>
  <c r="I749" i="4"/>
  <c r="I1099" i="4"/>
  <c r="I874" i="4"/>
  <c r="I355" i="4"/>
  <c r="I37" i="4"/>
  <c r="I213" i="4"/>
  <c r="I678" i="4"/>
  <c r="I818" i="4"/>
  <c r="I319" i="4"/>
  <c r="I1296" i="4"/>
  <c r="I457" i="4"/>
  <c r="I901" i="4"/>
  <c r="I399" i="4"/>
  <c r="I1380" i="4"/>
  <c r="I1107" i="4"/>
  <c r="I1286" i="4"/>
  <c r="I1336" i="4"/>
  <c r="I478" i="4"/>
  <c r="I687" i="4"/>
  <c r="I1108" i="2" l="1"/>
  <c r="I877" i="2"/>
  <c r="I866" i="2"/>
  <c r="I770" i="2"/>
  <c r="I724" i="2"/>
  <c r="I144" i="2"/>
  <c r="I1347" i="2"/>
  <c r="I1346" i="2"/>
  <c r="I1045" i="2"/>
  <c r="I1043" i="2"/>
  <c r="I1042" i="2"/>
  <c r="I880" i="2"/>
  <c r="I841" i="2"/>
  <c r="I840" i="2"/>
  <c r="I277" i="2"/>
  <c r="I149" i="2"/>
  <c r="I578" i="2"/>
  <c r="I845" i="2"/>
  <c r="I844" i="2"/>
  <c r="I1392" i="2"/>
  <c r="I1391" i="2"/>
  <c r="I1237" i="2"/>
  <c r="I1236" i="2"/>
  <c r="I1218" i="2"/>
  <c r="I1217" i="2"/>
  <c r="I1169" i="2"/>
  <c r="I1168" i="2"/>
  <c r="I1153" i="2"/>
  <c r="I1152" i="2"/>
  <c r="I1136" i="2"/>
  <c r="I1135" i="2"/>
  <c r="I1107" i="2"/>
  <c r="I1106" i="2"/>
  <c r="I1083" i="2"/>
  <c r="I1082" i="2"/>
  <c r="I969" i="2"/>
  <c r="I968" i="2"/>
  <c r="I921" i="2"/>
  <c r="I920" i="2"/>
  <c r="I893" i="2"/>
  <c r="I892" i="2"/>
  <c r="I887" i="2"/>
  <c r="I876" i="2"/>
  <c r="I875" i="2"/>
  <c r="I769" i="2"/>
  <c r="I768" i="2"/>
  <c r="I696" i="2"/>
  <c r="I695" i="2"/>
  <c r="I669" i="2"/>
  <c r="I668" i="2"/>
  <c r="I600" i="2"/>
  <c r="I524" i="2"/>
  <c r="I523" i="2"/>
  <c r="I518" i="2"/>
  <c r="I517" i="2"/>
  <c r="I163" i="2"/>
  <c r="I162" i="2"/>
  <c r="I156" i="2"/>
  <c r="I155" i="2"/>
  <c r="I143" i="2"/>
  <c r="I142" i="2"/>
  <c r="I110" i="2"/>
  <c r="I109" i="2"/>
  <c r="I40" i="2"/>
  <c r="I39" i="2"/>
  <c r="I30" i="2"/>
  <c r="I1292" i="2"/>
  <c r="I1044" i="2"/>
  <c r="I1021" i="2"/>
  <c r="I1020" i="2"/>
  <c r="I997" i="2"/>
  <c r="I996" i="2"/>
  <c r="I947" i="2"/>
  <c r="I946" i="2"/>
  <c r="I593" i="2"/>
  <c r="I358" i="2"/>
  <c r="I201" i="2"/>
  <c r="I200" i="2"/>
  <c r="I618" i="2"/>
  <c r="I1331" i="2"/>
  <c r="I1330" i="2"/>
  <c r="I1329" i="2"/>
  <c r="I1328" i="2"/>
  <c r="I1280" i="2"/>
  <c r="I1279" i="2"/>
  <c r="I1278" i="2"/>
  <c r="I1277" i="2"/>
  <c r="I1197" i="2"/>
  <c r="I1196" i="2"/>
  <c r="I1195" i="2"/>
  <c r="I1064" i="2"/>
  <c r="I1063" i="2"/>
  <c r="I1062" i="2"/>
  <c r="I1061" i="2"/>
  <c r="I974" i="2"/>
  <c r="I973" i="2"/>
  <c r="I942" i="2"/>
  <c r="I941" i="2"/>
  <c r="I940" i="2"/>
  <c r="I939" i="2"/>
  <c r="I660" i="2"/>
  <c r="I659" i="2"/>
  <c r="I644" i="2"/>
  <c r="I643" i="2"/>
  <c r="I642" i="2"/>
  <c r="I641" i="2"/>
  <c r="I514" i="2"/>
  <c r="I513" i="2"/>
  <c r="I512" i="2"/>
  <c r="I511" i="2"/>
  <c r="I506" i="2"/>
  <c r="I505" i="2"/>
  <c r="I502" i="2"/>
  <c r="I501" i="2"/>
  <c r="I463" i="2"/>
  <c r="I462" i="2"/>
  <c r="I435" i="2"/>
  <c r="I434" i="2"/>
  <c r="I423" i="2"/>
  <c r="I422" i="2"/>
  <c r="I421" i="2"/>
  <c r="I420" i="2"/>
  <c r="I310" i="2"/>
  <c r="I309" i="2"/>
  <c r="I308" i="2"/>
  <c r="I307" i="2"/>
  <c r="I306" i="2"/>
  <c r="I305" i="2"/>
  <c r="I247" i="2"/>
  <c r="I246" i="2"/>
  <c r="I194" i="2"/>
  <c r="I193" i="2"/>
  <c r="I191" i="2"/>
  <c r="I190" i="2"/>
  <c r="I189" i="2"/>
  <c r="I173" i="2"/>
  <c r="I172" i="2"/>
  <c r="I171" i="2"/>
  <c r="I170" i="2"/>
  <c r="I151" i="2"/>
  <c r="I150" i="2"/>
  <c r="I103" i="2"/>
  <c r="I102" i="2"/>
  <c r="I101" i="2"/>
  <c r="I100" i="2"/>
  <c r="I17" i="2"/>
  <c r="I16" i="2"/>
  <c r="I15" i="2"/>
  <c r="I14" i="2"/>
  <c r="I1299" i="2"/>
  <c r="I1298" i="2"/>
  <c r="I1349" i="2"/>
  <c r="I1348" i="2"/>
  <c r="I1233" i="2"/>
  <c r="I732" i="2"/>
  <c r="I533" i="2"/>
  <c r="I532" i="2"/>
  <c r="I87" i="2"/>
  <c r="I86" i="2"/>
  <c r="I84" i="2"/>
  <c r="I1289" i="2"/>
  <c r="I1288" i="2"/>
  <c r="I726" i="2"/>
  <c r="I725" i="2"/>
  <c r="I196" i="2"/>
  <c r="I195" i="2"/>
  <c r="I77" i="2"/>
  <c r="I836" i="2"/>
  <c r="I823" i="2"/>
  <c r="I688" i="2"/>
  <c r="I577" i="2"/>
  <c r="I544" i="2"/>
  <c r="I542" i="2"/>
  <c r="I541" i="2"/>
  <c r="I537" i="2"/>
  <c r="I1081" i="2"/>
  <c r="I767" i="2"/>
  <c r="I141" i="2"/>
  <c r="I1306" i="2"/>
  <c r="I1216" i="2"/>
  <c r="I1215" i="2"/>
  <c r="I1214" i="2"/>
  <c r="I1213" i="2"/>
  <c r="I1151" i="2"/>
  <c r="I1150" i="2"/>
  <c r="I1149" i="2"/>
  <c r="I1148" i="2"/>
  <c r="I1098" i="2"/>
  <c r="I1097" i="2"/>
  <c r="I1080" i="2"/>
  <c r="I1079" i="2"/>
  <c r="I1078" i="2"/>
  <c r="I967" i="2"/>
  <c r="I966" i="2"/>
  <c r="I965" i="2"/>
  <c r="I964" i="2"/>
  <c r="I956" i="2"/>
  <c r="I955" i="2"/>
  <c r="I929" i="2"/>
  <c r="I928" i="2"/>
  <c r="I891" i="2"/>
  <c r="I890" i="2"/>
  <c r="I886" i="2"/>
  <c r="I885" i="2"/>
  <c r="I766" i="2"/>
  <c r="I765" i="2"/>
  <c r="I764" i="2"/>
  <c r="I602" i="2"/>
  <c r="I601" i="2"/>
  <c r="I472" i="2"/>
  <c r="I471" i="2"/>
  <c r="I452" i="2"/>
  <c r="I451" i="2"/>
  <c r="I167" i="2"/>
  <c r="I166" i="2"/>
  <c r="I165" i="2"/>
  <c r="I164" i="2"/>
  <c r="I154" i="2"/>
  <c r="I153" i="2"/>
  <c r="I140" i="2"/>
  <c r="I47" i="2"/>
  <c r="I46" i="2"/>
  <c r="I37" i="2"/>
  <c r="I36" i="2"/>
  <c r="I11" i="2"/>
  <c r="I10" i="2"/>
  <c r="I1341" i="2"/>
  <c r="I1340" i="2"/>
  <c r="I1339" i="2"/>
  <c r="I1338" i="2"/>
  <c r="I1337" i="2"/>
  <c r="I1336" i="2"/>
  <c r="I1335" i="2"/>
  <c r="I1334" i="2"/>
  <c r="I1333" i="2"/>
  <c r="I1332" i="2"/>
  <c r="I1263" i="2"/>
  <c r="I1262" i="2"/>
  <c r="I1225" i="2"/>
  <c r="I1224" i="2"/>
  <c r="I1223" i="2"/>
  <c r="I1222" i="2"/>
  <c r="I1220" i="2"/>
  <c r="I1219" i="2"/>
  <c r="I1116" i="2"/>
  <c r="I1115" i="2"/>
  <c r="I1047" i="2"/>
  <c r="I1046" i="2"/>
  <c r="I1005" i="2"/>
  <c r="I1004" i="2"/>
  <c r="I1003" i="2"/>
  <c r="I1002" i="2"/>
  <c r="I987" i="2"/>
  <c r="I986" i="2"/>
  <c r="I738" i="2"/>
  <c r="I737" i="2"/>
  <c r="I648" i="2"/>
  <c r="I647" i="2"/>
  <c r="I646" i="2"/>
  <c r="I645" i="2"/>
  <c r="I526" i="2"/>
  <c r="I525" i="2"/>
  <c r="I330" i="2"/>
  <c r="I329" i="2"/>
  <c r="I319" i="2"/>
  <c r="I318" i="2"/>
  <c r="I276" i="2"/>
  <c r="I275" i="2"/>
  <c r="I274" i="2"/>
  <c r="I273" i="2"/>
  <c r="I252" i="2"/>
  <c r="I251" i="2"/>
  <c r="I799" i="2"/>
  <c r="I531" i="2"/>
  <c r="I530" i="2"/>
  <c r="I529" i="2"/>
  <c r="I528" i="2"/>
  <c r="I527" i="2"/>
  <c r="I1345" i="2"/>
  <c r="I568" i="2"/>
  <c r="I427" i="2"/>
  <c r="I19" i="2"/>
  <c r="I683" i="2"/>
  <c r="I314" i="2"/>
  <c r="I303" i="2"/>
  <c r="I450" i="2"/>
  <c r="I139" i="2"/>
  <c r="I1092" i="2"/>
  <c r="I9" i="2"/>
  <c r="I8" i="2"/>
  <c r="I1234" i="2"/>
  <c r="I1235" i="2"/>
  <c r="I1300" i="2"/>
  <c r="I1411" i="2"/>
  <c r="I1410" i="2"/>
  <c r="I1212" i="2"/>
  <c r="I1112" i="2"/>
  <c r="I911" i="2"/>
  <c r="I694" i="2"/>
  <c r="I693" i="2"/>
  <c r="I439" i="2"/>
  <c r="I1361" i="2"/>
  <c r="I1360" i="2"/>
  <c r="I1359" i="2"/>
  <c r="I1176" i="2"/>
  <c r="I1175" i="2"/>
  <c r="I1174" i="2"/>
  <c r="I494" i="2"/>
  <c r="I493" i="2"/>
  <c r="I492" i="2"/>
  <c r="I1154" i="2"/>
  <c r="I89" i="2"/>
  <c r="I85" i="2"/>
  <c r="I583" i="2"/>
  <c r="I553" i="2"/>
  <c r="I552" i="2"/>
  <c r="I549" i="2"/>
  <c r="I534" i="2"/>
  <c r="I1393" i="2"/>
  <c r="I1370" i="2"/>
  <c r="I1356" i="2"/>
  <c r="I1261" i="2"/>
  <c r="I1260" i="2"/>
  <c r="I1253" i="2"/>
  <c r="I847" i="2"/>
  <c r="I748" i="2"/>
  <c r="I594" i="2"/>
  <c r="I510" i="2"/>
  <c r="I207" i="2"/>
  <c r="I1388" i="2"/>
  <c r="I1387" i="2"/>
  <c r="I1272" i="2"/>
  <c r="I1271" i="2"/>
  <c r="I1186" i="2"/>
  <c r="I1185" i="2"/>
  <c r="I489" i="2"/>
  <c r="I488" i="2"/>
  <c r="I379" i="2"/>
  <c r="I338" i="2"/>
  <c r="I337" i="2"/>
  <c r="I289" i="2"/>
  <c r="I288" i="2"/>
  <c r="I225" i="2"/>
  <c r="I224" i="2"/>
  <c r="I1408" i="2"/>
  <c r="I1407" i="2"/>
  <c r="I999" i="2"/>
  <c r="I998" i="2"/>
  <c r="I623" i="2"/>
  <c r="I622" i="2"/>
  <c r="I620" i="2"/>
  <c r="I619" i="2"/>
  <c r="I376" i="2"/>
  <c r="I1390" i="2"/>
  <c r="I1389" i="2"/>
  <c r="I1363" i="2"/>
  <c r="I1362" i="2"/>
  <c r="I1324" i="2"/>
  <c r="I1323" i="2"/>
  <c r="I1322" i="2"/>
  <c r="I1321" i="2"/>
  <c r="I1320" i="2"/>
  <c r="I1319" i="2"/>
  <c r="I1211" i="2"/>
  <c r="I1210" i="2"/>
  <c r="I1180" i="2"/>
  <c r="I1179" i="2"/>
  <c r="I1178" i="2"/>
  <c r="I1177" i="2"/>
  <c r="I1155" i="2"/>
  <c r="I1147" i="2"/>
  <c r="I1146" i="2"/>
  <c r="I1145" i="2"/>
  <c r="I1144" i="2"/>
  <c r="I1134" i="2"/>
  <c r="I1133" i="2"/>
  <c r="I1132" i="2"/>
  <c r="I1131" i="2"/>
  <c r="I1077" i="2"/>
  <c r="I1076" i="2"/>
  <c r="I963" i="2"/>
  <c r="I962" i="2"/>
  <c r="I961" i="2"/>
  <c r="I960" i="2"/>
  <c r="I954" i="2"/>
  <c r="I953" i="2"/>
  <c r="I952" i="2"/>
  <c r="I951" i="2"/>
  <c r="I927" i="2"/>
  <c r="I926" i="2"/>
  <c r="I925" i="2"/>
  <c r="I924" i="2"/>
  <c r="I918" i="2"/>
  <c r="I917" i="2"/>
  <c r="I874" i="2"/>
  <c r="I873" i="2"/>
  <c r="I777" i="2"/>
  <c r="I776" i="2"/>
  <c r="I774" i="2"/>
  <c r="I773" i="2"/>
  <c r="I701" i="2"/>
  <c r="I700" i="2"/>
  <c r="I667" i="2"/>
  <c r="I666" i="2"/>
  <c r="I654" i="2"/>
  <c r="I653" i="2"/>
  <c r="I470" i="2"/>
  <c r="I469" i="2"/>
  <c r="I433" i="2"/>
  <c r="I432" i="2"/>
  <c r="I381" i="2"/>
  <c r="I380" i="2"/>
  <c r="I267" i="2"/>
  <c r="I266" i="2"/>
  <c r="I265" i="2"/>
  <c r="I264" i="2"/>
  <c r="I213" i="2"/>
  <c r="I212" i="2"/>
  <c r="I138" i="2"/>
  <c r="I137" i="2"/>
  <c r="I45" i="2"/>
  <c r="I44" i="2"/>
  <c r="I35" i="2"/>
  <c r="I34" i="2"/>
  <c r="I13" i="2"/>
  <c r="I12" i="2"/>
  <c r="I1001" i="2"/>
  <c r="I1000" i="2"/>
  <c r="I589" i="2"/>
  <c r="I588" i="2"/>
  <c r="I587" i="2"/>
  <c r="I586" i="2"/>
  <c r="I585" i="2"/>
  <c r="I582" i="2"/>
  <c r="I581" i="2"/>
  <c r="I576" i="2"/>
  <c r="I566" i="2"/>
  <c r="I564" i="2"/>
  <c r="I555" i="2"/>
  <c r="I554" i="2"/>
  <c r="I547" i="2"/>
  <c r="I546" i="2"/>
  <c r="I543" i="2"/>
  <c r="I2" i="2"/>
  <c r="I1386" i="2"/>
  <c r="I1304" i="2"/>
  <c r="I1184" i="2"/>
  <c r="I1065" i="2"/>
  <c r="I1017" i="2"/>
  <c r="I1014" i="2"/>
  <c r="I751" i="2"/>
  <c r="I744" i="2"/>
  <c r="I743" i="2"/>
  <c r="I712" i="2"/>
  <c r="I487" i="2"/>
  <c r="I390" i="2"/>
  <c r="I378" i="2"/>
  <c r="I262" i="2"/>
  <c r="I261" i="2"/>
  <c r="I240" i="2"/>
  <c r="I223" i="2"/>
  <c r="I67" i="2"/>
  <c r="I1385" i="2"/>
  <c r="I1303" i="2"/>
  <c r="I1183" i="2"/>
  <c r="I904" i="2"/>
  <c r="I750" i="2"/>
  <c r="I742" i="2"/>
  <c r="I711" i="2"/>
  <c r="I649" i="2"/>
  <c r="I486" i="2"/>
  <c r="I389" i="2"/>
  <c r="I282" i="2"/>
  <c r="I260" i="2"/>
  <c r="I222" i="2"/>
  <c r="I66" i="2"/>
  <c r="I1318" i="2"/>
  <c r="I1317" i="2"/>
  <c r="I1087" i="2"/>
  <c r="I1086" i="2"/>
  <c r="I819" i="2"/>
  <c r="I818" i="2"/>
  <c r="I271" i="2"/>
  <c r="I270" i="2"/>
  <c r="I629" i="2"/>
  <c r="I628" i="2"/>
  <c r="I573" i="2"/>
  <c r="I571" i="2"/>
  <c r="I570" i="2"/>
  <c r="I565" i="2"/>
  <c r="I561" i="2"/>
  <c r="I557" i="2"/>
  <c r="I551" i="2"/>
  <c r="I387" i="2"/>
  <c r="I386" i="2"/>
  <c r="I1030" i="2"/>
  <c r="I1029" i="2"/>
  <c r="I741" i="2"/>
  <c r="I88" i="2"/>
  <c r="I1249" i="2"/>
  <c r="I1244" i="2"/>
  <c r="I978" i="2"/>
  <c r="I977" i="2"/>
  <c r="I1384" i="2"/>
  <c r="I1383" i="2"/>
  <c r="I1060" i="2"/>
  <c r="I1033" i="2"/>
  <c r="I1027" i="2"/>
  <c r="I919" i="2"/>
  <c r="I888" i="2"/>
  <c r="I485" i="2"/>
  <c r="I484" i="2"/>
  <c r="I482" i="2"/>
  <c r="I336" i="2"/>
  <c r="I335" i="2"/>
  <c r="I250" i="2"/>
  <c r="I243" i="2"/>
  <c r="I231" i="2"/>
  <c r="I217" i="2"/>
  <c r="I63" i="2"/>
  <c r="I62" i="2"/>
  <c r="I1350" i="2"/>
  <c r="I1276" i="2"/>
  <c r="I1275" i="2"/>
  <c r="I1270" i="2"/>
  <c r="I1269" i="2"/>
  <c r="I1200" i="2"/>
  <c r="I1173" i="2"/>
  <c r="I1172" i="2"/>
  <c r="I1037" i="2"/>
  <c r="I1036" i="2"/>
  <c r="I938" i="2"/>
  <c r="I937" i="2"/>
  <c r="I832" i="2"/>
  <c r="I795" i="2"/>
  <c r="I794" i="2"/>
  <c r="I729" i="2"/>
  <c r="I728" i="2"/>
  <c r="I662" i="2"/>
  <c r="I661" i="2"/>
  <c r="I652" i="2"/>
  <c r="I651" i="2"/>
  <c r="I598" i="2"/>
  <c r="I459" i="2"/>
  <c r="I458" i="2"/>
  <c r="I446" i="2"/>
  <c r="I374" i="2"/>
  <c r="I372" i="2"/>
  <c r="I357" i="2"/>
  <c r="I355" i="2"/>
  <c r="I302" i="2"/>
  <c r="I301" i="2"/>
  <c r="I257" i="2"/>
  <c r="I256" i="2"/>
  <c r="I255" i="2"/>
  <c r="I181" i="2"/>
  <c r="I169" i="2"/>
  <c r="I168" i="2"/>
  <c r="I111" i="2"/>
  <c r="I82" i="2"/>
  <c r="I81" i="2"/>
  <c r="I80" i="2"/>
  <c r="I1394" i="2"/>
  <c r="I1355" i="2"/>
  <c r="I1259" i="2"/>
  <c r="I1258" i="2"/>
  <c r="I1252" i="2"/>
  <c r="I846" i="2"/>
  <c r="I747" i="2"/>
  <c r="I681" i="2"/>
  <c r="I595" i="2"/>
  <c r="I509" i="2"/>
  <c r="I206" i="2"/>
  <c r="I575" i="2"/>
  <c r="I567" i="2"/>
  <c r="I562" i="2"/>
  <c r="I559" i="2"/>
  <c r="I558" i="2"/>
  <c r="I548" i="2"/>
  <c r="I409" i="2"/>
  <c r="I1230" i="2"/>
  <c r="I3" i="2"/>
  <c r="I1041" i="2"/>
  <c r="I1039" i="2"/>
  <c r="I1038" i="2"/>
  <c r="I1019" i="2"/>
  <c r="I1013" i="2"/>
  <c r="I1040" i="2"/>
  <c r="I1026" i="2"/>
  <c r="I1023" i="2"/>
  <c r="I1022" i="2"/>
  <c r="I1018" i="2"/>
  <c r="I1016" i="2"/>
  <c r="I413" i="2"/>
  <c r="I412" i="2"/>
  <c r="I1293" i="2"/>
  <c r="I202" i="2"/>
  <c r="I574" i="2"/>
  <c r="I199" i="2"/>
  <c r="I590" i="2"/>
  <c r="I1257" i="2"/>
  <c r="I1256" i="2"/>
  <c r="I1255" i="2"/>
  <c r="I1254" i="2"/>
  <c r="I1251" i="2"/>
  <c r="I1250" i="2"/>
  <c r="I580" i="2"/>
  <c r="I540" i="2"/>
  <c r="I536" i="2"/>
  <c r="I325" i="2"/>
  <c r="I324" i="2"/>
  <c r="I157" i="2"/>
  <c r="I148" i="2"/>
  <c r="I147" i="2"/>
  <c r="I146" i="2"/>
  <c r="I145" i="2"/>
  <c r="I499" i="2"/>
  <c r="I498" i="2"/>
  <c r="I175" i="2"/>
  <c r="I174" i="2"/>
  <c r="I130" i="2"/>
  <c r="I129" i="2"/>
  <c r="I710" i="2"/>
  <c r="I709" i="2"/>
  <c r="I708" i="2"/>
  <c r="I707" i="2"/>
  <c r="I481" i="2"/>
  <c r="I480" i="2"/>
  <c r="I242" i="2"/>
  <c r="I241" i="2"/>
  <c r="I220" i="2"/>
  <c r="I219" i="2"/>
  <c r="I779" i="2"/>
  <c r="I607" i="2"/>
  <c r="I606" i="2"/>
  <c r="I245" i="2"/>
  <c r="I211" i="2"/>
  <c r="I210" i="2"/>
  <c r="I1192" i="2"/>
  <c r="I865" i="2"/>
  <c r="I858" i="2"/>
  <c r="I727" i="2"/>
  <c r="I209" i="2"/>
  <c r="I208" i="2"/>
  <c r="I198" i="2"/>
  <c r="I1143" i="2"/>
  <c r="I1130" i="2"/>
  <c r="I763" i="2"/>
  <c r="I438" i="2"/>
  <c r="I431" i="2"/>
  <c r="I126" i="2"/>
  <c r="I56" i="2"/>
  <c r="I762" i="2"/>
  <c r="I903" i="2"/>
  <c r="I902" i="2"/>
  <c r="I900" i="2"/>
  <c r="I740" i="2"/>
  <c r="I610" i="2"/>
  <c r="I609" i="2"/>
  <c r="I239" i="2"/>
  <c r="I238" i="2"/>
  <c r="I1162" i="2"/>
  <c r="I1161" i="2"/>
  <c r="I1418" i="2"/>
  <c r="I1417" i="2"/>
  <c r="I1327" i="2"/>
  <c r="I1326" i="2"/>
  <c r="I1296" i="2"/>
  <c r="I1295" i="2"/>
  <c r="I1294" i="2"/>
  <c r="I1287" i="2"/>
  <c r="I1286" i="2"/>
  <c r="I1284" i="2"/>
  <c r="I1283" i="2"/>
  <c r="I1268" i="2"/>
  <c r="I1267" i="2"/>
  <c r="I1232" i="2"/>
  <c r="I1231" i="2"/>
  <c r="I1229" i="2"/>
  <c r="I1228" i="2"/>
  <c r="I1227" i="2"/>
  <c r="I1226" i="2"/>
  <c r="I1119" i="2"/>
  <c r="I1111" i="2"/>
  <c r="I1110" i="2"/>
  <c r="I1056" i="2"/>
  <c r="I1055" i="2"/>
  <c r="I1050" i="2"/>
  <c r="I1049" i="2"/>
  <c r="I995" i="2"/>
  <c r="I994" i="2"/>
  <c r="I982" i="2"/>
  <c r="I981" i="2"/>
  <c r="I980" i="2"/>
  <c r="I979" i="2"/>
  <c r="I936" i="2"/>
  <c r="I935" i="2"/>
  <c r="I933" i="2"/>
  <c r="I932" i="2"/>
  <c r="I916" i="2"/>
  <c r="I915" i="2"/>
  <c r="I914" i="2"/>
  <c r="I913" i="2"/>
  <c r="I910" i="2"/>
  <c r="I909" i="2"/>
  <c r="I908" i="2"/>
  <c r="I907" i="2"/>
  <c r="I821" i="2"/>
  <c r="I820" i="2"/>
  <c r="I817" i="2"/>
  <c r="I816" i="2"/>
  <c r="I792" i="2"/>
  <c r="I791" i="2"/>
  <c r="I790" i="2"/>
  <c r="I789" i="2"/>
  <c r="I788" i="2"/>
  <c r="I787" i="2"/>
  <c r="I786" i="2"/>
  <c r="I785" i="2"/>
  <c r="I782" i="2"/>
  <c r="I780" i="2"/>
  <c r="I730" i="2"/>
  <c r="I699" i="2"/>
  <c r="I698" i="2"/>
  <c r="I678" i="2"/>
  <c r="I677" i="2"/>
  <c r="I658" i="2"/>
  <c r="I657" i="2"/>
  <c r="I640" i="2"/>
  <c r="I639" i="2"/>
  <c r="I638" i="2"/>
  <c r="I637" i="2"/>
  <c r="I632" i="2"/>
  <c r="I631" i="2"/>
  <c r="I614" i="2"/>
  <c r="I613" i="2"/>
  <c r="I612" i="2"/>
  <c r="I611" i="2"/>
  <c r="I448" i="2"/>
  <c r="I447" i="2"/>
  <c r="I445" i="2"/>
  <c r="I444" i="2"/>
  <c r="I425" i="2"/>
  <c r="I424" i="2"/>
  <c r="I419" i="2"/>
  <c r="I418" i="2"/>
  <c r="I417" i="2"/>
  <c r="I416" i="2"/>
  <c r="I415" i="2"/>
  <c r="I414" i="2"/>
  <c r="I371" i="2"/>
  <c r="I370" i="2"/>
  <c r="I368" i="2"/>
  <c r="I367" i="2"/>
  <c r="I366" i="2"/>
  <c r="I365" i="2"/>
  <c r="I364" i="2"/>
  <c r="I363" i="2"/>
  <c r="I362" i="2"/>
  <c r="I361" i="2"/>
  <c r="I360" i="2"/>
  <c r="I359" i="2"/>
  <c r="I353" i="2"/>
  <c r="I352" i="2"/>
  <c r="I351" i="2"/>
  <c r="I350" i="2"/>
  <c r="I348" i="2"/>
  <c r="I347" i="2"/>
  <c r="I346" i="2"/>
  <c r="I345" i="2"/>
  <c r="I322" i="2"/>
  <c r="I321" i="2"/>
  <c r="I300" i="2"/>
  <c r="I299" i="2"/>
  <c r="I298" i="2"/>
  <c r="I297" i="2"/>
  <c r="I281" i="2"/>
  <c r="I280" i="2"/>
  <c r="I279" i="2"/>
  <c r="I278" i="2"/>
  <c r="I188" i="2"/>
  <c r="I187" i="2"/>
  <c r="I186" i="2"/>
  <c r="I185" i="2"/>
  <c r="I183" i="2"/>
  <c r="I182" i="2"/>
  <c r="I161" i="2"/>
  <c r="I160" i="2"/>
  <c r="I159" i="2"/>
  <c r="I158" i="2"/>
  <c r="I125" i="2"/>
  <c r="I124" i="2"/>
  <c r="I108" i="2"/>
  <c r="I107" i="2"/>
  <c r="I97" i="2"/>
  <c r="I96" i="2"/>
  <c r="I95" i="2"/>
  <c r="I94" i="2"/>
  <c r="I93" i="2"/>
  <c r="I92" i="2"/>
  <c r="I91" i="2"/>
  <c r="I90" i="2"/>
  <c r="I79" i="2"/>
  <c r="I78" i="2"/>
  <c r="I76" i="2"/>
  <c r="I75" i="2"/>
  <c r="I74" i="2"/>
  <c r="I73" i="2"/>
  <c r="I72" i="2"/>
  <c r="I71" i="2"/>
  <c r="I69" i="2"/>
  <c r="I68" i="2"/>
  <c r="I61" i="2"/>
  <c r="I60" i="2"/>
  <c r="I59" i="2"/>
  <c r="I58" i="2"/>
  <c r="I55" i="2"/>
  <c r="I54" i="2"/>
  <c r="I53" i="2"/>
  <c r="I21" i="2"/>
  <c r="I20" i="2"/>
  <c r="I1265" i="2"/>
  <c r="I1114" i="2"/>
  <c r="I1096" i="2"/>
  <c r="I993" i="2"/>
  <c r="I811" i="2"/>
  <c r="I715" i="2"/>
  <c r="I626" i="2"/>
  <c r="I1379" i="2"/>
  <c r="I1344" i="2"/>
  <c r="I1343" i="2"/>
  <c r="I1342" i="2"/>
  <c r="I1264" i="2"/>
  <c r="I1191" i="2"/>
  <c r="I1113" i="2"/>
  <c r="I1095" i="2"/>
  <c r="I1094" i="2"/>
  <c r="I1093" i="2"/>
  <c r="I992" i="2"/>
  <c r="I991" i="2"/>
  <c r="I990" i="2"/>
  <c r="I989" i="2"/>
  <c r="I988" i="2"/>
  <c r="I985" i="2"/>
  <c r="I984" i="2"/>
  <c r="I983" i="2"/>
  <c r="I839" i="2"/>
  <c r="I838" i="2"/>
  <c r="I837" i="2"/>
  <c r="I830" i="2"/>
  <c r="I829" i="2"/>
  <c r="I824" i="2"/>
  <c r="I810" i="2"/>
  <c r="I809" i="2"/>
  <c r="I717" i="2"/>
  <c r="I716" i="2"/>
  <c r="I687" i="2"/>
  <c r="I664" i="2"/>
  <c r="I663" i="2"/>
  <c r="I625" i="2"/>
  <c r="I624" i="2"/>
  <c r="I608" i="2"/>
  <c r="I491" i="2"/>
  <c r="I490" i="2"/>
  <c r="I443" i="2"/>
  <c r="I426" i="2"/>
  <c r="I375" i="2"/>
  <c r="I228" i="2"/>
  <c r="I227" i="2"/>
  <c r="I226" i="2"/>
  <c r="I1070" i="2"/>
  <c r="I1069" i="2"/>
  <c r="I1067" i="2"/>
  <c r="I1066" i="2"/>
  <c r="I931" i="2"/>
  <c r="I930" i="2"/>
  <c r="I615" i="2"/>
  <c r="I496" i="2"/>
  <c r="I495" i="2"/>
  <c r="I441" i="2"/>
  <c r="I440" i="2"/>
  <c r="I1248" i="2"/>
  <c r="I1247" i="2"/>
  <c r="I1171" i="2"/>
  <c r="I1032" i="2"/>
  <c r="I1031" i="2"/>
  <c r="I899" i="2"/>
  <c r="I898" i="2"/>
  <c r="I897" i="2"/>
  <c r="I861" i="2"/>
  <c r="I857" i="2"/>
  <c r="I856" i="2"/>
  <c r="I812" i="2"/>
  <c r="I430" i="2"/>
  <c r="I295" i="2"/>
  <c r="I83" i="2"/>
  <c r="I1302" i="2"/>
  <c r="I860" i="2"/>
  <c r="I1301" i="2"/>
  <c r="I1203" i="2"/>
  <c r="I1170" i="2"/>
  <c r="I1028" i="2"/>
  <c r="I948" i="2"/>
  <c r="I859" i="2"/>
  <c r="I853" i="2"/>
  <c r="I429" i="2"/>
  <c r="I294" i="2"/>
  <c r="I1377" i="2"/>
  <c r="I1376" i="2"/>
  <c r="I1243" i="2"/>
  <c r="I1242" i="2"/>
  <c r="I1142" i="2"/>
  <c r="I1141" i="2"/>
  <c r="I1121" i="2"/>
  <c r="I1120" i="2"/>
  <c r="I1105" i="2"/>
  <c r="I1104" i="2"/>
  <c r="I1075" i="2"/>
  <c r="I1074" i="2"/>
  <c r="I870" i="2"/>
  <c r="I869" i="2"/>
  <c r="I1404" i="2"/>
  <c r="I1403" i="2"/>
  <c r="I1241" i="2"/>
  <c r="I1240" i="2"/>
  <c r="I759" i="2"/>
  <c r="I758" i="2"/>
  <c r="I634" i="2"/>
  <c r="I633" i="2"/>
  <c r="I123" i="2"/>
  <c r="I122" i="2"/>
  <c r="I1358" i="2"/>
  <c r="I1357" i="2"/>
  <c r="I1309" i="2"/>
  <c r="I1199" i="2"/>
  <c r="I1160" i="2"/>
  <c r="I976" i="2"/>
  <c r="I975" i="2"/>
  <c r="I827" i="2"/>
  <c r="I822" i="2"/>
  <c r="I778" i="2"/>
  <c r="I752" i="2"/>
  <c r="I253" i="2"/>
  <c r="I229" i="2"/>
  <c r="I51" i="2"/>
  <c r="I50" i="2"/>
  <c r="I1375" i="2"/>
  <c r="I1307" i="2"/>
  <c r="I1140" i="2"/>
  <c r="I1103" i="2"/>
  <c r="I868" i="2"/>
  <c r="I757" i="2"/>
  <c r="I411" i="2"/>
  <c r="I121" i="2"/>
  <c r="I29" i="2"/>
  <c r="I753" i="2"/>
  <c r="I655" i="2"/>
  <c r="I408" i="2"/>
  <c r="I407" i="2"/>
  <c r="I323" i="2"/>
  <c r="I272" i="2"/>
  <c r="I538" i="2"/>
  <c r="I479" i="2"/>
  <c r="I972" i="2"/>
  <c r="I971" i="2"/>
  <c r="I676" i="2"/>
  <c r="I675" i="2"/>
  <c r="I1290" i="2"/>
  <c r="I746" i="2"/>
  <c r="I692" i="2"/>
  <c r="I691" i="2"/>
  <c r="I690" i="2"/>
  <c r="I689" i="2"/>
  <c r="I592" i="2"/>
  <c r="I584" i="2"/>
  <c r="I579" i="2"/>
  <c r="I560" i="2"/>
  <c r="I556" i="2"/>
  <c r="I550" i="2"/>
  <c r="I539" i="2"/>
  <c r="I535" i="2"/>
  <c r="I18" i="2"/>
  <c r="I244" i="2"/>
  <c r="I204" i="2"/>
  <c r="I203" i="2"/>
  <c r="I801" i="2"/>
  <c r="I800" i="2"/>
  <c r="I1402" i="2"/>
  <c r="I1365" i="2"/>
  <c r="I1364" i="2"/>
  <c r="I1312" i="2"/>
  <c r="I1297" i="2"/>
  <c r="I1239" i="2"/>
  <c r="I1238" i="2"/>
  <c r="I1209" i="2"/>
  <c r="I1139" i="2"/>
  <c r="I1124" i="2"/>
  <c r="I1118" i="2"/>
  <c r="I1109" i="2"/>
  <c r="I1091" i="2"/>
  <c r="I1073" i="2"/>
  <c r="I1072" i="2"/>
  <c r="I1011" i="2"/>
  <c r="I959" i="2"/>
  <c r="I950" i="2"/>
  <c r="I949" i="2"/>
  <c r="I943" i="2"/>
  <c r="I889" i="2"/>
  <c r="I884" i="2"/>
  <c r="I835" i="2"/>
  <c r="I831" i="2"/>
  <c r="I828" i="2"/>
  <c r="I723" i="2"/>
  <c r="I702" i="2"/>
  <c r="I680" i="2"/>
  <c r="I679" i="2"/>
  <c r="I674" i="2"/>
  <c r="I673" i="2"/>
  <c r="I636" i="2"/>
  <c r="I627" i="2"/>
  <c r="I604" i="2"/>
  <c r="I603" i="2"/>
  <c r="I597" i="2"/>
  <c r="I522" i="2"/>
  <c r="I410" i="2"/>
  <c r="I406" i="2"/>
  <c r="I404" i="2"/>
  <c r="I403" i="2"/>
  <c r="I356" i="2"/>
  <c r="I354" i="2"/>
  <c r="I343" i="2"/>
  <c r="I331" i="2"/>
  <c r="I205" i="2"/>
  <c r="I112" i="2"/>
  <c r="I106" i="2"/>
  <c r="I43" i="2"/>
  <c r="I38" i="2"/>
  <c r="I26" i="2"/>
  <c r="I25" i="2"/>
  <c r="I1090" i="2"/>
  <c r="I834" i="2"/>
  <c r="I1406" i="2"/>
  <c r="I1405" i="2"/>
  <c r="I1354" i="2"/>
  <c r="I1353" i="2"/>
  <c r="I1059" i="2"/>
  <c r="I1058" i="2"/>
  <c r="I1025" i="2"/>
  <c r="I1015" i="2"/>
  <c r="I474" i="2"/>
  <c r="I473" i="2"/>
  <c r="I249" i="2"/>
  <c r="I248" i="2"/>
  <c r="I33" i="2"/>
  <c r="I32" i="2"/>
  <c r="I650" i="2"/>
  <c r="I621" i="2"/>
  <c r="I197" i="2"/>
  <c r="I912" i="2"/>
  <c r="I864" i="2"/>
  <c r="I863" i="2"/>
  <c r="I862" i="2"/>
  <c r="I1009" i="2"/>
  <c r="I1369" i="2"/>
  <c r="I1368" i="2"/>
  <c r="I1367" i="2"/>
  <c r="I1366" i="2"/>
  <c r="I1208" i="2"/>
  <c r="I1207" i="2"/>
  <c r="I802" i="2"/>
  <c r="I1274" i="2"/>
  <c r="I1273" i="2"/>
  <c r="I591" i="1" l="1"/>
  <c r="I1107" i="1" l="1"/>
  <c r="I1106" i="1"/>
  <c r="I1105" i="1"/>
  <c r="I685" i="1"/>
  <c r="I684" i="1"/>
  <c r="I1104" i="1"/>
  <c r="I1102" i="1"/>
  <c r="I1103" i="1"/>
  <c r="I1101" i="1"/>
  <c r="I1100" i="1"/>
  <c r="I1099" i="1"/>
  <c r="I47" i="1" l="1"/>
  <c r="I46" i="1"/>
  <c r="I45" i="1"/>
  <c r="I44" i="1" l="1"/>
  <c r="I48" i="1"/>
  <c r="I683" i="1" l="1"/>
  <c r="I682" i="1"/>
  <c r="I1098" i="1"/>
  <c r="I1097" i="1"/>
  <c r="I1044" i="1"/>
  <c r="I1043" i="1"/>
  <c r="I219" i="1"/>
  <c r="I218" i="1"/>
  <c r="I400" i="1"/>
  <c r="I399" i="1"/>
  <c r="I326" i="1"/>
  <c r="I788" i="1"/>
  <c r="I1073" i="1"/>
  <c r="I1395" i="1"/>
  <c r="I1035" i="1"/>
  <c r="I1034" i="1"/>
  <c r="I1394" i="1"/>
  <c r="I935" i="1"/>
  <c r="I913" i="1"/>
  <c r="I1062" i="1"/>
  <c r="I1061" i="1"/>
  <c r="I868" i="1"/>
  <c r="I867" i="1"/>
  <c r="I501" i="1"/>
  <c r="I369" i="1"/>
  <c r="I418" i="1"/>
  <c r="I417" i="1"/>
  <c r="I1072" i="1"/>
  <c r="I324" i="1"/>
  <c r="I323" i="1"/>
  <c r="I1033" i="1"/>
  <c r="I1032" i="1"/>
  <c r="I1090" i="1"/>
  <c r="I1089" i="1"/>
  <c r="I1088" i="1"/>
  <c r="I385" i="1"/>
  <c r="I384" i="1"/>
  <c r="I787" i="1"/>
  <c r="I1071" i="1"/>
  <c r="I210" i="1"/>
  <c r="I209" i="1"/>
  <c r="I843" i="1"/>
  <c r="I1244" i="1"/>
  <c r="I1243" i="1"/>
  <c r="I1412" i="1"/>
  <c r="I1411" i="1"/>
  <c r="I1116" i="1"/>
  <c r="I500" i="1"/>
  <c r="I499" i="1"/>
  <c r="I498" i="1"/>
  <c r="I1168" i="1"/>
  <c r="I1167" i="1"/>
  <c r="I1166" i="1"/>
  <c r="I1165" i="1"/>
  <c r="I1164" i="1"/>
  <c r="I1163" i="1"/>
  <c r="I1162" i="1"/>
  <c r="I1161" i="1"/>
  <c r="I1160" i="1"/>
  <c r="I1159" i="1"/>
  <c r="I681" i="1"/>
  <c r="I1330" i="1"/>
  <c r="I1329" i="1"/>
  <c r="I680" i="1"/>
  <c r="I1328" i="1"/>
  <c r="I1327" i="1"/>
  <c r="I1031" i="1"/>
  <c r="I1030" i="1"/>
  <c r="I1029" i="1"/>
  <c r="I895" i="1"/>
  <c r="I1028" i="1"/>
  <c r="I1027" i="1"/>
  <c r="I1026" i="1"/>
  <c r="I894" i="1"/>
  <c r="I321" i="1"/>
  <c r="I383" i="1"/>
  <c r="I368" i="1"/>
  <c r="I1217" i="1"/>
  <c r="I934" i="1"/>
  <c r="I912" i="1"/>
  <c r="I427" i="1"/>
  <c r="I429" i="1"/>
  <c r="I1246" i="1"/>
  <c r="I1245" i="1"/>
  <c r="I320" i="1"/>
  <c r="I675" i="1"/>
  <c r="I674" i="1"/>
  <c r="I673" i="1"/>
  <c r="I755" i="1"/>
  <c r="I1343" i="1"/>
  <c r="I346" i="1"/>
  <c r="I1235" i="1"/>
  <c r="I1234" i="1"/>
  <c r="I672" i="1"/>
  <c r="I671" i="1"/>
  <c r="I669" i="1"/>
  <c r="I668" i="1"/>
  <c r="I9" i="1"/>
  <c r="I1326" i="1"/>
  <c r="I1325" i="1"/>
  <c r="I842" i="1"/>
  <c r="I841" i="1"/>
  <c r="I8" i="1"/>
  <c r="I1324" i="1"/>
  <c r="I1323" i="1"/>
  <c r="I1060" i="1"/>
  <c r="I1059" i="1"/>
  <c r="I840" i="1"/>
  <c r="I839" i="1"/>
  <c r="I667" i="1"/>
  <c r="I666" i="1"/>
  <c r="I497" i="1"/>
  <c r="I508" i="1"/>
  <c r="I1158" i="1"/>
  <c r="I1157" i="1"/>
  <c r="I1070" i="1"/>
  <c r="I1069" i="1"/>
  <c r="I786" i="1"/>
  <c r="I785" i="1"/>
  <c r="I750" i="1"/>
  <c r="I749" i="1"/>
  <c r="I748" i="1"/>
  <c r="I747" i="1"/>
  <c r="I784" i="1"/>
  <c r="I1068" i="1"/>
  <c r="I746" i="1"/>
  <c r="I745" i="1"/>
  <c r="I444" i="1"/>
  <c r="I872" i="1"/>
  <c r="I443" i="1"/>
  <c r="I871" i="1"/>
  <c r="I318" i="1"/>
  <c r="I317" i="1"/>
  <c r="I398" i="1"/>
  <c r="I416" i="1"/>
  <c r="I397" i="1"/>
  <c r="I415" i="1"/>
  <c r="I1392" i="1"/>
  <c r="I1391" i="1"/>
  <c r="I1242" i="1"/>
  <c r="I665" i="1"/>
  <c r="I664" i="1"/>
  <c r="I770" i="1"/>
  <c r="I663" i="1"/>
  <c r="I662" i="1"/>
  <c r="I661" i="1"/>
  <c r="I660" i="1"/>
  <c r="I1156" i="1"/>
  <c r="I1155" i="1"/>
  <c r="I1154" i="1"/>
  <c r="I1153" i="1"/>
  <c r="I1152" i="1"/>
  <c r="I1151" i="1"/>
  <c r="I316" i="1"/>
  <c r="I1215" i="1"/>
  <c r="I1214" i="1"/>
  <c r="I1390" i="1"/>
  <c r="I1024" i="1"/>
  <c r="I1096" i="1"/>
  <c r="I1213" i="1"/>
  <c r="I1212" i="1"/>
  <c r="I1023" i="1"/>
  <c r="I1389" i="1"/>
  <c r="I43" i="1"/>
  <c r="I42" i="1"/>
  <c r="I426" i="1"/>
  <c r="I836" i="1"/>
  <c r="I381" i="1"/>
  <c r="I1321" i="1"/>
  <c r="I1320" i="1"/>
  <c r="I1319" i="1"/>
  <c r="I710" i="1"/>
  <c r="I496" i="1"/>
  <c r="I1058" i="1"/>
  <c r="I1057" i="1"/>
  <c r="I911" i="1"/>
  <c r="I933" i="1"/>
  <c r="I1022" i="1"/>
  <c r="I1021" i="1"/>
  <c r="I1020" i="1"/>
  <c r="I1019" i="1"/>
  <c r="I1087" i="1"/>
  <c r="I1086" i="1"/>
  <c r="I1085" i="1"/>
  <c r="I835" i="1"/>
  <c r="I834" i="1"/>
  <c r="I425" i="1"/>
  <c r="I442" i="1"/>
  <c r="I1388" i="1"/>
  <c r="I1387" i="1"/>
  <c r="I380" i="1"/>
  <c r="I1016" i="1"/>
  <c r="I1081" i="1"/>
  <c r="I367" i="1"/>
  <c r="I1015" i="1"/>
  <c r="I414" i="1"/>
  <c r="I413" i="1"/>
  <c r="I1211" i="1"/>
  <c r="I1014" i="1"/>
  <c r="I1210" i="1"/>
  <c r="I1386" i="1"/>
  <c r="I703" i="1"/>
  <c r="I1013" i="1"/>
  <c r="I1209" i="1"/>
  <c r="I1012" i="1"/>
  <c r="I1208" i="1"/>
  <c r="I1385" i="1"/>
  <c r="I314" i="1"/>
  <c r="I1011" i="1"/>
  <c r="I1010" i="1"/>
  <c r="I1384" i="1"/>
  <c r="I313" i="1"/>
  <c r="I702" i="1"/>
  <c r="I1009" i="1"/>
  <c r="I1008" i="1"/>
  <c r="I1383" i="1"/>
  <c r="I408" i="1"/>
  <c r="I407" i="1"/>
  <c r="I659" i="1"/>
  <c r="I312" i="1"/>
  <c r="I1150" i="1"/>
  <c r="I1149" i="1"/>
  <c r="I507" i="1"/>
  <c r="I495" i="1"/>
  <c r="I658" i="1"/>
  <c r="I311" i="1"/>
  <c r="I1095" i="1"/>
  <c r="I657" i="1"/>
  <c r="I1418" i="1"/>
  <c r="I366" i="1"/>
  <c r="I406" i="1"/>
  <c r="I405" i="1"/>
  <c r="I1382" i="1"/>
  <c r="I1381" i="1"/>
  <c r="I1207" i="1"/>
  <c r="I1206" i="1"/>
  <c r="I494" i="1"/>
  <c r="I493" i="1"/>
  <c r="I506" i="1"/>
  <c r="I492" i="1"/>
  <c r="I310" i="1"/>
  <c r="I256" i="1"/>
  <c r="I893" i="1"/>
  <c r="I892" i="1"/>
  <c r="I1220" i="1"/>
  <c r="I1380" i="1"/>
  <c r="I1007" i="1"/>
  <c r="I1379" i="1"/>
  <c r="I1205" i="1"/>
  <c r="I1204" i="1"/>
  <c r="I1006" i="1"/>
  <c r="I309" i="1"/>
  <c r="I404" i="1"/>
  <c r="I1203" i="1"/>
  <c r="I403" i="1"/>
  <c r="I308" i="1"/>
  <c r="I458" i="1"/>
  <c r="I457" i="1"/>
  <c r="I455" i="1"/>
  <c r="I454" i="1"/>
  <c r="I932" i="1"/>
  <c r="I1316" i="1"/>
  <c r="I1315" i="1"/>
  <c r="I1314" i="1"/>
  <c r="I1313" i="1"/>
  <c r="I208" i="1"/>
  <c r="I207" i="1"/>
  <c r="I866" i="1"/>
  <c r="I656" i="1"/>
  <c r="I655" i="1"/>
  <c r="I650" i="1"/>
  <c r="I649" i="1"/>
  <c r="I1148" i="1"/>
  <c r="I1147" i="1"/>
  <c r="I1410" i="1"/>
  <c r="I1342" i="1"/>
  <c r="I1409" i="1"/>
  <c r="I1408" i="1"/>
  <c r="I763" i="1"/>
  <c r="I768" i="1"/>
  <c r="I767" i="1"/>
  <c r="I766" i="1"/>
  <c r="I833" i="1"/>
  <c r="I832" i="1"/>
  <c r="I865" i="1"/>
  <c r="I441" i="1"/>
  <c r="I440" i="1"/>
  <c r="I876" i="1"/>
  <c r="I875" i="1"/>
  <c r="I424" i="1"/>
  <c r="I864" i="1"/>
  <c r="I762" i="1"/>
  <c r="I206" i="1"/>
  <c r="I761" i="1"/>
  <c r="I760" i="1"/>
  <c r="I1341" i="1"/>
  <c r="I1340" i="1"/>
  <c r="I759" i="1"/>
  <c r="I765" i="1"/>
  <c r="I931" i="1"/>
  <c r="I205" i="1"/>
  <c r="I758" i="1"/>
  <c r="I930" i="1"/>
  <c r="I764" i="1"/>
  <c r="I306" i="1"/>
  <c r="I1146" i="1"/>
  <c r="I1145" i="1"/>
  <c r="I1144" i="1"/>
  <c r="I1143" i="1"/>
  <c r="I953" i="1"/>
  <c r="I952" i="1"/>
  <c r="I1042" i="1"/>
  <c r="I1041" i="1"/>
  <c r="I1339" i="1"/>
  <c r="I1338" i="1"/>
  <c r="I648" i="1"/>
  <c r="I647" i="1"/>
  <c r="I505" i="1"/>
  <c r="I491" i="1"/>
  <c r="I490" i="1"/>
  <c r="I489" i="1"/>
  <c r="I488" i="1"/>
  <c r="I487" i="1"/>
  <c r="I1142" i="1"/>
  <c r="I1141" i="1"/>
  <c r="I486" i="1"/>
  <c r="I485" i="1"/>
  <c r="I484" i="1"/>
  <c r="I646" i="1"/>
  <c r="I645" i="1"/>
  <c r="I644" i="1"/>
  <c r="I643" i="1"/>
  <c r="I870" i="1"/>
  <c r="I869" i="1"/>
  <c r="I379" i="1"/>
  <c r="I378" i="1"/>
  <c r="I350" i="1"/>
  <c r="I1312" i="1"/>
  <c r="I1311" i="1"/>
  <c r="I349" i="1"/>
  <c r="I1378" i="1"/>
  <c r="I305" i="1"/>
  <c r="I1202" i="1"/>
  <c r="I1377" i="1"/>
  <c r="I1005" i="1"/>
  <c r="I1004" i="1"/>
  <c r="I1201" i="1"/>
  <c r="I1003" i="1"/>
  <c r="I1002" i="1"/>
  <c r="I1200" i="1"/>
  <c r="I1199" i="1"/>
  <c r="I1001" i="1"/>
  <c r="I1198" i="1"/>
  <c r="I1000" i="1"/>
  <c r="I304" i="1"/>
  <c r="I999" i="1"/>
  <c r="I1197" i="1"/>
  <c r="I303" i="1"/>
  <c r="I998" i="1"/>
  <c r="I423" i="1"/>
  <c r="I1337" i="1"/>
  <c r="I1336" i="1"/>
  <c r="I302" i="1"/>
  <c r="I1310" i="1"/>
  <c r="I831" i="1"/>
  <c r="I1309" i="1"/>
  <c r="I1308" i="1"/>
  <c r="I642" i="1"/>
  <c r="I830" i="1"/>
  <c r="I1307" i="1"/>
  <c r="I641" i="1"/>
  <c r="I640" i="1"/>
  <c r="I639" i="1"/>
  <c r="I453" i="1"/>
  <c r="I452" i="1"/>
  <c r="I997" i="1"/>
  <c r="I1196" i="1"/>
  <c r="I996" i="1"/>
  <c r="I995" i="1"/>
  <c r="I1195" i="1"/>
  <c r="I994" i="1"/>
  <c r="I1376" i="1"/>
  <c r="I1375" i="1"/>
  <c r="I863" i="1"/>
  <c r="I993" i="1"/>
  <c r="I992" i="1"/>
  <c r="I638" i="1"/>
  <c r="I637" i="1"/>
  <c r="I636" i="1"/>
  <c r="I635" i="1"/>
  <c r="I73" i="1"/>
  <c r="I1094" i="1"/>
  <c r="I634" i="1"/>
  <c r="I633" i="1"/>
  <c r="I632" i="1"/>
  <c r="I631" i="1"/>
  <c r="I910" i="1"/>
  <c r="I693" i="1"/>
  <c r="I692" i="1"/>
  <c r="I691" i="1"/>
  <c r="I439" i="1"/>
  <c r="I438" i="1"/>
  <c r="I437" i="1"/>
  <c r="I1374" i="1"/>
  <c r="I1373" i="1"/>
  <c r="I1194" i="1"/>
  <c r="I301" i="1"/>
  <c r="I1193" i="1"/>
  <c r="I862" i="1"/>
  <c r="I1192" i="1"/>
  <c r="I1191" i="1"/>
  <c r="I1372" i="1"/>
  <c r="I300" i="1"/>
  <c r="I1407" i="1"/>
  <c r="I365" i="1"/>
  <c r="I991" i="1"/>
  <c r="I1371" i="1"/>
  <c r="I402" i="1"/>
  <c r="I990" i="1"/>
  <c r="I1417" i="1"/>
  <c r="I1370" i="1"/>
  <c r="I401" i="1"/>
  <c r="I1416" i="1"/>
  <c r="I709" i="1"/>
  <c r="I52" i="1"/>
  <c r="I51" i="1"/>
  <c r="I50" i="1"/>
  <c r="I436" i="1"/>
  <c r="I428" i="1"/>
  <c r="I422" i="1"/>
  <c r="I708" i="1"/>
  <c r="I435" i="1"/>
  <c r="I434" i="1"/>
  <c r="I421" i="1"/>
  <c r="I1067" i="1"/>
  <c r="I783" i="1"/>
  <c r="I1399" i="1"/>
  <c r="I1398" i="1"/>
  <c r="I1406" i="1"/>
  <c r="I1405" i="1"/>
  <c r="I483" i="1"/>
  <c r="I482" i="1"/>
  <c r="I481" i="1"/>
  <c r="I1228" i="1"/>
  <c r="I299" i="1"/>
  <c r="I249" i="1"/>
  <c r="I298" i="1"/>
  <c r="I828" i="1"/>
  <c r="I480" i="1"/>
  <c r="I479" i="1"/>
  <c r="I297" i="1"/>
  <c r="I377" i="1"/>
  <c r="I478" i="1"/>
  <c r="I1227" i="1"/>
  <c r="I376" i="1"/>
  <c r="I630" i="1"/>
  <c r="I629" i="1"/>
  <c r="I891" i="1"/>
  <c r="I890" i="1"/>
  <c r="I628" i="1"/>
  <c r="I627" i="1"/>
  <c r="I433" i="1"/>
  <c r="I477" i="1"/>
  <c r="I476" i="1"/>
  <c r="I504" i="1"/>
  <c r="I29" i="1"/>
  <c r="I328" i="1"/>
  <c r="I327" i="1"/>
  <c r="I1122" i="1"/>
  <c r="I824" i="1"/>
  <c r="I823" i="1"/>
  <c r="I624" i="1"/>
  <c r="I623" i="1"/>
  <c r="I622" i="1"/>
  <c r="I621" i="1"/>
  <c r="I620" i="1"/>
  <c r="I619" i="1"/>
  <c r="I618" i="1"/>
  <c r="I617" i="1"/>
  <c r="I615" i="1"/>
  <c r="I613" i="1"/>
  <c r="I716" i="1"/>
  <c r="I375" i="1"/>
  <c r="I987" i="1"/>
  <c r="I986" i="1"/>
  <c r="I985" i="1"/>
  <c r="I984" i="1"/>
  <c r="I701" i="1"/>
  <c r="I1369" i="1"/>
  <c r="I363" i="1"/>
  <c r="I1368" i="1"/>
  <c r="I1190" i="1"/>
  <c r="I1189" i="1"/>
  <c r="I1219" i="1"/>
  <c r="I393" i="1"/>
  <c r="I694" i="1"/>
  <c r="I1415" i="1"/>
  <c r="I1188" i="1"/>
  <c r="I392" i="1"/>
  <c r="I358" i="1"/>
  <c r="I374" i="1"/>
  <c r="I929" i="1"/>
  <c r="I909" i="1"/>
  <c r="I782" i="1"/>
  <c r="I1066" i="1"/>
  <c r="I345" i="1"/>
  <c r="I928" i="1"/>
  <c r="I874" i="1"/>
  <c r="I908" i="1"/>
  <c r="I927" i="1"/>
  <c r="I690" i="1"/>
  <c r="I1140" i="1"/>
  <c r="I1139" i="1"/>
  <c r="I611" i="1"/>
  <c r="I1241" i="1"/>
  <c r="I822" i="1"/>
  <c r="I821" i="1"/>
  <c r="I707" i="1"/>
  <c r="I1233" i="1"/>
  <c r="I1232" i="1"/>
  <c r="I1414" i="1"/>
  <c r="I295" i="1"/>
  <c r="I475" i="1"/>
  <c r="I474" i="1"/>
  <c r="I503" i="1"/>
  <c r="I907" i="1"/>
  <c r="I926" i="1"/>
  <c r="I726" i="1"/>
  <c r="I725" i="1"/>
  <c r="I724" i="1"/>
  <c r="I723" i="1"/>
  <c r="I294" i="1"/>
  <c r="I983" i="1"/>
  <c r="I982" i="1"/>
  <c r="I610" i="1"/>
  <c r="I609" i="1"/>
  <c r="I1093" i="1"/>
  <c r="I1092" i="1"/>
  <c r="I1365" i="1"/>
  <c r="I1364" i="1"/>
  <c r="I344" i="1"/>
  <c r="I343" i="1"/>
  <c r="I342" i="1"/>
  <c r="I341" i="1"/>
  <c r="I1226" i="1"/>
  <c r="I473" i="1"/>
  <c r="I1109" i="1"/>
  <c r="I781" i="1"/>
  <c r="I293" i="1"/>
  <c r="I292" i="1"/>
  <c r="I606" i="1"/>
  <c r="I605" i="1"/>
  <c r="I348" i="1"/>
  <c r="I291" i="1"/>
  <c r="I347" i="1"/>
  <c r="I290" i="1"/>
  <c r="I981" i="1"/>
  <c r="I1363" i="1"/>
  <c r="I980" i="1"/>
  <c r="I1362" i="1"/>
  <c r="I472" i="1"/>
  <c r="I471" i="1"/>
  <c r="I820" i="1"/>
  <c r="I819" i="1"/>
  <c r="I604" i="1"/>
  <c r="I1306" i="1"/>
  <c r="I603" i="1"/>
  <c r="I1305" i="1"/>
  <c r="I357" i="1"/>
  <c r="I979" i="1"/>
  <c r="I978" i="1"/>
  <c r="I818" i="1"/>
  <c r="I817" i="1"/>
  <c r="I78" i="1"/>
  <c r="I906" i="1"/>
  <c r="I1138" i="1"/>
  <c r="I1137" i="1"/>
  <c r="I1136" i="1"/>
  <c r="I1135" i="1"/>
  <c r="I1304" i="1"/>
  <c r="I1303" i="1"/>
  <c r="I1302" i="1"/>
  <c r="I1301" i="1"/>
  <c r="I602" i="1"/>
  <c r="I601" i="1"/>
  <c r="I600" i="1"/>
  <c r="I599" i="1"/>
  <c r="I288" i="1"/>
  <c r="I391" i="1"/>
  <c r="I390" i="1"/>
  <c r="I598" i="1"/>
  <c r="I597" i="1"/>
  <c r="I887" i="1"/>
  <c r="I886" i="1"/>
  <c r="I285" i="1"/>
  <c r="I470" i="1"/>
  <c r="I469" i="1"/>
  <c r="I502" i="1"/>
  <c r="I1040" i="1"/>
  <c r="I1039" i="1"/>
  <c r="I75" i="1"/>
  <c r="I1038" i="1"/>
  <c r="I1037" i="1"/>
  <c r="I1331" i="1"/>
  <c r="I451" i="1"/>
  <c r="I596" i="1"/>
  <c r="I595" i="1"/>
  <c r="I594" i="1"/>
  <c r="I593" i="1"/>
  <c r="I689" i="1"/>
  <c r="I688" i="1"/>
  <c r="I468" i="1"/>
  <c r="I715" i="1"/>
  <c r="I714" i="1"/>
  <c r="I284" i="1"/>
  <c r="I283" i="1"/>
  <c r="I1187" i="1"/>
  <c r="I1186" i="1"/>
  <c r="I1361" i="1"/>
  <c r="I815" i="1"/>
  <c r="I282" i="1"/>
  <c r="I780" i="1"/>
  <c r="I1065" i="1"/>
  <c r="I1335" i="1"/>
  <c r="I340" i="1"/>
  <c r="I751" i="1"/>
  <c r="I951" i="1"/>
  <c r="I950" i="1"/>
  <c r="I949" i="1"/>
  <c r="I948" i="1"/>
  <c r="I947" i="1"/>
  <c r="I339" i="1"/>
  <c r="I1078" i="1"/>
  <c r="I946" i="1"/>
  <c r="I945" i="1"/>
  <c r="I744" i="1"/>
  <c r="I338" i="1"/>
  <c r="I1400" i="1"/>
  <c r="I1225" i="1"/>
  <c r="I944" i="1"/>
  <c r="I777" i="1"/>
  <c r="I753" i="1"/>
  <c r="I885" i="1"/>
  <c r="I884" i="1"/>
  <c r="I883" i="1"/>
  <c r="I1115" i="1"/>
  <c r="I776" i="1"/>
  <c r="I943" i="1"/>
  <c r="I882" i="1"/>
  <c r="I942" i="1"/>
  <c r="I775" i="1"/>
  <c r="I881" i="1"/>
  <c r="I337" i="1"/>
  <c r="I774" i="1"/>
  <c r="I773" i="1"/>
  <c r="I880" i="1"/>
  <c r="I336" i="1"/>
  <c r="I941" i="1"/>
  <c r="I940" i="1"/>
  <c r="I1077" i="1"/>
  <c r="I1076" i="1"/>
  <c r="I879" i="1"/>
  <c r="I335" i="1"/>
  <c r="I1075" i="1"/>
  <c r="I772" i="1"/>
  <c r="I939" i="1"/>
  <c r="I938" i="1"/>
  <c r="I1224" i="1"/>
  <c r="I937" i="1"/>
  <c r="I1223" i="1"/>
  <c r="I1222" i="1"/>
  <c r="I743" i="1"/>
  <c r="I334" i="1"/>
  <c r="I352" i="1"/>
  <c r="I1221" i="1"/>
  <c r="I742" i="1"/>
  <c r="I333" i="1"/>
  <c r="I1074" i="1"/>
  <c r="I1240" i="1"/>
  <c r="I1239" i="1"/>
  <c r="I1121" i="1"/>
  <c r="I1120" i="1"/>
  <c r="I1119" i="1"/>
  <c r="I1118" i="1"/>
  <c r="I1117" i="1"/>
  <c r="I1134" i="1"/>
  <c r="I1133" i="1"/>
  <c r="I1360" i="1"/>
  <c r="I280" i="1"/>
  <c r="I1359" i="1"/>
  <c r="I1358" i="1"/>
  <c r="I1357" i="1"/>
  <c r="I1300" i="1"/>
  <c r="I1299" i="1"/>
  <c r="I1298" i="1"/>
  <c r="I1297" i="1"/>
  <c r="I779" i="1"/>
  <c r="I1064" i="1"/>
  <c r="I1294" i="1"/>
  <c r="I1293" i="1"/>
  <c r="I1290" i="1"/>
  <c r="I1289" i="1"/>
  <c r="I734" i="1"/>
  <c r="I733" i="1"/>
  <c r="I449" i="1"/>
  <c r="I448" i="1"/>
  <c r="I1084" i="1"/>
  <c r="I1083" i="1"/>
  <c r="I1082" i="1"/>
  <c r="I467" i="1"/>
  <c r="I466" i="1"/>
  <c r="I1054" i="1"/>
  <c r="I905" i="1"/>
  <c r="I925" i="1"/>
  <c r="I1053" i="1"/>
  <c r="I861" i="1"/>
  <c r="I860" i="1"/>
  <c r="I722" i="1"/>
  <c r="I351" i="1"/>
  <c r="I859" i="1"/>
  <c r="I721" i="1"/>
  <c r="I204" i="1"/>
  <c r="I203" i="1"/>
  <c r="I1185" i="1"/>
  <c r="I1184" i="1"/>
  <c r="I977" i="1"/>
  <c r="I976" i="1"/>
  <c r="I1288" i="1"/>
  <c r="I1287" i="1"/>
  <c r="I811" i="1"/>
  <c r="I810" i="1"/>
  <c r="I1183" i="1"/>
  <c r="I1182" i="1"/>
  <c r="I592" i="1"/>
  <c r="I808" i="1"/>
  <c r="I590" i="1"/>
  <c r="I589" i="1"/>
  <c r="I465" i="1"/>
  <c r="I446" i="1"/>
  <c r="I445" i="1"/>
  <c r="I700" i="1"/>
  <c r="I1091" i="1"/>
  <c r="I1286" i="1"/>
  <c r="I975" i="1"/>
  <c r="I1285" i="1"/>
  <c r="I974" i="1"/>
  <c r="I699" i="1"/>
  <c r="I432" i="1"/>
  <c r="I420" i="1"/>
  <c r="I1111" i="1"/>
  <c r="I464" i="1"/>
  <c r="I588" i="1"/>
  <c r="I587" i="1"/>
  <c r="I1284" i="1"/>
  <c r="I1283" i="1"/>
  <c r="I586" i="1"/>
  <c r="I585" i="1"/>
  <c r="I584" i="1"/>
  <c r="I1282" i="1"/>
  <c r="I583" i="1"/>
  <c r="I582" i="1"/>
  <c r="I1281" i="1"/>
  <c r="I581" i="1"/>
  <c r="I757" i="1"/>
  <c r="I756" i="1"/>
  <c r="I361" i="1"/>
  <c r="I279" i="1"/>
  <c r="I771" i="1"/>
  <c r="I356" i="1"/>
  <c r="I355" i="1"/>
  <c r="I278" i="1"/>
  <c r="I276" i="1"/>
  <c r="I275" i="1"/>
  <c r="I900" i="1"/>
  <c r="I920" i="1"/>
  <c r="I878" i="1"/>
  <c r="I877" i="1"/>
  <c r="I971" i="1"/>
  <c r="I970" i="1"/>
  <c r="I1052" i="1"/>
  <c r="I919" i="1"/>
  <c r="I1036" i="1"/>
  <c r="I463" i="1"/>
  <c r="I807" i="1"/>
  <c r="I806" i="1"/>
  <c r="I580" i="1"/>
  <c r="I579" i="1"/>
  <c r="I578" i="1"/>
  <c r="I577" i="1"/>
  <c r="I576" i="1"/>
  <c r="I575" i="1"/>
  <c r="I574" i="1"/>
  <c r="I573" i="1"/>
  <c r="I572" i="1"/>
  <c r="I571" i="1"/>
  <c r="I570" i="1"/>
  <c r="I569" i="1"/>
  <c r="I1334" i="1"/>
  <c r="I805" i="1"/>
  <c r="I274" i="1"/>
  <c r="I804" i="1"/>
  <c r="I273" i="1"/>
  <c r="I568" i="1"/>
  <c r="I567" i="1"/>
  <c r="I566" i="1"/>
  <c r="I565" i="1"/>
  <c r="I564" i="1"/>
  <c r="I563" i="1"/>
  <c r="I562" i="1"/>
  <c r="I561" i="1"/>
  <c r="I272" i="1"/>
  <c r="I1051" i="1"/>
  <c r="I1050" i="1"/>
  <c r="I858" i="1"/>
  <c r="I857" i="1"/>
  <c r="I270" i="1"/>
  <c r="I1132" i="1"/>
  <c r="I1131" i="1"/>
  <c r="I741" i="1"/>
  <c r="I740" i="1"/>
  <c r="I354" i="1"/>
  <c r="I560" i="1"/>
  <c r="I559" i="1"/>
  <c r="I1130" i="1"/>
  <c r="I1129" i="1"/>
  <c r="I1108" i="1"/>
  <c r="I1278" i="1"/>
  <c r="I1277" i="1"/>
  <c r="I1276" i="1"/>
  <c r="I1275" i="1"/>
  <c r="I1274" i="1"/>
  <c r="I1273" i="1"/>
  <c r="I558" i="1"/>
  <c r="I557" i="1"/>
  <c r="I803" i="1"/>
  <c r="I802" i="1"/>
  <c r="I556" i="1"/>
  <c r="I555" i="1"/>
  <c r="I431" i="1"/>
  <c r="I419" i="1"/>
  <c r="I1049" i="1"/>
  <c r="I1048" i="1"/>
  <c r="I899" i="1"/>
  <c r="I554" i="1"/>
  <c r="I553" i="1"/>
  <c r="I552" i="1"/>
  <c r="I551" i="1"/>
  <c r="I1404" i="1"/>
  <c r="I1128" i="1"/>
  <c r="I1127" i="1"/>
  <c r="I1126" i="1"/>
  <c r="I1125" i="1"/>
  <c r="I353" i="1"/>
  <c r="I889" i="1"/>
  <c r="I888" i="1"/>
  <c r="I969" i="1"/>
  <c r="I968" i="1"/>
  <c r="I967" i="1"/>
  <c r="I966" i="1"/>
  <c r="I918" i="1"/>
  <c r="I898" i="1"/>
  <c r="I917" i="1"/>
  <c r="I801" i="1"/>
  <c r="I800" i="1"/>
  <c r="I799" i="1"/>
  <c r="I373" i="1"/>
  <c r="I1124" i="1"/>
  <c r="I1123" i="1"/>
  <c r="I202" i="1"/>
  <c r="I201" i="1"/>
  <c r="I856" i="1"/>
  <c r="I1270" i="1"/>
  <c r="I1269" i="1"/>
  <c r="I713" i="1"/>
  <c r="I331" i="1"/>
  <c r="I720" i="1"/>
  <c r="I719" i="1"/>
  <c r="I855" i="1"/>
  <c r="I916" i="1"/>
  <c r="I687" i="1"/>
  <c r="I686" i="1"/>
  <c r="I854" i="1"/>
  <c r="I372" i="1"/>
  <c r="I462" i="1"/>
  <c r="I461" i="1"/>
  <c r="I460" i="1"/>
  <c r="I1046" i="1"/>
  <c r="I897" i="1"/>
  <c r="I915" i="1"/>
  <c r="I1045" i="1"/>
  <c r="I718" i="1"/>
  <c r="I717" i="1"/>
  <c r="I853" i="1"/>
  <c r="I965" i="1"/>
  <c r="I964" i="1"/>
  <c r="I712" i="1"/>
  <c r="I711" i="1"/>
  <c r="I706" i="1"/>
  <c r="I705" i="1"/>
  <c r="I778" i="1"/>
  <c r="I1063" i="1"/>
  <c r="I269" i="1"/>
  <c r="I330" i="1"/>
  <c r="I329" i="1"/>
  <c r="I754" i="1"/>
  <c r="I1333" i="1"/>
  <c r="I1332" i="1"/>
  <c r="I752" i="1"/>
  <c r="I704" i="1"/>
  <c r="I74" i="1"/>
  <c r="I1231" i="1"/>
  <c r="I1230" i="1"/>
  <c r="I1268" i="1"/>
  <c r="I1267" i="1"/>
  <c r="I1265" i="1"/>
  <c r="I1264" i="1"/>
  <c r="I1263" i="1"/>
  <c r="I550" i="1"/>
  <c r="I549" i="1"/>
  <c r="I548" i="1"/>
  <c r="I547" i="1"/>
  <c r="I546" i="1"/>
  <c r="I545" i="1"/>
  <c r="I798" i="1"/>
  <c r="I732" i="1"/>
  <c r="I731" i="1"/>
  <c r="I1262" i="1"/>
  <c r="I1261" i="1"/>
  <c r="I1260" i="1"/>
  <c r="I797" i="1"/>
  <c r="I1259" i="1"/>
  <c r="I796" i="1"/>
  <c r="I1181" i="1"/>
  <c r="I1180" i="1"/>
  <c r="I1179" i="1"/>
  <c r="I1178" i="1"/>
  <c r="I1354" i="1"/>
  <c r="I544" i="1"/>
  <c r="I1353" i="1"/>
  <c r="I543" i="1"/>
  <c r="I542" i="1"/>
  <c r="I541" i="1"/>
  <c r="I739" i="1"/>
  <c r="I1177" i="1"/>
  <c r="I1352" i="1"/>
  <c r="I1176" i="1"/>
  <c r="I1351" i="1"/>
  <c r="I1258" i="1"/>
  <c r="I1257" i="1"/>
  <c r="I1403" i="1"/>
  <c r="I738" i="1"/>
  <c r="I737" i="1"/>
  <c r="I736" i="1"/>
  <c r="I735" i="1"/>
  <c r="I1175" i="1"/>
  <c r="I389" i="1"/>
  <c r="I360" i="1"/>
  <c r="I963" i="1"/>
  <c r="I962" i="1"/>
  <c r="I696" i="1"/>
  <c r="I540" i="1"/>
  <c r="I539" i="1"/>
  <c r="I1218" i="1"/>
  <c r="I728" i="1"/>
  <c r="I1350" i="1"/>
  <c r="I388" i="1"/>
  <c r="I727" i="1"/>
  <c r="I1413" i="1"/>
  <c r="I1349" i="1"/>
  <c r="I267" i="1"/>
  <c r="I795" i="1"/>
  <c r="I538" i="1"/>
  <c r="I537" i="1"/>
  <c r="I1348" i="1"/>
  <c r="I266" i="1"/>
  <c r="I1347" i="1"/>
  <c r="I1256" i="1"/>
  <c r="I1255" i="1"/>
  <c r="I1254" i="1"/>
  <c r="I536" i="1"/>
  <c r="I535" i="1"/>
  <c r="I1253" i="1"/>
  <c r="I534" i="1"/>
  <c r="I533" i="1"/>
  <c r="I532" i="1"/>
  <c r="I531" i="1"/>
  <c r="I530" i="1"/>
  <c r="I529" i="1"/>
  <c r="I1080" i="1"/>
  <c r="I873" i="1"/>
  <c r="I1238" i="1"/>
  <c r="I1237" i="1"/>
  <c r="I1079" i="1"/>
  <c r="I1236" i="1"/>
  <c r="I430" i="1"/>
  <c r="I792" i="1"/>
  <c r="I528" i="1"/>
  <c r="I791" i="1"/>
  <c r="I527" i="1"/>
  <c r="I790" i="1"/>
  <c r="I1229" i="1"/>
  <c r="I526" i="1"/>
  <c r="I525" i="1"/>
  <c r="I524" i="1"/>
  <c r="I523" i="1"/>
  <c r="I522" i="1"/>
  <c r="I521" i="1"/>
  <c r="I520" i="1"/>
  <c r="I519" i="1"/>
  <c r="I896" i="1"/>
  <c r="I914" i="1"/>
  <c r="I852" i="1"/>
  <c r="I851" i="1"/>
  <c r="I518" i="1"/>
  <c r="I517" i="1"/>
  <c r="I516" i="1"/>
  <c r="I515" i="1"/>
  <c r="I695" i="1"/>
  <c r="I514" i="1"/>
  <c r="I513" i="1"/>
  <c r="I512" i="1"/>
  <c r="I371" i="1"/>
  <c r="I370" i="1"/>
  <c r="I959" i="1"/>
  <c r="I1174" i="1"/>
  <c r="I263" i="1"/>
  <c r="I1173" i="1"/>
  <c r="I958" i="1"/>
  <c r="I1346" i="1"/>
  <c r="I1345" i="1"/>
  <c r="I262" i="1"/>
  <c r="I1172" i="1"/>
  <c r="I957" i="1"/>
  <c r="I1171" i="1"/>
  <c r="I956" i="1"/>
  <c r="I200" i="1"/>
  <c r="I199" i="1"/>
  <c r="I359" i="1"/>
  <c r="I1344" i="1"/>
  <c r="I261" i="1"/>
  <c r="I260" i="1"/>
  <c r="I510" i="1"/>
  <c r="I509" i="1"/>
  <c r="I1110" i="1"/>
  <c r="I332" i="1"/>
  <c r="I1250" i="1"/>
  <c r="I1249" i="1"/>
  <c r="I1248" i="1"/>
  <c r="I1247" i="1"/>
  <c r="I955" i="1"/>
  <c r="I954" i="1"/>
  <c r="I1170" i="1"/>
  <c r="I1169" i="1"/>
  <c r="I769" i="1"/>
  <c r="I936" i="1"/>
</calcChain>
</file>

<file path=xl/sharedStrings.xml><?xml version="1.0" encoding="utf-8"?>
<sst xmlns="http://schemas.openxmlformats.org/spreadsheetml/2006/main" count="14200" uniqueCount="1979">
  <si>
    <t>Charity</t>
  </si>
  <si>
    <t>Report Period Beginning</t>
  </si>
  <si>
    <t>Report Period Ending</t>
  </si>
  <si>
    <t xml:space="preserve">% Gross Revenue Promised to Charity </t>
  </si>
  <si>
    <t xml:space="preserve">Gross Revenue Raised in Other States (including Ohio) </t>
  </si>
  <si>
    <t>Gross Revenue Raised in Ohio</t>
  </si>
  <si>
    <t>$ Retained by Charity</t>
  </si>
  <si>
    <t>% Retained by Charity</t>
  </si>
  <si>
    <t>2Listen, LLC</t>
  </si>
  <si>
    <t>Feed the Children, Inc.</t>
  </si>
  <si>
    <t>A.J. Cappel Enterprises, Inc.</t>
  </si>
  <si>
    <t>American Council of the Blind of Ohio, Greater Cincinnati Chapter, Inc.</t>
  </si>
  <si>
    <t>Vietnam Veterans of Southwest Ohio Foundation</t>
  </si>
  <si>
    <t>Sinai Shrine Temple #59</t>
  </si>
  <si>
    <t>AFRC, Inc.</t>
  </si>
  <si>
    <t>Association of the Graduates of the United States Military Academy</t>
  </si>
  <si>
    <t>Richard J. Caron Foundation</t>
  </si>
  <si>
    <t>Americalist, a Division of Haines &amp; Company, Inc.</t>
  </si>
  <si>
    <t>Leukemia &amp; Lymphoma Society, Inc.</t>
  </si>
  <si>
    <t>March of Dimes Birth Defects Foundation</t>
  </si>
  <si>
    <t>Aria Communications Corporation</t>
  </si>
  <si>
    <t>Kappa Kappa Gamma Foundation</t>
  </si>
  <si>
    <t>Planned Parenthood Federation of America, Inc.</t>
  </si>
  <si>
    <t>Planned Parenthood Action Fund, Inc.</t>
  </si>
  <si>
    <t>Cincinnati Public Radio, Inc.</t>
  </si>
  <si>
    <t>Wheat Ridge Ministries</t>
  </si>
  <si>
    <t>Lutheran Association of Missionaries and Pilots</t>
  </si>
  <si>
    <t>Lutheran World Relief, Inc.</t>
  </si>
  <si>
    <t>Foundation for National Progress</t>
  </si>
  <si>
    <t>NARAL Pro-Choice America</t>
  </si>
  <si>
    <t xml:space="preserve">ACCION International </t>
  </si>
  <si>
    <t>Amnesty International USA, Inc.</t>
  </si>
  <si>
    <t xml:space="preserve">Kappa Alpha Theta Foundation </t>
  </si>
  <si>
    <t>American Civil Liberties Union, Inc.</t>
  </si>
  <si>
    <t>Ocean Conservancy, Inc.</t>
  </si>
  <si>
    <t>Share our Strength, Inc</t>
  </si>
  <si>
    <t>National Association for the Advancement of Colored People</t>
  </si>
  <si>
    <t xml:space="preserve">Aria Communications Corporation </t>
  </si>
  <si>
    <t>Associated Community Services, Inc.</t>
  </si>
  <si>
    <t>Disabled Veterans Services, Inc.</t>
  </si>
  <si>
    <t>Children's Cancer Recovery Foundation</t>
  </si>
  <si>
    <t>Law Enforcement Education Program</t>
  </si>
  <si>
    <t>Breast Cancer Charities of America, Inc.</t>
  </si>
  <si>
    <t>Cancer Fund of America, Inc.</t>
  </si>
  <si>
    <t>Children's Cancer Fund of America, Inc.</t>
  </si>
  <si>
    <t>Breast Cancer Society, Inc.</t>
  </si>
  <si>
    <t>Operation Lookout - National Center for Missing Youth</t>
  </si>
  <si>
    <t>Foundation for American Veterans, Inc.</t>
  </si>
  <si>
    <t>Youth Development Fund, Inc.</t>
  </si>
  <si>
    <t>Children With Hairloss, Inc.</t>
  </si>
  <si>
    <t>Veterans Support Foundation</t>
  </si>
  <si>
    <t>Firefighters Charitable Foundation, Inc.</t>
  </si>
  <si>
    <t xml:space="preserve">Autism Spectrum Disorder Foundation, Inc. </t>
  </si>
  <si>
    <t>Animal Protection Foundation</t>
  </si>
  <si>
    <t xml:space="preserve">National Children's Leukemia Foundation, Inc. </t>
  </si>
  <si>
    <t>American Association for Cancer Support</t>
  </si>
  <si>
    <t>Automotive Recovery Services, Inc.</t>
  </si>
  <si>
    <t>National Kidney Foundation, Inc.</t>
  </si>
  <si>
    <t>National Veterans Service Fund, Inc.</t>
  </si>
  <si>
    <t xml:space="preserve">American Heart Association </t>
  </si>
  <si>
    <t>Bee, L.C.</t>
  </si>
  <si>
    <t>Project Cure, Inc.</t>
  </si>
  <si>
    <t>Roger Wyburn-Mason &amp; Jack M. Blount Foundation for the Eradication of Rheumatoid Disease</t>
  </si>
  <si>
    <t>Heart Support of America, Inc.</t>
  </si>
  <si>
    <t>National Cancer Coalition, Inc.</t>
  </si>
  <si>
    <t>Breast Cancer Relief Foundation (fka Cancer Center for Detection and Prevention)</t>
  </si>
  <si>
    <t>Campaign Center, Inc.</t>
  </si>
  <si>
    <t>Firefighters Support Foundation, Inc.</t>
  </si>
  <si>
    <t>Woman to Woman Breast Cancer Foundation, Inc.</t>
  </si>
  <si>
    <t>Breast Cancer Survivors Foundation, Inc.</t>
  </si>
  <si>
    <t>Reserve Police Officers Association</t>
  </si>
  <si>
    <t>Capitol Resources, Inc.</t>
  </si>
  <si>
    <t>Ohio Right to Life Society, Inc.</t>
  </si>
  <si>
    <t>AUL Action, NFP</t>
  </si>
  <si>
    <t>Centerstage Concert Productions, Inc.</t>
  </si>
  <si>
    <t>Portage County Sheriff's Association, Inc.</t>
  </si>
  <si>
    <t>Portage County Charity Horse Show</t>
  </si>
  <si>
    <t>Fraternal Order of Police #88</t>
  </si>
  <si>
    <t>Central States Management, Inc.</t>
  </si>
  <si>
    <t>Ohio Department of Amvets Service Foundation, Inc.</t>
  </si>
  <si>
    <t>Charitable Auto Resources, Inc</t>
  </si>
  <si>
    <t>Paralyzed Veterans of America</t>
  </si>
  <si>
    <t>CJW, Inc.</t>
  </si>
  <si>
    <t>Fraternal Order of Police #12</t>
  </si>
  <si>
    <t>Fraternal Order of Police #3</t>
  </si>
  <si>
    <t>Fraternal Order of Police #35</t>
  </si>
  <si>
    <t>Fraternal Order of Police #20</t>
  </si>
  <si>
    <t>Coinstar, Inc.</t>
  </si>
  <si>
    <t>World Wildlife Fund, Inc.</t>
  </si>
  <si>
    <t>Pacific Historic Parks</t>
  </si>
  <si>
    <t>United States Fund for UNICEF</t>
  </si>
  <si>
    <t>American Red Cross</t>
  </si>
  <si>
    <t>Change Making Change Fund</t>
  </si>
  <si>
    <t>Feeding America fka America's Second Harvest</t>
  </si>
  <si>
    <t>Humane Society - The United States</t>
  </si>
  <si>
    <t>Community Call, Inc.</t>
  </si>
  <si>
    <t>Community Charity Advancement, Inc. fka Seven Sisters of Healing, Inc.</t>
  </si>
  <si>
    <t>12/212012</t>
  </si>
  <si>
    <t>International Union of Police AFL-CIO</t>
  </si>
  <si>
    <t>Community Strategies, Inc.</t>
  </si>
  <si>
    <t>Committee for Missing Children, Inc.</t>
  </si>
  <si>
    <t>ComNet Marketing Group, Inc.</t>
  </si>
  <si>
    <t>Wilderness Society</t>
  </si>
  <si>
    <t>Project Hope - The People to People Health Foundation, Inc.</t>
  </si>
  <si>
    <t>National World War II Museum, Inc.</t>
  </si>
  <si>
    <t>Cleveland Museum of Art</t>
  </si>
  <si>
    <t xml:space="preserve">NARAL Pro-Choice America </t>
  </si>
  <si>
    <t>League of Conservation Voters, Inc.</t>
  </si>
  <si>
    <t>People for the American Way</t>
  </si>
  <si>
    <t>American Association of University Women, Inc.</t>
  </si>
  <si>
    <t>Columbus Association for the Performing Arts</t>
  </si>
  <si>
    <t>Jane Goodall Institute for Wildlife Research &amp; Education Conservation</t>
  </si>
  <si>
    <t>Dayton Public Radio, Inc</t>
  </si>
  <si>
    <t xml:space="preserve">ComNet Marketing Group, Inc. </t>
  </si>
  <si>
    <t>National FFA Foundation, Inc.</t>
  </si>
  <si>
    <t>Environmental Defense, Inc.</t>
  </si>
  <si>
    <t>Confluent Impact Communications, LLC</t>
  </si>
  <si>
    <t>National Right to Life Committee, Inc.</t>
  </si>
  <si>
    <t>Corporations for Character, LC</t>
  </si>
  <si>
    <t>Courtesy Call, Inc.</t>
  </si>
  <si>
    <t>Center for American Homeless Veterans, Inc.</t>
  </si>
  <si>
    <t>Association for Firefighters &amp; Paramedics, Inc.</t>
  </si>
  <si>
    <t>Courtesy Health Watch, Inc.</t>
  </si>
  <si>
    <t>Cancer Center for Detection and Prevention dba Breast Cancer Relief Foundation</t>
  </si>
  <si>
    <t>Children's Leukemia Research Association, Inc.</t>
  </si>
  <si>
    <t>Miracle Flights for Kids, Inc.</t>
  </si>
  <si>
    <t>Tiger Haven, Inc.</t>
  </si>
  <si>
    <t>Covenant Calls, LLC</t>
  </si>
  <si>
    <t>AARP Foundation</t>
  </si>
  <si>
    <t>Technoserve Inc</t>
  </si>
  <si>
    <t>CRF, Inc.</t>
  </si>
  <si>
    <t>Kids Wish Network, Inc.</t>
  </si>
  <si>
    <t>Disabled Police and Sheriffs Foundation</t>
  </si>
  <si>
    <t>National Cancer Assistance Foundation, Inc.</t>
  </si>
  <si>
    <t>Circle of Friends for American Veterans</t>
  </si>
  <si>
    <t xml:space="preserve">Kids Wish Network, Inc. </t>
  </si>
  <si>
    <t>Retired Troopers Association, Inc.</t>
  </si>
  <si>
    <t>DCM, Inc.</t>
  </si>
  <si>
    <t>Cincinnati Symphony Orchestra</t>
  </si>
  <si>
    <t>Philharmonic-Symphony Society of New York, Inc.</t>
  </si>
  <si>
    <t>DialAmerica Marketing, Inc.</t>
  </si>
  <si>
    <t>Mothers Against Drunk Driving - National Organization</t>
  </si>
  <si>
    <t>Special Olympics Ohio, Inc.</t>
  </si>
  <si>
    <t>Partnership for a DrugFree America</t>
  </si>
  <si>
    <t>Directline Technologies, Inc.</t>
  </si>
  <si>
    <t>Medic Alert Foundation United States</t>
  </si>
  <si>
    <t>Donor Care Center, Inc.</t>
  </si>
  <si>
    <t>Foundation for a Christian Civilization, Inc.</t>
  </si>
  <si>
    <t>Save the Children Federation, Inc.</t>
  </si>
  <si>
    <t>National Parkinson Foundation, Inc.</t>
  </si>
  <si>
    <t>OneHope, Inc.</t>
  </si>
  <si>
    <t>Mercy Corps</t>
  </si>
  <si>
    <t>Christian Advocates Serving Evangelism</t>
  </si>
  <si>
    <t>Concerned Women for America</t>
  </si>
  <si>
    <t>American Bible Society</t>
  </si>
  <si>
    <t>Concerned Women for America Legislative Action Committee</t>
  </si>
  <si>
    <t>Moody Bible School Institute of Chicago</t>
  </si>
  <si>
    <t>Oblate Missionary Society, Inc.</t>
  </si>
  <si>
    <t>Food for the Hungry, Inc.</t>
  </si>
  <si>
    <t>Crown Financial Ministries, Inc.</t>
  </si>
  <si>
    <t>Inspirational Network, Inc.</t>
  </si>
  <si>
    <t>Cross International Aid, Inc.</t>
  </si>
  <si>
    <t>Yellowstone Park Foundation, Inc.</t>
  </si>
  <si>
    <t>Ideastream, Inc.</t>
  </si>
  <si>
    <t>Life Outreach International Inc</t>
  </si>
  <si>
    <t>Liberty Counsel Action</t>
  </si>
  <si>
    <t xml:space="preserve">Inspirational Network, Inc. </t>
  </si>
  <si>
    <t>International Fellowship of Christians &amp; Jews, Inc.</t>
  </si>
  <si>
    <t>Nature Conservancy</t>
  </si>
  <si>
    <t>Christian Appalachian Project, Inc.</t>
  </si>
  <si>
    <t>CBMC, Inc.</t>
  </si>
  <si>
    <t>Donor Services Group, LLC</t>
  </si>
  <si>
    <t>American Society for the Prevention of Cruelty to Animals</t>
  </si>
  <si>
    <t>League of Women Voters - United States</t>
  </si>
  <si>
    <t>United States Olympic Committee</t>
  </si>
  <si>
    <t>Human Rights Campaign, Inc.</t>
  </si>
  <si>
    <t>Parents, Families &amp; Friends of Lesbians &amp; Gays, Inc.</t>
  </si>
  <si>
    <t>Colonial Williamsburg Foundation, Inc.</t>
  </si>
  <si>
    <t>People for the Ethical Treatment of Animals, Inc.</t>
  </si>
  <si>
    <t xml:space="preserve">Southern Poverty Law Center, Inc. </t>
  </si>
  <si>
    <t>Doctors Without Borders/Medecins Sans Frontieres USA, Inc.</t>
  </si>
  <si>
    <t>Habitat for Humanity International, Inc.</t>
  </si>
  <si>
    <t>Metropolitan Museum of Art</t>
  </si>
  <si>
    <t>Sierra Club</t>
  </si>
  <si>
    <t>International Rescue Committee</t>
  </si>
  <si>
    <t>Consumers Union of the United States, Inc.</t>
  </si>
  <si>
    <t>National Audubon Society, Inc.</t>
  </si>
  <si>
    <t>National Wildlife Federation</t>
  </si>
  <si>
    <t>Earthjustice</t>
  </si>
  <si>
    <t>Western Pennsylvania Conservancy</t>
  </si>
  <si>
    <t>Oxfam-America, Inc.</t>
  </si>
  <si>
    <t xml:space="preserve">Physicians Committee for Responsible Medicine </t>
  </si>
  <si>
    <t>Union of Concerned Scientists, Inc.</t>
  </si>
  <si>
    <t>Natural Resources Defense Council, Inc.</t>
  </si>
  <si>
    <t>Greenpeace, Inc.</t>
  </si>
  <si>
    <t xml:space="preserve">Student Conservation Association </t>
  </si>
  <si>
    <t>American Film Institute, Inc.</t>
  </si>
  <si>
    <t>Compassion &amp; Choices</t>
  </si>
  <si>
    <t>Compassion &amp; Choices Action Network</t>
  </si>
  <si>
    <t>Doris Day Animal League</t>
  </si>
  <si>
    <t>Fund for Animals, Inc</t>
  </si>
  <si>
    <t>Humane Society Legislative Fund</t>
  </si>
  <si>
    <t>B'nai B'rith</t>
  </si>
  <si>
    <t>Greenpeace Fund Inc</t>
  </si>
  <si>
    <t>EarthJustice</t>
  </si>
  <si>
    <t xml:space="preserve">Green America </t>
  </si>
  <si>
    <t>Messianic Jewish Alliance of America</t>
  </si>
  <si>
    <t>Gay Men's Health Crisis</t>
  </si>
  <si>
    <t>American Association for the Advancement of Science</t>
  </si>
  <si>
    <t>Cooperative for Assistance and Relief Everywhere, Inc. - CARE</t>
  </si>
  <si>
    <t>Americares Foundation, Inc.</t>
  </si>
  <si>
    <t>Memorial Sloan-Kettering Cancer Center</t>
  </si>
  <si>
    <t>National Trust for Historic Preservation in the U.S.</t>
  </si>
  <si>
    <t>American Civil Liberties Union Foundation, Inc.</t>
  </si>
  <si>
    <t>Eagleview Associates, LLC</t>
  </si>
  <si>
    <t>Lupus Foundation of America Greater Cleveland Chapter, Inc.</t>
  </si>
  <si>
    <t>Emil W Michalczik dba EWM Enterprises</t>
  </si>
  <si>
    <t>Bluecoats Drum &amp; Bugle Corps</t>
  </si>
  <si>
    <t>Blue Knights Ohio XXV International Law Enforcement Motorcycle Club, Inc.</t>
  </si>
  <si>
    <t>Canton Police Patrolmans Association</t>
  </si>
  <si>
    <t>Encore Music Productions, Ltd.</t>
  </si>
  <si>
    <t>Fraternal Order of Police #90</t>
  </si>
  <si>
    <t>Kiwanis Club of Boardman</t>
  </si>
  <si>
    <t>Fraternal Order of Police #171</t>
  </si>
  <si>
    <t>Fraternal Order of Police #106</t>
  </si>
  <si>
    <t>International Association of Firefighters #334</t>
  </si>
  <si>
    <t>International Association of Firefighters #3356</t>
  </si>
  <si>
    <t>Fraternal Order of Police #77</t>
  </si>
  <si>
    <t>Alliance Fire Fighters Association #480</t>
  </si>
  <si>
    <t>Tiffin Area Babe Ruth Baseball League</t>
  </si>
  <si>
    <t>International Association of Firefighters #312</t>
  </si>
  <si>
    <t>Fraternal Order of Police #10</t>
  </si>
  <si>
    <t>Fraternal Order of Police #16 - Lake Geauga</t>
  </si>
  <si>
    <t>Fraternal Order of Police #6</t>
  </si>
  <si>
    <t>Fraternal Order of Police #132</t>
  </si>
  <si>
    <t>Fine Line Communications, Ltd.</t>
  </si>
  <si>
    <t>Firefighter Services, LLC</t>
  </si>
  <si>
    <t>Fraternal Charities, Inc.</t>
  </si>
  <si>
    <t>Fraternal Order of Police #105</t>
  </si>
  <si>
    <t>Gateway Communications, Inc.</t>
  </si>
  <si>
    <t>Cherry Street Mission Ministries</t>
  </si>
  <si>
    <t>Dream Center</t>
  </si>
  <si>
    <t>City Mission Endowment Foundation</t>
  </si>
  <si>
    <t>GiveRight, Inc.</t>
  </si>
  <si>
    <t>Heritage Foundation</t>
  </si>
  <si>
    <t>Leadership Institute</t>
  </si>
  <si>
    <t>Gordon &amp; Schwenkmeyer, Inc.</t>
  </si>
  <si>
    <t>Hillel:  The Foundation for Jewish Campus Life</t>
  </si>
  <si>
    <t>United Farm Workers</t>
  </si>
  <si>
    <t>Harris Connect, LLC</t>
  </si>
  <si>
    <t>American College</t>
  </si>
  <si>
    <t>Wake Forest University Health Sciences</t>
  </si>
  <si>
    <t>Marine Corps Heritage Foundation</t>
  </si>
  <si>
    <t>Lawrence Technological University</t>
  </si>
  <si>
    <t xml:space="preserve">Catholic Foreign Mission Society of America, Inc </t>
  </si>
  <si>
    <t>Principia Corporation</t>
  </si>
  <si>
    <t xml:space="preserve">United States Coast Guard Academy Alumni Inc </t>
  </si>
  <si>
    <t>Navy League of the United States</t>
  </si>
  <si>
    <t>Medical College of Wisconsin</t>
  </si>
  <si>
    <t>Saint Francis University</t>
  </si>
  <si>
    <t>Calvert Hall College of Baltimore City</t>
  </si>
  <si>
    <t>Rosalind Franklin University of Medicine and Science</t>
  </si>
  <si>
    <t>Harris Direct</t>
  </si>
  <si>
    <t xml:space="preserve">Harris Direct </t>
  </si>
  <si>
    <t>Planetary Society</t>
  </si>
  <si>
    <t>Heritage Company, Inc.</t>
  </si>
  <si>
    <t>Children's Wish Foundation International, Inc.</t>
  </si>
  <si>
    <t xml:space="preserve">Heritage Company, Inc. </t>
  </si>
  <si>
    <t>United Breast Cancer Foundation, Inc.</t>
  </si>
  <si>
    <t>Multiple Sclerosis Association of America, Inc.</t>
  </si>
  <si>
    <t xml:space="preserve">Heritage Company, Inc.  </t>
  </si>
  <si>
    <t xml:space="preserve">National Caregiving Foundation </t>
  </si>
  <si>
    <t>Ohio National Guard Enlisted Association</t>
  </si>
  <si>
    <t>Mothers Against Drunk Driving - National Organization (Business)</t>
  </si>
  <si>
    <t>Mothers Against Drunk Driving - National Organization (Residential)</t>
  </si>
  <si>
    <t>Promenade Nationale Corporation</t>
  </si>
  <si>
    <t>Enlisted Association of the National Guard of the United States</t>
  </si>
  <si>
    <t>National Children's Cancer Society, Inc.</t>
  </si>
  <si>
    <t>National Caregiving Foundation</t>
  </si>
  <si>
    <t xml:space="preserve">American Legion </t>
  </si>
  <si>
    <t>MAP International</t>
  </si>
  <si>
    <t>Hudson Bay Company of Illinois, Inc.</t>
  </si>
  <si>
    <t>Organic Consumers Fund</t>
  </si>
  <si>
    <t>Organic Consumers Association</t>
  </si>
  <si>
    <t>Equal Justice USA Inc</t>
  </si>
  <si>
    <t>Government Accountability Project</t>
  </si>
  <si>
    <t>National Peace Academy Inc</t>
  </si>
  <si>
    <t>Food &amp; Water Watch</t>
  </si>
  <si>
    <t>National Peace Academy, Inc.</t>
  </si>
  <si>
    <t>Hudson Village Pizza, Inc.</t>
  </si>
  <si>
    <t xml:space="preserve">Valley Forge Athletic Dept. </t>
  </si>
  <si>
    <t>Manchester Music Boosters</t>
  </si>
  <si>
    <t>Green All Sports Booster Club of Green Schools</t>
  </si>
  <si>
    <t>Hoover Academic Booster Club</t>
  </si>
  <si>
    <t xml:space="preserve">Midpark Athletic Boosters  </t>
  </si>
  <si>
    <t>North Olmsted Eagles Boosters, Inc.</t>
  </si>
  <si>
    <t>Jackson High School Speech &amp; Debate Team</t>
  </si>
  <si>
    <t>Parma High School Music Boosters Club</t>
  </si>
  <si>
    <t>North High School Boosters Club of Eastlake, Ohio, Inc.</t>
  </si>
  <si>
    <t>Brush Athletic Booster Club</t>
  </si>
  <si>
    <t xml:space="preserve">Cuyahoga Falls Youth Wrestling </t>
  </si>
  <si>
    <t>Mayfield Athletic Boosters Club</t>
  </si>
  <si>
    <t>Mentor Youth Basketball Association</t>
  </si>
  <si>
    <t>Firestone High School PTSA</t>
  </si>
  <si>
    <t>Ellet High School PTSA</t>
  </si>
  <si>
    <t>Nordonia Hills City Schools Athletic Department</t>
  </si>
  <si>
    <t>Willoughby South Athletic Department</t>
  </si>
  <si>
    <t>Valley Forge Athletic Dept.</t>
  </si>
  <si>
    <t>Glen Oaks Booster Club</t>
  </si>
  <si>
    <t>Euclid High School Sports Hall of Fame</t>
  </si>
  <si>
    <t>Perry High School Adult Booster Club</t>
  </si>
  <si>
    <t xml:space="preserve">Instrumental Music Patrons of Cuyahoga Falls Ohio </t>
  </si>
  <si>
    <t>Stow Monroe Falls Athletic Booster Club</t>
  </si>
  <si>
    <t xml:space="preserve">Hudson Village Pizza, Inc. </t>
  </si>
  <si>
    <t>Jackson High School Academic Booster Club</t>
  </si>
  <si>
    <t>InfoCision, Inc.</t>
  </si>
  <si>
    <t xml:space="preserve">TelecomPioneers Charitable Foundation </t>
  </si>
  <si>
    <t>Infocision, Inc.</t>
  </si>
  <si>
    <t>Good News Broadcasting Association, Inc dba Back to the Bible</t>
  </si>
  <si>
    <t>Autism Family Foundation of Northeast Ohio</t>
  </si>
  <si>
    <t>American Leprosy Missions, Inc.</t>
  </si>
  <si>
    <t xml:space="preserve">Operation Blessing International Relief &amp; Development Corp. </t>
  </si>
  <si>
    <t>Nora Lam Chinese Ministries International</t>
  </si>
  <si>
    <t>Coral Ridge Ministries</t>
  </si>
  <si>
    <t>American Conservative Union</t>
  </si>
  <si>
    <t>ChildFund International, USA</t>
  </si>
  <si>
    <t xml:space="preserve">Concerned Women for America  </t>
  </si>
  <si>
    <t>American Lebanese Syrian Associated Charities dba St. Jude Children's Research Hospital</t>
  </si>
  <si>
    <t>Easter Seals, Inc.</t>
  </si>
  <si>
    <t>Crohn's &amp; Colitis Foundation of America, Inc.</t>
  </si>
  <si>
    <t>American Lung Association</t>
  </si>
  <si>
    <t>National Multiple Sclerosis Society</t>
  </si>
  <si>
    <t>Smile Train, Inc.</t>
  </si>
  <si>
    <t>LeSEA Broadcasting Corporation</t>
  </si>
  <si>
    <t>National Foundation for Cancer Research</t>
  </si>
  <si>
    <t>Greenpeace Fund, Inc</t>
  </si>
  <si>
    <t>Ohio National Guard Association</t>
  </si>
  <si>
    <t>National Wheelchair Basketball Association</t>
  </si>
  <si>
    <t>SADD, Inc.</t>
  </si>
  <si>
    <t>Riverside Rebounders Club</t>
  </si>
  <si>
    <t>LifePoint Charitable Endowment</t>
  </si>
  <si>
    <t>Social Security Institute</t>
  </si>
  <si>
    <t>AOPA Foundation, Inc.</t>
  </si>
  <si>
    <t xml:space="preserve">Open Doors with Brother Andrew, Inc. </t>
  </si>
  <si>
    <t>Alzheimer's Disease &amp; Related Disorders - Chicago</t>
  </si>
  <si>
    <t>U. S. English, Inc.</t>
  </si>
  <si>
    <t>Faith &amp; Freedom Coalition, Inc.</t>
  </si>
  <si>
    <t>Citizens United</t>
  </si>
  <si>
    <t xml:space="preserve">American Institute for Cancer Research </t>
  </si>
  <si>
    <t>American Diabetes Association, Inc.</t>
  </si>
  <si>
    <t>TelecomPioneers Charitable Foundation</t>
  </si>
  <si>
    <t>North Shore Animal League America, Inc.</t>
  </si>
  <si>
    <t>Students for Liberty Inc</t>
  </si>
  <si>
    <t>Plan International USA, Inc</t>
  </si>
  <si>
    <t>Youth Villages Foundation</t>
  </si>
  <si>
    <t>National Rifle Association of America</t>
  </si>
  <si>
    <t>March of Dimes Foundation</t>
  </si>
  <si>
    <t>Operation Blessing International Relief and Development Corporation</t>
  </si>
  <si>
    <t>Educational Media Foundation</t>
  </si>
  <si>
    <t>Teen Mania Ministries</t>
  </si>
  <si>
    <t>U.S. English, Inc</t>
  </si>
  <si>
    <t>Family Research Council Action</t>
  </si>
  <si>
    <t>Juvenile Diabetes Research Foundation International - National</t>
  </si>
  <si>
    <t>Crohn's and Colitis Foundation of America, Inc</t>
  </si>
  <si>
    <t>AOPA Foundation, Inc</t>
  </si>
  <si>
    <t>Childfund International, USA</t>
  </si>
  <si>
    <t>American Heart Association</t>
  </si>
  <si>
    <t>Insight Teleservices, Inc.</t>
  </si>
  <si>
    <t>Good Charity Inc</t>
  </si>
  <si>
    <t>Good Charity, Inc</t>
  </si>
  <si>
    <t>National Children's Leukemia Foundation</t>
  </si>
  <si>
    <t>Integral Resources, Inc.</t>
  </si>
  <si>
    <t xml:space="preserve">Integral Resources, Inc. </t>
  </si>
  <si>
    <t>American Council of the Blind - National</t>
  </si>
  <si>
    <t>Enviromental Defense, Inc</t>
  </si>
  <si>
    <t>J. Milito &amp; Associates, Inc.</t>
  </si>
  <si>
    <t>Lehman Catholic High School</t>
  </si>
  <si>
    <t>Muskingham Valley Council Inc Boy Scouts of America</t>
  </si>
  <si>
    <t>Roger Bacon High School</t>
  </si>
  <si>
    <t>Boy Scouts of America Buckeye Council #436</t>
  </si>
  <si>
    <t>Black Swamp Area Council Inc Boy Scouts of America</t>
  </si>
  <si>
    <t>Boy Scouts of America Greater Cleveland Council</t>
  </si>
  <si>
    <t>Mt. Notre Dame High School</t>
  </si>
  <si>
    <t>John F. Kennedy Catholic School</t>
  </si>
  <si>
    <t xml:space="preserve">J. Milito &amp; Associates, Inc. </t>
  </si>
  <si>
    <t>Cardinal Mooney High School</t>
  </si>
  <si>
    <t>Boy Scouts of America Heart of Ohio Council</t>
  </si>
  <si>
    <t xml:space="preserve">Gilmour Academy </t>
  </si>
  <si>
    <t>Boy Scouts of America- Greater Western Reserve #463</t>
  </si>
  <si>
    <t>Gilmour Academy</t>
  </si>
  <si>
    <t>JAK Productions, Inc.</t>
  </si>
  <si>
    <t>Cancer Survivors' Fund</t>
  </si>
  <si>
    <t>Keys Direct Marketing &amp; Communications, Inc.</t>
  </si>
  <si>
    <t>Ashley, Inc.</t>
  </si>
  <si>
    <t>Kleinco Promotions</t>
  </si>
  <si>
    <t>Springfield Command Officers Association, Inc.</t>
  </si>
  <si>
    <t>Springfield Police Patrolman's Association</t>
  </si>
  <si>
    <t>Clark County Deputies Association</t>
  </si>
  <si>
    <t>Fraternal Order of Police #107</t>
  </si>
  <si>
    <t>Fraternal Order of Police #60</t>
  </si>
  <si>
    <t>Amvets #25</t>
  </si>
  <si>
    <t>Antioch Shrine Foundation</t>
  </si>
  <si>
    <t>Springfield Ohio Retired Firefighters Association</t>
  </si>
  <si>
    <t>Amvets #2003</t>
  </si>
  <si>
    <t>Fraternal Order of Police #104</t>
  </si>
  <si>
    <t>KWH Promotions, Inc.</t>
  </si>
  <si>
    <t>Fraternal Order of Police #84</t>
  </si>
  <si>
    <t>L &amp; W Show Productions, Inc.</t>
  </si>
  <si>
    <t>Fraternal Order of Police #4</t>
  </si>
  <si>
    <t>Blue Knights Law Enforcement Motorcycle Club XIV</t>
  </si>
  <si>
    <t xml:space="preserve">L &amp; W Show Productions, Inc.  </t>
  </si>
  <si>
    <t>Trumbull County Police &amp; Fire Retirees of Ohio, Inc.</t>
  </si>
  <si>
    <t>Blue Knights Law Enforcement Motorcycle Club XVII</t>
  </si>
  <si>
    <t>Lakes Management, Inc.</t>
  </si>
  <si>
    <t>Easter Seal Society of Northeast Ohio</t>
  </si>
  <si>
    <t>Law Enforcement/Fire Prevention Benefits, Inc.</t>
  </si>
  <si>
    <t xml:space="preserve">Ohio Crime Prevention Association </t>
  </si>
  <si>
    <t>Ohio Fire Chiefs' Association, Inc.</t>
  </si>
  <si>
    <t>Ohio Association of Emergency Medical Services</t>
  </si>
  <si>
    <t>Ohio State Firefighters Association</t>
  </si>
  <si>
    <t>Ohio Association of Chiefs of Police</t>
  </si>
  <si>
    <t>Ohio Crime Prevention Association</t>
  </si>
  <si>
    <t xml:space="preserve">Law Enforcement/Fire Prevention Benefits, Inc. </t>
  </si>
  <si>
    <t xml:space="preserve">Ohio School Resource Officers Association </t>
  </si>
  <si>
    <t>Ohio School Resource Officers Association</t>
  </si>
  <si>
    <t>Ohio Association for Chiefs of Police</t>
  </si>
  <si>
    <t>Liaison Marketing - A Special Event</t>
  </si>
  <si>
    <t>A Kid Again, Inc.</t>
  </si>
  <si>
    <t>Smith Family Foundation</t>
  </si>
  <si>
    <t>Major Productions II, Inc.</t>
  </si>
  <si>
    <t>Fraternal Order of Police #126</t>
  </si>
  <si>
    <t>Drug Education Officers of Mahoning Valley</t>
  </si>
  <si>
    <t>Fraternal Order of Police #198</t>
  </si>
  <si>
    <t>Fraternal Order of Police #163</t>
  </si>
  <si>
    <t>Fraternal Order of Police #52</t>
  </si>
  <si>
    <t>Fraternal Order of Police #27</t>
  </si>
  <si>
    <t>Fraternal Order of Police #168</t>
  </si>
  <si>
    <t>McGhee FundRaising Consultants</t>
  </si>
  <si>
    <t>Waite High School Choir Boosters</t>
  </si>
  <si>
    <t>McGhee Fundraising Consultants</t>
  </si>
  <si>
    <t>Start High School Up Starts</t>
  </si>
  <si>
    <t>Humane Society of Sandusky County</t>
  </si>
  <si>
    <t>Fremont Ross Academic Boosters Association</t>
  </si>
  <si>
    <t>Springfield High School JROTC</t>
  </si>
  <si>
    <t>Lake High School</t>
  </si>
  <si>
    <t>Monclova Historical Foundation</t>
  </si>
  <si>
    <t>Bowsher High School Choir</t>
  </si>
  <si>
    <t>Fostoria High School Academic Boosters</t>
  </si>
  <si>
    <t>Wood County Humane Society, Inc.</t>
  </si>
  <si>
    <t>MDS Communications Corporation</t>
  </si>
  <si>
    <t>ACT for America, Inc.</t>
  </si>
  <si>
    <t>Rutherford Institute</t>
  </si>
  <si>
    <t>Judicial Watch, Inc.</t>
  </si>
  <si>
    <t>Life Issues Institute, Inc.</t>
  </si>
  <si>
    <t xml:space="preserve">Quiet Hour, Inc.  </t>
  </si>
  <si>
    <t>Holt International Children's Services, Inc.</t>
  </si>
  <si>
    <t>Family Research Council</t>
  </si>
  <si>
    <t>Catholic Relief Services - U.S. Catholic Conference</t>
  </si>
  <si>
    <t>Tea Party Patriots, Inc.</t>
  </si>
  <si>
    <t>Arthritis Foundation, Inc.</t>
  </si>
  <si>
    <t>Students for Life of America, Inc.</t>
  </si>
  <si>
    <t>Heifer Project International</t>
  </si>
  <si>
    <t>World Relief Corporation of National Association of Evangelicals</t>
  </si>
  <si>
    <t>GAIN International</t>
  </si>
  <si>
    <t>Veterans of Foreign Wars of the United States</t>
  </si>
  <si>
    <t>Americans United for Life</t>
  </si>
  <si>
    <t>Lutheran World Relief</t>
  </si>
  <si>
    <t>Heifer Project International, Inc</t>
  </si>
  <si>
    <t>Judicial Watch, Inc</t>
  </si>
  <si>
    <t xml:space="preserve"> </t>
  </si>
  <si>
    <t>Cooperative for Assistance &amp; Relief Everywhere, Inc</t>
  </si>
  <si>
    <t>Quiet Hour, Inc</t>
  </si>
  <si>
    <t xml:space="preserve">Gain International </t>
  </si>
  <si>
    <t>Family Research Council, Inc</t>
  </si>
  <si>
    <t>Students for Life of America, Inc</t>
  </si>
  <si>
    <t>Crown Financial Ministries, Inc</t>
  </si>
  <si>
    <t>Catholic Relief Services-U.S. Catholic Conference</t>
  </si>
  <si>
    <t>Meyer Associates, Inc.</t>
  </si>
  <si>
    <t>Midwest Publishing-DN, Inc.</t>
  </si>
  <si>
    <t>American Federation of Police &amp; Concerned Citizens</t>
  </si>
  <si>
    <t>Caring for Our Children Foundation</t>
  </si>
  <si>
    <t>Ohio Patrolmen's Benevolent Association</t>
  </si>
  <si>
    <t>National Narcotic Officers' Association Coalition</t>
  </si>
  <si>
    <t>Operation Lookout-National Center for Missing Youth</t>
  </si>
  <si>
    <t>National Association of Chiefs of Police</t>
  </si>
  <si>
    <t>National Capital Teleservices, LLC</t>
  </si>
  <si>
    <t>NFIB Education Foundation</t>
  </si>
  <si>
    <t>Ohio Mills Corporation</t>
  </si>
  <si>
    <t>Special Olympics Ohio, Inc</t>
  </si>
  <si>
    <t>Olympia Publishing, Inc.</t>
  </si>
  <si>
    <t>American Legion Department of Ohio, Inc.</t>
  </si>
  <si>
    <t>OTMC, Inc.</t>
  </si>
  <si>
    <t>Fraternal Order of Police #32</t>
  </si>
  <si>
    <t>Fraternal Order of Police #37</t>
  </si>
  <si>
    <t>Defiance Police Officers Association Local 166</t>
  </si>
  <si>
    <t>Fraternal Order of Police #138</t>
  </si>
  <si>
    <t>Greene County FOP Lodge #37 Benevolent Fund</t>
  </si>
  <si>
    <t>Fraternal Order of Police #24</t>
  </si>
  <si>
    <t>Greene County Youth Activity Fund, Inc.</t>
  </si>
  <si>
    <t>Defiance County Law Enforcement Association, Inc.</t>
  </si>
  <si>
    <t>Fraternal Order of Police #161</t>
  </si>
  <si>
    <t>Fraternal Order of Police #181</t>
  </si>
  <si>
    <t>Outerwall, Inc</t>
  </si>
  <si>
    <t>Pacific Historic Parks fka Arizona Memorial Museum Association</t>
  </si>
  <si>
    <t>Outreach Calling</t>
  </si>
  <si>
    <t>Law Enforcement Officers Relief Fund</t>
  </si>
  <si>
    <t>American Foundation for Disabled Children, Inc.</t>
  </si>
  <si>
    <t>United Breast Cancer Research Society, Inc.</t>
  </si>
  <si>
    <t>Disabled Police Officers of America, Inc.</t>
  </si>
  <si>
    <t>Disabled Police Officers Counseling Center, Inc.</t>
  </si>
  <si>
    <t>Healing Heroes Network, Inc.</t>
  </si>
  <si>
    <t>Childhood Leukemia Foundation, Inc.</t>
  </si>
  <si>
    <t xml:space="preserve">Outreach Calling </t>
  </si>
  <si>
    <t>Optimal Medical Foundation</t>
  </si>
  <si>
    <t>Defeat Diabetes Foundation, Inc.</t>
  </si>
  <si>
    <t>Disabled Police Officers of America, Inc</t>
  </si>
  <si>
    <t>P.S. Public Relations, Inc.</t>
  </si>
  <si>
    <t xml:space="preserve">Northern Ohio Fire Fighters, Inc. </t>
  </si>
  <si>
    <t>Fraternal Order of Police #80</t>
  </si>
  <si>
    <t>Fraternal Order of Police #67</t>
  </si>
  <si>
    <t>Fraternal Order of Police #15</t>
  </si>
  <si>
    <t>Fraternal Order of Police #123</t>
  </si>
  <si>
    <t>Fraternal Order of Police #82</t>
  </si>
  <si>
    <t>Fraternal Order of Police #8</t>
  </si>
  <si>
    <t>Fraternal Order of Police #57</t>
  </si>
  <si>
    <t>Fraternal Order of Police #116</t>
  </si>
  <si>
    <t>Fraternal Order of Police #25</t>
  </si>
  <si>
    <t>8th District Sorority DBA 8th District F.O.P.</t>
  </si>
  <si>
    <t>Fraternal Order of Police #204</t>
  </si>
  <si>
    <t>Northern Ohio Fire Fighters, Inc.</t>
  </si>
  <si>
    <t>04/012013</t>
  </si>
  <si>
    <t>PDR II, Inc.</t>
  </si>
  <si>
    <t>National Parks Conservation Association</t>
  </si>
  <si>
    <t>Population Connection</t>
  </si>
  <si>
    <t>AFS-USA, Inc</t>
  </si>
  <si>
    <t>Women for Women International</t>
  </si>
  <si>
    <t>Wellstone Action</t>
  </si>
  <si>
    <t>Center for Biological Diversity Inc</t>
  </si>
  <si>
    <t>Religious Coalition for Reproductive Choice</t>
  </si>
  <si>
    <t>League of Women Voters Education Fund</t>
  </si>
  <si>
    <t>Defenders of Wildlife</t>
  </si>
  <si>
    <t>Defenders of Wildlife Action Fund</t>
  </si>
  <si>
    <t>Helen Keller International, Inc</t>
  </si>
  <si>
    <t>National Museum of Women in the Arts, Inc.</t>
  </si>
  <si>
    <t>Center for Victims of Torture</t>
  </si>
  <si>
    <t>International Fund for Animal Welfare, Inc.</t>
  </si>
  <si>
    <t>Bread for the World, Inc.</t>
  </si>
  <si>
    <t>United States Association for UNHCR</t>
  </si>
  <si>
    <t>American Civil Liberities Union, Inc</t>
  </si>
  <si>
    <t>Phone Bank Systems, Inc.</t>
  </si>
  <si>
    <t>Greater Cincinnati Television Educational Foundation</t>
  </si>
  <si>
    <t>WQED Pittsburgh</t>
  </si>
  <si>
    <t>Greater Dayton Public Television, Inc.</t>
  </si>
  <si>
    <t>Northeastern Educational Television of Ohio</t>
  </si>
  <si>
    <t>Dayton Philharmonic Orchestra Association</t>
  </si>
  <si>
    <t>Preferred Community Services, Inc.</t>
  </si>
  <si>
    <t>Survivors and Victims Empowered</t>
  </si>
  <si>
    <t>Survivors and Victimes Empowered</t>
  </si>
  <si>
    <t>Product Sales Your Support Group</t>
  </si>
  <si>
    <t>Start, Roy C. High School Music Boosters</t>
  </si>
  <si>
    <t>Wood County Humane Society Inc</t>
  </si>
  <si>
    <t>Fremont High School Academic Boosters</t>
  </si>
  <si>
    <t>Whitmer Athletic Club</t>
  </si>
  <si>
    <t>Professional Advertising Directors Co., Inc.</t>
  </si>
  <si>
    <t>Fraternal Order of Police #139</t>
  </si>
  <si>
    <t>Fraternal Order of Police #1</t>
  </si>
  <si>
    <t>Fraternal Order of Police #127</t>
  </si>
  <si>
    <t>Fraternal Order of Police #70</t>
  </si>
  <si>
    <t>Promotional Programs</t>
  </si>
  <si>
    <t>American Legion Firefighters #339</t>
  </si>
  <si>
    <t>Police &amp; Fire Retirees of Ohio, Inc.</t>
  </si>
  <si>
    <t>American Legion #339</t>
  </si>
  <si>
    <t>Promotions One, Inc.</t>
  </si>
  <si>
    <t>Water Fire Columbus</t>
  </si>
  <si>
    <t>First Night Columbus</t>
  </si>
  <si>
    <t>Red, White &amp; Boom!, Inc.</t>
  </si>
  <si>
    <t xml:space="preserve">First Night Columbus, Inc. </t>
  </si>
  <si>
    <t xml:space="preserve">WaterFire Columbus, Inc. </t>
  </si>
  <si>
    <t>Public Interest Communications, Inc.</t>
  </si>
  <si>
    <t>Yosemite Foundation</t>
  </si>
  <si>
    <t>International Campaign for Tibet</t>
  </si>
  <si>
    <t>National Gay &amp; Lesbian Task Force Foundation</t>
  </si>
  <si>
    <t>Public Radio Partners, Inc.</t>
  </si>
  <si>
    <t>Rosemary Schlachter dba 25th Hour</t>
  </si>
  <si>
    <t>Granny's Garden School, Inc.</t>
  </si>
  <si>
    <t>Alliance For Leadership and Interconnection</t>
  </si>
  <si>
    <t>Emanuel Community Center</t>
  </si>
  <si>
    <t>Rosewood Productions, Inc.</t>
  </si>
  <si>
    <t>Fraternal Order of Police #28</t>
  </si>
  <si>
    <t>Vermilion Police Association</t>
  </si>
  <si>
    <t>Ross Ventures, Inc.</t>
  </si>
  <si>
    <t>Fraternal Order of Eagles #2166</t>
  </si>
  <si>
    <t>Fraternal Order of Eagles #1689</t>
  </si>
  <si>
    <t>Loyal Order of Moose #2236</t>
  </si>
  <si>
    <t>RuffaloCODY, LLC</t>
  </si>
  <si>
    <t>Sinclair Community College</t>
  </si>
  <si>
    <t>Franklin University</t>
  </si>
  <si>
    <t>Olivet Nazarene University</t>
  </si>
  <si>
    <t>Hathaway Brown School</t>
  </si>
  <si>
    <t>State University of Iowa Foundation</t>
  </si>
  <si>
    <t>University of Colorado Foundation</t>
  </si>
  <si>
    <t>University of Connecticut Foundation, Inc.</t>
  </si>
  <si>
    <t>Kent State University</t>
  </si>
  <si>
    <t>Chi Omega Foundation</t>
  </si>
  <si>
    <t>Phi Delta Theta Foundation</t>
  </si>
  <si>
    <t>USAFA Endowment, Inc</t>
  </si>
  <si>
    <t>Sigma Kappa Foundation</t>
  </si>
  <si>
    <t>Northwestern University (Feinberg School of Medicine)</t>
  </si>
  <si>
    <t>Catholic Diocese of Cleveland Foundation</t>
  </si>
  <si>
    <t>Cleveland Playhouse Theatre</t>
  </si>
  <si>
    <t>North Carolina State University Foundation, Inc</t>
  </si>
  <si>
    <t>Sinclair Community College Foundation</t>
  </si>
  <si>
    <t>University of Mississippi Foundation</t>
  </si>
  <si>
    <t>SD&amp;A Teleservices, Inc.</t>
  </si>
  <si>
    <t>Field Museum of Natural History</t>
  </si>
  <si>
    <t>African Wildlife Foundation</t>
  </si>
  <si>
    <t>Gay &amp; Lesbian Alliance Against Defamation</t>
  </si>
  <si>
    <t xml:space="preserve">Art Institute of Chicago </t>
  </si>
  <si>
    <t>United Cerebral Palsy Inc</t>
  </si>
  <si>
    <t>Anti-Defamation League</t>
  </si>
  <si>
    <t xml:space="preserve">Partners in Health </t>
  </si>
  <si>
    <t>Farm Sanctuary, Inc</t>
  </si>
  <si>
    <t xml:space="preserve">SD&amp;A Teleservices, Inc. </t>
  </si>
  <si>
    <t>Show Promotions</t>
  </si>
  <si>
    <t>International Association of Firefighter #136</t>
  </si>
  <si>
    <t>Fraternal Order of Police #113</t>
  </si>
  <si>
    <t>Fraternal Order of Police #117</t>
  </si>
  <si>
    <t>Marine Corps League - Montezuma Cincinnati</t>
  </si>
  <si>
    <t>Fraternal Order of Police #58</t>
  </si>
  <si>
    <t>Miami Valley Crime Prevention Association</t>
  </si>
  <si>
    <t>Siegel Marketing Group, Inc.</t>
  </si>
  <si>
    <t>Jewish National Fund (Keren Kayemeth)</t>
  </si>
  <si>
    <t>American Israel Public Affairs Committee</t>
  </si>
  <si>
    <t>Jewish Federation of Cleveland</t>
  </si>
  <si>
    <t>Birthright Israel Foundation</t>
  </si>
  <si>
    <t>Silver State, Inc.</t>
  </si>
  <si>
    <t>American Legion #44</t>
  </si>
  <si>
    <t>Veterans of Foreign Wars #3747</t>
  </si>
  <si>
    <t>Fraternal Order of Eagles #811</t>
  </si>
  <si>
    <t>American Legion #221</t>
  </si>
  <si>
    <t>Sons &amp; Daughters of Herman #2</t>
  </si>
  <si>
    <t>Strategic Communications, Inc.</t>
  </si>
  <si>
    <t>Unitarian Universalist Association of Congregations</t>
  </si>
  <si>
    <t>Strategic Fundraising, Inc.</t>
  </si>
  <si>
    <t>Food for the Poor, Inc.</t>
  </si>
  <si>
    <t>Operation Smile, Inc.</t>
  </si>
  <si>
    <t>Alliance Defense Fund, Inc.</t>
  </si>
  <si>
    <t>Christian Foundation for Children and Aging</t>
  </si>
  <si>
    <t>Foundation Fighting Blindness, Inc.</t>
  </si>
  <si>
    <t>Ronald Reagan Presidential Foundation</t>
  </si>
  <si>
    <t>American Civil Rights Union</t>
  </si>
  <si>
    <t>Christian Relief Services, Inc.</t>
  </si>
  <si>
    <t>Children's Cancer Research Fund</t>
  </si>
  <si>
    <t xml:space="preserve">Back to God Ministries International </t>
  </si>
  <si>
    <t>CareNet, Inc. fka Christian Action Council Education &amp; Ministries Fund</t>
  </si>
  <si>
    <t>Amyotrophic Lateral Sclerosis Association</t>
  </si>
  <si>
    <t>Prison Fellowship Ministries</t>
  </si>
  <si>
    <t>Bible League</t>
  </si>
  <si>
    <t>Alliance Defending Freedom</t>
  </si>
  <si>
    <t>Christian Foundation For Children And Aging</t>
  </si>
  <si>
    <t>Feeding America</t>
  </si>
  <si>
    <t>Strategic Marketing for the Arts, LLC</t>
  </si>
  <si>
    <t>Greater Akron Musical Association</t>
  </si>
  <si>
    <t>Swear by me Enterprises, LLC</t>
  </si>
  <si>
    <t>Blue Knights Law Enforcement Motorcycle Club XVI</t>
  </si>
  <si>
    <t>Telcom Enterprises of Ohio, Inc.</t>
  </si>
  <si>
    <t>Ohio Cops for Kids, Inc.</t>
  </si>
  <si>
    <t>Northeast Ohio Police Athletic League</t>
  </si>
  <si>
    <t>Fraternal Order of Police Foundation</t>
  </si>
  <si>
    <t>National Vietnam Veterans Foundation, Inc.</t>
  </si>
  <si>
    <t>Troopers for a Safer Ohio, Inc.</t>
  </si>
  <si>
    <t>Cops for Kids, Inc.</t>
  </si>
  <si>
    <t>Ohio Association of Police Athletic Leagues</t>
  </si>
  <si>
    <t>Ohio State Police Activities League</t>
  </si>
  <si>
    <t>Telefund, Inc.</t>
  </si>
  <si>
    <t>Southern Poverty Law Center, Inc.</t>
  </si>
  <si>
    <t>National Organization for Women, Inc.</t>
  </si>
  <si>
    <t>Foundation for Aids Research dba American Foundation for Aids Research</t>
  </si>
  <si>
    <t>Galapagos Conservancy, Inc.</t>
  </si>
  <si>
    <t>Working America</t>
  </si>
  <si>
    <t>National Breast Cancer Coalition</t>
  </si>
  <si>
    <t>Tele-Response Center, Inc.</t>
  </si>
  <si>
    <t>Tel-Tech 2000, Inc.</t>
  </si>
  <si>
    <t>Fraternal Order of Police #59</t>
  </si>
  <si>
    <t>Valtim, Inc.</t>
  </si>
  <si>
    <t>Xentel, Inc.</t>
  </si>
  <si>
    <t>Veterans Assistance Foundation, Inc.</t>
  </si>
  <si>
    <t>Military Order of the Purple Heart Service Foundation, Inc.</t>
  </si>
  <si>
    <t>Child Watch of North America, Inc.</t>
  </si>
  <si>
    <t>Ohio Troopers Coalition, Inc.</t>
  </si>
  <si>
    <t>Narcotics Association of Regional Coordinating Officers of Ohio</t>
  </si>
  <si>
    <t>AMVETS Corporation</t>
  </si>
  <si>
    <t>Your Voice Media, Inc.</t>
  </si>
  <si>
    <t>NAACP Legal Defense and Educational Fund Inc</t>
  </si>
  <si>
    <t xml:space="preserve">People for the American Way </t>
  </si>
  <si>
    <t>Lehigh Valley Health Network, Inc.</t>
  </si>
  <si>
    <t>Ongoing</t>
  </si>
  <si>
    <t>Professional Solicitor Name</t>
  </si>
  <si>
    <t>DBA Names (Other Registered Names Used by Solicitor)</t>
  </si>
  <si>
    <t>Address</t>
  </si>
  <si>
    <t>City</t>
  </si>
  <si>
    <t>State/
Province</t>
  </si>
  <si>
    <t>Zip Code/
Postal Code</t>
  </si>
  <si>
    <t>Phone</t>
  </si>
  <si>
    <t>Website</t>
  </si>
  <si>
    <t>855 E. Collins Blvd.</t>
  </si>
  <si>
    <t>Richardson</t>
  </si>
  <si>
    <t>TX</t>
  </si>
  <si>
    <t>(877) 590-6622</t>
  </si>
  <si>
    <t>A. J. Cappel Enterprises, Inc.</t>
  </si>
  <si>
    <t>4983 Delhi Pike #5</t>
  </si>
  <si>
    <t>Cincinnati</t>
  </si>
  <si>
    <t>OH</t>
  </si>
  <si>
    <t>(513) 661-6500</t>
  </si>
  <si>
    <t>Americalist, A Division of Haines 
&amp; Company, Inc. 
(Registration withdrawn April 2012)</t>
  </si>
  <si>
    <t>8050 Freedom Ave. NW</t>
  </si>
  <si>
    <t>North Canton</t>
  </si>
  <si>
    <t>(330) 494-9111</t>
  </si>
  <si>
    <t>Aria Communications Corp.</t>
  </si>
  <si>
    <t>Support Services</t>
  </si>
  <si>
    <t>717 W St Germain St</t>
  </si>
  <si>
    <t>St. Cloud</t>
  </si>
  <si>
    <t>MN</t>
  </si>
  <si>
    <t>(320) 259-5206</t>
  </si>
  <si>
    <t>www.ariacallsandcards.com</t>
  </si>
  <si>
    <t>Artsmarketing Services, Inc.</t>
  </si>
  <si>
    <t>260 King St E, Ste 500</t>
  </si>
  <si>
    <t>Toronto</t>
  </si>
  <si>
    <t>ON</t>
  </si>
  <si>
    <t>M5A 4L5</t>
  </si>
  <si>
    <t>(416) 941-9000</t>
  </si>
  <si>
    <t>www.artsmarketing.com</t>
  </si>
  <si>
    <t xml:space="preserve">Associated Community Services, Inc. </t>
  </si>
  <si>
    <t>AC Services</t>
  </si>
  <si>
    <t>29777 Telegraph Rd., #3000</t>
  </si>
  <si>
    <t>Southfield</t>
  </si>
  <si>
    <t>MI</t>
  </si>
  <si>
    <t>(248) 352-2600</t>
  </si>
  <si>
    <t xml:space="preserve">Automotive Recovery Services </t>
  </si>
  <si>
    <t>Two Westbrook Corporate Ctr.</t>
  </si>
  <si>
    <t>Westchester</t>
  </si>
  <si>
    <t>IL</t>
  </si>
  <si>
    <t>(708) 492-7282</t>
  </si>
  <si>
    <t>www.auto-donation.com</t>
  </si>
  <si>
    <t>B &amp; D Productions, Inc.</t>
  </si>
  <si>
    <t>3291 W. 31st St.</t>
  </si>
  <si>
    <t>Cleveland</t>
  </si>
  <si>
    <t>(216) 961-0310</t>
  </si>
  <si>
    <t>Bee, L. C.</t>
  </si>
  <si>
    <t>6849 Old Dominion Dr Ste 315</t>
  </si>
  <si>
    <t>McLean</t>
  </si>
  <si>
    <t>VA</t>
  </si>
  <si>
    <t>(703) 761-0774</t>
  </si>
  <si>
    <t>2455 Fairview Place, #2</t>
  </si>
  <si>
    <t>Greenwood</t>
  </si>
  <si>
    <t>IN</t>
  </si>
  <si>
    <t>(812) 336-1657</t>
  </si>
  <si>
    <t>8162 Market St.</t>
  </si>
  <si>
    <t>Boardman</t>
  </si>
  <si>
    <t>(330) 629-8263</t>
  </si>
  <si>
    <t>2080 Advance Ave.</t>
  </si>
  <si>
    <t>Columbus</t>
  </si>
  <si>
    <t>102 W Perry St</t>
  </si>
  <si>
    <t>Port Clinton</t>
  </si>
  <si>
    <t>1800 114th Ave SE</t>
  </si>
  <si>
    <t>Bellevue</t>
  </si>
  <si>
    <t>WA</t>
  </si>
  <si>
    <t>www.coinstar.com</t>
  </si>
  <si>
    <t>10060 W. Roosevelt Road</t>
  </si>
  <si>
    <t>Community Strategies 
(Registration withdrawn April 2012)</t>
  </si>
  <si>
    <t>300 Maple Park, Ste. 301</t>
  </si>
  <si>
    <t>St. Clair Shores</t>
  </si>
  <si>
    <t>Comnet Marketing Group, Inc.</t>
  </si>
  <si>
    <t>1214 Stowe Ave</t>
  </si>
  <si>
    <t>Medford</t>
  </si>
  <si>
    <t>OR</t>
  </si>
  <si>
    <t>www.comnetmarketing.com</t>
  </si>
  <si>
    <t>C4C</t>
  </si>
  <si>
    <t>5286 S. Commerce Dr., A-116</t>
  </si>
  <si>
    <t>Murray</t>
  </si>
  <si>
    <t>UT</t>
  </si>
  <si>
    <t>1835 E Charleston, Ste 4</t>
  </si>
  <si>
    <t>Las Vegas</t>
  </si>
  <si>
    <t>NV</t>
  </si>
  <si>
    <t>www.courtesycall.com</t>
  </si>
  <si>
    <t>616 SW 6th Street</t>
  </si>
  <si>
    <t>Ft. Lauderdale</t>
  </si>
  <si>
    <t>FL</t>
  </si>
  <si>
    <t>Charitable Resource Foundation</t>
  </si>
  <si>
    <t>698 Oldefield Commons Dr #2</t>
  </si>
  <si>
    <t>Crown Management Systems, LLC</t>
  </si>
  <si>
    <t>The Fundraising Center; Veterans Services; 
Cancer Assistance</t>
  </si>
  <si>
    <t>34425 Lorain Rd., Ste. 2</t>
  </si>
  <si>
    <t>North Ridgeville</t>
  </si>
  <si>
    <t>45 Main St, Ste 816</t>
  </si>
  <si>
    <t>Brooklyn</t>
  </si>
  <si>
    <t>NY</t>
  </si>
  <si>
    <t>Euclid</t>
  </si>
  <si>
    <t>960 MacArthur Blvd</t>
  </si>
  <si>
    <t>Mahwah</t>
  </si>
  <si>
    <t>NJ</t>
  </si>
  <si>
    <t>1600 N Carpenter Rd, Bldg D</t>
  </si>
  <si>
    <t>Modesto</t>
  </si>
  <si>
    <t>CA</t>
  </si>
  <si>
    <t>95351-1145</t>
  </si>
  <si>
    <t>www.directline-tech.com</t>
  </si>
  <si>
    <t>480 Tuscarawas Ave W, Ste 307</t>
  </si>
  <si>
    <t>Barberton</t>
  </si>
  <si>
    <t>6715 Sunset Blvd.</t>
  </si>
  <si>
    <t>Los Angeles</t>
  </si>
  <si>
    <t>3621 Symmes Rd</t>
  </si>
  <si>
    <t>Hamilton</t>
  </si>
  <si>
    <t>Boston</t>
  </si>
  <si>
    <t>MA</t>
  </si>
  <si>
    <t>201 6th St NW</t>
  </si>
  <si>
    <t>Canton</t>
  </si>
  <si>
    <t>755 Boardman-Canfield Rd, Ste K-1</t>
  </si>
  <si>
    <t>Youngstown</t>
  </si>
  <si>
    <t>290 Garry St.</t>
  </si>
  <si>
    <t>Winnipeg</t>
  </si>
  <si>
    <t>R3C 1H3</t>
  </si>
  <si>
    <t>8982 Cincinnati Columbus Rd</t>
  </si>
  <si>
    <t>West Chester</t>
  </si>
  <si>
    <t>755 Mapleridge Dr.</t>
  </si>
  <si>
    <t>16805 NE Mason Ct.</t>
  </si>
  <si>
    <t>Portland</t>
  </si>
  <si>
    <t xml:space="preserve">GiveRight, Inc. </t>
  </si>
  <si>
    <t>8721 Santa Monica Blvd., Ste. 359</t>
  </si>
  <si>
    <t>360 N Sepulveda Blvd Ste. 1055</t>
  </si>
  <si>
    <t>El Segundo</t>
  </si>
  <si>
    <t>1511 Route 22, Suite 25C</t>
  </si>
  <si>
    <t>Brewster</t>
  </si>
  <si>
    <t>www.harrisconnect.com</t>
  </si>
  <si>
    <t>6800 Owensmouth Ave, Ste 200</t>
  </si>
  <si>
    <t>Canoga Park</t>
  </si>
  <si>
    <t xml:space="preserve">Heritage Company, Inc.
</t>
  </si>
  <si>
    <t>American Veterans Publications; Medallion Productions; Medallion Publications; 
United Deaf Services; Guardian Publishers; 
Community Service Publishers; American 
Pageant Publishers; Heritage Corporation; 
Heritage Publishing Co.; Youth Services</t>
  </si>
  <si>
    <t>2402 Wildwood Ave Ste 500</t>
  </si>
  <si>
    <t>Sherwood</t>
  </si>
  <si>
    <t>AR</t>
  </si>
  <si>
    <t>Hudson Bay Company</t>
  </si>
  <si>
    <t>941 O St, Ste 625</t>
  </si>
  <si>
    <t xml:space="preserve">Lincoln </t>
  </si>
  <si>
    <t>NE</t>
  </si>
  <si>
    <t>www.hbay.com</t>
  </si>
  <si>
    <t>VPI</t>
  </si>
  <si>
    <t>2108 E. Main St.</t>
  </si>
  <si>
    <t>Kent</t>
  </si>
  <si>
    <t>Infocision Management Corporation</t>
  </si>
  <si>
    <t>325 Springside Dr.</t>
  </si>
  <si>
    <t>Akron</t>
  </si>
  <si>
    <t>24293 Telegraph Rd., Ste. 102</t>
  </si>
  <si>
    <t>1972 Massachusetts Ave</t>
  </si>
  <si>
    <t>Cambridge</t>
  </si>
  <si>
    <t>1133 Maplegrove Dr NW</t>
  </si>
  <si>
    <t>Grand Rapids</t>
  </si>
  <si>
    <t xml:space="preserve">Kleinco Promotions </t>
  </si>
  <si>
    <t>302 Ludlow Ave</t>
  </si>
  <si>
    <t>Springfield</t>
  </si>
  <si>
    <t>L &amp; W Show Productions</t>
  </si>
  <si>
    <t>155 S Park Ave Ste 130</t>
  </si>
  <si>
    <t>Warren</t>
  </si>
  <si>
    <t>4370 Cranwood Pkwy</t>
  </si>
  <si>
    <t>Warrensville Hts</t>
  </si>
  <si>
    <t>Law Enforcement/
Fire Prevention Benefits, Inc.</t>
  </si>
  <si>
    <t>4957 Golf Village Dr</t>
  </si>
  <si>
    <t>Powell</t>
  </si>
  <si>
    <t>1280 Center St W</t>
  </si>
  <si>
    <t xml:space="preserve">McGhee Fundraising Consultants, Inc. </t>
  </si>
  <si>
    <t>2620 Centennial Rd, Unit B</t>
  </si>
  <si>
    <t>Toledo</t>
  </si>
  <si>
    <t>43617-1800</t>
  </si>
  <si>
    <t>545 W Juanita Ave</t>
  </si>
  <si>
    <t>Mesa</t>
  </si>
  <si>
    <t>AZ</t>
  </si>
  <si>
    <t>10844 N 23rd Ave</t>
  </si>
  <si>
    <t>Phoenix</t>
  </si>
  <si>
    <t>TN</t>
  </si>
  <si>
    <t>OM Wholesale, Inc.</t>
  </si>
  <si>
    <t>1719 E 39th St</t>
  </si>
  <si>
    <t>www.ohiomills.net</t>
  </si>
  <si>
    <t>OTMC</t>
  </si>
  <si>
    <t>1841 W Main St #212</t>
  </si>
  <si>
    <t>Troy</t>
  </si>
  <si>
    <t>Pittsburgh</t>
  </si>
  <si>
    <t>PA</t>
  </si>
  <si>
    <t>200 S Virginia St 8th Fl</t>
  </si>
  <si>
    <t>Reno</t>
  </si>
  <si>
    <t>Share</t>
  </si>
  <si>
    <t>79 Chapel Street</t>
  </si>
  <si>
    <t>Newton</t>
  </si>
  <si>
    <t>Pep Direct, LLC 
(Registration withdrawn February 2012)</t>
  </si>
  <si>
    <t>19 Stoney Brook Dr</t>
  </si>
  <si>
    <t>Wilton</t>
  </si>
  <si>
    <t>NH</t>
  </si>
  <si>
    <t>www.pep-direct.com</t>
  </si>
  <si>
    <t>4990 Northwind Dr #235</t>
  </si>
  <si>
    <t>East Lansing</t>
  </si>
  <si>
    <t>www.phonebanks.com</t>
  </si>
  <si>
    <t>Indianapolis</t>
  </si>
  <si>
    <t>Professional Advertising Directors Co.</t>
  </si>
  <si>
    <t>1 Maple Ave, Ste 2F</t>
  </si>
  <si>
    <t>Netcong</t>
  </si>
  <si>
    <t>Sheffield Village</t>
  </si>
  <si>
    <t>Promotions One</t>
  </si>
  <si>
    <t>929 Harrison Ave, Ste 303</t>
  </si>
  <si>
    <t>12100 Snow Rd #7</t>
  </si>
  <si>
    <t>Parma</t>
  </si>
  <si>
    <t>Market Enginuity</t>
  </si>
  <si>
    <t>3131 E Clarendon Ave, Ste 105</t>
  </si>
  <si>
    <t>www.marketenginuity.com</t>
  </si>
  <si>
    <t>Rosemary Schlachter</t>
  </si>
  <si>
    <t>25th Hour</t>
  </si>
  <si>
    <t>Brazil</t>
  </si>
  <si>
    <t>65 Kirkwood North Rd SW</t>
  </si>
  <si>
    <t>Cedar Rapids</t>
  </si>
  <si>
    <t>IA</t>
  </si>
  <si>
    <t>5757 W Century Blvd, Ste 300</t>
  </si>
  <si>
    <t>Englewood</t>
  </si>
  <si>
    <t>1845 N. Farwell Ave., #300</t>
  </si>
  <si>
    <t>Milwaukee</t>
  </si>
  <si>
    <t>WI</t>
  </si>
  <si>
    <t>www.smgtoday.com</t>
  </si>
  <si>
    <t>Wooster</t>
  </si>
  <si>
    <t>Strategic Communications, Inc. 
(Registration withdrawn March 2012)</t>
  </si>
  <si>
    <t>3 Macdonnell Ave, Ste 200</t>
  </si>
  <si>
    <t>M6R 2A3</t>
  </si>
  <si>
    <t>www.stratcom.ca</t>
  </si>
  <si>
    <t>St. Paul</t>
  </si>
  <si>
    <t>Strategic Marketing for the Arts</t>
  </si>
  <si>
    <t>Smart Marketing</t>
  </si>
  <si>
    <t>Chicago</t>
  </si>
  <si>
    <t>www.smartmktg.com</t>
  </si>
  <si>
    <t>Swear By Me Enterprises, LLC</t>
  </si>
  <si>
    <t>Coastal Marketing Solutions, Inc., 
EAP Enterprises; 
Full Sail Marketing; Telcom</t>
  </si>
  <si>
    <t>Birmingham</t>
  </si>
  <si>
    <t>AL</t>
  </si>
  <si>
    <t>Tele-Response Center, Inc. 
(Registration withdrawn April 2012)</t>
  </si>
  <si>
    <t>1-2-1 Direct Response, Inc.</t>
  </si>
  <si>
    <t>9350 Ashton Rd Ste 202</t>
  </si>
  <si>
    <t>Philadelphia</t>
  </si>
  <si>
    <t>http://121directresponse.com</t>
  </si>
  <si>
    <t>TeleService USA 
(Registration withdrawn April 2012)</t>
  </si>
  <si>
    <t>1055 Maple Rd, Ste C</t>
  </si>
  <si>
    <t>Clawson</t>
  </si>
  <si>
    <t>1537 E Riverside Dr</t>
  </si>
  <si>
    <t>Cape Girardeau</t>
  </si>
  <si>
    <t>MO</t>
  </si>
  <si>
    <t>Kansas City</t>
  </si>
  <si>
    <t>101 NE 3rd Ave., #203</t>
  </si>
  <si>
    <t>www.xentel.com</t>
  </si>
  <si>
    <t>685 Market St., Ste. 570</t>
  </si>
  <si>
    <t>San Francisco</t>
  </si>
  <si>
    <t>Charitable Organization Name</t>
  </si>
  <si>
    <t>State</t>
  </si>
  <si>
    <t>Zip Code</t>
  </si>
  <si>
    <t>8th District Sorority dba 8th District F.O.P.</t>
  </si>
  <si>
    <t>PO Box 45178</t>
  </si>
  <si>
    <t>Westlake</t>
  </si>
  <si>
    <t>44145-0178</t>
  </si>
  <si>
    <t>PO Box 12765</t>
  </si>
  <si>
    <t>Pensacola</t>
  </si>
  <si>
    <t>Washington</t>
  </si>
  <si>
    <t>DC</t>
  </si>
  <si>
    <t>Alliance Defending Freedom fka Alliance Defense Fund, Inc.</t>
  </si>
  <si>
    <t>15100 N. 90th St.</t>
  </si>
  <si>
    <t>Scottsdale</t>
  </si>
  <si>
    <t>63 E Broadway</t>
  </si>
  <si>
    <t>Alliance</t>
  </si>
  <si>
    <t>Alzheimer's Disease and Related Disorders Association, Inc.</t>
  </si>
  <si>
    <t>225 N. Michigan Ave</t>
  </si>
  <si>
    <t xml:space="preserve">American Association for the Advancement of Science </t>
  </si>
  <si>
    <t>1200 New York Ave NW</t>
  </si>
  <si>
    <t>1865 Broadway</t>
  </si>
  <si>
    <t>New York</t>
  </si>
  <si>
    <t>Atlanta</t>
  </si>
  <si>
    <t>GA</t>
  </si>
  <si>
    <t xml:space="preserve">American Children's Society, Inc.  </t>
  </si>
  <si>
    <t>44 N. Main St.</t>
  </si>
  <si>
    <t>Marlboro</t>
  </si>
  <si>
    <t>125 Broad St</t>
  </si>
  <si>
    <t>270 S Bryn Mawr Ave</t>
  </si>
  <si>
    <t>Bryn Mawr</t>
  </si>
  <si>
    <t>6300 Shingle Creek Pkwy Suite 195</t>
  </si>
  <si>
    <t>Brooklyn Center</t>
  </si>
  <si>
    <t xml:space="preserve">American Council of the Blind of Ohio  </t>
  </si>
  <si>
    <t>PO Box 82234</t>
  </si>
  <si>
    <t>PO Box 855</t>
  </si>
  <si>
    <t>1701 N. Beauregard St.</t>
  </si>
  <si>
    <t>Alexandria</t>
  </si>
  <si>
    <t>6350 Horizon Dr</t>
  </si>
  <si>
    <t>Titusville</t>
  </si>
  <si>
    <t>2021 North Western Ave.</t>
  </si>
  <si>
    <t>84 New Dorp Plaza, Ste. 207</t>
  </si>
  <si>
    <t>Staten Island</t>
  </si>
  <si>
    <t>7272 Greeville Ave.</t>
  </si>
  <si>
    <t xml:space="preserve">Dallas </t>
  </si>
  <si>
    <t>Denver</t>
  </si>
  <si>
    <t>CO</t>
  </si>
  <si>
    <t>American Institute for Cancer Research</t>
  </si>
  <si>
    <t>1759 R St NW</t>
  </si>
  <si>
    <t>20090-7167</t>
  </si>
  <si>
    <t>c/o Perlman &amp; Perlman, LLP</t>
  </si>
  <si>
    <t>501 St. Jude Place</t>
  </si>
  <si>
    <t>Memphis</t>
  </si>
  <si>
    <t>38105-1905</t>
  </si>
  <si>
    <t>1645 Superior Ave</t>
  </si>
  <si>
    <t>American Legion Department of Ohio Charities, Inc.</t>
  </si>
  <si>
    <t>60 Big Run Rd.</t>
  </si>
  <si>
    <t>Delaware</t>
  </si>
  <si>
    <t>1 Alm Way</t>
  </si>
  <si>
    <t>Greenville</t>
  </si>
  <si>
    <t>SC</t>
  </si>
  <si>
    <t>1301 Pennsylvania Ave., NW #800</t>
  </si>
  <si>
    <t>20004-1725</t>
  </si>
  <si>
    <t>2025 E. Street, NW</t>
  </si>
  <si>
    <t>424 E 92nd St</t>
  </si>
  <si>
    <t>Sarasota</t>
  </si>
  <si>
    <t xml:space="preserve">Americans United for Life </t>
  </si>
  <si>
    <t>665 15th St. NW, Ste. 410</t>
  </si>
  <si>
    <t>AmeriCares Foundation, Inc.</t>
  </si>
  <si>
    <t>88 Hamilton Ave.</t>
  </si>
  <si>
    <t>Stamford</t>
  </si>
  <si>
    <t>CT</t>
  </si>
  <si>
    <t>5 Penn Plaza, 16th Flr</t>
  </si>
  <si>
    <t>10001-8001</t>
  </si>
  <si>
    <t>2250 Patterson Rd</t>
  </si>
  <si>
    <t>Kettering</t>
  </si>
  <si>
    <t>4647 Forbes Blvd</t>
  </si>
  <si>
    <t>Lanham</t>
  </si>
  <si>
    <t>MD</t>
  </si>
  <si>
    <t>605 Third Ave</t>
  </si>
  <si>
    <t>10158-3560</t>
  </si>
  <si>
    <t>107 E First St</t>
  </si>
  <si>
    <t>Dayton</t>
  </si>
  <si>
    <t>45402-1214</t>
  </si>
  <si>
    <t>421 Aviation Way</t>
  </si>
  <si>
    <t>Frederick</t>
  </si>
  <si>
    <t>Art Institute of Chicago</t>
  </si>
  <si>
    <t>111 S Michigan Ave</t>
  </si>
  <si>
    <t>1330 W Peachtree St, #100</t>
  </si>
  <si>
    <t>310 W. 20th Street</t>
  </si>
  <si>
    <t>KANSAS CITY</t>
  </si>
  <si>
    <t>1747 Pennsylvania Ave NW Ste 1000</t>
  </si>
  <si>
    <t>344 West Bramble</t>
  </si>
  <si>
    <t>Copley</t>
  </si>
  <si>
    <t>Autism Spectrum Disorder Foundation, Inc.</t>
  </si>
  <si>
    <t>228 W Lincoln Highway #301</t>
  </si>
  <si>
    <t>Scherverville</t>
  </si>
  <si>
    <t>Black Shield Police Association</t>
  </si>
  <si>
    <t>4097 E 131st St</t>
  </si>
  <si>
    <t>246 Superior St.</t>
  </si>
  <si>
    <t>Newton Falls</t>
  </si>
  <si>
    <t>44444-1747</t>
  </si>
  <si>
    <t>921 Hudson Rd.</t>
  </si>
  <si>
    <t>1247 Tall Timber Rd NE</t>
  </si>
  <si>
    <t>New Philadelphia</t>
  </si>
  <si>
    <t>44663-5258</t>
  </si>
  <si>
    <t>4500 Atlantic Blvd, NE</t>
  </si>
  <si>
    <t>PO Box 2733</t>
  </si>
  <si>
    <t>2020 K St NW 7th Fl</t>
  </si>
  <si>
    <t>3548 S. Detroit Ave.</t>
  </si>
  <si>
    <t>425 3rd St. SW, Ste. 1200</t>
  </si>
  <si>
    <t>PO Box 132962</t>
  </si>
  <si>
    <t>The Woodlands</t>
  </si>
  <si>
    <t>Breast Cancer Relief Foundation</t>
  </si>
  <si>
    <t>310 W 20th Street</t>
  </si>
  <si>
    <t>6859 E. Rembrandt Ave., Ste. 128</t>
  </si>
  <si>
    <t>443 E Westfield Ave Ste 1</t>
  </si>
  <si>
    <t>Roselle Park</t>
  </si>
  <si>
    <t>1495 W. Dale Rd.</t>
  </si>
  <si>
    <t>2901 Breezewood Ln</t>
  </si>
  <si>
    <t>Knoxville</t>
  </si>
  <si>
    <t>37921-1099</t>
  </si>
  <si>
    <t>2303 Masters Ln</t>
  </si>
  <si>
    <t>Missouri City</t>
  </si>
  <si>
    <t>Catholic Foreign Mission Society of America, Inc</t>
  </si>
  <si>
    <t>PO Box 304</t>
  </si>
  <si>
    <t>Maryknoll</t>
  </si>
  <si>
    <t>209 W. Fayette St.</t>
  </si>
  <si>
    <t>Baltimore</t>
  </si>
  <si>
    <t>210 E Broad St, Ste 202</t>
  </si>
  <si>
    <t>Falls Chruch</t>
  </si>
  <si>
    <t>649 Dayton Ave.</t>
  </si>
  <si>
    <t>Stow</t>
  </si>
  <si>
    <t>105 17th St</t>
  </si>
  <si>
    <t>225 West Court Street</t>
  </si>
  <si>
    <t xml:space="preserve">Cincinnati </t>
  </si>
  <si>
    <t>6967 Sorrento St.</t>
  </si>
  <si>
    <t>Orlando</t>
  </si>
  <si>
    <t>2821 Emerywood Pkwy</t>
  </si>
  <si>
    <t>Richmond</t>
  </si>
  <si>
    <t>23294-3725</t>
  </si>
  <si>
    <t>12776 Dixie Hwy.</t>
  </si>
  <si>
    <t>South Rockwood</t>
  </si>
  <si>
    <t>7714 Conner Rd Ste #108</t>
  </si>
  <si>
    <t>7301 Ohms Lane Ste 460</t>
  </si>
  <si>
    <t>Minneapolis</t>
  </si>
  <si>
    <t>585 Stewart Ave., Ste. 18</t>
  </si>
  <si>
    <t>Garden City</t>
  </si>
  <si>
    <t>8615 Roswell Rd</t>
  </si>
  <si>
    <t>310 West 20th Street, Suite 300</t>
  </si>
  <si>
    <t>2550 Huntington Ave., Ste. 200</t>
  </si>
  <si>
    <t>1223 Central Pkwy</t>
  </si>
  <si>
    <t>1241 Elm St</t>
  </si>
  <si>
    <t>Falls Church</t>
  </si>
  <si>
    <t>1006 Pennsylvania Ave SE</t>
  </si>
  <si>
    <t>5310 Carnegie Ave.</t>
  </si>
  <si>
    <t>2 W Columbia St Ste 220</t>
  </si>
  <si>
    <t>11150 East Boulevard</t>
  </si>
  <si>
    <t>PO Box 1776</t>
  </si>
  <si>
    <t>Williamsburg</t>
  </si>
  <si>
    <t>23187-1776</t>
  </si>
  <si>
    <t>242 Stone Mountain Run</t>
  </si>
  <si>
    <t>Lawrenceville</t>
  </si>
  <si>
    <t>Community Charity Advancement, Inc.</t>
  </si>
  <si>
    <t>3205 Marine Dr.</t>
  </si>
  <si>
    <t>Pompano Beach</t>
  </si>
  <si>
    <t>P O Box 101810</t>
  </si>
  <si>
    <t>1747 Pennsylvania Ave., NW, Suite 1000</t>
  </si>
  <si>
    <t>1015 15th St N W    Ste 1100</t>
  </si>
  <si>
    <t>101 Truman Ave</t>
  </si>
  <si>
    <t>Yonkers</t>
  </si>
  <si>
    <t>10703-1057</t>
  </si>
  <si>
    <t>151 Ellis St.</t>
  </si>
  <si>
    <t>30303-2439</t>
  </si>
  <si>
    <t>5554 N. Federal Hwy.</t>
  </si>
  <si>
    <t>386 Park Ave. S, 17th Flr</t>
  </si>
  <si>
    <t>600 SW 3rd St Ste 2201</t>
  </si>
  <si>
    <t>601 Broad St SE</t>
  </si>
  <si>
    <t>Gainesville</t>
  </si>
  <si>
    <t>2300 Fourth St.</t>
  </si>
  <si>
    <t>Cuyahoga Falls</t>
  </si>
  <si>
    <t>150-153rd Ave, Ste 300</t>
  </si>
  <si>
    <t>Madeira Beach</t>
  </si>
  <si>
    <t>1130 17th St, NW</t>
  </si>
  <si>
    <t>PO Box 7132</t>
  </si>
  <si>
    <t>Defiance</t>
  </si>
  <si>
    <t>PO Box 643</t>
  </si>
  <si>
    <t>23 Teaberry Dr</t>
  </si>
  <si>
    <t>Chepachet</t>
  </si>
  <si>
    <t>RI</t>
  </si>
  <si>
    <t>222 Government Ave., Suite C</t>
  </si>
  <si>
    <t>Niceville</t>
  </si>
  <si>
    <t>3200 NE 14th St. Causeway #219</t>
  </si>
  <si>
    <t>333 Seventh Ave., 2nd Flr</t>
  </si>
  <si>
    <t>2100 L Street NW</t>
  </si>
  <si>
    <t>2301 Bellevue Ave.</t>
  </si>
  <si>
    <t>92 Ohltown Rd</t>
  </si>
  <si>
    <t>50 California Street</t>
  </si>
  <si>
    <t>94111-4608</t>
  </si>
  <si>
    <t>41641 North Ridge Rd.</t>
  </si>
  <si>
    <t>Elyria</t>
  </si>
  <si>
    <t>233 S Wacker Dr Ste 2400</t>
  </si>
  <si>
    <t>309 Woolf Ave.</t>
  </si>
  <si>
    <t>3133 Mount Vernon Ave.</t>
  </si>
  <si>
    <t>257 Park Ave. S, 17th Flr</t>
  </si>
  <si>
    <t>711 E. 22nd St.</t>
  </si>
  <si>
    <t>3175 Satellite Blvd.</t>
  </si>
  <si>
    <t>Duluth</t>
  </si>
  <si>
    <t>30096-9017</t>
  </si>
  <si>
    <t>801 G Street NW</t>
  </si>
  <si>
    <t>Farm Sanctuary, Inc.</t>
  </si>
  <si>
    <t>PO Box 150</t>
  </si>
  <si>
    <t>Watkins Glen</t>
  </si>
  <si>
    <t>333 N. Meridian Ave.</t>
  </si>
  <si>
    <t>Oklahoma City</t>
  </si>
  <si>
    <t>OK</t>
  </si>
  <si>
    <t>35 E Wacker Dr Ste 2000</t>
  </si>
  <si>
    <t>1400 S Lake Shore Dr</t>
  </si>
  <si>
    <t>60605-2496</t>
  </si>
  <si>
    <t>10050 Burnt Store Rd.</t>
  </si>
  <si>
    <t>Punta Gorda</t>
  </si>
  <si>
    <t>1 West St.</t>
  </si>
  <si>
    <t>Farmingdale</t>
  </si>
  <si>
    <t>10 Fiske Ave, #3</t>
  </si>
  <si>
    <t>Greenfield</t>
  </si>
  <si>
    <t>01302-1075</t>
  </si>
  <si>
    <t>333 Rampart Ave.</t>
  </si>
  <si>
    <t>First Night Columbus, Inc.</t>
  </si>
  <si>
    <t>929 Harrison Ave Ste 303</t>
  </si>
  <si>
    <t>1616 P Street, NW, Suite 300</t>
  </si>
  <si>
    <t>1684 Venture Dr Ste B</t>
  </si>
  <si>
    <t>Mt. Vernon</t>
  </si>
  <si>
    <t>6401 Lyons Rd</t>
  </si>
  <si>
    <t>Coconut Creek</t>
  </si>
  <si>
    <t>1001 Park Ave.</t>
  </si>
  <si>
    <t>Fostoria</t>
  </si>
  <si>
    <t>7168 Columbia Gateway Dr., Ste. 100</t>
  </si>
  <si>
    <t>Columbia</t>
  </si>
  <si>
    <t>1358 Jefferson Rd</t>
  </si>
  <si>
    <t>Spring Grove</t>
  </si>
  <si>
    <t>120 Wall St., 13th Flr</t>
  </si>
  <si>
    <t>10005-3902</t>
  </si>
  <si>
    <t>7473 Wilshire</t>
  </si>
  <si>
    <t>West Bloomfield</t>
  </si>
  <si>
    <t>222 Sutter St Ste 600</t>
  </si>
  <si>
    <t>231 Beall Ave</t>
  </si>
  <si>
    <t>PO Box 1444</t>
  </si>
  <si>
    <t>Steubenville</t>
  </si>
  <si>
    <t>PO Box 1207</t>
  </si>
  <si>
    <t>3115 Stop Eight Rd.</t>
  </si>
  <si>
    <t>2 James Duncan Plz SE Ste 1</t>
  </si>
  <si>
    <t>Massillon</t>
  </si>
  <si>
    <t>PO Box 212</t>
  </si>
  <si>
    <t>Jefferson</t>
  </si>
  <si>
    <t>P O Box 107</t>
  </si>
  <si>
    <t>P O Box 3</t>
  </si>
  <si>
    <t>Harrison</t>
  </si>
  <si>
    <t>P O Box 5222</t>
  </si>
  <si>
    <t>Willowick</t>
  </si>
  <si>
    <t>PO Box 467</t>
  </si>
  <si>
    <t>Miamisburg</t>
  </si>
  <si>
    <t>PO Box 152</t>
  </si>
  <si>
    <t>Marietta</t>
  </si>
  <si>
    <t>290 Cackler Rd</t>
  </si>
  <si>
    <t>Streetsboro</t>
  </si>
  <si>
    <t>PO Box 944</t>
  </si>
  <si>
    <t>Newark</t>
  </si>
  <si>
    <t>PO Box 15</t>
  </si>
  <si>
    <t>Sidney</t>
  </si>
  <si>
    <t>45365-0015</t>
  </si>
  <si>
    <t>520 S Main St Suite 2417</t>
  </si>
  <si>
    <t>7277 Fitch Rd</t>
  </si>
  <si>
    <t>Olmsted Falls</t>
  </si>
  <si>
    <t>PO Box 24373</t>
  </si>
  <si>
    <t>Huber Heights</t>
  </si>
  <si>
    <t>169 Niles Cortland Rd, NE</t>
  </si>
  <si>
    <t>Howland</t>
  </si>
  <si>
    <t>400 N. High St.</t>
  </si>
  <si>
    <t>Cortland</t>
  </si>
  <si>
    <t>PO Box 7121</t>
  </si>
  <si>
    <t>Bryan</t>
  </si>
  <si>
    <t>PO Box 198</t>
  </si>
  <si>
    <t>Leavittsburg</t>
  </si>
  <si>
    <t>PO Box 1335</t>
  </si>
  <si>
    <t>Findlay</t>
  </si>
  <si>
    <t>3593 Medina Rd., Ste. 283</t>
  </si>
  <si>
    <t>Medina</t>
  </si>
  <si>
    <t>233 W Center St</t>
  </si>
  <si>
    <t>Marion</t>
  </si>
  <si>
    <t>26145 Center Ridge Rd.</t>
  </si>
  <si>
    <t>PO Box 26</t>
  </si>
  <si>
    <t>100 West Erie Ave</t>
  </si>
  <si>
    <t>Lorain</t>
  </si>
  <si>
    <t>315 Concord Ave.</t>
  </si>
  <si>
    <t>Mansfield</t>
  </si>
  <si>
    <t>PO Box 856</t>
  </si>
  <si>
    <t>Fremont</t>
  </si>
  <si>
    <t>PO Box 563</t>
  </si>
  <si>
    <t>Xenia</t>
  </si>
  <si>
    <t>100 N Market St, #B</t>
  </si>
  <si>
    <t>Girard</t>
  </si>
  <si>
    <t>30929 Shaker Blvd</t>
  </si>
  <si>
    <t>PO Box 1051</t>
  </si>
  <si>
    <t>PO Box 737 Station A</t>
  </si>
  <si>
    <t>Chillicothe</t>
  </si>
  <si>
    <t>PO Box 277</t>
  </si>
  <si>
    <t>Bellefontaine</t>
  </si>
  <si>
    <t>4972 E 71st St</t>
  </si>
  <si>
    <t>Cuyahoga Heights</t>
  </si>
  <si>
    <t>PO Box 122</t>
  </si>
  <si>
    <t>Ravenna</t>
  </si>
  <si>
    <t>44266-0122</t>
  </si>
  <si>
    <t>PO Box 375</t>
  </si>
  <si>
    <t>Upper Sandusky</t>
  </si>
  <si>
    <t>2249 Payne Ave</t>
  </si>
  <si>
    <t>1349 S Green Rd</t>
  </si>
  <si>
    <t>South Euclid</t>
  </si>
  <si>
    <t>PO Box 1417</t>
  </si>
  <si>
    <t>44224-0417</t>
  </si>
  <si>
    <t>PO Box 1002</t>
  </si>
  <si>
    <t>Salem</t>
  </si>
  <si>
    <t>6800 Schrock Hill Ct</t>
  </si>
  <si>
    <t>618 Finefrock Rd.</t>
  </si>
  <si>
    <t>11150 Fairfax Blvd Ste 408</t>
  </si>
  <si>
    <t>Fairfax</t>
  </si>
  <si>
    <t>119 W. 24th St., 5th Flr</t>
  </si>
  <si>
    <t>34001 Cedar Road</t>
  </si>
  <si>
    <t>Gates Mills</t>
  </si>
  <si>
    <t>44040-9356</t>
  </si>
  <si>
    <t>2300 Schnieder Rd</t>
  </si>
  <si>
    <t>PO Box 82808</t>
  </si>
  <si>
    <t>Lincoln</t>
  </si>
  <si>
    <t>1612 K Street NW  Ste  1100</t>
  </si>
  <si>
    <t>92 N. Main St.</t>
  </si>
  <si>
    <t>1223 Central Pkwy, Ste. 1025</t>
  </si>
  <si>
    <t>Greater Cleveland Police Officers Memorial Society</t>
  </si>
  <si>
    <t>1300 Ontario St.</t>
  </si>
  <si>
    <t>110 S Jefferson St</t>
  </si>
  <si>
    <t>c/o 1642 Cleveland Ave., N.W.</t>
  </si>
  <si>
    <t>Livonia</t>
  </si>
  <si>
    <t>77 E. Market St.</t>
  </si>
  <si>
    <t>45385-3108</t>
  </si>
  <si>
    <t>702 H St NW Ste 300</t>
  </si>
  <si>
    <t>121 Habitat St</t>
  </si>
  <si>
    <t>Americus</t>
  </si>
  <si>
    <t>31709-3498</t>
  </si>
  <si>
    <t>19600 N. Park Blvd.</t>
  </si>
  <si>
    <t>Shaker Heights</t>
  </si>
  <si>
    <t>1 World Ave.</t>
  </si>
  <si>
    <t>Little Rock</t>
  </si>
  <si>
    <t>1747 Pennsylvania Ave., NW</t>
  </si>
  <si>
    <t>800 Eighth St., NW</t>
  </si>
  <si>
    <t>Holt International Children's Services</t>
  </si>
  <si>
    <t>1195 City View St.</t>
  </si>
  <si>
    <t>Eugene</t>
  </si>
  <si>
    <t>8473 Daisywood Ave NW</t>
  </si>
  <si>
    <t>1640 Rhode Island, NW</t>
  </si>
  <si>
    <t>2100 L Street, NW</t>
  </si>
  <si>
    <t>1375 Euclid Ave</t>
  </si>
  <si>
    <t>3000 World Reach Dr</t>
  </si>
  <si>
    <t>Indian Land</t>
  </si>
  <si>
    <t>29707-6542</t>
  </si>
  <si>
    <t>420 Martin Luther King Blvd</t>
  </si>
  <si>
    <t>116 E. Third St.</t>
  </si>
  <si>
    <t>Dover</t>
  </si>
  <si>
    <t>4102 Mahoning Ave</t>
  </si>
  <si>
    <t>Austintown</t>
  </si>
  <si>
    <t>1825 Jefferson Pl, NW</t>
  </si>
  <si>
    <t>30 N. La Salle St., Ste. 4300</t>
  </si>
  <si>
    <t>International Fund for Animal Welfare</t>
  </si>
  <si>
    <t>290 Summer St</t>
  </si>
  <si>
    <t>Yarmouth Port</t>
  </si>
  <si>
    <t>122 E. 42nd St., Flr 12</t>
  </si>
  <si>
    <t>10168-1289</t>
  </si>
  <si>
    <t>1549 Ringling Blvd 6th Fl</t>
  </si>
  <si>
    <t>7600 Fulton Dr NW</t>
  </si>
  <si>
    <t>1595 Spring Hill Road</t>
  </si>
  <si>
    <t>Vienna</t>
  </si>
  <si>
    <t>25701 Science Park Drive</t>
  </si>
  <si>
    <t>425 Third St. SW, Ste. 800</t>
  </si>
  <si>
    <t>26 Broadway, 14th Flr</t>
  </si>
  <si>
    <t>Kappa Alpha Theta Foundation</t>
  </si>
  <si>
    <t>225 West Court St</t>
  </si>
  <si>
    <t>PO Box 38</t>
  </si>
  <si>
    <t>43216-0038</t>
  </si>
  <si>
    <t>4060 Louis Ave.</t>
  </si>
  <si>
    <t>Holiday</t>
  </si>
  <si>
    <t>28080 Lemoyne</t>
  </si>
  <si>
    <t>Millbury</t>
  </si>
  <si>
    <t>667 E Big Beaver, Ste 205</t>
  </si>
  <si>
    <t>1920 L St. NW, Ste. 800</t>
  </si>
  <si>
    <t>1730 M St, NW, 10th Fl Room 1000</t>
  </si>
  <si>
    <t>1311 Mamaroneck Ave.</t>
  </si>
  <si>
    <t>White Plains</t>
  </si>
  <si>
    <t>1971 University Blvd.</t>
  </si>
  <si>
    <t>Lynchburg</t>
  </si>
  <si>
    <t>1821 W Galbraith Rd</t>
  </si>
  <si>
    <t>18 Augusta Pines Dr. #200E</t>
  </si>
  <si>
    <t>Spring</t>
  </si>
  <si>
    <t>Lupus Foundation of America Greater Ohio Chapter, Inc.</t>
  </si>
  <si>
    <t>12930 Chippewa Rd., Ste. 4</t>
  </si>
  <si>
    <t>Brecksville</t>
  </si>
  <si>
    <t>44141-2100</t>
  </si>
  <si>
    <t>3525 N. 124th St., Ste. 1</t>
  </si>
  <si>
    <t>Brookfield</t>
  </si>
  <si>
    <t>700 Light St.</t>
  </si>
  <si>
    <t>21230-3850</t>
  </si>
  <si>
    <t>NC</t>
  </si>
  <si>
    <t>437 W. Nimisica Rd.</t>
  </si>
  <si>
    <t>1275 Mamaroneck Ave</t>
  </si>
  <si>
    <t>307 5th Ave.</t>
  </si>
  <si>
    <t>Quantico</t>
  </si>
  <si>
    <t>8326 Burns Ave</t>
  </si>
  <si>
    <t>457 Locklie Dr, Highland Hts</t>
  </si>
  <si>
    <t>Mayfield Village</t>
  </si>
  <si>
    <t>Turlock</t>
  </si>
  <si>
    <t>P.O. Box 26509</t>
  </si>
  <si>
    <t>43226-0509</t>
  </si>
  <si>
    <t>2323 Colorado Ave</t>
  </si>
  <si>
    <t>Memorial Sloan Kettering Cancer Center</t>
  </si>
  <si>
    <t>1275 York Ave.</t>
  </si>
  <si>
    <t>c/o Labyrinth, Inc.</t>
  </si>
  <si>
    <t>Carlsbad</t>
  </si>
  <si>
    <t>1000 Fifth Ave.</t>
  </si>
  <si>
    <t>10028-0198</t>
  </si>
  <si>
    <t>6121 Taylorsville Rd.</t>
  </si>
  <si>
    <t>Midpark Athletic Boosters</t>
  </si>
  <si>
    <t>7000 Paula Dr.</t>
  </si>
  <si>
    <t>Middleburg Heights</t>
  </si>
  <si>
    <t>7008 Little River Tpk, Ste. 1</t>
  </si>
  <si>
    <t>Annandale</t>
  </si>
  <si>
    <t>2756 N. Green Valley Pkwy, #115</t>
  </si>
  <si>
    <t>Green Valley</t>
  </si>
  <si>
    <t>8115 Monclova  Rd</t>
  </si>
  <si>
    <t>Monclova</t>
  </si>
  <si>
    <t>43542-9706</t>
  </si>
  <si>
    <t>820 N. Sa Salle Blvd.</t>
  </si>
  <si>
    <t>60610-3214</t>
  </si>
  <si>
    <t>511 E John Carpenter Frwy Ste 700</t>
  </si>
  <si>
    <t>Irving</t>
  </si>
  <si>
    <t>706 Haddonfield Rd.</t>
  </si>
  <si>
    <t>Cherry Hill</t>
  </si>
  <si>
    <t>1156 15th St NW Ste 700</t>
  </si>
  <si>
    <t>4805 Mt Hope Dr</t>
  </si>
  <si>
    <t>225 Varick St., 7th Flr</t>
  </si>
  <si>
    <t>1101 17th St NW Ste 1300</t>
  </si>
  <si>
    <t>6151 Lake Osprey Dr., Ste. 301</t>
  </si>
  <si>
    <t>One South Memorial Dr Ste 800</t>
  </si>
  <si>
    <t>St. Louis</t>
  </si>
  <si>
    <t>National Children's Leukemia Foundation, Inc.</t>
  </si>
  <si>
    <t>7316 Avenue U</t>
  </si>
  <si>
    <t>4600 East-West Hwy  Ste 525</t>
  </si>
  <si>
    <t>Bethesda</t>
  </si>
  <si>
    <t>30 E 33rd St</t>
  </si>
  <si>
    <t>733 Third Ave, 6th Fl</t>
  </si>
  <si>
    <t>1250 New York Ave. NW</t>
  </si>
  <si>
    <t>20005-3970</t>
  </si>
  <si>
    <t>1100 H St NW 3rd Fl</t>
  </si>
  <si>
    <t>20005-5488</t>
  </si>
  <si>
    <t>1501 NW 9th Ave.</t>
  </si>
  <si>
    <t>Miami</t>
  </si>
  <si>
    <t>777 6th Street, NW, Suite 700</t>
  </si>
  <si>
    <t>512 10th Street., NW</t>
  </si>
  <si>
    <t>1785 Massachusetts Ave NW</t>
  </si>
  <si>
    <t>209 West Ave.</t>
  </si>
  <si>
    <t>Darien</t>
  </si>
  <si>
    <t>1015 North Pelham St</t>
  </si>
  <si>
    <t>5555 Erindale Dr.</t>
  </si>
  <si>
    <t>Colorado Springs</t>
  </si>
  <si>
    <t>11100 Wildlife Center Dr</t>
  </si>
  <si>
    <t>Reston</t>
  </si>
  <si>
    <t>20190-5362</t>
  </si>
  <si>
    <t>945 Magazine St</t>
  </si>
  <si>
    <t>New Orleans</t>
  </si>
  <si>
    <t>LA</t>
  </si>
  <si>
    <t>40 W. 20th St.</t>
  </si>
  <si>
    <t>4245 N Fairfax Dr, Ste 100</t>
  </si>
  <si>
    <t>Arlington</t>
  </si>
  <si>
    <t>22203-1606</t>
  </si>
  <si>
    <t>2300 Wilson Blvd</t>
  </si>
  <si>
    <t>22201-3308</t>
  </si>
  <si>
    <t>5442 Thornwood Dr,  Ste 200</t>
  </si>
  <si>
    <t>San Jose</t>
  </si>
  <si>
    <t>8006 S. Bedford Rd.</t>
  </si>
  <si>
    <t>Macedonia</t>
  </si>
  <si>
    <t>North Canton Hoover High School Sideliners, Inc.</t>
  </si>
  <si>
    <t>PO Box 2184</t>
  </si>
  <si>
    <t>34041 Stevens Blvd.</t>
  </si>
  <si>
    <t>Eastlake</t>
  </si>
  <si>
    <t>PO Box 154</t>
  </si>
  <si>
    <t>North Olmsted</t>
  </si>
  <si>
    <t>16 Lewyt St</t>
  </si>
  <si>
    <t>Port Washington</t>
  </si>
  <si>
    <t>1726 W 47th St</t>
  </si>
  <si>
    <t>Ashtabula</t>
  </si>
  <si>
    <t>1750 Campus Center Dr</t>
  </si>
  <si>
    <t>3100 E 45th St</t>
  </si>
  <si>
    <t>9480 N. DeMazenod Dr.</t>
  </si>
  <si>
    <t>Belleville</t>
  </si>
  <si>
    <t>1300 19th Street NW 8th Floor</t>
  </si>
  <si>
    <t>6277 Riverside Dr, Ste 2N</t>
  </si>
  <si>
    <t>Dublin</t>
  </si>
  <si>
    <t>423 1/2 S. Miami</t>
  </si>
  <si>
    <t>4795 Belmont Place</t>
  </si>
  <si>
    <t>1726 W. 47th St.</t>
  </si>
  <si>
    <t>PO Box 857</t>
  </si>
  <si>
    <t>1395 E. Dublin-Granville Rd</t>
  </si>
  <si>
    <t>131 Dillmont Dr., Ste. 101</t>
  </si>
  <si>
    <t>1299 Virginia Ave.</t>
  </si>
  <si>
    <t>PO Box 338003</t>
  </si>
  <si>
    <t>North Royalton</t>
  </si>
  <si>
    <t>665 E. Dublin-Granville Rd., Ste. 200</t>
  </si>
  <si>
    <t>43229-3245</t>
  </si>
  <si>
    <t>6277 Riverside Dr.</t>
  </si>
  <si>
    <t>PO Box 400</t>
  </si>
  <si>
    <t>Mogadore</t>
  </si>
  <si>
    <t>6161 Busch Blvd., Ste. 130</t>
  </si>
  <si>
    <t>600 SW 3rd St Ste 6200</t>
  </si>
  <si>
    <t>Open Doors with Brother Andrew, Inc.</t>
  </si>
  <si>
    <t>2953 S Pullman St</t>
  </si>
  <si>
    <t>Santa Ana</t>
  </si>
  <si>
    <t>92705-5840</t>
  </si>
  <si>
    <t>Operation Blessing International Relief &amp; Development Corp.</t>
  </si>
  <si>
    <t>977 Centerville Tpke</t>
  </si>
  <si>
    <t>Virginia Beach</t>
  </si>
  <si>
    <t>6320 Evergreen Way, Ste. 201</t>
  </si>
  <si>
    <t>Everett</t>
  </si>
  <si>
    <t>6435 Tidewater Dr</t>
  </si>
  <si>
    <t>Norfolk</t>
  </si>
  <si>
    <t>Optimal Medical Foundation, Inc.</t>
  </si>
  <si>
    <t>43525 Gallegos Ave.</t>
  </si>
  <si>
    <t>6771 S Silver Hill Dr</t>
  </si>
  <si>
    <t>Finland</t>
  </si>
  <si>
    <t>6771 South Silver Hill Dr</t>
  </si>
  <si>
    <t>226 Causeway St 5th Fl</t>
  </si>
  <si>
    <t>1 Arizona Memorial Pl</t>
  </si>
  <si>
    <t>Honolulu</t>
  </si>
  <si>
    <t>HI</t>
  </si>
  <si>
    <t>801 18th St, NW</t>
  </si>
  <si>
    <t>1828 L St NW Ste 660</t>
  </si>
  <si>
    <t>6285 W. 54th St.</t>
  </si>
  <si>
    <t>1101 15th Street, NW, S. 600</t>
  </si>
  <si>
    <t>People for the American Way Foundation</t>
  </si>
  <si>
    <t>310 West 20th Street</t>
  </si>
  <si>
    <t>3091 Standish Ave., SW</t>
  </si>
  <si>
    <t>Avery Fisher Hall 10 Lincoln Center Plaza</t>
  </si>
  <si>
    <t>Physicians Committee for Responsible Medicine</t>
  </si>
  <si>
    <t>PO Box 6322</t>
  </si>
  <si>
    <t>Plan International USA, Inc.</t>
  </si>
  <si>
    <t>155 Plan Way</t>
  </si>
  <si>
    <t>Warwick</t>
  </si>
  <si>
    <t>02886-1011</t>
  </si>
  <si>
    <t>85 S Grand Ave</t>
  </si>
  <si>
    <t>Pasadena</t>
  </si>
  <si>
    <t>91105-1602</t>
  </si>
  <si>
    <t>434 W 33rd St</t>
  </si>
  <si>
    <t>434 W 33rd St.</t>
  </si>
  <si>
    <t>10001-2601</t>
  </si>
  <si>
    <t>7516 Slate Ridge Blvd.</t>
  </si>
  <si>
    <t>Reynoldsburg</t>
  </si>
  <si>
    <t>2120 L St  NW Ste 500</t>
  </si>
  <si>
    <t>164 FAIRLANE DRIVE</t>
  </si>
  <si>
    <t>164 Fairlane Dr.</t>
  </si>
  <si>
    <t>13201 Clayton Rd.</t>
  </si>
  <si>
    <t>1856 Old Reston Ave.</t>
  </si>
  <si>
    <t>4920 Lena Rd Ste 109</t>
  </si>
  <si>
    <t>Bradenton</t>
  </si>
  <si>
    <t>255 Carter Hall Ln.</t>
  </si>
  <si>
    <t>Millwood</t>
  </si>
  <si>
    <t>777 N Meridian St Ste 204</t>
  </si>
  <si>
    <t>46204-1065</t>
  </si>
  <si>
    <t>630 Brookside Ave.</t>
  </si>
  <si>
    <t>Redlands</t>
  </si>
  <si>
    <t>92373-1500</t>
  </si>
  <si>
    <t xml:space="preserve">929 Harrison Ave. </t>
  </si>
  <si>
    <t>89 Rockland Ave</t>
  </si>
  <si>
    <t>7111 Sweetgum Rd.</t>
  </si>
  <si>
    <t>Fairview</t>
  </si>
  <si>
    <t>40 Presidential Dr Ste 200</t>
  </si>
  <si>
    <t>Simi Valley</t>
  </si>
  <si>
    <t>1440 Sachem Place</t>
  </si>
  <si>
    <t>Charlottesville</t>
  </si>
  <si>
    <t>54 Wilton Rd.</t>
  </si>
  <si>
    <t>Westport</t>
  </si>
  <si>
    <t>85 Second St., 2nd Fl</t>
  </si>
  <si>
    <t>94105-3441</t>
  </si>
  <si>
    <t>1647 Clayton Ave</t>
  </si>
  <si>
    <t>45206-2134</t>
  </si>
  <si>
    <t>41 Madison Ave 28th Fl</t>
  </si>
  <si>
    <t>Special Olympics Ohio,  Inc.</t>
  </si>
  <si>
    <t>3303 Winchester Pike</t>
  </si>
  <si>
    <t>130 N Fountain Ave</t>
  </si>
  <si>
    <t>1470 S. McCord Rd.</t>
  </si>
  <si>
    <t>Holland</t>
  </si>
  <si>
    <t>2200 Rebert Pike</t>
  </si>
  <si>
    <t>2100 Tremainsville Rd.</t>
  </si>
  <si>
    <t>Stow Munroe Falls Athletic Booster Club</t>
  </si>
  <si>
    <t>PO Box 1445</t>
  </si>
  <si>
    <t>Student Conservation Association</t>
  </si>
  <si>
    <t>689 River Rd.</t>
  </si>
  <si>
    <t>Charlestown</t>
  </si>
  <si>
    <t>4141 N. Henderson Rd., Ste. 4</t>
  </si>
  <si>
    <t>38 Doe Run Road Suite 250</t>
  </si>
  <si>
    <t>Manheim</t>
  </si>
  <si>
    <t xml:space="preserve">1801 California Street </t>
  </si>
  <si>
    <t>P O Box 592</t>
  </si>
  <si>
    <t>Tiffin</t>
  </si>
  <si>
    <t>3008 RedFox Run Dr NW</t>
  </si>
  <si>
    <t>47 Mohegan Ave</t>
  </si>
  <si>
    <t>New London</t>
  </si>
  <si>
    <t>Two Brattle Square</t>
  </si>
  <si>
    <t>25 Beacon Street</t>
  </si>
  <si>
    <t>205 Depot Rd.</t>
  </si>
  <si>
    <t>Huntington Station</t>
  </si>
  <si>
    <t>1775 K Street, NW, Suite 290</t>
  </si>
  <si>
    <t>United States Coast Guard Academy Alumni, Inc.</t>
  </si>
  <si>
    <t>125 Maiden Ln, 10th Fl</t>
  </si>
  <si>
    <t>4740 Walnut St</t>
  </si>
  <si>
    <t>Boulder</t>
  </si>
  <si>
    <t>2390 Alumni Dr Unit 3206</t>
  </si>
  <si>
    <t>Storrs</t>
  </si>
  <si>
    <t>06269-3206</t>
  </si>
  <si>
    <t>USAFA Endowment, Inc.</t>
  </si>
  <si>
    <t>9999 Independence Blvd.</t>
  </si>
  <si>
    <t>Parma Heights</t>
  </si>
  <si>
    <t>5791 Liberty Ave.</t>
  </si>
  <si>
    <t>Vermilion</t>
  </si>
  <si>
    <t>PO Box 109</t>
  </si>
  <si>
    <t>Newburg</t>
  </si>
  <si>
    <t>43060-0109</t>
  </si>
  <si>
    <t>1935 Avalon NE</t>
  </si>
  <si>
    <t>406 W 34th St</t>
  </si>
  <si>
    <t>8719 Colesville Road Suite 100</t>
  </si>
  <si>
    <t>Silver Spring</t>
  </si>
  <si>
    <t>8418 Reading Rd</t>
  </si>
  <si>
    <t>Vietnow National Headquarters</t>
  </si>
  <si>
    <t>1835 Broadway</t>
  </si>
  <si>
    <t>Rockford</t>
  </si>
  <si>
    <t>61104-5100</t>
  </si>
  <si>
    <t>301 Morrison Dr.</t>
  </si>
  <si>
    <t>1920 W First St</t>
  </si>
  <si>
    <t>Winston-Salem</t>
  </si>
  <si>
    <t>27157-1021</t>
  </si>
  <si>
    <t>WaterFire Columbus, Inc.</t>
  </si>
  <si>
    <t>c/o Affinity Fundraising 4515 W. Moncrieff Pl.</t>
  </si>
  <si>
    <t>One Pierce Place Suite 205E</t>
  </si>
  <si>
    <t>Itasca</t>
  </si>
  <si>
    <t>60143-2634</t>
  </si>
  <si>
    <t>1615 M St., NW</t>
  </si>
  <si>
    <t>20036-3209</t>
  </si>
  <si>
    <t>5000 Shankland Rd.</t>
  </si>
  <si>
    <t>Willoughby</t>
  </si>
  <si>
    <t>4850 W Oakland Park Blvd Ste 225</t>
  </si>
  <si>
    <t>Lauderdale Lakes</t>
  </si>
  <si>
    <t>7 E. Baltimore St.</t>
  </si>
  <si>
    <t>21202-1602</t>
  </si>
  <si>
    <t xml:space="preserve">Mesa </t>
  </si>
  <si>
    <t>4802  Fifth Ave.</t>
  </si>
  <si>
    <t>222 E Main St Ste 301</t>
  </si>
  <si>
    <t>Bozeman</t>
  </si>
  <si>
    <t>MT</t>
  </si>
  <si>
    <t>8 Canberra Dr</t>
  </si>
  <si>
    <t xml:space="preserve">San Diego </t>
  </si>
  <si>
    <t>AFRC, Inc</t>
  </si>
  <si>
    <t>Caldwell</t>
  </si>
  <si>
    <t xml:space="preserve">6280 South Valley view Blvd., Suite 732-736                                                             </t>
  </si>
  <si>
    <t>(702) 430-6236</t>
  </si>
  <si>
    <t>www.advantageconsulting.com</t>
  </si>
  <si>
    <t>07007-0746</t>
  </si>
  <si>
    <t>PO Box 746</t>
  </si>
  <si>
    <t>Amelia</t>
  </si>
  <si>
    <t>(888)543-4288</t>
  </si>
  <si>
    <t>1736 Lindale Mt. Holly Road</t>
  </si>
  <si>
    <t>Campaign Headquarters</t>
  </si>
  <si>
    <t>700 E. Pleasant Street</t>
  </si>
  <si>
    <t>(641)522-4704</t>
  </si>
  <si>
    <t>CARS</t>
  </si>
  <si>
    <t>4669 Murphy Canyon Road, Suite 100</t>
  </si>
  <si>
    <t>(858) 300-2900</t>
  </si>
  <si>
    <t>www.charitableresources.com</t>
  </si>
  <si>
    <t>Confluent Impact Sales, Inc.</t>
  </si>
  <si>
    <t>2800 Shirlington Road, Suite 901</t>
  </si>
  <si>
    <t>(651) 999-0249</t>
  </si>
  <si>
    <t>Connect4 Sales, Inc.</t>
  </si>
  <si>
    <t>2620 Centennial Road, Unit B</t>
  </si>
  <si>
    <t>(419) 841-4605</t>
  </si>
  <si>
    <t>1539 fall River Avenue, Suite 3</t>
  </si>
  <si>
    <t>Seekonk</t>
  </si>
  <si>
    <t>(508) 336-4544</t>
  </si>
  <si>
    <t>www.covenantcalls.com</t>
  </si>
  <si>
    <t>DG Group, Inc.</t>
  </si>
  <si>
    <t>19321 US 19 North, Suite 605</t>
  </si>
  <si>
    <t>Clearwater</t>
  </si>
  <si>
    <t>(727) 536-2777</t>
  </si>
  <si>
    <t>www.dialamerica.com</t>
  </si>
  <si>
    <t>526 Main Street</t>
  </si>
  <si>
    <t>(513) 463-2200</t>
  </si>
  <si>
    <t>Fine Line Solutions</t>
  </si>
  <si>
    <t>Greenwise Bankcard, LLC</t>
  </si>
  <si>
    <t>4400 W. Sample Road, #246</t>
  </si>
  <si>
    <t>(954) 972-7448</t>
  </si>
  <si>
    <t>www.greenwisebankcard.com</t>
  </si>
  <si>
    <t>(845) 940-0861</t>
  </si>
  <si>
    <t>www.theheritagecompany.com</t>
  </si>
  <si>
    <t>www.vpifundraising.com</t>
  </si>
  <si>
    <t>www.infocision.com</t>
  </si>
  <si>
    <t>www.insightteleservices.com</t>
  </si>
  <si>
    <t>Area Services</t>
  </si>
  <si>
    <t>www.telephonefundraising.net</t>
  </si>
  <si>
    <t>2580 Innes Road</t>
  </si>
  <si>
    <t>Ottowa</t>
  </si>
  <si>
    <t>K1B 4Z6</t>
  </si>
  <si>
    <t>(613) 841-9850</t>
  </si>
  <si>
    <t>www.keysdirect.com</t>
  </si>
  <si>
    <t xml:space="preserve">Keys Direct Marketing &amp; Communications, Inc. </t>
  </si>
  <si>
    <t>KWH Promotions</t>
  </si>
  <si>
    <t>57974 Page Street</t>
  </si>
  <si>
    <t>Elkhart</t>
  </si>
  <si>
    <t>(317) 536-2381</t>
  </si>
  <si>
    <t>Liason Marketing-A Special Event</t>
  </si>
  <si>
    <t>3012 Glenmore Avenue Suite 14</t>
  </si>
  <si>
    <t>(513) 347-4900</t>
  </si>
  <si>
    <t>3131 E. Clarendon Avenue Suite 105</t>
  </si>
  <si>
    <t>(602) 824-9474</t>
  </si>
  <si>
    <t>MPO</t>
  </si>
  <si>
    <t>National Capital Teleservices</t>
  </si>
  <si>
    <t>300 Fifth Street, NE</t>
  </si>
  <si>
    <t>(202) 546-6874</t>
  </si>
  <si>
    <t xml:space="preserve">Olympia, Inc., Patriot Service Group, ServAsyst Group            </t>
  </si>
  <si>
    <t>2215 E. Oak Street, Suite 1</t>
  </si>
  <si>
    <t>Conway</t>
  </si>
  <si>
    <t>(501) 329-7000</t>
  </si>
  <si>
    <t>www.olympia-inc.com</t>
  </si>
  <si>
    <t>Outerwell, Inc.</t>
  </si>
  <si>
    <t>Coinstar, Redbox, Rubi</t>
  </si>
  <si>
    <t>1800 114th Avenue, SE</t>
  </si>
  <si>
    <t>(425) 943-8030</t>
  </si>
  <si>
    <t>6330 E. 75th Street, Suite 122</t>
  </si>
  <si>
    <t>Public Interest Communications</t>
  </si>
  <si>
    <t>PIC</t>
  </si>
  <si>
    <t>7700 Leesburg Pike, Suite 301 North</t>
  </si>
  <si>
    <t>(703) 847-8300</t>
  </si>
  <si>
    <t>www.pubintcom.com</t>
  </si>
  <si>
    <t>2335 Beechcreek Lane</t>
  </si>
  <si>
    <t>5201 N Abbe Road</t>
  </si>
  <si>
    <t>7 S. Walnut Street</t>
  </si>
  <si>
    <t>609 Woodside Drive</t>
  </si>
  <si>
    <t>2709 Tanglewood Drive</t>
  </si>
  <si>
    <t>2025 Shady Crest Drive</t>
  </si>
  <si>
    <t>7591 9th Street North</t>
  </si>
  <si>
    <t>4895 E Co Road 1000 N</t>
  </si>
  <si>
    <t>550 N. Kingsbury Street, #516</t>
  </si>
  <si>
    <t>5778 West 74th Street</t>
  </si>
  <si>
    <t>139 South Opera Street</t>
  </si>
  <si>
    <t>Bellefonatine</t>
  </si>
  <si>
    <t>(937) 599-6453</t>
  </si>
  <si>
    <t>www.puzzlebuggames.com</t>
  </si>
  <si>
    <t>PO Box 580</t>
  </si>
  <si>
    <t xml:space="preserve">Planning 4 EDU; Collegeplanning; Go to College; College Talk; College Survey; College Admiss; Admissions Call; Higher ED Call; College Research; Your Support; Participate Now; Philanthropy; The Campaign; Annual Campaign; Phonathon; UGA Call Center; Univ Admissions                                        </t>
  </si>
  <si>
    <t>www.ruffalocody.com</t>
  </si>
  <si>
    <t>7800 3rd Street North, Suite 900</t>
  </si>
  <si>
    <t>700 West Virginia Street Suite 700</t>
  </si>
  <si>
    <t>(414) 224-0701</t>
  </si>
  <si>
    <t>1111 Broadway, Suite 2040</t>
  </si>
  <si>
    <t>Oakland</t>
  </si>
  <si>
    <t xml:space="preserve">Advantage Direct Communications </t>
  </si>
  <si>
    <t>Artsmarketing Services, Inc</t>
  </si>
  <si>
    <t>Musical Arts Association</t>
  </si>
  <si>
    <t>Greater Cleveland Peace Officers Memorial Society, Inc.</t>
  </si>
  <si>
    <t>Firefighters Assistance Fund, Inc.</t>
  </si>
  <si>
    <t>Caring For Our Children Foundation</t>
  </si>
  <si>
    <t>American Children's Society, Inc.</t>
  </si>
  <si>
    <t>DG Group</t>
  </si>
  <si>
    <t xml:space="preserve">Worldcause Foundation </t>
  </si>
  <si>
    <t>JAK Productions, Inc</t>
  </si>
  <si>
    <t>3060 Peachtree Road NW Suite 875</t>
  </si>
  <si>
    <t>(404)883-2450</t>
  </si>
  <si>
    <t>14 Seventh Avenue</t>
  </si>
  <si>
    <t>(320)259-4000</t>
  </si>
  <si>
    <t>Product Sales Your Group</t>
  </si>
  <si>
    <t>Connect4Sales, McGhee Fundraising Consultants</t>
  </si>
  <si>
    <t>1095 Venture Drive</t>
  </si>
  <si>
    <t>Forest</t>
  </si>
  <si>
    <t>(434) 525-3004</t>
  </si>
  <si>
    <t>6863 Oak Creek Drive</t>
  </si>
  <si>
    <t xml:space="preserve">Columbus </t>
  </si>
  <si>
    <t>601 East Street N W A-1 350</t>
  </si>
  <si>
    <t>ACCION International</t>
  </si>
  <si>
    <t>56 Roland Street Suite 300</t>
  </si>
  <si>
    <t>02129</t>
  </si>
  <si>
    <t>1400 16th Street NW, Suite 120</t>
  </si>
  <si>
    <t>One Whitehall Street 2nd Floor</t>
  </si>
  <si>
    <t>1539 Glen Parker Avenue</t>
  </si>
  <si>
    <t>2210 Country Brook Lane</t>
  </si>
  <si>
    <t>1111 16th St, NW</t>
  </si>
  <si>
    <t>3213 Duke St Ste 625</t>
  </si>
  <si>
    <t>1007 Cameron Street</t>
  </si>
  <si>
    <t>700 N Pennsylvania St</t>
  </si>
  <si>
    <t>427 Lincoln Way E</t>
  </si>
  <si>
    <t>1633 Cleveland Ave NW</t>
  </si>
  <si>
    <t>1645 Superior Avenue</t>
  </si>
  <si>
    <t>1954 Kenton St</t>
  </si>
  <si>
    <t>1275 K St NW Ste 1050</t>
  </si>
  <si>
    <t>928 W Palo Verde St</t>
  </si>
  <si>
    <t>Gilbert</t>
  </si>
  <si>
    <t>800 Tydings Ln</t>
  </si>
  <si>
    <t>Havre De Grace</t>
  </si>
  <si>
    <t>698 Mills Rd</t>
  </si>
  <si>
    <t>West Point</t>
  </si>
  <si>
    <t>9500 Euclid Ave DV3</t>
  </si>
  <si>
    <t>6555 West College Dr</t>
  </si>
  <si>
    <t>16801 Van Dam Rd.</t>
  </si>
  <si>
    <t>South Holland</t>
  </si>
  <si>
    <t>33 East 33rd St, 7th Floor</t>
  </si>
  <si>
    <t>2100 Broad Avenue</t>
  </si>
  <si>
    <t>2301 13th St. NW</t>
  </si>
  <si>
    <t>2241 Woodland Ave</t>
  </si>
  <si>
    <t>44115-3295</t>
  </si>
  <si>
    <t>4930 Enterprise Drive</t>
  </si>
  <si>
    <t>3 N Main St</t>
  </si>
  <si>
    <t>615 Barone St Ste 301</t>
  </si>
  <si>
    <t xml:space="preserve">New Orleans </t>
  </si>
  <si>
    <t>430 Walnut Ave.</t>
  </si>
  <si>
    <t>2545 Erie St.</t>
  </si>
  <si>
    <t>109 Carpenter Dr Ste 100</t>
  </si>
  <si>
    <t xml:space="preserve">Sterling </t>
  </si>
  <si>
    <t>5612 Evergreen Way</t>
  </si>
  <si>
    <t>1404 E 9th St, 8th Fl</t>
  </si>
  <si>
    <t>5746 Marlin Road, Suite 602</t>
  </si>
  <si>
    <t>Chattanooga</t>
  </si>
  <si>
    <t>1333 N Oracle Rd</t>
  </si>
  <si>
    <t>Tucson</t>
  </si>
  <si>
    <t>6870 W Mercer Way</t>
  </si>
  <si>
    <t>Mercer Island</t>
  </si>
  <si>
    <t>807 Mantolking Rd Suite 202</t>
  </si>
  <si>
    <t>Brick</t>
  </si>
  <si>
    <t>08723</t>
  </si>
  <si>
    <t>2610 Palumbo Drive</t>
  </si>
  <si>
    <t>Lexington</t>
  </si>
  <si>
    <t>KY</t>
  </si>
  <si>
    <t>40555-5911</t>
  </si>
  <si>
    <t>One Elmwood Ave</t>
  </si>
  <si>
    <t>KS</t>
  </si>
  <si>
    <t>66103-3719</t>
  </si>
  <si>
    <t>8500 Euclid Ave</t>
  </si>
  <si>
    <t>55 E State St</t>
  </si>
  <si>
    <t>109 N Main St #200</t>
  </si>
  <si>
    <t>45402-1294</t>
  </si>
  <si>
    <t>126 N Main Street</t>
  </si>
  <si>
    <t>5700 W Oaks Blvd</t>
  </si>
  <si>
    <t>Rocklin</t>
  </si>
  <si>
    <t>1308 Race St</t>
  </si>
  <si>
    <t>20 Jay St, Ste 808</t>
  </si>
  <si>
    <t>201 S Grant Ave</t>
  </si>
  <si>
    <t>682 W Second St</t>
  </si>
  <si>
    <t>213 W Chillicothe Ave</t>
  </si>
  <si>
    <t>43311-0189</t>
  </si>
  <si>
    <t>33 W Liberty St</t>
  </si>
  <si>
    <t>Hubbard</t>
  </si>
  <si>
    <t>11081 Colburn Rd</t>
  </si>
  <si>
    <t>Painesville</t>
  </si>
  <si>
    <t>PO Box 169</t>
  </si>
  <si>
    <t>Marysville</t>
  </si>
  <si>
    <t>15 E State St</t>
  </si>
  <si>
    <t>Niles</t>
  </si>
  <si>
    <t>PO Box 2</t>
  </si>
  <si>
    <t>44622-0002</t>
  </si>
  <si>
    <t>PO Box 621</t>
  </si>
  <si>
    <t>St. Clairsville</t>
  </si>
  <si>
    <t>338 S Elm St</t>
  </si>
  <si>
    <t>28 Mentor Ave</t>
  </si>
  <si>
    <t>200 W 57th St, Ste 705</t>
  </si>
  <si>
    <t>5455 Wilshire Blvd #1500</t>
  </si>
  <si>
    <t>90036-4204</t>
  </si>
  <si>
    <t>2001 W Plano Parkway</t>
  </si>
  <si>
    <t>Plano</t>
  </si>
  <si>
    <t>33523 8 Mile, Ste A3, 236</t>
  </si>
  <si>
    <t>20 Miamiview Dr</t>
  </si>
  <si>
    <t>Loveland</t>
  </si>
  <si>
    <t>1612 K St NW Ste 600</t>
  </si>
  <si>
    <t>PO Box 322</t>
  </si>
  <si>
    <t>31640 US Highway 19N Suite 2</t>
  </si>
  <si>
    <t>Palm Harbor</t>
  </si>
  <si>
    <t>352 Park Avenue, South, Suite 1200</t>
  </si>
  <si>
    <t>2520 Port Clinton Rd</t>
  </si>
  <si>
    <t>2300 4th St.</t>
  </si>
  <si>
    <t>International Association of Firefighters #136</t>
  </si>
  <si>
    <t>145 Warren St</t>
  </si>
  <si>
    <t>International Association of Firefighters #910</t>
  </si>
  <si>
    <t>902 Gaston Ave</t>
  </si>
  <si>
    <t>78 Randall Ave</t>
  </si>
  <si>
    <t>2550 Central Parkway SE</t>
  </si>
  <si>
    <t>800 E. Summit St, 229 Schwartz Center</t>
  </si>
  <si>
    <t>PO Box 3253</t>
  </si>
  <si>
    <t>21000 West Ten Mile Road</t>
  </si>
  <si>
    <t>48075-1058</t>
  </si>
  <si>
    <t>1101 N Highland St</t>
  </si>
  <si>
    <t>2100 Mack Boulevard</t>
  </si>
  <si>
    <t>Allentown</t>
  </si>
  <si>
    <t>18103-5322</t>
  </si>
  <si>
    <t>2400 St Mary's Ave</t>
  </si>
  <si>
    <t>61300 S Ironwood Rd</t>
  </si>
  <si>
    <t>South Bend</t>
  </si>
  <si>
    <t>P O Box 982000</t>
  </si>
  <si>
    <t>Fort Worth</t>
  </si>
  <si>
    <t>5370 Grace St</t>
  </si>
  <si>
    <t>Hilliard</t>
  </si>
  <si>
    <t>4921 Jody Lynn Dr</t>
  </si>
  <si>
    <t>Mentor</t>
  </si>
  <si>
    <t>2200 Southwest Freeway, Suite 333</t>
  </si>
  <si>
    <t>Houston</t>
  </si>
  <si>
    <t>711 E. Columbia Ave.</t>
  </si>
  <si>
    <t>Reading</t>
  </si>
  <si>
    <t>11001 Euclid Ave</t>
  </si>
  <si>
    <t>P. O. Box 2036</t>
  </si>
  <si>
    <t>Zanesville</t>
  </si>
  <si>
    <t>99 Hudson St, Ste 16 Fl</t>
  </si>
  <si>
    <t>77 S High St, Rm 1702</t>
  </si>
  <si>
    <t>6060 FFA Dr</t>
  </si>
  <si>
    <t>46268-0960</t>
  </si>
  <si>
    <t>1325 Massachusetts Ave., NW Suite 600</t>
  </si>
  <si>
    <t>P.O. Box 2456</t>
  </si>
  <si>
    <t>West Covina</t>
  </si>
  <si>
    <t>91793-2456</t>
  </si>
  <si>
    <t>1699 Irish Hill Rd</t>
  </si>
  <si>
    <t>Shelburne</t>
  </si>
  <si>
    <t>VT</t>
  </si>
  <si>
    <t>05482</t>
  </si>
  <si>
    <t>11250 Waples Mill Rd</t>
  </si>
  <si>
    <t>1201 F Street NW, Ste 200</t>
  </si>
  <si>
    <t>Campus Box 7207</t>
  </si>
  <si>
    <t>Raleigh</t>
  </si>
  <si>
    <t>633 Clark St</t>
  </si>
  <si>
    <t>Evanston</t>
  </si>
  <si>
    <t>1275 Riverside Dr</t>
  </si>
  <si>
    <t>One University Ave</t>
  </si>
  <si>
    <t>Bourbonnais</t>
  </si>
  <si>
    <t>641 Huntington Ave, 1st Floor</t>
  </si>
  <si>
    <t>02115</t>
  </si>
  <si>
    <t>325 Park Ave S 9th Fl</t>
  </si>
  <si>
    <t>2 South Campus Avenue</t>
  </si>
  <si>
    <t>Oxford</t>
  </si>
  <si>
    <t>1025 Vermont Avenue, NW, Suite 1130</t>
  </si>
  <si>
    <t>P.O. BOX 47 , 15 N Central Ave</t>
  </si>
  <si>
    <t>Spencer</t>
  </si>
  <si>
    <t>243 N Galen Hall Rd</t>
  </si>
  <si>
    <t>Wernersville</t>
  </si>
  <si>
    <t>19565-0150</t>
  </si>
  <si>
    <t>585 Riverside Drive</t>
  </si>
  <si>
    <t>4320 Vine St</t>
  </si>
  <si>
    <t>3333 Green Bay Rd.</t>
  </si>
  <si>
    <t>North Chicago</t>
  </si>
  <si>
    <t>255 Main St</t>
  </si>
  <si>
    <t>Marlborough</t>
  </si>
  <si>
    <t>01752</t>
  </si>
  <si>
    <t>117 Evergreen Drive</t>
  </si>
  <si>
    <t>Loretto</t>
  </si>
  <si>
    <t>1730 M St NW Ste 700</t>
  </si>
  <si>
    <t>444 W 3rd St</t>
  </si>
  <si>
    <t>444 W Third St Rm 7321</t>
  </si>
  <si>
    <t>36080 Shaker Boulevard</t>
  </si>
  <si>
    <t>Hunting Valley</t>
  </si>
  <si>
    <t>15 Culpeper Street</t>
  </si>
  <si>
    <t>Warrenton</t>
  </si>
  <si>
    <t>1994 Deermont Ave NW</t>
  </si>
  <si>
    <t>44647-9652</t>
  </si>
  <si>
    <t>PO Box 4550</t>
  </si>
  <si>
    <t>Iowa City</t>
  </si>
  <si>
    <t>PO Box 17321</t>
  </si>
  <si>
    <t>148 East Avenue Suite 3H</t>
  </si>
  <si>
    <t>Norwalk</t>
  </si>
  <si>
    <t>06854</t>
  </si>
  <si>
    <t>22392 FM 16 W</t>
  </si>
  <si>
    <t>Garden Valley</t>
  </si>
  <si>
    <t>The Jewish Federation of North America, Inc.</t>
  </si>
  <si>
    <t>25 Broadway Suite 1700</t>
  </si>
  <si>
    <t>237 Harvey Rd</t>
  </si>
  <si>
    <t>Kingston</t>
  </si>
  <si>
    <t>325 Pennsylvania Ave SE</t>
  </si>
  <si>
    <t>20003-1110</t>
  </si>
  <si>
    <t>1660 L St NW Ste 700</t>
  </si>
  <si>
    <t>29700 Woodford Tehachapi Rd</t>
  </si>
  <si>
    <t>Keene</t>
  </si>
  <si>
    <t>406 University Ave</t>
  </si>
  <si>
    <t>MS</t>
  </si>
  <si>
    <t>2446 University Ave W Ste 170</t>
  </si>
  <si>
    <t>Saint Paul</t>
  </si>
  <si>
    <t>5930 Murnen Road</t>
  </si>
  <si>
    <t>43623-1416</t>
  </si>
  <si>
    <t>4455 Connecticut Ave NW No 200</t>
  </si>
  <si>
    <t>801 Vancamp Rd</t>
  </si>
  <si>
    <t>Bowling Green</t>
  </si>
  <si>
    <t>815 16th St NW</t>
  </si>
  <si>
    <t>One East Broward Blvd Ste 700</t>
  </si>
  <si>
    <t>101 Montgomery Street Suite 1700</t>
  </si>
  <si>
    <t>3320 Brother Blvd</t>
  </si>
  <si>
    <t>Calvert Hall College High School of Baltimorre City</t>
  </si>
  <si>
    <t>8102 La Salle Road</t>
  </si>
  <si>
    <t>Cuyahoga Falls Athletic Boosters (Youth Wrestling)</t>
  </si>
  <si>
    <t>Firefighters Charitable Fund, Inc.</t>
  </si>
  <si>
    <t>4700 Glyno Parkway</t>
  </si>
  <si>
    <t>Brunswick</t>
  </si>
  <si>
    <t>31521-5000</t>
  </si>
  <si>
    <t>801 N Pitt Street, #116</t>
  </si>
  <si>
    <t>22314-1465</t>
  </si>
  <si>
    <t>Southern Poverty Law Center, Inc</t>
  </si>
  <si>
    <t>400 Washington Avenue</t>
  </si>
  <si>
    <t>Montgomery</t>
  </si>
  <si>
    <t>1747 Pennsylvania Avenue, NW Suite 1050</t>
  </si>
  <si>
    <t>One Olympic Plaza, Building 4E</t>
  </si>
  <si>
    <t>Professional Solicitor</t>
  </si>
  <si>
    <t>125 Broad St 18th FL</t>
  </si>
  <si>
    <t>ONTARIO CANADA</t>
  </si>
  <si>
    <t>MB CANADA</t>
  </si>
  <si>
    <t>Insurance Auto Auctions; Car Program; 
Vehicle Donation Processing Center</t>
  </si>
  <si>
    <t>National Arbor Day Foundation</t>
  </si>
  <si>
    <t>Georgia College and State University Foundation</t>
  </si>
  <si>
    <t>Unitarian Universalist Service Committee</t>
  </si>
  <si>
    <t>Southern Poverty Law Center</t>
  </si>
  <si>
    <t>SOS Children's Villages USA, Inc</t>
  </si>
  <si>
    <t xml:space="preserve">Infocision, Inc. </t>
  </si>
  <si>
    <t>Christian Appalachian Project</t>
  </si>
  <si>
    <t>FKA: Public Radio Partners, Inc</t>
  </si>
  <si>
    <t>Campus Box 96</t>
  </si>
  <si>
    <t>Milledgeville</t>
  </si>
  <si>
    <t>Greenpeace Fund Inc.</t>
  </si>
  <si>
    <t>186 Lincoln Street, Suite 100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</si>
</sst>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8" formatCode="&quot;$&quot;#,##0.00_);[Red]\(&quot;$&quot;#,##0.00\)"/>
    <numFmt numFmtId="164" formatCode="m/d/yyyy;@"/>
    <numFmt numFmtId="165" formatCode="&quot;$&quot;#,##0.00"/>
    <numFmt numFmtId="166" formatCode="0.000%"/>
    <numFmt numFmtId="167" formatCode="00000"/>
    <numFmt numFmtId="168" formatCode="[&lt;=9999999]###\-####;\(###\)\ ###\-####"/>
  </numFmts>
  <fonts count="18" x14ac:knownFonts="1">
    <font>
      <sz val="11"/>
      <color theme="1"/>
      <name val="Calibri"/>
      <family val="2"/>
      <scheme val="minor"/>
    </font>
    <font>
      <sz val="10"/>
      <name val="Arial"/>
      <family val="2"/>
    </font>
    <font>
      <u/>
      <sz val="10"/>
      <color indexed="12"/>
      <name val="Arial"/>
      <family val="2"/>
    </font>
    <font>
      <sz val="11"/>
      <name val="Calibri"/>
      <family val="2"/>
      <scheme val="minor"/>
    </font>
    <font>
      <b/>
      <sz val="11"/>
      <name val="Calibri"/>
      <family val="2"/>
      <scheme val="minor"/>
    </font>
    <font>
      <sz val="8"/>
      <color rgb="FF333333"/>
      <name val="Verdana"/>
      <family val="2"/>
    </font>
    <font>
      <sz val="11"/>
      <color theme="1"/>
      <name val="Calibri"/>
      <family val="2"/>
      <scheme val="minor"/>
    </font>
    <font>
      <sz val="11"/>
      <color rgb="FFFF0000"/>
      <name val="Calibri"/>
      <family val="2"/>
      <scheme val="minor"/>
    </font>
    <font>
      <sz val="11"/>
      <color indexed="63"/>
      <name val="Calibri"/>
      <family val="2"/>
      <scheme val="minor"/>
    </font>
    <font>
      <u/>
      <sz val="11"/>
      <color indexed="12"/>
      <name val="Arial"/>
      <family val="2"/>
    </font>
    <font>
      <b/>
      <sz val="11"/>
      <name val="Arial"/>
      <family val="2"/>
    </font>
    <font>
      <b/>
      <sz val="11"/>
      <color theme="1"/>
      <name val="Arial"/>
      <family val="2"/>
    </font>
    <font>
      <b/>
      <sz val="11"/>
      <color rgb="FF3333FF"/>
      <name val="Arial"/>
      <family val="2"/>
    </font>
    <font>
      <sz val="11"/>
      <name val="Arial"/>
      <family val="2"/>
    </font>
    <font>
      <sz val="11"/>
      <color indexed="8"/>
      <name val="Arial"/>
      <family val="2"/>
    </font>
    <font>
      <b/>
      <sz val="11"/>
      <color indexed="12"/>
      <name val="Arial"/>
      <family val="2"/>
    </font>
    <font>
      <sz val="11"/>
      <color indexed="12"/>
      <name val="Arial"/>
      <family val="2"/>
    </font>
    <font>
      <sz val="11"/>
      <color theme="1" tint="4.9989318521683403E-2"/>
      <name val="Arial"/>
      <family val="2"/>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129">
    <xf numFmtId="0" fontId="0" fillId="0" borderId="0" xfId="0"/>
    <xf numFmtId="0" fontId="0" fillId="0" borderId="1" xfId="0" applyBorder="1"/>
    <xf numFmtId="0" fontId="0" fillId="0" borderId="0" xfId="0" applyFill="1"/>
    <xf numFmtId="0" fontId="4" fillId="2" borderId="1" xfId="1" applyFont="1" applyFill="1" applyBorder="1" applyAlignment="1">
      <alignment horizontal="center" vertical="center"/>
    </xf>
    <xf numFmtId="0" fontId="3" fillId="0" borderId="1" xfId="1" applyFont="1" applyFill="1" applyBorder="1" applyAlignment="1">
      <alignment vertical="center"/>
    </xf>
    <xf numFmtId="0" fontId="3" fillId="0" borderId="1" xfId="1" applyFont="1" applyFill="1" applyBorder="1" applyAlignment="1">
      <alignment horizontal="left"/>
    </xf>
    <xf numFmtId="0" fontId="3" fillId="0" borderId="1" xfId="1" applyFont="1" applyFill="1" applyBorder="1" applyAlignment="1">
      <alignment horizontal="center"/>
    </xf>
    <xf numFmtId="167" fontId="3" fillId="0" borderId="1" xfId="1" applyNumberFormat="1" applyFont="1" applyFill="1" applyBorder="1" applyAlignment="1">
      <alignment horizontal="center"/>
    </xf>
    <xf numFmtId="0" fontId="3" fillId="0" borderId="1" xfId="1" applyFont="1" applyFill="1" applyBorder="1" applyAlignment="1">
      <alignment vertical="center" wrapText="1"/>
    </xf>
    <xf numFmtId="0" fontId="3" fillId="0" borderId="1" xfId="1" applyFont="1" applyFill="1" applyBorder="1" applyAlignment="1">
      <alignment horizontal="left" wrapText="1"/>
    </xf>
    <xf numFmtId="0" fontId="0" fillId="3" borderId="0" xfId="0" applyFill="1"/>
    <xf numFmtId="0" fontId="3" fillId="0" borderId="1" xfId="1" applyFont="1" applyFill="1" applyBorder="1" applyAlignment="1">
      <alignment horizontal="center" vertical="center" wrapText="1"/>
    </xf>
    <xf numFmtId="167" fontId="3" fillId="0" borderId="1" xfId="1" quotePrefix="1" applyNumberFormat="1" applyFont="1" applyFill="1" applyBorder="1" applyAlignment="1">
      <alignment horizontal="center"/>
    </xf>
    <xf numFmtId="0" fontId="0" fillId="0" borderId="1" xfId="0" applyBorder="1" applyAlignment="1">
      <alignment horizontal="center"/>
    </xf>
    <xf numFmtId="0" fontId="0" fillId="0" borderId="1" xfId="0" applyFill="1" applyBorder="1"/>
    <xf numFmtId="0" fontId="0" fillId="0" borderId="1" xfId="0" applyFill="1" applyBorder="1" applyAlignment="1">
      <alignment horizontal="center"/>
    </xf>
    <xf numFmtId="0" fontId="0" fillId="0" borderId="1" xfId="0" quotePrefix="1" applyBorder="1" applyAlignment="1">
      <alignment horizontal="center"/>
    </xf>
    <xf numFmtId="0" fontId="5" fillId="0" borderId="1" xfId="0" quotePrefix="1" applyFont="1" applyBorder="1" applyAlignment="1">
      <alignment horizontal="center"/>
    </xf>
    <xf numFmtId="0" fontId="3" fillId="0" borderId="1" xfId="1" applyFont="1" applyFill="1" applyBorder="1" applyAlignment="1">
      <alignment horizontal="center" vertical="center"/>
    </xf>
    <xf numFmtId="0" fontId="3" fillId="0" borderId="1" xfId="1" applyFont="1" applyFill="1" applyBorder="1" applyAlignment="1">
      <alignment horizontal="left" vertical="center"/>
    </xf>
    <xf numFmtId="0" fontId="6" fillId="0" borderId="0" xfId="0" applyFont="1"/>
    <xf numFmtId="0" fontId="4" fillId="2" borderId="1" xfId="1" applyFont="1" applyFill="1" applyBorder="1" applyAlignment="1">
      <alignment horizontal="center" vertical="center" wrapText="1"/>
    </xf>
    <xf numFmtId="167" fontId="4" fillId="2" borderId="1" xfId="1" applyNumberFormat="1" applyFont="1" applyFill="1" applyBorder="1" applyAlignment="1">
      <alignment horizontal="center" vertical="center" wrapText="1"/>
    </xf>
    <xf numFmtId="168" fontId="4" fillId="2" borderId="1" xfId="1" applyNumberFormat="1" applyFont="1" applyFill="1" applyBorder="1" applyAlignment="1">
      <alignment horizontal="center" vertical="center"/>
    </xf>
    <xf numFmtId="0" fontId="3" fillId="0" borderId="1" xfId="1" applyFont="1" applyFill="1" applyBorder="1" applyAlignment="1">
      <alignment horizontal="left" vertical="center" wrapText="1"/>
    </xf>
    <xf numFmtId="0" fontId="8" fillId="0" borderId="1" xfId="1" applyFont="1" applyBorder="1" applyAlignment="1">
      <alignment wrapText="1"/>
    </xf>
    <xf numFmtId="0" fontId="3" fillId="0" borderId="1" xfId="1" applyFont="1" applyBorder="1"/>
    <xf numFmtId="0" fontId="3" fillId="0" borderId="1" xfId="1" applyFont="1" applyBorder="1" applyAlignment="1">
      <alignment horizontal="center"/>
    </xf>
    <xf numFmtId="167" fontId="3" fillId="0" borderId="1" xfId="1" applyNumberFormat="1" applyFont="1" applyBorder="1" applyAlignment="1">
      <alignment horizontal="center"/>
    </xf>
    <xf numFmtId="168" fontId="3" fillId="0" borderId="1" xfId="1" applyNumberFormat="1" applyFont="1" applyBorder="1" applyAlignment="1">
      <alignment horizontal="center"/>
    </xf>
    <xf numFmtId="0" fontId="9" fillId="0" borderId="1" xfId="2" applyFont="1" applyBorder="1" applyAlignment="1" applyProtection="1"/>
    <xf numFmtId="0" fontId="3" fillId="0" borderId="1" xfId="1" applyFont="1" applyBorder="1" applyAlignment="1">
      <alignment wrapText="1"/>
    </xf>
    <xf numFmtId="0" fontId="6" fillId="0" borderId="1" xfId="1" applyFont="1" applyFill="1" applyBorder="1" applyAlignment="1">
      <alignment wrapText="1"/>
    </xf>
    <xf numFmtId="0" fontId="7" fillId="0" borderId="1" xfId="1" applyFont="1" applyFill="1" applyBorder="1" applyAlignment="1">
      <alignment wrapText="1"/>
    </xf>
    <xf numFmtId="167" fontId="3" fillId="0" borderId="1" xfId="1" applyNumberFormat="1" applyFont="1" applyFill="1" applyBorder="1" applyAlignment="1">
      <alignment horizontal="center" vertical="center"/>
    </xf>
    <xf numFmtId="168" fontId="3" fillId="0" borderId="1" xfId="1" applyNumberFormat="1" applyFont="1" applyFill="1" applyBorder="1" applyAlignment="1">
      <alignment horizontal="center" vertical="center"/>
    </xf>
    <xf numFmtId="0" fontId="3" fillId="0" borderId="1" xfId="1" applyFont="1" applyFill="1" applyBorder="1"/>
    <xf numFmtId="0" fontId="3" fillId="0" borderId="1" xfId="1" applyFont="1" applyFill="1" applyBorder="1" applyAlignment="1">
      <alignment wrapText="1"/>
    </xf>
    <xf numFmtId="0" fontId="3" fillId="0" borderId="1" xfId="1" applyFont="1" applyBorder="1" applyAlignment="1">
      <alignment vertical="center"/>
    </xf>
    <xf numFmtId="0" fontId="3" fillId="0" borderId="1" xfId="1" applyFont="1" applyBorder="1" applyAlignment="1">
      <alignment horizontal="center" vertical="center"/>
    </xf>
    <xf numFmtId="167" fontId="3" fillId="0" borderId="1" xfId="1" applyNumberFormat="1" applyFont="1" applyBorder="1" applyAlignment="1">
      <alignment horizontal="center" vertical="center"/>
    </xf>
    <xf numFmtId="168" fontId="3" fillId="0" borderId="1" xfId="1" applyNumberFormat="1" applyFont="1" applyBorder="1" applyAlignment="1">
      <alignment horizontal="center" vertical="center"/>
    </xf>
    <xf numFmtId="0" fontId="9" fillId="0" borderId="1" xfId="2" applyFont="1" applyBorder="1" applyAlignment="1" applyProtection="1">
      <alignment vertical="center"/>
    </xf>
    <xf numFmtId="168" fontId="3" fillId="0" borderId="1" xfId="1" applyNumberFormat="1" applyFont="1" applyFill="1" applyBorder="1" applyAlignment="1">
      <alignment horizontal="center"/>
    </xf>
    <xf numFmtId="0" fontId="8" fillId="0" borderId="1" xfId="1" applyFont="1" applyFill="1" applyBorder="1" applyAlignment="1">
      <alignment wrapText="1"/>
    </xf>
    <xf numFmtId="0" fontId="3" fillId="0" borderId="1" xfId="1" applyFont="1" applyBorder="1" applyAlignment="1">
      <alignment vertical="center" wrapText="1"/>
    </xf>
    <xf numFmtId="0" fontId="8" fillId="0" borderId="1" xfId="1" applyFont="1" applyBorder="1" applyAlignment="1">
      <alignment vertical="center" wrapText="1"/>
    </xf>
    <xf numFmtId="0" fontId="3" fillId="3" borderId="1" xfId="1" applyFont="1" applyFill="1" applyBorder="1" applyAlignment="1">
      <alignment vertical="center" wrapText="1"/>
    </xf>
    <xf numFmtId="0" fontId="8" fillId="3" borderId="1" xfId="1" applyFont="1" applyFill="1" applyBorder="1" applyAlignment="1">
      <alignment vertical="center" wrapText="1"/>
    </xf>
    <xf numFmtId="0" fontId="3" fillId="3" borderId="1" xfId="1" applyFont="1" applyFill="1" applyBorder="1" applyAlignment="1">
      <alignment wrapText="1"/>
    </xf>
    <xf numFmtId="0" fontId="3" fillId="3" borderId="1" xfId="1" applyFont="1" applyFill="1" applyBorder="1" applyAlignment="1">
      <alignment vertical="center"/>
    </xf>
    <xf numFmtId="0" fontId="3" fillId="3" borderId="1" xfId="1" applyFont="1" applyFill="1" applyBorder="1" applyAlignment="1">
      <alignment horizontal="center" vertical="center"/>
    </xf>
    <xf numFmtId="167" fontId="3" fillId="3" borderId="1" xfId="1" applyNumberFormat="1" applyFont="1" applyFill="1" applyBorder="1" applyAlignment="1">
      <alignment horizontal="center" vertical="center"/>
    </xf>
    <xf numFmtId="168" fontId="3" fillId="3" borderId="1" xfId="1" applyNumberFormat="1" applyFont="1" applyFill="1" applyBorder="1" applyAlignment="1">
      <alignment horizontal="center" vertical="center"/>
    </xf>
    <xf numFmtId="0" fontId="6" fillId="3" borderId="0" xfId="0" applyFont="1" applyFill="1"/>
    <xf numFmtId="0" fontId="6" fillId="0" borderId="1" xfId="1" applyFont="1" applyBorder="1" applyAlignment="1">
      <alignment wrapText="1"/>
    </xf>
    <xf numFmtId="0" fontId="7" fillId="0" borderId="1" xfId="1" applyFont="1" applyBorder="1" applyAlignment="1">
      <alignment wrapText="1"/>
    </xf>
    <xf numFmtId="0" fontId="3" fillId="0" borderId="0" xfId="1" applyFont="1" applyAlignment="1">
      <alignment wrapText="1"/>
    </xf>
    <xf numFmtId="0" fontId="3" fillId="0" borderId="0" xfId="1" applyFont="1"/>
    <xf numFmtId="0" fontId="3" fillId="0" borderId="0" xfId="1" applyFont="1" applyAlignment="1">
      <alignment horizontal="center"/>
    </xf>
    <xf numFmtId="167" fontId="3" fillId="0" borderId="0" xfId="1" applyNumberFormat="1" applyFont="1" applyAlignment="1">
      <alignment horizontal="center"/>
    </xf>
    <xf numFmtId="168" fontId="3" fillId="0" borderId="0" xfId="1" applyNumberFormat="1" applyFont="1" applyAlignment="1">
      <alignment horizontal="center"/>
    </xf>
    <xf numFmtId="0" fontId="1" fillId="0" borderId="1" xfId="0" applyFont="1" applyFill="1" applyBorder="1" applyAlignment="1">
      <alignment vertical="center" wrapText="1"/>
    </xf>
    <xf numFmtId="0" fontId="10" fillId="2" borderId="1" xfId="1" applyFont="1" applyFill="1" applyBorder="1" applyAlignment="1">
      <alignment horizontal="center" vertical="center" wrapText="1"/>
    </xf>
    <xf numFmtId="0" fontId="11" fillId="2" borderId="1" xfId="1" applyFont="1" applyFill="1" applyBorder="1" applyAlignment="1">
      <alignment horizontal="center" vertical="center" wrapText="1"/>
    </xf>
    <xf numFmtId="164" fontId="11" fillId="2" borderId="1" xfId="1" applyNumberFormat="1" applyFont="1" applyFill="1" applyBorder="1" applyAlignment="1">
      <alignment horizontal="center" vertical="center" wrapText="1"/>
    </xf>
    <xf numFmtId="10" fontId="10" fillId="2" borderId="1" xfId="1" applyNumberFormat="1" applyFont="1" applyFill="1" applyBorder="1" applyAlignment="1">
      <alignment horizontal="center" vertical="center" wrapText="1"/>
    </xf>
    <xf numFmtId="165" fontId="10" fillId="2" borderId="1" xfId="1" applyNumberFormat="1" applyFont="1" applyFill="1" applyBorder="1" applyAlignment="1">
      <alignment horizontal="center" vertical="center" wrapText="1"/>
    </xf>
    <xf numFmtId="165" fontId="12" fillId="2" borderId="1" xfId="1" applyNumberFormat="1" applyFont="1" applyFill="1" applyBorder="1" applyAlignment="1">
      <alignment horizontal="center" vertical="center" wrapText="1"/>
    </xf>
    <xf numFmtId="8" fontId="10" fillId="2" borderId="1" xfId="1" applyNumberFormat="1" applyFont="1" applyFill="1" applyBorder="1" applyAlignment="1">
      <alignment horizontal="center" vertical="center" wrapText="1"/>
    </xf>
    <xf numFmtId="0" fontId="13" fillId="0" borderId="1" xfId="1" applyFont="1" applyFill="1" applyBorder="1" applyAlignment="1">
      <alignment vertical="center" wrapText="1"/>
    </xf>
    <xf numFmtId="14" fontId="14" fillId="0" borderId="1" xfId="1" applyNumberFormat="1" applyFont="1" applyFill="1" applyBorder="1" applyAlignment="1">
      <alignment horizontal="center" vertical="center"/>
    </xf>
    <xf numFmtId="164" fontId="13" fillId="0" borderId="1" xfId="1" applyNumberFormat="1" applyFont="1" applyFill="1" applyBorder="1" applyAlignment="1">
      <alignment horizontal="center" vertical="center"/>
    </xf>
    <xf numFmtId="10" fontId="13" fillId="0" borderId="1" xfId="1" applyNumberFormat="1" applyFont="1" applyFill="1" applyBorder="1" applyAlignment="1">
      <alignment horizontal="center" vertical="center"/>
    </xf>
    <xf numFmtId="8" fontId="13" fillId="0" borderId="1" xfId="1" applyNumberFormat="1" applyFont="1" applyFill="1" applyBorder="1" applyAlignment="1">
      <alignment horizontal="center" vertical="center"/>
    </xf>
    <xf numFmtId="8" fontId="15" fillId="0" borderId="1" xfId="1" applyNumberFormat="1" applyFont="1" applyFill="1" applyBorder="1" applyAlignment="1">
      <alignment horizontal="center" vertical="center"/>
    </xf>
    <xf numFmtId="0" fontId="13" fillId="0" borderId="1" xfId="0" applyFont="1" applyFill="1" applyBorder="1" applyAlignment="1">
      <alignment vertical="center" wrapText="1"/>
    </xf>
    <xf numFmtId="14" fontId="14" fillId="0" borderId="1" xfId="0" applyNumberFormat="1" applyFont="1" applyFill="1" applyBorder="1" applyAlignment="1">
      <alignment horizontal="center" vertical="center"/>
    </xf>
    <xf numFmtId="164" fontId="13" fillId="0" borderId="1" xfId="0" applyNumberFormat="1" applyFont="1" applyFill="1" applyBorder="1" applyAlignment="1">
      <alignment horizontal="center" vertical="center"/>
    </xf>
    <xf numFmtId="10" fontId="13" fillId="0" borderId="1" xfId="0" applyNumberFormat="1" applyFont="1" applyFill="1" applyBorder="1" applyAlignment="1">
      <alignment horizontal="center" vertical="center"/>
    </xf>
    <xf numFmtId="8" fontId="13" fillId="0" borderId="1" xfId="0" applyNumberFormat="1" applyFont="1" applyFill="1" applyBorder="1" applyAlignment="1">
      <alignment horizontal="center" vertical="center"/>
    </xf>
    <xf numFmtId="8" fontId="15" fillId="0" borderId="1" xfId="0" applyNumberFormat="1" applyFont="1" applyFill="1" applyBorder="1" applyAlignment="1">
      <alignment horizontal="center" vertical="center"/>
    </xf>
    <xf numFmtId="165" fontId="13" fillId="0" borderId="1" xfId="0" applyNumberFormat="1" applyFont="1" applyFill="1" applyBorder="1" applyAlignment="1">
      <alignment horizontal="center" vertical="center"/>
    </xf>
    <xf numFmtId="0" fontId="13" fillId="3" borderId="1" xfId="1" applyFont="1" applyFill="1" applyBorder="1" applyAlignment="1">
      <alignment vertical="center" wrapText="1"/>
    </xf>
    <xf numFmtId="14" fontId="14" fillId="3" borderId="1" xfId="1" applyNumberFormat="1" applyFont="1" applyFill="1" applyBorder="1" applyAlignment="1">
      <alignment horizontal="center" vertical="center"/>
    </xf>
    <xf numFmtId="164" fontId="13" fillId="3" borderId="1" xfId="1" applyNumberFormat="1" applyFont="1" applyFill="1" applyBorder="1" applyAlignment="1">
      <alignment horizontal="center" vertical="center"/>
    </xf>
    <xf numFmtId="10" fontId="13" fillId="3" borderId="1" xfId="1" applyNumberFormat="1" applyFont="1" applyFill="1" applyBorder="1" applyAlignment="1">
      <alignment horizontal="center" vertical="center"/>
    </xf>
    <xf numFmtId="0" fontId="6" fillId="0" borderId="0" xfId="0" applyFont="1" applyFill="1"/>
    <xf numFmtId="0" fontId="6" fillId="0" borderId="1" xfId="0" applyFont="1" applyBorder="1"/>
    <xf numFmtId="8" fontId="13" fillId="0" borderId="0" xfId="1" applyNumberFormat="1" applyFont="1" applyFill="1" applyBorder="1" applyAlignment="1">
      <alignment horizontal="center" vertical="center"/>
    </xf>
    <xf numFmtId="0" fontId="13" fillId="0" borderId="1" xfId="1" applyFont="1" applyBorder="1" applyAlignment="1">
      <alignment vertical="center"/>
    </xf>
    <xf numFmtId="8" fontId="13" fillId="0" borderId="1" xfId="0" applyNumberFormat="1" applyFont="1" applyBorder="1" applyAlignment="1">
      <alignment horizontal="center" vertical="top"/>
    </xf>
    <xf numFmtId="8" fontId="16" fillId="0" borderId="1" xfId="0" applyNumberFormat="1" applyFont="1" applyFill="1" applyBorder="1" applyAlignment="1">
      <alignment horizontal="center" vertical="top"/>
    </xf>
    <xf numFmtId="10" fontId="13" fillId="0" borderId="4" xfId="0" applyNumberFormat="1" applyFont="1" applyFill="1" applyBorder="1" applyAlignment="1">
      <alignment horizontal="center" vertical="center"/>
    </xf>
    <xf numFmtId="14" fontId="13" fillId="0" borderId="1" xfId="1" applyNumberFormat="1" applyFont="1" applyFill="1" applyBorder="1" applyAlignment="1">
      <alignment horizontal="center" vertical="center"/>
    </xf>
    <xf numFmtId="14" fontId="14" fillId="0" borderId="1" xfId="1" applyNumberFormat="1" applyFont="1" applyFill="1" applyBorder="1" applyAlignment="1">
      <alignment horizontal="center" vertical="top"/>
    </xf>
    <xf numFmtId="164" fontId="13" fillId="0" borderId="1" xfId="1" applyNumberFormat="1" applyFont="1" applyFill="1" applyBorder="1" applyAlignment="1">
      <alignment horizontal="center" vertical="top"/>
    </xf>
    <xf numFmtId="10" fontId="13" fillId="0" borderId="1" xfId="1" applyNumberFormat="1" applyFont="1" applyBorder="1" applyAlignment="1">
      <alignment horizontal="center" vertical="top"/>
    </xf>
    <xf numFmtId="8" fontId="13" fillId="0" borderId="1" xfId="1" applyNumberFormat="1" applyFont="1" applyBorder="1" applyAlignment="1">
      <alignment horizontal="center" vertical="top"/>
    </xf>
    <xf numFmtId="8" fontId="15" fillId="0" borderId="1" xfId="1" applyNumberFormat="1" applyFont="1" applyFill="1" applyBorder="1" applyAlignment="1">
      <alignment horizontal="center" vertical="top"/>
    </xf>
    <xf numFmtId="0" fontId="13" fillId="0" borderId="1" xfId="0" applyFont="1" applyFill="1" applyBorder="1" applyAlignment="1">
      <alignment horizontal="left" vertical="center" wrapText="1"/>
    </xf>
    <xf numFmtId="166" fontId="13" fillId="0" borderId="1" xfId="1" applyNumberFormat="1" applyFont="1" applyFill="1" applyBorder="1" applyAlignment="1">
      <alignment horizontal="center" vertical="center"/>
    </xf>
    <xf numFmtId="0" fontId="13" fillId="0" borderId="1" xfId="1" applyFont="1" applyFill="1" applyBorder="1" applyAlignment="1">
      <alignment vertical="top" wrapText="1"/>
    </xf>
    <xf numFmtId="14" fontId="14" fillId="0" borderId="1" xfId="1" applyNumberFormat="1" applyFont="1" applyFill="1" applyBorder="1" applyAlignment="1">
      <alignment horizontal="center" vertical="top" wrapText="1"/>
    </xf>
    <xf numFmtId="164" fontId="13" fillId="0" borderId="1" xfId="1" applyNumberFormat="1" applyFont="1" applyFill="1" applyBorder="1" applyAlignment="1">
      <alignment horizontal="center" vertical="top" wrapText="1"/>
    </xf>
    <xf numFmtId="8" fontId="13" fillId="0" borderId="1" xfId="1" applyNumberFormat="1" applyFont="1" applyFill="1" applyBorder="1" applyAlignment="1">
      <alignment horizontal="center" vertical="top" wrapText="1"/>
    </xf>
    <xf numFmtId="8" fontId="15" fillId="0" borderId="1" xfId="1" applyNumberFormat="1" applyFont="1" applyFill="1" applyBorder="1" applyAlignment="1">
      <alignment horizontal="center" vertical="top" wrapText="1"/>
    </xf>
    <xf numFmtId="10" fontId="13" fillId="0" borderId="1" xfId="1" applyNumberFormat="1" applyFont="1" applyFill="1" applyBorder="1" applyAlignment="1">
      <alignment horizontal="center" vertical="top" wrapText="1"/>
    </xf>
    <xf numFmtId="166" fontId="13" fillId="0" borderId="1" xfId="0" applyNumberFormat="1" applyFont="1" applyFill="1" applyBorder="1" applyAlignment="1">
      <alignment horizontal="center" vertical="center"/>
    </xf>
    <xf numFmtId="14" fontId="17" fillId="0" borderId="1" xfId="0" applyNumberFormat="1" applyFont="1" applyFill="1" applyBorder="1" applyAlignment="1">
      <alignment horizontal="center" vertical="center"/>
    </xf>
    <xf numFmtId="0" fontId="13" fillId="0" borderId="1" xfId="0" applyFont="1" applyFill="1" applyBorder="1" applyAlignment="1">
      <alignment vertical="top" wrapText="1"/>
    </xf>
    <xf numFmtId="0" fontId="13" fillId="0" borderId="1" xfId="0" applyFont="1" applyBorder="1" applyAlignment="1">
      <alignment horizontal="left"/>
    </xf>
    <xf numFmtId="14" fontId="13" fillId="0" borderId="1" xfId="0" applyNumberFormat="1" applyFont="1" applyFill="1" applyBorder="1" applyAlignment="1">
      <alignment horizontal="center" vertical="center"/>
    </xf>
    <xf numFmtId="10" fontId="13" fillId="0" borderId="2" xfId="0" applyNumberFormat="1" applyFont="1" applyFill="1" applyBorder="1" applyAlignment="1">
      <alignment horizontal="center" vertical="center"/>
    </xf>
    <xf numFmtId="10" fontId="13" fillId="0" borderId="3" xfId="0" applyNumberFormat="1" applyFont="1" applyFill="1" applyBorder="1" applyAlignment="1">
      <alignment horizontal="center" vertical="center"/>
    </xf>
    <xf numFmtId="0" fontId="6" fillId="0" borderId="1" xfId="0" applyFont="1" applyBorder="1" applyAlignment="1">
      <alignment vertical="center"/>
    </xf>
    <xf numFmtId="0" fontId="13" fillId="0" borderId="1" xfId="0" applyFont="1" applyBorder="1" applyAlignment="1">
      <alignment vertical="center"/>
    </xf>
    <xf numFmtId="0" fontId="13" fillId="0" borderId="1" xfId="0" applyFont="1" applyFill="1" applyBorder="1" applyAlignment="1">
      <alignment vertical="top"/>
    </xf>
    <xf numFmtId="14" fontId="14" fillId="0" borderId="1" xfId="0" applyNumberFormat="1" applyFont="1" applyFill="1" applyBorder="1" applyAlignment="1">
      <alignment horizontal="center" vertical="top"/>
    </xf>
    <xf numFmtId="164" fontId="13" fillId="0" borderId="1" xfId="0" applyNumberFormat="1" applyFont="1" applyFill="1" applyBorder="1" applyAlignment="1">
      <alignment horizontal="center" vertical="top"/>
    </xf>
    <xf numFmtId="10" fontId="13" fillId="0" borderId="1" xfId="0" applyNumberFormat="1" applyFont="1" applyFill="1" applyBorder="1" applyAlignment="1">
      <alignment horizontal="center" vertical="top"/>
    </xf>
    <xf numFmtId="8" fontId="13" fillId="0" borderId="1" xfId="0" applyNumberFormat="1" applyFont="1" applyFill="1" applyBorder="1" applyAlignment="1">
      <alignment horizontal="center" vertical="top"/>
    </xf>
    <xf numFmtId="8" fontId="15" fillId="0" borderId="1" xfId="0" applyNumberFormat="1" applyFont="1" applyFill="1" applyBorder="1" applyAlignment="1">
      <alignment horizontal="center" vertical="top"/>
    </xf>
    <xf numFmtId="0" fontId="13" fillId="0" borderId="1" xfId="0" applyFont="1" applyFill="1" applyBorder="1" applyAlignment="1">
      <alignment wrapText="1"/>
    </xf>
    <xf numFmtId="0" fontId="13" fillId="0" borderId="0" xfId="0" applyFont="1" applyFill="1" applyBorder="1" applyAlignment="1">
      <alignment vertical="center" wrapText="1"/>
    </xf>
    <xf numFmtId="0" fontId="6" fillId="0" borderId="0" xfId="0" applyFont="1" applyBorder="1"/>
    <xf numFmtId="10" fontId="13" fillId="0" borderId="4" xfId="1" applyNumberFormat="1" applyFont="1" applyFill="1" applyBorder="1" applyAlignment="1">
      <alignment horizontal="center" vertical="center"/>
    </xf>
    <xf numFmtId="10" fontId="13" fillId="0" borderId="3" xfId="1" applyNumberFormat="1" applyFont="1" applyFill="1" applyBorder="1" applyAlignment="1">
      <alignment horizontal="center" vertical="center"/>
    </xf>
    <xf numFmtId="10" fontId="13" fillId="0" borderId="2" xfId="1" applyNumberFormat="1" applyFont="1" applyFill="1" applyBorder="1" applyAlignment="1">
      <alignment horizontal="center" vertical="center"/>
    </xf>
  </cellXfs>
  <cellStyles count="3">
    <cellStyle name="Hyperlink" xfId="2" builtinId="8"/>
    <cellStyle name="Normal" xfId="0" builtinId="0"/>
    <cellStyle name="Normal 2" xfId="1"/>
  </cellStyles>
  <dxfs count="0"/>
  <tableStyles count="0" defaultTableStyle="TableStyleMedium2" defaultPivotStyle="PivotStyleLight16"/>
  <colors>
    <mruColors>
      <color rgb="FF702E82"/>
      <color rgb="FFFF6600"/>
      <color rgb="FF33CC33"/>
      <color rgb="FFFF66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142875</xdr:rowOff>
    </xdr:from>
    <xdr:to>
      <xdr:col>15</xdr:col>
      <xdr:colOff>381000</xdr:colOff>
      <xdr:row>138</xdr:row>
      <xdr:rowOff>123825</xdr:rowOff>
    </xdr:to>
    <xdr:sp macro="" textlink="">
      <xdr:nvSpPr>
        <xdr:cNvPr id="2" name="TextBox 1"/>
        <xdr:cNvSpPr txBox="1"/>
      </xdr:nvSpPr>
      <xdr:spPr>
        <a:xfrm>
          <a:off x="57150" y="142875"/>
          <a:ext cx="9467850" cy="26269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spcBef>
              <a:spcPts val="0"/>
            </a:spcBef>
            <a:spcAft>
              <a:spcPts val="0"/>
            </a:spcAft>
          </a:pPr>
          <a:endParaRPr lang="en-US" sz="1100">
            <a:effectLst/>
            <a:latin typeface="Franklin Gothic Book"/>
            <a:ea typeface="Calibri"/>
            <a:cs typeface="Times New Roman"/>
          </a:endParaRPr>
        </a:p>
        <a:p>
          <a:pPr marL="0" marR="0">
            <a:spcBef>
              <a:spcPts val="0"/>
            </a:spcBef>
            <a:spcAft>
              <a:spcPts val="0"/>
            </a:spcAft>
          </a:pPr>
          <a:endParaRPr lang="en-US" sz="1100">
            <a:effectLst/>
            <a:latin typeface="Franklin Gothic Book"/>
            <a:ea typeface="Calibri"/>
            <a:cs typeface="Times New Roman"/>
          </a:endParaRPr>
        </a:p>
        <a:p>
          <a:pPr marL="0" marR="0">
            <a:spcBef>
              <a:spcPts val="0"/>
            </a:spcBef>
            <a:spcAft>
              <a:spcPts val="0"/>
            </a:spcAft>
          </a:pPr>
          <a:endParaRPr lang="en-US" sz="1100">
            <a:effectLst/>
            <a:latin typeface="Franklin Gothic Book"/>
            <a:ea typeface="Calibri"/>
            <a:cs typeface="Times New Roman"/>
          </a:endParaRPr>
        </a:p>
        <a:p>
          <a:pPr marL="0" marR="0">
            <a:spcBef>
              <a:spcPts val="0"/>
            </a:spcBef>
            <a:spcAft>
              <a:spcPts val="0"/>
            </a:spcAft>
          </a:pPr>
          <a:endParaRPr lang="en-US" sz="1100">
            <a:effectLst/>
            <a:latin typeface="Franklin Gothic Book"/>
            <a:ea typeface="Calibri"/>
            <a:cs typeface="Times New Roman"/>
          </a:endParaRPr>
        </a:p>
        <a:p>
          <a:pPr marL="0" marR="0">
            <a:spcBef>
              <a:spcPts val="0"/>
            </a:spcBef>
            <a:spcAft>
              <a:spcPts val="0"/>
            </a:spcAft>
          </a:pPr>
          <a:endParaRPr lang="en-US" sz="1100">
            <a:effectLst/>
            <a:latin typeface="Franklin Gothic Book"/>
            <a:ea typeface="Calibri"/>
            <a:cs typeface="Times New Roman"/>
          </a:endParaRPr>
        </a:p>
        <a:p>
          <a:pPr marL="0" marR="0">
            <a:spcBef>
              <a:spcPts val="0"/>
            </a:spcBef>
            <a:spcAft>
              <a:spcPts val="0"/>
            </a:spcAft>
          </a:pPr>
          <a:endParaRPr lang="en-US" sz="1100">
            <a:effectLst/>
            <a:latin typeface="Franklin Gothic Book"/>
            <a:ea typeface="Calibri"/>
            <a:cs typeface="Times New Roman"/>
          </a:endParaRPr>
        </a:p>
        <a:p>
          <a:pPr marL="0" marR="0" indent="0" algn="ctr">
            <a:spcBef>
              <a:spcPts val="0"/>
            </a:spcBef>
            <a:spcAft>
              <a:spcPts val="0"/>
            </a:spcAft>
          </a:pPr>
          <a:r>
            <a:rPr lang="en-US" sz="1400" b="1">
              <a:solidFill>
                <a:schemeClr val="dk1"/>
              </a:solidFill>
              <a:effectLst/>
              <a:latin typeface="Franklin Gothic Book"/>
              <a:ea typeface="Calibri"/>
              <a:cs typeface="Times New Roman"/>
            </a:rPr>
            <a:t>Charitable Fundraising in Ohio by Professional Solicitors Report 2012</a:t>
          </a:r>
        </a:p>
        <a:p>
          <a:pPr marL="0" marR="0" indent="0" algn="ctr">
            <a:spcBef>
              <a:spcPts val="0"/>
            </a:spcBef>
            <a:spcAft>
              <a:spcPts val="0"/>
            </a:spcAft>
          </a:pPr>
          <a:endParaRPr lang="en-US" sz="1100" b="1">
            <a:solidFill>
              <a:schemeClr val="dk1"/>
            </a:solidFill>
            <a:effectLst/>
            <a:latin typeface="Franklin Gothic Book"/>
            <a:ea typeface="Calibri"/>
            <a:cs typeface="Times New Roman"/>
          </a:endParaRPr>
        </a:p>
        <a:p>
          <a:pPr marL="0" marR="0">
            <a:spcBef>
              <a:spcPts val="0"/>
            </a:spcBef>
            <a:spcAft>
              <a:spcPts val="0"/>
            </a:spcAft>
          </a:pPr>
          <a:r>
            <a:rPr lang="en-US" sz="1100">
              <a:effectLst/>
              <a:latin typeface="Franklin Gothic Book"/>
              <a:ea typeface="Calibri"/>
              <a:cs typeface="Times New Roman"/>
            </a:rPr>
            <a:t>Donors to a charitable organization are protected by law and have a right to know how their charitable contributions are used.  Most charities that solicit contributions are required to register with the Ohio Attorney General’s Office, Charitable Law Section.  Although there are nearly </a:t>
          </a:r>
          <a:r>
            <a:rPr lang="en-US" sz="1100" u="none">
              <a:effectLst/>
              <a:latin typeface="Franklin Gothic Book"/>
              <a:ea typeface="Calibri"/>
              <a:cs typeface="Times New Roman"/>
            </a:rPr>
            <a:t>34,000 </a:t>
          </a:r>
          <a:r>
            <a:rPr lang="en-US" sz="1100">
              <a:effectLst/>
              <a:latin typeface="Franklin Gothic Book"/>
              <a:ea typeface="Calibri"/>
              <a:cs typeface="Times New Roman"/>
            </a:rPr>
            <a:t>on file in Ohio, only a relative few hire </a:t>
          </a:r>
          <a:r>
            <a:rPr lang="en-US" sz="1100" i="1">
              <a:effectLst/>
              <a:latin typeface="Franklin Gothic Book"/>
              <a:ea typeface="Calibri"/>
              <a:cs typeface="Times New Roman"/>
            </a:rPr>
            <a:t>Professional Solicitors</a:t>
          </a:r>
          <a:r>
            <a:rPr lang="en-US" sz="1100">
              <a:effectLst/>
              <a:latin typeface="Franklin Gothic Book"/>
              <a:ea typeface="Calibri"/>
              <a:cs typeface="Times New Roman"/>
            </a:rPr>
            <a:t>.  Professional Solicitors are companies or individuals hired by charitable organizations to</a:t>
          </a:r>
          <a:r>
            <a:rPr lang="en-US" sz="1100" baseline="0">
              <a:effectLst/>
              <a:latin typeface="Franklin Gothic Book"/>
              <a:ea typeface="Calibri"/>
              <a:cs typeface="Times New Roman"/>
            </a:rPr>
            <a:t> </a:t>
          </a:r>
          <a:r>
            <a:rPr lang="en-US" sz="1100">
              <a:effectLst/>
              <a:latin typeface="Franklin Gothic Book"/>
              <a:ea typeface="Calibri"/>
              <a:cs typeface="Times New Roman"/>
            </a:rPr>
            <a:t>contact potential donors to request a donation on the charity’s behalf. </a:t>
          </a:r>
        </a:p>
        <a:p>
          <a:pPr marL="0" marR="0">
            <a:spcBef>
              <a:spcPts val="0"/>
            </a:spcBef>
            <a:spcAft>
              <a:spcPts val="0"/>
            </a:spcAft>
          </a:pPr>
          <a:endParaRPr lang="en-US" sz="1050">
            <a:effectLst/>
            <a:latin typeface="+mn-lt"/>
            <a:ea typeface="Calibri"/>
            <a:cs typeface="Times New Roman"/>
          </a:endParaRPr>
        </a:p>
        <a:p>
          <a:pPr marL="0" marR="0" indent="0" algn="ctr">
            <a:spcBef>
              <a:spcPts val="0"/>
            </a:spcBef>
            <a:spcAft>
              <a:spcPts val="0"/>
            </a:spcAft>
          </a:pPr>
          <a:r>
            <a:rPr lang="en-US" sz="1100" b="1">
              <a:solidFill>
                <a:schemeClr val="dk1"/>
              </a:solidFill>
              <a:effectLst/>
              <a:latin typeface="Franklin Gothic Book"/>
              <a:ea typeface="Calibri"/>
              <a:cs typeface="Times New Roman"/>
            </a:rPr>
            <a:t>What are the requirements related to Professional Solicitation?  </a:t>
          </a:r>
        </a:p>
        <a:p>
          <a:pPr marL="0" marR="0">
            <a:spcBef>
              <a:spcPts val="0"/>
            </a:spcBef>
            <a:spcAft>
              <a:spcPts val="0"/>
            </a:spcAft>
          </a:pP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In Ohio, all professional solicitors must register every year and be bonded.</a:t>
          </a:r>
          <a:r>
            <a:rPr lang="en-US" sz="1100" baseline="0">
              <a:effectLst/>
              <a:latin typeface="Franklin Gothic Book"/>
              <a:ea typeface="Calibri"/>
              <a:cs typeface="Times New Roman"/>
            </a:rPr>
            <a:t> T</a:t>
          </a:r>
          <a:r>
            <a:rPr lang="en-US" sz="1100">
              <a:effectLst/>
              <a:latin typeface="Franklin Gothic Book"/>
              <a:ea typeface="Calibri"/>
              <a:cs typeface="Times New Roman"/>
            </a:rPr>
            <a:t>hey are also required to file specific documents for each charitable campaign they conduct on behalf of the charitable</a:t>
          </a:r>
          <a:r>
            <a:rPr lang="en-US" sz="1100" baseline="0">
              <a:effectLst/>
              <a:latin typeface="Franklin Gothic Book"/>
              <a:ea typeface="Calibri"/>
              <a:cs typeface="Times New Roman"/>
            </a:rPr>
            <a:t> organizations</a:t>
          </a:r>
          <a:r>
            <a:rPr lang="en-US" sz="1100">
              <a:effectLst/>
              <a:latin typeface="Franklin Gothic Book"/>
              <a:ea typeface="Calibri"/>
              <a:cs typeface="Times New Roman"/>
            </a:rPr>
            <a:t>.  </a:t>
          </a:r>
        </a:p>
        <a:p>
          <a:pPr marL="0" marR="0">
            <a:spcBef>
              <a:spcPts val="0"/>
            </a:spcBef>
            <a:spcAft>
              <a:spcPts val="0"/>
            </a:spcAft>
          </a:pPr>
          <a:endParaRPr lang="en-US" sz="1100">
            <a:effectLst/>
            <a:latin typeface="Franklin Gothic Book"/>
            <a:ea typeface="Calibri"/>
            <a:cs typeface="Times New Roman"/>
          </a:endParaRPr>
        </a:p>
        <a:p>
          <a:pPr marL="0" marR="0">
            <a:spcBef>
              <a:spcPts val="0"/>
            </a:spcBef>
            <a:spcAft>
              <a:spcPts val="0"/>
            </a:spcAft>
          </a:pPr>
          <a:r>
            <a:rPr lang="en-US" sz="1100">
              <a:effectLst/>
              <a:latin typeface="Franklin Gothic Book"/>
              <a:ea typeface="Calibri"/>
              <a:cs typeface="Times New Roman"/>
            </a:rPr>
            <a:t>The required filings include a </a:t>
          </a:r>
          <a:r>
            <a:rPr lang="en-US" sz="1100" u="sng">
              <a:effectLst/>
              <a:latin typeface="Franklin Gothic Book"/>
              <a:ea typeface="Calibri"/>
              <a:cs typeface="Times New Roman"/>
            </a:rPr>
            <a:t>Solicitation Notice </a:t>
          </a:r>
          <a:r>
            <a:rPr lang="en-US" sz="1100">
              <a:effectLst/>
              <a:latin typeface="Franklin Gothic Book"/>
              <a:ea typeface="Calibri"/>
              <a:cs typeface="Times New Roman"/>
            </a:rPr>
            <a:t>that provides:</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Campaign dates, </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Percentage of gross revenue guaranteed to the charity</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Methods of solicitation used (telemarketing,</a:t>
          </a:r>
          <a:r>
            <a:rPr lang="en-US" sz="1100" baseline="0">
              <a:effectLst/>
              <a:latin typeface="Franklin Gothic Book"/>
              <a:ea typeface="Calibri"/>
              <a:cs typeface="Times New Roman"/>
            </a:rPr>
            <a:t> direct mail, internet solicitation, donation/collection bins, advertising, special events, etc.)</a:t>
          </a:r>
          <a:endParaRPr lang="en-US" sz="1100">
            <a:effectLst/>
            <a:latin typeface="Franklin Gothic Book"/>
            <a:ea typeface="Calibri"/>
            <a:cs typeface="Times New Roman"/>
          </a:endParaRP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Location or phone number from which the solicitations will take place</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The</a:t>
          </a:r>
          <a:r>
            <a:rPr lang="en-US" sz="1100" baseline="0">
              <a:effectLst/>
              <a:latin typeface="Franklin Gothic Book"/>
              <a:ea typeface="Calibri"/>
              <a:cs typeface="Times New Roman"/>
            </a:rPr>
            <a:t> </a:t>
          </a:r>
          <a:r>
            <a:rPr lang="en-US" sz="1100">
              <a:effectLst/>
              <a:latin typeface="Franklin Gothic Book"/>
              <a:ea typeface="Calibri"/>
              <a:cs typeface="Times New Roman"/>
            </a:rPr>
            <a:t>charity’s written consent </a:t>
          </a:r>
        </a:p>
        <a:p>
          <a:pPr marL="0" marR="0">
            <a:spcBef>
              <a:spcPts val="0"/>
            </a:spcBef>
            <a:spcAft>
              <a:spcPts val="0"/>
            </a:spcAft>
          </a:pPr>
          <a:r>
            <a:rPr lang="en-US" sz="1100">
              <a:effectLst/>
              <a:latin typeface="Franklin Gothic Book"/>
              <a:ea typeface="Calibri"/>
              <a:cs typeface="Times New Roman"/>
            </a:rPr>
            <a:t>	</a:t>
          </a:r>
        </a:p>
        <a:p>
          <a:pPr marL="0" marR="0">
            <a:spcBef>
              <a:spcPts val="0"/>
            </a:spcBef>
            <a:spcAft>
              <a:spcPts val="0"/>
            </a:spcAft>
          </a:pPr>
          <a:r>
            <a:rPr lang="en-US" sz="1100">
              <a:effectLst/>
              <a:latin typeface="Franklin Gothic Book"/>
              <a:ea typeface="Calibri"/>
              <a:cs typeface="Times New Roman"/>
            </a:rPr>
            <a:t>For each campaign, professional solicitors must also file routine </a:t>
          </a:r>
          <a:r>
            <a:rPr lang="en-US" sz="1100" u="sng">
              <a:effectLst/>
              <a:latin typeface="Franklin Gothic Book"/>
              <a:ea typeface="Calibri"/>
              <a:cs typeface="Times New Roman"/>
            </a:rPr>
            <a:t>Campaign Financial Reports </a:t>
          </a:r>
          <a:r>
            <a:rPr lang="en-US" sz="1100">
              <a:effectLst/>
              <a:latin typeface="Franklin Gothic Book"/>
              <a:ea typeface="Calibri"/>
              <a:cs typeface="Times New Roman"/>
            </a:rPr>
            <a:t>that must include:</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Total gross revenue raised during the solicitation</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Expenses incurred</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The total amount of the donations actually </a:t>
          </a:r>
          <a:r>
            <a:rPr lang="en-US" sz="1100" u="none">
              <a:effectLst/>
              <a:latin typeface="Franklin Gothic Book"/>
              <a:ea typeface="Calibri"/>
              <a:cs typeface="Times New Roman"/>
            </a:rPr>
            <a:t>retained</a:t>
          </a:r>
          <a:r>
            <a:rPr lang="en-US" sz="1100" u="none" baseline="0">
              <a:effectLst/>
              <a:latin typeface="Franklin Gothic Book"/>
              <a:ea typeface="Calibri"/>
              <a:cs typeface="Times New Roman"/>
            </a:rPr>
            <a:t> by </a:t>
          </a:r>
          <a:r>
            <a:rPr lang="en-US" sz="1100">
              <a:effectLst/>
              <a:latin typeface="Franklin Gothic Book"/>
              <a:ea typeface="Calibri"/>
              <a:cs typeface="Times New Roman"/>
            </a:rPr>
            <a:t>the charity </a:t>
          </a:r>
        </a:p>
        <a:p>
          <a:pPr marL="0" marR="0">
            <a:spcBef>
              <a:spcPts val="0"/>
            </a:spcBef>
            <a:spcAft>
              <a:spcPts val="0"/>
            </a:spcAft>
          </a:pPr>
          <a:endParaRPr lang="en-US" sz="1100">
            <a:effectLst/>
            <a:latin typeface="Franklin Gothic Book"/>
            <a:ea typeface="Calibri"/>
            <a:cs typeface="Times New Roman"/>
          </a:endParaRPr>
        </a:p>
        <a:p>
          <a:pPr marL="0" marR="0">
            <a:spcBef>
              <a:spcPts val="0"/>
            </a:spcBef>
            <a:spcAft>
              <a:spcPts val="0"/>
            </a:spcAft>
          </a:pPr>
          <a:r>
            <a:rPr lang="en-US" sz="1100">
              <a:effectLst/>
              <a:latin typeface="Franklin Gothic Book"/>
              <a:ea typeface="Calibri"/>
              <a:cs typeface="Times New Roman"/>
            </a:rPr>
            <a:t>The data from the campaign financial reports are compiled into this annual fundraising report which can help donors make educated decisions about which campaigns and charitable organizations to support. This</a:t>
          </a:r>
          <a:r>
            <a:rPr lang="en-US" sz="1100" baseline="0">
              <a:effectLst/>
              <a:latin typeface="Franklin Gothic Book"/>
              <a:ea typeface="Calibri"/>
              <a:cs typeface="Times New Roman"/>
            </a:rPr>
            <a:t> report</a:t>
          </a:r>
          <a:r>
            <a:rPr lang="en-US" sz="1100">
              <a:effectLst/>
              <a:latin typeface="Franklin Gothic Book"/>
              <a:ea typeface="Calibri"/>
              <a:cs typeface="Times New Roman"/>
            </a:rPr>
            <a:t> also helps</a:t>
          </a:r>
          <a:r>
            <a:rPr lang="en-US" sz="1100" baseline="0">
              <a:effectLst/>
              <a:latin typeface="Franklin Gothic Book"/>
              <a:ea typeface="Calibri"/>
              <a:cs typeface="Times New Roman"/>
            </a:rPr>
            <a:t> </a:t>
          </a:r>
          <a:r>
            <a:rPr lang="en-US" sz="1100">
              <a:effectLst/>
              <a:latin typeface="Franklin Gothic Book"/>
              <a:ea typeface="Calibri"/>
              <a:cs typeface="Times New Roman"/>
            </a:rPr>
            <a:t>enable charitable organizations to evaluate a professional solicitor’s performance.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WHAT INFORMATION IS IN THIS REPORT?</a:t>
          </a:r>
          <a:endParaRPr lang="en-US" sz="1050">
            <a:effectLst/>
            <a:latin typeface="+mn-lt"/>
            <a:ea typeface="Calibri"/>
            <a:cs typeface="Times New Roman"/>
          </a:endParaRPr>
        </a:p>
        <a:p>
          <a:pPr marL="0" marR="0" algn="ctr">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This </a:t>
          </a:r>
          <a:r>
            <a:rPr lang="en-US" sz="1100" i="1">
              <a:effectLst/>
              <a:latin typeface="Franklin Gothic Book"/>
              <a:ea typeface="Calibri"/>
              <a:cs typeface="Times New Roman"/>
            </a:rPr>
            <a:t>Charitable Fundraising in Ohio by Professional Solicitors Report</a:t>
          </a:r>
          <a:r>
            <a:rPr lang="en-US" sz="1100">
              <a:effectLst/>
              <a:latin typeface="Franklin Gothic Book"/>
              <a:ea typeface="Calibri"/>
              <a:cs typeface="Times New Roman"/>
            </a:rPr>
            <a:t> highlights the activities of charitable organizations that hired professional solicitors to conduct their fundraising campaigns in the</a:t>
          </a:r>
          <a:r>
            <a:rPr lang="en-US" sz="1100" baseline="0">
              <a:effectLst/>
              <a:latin typeface="Franklin Gothic Book"/>
              <a:ea typeface="Calibri"/>
              <a:cs typeface="Times New Roman"/>
            </a:rPr>
            <a:t> year </a:t>
          </a:r>
          <a:r>
            <a:rPr lang="en-US" sz="1100">
              <a:effectLst/>
              <a:latin typeface="Franklin Gothic Book"/>
              <a:ea typeface="Calibri"/>
              <a:cs typeface="Times New Roman"/>
            </a:rPr>
            <a:t>2012.  These professional solicitors use multiple methods of fundraising to ask Ohioans for support including  telemarketing, direct mail, donation/collection bins, internet solicitation, and the sale of goods.</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The information in this report is based on campaign financial data submitted by professional solicitors to the Ohio Attorney General’s Office Charitable Law Section.  The campaign reporting form contains two columns - one to report figures pertaining to Ohio campaigning only, and the other to report figures pertaining to campaigning that may have taken place in multiple states, including Ohio.  The professional solicitor may opt to provide campaign figures in either one or both columns.  The information provided in this annual report was reported by the solicitors.</a:t>
          </a:r>
          <a:endParaRPr lang="en-US" sz="1100" baseline="0">
            <a:effectLst/>
            <a:latin typeface="Franklin Gothic Book"/>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Our fundraising report is presented in Excel spreadsheet format so users can easily sort the data contained in each of the seven tabs located at the bottom of the page.   The first tab is this introduction.</a:t>
          </a:r>
        </a:p>
        <a:p>
          <a:pPr marL="0" marR="0">
            <a:spcBef>
              <a:spcPts val="0"/>
            </a:spcBef>
            <a:spcAft>
              <a:spcPts val="0"/>
            </a:spcAft>
          </a:pPr>
          <a:endParaRPr lang="en-US" sz="1100">
            <a:effectLst/>
            <a:latin typeface="Franklin Gothic Book"/>
            <a:ea typeface="Calibri"/>
            <a:cs typeface="Times New Roman"/>
          </a:endParaRPr>
        </a:p>
        <a:p>
          <a:pPr marL="0" marR="0">
            <a:spcBef>
              <a:spcPts val="0"/>
            </a:spcBef>
            <a:spcAft>
              <a:spcPts val="0"/>
            </a:spcAft>
          </a:pPr>
          <a:r>
            <a:rPr lang="en-US" sz="1100">
              <a:effectLst/>
              <a:latin typeface="Franklin Gothic Book"/>
              <a:ea typeface="Calibri"/>
              <a:cs typeface="Times New Roman"/>
            </a:rPr>
            <a:t>The subsequent six tabs are:  </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Campaign financial data sorted alphabetically by name of professional solicitor </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Campaign financial data sorted alphabetically by name of charity</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Campaign financial data sorted by dollar amount of gross revenue paid to charity (highest to lowest)</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Campaign financial data sorted by percentage of gross revenue paid to charity (highest to lowest)</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Professional solicitor addresses</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Charity addresses.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The columns in each tab list the following information about the fund-raising campaign:  </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Professional solicitor name</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Charity name</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Report period beginning</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Report period ending</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Percentage of gross revenue promised to charity</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Gross revenue raised in other states (which may or may not include Ohio)</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Gross revenue raised in Ohio</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Dollar amount retained by charity</a:t>
          </a:r>
        </a:p>
        <a:p>
          <a:pPr marL="171450" marR="0" indent="-171450">
            <a:spcBef>
              <a:spcPts val="0"/>
            </a:spcBef>
            <a:spcAft>
              <a:spcPts val="0"/>
            </a:spcAft>
            <a:buFont typeface="Wingdings" pitchFamily="2" charset="2"/>
            <a:buChar char="Ø"/>
          </a:pPr>
          <a:r>
            <a:rPr lang="en-US" sz="1100">
              <a:effectLst/>
              <a:latin typeface="Franklin Gothic Book"/>
              <a:ea typeface="Calibri"/>
              <a:cs typeface="Times New Roman"/>
            </a:rPr>
            <a:t>Percentage retained by charity (dollar amount the charity retained divided by gross revenue)</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100" b="1">
            <a:effectLst/>
            <a:latin typeface="Franklin Gothic Book"/>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WHAT SHOULD YOU DO IF A PROFESSIONAL SOLICITOR CALLS ASKING FOR A DONATION?</a:t>
          </a:r>
          <a:endParaRPr lang="en-US" sz="1050">
            <a:effectLst/>
            <a:latin typeface="+mn-lt"/>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There are numerous charitable organizations that are deserving of your donation and trust.  Public generosity allows these charities to provide services that benefit our communities and countless Ohioans.  However, you should not make a donation hastily or without all the facts.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Whenever a professional solicitor calls asking you to donate to a charity, listen carefully to all of the information that is presented to you.  According</a:t>
          </a:r>
          <a:r>
            <a:rPr lang="en-US" sz="1100" baseline="0">
              <a:effectLst/>
              <a:latin typeface="Franklin Gothic Book"/>
              <a:ea typeface="Calibri"/>
              <a:cs typeface="Times New Roman"/>
            </a:rPr>
            <a:t> to </a:t>
          </a:r>
          <a:r>
            <a:rPr lang="en-US" sz="1100">
              <a:effectLst/>
              <a:latin typeface="Franklin Gothic Book"/>
              <a:ea typeface="Calibri"/>
              <a:cs typeface="Times New Roman"/>
            </a:rPr>
            <a:t>State law, the caller must conspicuously disclose the following facts (</a:t>
          </a:r>
          <a:r>
            <a:rPr lang="en-US" sz="1100" u="sng">
              <a:effectLst/>
              <a:latin typeface="Franklin Gothic Book"/>
              <a:ea typeface="Calibri"/>
              <a:cs typeface="Times New Roman"/>
            </a:rPr>
            <a:t>without </a:t>
          </a:r>
          <a:r>
            <a:rPr lang="en-US" sz="1100">
              <a:effectLst/>
              <a:latin typeface="Franklin Gothic Book"/>
              <a:ea typeface="Calibri"/>
              <a:cs typeface="Times New Roman"/>
            </a:rPr>
            <a:t>being asked by the potential donor):</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The name of the professional solicitor (as it appears on file with the Ohio Attorney General’s Office)</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That the call is being made by the person as a professional solicitor</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The name and address of the charity that will benefit from the donation</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Although the above information must be automatically disclosed, it’s important that you ask questions before you make any donation.  One of the most important questions to ask is: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lgn="ctr">
            <a:spcBef>
              <a:spcPts val="0"/>
            </a:spcBef>
            <a:spcAft>
              <a:spcPts val="0"/>
            </a:spcAft>
          </a:pPr>
          <a:r>
            <a:rPr lang="en-US" sz="1100">
              <a:effectLst/>
              <a:latin typeface="Franklin Gothic Book"/>
              <a:ea typeface="Calibri"/>
              <a:cs typeface="Times New Roman"/>
            </a:rPr>
            <a:t>“What percentage of my donation will the charity actually receive if I decide to give?”</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According to state law, if you ask this question, the caller </a:t>
          </a:r>
          <a:r>
            <a:rPr lang="en-US" sz="1100" u="sng">
              <a:effectLst/>
              <a:latin typeface="Franklin Gothic Book"/>
              <a:ea typeface="Calibri"/>
              <a:cs typeface="Times New Roman"/>
            </a:rPr>
            <a:t>must </a:t>
          </a:r>
          <a:r>
            <a:rPr lang="en-US" sz="1100">
              <a:effectLst/>
              <a:latin typeface="Franklin Gothic Book"/>
              <a:ea typeface="Calibri"/>
              <a:cs typeface="Times New Roman"/>
            </a:rPr>
            <a:t>provide the percentage of the gross revenue guaranteed to the charity as it is on file with our office.</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To make a well-informed giving decision, there are other questions you should</a:t>
          </a:r>
          <a:r>
            <a:rPr lang="en-US" sz="1100" baseline="0">
              <a:effectLst/>
              <a:latin typeface="Franklin Gothic Book"/>
              <a:ea typeface="Calibri"/>
              <a:cs typeface="Times New Roman"/>
            </a:rPr>
            <a:t> </a:t>
          </a:r>
          <a:r>
            <a:rPr lang="en-US" sz="1100">
              <a:effectLst/>
              <a:latin typeface="Franklin Gothic Book"/>
              <a:ea typeface="Calibri"/>
              <a:cs typeface="Times New Roman"/>
            </a:rPr>
            <a:t>consider before making a donation.  Here are some suggestions:</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What is the full name of the charity that will receive my donation?</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Will my donation benefit a local organization?</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Is the charity registered with the Ohio Attorney General’s Office?</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What are some of the charity’s specific programs and services?</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What percentage of the charity’s income is spent on these programs and services?</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What percentage of the charity’s income is spent on administrative and fundraising costs?</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How long has the charity been in existence?</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Can you send me information to review before I decide to give?</a:t>
          </a: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What</a:t>
          </a:r>
          <a:r>
            <a:rPr lang="en-US" sz="1100" baseline="0">
              <a:effectLst/>
              <a:latin typeface="Franklin Gothic Book"/>
              <a:ea typeface="Calibri"/>
              <a:cs typeface="Times New Roman"/>
            </a:rPr>
            <a:t> number can I call for additional information?</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Do not provide</a:t>
          </a:r>
          <a:r>
            <a:rPr lang="en-US" sz="1100" baseline="0">
              <a:effectLst/>
              <a:latin typeface="Franklin Gothic Book"/>
              <a:ea typeface="Calibri"/>
              <a:cs typeface="Times New Roman"/>
            </a:rPr>
            <a:t> </a:t>
          </a:r>
          <a:r>
            <a:rPr lang="en-US" sz="1100">
              <a:effectLst/>
              <a:latin typeface="Franklin Gothic Book"/>
              <a:ea typeface="Calibri"/>
              <a:cs typeface="Times New Roman"/>
            </a:rPr>
            <a:t>credit card information over the telephone on calls that you did not expect.  Unfortunately, this is a scheme often used to commit credit card theft.</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lgn="ctr">
            <a:spcBef>
              <a:spcPts val="0"/>
            </a:spcBef>
            <a:spcAft>
              <a:spcPts val="0"/>
            </a:spcAft>
          </a:pPr>
          <a:endParaRPr lang="en-US" sz="1100" b="1">
            <a:effectLst/>
            <a:latin typeface="Franklin Gothic Book"/>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WHAT ARE SOME WARNING SIGNS YOU SHOULD LOOK FOR WHEN ASKED TO MAKE A DONATION OVER THE PHONE?</a:t>
          </a:r>
          <a:endParaRPr lang="en-US" sz="1050">
            <a:effectLst/>
            <a:latin typeface="+mn-lt"/>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Unfortunately, there are scam artists who prey upon the generosity of unsuspecting Ohioans.  These unscrupulous telemarketers get rich by calling people and asking for donations to a charity that might not even exist.   To prevent charitable fraud, do not give money if:</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The caller is hesitant to answer your questions</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The caller is rude or high pressure tactics are used</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The name of the charity sounds similar to a well-known, nationally recognized charity</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You are “guaranteed to win a prize” if you make a donation</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The caller offers to have a courier immediately pick up the donation from you instead of waiting to receive it in the mail</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100" b="1">
            <a:effectLst/>
            <a:latin typeface="Franklin Gothic Book"/>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A NOTE ABOUT "DO NOT CALL"</a:t>
          </a:r>
          <a:endParaRPr lang="en-US" sz="1050">
            <a:effectLst/>
            <a:latin typeface="+mn-lt"/>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Because charities are not subject to the restriction of the National Do Not Call Registry, you might receive calls from professional solicitors requesting charitable donations even if you have subscribed to the Registry.  However, if you ask not to receive any more calls on behalf of a specific charity, the charity or the professional solicitor may be subject to legal action if your request isn’t honored.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WHERE CAN YOU GET MORE INFORMATION ON CHARITABLE ORGANIZATIONS AND PROFESSIONAL SOLICITORS?</a:t>
          </a:r>
          <a:endParaRPr lang="en-US" sz="1050">
            <a:effectLst/>
            <a:latin typeface="+mn-lt"/>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Call the charity directly to ask questions and to request brochures and financial reports.  </a:t>
          </a: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Other good sources of information on charities are:</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The “Research Charities” feature on the Attorney General’s website at:  </a:t>
          </a:r>
          <a:r>
            <a:rPr lang="en-US" sz="1100" u="sng">
              <a:solidFill>
                <a:srgbClr val="0000FF"/>
              </a:solidFill>
              <a:effectLst/>
              <a:latin typeface="Franklin Gothic Book"/>
              <a:ea typeface="Calibri"/>
              <a:cs typeface="Times New Roman"/>
              <a:hlinkClick xmlns:r="http://schemas.openxmlformats.org/officeDocument/2006/relationships" r:id=""/>
            </a:rPr>
            <a:t>www.ohioattorneygeneral.gov/Business-and-Non-Profits/Charity/Research-Charities.aspx</a:t>
          </a:r>
          <a:r>
            <a:rPr lang="en-US" sz="1100">
              <a:effectLst/>
              <a:latin typeface="Franklin Gothic Book"/>
              <a:ea typeface="Calibri"/>
              <a:cs typeface="Times New Roman"/>
            </a:rPr>
            <a:t>   This search feature enables donors to determine whether a charity is registered with the Charitable Law Section, if it is current in its filings and fees, if applicable, and if the charity is tax exempt.</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Guidestar – this website, </a:t>
          </a:r>
          <a:r>
            <a:rPr lang="en-US" sz="1100" u="sng">
              <a:solidFill>
                <a:srgbClr val="0000FF"/>
              </a:solidFill>
              <a:effectLst/>
              <a:latin typeface="Franklin Gothic Book"/>
              <a:ea typeface="Calibri"/>
              <a:cs typeface="Times New Roman"/>
              <a:hlinkClick xmlns:r="http://schemas.openxmlformats.org/officeDocument/2006/relationships" r:id=""/>
            </a:rPr>
            <a:t>www.guidestar.org</a:t>
          </a:r>
          <a:r>
            <a:rPr lang="en-US" sz="1100">
              <a:effectLst/>
              <a:latin typeface="Franklin Gothic Book"/>
              <a:ea typeface="Calibri"/>
              <a:cs typeface="Times New Roman"/>
            </a:rPr>
            <a:t> , allows donors to view copies of tax forms filed by non-profit organizations.  These IRS Form 990s provide transparency concerning the organization’s revenue, expenses including fundraising costs, money used on programs and compensation of officers, directors, trustees and other key employees.  To view this data you will need an account, which is free of charge.</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Charity Navigator – this website, </a:t>
          </a:r>
          <a:r>
            <a:rPr lang="en-US" sz="1100" u="sng">
              <a:solidFill>
                <a:srgbClr val="0000FF"/>
              </a:solidFill>
              <a:effectLst/>
              <a:latin typeface="Franklin Gothic Book"/>
              <a:ea typeface="Calibri"/>
              <a:cs typeface="Times New Roman"/>
              <a:hlinkClick xmlns:r="http://schemas.openxmlformats.org/officeDocument/2006/relationships" r:id=""/>
            </a:rPr>
            <a:t>www.charitynavigator.org</a:t>
          </a:r>
          <a:r>
            <a:rPr lang="en-US" sz="1100">
              <a:effectLst/>
              <a:latin typeface="Franklin Gothic Book"/>
              <a:ea typeface="Calibri"/>
              <a:cs typeface="Times New Roman"/>
            </a:rPr>
            <a:t> , rates organizations using feedback from the public and donors, provides accountability and transparency scores, and information about revenue, program, administrative and fundraising expenses as well as compensation of key personnel.</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Charity Watch - formerly known as the American Institute of Philanthropy, this organization is a non-profit charity watchdog and information service.  Its website, </a:t>
          </a:r>
          <a:r>
            <a:rPr lang="en-US" sz="1100" u="sng">
              <a:solidFill>
                <a:srgbClr val="0000FF"/>
              </a:solidFill>
              <a:effectLst/>
              <a:latin typeface="Franklin Gothic Book"/>
              <a:ea typeface="Calibri"/>
              <a:cs typeface="Times New Roman"/>
              <a:hlinkClick xmlns:r="http://schemas.openxmlformats.org/officeDocument/2006/relationships" r:id=""/>
            </a:rPr>
            <a:t>www.charitywatch.org</a:t>
          </a:r>
          <a:r>
            <a:rPr lang="en-US" sz="1100">
              <a:effectLst/>
              <a:latin typeface="Franklin Gothic Book"/>
              <a:ea typeface="Calibri"/>
              <a:cs typeface="Times New Roman"/>
            </a:rPr>
            <a:t> , provides a letter grade rating system of charities based on their financial performance and informative and newsworthy articles concerning charitable activities.  </a:t>
          </a:r>
          <a:endParaRPr lang="en-US" sz="1050">
            <a:effectLst/>
            <a:latin typeface="+mn-lt"/>
            <a:ea typeface="Calibri"/>
            <a:cs typeface="Times New Roman"/>
          </a:endParaRPr>
        </a:p>
        <a:p>
          <a:pPr marL="342900" marR="0" lvl="0" indent="-342900">
            <a:spcBef>
              <a:spcPts val="0"/>
            </a:spcBef>
            <a:spcAft>
              <a:spcPts val="0"/>
            </a:spcAft>
            <a:buFont typeface="Wingdings" pitchFamily="2" charset="2"/>
            <a:buChar char="Ø"/>
          </a:pPr>
          <a:r>
            <a:rPr lang="en-US" sz="1100">
              <a:effectLst/>
              <a:latin typeface="Franklin Gothic Book"/>
              <a:ea typeface="Calibri"/>
              <a:cs typeface="Times New Roman"/>
            </a:rPr>
            <a:t>Better Business Bureau – the BBB website, </a:t>
          </a:r>
          <a:r>
            <a:rPr lang="en-US" sz="1100" u="sng">
              <a:solidFill>
                <a:srgbClr val="0000FF"/>
              </a:solidFill>
              <a:effectLst/>
              <a:latin typeface="Franklin Gothic Book"/>
              <a:ea typeface="Calibri"/>
              <a:cs typeface="Times New Roman"/>
              <a:hlinkClick xmlns:r="http://schemas.openxmlformats.org/officeDocument/2006/relationships" r:id=""/>
            </a:rPr>
            <a:t>www.bbb.org/us/</a:t>
          </a:r>
          <a:r>
            <a:rPr lang="en-US" sz="1100">
              <a:effectLst/>
              <a:latin typeface="Franklin Gothic Book"/>
              <a:ea typeface="Calibri"/>
              <a:cs typeface="Times New Roman"/>
            </a:rPr>
            <a:t> enables donors to query whether any complaints have been filed against a charity or a professional solicitor, the results of the complaints, and whether the company/organization is BBB accredited.  BBB also gives an A+ to F scale rating of the company/organization.  The BBB Wise Giving Alliance Program provides reports on charities it evaluates for its</a:t>
          </a:r>
          <a:r>
            <a:rPr lang="en-US" sz="1100" baseline="0">
              <a:effectLst/>
              <a:latin typeface="Franklin Gothic Book"/>
              <a:ea typeface="Calibri"/>
              <a:cs typeface="Times New Roman"/>
            </a:rPr>
            <a:t> Charity Seal Programs.</a:t>
          </a:r>
          <a:endParaRPr lang="en-US" sz="1050">
            <a:effectLst/>
            <a:latin typeface="+mn-lt"/>
            <a:ea typeface="Calibri"/>
            <a:cs typeface="Times New Roman"/>
          </a:endParaRPr>
        </a:p>
        <a:p>
          <a:pPr marL="457200" marR="0">
            <a:spcBef>
              <a:spcPts val="0"/>
            </a:spcBef>
            <a:spcAft>
              <a:spcPts val="0"/>
            </a:spcAft>
          </a:pPr>
          <a:r>
            <a:rPr lang="en-US" sz="1100">
              <a:effectLst/>
              <a:latin typeface="Franklin Gothic Book"/>
              <a:ea typeface="Calibri"/>
              <a:cs typeface="Times New Roman"/>
            </a:rPr>
            <a:t> </a:t>
          </a:r>
          <a:endParaRPr lang="en-US" sz="1050">
            <a:effectLst/>
            <a:latin typeface="+mn-lt"/>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WHAT IF YOU HAVE A COMPLAINT ABOUT A CHARITY OR PROFESSIONAL SOLICITOR?</a:t>
          </a:r>
          <a:endParaRPr lang="en-US" sz="1050">
            <a:effectLst/>
            <a:latin typeface="+mn-lt"/>
            <a:ea typeface="Calibri"/>
            <a:cs typeface="Times New Roman"/>
          </a:endParaRPr>
        </a:p>
        <a:p>
          <a:pPr marL="0" marR="0" algn="ctr">
            <a:spcBef>
              <a:spcPts val="0"/>
            </a:spcBef>
            <a:spcAft>
              <a:spcPts val="0"/>
            </a:spcAft>
          </a:pPr>
          <a:r>
            <a:rPr lang="en-US" sz="1100" b="1">
              <a:effectLst/>
              <a:latin typeface="Franklin Gothic Book"/>
              <a:ea typeface="Calibri"/>
              <a:cs typeface="Times New Roman"/>
            </a:rPr>
            <a:t> </a:t>
          </a:r>
          <a:endParaRPr lang="en-US" sz="1050">
            <a:effectLst/>
            <a:latin typeface="+mn-lt"/>
            <a:ea typeface="Calibri"/>
            <a:cs typeface="Times New Roman"/>
          </a:endParaRPr>
        </a:p>
        <a:p>
          <a:pPr marL="0" marR="0">
            <a:spcBef>
              <a:spcPts val="0"/>
            </a:spcBef>
            <a:spcAft>
              <a:spcPts val="0"/>
            </a:spcAft>
          </a:pPr>
          <a:r>
            <a:rPr lang="en-US" sz="1100">
              <a:effectLst/>
              <a:latin typeface="Franklin Gothic Book"/>
              <a:ea typeface="Calibri"/>
              <a:cs typeface="Times New Roman"/>
            </a:rPr>
            <a:t>The Charitable Law Section is staffed with teams that include investigators, attorneys, forensic accountants and support staff that will investigate each complaint that comes into the office concerning a charitable organization or a professional solicitor.  If necessary, our office is prepared to pursue legal action against any non- or for-profit entity that does not comply with Ohio law.  If you feel that you have been the recipient of a questionable charitable solicitation or if you have information regarding a fraudulent charitable activity, please file a complaint using our online complaint form at: </a:t>
          </a:r>
          <a:r>
            <a:rPr lang="en-US" sz="1100" u="sng">
              <a:solidFill>
                <a:srgbClr val="0000FF"/>
              </a:solidFill>
              <a:effectLst/>
              <a:latin typeface="Franklin Gothic Book"/>
              <a:ea typeface="Calibri"/>
              <a:cs typeface="Times New Roman"/>
              <a:hlinkClick xmlns:r="http://schemas.openxmlformats.org/officeDocument/2006/relationships" r:id=""/>
            </a:rPr>
            <a:t>www.ohioattorneygeneral.gov/Business-and-Non-Profits/Charity/File-a-Nonprofit-Complaint.asp</a:t>
          </a:r>
          <a:r>
            <a:rPr lang="en-US" sz="1100" u="sng" baseline="0">
              <a:solidFill>
                <a:srgbClr val="0000FF"/>
              </a:solidFill>
              <a:effectLst/>
              <a:latin typeface="Franklin Gothic Book"/>
              <a:ea typeface="Calibri"/>
              <a:cs typeface="Times New Roman"/>
            </a:rPr>
            <a:t>x  </a:t>
          </a:r>
          <a:r>
            <a:rPr lang="en-US" sz="1100">
              <a:solidFill>
                <a:schemeClr val="dk1"/>
              </a:solidFill>
              <a:effectLst/>
              <a:latin typeface="Franklin Gothic Book"/>
              <a:ea typeface="Calibri"/>
              <a:cs typeface="Times New Roman"/>
            </a:rPr>
            <a:t>or call the Ohio Attorney General's Office at 1-800-282-0515.</a:t>
          </a:r>
        </a:p>
      </xdr:txBody>
    </xdr:sp>
    <xdr:clientData/>
  </xdr:twoCellAnchor>
  <xdr:twoCellAnchor editAs="oneCell">
    <xdr:from>
      <xdr:col>4</xdr:col>
      <xdr:colOff>57150</xdr:colOff>
      <xdr:row>0</xdr:row>
      <xdr:rowOff>47626</xdr:rowOff>
    </xdr:from>
    <xdr:to>
      <xdr:col>12</xdr:col>
      <xdr:colOff>47625</xdr:colOff>
      <xdr:row>4</xdr:row>
      <xdr:rowOff>7605</xdr:rowOff>
    </xdr:to>
    <xdr:pic>
      <xdr:nvPicPr>
        <xdr:cNvPr id="3" name="Picture 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95550" y="47626"/>
          <a:ext cx="4867275" cy="721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www.harrisconnect.com/" TargetMode="External"/><Relationship Id="rId13" Type="http://schemas.openxmlformats.org/officeDocument/2006/relationships/hyperlink" Target="http://www.phonebanks.com/" TargetMode="External"/><Relationship Id="rId18" Type="http://schemas.openxmlformats.org/officeDocument/2006/relationships/hyperlink" Target="http://121directresponse.com/" TargetMode="External"/><Relationship Id="rId26" Type="http://schemas.openxmlformats.org/officeDocument/2006/relationships/hyperlink" Target="http://www.greenwisebankcard.com/" TargetMode="External"/><Relationship Id="rId39" Type="http://schemas.openxmlformats.org/officeDocument/2006/relationships/printerSettings" Target="../printerSettings/printerSettings6.bin"/><Relationship Id="rId3" Type="http://schemas.openxmlformats.org/officeDocument/2006/relationships/hyperlink" Target="http://www.auto-donation.com/" TargetMode="External"/><Relationship Id="rId21" Type="http://schemas.openxmlformats.org/officeDocument/2006/relationships/hyperlink" Target="http://www.advantageconsulting.com/" TargetMode="External"/><Relationship Id="rId34" Type="http://schemas.openxmlformats.org/officeDocument/2006/relationships/hyperlink" Target="http://www.pubintcom.com/" TargetMode="External"/><Relationship Id="rId7" Type="http://schemas.openxmlformats.org/officeDocument/2006/relationships/hyperlink" Target="http://www.directline-tech.com/" TargetMode="External"/><Relationship Id="rId12" Type="http://schemas.openxmlformats.org/officeDocument/2006/relationships/hyperlink" Target="http://www.pep-direct.com/" TargetMode="External"/><Relationship Id="rId17" Type="http://schemas.openxmlformats.org/officeDocument/2006/relationships/hyperlink" Target="http://www.smartmktg.com/" TargetMode="External"/><Relationship Id="rId25" Type="http://schemas.openxmlformats.org/officeDocument/2006/relationships/hyperlink" Target="http://www.dialamerica.com/" TargetMode="External"/><Relationship Id="rId33" Type="http://schemas.openxmlformats.org/officeDocument/2006/relationships/hyperlink" Target="http://www.coinstar.com/" TargetMode="External"/><Relationship Id="rId38" Type="http://schemas.openxmlformats.org/officeDocument/2006/relationships/hyperlink" Target="http://www.xentel.com/" TargetMode="External"/><Relationship Id="rId2" Type="http://schemas.openxmlformats.org/officeDocument/2006/relationships/hyperlink" Target="http://www.artsmarketing.com/" TargetMode="External"/><Relationship Id="rId16" Type="http://schemas.openxmlformats.org/officeDocument/2006/relationships/hyperlink" Target="http://www.stratcom.ca/" TargetMode="External"/><Relationship Id="rId20" Type="http://schemas.openxmlformats.org/officeDocument/2006/relationships/hyperlink" Target="http://www.advantageconsulting.com/" TargetMode="External"/><Relationship Id="rId29" Type="http://schemas.openxmlformats.org/officeDocument/2006/relationships/hyperlink" Target="http://www.insightteleservices.com/" TargetMode="External"/><Relationship Id="rId1" Type="http://schemas.openxmlformats.org/officeDocument/2006/relationships/hyperlink" Target="http://www.ariacallsandcards.com/" TargetMode="External"/><Relationship Id="rId6" Type="http://schemas.openxmlformats.org/officeDocument/2006/relationships/hyperlink" Target="http://www.courtesycall.com/" TargetMode="External"/><Relationship Id="rId11" Type="http://schemas.openxmlformats.org/officeDocument/2006/relationships/hyperlink" Target="http://www.ohiomills.net/" TargetMode="External"/><Relationship Id="rId24" Type="http://schemas.openxmlformats.org/officeDocument/2006/relationships/hyperlink" Target="http://www.covenantcalls.com/" TargetMode="External"/><Relationship Id="rId32" Type="http://schemas.openxmlformats.org/officeDocument/2006/relationships/hyperlink" Target="http://www.olympia-inc.com/" TargetMode="External"/><Relationship Id="rId37" Type="http://schemas.openxmlformats.org/officeDocument/2006/relationships/hyperlink" Target="http://www.ruffalocody.com/" TargetMode="External"/><Relationship Id="rId5" Type="http://schemas.openxmlformats.org/officeDocument/2006/relationships/hyperlink" Target="http://www.comnetmarketing.com/" TargetMode="External"/><Relationship Id="rId15" Type="http://schemas.openxmlformats.org/officeDocument/2006/relationships/hyperlink" Target="http://www.smgtoday.com/" TargetMode="External"/><Relationship Id="rId23" Type="http://schemas.openxmlformats.org/officeDocument/2006/relationships/hyperlink" Target="http://www.charitableresources.com/" TargetMode="External"/><Relationship Id="rId28" Type="http://schemas.openxmlformats.org/officeDocument/2006/relationships/hyperlink" Target="http://www.infocision.com/" TargetMode="External"/><Relationship Id="rId36" Type="http://schemas.openxmlformats.org/officeDocument/2006/relationships/hyperlink" Target="http://www.puzzlebuggames.com/" TargetMode="External"/><Relationship Id="rId10" Type="http://schemas.openxmlformats.org/officeDocument/2006/relationships/hyperlink" Target="http://www.vpifundraising.com/" TargetMode="External"/><Relationship Id="rId19" Type="http://schemas.openxmlformats.org/officeDocument/2006/relationships/hyperlink" Target="http://www.xentel.com/" TargetMode="External"/><Relationship Id="rId31" Type="http://schemas.openxmlformats.org/officeDocument/2006/relationships/hyperlink" Target="http://www.keysdirect.com/" TargetMode="External"/><Relationship Id="rId4" Type="http://schemas.openxmlformats.org/officeDocument/2006/relationships/hyperlink" Target="http://www.coinstar.com/" TargetMode="External"/><Relationship Id="rId9" Type="http://schemas.openxmlformats.org/officeDocument/2006/relationships/hyperlink" Target="http://www.hbay.com/" TargetMode="External"/><Relationship Id="rId14" Type="http://schemas.openxmlformats.org/officeDocument/2006/relationships/hyperlink" Target="http://www.marketenginuity.com/" TargetMode="External"/><Relationship Id="rId22" Type="http://schemas.openxmlformats.org/officeDocument/2006/relationships/hyperlink" Target="http://www.auto-donation.com/" TargetMode="External"/><Relationship Id="rId27" Type="http://schemas.openxmlformats.org/officeDocument/2006/relationships/hyperlink" Target="http://www.theheritagecompany.com/" TargetMode="External"/><Relationship Id="rId30" Type="http://schemas.openxmlformats.org/officeDocument/2006/relationships/hyperlink" Target="http://www.telephonefundraising.net/" TargetMode="External"/><Relationship Id="rId35" Type="http://schemas.openxmlformats.org/officeDocument/2006/relationships/hyperlink" Target="http://www.puzzlebuggames.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abSelected="1" workbookViewId="0">
      <selection sqref="A1:XFD1048576"/>
    </sheetView>
  </sheetViews>
  <sheetFormatPr defaultRowHeight="15" x14ac:dyDescent="0.25"/>
  <sheetData/>
  <pageMargins left="0.45" right="0.45" top="0.5" bottom="0.5" header="0.3" footer="0.3"/>
  <pageSetup scale="66" fitToHeight="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I1426"/>
  <sheetViews>
    <sheetView zoomScale="85" zoomScaleNormal="85" workbookViewId="0">
      <pane ySplit="1" topLeftCell="A1376" activePane="bottomLeft" state="frozen"/>
      <selection pane="bottomLeft" sqref="A1:XFD1"/>
    </sheetView>
  </sheetViews>
  <sheetFormatPr defaultRowHeight="15" x14ac:dyDescent="0.25"/>
  <cols>
    <col min="1" max="1" width="43.140625" style="20" bestFit="1" customWidth="1"/>
    <col min="2" max="2" width="65.28515625" style="20" bestFit="1" customWidth="1"/>
    <col min="3" max="4" width="14.28515625" style="20" bestFit="1" customWidth="1"/>
    <col min="5" max="5" width="20.140625" style="20" bestFit="1" customWidth="1"/>
    <col min="6" max="6" width="31" style="20" bestFit="1" customWidth="1"/>
    <col min="7" max="7" width="15.7109375" style="20" bestFit="1" customWidth="1"/>
    <col min="8" max="8" width="16.42578125" style="20" bestFit="1" customWidth="1"/>
    <col min="9" max="9" width="14.28515625" style="20" bestFit="1" customWidth="1"/>
    <col min="10" max="16384" width="9.140625" style="20"/>
  </cols>
  <sheetData>
    <row r="1" spans="1:9" ht="64.5" customHeight="1" x14ac:dyDescent="0.25">
      <c r="A1" s="63" t="s">
        <v>1962</v>
      </c>
      <c r="B1" s="63" t="s">
        <v>0</v>
      </c>
      <c r="C1" s="64" t="s">
        <v>1</v>
      </c>
      <c r="D1" s="65" t="s">
        <v>2</v>
      </c>
      <c r="E1" s="66" t="s">
        <v>3</v>
      </c>
      <c r="F1" s="67" t="s">
        <v>4</v>
      </c>
      <c r="G1" s="68" t="s">
        <v>5</v>
      </c>
      <c r="H1" s="69" t="s">
        <v>6</v>
      </c>
      <c r="I1" s="66" t="s">
        <v>7</v>
      </c>
    </row>
    <row r="2" spans="1:9" x14ac:dyDescent="0.25">
      <c r="A2" s="70" t="s">
        <v>8</v>
      </c>
      <c r="B2" s="70" t="s">
        <v>9</v>
      </c>
      <c r="C2" s="71">
        <v>41021</v>
      </c>
      <c r="D2" s="72">
        <v>41213</v>
      </c>
      <c r="E2" s="73">
        <v>8.9999999999999993E-3</v>
      </c>
      <c r="F2" s="74">
        <v>1982</v>
      </c>
      <c r="G2" s="75"/>
      <c r="H2" s="74">
        <v>1982</v>
      </c>
      <c r="I2" s="73">
        <v>1</v>
      </c>
    </row>
    <row r="3" spans="1:9" x14ac:dyDescent="0.25">
      <c r="A3" s="70" t="s">
        <v>8</v>
      </c>
      <c r="B3" s="70" t="s">
        <v>9</v>
      </c>
      <c r="C3" s="71">
        <v>41021</v>
      </c>
      <c r="D3" s="72">
        <v>41213</v>
      </c>
      <c r="E3" s="73">
        <v>8.9999999999999993E-3</v>
      </c>
      <c r="F3" s="74"/>
      <c r="G3" s="75">
        <v>20</v>
      </c>
      <c r="H3" s="74">
        <v>20</v>
      </c>
      <c r="I3" s="73">
        <v>1</v>
      </c>
    </row>
    <row r="4" spans="1:9" x14ac:dyDescent="0.25">
      <c r="A4" s="70" t="s">
        <v>8</v>
      </c>
      <c r="B4" s="70" t="s">
        <v>9</v>
      </c>
      <c r="C4" s="71">
        <v>40655</v>
      </c>
      <c r="D4" s="72">
        <v>41020</v>
      </c>
      <c r="E4" s="73">
        <v>8.9999999999999993E-3</v>
      </c>
      <c r="F4" s="74">
        <v>0</v>
      </c>
      <c r="G4" s="75"/>
      <c r="H4" s="74">
        <v>0</v>
      </c>
      <c r="I4" s="73">
        <v>0</v>
      </c>
    </row>
    <row r="5" spans="1:9" ht="28.5" x14ac:dyDescent="0.25">
      <c r="A5" s="70" t="s">
        <v>10</v>
      </c>
      <c r="B5" s="70" t="s">
        <v>11</v>
      </c>
      <c r="C5" s="71">
        <v>40787</v>
      </c>
      <c r="D5" s="72">
        <v>41022</v>
      </c>
      <c r="E5" s="73">
        <v>3.1414999999999998E-2</v>
      </c>
      <c r="F5" s="74">
        <v>79075</v>
      </c>
      <c r="G5" s="75"/>
      <c r="H5" s="74">
        <v>13759.34</v>
      </c>
      <c r="I5" s="73">
        <v>0.17400366740436296</v>
      </c>
    </row>
    <row r="6" spans="1:9" x14ac:dyDescent="0.25">
      <c r="A6" s="70" t="s">
        <v>10</v>
      </c>
      <c r="B6" s="70" t="s">
        <v>13</v>
      </c>
      <c r="C6" s="71">
        <v>41030</v>
      </c>
      <c r="D6" s="72">
        <v>41333</v>
      </c>
      <c r="E6" s="73">
        <v>3.1E-2</v>
      </c>
      <c r="F6" s="74">
        <v>126317</v>
      </c>
      <c r="G6" s="75"/>
      <c r="H6" s="74">
        <v>25023.37</v>
      </c>
      <c r="I6" s="73">
        <v>0.19809978071043485</v>
      </c>
    </row>
    <row r="7" spans="1:9" x14ac:dyDescent="0.25">
      <c r="A7" s="70" t="s">
        <v>10</v>
      </c>
      <c r="B7" s="70" t="s">
        <v>12</v>
      </c>
      <c r="C7" s="71">
        <v>40909</v>
      </c>
      <c r="D7" s="72">
        <v>41141</v>
      </c>
      <c r="E7" s="73">
        <v>3.1414999999999998E-2</v>
      </c>
      <c r="F7" s="74">
        <v>95310</v>
      </c>
      <c r="G7" s="75"/>
      <c r="H7" s="74">
        <v>17781.7</v>
      </c>
      <c r="I7" s="73">
        <v>0.18656699192109957</v>
      </c>
    </row>
    <row r="8" spans="1:9" x14ac:dyDescent="0.25">
      <c r="A8" s="76" t="s">
        <v>1717</v>
      </c>
      <c r="B8" s="76" t="s">
        <v>458</v>
      </c>
      <c r="C8" s="77">
        <v>41205</v>
      </c>
      <c r="D8" s="78">
        <v>41274</v>
      </c>
      <c r="E8" s="79">
        <v>8.9999999999999993E-3</v>
      </c>
      <c r="F8" s="80">
        <v>327757</v>
      </c>
      <c r="G8" s="81"/>
      <c r="H8" s="80">
        <v>169732.35</v>
      </c>
      <c r="I8" s="73">
        <f>H8/F8</f>
        <v>0.5178603355534741</v>
      </c>
    </row>
    <row r="9" spans="1:9" x14ac:dyDescent="0.25">
      <c r="A9" s="76" t="s">
        <v>1717</v>
      </c>
      <c r="B9" s="76" t="s">
        <v>458</v>
      </c>
      <c r="C9" s="77">
        <v>41205</v>
      </c>
      <c r="D9" s="78">
        <v>41274</v>
      </c>
      <c r="E9" s="79">
        <v>8.9999999999999993E-3</v>
      </c>
      <c r="F9" s="80"/>
      <c r="G9" s="81">
        <v>5723</v>
      </c>
      <c r="H9" s="80">
        <v>1841.35</v>
      </c>
      <c r="I9" s="73">
        <f>H9/G9</f>
        <v>0.32174558797833303</v>
      </c>
    </row>
    <row r="10" spans="1:9" x14ac:dyDescent="0.25">
      <c r="A10" s="70" t="s">
        <v>14</v>
      </c>
      <c r="B10" s="70" t="s">
        <v>15</v>
      </c>
      <c r="C10" s="71">
        <v>40969</v>
      </c>
      <c r="D10" s="72">
        <v>41236</v>
      </c>
      <c r="E10" s="73">
        <v>0.5</v>
      </c>
      <c r="F10" s="74">
        <v>1023042.06</v>
      </c>
      <c r="G10" s="75"/>
      <c r="H10" s="74">
        <v>605042.96</v>
      </c>
      <c r="I10" s="73">
        <v>0.59141552792071905</v>
      </c>
    </row>
    <row r="11" spans="1:9" x14ac:dyDescent="0.25">
      <c r="A11" s="70" t="s">
        <v>14</v>
      </c>
      <c r="B11" s="70" t="s">
        <v>15</v>
      </c>
      <c r="C11" s="71">
        <v>40969</v>
      </c>
      <c r="D11" s="72">
        <v>41236</v>
      </c>
      <c r="E11" s="73">
        <v>0.5</v>
      </c>
      <c r="F11" s="74"/>
      <c r="G11" s="75">
        <v>24474</v>
      </c>
      <c r="H11" s="74">
        <v>14255.58</v>
      </c>
      <c r="I11" s="73">
        <v>0.58247854866388815</v>
      </c>
    </row>
    <row r="12" spans="1:9" x14ac:dyDescent="0.25">
      <c r="A12" s="70" t="s">
        <v>14</v>
      </c>
      <c r="B12" s="70" t="s">
        <v>16</v>
      </c>
      <c r="C12" s="71">
        <v>41001</v>
      </c>
      <c r="D12" s="72">
        <v>41262</v>
      </c>
      <c r="E12" s="73">
        <v>0.45</v>
      </c>
      <c r="F12" s="74"/>
      <c r="G12" s="75">
        <v>500</v>
      </c>
      <c r="H12" s="74">
        <v>500</v>
      </c>
      <c r="I12" s="73">
        <v>1</v>
      </c>
    </row>
    <row r="13" spans="1:9" x14ac:dyDescent="0.25">
      <c r="A13" s="70" t="s">
        <v>14</v>
      </c>
      <c r="B13" s="70" t="s">
        <v>16</v>
      </c>
      <c r="C13" s="71">
        <v>41001</v>
      </c>
      <c r="D13" s="72">
        <v>41262</v>
      </c>
      <c r="E13" s="73">
        <v>0.45</v>
      </c>
      <c r="F13" s="74">
        <v>37367.5</v>
      </c>
      <c r="G13" s="75"/>
      <c r="H13" s="74">
        <v>-4032.5</v>
      </c>
      <c r="I13" s="73">
        <v>-0.10791463169866863</v>
      </c>
    </row>
    <row r="14" spans="1:9" ht="28.5" x14ac:dyDescent="0.25">
      <c r="A14" s="70" t="s">
        <v>17</v>
      </c>
      <c r="B14" s="70" t="s">
        <v>18</v>
      </c>
      <c r="C14" s="71">
        <v>40634</v>
      </c>
      <c r="D14" s="72">
        <v>40999</v>
      </c>
      <c r="E14" s="73">
        <v>0.45</v>
      </c>
      <c r="F14" s="74">
        <v>746293.85</v>
      </c>
      <c r="G14" s="75"/>
      <c r="H14" s="74">
        <v>370883.31</v>
      </c>
      <c r="I14" s="73">
        <v>0.49696685829583082</v>
      </c>
    </row>
    <row r="15" spans="1:9" ht="28.5" x14ac:dyDescent="0.25">
      <c r="A15" s="70" t="s">
        <v>17</v>
      </c>
      <c r="B15" s="70" t="s">
        <v>19</v>
      </c>
      <c r="C15" s="71">
        <v>40603</v>
      </c>
      <c r="D15" s="72">
        <v>40968</v>
      </c>
      <c r="E15" s="73">
        <v>0.18</v>
      </c>
      <c r="F15" s="74">
        <v>2167041.71</v>
      </c>
      <c r="G15" s="75"/>
      <c r="H15" s="74">
        <v>1786322.78</v>
      </c>
      <c r="I15" s="73">
        <v>0.82431398147846446</v>
      </c>
    </row>
    <row r="16" spans="1:9" x14ac:dyDescent="0.25">
      <c r="A16" s="70" t="s">
        <v>20</v>
      </c>
      <c r="B16" s="70" t="s">
        <v>30</v>
      </c>
      <c r="C16" s="71">
        <v>40770</v>
      </c>
      <c r="D16" s="72">
        <v>41060</v>
      </c>
      <c r="E16" s="73">
        <v>0</v>
      </c>
      <c r="F16" s="74"/>
      <c r="G16" s="75">
        <v>71.61</v>
      </c>
      <c r="H16" s="74">
        <v>0</v>
      </c>
      <c r="I16" s="73">
        <v>0</v>
      </c>
    </row>
    <row r="17" spans="1:9" x14ac:dyDescent="0.25">
      <c r="A17" s="70" t="s">
        <v>20</v>
      </c>
      <c r="B17" s="70" t="s">
        <v>30</v>
      </c>
      <c r="C17" s="71">
        <v>40770</v>
      </c>
      <c r="D17" s="72">
        <v>41060</v>
      </c>
      <c r="E17" s="73">
        <v>0</v>
      </c>
      <c r="F17" s="74">
        <v>3985</v>
      </c>
      <c r="G17" s="75"/>
      <c r="H17" s="74">
        <v>-121.85</v>
      </c>
      <c r="I17" s="73">
        <v>-1.7015779919005725</v>
      </c>
    </row>
    <row r="18" spans="1:9" x14ac:dyDescent="0.25">
      <c r="A18" s="70" t="s">
        <v>20</v>
      </c>
      <c r="B18" s="70" t="s">
        <v>33</v>
      </c>
      <c r="C18" s="71">
        <v>40861</v>
      </c>
      <c r="D18" s="72">
        <v>41207</v>
      </c>
      <c r="E18" s="73">
        <v>0</v>
      </c>
      <c r="F18" s="74">
        <v>171538.46</v>
      </c>
      <c r="G18" s="75"/>
      <c r="H18" s="74">
        <v>122303.03999999999</v>
      </c>
      <c r="I18" s="73">
        <v>0.71297736962311542</v>
      </c>
    </row>
    <row r="19" spans="1:9" x14ac:dyDescent="0.25">
      <c r="A19" s="70" t="s">
        <v>20</v>
      </c>
      <c r="B19" s="70" t="s">
        <v>33</v>
      </c>
      <c r="C19" s="71">
        <v>40861</v>
      </c>
      <c r="D19" s="72">
        <v>41207</v>
      </c>
      <c r="E19" s="73">
        <v>0</v>
      </c>
      <c r="F19" s="74"/>
      <c r="G19" s="75">
        <v>4331</v>
      </c>
      <c r="H19" s="74">
        <v>3152.16</v>
      </c>
      <c r="I19" s="73">
        <v>0.72781343800507958</v>
      </c>
    </row>
    <row r="20" spans="1:9" x14ac:dyDescent="0.25">
      <c r="A20" s="70" t="s">
        <v>20</v>
      </c>
      <c r="B20" s="70" t="s">
        <v>31</v>
      </c>
      <c r="C20" s="71">
        <v>40787</v>
      </c>
      <c r="D20" s="72">
        <v>41090</v>
      </c>
      <c r="E20" s="73">
        <v>0</v>
      </c>
      <c r="F20" s="74"/>
      <c r="G20" s="75">
        <v>14.5</v>
      </c>
      <c r="H20" s="74">
        <v>174228.1</v>
      </c>
      <c r="I20" s="73">
        <v>0.61982950962814953</v>
      </c>
    </row>
    <row r="21" spans="1:9" x14ac:dyDescent="0.25">
      <c r="A21" s="70" t="s">
        <v>20</v>
      </c>
      <c r="B21" s="70" t="s">
        <v>31</v>
      </c>
      <c r="C21" s="71">
        <v>40787</v>
      </c>
      <c r="D21" s="72">
        <v>41090</v>
      </c>
      <c r="E21" s="73">
        <v>0</v>
      </c>
      <c r="F21" s="74">
        <v>1412</v>
      </c>
      <c r="G21" s="75"/>
      <c r="H21" s="74">
        <v>0</v>
      </c>
      <c r="I21" s="73">
        <v>0</v>
      </c>
    </row>
    <row r="22" spans="1:9" x14ac:dyDescent="0.25">
      <c r="A22" s="70" t="s">
        <v>20</v>
      </c>
      <c r="B22" s="70" t="s">
        <v>24</v>
      </c>
      <c r="C22" s="71">
        <v>40756</v>
      </c>
      <c r="D22" s="72">
        <v>41121</v>
      </c>
      <c r="E22" s="73">
        <v>0</v>
      </c>
      <c r="F22" s="74"/>
      <c r="G22" s="75">
        <v>3370</v>
      </c>
      <c r="H22" s="74">
        <v>0</v>
      </c>
      <c r="I22" s="73">
        <v>0</v>
      </c>
    </row>
    <row r="23" spans="1:9" x14ac:dyDescent="0.25">
      <c r="A23" s="70" t="s">
        <v>20</v>
      </c>
      <c r="B23" s="70" t="s">
        <v>28</v>
      </c>
      <c r="C23" s="71">
        <v>40686</v>
      </c>
      <c r="D23" s="72">
        <v>41029</v>
      </c>
      <c r="E23" s="73">
        <v>0</v>
      </c>
      <c r="F23" s="74"/>
      <c r="G23" s="75">
        <v>976.95</v>
      </c>
      <c r="H23" s="74">
        <v>2167.34</v>
      </c>
      <c r="I23" s="73">
        <v>0.64312759643916917</v>
      </c>
    </row>
    <row r="24" spans="1:9" x14ac:dyDescent="0.25">
      <c r="A24" s="70" t="s">
        <v>20</v>
      </c>
      <c r="B24" s="70" t="s">
        <v>28</v>
      </c>
      <c r="C24" s="71">
        <v>40686</v>
      </c>
      <c r="D24" s="72">
        <v>41029</v>
      </c>
      <c r="E24" s="73">
        <v>0</v>
      </c>
      <c r="F24" s="74">
        <v>20206</v>
      </c>
      <c r="G24" s="75"/>
      <c r="H24" s="74">
        <v>238.92</v>
      </c>
      <c r="I24" s="73">
        <v>0.24455703976662058</v>
      </c>
    </row>
    <row r="25" spans="1:9" x14ac:dyDescent="0.25">
      <c r="A25" s="70" t="s">
        <v>20</v>
      </c>
      <c r="B25" s="70" t="s">
        <v>32</v>
      </c>
      <c r="C25" s="71">
        <v>40817</v>
      </c>
      <c r="D25" s="72">
        <v>41182</v>
      </c>
      <c r="E25" s="73">
        <v>0</v>
      </c>
      <c r="F25" s="74">
        <v>281090.36</v>
      </c>
      <c r="G25" s="75"/>
      <c r="H25" s="74">
        <v>6958.64</v>
      </c>
      <c r="I25" s="73">
        <v>0.61982951357032789</v>
      </c>
    </row>
    <row r="26" spans="1:9" x14ac:dyDescent="0.25">
      <c r="A26" s="70" t="s">
        <v>20</v>
      </c>
      <c r="B26" s="70" t="s">
        <v>32</v>
      </c>
      <c r="C26" s="71">
        <v>40817</v>
      </c>
      <c r="D26" s="72">
        <v>41182</v>
      </c>
      <c r="E26" s="73">
        <v>0</v>
      </c>
      <c r="F26" s="74"/>
      <c r="G26" s="75">
        <v>11226.7</v>
      </c>
      <c r="H26" s="74">
        <v>128.75</v>
      </c>
      <c r="I26" s="73">
        <v>5.3022269353128317E-3</v>
      </c>
    </row>
    <row r="27" spans="1:9" x14ac:dyDescent="0.25">
      <c r="A27" s="70" t="s">
        <v>20</v>
      </c>
      <c r="B27" s="70" t="s">
        <v>21</v>
      </c>
      <c r="C27" s="71">
        <v>40947</v>
      </c>
      <c r="D27" s="72">
        <v>41274</v>
      </c>
      <c r="E27" s="73">
        <v>0</v>
      </c>
      <c r="F27" s="74">
        <v>51390</v>
      </c>
      <c r="G27" s="75"/>
      <c r="H27" s="74">
        <v>35771.07</v>
      </c>
      <c r="I27" s="73">
        <v>0.6960706363105662</v>
      </c>
    </row>
    <row r="28" spans="1:9" x14ac:dyDescent="0.25">
      <c r="A28" s="70" t="s">
        <v>20</v>
      </c>
      <c r="B28" s="70" t="s">
        <v>21</v>
      </c>
      <c r="C28" s="71">
        <v>40947</v>
      </c>
      <c r="D28" s="72">
        <v>41274</v>
      </c>
      <c r="E28" s="73">
        <v>0</v>
      </c>
      <c r="F28" s="74"/>
      <c r="G28" s="75">
        <v>2075</v>
      </c>
      <c r="H28" s="74">
        <v>1444.35</v>
      </c>
      <c r="I28" s="73">
        <v>0.69607228915662644</v>
      </c>
    </row>
    <row r="29" spans="1:9" x14ac:dyDescent="0.25">
      <c r="A29" s="70" t="s">
        <v>20</v>
      </c>
      <c r="B29" s="70" t="s">
        <v>26</v>
      </c>
      <c r="C29" s="71">
        <v>40848</v>
      </c>
      <c r="D29" s="72">
        <v>41213</v>
      </c>
      <c r="E29" s="73">
        <v>0</v>
      </c>
      <c r="F29" s="74"/>
      <c r="G29" s="75">
        <v>892.26</v>
      </c>
      <c r="H29" s="82">
        <v>779.12</v>
      </c>
      <c r="I29" s="79">
        <f>H29/G29</f>
        <v>0.87319839508663399</v>
      </c>
    </row>
    <row r="30" spans="1:9" x14ac:dyDescent="0.25">
      <c r="A30" s="70" t="s">
        <v>20</v>
      </c>
      <c r="B30" s="70" t="s">
        <v>26</v>
      </c>
      <c r="C30" s="71">
        <v>40848</v>
      </c>
      <c r="D30" s="72">
        <v>41213</v>
      </c>
      <c r="E30" s="73">
        <v>0</v>
      </c>
      <c r="F30" s="74">
        <v>10973</v>
      </c>
      <c r="G30" s="75"/>
      <c r="H30" s="74">
        <v>113.14</v>
      </c>
      <c r="I30" s="73">
        <v>0.12680160491336606</v>
      </c>
    </row>
    <row r="31" spans="1:9" x14ac:dyDescent="0.25">
      <c r="A31" s="70" t="s">
        <v>20</v>
      </c>
      <c r="B31" s="70" t="s">
        <v>27</v>
      </c>
      <c r="C31" s="71">
        <v>40679</v>
      </c>
      <c r="D31" s="72">
        <v>41029</v>
      </c>
      <c r="E31" s="73">
        <v>0</v>
      </c>
      <c r="F31" s="74"/>
      <c r="G31" s="75">
        <v>4491</v>
      </c>
      <c r="H31" s="74">
        <v>4941.6099999999997</v>
      </c>
      <c r="I31" s="73">
        <v>0.24456151638127288</v>
      </c>
    </row>
    <row r="32" spans="1:9" x14ac:dyDescent="0.25">
      <c r="A32" s="70" t="s">
        <v>20</v>
      </c>
      <c r="B32" s="70" t="s">
        <v>27</v>
      </c>
      <c r="C32" s="71">
        <v>40679</v>
      </c>
      <c r="D32" s="72">
        <v>41029</v>
      </c>
      <c r="E32" s="73">
        <v>0</v>
      </c>
      <c r="F32" s="74">
        <v>136417.5</v>
      </c>
      <c r="G32" s="75"/>
      <c r="H32" s="74">
        <v>3440.02</v>
      </c>
      <c r="I32" s="73">
        <v>0.76598085059006904</v>
      </c>
    </row>
    <row r="33" spans="1:9" x14ac:dyDescent="0.25">
      <c r="A33" s="70" t="s">
        <v>20</v>
      </c>
      <c r="B33" s="70" t="s">
        <v>29</v>
      </c>
      <c r="C33" s="71">
        <v>40763</v>
      </c>
      <c r="D33" s="72">
        <v>41090</v>
      </c>
      <c r="E33" s="73">
        <v>0</v>
      </c>
      <c r="F33" s="74">
        <v>0</v>
      </c>
      <c r="G33" s="75"/>
      <c r="H33" s="74">
        <v>-2574.5</v>
      </c>
      <c r="I33" s="73">
        <v>-0.64604767879548308</v>
      </c>
    </row>
    <row r="34" spans="1:9" x14ac:dyDescent="0.25">
      <c r="A34" s="70" t="s">
        <v>20</v>
      </c>
      <c r="B34" s="70" t="s">
        <v>36</v>
      </c>
      <c r="C34" s="71">
        <v>41029</v>
      </c>
      <c r="D34" s="72">
        <v>41274</v>
      </c>
      <c r="E34" s="73">
        <v>0</v>
      </c>
      <c r="F34" s="74"/>
      <c r="G34" s="75">
        <v>15.11</v>
      </c>
      <c r="H34" s="74">
        <v>0</v>
      </c>
      <c r="I34" s="73">
        <v>0</v>
      </c>
    </row>
    <row r="35" spans="1:9" x14ac:dyDescent="0.25">
      <c r="A35" s="70" t="s">
        <v>20</v>
      </c>
      <c r="B35" s="70" t="s">
        <v>36</v>
      </c>
      <c r="C35" s="71">
        <v>41029</v>
      </c>
      <c r="D35" s="72">
        <v>41274</v>
      </c>
      <c r="E35" s="73">
        <v>0</v>
      </c>
      <c r="F35" s="74">
        <v>1364</v>
      </c>
      <c r="G35" s="75"/>
      <c r="H35" s="74">
        <v>-272.05</v>
      </c>
      <c r="I35" s="73">
        <v>-0.19945014662756599</v>
      </c>
    </row>
    <row r="36" spans="1:9" x14ac:dyDescent="0.25">
      <c r="A36" s="70" t="s">
        <v>20</v>
      </c>
      <c r="B36" s="70" t="s">
        <v>34</v>
      </c>
      <c r="C36" s="71">
        <v>40973</v>
      </c>
      <c r="D36" s="72">
        <v>41319</v>
      </c>
      <c r="E36" s="73">
        <v>0</v>
      </c>
      <c r="F36" s="74">
        <v>13327</v>
      </c>
      <c r="G36" s="75"/>
      <c r="H36" s="74">
        <v>1933.53</v>
      </c>
      <c r="I36" s="73">
        <v>0.14508366474075185</v>
      </c>
    </row>
    <row r="37" spans="1:9" x14ac:dyDescent="0.25">
      <c r="A37" s="70" t="s">
        <v>20</v>
      </c>
      <c r="B37" s="70" t="s">
        <v>34</v>
      </c>
      <c r="C37" s="71">
        <v>40973</v>
      </c>
      <c r="D37" s="72">
        <v>41319</v>
      </c>
      <c r="E37" s="73">
        <v>0</v>
      </c>
      <c r="F37" s="74"/>
      <c r="G37" s="75">
        <v>200.1</v>
      </c>
      <c r="H37" s="74">
        <v>3.76</v>
      </c>
      <c r="I37" s="73">
        <v>1.8790604697651175E-2</v>
      </c>
    </row>
    <row r="38" spans="1:9" x14ac:dyDescent="0.25">
      <c r="A38" s="70" t="s">
        <v>20</v>
      </c>
      <c r="B38" s="70" t="s">
        <v>23</v>
      </c>
      <c r="C38" s="71">
        <v>40634</v>
      </c>
      <c r="D38" s="72">
        <v>41090</v>
      </c>
      <c r="E38" s="73">
        <v>0</v>
      </c>
      <c r="F38" s="74"/>
      <c r="G38" s="75">
        <v>132</v>
      </c>
      <c r="H38" s="74">
        <v>10624.54</v>
      </c>
      <c r="I38" s="73">
        <v>0.20482667731875767</v>
      </c>
    </row>
    <row r="39" spans="1:9" x14ac:dyDescent="0.25">
      <c r="A39" s="70" t="s">
        <v>20</v>
      </c>
      <c r="B39" s="70" t="s">
        <v>23</v>
      </c>
      <c r="C39" s="71">
        <v>40634</v>
      </c>
      <c r="D39" s="72">
        <v>41090</v>
      </c>
      <c r="E39" s="73">
        <v>0</v>
      </c>
      <c r="F39" s="74">
        <v>16551.150000000001</v>
      </c>
      <c r="G39" s="75"/>
      <c r="H39" s="74">
        <v>0</v>
      </c>
      <c r="I39" s="73">
        <v>0</v>
      </c>
    </row>
    <row r="40" spans="1:9" x14ac:dyDescent="0.25">
      <c r="A40" s="70" t="s">
        <v>20</v>
      </c>
      <c r="B40" s="70" t="s">
        <v>22</v>
      </c>
      <c r="C40" s="71">
        <v>40634</v>
      </c>
      <c r="D40" s="72">
        <v>41090</v>
      </c>
      <c r="E40" s="73">
        <v>0</v>
      </c>
      <c r="F40" s="74"/>
      <c r="G40" s="75">
        <v>582.1</v>
      </c>
      <c r="H40" s="74">
        <v>104493.26</v>
      </c>
      <c r="I40" s="73">
        <v>0.76598134403577245</v>
      </c>
    </row>
    <row r="41" spans="1:9" x14ac:dyDescent="0.25">
      <c r="A41" s="70" t="s">
        <v>20</v>
      </c>
      <c r="B41" s="70" t="s">
        <v>22</v>
      </c>
      <c r="C41" s="71">
        <v>40634</v>
      </c>
      <c r="D41" s="72">
        <v>41090</v>
      </c>
      <c r="E41" s="73">
        <v>0</v>
      </c>
      <c r="F41" s="74">
        <v>51870.879999999997</v>
      </c>
      <c r="G41" s="75"/>
      <c r="H41" s="74">
        <v>0</v>
      </c>
      <c r="I41" s="73">
        <v>0</v>
      </c>
    </row>
    <row r="42" spans="1:9" x14ac:dyDescent="0.25">
      <c r="A42" s="70" t="s">
        <v>20</v>
      </c>
      <c r="B42" s="70" t="s">
        <v>35</v>
      </c>
      <c r="C42" s="71">
        <v>41015</v>
      </c>
      <c r="D42" s="72">
        <v>41364</v>
      </c>
      <c r="E42" s="73">
        <v>0</v>
      </c>
      <c r="F42" s="74"/>
      <c r="G42" s="75">
        <v>19.95</v>
      </c>
      <c r="H42" s="74">
        <v>-159.5</v>
      </c>
      <c r="I42" s="73">
        <f>H42/G42</f>
        <v>-7.9949874686716793</v>
      </c>
    </row>
    <row r="43" spans="1:9" x14ac:dyDescent="0.25">
      <c r="A43" s="70" t="s">
        <v>20</v>
      </c>
      <c r="B43" s="70" t="s">
        <v>35</v>
      </c>
      <c r="C43" s="71">
        <v>41015</v>
      </c>
      <c r="D43" s="72">
        <v>41364</v>
      </c>
      <c r="E43" s="73">
        <v>0</v>
      </c>
      <c r="F43" s="74">
        <v>1875</v>
      </c>
      <c r="G43" s="75"/>
      <c r="H43" s="74">
        <v>-4220.3500000000004</v>
      </c>
      <c r="I43" s="73">
        <f>H43/F43</f>
        <v>-2.2508533333333336</v>
      </c>
    </row>
    <row r="44" spans="1:9" x14ac:dyDescent="0.25">
      <c r="A44" s="70" t="s">
        <v>20</v>
      </c>
      <c r="B44" s="70" t="s">
        <v>25</v>
      </c>
      <c r="C44" s="71">
        <v>40817</v>
      </c>
      <c r="D44" s="72">
        <v>41182</v>
      </c>
      <c r="E44" s="73">
        <v>0</v>
      </c>
      <c r="F44" s="74"/>
      <c r="G44" s="75">
        <v>959.24</v>
      </c>
      <c r="H44" s="80">
        <v>5.08</v>
      </c>
      <c r="I44" s="73">
        <f>H44/G44</f>
        <v>5.2958592218839912E-3</v>
      </c>
    </row>
    <row r="45" spans="1:9" x14ac:dyDescent="0.25">
      <c r="A45" s="70" t="s">
        <v>20</v>
      </c>
      <c r="B45" s="70" t="s">
        <v>25</v>
      </c>
      <c r="C45" s="71">
        <v>40817</v>
      </c>
      <c r="D45" s="72">
        <v>41182</v>
      </c>
      <c r="E45" s="73">
        <v>0</v>
      </c>
      <c r="F45" s="74">
        <v>24282.25</v>
      </c>
      <c r="G45" s="75"/>
      <c r="H45" s="80">
        <v>128.75</v>
      </c>
      <c r="I45" s="73">
        <f>H45/F45</f>
        <v>5.3022269353128317E-3</v>
      </c>
    </row>
    <row r="46" spans="1:9" x14ac:dyDescent="0.25">
      <c r="A46" s="76" t="s">
        <v>20</v>
      </c>
      <c r="B46" s="76" t="s">
        <v>25</v>
      </c>
      <c r="C46" s="77">
        <v>41187</v>
      </c>
      <c r="D46" s="78">
        <v>41547</v>
      </c>
      <c r="E46" s="79">
        <v>0</v>
      </c>
      <c r="F46" s="80">
        <v>16398</v>
      </c>
      <c r="G46" s="81"/>
      <c r="H46" s="80">
        <v>1901.92</v>
      </c>
      <c r="I46" s="73">
        <f>H46/F46</f>
        <v>0.11598487620441518</v>
      </c>
    </row>
    <row r="47" spans="1:9" x14ac:dyDescent="0.25">
      <c r="A47" s="76" t="s">
        <v>20</v>
      </c>
      <c r="B47" s="76" t="s">
        <v>25</v>
      </c>
      <c r="C47" s="77">
        <v>41187</v>
      </c>
      <c r="D47" s="78">
        <v>41547</v>
      </c>
      <c r="E47" s="79">
        <v>0</v>
      </c>
      <c r="F47" s="80"/>
      <c r="G47" s="81">
        <v>2656.78</v>
      </c>
      <c r="H47" s="80">
        <v>308.14999999999998</v>
      </c>
      <c r="I47" s="73">
        <f>H47/G47</f>
        <v>0.11598626909266102</v>
      </c>
    </row>
    <row r="48" spans="1:9" x14ac:dyDescent="0.25">
      <c r="A48" s="70" t="s">
        <v>37</v>
      </c>
      <c r="B48" s="70" t="s">
        <v>34</v>
      </c>
      <c r="C48" s="71">
        <v>40609</v>
      </c>
      <c r="D48" s="72">
        <v>40953</v>
      </c>
      <c r="E48" s="73">
        <v>0</v>
      </c>
      <c r="F48" s="74"/>
      <c r="G48" s="75">
        <v>1151</v>
      </c>
      <c r="H48" s="74">
        <v>202.56</v>
      </c>
      <c r="I48" s="73">
        <f>H48/G48</f>
        <v>0.17598609904430929</v>
      </c>
    </row>
    <row r="49" spans="1:9" x14ac:dyDescent="0.25">
      <c r="A49" s="70" t="s">
        <v>37</v>
      </c>
      <c r="B49" s="70" t="s">
        <v>34</v>
      </c>
      <c r="C49" s="71">
        <v>40609</v>
      </c>
      <c r="D49" s="72">
        <v>40953</v>
      </c>
      <c r="E49" s="73">
        <v>0</v>
      </c>
      <c r="F49" s="74">
        <v>27661</v>
      </c>
      <c r="G49" s="75"/>
      <c r="H49" s="74">
        <v>-1896.56</v>
      </c>
      <c r="I49" s="73">
        <v>-6.856440475760095E-2</v>
      </c>
    </row>
    <row r="50" spans="1:9" x14ac:dyDescent="0.25">
      <c r="A50" s="76" t="s">
        <v>1718</v>
      </c>
      <c r="B50" s="76" t="s">
        <v>1719</v>
      </c>
      <c r="C50" s="77">
        <v>41175</v>
      </c>
      <c r="D50" s="78">
        <v>41455</v>
      </c>
      <c r="E50" s="79">
        <v>0.40500000000000003</v>
      </c>
      <c r="F50" s="80"/>
      <c r="G50" s="81">
        <v>906710.79</v>
      </c>
      <c r="H50" s="80">
        <v>618281.12</v>
      </c>
      <c r="I50" s="73">
        <f>H50/G50</f>
        <v>0.68189452118464366</v>
      </c>
    </row>
    <row r="51" spans="1:9" x14ac:dyDescent="0.25">
      <c r="A51" s="76" t="s">
        <v>1718</v>
      </c>
      <c r="B51" s="76" t="s">
        <v>1719</v>
      </c>
      <c r="C51" s="77">
        <v>41050</v>
      </c>
      <c r="D51" s="78">
        <v>41358</v>
      </c>
      <c r="E51" s="79">
        <v>0.315</v>
      </c>
      <c r="F51" s="80"/>
      <c r="G51" s="81">
        <v>186129</v>
      </c>
      <c r="H51" s="80">
        <v>93751.95</v>
      </c>
      <c r="I51" s="73">
        <f>H51/G51</f>
        <v>0.5036934061860322</v>
      </c>
    </row>
    <row r="52" spans="1:9" x14ac:dyDescent="0.25">
      <c r="A52" s="76" t="s">
        <v>1718</v>
      </c>
      <c r="B52" s="76" t="s">
        <v>1719</v>
      </c>
      <c r="C52" s="77">
        <v>41036</v>
      </c>
      <c r="D52" s="78">
        <v>41105</v>
      </c>
      <c r="E52" s="79">
        <v>0.315</v>
      </c>
      <c r="F52" s="80"/>
      <c r="G52" s="81">
        <v>59737.5</v>
      </c>
      <c r="H52" s="80">
        <v>2848.25</v>
      </c>
      <c r="I52" s="73">
        <f>H52/G52</f>
        <v>4.7679430843272648E-2</v>
      </c>
    </row>
    <row r="53" spans="1:9" x14ac:dyDescent="0.25">
      <c r="A53" s="70" t="s">
        <v>38</v>
      </c>
      <c r="B53" s="70" t="s">
        <v>55</v>
      </c>
      <c r="C53" s="71">
        <v>40959</v>
      </c>
      <c r="D53" s="72">
        <v>41316</v>
      </c>
      <c r="E53" s="73">
        <v>0.40500000000000003</v>
      </c>
      <c r="F53" s="74"/>
      <c r="G53" s="75">
        <v>10579.97</v>
      </c>
      <c r="H53" s="74">
        <v>4760.99</v>
      </c>
      <c r="I53" s="73">
        <v>0.45000033081379248</v>
      </c>
    </row>
    <row r="54" spans="1:9" x14ac:dyDescent="0.25">
      <c r="A54" s="70" t="s">
        <v>38</v>
      </c>
      <c r="B54" s="70" t="s">
        <v>53</v>
      </c>
      <c r="C54" s="71">
        <v>40861</v>
      </c>
      <c r="D54" s="72">
        <v>41186</v>
      </c>
      <c r="E54" s="73">
        <v>0.40500000000000003</v>
      </c>
      <c r="F54" s="74"/>
      <c r="G54" s="75">
        <v>6694.2</v>
      </c>
      <c r="H54" s="74">
        <v>3012.39</v>
      </c>
      <c r="I54" s="73">
        <v>0.45</v>
      </c>
    </row>
    <row r="55" spans="1:9" x14ac:dyDescent="0.25">
      <c r="A55" s="70" t="s">
        <v>38</v>
      </c>
      <c r="B55" s="70" t="s">
        <v>52</v>
      </c>
      <c r="C55" s="71">
        <v>40814</v>
      </c>
      <c r="D55" s="72">
        <v>41179</v>
      </c>
      <c r="E55" s="73">
        <v>0.432</v>
      </c>
      <c r="F55" s="74"/>
      <c r="G55" s="75">
        <v>0</v>
      </c>
      <c r="H55" s="74">
        <v>0</v>
      </c>
      <c r="I55" s="73">
        <v>0</v>
      </c>
    </row>
    <row r="56" spans="1:9" x14ac:dyDescent="0.25">
      <c r="A56" s="70" t="s">
        <v>38</v>
      </c>
      <c r="B56" s="70" t="s">
        <v>42</v>
      </c>
      <c r="C56" s="71">
        <v>40710</v>
      </c>
      <c r="D56" s="72">
        <v>41075</v>
      </c>
      <c r="E56" s="73">
        <v>0.40500000000000003</v>
      </c>
      <c r="F56" s="74"/>
      <c r="G56" s="75">
        <v>95609.42</v>
      </c>
      <c r="H56" s="74">
        <v>43024.23</v>
      </c>
      <c r="I56" s="73">
        <v>0.44999990586701605</v>
      </c>
    </row>
    <row r="57" spans="1:9" x14ac:dyDescent="0.25">
      <c r="A57" s="70" t="s">
        <v>38</v>
      </c>
      <c r="B57" s="70" t="s">
        <v>45</v>
      </c>
      <c r="C57" s="71">
        <v>40787</v>
      </c>
      <c r="D57" s="72">
        <v>41152</v>
      </c>
      <c r="E57" s="73">
        <v>0.45</v>
      </c>
      <c r="F57" s="74"/>
      <c r="G57" s="75">
        <v>812907.87</v>
      </c>
      <c r="H57" s="74">
        <v>365808.52</v>
      </c>
      <c r="I57" s="73">
        <v>0.44999997355173843</v>
      </c>
    </row>
    <row r="58" spans="1:9" x14ac:dyDescent="0.25">
      <c r="A58" s="83" t="s">
        <v>38</v>
      </c>
      <c r="B58" s="83" t="s">
        <v>43</v>
      </c>
      <c r="C58" s="84">
        <v>40725</v>
      </c>
      <c r="D58" s="85">
        <v>41091</v>
      </c>
      <c r="E58" s="86">
        <v>0.18</v>
      </c>
      <c r="F58" s="74"/>
      <c r="G58" s="75">
        <v>132743.94</v>
      </c>
      <c r="H58" s="74">
        <v>26326.54</v>
      </c>
      <c r="I58" s="73">
        <v>0.19832573901302011</v>
      </c>
    </row>
    <row r="59" spans="1:9" x14ac:dyDescent="0.25">
      <c r="A59" s="70" t="s">
        <v>38</v>
      </c>
      <c r="B59" s="70" t="s">
        <v>43</v>
      </c>
      <c r="C59" s="71">
        <v>41092</v>
      </c>
      <c r="D59" s="72">
        <v>41152</v>
      </c>
      <c r="E59" s="73">
        <v>0.18</v>
      </c>
      <c r="F59" s="74"/>
      <c r="G59" s="75">
        <v>29614</v>
      </c>
      <c r="H59" s="74">
        <v>4442.1000000000004</v>
      </c>
      <c r="I59" s="73">
        <v>0.15000000000000002</v>
      </c>
    </row>
    <row r="60" spans="1:9" x14ac:dyDescent="0.25">
      <c r="A60" s="70" t="s">
        <v>38</v>
      </c>
      <c r="B60" s="70" t="s">
        <v>49</v>
      </c>
      <c r="C60" s="71">
        <v>40878</v>
      </c>
      <c r="D60" s="72">
        <v>41243</v>
      </c>
      <c r="E60" s="73">
        <v>0.1575</v>
      </c>
      <c r="F60" s="74"/>
      <c r="G60" s="75">
        <v>43171</v>
      </c>
      <c r="H60" s="74">
        <v>7554.83</v>
      </c>
      <c r="I60" s="73">
        <v>0.174997799448704</v>
      </c>
    </row>
    <row r="61" spans="1:9" x14ac:dyDescent="0.25">
      <c r="A61" s="70" t="s">
        <v>38</v>
      </c>
      <c r="B61" s="70" t="s">
        <v>40</v>
      </c>
      <c r="C61" s="71">
        <v>40633</v>
      </c>
      <c r="D61" s="72">
        <v>40998</v>
      </c>
      <c r="E61" s="73">
        <v>0.40500000000000003</v>
      </c>
      <c r="F61" s="74"/>
      <c r="G61" s="75">
        <v>278405.68</v>
      </c>
      <c r="H61" s="74">
        <v>125282.55</v>
      </c>
      <c r="I61" s="73">
        <v>0.44999997844871559</v>
      </c>
    </row>
    <row r="62" spans="1:9" x14ac:dyDescent="0.25">
      <c r="A62" s="70" t="s">
        <v>38</v>
      </c>
      <c r="B62" s="70" t="s">
        <v>39</v>
      </c>
      <c r="C62" s="71">
        <v>40549</v>
      </c>
      <c r="D62" s="72">
        <v>40913</v>
      </c>
      <c r="E62" s="73">
        <v>0.45</v>
      </c>
      <c r="F62" s="74"/>
      <c r="G62" s="75">
        <v>94803</v>
      </c>
      <c r="H62" s="74">
        <v>42661.35</v>
      </c>
      <c r="I62" s="73">
        <v>0.45</v>
      </c>
    </row>
    <row r="63" spans="1:9" x14ac:dyDescent="0.25">
      <c r="A63" s="70" t="s">
        <v>38</v>
      </c>
      <c r="B63" s="70" t="s">
        <v>39</v>
      </c>
      <c r="C63" s="71">
        <v>40914</v>
      </c>
      <c r="D63" s="72">
        <v>41279</v>
      </c>
      <c r="E63" s="73">
        <v>0.45</v>
      </c>
      <c r="F63" s="74"/>
      <c r="G63" s="75">
        <v>56990</v>
      </c>
      <c r="H63" s="74">
        <v>25645.5</v>
      </c>
      <c r="I63" s="73">
        <v>0.45</v>
      </c>
    </row>
    <row r="64" spans="1:9" s="87" customFormat="1" x14ac:dyDescent="0.25">
      <c r="A64" s="70" t="s">
        <v>38</v>
      </c>
      <c r="B64" s="70" t="s">
        <v>51</v>
      </c>
      <c r="C64" s="71">
        <v>40909</v>
      </c>
      <c r="D64" s="72" t="s">
        <v>696</v>
      </c>
      <c r="E64" s="73">
        <v>0.15</v>
      </c>
      <c r="F64" s="74"/>
      <c r="G64" s="75">
        <v>19890</v>
      </c>
      <c r="H64" s="74">
        <v>2983.5</v>
      </c>
      <c r="I64" s="73">
        <v>0.15</v>
      </c>
    </row>
    <row r="65" spans="1:9" x14ac:dyDescent="0.25">
      <c r="A65" s="70" t="s">
        <v>38</v>
      </c>
      <c r="B65" s="70" t="s">
        <v>51</v>
      </c>
      <c r="C65" s="71">
        <v>40634</v>
      </c>
      <c r="D65" s="72">
        <v>40999</v>
      </c>
      <c r="E65" s="73">
        <v>0.18</v>
      </c>
      <c r="F65" s="74"/>
      <c r="G65" s="75">
        <v>12150.5</v>
      </c>
      <c r="H65" s="74">
        <v>2430.1</v>
      </c>
      <c r="I65" s="73">
        <v>0.19999999999999998</v>
      </c>
    </row>
    <row r="66" spans="1:9" x14ac:dyDescent="0.25">
      <c r="A66" s="70" t="s">
        <v>38</v>
      </c>
      <c r="B66" s="70" t="s">
        <v>47</v>
      </c>
      <c r="C66" s="71">
        <v>40848</v>
      </c>
      <c r="D66" s="72">
        <v>41213</v>
      </c>
      <c r="E66" s="73">
        <v>0.40500000000000003</v>
      </c>
      <c r="F66" s="74"/>
      <c r="G66" s="75">
        <v>455843.72</v>
      </c>
      <c r="H66" s="74">
        <v>205129.66</v>
      </c>
      <c r="I66" s="73">
        <v>0.44999996928771996</v>
      </c>
    </row>
    <row r="67" spans="1:9" x14ac:dyDescent="0.25">
      <c r="A67" s="70" t="s">
        <v>38</v>
      </c>
      <c r="B67" s="70" t="s">
        <v>41</v>
      </c>
      <c r="C67" s="71">
        <v>40634</v>
      </c>
      <c r="D67" s="72">
        <v>40999</v>
      </c>
      <c r="E67" s="73">
        <v>0.40500000000000003</v>
      </c>
      <c r="F67" s="74"/>
      <c r="G67" s="75">
        <v>78101</v>
      </c>
      <c r="H67" s="74">
        <v>35145.449999999997</v>
      </c>
      <c r="I67" s="73">
        <v>0.44999999999999996</v>
      </c>
    </row>
    <row r="68" spans="1:9" x14ac:dyDescent="0.25">
      <c r="A68" s="70" t="s">
        <v>38</v>
      </c>
      <c r="B68" s="70" t="s">
        <v>54</v>
      </c>
      <c r="C68" s="71">
        <v>40909</v>
      </c>
      <c r="D68" s="72">
        <v>41274</v>
      </c>
      <c r="E68" s="73">
        <v>0.45</v>
      </c>
      <c r="F68" s="74"/>
      <c r="G68" s="75">
        <v>30839.98</v>
      </c>
      <c r="H68" s="74">
        <v>15419.99</v>
      </c>
      <c r="I68" s="73">
        <v>0.5</v>
      </c>
    </row>
    <row r="69" spans="1:9" x14ac:dyDescent="0.25">
      <c r="A69" s="70" t="s">
        <v>38</v>
      </c>
      <c r="B69" s="70" t="s">
        <v>46</v>
      </c>
      <c r="C69" s="71">
        <v>40787</v>
      </c>
      <c r="D69" s="72">
        <v>41152</v>
      </c>
      <c r="E69" s="73">
        <v>0.40500000000000003</v>
      </c>
      <c r="F69" s="74"/>
      <c r="G69" s="75">
        <v>2360</v>
      </c>
      <c r="H69" s="74">
        <v>1062</v>
      </c>
      <c r="I69" s="73">
        <v>0.45</v>
      </c>
    </row>
    <row r="70" spans="1:9" x14ac:dyDescent="0.25">
      <c r="A70" s="70" t="s">
        <v>38</v>
      </c>
      <c r="B70" s="70" t="s">
        <v>50</v>
      </c>
      <c r="C70" s="71">
        <v>40878</v>
      </c>
      <c r="D70" s="72">
        <v>41243</v>
      </c>
      <c r="E70" s="73">
        <v>0.45</v>
      </c>
      <c r="F70" s="74"/>
      <c r="G70" s="75">
        <v>266503.34999999998</v>
      </c>
      <c r="H70" s="74">
        <v>119926.5</v>
      </c>
      <c r="I70" s="73">
        <v>0.44999997185776469</v>
      </c>
    </row>
    <row r="71" spans="1:9" x14ac:dyDescent="0.25">
      <c r="A71" s="70" t="s">
        <v>38</v>
      </c>
      <c r="B71" s="70" t="s">
        <v>48</v>
      </c>
      <c r="C71" s="71">
        <v>40863</v>
      </c>
      <c r="D71" s="72">
        <v>41228</v>
      </c>
      <c r="E71" s="73">
        <v>0.40500000000000003</v>
      </c>
      <c r="F71" s="74"/>
      <c r="G71" s="75">
        <v>203365.8</v>
      </c>
      <c r="H71" s="74">
        <v>91514.59</v>
      </c>
      <c r="I71" s="73">
        <v>0.44999990165504722</v>
      </c>
    </row>
    <row r="72" spans="1:9" x14ac:dyDescent="0.25">
      <c r="A72" s="70" t="s">
        <v>56</v>
      </c>
      <c r="B72" s="70" t="s">
        <v>59</v>
      </c>
      <c r="C72" s="71">
        <v>40603</v>
      </c>
      <c r="D72" s="72">
        <v>40968</v>
      </c>
      <c r="E72" s="73">
        <v>8.9999999999999993E-3</v>
      </c>
      <c r="F72" s="74">
        <v>5925</v>
      </c>
      <c r="G72" s="75"/>
      <c r="H72" s="74">
        <v>4613.1099999999997</v>
      </c>
      <c r="I72" s="73">
        <v>0.7785839662447257</v>
      </c>
    </row>
    <row r="73" spans="1:9" x14ac:dyDescent="0.25">
      <c r="A73" s="70" t="s">
        <v>56</v>
      </c>
      <c r="B73" s="70" t="s">
        <v>57</v>
      </c>
      <c r="C73" s="71">
        <v>40756</v>
      </c>
      <c r="D73" s="72">
        <v>41121</v>
      </c>
      <c r="E73" s="73">
        <v>8.9999999999999993E-3</v>
      </c>
      <c r="F73" s="74">
        <v>66550</v>
      </c>
      <c r="G73" s="75"/>
      <c r="H73" s="74">
        <v>49681.4</v>
      </c>
      <c r="I73" s="73">
        <f>H73/F73</f>
        <v>0.74652742299023289</v>
      </c>
    </row>
    <row r="74" spans="1:9" x14ac:dyDescent="0.25">
      <c r="A74" s="76" t="s">
        <v>744</v>
      </c>
      <c r="B74" s="76" t="s">
        <v>1049</v>
      </c>
      <c r="C74" s="77">
        <v>40909</v>
      </c>
      <c r="D74" s="78">
        <v>41274</v>
      </c>
      <c r="E74" s="79">
        <v>0.3</v>
      </c>
      <c r="F74" s="80">
        <v>71413</v>
      </c>
      <c r="G74" s="88"/>
      <c r="H74" s="80">
        <v>21423.9</v>
      </c>
      <c r="I74" s="73">
        <f>H74/F74</f>
        <v>0.30000000000000004</v>
      </c>
    </row>
    <row r="75" spans="1:9" x14ac:dyDescent="0.25">
      <c r="A75" s="76" t="s">
        <v>744</v>
      </c>
      <c r="B75" s="76" t="s">
        <v>1720</v>
      </c>
      <c r="C75" s="77">
        <v>40909</v>
      </c>
      <c r="D75" s="78">
        <v>41274</v>
      </c>
      <c r="E75" s="79">
        <v>0.3</v>
      </c>
      <c r="F75" s="80">
        <v>99689</v>
      </c>
      <c r="G75" s="88"/>
      <c r="H75" s="80">
        <v>29906.7</v>
      </c>
      <c r="I75" s="73">
        <f>H75/F75</f>
        <v>0.3</v>
      </c>
    </row>
    <row r="76" spans="1:9" x14ac:dyDescent="0.25">
      <c r="A76" s="70" t="s">
        <v>60</v>
      </c>
      <c r="B76" s="70" t="s">
        <v>43</v>
      </c>
      <c r="C76" s="71">
        <v>40732</v>
      </c>
      <c r="D76" s="72">
        <v>41097</v>
      </c>
      <c r="E76" s="73">
        <v>0.09</v>
      </c>
      <c r="F76" s="74">
        <v>185777.2</v>
      </c>
      <c r="G76" s="75"/>
      <c r="H76" s="74">
        <v>27115.279999999999</v>
      </c>
      <c r="I76" s="73">
        <v>0.14595590847531342</v>
      </c>
    </row>
    <row r="77" spans="1:9" x14ac:dyDescent="0.25">
      <c r="A77" s="70" t="s">
        <v>60</v>
      </c>
      <c r="B77" s="70" t="s">
        <v>43</v>
      </c>
      <c r="C77" s="71">
        <v>40732</v>
      </c>
      <c r="D77" s="72">
        <v>41097</v>
      </c>
      <c r="E77" s="73">
        <v>0.09</v>
      </c>
      <c r="F77" s="74"/>
      <c r="G77" s="75">
        <v>10736</v>
      </c>
      <c r="H77" s="74">
        <v>1566.93</v>
      </c>
      <c r="I77" s="73">
        <v>0.14595100596125188</v>
      </c>
    </row>
    <row r="78" spans="1:9" x14ac:dyDescent="0.25">
      <c r="A78" s="70" t="s">
        <v>60</v>
      </c>
      <c r="B78" s="70" t="s">
        <v>63</v>
      </c>
      <c r="C78" s="71">
        <v>40787</v>
      </c>
      <c r="D78" s="72">
        <v>41152</v>
      </c>
      <c r="E78" s="73">
        <v>0.09</v>
      </c>
      <c r="F78" s="74">
        <v>310738.3</v>
      </c>
      <c r="G78" s="75"/>
      <c r="H78" s="74">
        <v>35998.589999999997</v>
      </c>
      <c r="I78" s="73">
        <f>H78/F78</f>
        <v>0.11584857740420154</v>
      </c>
    </row>
    <row r="79" spans="1:9" x14ac:dyDescent="0.25">
      <c r="A79" s="70" t="s">
        <v>60</v>
      </c>
      <c r="B79" s="70" t="s">
        <v>64</v>
      </c>
      <c r="C79" s="71">
        <v>40817</v>
      </c>
      <c r="D79" s="72">
        <v>41182</v>
      </c>
      <c r="E79" s="73">
        <v>0.09</v>
      </c>
      <c r="F79" s="74">
        <v>232077.03</v>
      </c>
      <c r="G79" s="75"/>
      <c r="H79" s="74">
        <v>25359.06</v>
      </c>
      <c r="I79" s="73">
        <v>0.10927001263330542</v>
      </c>
    </row>
    <row r="80" spans="1:9" x14ac:dyDescent="0.25">
      <c r="A80" s="70" t="s">
        <v>60</v>
      </c>
      <c r="B80" s="70" t="s">
        <v>64</v>
      </c>
      <c r="C80" s="71">
        <v>40817</v>
      </c>
      <c r="D80" s="72">
        <v>41182</v>
      </c>
      <c r="E80" s="73">
        <v>0.09</v>
      </c>
      <c r="F80" s="74"/>
      <c r="G80" s="75">
        <v>9604.15</v>
      </c>
      <c r="H80" s="74">
        <v>1049.45</v>
      </c>
      <c r="I80" s="73">
        <v>0.10927047161903969</v>
      </c>
    </row>
    <row r="81" spans="1:9" x14ac:dyDescent="0.25">
      <c r="A81" s="70" t="s">
        <v>60</v>
      </c>
      <c r="B81" s="70" t="s">
        <v>58</v>
      </c>
      <c r="C81" s="71">
        <v>40725</v>
      </c>
      <c r="D81" s="72">
        <v>41090</v>
      </c>
      <c r="E81" s="73">
        <v>0.11700000000000001</v>
      </c>
      <c r="F81" s="74">
        <v>295229.78999999998</v>
      </c>
      <c r="G81" s="75"/>
      <c r="H81" s="74">
        <v>58459.38</v>
      </c>
      <c r="I81" s="73">
        <v>0.19801314765694886</v>
      </c>
    </row>
    <row r="82" spans="1:9" x14ac:dyDescent="0.25">
      <c r="A82" s="70" t="s">
        <v>60</v>
      </c>
      <c r="B82" s="70" t="s">
        <v>58</v>
      </c>
      <c r="C82" s="71">
        <v>40725</v>
      </c>
      <c r="D82" s="72">
        <v>41090</v>
      </c>
      <c r="E82" s="73">
        <v>0.11700000000000001</v>
      </c>
      <c r="F82" s="74"/>
      <c r="G82" s="75">
        <v>14913.28</v>
      </c>
      <c r="H82" s="74">
        <v>2953.02</v>
      </c>
      <c r="I82" s="73">
        <v>0.19801277787314392</v>
      </c>
    </row>
    <row r="83" spans="1:9" x14ac:dyDescent="0.25">
      <c r="A83" s="70" t="s">
        <v>60</v>
      </c>
      <c r="B83" s="70" t="s">
        <v>61</v>
      </c>
      <c r="C83" s="71">
        <v>40725</v>
      </c>
      <c r="D83" s="72">
        <v>41090</v>
      </c>
      <c r="E83" s="73">
        <v>0.09</v>
      </c>
      <c r="F83" s="74">
        <v>1482958.17</v>
      </c>
      <c r="G83" s="75"/>
      <c r="H83" s="74">
        <v>199227.36</v>
      </c>
      <c r="I83" s="73">
        <v>0.13434455808015139</v>
      </c>
    </row>
    <row r="84" spans="1:9" x14ac:dyDescent="0.25">
      <c r="A84" s="70" t="s">
        <v>60</v>
      </c>
      <c r="B84" s="70" t="s">
        <v>61</v>
      </c>
      <c r="C84" s="71">
        <v>40725</v>
      </c>
      <c r="D84" s="72">
        <v>41090</v>
      </c>
      <c r="E84" s="73">
        <v>0.09</v>
      </c>
      <c r="F84" s="74"/>
      <c r="G84" s="75">
        <v>68728.34</v>
      </c>
      <c r="H84" s="74">
        <v>9233.2800000000007</v>
      </c>
      <c r="I84" s="73">
        <v>0.13434458041617187</v>
      </c>
    </row>
    <row r="85" spans="1:9" ht="28.5" x14ac:dyDescent="0.25">
      <c r="A85" s="70" t="s">
        <v>60</v>
      </c>
      <c r="B85" s="70" t="s">
        <v>62</v>
      </c>
      <c r="C85" s="71">
        <v>40690</v>
      </c>
      <c r="D85" s="72">
        <v>41055</v>
      </c>
      <c r="E85" s="73">
        <v>0.09</v>
      </c>
      <c r="F85" s="74">
        <v>94271.14</v>
      </c>
      <c r="G85" s="75"/>
      <c r="H85" s="74">
        <v>13904.01</v>
      </c>
      <c r="I85" s="73">
        <v>0.14748957103945068</v>
      </c>
    </row>
    <row r="86" spans="1:9" ht="28.5" x14ac:dyDescent="0.25">
      <c r="A86" s="70" t="s">
        <v>60</v>
      </c>
      <c r="B86" s="70" t="s">
        <v>62</v>
      </c>
      <c r="C86" s="71">
        <v>40690</v>
      </c>
      <c r="D86" s="72">
        <v>41055</v>
      </c>
      <c r="E86" s="73">
        <v>0.09</v>
      </c>
      <c r="F86" s="74"/>
      <c r="G86" s="75">
        <v>4198</v>
      </c>
      <c r="H86" s="74">
        <v>619.15</v>
      </c>
      <c r="I86" s="73">
        <v>0.14748689852310623</v>
      </c>
    </row>
    <row r="87" spans="1:9" x14ac:dyDescent="0.25">
      <c r="A87" s="70" t="s">
        <v>66</v>
      </c>
      <c r="B87" s="70" t="s">
        <v>69</v>
      </c>
      <c r="C87" s="71">
        <v>40804</v>
      </c>
      <c r="D87" s="72">
        <v>41169</v>
      </c>
      <c r="E87" s="73">
        <v>0.09</v>
      </c>
      <c r="F87" s="74">
        <v>42324.33</v>
      </c>
      <c r="G87" s="75"/>
      <c r="H87" s="74">
        <v>4232.43</v>
      </c>
      <c r="I87" s="73">
        <v>9.9999929118783457E-2</v>
      </c>
    </row>
    <row r="88" spans="1:9" x14ac:dyDescent="0.25">
      <c r="A88" s="70" t="s">
        <v>66</v>
      </c>
      <c r="B88" s="70" t="s">
        <v>67</v>
      </c>
      <c r="C88" s="71">
        <v>40780</v>
      </c>
      <c r="D88" s="72">
        <v>41145</v>
      </c>
      <c r="E88" s="73">
        <v>0.1</v>
      </c>
      <c r="F88" s="74">
        <v>26278.18</v>
      </c>
      <c r="G88" s="75"/>
      <c r="H88" s="74">
        <v>2627.82</v>
      </c>
      <c r="I88" s="73">
        <v>0.10000007610877162</v>
      </c>
    </row>
    <row r="89" spans="1:9" x14ac:dyDescent="0.25">
      <c r="A89" s="70" t="s">
        <v>66</v>
      </c>
      <c r="B89" s="70" t="s">
        <v>70</v>
      </c>
      <c r="C89" s="71">
        <v>40820</v>
      </c>
      <c r="D89" s="72">
        <v>41185</v>
      </c>
      <c r="E89" s="73">
        <v>0.09</v>
      </c>
      <c r="F89" s="74">
        <v>30623</v>
      </c>
      <c r="G89" s="75"/>
      <c r="H89" s="74">
        <v>4593.45</v>
      </c>
      <c r="I89" s="73">
        <v>0.15</v>
      </c>
    </row>
    <row r="90" spans="1:9" x14ac:dyDescent="0.25">
      <c r="A90" s="70" t="s">
        <v>66</v>
      </c>
      <c r="B90" s="70" t="s">
        <v>68</v>
      </c>
      <c r="C90" s="71">
        <v>40789</v>
      </c>
      <c r="D90" s="72">
        <v>41154</v>
      </c>
      <c r="E90" s="73">
        <v>0.09</v>
      </c>
      <c r="F90" s="74">
        <v>56556.49</v>
      </c>
      <c r="G90" s="75"/>
      <c r="H90" s="74">
        <v>5655.65</v>
      </c>
      <c r="I90" s="73">
        <v>0.10000001768143674</v>
      </c>
    </row>
    <row r="91" spans="1:9" x14ac:dyDescent="0.25">
      <c r="A91" s="70" t="s">
        <v>71</v>
      </c>
      <c r="B91" s="70" t="s">
        <v>73</v>
      </c>
      <c r="C91" s="71">
        <v>41200</v>
      </c>
      <c r="D91" s="72">
        <v>41274</v>
      </c>
      <c r="E91" s="73">
        <v>8.9999999999999993E-3</v>
      </c>
      <c r="F91" s="74">
        <v>4478.5</v>
      </c>
      <c r="G91" s="75"/>
      <c r="H91" s="74">
        <v>1956.24</v>
      </c>
      <c r="I91" s="73">
        <v>0.43680696661828738</v>
      </c>
    </row>
    <row r="92" spans="1:9" x14ac:dyDescent="0.25">
      <c r="A92" s="70" t="s">
        <v>71</v>
      </c>
      <c r="B92" s="70" t="s">
        <v>73</v>
      </c>
      <c r="C92" s="71">
        <v>41200</v>
      </c>
      <c r="D92" s="72">
        <v>41274</v>
      </c>
      <c r="E92" s="73">
        <v>8.9999999999999993E-3</v>
      </c>
      <c r="F92" s="74"/>
      <c r="G92" s="75">
        <v>235</v>
      </c>
      <c r="H92" s="74">
        <v>184.43</v>
      </c>
      <c r="I92" s="73">
        <v>0.78480851063829793</v>
      </c>
    </row>
    <row r="93" spans="1:9" x14ac:dyDescent="0.25">
      <c r="A93" s="70" t="s">
        <v>71</v>
      </c>
      <c r="B93" s="70" t="s">
        <v>72</v>
      </c>
      <c r="C93" s="71">
        <v>41177</v>
      </c>
      <c r="D93" s="72">
        <v>41274</v>
      </c>
      <c r="E93" s="73">
        <v>0.54</v>
      </c>
      <c r="F93" s="74">
        <v>47249</v>
      </c>
      <c r="G93" s="75"/>
      <c r="H93" s="74">
        <v>28390.05</v>
      </c>
      <c r="I93" s="73">
        <v>0.60086033566847974</v>
      </c>
    </row>
    <row r="94" spans="1:9" x14ac:dyDescent="0.25">
      <c r="A94" s="70" t="s">
        <v>71</v>
      </c>
      <c r="B94" s="70" t="s">
        <v>72</v>
      </c>
      <c r="C94" s="71">
        <v>41177</v>
      </c>
      <c r="D94" s="72">
        <v>41274</v>
      </c>
      <c r="E94" s="73">
        <v>0.54</v>
      </c>
      <c r="F94" s="74"/>
      <c r="G94" s="75">
        <v>47249</v>
      </c>
      <c r="H94" s="74">
        <v>28390.05</v>
      </c>
      <c r="I94" s="73">
        <v>0.60086033566847974</v>
      </c>
    </row>
    <row r="95" spans="1:9" x14ac:dyDescent="0.25">
      <c r="A95" s="70" t="s">
        <v>74</v>
      </c>
      <c r="B95" s="70" t="s">
        <v>77</v>
      </c>
      <c r="C95" s="71">
        <v>40716</v>
      </c>
      <c r="D95" s="72">
        <v>41063</v>
      </c>
      <c r="E95" s="73">
        <v>0.24</v>
      </c>
      <c r="F95" s="74">
        <v>69262</v>
      </c>
      <c r="G95" s="75"/>
      <c r="H95" s="74">
        <v>16625.88</v>
      </c>
      <c r="I95" s="73">
        <v>0.24004331379399962</v>
      </c>
    </row>
    <row r="96" spans="1:9" x14ac:dyDescent="0.25">
      <c r="A96" s="70" t="s">
        <v>74</v>
      </c>
      <c r="B96" s="70" t="s">
        <v>76</v>
      </c>
      <c r="C96" s="71">
        <v>40690</v>
      </c>
      <c r="D96" s="72">
        <v>41051</v>
      </c>
      <c r="E96" s="73">
        <v>0.3</v>
      </c>
      <c r="F96" s="74">
        <v>49838</v>
      </c>
      <c r="G96" s="75"/>
      <c r="H96" s="74">
        <v>15348.16</v>
      </c>
      <c r="I96" s="73">
        <v>0.30796099361932661</v>
      </c>
    </row>
    <row r="97" spans="1:9" x14ac:dyDescent="0.25">
      <c r="A97" s="70" t="s">
        <v>74</v>
      </c>
      <c r="B97" s="70" t="s">
        <v>75</v>
      </c>
      <c r="C97" s="71">
        <v>40924</v>
      </c>
      <c r="D97" s="72">
        <v>41289</v>
      </c>
      <c r="E97" s="73">
        <v>0.2</v>
      </c>
      <c r="F97" s="74">
        <v>54969</v>
      </c>
      <c r="G97" s="75"/>
      <c r="H97" s="74">
        <v>10993.8</v>
      </c>
      <c r="I97" s="73">
        <v>0.19999999999999998</v>
      </c>
    </row>
    <row r="98" spans="1:9" x14ac:dyDescent="0.25">
      <c r="A98" s="70" t="s">
        <v>78</v>
      </c>
      <c r="B98" s="70" t="s">
        <v>79</v>
      </c>
      <c r="C98" s="71">
        <v>40878</v>
      </c>
      <c r="D98" s="72">
        <v>41243</v>
      </c>
      <c r="E98" s="73">
        <v>0.54</v>
      </c>
      <c r="F98" s="74">
        <v>1196386.3999999999</v>
      </c>
      <c r="G98" s="75"/>
      <c r="H98" s="74">
        <v>719846.72</v>
      </c>
      <c r="I98" s="73">
        <v>0.60168413816807009</v>
      </c>
    </row>
    <row r="99" spans="1:9" x14ac:dyDescent="0.25">
      <c r="A99" s="70" t="s">
        <v>80</v>
      </c>
      <c r="B99" s="70" t="s">
        <v>55</v>
      </c>
      <c r="C99" s="71">
        <v>40912</v>
      </c>
      <c r="D99" s="72">
        <v>41277</v>
      </c>
      <c r="E99" s="73">
        <v>8.9999999999999993E-3</v>
      </c>
      <c r="F99" s="74">
        <v>1630</v>
      </c>
      <c r="G99" s="75"/>
      <c r="H99" s="74">
        <v>1042</v>
      </c>
      <c r="I99" s="73">
        <v>0.63926380368098157</v>
      </c>
    </row>
    <row r="100" spans="1:9" x14ac:dyDescent="0.25">
      <c r="A100" s="70" t="s">
        <v>80</v>
      </c>
      <c r="B100" s="70" t="s">
        <v>55</v>
      </c>
      <c r="C100" s="71">
        <v>40912</v>
      </c>
      <c r="D100" s="72">
        <v>41277</v>
      </c>
      <c r="E100" s="73">
        <v>8.9999999999999993E-3</v>
      </c>
      <c r="F100" s="74"/>
      <c r="G100" s="75">
        <v>0</v>
      </c>
      <c r="H100" s="74">
        <v>0</v>
      </c>
      <c r="I100" s="73">
        <v>0</v>
      </c>
    </row>
    <row r="101" spans="1:9" x14ac:dyDescent="0.25">
      <c r="A101" s="70" t="s">
        <v>80</v>
      </c>
      <c r="B101" s="70" t="s">
        <v>81</v>
      </c>
      <c r="C101" s="71">
        <v>40857</v>
      </c>
      <c r="D101" s="72">
        <v>41222</v>
      </c>
      <c r="E101" s="73">
        <v>8.9999999999999993E-3</v>
      </c>
      <c r="F101" s="74">
        <v>150681</v>
      </c>
      <c r="G101" s="75"/>
      <c r="H101" s="74">
        <v>90559</v>
      </c>
      <c r="I101" s="73">
        <v>0.60099813513316214</v>
      </c>
    </row>
    <row r="102" spans="1:9" x14ac:dyDescent="0.25">
      <c r="A102" s="70" t="s">
        <v>80</v>
      </c>
      <c r="B102" s="70" t="s">
        <v>81</v>
      </c>
      <c r="C102" s="71">
        <v>40857</v>
      </c>
      <c r="D102" s="72">
        <v>41222</v>
      </c>
      <c r="E102" s="73">
        <v>8.9999999999999993E-3</v>
      </c>
      <c r="F102" s="74"/>
      <c r="G102" s="75">
        <v>2750</v>
      </c>
      <c r="H102" s="74">
        <v>1477</v>
      </c>
      <c r="I102" s="73">
        <v>0.53709090909090906</v>
      </c>
    </row>
    <row r="103" spans="1:9" x14ac:dyDescent="0.25">
      <c r="A103" s="70" t="s">
        <v>82</v>
      </c>
      <c r="B103" s="70" t="s">
        <v>83</v>
      </c>
      <c r="C103" s="71">
        <v>40911</v>
      </c>
      <c r="D103" s="72">
        <v>41274</v>
      </c>
      <c r="E103" s="73">
        <v>8.9999999999999993E-3</v>
      </c>
      <c r="F103" s="74">
        <v>98445</v>
      </c>
      <c r="G103" s="75"/>
      <c r="H103" s="74">
        <v>26786.74</v>
      </c>
      <c r="I103" s="73">
        <v>0.27209853217532631</v>
      </c>
    </row>
    <row r="104" spans="1:9" x14ac:dyDescent="0.25">
      <c r="A104" s="70" t="s">
        <v>82</v>
      </c>
      <c r="B104" s="70" t="s">
        <v>86</v>
      </c>
      <c r="C104" s="71">
        <v>41197</v>
      </c>
      <c r="D104" s="72">
        <v>41274</v>
      </c>
      <c r="E104" s="73">
        <v>8.9999999999999993E-3</v>
      </c>
      <c r="F104" s="74">
        <v>101805</v>
      </c>
      <c r="G104" s="75"/>
      <c r="H104" s="74">
        <v>29964.32</v>
      </c>
      <c r="I104" s="73">
        <v>0.29433053386375913</v>
      </c>
    </row>
    <row r="105" spans="1:9" x14ac:dyDescent="0.25">
      <c r="A105" s="70" t="s">
        <v>82</v>
      </c>
      <c r="B105" s="70" t="s">
        <v>84</v>
      </c>
      <c r="C105" s="71">
        <v>41015</v>
      </c>
      <c r="D105" s="72">
        <v>41274</v>
      </c>
      <c r="E105" s="73">
        <v>8.9999999999999993E-3</v>
      </c>
      <c r="F105" s="74">
        <v>122941</v>
      </c>
      <c r="G105" s="75"/>
      <c r="H105" s="74">
        <v>33434.15</v>
      </c>
      <c r="I105" s="73">
        <v>0.27195280663082294</v>
      </c>
    </row>
    <row r="106" spans="1:9" x14ac:dyDescent="0.25">
      <c r="A106" s="70" t="s">
        <v>82</v>
      </c>
      <c r="B106" s="70" t="s">
        <v>85</v>
      </c>
      <c r="C106" s="71">
        <v>41050</v>
      </c>
      <c r="D106" s="72">
        <v>41274</v>
      </c>
      <c r="E106" s="73">
        <v>8.9999999999999993E-3</v>
      </c>
      <c r="F106" s="74">
        <v>108615</v>
      </c>
      <c r="G106" s="75"/>
      <c r="H106" s="89">
        <v>32557.84</v>
      </c>
      <c r="I106" s="73">
        <v>0.29975454587303779</v>
      </c>
    </row>
    <row r="107" spans="1:9" x14ac:dyDescent="0.25">
      <c r="A107" s="70" t="s">
        <v>87</v>
      </c>
      <c r="B107" s="70" t="s">
        <v>91</v>
      </c>
      <c r="C107" s="71">
        <v>40899</v>
      </c>
      <c r="D107" s="72" t="s">
        <v>97</v>
      </c>
      <c r="E107" s="73">
        <v>0.92500000000000004</v>
      </c>
      <c r="F107" s="74">
        <v>171707.01</v>
      </c>
      <c r="G107" s="75"/>
      <c r="H107" s="74">
        <v>158828.98000000001</v>
      </c>
      <c r="I107" s="73">
        <v>0.92499997524853528</v>
      </c>
    </row>
    <row r="108" spans="1:9" x14ac:dyDescent="0.25">
      <c r="A108" s="70" t="s">
        <v>87</v>
      </c>
      <c r="B108" s="70" t="s">
        <v>91</v>
      </c>
      <c r="C108" s="71">
        <v>40899</v>
      </c>
      <c r="D108" s="72" t="s">
        <v>97</v>
      </c>
      <c r="E108" s="73">
        <v>0.92500000000000004</v>
      </c>
      <c r="F108" s="74"/>
      <c r="G108" s="75">
        <v>8034.39</v>
      </c>
      <c r="H108" s="74">
        <v>7431.81</v>
      </c>
      <c r="I108" s="73">
        <v>0.92499990665128284</v>
      </c>
    </row>
    <row r="109" spans="1:9" x14ac:dyDescent="0.25">
      <c r="A109" s="70" t="s">
        <v>87</v>
      </c>
      <c r="B109" s="70" t="s">
        <v>92</v>
      </c>
      <c r="C109" s="71">
        <v>40785</v>
      </c>
      <c r="D109" s="72">
        <v>41150</v>
      </c>
      <c r="E109" s="73">
        <v>0.92500000000000004</v>
      </c>
      <c r="F109" s="74">
        <v>23297.95</v>
      </c>
      <c r="G109" s="75"/>
      <c r="H109" s="74">
        <v>21550.6</v>
      </c>
      <c r="I109" s="73">
        <v>0.9249998390416323</v>
      </c>
    </row>
    <row r="110" spans="1:9" x14ac:dyDescent="0.25">
      <c r="A110" s="70" t="s">
        <v>87</v>
      </c>
      <c r="B110" s="70" t="s">
        <v>92</v>
      </c>
      <c r="C110" s="71">
        <v>40785</v>
      </c>
      <c r="D110" s="72">
        <v>41150</v>
      </c>
      <c r="E110" s="73">
        <v>0.92500000000000004</v>
      </c>
      <c r="F110" s="74"/>
      <c r="G110" s="75">
        <v>214.56</v>
      </c>
      <c r="H110" s="74">
        <v>198.47</v>
      </c>
      <c r="I110" s="73">
        <v>0.92500932140193881</v>
      </c>
    </row>
    <row r="111" spans="1:9" x14ac:dyDescent="0.25">
      <c r="A111" s="70" t="s">
        <v>87</v>
      </c>
      <c r="B111" s="70" t="s">
        <v>93</v>
      </c>
      <c r="C111" s="71">
        <v>40849</v>
      </c>
      <c r="D111" s="72">
        <v>41214</v>
      </c>
      <c r="E111" s="73">
        <v>0.92500000000000004</v>
      </c>
      <c r="F111" s="74">
        <v>115302.1</v>
      </c>
      <c r="G111" s="75"/>
      <c r="H111" s="74">
        <v>106654.44</v>
      </c>
      <c r="I111" s="73">
        <v>0.92499997831782765</v>
      </c>
    </row>
    <row r="112" spans="1:9" x14ac:dyDescent="0.25">
      <c r="A112" s="70" t="s">
        <v>87</v>
      </c>
      <c r="B112" s="70" t="s">
        <v>93</v>
      </c>
      <c r="C112" s="71">
        <v>40849</v>
      </c>
      <c r="D112" s="72">
        <v>41214</v>
      </c>
      <c r="E112" s="73">
        <v>0.92500000000000004</v>
      </c>
      <c r="F112" s="74"/>
      <c r="G112" s="75">
        <v>3786.8</v>
      </c>
      <c r="H112" s="74">
        <v>3502.79</v>
      </c>
      <c r="I112" s="73">
        <v>0.92499999999999993</v>
      </c>
    </row>
    <row r="113" spans="1:9" x14ac:dyDescent="0.25">
      <c r="A113" s="70" t="s">
        <v>87</v>
      </c>
      <c r="B113" s="70" t="s">
        <v>94</v>
      </c>
      <c r="C113" s="71">
        <v>41000</v>
      </c>
      <c r="D113" s="72">
        <v>41333</v>
      </c>
      <c r="E113" s="73">
        <v>0.92500000000000004</v>
      </c>
      <c r="F113" s="74">
        <v>39770.1</v>
      </c>
      <c r="G113" s="75"/>
      <c r="H113" s="74">
        <v>36787.339999999997</v>
      </c>
      <c r="I113" s="73">
        <v>0.92499993713870465</v>
      </c>
    </row>
    <row r="114" spans="1:9" x14ac:dyDescent="0.25">
      <c r="A114" s="70" t="s">
        <v>87</v>
      </c>
      <c r="B114" s="70" t="s">
        <v>94</v>
      </c>
      <c r="C114" s="71">
        <v>41000</v>
      </c>
      <c r="D114" s="72">
        <v>41333</v>
      </c>
      <c r="E114" s="73">
        <v>0.92500000000000004</v>
      </c>
      <c r="F114" s="74"/>
      <c r="G114" s="75">
        <v>1379.3</v>
      </c>
      <c r="H114" s="74">
        <v>1275.8499999999999</v>
      </c>
      <c r="I114" s="73">
        <v>0.92499818748640616</v>
      </c>
    </row>
    <row r="115" spans="1:9" x14ac:dyDescent="0.25">
      <c r="A115" s="70" t="s">
        <v>87</v>
      </c>
      <c r="B115" s="70" t="s">
        <v>19</v>
      </c>
      <c r="C115" s="71">
        <v>40788</v>
      </c>
      <c r="D115" s="72">
        <v>41153</v>
      </c>
      <c r="E115" s="73">
        <v>0.92500000000000004</v>
      </c>
      <c r="F115" s="74">
        <v>36250.85</v>
      </c>
      <c r="G115" s="75"/>
      <c r="H115" s="74">
        <v>33532.04</v>
      </c>
      <c r="I115" s="73">
        <v>0.92500010344585026</v>
      </c>
    </row>
    <row r="116" spans="1:9" x14ac:dyDescent="0.25">
      <c r="A116" s="70" t="s">
        <v>87</v>
      </c>
      <c r="B116" s="70" t="s">
        <v>19</v>
      </c>
      <c r="C116" s="71">
        <v>40788</v>
      </c>
      <c r="D116" s="72">
        <v>41153</v>
      </c>
      <c r="E116" s="73">
        <v>0.92500000000000004</v>
      </c>
      <c r="F116" s="90"/>
      <c r="G116" s="75">
        <v>1828.18</v>
      </c>
      <c r="H116" s="74">
        <v>1691.07</v>
      </c>
      <c r="I116" s="73">
        <v>0.92500191447231661</v>
      </c>
    </row>
    <row r="117" spans="1:9" x14ac:dyDescent="0.25">
      <c r="A117" s="70" t="s">
        <v>87</v>
      </c>
      <c r="B117" s="70" t="s">
        <v>89</v>
      </c>
      <c r="C117" s="71">
        <v>40787</v>
      </c>
      <c r="D117" s="72">
        <v>41152</v>
      </c>
      <c r="E117" s="73">
        <v>0.92500000000000004</v>
      </c>
      <c r="F117" s="74">
        <v>9855.6299999999992</v>
      </c>
      <c r="G117" s="75"/>
      <c r="H117" s="74">
        <v>9116.4599999999991</v>
      </c>
      <c r="I117" s="73">
        <v>0.925000228295908</v>
      </c>
    </row>
    <row r="118" spans="1:9" x14ac:dyDescent="0.25">
      <c r="A118" s="70" t="s">
        <v>87</v>
      </c>
      <c r="B118" s="70" t="s">
        <v>89</v>
      </c>
      <c r="C118" s="71">
        <v>40787</v>
      </c>
      <c r="D118" s="72">
        <v>41152</v>
      </c>
      <c r="E118" s="73">
        <v>0.92500000000000004</v>
      </c>
      <c r="F118" s="74"/>
      <c r="G118" s="75">
        <v>189.56</v>
      </c>
      <c r="H118" s="74">
        <v>175.34</v>
      </c>
      <c r="I118" s="73">
        <v>0.92498417387634524</v>
      </c>
    </row>
    <row r="119" spans="1:9" x14ac:dyDescent="0.25">
      <c r="A119" s="70" t="s">
        <v>87</v>
      </c>
      <c r="B119" s="70" t="s">
        <v>90</v>
      </c>
      <c r="C119" s="71">
        <v>40788</v>
      </c>
      <c r="D119" s="72">
        <v>41153</v>
      </c>
      <c r="E119" s="73">
        <v>0.92500000000000004</v>
      </c>
      <c r="F119" s="74">
        <v>659969.68999999994</v>
      </c>
      <c r="G119" s="75"/>
      <c r="H119" s="74">
        <v>610471.96</v>
      </c>
      <c r="I119" s="73">
        <v>0.92499999507553143</v>
      </c>
    </row>
    <row r="120" spans="1:9" x14ac:dyDescent="0.25">
      <c r="A120" s="70" t="s">
        <v>87</v>
      </c>
      <c r="B120" s="70" t="s">
        <v>90</v>
      </c>
      <c r="C120" s="71">
        <v>40788</v>
      </c>
      <c r="D120" s="72">
        <v>41153</v>
      </c>
      <c r="E120" s="73">
        <v>0.92500000000000004</v>
      </c>
      <c r="F120" s="74"/>
      <c r="G120" s="75">
        <v>16998.7</v>
      </c>
      <c r="H120" s="74">
        <v>15723.8</v>
      </c>
      <c r="I120" s="73">
        <v>0.92500014707006994</v>
      </c>
    </row>
    <row r="121" spans="1:9" x14ac:dyDescent="0.25">
      <c r="A121" s="70" t="s">
        <v>95</v>
      </c>
      <c r="B121" s="70" t="s">
        <v>44</v>
      </c>
      <c r="C121" s="71">
        <v>40704</v>
      </c>
      <c r="D121" s="72">
        <v>41060</v>
      </c>
      <c r="E121" s="73">
        <v>0.09</v>
      </c>
      <c r="F121" s="74">
        <v>128942</v>
      </c>
      <c r="G121" s="75"/>
      <c r="H121" s="74">
        <v>15473.04</v>
      </c>
      <c r="I121" s="73">
        <v>0.12000000000000001</v>
      </c>
    </row>
    <row r="122" spans="1:9" x14ac:dyDescent="0.25">
      <c r="A122" s="70" t="s">
        <v>95</v>
      </c>
      <c r="B122" s="70" t="s">
        <v>44</v>
      </c>
      <c r="C122" s="71">
        <v>40704</v>
      </c>
      <c r="D122" s="72">
        <v>41060</v>
      </c>
      <c r="E122" s="73">
        <v>0.09</v>
      </c>
      <c r="F122" s="74"/>
      <c r="G122" s="75">
        <v>0</v>
      </c>
      <c r="H122" s="74">
        <v>0</v>
      </c>
      <c r="I122" s="73">
        <v>0</v>
      </c>
    </row>
    <row r="123" spans="1:9" ht="28.5" x14ac:dyDescent="0.25">
      <c r="A123" s="70" t="s">
        <v>95</v>
      </c>
      <c r="B123" s="70" t="s">
        <v>96</v>
      </c>
      <c r="C123" s="71">
        <v>40825</v>
      </c>
      <c r="D123" s="72">
        <v>41190</v>
      </c>
      <c r="E123" s="73">
        <v>0.09</v>
      </c>
      <c r="F123" s="74">
        <v>100231</v>
      </c>
      <c r="G123" s="75"/>
      <c r="H123" s="74">
        <v>10023.1</v>
      </c>
      <c r="I123" s="73">
        <v>0.1</v>
      </c>
    </row>
    <row r="124" spans="1:9" x14ac:dyDescent="0.25">
      <c r="A124" s="70" t="s">
        <v>95</v>
      </c>
      <c r="B124" s="70" t="s">
        <v>39</v>
      </c>
      <c r="C124" s="71">
        <v>40825</v>
      </c>
      <c r="D124" s="72">
        <v>41190</v>
      </c>
      <c r="E124" s="73">
        <v>0.09</v>
      </c>
      <c r="F124" s="74">
        <v>276171.36</v>
      </c>
      <c r="G124" s="75"/>
      <c r="H124" s="74">
        <v>27647.14</v>
      </c>
      <c r="I124" s="73">
        <v>0.1001086426919866</v>
      </c>
    </row>
    <row r="125" spans="1:9" x14ac:dyDescent="0.25">
      <c r="A125" s="70" t="s">
        <v>95</v>
      </c>
      <c r="B125" s="70" t="s">
        <v>51</v>
      </c>
      <c r="C125" s="71">
        <v>40694</v>
      </c>
      <c r="D125" s="72">
        <v>41012</v>
      </c>
      <c r="E125" s="73">
        <v>0.15</v>
      </c>
      <c r="F125" s="74">
        <v>44109</v>
      </c>
      <c r="G125" s="75"/>
      <c r="H125" s="74">
        <v>4410.8999999999996</v>
      </c>
      <c r="I125" s="73">
        <v>9.9999999999999992E-2</v>
      </c>
    </row>
    <row r="126" spans="1:9" x14ac:dyDescent="0.25">
      <c r="A126" s="70" t="s">
        <v>95</v>
      </c>
      <c r="B126" s="70" t="s">
        <v>98</v>
      </c>
      <c r="C126" s="71">
        <v>40825</v>
      </c>
      <c r="D126" s="72">
        <v>41190</v>
      </c>
      <c r="E126" s="73">
        <v>0.09</v>
      </c>
      <c r="F126" s="74">
        <v>563484.9</v>
      </c>
      <c r="G126" s="75"/>
      <c r="H126" s="74">
        <v>56348.49</v>
      </c>
      <c r="I126" s="73">
        <v>9.9999999999999992E-2</v>
      </c>
    </row>
    <row r="127" spans="1:9" x14ac:dyDescent="0.25">
      <c r="A127" s="70" t="s">
        <v>95</v>
      </c>
      <c r="B127" s="70" t="s">
        <v>48</v>
      </c>
      <c r="C127" s="71">
        <v>40725</v>
      </c>
      <c r="D127" s="72">
        <v>41090</v>
      </c>
      <c r="E127" s="73">
        <v>0.09</v>
      </c>
      <c r="F127" s="74">
        <v>784</v>
      </c>
      <c r="G127" s="75"/>
      <c r="H127" s="74">
        <v>101.92</v>
      </c>
      <c r="I127" s="73">
        <v>0.13</v>
      </c>
    </row>
    <row r="128" spans="1:9" x14ac:dyDescent="0.25">
      <c r="A128" s="70" t="s">
        <v>95</v>
      </c>
      <c r="B128" s="70" t="s">
        <v>48</v>
      </c>
      <c r="C128" s="71">
        <v>40725</v>
      </c>
      <c r="D128" s="72">
        <v>41090</v>
      </c>
      <c r="E128" s="73">
        <v>0.09</v>
      </c>
      <c r="F128" s="74"/>
      <c r="G128" s="75">
        <v>0</v>
      </c>
      <c r="H128" s="74">
        <v>0</v>
      </c>
      <c r="I128" s="73">
        <v>0</v>
      </c>
    </row>
    <row r="129" spans="1:9" x14ac:dyDescent="0.25">
      <c r="A129" s="70" t="s">
        <v>99</v>
      </c>
      <c r="B129" s="70" t="s">
        <v>100</v>
      </c>
      <c r="C129" s="71">
        <v>40725</v>
      </c>
      <c r="D129" s="72">
        <v>40999</v>
      </c>
      <c r="E129" s="73">
        <v>0.18</v>
      </c>
      <c r="F129" s="74">
        <v>340</v>
      </c>
      <c r="G129" s="75"/>
      <c r="H129" s="74">
        <v>68</v>
      </c>
      <c r="I129" s="73">
        <v>0.2</v>
      </c>
    </row>
    <row r="130" spans="1:9" x14ac:dyDescent="0.25">
      <c r="A130" s="70" t="s">
        <v>101</v>
      </c>
      <c r="B130" s="70" t="s">
        <v>109</v>
      </c>
      <c r="C130" s="71">
        <v>40934</v>
      </c>
      <c r="D130" s="72">
        <v>41274</v>
      </c>
      <c r="E130" s="73">
        <v>8.9999999999999993E-3</v>
      </c>
      <c r="F130" s="74">
        <v>8958.5</v>
      </c>
      <c r="G130" s="75"/>
      <c r="H130" s="74">
        <v>1662.35</v>
      </c>
      <c r="I130" s="73">
        <v>0.18556119886141653</v>
      </c>
    </row>
    <row r="131" spans="1:9" x14ac:dyDescent="0.25">
      <c r="A131" s="70" t="s">
        <v>101</v>
      </c>
      <c r="B131" s="70" t="s">
        <v>109</v>
      </c>
      <c r="C131" s="71">
        <v>40934</v>
      </c>
      <c r="D131" s="72">
        <v>41274</v>
      </c>
      <c r="E131" s="73">
        <v>8.9999999999999993E-3</v>
      </c>
      <c r="F131" s="74"/>
      <c r="G131" s="75">
        <v>115.56</v>
      </c>
      <c r="H131" s="74">
        <v>21.44</v>
      </c>
      <c r="I131" s="73">
        <v>0.1855313257182416</v>
      </c>
    </row>
    <row r="132" spans="1:9" x14ac:dyDescent="0.25">
      <c r="A132" s="70" t="s">
        <v>101</v>
      </c>
      <c r="B132" s="70" t="s">
        <v>31</v>
      </c>
      <c r="C132" s="71">
        <v>40940</v>
      </c>
      <c r="D132" s="72">
        <v>41305</v>
      </c>
      <c r="E132" s="73">
        <v>8.9999999999999993E-3</v>
      </c>
      <c r="F132" s="74">
        <v>812736.46</v>
      </c>
      <c r="G132" s="75"/>
      <c r="H132" s="74">
        <v>479180.36</v>
      </c>
      <c r="I132" s="73">
        <v>0.58958885639263681</v>
      </c>
    </row>
    <row r="133" spans="1:9" x14ac:dyDescent="0.25">
      <c r="A133" s="70" t="s">
        <v>101</v>
      </c>
      <c r="B133" s="70" t="s">
        <v>31</v>
      </c>
      <c r="C133" s="71">
        <v>40940</v>
      </c>
      <c r="D133" s="72">
        <v>41305</v>
      </c>
      <c r="E133" s="73">
        <v>8.9999999999999993E-3</v>
      </c>
      <c r="F133" s="74"/>
      <c r="G133" s="75">
        <v>21131.14</v>
      </c>
      <c r="H133" s="74">
        <v>12463.89</v>
      </c>
      <c r="I133" s="73">
        <v>0.58983519109712013</v>
      </c>
    </row>
    <row r="134" spans="1:9" x14ac:dyDescent="0.25">
      <c r="A134" s="70" t="s">
        <v>101</v>
      </c>
      <c r="B134" s="70" t="s">
        <v>105</v>
      </c>
      <c r="C134" s="71">
        <v>40827</v>
      </c>
      <c r="D134" s="72">
        <v>41192</v>
      </c>
      <c r="E134" s="73">
        <v>1.35E-2</v>
      </c>
      <c r="F134" s="74">
        <v>26085</v>
      </c>
      <c r="G134" s="75"/>
      <c r="H134" s="74">
        <v>6793.84</v>
      </c>
      <c r="I134" s="73">
        <v>0.26045006708836499</v>
      </c>
    </row>
    <row r="135" spans="1:9" x14ac:dyDescent="0.25">
      <c r="A135" s="70" t="s">
        <v>101</v>
      </c>
      <c r="B135" s="70" t="s">
        <v>105</v>
      </c>
      <c r="C135" s="71">
        <v>40827</v>
      </c>
      <c r="D135" s="72">
        <v>41192</v>
      </c>
      <c r="E135" s="73">
        <v>1.35E-2</v>
      </c>
      <c r="F135" s="74"/>
      <c r="G135" s="75">
        <v>26085</v>
      </c>
      <c r="H135" s="74">
        <v>6793.84</v>
      </c>
      <c r="I135" s="73">
        <v>0.26045006708836499</v>
      </c>
    </row>
    <row r="136" spans="1:9" x14ac:dyDescent="0.25">
      <c r="A136" s="76" t="s">
        <v>101</v>
      </c>
      <c r="B136" s="76" t="s">
        <v>105</v>
      </c>
      <c r="C136" s="77">
        <v>41193</v>
      </c>
      <c r="D136" s="78">
        <v>41557</v>
      </c>
      <c r="E136" s="79">
        <v>1.35E-2</v>
      </c>
      <c r="F136" s="91"/>
      <c r="G136" s="92">
        <v>0</v>
      </c>
      <c r="H136" s="91">
        <v>0</v>
      </c>
      <c r="I136" s="93">
        <v>0</v>
      </c>
    </row>
    <row r="137" spans="1:9" x14ac:dyDescent="0.25">
      <c r="A137" s="70" t="s">
        <v>101</v>
      </c>
      <c r="B137" s="70" t="s">
        <v>110</v>
      </c>
      <c r="C137" s="71">
        <v>40972</v>
      </c>
      <c r="D137" s="72">
        <v>41315</v>
      </c>
      <c r="E137" s="73">
        <v>1.35E-2</v>
      </c>
      <c r="F137" s="74"/>
      <c r="G137" s="75">
        <v>3663.97</v>
      </c>
      <c r="H137" s="74">
        <v>-1483.52</v>
      </c>
      <c r="I137" s="73">
        <v>-0.40489414487564035</v>
      </c>
    </row>
    <row r="138" spans="1:9" x14ac:dyDescent="0.25">
      <c r="A138" s="70" t="s">
        <v>101</v>
      </c>
      <c r="B138" s="70" t="s">
        <v>110</v>
      </c>
      <c r="C138" s="71">
        <v>40972</v>
      </c>
      <c r="D138" s="72">
        <v>41315</v>
      </c>
      <c r="E138" s="73">
        <v>1.35E-2</v>
      </c>
      <c r="F138" s="74">
        <v>3944</v>
      </c>
      <c r="G138" s="75"/>
      <c r="H138" s="74">
        <v>-1596.9</v>
      </c>
      <c r="I138" s="73">
        <v>-0.4048935091277891</v>
      </c>
    </row>
    <row r="139" spans="1:9" x14ac:dyDescent="0.25">
      <c r="A139" s="70" t="s">
        <v>101</v>
      </c>
      <c r="B139" s="70" t="s">
        <v>112</v>
      </c>
      <c r="C139" s="71">
        <v>41007</v>
      </c>
      <c r="D139" s="72">
        <v>41371</v>
      </c>
      <c r="E139" s="73">
        <v>1.35E-2</v>
      </c>
      <c r="F139" s="74"/>
      <c r="G139" s="75">
        <v>1472.2</v>
      </c>
      <c r="H139" s="74">
        <v>-1489.34</v>
      </c>
      <c r="I139" s="73">
        <v>-1.011642439885885</v>
      </c>
    </row>
    <row r="140" spans="1:9" ht="28.5" x14ac:dyDescent="0.25">
      <c r="A140" s="70" t="s">
        <v>101</v>
      </c>
      <c r="B140" s="70" t="s">
        <v>111</v>
      </c>
      <c r="C140" s="71">
        <v>41243</v>
      </c>
      <c r="D140" s="72">
        <v>41274</v>
      </c>
      <c r="E140" s="73">
        <v>1.35E-2</v>
      </c>
      <c r="F140" s="74">
        <v>63304.22</v>
      </c>
      <c r="G140" s="75"/>
      <c r="H140" s="74">
        <v>39057.620000000003</v>
      </c>
      <c r="I140" s="73">
        <v>0.61698288044620098</v>
      </c>
    </row>
    <row r="141" spans="1:9" ht="28.5" x14ac:dyDescent="0.25">
      <c r="A141" s="70" t="s">
        <v>101</v>
      </c>
      <c r="B141" s="70" t="s">
        <v>111</v>
      </c>
      <c r="C141" s="71">
        <v>40973</v>
      </c>
      <c r="D141" s="72">
        <v>41182</v>
      </c>
      <c r="E141" s="73">
        <v>1.35E-2</v>
      </c>
      <c r="F141" s="74">
        <v>27314.720000000001</v>
      </c>
      <c r="G141" s="75"/>
      <c r="H141" s="74">
        <v>7751.52</v>
      </c>
      <c r="I141" s="73">
        <v>0.28999999999999998</v>
      </c>
    </row>
    <row r="142" spans="1:9" ht="28.5" x14ac:dyDescent="0.25">
      <c r="A142" s="70" t="s">
        <v>101</v>
      </c>
      <c r="B142" s="70" t="s">
        <v>111</v>
      </c>
      <c r="C142" s="71">
        <v>41243</v>
      </c>
      <c r="D142" s="72">
        <v>41274</v>
      </c>
      <c r="E142" s="73">
        <v>1.35E-2</v>
      </c>
      <c r="F142" s="74"/>
      <c r="G142" s="75">
        <v>1962.43</v>
      </c>
      <c r="H142" s="74">
        <v>1210.78</v>
      </c>
      <c r="I142" s="73">
        <v>0.6169799687122598</v>
      </c>
    </row>
    <row r="143" spans="1:9" ht="28.5" x14ac:dyDescent="0.25">
      <c r="A143" s="70" t="s">
        <v>101</v>
      </c>
      <c r="B143" s="70" t="s">
        <v>111</v>
      </c>
      <c r="C143" s="71">
        <v>40973</v>
      </c>
      <c r="D143" s="72">
        <v>41182</v>
      </c>
      <c r="E143" s="73">
        <v>1.35E-2</v>
      </c>
      <c r="F143" s="74"/>
      <c r="G143" s="75">
        <v>682.87</v>
      </c>
      <c r="H143" s="74">
        <v>193.79</v>
      </c>
      <c r="I143" s="73">
        <v>0.28999999999999998</v>
      </c>
    </row>
    <row r="144" spans="1:9" x14ac:dyDescent="0.25">
      <c r="A144" s="70" t="s">
        <v>101</v>
      </c>
      <c r="B144" s="70" t="s">
        <v>107</v>
      </c>
      <c r="C144" s="71">
        <v>41163</v>
      </c>
      <c r="D144" s="72">
        <v>41274</v>
      </c>
      <c r="E144" s="73">
        <v>8.9999999999999993E-3</v>
      </c>
      <c r="F144" s="74">
        <v>145302</v>
      </c>
      <c r="G144" s="75"/>
      <c r="H144" s="74">
        <v>113764.89</v>
      </c>
      <c r="I144" s="73">
        <v>0.78295474253623487</v>
      </c>
    </row>
    <row r="145" spans="1:9" x14ac:dyDescent="0.25">
      <c r="A145" s="70" t="s">
        <v>101</v>
      </c>
      <c r="B145" s="70" t="s">
        <v>107</v>
      </c>
      <c r="C145" s="71">
        <v>40763</v>
      </c>
      <c r="D145" s="72">
        <v>41090</v>
      </c>
      <c r="E145" s="73">
        <v>1.35E-2</v>
      </c>
      <c r="F145" s="74">
        <v>104863</v>
      </c>
      <c r="G145" s="75"/>
      <c r="H145" s="74">
        <v>57350.75</v>
      </c>
      <c r="I145" s="73">
        <v>0.54691120795704873</v>
      </c>
    </row>
    <row r="146" spans="1:9" x14ac:dyDescent="0.25">
      <c r="A146" s="70" t="s">
        <v>101</v>
      </c>
      <c r="B146" s="70" t="s">
        <v>107</v>
      </c>
      <c r="C146" s="71">
        <v>40763</v>
      </c>
      <c r="D146" s="72">
        <v>41090</v>
      </c>
      <c r="E146" s="73">
        <v>1.35E-2</v>
      </c>
      <c r="F146" s="74"/>
      <c r="G146" s="75">
        <v>2930.29</v>
      </c>
      <c r="H146" s="74">
        <v>1602.6</v>
      </c>
      <c r="I146" s="73">
        <v>0.54690832647963172</v>
      </c>
    </row>
    <row r="147" spans="1:9" x14ac:dyDescent="0.25">
      <c r="A147" s="70" t="s">
        <v>101</v>
      </c>
      <c r="B147" s="70" t="s">
        <v>106</v>
      </c>
      <c r="C147" s="71">
        <v>40618</v>
      </c>
      <c r="D147" s="72">
        <v>40939</v>
      </c>
      <c r="E147" s="73">
        <v>0.09</v>
      </c>
      <c r="F147" s="74">
        <v>886</v>
      </c>
      <c r="G147" s="75"/>
      <c r="H147" s="74">
        <v>856</v>
      </c>
      <c r="I147" s="73">
        <v>0.96613995485327309</v>
      </c>
    </row>
    <row r="148" spans="1:9" x14ac:dyDescent="0.25">
      <c r="A148" s="70" t="s">
        <v>101</v>
      </c>
      <c r="B148" s="70" t="s">
        <v>104</v>
      </c>
      <c r="C148" s="71">
        <v>40867</v>
      </c>
      <c r="D148" s="72">
        <v>41232</v>
      </c>
      <c r="E148" s="73">
        <v>1.35E-2</v>
      </c>
      <c r="F148" s="74">
        <v>8514.26</v>
      </c>
      <c r="G148" s="75"/>
      <c r="H148" s="74">
        <v>2926.17</v>
      </c>
      <c r="I148" s="73">
        <v>0.34367872251963177</v>
      </c>
    </row>
    <row r="149" spans="1:9" x14ac:dyDescent="0.25">
      <c r="A149" s="70" t="s">
        <v>101</v>
      </c>
      <c r="B149" s="70" t="s">
        <v>104</v>
      </c>
      <c r="C149" s="71">
        <v>40867</v>
      </c>
      <c r="D149" s="72">
        <v>41232</v>
      </c>
      <c r="E149" s="73">
        <v>1.35E-2</v>
      </c>
      <c r="F149" s="74"/>
      <c r="G149" s="75">
        <v>364.41</v>
      </c>
      <c r="H149" s="74">
        <v>125.24</v>
      </c>
      <c r="I149" s="73">
        <v>0.34367882330342192</v>
      </c>
    </row>
    <row r="150" spans="1:9" x14ac:dyDescent="0.25">
      <c r="A150" s="70" t="s">
        <v>101</v>
      </c>
      <c r="B150" s="70" t="s">
        <v>108</v>
      </c>
      <c r="C150" s="71">
        <v>40817</v>
      </c>
      <c r="D150" s="72">
        <v>41182</v>
      </c>
      <c r="E150" s="73">
        <v>1.35E-2</v>
      </c>
      <c r="F150" s="74">
        <v>172417.28</v>
      </c>
      <c r="G150" s="75"/>
      <c r="H150" s="74">
        <v>56853.78</v>
      </c>
      <c r="I150" s="73">
        <v>0.32974525523195819</v>
      </c>
    </row>
    <row r="151" spans="1:9" x14ac:dyDescent="0.25">
      <c r="A151" s="70" t="s">
        <v>101</v>
      </c>
      <c r="B151" s="70" t="s">
        <v>108</v>
      </c>
      <c r="C151" s="71">
        <v>40817</v>
      </c>
      <c r="D151" s="72">
        <v>41182</v>
      </c>
      <c r="E151" s="73">
        <v>1.35E-2</v>
      </c>
      <c r="F151" s="74"/>
      <c r="G151" s="75">
        <v>4862.16</v>
      </c>
      <c r="H151" s="74">
        <v>1603.27</v>
      </c>
      <c r="I151" s="73">
        <v>0.32974439343830725</v>
      </c>
    </row>
    <row r="152" spans="1:9" x14ac:dyDescent="0.25">
      <c r="A152" s="70" t="s">
        <v>101</v>
      </c>
      <c r="B152" s="70" t="s">
        <v>102</v>
      </c>
      <c r="C152" s="71">
        <v>40725</v>
      </c>
      <c r="D152" s="72">
        <v>41090</v>
      </c>
      <c r="E152" s="73">
        <v>1.35E-2</v>
      </c>
      <c r="F152" s="74">
        <v>338748</v>
      </c>
      <c r="G152" s="75"/>
      <c r="H152" s="74">
        <v>198257.61</v>
      </c>
      <c r="I152" s="73">
        <v>0.58526577278685032</v>
      </c>
    </row>
    <row r="153" spans="1:9" x14ac:dyDescent="0.25">
      <c r="A153" s="70" t="s">
        <v>101</v>
      </c>
      <c r="B153" s="70" t="s">
        <v>102</v>
      </c>
      <c r="C153" s="71">
        <v>40725</v>
      </c>
      <c r="D153" s="72">
        <v>41090</v>
      </c>
      <c r="E153" s="73">
        <v>1.35E-2</v>
      </c>
      <c r="F153" s="74"/>
      <c r="G153" s="75">
        <v>12093.3</v>
      </c>
      <c r="H153" s="74">
        <v>7077.8</v>
      </c>
      <c r="I153" s="73">
        <v>0.58526622179223209</v>
      </c>
    </row>
    <row r="154" spans="1:9" x14ac:dyDescent="0.25">
      <c r="A154" s="70" t="s">
        <v>113</v>
      </c>
      <c r="B154" s="70" t="s">
        <v>31</v>
      </c>
      <c r="C154" s="71">
        <v>40612</v>
      </c>
      <c r="D154" s="72">
        <v>40939</v>
      </c>
      <c r="E154" s="73">
        <v>8.9999999999999993E-3</v>
      </c>
      <c r="F154" s="74">
        <v>266209</v>
      </c>
      <c r="G154" s="75"/>
      <c r="H154" s="74">
        <v>159111.79999999999</v>
      </c>
      <c r="I154" s="73">
        <v>0.59769504411946994</v>
      </c>
    </row>
    <row r="155" spans="1:9" x14ac:dyDescent="0.25">
      <c r="A155" s="70" t="s">
        <v>113</v>
      </c>
      <c r="B155" s="70" t="s">
        <v>31</v>
      </c>
      <c r="C155" s="71">
        <v>40612</v>
      </c>
      <c r="D155" s="72">
        <v>40939</v>
      </c>
      <c r="E155" s="73">
        <v>8.9999999999999993E-3</v>
      </c>
      <c r="F155" s="74"/>
      <c r="G155" s="75">
        <v>7187</v>
      </c>
      <c r="H155" s="74">
        <v>4306</v>
      </c>
      <c r="I155" s="73">
        <v>0.59913733129261171</v>
      </c>
    </row>
    <row r="156" spans="1:9" x14ac:dyDescent="0.25">
      <c r="A156" s="70" t="s">
        <v>113</v>
      </c>
      <c r="B156" s="70" t="s">
        <v>115</v>
      </c>
      <c r="C156" s="71">
        <v>40650</v>
      </c>
      <c r="D156" s="72">
        <v>41015</v>
      </c>
      <c r="E156" s="73">
        <v>1.35E-2</v>
      </c>
      <c r="F156" s="74">
        <v>113723.13</v>
      </c>
      <c r="G156" s="75"/>
      <c r="H156" s="74">
        <v>1312.93</v>
      </c>
      <c r="I156" s="73">
        <v>1.1544968908259911E-2</v>
      </c>
    </row>
    <row r="157" spans="1:9" x14ac:dyDescent="0.25">
      <c r="A157" s="70" t="s">
        <v>113</v>
      </c>
      <c r="B157" s="70" t="s">
        <v>115</v>
      </c>
      <c r="C157" s="71">
        <v>40650</v>
      </c>
      <c r="D157" s="72">
        <v>41015</v>
      </c>
      <c r="E157" s="73">
        <v>1.35E-2</v>
      </c>
      <c r="F157" s="74"/>
      <c r="G157" s="75">
        <v>3548.16</v>
      </c>
      <c r="H157" s="74">
        <v>219.41</v>
      </c>
      <c r="I157" s="73">
        <v>6.1837684884559888E-2</v>
      </c>
    </row>
    <row r="158" spans="1:9" x14ac:dyDescent="0.25">
      <c r="A158" s="70" t="s">
        <v>113</v>
      </c>
      <c r="B158" s="70" t="s">
        <v>106</v>
      </c>
      <c r="C158" s="71">
        <v>40618</v>
      </c>
      <c r="D158" s="72">
        <v>40939</v>
      </c>
      <c r="E158" s="73">
        <v>0.09</v>
      </c>
      <c r="F158" s="74"/>
      <c r="G158" s="75">
        <v>106</v>
      </c>
      <c r="H158" s="74">
        <v>103</v>
      </c>
      <c r="I158" s="73">
        <v>0.97169811320754718</v>
      </c>
    </row>
    <row r="159" spans="1:9" x14ac:dyDescent="0.25">
      <c r="A159" s="70" t="s">
        <v>113</v>
      </c>
      <c r="B159" s="70" t="s">
        <v>114</v>
      </c>
      <c r="C159" s="71">
        <v>40566</v>
      </c>
      <c r="D159" s="72">
        <v>40930</v>
      </c>
      <c r="E159" s="73">
        <v>1.35E-2</v>
      </c>
      <c r="F159" s="74">
        <v>0</v>
      </c>
      <c r="G159" s="75"/>
      <c r="H159" s="74">
        <v>0</v>
      </c>
      <c r="I159" s="73">
        <v>0</v>
      </c>
    </row>
    <row r="160" spans="1:9" x14ac:dyDescent="0.25">
      <c r="A160" s="70" t="s">
        <v>113</v>
      </c>
      <c r="B160" s="70" t="s">
        <v>114</v>
      </c>
      <c r="C160" s="71">
        <v>40566</v>
      </c>
      <c r="D160" s="72">
        <v>40930</v>
      </c>
      <c r="E160" s="73">
        <v>1.35E-2</v>
      </c>
      <c r="F160" s="74"/>
      <c r="G160" s="75">
        <v>0</v>
      </c>
      <c r="H160" s="74">
        <v>0</v>
      </c>
      <c r="I160" s="73">
        <v>0</v>
      </c>
    </row>
    <row r="161" spans="1:9" x14ac:dyDescent="0.25">
      <c r="A161" s="70" t="s">
        <v>116</v>
      </c>
      <c r="B161" s="70" t="s">
        <v>117</v>
      </c>
      <c r="C161" s="71">
        <v>40952</v>
      </c>
      <c r="D161" s="72">
        <v>41317</v>
      </c>
      <c r="E161" s="73">
        <v>8.9999999999999993E-3</v>
      </c>
      <c r="F161" s="74">
        <v>0</v>
      </c>
      <c r="G161" s="75"/>
      <c r="H161" s="74">
        <v>0</v>
      </c>
      <c r="I161" s="73">
        <v>0</v>
      </c>
    </row>
    <row r="162" spans="1:9" x14ac:dyDescent="0.25">
      <c r="A162" s="70" t="s">
        <v>118</v>
      </c>
      <c r="B162" s="70" t="s">
        <v>43</v>
      </c>
      <c r="C162" s="71">
        <v>40736</v>
      </c>
      <c r="D162" s="72">
        <v>41101</v>
      </c>
      <c r="E162" s="73">
        <v>0.17</v>
      </c>
      <c r="F162" s="74">
        <v>432564.07</v>
      </c>
      <c r="G162" s="75"/>
      <c r="H162" s="74">
        <v>38166.51</v>
      </c>
      <c r="I162" s="73">
        <v>8.8233195142629395E-2</v>
      </c>
    </row>
    <row r="163" spans="1:9" x14ac:dyDescent="0.25">
      <c r="A163" s="70" t="s">
        <v>118</v>
      </c>
      <c r="B163" s="70" t="s">
        <v>43</v>
      </c>
      <c r="C163" s="71">
        <v>40736</v>
      </c>
      <c r="D163" s="72">
        <v>41101</v>
      </c>
      <c r="E163" s="73">
        <v>0.17</v>
      </c>
      <c r="F163" s="74"/>
      <c r="G163" s="75">
        <v>84648.22</v>
      </c>
      <c r="H163" s="74">
        <v>4308.91</v>
      </c>
      <c r="I163" s="73">
        <v>5.0000000000000001E-4</v>
      </c>
    </row>
    <row r="164" spans="1:9" x14ac:dyDescent="0.25">
      <c r="A164" s="70" t="s">
        <v>119</v>
      </c>
      <c r="B164" s="70" t="s">
        <v>121</v>
      </c>
      <c r="C164" s="71">
        <v>40964</v>
      </c>
      <c r="D164" s="72">
        <v>41329</v>
      </c>
      <c r="E164" s="73">
        <v>0.09</v>
      </c>
      <c r="F164" s="74">
        <v>155315.12</v>
      </c>
      <c r="G164" s="75"/>
      <c r="H164" s="74">
        <v>15531.51</v>
      </c>
      <c r="I164" s="73">
        <v>9.9999987122953646E-2</v>
      </c>
    </row>
    <row r="165" spans="1:9" x14ac:dyDescent="0.25">
      <c r="A165" s="70" t="s">
        <v>119</v>
      </c>
      <c r="B165" s="70" t="s">
        <v>120</v>
      </c>
      <c r="C165" s="94">
        <v>40829</v>
      </c>
      <c r="D165" s="72">
        <v>41194</v>
      </c>
      <c r="E165" s="73">
        <v>0.09</v>
      </c>
      <c r="F165" s="74">
        <v>202218.1</v>
      </c>
      <c r="G165" s="75"/>
      <c r="H165" s="74">
        <v>20221.810000000001</v>
      </c>
      <c r="I165" s="73">
        <v>0.1</v>
      </c>
    </row>
    <row r="166" spans="1:9" x14ac:dyDescent="0.25">
      <c r="A166" s="70" t="s">
        <v>119</v>
      </c>
      <c r="B166" s="70" t="s">
        <v>44</v>
      </c>
      <c r="C166" s="71">
        <v>40704</v>
      </c>
      <c r="D166" s="72">
        <v>41060</v>
      </c>
      <c r="E166" s="73">
        <v>0.09</v>
      </c>
      <c r="F166" s="74"/>
      <c r="G166" s="75">
        <v>0</v>
      </c>
      <c r="H166" s="74">
        <v>0</v>
      </c>
      <c r="I166" s="73">
        <v>0</v>
      </c>
    </row>
    <row r="167" spans="1:9" ht="28.5" x14ac:dyDescent="0.25">
      <c r="A167" s="70" t="s">
        <v>119</v>
      </c>
      <c r="B167" s="70" t="s">
        <v>96</v>
      </c>
      <c r="C167" s="71">
        <v>40848</v>
      </c>
      <c r="D167" s="72">
        <v>41213</v>
      </c>
      <c r="E167" s="73">
        <v>0.09</v>
      </c>
      <c r="F167" s="74">
        <v>2912561</v>
      </c>
      <c r="G167" s="75"/>
      <c r="H167" s="74">
        <v>436884.15</v>
      </c>
      <c r="I167" s="73">
        <v>0.15</v>
      </c>
    </row>
    <row r="168" spans="1:9" ht="28.5" x14ac:dyDescent="0.25">
      <c r="A168" s="70" t="s">
        <v>119</v>
      </c>
      <c r="B168" s="70" t="s">
        <v>96</v>
      </c>
      <c r="C168" s="71">
        <v>40848</v>
      </c>
      <c r="D168" s="72">
        <v>41213</v>
      </c>
      <c r="E168" s="73">
        <v>0.09</v>
      </c>
      <c r="F168" s="74"/>
      <c r="G168" s="75">
        <v>0</v>
      </c>
      <c r="H168" s="74">
        <v>0</v>
      </c>
      <c r="I168" s="73">
        <v>0</v>
      </c>
    </row>
    <row r="169" spans="1:9" x14ac:dyDescent="0.25">
      <c r="A169" s="70" t="s">
        <v>119</v>
      </c>
      <c r="B169" s="70" t="s">
        <v>39</v>
      </c>
      <c r="C169" s="71">
        <v>40787</v>
      </c>
      <c r="D169" s="72">
        <v>41152</v>
      </c>
      <c r="E169" s="73">
        <v>0.09</v>
      </c>
      <c r="F169" s="74">
        <v>2673607.9</v>
      </c>
      <c r="G169" s="75"/>
      <c r="H169" s="74">
        <v>401041.18</v>
      </c>
      <c r="I169" s="73">
        <v>0.14999999812986789</v>
      </c>
    </row>
    <row r="170" spans="1:9" x14ac:dyDescent="0.25">
      <c r="A170" s="70" t="s">
        <v>119</v>
      </c>
      <c r="B170" s="70" t="s">
        <v>51</v>
      </c>
      <c r="C170" s="71">
        <v>40909</v>
      </c>
      <c r="D170" s="72">
        <v>41274</v>
      </c>
      <c r="E170" s="73">
        <v>0.15</v>
      </c>
      <c r="F170" s="74">
        <v>304465.02</v>
      </c>
      <c r="G170" s="75"/>
      <c r="H170" s="74">
        <v>36535.800000000003</v>
      </c>
      <c r="I170" s="73">
        <v>0.11999999211732107</v>
      </c>
    </row>
    <row r="171" spans="1:9" x14ac:dyDescent="0.25">
      <c r="A171" s="70" t="s">
        <v>119</v>
      </c>
      <c r="B171" s="70" t="s">
        <v>98</v>
      </c>
      <c r="C171" s="71">
        <v>40695</v>
      </c>
      <c r="D171" s="72">
        <v>41060</v>
      </c>
      <c r="E171" s="73">
        <v>0.09</v>
      </c>
      <c r="F171" s="74">
        <v>3817943.7</v>
      </c>
      <c r="G171" s="75"/>
      <c r="H171" s="74">
        <v>190897.18</v>
      </c>
      <c r="I171" s="73">
        <v>4.9999998690394516E-2</v>
      </c>
    </row>
    <row r="172" spans="1:9" x14ac:dyDescent="0.25">
      <c r="A172" s="70" t="s">
        <v>119</v>
      </c>
      <c r="B172" s="70" t="s">
        <v>70</v>
      </c>
      <c r="C172" s="71">
        <v>40820</v>
      </c>
      <c r="D172" s="72">
        <v>41185</v>
      </c>
      <c r="E172" s="73">
        <v>0.09</v>
      </c>
      <c r="F172" s="74">
        <v>0</v>
      </c>
      <c r="G172" s="75">
        <v>0</v>
      </c>
      <c r="H172" s="74">
        <v>0</v>
      </c>
      <c r="I172" s="73">
        <v>0</v>
      </c>
    </row>
    <row r="173" spans="1:9" x14ac:dyDescent="0.25">
      <c r="A173" s="70" t="s">
        <v>119</v>
      </c>
      <c r="B173" s="70" t="s">
        <v>68</v>
      </c>
      <c r="C173" s="71">
        <v>40789</v>
      </c>
      <c r="D173" s="72">
        <v>41154</v>
      </c>
      <c r="E173" s="73">
        <v>0.09</v>
      </c>
      <c r="F173" s="74">
        <v>182293.96</v>
      </c>
      <c r="G173" s="75"/>
      <c r="H173" s="74">
        <v>18229.400000000001</v>
      </c>
      <c r="I173" s="73">
        <v>0.1000000219425811</v>
      </c>
    </row>
    <row r="174" spans="1:9" x14ac:dyDescent="0.25">
      <c r="A174" s="70" t="s">
        <v>119</v>
      </c>
      <c r="B174" s="70" t="s">
        <v>48</v>
      </c>
      <c r="C174" s="71">
        <v>40725</v>
      </c>
      <c r="D174" s="72">
        <v>41090</v>
      </c>
      <c r="E174" s="73">
        <v>0.09</v>
      </c>
      <c r="F174" s="74">
        <v>54762.99</v>
      </c>
      <c r="G174" s="75"/>
      <c r="H174" s="74">
        <v>7119.19</v>
      </c>
      <c r="I174" s="73">
        <v>0.13000002373865999</v>
      </c>
    </row>
    <row r="175" spans="1:9" x14ac:dyDescent="0.25">
      <c r="A175" s="70" t="s">
        <v>119</v>
      </c>
      <c r="B175" s="70" t="s">
        <v>48</v>
      </c>
      <c r="C175" s="71">
        <v>40725</v>
      </c>
      <c r="D175" s="72">
        <v>41090</v>
      </c>
      <c r="E175" s="73">
        <v>0.09</v>
      </c>
      <c r="F175" s="74"/>
      <c r="G175" s="75">
        <v>0</v>
      </c>
      <c r="H175" s="74">
        <v>0</v>
      </c>
      <c r="I175" s="73">
        <v>0</v>
      </c>
    </row>
    <row r="176" spans="1:9" ht="28.5" x14ac:dyDescent="0.25">
      <c r="A176" s="70" t="s">
        <v>122</v>
      </c>
      <c r="B176" s="70" t="s">
        <v>65</v>
      </c>
      <c r="C176" s="71">
        <v>40940</v>
      </c>
      <c r="D176" s="72">
        <v>41305</v>
      </c>
      <c r="E176" s="73">
        <v>0.15</v>
      </c>
      <c r="F176" s="74">
        <v>851914</v>
      </c>
      <c r="G176" s="75"/>
      <c r="H176" s="74">
        <v>127787.1</v>
      </c>
      <c r="I176" s="73">
        <v>0.15</v>
      </c>
    </row>
    <row r="177" spans="1:9" ht="28.5" x14ac:dyDescent="0.25">
      <c r="A177" s="70" t="s">
        <v>122</v>
      </c>
      <c r="B177" s="70" t="s">
        <v>65</v>
      </c>
      <c r="C177" s="71">
        <v>40940</v>
      </c>
      <c r="D177" s="72">
        <v>41305</v>
      </c>
      <c r="E177" s="73">
        <v>0.15</v>
      </c>
      <c r="F177" s="74"/>
      <c r="G177" s="75">
        <v>21216</v>
      </c>
      <c r="H177" s="74">
        <v>3182.4</v>
      </c>
      <c r="I177" s="73">
        <v>0.15</v>
      </c>
    </row>
    <row r="178" spans="1:9" ht="28.5" x14ac:dyDescent="0.25">
      <c r="A178" s="70" t="s">
        <v>122</v>
      </c>
      <c r="B178" s="70" t="s">
        <v>123</v>
      </c>
      <c r="C178" s="71">
        <v>40603</v>
      </c>
      <c r="D178" s="72">
        <v>40939</v>
      </c>
      <c r="E178" s="73">
        <v>0.15</v>
      </c>
      <c r="F178" s="74">
        <v>808864</v>
      </c>
      <c r="G178" s="75"/>
      <c r="H178" s="74">
        <v>121329.60000000001</v>
      </c>
      <c r="I178" s="73">
        <v>0.15</v>
      </c>
    </row>
    <row r="179" spans="1:9" x14ac:dyDescent="0.25">
      <c r="A179" s="70" t="s">
        <v>122</v>
      </c>
      <c r="B179" s="70" t="s">
        <v>124</v>
      </c>
      <c r="C179" s="71">
        <v>40725</v>
      </c>
      <c r="D179" s="72">
        <v>41090</v>
      </c>
      <c r="E179" s="73">
        <v>0.09</v>
      </c>
      <c r="F179" s="74">
        <v>802162.18</v>
      </c>
      <c r="G179" s="75"/>
      <c r="H179" s="74">
        <v>144683.47</v>
      </c>
      <c r="I179" s="73">
        <v>0.18036685549049444</v>
      </c>
    </row>
    <row r="180" spans="1:9" x14ac:dyDescent="0.25">
      <c r="A180" s="70" t="s">
        <v>122</v>
      </c>
      <c r="B180" s="70" t="s">
        <v>125</v>
      </c>
      <c r="C180" s="71">
        <v>40817</v>
      </c>
      <c r="D180" s="72">
        <v>41182</v>
      </c>
      <c r="E180" s="73">
        <v>0.15</v>
      </c>
      <c r="F180" s="74">
        <v>445631</v>
      </c>
      <c r="G180" s="75"/>
      <c r="H180" s="74">
        <v>71088.740000000005</v>
      </c>
      <c r="I180" s="73">
        <v>0.15952377639796156</v>
      </c>
    </row>
    <row r="181" spans="1:9" x14ac:dyDescent="0.25">
      <c r="A181" s="70" t="s">
        <v>122</v>
      </c>
      <c r="B181" s="70" t="s">
        <v>125</v>
      </c>
      <c r="C181" s="71">
        <v>40817</v>
      </c>
      <c r="D181" s="72">
        <v>41182</v>
      </c>
      <c r="E181" s="73">
        <v>0.15</v>
      </c>
      <c r="F181" s="74"/>
      <c r="G181" s="75">
        <v>9878</v>
      </c>
      <c r="H181" s="74">
        <v>1481.7</v>
      </c>
      <c r="I181" s="73">
        <v>0.15</v>
      </c>
    </row>
    <row r="182" spans="1:9" x14ac:dyDescent="0.25">
      <c r="A182" s="70" t="s">
        <v>122</v>
      </c>
      <c r="B182" s="70" t="s">
        <v>126</v>
      </c>
      <c r="C182" s="71">
        <v>41137</v>
      </c>
      <c r="D182" s="72">
        <v>41305</v>
      </c>
      <c r="E182" s="73">
        <v>0.09</v>
      </c>
      <c r="F182" s="74">
        <v>11784</v>
      </c>
      <c r="G182" s="75"/>
      <c r="H182" s="74">
        <v>1178.4000000000001</v>
      </c>
      <c r="I182" s="73">
        <v>0.1</v>
      </c>
    </row>
    <row r="183" spans="1:9" x14ac:dyDescent="0.25">
      <c r="A183" s="70" t="s">
        <v>127</v>
      </c>
      <c r="B183" s="70" t="s">
        <v>128</v>
      </c>
      <c r="C183" s="71">
        <v>40742</v>
      </c>
      <c r="D183" s="72">
        <v>41065</v>
      </c>
      <c r="E183" s="73">
        <v>0</v>
      </c>
      <c r="F183" s="74">
        <v>0</v>
      </c>
      <c r="G183" s="75"/>
      <c r="H183" s="74">
        <v>-371325</v>
      </c>
      <c r="I183" s="73">
        <v>0</v>
      </c>
    </row>
    <row r="184" spans="1:9" x14ac:dyDescent="0.25">
      <c r="A184" s="70" t="s">
        <v>127</v>
      </c>
      <c r="B184" s="70" t="s">
        <v>129</v>
      </c>
      <c r="C184" s="71">
        <v>40812</v>
      </c>
      <c r="D184" s="72">
        <v>41121</v>
      </c>
      <c r="E184" s="73">
        <v>0</v>
      </c>
      <c r="F184" s="74">
        <v>0</v>
      </c>
      <c r="G184" s="75"/>
      <c r="H184" s="74">
        <v>-3000</v>
      </c>
      <c r="I184" s="73">
        <v>0</v>
      </c>
    </row>
    <row r="185" spans="1:9" x14ac:dyDescent="0.25">
      <c r="A185" s="70" t="s">
        <v>127</v>
      </c>
      <c r="B185" s="70" t="s">
        <v>129</v>
      </c>
      <c r="C185" s="71">
        <v>40786</v>
      </c>
      <c r="D185" s="72">
        <v>41121</v>
      </c>
      <c r="E185" s="73">
        <v>0</v>
      </c>
      <c r="F185" s="74">
        <v>0</v>
      </c>
      <c r="G185" s="75"/>
      <c r="H185" s="74">
        <v>-58402</v>
      </c>
      <c r="I185" s="73">
        <v>0</v>
      </c>
    </row>
    <row r="186" spans="1:9" x14ac:dyDescent="0.25">
      <c r="A186" s="70" t="s">
        <v>127</v>
      </c>
      <c r="B186" s="70" t="s">
        <v>88</v>
      </c>
      <c r="C186" s="71">
        <v>41172</v>
      </c>
      <c r="D186" s="72">
        <v>41182</v>
      </c>
      <c r="E186" s="73">
        <v>0</v>
      </c>
      <c r="F186" s="74">
        <v>0</v>
      </c>
      <c r="G186" s="75"/>
      <c r="H186" s="74">
        <v>0</v>
      </c>
      <c r="I186" s="73">
        <v>0</v>
      </c>
    </row>
    <row r="187" spans="1:9" x14ac:dyDescent="0.25">
      <c r="A187" s="70" t="s">
        <v>127</v>
      </c>
      <c r="B187" s="70" t="s">
        <v>88</v>
      </c>
      <c r="C187" s="71">
        <v>40806</v>
      </c>
      <c r="D187" s="72">
        <v>41171</v>
      </c>
      <c r="E187" s="73">
        <v>0</v>
      </c>
      <c r="F187" s="74">
        <v>0</v>
      </c>
      <c r="G187" s="75"/>
      <c r="H187" s="74">
        <v>-318215</v>
      </c>
      <c r="I187" s="73">
        <v>0</v>
      </c>
    </row>
    <row r="188" spans="1:9" x14ac:dyDescent="0.25">
      <c r="A188" s="76" t="s">
        <v>127</v>
      </c>
      <c r="B188" s="76" t="s">
        <v>539</v>
      </c>
      <c r="C188" s="77">
        <v>40664</v>
      </c>
      <c r="D188" s="78">
        <v>41029</v>
      </c>
      <c r="E188" s="79">
        <v>0</v>
      </c>
      <c r="F188" s="80">
        <v>0</v>
      </c>
      <c r="G188" s="88"/>
      <c r="H188" s="80">
        <v>-14224</v>
      </c>
      <c r="I188" s="79">
        <v>0</v>
      </c>
    </row>
    <row r="189" spans="1:9" x14ac:dyDescent="0.25">
      <c r="A189" s="76" t="s">
        <v>127</v>
      </c>
      <c r="B189" s="76" t="s">
        <v>1967</v>
      </c>
      <c r="C189" s="77">
        <v>40664</v>
      </c>
      <c r="D189" s="78">
        <v>41029</v>
      </c>
      <c r="E189" s="79">
        <v>0</v>
      </c>
      <c r="F189" s="80">
        <v>270</v>
      </c>
      <c r="G189" s="88"/>
      <c r="H189" s="80">
        <v>-21179</v>
      </c>
      <c r="I189" s="79">
        <v>0</v>
      </c>
    </row>
    <row r="190" spans="1:9" x14ac:dyDescent="0.25">
      <c r="A190" s="70" t="s">
        <v>130</v>
      </c>
      <c r="B190" s="70" t="s">
        <v>44</v>
      </c>
      <c r="C190" s="71">
        <v>40817</v>
      </c>
      <c r="D190" s="72">
        <v>41182</v>
      </c>
      <c r="E190" s="73">
        <v>0.126</v>
      </c>
      <c r="F190" s="74">
        <v>581038.1</v>
      </c>
      <c r="G190" s="75"/>
      <c r="H190" s="74">
        <v>82349.39</v>
      </c>
      <c r="I190" s="73">
        <v>0.14172803814414237</v>
      </c>
    </row>
    <row r="191" spans="1:9" x14ac:dyDescent="0.25">
      <c r="A191" s="70" t="s">
        <v>130</v>
      </c>
      <c r="B191" s="70" t="s">
        <v>134</v>
      </c>
      <c r="C191" s="71">
        <v>40817</v>
      </c>
      <c r="D191" s="72">
        <v>41182</v>
      </c>
      <c r="E191" s="73">
        <v>0.13500000000000001</v>
      </c>
      <c r="F191" s="74">
        <v>1527045.5</v>
      </c>
      <c r="G191" s="75"/>
      <c r="H191" s="74">
        <v>229056.82</v>
      </c>
      <c r="I191" s="73">
        <v>0.14999999672570333</v>
      </c>
    </row>
    <row r="192" spans="1:9" x14ac:dyDescent="0.25">
      <c r="A192" s="70" t="s">
        <v>130</v>
      </c>
      <c r="B192" s="70" t="s">
        <v>132</v>
      </c>
      <c r="C192" s="71">
        <v>40725</v>
      </c>
      <c r="D192" s="72">
        <v>41014</v>
      </c>
      <c r="E192" s="73">
        <v>0.108</v>
      </c>
      <c r="F192" s="74">
        <v>299821.55</v>
      </c>
      <c r="G192" s="75"/>
      <c r="H192" s="74">
        <v>36450.269999999997</v>
      </c>
      <c r="I192" s="73">
        <v>0.12157321580119908</v>
      </c>
    </row>
    <row r="193" spans="1:9" x14ac:dyDescent="0.25">
      <c r="A193" s="70" t="s">
        <v>130</v>
      </c>
      <c r="B193" s="70" t="s">
        <v>131</v>
      </c>
      <c r="C193" s="71">
        <v>40969</v>
      </c>
      <c r="D193" s="72">
        <v>41333</v>
      </c>
      <c r="E193" s="73">
        <v>0.108</v>
      </c>
      <c r="F193" s="74">
        <v>1066130.6200000001</v>
      </c>
      <c r="G193" s="75"/>
      <c r="H193" s="74">
        <v>128375.67</v>
      </c>
      <c r="I193" s="73">
        <v>0.12041270327645218</v>
      </c>
    </row>
    <row r="194" spans="1:9" x14ac:dyDescent="0.25">
      <c r="A194" s="70" t="s">
        <v>130</v>
      </c>
      <c r="B194" s="70" t="s">
        <v>135</v>
      </c>
      <c r="C194" s="71">
        <v>40603</v>
      </c>
      <c r="D194" s="72">
        <v>40968</v>
      </c>
      <c r="E194" s="73">
        <v>0.108</v>
      </c>
      <c r="F194" s="74">
        <v>1571242.21</v>
      </c>
      <c r="G194" s="75"/>
      <c r="H194" s="74">
        <v>199491.92</v>
      </c>
      <c r="I194" s="73">
        <v>0.12696446081346047</v>
      </c>
    </row>
    <row r="195" spans="1:9" x14ac:dyDescent="0.25">
      <c r="A195" s="70" t="s">
        <v>130</v>
      </c>
      <c r="B195" s="70" t="s">
        <v>133</v>
      </c>
      <c r="C195" s="95">
        <v>40794</v>
      </c>
      <c r="D195" s="96">
        <v>41159</v>
      </c>
      <c r="E195" s="97">
        <v>0.108</v>
      </c>
      <c r="F195" s="98">
        <v>840914.65</v>
      </c>
      <c r="G195" s="99"/>
      <c r="H195" s="98">
        <v>102005.36</v>
      </c>
      <c r="I195" s="73">
        <v>0.12130286944103066</v>
      </c>
    </row>
    <row r="196" spans="1:9" x14ac:dyDescent="0.25">
      <c r="A196" s="70" t="s">
        <v>130</v>
      </c>
      <c r="B196" s="70" t="s">
        <v>136</v>
      </c>
      <c r="C196" s="71">
        <v>40787</v>
      </c>
      <c r="D196" s="72">
        <v>41152</v>
      </c>
      <c r="E196" s="73">
        <v>0.14000000000000001</v>
      </c>
      <c r="F196" s="74">
        <v>306672.42</v>
      </c>
      <c r="G196" s="75"/>
      <c r="H196" s="74">
        <v>43355.96</v>
      </c>
      <c r="I196" s="73">
        <v>0.14137547810787812</v>
      </c>
    </row>
    <row r="197" spans="1:9" x14ac:dyDescent="0.25">
      <c r="A197" s="70" t="s">
        <v>130</v>
      </c>
      <c r="B197" s="70" t="s">
        <v>136</v>
      </c>
      <c r="C197" s="71">
        <v>41153</v>
      </c>
      <c r="D197" s="72">
        <v>41274</v>
      </c>
      <c r="E197" s="73">
        <v>0.126</v>
      </c>
      <c r="F197" s="74">
        <v>94937.38</v>
      </c>
      <c r="G197" s="75"/>
      <c r="H197" s="74">
        <v>13291.23</v>
      </c>
      <c r="I197" s="73">
        <v>0.13999996629357161</v>
      </c>
    </row>
    <row r="198" spans="1:9" x14ac:dyDescent="0.25">
      <c r="A198" s="70" t="s">
        <v>130</v>
      </c>
      <c r="B198" s="70" t="s">
        <v>68</v>
      </c>
      <c r="C198" s="71">
        <v>40725</v>
      </c>
      <c r="D198" s="72">
        <v>41090</v>
      </c>
      <c r="E198" s="73">
        <v>0.1</v>
      </c>
      <c r="F198" s="74">
        <v>751709.23</v>
      </c>
      <c r="G198" s="75"/>
      <c r="H198" s="74">
        <v>76363.42</v>
      </c>
      <c r="I198" s="73">
        <v>0.1015863806807321</v>
      </c>
    </row>
    <row r="199" spans="1:9" x14ac:dyDescent="0.25">
      <c r="A199" s="76" t="s">
        <v>790</v>
      </c>
      <c r="B199" s="76" t="s">
        <v>1723</v>
      </c>
      <c r="C199" s="77">
        <v>40827</v>
      </c>
      <c r="D199" s="78">
        <v>41192</v>
      </c>
      <c r="E199" s="79">
        <v>0.16</v>
      </c>
      <c r="F199" s="80">
        <v>25819</v>
      </c>
      <c r="G199" s="81"/>
      <c r="H199" s="80">
        <v>4131.04</v>
      </c>
      <c r="I199" s="73">
        <f>H199/F199</f>
        <v>0.16</v>
      </c>
    </row>
    <row r="200" spans="1:9" x14ac:dyDescent="0.25">
      <c r="A200" s="76" t="s">
        <v>790</v>
      </c>
      <c r="B200" s="76" t="s">
        <v>1723</v>
      </c>
      <c r="C200" s="77">
        <v>40827</v>
      </c>
      <c r="D200" s="78">
        <v>41192</v>
      </c>
      <c r="E200" s="79">
        <v>0.16</v>
      </c>
      <c r="F200" s="80"/>
      <c r="G200" s="81">
        <v>4968</v>
      </c>
      <c r="H200" s="80">
        <v>794.88</v>
      </c>
      <c r="I200" s="73">
        <f>H200/G200</f>
        <v>0.16</v>
      </c>
    </row>
    <row r="201" spans="1:9" x14ac:dyDescent="0.25">
      <c r="A201" s="76" t="s">
        <v>790</v>
      </c>
      <c r="B201" s="76" t="s">
        <v>1722</v>
      </c>
      <c r="C201" s="77">
        <v>40787</v>
      </c>
      <c r="D201" s="78">
        <v>41152</v>
      </c>
      <c r="E201" s="79">
        <v>0.16</v>
      </c>
      <c r="F201" s="80">
        <v>20880.04</v>
      </c>
      <c r="G201" s="81"/>
      <c r="H201" s="80">
        <v>3340.81</v>
      </c>
      <c r="I201" s="73">
        <f>H201/F201</f>
        <v>0.16000017241346279</v>
      </c>
    </row>
    <row r="202" spans="1:9" x14ac:dyDescent="0.25">
      <c r="A202" s="76" t="s">
        <v>790</v>
      </c>
      <c r="B202" s="76" t="s">
        <v>1722</v>
      </c>
      <c r="C202" s="77">
        <v>40787</v>
      </c>
      <c r="D202" s="78">
        <v>41152</v>
      </c>
      <c r="E202" s="79">
        <v>0.16</v>
      </c>
      <c r="F202" s="80"/>
      <c r="G202" s="81">
        <v>3344</v>
      </c>
      <c r="H202" s="80">
        <v>535.04</v>
      </c>
      <c r="I202" s="73">
        <f>H202/G202</f>
        <v>0.15999999999999998</v>
      </c>
    </row>
    <row r="203" spans="1:9" x14ac:dyDescent="0.25">
      <c r="A203" s="76" t="s">
        <v>790</v>
      </c>
      <c r="B203" s="76" t="s">
        <v>1721</v>
      </c>
      <c r="C203" s="77">
        <v>40849</v>
      </c>
      <c r="D203" s="78">
        <v>41214</v>
      </c>
      <c r="E203" s="79">
        <v>0.18</v>
      </c>
      <c r="F203" s="80">
        <v>57025.04</v>
      </c>
      <c r="G203" s="81"/>
      <c r="H203" s="80">
        <v>10264.51</v>
      </c>
      <c r="I203" s="73">
        <f>H203/F203</f>
        <v>0.18000004910123693</v>
      </c>
    </row>
    <row r="204" spans="1:9" x14ac:dyDescent="0.25">
      <c r="A204" s="76" t="s">
        <v>790</v>
      </c>
      <c r="B204" s="76" t="s">
        <v>1721</v>
      </c>
      <c r="C204" s="77">
        <v>40849</v>
      </c>
      <c r="D204" s="78">
        <v>41214</v>
      </c>
      <c r="E204" s="79">
        <v>0.18</v>
      </c>
      <c r="F204" s="80"/>
      <c r="G204" s="81">
        <v>9837</v>
      </c>
      <c r="H204" s="80">
        <v>1770.66</v>
      </c>
      <c r="I204" s="73">
        <f>H204/G204</f>
        <v>0.18000000000000002</v>
      </c>
    </row>
    <row r="205" spans="1:9" x14ac:dyDescent="0.25">
      <c r="A205" s="76" t="s">
        <v>790</v>
      </c>
      <c r="B205" s="100" t="s">
        <v>420</v>
      </c>
      <c r="C205" s="77">
        <v>40664</v>
      </c>
      <c r="D205" s="78">
        <v>41029</v>
      </c>
      <c r="E205" s="79">
        <v>0.18</v>
      </c>
      <c r="F205" s="80">
        <v>25463.88</v>
      </c>
      <c r="G205" s="81"/>
      <c r="H205" s="80">
        <v>4583.5</v>
      </c>
      <c r="I205" s="73">
        <f>H205/F205</f>
        <v>0.18000006283410069</v>
      </c>
    </row>
    <row r="206" spans="1:9" x14ac:dyDescent="0.25">
      <c r="A206" s="76" t="s">
        <v>790</v>
      </c>
      <c r="B206" s="76" t="s">
        <v>79</v>
      </c>
      <c r="C206" s="77">
        <v>40909</v>
      </c>
      <c r="D206" s="78">
        <v>41274</v>
      </c>
      <c r="E206" s="79">
        <v>0.15</v>
      </c>
      <c r="F206" s="80">
        <v>21621</v>
      </c>
      <c r="G206" s="81"/>
      <c r="H206" s="80">
        <v>3434.73</v>
      </c>
      <c r="I206" s="73">
        <f>H206/F206</f>
        <v>0.15886082974885529</v>
      </c>
    </row>
    <row r="207" spans="1:9" x14ac:dyDescent="0.25">
      <c r="A207" s="76" t="s">
        <v>790</v>
      </c>
      <c r="B207" s="76" t="s">
        <v>483</v>
      </c>
      <c r="C207" s="77">
        <v>40603</v>
      </c>
      <c r="D207" s="78">
        <v>40967</v>
      </c>
      <c r="E207" s="79">
        <v>0.16</v>
      </c>
      <c r="F207" s="80">
        <v>29501</v>
      </c>
      <c r="G207" s="81"/>
      <c r="H207" s="80">
        <v>4720.16</v>
      </c>
      <c r="I207" s="73">
        <f>H207/F207</f>
        <v>0.16</v>
      </c>
    </row>
    <row r="208" spans="1:9" x14ac:dyDescent="0.25">
      <c r="A208" s="76" t="s">
        <v>790</v>
      </c>
      <c r="B208" s="76" t="s">
        <v>483</v>
      </c>
      <c r="C208" s="77">
        <v>40603</v>
      </c>
      <c r="D208" s="78">
        <v>40967</v>
      </c>
      <c r="E208" s="79">
        <v>0.16</v>
      </c>
      <c r="F208" s="80"/>
      <c r="G208" s="81">
        <v>5949</v>
      </c>
      <c r="H208" s="80">
        <v>951.84</v>
      </c>
      <c r="I208" s="73">
        <f>H208/G208</f>
        <v>0.16</v>
      </c>
    </row>
    <row r="209" spans="1:9" x14ac:dyDescent="0.25">
      <c r="A209" s="76" t="s">
        <v>790</v>
      </c>
      <c r="B209" s="76" t="s">
        <v>1587</v>
      </c>
      <c r="C209" s="77">
        <v>40695</v>
      </c>
      <c r="D209" s="78">
        <v>41060</v>
      </c>
      <c r="E209" s="79">
        <v>0.15</v>
      </c>
      <c r="F209" s="80">
        <v>66082.62</v>
      </c>
      <c r="G209" s="81"/>
      <c r="H209" s="80">
        <v>9912.39</v>
      </c>
      <c r="I209" s="73">
        <f>H209/F209</f>
        <v>0.14999995460228424</v>
      </c>
    </row>
    <row r="210" spans="1:9" x14ac:dyDescent="0.25">
      <c r="A210" s="76" t="s">
        <v>790</v>
      </c>
      <c r="B210" s="76" t="s">
        <v>1587</v>
      </c>
      <c r="C210" s="77">
        <v>40695</v>
      </c>
      <c r="D210" s="78">
        <v>41060</v>
      </c>
      <c r="E210" s="79">
        <v>0.15</v>
      </c>
      <c r="F210" s="80"/>
      <c r="G210" s="81">
        <v>9672</v>
      </c>
      <c r="H210" s="80">
        <v>1450.8</v>
      </c>
      <c r="I210" s="73">
        <f>H210/G210</f>
        <v>0.15</v>
      </c>
    </row>
    <row r="211" spans="1:9" x14ac:dyDescent="0.25">
      <c r="A211" s="70" t="s">
        <v>137</v>
      </c>
      <c r="B211" s="70" t="s">
        <v>31</v>
      </c>
      <c r="C211" s="71">
        <v>40779</v>
      </c>
      <c r="D211" s="72">
        <v>41119</v>
      </c>
      <c r="E211" s="73">
        <v>0.315</v>
      </c>
      <c r="F211" s="74">
        <v>6228</v>
      </c>
      <c r="G211" s="75"/>
      <c r="H211" s="74">
        <v>2128.4</v>
      </c>
      <c r="I211" s="73">
        <v>0.34174694926140015</v>
      </c>
    </row>
    <row r="212" spans="1:9" x14ac:dyDescent="0.25">
      <c r="A212" s="70" t="s">
        <v>137</v>
      </c>
      <c r="B212" s="70" t="s">
        <v>138</v>
      </c>
      <c r="C212" s="71">
        <v>40969</v>
      </c>
      <c r="D212" s="72">
        <v>41288</v>
      </c>
      <c r="E212" s="73">
        <v>0.45</v>
      </c>
      <c r="F212" s="74">
        <v>458322.01</v>
      </c>
      <c r="G212" s="75"/>
      <c r="H212" s="74">
        <v>313188.31</v>
      </c>
      <c r="I212" s="73">
        <v>0.68333683123793243</v>
      </c>
    </row>
    <row r="213" spans="1:9" x14ac:dyDescent="0.25">
      <c r="A213" s="70" t="s">
        <v>137</v>
      </c>
      <c r="B213" s="70" t="s">
        <v>138</v>
      </c>
      <c r="C213" s="71">
        <v>40603</v>
      </c>
      <c r="D213" s="72">
        <v>40968</v>
      </c>
      <c r="E213" s="73">
        <v>0.45</v>
      </c>
      <c r="F213" s="74">
        <v>450890.83</v>
      </c>
      <c r="G213" s="75"/>
      <c r="H213" s="74">
        <v>308476.90000000002</v>
      </c>
      <c r="I213" s="73">
        <v>0.68414986394822008</v>
      </c>
    </row>
    <row r="214" spans="1:9" x14ac:dyDescent="0.25">
      <c r="A214" s="70" t="s">
        <v>137</v>
      </c>
      <c r="B214" s="70" t="s">
        <v>138</v>
      </c>
      <c r="C214" s="71">
        <v>40818</v>
      </c>
      <c r="D214" s="72">
        <v>41181</v>
      </c>
      <c r="E214" s="73">
        <v>0.45900000000000002</v>
      </c>
      <c r="F214" s="74">
        <v>154066</v>
      </c>
      <c r="G214" s="75"/>
      <c r="H214" s="74">
        <v>92268.5</v>
      </c>
      <c r="I214" s="73">
        <v>0.59888943699453479</v>
      </c>
    </row>
    <row r="215" spans="1:9" ht="28.5" x14ac:dyDescent="0.25">
      <c r="A215" s="70" t="s">
        <v>137</v>
      </c>
      <c r="B215" s="70" t="s">
        <v>111</v>
      </c>
      <c r="C215" s="71">
        <v>40752</v>
      </c>
      <c r="D215" s="72">
        <v>41104</v>
      </c>
      <c r="E215" s="73">
        <v>0.315</v>
      </c>
      <c r="F215" s="74">
        <v>8650</v>
      </c>
      <c r="G215" s="75"/>
      <c r="H215" s="74">
        <v>7029.55</v>
      </c>
      <c r="I215" s="73">
        <v>0.81266473988439314</v>
      </c>
    </row>
    <row r="216" spans="1:9" x14ac:dyDescent="0.25">
      <c r="A216" s="70" t="s">
        <v>137</v>
      </c>
      <c r="B216" s="70" t="s">
        <v>139</v>
      </c>
      <c r="C216" s="71">
        <v>40802</v>
      </c>
      <c r="D216" s="72">
        <v>41167</v>
      </c>
      <c r="E216" s="73">
        <v>0.68400000000000005</v>
      </c>
      <c r="F216" s="74">
        <v>2069803</v>
      </c>
      <c r="G216" s="75"/>
      <c r="H216" s="74">
        <v>1510149.37</v>
      </c>
      <c r="I216" s="73">
        <v>0.72961019478665368</v>
      </c>
    </row>
    <row r="217" spans="1:9" x14ac:dyDescent="0.25">
      <c r="A217" s="70" t="s">
        <v>137</v>
      </c>
      <c r="B217" s="70" t="s">
        <v>102</v>
      </c>
      <c r="C217" s="71">
        <v>40722</v>
      </c>
      <c r="D217" s="72">
        <v>41002</v>
      </c>
      <c r="E217" s="73">
        <v>0.315</v>
      </c>
      <c r="F217" s="74">
        <v>1150</v>
      </c>
      <c r="G217" s="75"/>
      <c r="H217" s="74">
        <v>255.4</v>
      </c>
      <c r="I217" s="73">
        <v>0.22208695652173913</v>
      </c>
    </row>
    <row r="218" spans="1:9" x14ac:dyDescent="0.25">
      <c r="A218" s="76" t="s">
        <v>1724</v>
      </c>
      <c r="B218" s="76" t="s">
        <v>1725</v>
      </c>
      <c r="C218" s="77">
        <v>41000</v>
      </c>
      <c r="D218" s="78">
        <v>41364</v>
      </c>
      <c r="E218" s="79">
        <v>8.9999999999999993E-3</v>
      </c>
      <c r="F218" s="80">
        <v>3459680</v>
      </c>
      <c r="G218" s="81"/>
      <c r="H218" s="80">
        <v>445667</v>
      </c>
      <c r="I218" s="73">
        <f>H218/F218</f>
        <v>0.12881740507792627</v>
      </c>
    </row>
    <row r="219" spans="1:9" x14ac:dyDescent="0.25">
      <c r="A219" s="76" t="s">
        <v>1724</v>
      </c>
      <c r="B219" s="76" t="s">
        <v>1725</v>
      </c>
      <c r="C219" s="77">
        <v>41000</v>
      </c>
      <c r="D219" s="78">
        <v>41364</v>
      </c>
      <c r="E219" s="79">
        <v>8.9999999999999993E-3</v>
      </c>
      <c r="F219" s="80"/>
      <c r="G219" s="81">
        <v>140298</v>
      </c>
      <c r="H219" s="80">
        <v>18074</v>
      </c>
      <c r="I219" s="73">
        <f>H219/G219</f>
        <v>0.1288257851145419</v>
      </c>
    </row>
    <row r="220" spans="1:9" x14ac:dyDescent="0.25">
      <c r="A220" s="70" t="s">
        <v>140</v>
      </c>
      <c r="B220" s="70" t="s">
        <v>141</v>
      </c>
      <c r="C220" s="71">
        <v>40742</v>
      </c>
      <c r="D220" s="72">
        <v>41060</v>
      </c>
      <c r="E220" s="73">
        <v>0.125</v>
      </c>
      <c r="F220" s="74">
        <v>2721833.07</v>
      </c>
      <c r="G220" s="75"/>
      <c r="H220" s="74">
        <v>353656.78</v>
      </c>
      <c r="I220" s="73">
        <v>0.12993330998068889</v>
      </c>
    </row>
    <row r="221" spans="1:9" x14ac:dyDescent="0.25">
      <c r="A221" s="70" t="s">
        <v>140</v>
      </c>
      <c r="B221" s="70" t="s">
        <v>141</v>
      </c>
      <c r="C221" s="71">
        <v>40664</v>
      </c>
      <c r="D221" s="72">
        <v>41029</v>
      </c>
      <c r="E221" s="73">
        <v>0.09</v>
      </c>
      <c r="F221" s="74">
        <v>347876.38</v>
      </c>
      <c r="G221" s="75"/>
      <c r="H221" s="74">
        <v>179411.7</v>
      </c>
      <c r="I221" s="73">
        <v>0.51573406622202977</v>
      </c>
    </row>
    <row r="222" spans="1:9" x14ac:dyDescent="0.25">
      <c r="A222" s="70" t="s">
        <v>140</v>
      </c>
      <c r="B222" s="70" t="s">
        <v>141</v>
      </c>
      <c r="C222" s="71">
        <v>40664</v>
      </c>
      <c r="D222" s="72">
        <v>41029</v>
      </c>
      <c r="E222" s="73">
        <v>0.09</v>
      </c>
      <c r="F222" s="74"/>
      <c r="G222" s="75">
        <v>21319</v>
      </c>
      <c r="H222" s="74">
        <v>11873.76</v>
      </c>
      <c r="I222" s="73">
        <v>0.55695670528636432</v>
      </c>
    </row>
    <row r="223" spans="1:9" x14ac:dyDescent="0.25">
      <c r="A223" s="70" t="s">
        <v>140</v>
      </c>
      <c r="B223" s="70" t="s">
        <v>141</v>
      </c>
      <c r="C223" s="71">
        <v>40742</v>
      </c>
      <c r="D223" s="72">
        <v>41060</v>
      </c>
      <c r="E223" s="73">
        <v>0.125</v>
      </c>
      <c r="F223" s="74"/>
      <c r="G223" s="75">
        <v>15409.97</v>
      </c>
      <c r="H223" s="74">
        <v>2090.79</v>
      </c>
      <c r="I223" s="73">
        <v>0.13567774629022639</v>
      </c>
    </row>
    <row r="224" spans="1:9" x14ac:dyDescent="0.25">
      <c r="A224" s="70" t="s">
        <v>140</v>
      </c>
      <c r="B224" s="70" t="s">
        <v>143</v>
      </c>
      <c r="C224" s="71">
        <v>40931</v>
      </c>
      <c r="D224" s="72">
        <v>41121</v>
      </c>
      <c r="E224" s="73">
        <v>0.125</v>
      </c>
      <c r="F224" s="74">
        <v>178797.94</v>
      </c>
      <c r="G224" s="75"/>
      <c r="H224" s="74">
        <v>23286.639999999999</v>
      </c>
      <c r="I224" s="73">
        <v>0.130239979274929</v>
      </c>
    </row>
    <row r="225" spans="1:9" x14ac:dyDescent="0.25">
      <c r="A225" s="70" t="s">
        <v>140</v>
      </c>
      <c r="B225" s="70" t="s">
        <v>143</v>
      </c>
      <c r="C225" s="71">
        <v>40931</v>
      </c>
      <c r="D225" s="72">
        <v>41121</v>
      </c>
      <c r="E225" s="73">
        <v>0.125</v>
      </c>
      <c r="F225" s="74"/>
      <c r="G225" s="75">
        <v>254.56</v>
      </c>
      <c r="H225" s="74">
        <v>31.82</v>
      </c>
      <c r="I225" s="73">
        <v>0.125</v>
      </c>
    </row>
    <row r="226" spans="1:9" x14ac:dyDescent="0.25">
      <c r="A226" s="70" t="s">
        <v>140</v>
      </c>
      <c r="B226" s="70" t="s">
        <v>142</v>
      </c>
      <c r="C226" s="71">
        <v>40909</v>
      </c>
      <c r="D226" s="72">
        <v>41274</v>
      </c>
      <c r="E226" s="73">
        <v>0.125</v>
      </c>
      <c r="F226" s="74">
        <v>972020.15</v>
      </c>
      <c r="G226" s="75"/>
      <c r="H226" s="74">
        <v>133158.56</v>
      </c>
      <c r="I226" s="73">
        <v>0.13699156339505925</v>
      </c>
    </row>
    <row r="227" spans="1:9" x14ac:dyDescent="0.25">
      <c r="A227" s="70" t="s">
        <v>140</v>
      </c>
      <c r="B227" s="70" t="s">
        <v>142</v>
      </c>
      <c r="C227" s="71">
        <v>40909</v>
      </c>
      <c r="D227" s="72">
        <v>41274</v>
      </c>
      <c r="E227" s="73">
        <v>0.125</v>
      </c>
      <c r="F227" s="74"/>
      <c r="G227" s="75">
        <v>972020.15</v>
      </c>
      <c r="H227" s="74">
        <v>133158.56</v>
      </c>
      <c r="I227" s="73">
        <v>0.13699156339505925</v>
      </c>
    </row>
    <row r="228" spans="1:9" x14ac:dyDescent="0.25">
      <c r="A228" s="70" t="s">
        <v>144</v>
      </c>
      <c r="B228" s="70" t="s">
        <v>145</v>
      </c>
      <c r="C228" s="71">
        <v>41000</v>
      </c>
      <c r="D228" s="72">
        <v>41065</v>
      </c>
      <c r="E228" s="73">
        <v>0.2</v>
      </c>
      <c r="F228" s="74">
        <v>102535.59</v>
      </c>
      <c r="G228" s="75"/>
      <c r="H228" s="74">
        <v>6535.59</v>
      </c>
      <c r="I228" s="73">
        <v>6.3739721983362072E-2</v>
      </c>
    </row>
    <row r="229" spans="1:9" x14ac:dyDescent="0.25">
      <c r="A229" s="70" t="s">
        <v>144</v>
      </c>
      <c r="B229" s="70" t="s">
        <v>145</v>
      </c>
      <c r="C229" s="71">
        <v>41000</v>
      </c>
      <c r="D229" s="72">
        <v>41065</v>
      </c>
      <c r="E229" s="73">
        <v>0.2</v>
      </c>
      <c r="F229" s="74"/>
      <c r="G229" s="75">
        <v>2440</v>
      </c>
      <c r="H229" s="74">
        <v>2074</v>
      </c>
      <c r="I229" s="73">
        <v>0.85</v>
      </c>
    </row>
    <row r="230" spans="1:9" x14ac:dyDescent="0.25">
      <c r="A230" s="70" t="s">
        <v>146</v>
      </c>
      <c r="B230" s="70" t="s">
        <v>154</v>
      </c>
      <c r="C230" s="71">
        <v>40725</v>
      </c>
      <c r="D230" s="72">
        <v>41090</v>
      </c>
      <c r="E230" s="101">
        <v>4.4999999999999999E-4</v>
      </c>
      <c r="F230" s="74">
        <v>36136.5</v>
      </c>
      <c r="G230" s="75"/>
      <c r="H230" s="74">
        <v>15311.03</v>
      </c>
      <c r="I230" s="73">
        <v>0.42369986025209971</v>
      </c>
    </row>
    <row r="231" spans="1:9" x14ac:dyDescent="0.25">
      <c r="A231" s="70" t="s">
        <v>146</v>
      </c>
      <c r="B231" s="70" t="s">
        <v>170</v>
      </c>
      <c r="C231" s="71">
        <v>41026</v>
      </c>
      <c r="D231" s="72">
        <v>41333</v>
      </c>
      <c r="E231" s="101">
        <v>4.4999999999999999E-4</v>
      </c>
      <c r="F231" s="74">
        <v>0</v>
      </c>
      <c r="G231" s="75"/>
      <c r="H231" s="74">
        <v>0</v>
      </c>
      <c r="I231" s="73">
        <v>0</v>
      </c>
    </row>
    <row r="232" spans="1:9" x14ac:dyDescent="0.25">
      <c r="A232" s="70" t="s">
        <v>146</v>
      </c>
      <c r="B232" s="70" t="s">
        <v>152</v>
      </c>
      <c r="C232" s="71">
        <v>40695</v>
      </c>
      <c r="D232" s="72">
        <v>41060</v>
      </c>
      <c r="E232" s="101">
        <v>4.4999999999999999E-4</v>
      </c>
      <c r="F232" s="74">
        <v>482053.5</v>
      </c>
      <c r="G232" s="75"/>
      <c r="H232" s="74">
        <v>355710.51</v>
      </c>
      <c r="I232" s="73">
        <v>0.73790670537606307</v>
      </c>
    </row>
    <row r="233" spans="1:9" x14ac:dyDescent="0.25">
      <c r="A233" s="70" t="s">
        <v>146</v>
      </c>
      <c r="B233" s="70" t="s">
        <v>169</v>
      </c>
      <c r="C233" s="71">
        <v>40991</v>
      </c>
      <c r="D233" s="72">
        <v>41333</v>
      </c>
      <c r="E233" s="101">
        <v>4.4999999999999999E-4</v>
      </c>
      <c r="F233" s="74">
        <v>3172.44</v>
      </c>
      <c r="G233" s="75"/>
      <c r="H233" s="74">
        <v>-8283.7099999999991</v>
      </c>
      <c r="I233" s="73">
        <v>-2.6111478861696358</v>
      </c>
    </row>
    <row r="234" spans="1:9" x14ac:dyDescent="0.25">
      <c r="A234" s="70" t="s">
        <v>146</v>
      </c>
      <c r="B234" s="70" t="s">
        <v>153</v>
      </c>
      <c r="C234" s="71">
        <v>40725</v>
      </c>
      <c r="D234" s="72">
        <v>41090</v>
      </c>
      <c r="E234" s="101">
        <v>4.4999999999999999E-4</v>
      </c>
      <c r="F234" s="74">
        <v>4742</v>
      </c>
      <c r="G234" s="75"/>
      <c r="H234" s="74">
        <v>-2083.09</v>
      </c>
      <c r="I234" s="73">
        <v>-0.43928511176718688</v>
      </c>
    </row>
    <row r="235" spans="1:9" x14ac:dyDescent="0.25">
      <c r="A235" s="102" t="s">
        <v>146</v>
      </c>
      <c r="B235" s="102" t="s">
        <v>155</v>
      </c>
      <c r="C235" s="103">
        <v>40725</v>
      </c>
      <c r="D235" s="104">
        <v>41090</v>
      </c>
      <c r="E235" s="101">
        <v>4.4999999999999999E-4</v>
      </c>
      <c r="F235" s="105">
        <v>126358.74</v>
      </c>
      <c r="G235" s="106"/>
      <c r="H235" s="105">
        <v>33299.01</v>
      </c>
      <c r="I235" s="107">
        <v>0.26352755654258664</v>
      </c>
    </row>
    <row r="236" spans="1:9" x14ac:dyDescent="0.25">
      <c r="A236" s="70" t="s">
        <v>146</v>
      </c>
      <c r="B236" s="70" t="s">
        <v>161</v>
      </c>
      <c r="C236" s="71">
        <v>40990</v>
      </c>
      <c r="D236" s="72">
        <v>41274</v>
      </c>
      <c r="E236" s="101">
        <v>4.4999999999999999E-4</v>
      </c>
      <c r="F236" s="74">
        <v>224345.67</v>
      </c>
      <c r="G236" s="75"/>
      <c r="H236" s="74">
        <v>-39718.720000000001</v>
      </c>
      <c r="I236" s="73">
        <v>-0.17704250766239438</v>
      </c>
    </row>
    <row r="237" spans="1:9" x14ac:dyDescent="0.25">
      <c r="A237" s="70" t="s">
        <v>146</v>
      </c>
      <c r="B237" s="70" t="s">
        <v>159</v>
      </c>
      <c r="C237" s="71">
        <v>40852</v>
      </c>
      <c r="D237" s="72">
        <v>41217</v>
      </c>
      <c r="E237" s="73">
        <v>0</v>
      </c>
      <c r="F237" s="74">
        <v>0</v>
      </c>
      <c r="G237" s="75"/>
      <c r="H237" s="74">
        <v>0</v>
      </c>
      <c r="I237" s="73">
        <v>0</v>
      </c>
    </row>
    <row r="238" spans="1:9" x14ac:dyDescent="0.25">
      <c r="A238" s="70" t="s">
        <v>146</v>
      </c>
      <c r="B238" s="70" t="s">
        <v>9</v>
      </c>
      <c r="C238" s="71">
        <v>40655</v>
      </c>
      <c r="D238" s="72">
        <v>41020</v>
      </c>
      <c r="E238" s="73">
        <v>8.9999999999999993E-3</v>
      </c>
      <c r="F238" s="74">
        <v>135108.45000000001</v>
      </c>
      <c r="G238" s="75"/>
      <c r="H238" s="74">
        <v>0</v>
      </c>
      <c r="I238" s="73">
        <v>0</v>
      </c>
    </row>
    <row r="239" spans="1:9" x14ac:dyDescent="0.25">
      <c r="A239" s="70" t="s">
        <v>146</v>
      </c>
      <c r="B239" s="70" t="s">
        <v>9</v>
      </c>
      <c r="C239" s="71">
        <v>40655</v>
      </c>
      <c r="D239" s="72">
        <v>41020</v>
      </c>
      <c r="E239" s="73">
        <v>8.9999999999999993E-3</v>
      </c>
      <c r="F239" s="74"/>
      <c r="G239" s="75">
        <v>7156</v>
      </c>
      <c r="H239" s="74">
        <v>0</v>
      </c>
      <c r="I239" s="73">
        <v>0</v>
      </c>
    </row>
    <row r="240" spans="1:9" x14ac:dyDescent="0.25">
      <c r="A240" s="70" t="s">
        <v>146</v>
      </c>
      <c r="B240" s="70" t="s">
        <v>158</v>
      </c>
      <c r="C240" s="71">
        <v>40841</v>
      </c>
      <c r="D240" s="72">
        <v>41207</v>
      </c>
      <c r="E240" s="101">
        <v>4.4999999999999999E-4</v>
      </c>
      <c r="F240" s="74">
        <v>0</v>
      </c>
      <c r="G240" s="75"/>
      <c r="H240" s="74">
        <v>0</v>
      </c>
      <c r="I240" s="73">
        <v>0</v>
      </c>
    </row>
    <row r="241" spans="1:9" x14ac:dyDescent="0.25">
      <c r="A241" s="70" t="s">
        <v>146</v>
      </c>
      <c r="B241" s="70" t="s">
        <v>147</v>
      </c>
      <c r="C241" s="71">
        <v>40590</v>
      </c>
      <c r="D241" s="72">
        <v>40939</v>
      </c>
      <c r="E241" s="101">
        <v>4.4999999999999999E-4</v>
      </c>
      <c r="F241" s="74">
        <v>92903.18</v>
      </c>
      <c r="G241" s="75"/>
      <c r="H241" s="74">
        <v>45244.91</v>
      </c>
      <c r="I241" s="73">
        <v>0.48701142415146614</v>
      </c>
    </row>
    <row r="242" spans="1:9" x14ac:dyDescent="0.25">
      <c r="A242" s="70" t="s">
        <v>146</v>
      </c>
      <c r="B242" s="70" t="s">
        <v>147</v>
      </c>
      <c r="C242" s="71">
        <v>40940</v>
      </c>
      <c r="D242" s="72">
        <v>41305</v>
      </c>
      <c r="E242" s="101">
        <v>4.4999999999999999E-4</v>
      </c>
      <c r="F242" s="74">
        <v>52766</v>
      </c>
      <c r="G242" s="75"/>
      <c r="H242" s="74">
        <v>-61439.46</v>
      </c>
      <c r="I242" s="73">
        <v>-1.1643759238903839</v>
      </c>
    </row>
    <row r="243" spans="1:9" x14ac:dyDescent="0.25">
      <c r="A243" s="70" t="s">
        <v>146</v>
      </c>
      <c r="B243" s="70" t="s">
        <v>94</v>
      </c>
      <c r="C243" s="71">
        <v>40641</v>
      </c>
      <c r="D243" s="72">
        <v>40982</v>
      </c>
      <c r="E243" s="101">
        <v>4.4999999999999999E-4</v>
      </c>
      <c r="F243" s="74">
        <v>70560</v>
      </c>
      <c r="G243" s="75">
        <v>46628</v>
      </c>
      <c r="H243" s="74">
        <v>9912.1299999999992</v>
      </c>
      <c r="I243" s="73">
        <v>0.14047803287981858</v>
      </c>
    </row>
    <row r="244" spans="1:9" x14ac:dyDescent="0.25">
      <c r="A244" s="70" t="s">
        <v>146</v>
      </c>
      <c r="B244" s="70" t="s">
        <v>163</v>
      </c>
      <c r="C244" s="71">
        <v>41093</v>
      </c>
      <c r="D244" s="72">
        <v>41182</v>
      </c>
      <c r="E244" s="73">
        <v>0.45</v>
      </c>
      <c r="F244" s="74">
        <v>125787.3</v>
      </c>
      <c r="G244" s="75"/>
      <c r="H244" s="74">
        <v>40224.800000000003</v>
      </c>
      <c r="I244" s="73">
        <v>0.31978427074911381</v>
      </c>
    </row>
    <row r="245" spans="1:9" x14ac:dyDescent="0.25">
      <c r="A245" s="70" t="s">
        <v>146</v>
      </c>
      <c r="B245" s="70" t="s">
        <v>166</v>
      </c>
      <c r="C245" s="71">
        <v>40817</v>
      </c>
      <c r="D245" s="72">
        <v>41182</v>
      </c>
      <c r="E245" s="101">
        <v>4.4999999999999999E-4</v>
      </c>
      <c r="F245" s="74">
        <v>3305.66</v>
      </c>
      <c r="G245" s="75"/>
      <c r="H245" s="74">
        <v>-72</v>
      </c>
      <c r="I245" s="73">
        <v>-2.1780824404203699E-2</v>
      </c>
    </row>
    <row r="246" spans="1:9" x14ac:dyDescent="0.25">
      <c r="A246" s="70" t="s">
        <v>146</v>
      </c>
      <c r="B246" s="70" t="s">
        <v>167</v>
      </c>
      <c r="C246" s="71">
        <v>40823</v>
      </c>
      <c r="D246" s="72">
        <v>41151</v>
      </c>
      <c r="E246" s="101">
        <v>4.4999999999999999E-4</v>
      </c>
      <c r="F246" s="74">
        <v>126412.88</v>
      </c>
      <c r="G246" s="75"/>
      <c r="H246" s="74">
        <v>19586.21</v>
      </c>
      <c r="I246" s="73">
        <v>0.15493840501062864</v>
      </c>
    </row>
    <row r="247" spans="1:9" x14ac:dyDescent="0.25">
      <c r="A247" s="70" t="s">
        <v>146</v>
      </c>
      <c r="B247" s="70" t="s">
        <v>165</v>
      </c>
      <c r="C247" s="71">
        <v>40773</v>
      </c>
      <c r="D247" s="72">
        <v>41090</v>
      </c>
      <c r="E247" s="101">
        <v>4.4999999999999999E-4</v>
      </c>
      <c r="F247" s="74">
        <v>20991</v>
      </c>
      <c r="G247" s="75"/>
      <c r="H247" s="74">
        <v>-4378.3900000000003</v>
      </c>
      <c r="I247" s="73">
        <v>-0.20858415511409653</v>
      </c>
    </row>
    <row r="248" spans="1:9" x14ac:dyDescent="0.25">
      <c r="A248" s="70" t="s">
        <v>146</v>
      </c>
      <c r="B248" s="70" t="s">
        <v>164</v>
      </c>
      <c r="C248" s="71">
        <v>40725</v>
      </c>
      <c r="D248" s="72">
        <v>41060</v>
      </c>
      <c r="E248" s="101">
        <v>4.4999999999999999E-4</v>
      </c>
      <c r="F248" s="74">
        <v>358417.24</v>
      </c>
      <c r="G248" s="75"/>
      <c r="H248" s="74">
        <v>157412.82</v>
      </c>
      <c r="I248" s="73">
        <v>0.43918875107681765</v>
      </c>
    </row>
    <row r="249" spans="1:9" x14ac:dyDescent="0.25">
      <c r="A249" s="76" t="s">
        <v>146</v>
      </c>
      <c r="B249" s="76" t="s">
        <v>206</v>
      </c>
      <c r="C249" s="77">
        <v>40876</v>
      </c>
      <c r="D249" s="78">
        <v>41241</v>
      </c>
      <c r="E249" s="108">
        <v>4.4999999999999999E-4</v>
      </c>
      <c r="F249" s="80">
        <v>4339.84</v>
      </c>
      <c r="G249" s="81"/>
      <c r="H249" s="80">
        <v>-1800.38</v>
      </c>
      <c r="I249" s="79">
        <f>H249/F249</f>
        <v>-0.41484939536941456</v>
      </c>
    </row>
    <row r="250" spans="1:9" x14ac:dyDescent="0.25">
      <c r="A250" s="70" t="s">
        <v>146</v>
      </c>
      <c r="B250" s="70" t="s">
        <v>156</v>
      </c>
      <c r="C250" s="71">
        <v>40815</v>
      </c>
      <c r="D250" s="72">
        <v>41180</v>
      </c>
      <c r="E250" s="101">
        <v>4.4999999999999999E-4</v>
      </c>
      <c r="F250" s="74">
        <v>128205</v>
      </c>
      <c r="G250" s="75"/>
      <c r="H250" s="74">
        <v>27064.89</v>
      </c>
      <c r="I250" s="73">
        <v>0.21110635310635309</v>
      </c>
    </row>
    <row r="251" spans="1:9" x14ac:dyDescent="0.25">
      <c r="A251" s="70" t="s">
        <v>146</v>
      </c>
      <c r="B251" s="70" t="s">
        <v>149</v>
      </c>
      <c r="C251" s="71">
        <v>40575</v>
      </c>
      <c r="D251" s="72">
        <v>40939</v>
      </c>
      <c r="E251" s="101">
        <v>4.4999999999999999E-4</v>
      </c>
      <c r="F251" s="74">
        <v>119726.91</v>
      </c>
      <c r="G251" s="75"/>
      <c r="H251" s="74">
        <v>54097.599999999999</v>
      </c>
      <c r="I251" s="73">
        <v>0.45184161188157279</v>
      </c>
    </row>
    <row r="252" spans="1:9" x14ac:dyDescent="0.25">
      <c r="A252" s="70" t="s">
        <v>146</v>
      </c>
      <c r="B252" s="70" t="s">
        <v>149</v>
      </c>
      <c r="C252" s="71">
        <v>40940</v>
      </c>
      <c r="D252" s="72">
        <v>41305</v>
      </c>
      <c r="E252" s="101">
        <v>4.4999999999999999E-4</v>
      </c>
      <c r="F252" s="74">
        <v>106771.18</v>
      </c>
      <c r="G252" s="75"/>
      <c r="H252" s="74">
        <v>41769.97</v>
      </c>
      <c r="I252" s="73">
        <v>0.39121015614887844</v>
      </c>
    </row>
    <row r="253" spans="1:9" x14ac:dyDescent="0.25">
      <c r="A253" s="70" t="s">
        <v>146</v>
      </c>
      <c r="B253" s="70" t="s">
        <v>168</v>
      </c>
      <c r="C253" s="71">
        <v>40849</v>
      </c>
      <c r="D253" s="72">
        <v>41182</v>
      </c>
      <c r="E253" s="101">
        <v>4.4999999999999999E-4</v>
      </c>
      <c r="F253" s="74">
        <v>939</v>
      </c>
      <c r="G253" s="75"/>
      <c r="H253" s="74">
        <v>-1057.7</v>
      </c>
      <c r="I253" s="73">
        <v>-1.1264110756123535</v>
      </c>
    </row>
    <row r="254" spans="1:9" x14ac:dyDescent="0.25">
      <c r="A254" s="70" t="s">
        <v>146</v>
      </c>
      <c r="B254" s="70" t="s">
        <v>157</v>
      </c>
      <c r="C254" s="71">
        <v>40841</v>
      </c>
      <c r="D254" s="72">
        <v>41206</v>
      </c>
      <c r="E254" s="101">
        <v>4.4999999999999999E-4</v>
      </c>
      <c r="F254" s="74">
        <v>91631.64</v>
      </c>
      <c r="G254" s="75"/>
      <c r="H254" s="74">
        <v>149.4</v>
      </c>
      <c r="I254" s="73">
        <v>1.6304411882183927E-3</v>
      </c>
    </row>
    <row r="255" spans="1:9" x14ac:dyDescent="0.25">
      <c r="A255" s="70" t="s">
        <v>146</v>
      </c>
      <c r="B255" s="70" t="s">
        <v>150</v>
      </c>
      <c r="C255" s="71">
        <v>40646</v>
      </c>
      <c r="D255" s="72">
        <v>40999</v>
      </c>
      <c r="E255" s="101">
        <v>4.4999999999999999E-4</v>
      </c>
      <c r="F255" s="74">
        <v>11590</v>
      </c>
      <c r="G255" s="75"/>
      <c r="H255" s="74">
        <v>-12016.92</v>
      </c>
      <c r="I255" s="73">
        <v>-1.0368352027610008</v>
      </c>
    </row>
    <row r="256" spans="1:9" x14ac:dyDescent="0.25">
      <c r="A256" s="70" t="s">
        <v>146</v>
      </c>
      <c r="B256" s="70" t="s">
        <v>81</v>
      </c>
      <c r="C256" s="71">
        <v>40913</v>
      </c>
      <c r="D256" s="72">
        <v>41263</v>
      </c>
      <c r="E256" s="101">
        <v>4.4999999999999999E-4</v>
      </c>
      <c r="F256" s="74">
        <v>395</v>
      </c>
      <c r="G256" s="75"/>
      <c r="H256" s="74">
        <v>-15353</v>
      </c>
      <c r="I256" s="73">
        <f>H256/F256</f>
        <v>-38.868354430379746</v>
      </c>
    </row>
    <row r="257" spans="1:9" x14ac:dyDescent="0.25">
      <c r="A257" s="70" t="s">
        <v>146</v>
      </c>
      <c r="B257" s="70" t="s">
        <v>148</v>
      </c>
      <c r="C257" s="71">
        <v>40592</v>
      </c>
      <c r="D257" s="72">
        <v>40939</v>
      </c>
      <c r="E257" s="101">
        <v>4.4999999999999999E-4</v>
      </c>
      <c r="F257" s="74">
        <v>764720.8</v>
      </c>
      <c r="G257" s="75"/>
      <c r="H257" s="74">
        <v>215267.37</v>
      </c>
      <c r="I257" s="73">
        <v>0.28149799246993151</v>
      </c>
    </row>
    <row r="258" spans="1:9" x14ac:dyDescent="0.25">
      <c r="A258" s="70" t="s">
        <v>146</v>
      </c>
      <c r="B258" s="70" t="s">
        <v>148</v>
      </c>
      <c r="C258" s="71">
        <v>40940</v>
      </c>
      <c r="D258" s="72">
        <v>41305</v>
      </c>
      <c r="E258" s="101">
        <v>4.4999999999999999E-4</v>
      </c>
      <c r="F258" s="74">
        <v>135352.95999999999</v>
      </c>
      <c r="G258" s="75"/>
      <c r="H258" s="74">
        <v>-19751.830000000002</v>
      </c>
      <c r="I258" s="73">
        <v>-0.14592831955799121</v>
      </c>
    </row>
    <row r="259" spans="1:9" x14ac:dyDescent="0.25">
      <c r="A259" s="70" t="s">
        <v>146</v>
      </c>
      <c r="B259" s="70" t="s">
        <v>162</v>
      </c>
      <c r="C259" s="71">
        <v>40676</v>
      </c>
      <c r="D259" s="72">
        <v>41029</v>
      </c>
      <c r="E259" s="101">
        <v>4.4999999999999999E-4</v>
      </c>
      <c r="F259" s="74">
        <v>8815</v>
      </c>
      <c r="G259" s="75"/>
      <c r="H259" s="74">
        <v>-3294.46</v>
      </c>
      <c r="I259" s="73">
        <v>-0.37373340896199658</v>
      </c>
    </row>
    <row r="260" spans="1:9" x14ac:dyDescent="0.25">
      <c r="A260" s="76" t="s">
        <v>171</v>
      </c>
      <c r="B260" s="76" t="s">
        <v>208</v>
      </c>
      <c r="C260" s="77">
        <v>40891</v>
      </c>
      <c r="D260" s="78">
        <v>41206</v>
      </c>
      <c r="E260" s="79">
        <v>1.7999999999999999E-2</v>
      </c>
      <c r="F260" s="80">
        <v>27179</v>
      </c>
      <c r="G260" s="81"/>
      <c r="H260" s="80">
        <v>1776</v>
      </c>
      <c r="I260" s="79">
        <f>H260/F260</f>
        <v>6.5344567496964573E-2</v>
      </c>
    </row>
    <row r="261" spans="1:9" x14ac:dyDescent="0.25">
      <c r="A261" s="76" t="s">
        <v>171</v>
      </c>
      <c r="B261" s="76" t="s">
        <v>208</v>
      </c>
      <c r="C261" s="77">
        <v>40891</v>
      </c>
      <c r="D261" s="78">
        <v>41206</v>
      </c>
      <c r="E261" s="79">
        <v>1.7999999999999999E-2</v>
      </c>
      <c r="F261" s="80"/>
      <c r="G261" s="81">
        <v>635</v>
      </c>
      <c r="H261" s="80">
        <v>6</v>
      </c>
      <c r="I261" s="79">
        <f>H261/G261</f>
        <v>9.4488188976377951E-3</v>
      </c>
    </row>
    <row r="262" spans="1:9" x14ac:dyDescent="0.25">
      <c r="A262" s="76" t="s">
        <v>171</v>
      </c>
      <c r="B262" s="76" t="s">
        <v>213</v>
      </c>
      <c r="C262" s="77">
        <v>40962</v>
      </c>
      <c r="D262" s="78">
        <v>41274</v>
      </c>
      <c r="E262" s="79">
        <v>1.7999999999999999E-2</v>
      </c>
      <c r="F262" s="80">
        <v>228334</v>
      </c>
      <c r="G262" s="81"/>
      <c r="H262" s="80">
        <v>188035</v>
      </c>
      <c r="I262" s="79">
        <f>H262/F262</f>
        <v>0.82350854450059996</v>
      </c>
    </row>
    <row r="263" spans="1:9" x14ac:dyDescent="0.25">
      <c r="A263" s="70" t="s">
        <v>171</v>
      </c>
      <c r="B263" s="70" t="s">
        <v>33</v>
      </c>
      <c r="C263" s="71">
        <v>40729</v>
      </c>
      <c r="D263" s="72">
        <v>41060</v>
      </c>
      <c r="E263" s="73">
        <v>1.7999999999999999E-2</v>
      </c>
      <c r="F263" s="74">
        <v>479860.5</v>
      </c>
      <c r="G263" s="75"/>
      <c r="H263" s="74">
        <v>227459.92</v>
      </c>
      <c r="I263" s="79">
        <f>H263/F263</f>
        <v>0.47401259324324468</v>
      </c>
    </row>
    <row r="264" spans="1:9" x14ac:dyDescent="0.25">
      <c r="A264" s="70" t="s">
        <v>171</v>
      </c>
      <c r="B264" s="70" t="s">
        <v>196</v>
      </c>
      <c r="C264" s="71">
        <v>40631</v>
      </c>
      <c r="D264" s="72">
        <v>40968</v>
      </c>
      <c r="E264" s="73">
        <v>1.7999999999999999E-2</v>
      </c>
      <c r="F264" s="74">
        <v>27885</v>
      </c>
      <c r="G264" s="75"/>
      <c r="H264" s="74">
        <v>6906.54</v>
      </c>
      <c r="I264" s="73">
        <v>0.24767939752555138</v>
      </c>
    </row>
    <row r="265" spans="1:9" x14ac:dyDescent="0.25">
      <c r="A265" s="76" t="s">
        <v>171</v>
      </c>
      <c r="B265" s="76" t="s">
        <v>196</v>
      </c>
      <c r="C265" s="77">
        <v>40981</v>
      </c>
      <c r="D265" s="78">
        <v>41333</v>
      </c>
      <c r="E265" s="79">
        <v>1.7999999999999999E-2</v>
      </c>
      <c r="F265" s="80">
        <v>0</v>
      </c>
      <c r="G265" s="81"/>
      <c r="H265" s="80">
        <v>0</v>
      </c>
      <c r="I265" s="79">
        <v>0</v>
      </c>
    </row>
    <row r="266" spans="1:9" x14ac:dyDescent="0.25">
      <c r="A266" s="70" t="s">
        <v>171</v>
      </c>
      <c r="B266" s="70" t="s">
        <v>172</v>
      </c>
      <c r="C266" s="71">
        <v>40639</v>
      </c>
      <c r="D266" s="72">
        <v>40983</v>
      </c>
      <c r="E266" s="73">
        <v>1.7999999999999999E-2</v>
      </c>
      <c r="F266" s="74">
        <v>4522402.72</v>
      </c>
      <c r="G266" s="75"/>
      <c r="H266" s="74">
        <v>3622801.07</v>
      </c>
      <c r="I266" s="79">
        <f>H266/F266</f>
        <v>0.80107882784928097</v>
      </c>
    </row>
    <row r="267" spans="1:9" x14ac:dyDescent="0.25">
      <c r="A267" s="76" t="s">
        <v>171</v>
      </c>
      <c r="B267" s="76" t="s">
        <v>210</v>
      </c>
      <c r="C267" s="77">
        <v>40909</v>
      </c>
      <c r="D267" s="78">
        <v>41274</v>
      </c>
      <c r="E267" s="79">
        <v>1.7999999999999999E-2</v>
      </c>
      <c r="F267" s="80">
        <v>1509038</v>
      </c>
      <c r="G267" s="81"/>
      <c r="H267" s="80">
        <v>1249943.6499999999</v>
      </c>
      <c r="I267" s="79">
        <f>H267/F267</f>
        <v>0.82830495322185382</v>
      </c>
    </row>
    <row r="268" spans="1:9" x14ac:dyDescent="0.25">
      <c r="A268" s="76" t="s">
        <v>171</v>
      </c>
      <c r="B268" s="76" t="s">
        <v>31</v>
      </c>
      <c r="C268" s="77">
        <v>40800</v>
      </c>
      <c r="D268" s="78">
        <v>41152</v>
      </c>
      <c r="E268" s="79">
        <v>1.7999999999999999E-2</v>
      </c>
      <c r="F268" s="80">
        <v>0</v>
      </c>
      <c r="G268" s="81"/>
      <c r="H268" s="80">
        <v>0</v>
      </c>
      <c r="I268" s="79">
        <v>0</v>
      </c>
    </row>
    <row r="269" spans="1:9" x14ac:dyDescent="0.25">
      <c r="A269" s="76" t="s">
        <v>171</v>
      </c>
      <c r="B269" s="76" t="s">
        <v>202</v>
      </c>
      <c r="C269" s="77">
        <v>40770</v>
      </c>
      <c r="D269" s="78">
        <v>41135</v>
      </c>
      <c r="E269" s="79">
        <v>1.7999999999999999E-2</v>
      </c>
      <c r="F269" s="80">
        <v>39200</v>
      </c>
      <c r="G269" s="81"/>
      <c r="H269" s="80">
        <v>7253</v>
      </c>
      <c r="I269" s="79">
        <f>H269/F269</f>
        <v>0.18502551020408164</v>
      </c>
    </row>
    <row r="270" spans="1:9" x14ac:dyDescent="0.25">
      <c r="A270" s="70" t="s">
        <v>171</v>
      </c>
      <c r="B270" s="70" t="s">
        <v>177</v>
      </c>
      <c r="C270" s="71">
        <v>40662</v>
      </c>
      <c r="D270" s="72">
        <v>41027</v>
      </c>
      <c r="E270" s="73">
        <v>1.7999999999999999E-2</v>
      </c>
      <c r="F270" s="74">
        <v>271231</v>
      </c>
      <c r="G270" s="75"/>
      <c r="H270" s="74">
        <v>130242.68</v>
      </c>
      <c r="I270" s="79">
        <f>H270/F270</f>
        <v>0.48019098111941477</v>
      </c>
    </row>
    <row r="271" spans="1:9" x14ac:dyDescent="0.25">
      <c r="A271" s="70" t="s">
        <v>171</v>
      </c>
      <c r="B271" s="70" t="s">
        <v>197</v>
      </c>
      <c r="C271" s="71">
        <v>40639</v>
      </c>
      <c r="D271" s="72">
        <v>40982</v>
      </c>
      <c r="E271" s="73">
        <v>1.7999999999999999E-2</v>
      </c>
      <c r="F271" s="74">
        <v>96448</v>
      </c>
      <c r="G271" s="75"/>
      <c r="H271" s="74">
        <v>22639.88</v>
      </c>
      <c r="I271" s="73">
        <v>0.23473664565361646</v>
      </c>
    </row>
    <row r="272" spans="1:9" x14ac:dyDescent="0.25">
      <c r="A272" s="70" t="s">
        <v>171</v>
      </c>
      <c r="B272" s="70" t="s">
        <v>198</v>
      </c>
      <c r="C272" s="71">
        <v>40639</v>
      </c>
      <c r="D272" s="72">
        <v>40982</v>
      </c>
      <c r="E272" s="73">
        <v>1.7999999999999999E-2</v>
      </c>
      <c r="F272" s="74">
        <v>7510</v>
      </c>
      <c r="G272" s="75"/>
      <c r="H272" s="74">
        <v>-7101.69</v>
      </c>
      <c r="I272" s="79">
        <f>H272/F272</f>
        <v>-0.94563115845539281</v>
      </c>
    </row>
    <row r="273" spans="1:9" x14ac:dyDescent="0.25">
      <c r="A273" s="70" t="s">
        <v>171</v>
      </c>
      <c r="B273" s="70" t="s">
        <v>185</v>
      </c>
      <c r="C273" s="71">
        <v>40747</v>
      </c>
      <c r="D273" s="72">
        <v>41090</v>
      </c>
      <c r="E273" s="73">
        <v>1.7999999999999999E-2</v>
      </c>
      <c r="F273" s="74">
        <v>234012</v>
      </c>
      <c r="G273" s="75"/>
      <c r="H273" s="74">
        <v>126881.51</v>
      </c>
      <c r="I273" s="79">
        <f>H273/F273</f>
        <v>0.5422008700408526</v>
      </c>
    </row>
    <row r="274" spans="1:9" x14ac:dyDescent="0.25">
      <c r="A274" s="76" t="s">
        <v>171</v>
      </c>
      <c r="B274" s="76" t="s">
        <v>209</v>
      </c>
      <c r="C274" s="77">
        <v>40898</v>
      </c>
      <c r="D274" s="78">
        <v>41090</v>
      </c>
      <c r="E274" s="79">
        <v>1.7999999999999999E-2</v>
      </c>
      <c r="F274" s="80">
        <v>782168.12</v>
      </c>
      <c r="G274" s="81"/>
      <c r="H274" s="80">
        <v>584597.74</v>
      </c>
      <c r="I274" s="79">
        <f>H274/F274</f>
        <v>0.74740675955956881</v>
      </c>
    </row>
    <row r="275" spans="1:9" x14ac:dyDescent="0.25">
      <c r="A275" s="70" t="s">
        <v>171</v>
      </c>
      <c r="B275" s="70" t="s">
        <v>180</v>
      </c>
      <c r="C275" s="71">
        <v>40758</v>
      </c>
      <c r="D275" s="72">
        <v>41123</v>
      </c>
      <c r="E275" s="73">
        <v>1.7999999999999999E-2</v>
      </c>
      <c r="F275" s="74">
        <v>2723980</v>
      </c>
      <c r="G275" s="75"/>
      <c r="H275" s="74">
        <v>1847928</v>
      </c>
      <c r="I275" s="79">
        <f>H275/F275</f>
        <v>0.67839264605466998</v>
      </c>
    </row>
    <row r="276" spans="1:9" x14ac:dyDescent="0.25">
      <c r="A276" s="76" t="s">
        <v>171</v>
      </c>
      <c r="B276" s="76" t="s">
        <v>180</v>
      </c>
      <c r="C276" s="77">
        <v>41124</v>
      </c>
      <c r="D276" s="78">
        <v>41274</v>
      </c>
      <c r="E276" s="79">
        <v>1.7999999999999999E-2</v>
      </c>
      <c r="F276" s="80">
        <v>374605</v>
      </c>
      <c r="G276" s="81"/>
      <c r="H276" s="80">
        <v>200864</v>
      </c>
      <c r="I276" s="79">
        <f>H276/F276</f>
        <v>0.53620213291333541</v>
      </c>
    </row>
    <row r="277" spans="1:9" x14ac:dyDescent="0.25">
      <c r="A277" s="70" t="s">
        <v>171</v>
      </c>
      <c r="B277" s="70" t="s">
        <v>199</v>
      </c>
      <c r="C277" s="71">
        <v>40710</v>
      </c>
      <c r="D277" s="72">
        <v>41076</v>
      </c>
      <c r="E277" s="73">
        <v>1.7999999999999999E-2</v>
      </c>
      <c r="F277" s="74"/>
      <c r="G277" s="75">
        <v>2401</v>
      </c>
      <c r="H277" s="74">
        <v>-705</v>
      </c>
      <c r="I277" s="73">
        <v>-0.2936276551436901</v>
      </c>
    </row>
    <row r="278" spans="1:9" x14ac:dyDescent="0.25">
      <c r="A278" s="70" t="s">
        <v>171</v>
      </c>
      <c r="B278" s="70" t="s">
        <v>199</v>
      </c>
      <c r="C278" s="71">
        <v>40710</v>
      </c>
      <c r="D278" s="72">
        <v>41076</v>
      </c>
      <c r="E278" s="73">
        <v>1.7999999999999999E-2</v>
      </c>
      <c r="F278" s="74">
        <v>64593</v>
      </c>
      <c r="G278" s="75"/>
      <c r="H278" s="74">
        <v>-2442</v>
      </c>
      <c r="I278" s="79">
        <f>H278/F278</f>
        <v>-3.7805954205564068E-2</v>
      </c>
    </row>
    <row r="279" spans="1:9" x14ac:dyDescent="0.25">
      <c r="A279" s="76" t="s">
        <v>171</v>
      </c>
      <c r="B279" s="76" t="s">
        <v>204</v>
      </c>
      <c r="C279" s="77">
        <v>40796</v>
      </c>
      <c r="D279" s="78">
        <v>41161</v>
      </c>
      <c r="E279" s="79">
        <v>1.7999999999999999E-2</v>
      </c>
      <c r="F279" s="80">
        <v>281577</v>
      </c>
      <c r="G279" s="81"/>
      <c r="H279" s="80">
        <v>150420</v>
      </c>
      <c r="I279" s="79">
        <f>H279/F279</f>
        <v>0.53420556366464589</v>
      </c>
    </row>
    <row r="280" spans="1:9" x14ac:dyDescent="0.25">
      <c r="A280" s="76" t="s">
        <v>171</v>
      </c>
      <c r="B280" s="76" t="s">
        <v>28</v>
      </c>
      <c r="C280" s="77">
        <v>40956</v>
      </c>
      <c r="D280" s="78">
        <v>41305</v>
      </c>
      <c r="E280" s="79">
        <v>1.7999999999999999E-2</v>
      </c>
      <c r="F280" s="80">
        <v>66668</v>
      </c>
      <c r="G280" s="81"/>
      <c r="H280" s="80">
        <v>29265.919999999998</v>
      </c>
      <c r="I280" s="79">
        <f>H280/F280</f>
        <v>0.438980020399592</v>
      </c>
    </row>
    <row r="281" spans="1:9" x14ac:dyDescent="0.25">
      <c r="A281" s="70" t="s">
        <v>171</v>
      </c>
      <c r="B281" s="70" t="s">
        <v>200</v>
      </c>
      <c r="C281" s="71">
        <v>40710</v>
      </c>
      <c r="D281" s="72">
        <v>41075</v>
      </c>
      <c r="E281" s="73">
        <v>1.7999999999999999E-2</v>
      </c>
      <c r="F281" s="74"/>
      <c r="G281" s="75">
        <v>520</v>
      </c>
      <c r="H281" s="74">
        <v>-351</v>
      </c>
      <c r="I281" s="73">
        <v>-0.67500000000000004</v>
      </c>
    </row>
    <row r="282" spans="1:9" x14ac:dyDescent="0.25">
      <c r="A282" s="70" t="s">
        <v>171</v>
      </c>
      <c r="B282" s="70" t="s">
        <v>200</v>
      </c>
      <c r="C282" s="71">
        <v>40710</v>
      </c>
      <c r="D282" s="72">
        <v>41075</v>
      </c>
      <c r="E282" s="73">
        <v>1.7999999999999999E-2</v>
      </c>
      <c r="F282" s="74">
        <v>22694</v>
      </c>
      <c r="G282" s="75"/>
      <c r="H282" s="74">
        <v>-4504</v>
      </c>
      <c r="I282" s="79">
        <f>H282/F282</f>
        <v>-0.19846655503657354</v>
      </c>
    </row>
    <row r="283" spans="1:9" x14ac:dyDescent="0.25">
      <c r="A283" s="76" t="s">
        <v>171</v>
      </c>
      <c r="B283" s="76" t="s">
        <v>207</v>
      </c>
      <c r="C283" s="77">
        <v>40891</v>
      </c>
      <c r="D283" s="78">
        <v>41213</v>
      </c>
      <c r="E283" s="79">
        <v>1.7999999999999999E-2</v>
      </c>
      <c r="F283" s="80">
        <v>33073</v>
      </c>
      <c r="G283" s="81"/>
      <c r="H283" s="80">
        <v>9212</v>
      </c>
      <c r="I283" s="79">
        <f>H283/F283</f>
        <v>0.27853536117074351</v>
      </c>
    </row>
    <row r="284" spans="1:9" x14ac:dyDescent="0.25">
      <c r="A284" s="76" t="s">
        <v>171</v>
      </c>
      <c r="B284" s="76" t="s">
        <v>207</v>
      </c>
      <c r="C284" s="77">
        <v>40891</v>
      </c>
      <c r="D284" s="78">
        <v>41213</v>
      </c>
      <c r="E284" s="79">
        <v>1.7999999999999999E-2</v>
      </c>
      <c r="F284" s="80"/>
      <c r="G284" s="81">
        <v>477</v>
      </c>
      <c r="H284" s="80">
        <v>52</v>
      </c>
      <c r="I284" s="79">
        <f>H284/G284</f>
        <v>0.1090146750524109</v>
      </c>
    </row>
    <row r="285" spans="1:9" x14ac:dyDescent="0.25">
      <c r="A285" s="76" t="s">
        <v>171</v>
      </c>
      <c r="B285" s="76" t="s">
        <v>205</v>
      </c>
      <c r="C285" s="77">
        <v>40826</v>
      </c>
      <c r="D285" s="78">
        <v>41153</v>
      </c>
      <c r="E285" s="79">
        <v>1.7999999999999999E-2</v>
      </c>
      <c r="F285" s="80">
        <v>5363</v>
      </c>
      <c r="G285" s="81"/>
      <c r="H285" s="80">
        <v>-11448</v>
      </c>
      <c r="I285" s="79">
        <f>H285/F285</f>
        <v>-2.1346261420846542</v>
      </c>
    </row>
    <row r="286" spans="1:9" x14ac:dyDescent="0.25">
      <c r="A286" s="76" t="s">
        <v>171</v>
      </c>
      <c r="B286" s="76" t="s">
        <v>203</v>
      </c>
      <c r="C286" s="77">
        <v>40771</v>
      </c>
      <c r="D286" s="78">
        <v>41121</v>
      </c>
      <c r="E286" s="79">
        <v>1.7999999999999999E-2</v>
      </c>
      <c r="F286" s="80">
        <v>0</v>
      </c>
      <c r="G286" s="81"/>
      <c r="H286" s="80">
        <v>0</v>
      </c>
      <c r="I286" s="79">
        <v>0</v>
      </c>
    </row>
    <row r="287" spans="1:9" x14ac:dyDescent="0.25">
      <c r="A287" s="70" t="s">
        <v>171</v>
      </c>
      <c r="B287" s="70" t="s">
        <v>194</v>
      </c>
      <c r="C287" s="71">
        <v>40597</v>
      </c>
      <c r="D287" s="72">
        <v>40939</v>
      </c>
      <c r="E287" s="73">
        <v>1.7999999999999999E-2</v>
      </c>
      <c r="F287" s="74">
        <v>651767</v>
      </c>
      <c r="G287" s="88"/>
      <c r="H287" s="74">
        <v>468507.81</v>
      </c>
      <c r="I287" s="73">
        <v>0.7188271422149326</v>
      </c>
    </row>
    <row r="288" spans="1:9" x14ac:dyDescent="0.25">
      <c r="A288" s="76" t="s">
        <v>171</v>
      </c>
      <c r="B288" s="76" t="s">
        <v>194</v>
      </c>
      <c r="C288" s="77">
        <v>40949</v>
      </c>
      <c r="D288" s="78">
        <v>41305</v>
      </c>
      <c r="E288" s="79">
        <v>1.7999999999999999E-2</v>
      </c>
      <c r="F288" s="80">
        <v>335429</v>
      </c>
      <c r="G288" s="81"/>
      <c r="H288" s="80">
        <v>164717.87</v>
      </c>
      <c r="I288" s="79">
        <f>H288/F288</f>
        <v>0.49106627632077132</v>
      </c>
    </row>
    <row r="289" spans="1:9" x14ac:dyDescent="0.25">
      <c r="A289" s="70" t="s">
        <v>171</v>
      </c>
      <c r="B289" s="70" t="s">
        <v>175</v>
      </c>
      <c r="C289" s="71">
        <v>40634</v>
      </c>
      <c r="D289" s="72">
        <v>40999</v>
      </c>
      <c r="E289" s="73">
        <v>1.7999999999999999E-2</v>
      </c>
      <c r="F289" s="74">
        <v>1724030</v>
      </c>
      <c r="G289" s="75"/>
      <c r="H289" s="74">
        <v>954116.87</v>
      </c>
      <c r="I289" s="73">
        <v>0.55342242884404569</v>
      </c>
    </row>
    <row r="290" spans="1:9" x14ac:dyDescent="0.25">
      <c r="A290" s="70" t="s">
        <v>171</v>
      </c>
      <c r="B290" s="70" t="s">
        <v>94</v>
      </c>
      <c r="C290" s="71">
        <v>40690</v>
      </c>
      <c r="D290" s="72">
        <v>41055</v>
      </c>
      <c r="E290" s="73">
        <v>1.7999999999999999E-2</v>
      </c>
      <c r="F290" s="74">
        <v>2232050</v>
      </c>
      <c r="G290" s="75"/>
      <c r="H290" s="74">
        <v>845319</v>
      </c>
      <c r="I290" s="79">
        <f>H290/F290</f>
        <v>0.37871866669653459</v>
      </c>
    </row>
    <row r="291" spans="1:9" x14ac:dyDescent="0.25">
      <c r="A291" s="70" t="s">
        <v>171</v>
      </c>
      <c r="B291" s="70" t="s">
        <v>94</v>
      </c>
      <c r="C291" s="71">
        <v>40690</v>
      </c>
      <c r="D291" s="72">
        <v>41055</v>
      </c>
      <c r="E291" s="73">
        <v>1.7999999999999999E-2</v>
      </c>
      <c r="F291" s="74"/>
      <c r="G291" s="75">
        <v>76937</v>
      </c>
      <c r="H291" s="74">
        <v>23274</v>
      </c>
      <c r="I291" s="73">
        <f>H291/G291</f>
        <v>0.30250724618843988</v>
      </c>
    </row>
    <row r="292" spans="1:9" x14ac:dyDescent="0.25">
      <c r="A292" s="70" t="s">
        <v>171</v>
      </c>
      <c r="B292" s="70" t="s">
        <v>201</v>
      </c>
      <c r="C292" s="94">
        <v>40711</v>
      </c>
      <c r="D292" s="72">
        <v>41085</v>
      </c>
      <c r="E292" s="73">
        <v>1.7999999999999999E-2</v>
      </c>
      <c r="F292" s="74">
        <v>29238</v>
      </c>
      <c r="G292" s="75"/>
      <c r="H292" s="74">
        <v>1904</v>
      </c>
      <c r="I292" s="79">
        <f>H292/F292</f>
        <v>6.5120733292290858E-2</v>
      </c>
    </row>
    <row r="293" spans="1:9" x14ac:dyDescent="0.25">
      <c r="A293" s="70" t="s">
        <v>171</v>
      </c>
      <c r="B293" s="70" t="s">
        <v>201</v>
      </c>
      <c r="C293" s="94">
        <v>40711</v>
      </c>
      <c r="D293" s="72">
        <v>41085</v>
      </c>
      <c r="E293" s="73">
        <v>1.7999999999999999E-2</v>
      </c>
      <c r="F293" s="74"/>
      <c r="G293" s="75">
        <v>341</v>
      </c>
      <c r="H293" s="74">
        <v>-436</v>
      </c>
      <c r="I293" s="73">
        <f>H293/G293</f>
        <v>-1.2785923753665689</v>
      </c>
    </row>
    <row r="294" spans="1:9" x14ac:dyDescent="0.25">
      <c r="A294" s="70" t="s">
        <v>171</v>
      </c>
      <c r="B294" s="70" t="s">
        <v>184</v>
      </c>
      <c r="C294" s="71">
        <v>40725</v>
      </c>
      <c r="D294" s="72">
        <v>41076</v>
      </c>
      <c r="E294" s="73">
        <v>1.7999999999999999E-2</v>
      </c>
      <c r="F294" s="74">
        <v>102245</v>
      </c>
      <c r="G294" s="75"/>
      <c r="H294" s="74">
        <v>-11104.18</v>
      </c>
      <c r="I294" s="79">
        <f>H294/F294</f>
        <v>-0.10860364810015161</v>
      </c>
    </row>
    <row r="295" spans="1:9" ht="28.5" x14ac:dyDescent="0.25">
      <c r="A295" s="76" t="s">
        <v>171</v>
      </c>
      <c r="B295" s="76" t="s">
        <v>111</v>
      </c>
      <c r="C295" s="77">
        <v>40868</v>
      </c>
      <c r="D295" s="78">
        <v>41233</v>
      </c>
      <c r="E295" s="79">
        <v>1.7999999999999999E-2</v>
      </c>
      <c r="F295" s="80">
        <v>54539</v>
      </c>
      <c r="G295" s="81"/>
      <c r="H295" s="80">
        <v>18943.849999999999</v>
      </c>
      <c r="I295" s="79">
        <f>H295/F295</f>
        <v>0.34734501916060062</v>
      </c>
    </row>
    <row r="296" spans="1:9" x14ac:dyDescent="0.25">
      <c r="A296" s="70" t="s">
        <v>171</v>
      </c>
      <c r="B296" s="70" t="s">
        <v>173</v>
      </c>
      <c r="C296" s="71">
        <v>40632</v>
      </c>
      <c r="D296" s="72">
        <v>40981</v>
      </c>
      <c r="E296" s="73">
        <v>1.7999999999999999E-2</v>
      </c>
      <c r="F296" s="74">
        <v>106710</v>
      </c>
      <c r="G296" s="75"/>
      <c r="H296" s="74">
        <v>65242.720000000001</v>
      </c>
      <c r="I296" s="73">
        <v>0.61140211788960741</v>
      </c>
    </row>
    <row r="297" spans="1:9" x14ac:dyDescent="0.25">
      <c r="A297" s="76" t="s">
        <v>171</v>
      </c>
      <c r="B297" s="76" t="s">
        <v>211</v>
      </c>
      <c r="C297" s="77">
        <v>40913</v>
      </c>
      <c r="D297" s="78">
        <v>41274</v>
      </c>
      <c r="E297" s="79">
        <v>1.7999999999999999E-2</v>
      </c>
      <c r="F297" s="80">
        <v>1286834.79</v>
      </c>
      <c r="G297" s="81"/>
      <c r="H297" s="80">
        <v>666834.01</v>
      </c>
      <c r="I297" s="79">
        <f t="shared" ref="I297:I303" si="0">H297/F297</f>
        <v>0.51819706397586596</v>
      </c>
    </row>
    <row r="298" spans="1:9" x14ac:dyDescent="0.25">
      <c r="A298" s="70" t="s">
        <v>171</v>
      </c>
      <c r="B298" s="70" t="s">
        <v>151</v>
      </c>
      <c r="C298" s="71">
        <v>40725</v>
      </c>
      <c r="D298" s="72">
        <v>41090</v>
      </c>
      <c r="E298" s="73">
        <v>1.7999999999999999E-2</v>
      </c>
      <c r="F298" s="74">
        <v>383862</v>
      </c>
      <c r="G298" s="75"/>
      <c r="H298" s="74">
        <v>33851</v>
      </c>
      <c r="I298" s="79">
        <f t="shared" si="0"/>
        <v>8.818533743897547E-2</v>
      </c>
    </row>
    <row r="299" spans="1:9" x14ac:dyDescent="0.25">
      <c r="A299" s="70" t="s">
        <v>171</v>
      </c>
      <c r="B299" s="70" t="s">
        <v>182</v>
      </c>
      <c r="C299" s="71">
        <v>40725</v>
      </c>
      <c r="D299" s="72">
        <v>41090</v>
      </c>
      <c r="E299" s="73">
        <v>1.7999999999999999E-2</v>
      </c>
      <c r="F299" s="74">
        <v>585288</v>
      </c>
      <c r="G299" s="75"/>
      <c r="H299" s="74">
        <v>270184</v>
      </c>
      <c r="I299" s="79">
        <f t="shared" si="0"/>
        <v>0.46162572955536418</v>
      </c>
    </row>
    <row r="300" spans="1:9" x14ac:dyDescent="0.25">
      <c r="A300" s="76" t="s">
        <v>171</v>
      </c>
      <c r="B300" s="76" t="s">
        <v>36</v>
      </c>
      <c r="C300" s="77">
        <v>40780</v>
      </c>
      <c r="D300" s="78">
        <v>41060</v>
      </c>
      <c r="E300" s="79">
        <v>1.7999999999999999E-2</v>
      </c>
      <c r="F300" s="80">
        <v>179838</v>
      </c>
      <c r="G300" s="81"/>
      <c r="H300" s="80">
        <v>29477.439999999999</v>
      </c>
      <c r="I300" s="79">
        <f t="shared" si="0"/>
        <v>0.16391107552352671</v>
      </c>
    </row>
    <row r="301" spans="1:9" x14ac:dyDescent="0.25">
      <c r="A301" s="76" t="s">
        <v>171</v>
      </c>
      <c r="B301" s="76" t="s">
        <v>186</v>
      </c>
      <c r="C301" s="77">
        <v>40766</v>
      </c>
      <c r="D301" s="78">
        <v>41090</v>
      </c>
      <c r="E301" s="79">
        <v>1.7999999999999999E-2</v>
      </c>
      <c r="F301" s="80">
        <v>39525</v>
      </c>
      <c r="G301" s="81"/>
      <c r="H301" s="80">
        <v>-5710</v>
      </c>
      <c r="I301" s="79">
        <f t="shared" si="0"/>
        <v>-0.14446552814674257</v>
      </c>
    </row>
    <row r="302" spans="1:9" x14ac:dyDescent="0.25">
      <c r="A302" s="76" t="s">
        <v>171</v>
      </c>
      <c r="B302" s="76" t="s">
        <v>212</v>
      </c>
      <c r="C302" s="77">
        <v>40933</v>
      </c>
      <c r="D302" s="78">
        <v>41274</v>
      </c>
      <c r="E302" s="79">
        <v>1.7999999999999999E-2</v>
      </c>
      <c r="F302" s="80">
        <v>196371</v>
      </c>
      <c r="G302" s="81"/>
      <c r="H302" s="80">
        <v>71606</v>
      </c>
      <c r="I302" s="79">
        <f t="shared" si="0"/>
        <v>0.3646465109410249</v>
      </c>
    </row>
    <row r="303" spans="1:9" x14ac:dyDescent="0.25">
      <c r="A303" s="76" t="s">
        <v>171</v>
      </c>
      <c r="B303" s="76" t="s">
        <v>187</v>
      </c>
      <c r="C303" s="77">
        <v>40879</v>
      </c>
      <c r="D303" s="78">
        <v>41213</v>
      </c>
      <c r="E303" s="79">
        <v>1.7999999999999999E-2</v>
      </c>
      <c r="F303" s="80">
        <v>38212</v>
      </c>
      <c r="G303" s="81"/>
      <c r="H303" s="80">
        <v>15985</v>
      </c>
      <c r="I303" s="79">
        <f t="shared" si="0"/>
        <v>0.41832408667434312</v>
      </c>
    </row>
    <row r="304" spans="1:9" x14ac:dyDescent="0.25">
      <c r="A304" s="76" t="s">
        <v>171</v>
      </c>
      <c r="B304" s="76" t="s">
        <v>187</v>
      </c>
      <c r="C304" s="77">
        <v>40879</v>
      </c>
      <c r="D304" s="78">
        <v>41213</v>
      </c>
      <c r="E304" s="79">
        <v>1.7999999999999999E-2</v>
      </c>
      <c r="F304" s="80"/>
      <c r="G304" s="81">
        <v>1742</v>
      </c>
      <c r="H304" s="80">
        <v>930</v>
      </c>
      <c r="I304" s="79">
        <f>H304/G304</f>
        <v>0.53386911595866815</v>
      </c>
    </row>
    <row r="305" spans="1:9" x14ac:dyDescent="0.25">
      <c r="A305" s="76" t="s">
        <v>171</v>
      </c>
      <c r="B305" s="76" t="s">
        <v>193</v>
      </c>
      <c r="C305" s="77">
        <v>40918</v>
      </c>
      <c r="D305" s="78">
        <v>41274</v>
      </c>
      <c r="E305" s="79">
        <v>1.7999999999999999E-2</v>
      </c>
      <c r="F305" s="80">
        <v>348708</v>
      </c>
      <c r="G305" s="81"/>
      <c r="H305" s="80">
        <v>-60162</v>
      </c>
      <c r="I305" s="79">
        <f>H305/F305</f>
        <v>-0.17252830448398088</v>
      </c>
    </row>
    <row r="306" spans="1:9" x14ac:dyDescent="0.25">
      <c r="A306" s="76" t="s">
        <v>171</v>
      </c>
      <c r="B306" s="76" t="s">
        <v>34</v>
      </c>
      <c r="C306" s="77">
        <v>40981</v>
      </c>
      <c r="D306" s="78">
        <v>41333</v>
      </c>
      <c r="E306" s="79">
        <v>1.7999999999999999E-2</v>
      </c>
      <c r="F306" s="80">
        <v>23744</v>
      </c>
      <c r="G306" s="81"/>
      <c r="H306" s="80">
        <v>-22790.28</v>
      </c>
      <c r="I306" s="79">
        <f>H306/F306</f>
        <v>-0.95983322102425872</v>
      </c>
    </row>
    <row r="307" spans="1:9" x14ac:dyDescent="0.25">
      <c r="A307" s="70" t="s">
        <v>171</v>
      </c>
      <c r="B307" s="70" t="s">
        <v>34</v>
      </c>
      <c r="C307" s="71">
        <v>40617</v>
      </c>
      <c r="D307" s="72">
        <v>40968</v>
      </c>
      <c r="E307" s="73">
        <v>1.7999999999999999E-2</v>
      </c>
      <c r="F307" s="74">
        <v>98843</v>
      </c>
      <c r="G307" s="75"/>
      <c r="H307" s="74">
        <v>-49489.63</v>
      </c>
      <c r="I307" s="73">
        <v>-0.50068927491071702</v>
      </c>
    </row>
    <row r="308" spans="1:9" x14ac:dyDescent="0.25">
      <c r="A308" s="76" t="s">
        <v>171</v>
      </c>
      <c r="B308" s="76" t="s">
        <v>190</v>
      </c>
      <c r="C308" s="77">
        <v>40848</v>
      </c>
      <c r="D308" s="78">
        <v>41213</v>
      </c>
      <c r="E308" s="79">
        <v>1.7999999999999999E-2</v>
      </c>
      <c r="F308" s="80">
        <v>394773</v>
      </c>
      <c r="G308" s="81"/>
      <c r="H308" s="80">
        <v>239069</v>
      </c>
      <c r="I308" s="79">
        <f>H308/F308</f>
        <v>0.60558599498952559</v>
      </c>
    </row>
    <row r="309" spans="1:9" x14ac:dyDescent="0.25">
      <c r="A309" s="76" t="s">
        <v>171</v>
      </c>
      <c r="B309" s="76" t="s">
        <v>190</v>
      </c>
      <c r="C309" s="77">
        <v>40848</v>
      </c>
      <c r="D309" s="78">
        <v>41213</v>
      </c>
      <c r="E309" s="79">
        <v>1.7999999999999999E-2</v>
      </c>
      <c r="F309" s="80"/>
      <c r="G309" s="81">
        <v>6496</v>
      </c>
      <c r="H309" s="80">
        <v>2460</v>
      </c>
      <c r="I309" s="79">
        <f>H309/G309</f>
        <v>0.3786945812807882</v>
      </c>
    </row>
    <row r="310" spans="1:9" x14ac:dyDescent="0.25">
      <c r="A310" s="76" t="s">
        <v>171</v>
      </c>
      <c r="B310" s="76" t="s">
        <v>176</v>
      </c>
      <c r="C310" s="77">
        <v>40771</v>
      </c>
      <c r="D310" s="78">
        <v>41121</v>
      </c>
      <c r="E310" s="79">
        <v>1.7999999999999999E-2</v>
      </c>
      <c r="F310" s="80">
        <v>11686</v>
      </c>
      <c r="G310" s="81"/>
      <c r="H310" s="80">
        <v>2319</v>
      </c>
      <c r="I310" s="79">
        <f>H310/F310</f>
        <v>0.19844258086599351</v>
      </c>
    </row>
    <row r="311" spans="1:9" x14ac:dyDescent="0.25">
      <c r="A311" s="76" t="s">
        <v>171</v>
      </c>
      <c r="B311" s="76" t="s">
        <v>178</v>
      </c>
      <c r="C311" s="77">
        <v>40805</v>
      </c>
      <c r="D311" s="78">
        <v>41152</v>
      </c>
      <c r="E311" s="79">
        <v>1.7999999999999999E-2</v>
      </c>
      <c r="F311" s="80">
        <v>290116</v>
      </c>
      <c r="G311" s="81"/>
      <c r="H311" s="80">
        <v>7545</v>
      </c>
      <c r="I311" s="79">
        <f>H311/F311</f>
        <v>2.6006838643852805E-2</v>
      </c>
    </row>
    <row r="312" spans="1:9" x14ac:dyDescent="0.25">
      <c r="A312" s="76" t="s">
        <v>171</v>
      </c>
      <c r="B312" s="76" t="s">
        <v>191</v>
      </c>
      <c r="C312" s="77">
        <v>40873</v>
      </c>
      <c r="D312" s="78">
        <v>41238</v>
      </c>
      <c r="E312" s="79">
        <v>1.7999999999999999E-2</v>
      </c>
      <c r="F312" s="80">
        <v>91461</v>
      </c>
      <c r="G312" s="81"/>
      <c r="H312" s="80">
        <v>2918.31</v>
      </c>
      <c r="I312" s="79">
        <f>H312/F312</f>
        <v>3.1907698363236786E-2</v>
      </c>
    </row>
    <row r="313" spans="1:9" x14ac:dyDescent="0.25">
      <c r="A313" s="70" t="s">
        <v>171</v>
      </c>
      <c r="B313" s="70" t="s">
        <v>23</v>
      </c>
      <c r="C313" s="71">
        <v>40740</v>
      </c>
      <c r="D313" s="72">
        <v>41090</v>
      </c>
      <c r="E313" s="73">
        <v>1.7999999999999999E-2</v>
      </c>
      <c r="F313" s="74">
        <v>73494</v>
      </c>
      <c r="G313" s="75"/>
      <c r="H313" s="74">
        <v>30218</v>
      </c>
      <c r="I313" s="79">
        <f>H313/F313</f>
        <v>0.41116281601219146</v>
      </c>
    </row>
    <row r="314" spans="1:9" x14ac:dyDescent="0.25">
      <c r="A314" s="70" t="s">
        <v>171</v>
      </c>
      <c r="B314" s="70" t="s">
        <v>22</v>
      </c>
      <c r="C314" s="71">
        <v>40740</v>
      </c>
      <c r="D314" s="72">
        <v>41090</v>
      </c>
      <c r="E314" s="73">
        <v>1.7999999999999999E-2</v>
      </c>
      <c r="F314" s="74">
        <v>1200423</v>
      </c>
      <c r="G314" s="75"/>
      <c r="H314" s="74">
        <v>590656</v>
      </c>
      <c r="I314" s="79">
        <f>H314/F314</f>
        <v>0.49203988927236481</v>
      </c>
    </row>
    <row r="315" spans="1:9" x14ac:dyDescent="0.25">
      <c r="A315" s="76" t="s">
        <v>171</v>
      </c>
      <c r="B315" s="76" t="s">
        <v>103</v>
      </c>
      <c r="C315" s="77">
        <v>40787</v>
      </c>
      <c r="D315" s="78">
        <v>41152</v>
      </c>
      <c r="E315" s="79">
        <v>1.7999999999999999E-2</v>
      </c>
      <c r="F315" s="80">
        <v>0</v>
      </c>
      <c r="G315" s="81"/>
      <c r="H315" s="80">
        <v>0</v>
      </c>
      <c r="I315" s="79">
        <v>0</v>
      </c>
    </row>
    <row r="316" spans="1:9" x14ac:dyDescent="0.25">
      <c r="A316" s="70" t="s">
        <v>171</v>
      </c>
      <c r="B316" s="70" t="s">
        <v>183</v>
      </c>
      <c r="C316" s="71">
        <v>40749</v>
      </c>
      <c r="D316" s="72">
        <v>41104</v>
      </c>
      <c r="E316" s="73">
        <v>1.7999999999999999E-2</v>
      </c>
      <c r="F316" s="74">
        <v>204875</v>
      </c>
      <c r="G316" s="75"/>
      <c r="H316" s="74">
        <v>-70011</v>
      </c>
      <c r="I316" s="79">
        <f>H316/F316</f>
        <v>-0.34172544234289198</v>
      </c>
    </row>
    <row r="317" spans="1:9" x14ac:dyDescent="0.25">
      <c r="A317" s="76" t="s">
        <v>171</v>
      </c>
      <c r="B317" s="76" t="s">
        <v>179</v>
      </c>
      <c r="C317" s="77">
        <v>40988</v>
      </c>
      <c r="D317" s="78">
        <v>41213</v>
      </c>
      <c r="E317" s="79">
        <v>1.7999999999999999E-2</v>
      </c>
      <c r="F317" s="80"/>
      <c r="G317" s="81">
        <v>1685</v>
      </c>
      <c r="H317" s="80">
        <v>68</v>
      </c>
      <c r="I317" s="79">
        <f>H317/G317</f>
        <v>4.0356083086053415E-2</v>
      </c>
    </row>
    <row r="318" spans="1:9" x14ac:dyDescent="0.25">
      <c r="A318" s="76" t="s">
        <v>171</v>
      </c>
      <c r="B318" s="76" t="s">
        <v>179</v>
      </c>
      <c r="C318" s="77">
        <v>40988</v>
      </c>
      <c r="D318" s="78">
        <v>41213</v>
      </c>
      <c r="E318" s="79">
        <v>1.7999999999999999E-2</v>
      </c>
      <c r="F318" s="80">
        <v>49890</v>
      </c>
      <c r="G318" s="81"/>
      <c r="H318" s="80">
        <v>-4771</v>
      </c>
      <c r="I318" s="79">
        <f>H318/F318</f>
        <v>-9.5630386851072363E-2</v>
      </c>
    </row>
    <row r="319" spans="1:9" x14ac:dyDescent="0.25">
      <c r="A319" s="70" t="s">
        <v>171</v>
      </c>
      <c r="B319" s="70" t="s">
        <v>195</v>
      </c>
      <c r="C319" s="71">
        <v>40599</v>
      </c>
      <c r="D319" s="72">
        <v>40927</v>
      </c>
      <c r="E319" s="73">
        <v>1.7999999999999999E-2</v>
      </c>
      <c r="F319" s="74">
        <v>44815</v>
      </c>
      <c r="G319" s="88"/>
      <c r="H319" s="74">
        <v>8018.73</v>
      </c>
      <c r="I319" s="73">
        <v>0.17892959946446502</v>
      </c>
    </row>
    <row r="320" spans="1:9" x14ac:dyDescent="0.25">
      <c r="A320" s="76" t="s">
        <v>171</v>
      </c>
      <c r="B320" s="76" t="s">
        <v>192</v>
      </c>
      <c r="C320" s="77">
        <v>40879</v>
      </c>
      <c r="D320" s="78">
        <v>41243</v>
      </c>
      <c r="E320" s="79">
        <v>1.7999999999999999E-2</v>
      </c>
      <c r="F320" s="80">
        <v>902813</v>
      </c>
      <c r="G320" s="81"/>
      <c r="H320" s="80">
        <v>7565.31</v>
      </c>
      <c r="I320" s="79">
        <f>H320/F320</f>
        <v>8.3797087547476615E-3</v>
      </c>
    </row>
    <row r="321" spans="1:9" x14ac:dyDescent="0.25">
      <c r="A321" s="70" t="s">
        <v>171</v>
      </c>
      <c r="B321" s="70" t="s">
        <v>90</v>
      </c>
      <c r="C321" s="71">
        <v>40763</v>
      </c>
      <c r="D321" s="72">
        <v>41090</v>
      </c>
      <c r="E321" s="73">
        <v>1.7999999999999999E-2</v>
      </c>
      <c r="F321" s="74">
        <v>1111511.07</v>
      </c>
      <c r="G321" s="75"/>
      <c r="H321" s="74">
        <v>786517.58</v>
      </c>
      <c r="I321" s="79">
        <f>H321/F321</f>
        <v>0.70761110818266515</v>
      </c>
    </row>
    <row r="322" spans="1:9" x14ac:dyDescent="0.25">
      <c r="A322" s="70" t="s">
        <v>171</v>
      </c>
      <c r="B322" s="70" t="s">
        <v>174</v>
      </c>
      <c r="C322" s="71">
        <v>40634</v>
      </c>
      <c r="D322" s="72">
        <v>40999</v>
      </c>
      <c r="E322" s="73">
        <v>1.7999999999999999E-2</v>
      </c>
      <c r="F322" s="74">
        <v>179838</v>
      </c>
      <c r="G322" s="75"/>
      <c r="H322" s="74">
        <v>-88028</v>
      </c>
      <c r="I322" s="73">
        <v>-0.48948498092727899</v>
      </c>
    </row>
    <row r="323" spans="1:9" x14ac:dyDescent="0.25">
      <c r="A323" s="76" t="s">
        <v>171</v>
      </c>
      <c r="B323" s="76" t="s">
        <v>189</v>
      </c>
      <c r="C323" s="77">
        <v>40821</v>
      </c>
      <c r="D323" s="78">
        <v>41186</v>
      </c>
      <c r="E323" s="79">
        <v>1.7999999999999999E-2</v>
      </c>
      <c r="F323" s="80"/>
      <c r="G323" s="81">
        <v>1330</v>
      </c>
      <c r="H323" s="80">
        <v>-2143</v>
      </c>
      <c r="I323" s="79">
        <f>H323/G323</f>
        <v>-1.6112781954887219</v>
      </c>
    </row>
    <row r="324" spans="1:9" x14ac:dyDescent="0.25">
      <c r="A324" s="76" t="s">
        <v>171</v>
      </c>
      <c r="B324" s="76" t="s">
        <v>189</v>
      </c>
      <c r="C324" s="77">
        <v>40821</v>
      </c>
      <c r="D324" s="78">
        <v>41186</v>
      </c>
      <c r="E324" s="79">
        <v>1.7999999999999999E-2</v>
      </c>
      <c r="F324" s="80">
        <v>29696</v>
      </c>
      <c r="G324" s="81"/>
      <c r="H324" s="80">
        <v>-17698</v>
      </c>
      <c r="I324" s="79">
        <f>H324/F324</f>
        <v>-0.59597252155172409</v>
      </c>
    </row>
    <row r="325" spans="1:9" x14ac:dyDescent="0.25">
      <c r="A325" s="76" t="s">
        <v>171</v>
      </c>
      <c r="B325" s="76" t="s">
        <v>102</v>
      </c>
      <c r="C325" s="77">
        <v>40800</v>
      </c>
      <c r="D325" s="78">
        <v>41152</v>
      </c>
      <c r="E325" s="79">
        <v>1.7999999999999999E-2</v>
      </c>
      <c r="F325" s="80">
        <v>0</v>
      </c>
      <c r="G325" s="81"/>
      <c r="H325" s="80">
        <v>0</v>
      </c>
      <c r="I325" s="79">
        <v>0</v>
      </c>
    </row>
    <row r="326" spans="1:9" x14ac:dyDescent="0.25">
      <c r="A326" s="70" t="s">
        <v>171</v>
      </c>
      <c r="B326" s="70" t="s">
        <v>88</v>
      </c>
      <c r="C326" s="71">
        <v>40765</v>
      </c>
      <c r="D326" s="72">
        <v>41090</v>
      </c>
      <c r="E326" s="73">
        <v>1.7999999999999999E-2</v>
      </c>
      <c r="F326" s="74">
        <v>448475</v>
      </c>
      <c r="G326" s="75"/>
      <c r="H326" s="74">
        <v>214952</v>
      </c>
      <c r="I326" s="79">
        <f>H326/F326</f>
        <v>0.47929538993254922</v>
      </c>
    </row>
    <row r="327" spans="1:9" x14ac:dyDescent="0.25">
      <c r="A327" s="76" t="s">
        <v>214</v>
      </c>
      <c r="B327" s="76" t="s">
        <v>215</v>
      </c>
      <c r="C327" s="77">
        <v>40603</v>
      </c>
      <c r="D327" s="78">
        <v>40968</v>
      </c>
      <c r="E327" s="79">
        <v>4.4999999999999998E-2</v>
      </c>
      <c r="F327" s="80">
        <v>123073</v>
      </c>
      <c r="G327" s="81"/>
      <c r="H327" s="80">
        <v>81750</v>
      </c>
      <c r="I327" s="79">
        <f>H327/F327</f>
        <v>0.6642399226475344</v>
      </c>
    </row>
    <row r="328" spans="1:9" x14ac:dyDescent="0.25">
      <c r="A328" s="100" t="s">
        <v>214</v>
      </c>
      <c r="B328" s="100" t="s">
        <v>215</v>
      </c>
      <c r="C328" s="77">
        <v>40603</v>
      </c>
      <c r="D328" s="78">
        <v>40968</v>
      </c>
      <c r="E328" s="79">
        <v>4.4999999999999998E-2</v>
      </c>
      <c r="F328" s="80"/>
      <c r="G328" s="81">
        <v>115614.71</v>
      </c>
      <c r="H328" s="80">
        <v>77125.86</v>
      </c>
      <c r="I328" s="79">
        <f>H328/G328</f>
        <v>0.6670938326100545</v>
      </c>
    </row>
    <row r="329" spans="1:9" ht="21.75" customHeight="1" x14ac:dyDescent="0.25">
      <c r="A329" s="76" t="s">
        <v>216</v>
      </c>
      <c r="B329" s="76" t="s">
        <v>218</v>
      </c>
      <c r="C329" s="77">
        <v>41057</v>
      </c>
      <c r="D329" s="78">
        <v>41271</v>
      </c>
      <c r="E329" s="79">
        <v>0.2</v>
      </c>
      <c r="F329" s="80">
        <v>25802</v>
      </c>
      <c r="G329" s="88"/>
      <c r="H329" s="80">
        <v>6520.22</v>
      </c>
      <c r="I329" s="79">
        <f t="shared" ref="I329:I347" si="1">H329/F329</f>
        <v>0.25270211611502985</v>
      </c>
    </row>
    <row r="330" spans="1:9" x14ac:dyDescent="0.25">
      <c r="A330" s="76" t="s">
        <v>216</v>
      </c>
      <c r="B330" s="76" t="s">
        <v>217</v>
      </c>
      <c r="C330" s="77">
        <v>40945</v>
      </c>
      <c r="D330" s="78">
        <v>41145</v>
      </c>
      <c r="E330" s="79">
        <v>0.2</v>
      </c>
      <c r="F330" s="80">
        <v>35530</v>
      </c>
      <c r="G330" s="88"/>
      <c r="H330" s="80">
        <v>8320.0499999999993</v>
      </c>
      <c r="I330" s="79">
        <f t="shared" si="1"/>
        <v>0.23416971573318321</v>
      </c>
    </row>
    <row r="331" spans="1:9" x14ac:dyDescent="0.25">
      <c r="A331" s="76" t="s">
        <v>216</v>
      </c>
      <c r="B331" s="76" t="s">
        <v>219</v>
      </c>
      <c r="C331" s="77">
        <v>41085</v>
      </c>
      <c r="D331" s="78">
        <v>41271</v>
      </c>
      <c r="E331" s="79">
        <v>0.2</v>
      </c>
      <c r="F331" s="80">
        <v>90458.82</v>
      </c>
      <c r="G331" s="88"/>
      <c r="H331" s="80">
        <v>31655.79</v>
      </c>
      <c r="I331" s="79">
        <f t="shared" si="1"/>
        <v>0.34994697034518024</v>
      </c>
    </row>
    <row r="332" spans="1:9" x14ac:dyDescent="0.25">
      <c r="A332" s="76" t="s">
        <v>220</v>
      </c>
      <c r="B332" s="76" t="s">
        <v>228</v>
      </c>
      <c r="C332" s="77">
        <v>40952</v>
      </c>
      <c r="D332" s="78">
        <v>41097</v>
      </c>
      <c r="E332" s="79">
        <v>0.22</v>
      </c>
      <c r="F332" s="80">
        <v>31118</v>
      </c>
      <c r="G332" s="81"/>
      <c r="H332" s="80">
        <v>6845.96</v>
      </c>
      <c r="I332" s="79">
        <f t="shared" si="1"/>
        <v>0.22</v>
      </c>
    </row>
    <row r="333" spans="1:9" x14ac:dyDescent="0.25">
      <c r="A333" s="76" t="s">
        <v>220</v>
      </c>
      <c r="B333" s="76" t="s">
        <v>231</v>
      </c>
      <c r="C333" s="77">
        <v>40994</v>
      </c>
      <c r="D333" s="78">
        <v>41097</v>
      </c>
      <c r="E333" s="79">
        <v>0.23</v>
      </c>
      <c r="F333" s="80">
        <v>22658</v>
      </c>
      <c r="G333" s="81"/>
      <c r="H333" s="80">
        <v>5211.34</v>
      </c>
      <c r="I333" s="79">
        <f t="shared" si="1"/>
        <v>0.23</v>
      </c>
    </row>
    <row r="334" spans="1:9" x14ac:dyDescent="0.25">
      <c r="A334" s="76" t="s">
        <v>220</v>
      </c>
      <c r="B334" s="76" t="s">
        <v>224</v>
      </c>
      <c r="C334" s="77">
        <v>40861</v>
      </c>
      <c r="D334" s="78">
        <v>41026</v>
      </c>
      <c r="E334" s="79">
        <v>0.1</v>
      </c>
      <c r="F334" s="80">
        <v>65526</v>
      </c>
      <c r="G334" s="81"/>
      <c r="H334" s="80">
        <v>6552.6</v>
      </c>
      <c r="I334" s="79">
        <f t="shared" si="1"/>
        <v>0.1</v>
      </c>
    </row>
    <row r="335" spans="1:9" x14ac:dyDescent="0.25">
      <c r="A335" s="76" t="s">
        <v>220</v>
      </c>
      <c r="B335" s="76" t="s">
        <v>234</v>
      </c>
      <c r="C335" s="77">
        <v>41078</v>
      </c>
      <c r="D335" s="78">
        <v>41237</v>
      </c>
      <c r="E335" s="79">
        <v>0.25</v>
      </c>
      <c r="F335" s="80">
        <v>27548</v>
      </c>
      <c r="G335" s="81"/>
      <c r="H335" s="80">
        <v>6887</v>
      </c>
      <c r="I335" s="79">
        <f t="shared" si="1"/>
        <v>0.25</v>
      </c>
    </row>
    <row r="336" spans="1:9" x14ac:dyDescent="0.25">
      <c r="A336" s="76" t="s">
        <v>220</v>
      </c>
      <c r="B336" s="76" t="s">
        <v>232</v>
      </c>
      <c r="C336" s="77">
        <v>41008</v>
      </c>
      <c r="D336" s="78">
        <v>41181</v>
      </c>
      <c r="E336" s="79">
        <v>0.25</v>
      </c>
      <c r="F336" s="80">
        <v>100241</v>
      </c>
      <c r="G336" s="81"/>
      <c r="H336" s="80">
        <v>25060.25</v>
      </c>
      <c r="I336" s="79">
        <f t="shared" si="1"/>
        <v>0.25</v>
      </c>
    </row>
    <row r="337" spans="1:9" x14ac:dyDescent="0.25">
      <c r="A337" s="76" t="s">
        <v>220</v>
      </c>
      <c r="B337" s="76" t="s">
        <v>223</v>
      </c>
      <c r="C337" s="77">
        <v>40833</v>
      </c>
      <c r="D337" s="78">
        <v>40949</v>
      </c>
      <c r="E337" s="79">
        <v>0.24</v>
      </c>
      <c r="F337" s="80">
        <v>32888</v>
      </c>
      <c r="G337" s="81"/>
      <c r="H337" s="80">
        <v>7893.12</v>
      </c>
      <c r="I337" s="79">
        <f t="shared" si="1"/>
        <v>0.24</v>
      </c>
    </row>
    <row r="338" spans="1:9" x14ac:dyDescent="0.25">
      <c r="A338" s="76" t="s">
        <v>220</v>
      </c>
      <c r="B338" s="76" t="s">
        <v>233</v>
      </c>
      <c r="C338" s="77">
        <v>41078</v>
      </c>
      <c r="D338" s="78">
        <v>41215</v>
      </c>
      <c r="E338" s="79">
        <v>0.25</v>
      </c>
      <c r="F338" s="80">
        <v>43845</v>
      </c>
      <c r="G338" s="81"/>
      <c r="H338" s="80">
        <v>10961.25</v>
      </c>
      <c r="I338" s="79">
        <f t="shared" si="1"/>
        <v>0.25</v>
      </c>
    </row>
    <row r="339" spans="1:9" x14ac:dyDescent="0.25">
      <c r="A339" s="76" t="s">
        <v>220</v>
      </c>
      <c r="B339" s="76" t="s">
        <v>227</v>
      </c>
      <c r="C339" s="77">
        <v>40952</v>
      </c>
      <c r="D339" s="78">
        <v>41082</v>
      </c>
      <c r="E339" s="79">
        <v>0.23</v>
      </c>
      <c r="F339" s="80">
        <v>25695</v>
      </c>
      <c r="G339" s="81"/>
      <c r="H339" s="80">
        <v>5909.85</v>
      </c>
      <c r="I339" s="79">
        <f t="shared" si="1"/>
        <v>0.23</v>
      </c>
    </row>
    <row r="340" spans="1:9" x14ac:dyDescent="0.25">
      <c r="A340" s="76" t="s">
        <v>220</v>
      </c>
      <c r="B340" s="76" t="s">
        <v>221</v>
      </c>
      <c r="C340" s="77">
        <v>40805</v>
      </c>
      <c r="D340" s="78">
        <v>40929</v>
      </c>
      <c r="E340" s="79">
        <v>0.22</v>
      </c>
      <c r="F340" s="80">
        <v>26002</v>
      </c>
      <c r="G340" s="81"/>
      <c r="H340" s="80">
        <v>6000</v>
      </c>
      <c r="I340" s="79">
        <f t="shared" si="1"/>
        <v>0.23075148065533421</v>
      </c>
    </row>
    <row r="341" spans="1:9" x14ac:dyDescent="0.25">
      <c r="A341" s="76" t="s">
        <v>220</v>
      </c>
      <c r="B341" s="76" t="s">
        <v>230</v>
      </c>
      <c r="C341" s="77">
        <v>40966</v>
      </c>
      <c r="D341" s="78">
        <v>41128</v>
      </c>
      <c r="E341" s="79">
        <v>0.23</v>
      </c>
      <c r="F341" s="80">
        <v>39438</v>
      </c>
      <c r="G341" s="81"/>
      <c r="H341" s="80">
        <v>9070.74</v>
      </c>
      <c r="I341" s="79">
        <f t="shared" si="1"/>
        <v>0.22999999999999998</v>
      </c>
    </row>
    <row r="342" spans="1:9" x14ac:dyDescent="0.25">
      <c r="A342" s="76" t="s">
        <v>220</v>
      </c>
      <c r="B342" s="76" t="s">
        <v>225</v>
      </c>
      <c r="C342" s="109">
        <v>40889</v>
      </c>
      <c r="D342" s="78">
        <v>41027</v>
      </c>
      <c r="E342" s="79">
        <v>0.2</v>
      </c>
      <c r="F342" s="80">
        <v>37237</v>
      </c>
      <c r="G342" s="81"/>
      <c r="H342" s="80">
        <v>7447.4</v>
      </c>
      <c r="I342" s="79">
        <f t="shared" si="1"/>
        <v>0.19999999999999998</v>
      </c>
    </row>
    <row r="343" spans="1:9" x14ac:dyDescent="0.25">
      <c r="A343" s="76" t="s">
        <v>220</v>
      </c>
      <c r="B343" s="76" t="s">
        <v>226</v>
      </c>
      <c r="C343" s="77">
        <v>40924</v>
      </c>
      <c r="D343" s="78">
        <v>41026</v>
      </c>
      <c r="E343" s="79">
        <v>0.26</v>
      </c>
      <c r="F343" s="80">
        <v>25473</v>
      </c>
      <c r="G343" s="81"/>
      <c r="H343" s="80">
        <v>6622.98</v>
      </c>
      <c r="I343" s="79">
        <f t="shared" si="1"/>
        <v>0.26</v>
      </c>
    </row>
    <row r="344" spans="1:9" x14ac:dyDescent="0.25">
      <c r="A344" s="76" t="s">
        <v>220</v>
      </c>
      <c r="B344" s="76" t="s">
        <v>1840</v>
      </c>
      <c r="C344" s="77">
        <v>40847</v>
      </c>
      <c r="D344" s="78">
        <v>40989</v>
      </c>
      <c r="E344" s="79">
        <v>0.22</v>
      </c>
      <c r="F344" s="80">
        <v>23170</v>
      </c>
      <c r="G344" s="81"/>
      <c r="H344" s="80">
        <v>5097.3999999999996</v>
      </c>
      <c r="I344" s="79">
        <f t="shared" si="1"/>
        <v>0.21999999999999997</v>
      </c>
    </row>
    <row r="345" spans="1:9" x14ac:dyDescent="0.25">
      <c r="A345" s="76" t="s">
        <v>220</v>
      </c>
      <c r="B345" s="76" t="s">
        <v>222</v>
      </c>
      <c r="C345" s="77">
        <v>40826</v>
      </c>
      <c r="D345" s="78">
        <v>40956</v>
      </c>
      <c r="E345" s="79">
        <v>0.2</v>
      </c>
      <c r="F345" s="80">
        <v>23322</v>
      </c>
      <c r="G345" s="81"/>
      <c r="H345" s="80">
        <v>4664.3999999999996</v>
      </c>
      <c r="I345" s="79">
        <f t="shared" si="1"/>
        <v>0.19999999999999998</v>
      </c>
    </row>
    <row r="346" spans="1:9" x14ac:dyDescent="0.25">
      <c r="A346" s="76" t="s">
        <v>220</v>
      </c>
      <c r="B346" s="76" t="s">
        <v>229</v>
      </c>
      <c r="C346" s="77">
        <v>40959</v>
      </c>
      <c r="D346" s="78">
        <v>41018</v>
      </c>
      <c r="E346" s="79">
        <v>0.3</v>
      </c>
      <c r="F346" s="80">
        <v>14725</v>
      </c>
      <c r="G346" s="81"/>
      <c r="H346" s="80">
        <v>4417.5</v>
      </c>
      <c r="I346" s="79">
        <f t="shared" si="1"/>
        <v>0.3</v>
      </c>
    </row>
    <row r="347" spans="1:9" x14ac:dyDescent="0.25">
      <c r="A347" s="76" t="s">
        <v>235</v>
      </c>
      <c r="B347" s="76" t="s">
        <v>94</v>
      </c>
      <c r="C347" s="77">
        <v>40836</v>
      </c>
      <c r="D347" s="78">
        <v>41201</v>
      </c>
      <c r="E347" s="79">
        <v>0.33</v>
      </c>
      <c r="F347" s="80">
        <v>199522.16</v>
      </c>
      <c r="G347" s="81"/>
      <c r="H347" s="80">
        <v>188911.91</v>
      </c>
      <c r="I347" s="79">
        <f t="shared" si="1"/>
        <v>0.94682169639703184</v>
      </c>
    </row>
    <row r="348" spans="1:9" x14ac:dyDescent="0.25">
      <c r="A348" s="76" t="s">
        <v>235</v>
      </c>
      <c r="B348" s="76" t="s">
        <v>94</v>
      </c>
      <c r="C348" s="77">
        <v>40836</v>
      </c>
      <c r="D348" s="78">
        <v>41201</v>
      </c>
      <c r="E348" s="79">
        <v>0.33</v>
      </c>
      <c r="F348" s="80"/>
      <c r="G348" s="81">
        <v>4171.12</v>
      </c>
      <c r="H348" s="80">
        <v>3877.37</v>
      </c>
      <c r="I348" s="79">
        <f>H348/G348</f>
        <v>0.92957526995147588</v>
      </c>
    </row>
    <row r="349" spans="1:9" x14ac:dyDescent="0.25">
      <c r="A349" s="76" t="s">
        <v>235</v>
      </c>
      <c r="B349" s="76" t="s">
        <v>168</v>
      </c>
      <c r="C349" s="77">
        <v>40616</v>
      </c>
      <c r="D349" s="78">
        <v>40981</v>
      </c>
      <c r="E349" s="79">
        <v>4.4999999999999998E-2</v>
      </c>
      <c r="F349" s="80">
        <v>1763</v>
      </c>
      <c r="G349" s="81"/>
      <c r="H349" s="80">
        <v>1583.69</v>
      </c>
      <c r="I349" s="79">
        <f>H349/F349</f>
        <v>0.89829268292682929</v>
      </c>
    </row>
    <row r="350" spans="1:9" x14ac:dyDescent="0.25">
      <c r="A350" s="76" t="s">
        <v>235</v>
      </c>
      <c r="B350" s="76" t="s">
        <v>168</v>
      </c>
      <c r="C350" s="77">
        <v>40982</v>
      </c>
      <c r="D350" s="78">
        <v>41121</v>
      </c>
      <c r="E350" s="79">
        <v>4.4999999999999998E-2</v>
      </c>
      <c r="F350" s="80"/>
      <c r="G350" s="81">
        <v>18</v>
      </c>
      <c r="H350" s="80">
        <v>-55.32</v>
      </c>
      <c r="I350" s="79">
        <f>H350/G350</f>
        <v>-3.0733333333333333</v>
      </c>
    </row>
    <row r="351" spans="1:9" x14ac:dyDescent="0.25">
      <c r="A351" s="76" t="s">
        <v>236</v>
      </c>
      <c r="B351" s="76" t="s">
        <v>51</v>
      </c>
      <c r="C351" s="77">
        <v>40893</v>
      </c>
      <c r="D351" s="78">
        <v>41258</v>
      </c>
      <c r="E351" s="79">
        <v>0.15</v>
      </c>
      <c r="F351" s="80"/>
      <c r="G351" s="81">
        <v>247343.87</v>
      </c>
      <c r="H351" s="80">
        <v>37101.58</v>
      </c>
      <c r="I351" s="79">
        <f>H351/G351</f>
        <v>0.14999999797852279</v>
      </c>
    </row>
    <row r="352" spans="1:9" x14ac:dyDescent="0.25">
      <c r="A352" s="76" t="s">
        <v>237</v>
      </c>
      <c r="B352" s="76" t="s">
        <v>238</v>
      </c>
      <c r="C352" s="77">
        <v>40793</v>
      </c>
      <c r="D352" s="78">
        <v>41159</v>
      </c>
      <c r="E352" s="79">
        <v>0.35</v>
      </c>
      <c r="F352" s="80">
        <v>69725</v>
      </c>
      <c r="G352" s="88"/>
      <c r="H352" s="80">
        <v>24403.75</v>
      </c>
      <c r="I352" s="79">
        <f>H352/F352</f>
        <v>0.35</v>
      </c>
    </row>
    <row r="353" spans="1:9" x14ac:dyDescent="0.25">
      <c r="A353" s="76" t="s">
        <v>239</v>
      </c>
      <c r="B353" s="76" t="s">
        <v>240</v>
      </c>
      <c r="C353" s="77">
        <v>40969</v>
      </c>
      <c r="D353" s="78">
        <v>41274</v>
      </c>
      <c r="E353" s="79">
        <v>0.09</v>
      </c>
      <c r="F353" s="80"/>
      <c r="G353" s="81">
        <v>64099</v>
      </c>
      <c r="H353" s="80">
        <v>37801</v>
      </c>
      <c r="I353" s="79">
        <f>H353/G353</f>
        <v>0.58972838889842272</v>
      </c>
    </row>
    <row r="354" spans="1:9" x14ac:dyDescent="0.25">
      <c r="A354" s="76" t="s">
        <v>239</v>
      </c>
      <c r="B354" s="76" t="s">
        <v>242</v>
      </c>
      <c r="C354" s="77">
        <v>41136</v>
      </c>
      <c r="D354" s="78">
        <v>41274</v>
      </c>
      <c r="E354" s="79">
        <v>8.9999999999999993E-3</v>
      </c>
      <c r="F354" s="80"/>
      <c r="G354" s="81">
        <v>18710</v>
      </c>
      <c r="H354" s="80">
        <v>9282</v>
      </c>
      <c r="I354" s="79">
        <f>H354/G354</f>
        <v>0.49609834313201495</v>
      </c>
    </row>
    <row r="355" spans="1:9" x14ac:dyDescent="0.25">
      <c r="A355" s="76" t="s">
        <v>239</v>
      </c>
      <c r="B355" s="76" t="s">
        <v>241</v>
      </c>
      <c r="C355" s="77">
        <v>41003</v>
      </c>
      <c r="D355" s="78">
        <v>41364</v>
      </c>
      <c r="E355" s="79">
        <v>0</v>
      </c>
      <c r="F355" s="80">
        <v>6748</v>
      </c>
      <c r="G355" s="81"/>
      <c r="H355" s="80">
        <v>867</v>
      </c>
      <c r="I355" s="79">
        <f>H355/F355</f>
        <v>0.12848251333728511</v>
      </c>
    </row>
    <row r="356" spans="1:9" x14ac:dyDescent="0.25">
      <c r="A356" s="76" t="s">
        <v>239</v>
      </c>
      <c r="B356" s="76" t="s">
        <v>241</v>
      </c>
      <c r="C356" s="77">
        <v>41003</v>
      </c>
      <c r="D356" s="78">
        <v>41364</v>
      </c>
      <c r="E356" s="79">
        <v>0</v>
      </c>
      <c r="F356" s="80"/>
      <c r="G356" s="81">
        <v>170</v>
      </c>
      <c r="H356" s="80">
        <v>100.7</v>
      </c>
      <c r="I356" s="79">
        <f>H356/G356</f>
        <v>0.59235294117647064</v>
      </c>
    </row>
    <row r="357" spans="1:9" x14ac:dyDescent="0.25">
      <c r="A357" s="76" t="s">
        <v>243</v>
      </c>
      <c r="B357" s="76" t="s">
        <v>244</v>
      </c>
      <c r="C357" s="77">
        <v>40909</v>
      </c>
      <c r="D357" s="78">
        <v>41274</v>
      </c>
      <c r="E357" s="79">
        <v>1.7999999999999999E-2</v>
      </c>
      <c r="F357" s="80">
        <v>6051098</v>
      </c>
      <c r="G357" s="81"/>
      <c r="H357" s="80">
        <v>4338848.32</v>
      </c>
      <c r="I357" s="79">
        <f>H357/F357</f>
        <v>0.71703487862863902</v>
      </c>
    </row>
    <row r="358" spans="1:9" x14ac:dyDescent="0.25">
      <c r="A358" s="76" t="s">
        <v>243</v>
      </c>
      <c r="B358" s="76" t="s">
        <v>245</v>
      </c>
      <c r="C358" s="77">
        <v>40665</v>
      </c>
      <c r="D358" s="78">
        <v>40999</v>
      </c>
      <c r="E358" s="79">
        <v>1.7999999999999999E-2</v>
      </c>
      <c r="F358" s="80">
        <v>24631</v>
      </c>
      <c r="G358" s="88"/>
      <c r="H358" s="80">
        <v>11515.17</v>
      </c>
      <c r="I358" s="79">
        <f>H358/F358</f>
        <v>0.4675072063659616</v>
      </c>
    </row>
    <row r="359" spans="1:9" x14ac:dyDescent="0.25">
      <c r="A359" s="76" t="s">
        <v>246</v>
      </c>
      <c r="B359" s="76" t="s">
        <v>109</v>
      </c>
      <c r="C359" s="77">
        <v>40909</v>
      </c>
      <c r="D359" s="78">
        <v>41274</v>
      </c>
      <c r="E359" s="79">
        <v>0</v>
      </c>
      <c r="F359" s="80">
        <v>57024</v>
      </c>
      <c r="G359" s="81"/>
      <c r="H359" s="80">
        <v>4271.92</v>
      </c>
      <c r="I359" s="93">
        <f>H359/F359</f>
        <v>7.4914421997755332E-2</v>
      </c>
    </row>
    <row r="360" spans="1:9" x14ac:dyDescent="0.25">
      <c r="A360" s="76" t="s">
        <v>246</v>
      </c>
      <c r="B360" s="76" t="s">
        <v>31</v>
      </c>
      <c r="C360" s="77">
        <v>40909</v>
      </c>
      <c r="D360" s="78">
        <v>41274</v>
      </c>
      <c r="E360" s="79">
        <v>0</v>
      </c>
      <c r="F360" s="80">
        <v>115035.47</v>
      </c>
      <c r="G360" s="81"/>
      <c r="H360" s="80">
        <v>-27407.57</v>
      </c>
      <c r="I360" s="79">
        <f>H360/F360</f>
        <v>-0.23825321007511857</v>
      </c>
    </row>
    <row r="361" spans="1:9" x14ac:dyDescent="0.25">
      <c r="A361" s="76" t="s">
        <v>246</v>
      </c>
      <c r="B361" s="76" t="s">
        <v>188</v>
      </c>
      <c r="C361" s="77">
        <v>40731</v>
      </c>
      <c r="D361" s="78">
        <v>41090</v>
      </c>
      <c r="E361" s="79">
        <v>0</v>
      </c>
      <c r="F361" s="80">
        <v>47197.39</v>
      </c>
      <c r="G361" s="88"/>
      <c r="H361" s="80">
        <v>-20050.04</v>
      </c>
      <c r="I361" s="79">
        <f>H361/F361</f>
        <v>-0.42481247374060305</v>
      </c>
    </row>
    <row r="362" spans="1:9" x14ac:dyDescent="0.25">
      <c r="A362" s="76" t="s">
        <v>246</v>
      </c>
      <c r="B362" s="76" t="s">
        <v>247</v>
      </c>
      <c r="C362" s="77">
        <v>40909</v>
      </c>
      <c r="D362" s="78">
        <v>41274</v>
      </c>
      <c r="E362" s="79">
        <v>0</v>
      </c>
      <c r="F362" s="80">
        <v>0</v>
      </c>
      <c r="G362" s="81"/>
      <c r="H362" s="80">
        <v>0</v>
      </c>
      <c r="I362" s="79">
        <v>0</v>
      </c>
    </row>
    <row r="363" spans="1:9" x14ac:dyDescent="0.25">
      <c r="A363" s="76" t="s">
        <v>246</v>
      </c>
      <c r="B363" s="76" t="s">
        <v>107</v>
      </c>
      <c r="C363" s="77">
        <v>40909</v>
      </c>
      <c r="D363" s="78">
        <v>41274</v>
      </c>
      <c r="E363" s="79">
        <v>0</v>
      </c>
      <c r="F363" s="80">
        <v>75992.679999999993</v>
      </c>
      <c r="G363" s="81"/>
      <c r="H363" s="80">
        <v>-10166.58</v>
      </c>
      <c r="I363" s="79">
        <f>H363/F363</f>
        <v>-0.1337836749539561</v>
      </c>
    </row>
    <row r="364" spans="1:9" x14ac:dyDescent="0.25">
      <c r="A364" s="76" t="s">
        <v>246</v>
      </c>
      <c r="B364" s="76" t="s">
        <v>173</v>
      </c>
      <c r="C364" s="77">
        <v>40909</v>
      </c>
      <c r="D364" s="78">
        <v>41274</v>
      </c>
      <c r="E364" s="79">
        <v>0</v>
      </c>
      <c r="F364" s="80">
        <v>0</v>
      </c>
      <c r="G364" s="81"/>
      <c r="H364" s="80">
        <v>0</v>
      </c>
      <c r="I364" s="79">
        <v>0</v>
      </c>
    </row>
    <row r="365" spans="1:9" x14ac:dyDescent="0.25">
      <c r="A365" s="76" t="s">
        <v>246</v>
      </c>
      <c r="B365" s="76" t="s">
        <v>29</v>
      </c>
      <c r="C365" s="77">
        <v>40909</v>
      </c>
      <c r="D365" s="78">
        <v>41274</v>
      </c>
      <c r="E365" s="79">
        <v>0</v>
      </c>
      <c r="F365" s="80">
        <v>105804</v>
      </c>
      <c r="G365" s="81"/>
      <c r="H365" s="80">
        <v>-9197.4699999999993</v>
      </c>
      <c r="I365" s="79">
        <f t="shared" ref="I365:I381" si="2">H365/F365</f>
        <v>-8.6929322142830126E-2</v>
      </c>
    </row>
    <row r="366" spans="1:9" x14ac:dyDescent="0.25">
      <c r="A366" s="76" t="s">
        <v>246</v>
      </c>
      <c r="B366" s="76" t="s">
        <v>108</v>
      </c>
      <c r="C366" s="77">
        <v>40946</v>
      </c>
      <c r="D366" s="78">
        <v>41274</v>
      </c>
      <c r="E366" s="79">
        <v>0</v>
      </c>
      <c r="F366" s="80">
        <v>33534.120000000003</v>
      </c>
      <c r="G366" s="81"/>
      <c r="H366" s="80">
        <v>-31671.8</v>
      </c>
      <c r="I366" s="79">
        <f t="shared" si="2"/>
        <v>-0.94446492110125435</v>
      </c>
    </row>
    <row r="367" spans="1:9" x14ac:dyDescent="0.25">
      <c r="A367" s="76" t="s">
        <v>246</v>
      </c>
      <c r="B367" s="76" t="s">
        <v>22</v>
      </c>
      <c r="C367" s="77">
        <v>40909</v>
      </c>
      <c r="D367" s="78">
        <v>41274</v>
      </c>
      <c r="E367" s="79">
        <v>1.7999999999999999E-2</v>
      </c>
      <c r="F367" s="80">
        <v>445376.45</v>
      </c>
      <c r="G367" s="81"/>
      <c r="H367" s="80">
        <v>-12490.32</v>
      </c>
      <c r="I367" s="79">
        <f t="shared" si="2"/>
        <v>-2.8044410520583204E-2</v>
      </c>
    </row>
    <row r="368" spans="1:9" x14ac:dyDescent="0.25">
      <c r="A368" s="76" t="s">
        <v>246</v>
      </c>
      <c r="B368" s="76" t="s">
        <v>248</v>
      </c>
      <c r="C368" s="77">
        <v>40909</v>
      </c>
      <c r="D368" s="78">
        <v>41274</v>
      </c>
      <c r="E368" s="79">
        <v>0</v>
      </c>
      <c r="F368" s="80">
        <v>209718.28</v>
      </c>
      <c r="G368" s="81"/>
      <c r="H368" s="80">
        <v>92957.71</v>
      </c>
      <c r="I368" s="79">
        <f t="shared" si="2"/>
        <v>0.44325039286036488</v>
      </c>
    </row>
    <row r="369" spans="1:9" x14ac:dyDescent="0.25">
      <c r="A369" s="76" t="s">
        <v>246</v>
      </c>
      <c r="B369" s="76" t="s">
        <v>102</v>
      </c>
      <c r="C369" s="77">
        <v>41085</v>
      </c>
      <c r="D369" s="78">
        <v>41274</v>
      </c>
      <c r="E369" s="79">
        <v>0</v>
      </c>
      <c r="F369" s="80">
        <v>14360</v>
      </c>
      <c r="G369" s="81"/>
      <c r="H369" s="80">
        <v>-4476.59</v>
      </c>
      <c r="I369" s="79">
        <f t="shared" si="2"/>
        <v>-0.31174025069637884</v>
      </c>
    </row>
    <row r="370" spans="1:9" x14ac:dyDescent="0.25">
      <c r="A370" s="76" t="s">
        <v>249</v>
      </c>
      <c r="B370" s="76" t="s">
        <v>250</v>
      </c>
      <c r="C370" s="77">
        <v>40635</v>
      </c>
      <c r="D370" s="78">
        <v>41000</v>
      </c>
      <c r="E370" s="79">
        <v>8.9999999999999993E-3</v>
      </c>
      <c r="F370" s="80">
        <v>381934.66</v>
      </c>
      <c r="G370" s="81"/>
      <c r="H370" s="80">
        <v>272395.65999999997</v>
      </c>
      <c r="I370" s="79">
        <f t="shared" si="2"/>
        <v>0.71319963472286074</v>
      </c>
    </row>
    <row r="371" spans="1:9" x14ac:dyDescent="0.25">
      <c r="A371" s="76" t="s">
        <v>249</v>
      </c>
      <c r="B371" s="76" t="s">
        <v>250</v>
      </c>
      <c r="C371" s="77">
        <v>41001</v>
      </c>
      <c r="D371" s="78">
        <v>41182</v>
      </c>
      <c r="E371" s="79">
        <v>8.9999999999999993E-3</v>
      </c>
      <c r="F371" s="80">
        <v>80930.880000000005</v>
      </c>
      <c r="G371" s="81"/>
      <c r="H371" s="80">
        <v>8230.8799999999992</v>
      </c>
      <c r="I371" s="79">
        <f t="shared" si="2"/>
        <v>0.10170258867814114</v>
      </c>
    </row>
    <row r="372" spans="1:9" x14ac:dyDescent="0.25">
      <c r="A372" s="76" t="s">
        <v>249</v>
      </c>
      <c r="B372" s="76" t="s">
        <v>260</v>
      </c>
      <c r="C372" s="77">
        <v>41022</v>
      </c>
      <c r="D372" s="78">
        <v>41243</v>
      </c>
      <c r="E372" s="79">
        <v>0</v>
      </c>
      <c r="F372" s="80">
        <v>30631</v>
      </c>
      <c r="G372" s="81"/>
      <c r="H372" s="80">
        <v>-56333.85</v>
      </c>
      <c r="I372" s="79">
        <f t="shared" si="2"/>
        <v>-1.8391123371747575</v>
      </c>
    </row>
    <row r="373" spans="1:9" x14ac:dyDescent="0.25">
      <c r="A373" s="76" t="s">
        <v>249</v>
      </c>
      <c r="B373" s="76" t="s">
        <v>254</v>
      </c>
      <c r="C373" s="77">
        <v>40700</v>
      </c>
      <c r="D373" s="78">
        <v>40939</v>
      </c>
      <c r="E373" s="79">
        <v>0</v>
      </c>
      <c r="F373" s="80">
        <v>350803.5</v>
      </c>
      <c r="G373" s="81"/>
      <c r="H373" s="80">
        <v>-71013.69</v>
      </c>
      <c r="I373" s="79">
        <f t="shared" si="2"/>
        <v>-0.20243153218254664</v>
      </c>
    </row>
    <row r="374" spans="1:9" x14ac:dyDescent="0.25">
      <c r="A374" s="76" t="s">
        <v>249</v>
      </c>
      <c r="B374" s="76" t="s">
        <v>253</v>
      </c>
      <c r="C374" s="77">
        <v>40686</v>
      </c>
      <c r="D374" s="78">
        <v>41121</v>
      </c>
      <c r="E374" s="79">
        <v>0</v>
      </c>
      <c r="F374" s="80">
        <v>94425.279999999999</v>
      </c>
      <c r="G374" s="81"/>
      <c r="H374" s="80">
        <v>-273458.40000000002</v>
      </c>
      <c r="I374" s="79">
        <f t="shared" si="2"/>
        <v>-2.8960295378525753</v>
      </c>
    </row>
    <row r="375" spans="1:9" x14ac:dyDescent="0.25">
      <c r="A375" s="76" t="s">
        <v>249</v>
      </c>
      <c r="B375" s="76" t="s">
        <v>695</v>
      </c>
      <c r="C375" s="77">
        <v>41220</v>
      </c>
      <c r="D375" s="78">
        <v>41510</v>
      </c>
      <c r="E375" s="79">
        <v>0</v>
      </c>
      <c r="F375" s="80">
        <v>87418.75</v>
      </c>
      <c r="G375" s="81"/>
      <c r="H375" s="80">
        <v>-16507.18</v>
      </c>
      <c r="I375" s="79">
        <f t="shared" si="2"/>
        <v>-0.18882882676771287</v>
      </c>
    </row>
    <row r="376" spans="1:9" x14ac:dyDescent="0.25">
      <c r="A376" s="76" t="s">
        <v>249</v>
      </c>
      <c r="B376" s="76" t="s">
        <v>252</v>
      </c>
      <c r="C376" s="77">
        <v>40658</v>
      </c>
      <c r="D376" s="78">
        <v>41023</v>
      </c>
      <c r="E376" s="79">
        <v>0</v>
      </c>
      <c r="F376" s="80">
        <v>843544.58</v>
      </c>
      <c r="G376" s="81"/>
      <c r="H376" s="80">
        <v>577371.98</v>
      </c>
      <c r="I376" s="79">
        <f t="shared" si="2"/>
        <v>0.68445935601886032</v>
      </c>
    </row>
    <row r="377" spans="1:9" x14ac:dyDescent="0.25">
      <c r="A377" s="76" t="s">
        <v>249</v>
      </c>
      <c r="B377" s="76" t="s">
        <v>258</v>
      </c>
      <c r="C377" s="77">
        <v>40819</v>
      </c>
      <c r="D377" s="78">
        <v>40939</v>
      </c>
      <c r="E377" s="79">
        <v>0</v>
      </c>
      <c r="F377" s="80">
        <v>98908</v>
      </c>
      <c r="G377" s="81"/>
      <c r="H377" s="80">
        <v>74339.08</v>
      </c>
      <c r="I377" s="79">
        <f t="shared" si="2"/>
        <v>0.75159825292190729</v>
      </c>
    </row>
    <row r="378" spans="1:9" x14ac:dyDescent="0.25">
      <c r="A378" s="76" t="s">
        <v>249</v>
      </c>
      <c r="B378" s="76" t="s">
        <v>257</v>
      </c>
      <c r="C378" s="77">
        <v>40938</v>
      </c>
      <c r="D378" s="78">
        <v>41304</v>
      </c>
      <c r="E378" s="79">
        <v>0</v>
      </c>
      <c r="F378" s="80">
        <v>348909.75</v>
      </c>
      <c r="G378" s="81"/>
      <c r="H378" s="80">
        <v>73909.75</v>
      </c>
      <c r="I378" s="79">
        <f t="shared" si="2"/>
        <v>0.21183056650036292</v>
      </c>
    </row>
    <row r="379" spans="1:9" x14ac:dyDescent="0.25">
      <c r="A379" s="76" t="s">
        <v>249</v>
      </c>
      <c r="B379" s="76" t="s">
        <v>257</v>
      </c>
      <c r="C379" s="77">
        <v>40817</v>
      </c>
      <c r="D379" s="78">
        <v>40968</v>
      </c>
      <c r="E379" s="79">
        <v>0</v>
      </c>
      <c r="F379" s="80">
        <v>159928.5</v>
      </c>
      <c r="G379" s="81"/>
      <c r="H379" s="80">
        <v>9308.81</v>
      </c>
      <c r="I379" s="79">
        <f t="shared" si="2"/>
        <v>5.8206073339023376E-2</v>
      </c>
    </row>
    <row r="380" spans="1:9" x14ac:dyDescent="0.25">
      <c r="A380" s="76" t="s">
        <v>249</v>
      </c>
      <c r="B380" s="76" t="s">
        <v>255</v>
      </c>
      <c r="C380" s="77">
        <v>40805</v>
      </c>
      <c r="D380" s="78">
        <v>41053</v>
      </c>
      <c r="E380" s="79">
        <v>0</v>
      </c>
      <c r="F380" s="80">
        <v>38009.5</v>
      </c>
      <c r="G380" s="81"/>
      <c r="H380" s="80">
        <v>0</v>
      </c>
      <c r="I380" s="79">
        <f t="shared" si="2"/>
        <v>0</v>
      </c>
    </row>
    <row r="381" spans="1:9" x14ac:dyDescent="0.25">
      <c r="A381" s="76" t="s">
        <v>249</v>
      </c>
      <c r="B381" s="76" t="s">
        <v>261</v>
      </c>
      <c r="C381" s="77">
        <v>41120</v>
      </c>
      <c r="D381" s="78">
        <v>41213</v>
      </c>
      <c r="E381" s="79">
        <v>0</v>
      </c>
      <c r="F381" s="80">
        <v>50530</v>
      </c>
      <c r="G381" s="81"/>
      <c r="H381" s="80">
        <v>5630.15</v>
      </c>
      <c r="I381" s="79">
        <f t="shared" si="2"/>
        <v>0.11142192756778151</v>
      </c>
    </row>
    <row r="382" spans="1:9" x14ac:dyDescent="0.25">
      <c r="A382" s="76" t="s">
        <v>249</v>
      </c>
      <c r="B382" s="76" t="s">
        <v>259</v>
      </c>
      <c r="C382" s="77">
        <v>40969</v>
      </c>
      <c r="D382" s="78">
        <v>41152</v>
      </c>
      <c r="E382" s="79">
        <v>0</v>
      </c>
      <c r="F382" s="80">
        <v>0</v>
      </c>
      <c r="G382" s="81"/>
      <c r="H382" s="80">
        <v>-62748.95</v>
      </c>
      <c r="I382" s="79">
        <v>0</v>
      </c>
    </row>
    <row r="383" spans="1:9" x14ac:dyDescent="0.25">
      <c r="A383" s="76" t="s">
        <v>249</v>
      </c>
      <c r="B383" s="76" t="s">
        <v>256</v>
      </c>
      <c r="C383" s="77">
        <v>40812</v>
      </c>
      <c r="D383" s="78">
        <v>40939</v>
      </c>
      <c r="E383" s="79">
        <v>0</v>
      </c>
      <c r="F383" s="80">
        <v>153537</v>
      </c>
      <c r="G383" s="81"/>
      <c r="H383" s="80">
        <v>105824.66</v>
      </c>
      <c r="I383" s="79">
        <f>H383/F383</f>
        <v>0.6892453284875959</v>
      </c>
    </row>
    <row r="384" spans="1:9" x14ac:dyDescent="0.25">
      <c r="A384" s="76" t="s">
        <v>249</v>
      </c>
      <c r="B384" s="76" t="s">
        <v>251</v>
      </c>
      <c r="C384" s="77">
        <v>41014</v>
      </c>
      <c r="D384" s="78">
        <v>41090</v>
      </c>
      <c r="E384" s="79">
        <v>0</v>
      </c>
      <c r="F384" s="80">
        <v>723288</v>
      </c>
      <c r="G384" s="81"/>
      <c r="H384" s="80">
        <v>677565.2</v>
      </c>
      <c r="I384" s="79">
        <f>H384/F384</f>
        <v>0.93678479388569968</v>
      </c>
    </row>
    <row r="385" spans="1:9" x14ac:dyDescent="0.25">
      <c r="A385" s="76" t="s">
        <v>249</v>
      </c>
      <c r="B385" s="76" t="s">
        <v>251</v>
      </c>
      <c r="C385" s="77">
        <v>40648</v>
      </c>
      <c r="D385" s="78">
        <v>41014</v>
      </c>
      <c r="E385" s="79">
        <v>0</v>
      </c>
      <c r="F385" s="80">
        <v>625521.44999999995</v>
      </c>
      <c r="G385" s="81"/>
      <c r="H385" s="80">
        <v>-834958.74</v>
      </c>
      <c r="I385" s="79">
        <f>H385/F385</f>
        <v>-1.3348203167133599</v>
      </c>
    </row>
    <row r="386" spans="1:9" x14ac:dyDescent="0.25">
      <c r="A386" s="76" t="s">
        <v>249</v>
      </c>
      <c r="B386" s="76" t="s">
        <v>254</v>
      </c>
      <c r="C386" s="77">
        <v>40700</v>
      </c>
      <c r="D386" s="77">
        <v>40939</v>
      </c>
      <c r="E386" s="79">
        <v>0</v>
      </c>
      <c r="F386" s="80">
        <v>350803.5</v>
      </c>
      <c r="G386" s="88"/>
      <c r="H386" s="80">
        <v>-71013.69</v>
      </c>
      <c r="I386" s="79">
        <v>0</v>
      </c>
    </row>
    <row r="387" spans="1:9" x14ac:dyDescent="0.25">
      <c r="A387" s="76" t="s">
        <v>249</v>
      </c>
      <c r="B387" s="76" t="s">
        <v>1968</v>
      </c>
      <c r="C387" s="77">
        <v>40686</v>
      </c>
      <c r="D387" s="77">
        <v>40908</v>
      </c>
      <c r="E387" s="79">
        <v>0</v>
      </c>
      <c r="F387" s="80">
        <v>54564.07</v>
      </c>
      <c r="G387" s="88"/>
      <c r="H387" s="80">
        <v>-91397.67</v>
      </c>
      <c r="I387" s="79">
        <v>0</v>
      </c>
    </row>
    <row r="388" spans="1:9" x14ac:dyDescent="0.25">
      <c r="A388" s="76" t="s">
        <v>262</v>
      </c>
      <c r="B388" s="76" t="s">
        <v>31</v>
      </c>
      <c r="C388" s="77">
        <v>40747</v>
      </c>
      <c r="D388" s="78">
        <v>41060</v>
      </c>
      <c r="E388" s="79">
        <v>8.9999999999999993E-3</v>
      </c>
      <c r="F388" s="80"/>
      <c r="G388" s="81">
        <v>3360</v>
      </c>
      <c r="H388" s="80">
        <v>2150.4</v>
      </c>
      <c r="I388" s="79">
        <f>H388/G388</f>
        <v>0.64</v>
      </c>
    </row>
    <row r="389" spans="1:9" x14ac:dyDescent="0.25">
      <c r="A389" s="76" t="s">
        <v>262</v>
      </c>
      <c r="B389" s="76" t="s">
        <v>31</v>
      </c>
      <c r="C389" s="77">
        <v>40747</v>
      </c>
      <c r="D389" s="78">
        <v>41060</v>
      </c>
      <c r="E389" s="79">
        <v>8.9999999999999993E-3</v>
      </c>
      <c r="F389" s="80">
        <v>124795</v>
      </c>
      <c r="G389" s="81"/>
      <c r="H389" s="80">
        <v>-60357.4</v>
      </c>
      <c r="I389" s="79">
        <f>H389/F389</f>
        <v>-0.48365238991946796</v>
      </c>
    </row>
    <row r="390" spans="1:9" x14ac:dyDescent="0.25">
      <c r="A390" s="76" t="s">
        <v>262</v>
      </c>
      <c r="B390" s="76" t="s">
        <v>335</v>
      </c>
      <c r="C390" s="77">
        <v>41337</v>
      </c>
      <c r="D390" s="78">
        <v>41455</v>
      </c>
      <c r="E390" s="79">
        <v>8.9999999999999993E-3</v>
      </c>
      <c r="F390" s="80"/>
      <c r="G390" s="81">
        <v>120</v>
      </c>
      <c r="H390" s="80">
        <v>15</v>
      </c>
      <c r="I390" s="79">
        <f>H390/G390</f>
        <v>0.125</v>
      </c>
    </row>
    <row r="391" spans="1:9" x14ac:dyDescent="0.25">
      <c r="A391" s="76" t="s">
        <v>262</v>
      </c>
      <c r="B391" s="76" t="s">
        <v>335</v>
      </c>
      <c r="C391" s="77">
        <v>41337</v>
      </c>
      <c r="D391" s="78">
        <v>41455</v>
      </c>
      <c r="E391" s="79">
        <v>8.9999999999999993E-3</v>
      </c>
      <c r="F391" s="80">
        <v>8353</v>
      </c>
      <c r="G391" s="81"/>
      <c r="H391" s="80">
        <v>-15819</v>
      </c>
      <c r="I391" s="79">
        <f>H391/F391</f>
        <v>-1.8938106069675567</v>
      </c>
    </row>
    <row r="392" spans="1:9" x14ac:dyDescent="0.25">
      <c r="A392" s="76" t="s">
        <v>262</v>
      </c>
      <c r="B392" s="76" t="s">
        <v>107</v>
      </c>
      <c r="C392" s="77">
        <v>40749</v>
      </c>
      <c r="D392" s="78">
        <v>41090</v>
      </c>
      <c r="E392" s="79">
        <v>8.9999999999999993E-3</v>
      </c>
      <c r="F392" s="80">
        <v>75127.600000000006</v>
      </c>
      <c r="G392" s="81"/>
      <c r="H392" s="80">
        <v>20714.919999999998</v>
      </c>
      <c r="I392" s="79">
        <f>H392/F392</f>
        <v>0.27572982499108178</v>
      </c>
    </row>
    <row r="393" spans="1:9" x14ac:dyDescent="0.25">
      <c r="A393" s="76" t="s">
        <v>262</v>
      </c>
      <c r="B393" s="76" t="s">
        <v>107</v>
      </c>
      <c r="C393" s="77">
        <v>40749</v>
      </c>
      <c r="D393" s="78">
        <v>41090</v>
      </c>
      <c r="E393" s="79">
        <v>8.9999999999999993E-3</v>
      </c>
      <c r="F393" s="80"/>
      <c r="G393" s="81">
        <v>2215</v>
      </c>
      <c r="H393" s="80">
        <v>1417.6</v>
      </c>
      <c r="I393" s="79">
        <f>H393/G393</f>
        <v>0.64</v>
      </c>
    </row>
    <row r="394" spans="1:9" x14ac:dyDescent="0.25">
      <c r="A394" s="76" t="s">
        <v>262</v>
      </c>
      <c r="B394" s="76" t="s">
        <v>107</v>
      </c>
      <c r="C394" s="77">
        <v>41208</v>
      </c>
      <c r="D394" s="78">
        <v>41274</v>
      </c>
      <c r="E394" s="79">
        <v>8.9999999999999993E-3</v>
      </c>
      <c r="F394" s="80">
        <v>0</v>
      </c>
      <c r="G394" s="81"/>
      <c r="H394" s="80">
        <v>0</v>
      </c>
      <c r="I394" s="79">
        <v>0</v>
      </c>
    </row>
    <row r="395" spans="1:9" x14ac:dyDescent="0.25">
      <c r="A395" s="76" t="s">
        <v>262</v>
      </c>
      <c r="B395" s="76" t="s">
        <v>107</v>
      </c>
      <c r="C395" s="77">
        <v>41208</v>
      </c>
      <c r="D395" s="78">
        <v>41274</v>
      </c>
      <c r="E395" s="79">
        <v>8.9999999999999993E-3</v>
      </c>
      <c r="F395" s="80"/>
      <c r="G395" s="81">
        <v>0</v>
      </c>
      <c r="H395" s="80">
        <v>0</v>
      </c>
      <c r="I395" s="79">
        <v>0</v>
      </c>
    </row>
    <row r="396" spans="1:9" x14ac:dyDescent="0.25">
      <c r="A396" s="76" t="s">
        <v>262</v>
      </c>
      <c r="B396" s="76" t="s">
        <v>23</v>
      </c>
      <c r="C396" s="77">
        <v>41138</v>
      </c>
      <c r="D396" s="78">
        <v>41455</v>
      </c>
      <c r="E396" s="79">
        <v>8.9999999999999993E-3</v>
      </c>
      <c r="F396" s="80"/>
      <c r="G396" s="81">
        <v>0</v>
      </c>
      <c r="H396" s="80">
        <v>0</v>
      </c>
      <c r="I396" s="79">
        <v>0</v>
      </c>
    </row>
    <row r="397" spans="1:9" x14ac:dyDescent="0.25">
      <c r="A397" s="76" t="s">
        <v>262</v>
      </c>
      <c r="B397" s="76" t="s">
        <v>179</v>
      </c>
      <c r="C397" s="77">
        <v>41220</v>
      </c>
      <c r="D397" s="78">
        <v>41455</v>
      </c>
      <c r="E397" s="79">
        <v>8.9999999999999993E-3</v>
      </c>
      <c r="F397" s="80">
        <v>161125.25</v>
      </c>
      <c r="G397" s="81"/>
      <c r="H397" s="80">
        <v>71497.95</v>
      </c>
      <c r="I397" s="79">
        <f>H397/F397</f>
        <v>0.4437414371738756</v>
      </c>
    </row>
    <row r="398" spans="1:9" x14ac:dyDescent="0.25">
      <c r="A398" s="76" t="s">
        <v>262</v>
      </c>
      <c r="B398" s="76" t="s">
        <v>179</v>
      </c>
      <c r="C398" s="77">
        <v>41220</v>
      </c>
      <c r="D398" s="78">
        <v>41455</v>
      </c>
      <c r="E398" s="79">
        <v>8.9999999999999993E-3</v>
      </c>
      <c r="F398" s="80"/>
      <c r="G398" s="81">
        <v>4292.12</v>
      </c>
      <c r="H398" s="80">
        <v>1131.6199999999999</v>
      </c>
      <c r="I398" s="79">
        <f>H398/G398</f>
        <v>0.26365059690782178</v>
      </c>
    </row>
    <row r="399" spans="1:9" x14ac:dyDescent="0.25">
      <c r="A399" s="76" t="s">
        <v>262</v>
      </c>
      <c r="B399" s="76" t="s">
        <v>88</v>
      </c>
      <c r="C399" s="77">
        <v>40766</v>
      </c>
      <c r="D399" s="78">
        <v>41090</v>
      </c>
      <c r="E399" s="79">
        <v>8.9999999999999993E-3</v>
      </c>
      <c r="F399" s="80">
        <v>146376.26</v>
      </c>
      <c r="G399" s="81"/>
      <c r="H399" s="80">
        <v>62369.22</v>
      </c>
      <c r="I399" s="79">
        <f>H399/F399</f>
        <v>0.42608835613097368</v>
      </c>
    </row>
    <row r="400" spans="1:9" x14ac:dyDescent="0.25">
      <c r="A400" s="76" t="s">
        <v>262</v>
      </c>
      <c r="B400" s="76" t="s">
        <v>88</v>
      </c>
      <c r="C400" s="77">
        <v>40766</v>
      </c>
      <c r="D400" s="78">
        <v>41090</v>
      </c>
      <c r="E400" s="79">
        <v>8.9999999999999993E-3</v>
      </c>
      <c r="F400" s="80"/>
      <c r="G400" s="81">
        <v>13379</v>
      </c>
      <c r="H400" s="80">
        <v>8562.56</v>
      </c>
      <c r="I400" s="79">
        <f>H400/G400</f>
        <v>0.64</v>
      </c>
    </row>
    <row r="401" spans="1:9" x14ac:dyDescent="0.25">
      <c r="A401" s="76" t="s">
        <v>263</v>
      </c>
      <c r="B401" s="76" t="s">
        <v>29</v>
      </c>
      <c r="C401" s="77">
        <v>40756</v>
      </c>
      <c r="D401" s="78">
        <v>41121</v>
      </c>
      <c r="E401" s="79">
        <v>8.9999999999999993E-3</v>
      </c>
      <c r="F401" s="80">
        <v>552453.13</v>
      </c>
      <c r="G401" s="81"/>
      <c r="H401" s="80">
        <v>227738.63</v>
      </c>
      <c r="I401" s="79">
        <f>H401/F401</f>
        <v>0.41223158605328203</v>
      </c>
    </row>
    <row r="402" spans="1:9" x14ac:dyDescent="0.25">
      <c r="A402" s="76" t="s">
        <v>263</v>
      </c>
      <c r="B402" s="76" t="s">
        <v>29</v>
      </c>
      <c r="C402" s="77">
        <v>40766</v>
      </c>
      <c r="D402" s="78">
        <v>41121</v>
      </c>
      <c r="E402" s="79">
        <v>8.9999999999999993E-3</v>
      </c>
      <c r="F402" s="80"/>
      <c r="G402" s="81">
        <v>16691.5</v>
      </c>
      <c r="H402" s="80">
        <v>10014.9</v>
      </c>
      <c r="I402" s="79">
        <f>H402/G402</f>
        <v>0.6</v>
      </c>
    </row>
    <row r="403" spans="1:9" x14ac:dyDescent="0.25">
      <c r="A403" s="76" t="s">
        <v>263</v>
      </c>
      <c r="B403" s="76" t="s">
        <v>190</v>
      </c>
      <c r="C403" s="77">
        <v>40911</v>
      </c>
      <c r="D403" s="78">
        <v>41276</v>
      </c>
      <c r="E403" s="79">
        <v>8.9999999999999993E-3</v>
      </c>
      <c r="F403" s="80">
        <v>136777</v>
      </c>
      <c r="G403" s="81"/>
      <c r="H403" s="80">
        <v>49937.8</v>
      </c>
      <c r="I403" s="79">
        <f>H403/F403</f>
        <v>0.36510378206862265</v>
      </c>
    </row>
    <row r="404" spans="1:9" x14ac:dyDescent="0.25">
      <c r="A404" s="76" t="s">
        <v>263</v>
      </c>
      <c r="B404" s="76" t="s">
        <v>190</v>
      </c>
      <c r="C404" s="77">
        <v>40911</v>
      </c>
      <c r="D404" s="78">
        <v>41276</v>
      </c>
      <c r="E404" s="79">
        <v>8.9999999999999993E-3</v>
      </c>
      <c r="F404" s="80"/>
      <c r="G404" s="81">
        <v>3895</v>
      </c>
      <c r="H404" s="80">
        <v>2633.02</v>
      </c>
      <c r="I404" s="79">
        <f>H404/G404</f>
        <v>0.67600000000000005</v>
      </c>
    </row>
    <row r="405" spans="1:9" x14ac:dyDescent="0.25">
      <c r="A405" s="76" t="s">
        <v>263</v>
      </c>
      <c r="B405" s="76" t="s">
        <v>108</v>
      </c>
      <c r="C405" s="77">
        <v>40952</v>
      </c>
      <c r="D405" s="78">
        <v>41274</v>
      </c>
      <c r="E405" s="79">
        <v>8.9999999999999993E-3</v>
      </c>
      <c r="F405" s="80">
        <v>20031</v>
      </c>
      <c r="G405" s="81"/>
      <c r="H405" s="80">
        <v>1258.75</v>
      </c>
      <c r="I405" s="79">
        <f>H405/F405</f>
        <v>6.284009784833508E-2</v>
      </c>
    </row>
    <row r="406" spans="1:9" x14ac:dyDescent="0.25">
      <c r="A406" s="76" t="s">
        <v>263</v>
      </c>
      <c r="B406" s="76" t="s">
        <v>108</v>
      </c>
      <c r="C406" s="77">
        <v>40952</v>
      </c>
      <c r="D406" s="78">
        <v>41274</v>
      </c>
      <c r="E406" s="79">
        <v>8.9999999999999993E-3</v>
      </c>
      <c r="F406" s="80"/>
      <c r="G406" s="81">
        <v>445</v>
      </c>
      <c r="H406" s="80">
        <v>360.45</v>
      </c>
      <c r="I406" s="79">
        <f>H406/G406</f>
        <v>0.80999999999999994</v>
      </c>
    </row>
    <row r="407" spans="1:9" x14ac:dyDescent="0.25">
      <c r="A407" s="76" t="s">
        <v>263</v>
      </c>
      <c r="B407" s="76" t="s">
        <v>264</v>
      </c>
      <c r="C407" s="77">
        <v>40948</v>
      </c>
      <c r="D407" s="78">
        <v>41313</v>
      </c>
      <c r="E407" s="79">
        <v>8.9999999999999993E-3</v>
      </c>
      <c r="F407" s="80"/>
      <c r="G407" s="81">
        <v>1087</v>
      </c>
      <c r="H407" s="80">
        <v>380.45</v>
      </c>
      <c r="I407" s="79">
        <f>H407/G407</f>
        <v>0.35</v>
      </c>
    </row>
    <row r="408" spans="1:9" x14ac:dyDescent="0.25">
      <c r="A408" s="76" t="s">
        <v>263</v>
      </c>
      <c r="B408" s="76" t="s">
        <v>264</v>
      </c>
      <c r="C408" s="77">
        <v>40948</v>
      </c>
      <c r="D408" s="78">
        <v>41313</v>
      </c>
      <c r="E408" s="79">
        <v>8.9999999999999993E-3</v>
      </c>
      <c r="F408" s="80">
        <v>37535.75</v>
      </c>
      <c r="G408" s="81"/>
      <c r="H408" s="80">
        <v>-10459.51</v>
      </c>
      <c r="I408" s="79">
        <f>H408/F408</f>
        <v>-0.27865461593281071</v>
      </c>
    </row>
    <row r="409" spans="1:9" x14ac:dyDescent="0.25">
      <c r="A409" s="76" t="s">
        <v>263</v>
      </c>
      <c r="B409" s="76" t="s">
        <v>23</v>
      </c>
      <c r="C409" s="77">
        <v>40772</v>
      </c>
      <c r="D409" s="78">
        <v>41137</v>
      </c>
      <c r="E409" s="79">
        <v>8.9999999999999993E-3</v>
      </c>
      <c r="F409" s="80">
        <v>0</v>
      </c>
      <c r="G409" s="81"/>
      <c r="H409" s="80">
        <v>0</v>
      </c>
      <c r="I409" s="79">
        <v>0</v>
      </c>
    </row>
    <row r="410" spans="1:9" x14ac:dyDescent="0.25">
      <c r="A410" s="76" t="s">
        <v>263</v>
      </c>
      <c r="B410" s="76" t="s">
        <v>23</v>
      </c>
      <c r="C410" s="77">
        <v>40772</v>
      </c>
      <c r="D410" s="78">
        <v>41137</v>
      </c>
      <c r="E410" s="79">
        <v>8.9999999999999993E-3</v>
      </c>
      <c r="F410" s="80"/>
      <c r="G410" s="81">
        <v>0</v>
      </c>
      <c r="H410" s="80">
        <v>0</v>
      </c>
      <c r="I410" s="79">
        <v>0</v>
      </c>
    </row>
    <row r="411" spans="1:9" x14ac:dyDescent="0.25">
      <c r="A411" s="76" t="s">
        <v>263</v>
      </c>
      <c r="B411" s="76" t="s">
        <v>23</v>
      </c>
      <c r="C411" s="77">
        <v>40772</v>
      </c>
      <c r="D411" s="78">
        <v>41137</v>
      </c>
      <c r="E411" s="79">
        <v>8.9999999999999993E-3</v>
      </c>
      <c r="F411" s="80">
        <v>0</v>
      </c>
      <c r="G411" s="81"/>
      <c r="H411" s="80">
        <v>0</v>
      </c>
      <c r="I411" s="79">
        <v>0</v>
      </c>
    </row>
    <row r="412" spans="1:9" x14ac:dyDescent="0.25">
      <c r="A412" s="76" t="s">
        <v>263</v>
      </c>
      <c r="B412" s="76" t="s">
        <v>23</v>
      </c>
      <c r="C412" s="77">
        <v>40772</v>
      </c>
      <c r="D412" s="78">
        <v>41137</v>
      </c>
      <c r="E412" s="79">
        <v>8.9999999999999993E-3</v>
      </c>
      <c r="F412" s="80"/>
      <c r="G412" s="81">
        <v>0</v>
      </c>
      <c r="H412" s="80">
        <v>0</v>
      </c>
      <c r="I412" s="79">
        <v>0</v>
      </c>
    </row>
    <row r="413" spans="1:9" x14ac:dyDescent="0.25">
      <c r="A413" s="76" t="s">
        <v>263</v>
      </c>
      <c r="B413" s="76" t="s">
        <v>22</v>
      </c>
      <c r="C413" s="77">
        <v>40772</v>
      </c>
      <c r="D413" s="78">
        <v>41137</v>
      </c>
      <c r="E413" s="79">
        <v>8.9999999999999993E-3</v>
      </c>
      <c r="F413" s="80"/>
      <c r="G413" s="81">
        <v>2439</v>
      </c>
      <c r="H413" s="80">
        <v>1463.4</v>
      </c>
      <c r="I413" s="79">
        <f>H413/G413</f>
        <v>0.60000000000000009</v>
      </c>
    </row>
    <row r="414" spans="1:9" x14ac:dyDescent="0.25">
      <c r="A414" s="76" t="s">
        <v>263</v>
      </c>
      <c r="B414" s="76" t="s">
        <v>22</v>
      </c>
      <c r="C414" s="77">
        <v>40772</v>
      </c>
      <c r="D414" s="78">
        <v>41137</v>
      </c>
      <c r="E414" s="79">
        <v>8.9999999999999993E-3</v>
      </c>
      <c r="F414" s="80">
        <v>93147.62</v>
      </c>
      <c r="G414" s="81"/>
      <c r="H414" s="80">
        <v>945.93</v>
      </c>
      <c r="I414" s="79">
        <f>H414/F414</f>
        <v>1.0155170899696631E-2</v>
      </c>
    </row>
    <row r="415" spans="1:9" x14ac:dyDescent="0.25">
      <c r="A415" s="76" t="s">
        <v>263</v>
      </c>
      <c r="B415" s="76" t="s">
        <v>179</v>
      </c>
      <c r="C415" s="77">
        <v>40854</v>
      </c>
      <c r="D415" s="78">
        <v>41219</v>
      </c>
      <c r="E415" s="79">
        <v>8.9999999999999993E-3</v>
      </c>
      <c r="F415" s="80">
        <v>310048.58</v>
      </c>
      <c r="G415" s="81"/>
      <c r="H415" s="80">
        <v>158275.09</v>
      </c>
      <c r="I415" s="79">
        <f>H415/F415</f>
        <v>0.51048480854193878</v>
      </c>
    </row>
    <row r="416" spans="1:9" x14ac:dyDescent="0.25">
      <c r="A416" s="76" t="s">
        <v>263</v>
      </c>
      <c r="B416" s="76" t="s">
        <v>179</v>
      </c>
      <c r="C416" s="77">
        <v>40854</v>
      </c>
      <c r="D416" s="78">
        <v>41219</v>
      </c>
      <c r="E416" s="79">
        <v>8.9999999999999993E-3</v>
      </c>
      <c r="F416" s="80"/>
      <c r="G416" s="81">
        <v>8562</v>
      </c>
      <c r="H416" s="80">
        <v>2772</v>
      </c>
      <c r="I416" s="79">
        <f>H416/G416</f>
        <v>0.32375613174491941</v>
      </c>
    </row>
    <row r="417" spans="1:9" x14ac:dyDescent="0.25">
      <c r="A417" s="76" t="s">
        <v>263</v>
      </c>
      <c r="B417" s="76" t="s">
        <v>102</v>
      </c>
      <c r="C417" s="77">
        <v>40800</v>
      </c>
      <c r="D417" s="78">
        <v>41121</v>
      </c>
      <c r="E417" s="79">
        <v>0.36</v>
      </c>
      <c r="F417" s="80">
        <v>18821.5</v>
      </c>
      <c r="G417" s="81"/>
      <c r="H417" s="80">
        <v>7575.2</v>
      </c>
      <c r="I417" s="79">
        <f>H417/F417</f>
        <v>0.40247589193209893</v>
      </c>
    </row>
    <row r="418" spans="1:9" x14ac:dyDescent="0.25">
      <c r="A418" s="76" t="s">
        <v>263</v>
      </c>
      <c r="B418" s="76" t="s">
        <v>102</v>
      </c>
      <c r="C418" s="77">
        <v>40800</v>
      </c>
      <c r="D418" s="78">
        <v>41121</v>
      </c>
      <c r="E418" s="79">
        <v>0.36</v>
      </c>
      <c r="F418" s="80"/>
      <c r="G418" s="81">
        <v>960</v>
      </c>
      <c r="H418" s="80">
        <v>914.9</v>
      </c>
      <c r="I418" s="79">
        <f>H418/G418</f>
        <v>0.95302083333333332</v>
      </c>
    </row>
    <row r="419" spans="1:9" x14ac:dyDescent="0.25">
      <c r="A419" s="76" t="s">
        <v>265</v>
      </c>
      <c r="B419" s="76" t="s">
        <v>266</v>
      </c>
      <c r="C419" s="77">
        <v>40585</v>
      </c>
      <c r="D419" s="78">
        <v>40949</v>
      </c>
      <c r="E419" s="79">
        <v>0.18</v>
      </c>
      <c r="F419" s="80">
        <v>6068503.71</v>
      </c>
      <c r="G419" s="81"/>
      <c r="H419" s="80">
        <v>2002743.8</v>
      </c>
      <c r="I419" s="79">
        <f>H419/F419</f>
        <v>0.33002267044836331</v>
      </c>
    </row>
    <row r="420" spans="1:9" x14ac:dyDescent="0.25">
      <c r="A420" s="76" t="s">
        <v>265</v>
      </c>
      <c r="B420" s="76" t="s">
        <v>276</v>
      </c>
      <c r="C420" s="77">
        <v>41153</v>
      </c>
      <c r="D420" s="78">
        <v>41517</v>
      </c>
      <c r="E420" s="79">
        <v>0.09</v>
      </c>
      <c r="F420" s="80">
        <v>523878.21</v>
      </c>
      <c r="G420" s="81"/>
      <c r="H420" s="80">
        <v>170383.58</v>
      </c>
      <c r="I420" s="79">
        <f>H420/F420</f>
        <v>0.32523509614954205</v>
      </c>
    </row>
    <row r="421" spans="1:9" x14ac:dyDescent="0.25">
      <c r="A421" s="76" t="s">
        <v>265</v>
      </c>
      <c r="B421" s="76" t="s">
        <v>141</v>
      </c>
      <c r="C421" s="77">
        <v>41096</v>
      </c>
      <c r="D421" s="78">
        <v>41460</v>
      </c>
      <c r="E421" s="79">
        <v>0.45</v>
      </c>
      <c r="F421" s="80">
        <v>2390447.39</v>
      </c>
      <c r="G421" s="81"/>
      <c r="H421" s="80">
        <v>962307.28</v>
      </c>
      <c r="I421" s="79">
        <f>H421/F421</f>
        <v>0.40256367240108976</v>
      </c>
    </row>
    <row r="422" spans="1:9" x14ac:dyDescent="0.25">
      <c r="A422" s="76" t="s">
        <v>265</v>
      </c>
      <c r="B422" s="76" t="s">
        <v>269</v>
      </c>
      <c r="C422" s="77">
        <v>41091</v>
      </c>
      <c r="D422" s="78">
        <v>41455</v>
      </c>
      <c r="E422" s="79">
        <v>0.27</v>
      </c>
      <c r="F422" s="80">
        <v>3119516.05</v>
      </c>
      <c r="G422" s="81"/>
      <c r="H422" s="80">
        <v>1197932.5900000001</v>
      </c>
      <c r="I422" s="79">
        <f>H422/F422</f>
        <v>0.38401231819275305</v>
      </c>
    </row>
    <row r="423" spans="1:9" x14ac:dyDescent="0.25">
      <c r="A423" s="76" t="s">
        <v>265</v>
      </c>
      <c r="B423" s="76" t="s">
        <v>337</v>
      </c>
      <c r="C423" s="77">
        <v>41142</v>
      </c>
      <c r="D423" s="78">
        <v>41506</v>
      </c>
      <c r="E423" s="79">
        <v>0.18</v>
      </c>
      <c r="F423" s="80">
        <v>133499</v>
      </c>
      <c r="G423" s="81"/>
      <c r="H423" s="80">
        <v>68198.67</v>
      </c>
      <c r="I423" s="79">
        <f>H423/F423</f>
        <v>0.51085528730552288</v>
      </c>
    </row>
    <row r="424" spans="1:9" x14ac:dyDescent="0.25">
      <c r="A424" s="76" t="s">
        <v>265</v>
      </c>
      <c r="B424" s="76" t="s">
        <v>336</v>
      </c>
      <c r="C424" s="77">
        <v>41103</v>
      </c>
      <c r="D424" s="78">
        <v>41467</v>
      </c>
      <c r="E424" s="79">
        <v>0.18</v>
      </c>
      <c r="F424" s="80"/>
      <c r="G424" s="81">
        <v>59075</v>
      </c>
      <c r="H424" s="80">
        <v>11946.92</v>
      </c>
      <c r="I424" s="79">
        <f>H424/G424</f>
        <v>0.20223309352517985</v>
      </c>
    </row>
    <row r="425" spans="1:9" x14ac:dyDescent="0.25">
      <c r="A425" s="76" t="s">
        <v>265</v>
      </c>
      <c r="B425" s="76" t="s">
        <v>275</v>
      </c>
      <c r="C425" s="77">
        <v>41153</v>
      </c>
      <c r="D425" s="78">
        <v>41517</v>
      </c>
      <c r="E425" s="79">
        <v>0.18</v>
      </c>
      <c r="F425" s="80">
        <v>126882</v>
      </c>
      <c r="G425" s="81"/>
      <c r="H425" s="80">
        <v>31466.39</v>
      </c>
      <c r="I425" s="79">
        <f t="shared" ref="I425:I439" si="3">H425/F425</f>
        <v>0.24799727305685598</v>
      </c>
    </row>
    <row r="426" spans="1:9" x14ac:dyDescent="0.25">
      <c r="A426" s="76" t="s">
        <v>265</v>
      </c>
      <c r="B426" s="76" t="s">
        <v>338</v>
      </c>
      <c r="C426" s="77">
        <v>41194</v>
      </c>
      <c r="D426" s="78">
        <v>41547</v>
      </c>
      <c r="E426" s="79">
        <v>0.09</v>
      </c>
      <c r="F426" s="80">
        <v>654864.9</v>
      </c>
      <c r="G426" s="81"/>
      <c r="H426" s="80">
        <v>221405.41</v>
      </c>
      <c r="I426" s="79">
        <f t="shared" si="3"/>
        <v>0.33809326167885922</v>
      </c>
    </row>
    <row r="427" spans="1:9" x14ac:dyDescent="0.25">
      <c r="A427" s="76" t="s">
        <v>265</v>
      </c>
      <c r="B427" s="76" t="s">
        <v>268</v>
      </c>
      <c r="C427" s="77">
        <v>41006</v>
      </c>
      <c r="D427" s="78">
        <v>41370</v>
      </c>
      <c r="E427" s="79">
        <v>0.27</v>
      </c>
      <c r="F427" s="80">
        <v>652577.6</v>
      </c>
      <c r="G427" s="81"/>
      <c r="H427" s="80">
        <v>195773.29</v>
      </c>
      <c r="I427" s="79">
        <f t="shared" si="3"/>
        <v>0.30000001532384812</v>
      </c>
    </row>
    <row r="428" spans="1:9" x14ac:dyDescent="0.25">
      <c r="A428" s="76" t="s">
        <v>267</v>
      </c>
      <c r="B428" s="76" t="s">
        <v>269</v>
      </c>
      <c r="C428" s="77">
        <v>40664</v>
      </c>
      <c r="D428" s="78">
        <v>41029</v>
      </c>
      <c r="E428" s="79">
        <v>0.18</v>
      </c>
      <c r="F428" s="80">
        <v>2438297.7999999998</v>
      </c>
      <c r="G428" s="81"/>
      <c r="H428" s="80">
        <v>826243.03</v>
      </c>
      <c r="I428" s="79">
        <f t="shared" si="3"/>
        <v>0.33886058954734738</v>
      </c>
    </row>
    <row r="429" spans="1:9" x14ac:dyDescent="0.25">
      <c r="A429" s="76" t="s">
        <v>267</v>
      </c>
      <c r="B429" s="76" t="s">
        <v>268</v>
      </c>
      <c r="C429" s="77">
        <v>40640</v>
      </c>
      <c r="D429" s="78">
        <v>41005</v>
      </c>
      <c r="E429" s="79">
        <v>0.27</v>
      </c>
      <c r="F429" s="80">
        <v>809191.04</v>
      </c>
      <c r="G429" s="81"/>
      <c r="H429" s="80">
        <v>242757.31</v>
      </c>
      <c r="I429" s="79">
        <f t="shared" si="3"/>
        <v>0.29999999752839573</v>
      </c>
    </row>
    <row r="430" spans="1:9" x14ac:dyDescent="0.25">
      <c r="A430" s="76" t="s">
        <v>270</v>
      </c>
      <c r="B430" s="76" t="s">
        <v>279</v>
      </c>
      <c r="C430" s="77">
        <v>40998</v>
      </c>
      <c r="D430" s="78">
        <v>41305</v>
      </c>
      <c r="E430" s="79">
        <v>4.4999999999999997E-3</v>
      </c>
      <c r="F430" s="80">
        <v>90306.1</v>
      </c>
      <c r="G430" s="81"/>
      <c r="H430" s="80">
        <v>19341.22</v>
      </c>
      <c r="I430" s="79">
        <f t="shared" si="3"/>
        <v>0.21417401482291895</v>
      </c>
    </row>
    <row r="431" spans="1:9" x14ac:dyDescent="0.25">
      <c r="A431" s="76" t="s">
        <v>270</v>
      </c>
      <c r="B431" s="76" t="s">
        <v>266</v>
      </c>
      <c r="C431" s="77">
        <v>40950</v>
      </c>
      <c r="D431" s="78">
        <v>41315</v>
      </c>
      <c r="E431" s="79">
        <v>0.18</v>
      </c>
      <c r="F431" s="80">
        <v>5601609.2199999997</v>
      </c>
      <c r="G431" s="81"/>
      <c r="H431" s="80">
        <v>1896630.71</v>
      </c>
      <c r="I431" s="79">
        <f t="shared" si="3"/>
        <v>0.33858675882427941</v>
      </c>
    </row>
    <row r="432" spans="1:9" x14ac:dyDescent="0.25">
      <c r="A432" s="76" t="s">
        <v>270</v>
      </c>
      <c r="B432" s="76" t="s">
        <v>276</v>
      </c>
      <c r="C432" s="77">
        <v>40909</v>
      </c>
      <c r="D432" s="78">
        <v>41152</v>
      </c>
      <c r="E432" s="79">
        <v>0.09</v>
      </c>
      <c r="F432" s="80">
        <v>502141.14</v>
      </c>
      <c r="G432" s="81"/>
      <c r="H432" s="80">
        <v>115190.56</v>
      </c>
      <c r="I432" s="79">
        <f t="shared" si="3"/>
        <v>0.22939877023420147</v>
      </c>
    </row>
    <row r="433" spans="1:9" x14ac:dyDescent="0.25">
      <c r="A433" s="76" t="s">
        <v>270</v>
      </c>
      <c r="B433" s="76" t="s">
        <v>280</v>
      </c>
      <c r="C433" s="77">
        <v>41066</v>
      </c>
      <c r="D433" s="78">
        <v>41274</v>
      </c>
      <c r="E433" s="79">
        <v>4.4999999999999997E-3</v>
      </c>
      <c r="F433" s="80">
        <v>10776.5</v>
      </c>
      <c r="G433" s="81"/>
      <c r="H433" s="80">
        <v>776.5</v>
      </c>
      <c r="I433" s="79">
        <f t="shared" si="3"/>
        <v>7.2054934347886609E-2</v>
      </c>
    </row>
    <row r="434" spans="1:9" x14ac:dyDescent="0.25">
      <c r="A434" s="76" t="s">
        <v>270</v>
      </c>
      <c r="B434" s="76" t="s">
        <v>273</v>
      </c>
      <c r="C434" s="77">
        <v>40725</v>
      </c>
      <c r="D434" s="78">
        <v>41090</v>
      </c>
      <c r="E434" s="79">
        <v>0.45</v>
      </c>
      <c r="F434" s="80">
        <v>409359.4</v>
      </c>
      <c r="G434" s="81"/>
      <c r="H434" s="80">
        <v>113962</v>
      </c>
      <c r="I434" s="79">
        <f t="shared" si="3"/>
        <v>0.27839106662751606</v>
      </c>
    </row>
    <row r="435" spans="1:9" x14ac:dyDescent="0.25">
      <c r="A435" s="76" t="s">
        <v>270</v>
      </c>
      <c r="B435" s="76" t="s">
        <v>274</v>
      </c>
      <c r="C435" s="77">
        <v>40725</v>
      </c>
      <c r="D435" s="78">
        <v>41090</v>
      </c>
      <c r="E435" s="79">
        <v>0.45</v>
      </c>
      <c r="F435" s="80">
        <v>2315164.42</v>
      </c>
      <c r="G435" s="81"/>
      <c r="H435" s="80">
        <v>844968.27</v>
      </c>
      <c r="I435" s="79">
        <f t="shared" si="3"/>
        <v>0.36497117124839024</v>
      </c>
    </row>
    <row r="436" spans="1:9" x14ac:dyDescent="0.25">
      <c r="A436" s="76" t="s">
        <v>270</v>
      </c>
      <c r="B436" s="110" t="s">
        <v>269</v>
      </c>
      <c r="C436" s="77">
        <v>41030</v>
      </c>
      <c r="D436" s="78">
        <v>41090</v>
      </c>
      <c r="E436" s="79">
        <v>0.18</v>
      </c>
      <c r="F436" s="80">
        <v>519242.34</v>
      </c>
      <c r="G436" s="81"/>
      <c r="H436" s="80">
        <v>188898.66</v>
      </c>
      <c r="I436" s="79">
        <f t="shared" si="3"/>
        <v>0.36379671965887833</v>
      </c>
    </row>
    <row r="437" spans="1:9" x14ac:dyDescent="0.25">
      <c r="A437" s="76" t="s">
        <v>270</v>
      </c>
      <c r="B437" s="76" t="s">
        <v>278</v>
      </c>
      <c r="C437" s="77">
        <v>40962</v>
      </c>
      <c r="D437" s="78">
        <v>41327</v>
      </c>
      <c r="E437" s="79">
        <v>8.9999999999999993E-3</v>
      </c>
      <c r="F437" s="80">
        <v>576972.06000000006</v>
      </c>
      <c r="G437" s="81"/>
      <c r="H437" s="80">
        <v>115394.41</v>
      </c>
      <c r="I437" s="79">
        <f t="shared" si="3"/>
        <v>0.19999999653362763</v>
      </c>
    </row>
    <row r="438" spans="1:9" x14ac:dyDescent="0.25">
      <c r="A438" s="76" t="s">
        <v>270</v>
      </c>
      <c r="B438" s="76" t="s">
        <v>271</v>
      </c>
      <c r="C438" s="77">
        <v>40597</v>
      </c>
      <c r="D438" s="78">
        <v>40961</v>
      </c>
      <c r="E438" s="79">
        <v>0.01</v>
      </c>
      <c r="F438" s="80">
        <v>585240.25</v>
      </c>
      <c r="G438" s="81"/>
      <c r="H438" s="80">
        <v>117048.05</v>
      </c>
      <c r="I438" s="79">
        <f t="shared" si="3"/>
        <v>0.2</v>
      </c>
    </row>
    <row r="439" spans="1:9" x14ac:dyDescent="0.25">
      <c r="A439" s="76" t="s">
        <v>270</v>
      </c>
      <c r="B439" s="76" t="s">
        <v>277</v>
      </c>
      <c r="C439" s="77">
        <v>40909</v>
      </c>
      <c r="D439" s="78">
        <v>41274</v>
      </c>
      <c r="E439" s="79">
        <v>0.09</v>
      </c>
      <c r="F439" s="80">
        <v>2532457.46</v>
      </c>
      <c r="G439" s="81"/>
      <c r="H439" s="80">
        <v>1107399.33</v>
      </c>
      <c r="I439" s="79">
        <f t="shared" si="3"/>
        <v>0.43728250029518761</v>
      </c>
    </row>
    <row r="440" spans="1:9" x14ac:dyDescent="0.25">
      <c r="A440" s="76" t="s">
        <v>270</v>
      </c>
      <c r="B440" s="76" t="s">
        <v>272</v>
      </c>
      <c r="C440" s="77">
        <v>40664</v>
      </c>
      <c r="D440" s="78">
        <v>41029</v>
      </c>
      <c r="E440" s="79">
        <v>0.2</v>
      </c>
      <c r="F440" s="80"/>
      <c r="G440" s="81">
        <v>65030</v>
      </c>
      <c r="H440" s="80">
        <v>12006.45</v>
      </c>
      <c r="I440" s="79">
        <f>H440/G440</f>
        <v>0.18462940181454715</v>
      </c>
    </row>
    <row r="441" spans="1:9" x14ac:dyDescent="0.25">
      <c r="A441" s="76" t="s">
        <v>270</v>
      </c>
      <c r="B441" s="76" t="s">
        <v>272</v>
      </c>
      <c r="C441" s="77">
        <v>41030</v>
      </c>
      <c r="D441" s="78">
        <v>41060</v>
      </c>
      <c r="E441" s="79">
        <v>0.2</v>
      </c>
      <c r="F441" s="80"/>
      <c r="G441" s="81">
        <v>55</v>
      </c>
      <c r="H441" s="80">
        <v>330.6</v>
      </c>
      <c r="I441" s="79">
        <f>H441/G441</f>
        <v>6.0109090909090916</v>
      </c>
    </row>
    <row r="442" spans="1:9" x14ac:dyDescent="0.25">
      <c r="A442" s="76" t="s">
        <v>270</v>
      </c>
      <c r="B442" s="76" t="s">
        <v>275</v>
      </c>
      <c r="C442" s="77">
        <v>40787</v>
      </c>
      <c r="D442" s="78">
        <v>41152</v>
      </c>
      <c r="E442" s="79">
        <v>0.18</v>
      </c>
      <c r="F442" s="80">
        <v>136027.42000000001</v>
      </c>
      <c r="G442" s="81"/>
      <c r="H442" s="80">
        <v>31730.79</v>
      </c>
      <c r="I442" s="79">
        <f>H442/F442</f>
        <v>0.23326760148799411</v>
      </c>
    </row>
    <row r="443" spans="1:9" x14ac:dyDescent="0.25">
      <c r="A443" s="76" t="s">
        <v>270</v>
      </c>
      <c r="B443" s="76" t="s">
        <v>142</v>
      </c>
      <c r="C443" s="77">
        <v>40786</v>
      </c>
      <c r="D443" s="78">
        <v>41151</v>
      </c>
      <c r="E443" s="79">
        <v>0.37</v>
      </c>
      <c r="F443" s="80"/>
      <c r="G443" s="81">
        <v>789724.28</v>
      </c>
      <c r="H443" s="80">
        <v>311689.83</v>
      </c>
      <c r="I443" s="79">
        <f>H443/G443</f>
        <v>0.39468183756487774</v>
      </c>
    </row>
    <row r="444" spans="1:9" x14ac:dyDescent="0.25">
      <c r="A444" s="76" t="s">
        <v>270</v>
      </c>
      <c r="B444" s="76" t="s">
        <v>142</v>
      </c>
      <c r="C444" s="77">
        <v>41152</v>
      </c>
      <c r="D444" s="78">
        <v>41274</v>
      </c>
      <c r="E444" s="79">
        <v>0.37</v>
      </c>
      <c r="F444" s="80"/>
      <c r="G444" s="81">
        <v>212715.62</v>
      </c>
      <c r="H444" s="80">
        <v>83387.88</v>
      </c>
      <c r="I444" s="79">
        <f>H444/G444</f>
        <v>0.39201578144566912</v>
      </c>
    </row>
    <row r="445" spans="1:9" x14ac:dyDescent="0.25">
      <c r="A445" s="76" t="s">
        <v>281</v>
      </c>
      <c r="B445" s="76" t="s">
        <v>284</v>
      </c>
      <c r="C445" s="77">
        <v>40969</v>
      </c>
      <c r="D445" s="78">
        <v>41274</v>
      </c>
      <c r="E445" s="79">
        <v>0.54</v>
      </c>
      <c r="F445" s="80">
        <v>2675</v>
      </c>
      <c r="G445" s="81"/>
      <c r="H445" s="80">
        <v>2199.2800000000002</v>
      </c>
      <c r="I445" s="79">
        <f>H445/F445</f>
        <v>0.82216074766355152</v>
      </c>
    </row>
    <row r="446" spans="1:9" x14ac:dyDescent="0.25">
      <c r="A446" s="76" t="s">
        <v>281</v>
      </c>
      <c r="B446" s="76" t="s">
        <v>284</v>
      </c>
      <c r="C446" s="77">
        <v>40603</v>
      </c>
      <c r="D446" s="78">
        <v>40967</v>
      </c>
      <c r="E446" s="79">
        <v>0.54</v>
      </c>
      <c r="F446" s="80">
        <v>5405</v>
      </c>
      <c r="G446" s="81"/>
      <c r="H446" s="80">
        <v>0</v>
      </c>
      <c r="I446" s="79">
        <f>H446/F446</f>
        <v>0</v>
      </c>
    </row>
    <row r="447" spans="1:9" x14ac:dyDescent="0.25">
      <c r="A447" s="76" t="s">
        <v>281</v>
      </c>
      <c r="B447" s="76" t="s">
        <v>284</v>
      </c>
      <c r="C447" s="77">
        <v>40603</v>
      </c>
      <c r="D447" s="78">
        <v>40967</v>
      </c>
      <c r="E447" s="79">
        <v>0.54</v>
      </c>
      <c r="F447" s="80"/>
      <c r="G447" s="81">
        <v>0</v>
      </c>
      <c r="H447" s="80">
        <v>0</v>
      </c>
      <c r="I447" s="79">
        <v>0</v>
      </c>
    </row>
    <row r="448" spans="1:9" x14ac:dyDescent="0.25">
      <c r="A448" s="76" t="s">
        <v>281</v>
      </c>
      <c r="B448" s="76" t="s">
        <v>287</v>
      </c>
      <c r="C448" s="77">
        <v>40754</v>
      </c>
      <c r="D448" s="78">
        <v>41119</v>
      </c>
      <c r="E448" s="79">
        <v>0.54</v>
      </c>
      <c r="F448" s="80">
        <v>29303</v>
      </c>
      <c r="G448" s="81"/>
      <c r="H448" s="80">
        <v>19304.13</v>
      </c>
      <c r="I448" s="79">
        <f>H448/F448</f>
        <v>0.65877657577722426</v>
      </c>
    </row>
    <row r="449" spans="1:9" x14ac:dyDescent="0.25">
      <c r="A449" s="76" t="s">
        <v>281</v>
      </c>
      <c r="B449" s="76" t="s">
        <v>287</v>
      </c>
      <c r="C449" s="77">
        <v>41120</v>
      </c>
      <c r="D449" s="78">
        <v>41274</v>
      </c>
      <c r="E449" s="79">
        <v>0.54</v>
      </c>
      <c r="F449" s="80">
        <v>16642</v>
      </c>
      <c r="G449" s="81"/>
      <c r="H449" s="80">
        <v>12464.31</v>
      </c>
      <c r="I449" s="79">
        <f>IF(H449="","",(IF(C449&lt;&gt;"",H449/C449,H449/D449)))</f>
        <v>0.30312037937743191</v>
      </c>
    </row>
    <row r="450" spans="1:9" x14ac:dyDescent="0.25">
      <c r="A450" s="76" t="s">
        <v>281</v>
      </c>
      <c r="B450" s="76" t="s">
        <v>287</v>
      </c>
      <c r="C450" s="77">
        <v>40754</v>
      </c>
      <c r="D450" s="78">
        <v>41119</v>
      </c>
      <c r="E450" s="79">
        <v>0.54</v>
      </c>
      <c r="F450" s="80"/>
      <c r="G450" s="81">
        <v>0</v>
      </c>
      <c r="H450" s="80">
        <v>0</v>
      </c>
      <c r="I450" s="79">
        <v>0</v>
      </c>
    </row>
    <row r="451" spans="1:9" x14ac:dyDescent="0.25">
      <c r="A451" s="76" t="s">
        <v>281</v>
      </c>
      <c r="B451" s="76" t="s">
        <v>285</v>
      </c>
      <c r="C451" s="77">
        <v>40617</v>
      </c>
      <c r="D451" s="78">
        <v>40982</v>
      </c>
      <c r="E451" s="79">
        <v>0.54</v>
      </c>
      <c r="F451" s="80">
        <v>80409</v>
      </c>
      <c r="G451" s="81"/>
      <c r="H451" s="80">
        <v>63535.89</v>
      </c>
      <c r="I451" s="79">
        <f>H451/F451</f>
        <v>0.79015893743237697</v>
      </c>
    </row>
    <row r="452" spans="1:9" x14ac:dyDescent="0.25">
      <c r="A452" s="76" t="s">
        <v>281</v>
      </c>
      <c r="B452" s="76" t="s">
        <v>286</v>
      </c>
      <c r="C452" s="77">
        <v>40709</v>
      </c>
      <c r="D452" s="78">
        <v>41060</v>
      </c>
      <c r="E452" s="79">
        <v>0.54</v>
      </c>
      <c r="F452" s="80">
        <v>7837</v>
      </c>
      <c r="G452" s="81"/>
      <c r="H452" s="80">
        <v>5191.6400000000003</v>
      </c>
      <c r="I452" s="79">
        <f>H452/F452</f>
        <v>0.66245246905703714</v>
      </c>
    </row>
    <row r="453" spans="1:9" x14ac:dyDescent="0.25">
      <c r="A453" s="76" t="s">
        <v>281</v>
      </c>
      <c r="B453" s="76" t="s">
        <v>288</v>
      </c>
      <c r="C453" s="77">
        <v>41061</v>
      </c>
      <c r="D453" s="78">
        <v>41274</v>
      </c>
      <c r="E453" s="79">
        <v>0.54</v>
      </c>
      <c r="F453" s="80">
        <v>2395</v>
      </c>
      <c r="G453" s="81"/>
      <c r="H453" s="80">
        <v>1828.42</v>
      </c>
      <c r="I453" s="79">
        <f>IF(H453="","",(IF(C453&lt;&gt;"",H453/C453,H453/D453)))</f>
        <v>4.4529358758919661E-2</v>
      </c>
    </row>
    <row r="454" spans="1:9" x14ac:dyDescent="0.25">
      <c r="A454" s="76" t="s">
        <v>281</v>
      </c>
      <c r="B454" s="76" t="s">
        <v>283</v>
      </c>
      <c r="C454" s="77">
        <v>40575</v>
      </c>
      <c r="D454" s="78">
        <v>40999</v>
      </c>
      <c r="E454" s="79">
        <v>0</v>
      </c>
      <c r="F454" s="80">
        <v>326963</v>
      </c>
      <c r="G454" s="81"/>
      <c r="H454" s="80">
        <v>268731.40999999997</v>
      </c>
      <c r="I454" s="79">
        <f>H454/F454</f>
        <v>0.82190159131155505</v>
      </c>
    </row>
    <row r="455" spans="1:9" x14ac:dyDescent="0.25">
      <c r="A455" s="76" t="s">
        <v>281</v>
      </c>
      <c r="B455" s="76" t="s">
        <v>283</v>
      </c>
      <c r="C455" s="77">
        <v>40940</v>
      </c>
      <c r="D455" s="78">
        <v>41274</v>
      </c>
      <c r="E455" s="79">
        <v>0</v>
      </c>
      <c r="F455" s="80">
        <v>271148.86</v>
      </c>
      <c r="G455" s="81"/>
      <c r="H455" s="80">
        <v>223165.86</v>
      </c>
      <c r="I455" s="79">
        <f>H455/F455</f>
        <v>0.82303816435001786</v>
      </c>
    </row>
    <row r="456" spans="1:9" x14ac:dyDescent="0.25">
      <c r="A456" s="76" t="s">
        <v>281</v>
      </c>
      <c r="B456" s="76" t="s">
        <v>283</v>
      </c>
      <c r="C456" s="77">
        <v>40575</v>
      </c>
      <c r="D456" s="78">
        <v>40999</v>
      </c>
      <c r="E456" s="79">
        <v>0</v>
      </c>
      <c r="F456" s="80"/>
      <c r="G456" s="81">
        <v>0</v>
      </c>
      <c r="H456" s="80">
        <v>0</v>
      </c>
      <c r="I456" s="79">
        <v>0</v>
      </c>
    </row>
    <row r="457" spans="1:9" x14ac:dyDescent="0.25">
      <c r="A457" s="76" t="s">
        <v>281</v>
      </c>
      <c r="B457" s="76" t="s">
        <v>282</v>
      </c>
      <c r="C457" s="77">
        <v>40940</v>
      </c>
      <c r="D457" s="78">
        <v>41274</v>
      </c>
      <c r="E457" s="79">
        <v>0</v>
      </c>
      <c r="F457" s="80">
        <v>191191.6</v>
      </c>
      <c r="G457" s="81"/>
      <c r="H457" s="80">
        <v>143312.65</v>
      </c>
      <c r="I457" s="79">
        <f>H457/F457</f>
        <v>0.74957607970224627</v>
      </c>
    </row>
    <row r="458" spans="1:9" x14ac:dyDescent="0.25">
      <c r="A458" s="76" t="s">
        <v>281</v>
      </c>
      <c r="B458" s="76" t="s">
        <v>282</v>
      </c>
      <c r="C458" s="77">
        <v>40575</v>
      </c>
      <c r="D458" s="78">
        <v>40939</v>
      </c>
      <c r="E458" s="79">
        <v>0</v>
      </c>
      <c r="F458" s="80">
        <v>187684.67</v>
      </c>
      <c r="G458" s="81"/>
      <c r="H458" s="80">
        <v>137022.14000000001</v>
      </c>
      <c r="I458" s="79">
        <f>H458/F458</f>
        <v>0.73006570009154181</v>
      </c>
    </row>
    <row r="459" spans="1:9" x14ac:dyDescent="0.25">
      <c r="A459" s="76" t="s">
        <v>281</v>
      </c>
      <c r="B459" s="76" t="s">
        <v>282</v>
      </c>
      <c r="C459" s="77">
        <v>40575</v>
      </c>
      <c r="D459" s="78">
        <v>40939</v>
      </c>
      <c r="E459" s="79">
        <v>0</v>
      </c>
      <c r="F459" s="80"/>
      <c r="G459" s="81">
        <v>0</v>
      </c>
      <c r="H459" s="80">
        <v>0</v>
      </c>
      <c r="I459" s="79">
        <v>0</v>
      </c>
    </row>
    <row r="460" spans="1:9" x14ac:dyDescent="0.25">
      <c r="A460" s="76" t="s">
        <v>289</v>
      </c>
      <c r="B460" s="76" t="s">
        <v>299</v>
      </c>
      <c r="C460" s="77">
        <v>40892</v>
      </c>
      <c r="D460" s="78">
        <v>41014</v>
      </c>
      <c r="E460" s="79">
        <v>0.13</v>
      </c>
      <c r="F460" s="79"/>
      <c r="G460" s="81">
        <v>12090</v>
      </c>
      <c r="H460" s="80">
        <v>1590.7</v>
      </c>
      <c r="I460" s="79">
        <f t="shared" ref="I460:I491" si="4">H460/G460</f>
        <v>0.13157154673283705</v>
      </c>
    </row>
    <row r="461" spans="1:9" x14ac:dyDescent="0.25">
      <c r="A461" s="76" t="s">
        <v>289</v>
      </c>
      <c r="B461" s="76" t="s">
        <v>299</v>
      </c>
      <c r="C461" s="77">
        <v>41080</v>
      </c>
      <c r="D461" s="78">
        <v>41190</v>
      </c>
      <c r="E461" s="79">
        <v>0.13</v>
      </c>
      <c r="F461" s="88"/>
      <c r="G461" s="81">
        <v>11186</v>
      </c>
      <c r="H461" s="80">
        <v>1497.18</v>
      </c>
      <c r="I461" s="79">
        <f t="shared" si="4"/>
        <v>0.13384409082782051</v>
      </c>
    </row>
    <row r="462" spans="1:9" x14ac:dyDescent="0.25">
      <c r="A462" s="76" t="s">
        <v>289</v>
      </c>
      <c r="B462" s="76" t="s">
        <v>299</v>
      </c>
      <c r="C462" s="77">
        <v>41214</v>
      </c>
      <c r="D462" s="78">
        <v>41341</v>
      </c>
      <c r="E462" s="79">
        <v>0.13</v>
      </c>
      <c r="F462" s="88"/>
      <c r="G462" s="81">
        <v>10654</v>
      </c>
      <c r="H462" s="80">
        <v>1393.52</v>
      </c>
      <c r="I462" s="79">
        <f t="shared" si="4"/>
        <v>0.13079782241411675</v>
      </c>
    </row>
    <row r="463" spans="1:9" ht="14.25" customHeight="1" x14ac:dyDescent="0.25">
      <c r="A463" s="76" t="s">
        <v>289</v>
      </c>
      <c r="B463" s="76" t="s">
        <v>300</v>
      </c>
      <c r="C463" s="77">
        <v>40919</v>
      </c>
      <c r="D463" s="78">
        <v>41010</v>
      </c>
      <c r="E463" s="79">
        <v>0.13</v>
      </c>
      <c r="F463" s="79"/>
      <c r="G463" s="81">
        <v>9912</v>
      </c>
      <c r="H463" s="80">
        <v>1295.56</v>
      </c>
      <c r="I463" s="79">
        <f t="shared" si="4"/>
        <v>0.13070621468926552</v>
      </c>
    </row>
    <row r="464" spans="1:9" x14ac:dyDescent="0.25">
      <c r="A464" s="76" t="s">
        <v>289</v>
      </c>
      <c r="B464" s="76" t="s">
        <v>304</v>
      </c>
      <c r="C464" s="77">
        <v>40981</v>
      </c>
      <c r="D464" s="78">
        <v>41086</v>
      </c>
      <c r="E464" s="79">
        <v>0.13</v>
      </c>
      <c r="F464" s="88"/>
      <c r="G464" s="81">
        <v>5404</v>
      </c>
      <c r="H464" s="80">
        <v>707.52</v>
      </c>
      <c r="I464" s="79">
        <f t="shared" si="4"/>
        <v>0.13092524056254626</v>
      </c>
    </row>
    <row r="465" spans="1:9" x14ac:dyDescent="0.25">
      <c r="A465" s="76" t="s">
        <v>289</v>
      </c>
      <c r="B465" s="76" t="s">
        <v>309</v>
      </c>
      <c r="C465" s="77">
        <v>41138</v>
      </c>
      <c r="D465" s="78">
        <v>41202</v>
      </c>
      <c r="E465" s="79">
        <v>0.13</v>
      </c>
      <c r="F465" s="88"/>
      <c r="G465" s="81">
        <v>10262</v>
      </c>
      <c r="H465" s="80">
        <v>1338.06</v>
      </c>
      <c r="I465" s="79">
        <f t="shared" si="4"/>
        <v>0.13038978756577665</v>
      </c>
    </row>
    <row r="466" spans="1:9" x14ac:dyDescent="0.25">
      <c r="A466" s="76" t="s">
        <v>289</v>
      </c>
      <c r="B466" s="76" t="s">
        <v>303</v>
      </c>
      <c r="C466" s="77">
        <v>40927</v>
      </c>
      <c r="D466" s="78">
        <v>41048</v>
      </c>
      <c r="E466" s="79">
        <v>0.13</v>
      </c>
      <c r="F466" s="79"/>
      <c r="G466" s="81">
        <v>10570</v>
      </c>
      <c r="H466" s="80">
        <v>1387.4</v>
      </c>
      <c r="I466" s="79">
        <f t="shared" si="4"/>
        <v>0.13125827814569538</v>
      </c>
    </row>
    <row r="467" spans="1:9" x14ac:dyDescent="0.25">
      <c r="A467" s="76" t="s">
        <v>289</v>
      </c>
      <c r="B467" s="76" t="s">
        <v>303</v>
      </c>
      <c r="C467" s="77">
        <v>41158</v>
      </c>
      <c r="D467" s="78">
        <v>41222</v>
      </c>
      <c r="E467" s="79">
        <v>0.13</v>
      </c>
      <c r="F467" s="88"/>
      <c r="G467" s="81">
        <v>10024</v>
      </c>
      <c r="H467" s="80">
        <v>1330.12</v>
      </c>
      <c r="I467" s="79">
        <f t="shared" si="4"/>
        <v>0.13269353551476457</v>
      </c>
    </row>
    <row r="468" spans="1:9" x14ac:dyDescent="0.25">
      <c r="A468" s="76" t="s">
        <v>289</v>
      </c>
      <c r="B468" s="76" t="s">
        <v>308</v>
      </c>
      <c r="C468" s="77">
        <v>41051</v>
      </c>
      <c r="D468" s="78">
        <v>41155</v>
      </c>
      <c r="E468" s="79">
        <v>0.13</v>
      </c>
      <c r="F468" s="88"/>
      <c r="G468" s="81">
        <v>19978</v>
      </c>
      <c r="H468" s="80">
        <v>2613.14</v>
      </c>
      <c r="I468" s="79">
        <f t="shared" si="4"/>
        <v>0.13080088096906597</v>
      </c>
    </row>
    <row r="469" spans="1:9" x14ac:dyDescent="0.25">
      <c r="A469" s="76" t="s">
        <v>289</v>
      </c>
      <c r="B469" s="76" t="s">
        <v>292</v>
      </c>
      <c r="C469" s="77">
        <v>40831</v>
      </c>
      <c r="D469" s="78">
        <v>40983</v>
      </c>
      <c r="E469" s="79">
        <v>0.13</v>
      </c>
      <c r="F469" s="79"/>
      <c r="G469" s="81">
        <v>12597</v>
      </c>
      <c r="H469" s="80">
        <v>1646.61</v>
      </c>
      <c r="I469" s="79">
        <f t="shared" si="4"/>
        <v>0.13071445582281493</v>
      </c>
    </row>
    <row r="470" spans="1:9" x14ac:dyDescent="0.25">
      <c r="A470" s="76" t="s">
        <v>289</v>
      </c>
      <c r="B470" s="76" t="s">
        <v>292</v>
      </c>
      <c r="C470" s="77">
        <v>41230</v>
      </c>
      <c r="D470" s="78">
        <v>41335</v>
      </c>
      <c r="E470" s="79">
        <v>0.13</v>
      </c>
      <c r="F470" s="88"/>
      <c r="G470" s="81">
        <v>11956</v>
      </c>
      <c r="H470" s="80">
        <v>1569.58</v>
      </c>
      <c r="I470" s="79">
        <f t="shared" si="4"/>
        <v>0.13127969220475075</v>
      </c>
    </row>
    <row r="471" spans="1:9" x14ac:dyDescent="0.25">
      <c r="A471" s="76" t="s">
        <v>289</v>
      </c>
      <c r="B471" s="76" t="s">
        <v>293</v>
      </c>
      <c r="C471" s="77">
        <v>40842</v>
      </c>
      <c r="D471" s="78">
        <v>40927</v>
      </c>
      <c r="E471" s="79">
        <v>0.13</v>
      </c>
      <c r="F471" s="79"/>
      <c r="G471" s="81">
        <v>17433</v>
      </c>
      <c r="H471" s="80">
        <v>2279.29</v>
      </c>
      <c r="I471" s="79">
        <f t="shared" si="4"/>
        <v>0.13074571215510813</v>
      </c>
    </row>
    <row r="472" spans="1:9" x14ac:dyDescent="0.25">
      <c r="A472" s="76" t="s">
        <v>289</v>
      </c>
      <c r="B472" s="76" t="s">
        <v>293</v>
      </c>
      <c r="C472" s="77">
        <v>41230</v>
      </c>
      <c r="D472" s="78">
        <v>41335</v>
      </c>
      <c r="E472" s="79">
        <v>0.13</v>
      </c>
      <c r="F472" s="88"/>
      <c r="G472" s="81">
        <v>15596</v>
      </c>
      <c r="H472" s="80">
        <v>2031.48</v>
      </c>
      <c r="I472" s="79">
        <f t="shared" si="4"/>
        <v>0.13025647601949217</v>
      </c>
    </row>
    <row r="473" spans="1:9" x14ac:dyDescent="0.25">
      <c r="A473" s="76" t="s">
        <v>289</v>
      </c>
      <c r="B473" s="76" t="s">
        <v>311</v>
      </c>
      <c r="C473" s="77">
        <v>41177</v>
      </c>
      <c r="D473" s="78">
        <v>41221</v>
      </c>
      <c r="E473" s="79">
        <v>0.13</v>
      </c>
      <c r="F473" s="88"/>
      <c r="G473" s="81">
        <v>12264</v>
      </c>
      <c r="H473" s="80">
        <v>1604.42</v>
      </c>
      <c r="I473" s="79">
        <f t="shared" si="4"/>
        <v>0.13082354859752121</v>
      </c>
    </row>
    <row r="474" spans="1:9" x14ac:dyDescent="0.25">
      <c r="A474" s="76" t="s">
        <v>289</v>
      </c>
      <c r="B474" s="76" t="s">
        <v>296</v>
      </c>
      <c r="C474" s="77">
        <v>40862</v>
      </c>
      <c r="D474" s="78">
        <v>40983</v>
      </c>
      <c r="E474" s="79">
        <v>0.13</v>
      </c>
      <c r="F474" s="79"/>
      <c r="G474" s="81">
        <v>16497</v>
      </c>
      <c r="H474" s="80">
        <v>2151.61</v>
      </c>
      <c r="I474" s="79">
        <f t="shared" si="4"/>
        <v>0.13042431957325576</v>
      </c>
    </row>
    <row r="475" spans="1:9" x14ac:dyDescent="0.25">
      <c r="A475" s="76" t="s">
        <v>289</v>
      </c>
      <c r="B475" s="76" t="s">
        <v>296</v>
      </c>
      <c r="C475" s="77">
        <v>41247</v>
      </c>
      <c r="D475" s="78">
        <v>41306</v>
      </c>
      <c r="E475" s="79">
        <v>0.13</v>
      </c>
      <c r="F475" s="88"/>
      <c r="G475" s="81">
        <v>15736</v>
      </c>
      <c r="H475" s="80">
        <v>2062.1799999999998</v>
      </c>
      <c r="I475" s="79">
        <f t="shared" si="4"/>
        <v>0.13104855109303506</v>
      </c>
    </row>
    <row r="476" spans="1:9" x14ac:dyDescent="0.25">
      <c r="A476" s="76" t="s">
        <v>289</v>
      </c>
      <c r="B476" s="76" t="s">
        <v>291</v>
      </c>
      <c r="C476" s="77">
        <v>40830</v>
      </c>
      <c r="D476" s="78">
        <v>40953</v>
      </c>
      <c r="E476" s="79">
        <v>0.13</v>
      </c>
      <c r="F476" s="88"/>
      <c r="G476" s="81">
        <v>7878</v>
      </c>
      <c r="H476" s="80">
        <v>1026.1400000000001</v>
      </c>
      <c r="I476" s="79">
        <f t="shared" si="4"/>
        <v>0.13025387154100027</v>
      </c>
    </row>
    <row r="477" spans="1:9" x14ac:dyDescent="0.25">
      <c r="A477" s="76" t="s">
        <v>289</v>
      </c>
      <c r="B477" s="76" t="s">
        <v>291</v>
      </c>
      <c r="C477" s="77">
        <v>41230</v>
      </c>
      <c r="D477" s="78">
        <v>41333</v>
      </c>
      <c r="E477" s="79">
        <v>0.13</v>
      </c>
      <c r="F477" s="88"/>
      <c r="G477" s="81">
        <v>7700</v>
      </c>
      <c r="H477" s="80">
        <v>1012</v>
      </c>
      <c r="I477" s="79">
        <f t="shared" si="4"/>
        <v>0.13142857142857142</v>
      </c>
    </row>
    <row r="478" spans="1:9" x14ac:dyDescent="0.25">
      <c r="A478" s="76" t="s">
        <v>289</v>
      </c>
      <c r="B478" s="76" t="s">
        <v>301</v>
      </c>
      <c r="C478" s="77">
        <v>40923</v>
      </c>
      <c r="D478" s="78">
        <v>41014</v>
      </c>
      <c r="E478" s="79">
        <v>0.13</v>
      </c>
      <c r="F478" s="79"/>
      <c r="G478" s="81">
        <v>14336</v>
      </c>
      <c r="H478" s="80">
        <v>1872.18</v>
      </c>
      <c r="I478" s="79">
        <f t="shared" si="4"/>
        <v>0.13059291294642858</v>
      </c>
    </row>
    <row r="479" spans="1:9" x14ac:dyDescent="0.25">
      <c r="A479" s="76" t="s">
        <v>289</v>
      </c>
      <c r="B479" s="76" t="s">
        <v>302</v>
      </c>
      <c r="C479" s="77">
        <v>40925</v>
      </c>
      <c r="D479" s="78">
        <v>41044</v>
      </c>
      <c r="E479" s="79">
        <v>0.13</v>
      </c>
      <c r="F479" s="79"/>
      <c r="G479" s="81">
        <v>19446</v>
      </c>
      <c r="H479" s="80">
        <v>2546.4699999999998</v>
      </c>
      <c r="I479" s="79">
        <f t="shared" si="4"/>
        <v>0.13095083821865677</v>
      </c>
    </row>
    <row r="480" spans="1:9" x14ac:dyDescent="0.25">
      <c r="A480" s="76" t="s">
        <v>289</v>
      </c>
      <c r="B480" s="111" t="s">
        <v>302</v>
      </c>
      <c r="C480" s="112">
        <v>41261</v>
      </c>
      <c r="D480" s="78">
        <v>41373</v>
      </c>
      <c r="E480" s="79">
        <v>0.13</v>
      </c>
      <c r="F480" s="88"/>
      <c r="G480" s="81">
        <v>17360</v>
      </c>
      <c r="H480" s="80">
        <v>2268.8000000000002</v>
      </c>
      <c r="I480" s="79">
        <f t="shared" si="4"/>
        <v>0.13069124423963135</v>
      </c>
    </row>
    <row r="481" spans="1:9" x14ac:dyDescent="0.25">
      <c r="A481" s="76" t="s">
        <v>289</v>
      </c>
      <c r="B481" s="76" t="s">
        <v>294</v>
      </c>
      <c r="C481" s="77">
        <v>40848</v>
      </c>
      <c r="D481" s="78">
        <v>41000</v>
      </c>
      <c r="E481" s="79">
        <v>0.13</v>
      </c>
      <c r="F481" s="88"/>
      <c r="G481" s="81">
        <v>9087</v>
      </c>
      <c r="H481" s="80">
        <v>1206.31</v>
      </c>
      <c r="I481" s="79">
        <f t="shared" si="4"/>
        <v>0.13275118300869373</v>
      </c>
    </row>
    <row r="482" spans="1:9" x14ac:dyDescent="0.25">
      <c r="A482" s="76" t="s">
        <v>289</v>
      </c>
      <c r="B482" s="76" t="s">
        <v>294</v>
      </c>
      <c r="C482" s="77">
        <v>41000</v>
      </c>
      <c r="D482" s="78">
        <v>41142</v>
      </c>
      <c r="E482" s="79">
        <v>0.13</v>
      </c>
      <c r="F482" s="88"/>
      <c r="G482" s="81">
        <v>9030</v>
      </c>
      <c r="H482" s="80">
        <v>1197.9000000000001</v>
      </c>
      <c r="I482" s="79">
        <f t="shared" si="4"/>
        <v>0.13265780730897012</v>
      </c>
    </row>
    <row r="483" spans="1:9" x14ac:dyDescent="0.25">
      <c r="A483" s="76" t="s">
        <v>289</v>
      </c>
      <c r="B483" s="76" t="s">
        <v>294</v>
      </c>
      <c r="C483" s="77">
        <v>41206</v>
      </c>
      <c r="D483" s="78">
        <v>41325</v>
      </c>
      <c r="E483" s="79">
        <v>0.13</v>
      </c>
      <c r="F483" s="88"/>
      <c r="G483" s="81">
        <v>8526</v>
      </c>
      <c r="H483" s="80">
        <v>1135.3800000000001</v>
      </c>
      <c r="I483" s="79">
        <f t="shared" si="4"/>
        <v>0.13316678395496132</v>
      </c>
    </row>
    <row r="484" spans="1:9" x14ac:dyDescent="0.25">
      <c r="A484" s="76" t="s">
        <v>289</v>
      </c>
      <c r="B484" s="76" t="s">
        <v>305</v>
      </c>
      <c r="C484" s="77">
        <v>41158</v>
      </c>
      <c r="D484" s="78">
        <v>41222</v>
      </c>
      <c r="E484" s="79">
        <v>0.13</v>
      </c>
      <c r="F484" s="88"/>
      <c r="G484" s="81">
        <v>15120</v>
      </c>
      <c r="H484" s="80">
        <v>1969.6</v>
      </c>
      <c r="I484" s="79">
        <f t="shared" si="4"/>
        <v>0.13026455026455025</v>
      </c>
    </row>
    <row r="485" spans="1:9" x14ac:dyDescent="0.25">
      <c r="A485" s="76" t="s">
        <v>289</v>
      </c>
      <c r="B485" s="76" t="s">
        <v>305</v>
      </c>
      <c r="C485" s="77">
        <v>40983</v>
      </c>
      <c r="D485" s="78">
        <v>41038</v>
      </c>
      <c r="E485" s="79">
        <v>0.13</v>
      </c>
      <c r="F485" s="79"/>
      <c r="G485" s="81">
        <v>14350</v>
      </c>
      <c r="H485" s="80">
        <v>1880.5</v>
      </c>
      <c r="I485" s="79">
        <f t="shared" si="4"/>
        <v>0.13104529616724739</v>
      </c>
    </row>
    <row r="486" spans="1:9" x14ac:dyDescent="0.25">
      <c r="A486" s="76" t="s">
        <v>289</v>
      </c>
      <c r="B486" s="76" t="s">
        <v>1437</v>
      </c>
      <c r="C486" s="77">
        <v>41023</v>
      </c>
      <c r="D486" s="78">
        <v>41145</v>
      </c>
      <c r="E486" s="79">
        <v>0.13</v>
      </c>
      <c r="F486" s="88"/>
      <c r="G486" s="81">
        <v>18116</v>
      </c>
      <c r="H486" s="80">
        <v>2377.08</v>
      </c>
      <c r="I486" s="79">
        <f t="shared" si="4"/>
        <v>0.13121439611393243</v>
      </c>
    </row>
    <row r="487" spans="1:9" x14ac:dyDescent="0.25">
      <c r="A487" s="76" t="s">
        <v>289</v>
      </c>
      <c r="B487" s="76" t="s">
        <v>298</v>
      </c>
      <c r="C487" s="77">
        <v>40892</v>
      </c>
      <c r="D487" s="78">
        <v>41014</v>
      </c>
      <c r="E487" s="79">
        <v>0.13</v>
      </c>
      <c r="F487" s="79"/>
      <c r="G487" s="81">
        <v>7189</v>
      </c>
      <c r="H487" s="80">
        <v>944.57</v>
      </c>
      <c r="I487" s="79">
        <f t="shared" si="4"/>
        <v>0.13139101404924192</v>
      </c>
    </row>
    <row r="488" spans="1:9" x14ac:dyDescent="0.25">
      <c r="A488" s="76" t="s">
        <v>289</v>
      </c>
      <c r="B488" s="76" t="s">
        <v>298</v>
      </c>
      <c r="C488" s="77">
        <v>41261</v>
      </c>
      <c r="D488" s="78">
        <v>41373</v>
      </c>
      <c r="E488" s="79">
        <v>0.13</v>
      </c>
      <c r="F488" s="88"/>
      <c r="G488" s="81">
        <v>6300</v>
      </c>
      <c r="H488" s="80">
        <v>826</v>
      </c>
      <c r="I488" s="79">
        <f t="shared" si="4"/>
        <v>0.13111111111111112</v>
      </c>
    </row>
    <row r="489" spans="1:9" x14ac:dyDescent="0.25">
      <c r="A489" s="76" t="s">
        <v>289</v>
      </c>
      <c r="B489" s="76" t="s">
        <v>298</v>
      </c>
      <c r="C489" s="77">
        <v>41087</v>
      </c>
      <c r="D489" s="78">
        <v>41162</v>
      </c>
      <c r="E489" s="79">
        <v>0.13</v>
      </c>
      <c r="F489" s="88"/>
      <c r="G489" s="81">
        <v>6034</v>
      </c>
      <c r="H489" s="80">
        <v>786.42</v>
      </c>
      <c r="I489" s="79">
        <f t="shared" si="4"/>
        <v>0.13033145508783558</v>
      </c>
    </row>
    <row r="490" spans="1:9" x14ac:dyDescent="0.25">
      <c r="A490" s="76" t="s">
        <v>289</v>
      </c>
      <c r="B490" s="76" t="s">
        <v>295</v>
      </c>
      <c r="C490" s="77">
        <v>40862</v>
      </c>
      <c r="D490" s="78">
        <v>40996</v>
      </c>
      <c r="E490" s="79">
        <v>0.13</v>
      </c>
      <c r="F490" s="88"/>
      <c r="G490" s="81">
        <v>9698</v>
      </c>
      <c r="H490" s="80">
        <v>1277.19</v>
      </c>
      <c r="I490" s="79">
        <f t="shared" si="4"/>
        <v>0.13169622602598474</v>
      </c>
    </row>
    <row r="491" spans="1:9" x14ac:dyDescent="0.25">
      <c r="A491" s="76" t="s">
        <v>289</v>
      </c>
      <c r="B491" s="76" t="s">
        <v>295</v>
      </c>
      <c r="C491" s="77">
        <v>41211</v>
      </c>
      <c r="D491" s="78">
        <v>41338</v>
      </c>
      <c r="E491" s="79">
        <v>0.13</v>
      </c>
      <c r="F491" s="88"/>
      <c r="G491" s="81">
        <v>9562</v>
      </c>
      <c r="H491" s="80">
        <v>1258.06</v>
      </c>
      <c r="I491" s="79">
        <f t="shared" si="4"/>
        <v>0.13156870947500524</v>
      </c>
    </row>
    <row r="492" spans="1:9" x14ac:dyDescent="0.25">
      <c r="A492" s="76" t="s">
        <v>289</v>
      </c>
      <c r="B492" s="76" t="s">
        <v>297</v>
      </c>
      <c r="C492" s="77">
        <v>40862</v>
      </c>
      <c r="D492" s="78">
        <v>40983</v>
      </c>
      <c r="E492" s="79">
        <v>0.13</v>
      </c>
      <c r="F492" s="79"/>
      <c r="G492" s="81">
        <v>10413</v>
      </c>
      <c r="H492" s="80">
        <v>1369.69</v>
      </c>
      <c r="I492" s="79">
        <f t="shared" ref="I492:I508" si="5">H492/G492</f>
        <v>0.13153654086238356</v>
      </c>
    </row>
    <row r="493" spans="1:9" x14ac:dyDescent="0.25">
      <c r="A493" s="76" t="s">
        <v>289</v>
      </c>
      <c r="B493" s="76" t="s">
        <v>297</v>
      </c>
      <c r="C493" s="77">
        <v>41239</v>
      </c>
      <c r="D493" s="78">
        <v>41331</v>
      </c>
      <c r="E493" s="79">
        <v>0.13</v>
      </c>
      <c r="F493" s="88"/>
      <c r="G493" s="81">
        <v>9282</v>
      </c>
      <c r="H493" s="80">
        <v>1261.6600000000001</v>
      </c>
      <c r="I493" s="79">
        <f t="shared" si="5"/>
        <v>0.1359254471019177</v>
      </c>
    </row>
    <row r="494" spans="1:9" x14ac:dyDescent="0.25">
      <c r="A494" s="76" t="s">
        <v>289</v>
      </c>
      <c r="B494" s="76" t="s">
        <v>297</v>
      </c>
      <c r="C494" s="77">
        <v>41239</v>
      </c>
      <c r="D494" s="78">
        <v>41331</v>
      </c>
      <c r="E494" s="79">
        <v>0.13</v>
      </c>
      <c r="F494" s="88"/>
      <c r="G494" s="81">
        <v>9282</v>
      </c>
      <c r="H494" s="80">
        <v>1261.6600000000001</v>
      </c>
      <c r="I494" s="79">
        <f t="shared" si="5"/>
        <v>0.1359254471019177</v>
      </c>
    </row>
    <row r="495" spans="1:9" x14ac:dyDescent="0.25">
      <c r="A495" s="76" t="s">
        <v>289</v>
      </c>
      <c r="B495" s="76" t="s">
        <v>310</v>
      </c>
      <c r="C495" s="77">
        <v>41145</v>
      </c>
      <c r="D495" s="78">
        <v>41202</v>
      </c>
      <c r="E495" s="79">
        <v>0.13</v>
      </c>
      <c r="F495" s="88"/>
      <c r="G495" s="81">
        <v>14644</v>
      </c>
      <c r="H495" s="80">
        <v>1907.11</v>
      </c>
      <c r="I495" s="79">
        <f t="shared" si="5"/>
        <v>0.13023149412728763</v>
      </c>
    </row>
    <row r="496" spans="1:9" x14ac:dyDescent="0.25">
      <c r="A496" s="76" t="s">
        <v>289</v>
      </c>
      <c r="B496" s="76" t="s">
        <v>339</v>
      </c>
      <c r="C496" s="77">
        <v>41275</v>
      </c>
      <c r="D496" s="78">
        <v>41327</v>
      </c>
      <c r="E496" s="79">
        <v>0.13</v>
      </c>
      <c r="F496" s="88"/>
      <c r="G496" s="81">
        <v>3374</v>
      </c>
      <c r="H496" s="80">
        <v>447.12</v>
      </c>
      <c r="I496" s="79">
        <f t="shared" si="5"/>
        <v>0.13251926496739774</v>
      </c>
    </row>
    <row r="497" spans="1:9" x14ac:dyDescent="0.25">
      <c r="A497" s="76" t="s">
        <v>289</v>
      </c>
      <c r="B497" s="76" t="s">
        <v>312</v>
      </c>
      <c r="C497" s="77">
        <v>41193</v>
      </c>
      <c r="D497" s="78">
        <v>41261</v>
      </c>
      <c r="E497" s="79">
        <v>0.13</v>
      </c>
      <c r="F497" s="88"/>
      <c r="G497" s="81">
        <v>18690</v>
      </c>
      <c r="H497" s="80">
        <v>2458.6999999999998</v>
      </c>
      <c r="I497" s="79">
        <f t="shared" si="5"/>
        <v>0.13155163188871052</v>
      </c>
    </row>
    <row r="498" spans="1:9" x14ac:dyDescent="0.25">
      <c r="A498" s="76" t="s">
        <v>289</v>
      </c>
      <c r="B498" s="76" t="s">
        <v>307</v>
      </c>
      <c r="C498" s="77">
        <v>41165</v>
      </c>
      <c r="D498" s="78">
        <v>41255</v>
      </c>
      <c r="E498" s="79">
        <v>0.13</v>
      </c>
      <c r="F498" s="88"/>
      <c r="G498" s="81">
        <v>11340</v>
      </c>
      <c r="H498" s="80">
        <v>1491.2</v>
      </c>
      <c r="I498" s="79">
        <f t="shared" si="5"/>
        <v>0.13149911816578483</v>
      </c>
    </row>
    <row r="499" spans="1:9" x14ac:dyDescent="0.25">
      <c r="A499" s="76" t="s">
        <v>289</v>
      </c>
      <c r="B499" s="76" t="s">
        <v>307</v>
      </c>
      <c r="C499" s="77">
        <v>41000</v>
      </c>
      <c r="D499" s="78">
        <v>41088</v>
      </c>
      <c r="E499" s="79">
        <v>0.13</v>
      </c>
      <c r="F499" s="88"/>
      <c r="G499" s="81">
        <v>11298</v>
      </c>
      <c r="H499" s="80">
        <v>1473.74</v>
      </c>
      <c r="I499" s="79">
        <f t="shared" si="5"/>
        <v>0.13044255620463799</v>
      </c>
    </row>
    <row r="500" spans="1:9" x14ac:dyDescent="0.25">
      <c r="A500" s="76" t="s">
        <v>289</v>
      </c>
      <c r="B500" s="76" t="s">
        <v>290</v>
      </c>
      <c r="C500" s="77">
        <v>40820</v>
      </c>
      <c r="D500" s="78">
        <v>40943</v>
      </c>
      <c r="E500" s="79">
        <v>0.13</v>
      </c>
      <c r="F500" s="88"/>
      <c r="G500" s="81">
        <v>12623</v>
      </c>
      <c r="H500" s="80">
        <v>1646.99</v>
      </c>
      <c r="I500" s="79">
        <f t="shared" si="5"/>
        <v>0.13047532282341756</v>
      </c>
    </row>
    <row r="501" spans="1:9" x14ac:dyDescent="0.25">
      <c r="A501" s="76" t="s">
        <v>289</v>
      </c>
      <c r="B501" s="76" t="s">
        <v>306</v>
      </c>
      <c r="C501" s="77">
        <v>40992</v>
      </c>
      <c r="D501" s="78">
        <v>41039</v>
      </c>
      <c r="E501" s="79">
        <v>0.13</v>
      </c>
      <c r="F501" s="88"/>
      <c r="G501" s="81">
        <v>10010</v>
      </c>
      <c r="H501" s="80">
        <v>1314.3</v>
      </c>
      <c r="I501" s="79">
        <f t="shared" si="5"/>
        <v>0.1312987012987013</v>
      </c>
    </row>
    <row r="502" spans="1:9" x14ac:dyDescent="0.25">
      <c r="A502" s="76" t="s">
        <v>313</v>
      </c>
      <c r="B502" s="76" t="s">
        <v>292</v>
      </c>
      <c r="C502" s="77">
        <v>41062</v>
      </c>
      <c r="D502" s="78">
        <v>41156</v>
      </c>
      <c r="E502" s="79">
        <v>0.13</v>
      </c>
      <c r="F502" s="88"/>
      <c r="G502" s="81">
        <v>12922</v>
      </c>
      <c r="H502" s="80">
        <v>1698.86</v>
      </c>
      <c r="I502" s="79">
        <f t="shared" si="5"/>
        <v>0.13147036062529019</v>
      </c>
    </row>
    <row r="503" spans="1:9" x14ac:dyDescent="0.25">
      <c r="A503" s="76" t="s">
        <v>313</v>
      </c>
      <c r="B503" s="76" t="s">
        <v>314</v>
      </c>
      <c r="C503" s="77">
        <v>41045</v>
      </c>
      <c r="D503" s="78">
        <v>41095</v>
      </c>
      <c r="E503" s="79">
        <v>0.13</v>
      </c>
      <c r="F503" s="88"/>
      <c r="G503" s="81">
        <v>16352</v>
      </c>
      <c r="H503" s="80">
        <v>2133.2600000000002</v>
      </c>
      <c r="I503" s="79">
        <f t="shared" si="5"/>
        <v>0.13045865949119376</v>
      </c>
    </row>
    <row r="504" spans="1:9" x14ac:dyDescent="0.25">
      <c r="A504" s="76" t="s">
        <v>313</v>
      </c>
      <c r="B504" s="76" t="s">
        <v>291</v>
      </c>
      <c r="C504" s="77">
        <v>41009</v>
      </c>
      <c r="D504" s="78">
        <v>41149</v>
      </c>
      <c r="E504" s="79">
        <v>0.13</v>
      </c>
      <c r="F504" s="88"/>
      <c r="G504" s="81">
        <v>8330</v>
      </c>
      <c r="H504" s="80">
        <v>1087.9000000000001</v>
      </c>
      <c r="I504" s="93">
        <f t="shared" si="5"/>
        <v>0.13060024009603843</v>
      </c>
    </row>
    <row r="505" spans="1:9" x14ac:dyDescent="0.25">
      <c r="A505" s="76" t="s">
        <v>313</v>
      </c>
      <c r="B505" s="76" t="s">
        <v>295</v>
      </c>
      <c r="C505" s="77">
        <v>41019</v>
      </c>
      <c r="D505" s="78">
        <v>41141</v>
      </c>
      <c r="E505" s="79">
        <v>0.13</v>
      </c>
      <c r="F505" s="88"/>
      <c r="G505" s="81">
        <v>8932</v>
      </c>
      <c r="H505" s="80">
        <v>1162.1600000000001</v>
      </c>
      <c r="I505" s="93">
        <f t="shared" si="5"/>
        <v>0.13011195700850875</v>
      </c>
    </row>
    <row r="506" spans="1:9" x14ac:dyDescent="0.25">
      <c r="A506" s="76" t="s">
        <v>313</v>
      </c>
      <c r="B506" s="76" t="s">
        <v>297</v>
      </c>
      <c r="C506" s="77">
        <v>41043</v>
      </c>
      <c r="D506" s="78">
        <v>41153</v>
      </c>
      <c r="E506" s="79">
        <v>0.13</v>
      </c>
      <c r="F506" s="88"/>
      <c r="G506" s="81">
        <v>10364</v>
      </c>
      <c r="H506" s="80">
        <v>1350.8</v>
      </c>
      <c r="I506" s="93">
        <f t="shared" si="5"/>
        <v>0.1303357776920108</v>
      </c>
    </row>
    <row r="507" spans="1:9" x14ac:dyDescent="0.25">
      <c r="A507" s="76" t="s">
        <v>313</v>
      </c>
      <c r="B507" s="76" t="s">
        <v>310</v>
      </c>
      <c r="C507" s="77">
        <v>40968</v>
      </c>
      <c r="D507" s="78">
        <v>41088</v>
      </c>
      <c r="E507" s="79">
        <v>0.13</v>
      </c>
      <c r="F507" s="88"/>
      <c r="G507" s="81">
        <v>14014</v>
      </c>
      <c r="H507" s="80">
        <v>1827.82</v>
      </c>
      <c r="I507" s="93">
        <f t="shared" si="5"/>
        <v>0.13042814328528612</v>
      </c>
    </row>
    <row r="508" spans="1:9" x14ac:dyDescent="0.25">
      <c r="A508" s="76" t="s">
        <v>313</v>
      </c>
      <c r="B508" s="76" t="s">
        <v>312</v>
      </c>
      <c r="C508" s="77">
        <v>40959</v>
      </c>
      <c r="D508" s="78">
        <v>41080</v>
      </c>
      <c r="E508" s="79">
        <v>0.13</v>
      </c>
      <c r="F508" s="88"/>
      <c r="G508" s="81">
        <v>19726</v>
      </c>
      <c r="H508" s="80">
        <v>2573.38</v>
      </c>
      <c r="I508" s="93">
        <f t="shared" si="5"/>
        <v>0.13045625063368144</v>
      </c>
    </row>
    <row r="509" spans="1:9" x14ac:dyDescent="0.25">
      <c r="A509" s="76" t="s">
        <v>317</v>
      </c>
      <c r="B509" s="76" t="s">
        <v>344</v>
      </c>
      <c r="C509" s="77">
        <v>40848</v>
      </c>
      <c r="D509" s="78">
        <v>41213</v>
      </c>
      <c r="E509" s="79">
        <v>0.27</v>
      </c>
      <c r="F509" s="80">
        <v>2576949.9700000002</v>
      </c>
      <c r="G509" s="81"/>
      <c r="H509" s="80">
        <v>1041207.9</v>
      </c>
      <c r="I509" s="93">
        <f>H509/F509</f>
        <v>0.40404661018700333</v>
      </c>
    </row>
    <row r="510" spans="1:9" x14ac:dyDescent="0.25">
      <c r="A510" s="76" t="s">
        <v>317</v>
      </c>
      <c r="B510" s="76" t="s">
        <v>344</v>
      </c>
      <c r="C510" s="77">
        <v>40848</v>
      </c>
      <c r="D510" s="78">
        <v>41213</v>
      </c>
      <c r="E510" s="79">
        <v>0.27</v>
      </c>
      <c r="F510" s="80"/>
      <c r="G510" s="81">
        <v>104707.63</v>
      </c>
      <c r="H510" s="80">
        <v>42306.76</v>
      </c>
      <c r="I510" s="93">
        <f>H510/G510</f>
        <v>0.40404658189665832</v>
      </c>
    </row>
    <row r="511" spans="1:9" x14ac:dyDescent="0.25">
      <c r="A511" s="76" t="s">
        <v>317</v>
      </c>
      <c r="B511" s="76" t="s">
        <v>324</v>
      </c>
      <c r="C511" s="77">
        <v>40701</v>
      </c>
      <c r="D511" s="78">
        <v>41029</v>
      </c>
      <c r="E511" s="79">
        <v>2.7E-2</v>
      </c>
      <c r="F511" s="80">
        <v>15375</v>
      </c>
      <c r="G511" s="81"/>
      <c r="H511" s="80">
        <v>0</v>
      </c>
      <c r="I511" s="93">
        <v>0</v>
      </c>
    </row>
    <row r="512" spans="1:9" x14ac:dyDescent="0.25">
      <c r="A512" s="76" t="s">
        <v>317</v>
      </c>
      <c r="B512" s="76" t="s">
        <v>324</v>
      </c>
      <c r="C512" s="77">
        <v>40701</v>
      </c>
      <c r="D512" s="78">
        <v>41029</v>
      </c>
      <c r="E512" s="79">
        <v>2.7E-2</v>
      </c>
      <c r="F512" s="80"/>
      <c r="G512" s="81">
        <v>580</v>
      </c>
      <c r="H512" s="80">
        <v>0</v>
      </c>
      <c r="I512" s="93">
        <f>H512/G512</f>
        <v>0</v>
      </c>
    </row>
    <row r="513" spans="1:9" x14ac:dyDescent="0.25">
      <c r="A513" s="76" t="s">
        <v>317</v>
      </c>
      <c r="B513" s="76" t="s">
        <v>324</v>
      </c>
      <c r="C513" s="77">
        <v>40701</v>
      </c>
      <c r="D513" s="78">
        <v>41029</v>
      </c>
      <c r="E513" s="79">
        <v>2.7E-2</v>
      </c>
      <c r="F513" s="80">
        <v>15375</v>
      </c>
      <c r="G513" s="81"/>
      <c r="H513" s="80">
        <v>0</v>
      </c>
      <c r="I513" s="93">
        <f>H513/F513</f>
        <v>0</v>
      </c>
    </row>
    <row r="514" spans="1:9" x14ac:dyDescent="0.25">
      <c r="A514" s="76" t="s">
        <v>317</v>
      </c>
      <c r="B514" s="76" t="s">
        <v>324</v>
      </c>
      <c r="C514" s="77">
        <v>40701</v>
      </c>
      <c r="D514" s="78">
        <v>41029</v>
      </c>
      <c r="E514" s="79">
        <v>2.7E-2</v>
      </c>
      <c r="F514" s="80"/>
      <c r="G514" s="81">
        <v>580</v>
      </c>
      <c r="H514" s="80">
        <v>0</v>
      </c>
      <c r="I514" s="93">
        <f>H514/G514</f>
        <v>0</v>
      </c>
    </row>
    <row r="515" spans="1:9" x14ac:dyDescent="0.25">
      <c r="A515" s="76" t="s">
        <v>317</v>
      </c>
      <c r="B515" s="76" t="s">
        <v>349</v>
      </c>
      <c r="C515" s="77">
        <v>40909</v>
      </c>
      <c r="D515" s="78">
        <v>41274</v>
      </c>
      <c r="E515" s="79">
        <v>0.09</v>
      </c>
      <c r="F515" s="80">
        <v>3695270</v>
      </c>
      <c r="G515" s="81"/>
      <c r="H515" s="80">
        <v>1405971.93</v>
      </c>
      <c r="I515" s="93">
        <f>H515/F515</f>
        <v>0.38047880939687762</v>
      </c>
    </row>
    <row r="516" spans="1:9" x14ac:dyDescent="0.25">
      <c r="A516" s="76" t="s">
        <v>317</v>
      </c>
      <c r="B516" s="76" t="s">
        <v>349</v>
      </c>
      <c r="C516" s="77">
        <v>40909</v>
      </c>
      <c r="D516" s="78">
        <v>41274</v>
      </c>
      <c r="E516" s="79">
        <v>0.09</v>
      </c>
      <c r="F516" s="80">
        <v>2458248</v>
      </c>
      <c r="G516" s="81"/>
      <c r="H516" s="80">
        <v>967357.3</v>
      </c>
      <c r="I516" s="93">
        <f>H516/F516</f>
        <v>0.39351493421330969</v>
      </c>
    </row>
    <row r="517" spans="1:9" x14ac:dyDescent="0.25">
      <c r="A517" s="76" t="s">
        <v>317</v>
      </c>
      <c r="B517" s="76" t="s">
        <v>349</v>
      </c>
      <c r="C517" s="77">
        <v>40909</v>
      </c>
      <c r="D517" s="78">
        <v>41274</v>
      </c>
      <c r="E517" s="79">
        <v>0.09</v>
      </c>
      <c r="F517" s="80"/>
      <c r="G517" s="81">
        <v>197136.54</v>
      </c>
      <c r="H517" s="80">
        <v>75770</v>
      </c>
      <c r="I517" s="93">
        <f>H517/G517</f>
        <v>0.38435289571380321</v>
      </c>
    </row>
    <row r="518" spans="1:9" x14ac:dyDescent="0.25">
      <c r="A518" s="76" t="s">
        <v>317</v>
      </c>
      <c r="B518" s="76" t="s">
        <v>349</v>
      </c>
      <c r="C518" s="77">
        <v>40909</v>
      </c>
      <c r="D518" s="78">
        <v>41274</v>
      </c>
      <c r="E518" s="79">
        <v>0.09</v>
      </c>
      <c r="F518" s="80"/>
      <c r="G518" s="81">
        <v>118111.55</v>
      </c>
      <c r="H518" s="80">
        <v>43366.76</v>
      </c>
      <c r="I518" s="93">
        <f>H518/G518</f>
        <v>0.36716781720331332</v>
      </c>
    </row>
    <row r="519" spans="1:9" x14ac:dyDescent="0.25">
      <c r="A519" s="76" t="s">
        <v>317</v>
      </c>
      <c r="B519" s="76" t="s">
        <v>366</v>
      </c>
      <c r="C519" s="77">
        <v>41183</v>
      </c>
      <c r="D519" s="78">
        <v>41547</v>
      </c>
      <c r="E519" s="79">
        <v>0.27</v>
      </c>
      <c r="F519" s="80">
        <v>7378443.5099999998</v>
      </c>
      <c r="G519" s="81"/>
      <c r="H519" s="80">
        <v>4677357.3600000003</v>
      </c>
      <c r="I519" s="93">
        <f>H519/F519</f>
        <v>0.63392195842670351</v>
      </c>
    </row>
    <row r="520" spans="1:9" x14ac:dyDescent="0.25">
      <c r="A520" s="76" t="s">
        <v>317</v>
      </c>
      <c r="B520" s="76" t="s">
        <v>366</v>
      </c>
      <c r="C520" s="77">
        <v>41183</v>
      </c>
      <c r="D520" s="78">
        <v>41547</v>
      </c>
      <c r="E520" s="79">
        <v>0.27</v>
      </c>
      <c r="F520" s="80"/>
      <c r="G520" s="81">
        <v>433417.73</v>
      </c>
      <c r="H520" s="80">
        <v>274753.02</v>
      </c>
      <c r="I520" s="79">
        <f>H520/G520</f>
        <v>0.63392196715164384</v>
      </c>
    </row>
    <row r="521" spans="1:9" x14ac:dyDescent="0.25">
      <c r="A521" s="76" t="s">
        <v>315</v>
      </c>
      <c r="B521" s="76" t="s">
        <v>59</v>
      </c>
      <c r="C521" s="77">
        <v>40817</v>
      </c>
      <c r="D521" s="78">
        <v>41182</v>
      </c>
      <c r="E521" s="79">
        <v>0.29699999999999999</v>
      </c>
      <c r="F521" s="80">
        <v>11080823.9</v>
      </c>
      <c r="G521" s="81"/>
      <c r="H521" s="80">
        <v>5408284.3300000001</v>
      </c>
      <c r="I521" s="79">
        <f>H521/F521</f>
        <v>0.48807601120707278</v>
      </c>
    </row>
    <row r="522" spans="1:9" x14ac:dyDescent="0.25">
      <c r="A522" s="76" t="s">
        <v>315</v>
      </c>
      <c r="B522" s="76" t="s">
        <v>59</v>
      </c>
      <c r="C522" s="77">
        <v>40817</v>
      </c>
      <c r="D522" s="78">
        <v>41182</v>
      </c>
      <c r="E522" s="79">
        <v>0.29699999999999999</v>
      </c>
      <c r="F522" s="80"/>
      <c r="G522" s="81">
        <v>672654.26</v>
      </c>
      <c r="H522" s="80">
        <v>328306.40999999997</v>
      </c>
      <c r="I522" s="79">
        <f>H522/G522</f>
        <v>0.48807601396889982</v>
      </c>
    </row>
    <row r="523" spans="1:9" x14ac:dyDescent="0.25">
      <c r="A523" s="76" t="s">
        <v>317</v>
      </c>
      <c r="B523" s="76" t="s">
        <v>348</v>
      </c>
      <c r="C523" s="77">
        <v>40909</v>
      </c>
      <c r="D523" s="78">
        <v>41274</v>
      </c>
      <c r="E523" s="79">
        <v>0</v>
      </c>
      <c r="F523" s="80">
        <v>6162025.6900000004</v>
      </c>
      <c r="G523" s="81"/>
      <c r="H523" s="80">
        <v>2224238.04</v>
      </c>
      <c r="I523" s="79">
        <f>H523/F523</f>
        <v>0.3609589040840237</v>
      </c>
    </row>
    <row r="524" spans="1:9" x14ac:dyDescent="0.25">
      <c r="A524" s="76" t="s">
        <v>317</v>
      </c>
      <c r="B524" s="76" t="s">
        <v>348</v>
      </c>
      <c r="C524" s="77">
        <v>40909</v>
      </c>
      <c r="D524" s="78">
        <v>41274</v>
      </c>
      <c r="E524" s="79">
        <v>0</v>
      </c>
      <c r="F524" s="80">
        <v>1011212</v>
      </c>
      <c r="G524" s="81"/>
      <c r="H524" s="80">
        <v>273417.89</v>
      </c>
      <c r="I524" s="79">
        <f>H524/F524</f>
        <v>0.27038631859590273</v>
      </c>
    </row>
    <row r="525" spans="1:9" x14ac:dyDescent="0.25">
      <c r="A525" s="76" t="s">
        <v>317</v>
      </c>
      <c r="B525" s="76" t="s">
        <v>348</v>
      </c>
      <c r="C525" s="77">
        <v>40909</v>
      </c>
      <c r="D525" s="78">
        <v>41274</v>
      </c>
      <c r="E525" s="79">
        <v>0</v>
      </c>
      <c r="F525" s="80"/>
      <c r="G525" s="81">
        <v>392619.18</v>
      </c>
      <c r="H525" s="80">
        <v>141719.39000000001</v>
      </c>
      <c r="I525" s="79">
        <f>H525/G525</f>
        <v>0.36095890679614789</v>
      </c>
    </row>
    <row r="526" spans="1:9" x14ac:dyDescent="0.25">
      <c r="A526" s="76" t="s">
        <v>317</v>
      </c>
      <c r="B526" s="76" t="s">
        <v>348</v>
      </c>
      <c r="C526" s="77">
        <v>40909</v>
      </c>
      <c r="D526" s="78">
        <v>41274</v>
      </c>
      <c r="E526" s="79">
        <v>0</v>
      </c>
      <c r="F526" s="80"/>
      <c r="G526" s="81">
        <v>54213.61</v>
      </c>
      <c r="H526" s="80">
        <v>14658.62</v>
      </c>
      <c r="I526" s="79">
        <f>H526/G526</f>
        <v>0.2703863476348467</v>
      </c>
    </row>
    <row r="527" spans="1:9" ht="28.5" x14ac:dyDescent="0.25">
      <c r="A527" s="76" t="s">
        <v>315</v>
      </c>
      <c r="B527" s="76" t="s">
        <v>327</v>
      </c>
      <c r="C527" s="77">
        <v>40725</v>
      </c>
      <c r="D527" s="78">
        <v>41090</v>
      </c>
      <c r="E527" s="79">
        <v>0</v>
      </c>
      <c r="F527" s="80">
        <v>2334193.5699999998</v>
      </c>
      <c r="G527" s="81"/>
      <c r="H527" s="80">
        <v>336007.8</v>
      </c>
      <c r="I527" s="79">
        <f>H527/F527</f>
        <v>0.1439502722989679</v>
      </c>
    </row>
    <row r="528" spans="1:9" ht="28.5" x14ac:dyDescent="0.25">
      <c r="A528" s="76" t="s">
        <v>315</v>
      </c>
      <c r="B528" s="76" t="s">
        <v>327</v>
      </c>
      <c r="C528" s="77">
        <v>40725</v>
      </c>
      <c r="D528" s="78">
        <v>41090</v>
      </c>
      <c r="E528" s="79">
        <v>0</v>
      </c>
      <c r="F528" s="80"/>
      <c r="G528" s="81">
        <v>95109.58</v>
      </c>
      <c r="H528" s="80">
        <v>13691.05</v>
      </c>
      <c r="I528" s="79">
        <f>H528/G528</f>
        <v>0.14395027293780499</v>
      </c>
    </row>
    <row r="529" spans="1:9" x14ac:dyDescent="0.25">
      <c r="A529" s="76" t="s">
        <v>317</v>
      </c>
      <c r="B529" s="76" t="s">
        <v>320</v>
      </c>
      <c r="C529" s="77">
        <v>40955</v>
      </c>
      <c r="D529" s="78">
        <v>41305</v>
      </c>
      <c r="E529" s="79">
        <v>8.9999999999999998E-4</v>
      </c>
      <c r="F529" s="80">
        <v>68711.45</v>
      </c>
      <c r="G529" s="81"/>
      <c r="H529" s="80">
        <v>4861.0600000000004</v>
      </c>
      <c r="I529" s="79">
        <f>H529/F529</f>
        <v>7.074599648239123E-2</v>
      </c>
    </row>
    <row r="530" spans="1:9" x14ac:dyDescent="0.25">
      <c r="A530" s="76" t="s">
        <v>317</v>
      </c>
      <c r="B530" s="76" t="s">
        <v>320</v>
      </c>
      <c r="C530" s="77">
        <v>40955</v>
      </c>
      <c r="D530" s="78">
        <v>41305</v>
      </c>
      <c r="E530" s="79">
        <v>8.9999999999999998E-4</v>
      </c>
      <c r="F530" s="80"/>
      <c r="G530" s="81">
        <v>2414</v>
      </c>
      <c r="H530" s="80">
        <v>170.78</v>
      </c>
      <c r="I530" s="79">
        <f>H530/G530</f>
        <v>7.0745650372825181E-2</v>
      </c>
    </row>
    <row r="531" spans="1:9" x14ac:dyDescent="0.25">
      <c r="A531" s="76" t="s">
        <v>317</v>
      </c>
      <c r="B531" s="76" t="s">
        <v>320</v>
      </c>
      <c r="C531" s="77">
        <v>40648</v>
      </c>
      <c r="D531" s="78">
        <v>40939</v>
      </c>
      <c r="E531" s="79">
        <v>0</v>
      </c>
      <c r="F531" s="80">
        <v>90117.33</v>
      </c>
      <c r="G531" s="81"/>
      <c r="H531" s="80">
        <v>131.25</v>
      </c>
      <c r="I531" s="79">
        <f>H531/F531</f>
        <v>1.456434628056557E-3</v>
      </c>
    </row>
    <row r="532" spans="1:9" x14ac:dyDescent="0.25">
      <c r="A532" s="76" t="s">
        <v>317</v>
      </c>
      <c r="B532" s="76" t="s">
        <v>320</v>
      </c>
      <c r="C532" s="77">
        <v>40648</v>
      </c>
      <c r="D532" s="78">
        <v>40939</v>
      </c>
      <c r="E532" s="79">
        <v>0</v>
      </c>
      <c r="F532" s="80"/>
      <c r="G532" s="81">
        <v>2568</v>
      </c>
      <c r="H532" s="80">
        <v>3.85</v>
      </c>
      <c r="I532" s="79">
        <f>H532/G532</f>
        <v>1.4992211838006232E-3</v>
      </c>
    </row>
    <row r="533" spans="1:9" x14ac:dyDescent="0.25">
      <c r="A533" s="76" t="s">
        <v>317</v>
      </c>
      <c r="B533" s="76" t="s">
        <v>330</v>
      </c>
      <c r="C533" s="77">
        <v>40787</v>
      </c>
      <c r="D533" s="78">
        <v>41152</v>
      </c>
      <c r="E533" s="79">
        <v>1.7999999999999999E-2</v>
      </c>
      <c r="F533" s="80">
        <v>2860487.59</v>
      </c>
      <c r="G533" s="81"/>
      <c r="H533" s="80">
        <v>860041.5</v>
      </c>
      <c r="I533" s="79">
        <f>H533/F533</f>
        <v>0.30066255242869278</v>
      </c>
    </row>
    <row r="534" spans="1:9" x14ac:dyDescent="0.25">
      <c r="A534" s="76" t="s">
        <v>317</v>
      </c>
      <c r="B534" s="76" t="s">
        <v>330</v>
      </c>
      <c r="C534" s="77">
        <v>41153</v>
      </c>
      <c r="D534" s="78">
        <v>41517</v>
      </c>
      <c r="E534" s="79">
        <v>1.7999999999999999E-2</v>
      </c>
      <c r="F534" s="80">
        <v>2499522.81</v>
      </c>
      <c r="G534" s="81"/>
      <c r="H534" s="80">
        <v>414753.74</v>
      </c>
      <c r="I534" s="79">
        <f>H534/F534</f>
        <v>0.16593316865950106</v>
      </c>
    </row>
    <row r="535" spans="1:9" x14ac:dyDescent="0.25">
      <c r="A535" s="76" t="s">
        <v>317</v>
      </c>
      <c r="B535" s="76" t="s">
        <v>330</v>
      </c>
      <c r="C535" s="77">
        <v>40787</v>
      </c>
      <c r="D535" s="78">
        <v>41152</v>
      </c>
      <c r="E535" s="79">
        <v>1.7999999999999999E-2</v>
      </c>
      <c r="F535" s="80"/>
      <c r="G535" s="81">
        <v>147248.62</v>
      </c>
      <c r="H535" s="80">
        <v>44272.15</v>
      </c>
      <c r="I535" s="79">
        <f>H535/G535</f>
        <v>0.30066258006356872</v>
      </c>
    </row>
    <row r="536" spans="1:9" x14ac:dyDescent="0.25">
      <c r="A536" s="76" t="s">
        <v>317</v>
      </c>
      <c r="B536" s="76" t="s">
        <v>330</v>
      </c>
      <c r="C536" s="77">
        <v>41153</v>
      </c>
      <c r="D536" s="78">
        <v>41517</v>
      </c>
      <c r="E536" s="79">
        <v>1.7999999999999999E-2</v>
      </c>
      <c r="F536" s="80"/>
      <c r="G536" s="81">
        <v>138758.82999999999</v>
      </c>
      <c r="H536" s="80">
        <v>23024.69</v>
      </c>
      <c r="I536" s="79">
        <f>H536/G536</f>
        <v>0.16593315178572782</v>
      </c>
    </row>
    <row r="537" spans="1:9" x14ac:dyDescent="0.25">
      <c r="A537" s="76" t="s">
        <v>317</v>
      </c>
      <c r="B537" s="76" t="s">
        <v>172</v>
      </c>
      <c r="C537" s="77">
        <v>40589</v>
      </c>
      <c r="D537" s="78">
        <v>40953</v>
      </c>
      <c r="E537" s="79">
        <v>1.7999999999999999E-2</v>
      </c>
      <c r="F537" s="80"/>
      <c r="G537" s="81">
        <v>13835</v>
      </c>
      <c r="H537" s="80">
        <v>249.03</v>
      </c>
      <c r="I537" s="79">
        <f>H537/G537</f>
        <v>1.7999999999999999E-2</v>
      </c>
    </row>
    <row r="538" spans="1:9" x14ac:dyDescent="0.25">
      <c r="A538" s="76" t="s">
        <v>317</v>
      </c>
      <c r="B538" s="76" t="s">
        <v>172</v>
      </c>
      <c r="C538" s="77">
        <v>40589</v>
      </c>
      <c r="D538" s="78">
        <v>40953</v>
      </c>
      <c r="E538" s="79">
        <v>1.7999999999999999E-2</v>
      </c>
      <c r="F538" s="80">
        <v>313909</v>
      </c>
      <c r="G538" s="81"/>
      <c r="H538" s="80">
        <v>-41761.08</v>
      </c>
      <c r="I538" s="79">
        <f>H538/F538</f>
        <v>-0.1330356249741167</v>
      </c>
    </row>
    <row r="539" spans="1:9" x14ac:dyDescent="0.25">
      <c r="A539" s="76" t="s">
        <v>317</v>
      </c>
      <c r="B539" s="76" t="s">
        <v>31</v>
      </c>
      <c r="C539" s="77">
        <v>41061</v>
      </c>
      <c r="D539" s="78">
        <v>41394</v>
      </c>
      <c r="E539" s="79">
        <v>8.9999999999999993E-3</v>
      </c>
      <c r="F539" s="80">
        <v>16152.68</v>
      </c>
      <c r="G539" s="81"/>
      <c r="H539" s="80">
        <v>10.8</v>
      </c>
      <c r="I539" s="79">
        <f>H539/F539</f>
        <v>6.6861969654571256E-4</v>
      </c>
    </row>
    <row r="540" spans="1:9" x14ac:dyDescent="0.25">
      <c r="A540" s="76" t="s">
        <v>317</v>
      </c>
      <c r="B540" s="76" t="s">
        <v>31</v>
      </c>
      <c r="C540" s="77">
        <v>41061</v>
      </c>
      <c r="D540" s="78">
        <v>41394</v>
      </c>
      <c r="E540" s="79">
        <v>8.9999999999999993E-3</v>
      </c>
      <c r="F540" s="80"/>
      <c r="G540" s="81">
        <v>316</v>
      </c>
      <c r="H540" s="80">
        <v>0.21</v>
      </c>
      <c r="I540" s="79">
        <f>H540/G540</f>
        <v>6.6455696202531646E-4</v>
      </c>
    </row>
    <row r="541" spans="1:9" x14ac:dyDescent="0.25">
      <c r="A541" s="76" t="s">
        <v>317</v>
      </c>
      <c r="B541" s="76" t="s">
        <v>364</v>
      </c>
      <c r="C541" s="77">
        <v>41122</v>
      </c>
      <c r="D541" s="78">
        <v>41486</v>
      </c>
      <c r="E541" s="79">
        <v>8.9999999999999998E-4</v>
      </c>
      <c r="F541" s="80">
        <v>286809</v>
      </c>
      <c r="G541" s="81"/>
      <c r="H541" s="80">
        <v>165594.75</v>
      </c>
      <c r="I541" s="79">
        <f>H541/F541</f>
        <v>0.57736943401357699</v>
      </c>
    </row>
    <row r="542" spans="1:9" x14ac:dyDescent="0.25">
      <c r="A542" s="76" t="s">
        <v>317</v>
      </c>
      <c r="B542" s="76" t="s">
        <v>364</v>
      </c>
      <c r="C542" s="77">
        <v>41122</v>
      </c>
      <c r="D542" s="78">
        <v>41486</v>
      </c>
      <c r="E542" s="79">
        <v>8.9999999999999998E-4</v>
      </c>
      <c r="F542" s="80"/>
      <c r="G542" s="81">
        <v>9321</v>
      </c>
      <c r="H542" s="80">
        <v>5381.66</v>
      </c>
      <c r="I542" s="79">
        <f>H542/G542</f>
        <v>0.57736938096770729</v>
      </c>
    </row>
    <row r="543" spans="1:9" x14ac:dyDescent="0.25">
      <c r="A543" s="76" t="s">
        <v>317</v>
      </c>
      <c r="B543" s="76" t="s">
        <v>342</v>
      </c>
      <c r="C543" s="77">
        <v>40830</v>
      </c>
      <c r="D543" s="78">
        <v>41121</v>
      </c>
      <c r="E543" s="79">
        <v>0</v>
      </c>
      <c r="F543" s="80">
        <v>198365.13</v>
      </c>
      <c r="G543" s="81"/>
      <c r="H543" s="80">
        <v>125604.68</v>
      </c>
      <c r="I543" s="113">
        <f>H543/F543</f>
        <v>0.63319939346194565</v>
      </c>
    </row>
    <row r="544" spans="1:9" x14ac:dyDescent="0.25">
      <c r="A544" s="76" t="s">
        <v>317</v>
      </c>
      <c r="B544" s="76" t="s">
        <v>342</v>
      </c>
      <c r="C544" s="77">
        <v>40830</v>
      </c>
      <c r="D544" s="78">
        <v>41121</v>
      </c>
      <c r="E544" s="79">
        <v>0</v>
      </c>
      <c r="F544" s="80"/>
      <c r="G544" s="81">
        <v>6513</v>
      </c>
      <c r="H544" s="80">
        <v>4124.03</v>
      </c>
      <c r="I544" s="79">
        <f>H544/G544</f>
        <v>0.63319975433747888</v>
      </c>
    </row>
    <row r="545" spans="1:9" x14ac:dyDescent="0.25">
      <c r="A545" s="76" t="s">
        <v>317</v>
      </c>
      <c r="B545" s="76" t="s">
        <v>319</v>
      </c>
      <c r="C545" s="77">
        <v>40940</v>
      </c>
      <c r="D545" s="78">
        <v>41232</v>
      </c>
      <c r="E545" s="79">
        <v>0</v>
      </c>
      <c r="F545" s="80">
        <v>53599</v>
      </c>
      <c r="G545" s="81"/>
      <c r="H545" s="80">
        <v>13599.37</v>
      </c>
      <c r="I545" s="79">
        <f>H545/F545</f>
        <v>0.25372432321498539</v>
      </c>
    </row>
    <row r="546" spans="1:9" x14ac:dyDescent="0.25">
      <c r="A546" s="76" t="s">
        <v>317</v>
      </c>
      <c r="B546" s="76" t="s">
        <v>319</v>
      </c>
      <c r="C546" s="77">
        <v>40612</v>
      </c>
      <c r="D546" s="78">
        <v>40939</v>
      </c>
      <c r="E546" s="79">
        <v>0</v>
      </c>
      <c r="F546" s="80"/>
      <c r="G546" s="81">
        <v>63732.959999999999</v>
      </c>
      <c r="H546" s="80">
        <v>3734.72</v>
      </c>
      <c r="I546" s="79">
        <f>H546/G546</f>
        <v>5.8599506440623499E-2</v>
      </c>
    </row>
    <row r="547" spans="1:9" x14ac:dyDescent="0.25">
      <c r="A547" s="76" t="s">
        <v>317</v>
      </c>
      <c r="B547" s="76" t="s">
        <v>52</v>
      </c>
      <c r="C547" s="77">
        <v>40955</v>
      </c>
      <c r="D547" s="78">
        <v>41320</v>
      </c>
      <c r="E547" s="79">
        <v>8.9999999999999993E-3</v>
      </c>
      <c r="F547" s="80">
        <v>2577396.61</v>
      </c>
      <c r="G547" s="81"/>
      <c r="H547" s="80">
        <v>235000</v>
      </c>
      <c r="I547" s="79">
        <f>H547/F547</f>
        <v>9.1177275196307486E-2</v>
      </c>
    </row>
    <row r="548" spans="1:9" x14ac:dyDescent="0.25">
      <c r="A548" s="76" t="s">
        <v>315</v>
      </c>
      <c r="B548" s="76" t="s">
        <v>52</v>
      </c>
      <c r="C548" s="77">
        <v>40634</v>
      </c>
      <c r="D548" s="78">
        <v>40954</v>
      </c>
      <c r="E548" s="79">
        <v>0.01</v>
      </c>
      <c r="F548" s="80">
        <v>2175997</v>
      </c>
      <c r="G548" s="81"/>
      <c r="H548" s="80">
        <v>106034.18</v>
      </c>
      <c r="I548" s="79">
        <f>H548/F548</f>
        <v>4.8729010196245669E-2</v>
      </c>
    </row>
    <row r="549" spans="1:9" x14ac:dyDescent="0.25">
      <c r="A549" s="76" t="s">
        <v>315</v>
      </c>
      <c r="B549" s="76" t="s">
        <v>52</v>
      </c>
      <c r="C549" s="77">
        <v>40634</v>
      </c>
      <c r="D549" s="78">
        <v>40954</v>
      </c>
      <c r="E549" s="79">
        <v>0.01</v>
      </c>
      <c r="F549" s="80"/>
      <c r="G549" s="81">
        <v>118357.74</v>
      </c>
      <c r="H549" s="80">
        <v>30065.55</v>
      </c>
      <c r="I549" s="114">
        <f>H549/G549</f>
        <v>0.25402267735088552</v>
      </c>
    </row>
    <row r="550" spans="1:9" x14ac:dyDescent="0.25">
      <c r="A550" s="76" t="s">
        <v>317</v>
      </c>
      <c r="B550" s="76" t="s">
        <v>52</v>
      </c>
      <c r="C550" s="77">
        <v>40955</v>
      </c>
      <c r="D550" s="78">
        <v>41320</v>
      </c>
      <c r="E550" s="79">
        <v>8.9999999999999993E-3</v>
      </c>
      <c r="F550" s="80"/>
      <c r="G550" s="81">
        <v>131447.75</v>
      </c>
      <c r="H550" s="80">
        <v>11985.05</v>
      </c>
      <c r="I550" s="93">
        <f>H550/G550</f>
        <v>9.1177292878729374E-2</v>
      </c>
    </row>
    <row r="551" spans="1:9" x14ac:dyDescent="0.25">
      <c r="A551" s="76" t="s">
        <v>317</v>
      </c>
      <c r="B551" s="76" t="s">
        <v>325</v>
      </c>
      <c r="C551" s="77">
        <v>40725</v>
      </c>
      <c r="D551" s="78">
        <v>41090</v>
      </c>
      <c r="E551" s="79">
        <v>0</v>
      </c>
      <c r="F551" s="80">
        <v>3962435.29</v>
      </c>
      <c r="G551" s="81"/>
      <c r="H551" s="80">
        <v>3832311.61</v>
      </c>
      <c r="I551" s="114">
        <f>H551/F551</f>
        <v>0.96716068011800893</v>
      </c>
    </row>
    <row r="552" spans="1:9" x14ac:dyDescent="0.25">
      <c r="A552" s="76" t="s">
        <v>317</v>
      </c>
      <c r="B552" s="76" t="s">
        <v>365</v>
      </c>
      <c r="C552" s="77">
        <v>41232</v>
      </c>
      <c r="D552" s="78">
        <v>41547</v>
      </c>
      <c r="E552" s="79">
        <v>8.9999999999999998E-4</v>
      </c>
      <c r="F552" s="80">
        <v>3517405.21</v>
      </c>
      <c r="G552" s="81"/>
      <c r="H552" s="80">
        <v>3186251.17</v>
      </c>
      <c r="I552" s="93">
        <f>H552/F552</f>
        <v>0.90585274649092817</v>
      </c>
    </row>
    <row r="553" spans="1:9" x14ac:dyDescent="0.25">
      <c r="A553" s="76" t="s">
        <v>317</v>
      </c>
      <c r="B553" s="76" t="s">
        <v>325</v>
      </c>
      <c r="C553" s="77">
        <v>40725</v>
      </c>
      <c r="D553" s="78">
        <v>41090</v>
      </c>
      <c r="E553" s="79">
        <v>0</v>
      </c>
      <c r="F553" s="80"/>
      <c r="G553" s="81">
        <v>152803.82999999999</v>
      </c>
      <c r="H553" s="80">
        <v>147785.85999999999</v>
      </c>
      <c r="I553" s="93">
        <f>H553/G553</f>
        <v>0.96716070533048815</v>
      </c>
    </row>
    <row r="554" spans="1:9" x14ac:dyDescent="0.25">
      <c r="A554" s="76" t="s">
        <v>317</v>
      </c>
      <c r="B554" s="76" t="s">
        <v>365</v>
      </c>
      <c r="C554" s="77">
        <v>41232</v>
      </c>
      <c r="D554" s="78">
        <v>41547</v>
      </c>
      <c r="E554" s="79">
        <v>8.9999999999999998E-4</v>
      </c>
      <c r="F554" s="80"/>
      <c r="G554" s="81">
        <v>148684.45000000001</v>
      </c>
      <c r="H554" s="80">
        <v>134686.22</v>
      </c>
      <c r="I554" s="114">
        <f>H554/G554</f>
        <v>0.90585276402475168</v>
      </c>
    </row>
    <row r="555" spans="1:9" x14ac:dyDescent="0.25">
      <c r="A555" s="76" t="s">
        <v>317</v>
      </c>
      <c r="B555" s="76" t="s">
        <v>152</v>
      </c>
      <c r="C555" s="77">
        <v>40955</v>
      </c>
      <c r="D555" s="78">
        <v>41320</v>
      </c>
      <c r="E555" s="79">
        <v>0.09</v>
      </c>
      <c r="F555" s="80">
        <v>5410169</v>
      </c>
      <c r="G555" s="81"/>
      <c r="H555" s="80">
        <v>4853028.04</v>
      </c>
      <c r="I555" s="93">
        <f>H555/F555</f>
        <v>0.89701967535579763</v>
      </c>
    </row>
    <row r="556" spans="1:9" x14ac:dyDescent="0.25">
      <c r="A556" s="76" t="s">
        <v>315</v>
      </c>
      <c r="B556" s="110" t="s">
        <v>152</v>
      </c>
      <c r="C556" s="77">
        <v>40607</v>
      </c>
      <c r="D556" s="78">
        <v>40968</v>
      </c>
      <c r="E556" s="79">
        <v>0.108</v>
      </c>
      <c r="F556" s="80">
        <v>5518845.29</v>
      </c>
      <c r="G556" s="81"/>
      <c r="H556" s="80">
        <v>1306139.8700000001</v>
      </c>
      <c r="I556" s="79">
        <f>H556/F556</f>
        <v>0.23666904965911811</v>
      </c>
    </row>
    <row r="557" spans="1:9" x14ac:dyDescent="0.25">
      <c r="A557" s="76" t="s">
        <v>317</v>
      </c>
      <c r="B557" s="76" t="s">
        <v>152</v>
      </c>
      <c r="C557" s="77">
        <v>40955</v>
      </c>
      <c r="D557" s="78">
        <v>41320</v>
      </c>
      <c r="E557" s="79">
        <v>0.09</v>
      </c>
      <c r="F557" s="80"/>
      <c r="G557" s="81">
        <v>233270</v>
      </c>
      <c r="H557" s="80">
        <v>209001.73</v>
      </c>
      <c r="I557" s="114">
        <f>H557/G557</f>
        <v>0.8959648904702705</v>
      </c>
    </row>
    <row r="558" spans="1:9" x14ac:dyDescent="0.25">
      <c r="A558" s="76" t="s">
        <v>317</v>
      </c>
      <c r="B558" s="110" t="s">
        <v>152</v>
      </c>
      <c r="C558" s="77">
        <v>40607</v>
      </c>
      <c r="D558" s="78">
        <v>40968</v>
      </c>
      <c r="E558" s="79">
        <v>0.108</v>
      </c>
      <c r="F558" s="80">
        <v>37044.5</v>
      </c>
      <c r="G558" s="81">
        <v>258609.14</v>
      </c>
      <c r="H558" s="80">
        <v>51955.62</v>
      </c>
      <c r="I558" s="93">
        <f>H558/G558</f>
        <v>0.20090403610638047</v>
      </c>
    </row>
    <row r="559" spans="1:9" x14ac:dyDescent="0.25">
      <c r="A559" s="76" t="s">
        <v>317</v>
      </c>
      <c r="B559" s="76" t="s">
        <v>347</v>
      </c>
      <c r="C559" s="77">
        <v>40909</v>
      </c>
      <c r="D559" s="78">
        <v>41274</v>
      </c>
      <c r="E559" s="79">
        <v>8.9999999999999998E-4</v>
      </c>
      <c r="F559" s="80">
        <v>4124598</v>
      </c>
      <c r="G559" s="81"/>
      <c r="H559" s="80">
        <v>283705.7</v>
      </c>
      <c r="I559" s="114">
        <f>H559/F559</f>
        <v>6.8783842692063571E-2</v>
      </c>
    </row>
    <row r="560" spans="1:9" x14ac:dyDescent="0.25">
      <c r="A560" s="76" t="s">
        <v>317</v>
      </c>
      <c r="B560" s="76" t="s">
        <v>347</v>
      </c>
      <c r="C560" s="77">
        <v>40909</v>
      </c>
      <c r="D560" s="78">
        <v>41274</v>
      </c>
      <c r="E560" s="79">
        <v>8.9999999999999998E-4</v>
      </c>
      <c r="F560" s="80"/>
      <c r="G560" s="81">
        <v>202069</v>
      </c>
      <c r="H560" s="80">
        <v>13899.08</v>
      </c>
      <c r="I560" s="93">
        <f>H560/G560</f>
        <v>6.8783831265557802E-2</v>
      </c>
    </row>
    <row r="561" spans="1:9" x14ac:dyDescent="0.25">
      <c r="A561" s="76" t="s">
        <v>317</v>
      </c>
      <c r="B561" s="76" t="s">
        <v>326</v>
      </c>
      <c r="C561" s="77">
        <v>40725</v>
      </c>
      <c r="D561" s="78">
        <v>41090</v>
      </c>
      <c r="E561" s="79">
        <v>0</v>
      </c>
      <c r="F561" s="80">
        <v>2001882.7</v>
      </c>
      <c r="G561" s="81"/>
      <c r="H561" s="80">
        <v>735694.53</v>
      </c>
      <c r="I561" s="114">
        <f>H561/F561</f>
        <v>0.36750131763464466</v>
      </c>
    </row>
    <row r="562" spans="1:9" x14ac:dyDescent="0.25">
      <c r="A562" s="76" t="s">
        <v>317</v>
      </c>
      <c r="B562" s="76" t="s">
        <v>326</v>
      </c>
      <c r="C562" s="77">
        <v>40725</v>
      </c>
      <c r="D562" s="78">
        <v>41090</v>
      </c>
      <c r="E562" s="79">
        <v>0</v>
      </c>
      <c r="F562" s="80"/>
      <c r="G562" s="81">
        <v>107029.43</v>
      </c>
      <c r="H562" s="80">
        <v>39333.46</v>
      </c>
      <c r="I562" s="93">
        <f>H562/G562</f>
        <v>0.36750134986236965</v>
      </c>
    </row>
    <row r="563" spans="1:9" x14ac:dyDescent="0.25">
      <c r="A563" s="76" t="s">
        <v>317</v>
      </c>
      <c r="B563" s="76" t="s">
        <v>326</v>
      </c>
      <c r="C563" s="77">
        <v>41091</v>
      </c>
      <c r="D563" s="78">
        <v>41440</v>
      </c>
      <c r="E563" s="79">
        <v>8.9999999999999998E-4</v>
      </c>
      <c r="F563" s="80">
        <v>971726</v>
      </c>
      <c r="G563" s="81"/>
      <c r="H563" s="80">
        <v>10254.459999999999</v>
      </c>
      <c r="I563" s="114">
        <f>H563/F563</f>
        <v>1.0552830736236345E-2</v>
      </c>
    </row>
    <row r="564" spans="1:9" x14ac:dyDescent="0.25">
      <c r="A564" s="76" t="s">
        <v>317</v>
      </c>
      <c r="B564" s="76" t="s">
        <v>326</v>
      </c>
      <c r="C564" s="77">
        <v>41091</v>
      </c>
      <c r="D564" s="78">
        <v>41440</v>
      </c>
      <c r="E564" s="79">
        <v>8.9999999999999998E-4</v>
      </c>
      <c r="F564" s="80"/>
      <c r="G564" s="81">
        <v>72832</v>
      </c>
      <c r="H564" s="80">
        <v>5630.02</v>
      </c>
      <c r="I564" s="93">
        <f>H564/G564</f>
        <v>7.7301460896309321E-2</v>
      </c>
    </row>
    <row r="565" spans="1:9" x14ac:dyDescent="0.25">
      <c r="A565" s="76" t="s">
        <v>317</v>
      </c>
      <c r="B565" s="76" t="s">
        <v>155</v>
      </c>
      <c r="C565" s="77">
        <v>41091</v>
      </c>
      <c r="D565" s="78">
        <v>41440</v>
      </c>
      <c r="E565" s="79">
        <v>8.9999999999999998E-4</v>
      </c>
      <c r="F565" s="80"/>
      <c r="G565" s="81">
        <v>11960</v>
      </c>
      <c r="H565" s="80">
        <v>12</v>
      </c>
      <c r="I565" s="114">
        <f>H565/G565</f>
        <v>1.0033444816053511E-3</v>
      </c>
    </row>
    <row r="566" spans="1:9" x14ac:dyDescent="0.25">
      <c r="A566" s="76" t="s">
        <v>317</v>
      </c>
      <c r="B566" s="76" t="s">
        <v>155</v>
      </c>
      <c r="C566" s="77">
        <v>40725</v>
      </c>
      <c r="D566" s="78">
        <v>41090</v>
      </c>
      <c r="E566" s="79">
        <v>0</v>
      </c>
      <c r="F566" s="80">
        <v>176638.05</v>
      </c>
      <c r="G566" s="81"/>
      <c r="H566" s="80">
        <v>0</v>
      </c>
      <c r="I566" s="93">
        <f>H566/F566</f>
        <v>0</v>
      </c>
    </row>
    <row r="567" spans="1:9" x14ac:dyDescent="0.25">
      <c r="A567" s="76" t="s">
        <v>317</v>
      </c>
      <c r="B567" s="76" t="s">
        <v>155</v>
      </c>
      <c r="C567" s="77">
        <v>40725</v>
      </c>
      <c r="D567" s="78">
        <v>41090</v>
      </c>
      <c r="E567" s="79">
        <v>0</v>
      </c>
      <c r="F567" s="80"/>
      <c r="G567" s="81">
        <v>9889.5</v>
      </c>
      <c r="H567" s="80">
        <v>0</v>
      </c>
      <c r="I567" s="93">
        <f>H567/G567</f>
        <v>0</v>
      </c>
    </row>
    <row r="568" spans="1:9" x14ac:dyDescent="0.25">
      <c r="A568" s="76" t="s">
        <v>317</v>
      </c>
      <c r="B568" s="76" t="s">
        <v>155</v>
      </c>
      <c r="C568" s="77">
        <v>41091</v>
      </c>
      <c r="D568" s="78">
        <v>41440</v>
      </c>
      <c r="E568" s="79">
        <v>8.9999999999999998E-4</v>
      </c>
      <c r="F568" s="80">
        <v>211722</v>
      </c>
      <c r="G568" s="81"/>
      <c r="H568" s="80">
        <v>0</v>
      </c>
      <c r="I568" s="93">
        <f>H568/F568</f>
        <v>0</v>
      </c>
    </row>
    <row r="569" spans="1:9" x14ac:dyDescent="0.25">
      <c r="A569" s="76" t="s">
        <v>317</v>
      </c>
      <c r="B569" s="76" t="s">
        <v>323</v>
      </c>
      <c r="C569" s="77">
        <v>41015</v>
      </c>
      <c r="D569" s="78">
        <v>41379</v>
      </c>
      <c r="E569" s="79">
        <v>0</v>
      </c>
      <c r="F569" s="80">
        <v>311724.5</v>
      </c>
      <c r="G569" s="81"/>
      <c r="H569" s="80">
        <v>60633.43</v>
      </c>
      <c r="I569" s="114">
        <f>H569/F569</f>
        <v>0.19450967120005005</v>
      </c>
    </row>
    <row r="570" spans="1:9" x14ac:dyDescent="0.25">
      <c r="A570" s="76" t="s">
        <v>317</v>
      </c>
      <c r="B570" s="76" t="s">
        <v>323</v>
      </c>
      <c r="C570" s="77">
        <v>41015</v>
      </c>
      <c r="D570" s="78">
        <v>41379</v>
      </c>
      <c r="E570" s="79">
        <v>0</v>
      </c>
      <c r="F570" s="80"/>
      <c r="G570" s="81">
        <v>18438.68</v>
      </c>
      <c r="H570" s="80">
        <v>3540.4</v>
      </c>
      <c r="I570" s="93">
        <f>H570/G570</f>
        <v>0.1920094063132502</v>
      </c>
    </row>
    <row r="571" spans="1:9" x14ac:dyDescent="0.25">
      <c r="A571" s="76" t="s">
        <v>317</v>
      </c>
      <c r="B571" s="76" t="s">
        <v>323</v>
      </c>
      <c r="C571" s="77">
        <v>40689</v>
      </c>
      <c r="D571" s="78">
        <v>40672</v>
      </c>
      <c r="E571" s="79">
        <v>0</v>
      </c>
      <c r="F571" s="80"/>
      <c r="G571" s="81">
        <v>62797.94</v>
      </c>
      <c r="H571" s="80">
        <v>2366.7800000000002</v>
      </c>
      <c r="I571" s="114">
        <f>H571/G571</f>
        <v>3.7688815907018607E-2</v>
      </c>
    </row>
    <row r="572" spans="1:9" x14ac:dyDescent="0.25">
      <c r="A572" s="76" t="s">
        <v>317</v>
      </c>
      <c r="B572" s="76" t="s">
        <v>323</v>
      </c>
      <c r="C572" s="77">
        <v>40673</v>
      </c>
      <c r="D572" s="78">
        <v>41014</v>
      </c>
      <c r="E572" s="79">
        <v>0</v>
      </c>
      <c r="F572" s="80">
        <v>285059.36</v>
      </c>
      <c r="G572" s="81"/>
      <c r="H572" s="80">
        <v>0</v>
      </c>
      <c r="I572" s="93">
        <f>H572/F572</f>
        <v>0</v>
      </c>
    </row>
    <row r="573" spans="1:9" x14ac:dyDescent="0.25">
      <c r="A573" s="76" t="s">
        <v>317</v>
      </c>
      <c r="B573" s="76" t="s">
        <v>323</v>
      </c>
      <c r="C573" s="77">
        <v>40673</v>
      </c>
      <c r="D573" s="78">
        <v>41014</v>
      </c>
      <c r="E573" s="79">
        <v>0</v>
      </c>
      <c r="F573" s="80"/>
      <c r="G573" s="81">
        <v>13055</v>
      </c>
      <c r="H573" s="80">
        <v>0</v>
      </c>
      <c r="I573" s="114">
        <f>H573/G573</f>
        <v>0</v>
      </c>
    </row>
    <row r="574" spans="1:9" x14ac:dyDescent="0.25">
      <c r="A574" s="76" t="s">
        <v>317</v>
      </c>
      <c r="B574" s="76" t="s">
        <v>323</v>
      </c>
      <c r="C574" s="77">
        <v>40689</v>
      </c>
      <c r="D574" s="78">
        <v>40672</v>
      </c>
      <c r="E574" s="79">
        <v>0</v>
      </c>
      <c r="F574" s="80">
        <v>1077545.45</v>
      </c>
      <c r="G574" s="81"/>
      <c r="H574" s="80">
        <v>0</v>
      </c>
      <c r="I574" s="93">
        <f>H574/F574</f>
        <v>0</v>
      </c>
    </row>
    <row r="575" spans="1:9" x14ac:dyDescent="0.25">
      <c r="A575" s="76" t="s">
        <v>317</v>
      </c>
      <c r="B575" s="76" t="s">
        <v>329</v>
      </c>
      <c r="C575" s="77">
        <v>40740</v>
      </c>
      <c r="D575" s="78">
        <v>41090</v>
      </c>
      <c r="E575" s="79">
        <v>0</v>
      </c>
      <c r="F575" s="80">
        <v>82553.5</v>
      </c>
      <c r="G575" s="81"/>
      <c r="H575" s="80">
        <v>40310.25</v>
      </c>
      <c r="I575" s="114">
        <f>H575/F575</f>
        <v>0.48829244065969341</v>
      </c>
    </row>
    <row r="576" spans="1:9" x14ac:dyDescent="0.25">
      <c r="A576" s="76" t="s">
        <v>317</v>
      </c>
      <c r="B576" s="76" t="s">
        <v>329</v>
      </c>
      <c r="C576" s="77">
        <v>40740</v>
      </c>
      <c r="D576" s="78">
        <v>41090</v>
      </c>
      <c r="E576" s="79">
        <v>0</v>
      </c>
      <c r="F576" s="80"/>
      <c r="G576" s="81">
        <v>3025</v>
      </c>
      <c r="H576" s="80">
        <v>1477.08</v>
      </c>
      <c r="I576" s="93">
        <f>H576/G576</f>
        <v>0.48829090909090905</v>
      </c>
    </row>
    <row r="577" spans="1:9" x14ac:dyDescent="0.25">
      <c r="A577" s="76" t="s">
        <v>317</v>
      </c>
      <c r="B577" s="76" t="s">
        <v>363</v>
      </c>
      <c r="C577" s="77">
        <v>41144</v>
      </c>
      <c r="D577" s="78">
        <v>41455</v>
      </c>
      <c r="E577" s="79">
        <v>8.9999999999999998E-4</v>
      </c>
      <c r="F577" s="80">
        <v>43873</v>
      </c>
      <c r="G577" s="81"/>
      <c r="H577" s="80">
        <v>12639.61</v>
      </c>
      <c r="I577" s="79">
        <f>H577/F577</f>
        <v>0.28809541175666131</v>
      </c>
    </row>
    <row r="578" spans="1:9" x14ac:dyDescent="0.25">
      <c r="A578" s="76" t="s">
        <v>317</v>
      </c>
      <c r="B578" s="76" t="s">
        <v>363</v>
      </c>
      <c r="C578" s="77">
        <v>41144</v>
      </c>
      <c r="D578" s="78">
        <v>41455</v>
      </c>
      <c r="E578" s="79">
        <v>8.9999999999999998E-4</v>
      </c>
      <c r="F578" s="80"/>
      <c r="G578" s="81">
        <v>1910</v>
      </c>
      <c r="H578" s="80">
        <v>550.26</v>
      </c>
      <c r="I578" s="79">
        <f>H578/G578</f>
        <v>0.2880942408376963</v>
      </c>
    </row>
    <row r="579" spans="1:9" x14ac:dyDescent="0.25">
      <c r="A579" s="76" t="s">
        <v>317</v>
      </c>
      <c r="B579" s="76" t="s">
        <v>161</v>
      </c>
      <c r="C579" s="77">
        <v>40708</v>
      </c>
      <c r="D579" s="78">
        <v>41029</v>
      </c>
      <c r="E579" s="79">
        <v>0</v>
      </c>
      <c r="F579" s="80">
        <v>200721.12</v>
      </c>
      <c r="G579" s="81"/>
      <c r="H579" s="80">
        <v>0</v>
      </c>
      <c r="I579" s="79">
        <f>H579/F579</f>
        <v>0</v>
      </c>
    </row>
    <row r="580" spans="1:9" x14ac:dyDescent="0.25">
      <c r="A580" s="76" t="s">
        <v>317</v>
      </c>
      <c r="B580" s="76" t="s">
        <v>161</v>
      </c>
      <c r="C580" s="77">
        <v>40708</v>
      </c>
      <c r="D580" s="78">
        <v>41029</v>
      </c>
      <c r="E580" s="79">
        <v>0</v>
      </c>
      <c r="F580" s="80"/>
      <c r="G580" s="81">
        <v>2533</v>
      </c>
      <c r="H580" s="80">
        <v>0</v>
      </c>
      <c r="I580" s="79">
        <f>H580/G580</f>
        <v>0</v>
      </c>
    </row>
    <row r="581" spans="1:9" x14ac:dyDescent="0.25">
      <c r="A581" s="76" t="s">
        <v>317</v>
      </c>
      <c r="B581" s="76" t="s">
        <v>328</v>
      </c>
      <c r="C581" s="77">
        <v>41095</v>
      </c>
      <c r="D581" s="78">
        <v>41459</v>
      </c>
      <c r="E581" s="79">
        <v>8.9999999999999998E-4</v>
      </c>
      <c r="F581" s="80">
        <v>1386488.63</v>
      </c>
      <c r="G581" s="81"/>
      <c r="H581" s="80">
        <v>160507.10999999999</v>
      </c>
      <c r="I581" s="79">
        <f>H581/F581</f>
        <v>0.11576518301487983</v>
      </c>
    </row>
    <row r="582" spans="1:9" x14ac:dyDescent="0.25">
      <c r="A582" s="76" t="s">
        <v>317</v>
      </c>
      <c r="B582" s="76" t="s">
        <v>328</v>
      </c>
      <c r="C582" s="77">
        <v>40729</v>
      </c>
      <c r="D582" s="78">
        <v>41094</v>
      </c>
      <c r="E582" s="79">
        <v>0</v>
      </c>
      <c r="F582" s="80">
        <v>1401611.29</v>
      </c>
      <c r="G582" s="81"/>
      <c r="H582" s="80">
        <v>40352.58</v>
      </c>
      <c r="I582" s="79">
        <f>H582/F582</f>
        <v>2.8790136243836906E-2</v>
      </c>
    </row>
    <row r="583" spans="1:9" x14ac:dyDescent="0.25">
      <c r="A583" s="76" t="s">
        <v>317</v>
      </c>
      <c r="B583" s="76" t="s">
        <v>328</v>
      </c>
      <c r="C583" s="77">
        <v>41095</v>
      </c>
      <c r="D583" s="78">
        <v>41459</v>
      </c>
      <c r="E583" s="79">
        <v>8.9999999999999998E-4</v>
      </c>
      <c r="F583" s="80"/>
      <c r="G583" s="81">
        <v>77505.22</v>
      </c>
      <c r="H583" s="80">
        <v>8972.41</v>
      </c>
      <c r="I583" s="79">
        <f>H583/G583</f>
        <v>0.115765234909339</v>
      </c>
    </row>
    <row r="584" spans="1:9" x14ac:dyDescent="0.25">
      <c r="A584" s="76" t="s">
        <v>317</v>
      </c>
      <c r="B584" s="76" t="s">
        <v>328</v>
      </c>
      <c r="C584" s="77">
        <v>40729</v>
      </c>
      <c r="D584" s="78">
        <v>41094</v>
      </c>
      <c r="E584" s="79">
        <v>0</v>
      </c>
      <c r="F584" s="80"/>
      <c r="G584" s="81">
        <v>78350.58</v>
      </c>
      <c r="H584" s="80">
        <v>2255.7199999999998</v>
      </c>
      <c r="I584" s="79">
        <f>H584/G584</f>
        <v>2.879008681237586E-2</v>
      </c>
    </row>
    <row r="585" spans="1:9" x14ac:dyDescent="0.25">
      <c r="A585" s="76" t="s">
        <v>317</v>
      </c>
      <c r="B585" s="76" t="s">
        <v>328</v>
      </c>
      <c r="C585" s="77">
        <v>40955</v>
      </c>
      <c r="D585" s="78">
        <v>41274</v>
      </c>
      <c r="E585" s="79">
        <v>8.9999999999999998E-4</v>
      </c>
      <c r="F585" s="80">
        <v>95852.15</v>
      </c>
      <c r="G585" s="81"/>
      <c r="H585" s="80">
        <v>250</v>
      </c>
      <c r="I585" s="79">
        <f>H585/F585</f>
        <v>2.608183541005601E-3</v>
      </c>
    </row>
    <row r="586" spans="1:9" x14ac:dyDescent="0.25">
      <c r="A586" s="76" t="s">
        <v>317</v>
      </c>
      <c r="B586" s="76" t="s">
        <v>328</v>
      </c>
      <c r="C586" s="77">
        <v>40955</v>
      </c>
      <c r="D586" s="78">
        <v>41274</v>
      </c>
      <c r="E586" s="79">
        <v>8.9999999999999998E-4</v>
      </c>
      <c r="F586" s="80"/>
      <c r="G586" s="81">
        <v>2743</v>
      </c>
      <c r="H586" s="80">
        <v>7.15</v>
      </c>
      <c r="I586" s="79">
        <f>H586/G586</f>
        <v>2.6066350710900474E-3</v>
      </c>
    </row>
    <row r="587" spans="1:9" x14ac:dyDescent="0.25">
      <c r="A587" s="76" t="s">
        <v>317</v>
      </c>
      <c r="B587" s="76" t="s">
        <v>358</v>
      </c>
      <c r="C587" s="77">
        <v>41107</v>
      </c>
      <c r="D587" s="78">
        <v>41425</v>
      </c>
      <c r="E587" s="79">
        <v>8.9999999999999993E-3</v>
      </c>
      <c r="F587" s="80">
        <v>5180</v>
      </c>
      <c r="G587" s="81"/>
      <c r="H587" s="80">
        <v>2846.75</v>
      </c>
      <c r="I587" s="79">
        <f>H587/F587</f>
        <v>0.5495656370656371</v>
      </c>
    </row>
    <row r="588" spans="1:9" x14ac:dyDescent="0.25">
      <c r="A588" s="76" t="s">
        <v>317</v>
      </c>
      <c r="B588" s="76" t="s">
        <v>358</v>
      </c>
      <c r="C588" s="77">
        <v>41107</v>
      </c>
      <c r="D588" s="78">
        <v>41425</v>
      </c>
      <c r="E588" s="79">
        <v>8.9999999999999993E-3</v>
      </c>
      <c r="F588" s="80"/>
      <c r="G588" s="81">
        <v>320</v>
      </c>
      <c r="H588" s="80">
        <v>175.86</v>
      </c>
      <c r="I588" s="79">
        <f>H588/G588</f>
        <v>0.54956250000000006</v>
      </c>
    </row>
    <row r="589" spans="1:9" x14ac:dyDescent="0.25">
      <c r="A589" s="76" t="s">
        <v>317</v>
      </c>
      <c r="B589" s="76" t="s">
        <v>346</v>
      </c>
      <c r="C589" s="77">
        <v>40909</v>
      </c>
      <c r="D589" s="78">
        <v>41274</v>
      </c>
      <c r="E589" s="79">
        <v>8.9999999999999998E-4</v>
      </c>
      <c r="F589" s="80">
        <v>1020214.51</v>
      </c>
      <c r="G589" s="81"/>
      <c r="H589" s="80">
        <v>45922.05</v>
      </c>
      <c r="I589" s="79">
        <f>H589/F589</f>
        <v>4.5012151415097991E-2</v>
      </c>
    </row>
    <row r="590" spans="1:9" x14ac:dyDescent="0.25">
      <c r="A590" s="76" t="s">
        <v>317</v>
      </c>
      <c r="B590" s="76" t="s">
        <v>346</v>
      </c>
      <c r="C590" s="77">
        <v>40909</v>
      </c>
      <c r="D590" s="78">
        <v>41274</v>
      </c>
      <c r="E590" s="79">
        <v>8.9999999999999998E-4</v>
      </c>
      <c r="F590" s="80"/>
      <c r="G590" s="81">
        <v>47833.35</v>
      </c>
      <c r="H590" s="80">
        <v>2153.08</v>
      </c>
      <c r="I590" s="79">
        <f>H590/G590</f>
        <v>4.5012109751878138E-2</v>
      </c>
    </row>
    <row r="591" spans="1:9" x14ac:dyDescent="0.25">
      <c r="A591" s="76" t="s">
        <v>317</v>
      </c>
      <c r="B591" s="76" t="s">
        <v>361</v>
      </c>
      <c r="C591" s="77">
        <v>41144</v>
      </c>
      <c r="D591" s="78">
        <v>41469</v>
      </c>
      <c r="E591" s="79">
        <v>8.9999999999999998E-4</v>
      </c>
      <c r="F591" s="80">
        <v>125262.71</v>
      </c>
      <c r="G591" s="81"/>
      <c r="H591" s="80">
        <v>22994.51</v>
      </c>
      <c r="I591" s="79">
        <f>H591/F591</f>
        <v>0.18357027402648399</v>
      </c>
    </row>
    <row r="592" spans="1:9" x14ac:dyDescent="0.25">
      <c r="A592" s="76" t="s">
        <v>317</v>
      </c>
      <c r="B592" s="76" t="s">
        <v>361</v>
      </c>
      <c r="C592" s="77">
        <v>41144</v>
      </c>
      <c r="D592" s="78">
        <v>41469</v>
      </c>
      <c r="E592" s="79">
        <v>8.9999999999999998E-4</v>
      </c>
      <c r="F592" s="80"/>
      <c r="G592" s="81">
        <v>7649</v>
      </c>
      <c r="H592" s="80">
        <v>1404.13</v>
      </c>
      <c r="I592" s="79">
        <f>H592/G592</f>
        <v>0.18357040135965488</v>
      </c>
    </row>
    <row r="593" spans="1:9" x14ac:dyDescent="0.25">
      <c r="A593" s="76" t="s">
        <v>317</v>
      </c>
      <c r="B593" s="76" t="s">
        <v>318</v>
      </c>
      <c r="C593" s="77">
        <v>40611</v>
      </c>
      <c r="D593" s="78">
        <v>40931</v>
      </c>
      <c r="E593" s="79">
        <v>0</v>
      </c>
      <c r="F593" s="80">
        <v>107314.94</v>
      </c>
      <c r="G593" s="81"/>
      <c r="H593" s="80">
        <v>41499.18</v>
      </c>
      <c r="I593" s="79">
        <f>H593/F593</f>
        <v>0.38670459117807826</v>
      </c>
    </row>
    <row r="594" spans="1:9" x14ac:dyDescent="0.25">
      <c r="A594" s="76" t="s">
        <v>317</v>
      </c>
      <c r="B594" s="76" t="s">
        <v>318</v>
      </c>
      <c r="C594" s="77">
        <v>40988</v>
      </c>
      <c r="D594" s="78">
        <v>41297</v>
      </c>
      <c r="E594" s="79">
        <v>8.9999999999999993E-3</v>
      </c>
      <c r="F594" s="80">
        <v>51200.6</v>
      </c>
      <c r="G594" s="81"/>
      <c r="H594" s="80">
        <v>16745.05</v>
      </c>
      <c r="I594" s="79">
        <f>H594/F594</f>
        <v>0.32704792521962633</v>
      </c>
    </row>
    <row r="595" spans="1:9" x14ac:dyDescent="0.25">
      <c r="A595" s="76" t="s">
        <v>317</v>
      </c>
      <c r="B595" s="76" t="s">
        <v>318</v>
      </c>
      <c r="C595" s="77">
        <v>40611</v>
      </c>
      <c r="D595" s="78">
        <v>40931</v>
      </c>
      <c r="E595" s="79">
        <v>0</v>
      </c>
      <c r="F595" s="80"/>
      <c r="G595" s="81">
        <v>6870.02</v>
      </c>
      <c r="H595" s="80">
        <v>3907.44</v>
      </c>
      <c r="I595" s="79">
        <f>H595/G595</f>
        <v>0.5687669031531204</v>
      </c>
    </row>
    <row r="596" spans="1:9" x14ac:dyDescent="0.25">
      <c r="A596" s="76" t="s">
        <v>317</v>
      </c>
      <c r="B596" s="76" t="s">
        <v>318</v>
      </c>
      <c r="C596" s="77">
        <v>40988</v>
      </c>
      <c r="D596" s="78">
        <v>41297</v>
      </c>
      <c r="E596" s="79">
        <v>8.9999999999999993E-3</v>
      </c>
      <c r="F596" s="80"/>
      <c r="G596" s="81">
        <v>2918</v>
      </c>
      <c r="H596" s="80">
        <v>954.33</v>
      </c>
      <c r="I596" s="79">
        <f>H596/G596</f>
        <v>0.32704934886908843</v>
      </c>
    </row>
    <row r="597" spans="1:9" x14ac:dyDescent="0.25">
      <c r="A597" s="76" t="s">
        <v>317</v>
      </c>
      <c r="B597" s="76" t="s">
        <v>203</v>
      </c>
      <c r="C597" s="77">
        <v>40919</v>
      </c>
      <c r="D597" s="78">
        <v>41213</v>
      </c>
      <c r="E597" s="79">
        <v>1.7999999999999999E-2</v>
      </c>
      <c r="F597" s="80">
        <v>8130</v>
      </c>
      <c r="G597" s="81"/>
      <c r="H597" s="80">
        <v>4669.6499999999996</v>
      </c>
      <c r="I597" s="113">
        <f>H597/F597</f>
        <v>0.57437269372693722</v>
      </c>
    </row>
    <row r="598" spans="1:9" x14ac:dyDescent="0.25">
      <c r="A598" s="76" t="s">
        <v>317</v>
      </c>
      <c r="B598" s="76" t="s">
        <v>203</v>
      </c>
      <c r="C598" s="77">
        <v>40919</v>
      </c>
      <c r="D598" s="78">
        <v>41213</v>
      </c>
      <c r="E598" s="79">
        <v>1.7999999999999999E-2</v>
      </c>
      <c r="F598" s="80"/>
      <c r="G598" s="81">
        <v>45</v>
      </c>
      <c r="H598" s="80">
        <v>25.85</v>
      </c>
      <c r="I598" s="79">
        <f>H598/G598</f>
        <v>0.57444444444444442</v>
      </c>
    </row>
    <row r="599" spans="1:9" x14ac:dyDescent="0.25">
      <c r="A599" s="76" t="s">
        <v>317</v>
      </c>
      <c r="B599" s="76" t="s">
        <v>181</v>
      </c>
      <c r="C599" s="77">
        <v>40788</v>
      </c>
      <c r="D599" s="78">
        <v>41090</v>
      </c>
      <c r="E599" s="79">
        <v>1.7999999999999999E-2</v>
      </c>
      <c r="F599" s="80">
        <v>1428344.94</v>
      </c>
      <c r="G599" s="81"/>
      <c r="H599" s="80">
        <v>473850.97</v>
      </c>
      <c r="I599" s="113">
        <f>H599/F599</f>
        <v>0.33174827503502058</v>
      </c>
    </row>
    <row r="600" spans="1:9" x14ac:dyDescent="0.25">
      <c r="A600" s="76" t="s">
        <v>317</v>
      </c>
      <c r="B600" s="76" t="s">
        <v>181</v>
      </c>
      <c r="C600" s="77">
        <v>41123</v>
      </c>
      <c r="D600" s="78">
        <v>41455</v>
      </c>
      <c r="E600" s="79">
        <v>8.9999999999999998E-4</v>
      </c>
      <c r="F600" s="80">
        <v>1152761.21</v>
      </c>
      <c r="G600" s="81"/>
      <c r="H600" s="80">
        <v>87197.4</v>
      </c>
      <c r="I600" s="79">
        <f>H600/F600</f>
        <v>7.5642205205707774E-2</v>
      </c>
    </row>
    <row r="601" spans="1:9" x14ac:dyDescent="0.25">
      <c r="A601" s="76" t="s">
        <v>317</v>
      </c>
      <c r="B601" s="76" t="s">
        <v>181</v>
      </c>
      <c r="C601" s="77">
        <v>40788</v>
      </c>
      <c r="D601" s="78">
        <v>41090</v>
      </c>
      <c r="E601" s="79">
        <v>1.7999999999999999E-2</v>
      </c>
      <c r="F601" s="80"/>
      <c r="G601" s="81">
        <v>54335.05</v>
      </c>
      <c r="H601" s="80">
        <v>18025.560000000001</v>
      </c>
      <c r="I601" s="113">
        <f>H601/G601</f>
        <v>0.33174829138833956</v>
      </c>
    </row>
    <row r="602" spans="1:9" x14ac:dyDescent="0.25">
      <c r="A602" s="76" t="s">
        <v>317</v>
      </c>
      <c r="B602" s="76" t="s">
        <v>181</v>
      </c>
      <c r="C602" s="77">
        <v>41123</v>
      </c>
      <c r="D602" s="78">
        <v>41455</v>
      </c>
      <c r="E602" s="79">
        <v>8.9999999999999998E-4</v>
      </c>
      <c r="F602" s="80"/>
      <c r="G602" s="81">
        <v>53234.36</v>
      </c>
      <c r="H602" s="80">
        <v>4026.76</v>
      </c>
      <c r="I602" s="79">
        <f>H602/G602</f>
        <v>7.5642122869515105E-2</v>
      </c>
    </row>
    <row r="603" spans="1:9" x14ac:dyDescent="0.25">
      <c r="A603" s="76" t="s">
        <v>317</v>
      </c>
      <c r="B603" s="76" t="s">
        <v>247</v>
      </c>
      <c r="C603" s="77">
        <v>40725</v>
      </c>
      <c r="D603" s="78">
        <v>41090</v>
      </c>
      <c r="E603" s="79">
        <v>0</v>
      </c>
      <c r="F603" s="80">
        <v>41352.800000000003</v>
      </c>
      <c r="G603" s="81"/>
      <c r="H603" s="80">
        <v>4648.3100000000004</v>
      </c>
      <c r="I603" s="113">
        <f>H603/F603</f>
        <v>0.11240617322164401</v>
      </c>
    </row>
    <row r="604" spans="1:9" x14ac:dyDescent="0.25">
      <c r="A604" s="76" t="s">
        <v>317</v>
      </c>
      <c r="B604" s="76" t="s">
        <v>247</v>
      </c>
      <c r="C604" s="77">
        <v>40725</v>
      </c>
      <c r="D604" s="78">
        <v>41090</v>
      </c>
      <c r="E604" s="79">
        <v>0</v>
      </c>
      <c r="F604" s="80"/>
      <c r="G604" s="81">
        <v>1124</v>
      </c>
      <c r="H604" s="80">
        <v>126.34</v>
      </c>
      <c r="I604" s="79">
        <f>H604/G604</f>
        <v>0.11240213523131673</v>
      </c>
    </row>
    <row r="605" spans="1:9" x14ac:dyDescent="0.25">
      <c r="A605" s="76" t="s">
        <v>317</v>
      </c>
      <c r="B605" s="76" t="s">
        <v>94</v>
      </c>
      <c r="C605" s="77">
        <v>40955</v>
      </c>
      <c r="D605" s="78">
        <v>41243</v>
      </c>
      <c r="E605" s="79">
        <v>8.9999999999999998E-4</v>
      </c>
      <c r="F605" s="80">
        <v>109718.19</v>
      </c>
      <c r="G605" s="81"/>
      <c r="H605" s="80">
        <v>100.69</v>
      </c>
      <c r="I605" s="79">
        <f>H605/F605</f>
        <v>9.1771473809402061E-4</v>
      </c>
    </row>
    <row r="606" spans="1:9" x14ac:dyDescent="0.25">
      <c r="A606" s="76" t="s">
        <v>317</v>
      </c>
      <c r="B606" s="76" t="s">
        <v>94</v>
      </c>
      <c r="C606" s="77">
        <v>40955</v>
      </c>
      <c r="D606" s="78">
        <v>41243</v>
      </c>
      <c r="E606" s="79">
        <v>8.9999999999999998E-4</v>
      </c>
      <c r="F606" s="80"/>
      <c r="G606" s="81">
        <v>4424</v>
      </c>
      <c r="H606" s="80">
        <v>4.0599999999999996</v>
      </c>
      <c r="I606" s="79">
        <f>H606/G606</f>
        <v>9.1772151898734163E-4</v>
      </c>
    </row>
    <row r="607" spans="1:9" x14ac:dyDescent="0.25">
      <c r="A607" s="76" t="s">
        <v>317</v>
      </c>
      <c r="B607" s="76" t="s">
        <v>160</v>
      </c>
      <c r="C607" s="77">
        <v>40774</v>
      </c>
      <c r="D607" s="78">
        <v>41090</v>
      </c>
      <c r="E607" s="79">
        <v>0</v>
      </c>
      <c r="F607" s="80">
        <v>0</v>
      </c>
      <c r="G607" s="81"/>
      <c r="H607" s="80">
        <v>0</v>
      </c>
      <c r="I607" s="113">
        <v>0</v>
      </c>
    </row>
    <row r="608" spans="1:9" x14ac:dyDescent="0.25">
      <c r="A608" s="76" t="s">
        <v>317</v>
      </c>
      <c r="B608" s="76" t="s">
        <v>160</v>
      </c>
      <c r="C608" s="77">
        <v>40774</v>
      </c>
      <c r="D608" s="78">
        <v>41090</v>
      </c>
      <c r="E608" s="79">
        <v>0</v>
      </c>
      <c r="F608" s="80"/>
      <c r="G608" s="81">
        <v>0</v>
      </c>
      <c r="H608" s="80">
        <v>0</v>
      </c>
      <c r="I608" s="79">
        <v>0</v>
      </c>
    </row>
    <row r="609" spans="1:9" x14ac:dyDescent="0.25">
      <c r="A609" s="76" t="s">
        <v>317</v>
      </c>
      <c r="B609" s="76" t="s">
        <v>167</v>
      </c>
      <c r="C609" s="77">
        <v>40909</v>
      </c>
      <c r="D609" s="78">
        <v>41274</v>
      </c>
      <c r="E609" s="79">
        <v>8.9999999999999998E-4</v>
      </c>
      <c r="F609" s="80">
        <v>2192928.2599999998</v>
      </c>
      <c r="G609" s="81"/>
      <c r="H609" s="80">
        <v>958842.44</v>
      </c>
      <c r="I609" s="113">
        <f>H609/F609</f>
        <v>0.43724295841761829</v>
      </c>
    </row>
    <row r="610" spans="1:9" x14ac:dyDescent="0.25">
      <c r="A610" s="76" t="s">
        <v>317</v>
      </c>
      <c r="B610" s="76" t="s">
        <v>167</v>
      </c>
      <c r="C610" s="77">
        <v>40909</v>
      </c>
      <c r="D610" s="78">
        <v>41274</v>
      </c>
      <c r="E610" s="79">
        <v>8.9999999999999998E-4</v>
      </c>
      <c r="F610" s="80"/>
      <c r="G610" s="81">
        <v>102211.3</v>
      </c>
      <c r="H610" s="80">
        <v>44691.17</v>
      </c>
      <c r="I610" s="79">
        <f>H610/G610</f>
        <v>0.43724294671919833</v>
      </c>
    </row>
    <row r="611" spans="1:9" x14ac:dyDescent="0.25">
      <c r="A611" s="76" t="s">
        <v>317</v>
      </c>
      <c r="B611" s="76" t="s">
        <v>362</v>
      </c>
      <c r="C611" s="77">
        <v>41173</v>
      </c>
      <c r="D611" s="78">
        <v>41455</v>
      </c>
      <c r="E611" s="79">
        <v>8.9999999999999998E-4</v>
      </c>
      <c r="F611" s="80"/>
      <c r="G611" s="81">
        <v>10404</v>
      </c>
      <c r="H611" s="80">
        <v>10.4</v>
      </c>
      <c r="I611" s="113">
        <f>H611/G611</f>
        <v>9.9961553248750475E-4</v>
      </c>
    </row>
    <row r="612" spans="1:9" x14ac:dyDescent="0.25">
      <c r="A612" s="76" t="s">
        <v>317</v>
      </c>
      <c r="B612" s="76" t="s">
        <v>362</v>
      </c>
      <c r="C612" s="77">
        <v>41173</v>
      </c>
      <c r="D612" s="78">
        <v>41455</v>
      </c>
      <c r="E612" s="79">
        <v>8.9999999999999998E-4</v>
      </c>
      <c r="F612" s="80">
        <v>0</v>
      </c>
      <c r="G612" s="81"/>
      <c r="H612" s="80">
        <v>-29929.11</v>
      </c>
      <c r="I612" s="79">
        <v>0</v>
      </c>
    </row>
    <row r="613" spans="1:9" x14ac:dyDescent="0.25">
      <c r="A613" s="76" t="s">
        <v>317</v>
      </c>
      <c r="B613" s="76" t="s">
        <v>333</v>
      </c>
      <c r="C613" s="77">
        <v>40821</v>
      </c>
      <c r="D613" s="78">
        <v>41090</v>
      </c>
      <c r="E613" s="79">
        <v>0</v>
      </c>
      <c r="F613" s="80">
        <v>959</v>
      </c>
      <c r="G613" s="81"/>
      <c r="H613" s="80">
        <v>0</v>
      </c>
      <c r="I613" s="79">
        <f>H613/F613</f>
        <v>0</v>
      </c>
    </row>
    <row r="614" spans="1:9" x14ac:dyDescent="0.25">
      <c r="A614" s="76" t="s">
        <v>317</v>
      </c>
      <c r="B614" s="76" t="s">
        <v>333</v>
      </c>
      <c r="C614" s="77">
        <v>40821</v>
      </c>
      <c r="D614" s="78">
        <v>41090</v>
      </c>
      <c r="E614" s="79">
        <v>0</v>
      </c>
      <c r="F614" s="80"/>
      <c r="G614" s="81">
        <v>0</v>
      </c>
      <c r="H614" s="80">
        <v>0</v>
      </c>
      <c r="I614" s="79">
        <v>0</v>
      </c>
    </row>
    <row r="615" spans="1:9" x14ac:dyDescent="0.25">
      <c r="A615" s="76" t="s">
        <v>317</v>
      </c>
      <c r="B615" s="76" t="s">
        <v>333</v>
      </c>
      <c r="C615" s="77">
        <v>40821</v>
      </c>
      <c r="D615" s="78">
        <v>41090</v>
      </c>
      <c r="E615" s="79">
        <v>0</v>
      </c>
      <c r="F615" s="80">
        <v>959</v>
      </c>
      <c r="G615" s="81"/>
      <c r="H615" s="80">
        <v>0</v>
      </c>
      <c r="I615" s="79">
        <f>H615/F615</f>
        <v>0</v>
      </c>
    </row>
    <row r="616" spans="1:9" x14ac:dyDescent="0.25">
      <c r="A616" s="76" t="s">
        <v>317</v>
      </c>
      <c r="B616" s="76" t="s">
        <v>333</v>
      </c>
      <c r="C616" s="77">
        <v>40821</v>
      </c>
      <c r="D616" s="78">
        <v>41090</v>
      </c>
      <c r="E616" s="79">
        <v>0</v>
      </c>
      <c r="F616" s="80"/>
      <c r="G616" s="81">
        <v>0</v>
      </c>
      <c r="H616" s="80">
        <v>0</v>
      </c>
      <c r="I616" s="79">
        <v>0</v>
      </c>
    </row>
    <row r="617" spans="1:9" x14ac:dyDescent="0.25">
      <c r="A617" s="76" t="s">
        <v>317</v>
      </c>
      <c r="B617" s="76" t="s">
        <v>18</v>
      </c>
      <c r="C617" s="77">
        <v>40969</v>
      </c>
      <c r="D617" s="78">
        <v>41333</v>
      </c>
      <c r="E617" s="79">
        <v>1.7999999999999999E-2</v>
      </c>
      <c r="F617" s="80">
        <v>50550916.009999998</v>
      </c>
      <c r="G617" s="81"/>
      <c r="H617" s="80">
        <v>50382212.640000001</v>
      </c>
      <c r="I617" s="79">
        <f>H617/F617</f>
        <v>0.99666270399597456</v>
      </c>
    </row>
    <row r="618" spans="1:9" x14ac:dyDescent="0.25">
      <c r="A618" s="76" t="s">
        <v>317</v>
      </c>
      <c r="B618" s="76" t="s">
        <v>18</v>
      </c>
      <c r="C618" s="77">
        <v>40603</v>
      </c>
      <c r="D618" s="78">
        <v>40968</v>
      </c>
      <c r="E618" s="79">
        <v>1.7999999999999999E-2</v>
      </c>
      <c r="F618" s="80">
        <v>46824802.25</v>
      </c>
      <c r="G618" s="81"/>
      <c r="H618" s="80">
        <v>46666488.649999999</v>
      </c>
      <c r="I618" s="79">
        <f>H618/F618</f>
        <v>0.996619022560848</v>
      </c>
    </row>
    <row r="619" spans="1:9" x14ac:dyDescent="0.25">
      <c r="A619" s="76" t="s">
        <v>317</v>
      </c>
      <c r="B619" s="76" t="s">
        <v>18</v>
      </c>
      <c r="C619" s="77">
        <v>40725</v>
      </c>
      <c r="D619" s="78">
        <v>41090</v>
      </c>
      <c r="E619" s="79">
        <v>0.4</v>
      </c>
      <c r="F619" s="80">
        <v>10447779.640000001</v>
      </c>
      <c r="G619" s="81"/>
      <c r="H619" s="80">
        <v>5974516.6399999997</v>
      </c>
      <c r="I619" s="79">
        <f>H619/F619</f>
        <v>0.57184558306782962</v>
      </c>
    </row>
    <row r="620" spans="1:9" x14ac:dyDescent="0.25">
      <c r="A620" s="76" t="s">
        <v>317</v>
      </c>
      <c r="B620" s="76" t="s">
        <v>18</v>
      </c>
      <c r="C620" s="77">
        <v>41091</v>
      </c>
      <c r="D620" s="78">
        <v>41455</v>
      </c>
      <c r="E620" s="79">
        <v>0.13500000000000001</v>
      </c>
      <c r="F620" s="80">
        <v>6195738.8899999997</v>
      </c>
      <c r="G620" s="81"/>
      <c r="H620" s="80">
        <v>3108371.89</v>
      </c>
      <c r="I620" s="79">
        <f>H620/F620</f>
        <v>0.50169510774848036</v>
      </c>
    </row>
    <row r="621" spans="1:9" x14ac:dyDescent="0.25">
      <c r="A621" s="76" t="s">
        <v>317</v>
      </c>
      <c r="B621" s="76" t="s">
        <v>18</v>
      </c>
      <c r="C621" s="77">
        <v>40969</v>
      </c>
      <c r="D621" s="78">
        <v>41333</v>
      </c>
      <c r="E621" s="79">
        <v>1.7999999999999999E-2</v>
      </c>
      <c r="F621" s="80"/>
      <c r="G621" s="81">
        <v>2034503.09</v>
      </c>
      <c r="H621" s="80">
        <v>2027713.35</v>
      </c>
      <c r="I621" s="79">
        <f>H621/G621</f>
        <v>0.99666270352039621</v>
      </c>
    </row>
    <row r="622" spans="1:9" x14ac:dyDescent="0.25">
      <c r="A622" s="76" t="s">
        <v>317</v>
      </c>
      <c r="B622" s="76" t="s">
        <v>18</v>
      </c>
      <c r="C622" s="77">
        <v>40603</v>
      </c>
      <c r="D622" s="78">
        <v>40968</v>
      </c>
      <c r="E622" s="79">
        <v>1.7999999999999999E-2</v>
      </c>
      <c r="F622" s="80"/>
      <c r="G622" s="81">
        <v>1911377.53</v>
      </c>
      <c r="H622" s="80">
        <v>1902000.91</v>
      </c>
      <c r="I622" s="79">
        <f>H622/G622</f>
        <v>0.99509431294821171</v>
      </c>
    </row>
    <row r="623" spans="1:9" x14ac:dyDescent="0.25">
      <c r="A623" s="76" t="s">
        <v>317</v>
      </c>
      <c r="B623" s="76" t="s">
        <v>18</v>
      </c>
      <c r="C623" s="77">
        <v>40725</v>
      </c>
      <c r="D623" s="78">
        <v>41090</v>
      </c>
      <c r="E623" s="79">
        <v>0.4</v>
      </c>
      <c r="F623" s="80"/>
      <c r="G623" s="81">
        <v>655983.94999999995</v>
      </c>
      <c r="H623" s="80">
        <v>375121.34</v>
      </c>
      <c r="I623" s="79">
        <f>H623/G623</f>
        <v>0.57184530200777028</v>
      </c>
    </row>
    <row r="624" spans="1:9" x14ac:dyDescent="0.25">
      <c r="A624" s="76" t="s">
        <v>317</v>
      </c>
      <c r="B624" s="76" t="s">
        <v>18</v>
      </c>
      <c r="C624" s="77">
        <v>41091</v>
      </c>
      <c r="D624" s="78">
        <v>41455</v>
      </c>
      <c r="E624" s="79">
        <v>0.13500000000000001</v>
      </c>
      <c r="F624" s="80"/>
      <c r="G624" s="81">
        <v>372799.06</v>
      </c>
      <c r="H624" s="80">
        <v>187031.46</v>
      </c>
      <c r="I624" s="79">
        <f>H624/G624</f>
        <v>0.5016950954758308</v>
      </c>
    </row>
    <row r="625" spans="1:9" x14ac:dyDescent="0.25">
      <c r="A625" s="76" t="s">
        <v>317</v>
      </c>
      <c r="B625" s="76" t="s">
        <v>340</v>
      </c>
      <c r="C625" s="77">
        <v>40702</v>
      </c>
      <c r="D625" s="78">
        <v>40756</v>
      </c>
      <c r="E625" s="79">
        <v>0</v>
      </c>
      <c r="F625" s="80"/>
      <c r="G625" s="81">
        <v>0</v>
      </c>
      <c r="H625" s="80">
        <v>-866.05</v>
      </c>
      <c r="I625" s="79">
        <v>0</v>
      </c>
    </row>
    <row r="626" spans="1:9" x14ac:dyDescent="0.25">
      <c r="A626" s="76" t="s">
        <v>317</v>
      </c>
      <c r="B626" s="76" t="s">
        <v>340</v>
      </c>
      <c r="C626" s="77">
        <v>40702</v>
      </c>
      <c r="D626" s="78">
        <v>40756</v>
      </c>
      <c r="E626" s="79">
        <v>0</v>
      </c>
      <c r="F626" s="80">
        <v>0</v>
      </c>
      <c r="G626" s="81"/>
      <c r="H626" s="80">
        <v>-4997.99</v>
      </c>
      <c r="I626" s="79">
        <v>0</v>
      </c>
    </row>
    <row r="627" spans="1:9" x14ac:dyDescent="0.25">
      <c r="A627" s="76" t="s">
        <v>317</v>
      </c>
      <c r="B627" s="76" t="s">
        <v>19</v>
      </c>
      <c r="C627" s="77">
        <v>40621</v>
      </c>
      <c r="D627" s="78">
        <v>40968</v>
      </c>
      <c r="E627" s="79">
        <v>1.7999999999999999E-2</v>
      </c>
      <c r="F627" s="80">
        <v>7051288.9100000001</v>
      </c>
      <c r="G627" s="81"/>
      <c r="H627" s="80">
        <v>3135863.15</v>
      </c>
      <c r="I627" s="79">
        <f>H627/F627</f>
        <v>0.44472197778661149</v>
      </c>
    </row>
    <row r="628" spans="1:9" x14ac:dyDescent="0.25">
      <c r="A628" s="76" t="s">
        <v>317</v>
      </c>
      <c r="B628" s="76" t="s">
        <v>19</v>
      </c>
      <c r="C628" s="77">
        <v>40621</v>
      </c>
      <c r="D628" s="78">
        <v>40968</v>
      </c>
      <c r="E628" s="79">
        <v>1.7999999999999999E-2</v>
      </c>
      <c r="F628" s="80"/>
      <c r="G628" s="81">
        <v>364995.2</v>
      </c>
      <c r="H628" s="80">
        <v>162321.39000000001</v>
      </c>
      <c r="I628" s="79">
        <f>H628/G628</f>
        <v>0.44472198538501329</v>
      </c>
    </row>
    <row r="629" spans="1:9" x14ac:dyDescent="0.25">
      <c r="A629" s="76" t="s">
        <v>317</v>
      </c>
      <c r="B629" s="76" t="s">
        <v>356</v>
      </c>
      <c r="C629" s="77">
        <v>40969</v>
      </c>
      <c r="D629" s="78">
        <v>41333</v>
      </c>
      <c r="E629" s="79">
        <v>1.7999999999999999E-2</v>
      </c>
      <c r="F629" s="80">
        <v>9118918.5899999999</v>
      </c>
      <c r="G629" s="81"/>
      <c r="H629" s="80">
        <v>4557632.7699999996</v>
      </c>
      <c r="I629" s="79">
        <f>H629/F629</f>
        <v>0.4997996993851877</v>
      </c>
    </row>
    <row r="630" spans="1:9" x14ac:dyDescent="0.25">
      <c r="A630" s="76" t="s">
        <v>317</v>
      </c>
      <c r="B630" s="76" t="s">
        <v>356</v>
      </c>
      <c r="C630" s="77">
        <v>40969</v>
      </c>
      <c r="D630" s="78">
        <v>41333</v>
      </c>
      <c r="E630" s="79">
        <v>1.7999999999999999E-2</v>
      </c>
      <c r="F630" s="80"/>
      <c r="G630" s="81">
        <v>460153.19</v>
      </c>
      <c r="H630" s="80">
        <v>229984.43</v>
      </c>
      <c r="I630" s="79">
        <f>H630/G630</f>
        <v>0.49979970800593598</v>
      </c>
    </row>
    <row r="631" spans="1:9" x14ac:dyDescent="0.25">
      <c r="A631" s="76" t="s">
        <v>317</v>
      </c>
      <c r="B631" s="76" t="s">
        <v>334</v>
      </c>
      <c r="C631" s="77">
        <v>40827</v>
      </c>
      <c r="D631" s="78">
        <v>41152</v>
      </c>
      <c r="E631" s="79">
        <v>0</v>
      </c>
      <c r="F631" s="80">
        <v>176295.8</v>
      </c>
      <c r="G631" s="81"/>
      <c r="H631" s="80">
        <v>36589.800000000003</v>
      </c>
      <c r="I631" s="79">
        <f>H631/F631</f>
        <v>0.20754776914708123</v>
      </c>
    </row>
    <row r="632" spans="1:9" x14ac:dyDescent="0.25">
      <c r="A632" s="76" t="s">
        <v>317</v>
      </c>
      <c r="B632" s="76" t="s">
        <v>334</v>
      </c>
      <c r="C632" s="77">
        <v>41153</v>
      </c>
      <c r="D632" s="78">
        <v>41517</v>
      </c>
      <c r="E632" s="79">
        <v>8.9999999999999998E-4</v>
      </c>
      <c r="F632" s="80">
        <v>30784</v>
      </c>
      <c r="G632" s="81"/>
      <c r="H632" s="80">
        <v>7132</v>
      </c>
      <c r="I632" s="79">
        <f>H632/F632</f>
        <v>0.23167879417879417</v>
      </c>
    </row>
    <row r="633" spans="1:9" x14ac:dyDescent="0.25">
      <c r="A633" s="76" t="s">
        <v>317</v>
      </c>
      <c r="B633" s="76" t="s">
        <v>334</v>
      </c>
      <c r="C633" s="77">
        <v>40827</v>
      </c>
      <c r="D633" s="78">
        <v>41152</v>
      </c>
      <c r="E633" s="79">
        <v>0</v>
      </c>
      <c r="F633" s="80"/>
      <c r="G633" s="81">
        <v>6034</v>
      </c>
      <c r="H633" s="80">
        <v>1252.3399999999999</v>
      </c>
      <c r="I633" s="79">
        <f>H633/G633</f>
        <v>0.20754723235001657</v>
      </c>
    </row>
    <row r="634" spans="1:9" x14ac:dyDescent="0.25">
      <c r="A634" s="76" t="s">
        <v>317</v>
      </c>
      <c r="B634" s="76" t="s">
        <v>334</v>
      </c>
      <c r="C634" s="77">
        <v>41153</v>
      </c>
      <c r="D634" s="78">
        <v>41517</v>
      </c>
      <c r="E634" s="79">
        <v>8.9999999999999998E-4</v>
      </c>
      <c r="F634" s="80"/>
      <c r="G634" s="81">
        <v>484</v>
      </c>
      <c r="H634" s="80">
        <v>112.13</v>
      </c>
      <c r="I634" s="79">
        <f>H634/G634</f>
        <v>0.23167355371900825</v>
      </c>
    </row>
    <row r="635" spans="1:9" x14ac:dyDescent="0.25">
      <c r="A635" s="76" t="s">
        <v>317</v>
      </c>
      <c r="B635" s="76" t="s">
        <v>331</v>
      </c>
      <c r="C635" s="77">
        <v>41179</v>
      </c>
      <c r="D635" s="78">
        <v>41517</v>
      </c>
      <c r="E635" s="79">
        <v>1.7999999999999999E-2</v>
      </c>
      <c r="F635" s="80">
        <v>1361057</v>
      </c>
      <c r="G635" s="81"/>
      <c r="H635" s="80">
        <v>653164.43999999994</v>
      </c>
      <c r="I635" s="79">
        <f>H635/F635</f>
        <v>0.47989499337647135</v>
      </c>
    </row>
    <row r="636" spans="1:9" x14ac:dyDescent="0.25">
      <c r="A636" s="76" t="s">
        <v>315</v>
      </c>
      <c r="B636" s="76" t="s">
        <v>331</v>
      </c>
      <c r="C636" s="77">
        <v>40794</v>
      </c>
      <c r="D636" s="78">
        <v>41152</v>
      </c>
      <c r="E636" s="79">
        <v>1.7999999999999999E-2</v>
      </c>
      <c r="F636" s="80">
        <v>1342198</v>
      </c>
      <c r="G636" s="81"/>
      <c r="H636" s="80">
        <v>607268.4</v>
      </c>
      <c r="I636" s="79">
        <f>H636/F636</f>
        <v>0.45244323117751628</v>
      </c>
    </row>
    <row r="637" spans="1:9" x14ac:dyDescent="0.25">
      <c r="A637" s="76" t="s">
        <v>317</v>
      </c>
      <c r="B637" s="76" t="s">
        <v>331</v>
      </c>
      <c r="C637" s="77">
        <v>41179</v>
      </c>
      <c r="D637" s="78">
        <v>41517</v>
      </c>
      <c r="E637" s="79">
        <v>1.7999999999999999E-2</v>
      </c>
      <c r="F637" s="80"/>
      <c r="G637" s="81">
        <v>73043</v>
      </c>
      <c r="H637" s="80">
        <v>35052.97</v>
      </c>
      <c r="I637" s="79">
        <f>H637/G637</f>
        <v>0.47989499336007557</v>
      </c>
    </row>
    <row r="638" spans="1:9" x14ac:dyDescent="0.25">
      <c r="A638" s="76" t="s">
        <v>315</v>
      </c>
      <c r="B638" s="76" t="s">
        <v>331</v>
      </c>
      <c r="C638" s="77">
        <v>40794</v>
      </c>
      <c r="D638" s="78">
        <v>41152</v>
      </c>
      <c r="E638" s="79">
        <v>1.7999999999999999E-2</v>
      </c>
      <c r="F638" s="80"/>
      <c r="G638" s="81">
        <v>74995</v>
      </c>
      <c r="H638" s="80">
        <v>33930.980000000003</v>
      </c>
      <c r="I638" s="79">
        <f>H638/G638</f>
        <v>0.45244322954863664</v>
      </c>
    </row>
    <row r="639" spans="1:9" x14ac:dyDescent="0.25">
      <c r="A639" s="76" t="s">
        <v>317</v>
      </c>
      <c r="B639" s="76" t="s">
        <v>355</v>
      </c>
      <c r="C639" s="77">
        <v>41073</v>
      </c>
      <c r="D639" s="78">
        <v>41348</v>
      </c>
      <c r="E639" s="79">
        <v>0.315</v>
      </c>
      <c r="F639" s="80">
        <v>10632044.24</v>
      </c>
      <c r="G639" s="81"/>
      <c r="H639" s="80">
        <v>3979085.47</v>
      </c>
      <c r="I639" s="79">
        <f>H639/F639</f>
        <v>0.37425403621157244</v>
      </c>
    </row>
    <row r="640" spans="1:9" x14ac:dyDescent="0.25">
      <c r="A640" s="76" t="s">
        <v>317</v>
      </c>
      <c r="B640" s="76" t="s">
        <v>355</v>
      </c>
      <c r="C640" s="77">
        <v>41073</v>
      </c>
      <c r="D640" s="78">
        <v>41348</v>
      </c>
      <c r="E640" s="79">
        <v>0.315</v>
      </c>
      <c r="F640" s="80"/>
      <c r="G640" s="81">
        <v>489505.95</v>
      </c>
      <c r="H640" s="80">
        <v>183199.58</v>
      </c>
      <c r="I640" s="79">
        <f>H640/G640</f>
        <v>0.37425404124301243</v>
      </c>
    </row>
    <row r="641" spans="1:9" x14ac:dyDescent="0.25">
      <c r="A641" s="76" t="s">
        <v>317</v>
      </c>
      <c r="B641" s="76" t="s">
        <v>117</v>
      </c>
      <c r="C641" s="77">
        <v>40681</v>
      </c>
      <c r="D641" s="78">
        <v>41029</v>
      </c>
      <c r="E641" s="79">
        <v>0</v>
      </c>
      <c r="F641" s="80">
        <v>1343923.69</v>
      </c>
      <c r="G641" s="81"/>
      <c r="H641" s="80">
        <v>672771.78</v>
      </c>
      <c r="I641" s="79">
        <f>H641/F641</f>
        <v>0.50060266442657919</v>
      </c>
    </row>
    <row r="642" spans="1:9" x14ac:dyDescent="0.25">
      <c r="A642" s="76" t="s">
        <v>317</v>
      </c>
      <c r="B642" s="76" t="s">
        <v>117</v>
      </c>
      <c r="C642" s="77">
        <v>40681</v>
      </c>
      <c r="D642" s="78">
        <v>41029</v>
      </c>
      <c r="E642" s="79">
        <v>0</v>
      </c>
      <c r="F642" s="80"/>
      <c r="G642" s="81">
        <v>111369.59</v>
      </c>
      <c r="H642" s="80">
        <v>55751.91</v>
      </c>
      <c r="I642" s="79">
        <f>H642/G642</f>
        <v>0.50060263308861963</v>
      </c>
    </row>
    <row r="643" spans="1:9" x14ac:dyDescent="0.25">
      <c r="A643" s="76" t="s">
        <v>317</v>
      </c>
      <c r="B643" s="76" t="s">
        <v>322</v>
      </c>
      <c r="C643" s="77">
        <v>40663</v>
      </c>
      <c r="D643" s="78">
        <v>41021</v>
      </c>
      <c r="E643" s="79">
        <v>0</v>
      </c>
      <c r="F643" s="80">
        <v>219085</v>
      </c>
      <c r="G643" s="81"/>
      <c r="H643" s="80">
        <v>1419.24</v>
      </c>
      <c r="I643" s="79">
        <f>H643/F643</f>
        <v>6.4780336399114496E-3</v>
      </c>
    </row>
    <row r="644" spans="1:9" x14ac:dyDescent="0.25">
      <c r="A644" s="76" t="s">
        <v>317</v>
      </c>
      <c r="B644" s="76" t="s">
        <v>322</v>
      </c>
      <c r="C644" s="77">
        <v>41039</v>
      </c>
      <c r="D644" s="78">
        <v>41386</v>
      </c>
      <c r="E644" s="79">
        <v>8.9999999999999998E-4</v>
      </c>
      <c r="F644" s="80">
        <v>108358.02</v>
      </c>
      <c r="G644" s="81"/>
      <c r="H644" s="80">
        <v>108.25</v>
      </c>
      <c r="I644" s="79">
        <f>H644/F644</f>
        <v>9.9900311947375927E-4</v>
      </c>
    </row>
    <row r="645" spans="1:9" x14ac:dyDescent="0.25">
      <c r="A645" s="76" t="s">
        <v>317</v>
      </c>
      <c r="B645" s="76" t="s">
        <v>322</v>
      </c>
      <c r="C645" s="77">
        <v>40663</v>
      </c>
      <c r="D645" s="78">
        <v>41021</v>
      </c>
      <c r="E645" s="79">
        <v>0</v>
      </c>
      <c r="F645" s="80"/>
      <c r="G645" s="81">
        <v>10741.05</v>
      </c>
      <c r="H645" s="80">
        <v>69.58</v>
      </c>
      <c r="I645" s="79">
        <f>H645/G645</f>
        <v>6.4779514107093815E-3</v>
      </c>
    </row>
    <row r="646" spans="1:9" x14ac:dyDescent="0.25">
      <c r="A646" s="76" t="s">
        <v>317</v>
      </c>
      <c r="B646" s="76" t="s">
        <v>322</v>
      </c>
      <c r="C646" s="77">
        <v>41039</v>
      </c>
      <c r="D646" s="78">
        <v>41386</v>
      </c>
      <c r="E646" s="79">
        <v>8.9999999999999998E-4</v>
      </c>
      <c r="F646" s="80"/>
      <c r="G646" s="81">
        <v>4977.05</v>
      </c>
      <c r="H646" s="80">
        <v>4.97</v>
      </c>
      <c r="I646" s="79">
        <f>H646/G646</f>
        <v>9.9858349825699961E-4</v>
      </c>
    </row>
    <row r="647" spans="1:9" x14ac:dyDescent="0.25">
      <c r="A647" s="76" t="s">
        <v>317</v>
      </c>
      <c r="B647" s="76" t="s">
        <v>351</v>
      </c>
      <c r="C647" s="77">
        <v>40940</v>
      </c>
      <c r="D647" s="78">
        <v>41305</v>
      </c>
      <c r="E647" s="79">
        <v>8.9999999999999998E-4</v>
      </c>
      <c r="F647" s="80">
        <v>715170.47</v>
      </c>
      <c r="G647" s="81"/>
      <c r="H647" s="80">
        <v>376930.92</v>
      </c>
      <c r="I647" s="79">
        <f>H647/F647</f>
        <v>0.52705045274030959</v>
      </c>
    </row>
    <row r="648" spans="1:9" x14ac:dyDescent="0.25">
      <c r="A648" s="76" t="s">
        <v>317</v>
      </c>
      <c r="B648" s="76" t="s">
        <v>351</v>
      </c>
      <c r="C648" s="77">
        <v>40940</v>
      </c>
      <c r="D648" s="78">
        <v>41305</v>
      </c>
      <c r="E648" s="79">
        <v>8.9999999999999998E-4</v>
      </c>
      <c r="F648" s="80"/>
      <c r="G648" s="81">
        <v>21413.45</v>
      </c>
      <c r="H648" s="80">
        <v>11285.97</v>
      </c>
      <c r="I648" s="79">
        <f>H648/G648</f>
        <v>0.52705052198501401</v>
      </c>
    </row>
    <row r="649" spans="1:9" x14ac:dyDescent="0.25">
      <c r="A649" s="76" t="s">
        <v>315</v>
      </c>
      <c r="B649" s="76" t="s">
        <v>343</v>
      </c>
      <c r="C649" s="77">
        <v>40844</v>
      </c>
      <c r="D649" s="78">
        <v>41209</v>
      </c>
      <c r="E649" s="79">
        <v>0</v>
      </c>
      <c r="F649" s="80">
        <v>86432.79</v>
      </c>
      <c r="G649" s="81"/>
      <c r="H649" s="80">
        <v>24561.26</v>
      </c>
      <c r="I649" s="79">
        <f>H649/F649</f>
        <v>0.28416599764973455</v>
      </c>
    </row>
    <row r="650" spans="1:9" x14ac:dyDescent="0.25">
      <c r="A650" s="76" t="s">
        <v>315</v>
      </c>
      <c r="B650" s="76" t="s">
        <v>343</v>
      </c>
      <c r="C650" s="77">
        <v>40844</v>
      </c>
      <c r="D650" s="78">
        <v>41209</v>
      </c>
      <c r="E650" s="79">
        <v>0</v>
      </c>
      <c r="F650" s="80"/>
      <c r="G650" s="81">
        <v>3365</v>
      </c>
      <c r="H650" s="80">
        <v>956.22</v>
      </c>
      <c r="I650" s="79">
        <f>H650/G650</f>
        <v>0.2841664190193165</v>
      </c>
    </row>
    <row r="651" spans="1:9" x14ac:dyDescent="0.25">
      <c r="A651" s="76" t="s">
        <v>317</v>
      </c>
      <c r="B651" s="76" t="s">
        <v>321</v>
      </c>
      <c r="C651" s="77">
        <v>40648</v>
      </c>
      <c r="D651" s="78">
        <v>41013</v>
      </c>
      <c r="E651" s="79">
        <v>0</v>
      </c>
      <c r="F651" s="80">
        <v>0</v>
      </c>
      <c r="G651" s="81"/>
      <c r="H651" s="80">
        <v>0</v>
      </c>
      <c r="I651" s="79">
        <v>0</v>
      </c>
    </row>
    <row r="652" spans="1:9" x14ac:dyDescent="0.25">
      <c r="A652" s="76" t="s">
        <v>317</v>
      </c>
      <c r="B652" s="76" t="s">
        <v>321</v>
      </c>
      <c r="C652" s="77">
        <v>40648</v>
      </c>
      <c r="D652" s="78">
        <v>41013</v>
      </c>
      <c r="E652" s="79">
        <v>0</v>
      </c>
      <c r="F652" s="80"/>
      <c r="G652" s="81">
        <v>0</v>
      </c>
      <c r="H652" s="80">
        <v>0</v>
      </c>
      <c r="I652" s="79">
        <v>0</v>
      </c>
    </row>
    <row r="653" spans="1:9" x14ac:dyDescent="0.25">
      <c r="A653" s="76" t="s">
        <v>317</v>
      </c>
      <c r="B653" s="76" t="s">
        <v>321</v>
      </c>
      <c r="C653" s="77">
        <v>40648</v>
      </c>
      <c r="D653" s="78">
        <v>41013</v>
      </c>
      <c r="E653" s="79">
        <v>0</v>
      </c>
      <c r="F653" s="80">
        <v>0</v>
      </c>
      <c r="G653" s="81"/>
      <c r="H653" s="80">
        <v>0</v>
      </c>
      <c r="I653" s="79">
        <v>0</v>
      </c>
    </row>
    <row r="654" spans="1:9" x14ac:dyDescent="0.25">
      <c r="A654" s="76" t="s">
        <v>317</v>
      </c>
      <c r="B654" s="76" t="s">
        <v>321</v>
      </c>
      <c r="C654" s="77">
        <v>40648</v>
      </c>
      <c r="D654" s="78">
        <v>41013</v>
      </c>
      <c r="E654" s="79">
        <v>0</v>
      </c>
      <c r="F654" s="80"/>
      <c r="G654" s="81">
        <v>0</v>
      </c>
      <c r="H654" s="80">
        <v>0</v>
      </c>
      <c r="I654" s="79">
        <v>0</v>
      </c>
    </row>
    <row r="655" spans="1:9" ht="28.5" x14ac:dyDescent="0.25">
      <c r="A655" s="76" t="s">
        <v>317</v>
      </c>
      <c r="B655" s="76" t="s">
        <v>357</v>
      </c>
      <c r="C655" s="77">
        <v>41201</v>
      </c>
      <c r="D655" s="78">
        <v>41378</v>
      </c>
      <c r="E655" s="79">
        <v>8.9999999999999998E-4</v>
      </c>
      <c r="F655" s="80">
        <v>4871.46</v>
      </c>
      <c r="G655" s="81"/>
      <c r="H655" s="80">
        <v>5.8</v>
      </c>
      <c r="I655" s="79">
        <f>H655/F655</f>
        <v>1.1906081544341943E-3</v>
      </c>
    </row>
    <row r="656" spans="1:9" ht="28.5" x14ac:dyDescent="0.25">
      <c r="A656" s="76" t="s">
        <v>317</v>
      </c>
      <c r="B656" s="76" t="s">
        <v>357</v>
      </c>
      <c r="C656" s="77">
        <v>41201</v>
      </c>
      <c r="D656" s="78">
        <v>41378</v>
      </c>
      <c r="E656" s="79">
        <v>8.9999999999999998E-4</v>
      </c>
      <c r="F656" s="80"/>
      <c r="G656" s="81">
        <v>160</v>
      </c>
      <c r="H656" s="80">
        <v>0.19</v>
      </c>
      <c r="I656" s="79">
        <f>H656/G656</f>
        <v>1.1875E-3</v>
      </c>
    </row>
    <row r="657" spans="1:9" x14ac:dyDescent="0.25">
      <c r="A657" s="76" t="s">
        <v>317</v>
      </c>
      <c r="B657" s="76" t="s">
        <v>178</v>
      </c>
      <c r="C657" s="77">
        <v>40943</v>
      </c>
      <c r="D657" s="78">
        <v>41274</v>
      </c>
      <c r="E657" s="79">
        <v>0</v>
      </c>
      <c r="F657" s="80">
        <v>271893.48</v>
      </c>
      <c r="G657" s="81"/>
      <c r="H657" s="80">
        <v>60318.18</v>
      </c>
      <c r="I657" s="79">
        <f>H657/F657</f>
        <v>0.22184489308092273</v>
      </c>
    </row>
    <row r="658" spans="1:9" x14ac:dyDescent="0.25">
      <c r="A658" s="76" t="s">
        <v>317</v>
      </c>
      <c r="B658" s="76" t="s">
        <v>178</v>
      </c>
      <c r="C658" s="77">
        <v>40943</v>
      </c>
      <c r="D658" s="78">
        <v>41274</v>
      </c>
      <c r="E658" s="79">
        <v>0</v>
      </c>
      <c r="F658" s="80"/>
      <c r="G658" s="81">
        <v>10880.25</v>
      </c>
      <c r="H658" s="80">
        <v>2413.73</v>
      </c>
      <c r="I658" s="79">
        <f>H658/G658</f>
        <v>0.22184508628018657</v>
      </c>
    </row>
    <row r="659" spans="1:9" x14ac:dyDescent="0.25">
      <c r="A659" s="76" t="s">
        <v>317</v>
      </c>
      <c r="B659" s="76" t="s">
        <v>353</v>
      </c>
      <c r="C659" s="77">
        <v>40968</v>
      </c>
      <c r="D659" s="78">
        <v>41274</v>
      </c>
      <c r="E659" s="79">
        <v>8.9999999999999998E-4</v>
      </c>
      <c r="F659" s="80">
        <v>12887</v>
      </c>
      <c r="G659" s="81"/>
      <c r="H659" s="80">
        <v>-11736.55</v>
      </c>
      <c r="I659" s="79">
        <f>H659/F659</f>
        <v>-0.9107278652906029</v>
      </c>
    </row>
    <row r="660" spans="1:9" x14ac:dyDescent="0.25">
      <c r="A660" s="76" t="s">
        <v>317</v>
      </c>
      <c r="B660" s="76" t="s">
        <v>332</v>
      </c>
      <c r="C660" s="77">
        <v>41153</v>
      </c>
      <c r="D660" s="78">
        <v>41517</v>
      </c>
      <c r="E660" s="79">
        <v>8.9999999999999998E-4</v>
      </c>
      <c r="F660" s="80">
        <v>1911706.91</v>
      </c>
      <c r="G660" s="81"/>
      <c r="H660" s="80">
        <v>446899.74</v>
      </c>
      <c r="I660" s="79">
        <f>H660/F660</f>
        <v>0.23377000818603519</v>
      </c>
    </row>
    <row r="661" spans="1:9" x14ac:dyDescent="0.25">
      <c r="A661" s="76" t="s">
        <v>315</v>
      </c>
      <c r="B661" s="76" t="s">
        <v>332</v>
      </c>
      <c r="C661" s="77">
        <v>40801</v>
      </c>
      <c r="D661" s="78">
        <v>41152</v>
      </c>
      <c r="E661" s="79">
        <v>0</v>
      </c>
      <c r="F661" s="80">
        <v>1204870.77</v>
      </c>
      <c r="G661" s="81"/>
      <c r="H661" s="80">
        <v>213280.68</v>
      </c>
      <c r="I661" s="79">
        <f>H661/F661</f>
        <v>0.17701539892116397</v>
      </c>
    </row>
    <row r="662" spans="1:9" x14ac:dyDescent="0.25">
      <c r="A662" s="76" t="s">
        <v>317</v>
      </c>
      <c r="B662" s="76" t="s">
        <v>332</v>
      </c>
      <c r="C662" s="77">
        <v>41153</v>
      </c>
      <c r="D662" s="78">
        <v>41517</v>
      </c>
      <c r="E662" s="79">
        <v>8.9999999999999998E-4</v>
      </c>
      <c r="F662" s="80"/>
      <c r="G662" s="81">
        <v>68345.460000000006</v>
      </c>
      <c r="H662" s="80">
        <v>15977.12</v>
      </c>
      <c r="I662" s="79">
        <f>H662/G662</f>
        <v>0.23377002656796808</v>
      </c>
    </row>
    <row r="663" spans="1:9" x14ac:dyDescent="0.25">
      <c r="A663" s="76" t="s">
        <v>315</v>
      </c>
      <c r="B663" s="76" t="s">
        <v>332</v>
      </c>
      <c r="C663" s="77">
        <v>40801</v>
      </c>
      <c r="D663" s="78">
        <v>41152</v>
      </c>
      <c r="E663" s="79">
        <v>0</v>
      </c>
      <c r="F663" s="80"/>
      <c r="G663" s="81">
        <v>50707</v>
      </c>
      <c r="H663" s="80">
        <v>8975.92</v>
      </c>
      <c r="I663" s="79">
        <f>H663/G663</f>
        <v>0.17701540221271225</v>
      </c>
    </row>
    <row r="664" spans="1:9" x14ac:dyDescent="0.25">
      <c r="A664" s="76" t="s">
        <v>317</v>
      </c>
      <c r="B664" s="76" t="s">
        <v>341</v>
      </c>
      <c r="C664" s="77">
        <v>40829</v>
      </c>
      <c r="D664" s="78">
        <v>41121</v>
      </c>
      <c r="E664" s="79">
        <v>0</v>
      </c>
      <c r="F664" s="80">
        <v>233684.22</v>
      </c>
      <c r="G664" s="81"/>
      <c r="H664" s="80">
        <v>17589.55</v>
      </c>
      <c r="I664" s="79">
        <f>H664/F664</f>
        <v>7.527059379533628E-2</v>
      </c>
    </row>
    <row r="665" spans="1:9" x14ac:dyDescent="0.25">
      <c r="A665" s="76" t="s">
        <v>317</v>
      </c>
      <c r="B665" s="76" t="s">
        <v>341</v>
      </c>
      <c r="C665" s="77">
        <v>40829</v>
      </c>
      <c r="D665" s="78">
        <v>41121</v>
      </c>
      <c r="E665" s="79">
        <v>0</v>
      </c>
      <c r="F665" s="80"/>
      <c r="G665" s="81">
        <v>14285.44</v>
      </c>
      <c r="H665" s="80">
        <v>1075.27</v>
      </c>
      <c r="I665" s="79">
        <f>H665/G665</f>
        <v>7.5270345190627655E-2</v>
      </c>
    </row>
    <row r="666" spans="1:9" x14ac:dyDescent="0.25">
      <c r="A666" s="76" t="s">
        <v>317</v>
      </c>
      <c r="B666" s="76" t="s">
        <v>352</v>
      </c>
      <c r="C666" s="77">
        <v>40962</v>
      </c>
      <c r="D666" s="78">
        <v>41029</v>
      </c>
      <c r="E666" s="79">
        <v>8.9999999999999998E-4</v>
      </c>
      <c r="F666" s="80">
        <v>1840.84</v>
      </c>
      <c r="G666" s="81"/>
      <c r="H666" s="80">
        <v>1.84</v>
      </c>
      <c r="I666" s="79">
        <f>H666/F666</f>
        <v>9.995436865778667E-4</v>
      </c>
    </row>
    <row r="667" spans="1:9" x14ac:dyDescent="0.25">
      <c r="A667" s="76" t="s">
        <v>317</v>
      </c>
      <c r="B667" s="76" t="s">
        <v>352</v>
      </c>
      <c r="C667" s="77">
        <v>40962</v>
      </c>
      <c r="D667" s="78">
        <v>41029</v>
      </c>
      <c r="E667" s="79">
        <v>8.9999999999999998E-4</v>
      </c>
      <c r="F667" s="80"/>
      <c r="G667" s="81">
        <v>75</v>
      </c>
      <c r="H667" s="80">
        <v>0.08</v>
      </c>
      <c r="I667" s="79">
        <f>H667/G667</f>
        <v>1.0666666666666667E-3</v>
      </c>
    </row>
    <row r="668" spans="1:9" x14ac:dyDescent="0.25">
      <c r="A668" s="76" t="s">
        <v>317</v>
      </c>
      <c r="B668" s="76" t="s">
        <v>359</v>
      </c>
      <c r="C668" s="77">
        <v>41183</v>
      </c>
      <c r="D668" s="78">
        <v>41425</v>
      </c>
      <c r="E668" s="79">
        <v>8.9999999999999993E-3</v>
      </c>
      <c r="F668" s="80">
        <v>2014</v>
      </c>
      <c r="G668" s="81"/>
      <c r="H668" s="80">
        <v>2</v>
      </c>
      <c r="I668" s="79">
        <f>H668/F668</f>
        <v>9.930486593843098E-4</v>
      </c>
    </row>
    <row r="669" spans="1:9" x14ac:dyDescent="0.25">
      <c r="A669" s="76" t="s">
        <v>317</v>
      </c>
      <c r="B669" s="76" t="s">
        <v>359</v>
      </c>
      <c r="C669" s="77">
        <v>41183</v>
      </c>
      <c r="D669" s="78">
        <v>41425</v>
      </c>
      <c r="E669" s="79">
        <v>8.9999999999999993E-3</v>
      </c>
      <c r="F669" s="80"/>
      <c r="G669" s="81">
        <v>265</v>
      </c>
      <c r="H669" s="80">
        <v>2.5999999999999999E-2</v>
      </c>
      <c r="I669" s="79">
        <f>H669/G669</f>
        <v>9.8113207547169813E-5</v>
      </c>
    </row>
    <row r="670" spans="1:9" x14ac:dyDescent="0.25">
      <c r="A670" s="76" t="s">
        <v>317</v>
      </c>
      <c r="B670" s="76" t="s">
        <v>350</v>
      </c>
      <c r="C670" s="77">
        <v>40928</v>
      </c>
      <c r="D670" s="78">
        <v>41293</v>
      </c>
      <c r="E670" s="79">
        <v>8.9999999999999998E-4</v>
      </c>
      <c r="F670" s="80">
        <v>0</v>
      </c>
      <c r="G670" s="81"/>
      <c r="H670" s="80">
        <v>0</v>
      </c>
      <c r="I670" s="79">
        <v>0</v>
      </c>
    </row>
    <row r="671" spans="1:9" x14ac:dyDescent="0.25">
      <c r="A671" s="76" t="s">
        <v>315</v>
      </c>
      <c r="B671" s="76" t="s">
        <v>316</v>
      </c>
      <c r="C671" s="77">
        <v>40575</v>
      </c>
      <c r="D671" s="78">
        <v>40924</v>
      </c>
      <c r="E671" s="79">
        <v>1.7999999999999999E-2</v>
      </c>
      <c r="F671" s="80">
        <v>77595.710000000006</v>
      </c>
      <c r="G671" s="81"/>
      <c r="H671" s="80">
        <v>4010.53</v>
      </c>
      <c r="I671" s="79">
        <f>H671/F671</f>
        <v>5.1684944953786748E-2</v>
      </c>
    </row>
    <row r="672" spans="1:9" x14ac:dyDescent="0.25">
      <c r="A672" s="76" t="s">
        <v>315</v>
      </c>
      <c r="B672" s="76" t="s">
        <v>316</v>
      </c>
      <c r="C672" s="77">
        <v>40575</v>
      </c>
      <c r="D672" s="78">
        <v>40924</v>
      </c>
      <c r="E672" s="79">
        <v>1.7999999999999999E-2</v>
      </c>
      <c r="F672" s="80"/>
      <c r="G672" s="81">
        <v>2853</v>
      </c>
      <c r="H672" s="80">
        <v>380</v>
      </c>
      <c r="I672" s="79">
        <f>H672/G672</f>
        <v>0.1331931300385559</v>
      </c>
    </row>
    <row r="673" spans="1:9" x14ac:dyDescent="0.25">
      <c r="A673" s="76" t="s">
        <v>317</v>
      </c>
      <c r="B673" s="76" t="s">
        <v>345</v>
      </c>
      <c r="C673" s="77">
        <v>40849</v>
      </c>
      <c r="D673" s="78">
        <v>41121</v>
      </c>
      <c r="E673" s="79">
        <v>1.7999999999999999E-2</v>
      </c>
      <c r="F673" s="80">
        <v>23215.45</v>
      </c>
      <c r="G673" s="81"/>
      <c r="H673" s="80">
        <v>4.8</v>
      </c>
      <c r="I673" s="79">
        <f>H673/F673</f>
        <v>2.0675886101712435E-4</v>
      </c>
    </row>
    <row r="674" spans="1:9" x14ac:dyDescent="0.25">
      <c r="A674" s="76" t="s">
        <v>317</v>
      </c>
      <c r="B674" s="76" t="s">
        <v>360</v>
      </c>
      <c r="C674" s="77">
        <v>41177</v>
      </c>
      <c r="D674" s="78">
        <v>41486</v>
      </c>
      <c r="E674" s="79">
        <v>8.9999999999999998E-4</v>
      </c>
      <c r="F674" s="80">
        <v>78283.8</v>
      </c>
      <c r="G674" s="81"/>
      <c r="H674" s="80">
        <v>44171.12</v>
      </c>
      <c r="I674" s="79">
        <f>H674/F674</f>
        <v>0.56424343222991225</v>
      </c>
    </row>
    <row r="675" spans="1:9" x14ac:dyDescent="0.25">
      <c r="A675" s="76" t="s">
        <v>317</v>
      </c>
      <c r="B675" s="76" t="s">
        <v>360</v>
      </c>
      <c r="C675" s="77">
        <v>41177</v>
      </c>
      <c r="D675" s="78">
        <v>41486</v>
      </c>
      <c r="E675" s="79">
        <v>8.9999999999999998E-4</v>
      </c>
      <c r="F675" s="80"/>
      <c r="G675" s="81">
        <v>3273</v>
      </c>
      <c r="H675" s="80">
        <v>1846.77</v>
      </c>
      <c r="I675" s="79">
        <f>H675/G675</f>
        <v>0.56424381301558202</v>
      </c>
    </row>
    <row r="676" spans="1:9" x14ac:dyDescent="0.25">
      <c r="A676" s="76" t="s">
        <v>317</v>
      </c>
      <c r="B676" s="76" t="s">
        <v>90</v>
      </c>
      <c r="C676" s="77">
        <v>40830</v>
      </c>
      <c r="D676" s="78">
        <v>41090</v>
      </c>
      <c r="E676" s="79">
        <v>0.18</v>
      </c>
      <c r="F676" s="80">
        <v>0</v>
      </c>
      <c r="G676" s="81"/>
      <c r="H676" s="80">
        <v>0</v>
      </c>
      <c r="I676" s="79">
        <v>0</v>
      </c>
    </row>
    <row r="677" spans="1:9" x14ac:dyDescent="0.25">
      <c r="A677" s="76" t="s">
        <v>317</v>
      </c>
      <c r="B677" s="76" t="s">
        <v>90</v>
      </c>
      <c r="C677" s="77">
        <v>40830</v>
      </c>
      <c r="D677" s="78">
        <v>41090</v>
      </c>
      <c r="E677" s="79">
        <v>0.18</v>
      </c>
      <c r="F677" s="80"/>
      <c r="G677" s="81">
        <v>0</v>
      </c>
      <c r="H677" s="80">
        <v>0</v>
      </c>
      <c r="I677" s="79">
        <v>0</v>
      </c>
    </row>
    <row r="678" spans="1:9" x14ac:dyDescent="0.25">
      <c r="A678" s="76" t="s">
        <v>317</v>
      </c>
      <c r="B678" s="76" t="s">
        <v>90</v>
      </c>
      <c r="C678" s="77">
        <v>41104</v>
      </c>
      <c r="D678" s="78">
        <v>41455</v>
      </c>
      <c r="E678" s="79">
        <v>0.18</v>
      </c>
      <c r="F678" s="80">
        <v>0</v>
      </c>
      <c r="G678" s="81"/>
      <c r="H678" s="80">
        <v>0</v>
      </c>
      <c r="I678" s="79">
        <v>0</v>
      </c>
    </row>
    <row r="679" spans="1:9" x14ac:dyDescent="0.25">
      <c r="A679" s="76" t="s">
        <v>317</v>
      </c>
      <c r="B679" s="76" t="s">
        <v>90</v>
      </c>
      <c r="C679" s="77">
        <v>41104</v>
      </c>
      <c r="D679" s="78">
        <v>41455</v>
      </c>
      <c r="E679" s="79">
        <v>0.18</v>
      </c>
      <c r="F679" s="80"/>
      <c r="G679" s="81">
        <v>0</v>
      </c>
      <c r="H679" s="80">
        <v>0</v>
      </c>
      <c r="I679" s="79">
        <v>0</v>
      </c>
    </row>
    <row r="680" spans="1:9" x14ac:dyDescent="0.25">
      <c r="A680" s="76" t="s">
        <v>317</v>
      </c>
      <c r="B680" s="76" t="s">
        <v>174</v>
      </c>
      <c r="C680" s="77">
        <v>40953</v>
      </c>
      <c r="D680" s="78">
        <v>41274</v>
      </c>
      <c r="E680" s="79">
        <v>8.9999999999999998E-4</v>
      </c>
      <c r="F680" s="80">
        <v>453774.67</v>
      </c>
      <c r="G680" s="81"/>
      <c r="H680" s="80">
        <v>60006.1</v>
      </c>
      <c r="I680" s="79">
        <f>H680/F680</f>
        <v>0.13223765883626779</v>
      </c>
    </row>
    <row r="681" spans="1:9" x14ac:dyDescent="0.25">
      <c r="A681" s="76" t="s">
        <v>317</v>
      </c>
      <c r="B681" s="76" t="s">
        <v>174</v>
      </c>
      <c r="C681" s="77">
        <v>40953</v>
      </c>
      <c r="D681" s="78">
        <v>41274</v>
      </c>
      <c r="E681" s="79">
        <v>8.9999999999999998E-4</v>
      </c>
      <c r="F681" s="80"/>
      <c r="G681" s="81">
        <v>19088.47</v>
      </c>
      <c r="H681" s="80">
        <v>2524.21</v>
      </c>
      <c r="I681" s="79">
        <f>H681/G681</f>
        <v>0.13223741871401951</v>
      </c>
    </row>
    <row r="682" spans="1:9" x14ac:dyDescent="0.25">
      <c r="A682" s="76" t="s">
        <v>317</v>
      </c>
      <c r="B682" s="76" t="s">
        <v>354</v>
      </c>
      <c r="C682" s="77">
        <v>40990</v>
      </c>
      <c r="D682" s="78">
        <v>41305</v>
      </c>
      <c r="E682" s="79">
        <v>8.9999999999999993E-3</v>
      </c>
      <c r="F682" s="80"/>
      <c r="G682" s="81">
        <v>115</v>
      </c>
      <c r="H682" s="80">
        <v>0.11</v>
      </c>
      <c r="I682" s="79">
        <f>H682/G682</f>
        <v>9.5652173913043481E-4</v>
      </c>
    </row>
    <row r="683" spans="1:9" x14ac:dyDescent="0.25">
      <c r="A683" s="76" t="s">
        <v>317</v>
      </c>
      <c r="B683" s="76" t="s">
        <v>354</v>
      </c>
      <c r="C683" s="77">
        <v>40990</v>
      </c>
      <c r="D683" s="78">
        <v>41305</v>
      </c>
      <c r="E683" s="79">
        <v>8.9999999999999993E-3</v>
      </c>
      <c r="F683" s="80">
        <v>9224</v>
      </c>
      <c r="G683" s="81"/>
      <c r="H683" s="80">
        <v>-2484</v>
      </c>
      <c r="I683" s="79">
        <f>H683/F683</f>
        <v>-0.26929748482220295</v>
      </c>
    </row>
    <row r="684" spans="1:9" x14ac:dyDescent="0.25">
      <c r="A684" s="76" t="s">
        <v>1972</v>
      </c>
      <c r="B684" s="76" t="s">
        <v>656</v>
      </c>
      <c r="C684" s="77">
        <v>41228</v>
      </c>
      <c r="D684" s="78">
        <v>41578</v>
      </c>
      <c r="E684" s="79">
        <v>8.9999999999999998E-4</v>
      </c>
      <c r="F684" s="80">
        <v>91997.27</v>
      </c>
      <c r="G684" s="81"/>
      <c r="H684" s="80">
        <v>16898.27</v>
      </c>
      <c r="I684" s="79">
        <f>H684/F684</f>
        <v>0.18368229839863726</v>
      </c>
    </row>
    <row r="685" spans="1:9" x14ac:dyDescent="0.25">
      <c r="A685" s="76" t="s">
        <v>1972</v>
      </c>
      <c r="B685" s="76" t="s">
        <v>656</v>
      </c>
      <c r="C685" s="77">
        <v>41228</v>
      </c>
      <c r="D685" s="78">
        <v>41578</v>
      </c>
      <c r="E685" s="79">
        <v>8.9999999999999998E-4</v>
      </c>
      <c r="F685" s="115"/>
      <c r="G685" s="81">
        <v>4349</v>
      </c>
      <c r="H685" s="80">
        <v>798.83</v>
      </c>
      <c r="I685" s="79">
        <f>H685/G685</f>
        <v>0.18368130604736721</v>
      </c>
    </row>
    <row r="686" spans="1:9" x14ac:dyDescent="0.25">
      <c r="A686" s="76" t="s">
        <v>367</v>
      </c>
      <c r="B686" s="76" t="s">
        <v>43</v>
      </c>
      <c r="C686" s="77">
        <v>40801</v>
      </c>
      <c r="D686" s="78">
        <v>41166</v>
      </c>
      <c r="E686" s="79">
        <v>0.14000000000000001</v>
      </c>
      <c r="F686" s="80">
        <v>32162.560000000001</v>
      </c>
      <c r="G686" s="81"/>
      <c r="H686" s="80">
        <v>4502.76</v>
      </c>
      <c r="I686" s="79">
        <f>H686/F686</f>
        <v>0.14000004974728381</v>
      </c>
    </row>
    <row r="687" spans="1:9" x14ac:dyDescent="0.25">
      <c r="A687" s="76" t="s">
        <v>367</v>
      </c>
      <c r="B687" s="76" t="s">
        <v>43</v>
      </c>
      <c r="C687" s="77">
        <v>41167</v>
      </c>
      <c r="D687" s="78">
        <v>41531</v>
      </c>
      <c r="E687" s="79">
        <v>0.14000000000000001</v>
      </c>
      <c r="F687" s="80">
        <v>24732</v>
      </c>
      <c r="G687" s="81"/>
      <c r="H687" s="80">
        <v>3462.48</v>
      </c>
      <c r="I687" s="79">
        <f>H687/F687</f>
        <v>0.14000000000000001</v>
      </c>
    </row>
    <row r="688" spans="1:9" x14ac:dyDescent="0.25">
      <c r="A688" s="76" t="s">
        <v>367</v>
      </c>
      <c r="B688" s="76" t="s">
        <v>368</v>
      </c>
      <c r="C688" s="77">
        <v>40739</v>
      </c>
      <c r="D688" s="78">
        <v>41104</v>
      </c>
      <c r="E688" s="79">
        <v>0.13500000000000001</v>
      </c>
      <c r="F688" s="80">
        <v>288916.7</v>
      </c>
      <c r="G688" s="81"/>
      <c r="H688" s="80">
        <v>43337.51</v>
      </c>
      <c r="I688" s="79">
        <f>H688/F688</f>
        <v>0.15000001730602627</v>
      </c>
    </row>
    <row r="689" spans="1:9" x14ac:dyDescent="0.25">
      <c r="A689" s="76" t="s">
        <v>367</v>
      </c>
      <c r="B689" s="76" t="s">
        <v>369</v>
      </c>
      <c r="C689" s="77">
        <v>41105</v>
      </c>
      <c r="D689" s="78">
        <v>41469</v>
      </c>
      <c r="E689" s="79">
        <v>0.13500000000000001</v>
      </c>
      <c r="F689" s="80"/>
      <c r="G689" s="81">
        <v>336861</v>
      </c>
      <c r="H689" s="80">
        <v>50529.15</v>
      </c>
      <c r="I689" s="79">
        <f>H689/G689</f>
        <v>0.15</v>
      </c>
    </row>
    <row r="690" spans="1:9" x14ac:dyDescent="0.25">
      <c r="A690" s="76" t="s">
        <v>367</v>
      </c>
      <c r="B690" s="76" t="s">
        <v>131</v>
      </c>
      <c r="C690" s="77">
        <v>40664</v>
      </c>
      <c r="D690" s="78">
        <v>41029</v>
      </c>
      <c r="E690" s="79">
        <v>0.12</v>
      </c>
      <c r="F690" s="80">
        <v>853474.49</v>
      </c>
      <c r="G690" s="88"/>
      <c r="H690" s="80">
        <v>102416.94</v>
      </c>
      <c r="I690" s="79">
        <f t="shared" ref="I690:I696" si="6">H690/F690</f>
        <v>0.12000000140601742</v>
      </c>
    </row>
    <row r="691" spans="1:9" x14ac:dyDescent="0.25">
      <c r="A691" s="76" t="s">
        <v>367</v>
      </c>
      <c r="B691" s="76" t="s">
        <v>370</v>
      </c>
      <c r="C691" s="77">
        <v>41131</v>
      </c>
      <c r="D691" s="78">
        <v>41495</v>
      </c>
      <c r="E691" s="79">
        <v>0.15</v>
      </c>
      <c r="F691" s="80">
        <v>37755</v>
      </c>
      <c r="G691" s="81"/>
      <c r="H691" s="80">
        <v>5663.25</v>
      </c>
      <c r="I691" s="79">
        <f t="shared" si="6"/>
        <v>0.15</v>
      </c>
    </row>
    <row r="692" spans="1:9" x14ac:dyDescent="0.25">
      <c r="A692" s="76" t="s">
        <v>367</v>
      </c>
      <c r="B692" s="76" t="s">
        <v>54</v>
      </c>
      <c r="C692" s="77">
        <v>40695</v>
      </c>
      <c r="D692" s="78">
        <v>40966</v>
      </c>
      <c r="E692" s="79">
        <v>0.15</v>
      </c>
      <c r="F692" s="80">
        <v>285683.40000000002</v>
      </c>
      <c r="G692" s="81"/>
      <c r="H692" s="80">
        <v>42852.51</v>
      </c>
      <c r="I692" s="79">
        <f t="shared" si="6"/>
        <v>0.15</v>
      </c>
    </row>
    <row r="693" spans="1:9" x14ac:dyDescent="0.25">
      <c r="A693" s="76" t="s">
        <v>367</v>
      </c>
      <c r="B693" s="76" t="s">
        <v>54</v>
      </c>
      <c r="C693" s="77">
        <v>40967</v>
      </c>
      <c r="D693" s="78">
        <v>41117</v>
      </c>
      <c r="E693" s="79">
        <v>0.15</v>
      </c>
      <c r="F693" s="80">
        <v>65431.5</v>
      </c>
      <c r="G693" s="81"/>
      <c r="H693" s="80">
        <v>9814.73</v>
      </c>
      <c r="I693" s="79">
        <f t="shared" si="6"/>
        <v>0.1500000764157936</v>
      </c>
    </row>
    <row r="694" spans="1:9" x14ac:dyDescent="0.25">
      <c r="A694" s="76" t="s">
        <v>371</v>
      </c>
      <c r="B694" s="76" t="s">
        <v>107</v>
      </c>
      <c r="C694" s="77">
        <v>40647</v>
      </c>
      <c r="D694" s="78">
        <v>41012</v>
      </c>
      <c r="E694" s="79">
        <v>8.9999999999999993E-3</v>
      </c>
      <c r="F694" s="80">
        <v>623348.5</v>
      </c>
      <c r="G694" s="81"/>
      <c r="H694" s="80">
        <v>7578.4</v>
      </c>
      <c r="I694" s="79">
        <f t="shared" si="6"/>
        <v>1.2157565150152764E-2</v>
      </c>
    </row>
    <row r="695" spans="1:9" x14ac:dyDescent="0.25">
      <c r="A695" s="76" t="s">
        <v>372</v>
      </c>
      <c r="B695" s="76" t="s">
        <v>373</v>
      </c>
      <c r="C695" s="77">
        <v>40909</v>
      </c>
      <c r="D695" s="78">
        <v>41274</v>
      </c>
      <c r="E695" s="79">
        <v>8.9999999999999993E-3</v>
      </c>
      <c r="F695" s="80">
        <v>214409.72</v>
      </c>
      <c r="G695" s="81"/>
      <c r="H695" s="80">
        <v>85724.800000000003</v>
      </c>
      <c r="I695" s="79">
        <f t="shared" si="6"/>
        <v>0.39981769483211865</v>
      </c>
    </row>
    <row r="696" spans="1:9" x14ac:dyDescent="0.25">
      <c r="A696" s="76" t="s">
        <v>372</v>
      </c>
      <c r="B696" s="76" t="s">
        <v>31</v>
      </c>
      <c r="C696" s="77">
        <v>40847</v>
      </c>
      <c r="D696" s="78">
        <v>41152</v>
      </c>
      <c r="E696" s="79">
        <v>8.9999999999999993E-3</v>
      </c>
      <c r="F696" s="80">
        <v>33539</v>
      </c>
      <c r="G696" s="81"/>
      <c r="H696" s="80">
        <v>0</v>
      </c>
      <c r="I696" s="79">
        <f t="shared" si="6"/>
        <v>0</v>
      </c>
    </row>
    <row r="697" spans="1:9" x14ac:dyDescent="0.25">
      <c r="A697" s="76" t="s">
        <v>372</v>
      </c>
      <c r="B697" s="76" t="s">
        <v>31</v>
      </c>
      <c r="C697" s="77">
        <v>41153</v>
      </c>
      <c r="D697" s="78">
        <v>41262</v>
      </c>
      <c r="E697" s="79">
        <v>8.9999999999999993E-3</v>
      </c>
      <c r="F697" s="80">
        <v>0</v>
      </c>
      <c r="G697" s="81"/>
      <c r="H697" s="80">
        <v>0</v>
      </c>
      <c r="I697" s="79">
        <v>0</v>
      </c>
    </row>
    <row r="698" spans="1:9" x14ac:dyDescent="0.25">
      <c r="A698" s="76" t="s">
        <v>372</v>
      </c>
      <c r="B698" s="76" t="s">
        <v>31</v>
      </c>
      <c r="C698" s="77">
        <v>41153</v>
      </c>
      <c r="D698" s="78">
        <v>41262</v>
      </c>
      <c r="E698" s="79">
        <v>8.9999999999999993E-3</v>
      </c>
      <c r="F698" s="80"/>
      <c r="G698" s="81">
        <v>0</v>
      </c>
      <c r="H698" s="80">
        <v>0</v>
      </c>
      <c r="I698" s="79">
        <v>0</v>
      </c>
    </row>
    <row r="699" spans="1:9" x14ac:dyDescent="0.25">
      <c r="A699" s="76" t="s">
        <v>372</v>
      </c>
      <c r="B699" s="76" t="s">
        <v>374</v>
      </c>
      <c r="C699" s="77">
        <v>41083</v>
      </c>
      <c r="D699" s="78">
        <v>41447</v>
      </c>
      <c r="E699" s="79">
        <v>8.9999999999999993E-3</v>
      </c>
      <c r="F699" s="80">
        <v>653942.18000000005</v>
      </c>
      <c r="G699" s="81"/>
      <c r="H699" s="80">
        <v>185701.92</v>
      </c>
      <c r="I699" s="79">
        <f>H699/F699</f>
        <v>0.28397299590003505</v>
      </c>
    </row>
    <row r="700" spans="1:9" x14ac:dyDescent="0.25">
      <c r="A700" s="76" t="s">
        <v>372</v>
      </c>
      <c r="B700" s="76" t="s">
        <v>115</v>
      </c>
      <c r="C700" s="77">
        <v>40717</v>
      </c>
      <c r="D700" s="78">
        <v>41082</v>
      </c>
      <c r="E700" s="79">
        <v>8.9999999999999993E-3</v>
      </c>
      <c r="F700" s="80">
        <v>392947.79</v>
      </c>
      <c r="G700" s="81"/>
      <c r="H700" s="80">
        <v>167195.03</v>
      </c>
      <c r="I700" s="79">
        <f>H700/F700</f>
        <v>0.42548917249286478</v>
      </c>
    </row>
    <row r="701" spans="1:9" x14ac:dyDescent="0.25">
      <c r="A701" s="76" t="s">
        <v>372</v>
      </c>
      <c r="B701" s="76" t="s">
        <v>107</v>
      </c>
      <c r="C701" s="77">
        <v>41013</v>
      </c>
      <c r="D701" s="78">
        <v>41274</v>
      </c>
      <c r="E701" s="79">
        <v>8.9999999999999993E-3</v>
      </c>
      <c r="F701" s="80">
        <v>340334.5</v>
      </c>
      <c r="G701" s="81"/>
      <c r="H701" s="80">
        <v>-40208.6</v>
      </c>
      <c r="I701" s="79">
        <f>H701/F701</f>
        <v>-0.11814435503893962</v>
      </c>
    </row>
    <row r="702" spans="1:9" x14ac:dyDescent="0.25">
      <c r="A702" s="76" t="s">
        <v>372</v>
      </c>
      <c r="B702" s="76" t="s">
        <v>23</v>
      </c>
      <c r="C702" s="77">
        <v>40742</v>
      </c>
      <c r="D702" s="78">
        <v>41107</v>
      </c>
      <c r="E702" s="79">
        <v>8.9999999999999993E-3</v>
      </c>
      <c r="F702" s="80">
        <v>379045.07</v>
      </c>
      <c r="G702" s="81"/>
      <c r="H702" s="80">
        <v>36845.1</v>
      </c>
      <c r="I702" s="79">
        <f>H702/F702</f>
        <v>9.7205063239577283E-2</v>
      </c>
    </row>
    <row r="703" spans="1:9" x14ac:dyDescent="0.25">
      <c r="A703" s="76" t="s">
        <v>372</v>
      </c>
      <c r="B703" s="76" t="s">
        <v>22</v>
      </c>
      <c r="C703" s="77">
        <v>40742</v>
      </c>
      <c r="D703" s="78">
        <v>41107</v>
      </c>
      <c r="E703" s="79">
        <v>8.9999999999999993E-3</v>
      </c>
      <c r="F703" s="80">
        <v>754364.77</v>
      </c>
      <c r="G703" s="81"/>
      <c r="H703" s="80">
        <v>47471.43</v>
      </c>
      <c r="I703" s="79">
        <f>H703/F703</f>
        <v>6.2929012445795948E-2</v>
      </c>
    </row>
    <row r="704" spans="1:9" x14ac:dyDescent="0.25">
      <c r="A704" s="76" t="s">
        <v>375</v>
      </c>
      <c r="B704" s="76" t="s">
        <v>380</v>
      </c>
      <c r="C704" s="77">
        <v>41107</v>
      </c>
      <c r="D704" s="78">
        <v>41162</v>
      </c>
      <c r="E704" s="79">
        <v>4.4999999999999998E-2</v>
      </c>
      <c r="F704" s="80"/>
      <c r="G704" s="81">
        <v>14607</v>
      </c>
      <c r="H704" s="80">
        <v>11682</v>
      </c>
      <c r="I704" s="79">
        <f t="shared" ref="I704:I716" si="7">H704/G704</f>
        <v>0.79975354282193467</v>
      </c>
    </row>
    <row r="705" spans="1:9" x14ac:dyDescent="0.25">
      <c r="A705" s="76" t="s">
        <v>375</v>
      </c>
      <c r="B705" s="76" t="s">
        <v>379</v>
      </c>
      <c r="C705" s="77">
        <v>41099</v>
      </c>
      <c r="D705" s="78">
        <v>41156</v>
      </c>
      <c r="E705" s="79">
        <v>4.4999999999999998E-2</v>
      </c>
      <c r="F705" s="80"/>
      <c r="G705" s="81">
        <v>16975</v>
      </c>
      <c r="H705" s="80">
        <v>11556.5</v>
      </c>
      <c r="I705" s="79">
        <f t="shared" si="7"/>
        <v>0.68079528718703974</v>
      </c>
    </row>
    <row r="706" spans="1:9" x14ac:dyDescent="0.25">
      <c r="A706" s="76" t="s">
        <v>375</v>
      </c>
      <c r="B706" s="76" t="s">
        <v>381</v>
      </c>
      <c r="C706" s="77">
        <v>41136</v>
      </c>
      <c r="D706" s="78">
        <v>41165</v>
      </c>
      <c r="E706" s="79">
        <v>4.4999999999999998E-2</v>
      </c>
      <c r="F706" s="80"/>
      <c r="G706" s="81">
        <v>14530</v>
      </c>
      <c r="H706" s="80">
        <v>6498</v>
      </c>
      <c r="I706" s="79">
        <f t="shared" si="7"/>
        <v>0.44721266345492083</v>
      </c>
    </row>
    <row r="707" spans="1:9" x14ac:dyDescent="0.25">
      <c r="A707" s="76" t="s">
        <v>375</v>
      </c>
      <c r="B707" s="76" t="s">
        <v>383</v>
      </c>
      <c r="C707" s="77">
        <v>41212</v>
      </c>
      <c r="D707" s="78">
        <v>41224</v>
      </c>
      <c r="E707" s="79">
        <v>4.4999999999999998E-2</v>
      </c>
      <c r="F707" s="80"/>
      <c r="G707" s="81">
        <v>3225</v>
      </c>
      <c r="H707" s="80">
        <v>-184</v>
      </c>
      <c r="I707" s="79">
        <f t="shared" si="7"/>
        <v>-5.7054263565891473E-2</v>
      </c>
    </row>
    <row r="708" spans="1:9" x14ac:dyDescent="0.25">
      <c r="A708" s="76" t="s">
        <v>375</v>
      </c>
      <c r="B708" s="76" t="s">
        <v>382</v>
      </c>
      <c r="C708" s="77">
        <v>41163</v>
      </c>
      <c r="D708" s="78">
        <v>41186</v>
      </c>
      <c r="E708" s="79">
        <v>4.4999999999999998E-2</v>
      </c>
      <c r="F708" s="80"/>
      <c r="G708" s="81">
        <v>3780</v>
      </c>
      <c r="H708" s="80">
        <v>462</v>
      </c>
      <c r="I708" s="79">
        <f t="shared" si="7"/>
        <v>0.12222222222222222</v>
      </c>
    </row>
    <row r="709" spans="1:9" x14ac:dyDescent="0.25">
      <c r="A709" s="76" t="s">
        <v>375</v>
      </c>
      <c r="B709" s="76" t="s">
        <v>377</v>
      </c>
      <c r="C709" s="112">
        <v>41019</v>
      </c>
      <c r="D709" s="78">
        <v>41156</v>
      </c>
      <c r="E709" s="79">
        <v>4.4999999999999998E-2</v>
      </c>
      <c r="F709" s="80"/>
      <c r="G709" s="81">
        <v>9082</v>
      </c>
      <c r="H709" s="80">
        <v>6845</v>
      </c>
      <c r="I709" s="79">
        <f t="shared" si="7"/>
        <v>0.75368861484254568</v>
      </c>
    </row>
    <row r="710" spans="1:9" x14ac:dyDescent="0.25">
      <c r="A710" s="76" t="s">
        <v>375</v>
      </c>
      <c r="B710" s="76" t="s">
        <v>378</v>
      </c>
      <c r="C710" s="77">
        <v>41030</v>
      </c>
      <c r="D710" s="78">
        <v>41046</v>
      </c>
      <c r="E710" s="79">
        <v>4.4999999999999998E-2</v>
      </c>
      <c r="F710" s="80"/>
      <c r="G710" s="81">
        <v>8210</v>
      </c>
      <c r="H710" s="80">
        <v>6553</v>
      </c>
      <c r="I710" s="79">
        <f t="shared" si="7"/>
        <v>0.79817295980511571</v>
      </c>
    </row>
    <row r="711" spans="1:9" x14ac:dyDescent="0.25">
      <c r="A711" s="76" t="s">
        <v>384</v>
      </c>
      <c r="B711" s="76" t="s">
        <v>388</v>
      </c>
      <c r="C711" s="77">
        <v>41157</v>
      </c>
      <c r="D711" s="78">
        <v>41211</v>
      </c>
      <c r="E711" s="79">
        <v>4.4999999999999998E-2</v>
      </c>
      <c r="F711" s="80"/>
      <c r="G711" s="81">
        <v>6855</v>
      </c>
      <c r="H711" s="80">
        <v>5424</v>
      </c>
      <c r="I711" s="79">
        <f t="shared" si="7"/>
        <v>0.79124726477024065</v>
      </c>
    </row>
    <row r="712" spans="1:9" x14ac:dyDescent="0.25">
      <c r="A712" s="76" t="s">
        <v>384</v>
      </c>
      <c r="B712" s="76" t="s">
        <v>386</v>
      </c>
      <c r="C712" s="77">
        <v>41030</v>
      </c>
      <c r="D712" s="78">
        <v>41187</v>
      </c>
      <c r="E712" s="79">
        <v>4.4999999999999998E-2</v>
      </c>
      <c r="F712" s="80"/>
      <c r="G712" s="81">
        <v>14920</v>
      </c>
      <c r="H712" s="80">
        <v>10066</v>
      </c>
      <c r="I712" s="79">
        <f t="shared" si="7"/>
        <v>0.67466487935656838</v>
      </c>
    </row>
    <row r="713" spans="1:9" x14ac:dyDescent="0.25">
      <c r="A713" s="76" t="s">
        <v>384</v>
      </c>
      <c r="B713" s="76" t="s">
        <v>385</v>
      </c>
      <c r="C713" s="77">
        <v>40975</v>
      </c>
      <c r="D713" s="78">
        <v>40988</v>
      </c>
      <c r="E713" s="79">
        <v>4.4999999999999998E-2</v>
      </c>
      <c r="F713" s="80"/>
      <c r="G713" s="81">
        <v>18310.52</v>
      </c>
      <c r="H713" s="80">
        <v>16560.52</v>
      </c>
      <c r="I713" s="79">
        <f t="shared" si="7"/>
        <v>0.90442652639029364</v>
      </c>
    </row>
    <row r="714" spans="1:9" x14ac:dyDescent="0.25">
      <c r="A714" s="76" t="s">
        <v>384</v>
      </c>
      <c r="B714" s="76" t="s">
        <v>389</v>
      </c>
      <c r="C714" s="77">
        <v>41214</v>
      </c>
      <c r="D714" s="78">
        <v>41455</v>
      </c>
      <c r="E714" s="79">
        <v>4.4999999999999998E-2</v>
      </c>
      <c r="F714" s="88"/>
      <c r="G714" s="81">
        <v>22790</v>
      </c>
      <c r="H714" s="80">
        <v>2358</v>
      </c>
      <c r="I714" s="79">
        <f t="shared" si="7"/>
        <v>0.10346643264589732</v>
      </c>
    </row>
    <row r="715" spans="1:9" x14ac:dyDescent="0.25">
      <c r="A715" s="76" t="s">
        <v>384</v>
      </c>
      <c r="B715" s="76" t="s">
        <v>387</v>
      </c>
      <c r="C715" s="77">
        <v>41039</v>
      </c>
      <c r="D715" s="78">
        <v>41060</v>
      </c>
      <c r="E715" s="79">
        <v>4.4999999999999998E-2</v>
      </c>
      <c r="F715" s="80"/>
      <c r="G715" s="81">
        <v>4750</v>
      </c>
      <c r="H715" s="80">
        <v>3976.5</v>
      </c>
      <c r="I715" s="79">
        <f t="shared" si="7"/>
        <v>0.8371578947368421</v>
      </c>
    </row>
    <row r="716" spans="1:9" x14ac:dyDescent="0.25">
      <c r="A716" s="76" t="s">
        <v>384</v>
      </c>
      <c r="B716" s="76" t="s">
        <v>376</v>
      </c>
      <c r="C716" s="77">
        <v>41010</v>
      </c>
      <c r="D716" s="78">
        <v>41024</v>
      </c>
      <c r="E716" s="79">
        <v>4.4999999999999998E-2</v>
      </c>
      <c r="F716" s="80"/>
      <c r="G716" s="81">
        <v>7698</v>
      </c>
      <c r="H716" s="82">
        <v>2050.5</v>
      </c>
      <c r="I716" s="79">
        <f t="shared" si="7"/>
        <v>0.26636788776305537</v>
      </c>
    </row>
    <row r="717" spans="1:9" x14ac:dyDescent="0.25">
      <c r="A717" s="76" t="s">
        <v>390</v>
      </c>
      <c r="B717" s="76" t="s">
        <v>45</v>
      </c>
      <c r="C717" s="77">
        <v>40974</v>
      </c>
      <c r="D717" s="78">
        <v>41338</v>
      </c>
      <c r="E717" s="79">
        <v>0.13500000000000001</v>
      </c>
      <c r="F717" s="80">
        <v>1486210.94</v>
      </c>
      <c r="G717" s="81"/>
      <c r="H717" s="80">
        <v>220075.05</v>
      </c>
      <c r="I717" s="79">
        <f>H717/F717</f>
        <v>0.14807793703900471</v>
      </c>
    </row>
    <row r="718" spans="1:9" x14ac:dyDescent="0.25">
      <c r="A718" s="76" t="s">
        <v>390</v>
      </c>
      <c r="B718" s="76" t="s">
        <v>45</v>
      </c>
      <c r="C718" s="77">
        <v>40974</v>
      </c>
      <c r="D718" s="78">
        <v>41338</v>
      </c>
      <c r="E718" s="79">
        <v>0.13500000000000001</v>
      </c>
      <c r="F718" s="80"/>
      <c r="G718" s="81">
        <v>120828.95</v>
      </c>
      <c r="H718" s="80">
        <v>17892.099999999999</v>
      </c>
      <c r="I718" s="79">
        <f>H718/G718</f>
        <v>0.14807792337846185</v>
      </c>
    </row>
    <row r="719" spans="1:9" x14ac:dyDescent="0.25">
      <c r="A719" s="76" t="s">
        <v>390</v>
      </c>
      <c r="B719" s="76" t="s">
        <v>391</v>
      </c>
      <c r="C719" s="77">
        <v>40854</v>
      </c>
      <c r="D719" s="78">
        <v>41219</v>
      </c>
      <c r="E719" s="79">
        <v>0.09</v>
      </c>
      <c r="F719" s="80">
        <v>434437.17</v>
      </c>
      <c r="G719" s="81"/>
      <c r="H719" s="80">
        <v>42897.34</v>
      </c>
      <c r="I719" s="79">
        <f>H719/F719</f>
        <v>9.8742333672784025E-2</v>
      </c>
    </row>
    <row r="720" spans="1:9" x14ac:dyDescent="0.25">
      <c r="A720" s="76" t="s">
        <v>390</v>
      </c>
      <c r="B720" s="76" t="s">
        <v>391</v>
      </c>
      <c r="C720" s="77">
        <v>40854</v>
      </c>
      <c r="D720" s="78">
        <v>41219</v>
      </c>
      <c r="E720" s="79">
        <v>0.09</v>
      </c>
      <c r="F720" s="80"/>
      <c r="G720" s="81">
        <v>10296.16</v>
      </c>
      <c r="H720" s="80">
        <v>1016.67</v>
      </c>
      <c r="I720" s="79">
        <f>H720/G720</f>
        <v>9.8742638032043015E-2</v>
      </c>
    </row>
    <row r="721" spans="1:9" x14ac:dyDescent="0.25">
      <c r="A721" s="76" t="s">
        <v>390</v>
      </c>
      <c r="B721" s="76" t="s">
        <v>51</v>
      </c>
      <c r="C721" s="77">
        <v>40901</v>
      </c>
      <c r="D721" s="78">
        <v>41266</v>
      </c>
      <c r="E721" s="79">
        <v>0.12</v>
      </c>
      <c r="F721" s="80">
        <v>3325956.05</v>
      </c>
      <c r="G721" s="81"/>
      <c r="H721" s="80">
        <v>399703.73</v>
      </c>
      <c r="I721" s="79">
        <f>H721/F721</f>
        <v>0.12017709313988079</v>
      </c>
    </row>
    <row r="722" spans="1:9" x14ac:dyDescent="0.25">
      <c r="A722" s="76" t="s">
        <v>390</v>
      </c>
      <c r="B722" s="76" t="s">
        <v>51</v>
      </c>
      <c r="C722" s="77">
        <v>40901</v>
      </c>
      <c r="D722" s="78">
        <v>41266</v>
      </c>
      <c r="E722" s="79">
        <v>0.12</v>
      </c>
      <c r="F722" s="80"/>
      <c r="G722" s="81">
        <v>146674.66</v>
      </c>
      <c r="H722" s="80">
        <v>17626.93</v>
      </c>
      <c r="I722" s="79">
        <f>H722/G722</f>
        <v>0.12017706398637638</v>
      </c>
    </row>
    <row r="723" spans="1:9" x14ac:dyDescent="0.25">
      <c r="A723" s="76" t="s">
        <v>390</v>
      </c>
      <c r="B723" s="76" t="s">
        <v>98</v>
      </c>
      <c r="C723" s="77">
        <v>41045</v>
      </c>
      <c r="D723" s="78">
        <v>41409</v>
      </c>
      <c r="E723" s="79">
        <v>0.1</v>
      </c>
      <c r="F723" s="80">
        <v>3082831.85</v>
      </c>
      <c r="G723" s="81"/>
      <c r="H723" s="80">
        <v>306265.67</v>
      </c>
      <c r="I723" s="79">
        <f>H723/F723</f>
        <v>9.9345564371277659E-2</v>
      </c>
    </row>
    <row r="724" spans="1:9" x14ac:dyDescent="0.25">
      <c r="A724" s="76" t="s">
        <v>390</v>
      </c>
      <c r="B724" s="76" t="s">
        <v>98</v>
      </c>
      <c r="C724" s="77">
        <v>40679</v>
      </c>
      <c r="D724" s="78">
        <v>41044</v>
      </c>
      <c r="E724" s="79">
        <v>0.1</v>
      </c>
      <c r="F724" s="80">
        <v>2910753.69</v>
      </c>
      <c r="G724" s="81"/>
      <c r="H724" s="80">
        <v>289951.78999999998</v>
      </c>
      <c r="I724" s="79">
        <f>H724/F724</f>
        <v>9.961399035450505E-2</v>
      </c>
    </row>
    <row r="725" spans="1:9" x14ac:dyDescent="0.25">
      <c r="A725" s="76" t="s">
        <v>390</v>
      </c>
      <c r="B725" s="76" t="s">
        <v>98</v>
      </c>
      <c r="C725" s="77">
        <v>40679</v>
      </c>
      <c r="D725" s="78">
        <v>41044</v>
      </c>
      <c r="E725" s="79">
        <v>0.1</v>
      </c>
      <c r="F725" s="80"/>
      <c r="G725" s="81">
        <v>174645.22</v>
      </c>
      <c r="H725" s="80">
        <v>17397.11</v>
      </c>
      <c r="I725" s="79">
        <f>H725/G725</f>
        <v>9.9614006040359998E-2</v>
      </c>
    </row>
    <row r="726" spans="1:9" x14ac:dyDescent="0.25">
      <c r="A726" s="76" t="s">
        <v>390</v>
      </c>
      <c r="B726" s="76" t="s">
        <v>98</v>
      </c>
      <c r="C726" s="77">
        <v>41045</v>
      </c>
      <c r="D726" s="78">
        <v>41409</v>
      </c>
      <c r="E726" s="79">
        <v>0.1</v>
      </c>
      <c r="F726" s="80"/>
      <c r="G726" s="81">
        <v>171713.73</v>
      </c>
      <c r="H726" s="80">
        <v>17059</v>
      </c>
      <c r="I726" s="79">
        <f>H726/G726</f>
        <v>9.9345579412898427E-2</v>
      </c>
    </row>
    <row r="727" spans="1:9" ht="28.5" x14ac:dyDescent="0.25">
      <c r="A727" s="76" t="s">
        <v>392</v>
      </c>
      <c r="B727" s="76" t="s">
        <v>31</v>
      </c>
      <c r="C727" s="77">
        <v>40892</v>
      </c>
      <c r="D727" s="78">
        <v>41257</v>
      </c>
      <c r="E727" s="79">
        <v>8.9999999999999993E-3</v>
      </c>
      <c r="F727" s="80">
        <v>41319</v>
      </c>
      <c r="G727" s="81"/>
      <c r="H727" s="80">
        <v>8156.75</v>
      </c>
      <c r="I727" s="79">
        <f>H727/F727</f>
        <v>0.19740918221641376</v>
      </c>
    </row>
    <row r="728" spans="1:9" ht="28.5" x14ac:dyDescent="0.25">
      <c r="A728" s="76" t="s">
        <v>392</v>
      </c>
      <c r="B728" s="76" t="s">
        <v>31</v>
      </c>
      <c r="C728" s="77">
        <v>40892</v>
      </c>
      <c r="D728" s="78">
        <v>41257</v>
      </c>
      <c r="E728" s="79">
        <v>8.9999999999999993E-3</v>
      </c>
      <c r="F728" s="80"/>
      <c r="G728" s="81">
        <v>270</v>
      </c>
      <c r="H728" s="80">
        <v>35</v>
      </c>
      <c r="I728" s="79">
        <f>H728/G728</f>
        <v>0.12962962962962962</v>
      </c>
    </row>
    <row r="729" spans="1:9" ht="28.5" x14ac:dyDescent="0.25">
      <c r="A729" s="76" t="s">
        <v>392</v>
      </c>
      <c r="B729" s="76" t="s">
        <v>31</v>
      </c>
      <c r="C729" s="77">
        <v>41258</v>
      </c>
      <c r="D729" s="78">
        <v>41455</v>
      </c>
      <c r="E729" s="79">
        <v>8.9999999999999993E-3</v>
      </c>
      <c r="F729" s="80">
        <v>0</v>
      </c>
      <c r="G729" s="81"/>
      <c r="H729" s="80">
        <v>0</v>
      </c>
      <c r="I729" s="79">
        <v>0</v>
      </c>
    </row>
    <row r="730" spans="1:9" ht="28.5" x14ac:dyDescent="0.25">
      <c r="A730" s="76" t="s">
        <v>392</v>
      </c>
      <c r="B730" s="76" t="s">
        <v>31</v>
      </c>
      <c r="C730" s="77">
        <v>41258</v>
      </c>
      <c r="D730" s="78">
        <v>41455</v>
      </c>
      <c r="E730" s="79">
        <v>8.9999999999999993E-3</v>
      </c>
      <c r="F730" s="80"/>
      <c r="G730" s="81">
        <v>0</v>
      </c>
      <c r="H730" s="80">
        <v>0</v>
      </c>
      <c r="I730" s="79">
        <v>0</v>
      </c>
    </row>
    <row r="731" spans="1:9" ht="28.5" x14ac:dyDescent="0.25">
      <c r="A731" s="76" t="s">
        <v>392</v>
      </c>
      <c r="B731" s="116" t="s">
        <v>393</v>
      </c>
      <c r="C731" s="77">
        <v>40892</v>
      </c>
      <c r="D731" s="78">
        <v>41151</v>
      </c>
      <c r="E731" s="79">
        <v>8.9999999999999993E-3</v>
      </c>
      <c r="F731" s="80">
        <v>40440</v>
      </c>
      <c r="G731" s="81"/>
      <c r="H731" s="80">
        <v>13773.81</v>
      </c>
      <c r="I731" s="79">
        <f>H731/F731</f>
        <v>0.34059866468842731</v>
      </c>
    </row>
    <row r="732" spans="1:9" ht="28.5" x14ac:dyDescent="0.25">
      <c r="A732" s="76" t="s">
        <v>392</v>
      </c>
      <c r="B732" s="116" t="s">
        <v>393</v>
      </c>
      <c r="C732" s="77">
        <v>40892</v>
      </c>
      <c r="D732" s="78">
        <v>41151</v>
      </c>
      <c r="E732" s="79">
        <v>8.9999999999999993E-3</v>
      </c>
      <c r="F732" s="80"/>
      <c r="G732" s="81">
        <v>135</v>
      </c>
      <c r="H732" s="80">
        <v>97.65</v>
      </c>
      <c r="I732" s="79">
        <f>H732/G732</f>
        <v>0.72333333333333338</v>
      </c>
    </row>
    <row r="733" spans="1:9" ht="28.5" x14ac:dyDescent="0.25">
      <c r="A733" s="76" t="s">
        <v>392</v>
      </c>
      <c r="B733" s="76" t="s">
        <v>287</v>
      </c>
      <c r="C733" s="77">
        <v>41011</v>
      </c>
      <c r="D733" s="78">
        <v>41394</v>
      </c>
      <c r="E733" s="79">
        <v>8.9999999999999993E-3</v>
      </c>
      <c r="F733" s="80">
        <v>10165</v>
      </c>
      <c r="G733" s="81"/>
      <c r="H733" s="80">
        <v>6898</v>
      </c>
      <c r="I733" s="79">
        <f>H733/F733</f>
        <v>0.67860304968027541</v>
      </c>
    </row>
    <row r="734" spans="1:9" ht="28.5" x14ac:dyDescent="0.25">
      <c r="A734" s="76" t="s">
        <v>392</v>
      </c>
      <c r="B734" s="76" t="s">
        <v>287</v>
      </c>
      <c r="C734" s="77">
        <v>41011</v>
      </c>
      <c r="D734" s="78">
        <v>41394</v>
      </c>
      <c r="E734" s="79">
        <v>8.9999999999999993E-3</v>
      </c>
      <c r="F734" s="80"/>
      <c r="G734" s="81">
        <v>190</v>
      </c>
      <c r="H734" s="80">
        <v>27.86</v>
      </c>
      <c r="I734" s="79">
        <f>H734/G734</f>
        <v>0.14663157894736842</v>
      </c>
    </row>
    <row r="735" spans="1:9" x14ac:dyDescent="0.25">
      <c r="A735" s="76" t="s">
        <v>394</v>
      </c>
      <c r="B735" s="76" t="s">
        <v>403</v>
      </c>
      <c r="C735" s="77">
        <v>40802</v>
      </c>
      <c r="D735" s="78">
        <v>41168</v>
      </c>
      <c r="E735" s="79">
        <v>0.25</v>
      </c>
      <c r="F735" s="80"/>
      <c r="G735" s="81">
        <v>72924</v>
      </c>
      <c r="H735" s="80">
        <v>18231</v>
      </c>
      <c r="I735" s="79">
        <f>H735/G735</f>
        <v>0.25</v>
      </c>
    </row>
    <row r="736" spans="1:9" x14ac:dyDescent="0.25">
      <c r="A736" s="76" t="s">
        <v>394</v>
      </c>
      <c r="B736" s="76" t="s">
        <v>403</v>
      </c>
      <c r="C736" s="77">
        <v>41178</v>
      </c>
      <c r="D736" s="78">
        <v>41541</v>
      </c>
      <c r="E736" s="79">
        <v>0.25</v>
      </c>
      <c r="F736" s="80">
        <v>63339</v>
      </c>
      <c r="G736" s="81"/>
      <c r="H736" s="80">
        <v>15835</v>
      </c>
      <c r="I736" s="79">
        <f t="shared" ref="I736:I745" si="8">H736/F736</f>
        <v>0.25000394701526707</v>
      </c>
    </row>
    <row r="737" spans="1:9" x14ac:dyDescent="0.25">
      <c r="A737" s="76" t="s">
        <v>394</v>
      </c>
      <c r="B737" s="76" t="s">
        <v>400</v>
      </c>
      <c r="C737" s="77">
        <v>40801</v>
      </c>
      <c r="D737" s="78">
        <v>41167</v>
      </c>
      <c r="E737" s="79">
        <v>0.25</v>
      </c>
      <c r="F737" s="80">
        <v>34494</v>
      </c>
      <c r="G737" s="81"/>
      <c r="H737" s="80">
        <v>8625</v>
      </c>
      <c r="I737" s="79">
        <f t="shared" si="8"/>
        <v>0.25004348582362151</v>
      </c>
    </row>
    <row r="738" spans="1:9" x14ac:dyDescent="0.25">
      <c r="A738" s="76" t="s">
        <v>394</v>
      </c>
      <c r="B738" s="76" t="s">
        <v>400</v>
      </c>
      <c r="C738" s="77">
        <v>41178</v>
      </c>
      <c r="D738" s="78">
        <v>41541</v>
      </c>
      <c r="E738" s="79">
        <v>0.25</v>
      </c>
      <c r="F738" s="80">
        <v>33656</v>
      </c>
      <c r="G738" s="81"/>
      <c r="H738" s="80">
        <v>8414</v>
      </c>
      <c r="I738" s="79">
        <f t="shared" si="8"/>
        <v>0.25</v>
      </c>
    </row>
    <row r="739" spans="1:9" x14ac:dyDescent="0.25">
      <c r="A739" s="76" t="s">
        <v>394</v>
      </c>
      <c r="B739" s="76" t="s">
        <v>401</v>
      </c>
      <c r="C739" s="77">
        <v>40842</v>
      </c>
      <c r="D739" s="78">
        <v>41208</v>
      </c>
      <c r="E739" s="79">
        <v>0.3</v>
      </c>
      <c r="F739" s="80">
        <v>35440</v>
      </c>
      <c r="G739" s="81"/>
      <c r="H739" s="80">
        <v>10653</v>
      </c>
      <c r="I739" s="79">
        <f t="shared" si="8"/>
        <v>0.30059255079006775</v>
      </c>
    </row>
    <row r="740" spans="1:9" x14ac:dyDescent="0.25">
      <c r="A740" s="76" t="s">
        <v>394</v>
      </c>
      <c r="B740" s="76" t="s">
        <v>397</v>
      </c>
      <c r="C740" s="77">
        <v>40801</v>
      </c>
      <c r="D740" s="78">
        <v>41167</v>
      </c>
      <c r="E740" s="79">
        <v>0.3</v>
      </c>
      <c r="F740" s="80">
        <v>74590</v>
      </c>
      <c r="G740" s="81"/>
      <c r="H740" s="80">
        <v>22377</v>
      </c>
      <c r="I740" s="79">
        <f t="shared" si="8"/>
        <v>0.3</v>
      </c>
    </row>
    <row r="741" spans="1:9" x14ac:dyDescent="0.25">
      <c r="A741" s="76" t="s">
        <v>394</v>
      </c>
      <c r="B741" s="76" t="s">
        <v>397</v>
      </c>
      <c r="C741" s="77">
        <v>41164</v>
      </c>
      <c r="D741" s="78">
        <v>41443</v>
      </c>
      <c r="E741" s="79">
        <v>0.3</v>
      </c>
      <c r="F741" s="80">
        <v>45391</v>
      </c>
      <c r="G741" s="81"/>
      <c r="H741" s="80">
        <v>13668</v>
      </c>
      <c r="I741" s="79">
        <f t="shared" si="8"/>
        <v>0.30111696151219403</v>
      </c>
    </row>
    <row r="742" spans="1:9" x14ac:dyDescent="0.25">
      <c r="A742" s="76" t="s">
        <v>394</v>
      </c>
      <c r="B742" s="76" t="s">
        <v>404</v>
      </c>
      <c r="C742" s="77">
        <v>41120</v>
      </c>
      <c r="D742" s="78">
        <v>41485</v>
      </c>
      <c r="E742" s="79">
        <v>0.3</v>
      </c>
      <c r="F742" s="80">
        <v>128735</v>
      </c>
      <c r="G742" s="81"/>
      <c r="H742" s="80">
        <v>38620.5</v>
      </c>
      <c r="I742" s="79">
        <f t="shared" si="8"/>
        <v>0.3</v>
      </c>
    </row>
    <row r="743" spans="1:9" x14ac:dyDescent="0.25">
      <c r="A743" s="76" t="s">
        <v>394</v>
      </c>
      <c r="B743" s="76" t="s">
        <v>398</v>
      </c>
      <c r="C743" s="77">
        <v>40969</v>
      </c>
      <c r="D743" s="78">
        <v>41275</v>
      </c>
      <c r="E743" s="79">
        <v>0.3</v>
      </c>
      <c r="F743" s="80">
        <v>35694</v>
      </c>
      <c r="G743" s="81"/>
      <c r="H743" s="80">
        <v>10708</v>
      </c>
      <c r="I743" s="79">
        <f t="shared" si="8"/>
        <v>0.29999439681739226</v>
      </c>
    </row>
    <row r="744" spans="1:9" x14ac:dyDescent="0.25">
      <c r="A744" s="76" t="s">
        <v>394</v>
      </c>
      <c r="B744" s="76" t="s">
        <v>399</v>
      </c>
      <c r="C744" s="77">
        <v>41030</v>
      </c>
      <c r="D744" s="78">
        <v>41214</v>
      </c>
      <c r="E744" s="79">
        <v>0.3</v>
      </c>
      <c r="F744" s="80">
        <v>37160</v>
      </c>
      <c r="G744" s="81"/>
      <c r="H744" s="80">
        <v>11148</v>
      </c>
      <c r="I744" s="79">
        <f t="shared" si="8"/>
        <v>0.3</v>
      </c>
    </row>
    <row r="745" spans="1:9" x14ac:dyDescent="0.25">
      <c r="A745" s="76" t="s">
        <v>394</v>
      </c>
      <c r="B745" s="76" t="s">
        <v>395</v>
      </c>
      <c r="C745" s="77">
        <v>41095</v>
      </c>
      <c r="D745" s="78">
        <v>41436</v>
      </c>
      <c r="E745" s="79">
        <v>0.3</v>
      </c>
      <c r="F745" s="80">
        <v>27207</v>
      </c>
      <c r="G745" s="81"/>
      <c r="H745" s="80">
        <v>8162</v>
      </c>
      <c r="I745" s="79">
        <f t="shared" si="8"/>
        <v>0.29999632447531888</v>
      </c>
    </row>
    <row r="746" spans="1:9" x14ac:dyDescent="0.25">
      <c r="A746" s="76" t="s">
        <v>394</v>
      </c>
      <c r="B746" s="76" t="s">
        <v>395</v>
      </c>
      <c r="C746" s="77">
        <v>40725</v>
      </c>
      <c r="D746" s="78">
        <v>41075</v>
      </c>
      <c r="E746" s="79">
        <v>0.3</v>
      </c>
      <c r="F746" s="80"/>
      <c r="G746" s="81">
        <v>26882</v>
      </c>
      <c r="H746" s="80">
        <v>8065</v>
      </c>
      <c r="I746" s="79">
        <f>H746/G746</f>
        <v>0.3000148798452496</v>
      </c>
    </row>
    <row r="747" spans="1:9" x14ac:dyDescent="0.25">
      <c r="A747" s="76" t="s">
        <v>394</v>
      </c>
      <c r="B747" s="76" t="s">
        <v>402</v>
      </c>
      <c r="C747" s="77">
        <v>40967</v>
      </c>
      <c r="D747" s="78">
        <v>41333</v>
      </c>
      <c r="E747" s="79">
        <v>0.35</v>
      </c>
      <c r="F747" s="80"/>
      <c r="G747" s="81">
        <v>32144</v>
      </c>
      <c r="H747" s="80">
        <v>12250</v>
      </c>
      <c r="I747" s="79">
        <f>H747/G747</f>
        <v>0.38109756097560976</v>
      </c>
    </row>
    <row r="748" spans="1:9" x14ac:dyDescent="0.25">
      <c r="A748" s="76" t="s">
        <v>394</v>
      </c>
      <c r="B748" s="76" t="s">
        <v>402</v>
      </c>
      <c r="C748" s="77">
        <v>40658</v>
      </c>
      <c r="D748" s="78">
        <v>41013</v>
      </c>
      <c r="E748" s="79">
        <v>0.3</v>
      </c>
      <c r="F748" s="80"/>
      <c r="G748" s="81">
        <v>33150</v>
      </c>
      <c r="H748" s="80">
        <v>11890</v>
      </c>
      <c r="I748" s="79">
        <f>H748/G748</f>
        <v>0.35867269984917044</v>
      </c>
    </row>
    <row r="749" spans="1:9" x14ac:dyDescent="0.25">
      <c r="A749" s="76" t="s">
        <v>394</v>
      </c>
      <c r="B749" s="76" t="s">
        <v>396</v>
      </c>
      <c r="C749" s="77">
        <v>40725</v>
      </c>
      <c r="D749" s="78">
        <v>41075</v>
      </c>
      <c r="E749" s="79">
        <v>0.3</v>
      </c>
      <c r="F749" s="80"/>
      <c r="G749" s="81">
        <v>35217</v>
      </c>
      <c r="H749" s="80">
        <v>10565</v>
      </c>
      <c r="I749" s="79">
        <f>H749/G749</f>
        <v>0.29999716046227676</v>
      </c>
    </row>
    <row r="750" spans="1:9" x14ac:dyDescent="0.25">
      <c r="A750" s="76" t="s">
        <v>394</v>
      </c>
      <c r="B750" s="76" t="s">
        <v>396</v>
      </c>
      <c r="C750" s="77">
        <v>41122</v>
      </c>
      <c r="D750" s="78">
        <v>41455</v>
      </c>
      <c r="E750" s="79">
        <v>0.3</v>
      </c>
      <c r="F750" s="80">
        <v>31301</v>
      </c>
      <c r="G750" s="81"/>
      <c r="H750" s="80">
        <v>9390</v>
      </c>
      <c r="I750" s="79">
        <f>H750/F750</f>
        <v>0.29999041564167278</v>
      </c>
    </row>
    <row r="751" spans="1:9" x14ac:dyDescent="0.25">
      <c r="A751" s="76" t="s">
        <v>405</v>
      </c>
      <c r="B751" s="76" t="s">
        <v>406</v>
      </c>
      <c r="C751" s="77">
        <v>40756</v>
      </c>
      <c r="D751" s="78">
        <v>41122</v>
      </c>
      <c r="E751" s="79">
        <v>0.3</v>
      </c>
      <c r="F751" s="80"/>
      <c r="G751" s="81">
        <v>31545</v>
      </c>
      <c r="H751" s="80">
        <v>9463.5</v>
      </c>
      <c r="I751" s="79">
        <f t="shared" ref="I751:I757" si="9">H751/G751</f>
        <v>0.3</v>
      </c>
    </row>
    <row r="752" spans="1:9" x14ac:dyDescent="0.25">
      <c r="A752" s="76" t="s">
        <v>407</v>
      </c>
      <c r="B752" s="76" t="s">
        <v>409</v>
      </c>
      <c r="C752" s="77">
        <v>40850</v>
      </c>
      <c r="D752" s="78">
        <v>41029</v>
      </c>
      <c r="E752" s="79">
        <v>0.18</v>
      </c>
      <c r="F752" s="88"/>
      <c r="G752" s="81">
        <v>61069.32</v>
      </c>
      <c r="H752" s="80">
        <v>10996.11</v>
      </c>
      <c r="I752" s="79">
        <f t="shared" si="9"/>
        <v>0.18005947994836033</v>
      </c>
    </row>
    <row r="753" spans="1:9" x14ac:dyDescent="0.25">
      <c r="A753" s="76" t="s">
        <v>407</v>
      </c>
      <c r="B753" s="76" t="s">
        <v>408</v>
      </c>
      <c r="C753" s="77">
        <v>40830</v>
      </c>
      <c r="D753" s="78">
        <v>40939</v>
      </c>
      <c r="E753" s="79">
        <v>0.25</v>
      </c>
      <c r="F753" s="88"/>
      <c r="G753" s="81">
        <v>22915</v>
      </c>
      <c r="H753" s="80">
        <v>5728.75</v>
      </c>
      <c r="I753" s="79">
        <f t="shared" si="9"/>
        <v>0.25</v>
      </c>
    </row>
    <row r="754" spans="1:9" x14ac:dyDescent="0.25">
      <c r="A754" s="76" t="s">
        <v>410</v>
      </c>
      <c r="B754" s="76" t="s">
        <v>412</v>
      </c>
      <c r="C754" s="77">
        <v>40913</v>
      </c>
      <c r="D754" s="78">
        <v>41060</v>
      </c>
      <c r="E754" s="79">
        <v>0.23</v>
      </c>
      <c r="F754" s="88"/>
      <c r="G754" s="81">
        <v>18670</v>
      </c>
      <c r="H754" s="80">
        <v>4279.01</v>
      </c>
      <c r="I754" s="79">
        <f t="shared" si="9"/>
        <v>0.22919175147295126</v>
      </c>
    </row>
    <row r="755" spans="1:9" x14ac:dyDescent="0.25">
      <c r="A755" s="76" t="s">
        <v>410</v>
      </c>
      <c r="B755" s="76" t="s">
        <v>411</v>
      </c>
      <c r="C755" s="77">
        <v>40729</v>
      </c>
      <c r="D755" s="78">
        <v>40939</v>
      </c>
      <c r="E755" s="79">
        <v>0.12</v>
      </c>
      <c r="F755" s="88"/>
      <c r="G755" s="81">
        <v>42404.5</v>
      </c>
      <c r="H755" s="80">
        <v>5088.54</v>
      </c>
      <c r="I755" s="79">
        <f t="shared" si="9"/>
        <v>0.12</v>
      </c>
    </row>
    <row r="756" spans="1:9" x14ac:dyDescent="0.25">
      <c r="A756" s="76" t="s">
        <v>413</v>
      </c>
      <c r="B756" s="76" t="s">
        <v>414</v>
      </c>
      <c r="C756" s="77">
        <v>40575</v>
      </c>
      <c r="D756" s="78">
        <v>40939</v>
      </c>
      <c r="E756" s="79">
        <v>0.29699999999999999</v>
      </c>
      <c r="F756" s="112"/>
      <c r="G756" s="81">
        <v>574208</v>
      </c>
      <c r="H756" s="80">
        <v>187222</v>
      </c>
      <c r="I756" s="79">
        <f t="shared" si="9"/>
        <v>0.3260525802496656</v>
      </c>
    </row>
    <row r="757" spans="1:9" x14ac:dyDescent="0.25">
      <c r="A757" s="76" t="s">
        <v>413</v>
      </c>
      <c r="B757" s="76" t="s">
        <v>414</v>
      </c>
      <c r="C757" s="77">
        <v>40940</v>
      </c>
      <c r="D757" s="78">
        <v>41305</v>
      </c>
      <c r="E757" s="79">
        <v>0.29699999999999999</v>
      </c>
      <c r="F757" s="80"/>
      <c r="G757" s="81">
        <v>517065</v>
      </c>
      <c r="H757" s="80">
        <v>167110</v>
      </c>
      <c r="I757" s="79">
        <f t="shared" si="9"/>
        <v>0.32318954096680302</v>
      </c>
    </row>
    <row r="758" spans="1:9" ht="28.5" x14ac:dyDescent="0.25">
      <c r="A758" s="76" t="s">
        <v>415</v>
      </c>
      <c r="B758" s="76" t="s">
        <v>420</v>
      </c>
      <c r="C758" s="77">
        <v>40776</v>
      </c>
      <c r="D758" s="78">
        <v>41141</v>
      </c>
      <c r="E758" s="79">
        <v>0.35</v>
      </c>
      <c r="F758" s="80">
        <v>93290</v>
      </c>
      <c r="G758" s="81"/>
      <c r="H758" s="80">
        <v>37316</v>
      </c>
      <c r="I758" s="79">
        <f t="shared" ref="I758:I768" si="10">H758/F758</f>
        <v>0.4</v>
      </c>
    </row>
    <row r="759" spans="1:9" ht="28.5" x14ac:dyDescent="0.25">
      <c r="A759" s="76" t="s">
        <v>415</v>
      </c>
      <c r="B759" s="76" t="s">
        <v>418</v>
      </c>
      <c r="C759" s="77">
        <v>40738</v>
      </c>
      <c r="D759" s="78">
        <v>41103</v>
      </c>
      <c r="E759" s="79">
        <v>0.35</v>
      </c>
      <c r="F759" s="80">
        <v>70988.789999999994</v>
      </c>
      <c r="G759" s="81"/>
      <c r="H759" s="80">
        <v>24846.080000000002</v>
      </c>
      <c r="I759" s="79">
        <f t="shared" si="10"/>
        <v>0.3500000493035591</v>
      </c>
    </row>
    <row r="760" spans="1:9" ht="28.5" x14ac:dyDescent="0.25">
      <c r="A760" s="76" t="s">
        <v>415</v>
      </c>
      <c r="B760" s="76" t="s">
        <v>421</v>
      </c>
      <c r="C760" s="77">
        <v>40985</v>
      </c>
      <c r="D760" s="78">
        <v>41349</v>
      </c>
      <c r="E760" s="79">
        <v>0.35</v>
      </c>
      <c r="F760" s="80">
        <v>113490</v>
      </c>
      <c r="G760" s="81"/>
      <c r="H760" s="80">
        <v>45396</v>
      </c>
      <c r="I760" s="79">
        <f t="shared" si="10"/>
        <v>0.4</v>
      </c>
    </row>
    <row r="761" spans="1:9" ht="28.5" x14ac:dyDescent="0.25">
      <c r="A761" s="76" t="s">
        <v>415</v>
      </c>
      <c r="B761" s="76" t="s">
        <v>416</v>
      </c>
      <c r="C761" s="77">
        <v>40634</v>
      </c>
      <c r="D761" s="78">
        <v>40984</v>
      </c>
      <c r="E761" s="79">
        <v>0.35</v>
      </c>
      <c r="F761" s="80">
        <v>120075</v>
      </c>
      <c r="G761" s="81"/>
      <c r="H761" s="80">
        <v>48030</v>
      </c>
      <c r="I761" s="79">
        <f t="shared" si="10"/>
        <v>0.4</v>
      </c>
    </row>
    <row r="762" spans="1:9" ht="28.5" x14ac:dyDescent="0.25">
      <c r="A762" s="76" t="s">
        <v>415</v>
      </c>
      <c r="B762" s="76" t="s">
        <v>417</v>
      </c>
      <c r="C762" s="77">
        <v>40664</v>
      </c>
      <c r="D762" s="78">
        <v>41029</v>
      </c>
      <c r="E762" s="79">
        <v>0.35</v>
      </c>
      <c r="F762" s="80">
        <v>68965</v>
      </c>
      <c r="G762" s="81"/>
      <c r="H762" s="80">
        <v>24137.75</v>
      </c>
      <c r="I762" s="79">
        <f t="shared" si="10"/>
        <v>0.35</v>
      </c>
    </row>
    <row r="763" spans="1:9" ht="28.5" x14ac:dyDescent="0.25">
      <c r="A763" s="76" t="s">
        <v>415</v>
      </c>
      <c r="B763" s="76" t="s">
        <v>419</v>
      </c>
      <c r="C763" s="77">
        <v>40756</v>
      </c>
      <c r="D763" s="78">
        <v>41122</v>
      </c>
      <c r="E763" s="79">
        <v>0.35</v>
      </c>
      <c r="F763" s="80">
        <v>56528</v>
      </c>
      <c r="G763" s="81"/>
      <c r="H763" s="80">
        <v>19784.8</v>
      </c>
      <c r="I763" s="79">
        <f t="shared" si="10"/>
        <v>0.35</v>
      </c>
    </row>
    <row r="764" spans="1:9" ht="28.5" x14ac:dyDescent="0.25">
      <c r="A764" s="76" t="s">
        <v>422</v>
      </c>
      <c r="B764" s="76" t="s">
        <v>425</v>
      </c>
      <c r="C764" s="77">
        <v>41142</v>
      </c>
      <c r="D764" s="78">
        <v>41506</v>
      </c>
      <c r="E764" s="79">
        <v>0.35</v>
      </c>
      <c r="F764" s="80">
        <v>111870</v>
      </c>
      <c r="G764" s="88"/>
      <c r="H764" s="80">
        <v>44748</v>
      </c>
      <c r="I764" s="79">
        <f t="shared" si="10"/>
        <v>0.4</v>
      </c>
    </row>
    <row r="765" spans="1:9" ht="28.5" x14ac:dyDescent="0.25">
      <c r="A765" s="76" t="s">
        <v>422</v>
      </c>
      <c r="B765" s="76" t="s">
        <v>418</v>
      </c>
      <c r="C765" s="77">
        <v>41104</v>
      </c>
      <c r="D765" s="78">
        <v>41467</v>
      </c>
      <c r="E765" s="79">
        <v>0.35</v>
      </c>
      <c r="F765" s="80">
        <v>75970</v>
      </c>
      <c r="G765" s="88"/>
      <c r="H765" s="80">
        <v>26589.5</v>
      </c>
      <c r="I765" s="79">
        <f t="shared" si="10"/>
        <v>0.35</v>
      </c>
    </row>
    <row r="766" spans="1:9" ht="28.5" x14ac:dyDescent="0.25">
      <c r="A766" s="76" t="s">
        <v>422</v>
      </c>
      <c r="B766" s="76" t="s">
        <v>424</v>
      </c>
      <c r="C766" s="77">
        <v>40985</v>
      </c>
      <c r="D766" s="78">
        <v>41349</v>
      </c>
      <c r="E766" s="79">
        <v>0.2</v>
      </c>
      <c r="F766" s="80">
        <v>63975.17</v>
      </c>
      <c r="G766" s="88"/>
      <c r="H766" s="80">
        <v>25590.07</v>
      </c>
      <c r="I766" s="79">
        <f t="shared" si="10"/>
        <v>0.40000003126212874</v>
      </c>
    </row>
    <row r="767" spans="1:9" ht="28.5" x14ac:dyDescent="0.25">
      <c r="A767" s="76" t="s">
        <v>422</v>
      </c>
      <c r="B767" s="76" t="s">
        <v>423</v>
      </c>
      <c r="C767" s="77">
        <v>40634</v>
      </c>
      <c r="D767" s="78">
        <v>40984</v>
      </c>
      <c r="E767" s="79">
        <v>0.2</v>
      </c>
      <c r="F767" s="80">
        <v>65350</v>
      </c>
      <c r="G767" s="88"/>
      <c r="H767" s="80">
        <v>26140</v>
      </c>
      <c r="I767" s="79">
        <f t="shared" si="10"/>
        <v>0.4</v>
      </c>
    </row>
    <row r="768" spans="1:9" ht="28.5" x14ac:dyDescent="0.25">
      <c r="A768" s="76" t="s">
        <v>422</v>
      </c>
      <c r="B768" s="76" t="s">
        <v>419</v>
      </c>
      <c r="C768" s="77">
        <v>41122</v>
      </c>
      <c r="D768" s="78">
        <v>41487</v>
      </c>
      <c r="E768" s="79">
        <v>0.35</v>
      </c>
      <c r="F768" s="80">
        <v>82587</v>
      </c>
      <c r="G768" s="88"/>
      <c r="H768" s="80">
        <v>28905.45</v>
      </c>
      <c r="I768" s="79">
        <f t="shared" si="10"/>
        <v>0.35000000000000003</v>
      </c>
    </row>
    <row r="769" spans="1:9" x14ac:dyDescent="0.25">
      <c r="A769" s="76" t="s">
        <v>426</v>
      </c>
      <c r="B769" s="76" t="s">
        <v>427</v>
      </c>
      <c r="C769" s="77">
        <v>40729</v>
      </c>
      <c r="D769" s="78">
        <v>41014</v>
      </c>
      <c r="E769" s="79">
        <v>0.1</v>
      </c>
      <c r="F769" s="88"/>
      <c r="G769" s="81">
        <v>209380.83</v>
      </c>
      <c r="H769" s="80">
        <v>20938.09</v>
      </c>
      <c r="I769" s="79">
        <f t="shared" ref="I769:I788" si="11">H769/G769</f>
        <v>0.10000003343190493</v>
      </c>
    </row>
    <row r="770" spans="1:9" x14ac:dyDescent="0.25">
      <c r="A770" s="76" t="s">
        <v>426</v>
      </c>
      <c r="B770" s="76" t="s">
        <v>428</v>
      </c>
      <c r="C770" s="77">
        <v>40952</v>
      </c>
      <c r="D770" s="78">
        <v>41258</v>
      </c>
      <c r="E770" s="79">
        <v>0.1</v>
      </c>
      <c r="F770" s="88"/>
      <c r="G770" s="81">
        <v>153385</v>
      </c>
      <c r="H770" s="80">
        <v>15338.5</v>
      </c>
      <c r="I770" s="79">
        <f t="shared" si="11"/>
        <v>0.1</v>
      </c>
    </row>
    <row r="771" spans="1:9" x14ac:dyDescent="0.25">
      <c r="A771" s="76" t="s">
        <v>429</v>
      </c>
      <c r="B771" s="76" t="s">
        <v>431</v>
      </c>
      <c r="C771" s="77">
        <v>40847</v>
      </c>
      <c r="D771" s="78">
        <v>41151</v>
      </c>
      <c r="E771" s="79">
        <v>0.2</v>
      </c>
      <c r="F771" s="88"/>
      <c r="G771" s="81">
        <v>97145</v>
      </c>
      <c r="H771" s="80">
        <v>77716</v>
      </c>
      <c r="I771" s="79">
        <f t="shared" si="11"/>
        <v>0.8</v>
      </c>
    </row>
    <row r="772" spans="1:9" x14ac:dyDescent="0.25">
      <c r="A772" s="76" t="s">
        <v>429</v>
      </c>
      <c r="B772" s="76" t="s">
        <v>430</v>
      </c>
      <c r="C772" s="77">
        <v>40664</v>
      </c>
      <c r="D772" s="78">
        <v>40961</v>
      </c>
      <c r="E772" s="79">
        <v>0.2</v>
      </c>
      <c r="F772" s="88"/>
      <c r="G772" s="81">
        <v>53999</v>
      </c>
      <c r="H772" s="80">
        <v>10799.8</v>
      </c>
      <c r="I772" s="79">
        <f t="shared" si="11"/>
        <v>0.19999999999999998</v>
      </c>
    </row>
    <row r="773" spans="1:9" x14ac:dyDescent="0.25">
      <c r="A773" s="76" t="s">
        <v>429</v>
      </c>
      <c r="B773" s="76" t="s">
        <v>433</v>
      </c>
      <c r="C773" s="77">
        <v>40910</v>
      </c>
      <c r="D773" s="78">
        <v>41151</v>
      </c>
      <c r="E773" s="79">
        <v>0.2</v>
      </c>
      <c r="F773" s="88"/>
      <c r="G773" s="81">
        <v>54585</v>
      </c>
      <c r="H773" s="80">
        <v>10917</v>
      </c>
      <c r="I773" s="79">
        <f t="shared" si="11"/>
        <v>0.2</v>
      </c>
    </row>
    <row r="774" spans="1:9" x14ac:dyDescent="0.25">
      <c r="A774" s="76" t="s">
        <v>429</v>
      </c>
      <c r="B774" s="76" t="s">
        <v>436</v>
      </c>
      <c r="C774" s="77">
        <v>41078</v>
      </c>
      <c r="D774" s="78">
        <v>41151</v>
      </c>
      <c r="E774" s="79">
        <v>0.2</v>
      </c>
      <c r="F774" s="88"/>
      <c r="G774" s="81">
        <v>15400</v>
      </c>
      <c r="H774" s="80">
        <v>3080</v>
      </c>
      <c r="I774" s="79">
        <f t="shared" si="11"/>
        <v>0.2</v>
      </c>
    </row>
    <row r="775" spans="1:9" x14ac:dyDescent="0.25">
      <c r="A775" s="76" t="s">
        <v>429</v>
      </c>
      <c r="B775" s="76" t="s">
        <v>432</v>
      </c>
      <c r="C775" s="77">
        <v>40910</v>
      </c>
      <c r="D775" s="78">
        <v>41151</v>
      </c>
      <c r="E775" s="79">
        <v>0.2</v>
      </c>
      <c r="F775" s="88"/>
      <c r="G775" s="81">
        <v>36958</v>
      </c>
      <c r="H775" s="80">
        <v>7490.8</v>
      </c>
      <c r="I775" s="79">
        <f t="shared" si="11"/>
        <v>0.20268412792900048</v>
      </c>
    </row>
    <row r="776" spans="1:9" x14ac:dyDescent="0.25">
      <c r="A776" s="76" t="s">
        <v>429</v>
      </c>
      <c r="B776" s="76" t="s">
        <v>435</v>
      </c>
      <c r="C776" s="77">
        <v>41029</v>
      </c>
      <c r="D776" s="78">
        <v>41151</v>
      </c>
      <c r="E776" s="79">
        <v>0.2</v>
      </c>
      <c r="F776" s="88"/>
      <c r="G776" s="81">
        <v>25005</v>
      </c>
      <c r="H776" s="80">
        <v>5001</v>
      </c>
      <c r="I776" s="79">
        <f t="shared" si="11"/>
        <v>0.2</v>
      </c>
    </row>
    <row r="777" spans="1:9" x14ac:dyDescent="0.25">
      <c r="A777" s="76" t="s">
        <v>429</v>
      </c>
      <c r="B777" s="76" t="s">
        <v>434</v>
      </c>
      <c r="C777" s="77">
        <v>40980</v>
      </c>
      <c r="D777" s="78">
        <v>41151</v>
      </c>
      <c r="E777" s="79">
        <v>0.2</v>
      </c>
      <c r="F777" s="88"/>
      <c r="G777" s="81">
        <v>28712</v>
      </c>
      <c r="H777" s="80">
        <v>6742.2</v>
      </c>
      <c r="I777" s="79">
        <f t="shared" si="11"/>
        <v>0.23482167734745055</v>
      </c>
    </row>
    <row r="778" spans="1:9" x14ac:dyDescent="0.25">
      <c r="A778" s="76" t="s">
        <v>439</v>
      </c>
      <c r="B778" s="76" t="s">
        <v>446</v>
      </c>
      <c r="C778" s="77">
        <v>41156</v>
      </c>
      <c r="D778" s="78">
        <v>41419</v>
      </c>
      <c r="E778" s="79">
        <v>0.14000000000000001</v>
      </c>
      <c r="F778" s="88"/>
      <c r="G778" s="81">
        <v>8977</v>
      </c>
      <c r="H778" s="80">
        <v>1464</v>
      </c>
      <c r="I778" s="79">
        <f t="shared" si="11"/>
        <v>0.16308343544614012</v>
      </c>
    </row>
    <row r="779" spans="1:9" x14ac:dyDescent="0.25">
      <c r="A779" s="76" t="s">
        <v>439</v>
      </c>
      <c r="B779" s="76" t="s">
        <v>447</v>
      </c>
      <c r="C779" s="77">
        <v>41183</v>
      </c>
      <c r="D779" s="78">
        <v>41419</v>
      </c>
      <c r="E779" s="79">
        <v>0.14000000000000001</v>
      </c>
      <c r="F779" s="88"/>
      <c r="G779" s="81">
        <v>7532</v>
      </c>
      <c r="H779" s="80">
        <v>1467</v>
      </c>
      <c r="I779" s="79">
        <f t="shared" si="11"/>
        <v>0.19476898566117898</v>
      </c>
    </row>
    <row r="780" spans="1:9" x14ac:dyDescent="0.25">
      <c r="A780" s="76" t="s">
        <v>439</v>
      </c>
      <c r="B780" s="76" t="s">
        <v>442</v>
      </c>
      <c r="C780" s="77">
        <v>41162</v>
      </c>
      <c r="D780" s="78">
        <v>41419</v>
      </c>
      <c r="E780" s="79">
        <v>0.14000000000000001</v>
      </c>
      <c r="F780" s="88"/>
      <c r="G780" s="81">
        <v>18774</v>
      </c>
      <c r="H780" s="80">
        <v>3648.08</v>
      </c>
      <c r="I780" s="79">
        <f t="shared" si="11"/>
        <v>0.19431554277191862</v>
      </c>
    </row>
    <row r="781" spans="1:9" x14ac:dyDescent="0.25">
      <c r="A781" s="76" t="s">
        <v>439</v>
      </c>
      <c r="B781" s="76" t="s">
        <v>441</v>
      </c>
      <c r="C781" s="77">
        <v>41239</v>
      </c>
      <c r="D781" s="78">
        <v>41333</v>
      </c>
      <c r="E781" s="79">
        <v>0.14000000000000001</v>
      </c>
      <c r="F781" s="88"/>
      <c r="G781" s="81">
        <v>7753</v>
      </c>
      <c r="H781" s="80">
        <v>1468.12</v>
      </c>
      <c r="I781" s="79">
        <f t="shared" si="11"/>
        <v>0.18936153746936668</v>
      </c>
    </row>
    <row r="782" spans="1:9" x14ac:dyDescent="0.25">
      <c r="A782" s="76" t="s">
        <v>439</v>
      </c>
      <c r="B782" s="76" t="s">
        <v>444</v>
      </c>
      <c r="C782" s="77">
        <v>41148</v>
      </c>
      <c r="D782" s="78">
        <v>41418</v>
      </c>
      <c r="E782" s="79">
        <v>0.14000000000000001</v>
      </c>
      <c r="F782" s="88"/>
      <c r="G782" s="81">
        <v>12404</v>
      </c>
      <c r="H782" s="80">
        <v>2198</v>
      </c>
      <c r="I782" s="79">
        <f t="shared" si="11"/>
        <v>0.17720090293453725</v>
      </c>
    </row>
    <row r="783" spans="1:9" x14ac:dyDescent="0.25">
      <c r="A783" s="76" t="s">
        <v>439</v>
      </c>
      <c r="B783" s="76" t="s">
        <v>445</v>
      </c>
      <c r="C783" s="77">
        <v>40973</v>
      </c>
      <c r="D783" s="78">
        <v>41502</v>
      </c>
      <c r="E783" s="79">
        <v>0.14000000000000001</v>
      </c>
      <c r="F783" s="88"/>
      <c r="G783" s="81">
        <v>11970</v>
      </c>
      <c r="H783" s="80">
        <v>2000.88</v>
      </c>
      <c r="I783" s="79">
        <f t="shared" si="11"/>
        <v>0.16715789473684212</v>
      </c>
    </row>
    <row r="784" spans="1:9" x14ac:dyDescent="0.25">
      <c r="A784" s="76" t="s">
        <v>439</v>
      </c>
      <c r="B784" s="76" t="s">
        <v>443</v>
      </c>
      <c r="C784" s="77">
        <v>41127</v>
      </c>
      <c r="D784" s="78">
        <v>41417</v>
      </c>
      <c r="E784" s="79">
        <v>0.14000000000000001</v>
      </c>
      <c r="F784" s="88"/>
      <c r="G784" s="81">
        <v>11587</v>
      </c>
      <c r="H784" s="80">
        <v>1810.52</v>
      </c>
      <c r="I784" s="79">
        <f t="shared" si="11"/>
        <v>0.15625442306032622</v>
      </c>
    </row>
    <row r="785" spans="1:9" x14ac:dyDescent="0.25">
      <c r="A785" s="76" t="s">
        <v>439</v>
      </c>
      <c r="B785" s="76" t="s">
        <v>440</v>
      </c>
      <c r="C785" s="77">
        <v>41176</v>
      </c>
      <c r="D785" s="78">
        <v>41417</v>
      </c>
      <c r="E785" s="79">
        <v>0.14000000000000001</v>
      </c>
      <c r="F785" s="88"/>
      <c r="G785" s="81">
        <v>9677</v>
      </c>
      <c r="H785" s="80">
        <v>1614.12</v>
      </c>
      <c r="I785" s="79">
        <f t="shared" si="11"/>
        <v>0.16679962798387929</v>
      </c>
    </row>
    <row r="786" spans="1:9" x14ac:dyDescent="0.25">
      <c r="A786" s="76" t="s">
        <v>439</v>
      </c>
      <c r="B786" s="76" t="s">
        <v>440</v>
      </c>
      <c r="C786" s="77">
        <v>41015</v>
      </c>
      <c r="D786" s="78">
        <v>41348</v>
      </c>
      <c r="E786" s="79">
        <v>0.14000000000000001</v>
      </c>
      <c r="F786" s="88"/>
      <c r="G786" s="81">
        <v>5147</v>
      </c>
      <c r="H786" s="80">
        <v>836.68</v>
      </c>
      <c r="I786" s="79">
        <f t="shared" si="11"/>
        <v>0.16255682922090536</v>
      </c>
    </row>
    <row r="787" spans="1:9" x14ac:dyDescent="0.25">
      <c r="A787" s="76" t="s">
        <v>437</v>
      </c>
      <c r="B787" s="76" t="s">
        <v>438</v>
      </c>
      <c r="C787" s="77">
        <v>40945</v>
      </c>
      <c r="D787" s="78">
        <v>41305</v>
      </c>
      <c r="E787" s="79">
        <v>0.14000000000000001</v>
      </c>
      <c r="F787" s="88"/>
      <c r="G787" s="81">
        <v>4436.25</v>
      </c>
      <c r="H787" s="80">
        <v>739.97</v>
      </c>
      <c r="I787" s="79">
        <f t="shared" si="11"/>
        <v>0.16680078895463513</v>
      </c>
    </row>
    <row r="788" spans="1:9" x14ac:dyDescent="0.25">
      <c r="A788" s="76" t="s">
        <v>439</v>
      </c>
      <c r="B788" s="76" t="s">
        <v>448</v>
      </c>
      <c r="C788" s="77">
        <v>41218</v>
      </c>
      <c r="D788" s="78">
        <v>41577</v>
      </c>
      <c r="E788" s="79">
        <v>0.14000000000000001</v>
      </c>
      <c r="F788" s="88"/>
      <c r="G788" s="81">
        <v>41972</v>
      </c>
      <c r="H788" s="80">
        <v>8225.84</v>
      </c>
      <c r="I788" s="79">
        <f t="shared" si="11"/>
        <v>0.19598398932621749</v>
      </c>
    </row>
    <row r="789" spans="1:9" x14ac:dyDescent="0.25">
      <c r="A789" s="76" t="s">
        <v>449</v>
      </c>
      <c r="B789" s="76" t="s">
        <v>450</v>
      </c>
      <c r="C789" s="77">
        <v>40909</v>
      </c>
      <c r="D789" s="78">
        <v>41274</v>
      </c>
      <c r="E789" s="79">
        <v>0</v>
      </c>
      <c r="F789" s="80">
        <v>0</v>
      </c>
      <c r="G789" s="88"/>
      <c r="H789" s="80">
        <v>0</v>
      </c>
      <c r="I789" s="79">
        <v>0</v>
      </c>
    </row>
    <row r="790" spans="1:9" ht="28.5" x14ac:dyDescent="0.25">
      <c r="A790" s="76" t="s">
        <v>449</v>
      </c>
      <c r="B790" s="76" t="s">
        <v>327</v>
      </c>
      <c r="C790" s="77">
        <v>41166</v>
      </c>
      <c r="D790" s="78">
        <v>41455</v>
      </c>
      <c r="E790" s="79">
        <v>4.4999999999999998E-2</v>
      </c>
      <c r="F790" s="80">
        <v>2415160</v>
      </c>
      <c r="G790" s="81"/>
      <c r="H790" s="80">
        <v>630664</v>
      </c>
      <c r="I790" s="79">
        <f>H790/F790</f>
        <v>0.26112721310389375</v>
      </c>
    </row>
    <row r="791" spans="1:9" ht="28.5" x14ac:dyDescent="0.25">
      <c r="A791" s="76" t="s">
        <v>449</v>
      </c>
      <c r="B791" s="76" t="s">
        <v>327</v>
      </c>
      <c r="C791" s="77">
        <v>40695</v>
      </c>
      <c r="D791" s="78">
        <v>41060</v>
      </c>
      <c r="E791" s="79">
        <v>0</v>
      </c>
      <c r="F791" s="80">
        <v>1843415</v>
      </c>
      <c r="G791" s="81"/>
      <c r="H791" s="80">
        <v>164064</v>
      </c>
      <c r="I791" s="79">
        <f>H791/F791</f>
        <v>8.900003526064397E-2</v>
      </c>
    </row>
    <row r="792" spans="1:9" ht="28.5" x14ac:dyDescent="0.25">
      <c r="A792" s="76" t="s">
        <v>449</v>
      </c>
      <c r="B792" s="76" t="s">
        <v>327</v>
      </c>
      <c r="C792" s="77">
        <v>41061</v>
      </c>
      <c r="D792" s="78">
        <v>41090</v>
      </c>
      <c r="E792" s="79">
        <v>0</v>
      </c>
      <c r="F792" s="80">
        <v>40953</v>
      </c>
      <c r="G792" s="81"/>
      <c r="H792" s="80">
        <v>3414</v>
      </c>
      <c r="I792" s="79">
        <f>H792/F792</f>
        <v>8.3363856127756208E-2</v>
      </c>
    </row>
    <row r="793" spans="1:9" x14ac:dyDescent="0.25">
      <c r="A793" s="76" t="s">
        <v>449</v>
      </c>
      <c r="B793" s="76" t="s">
        <v>330</v>
      </c>
      <c r="C793" s="77">
        <v>40756</v>
      </c>
      <c r="D793" s="78">
        <v>41121</v>
      </c>
      <c r="E793" s="79">
        <v>0</v>
      </c>
      <c r="F793" s="80">
        <v>0</v>
      </c>
      <c r="G793" s="81"/>
      <c r="H793" s="80">
        <v>0</v>
      </c>
      <c r="I793" s="79">
        <v>0</v>
      </c>
    </row>
    <row r="794" spans="1:9" x14ac:dyDescent="0.25">
      <c r="A794" s="76" t="s">
        <v>449</v>
      </c>
      <c r="B794" s="76" t="s">
        <v>330</v>
      </c>
      <c r="C794" s="77">
        <v>41122</v>
      </c>
      <c r="D794" s="78">
        <v>41486</v>
      </c>
      <c r="E794" s="79">
        <v>0</v>
      </c>
      <c r="F794" s="80">
        <v>0</v>
      </c>
      <c r="G794" s="88"/>
      <c r="H794" s="80">
        <v>0</v>
      </c>
      <c r="I794" s="79">
        <v>0</v>
      </c>
    </row>
    <row r="795" spans="1:9" x14ac:dyDescent="0.25">
      <c r="A795" s="76" t="s">
        <v>449</v>
      </c>
      <c r="B795" s="76" t="s">
        <v>465</v>
      </c>
      <c r="C795" s="77">
        <v>40909</v>
      </c>
      <c r="D795" s="78">
        <v>41274</v>
      </c>
      <c r="E795" s="79">
        <v>0</v>
      </c>
      <c r="F795" s="80">
        <v>259816</v>
      </c>
      <c r="G795" s="81"/>
      <c r="H795" s="80">
        <v>145854</v>
      </c>
      <c r="I795" s="79">
        <f t="shared" ref="I795:I808" si="12">H795/F795</f>
        <v>0.5613742032823229</v>
      </c>
    </row>
    <row r="796" spans="1:9" x14ac:dyDescent="0.25">
      <c r="A796" s="76" t="s">
        <v>449</v>
      </c>
      <c r="B796" s="76" t="s">
        <v>459</v>
      </c>
      <c r="C796" s="77">
        <v>40756</v>
      </c>
      <c r="D796" s="78">
        <v>41121</v>
      </c>
      <c r="E796" s="79">
        <v>0.36899999999999999</v>
      </c>
      <c r="F796" s="80">
        <v>181661</v>
      </c>
      <c r="G796" s="81"/>
      <c r="H796" s="80">
        <v>88288</v>
      </c>
      <c r="I796" s="79">
        <f t="shared" si="12"/>
        <v>0.48600415058818347</v>
      </c>
    </row>
    <row r="797" spans="1:9" x14ac:dyDescent="0.25">
      <c r="A797" s="76" t="s">
        <v>449</v>
      </c>
      <c r="B797" s="76" t="s">
        <v>459</v>
      </c>
      <c r="C797" s="77">
        <v>41122</v>
      </c>
      <c r="D797" s="78">
        <v>41486</v>
      </c>
      <c r="E797" s="79">
        <v>0.36899999999999999</v>
      </c>
      <c r="F797" s="80">
        <v>143903</v>
      </c>
      <c r="G797" s="81"/>
      <c r="H797" s="80">
        <v>79632</v>
      </c>
      <c r="I797" s="79">
        <f t="shared" si="12"/>
        <v>0.55337275803840091</v>
      </c>
    </row>
    <row r="798" spans="1:9" x14ac:dyDescent="0.25">
      <c r="A798" s="76" t="s">
        <v>449</v>
      </c>
      <c r="B798" s="76" t="s">
        <v>73</v>
      </c>
      <c r="C798" s="77">
        <v>40913</v>
      </c>
      <c r="D798" s="78">
        <v>41274</v>
      </c>
      <c r="E798" s="79">
        <v>0</v>
      </c>
      <c r="F798" s="80">
        <v>123515</v>
      </c>
      <c r="G798" s="81"/>
      <c r="H798" s="80">
        <v>0</v>
      </c>
      <c r="I798" s="79">
        <f t="shared" si="12"/>
        <v>0</v>
      </c>
    </row>
    <row r="799" spans="1:9" x14ac:dyDescent="0.25">
      <c r="A799" s="76" t="s">
        <v>449</v>
      </c>
      <c r="B799" s="76" t="s">
        <v>457</v>
      </c>
      <c r="C799" s="77">
        <v>40756</v>
      </c>
      <c r="D799" s="78">
        <v>41121</v>
      </c>
      <c r="E799" s="79">
        <v>0</v>
      </c>
      <c r="F799" s="80">
        <v>491460</v>
      </c>
      <c r="G799" s="81"/>
      <c r="H799" s="80">
        <v>191763</v>
      </c>
      <c r="I799" s="79">
        <f t="shared" si="12"/>
        <v>0.39019045293614946</v>
      </c>
    </row>
    <row r="800" spans="1:9" x14ac:dyDescent="0.25">
      <c r="A800" s="76" t="s">
        <v>449</v>
      </c>
      <c r="B800" s="76" t="s">
        <v>457</v>
      </c>
      <c r="C800" s="77">
        <v>41122</v>
      </c>
      <c r="D800" s="78">
        <v>41182</v>
      </c>
      <c r="E800" s="79">
        <v>0</v>
      </c>
      <c r="F800" s="80">
        <v>253643</v>
      </c>
      <c r="G800" s="81"/>
      <c r="H800" s="80">
        <v>87168</v>
      </c>
      <c r="I800" s="79">
        <f t="shared" si="12"/>
        <v>0.34366412635081589</v>
      </c>
    </row>
    <row r="801" spans="1:9" x14ac:dyDescent="0.25">
      <c r="A801" s="76" t="s">
        <v>449</v>
      </c>
      <c r="B801" s="76" t="s">
        <v>476</v>
      </c>
      <c r="C801" s="77">
        <v>41221</v>
      </c>
      <c r="D801" s="78">
        <v>41547</v>
      </c>
      <c r="E801" s="79">
        <v>0</v>
      </c>
      <c r="F801" s="80">
        <v>753838</v>
      </c>
      <c r="G801" s="88"/>
      <c r="H801" s="80">
        <v>294051</v>
      </c>
      <c r="I801" s="79">
        <f t="shared" si="12"/>
        <v>0.39007187220596468</v>
      </c>
    </row>
    <row r="802" spans="1:9" x14ac:dyDescent="0.25">
      <c r="A802" s="76" t="s">
        <v>449</v>
      </c>
      <c r="B802" s="76" t="s">
        <v>152</v>
      </c>
      <c r="C802" s="77">
        <v>40982</v>
      </c>
      <c r="D802" s="78">
        <v>41334</v>
      </c>
      <c r="E802" s="79">
        <v>0</v>
      </c>
      <c r="F802" s="80">
        <v>1281677</v>
      </c>
      <c r="G802" s="81"/>
      <c r="H802" s="80">
        <v>1081944</v>
      </c>
      <c r="I802" s="79">
        <f t="shared" si="12"/>
        <v>0.84416276487757835</v>
      </c>
    </row>
    <row r="803" spans="1:9" x14ac:dyDescent="0.25">
      <c r="A803" s="76" t="s">
        <v>449</v>
      </c>
      <c r="B803" s="110" t="s">
        <v>152</v>
      </c>
      <c r="C803" s="77">
        <v>40611</v>
      </c>
      <c r="D803" s="78">
        <v>40967</v>
      </c>
      <c r="E803" s="79">
        <v>0</v>
      </c>
      <c r="F803" s="80">
        <v>1032722</v>
      </c>
      <c r="G803" s="81"/>
      <c r="H803" s="80">
        <v>875705</v>
      </c>
      <c r="I803" s="79">
        <f t="shared" si="12"/>
        <v>0.84795811457488079</v>
      </c>
    </row>
    <row r="804" spans="1:9" x14ac:dyDescent="0.25">
      <c r="A804" s="76" t="s">
        <v>449</v>
      </c>
      <c r="B804" s="76" t="s">
        <v>470</v>
      </c>
      <c r="C804" s="77">
        <v>41061</v>
      </c>
      <c r="D804" s="78">
        <v>41394</v>
      </c>
      <c r="E804" s="79">
        <v>8.9999999999999993E-3</v>
      </c>
      <c r="F804" s="80">
        <v>1786286</v>
      </c>
      <c r="G804" s="88"/>
      <c r="H804" s="80">
        <v>762206</v>
      </c>
      <c r="I804" s="79">
        <f t="shared" si="12"/>
        <v>0.4266987481287991</v>
      </c>
    </row>
    <row r="805" spans="1:9" x14ac:dyDescent="0.25">
      <c r="A805" s="76" t="s">
        <v>449</v>
      </c>
      <c r="B805" s="76" t="s">
        <v>209</v>
      </c>
      <c r="C805" s="77">
        <v>40749</v>
      </c>
      <c r="D805" s="78">
        <v>41029</v>
      </c>
      <c r="E805" s="79">
        <v>8.9999999999999993E-3</v>
      </c>
      <c r="F805" s="80">
        <v>1131863</v>
      </c>
      <c r="G805" s="81"/>
      <c r="H805" s="80">
        <v>563294</v>
      </c>
      <c r="I805" s="79">
        <f t="shared" si="12"/>
        <v>0.49766977098818499</v>
      </c>
    </row>
    <row r="806" spans="1:9" x14ac:dyDescent="0.25">
      <c r="A806" s="76" t="s">
        <v>449</v>
      </c>
      <c r="B806" s="76" t="s">
        <v>475</v>
      </c>
      <c r="C806" s="77">
        <v>41153</v>
      </c>
      <c r="D806" s="78">
        <v>41517</v>
      </c>
      <c r="E806" s="79">
        <v>0</v>
      </c>
      <c r="F806" s="80">
        <v>141151</v>
      </c>
      <c r="G806" s="81"/>
      <c r="H806" s="80">
        <v>62230</v>
      </c>
      <c r="I806" s="79">
        <f t="shared" si="12"/>
        <v>0.44087537459883386</v>
      </c>
    </row>
    <row r="807" spans="1:9" x14ac:dyDescent="0.25">
      <c r="A807" s="76" t="s">
        <v>449</v>
      </c>
      <c r="B807" s="76" t="s">
        <v>159</v>
      </c>
      <c r="C807" s="77">
        <v>40787</v>
      </c>
      <c r="D807" s="78">
        <v>41152</v>
      </c>
      <c r="E807" s="79">
        <v>0</v>
      </c>
      <c r="F807" s="80">
        <v>77833</v>
      </c>
      <c r="G807" s="81"/>
      <c r="H807" s="80">
        <v>20202</v>
      </c>
      <c r="I807" s="79">
        <f t="shared" si="12"/>
        <v>0.25955571544203615</v>
      </c>
    </row>
    <row r="808" spans="1:9" x14ac:dyDescent="0.25">
      <c r="A808" s="76" t="s">
        <v>449</v>
      </c>
      <c r="B808" s="76" t="s">
        <v>456</v>
      </c>
      <c r="C808" s="77">
        <v>40725</v>
      </c>
      <c r="D808" s="78">
        <v>41090</v>
      </c>
      <c r="E808" s="79">
        <v>0</v>
      </c>
      <c r="F808" s="80">
        <v>764842</v>
      </c>
      <c r="G808" s="81"/>
      <c r="H808" s="80">
        <v>14019</v>
      </c>
      <c r="I808" s="79">
        <f t="shared" si="12"/>
        <v>1.8329275850437084E-2</v>
      </c>
    </row>
    <row r="809" spans="1:9" x14ac:dyDescent="0.25">
      <c r="A809" s="76" t="s">
        <v>449</v>
      </c>
      <c r="B809" s="76" t="s">
        <v>473</v>
      </c>
      <c r="C809" s="77">
        <v>41091</v>
      </c>
      <c r="D809" s="78">
        <v>41455</v>
      </c>
      <c r="E809" s="79">
        <v>0</v>
      </c>
      <c r="F809" s="80">
        <v>286718</v>
      </c>
      <c r="G809" s="88"/>
      <c r="H809" s="80">
        <v>0</v>
      </c>
      <c r="I809" s="79">
        <v>0</v>
      </c>
    </row>
    <row r="810" spans="1:9" x14ac:dyDescent="0.25">
      <c r="A810" s="76" t="s">
        <v>449</v>
      </c>
      <c r="B810" s="76" t="s">
        <v>9</v>
      </c>
      <c r="C810" s="77">
        <v>40655</v>
      </c>
      <c r="D810" s="78">
        <v>41020</v>
      </c>
      <c r="E810" s="79">
        <v>8.9999999999999993E-3</v>
      </c>
      <c r="F810" s="80">
        <v>306201.09000000003</v>
      </c>
      <c r="G810" s="81"/>
      <c r="H810" s="80">
        <v>0</v>
      </c>
      <c r="I810" s="79">
        <f>H810/F810</f>
        <v>0</v>
      </c>
    </row>
    <row r="811" spans="1:9" x14ac:dyDescent="0.25">
      <c r="A811" s="76" t="s">
        <v>449</v>
      </c>
      <c r="B811" s="76" t="s">
        <v>9</v>
      </c>
      <c r="C811" s="77">
        <v>40655</v>
      </c>
      <c r="D811" s="78">
        <v>41020</v>
      </c>
      <c r="E811" s="79">
        <v>8.9999999999999993E-3</v>
      </c>
      <c r="F811" s="80"/>
      <c r="G811" s="81">
        <v>17383.47</v>
      </c>
      <c r="H811" s="80">
        <v>0</v>
      </c>
      <c r="I811" s="79">
        <f>H811/G811</f>
        <v>0</v>
      </c>
    </row>
    <row r="812" spans="1:9" x14ac:dyDescent="0.25">
      <c r="A812" s="76" t="s">
        <v>449</v>
      </c>
      <c r="B812" s="76" t="s">
        <v>93</v>
      </c>
      <c r="C812" s="77">
        <v>40603</v>
      </c>
      <c r="D812" s="78">
        <v>40967</v>
      </c>
      <c r="E812" s="79">
        <v>0</v>
      </c>
      <c r="F812" s="80">
        <v>0</v>
      </c>
      <c r="G812" s="81"/>
      <c r="H812" s="80">
        <v>0</v>
      </c>
      <c r="I812" s="79">
        <v>0</v>
      </c>
    </row>
    <row r="813" spans="1:9" x14ac:dyDescent="0.25">
      <c r="A813" s="76" t="s">
        <v>449</v>
      </c>
      <c r="B813" s="76" t="s">
        <v>93</v>
      </c>
      <c r="C813" s="77">
        <v>40968</v>
      </c>
      <c r="D813" s="78">
        <v>41333</v>
      </c>
      <c r="E813" s="79">
        <v>0</v>
      </c>
      <c r="F813" s="80">
        <v>0</v>
      </c>
      <c r="G813" s="81"/>
      <c r="H813" s="80">
        <v>0</v>
      </c>
      <c r="I813" s="79">
        <v>0</v>
      </c>
    </row>
    <row r="814" spans="1:9" x14ac:dyDescent="0.25">
      <c r="A814" s="76" t="s">
        <v>449</v>
      </c>
      <c r="B814" s="76" t="s">
        <v>93</v>
      </c>
      <c r="C814" s="77">
        <v>40968</v>
      </c>
      <c r="D814" s="78">
        <v>41333</v>
      </c>
      <c r="E814" s="79">
        <v>0</v>
      </c>
      <c r="F814" s="80"/>
      <c r="G814" s="81">
        <v>0</v>
      </c>
      <c r="H814" s="80">
        <v>0</v>
      </c>
      <c r="I814" s="79">
        <v>0</v>
      </c>
    </row>
    <row r="815" spans="1:9" x14ac:dyDescent="0.25">
      <c r="A815" s="76" t="s">
        <v>449</v>
      </c>
      <c r="B815" s="76" t="s">
        <v>463</v>
      </c>
      <c r="C815" s="77">
        <v>40822</v>
      </c>
      <c r="D815" s="78">
        <v>41090</v>
      </c>
      <c r="E815" s="79">
        <v>0</v>
      </c>
      <c r="F815" s="80">
        <v>59996</v>
      </c>
      <c r="G815" s="81"/>
      <c r="H815" s="80">
        <v>40912</v>
      </c>
      <c r="I815" s="79">
        <f>H815/F815</f>
        <v>0.68191212747516505</v>
      </c>
    </row>
    <row r="816" spans="1:9" x14ac:dyDescent="0.25">
      <c r="A816" s="76" t="s">
        <v>449</v>
      </c>
      <c r="B816" s="76" t="s">
        <v>472</v>
      </c>
      <c r="C816" s="77">
        <v>41091</v>
      </c>
      <c r="D816" s="78">
        <v>41455</v>
      </c>
      <c r="E816" s="79">
        <v>0</v>
      </c>
      <c r="F816" s="80">
        <v>0</v>
      </c>
      <c r="G816" s="88"/>
      <c r="H816" s="80">
        <v>0</v>
      </c>
      <c r="I816" s="79">
        <v>0</v>
      </c>
    </row>
    <row r="817" spans="1:9" x14ac:dyDescent="0.25">
      <c r="A817" s="76" t="s">
        <v>449</v>
      </c>
      <c r="B817" s="76" t="s">
        <v>461</v>
      </c>
      <c r="C817" s="77">
        <v>40767</v>
      </c>
      <c r="D817" s="78">
        <v>41029</v>
      </c>
      <c r="E817" s="79">
        <v>0</v>
      </c>
      <c r="F817" s="80">
        <v>861440</v>
      </c>
      <c r="G817" s="81"/>
      <c r="H817" s="80">
        <v>595814</v>
      </c>
      <c r="I817" s="79">
        <f t="shared" ref="I817:I824" si="13">H817/F817</f>
        <v>0.69164886701337291</v>
      </c>
    </row>
    <row r="818" spans="1:9" x14ac:dyDescent="0.25">
      <c r="A818" s="76" t="s">
        <v>449</v>
      </c>
      <c r="B818" s="76" t="s">
        <v>467</v>
      </c>
      <c r="C818" s="77">
        <v>41030</v>
      </c>
      <c r="D818" s="78">
        <v>41394</v>
      </c>
      <c r="E818" s="79">
        <v>0</v>
      </c>
      <c r="F818" s="80">
        <v>2149723</v>
      </c>
      <c r="G818" s="81"/>
      <c r="H818" s="80">
        <v>917573</v>
      </c>
      <c r="I818" s="79">
        <f t="shared" si="13"/>
        <v>0.42683313152438712</v>
      </c>
    </row>
    <row r="819" spans="1:9" x14ac:dyDescent="0.25">
      <c r="A819" s="76" t="s">
        <v>449</v>
      </c>
      <c r="B819" s="76" t="s">
        <v>455</v>
      </c>
      <c r="C819" s="77">
        <v>40695</v>
      </c>
      <c r="D819" s="78">
        <v>41060</v>
      </c>
      <c r="E819" s="79">
        <v>0</v>
      </c>
      <c r="F819" s="80">
        <v>65563</v>
      </c>
      <c r="G819" s="81"/>
      <c r="H819" s="80">
        <v>33230</v>
      </c>
      <c r="I819" s="79">
        <f t="shared" si="13"/>
        <v>0.50684074859295636</v>
      </c>
    </row>
    <row r="820" spans="1:9" x14ac:dyDescent="0.25">
      <c r="A820" s="76" t="s">
        <v>449</v>
      </c>
      <c r="B820" s="76" t="s">
        <v>455</v>
      </c>
      <c r="C820" s="77">
        <v>41061</v>
      </c>
      <c r="D820" s="78">
        <v>41425</v>
      </c>
      <c r="E820" s="79">
        <v>0</v>
      </c>
      <c r="F820" s="80">
        <v>53220</v>
      </c>
      <c r="G820" s="88"/>
      <c r="H820" s="80">
        <v>28592</v>
      </c>
      <c r="I820" s="79">
        <f t="shared" si="13"/>
        <v>0.53724163848177375</v>
      </c>
    </row>
    <row r="821" spans="1:9" x14ac:dyDescent="0.25">
      <c r="A821" s="76" t="s">
        <v>449</v>
      </c>
      <c r="B821" s="76" t="s">
        <v>468</v>
      </c>
      <c r="C821" s="77">
        <v>41030</v>
      </c>
      <c r="D821" s="78">
        <v>41394</v>
      </c>
      <c r="E821" s="79">
        <v>0</v>
      </c>
      <c r="F821" s="80">
        <v>320470</v>
      </c>
      <c r="G821" s="81"/>
      <c r="H821" s="80">
        <v>5818</v>
      </c>
      <c r="I821" s="79">
        <f t="shared" si="13"/>
        <v>1.8154585452616469E-2</v>
      </c>
    </row>
    <row r="822" spans="1:9" x14ac:dyDescent="0.25">
      <c r="A822" s="76" t="s">
        <v>449</v>
      </c>
      <c r="B822" s="76" t="s">
        <v>452</v>
      </c>
      <c r="C822" s="77">
        <v>40664</v>
      </c>
      <c r="D822" s="78">
        <v>41029</v>
      </c>
      <c r="E822" s="79">
        <v>0</v>
      </c>
      <c r="F822" s="80">
        <v>259840</v>
      </c>
      <c r="G822" s="81"/>
      <c r="H822" s="80">
        <v>-759</v>
      </c>
      <c r="I822" s="79">
        <f t="shared" si="13"/>
        <v>-2.9210283251231528E-3</v>
      </c>
    </row>
    <row r="823" spans="1:9" x14ac:dyDescent="0.25">
      <c r="A823" s="76" t="s">
        <v>449</v>
      </c>
      <c r="B823" s="76" t="s">
        <v>453</v>
      </c>
      <c r="C823" s="77">
        <v>41030</v>
      </c>
      <c r="D823" s="78">
        <v>41394</v>
      </c>
      <c r="E823" s="79">
        <v>0</v>
      </c>
      <c r="F823" s="80">
        <v>43382</v>
      </c>
      <c r="G823" s="81"/>
      <c r="H823" s="80">
        <v>25455</v>
      </c>
      <c r="I823" s="79">
        <f t="shared" si="13"/>
        <v>0.58676409570789734</v>
      </c>
    </row>
    <row r="824" spans="1:9" x14ac:dyDescent="0.25">
      <c r="A824" s="76" t="s">
        <v>449</v>
      </c>
      <c r="B824" s="76" t="s">
        <v>453</v>
      </c>
      <c r="C824" s="77">
        <v>40664</v>
      </c>
      <c r="D824" s="78">
        <v>41029</v>
      </c>
      <c r="E824" s="79">
        <v>0</v>
      </c>
      <c r="F824" s="80">
        <v>31836</v>
      </c>
      <c r="G824" s="81"/>
      <c r="H824" s="80">
        <v>7201</v>
      </c>
      <c r="I824" s="79">
        <f t="shared" si="13"/>
        <v>0.22619047619047619</v>
      </c>
    </row>
    <row r="825" spans="1:9" x14ac:dyDescent="0.25">
      <c r="A825" s="76" t="s">
        <v>449</v>
      </c>
      <c r="B825" s="76" t="s">
        <v>466</v>
      </c>
      <c r="C825" s="77">
        <v>41030</v>
      </c>
      <c r="D825" s="78">
        <v>41394</v>
      </c>
      <c r="E825" s="79">
        <v>0</v>
      </c>
      <c r="F825" s="80">
        <v>0</v>
      </c>
      <c r="G825" s="81"/>
      <c r="H825" s="80">
        <v>0</v>
      </c>
      <c r="I825" s="79">
        <v>0</v>
      </c>
    </row>
    <row r="826" spans="1:9" x14ac:dyDescent="0.25">
      <c r="A826" s="76" t="s">
        <v>449</v>
      </c>
      <c r="B826" s="76" t="s">
        <v>466</v>
      </c>
      <c r="C826" s="77">
        <v>41030</v>
      </c>
      <c r="D826" s="78">
        <v>41394</v>
      </c>
      <c r="E826" s="79">
        <v>0</v>
      </c>
      <c r="F826" s="80"/>
      <c r="G826" s="81">
        <v>0</v>
      </c>
      <c r="H826" s="80">
        <v>0</v>
      </c>
      <c r="I826" s="79">
        <v>0</v>
      </c>
    </row>
    <row r="827" spans="1:9" x14ac:dyDescent="0.25">
      <c r="A827" s="76" t="s">
        <v>449</v>
      </c>
      <c r="B827" s="76" t="s">
        <v>27</v>
      </c>
      <c r="C827" s="77">
        <v>40664</v>
      </c>
      <c r="D827" s="78">
        <v>41029</v>
      </c>
      <c r="E827" s="79">
        <v>0</v>
      </c>
      <c r="F827" s="80"/>
      <c r="G827" s="81">
        <v>0</v>
      </c>
      <c r="H827" s="80">
        <v>0</v>
      </c>
      <c r="I827" s="79">
        <v>0</v>
      </c>
    </row>
    <row r="828" spans="1:9" x14ac:dyDescent="0.25">
      <c r="A828" s="76" t="s">
        <v>449</v>
      </c>
      <c r="B828" s="76" t="s">
        <v>151</v>
      </c>
      <c r="C828" s="77">
        <v>41030</v>
      </c>
      <c r="D828" s="78">
        <v>41394</v>
      </c>
      <c r="E828" s="79">
        <v>0</v>
      </c>
      <c r="F828" s="80">
        <v>234046</v>
      </c>
      <c r="G828" s="81"/>
      <c r="H828" s="80">
        <v>92171</v>
      </c>
      <c r="I828" s="79">
        <f>H828/F828</f>
        <v>0.39381574562265537</v>
      </c>
    </row>
    <row r="829" spans="1:9" x14ac:dyDescent="0.25">
      <c r="A829" s="76" t="s">
        <v>449</v>
      </c>
      <c r="B829" s="76" t="s">
        <v>151</v>
      </c>
      <c r="C829" s="77">
        <v>40664</v>
      </c>
      <c r="D829" s="78">
        <v>41029</v>
      </c>
      <c r="E829" s="79">
        <v>0</v>
      </c>
      <c r="F829" s="80">
        <v>0</v>
      </c>
      <c r="G829" s="81"/>
      <c r="H829" s="80">
        <v>0</v>
      </c>
      <c r="I829" s="79">
        <v>0</v>
      </c>
    </row>
    <row r="830" spans="1:9" x14ac:dyDescent="0.25">
      <c r="A830" s="76" t="s">
        <v>449</v>
      </c>
      <c r="B830" s="76" t="s">
        <v>117</v>
      </c>
      <c r="C830" s="77">
        <v>40603</v>
      </c>
      <c r="D830" s="78">
        <v>40967</v>
      </c>
      <c r="E830" s="79">
        <v>0</v>
      </c>
      <c r="F830" s="80">
        <v>370915</v>
      </c>
      <c r="G830" s="81"/>
      <c r="H830" s="80">
        <v>170289</v>
      </c>
      <c r="I830" s="79">
        <f t="shared" ref="I830:I836" si="14">H830/F830</f>
        <v>0.45910518582424542</v>
      </c>
    </row>
    <row r="831" spans="1:9" x14ac:dyDescent="0.25">
      <c r="A831" s="76" t="s">
        <v>449</v>
      </c>
      <c r="B831" s="76" t="s">
        <v>117</v>
      </c>
      <c r="C831" s="77">
        <v>40968</v>
      </c>
      <c r="D831" s="78">
        <v>41333</v>
      </c>
      <c r="E831" s="79">
        <v>0</v>
      </c>
      <c r="F831" s="80">
        <v>98495</v>
      </c>
      <c r="G831" s="81"/>
      <c r="H831" s="80">
        <v>12140</v>
      </c>
      <c r="I831" s="79">
        <f t="shared" si="14"/>
        <v>0.12325498756282045</v>
      </c>
    </row>
    <row r="832" spans="1:9" x14ac:dyDescent="0.25">
      <c r="A832" s="76" t="s">
        <v>449</v>
      </c>
      <c r="B832" s="76" t="s">
        <v>72</v>
      </c>
      <c r="C832" s="77">
        <v>40848</v>
      </c>
      <c r="D832" s="78">
        <v>41213</v>
      </c>
      <c r="E832" s="79">
        <v>0</v>
      </c>
      <c r="F832" s="80">
        <v>85689</v>
      </c>
      <c r="G832" s="81"/>
      <c r="H832" s="80">
        <v>44284</v>
      </c>
      <c r="I832" s="79">
        <f t="shared" si="14"/>
        <v>0.51679912240777692</v>
      </c>
    </row>
    <row r="833" spans="1:9" x14ac:dyDescent="0.25">
      <c r="A833" s="76" t="s">
        <v>449</v>
      </c>
      <c r="B833" s="76" t="s">
        <v>72</v>
      </c>
      <c r="C833" s="77">
        <v>41214</v>
      </c>
      <c r="D833" s="78">
        <v>41257</v>
      </c>
      <c r="E833" s="79">
        <v>0</v>
      </c>
      <c r="F833" s="80">
        <v>85689</v>
      </c>
      <c r="G833" s="81"/>
      <c r="H833" s="80">
        <v>44284</v>
      </c>
      <c r="I833" s="79">
        <f t="shared" si="14"/>
        <v>0.51679912240777692</v>
      </c>
    </row>
    <row r="834" spans="1:9" x14ac:dyDescent="0.25">
      <c r="A834" s="76" t="s">
        <v>449</v>
      </c>
      <c r="B834" s="76" t="s">
        <v>471</v>
      </c>
      <c r="C834" s="77">
        <v>41061</v>
      </c>
      <c r="D834" s="78">
        <v>41425</v>
      </c>
      <c r="E834" s="79">
        <v>0</v>
      </c>
      <c r="F834" s="80">
        <v>20839</v>
      </c>
      <c r="G834" s="88"/>
      <c r="H834" s="80">
        <v>10579</v>
      </c>
      <c r="I834" s="79">
        <f t="shared" si="14"/>
        <v>0.50765391813426752</v>
      </c>
    </row>
    <row r="835" spans="1:9" x14ac:dyDescent="0.25">
      <c r="A835" s="76" t="s">
        <v>449</v>
      </c>
      <c r="B835" s="76" t="s">
        <v>454</v>
      </c>
      <c r="C835" s="77">
        <v>40695</v>
      </c>
      <c r="D835" s="78">
        <v>41059</v>
      </c>
      <c r="E835" s="79">
        <v>0</v>
      </c>
      <c r="F835" s="80">
        <v>32071</v>
      </c>
      <c r="G835" s="81"/>
      <c r="H835" s="80">
        <v>18634</v>
      </c>
      <c r="I835" s="79">
        <f t="shared" si="14"/>
        <v>0.5810233544323532</v>
      </c>
    </row>
    <row r="836" spans="1:9" x14ac:dyDescent="0.25">
      <c r="A836" s="76" t="s">
        <v>449</v>
      </c>
      <c r="B836" s="76" t="s">
        <v>451</v>
      </c>
      <c r="C836" s="77">
        <v>40603</v>
      </c>
      <c r="D836" s="78">
        <v>40967</v>
      </c>
      <c r="E836" s="79">
        <v>0</v>
      </c>
      <c r="F836" s="80">
        <v>9315</v>
      </c>
      <c r="G836" s="81"/>
      <c r="H836" s="80">
        <v>2315</v>
      </c>
      <c r="I836" s="79">
        <f t="shared" si="14"/>
        <v>0.24852388620504562</v>
      </c>
    </row>
    <row r="837" spans="1:9" x14ac:dyDescent="0.25">
      <c r="A837" s="76" t="s">
        <v>449</v>
      </c>
      <c r="B837" s="76" t="s">
        <v>451</v>
      </c>
      <c r="C837" s="77">
        <v>40968</v>
      </c>
      <c r="D837" s="78">
        <v>41333</v>
      </c>
      <c r="E837" s="79">
        <v>0</v>
      </c>
      <c r="F837" s="80">
        <v>0</v>
      </c>
      <c r="G837" s="81" t="s">
        <v>469</v>
      </c>
      <c r="H837" s="80">
        <v>0</v>
      </c>
      <c r="I837" s="79">
        <v>0</v>
      </c>
    </row>
    <row r="838" spans="1:9" x14ac:dyDescent="0.25">
      <c r="A838" s="76" t="s">
        <v>449</v>
      </c>
      <c r="B838" s="76" t="s">
        <v>451</v>
      </c>
      <c r="C838" s="77">
        <v>40968</v>
      </c>
      <c r="D838" s="78">
        <v>41333</v>
      </c>
      <c r="E838" s="79">
        <v>0</v>
      </c>
      <c r="F838" s="80"/>
      <c r="G838" s="81">
        <v>0</v>
      </c>
      <c r="H838" s="80">
        <v>0</v>
      </c>
      <c r="I838" s="79">
        <v>0</v>
      </c>
    </row>
    <row r="839" spans="1:9" x14ac:dyDescent="0.25">
      <c r="A839" s="76" t="s">
        <v>449</v>
      </c>
      <c r="B839" s="76" t="s">
        <v>474</v>
      </c>
      <c r="C839" s="77">
        <v>41122</v>
      </c>
      <c r="D839" s="78">
        <v>41486</v>
      </c>
      <c r="E839" s="79">
        <v>0</v>
      </c>
      <c r="F839" s="80">
        <v>248930</v>
      </c>
      <c r="G839" s="88"/>
      <c r="H839" s="80">
        <v>55035</v>
      </c>
      <c r="I839" s="79">
        <f>H839/F839</f>
        <v>0.22108624914634636</v>
      </c>
    </row>
    <row r="840" spans="1:9" x14ac:dyDescent="0.25">
      <c r="A840" s="76" t="s">
        <v>449</v>
      </c>
      <c r="B840" s="76" t="s">
        <v>460</v>
      </c>
      <c r="C840" s="77">
        <v>40756</v>
      </c>
      <c r="D840" s="78">
        <v>41121</v>
      </c>
      <c r="E840" s="79">
        <v>0</v>
      </c>
      <c r="F840" s="80">
        <v>196612</v>
      </c>
      <c r="G840" s="81"/>
      <c r="H840" s="80">
        <v>29787</v>
      </c>
      <c r="I840" s="79">
        <f>H840/F840</f>
        <v>0.15150143429699103</v>
      </c>
    </row>
    <row r="841" spans="1:9" x14ac:dyDescent="0.25">
      <c r="A841" s="76" t="s">
        <v>449</v>
      </c>
      <c r="B841" s="76" t="s">
        <v>458</v>
      </c>
      <c r="C841" s="77">
        <v>40756</v>
      </c>
      <c r="D841" s="78">
        <v>41121</v>
      </c>
      <c r="E841" s="79">
        <v>0</v>
      </c>
      <c r="F841" s="80">
        <v>986984</v>
      </c>
      <c r="G841" s="81"/>
      <c r="H841" s="80">
        <v>103434</v>
      </c>
      <c r="I841" s="79">
        <f>H841/F841</f>
        <v>0.10479805143751064</v>
      </c>
    </row>
    <row r="842" spans="1:9" x14ac:dyDescent="0.25">
      <c r="A842" s="76" t="s">
        <v>449</v>
      </c>
      <c r="B842" s="76" t="s">
        <v>458</v>
      </c>
      <c r="C842" s="77">
        <v>41122</v>
      </c>
      <c r="D842" s="78">
        <v>41486</v>
      </c>
      <c r="E842" s="79">
        <v>0</v>
      </c>
      <c r="F842" s="80">
        <v>180814</v>
      </c>
      <c r="G842" s="88"/>
      <c r="H842" s="80">
        <v>76598</v>
      </c>
      <c r="I842" s="79">
        <f>H842/F842</f>
        <v>0.42362870131737584</v>
      </c>
    </row>
    <row r="843" spans="1:9" x14ac:dyDescent="0.25">
      <c r="A843" s="76" t="s">
        <v>449</v>
      </c>
      <c r="B843" s="76" t="s">
        <v>464</v>
      </c>
      <c r="C843" s="77">
        <v>40848</v>
      </c>
      <c r="D843" s="78">
        <v>41213</v>
      </c>
      <c r="E843" s="79">
        <v>0</v>
      </c>
      <c r="F843" s="80">
        <v>1807681</v>
      </c>
      <c r="G843" s="81"/>
      <c r="H843" s="80">
        <v>288681</v>
      </c>
      <c r="I843" s="79">
        <f>H843/F843</f>
        <v>0.15969687129532256</v>
      </c>
    </row>
    <row r="844" spans="1:9" x14ac:dyDescent="0.25">
      <c r="A844" s="76" t="s">
        <v>449</v>
      </c>
      <c r="B844" s="76" t="s">
        <v>462</v>
      </c>
      <c r="C844" s="77">
        <v>40787</v>
      </c>
      <c r="D844" s="78">
        <v>41152</v>
      </c>
      <c r="E844" s="79">
        <v>0</v>
      </c>
      <c r="F844" s="80">
        <v>0</v>
      </c>
      <c r="G844" s="81"/>
      <c r="H844" s="80">
        <v>0</v>
      </c>
      <c r="I844" s="79">
        <v>0</v>
      </c>
    </row>
    <row r="845" spans="1:9" x14ac:dyDescent="0.25">
      <c r="A845" s="76" t="s">
        <v>449</v>
      </c>
      <c r="B845" s="76" t="s">
        <v>462</v>
      </c>
      <c r="C845" s="77">
        <v>41153</v>
      </c>
      <c r="D845" s="78">
        <v>41194</v>
      </c>
      <c r="E845" s="79">
        <v>0</v>
      </c>
      <c r="F845" s="80">
        <v>0</v>
      </c>
      <c r="G845" s="81"/>
      <c r="H845" s="80">
        <v>0</v>
      </c>
      <c r="I845" s="79">
        <v>0</v>
      </c>
    </row>
    <row r="846" spans="1:9" x14ac:dyDescent="0.25">
      <c r="A846" s="76" t="s">
        <v>449</v>
      </c>
      <c r="B846" s="76" t="s">
        <v>462</v>
      </c>
      <c r="C846" s="77">
        <v>41153</v>
      </c>
      <c r="D846" s="78">
        <v>41194</v>
      </c>
      <c r="E846" s="79">
        <v>0</v>
      </c>
      <c r="F846" s="80"/>
      <c r="G846" s="81">
        <v>0</v>
      </c>
      <c r="H846" s="80">
        <v>0</v>
      </c>
      <c r="I846" s="79">
        <v>0</v>
      </c>
    </row>
    <row r="847" spans="1:9" x14ac:dyDescent="0.25">
      <c r="A847" s="76" t="s">
        <v>477</v>
      </c>
      <c r="B847" s="76" t="s">
        <v>31</v>
      </c>
      <c r="C847" s="77">
        <v>40792</v>
      </c>
      <c r="D847" s="78">
        <v>41121</v>
      </c>
      <c r="E847" s="79">
        <v>8.9999999999999993E-3</v>
      </c>
      <c r="F847" s="80">
        <v>0</v>
      </c>
      <c r="G847" s="81"/>
      <c r="H847" s="80">
        <v>0</v>
      </c>
      <c r="I847" s="79">
        <v>0</v>
      </c>
    </row>
    <row r="848" spans="1:9" x14ac:dyDescent="0.25">
      <c r="A848" s="76" t="s">
        <v>477</v>
      </c>
      <c r="B848" s="76" t="s">
        <v>31</v>
      </c>
      <c r="C848" s="77">
        <v>40792</v>
      </c>
      <c r="D848" s="78">
        <v>41121</v>
      </c>
      <c r="E848" s="79">
        <v>8.9999999999999993E-3</v>
      </c>
      <c r="F848" s="80"/>
      <c r="G848" s="81">
        <v>0</v>
      </c>
      <c r="H848" s="80">
        <v>0</v>
      </c>
      <c r="I848" s="79">
        <v>0</v>
      </c>
    </row>
    <row r="849" spans="1:9" x14ac:dyDescent="0.25">
      <c r="A849" s="76" t="s">
        <v>477</v>
      </c>
      <c r="B849" s="76" t="s">
        <v>29</v>
      </c>
      <c r="C849" s="77">
        <v>40792</v>
      </c>
      <c r="D849" s="78">
        <v>41121</v>
      </c>
      <c r="E849" s="79">
        <v>8.9999999999999993E-3</v>
      </c>
      <c r="F849" s="80">
        <v>0</v>
      </c>
      <c r="G849" s="81"/>
      <c r="H849" s="80">
        <v>0</v>
      </c>
      <c r="I849" s="79">
        <v>0</v>
      </c>
    </row>
    <row r="850" spans="1:9" x14ac:dyDescent="0.25">
      <c r="A850" s="76" t="s">
        <v>477</v>
      </c>
      <c r="B850" s="76" t="s">
        <v>29</v>
      </c>
      <c r="C850" s="77">
        <v>40792</v>
      </c>
      <c r="D850" s="78">
        <v>41121</v>
      </c>
      <c r="E850" s="79">
        <v>8.9999999999999993E-3</v>
      </c>
      <c r="F850" s="80"/>
      <c r="G850" s="81">
        <v>0</v>
      </c>
      <c r="H850" s="80">
        <v>0</v>
      </c>
      <c r="I850" s="79">
        <v>0</v>
      </c>
    </row>
    <row r="851" spans="1:9" x14ac:dyDescent="0.25">
      <c r="A851" s="76" t="s">
        <v>478</v>
      </c>
      <c r="B851" s="76" t="s">
        <v>479</v>
      </c>
      <c r="C851" s="77">
        <v>41061</v>
      </c>
      <c r="D851" s="78">
        <v>41425</v>
      </c>
      <c r="E851" s="79">
        <v>0.09</v>
      </c>
      <c r="F851" s="80">
        <v>870441.98</v>
      </c>
      <c r="G851" s="81"/>
      <c r="H851" s="80">
        <v>87044.2</v>
      </c>
      <c r="I851" s="79">
        <f t="shared" ref="I851:I863" si="15">H851/F851</f>
        <v>0.1000000022976833</v>
      </c>
    </row>
    <row r="852" spans="1:9" x14ac:dyDescent="0.25">
      <c r="A852" s="76" t="s">
        <v>478</v>
      </c>
      <c r="B852" s="76" t="s">
        <v>479</v>
      </c>
      <c r="C852" s="77">
        <v>40909</v>
      </c>
      <c r="D852" s="78">
        <v>41060</v>
      </c>
      <c r="E852" s="79">
        <v>0.09</v>
      </c>
      <c r="F852" s="80">
        <v>411995.58</v>
      </c>
      <c r="G852" s="81"/>
      <c r="H852" s="80">
        <v>41199.56</v>
      </c>
      <c r="I852" s="79">
        <f t="shared" si="15"/>
        <v>0.100000004854421</v>
      </c>
    </row>
    <row r="853" spans="1:9" ht="28.5" x14ac:dyDescent="0.25">
      <c r="A853" s="76" t="s">
        <v>478</v>
      </c>
      <c r="B853" s="76" t="s">
        <v>65</v>
      </c>
      <c r="C853" s="77">
        <v>40787</v>
      </c>
      <c r="D853" s="78">
        <v>41152</v>
      </c>
      <c r="E853" s="79">
        <v>0.13500000000000001</v>
      </c>
      <c r="F853" s="80">
        <v>2329672.44</v>
      </c>
      <c r="G853" s="81"/>
      <c r="H853" s="80">
        <v>349450.87</v>
      </c>
      <c r="I853" s="79">
        <f t="shared" si="15"/>
        <v>0.15000000171697958</v>
      </c>
    </row>
    <row r="854" spans="1:9" ht="28.5" x14ac:dyDescent="0.25">
      <c r="A854" s="76" t="s">
        <v>478</v>
      </c>
      <c r="B854" s="76" t="s">
        <v>123</v>
      </c>
      <c r="C854" s="77">
        <v>41153</v>
      </c>
      <c r="D854" s="78">
        <v>41274</v>
      </c>
      <c r="E854" s="79">
        <v>0.15</v>
      </c>
      <c r="F854" s="80">
        <v>660198.26</v>
      </c>
      <c r="G854" s="81"/>
      <c r="H854" s="80">
        <v>99029.74</v>
      </c>
      <c r="I854" s="79">
        <f t="shared" si="15"/>
        <v>0.1500000015146965</v>
      </c>
    </row>
    <row r="855" spans="1:9" x14ac:dyDescent="0.25">
      <c r="A855" s="76" t="s">
        <v>478</v>
      </c>
      <c r="B855" s="76" t="s">
        <v>391</v>
      </c>
      <c r="C855" s="77">
        <v>40909</v>
      </c>
      <c r="D855" s="78">
        <v>41274</v>
      </c>
      <c r="E855" s="79">
        <v>0.1</v>
      </c>
      <c r="F855" s="80">
        <v>924123.82</v>
      </c>
      <c r="G855" s="81"/>
      <c r="H855" s="80">
        <v>92412.39</v>
      </c>
      <c r="I855" s="79">
        <f t="shared" si="15"/>
        <v>0.1000000086568486</v>
      </c>
    </row>
    <row r="856" spans="1:9" x14ac:dyDescent="0.25">
      <c r="A856" s="76" t="s">
        <v>478</v>
      </c>
      <c r="B856" s="76" t="s">
        <v>480</v>
      </c>
      <c r="C856" s="77">
        <v>40909</v>
      </c>
      <c r="D856" s="78">
        <v>41274</v>
      </c>
      <c r="E856" s="79">
        <v>0.1</v>
      </c>
      <c r="F856" s="80">
        <v>318679.96999999997</v>
      </c>
      <c r="G856" s="81"/>
      <c r="H856" s="80">
        <v>31868</v>
      </c>
      <c r="I856" s="79">
        <f t="shared" si="15"/>
        <v>0.10000000941383295</v>
      </c>
    </row>
    <row r="857" spans="1:9" x14ac:dyDescent="0.25">
      <c r="A857" s="76" t="s">
        <v>478</v>
      </c>
      <c r="B857" s="76" t="s">
        <v>100</v>
      </c>
      <c r="C857" s="77">
        <v>40611</v>
      </c>
      <c r="D857" s="78">
        <v>40976</v>
      </c>
      <c r="E857" s="79">
        <v>0.13500000000000001</v>
      </c>
      <c r="F857" s="80">
        <v>555296.68999999994</v>
      </c>
      <c r="G857" s="81"/>
      <c r="H857" s="80">
        <v>74965.070000000007</v>
      </c>
      <c r="I857" s="79">
        <f t="shared" si="15"/>
        <v>0.13500003034413913</v>
      </c>
    </row>
    <row r="858" spans="1:9" x14ac:dyDescent="0.25">
      <c r="A858" s="76" t="s">
        <v>478</v>
      </c>
      <c r="B858" s="76" t="s">
        <v>100</v>
      </c>
      <c r="C858" s="77">
        <v>40977</v>
      </c>
      <c r="D858" s="78">
        <v>41341</v>
      </c>
      <c r="E858" s="79">
        <v>0.13500000000000001</v>
      </c>
      <c r="F858" s="80">
        <v>520790.8</v>
      </c>
      <c r="G858" s="81"/>
      <c r="H858" s="80">
        <v>70306.759999999995</v>
      </c>
      <c r="I858" s="79">
        <f t="shared" si="15"/>
        <v>0.1350000038403136</v>
      </c>
    </row>
    <row r="859" spans="1:9" x14ac:dyDescent="0.25">
      <c r="A859" s="76" t="s">
        <v>478</v>
      </c>
      <c r="B859" s="76" t="s">
        <v>51</v>
      </c>
      <c r="C859" s="77">
        <v>40909</v>
      </c>
      <c r="D859" s="78">
        <v>41274</v>
      </c>
      <c r="E859" s="79">
        <v>0.11700000000000001</v>
      </c>
      <c r="F859" s="80">
        <v>623554.81999999995</v>
      </c>
      <c r="G859" s="81"/>
      <c r="H859" s="80">
        <v>81062.13</v>
      </c>
      <c r="I859" s="79">
        <f t="shared" si="15"/>
        <v>0.13000000545260801</v>
      </c>
    </row>
    <row r="860" spans="1:9" x14ac:dyDescent="0.25">
      <c r="A860" s="76" t="s">
        <v>478</v>
      </c>
      <c r="B860" s="76" t="s">
        <v>67</v>
      </c>
      <c r="C860" s="77">
        <v>40780</v>
      </c>
      <c r="D860" s="78">
        <v>41145</v>
      </c>
      <c r="E860" s="79">
        <v>0.1</v>
      </c>
      <c r="F860" s="80">
        <v>570217.24</v>
      </c>
      <c r="G860" s="81"/>
      <c r="H860" s="80">
        <v>57021.72</v>
      </c>
      <c r="I860" s="79">
        <f t="shared" si="15"/>
        <v>9.9999992985129668E-2</v>
      </c>
    </row>
    <row r="861" spans="1:9" x14ac:dyDescent="0.25">
      <c r="A861" s="76" t="s">
        <v>478</v>
      </c>
      <c r="B861" s="76" t="s">
        <v>67</v>
      </c>
      <c r="C861" s="77">
        <v>41146</v>
      </c>
      <c r="D861" s="78">
        <v>41510</v>
      </c>
      <c r="E861" s="79">
        <v>0.1</v>
      </c>
      <c r="F861" s="80">
        <v>491495.73</v>
      </c>
      <c r="G861" s="81"/>
      <c r="H861" s="80">
        <v>49149.57</v>
      </c>
      <c r="I861" s="79">
        <f t="shared" si="15"/>
        <v>9.9999993896182984E-2</v>
      </c>
    </row>
    <row r="862" spans="1:9" x14ac:dyDescent="0.25">
      <c r="A862" s="76" t="s">
        <v>478</v>
      </c>
      <c r="B862" s="76" t="s">
        <v>484</v>
      </c>
      <c r="C862" s="77">
        <v>40973</v>
      </c>
      <c r="D862" s="78">
        <v>41337</v>
      </c>
      <c r="E862" s="79">
        <v>0.13500000000000001</v>
      </c>
      <c r="F862" s="80">
        <v>1252566.01</v>
      </c>
      <c r="G862" s="81"/>
      <c r="H862" s="80">
        <v>187884.92</v>
      </c>
      <c r="I862" s="79">
        <f t="shared" si="15"/>
        <v>0.1500000147696807</v>
      </c>
    </row>
    <row r="863" spans="1:9" x14ac:dyDescent="0.25">
      <c r="A863" s="76" t="s">
        <v>478</v>
      </c>
      <c r="B863" s="76" t="s">
        <v>482</v>
      </c>
      <c r="C863" s="77">
        <v>40918</v>
      </c>
      <c r="D863" s="78">
        <v>41274</v>
      </c>
      <c r="E863" s="79">
        <v>0.15</v>
      </c>
      <c r="F863" s="80">
        <v>158308.39000000001</v>
      </c>
      <c r="G863" s="81"/>
      <c r="H863" s="80">
        <v>23746.25</v>
      </c>
      <c r="I863" s="79">
        <f t="shared" si="15"/>
        <v>0.14999994630733088</v>
      </c>
    </row>
    <row r="864" spans="1:9" x14ac:dyDescent="0.25">
      <c r="A864" s="76" t="s">
        <v>478</v>
      </c>
      <c r="B864" s="76" t="s">
        <v>417</v>
      </c>
      <c r="C864" s="77">
        <v>40909</v>
      </c>
      <c r="D864" s="78">
        <v>41274</v>
      </c>
      <c r="E864" s="79">
        <v>0.18</v>
      </c>
      <c r="F864" s="80"/>
      <c r="G864" s="81">
        <v>66383</v>
      </c>
      <c r="H864" s="80">
        <v>11948.94</v>
      </c>
      <c r="I864" s="79">
        <f>H864/G864</f>
        <v>0.18000000000000002</v>
      </c>
    </row>
    <row r="865" spans="1:9" x14ac:dyDescent="0.25">
      <c r="A865" s="76" t="s">
        <v>478</v>
      </c>
      <c r="B865" s="76" t="s">
        <v>481</v>
      </c>
      <c r="C865" s="77">
        <v>40909</v>
      </c>
      <c r="D865" s="78">
        <v>41274</v>
      </c>
      <c r="E865" s="79">
        <v>0.18</v>
      </c>
      <c r="F865" s="80"/>
      <c r="G865" s="81">
        <v>223896.63</v>
      </c>
      <c r="H865" s="80">
        <v>40301.39</v>
      </c>
      <c r="I865" s="79">
        <f>H865/G865</f>
        <v>0.17999998481442084</v>
      </c>
    </row>
    <row r="866" spans="1:9" x14ac:dyDescent="0.25">
      <c r="A866" s="76" t="s">
        <v>478</v>
      </c>
      <c r="B866" s="76" t="s">
        <v>483</v>
      </c>
      <c r="C866" s="77">
        <v>40918</v>
      </c>
      <c r="D866" s="78">
        <v>41274</v>
      </c>
      <c r="E866" s="79">
        <v>0.15</v>
      </c>
      <c r="F866" s="80">
        <v>152971.32999999999</v>
      </c>
      <c r="G866" s="81"/>
      <c r="H866" s="80">
        <v>22945.69</v>
      </c>
      <c r="I866" s="79">
        <f>H866/F866</f>
        <v>0.1499999378968595</v>
      </c>
    </row>
    <row r="867" spans="1:9" x14ac:dyDescent="0.25">
      <c r="A867" s="76" t="s">
        <v>478</v>
      </c>
      <c r="B867" s="76" t="s">
        <v>68</v>
      </c>
      <c r="C867" s="77">
        <v>40787</v>
      </c>
      <c r="D867" s="78">
        <v>41152</v>
      </c>
      <c r="E867" s="79">
        <v>0.13</v>
      </c>
      <c r="F867" s="80">
        <v>1519186.2</v>
      </c>
      <c r="G867" s="81"/>
      <c r="H867" s="80">
        <v>151918.63</v>
      </c>
      <c r="I867" s="79">
        <f>H867/F867</f>
        <v>0.1000000065824716</v>
      </c>
    </row>
    <row r="868" spans="1:9" x14ac:dyDescent="0.25">
      <c r="A868" s="76" t="s">
        <v>478</v>
      </c>
      <c r="B868" s="76" t="s">
        <v>68</v>
      </c>
      <c r="C868" s="77">
        <v>41153</v>
      </c>
      <c r="D868" s="78">
        <v>41517</v>
      </c>
      <c r="E868" s="79">
        <v>0.13</v>
      </c>
      <c r="F868" s="80">
        <v>1258312.26</v>
      </c>
      <c r="G868" s="81"/>
      <c r="H868" s="80">
        <v>125831.24</v>
      </c>
      <c r="I868" s="79">
        <f>H868/F868</f>
        <v>0.10000001112601414</v>
      </c>
    </row>
    <row r="869" spans="1:9" x14ac:dyDescent="0.25">
      <c r="A869" s="76" t="s">
        <v>485</v>
      </c>
      <c r="B869" s="76" t="s">
        <v>486</v>
      </c>
      <c r="C869" s="77">
        <v>41037</v>
      </c>
      <c r="D869" s="78">
        <v>41274</v>
      </c>
      <c r="E869" s="79">
        <v>0.45</v>
      </c>
      <c r="F869" s="80">
        <v>42270</v>
      </c>
      <c r="G869" s="81"/>
      <c r="H869" s="80">
        <v>5021</v>
      </c>
      <c r="I869" s="79">
        <f>H869/F869</f>
        <v>0.11878400757038088</v>
      </c>
    </row>
    <row r="870" spans="1:9" x14ac:dyDescent="0.25">
      <c r="A870" s="76" t="s">
        <v>485</v>
      </c>
      <c r="B870" s="76" t="s">
        <v>486</v>
      </c>
      <c r="C870" s="77">
        <v>41037</v>
      </c>
      <c r="D870" s="78">
        <v>41274</v>
      </c>
      <c r="E870" s="79">
        <v>0.45</v>
      </c>
      <c r="F870" s="88"/>
      <c r="G870" s="81">
        <v>5515</v>
      </c>
      <c r="H870" s="80">
        <v>448</v>
      </c>
      <c r="I870" s="79">
        <f>H870/G870</f>
        <v>8.1233000906618308E-2</v>
      </c>
    </row>
    <row r="871" spans="1:9" x14ac:dyDescent="0.25">
      <c r="A871" s="76" t="s">
        <v>487</v>
      </c>
      <c r="B871" s="76" t="s">
        <v>488</v>
      </c>
      <c r="C871" s="77">
        <v>41091</v>
      </c>
      <c r="D871" s="78">
        <v>41455</v>
      </c>
      <c r="E871" s="79">
        <v>0.09</v>
      </c>
      <c r="F871" s="80">
        <v>3300896.24</v>
      </c>
      <c r="G871" s="88"/>
      <c r="H871" s="80">
        <v>137000</v>
      </c>
      <c r="I871" s="79">
        <f t="shared" ref="I871:I888" si="16">H871/F871</f>
        <v>4.150387956453911E-2</v>
      </c>
    </row>
    <row r="872" spans="1:9" x14ac:dyDescent="0.25">
      <c r="A872" s="76" t="s">
        <v>487</v>
      </c>
      <c r="B872" s="76" t="s">
        <v>142</v>
      </c>
      <c r="C872" s="77">
        <v>40725</v>
      </c>
      <c r="D872" s="78">
        <v>41090</v>
      </c>
      <c r="E872" s="79">
        <v>0.09</v>
      </c>
      <c r="F872" s="80">
        <v>2059060.4</v>
      </c>
      <c r="G872" s="88"/>
      <c r="H872" s="80">
        <v>135000</v>
      </c>
      <c r="I872" s="79">
        <f t="shared" si="16"/>
        <v>6.5563885352756049E-2</v>
      </c>
    </row>
    <row r="873" spans="1:9" x14ac:dyDescent="0.25">
      <c r="A873" s="76" t="s">
        <v>489</v>
      </c>
      <c r="B873" s="110" t="s">
        <v>490</v>
      </c>
      <c r="C873" s="77">
        <v>40695</v>
      </c>
      <c r="D873" s="78">
        <v>41060</v>
      </c>
      <c r="E873" s="79">
        <v>0.3</v>
      </c>
      <c r="F873" s="80">
        <v>18470</v>
      </c>
      <c r="G873" s="88"/>
      <c r="H873" s="80">
        <v>5541</v>
      </c>
      <c r="I873" s="79">
        <f t="shared" si="16"/>
        <v>0.3</v>
      </c>
    </row>
    <row r="874" spans="1:9" x14ac:dyDescent="0.25">
      <c r="A874" s="76" t="s">
        <v>489</v>
      </c>
      <c r="B874" s="76" t="s">
        <v>131</v>
      </c>
      <c r="C874" s="77">
        <v>40848</v>
      </c>
      <c r="D874" s="78">
        <v>41213</v>
      </c>
      <c r="E874" s="79">
        <v>0.19</v>
      </c>
      <c r="F874" s="80">
        <v>12875</v>
      </c>
      <c r="G874" s="88"/>
      <c r="H874" s="80">
        <v>2446.25</v>
      </c>
      <c r="I874" s="79">
        <f t="shared" si="16"/>
        <v>0.19</v>
      </c>
    </row>
    <row r="875" spans="1:9" x14ac:dyDescent="0.25">
      <c r="A875" s="76" t="s">
        <v>489</v>
      </c>
      <c r="B875" s="76" t="s">
        <v>336</v>
      </c>
      <c r="C875" s="77">
        <v>41000</v>
      </c>
      <c r="D875" s="78">
        <v>41364</v>
      </c>
      <c r="E875" s="79">
        <v>0.3</v>
      </c>
      <c r="F875" s="80">
        <v>23945</v>
      </c>
      <c r="G875" s="88"/>
      <c r="H875" s="80">
        <v>7183.5</v>
      </c>
      <c r="I875" s="79">
        <f t="shared" si="16"/>
        <v>0.3</v>
      </c>
    </row>
    <row r="876" spans="1:9" x14ac:dyDescent="0.25">
      <c r="A876" s="76" t="s">
        <v>489</v>
      </c>
      <c r="B876" s="76" t="s">
        <v>336</v>
      </c>
      <c r="C876" s="77">
        <v>40634</v>
      </c>
      <c r="D876" s="78">
        <v>40999</v>
      </c>
      <c r="E876" s="79">
        <v>0.3</v>
      </c>
      <c r="F876" s="80">
        <v>21455</v>
      </c>
      <c r="G876" s="88"/>
      <c r="H876" s="80">
        <v>6436.5</v>
      </c>
      <c r="I876" s="79">
        <f t="shared" si="16"/>
        <v>0.3</v>
      </c>
    </row>
    <row r="877" spans="1:9" x14ac:dyDescent="0.25">
      <c r="A877" s="76" t="s">
        <v>491</v>
      </c>
      <c r="B877" s="76" t="s">
        <v>499</v>
      </c>
      <c r="C877" s="77">
        <v>41197</v>
      </c>
      <c r="D877" s="78">
        <v>41222</v>
      </c>
      <c r="E877" s="79">
        <v>0.4</v>
      </c>
      <c r="F877" s="80">
        <v>100841</v>
      </c>
      <c r="G877" s="88"/>
      <c r="H877" s="80">
        <v>40336.400000000001</v>
      </c>
      <c r="I877" s="79">
        <f t="shared" si="16"/>
        <v>0.4</v>
      </c>
    </row>
    <row r="878" spans="1:9" x14ac:dyDescent="0.25">
      <c r="A878" s="76" t="s">
        <v>491</v>
      </c>
      <c r="B878" s="76" t="s">
        <v>494</v>
      </c>
      <c r="C878" s="77">
        <v>41029</v>
      </c>
      <c r="D878" s="78">
        <v>41054</v>
      </c>
      <c r="E878" s="79">
        <v>0.4</v>
      </c>
      <c r="F878" s="80">
        <v>84500.5</v>
      </c>
      <c r="G878" s="88"/>
      <c r="H878" s="80">
        <v>33800.199999999997</v>
      </c>
      <c r="I878" s="79">
        <f t="shared" si="16"/>
        <v>0.39999999999999997</v>
      </c>
    </row>
    <row r="879" spans="1:9" x14ac:dyDescent="0.25">
      <c r="A879" s="76" t="s">
        <v>491</v>
      </c>
      <c r="B879" s="76" t="s">
        <v>495</v>
      </c>
      <c r="C879" s="77">
        <v>41058</v>
      </c>
      <c r="D879" s="78">
        <v>41089</v>
      </c>
      <c r="E879" s="79">
        <v>0.4</v>
      </c>
      <c r="F879" s="80">
        <v>75206</v>
      </c>
      <c r="G879" s="88"/>
      <c r="H879" s="80">
        <v>30082.400000000001</v>
      </c>
      <c r="I879" s="79">
        <f t="shared" si="16"/>
        <v>0.4</v>
      </c>
    </row>
    <row r="880" spans="1:9" x14ac:dyDescent="0.25">
      <c r="A880" s="76" t="s">
        <v>491</v>
      </c>
      <c r="B880" s="76" t="s">
        <v>500</v>
      </c>
      <c r="C880" s="77">
        <v>41218</v>
      </c>
      <c r="D880" s="78">
        <v>41257</v>
      </c>
      <c r="E880" s="79">
        <v>0.4</v>
      </c>
      <c r="F880" s="80">
        <v>64545</v>
      </c>
      <c r="G880" s="88"/>
      <c r="H880" s="80">
        <v>25818</v>
      </c>
      <c r="I880" s="79">
        <f t="shared" si="16"/>
        <v>0.4</v>
      </c>
    </row>
    <row r="881" spans="1:9" x14ac:dyDescent="0.25">
      <c r="A881" s="76" t="s">
        <v>491</v>
      </c>
      <c r="B881" s="76" t="s">
        <v>501</v>
      </c>
      <c r="C881" s="77">
        <v>41218</v>
      </c>
      <c r="D881" s="78">
        <v>41257</v>
      </c>
      <c r="E881" s="79">
        <v>0.4</v>
      </c>
      <c r="F881" s="80">
        <v>102318.25</v>
      </c>
      <c r="G881" s="88"/>
      <c r="H881" s="80">
        <v>40927.300000000003</v>
      </c>
      <c r="I881" s="79">
        <f t="shared" si="16"/>
        <v>0.4</v>
      </c>
    </row>
    <row r="882" spans="1:9" x14ac:dyDescent="0.25">
      <c r="A882" s="76" t="s">
        <v>491</v>
      </c>
      <c r="B882" s="76" t="s">
        <v>497</v>
      </c>
      <c r="C882" s="77">
        <v>41113</v>
      </c>
      <c r="D882" s="78">
        <v>41131</v>
      </c>
      <c r="E882" s="79">
        <v>0.45</v>
      </c>
      <c r="F882" s="80">
        <v>82119.5</v>
      </c>
      <c r="G882" s="88"/>
      <c r="H882" s="80">
        <v>36953.78</v>
      </c>
      <c r="I882" s="79">
        <f t="shared" si="16"/>
        <v>0.45000006088687827</v>
      </c>
    </row>
    <row r="883" spans="1:9" x14ac:dyDescent="0.25">
      <c r="A883" s="76" t="s">
        <v>491</v>
      </c>
      <c r="B883" s="76" t="s">
        <v>492</v>
      </c>
      <c r="C883" s="77">
        <v>41134</v>
      </c>
      <c r="D883" s="78">
        <v>41166</v>
      </c>
      <c r="E883" s="79">
        <v>0.5</v>
      </c>
      <c r="F883" s="80">
        <v>118324</v>
      </c>
      <c r="G883" s="88"/>
      <c r="H883" s="80">
        <v>59162</v>
      </c>
      <c r="I883" s="79">
        <f t="shared" si="16"/>
        <v>0.5</v>
      </c>
    </row>
    <row r="884" spans="1:9" x14ac:dyDescent="0.25">
      <c r="A884" s="76" t="s">
        <v>491</v>
      </c>
      <c r="B884" s="76" t="s">
        <v>492</v>
      </c>
      <c r="C884" s="77">
        <v>40924</v>
      </c>
      <c r="D884" s="78">
        <v>40963</v>
      </c>
      <c r="E884" s="79">
        <v>0.5</v>
      </c>
      <c r="F884" s="80">
        <v>116240</v>
      </c>
      <c r="G884" s="88"/>
      <c r="H884" s="80">
        <v>58120</v>
      </c>
      <c r="I884" s="79">
        <f t="shared" si="16"/>
        <v>0.5</v>
      </c>
    </row>
    <row r="885" spans="1:9" x14ac:dyDescent="0.25">
      <c r="A885" s="76" t="s">
        <v>491</v>
      </c>
      <c r="B885" s="76" t="s">
        <v>493</v>
      </c>
      <c r="C885" s="77">
        <v>40966</v>
      </c>
      <c r="D885" s="78">
        <v>41019</v>
      </c>
      <c r="E885" s="79">
        <v>0.40500000000000003</v>
      </c>
      <c r="F885" s="80">
        <v>134741</v>
      </c>
      <c r="G885" s="88"/>
      <c r="H885" s="80">
        <v>59488.83</v>
      </c>
      <c r="I885" s="79">
        <f t="shared" si="16"/>
        <v>0.44150503558679244</v>
      </c>
    </row>
    <row r="886" spans="1:9" x14ac:dyDescent="0.25">
      <c r="A886" s="76" t="s">
        <v>491</v>
      </c>
      <c r="B886" s="76" t="s">
        <v>496</v>
      </c>
      <c r="C886" s="77">
        <v>41085</v>
      </c>
      <c r="D886" s="78">
        <v>41110</v>
      </c>
      <c r="E886" s="79">
        <v>0.45</v>
      </c>
      <c r="F886" s="80">
        <v>61893</v>
      </c>
      <c r="G886" s="88"/>
      <c r="H886" s="80">
        <v>27851.85</v>
      </c>
      <c r="I886" s="79">
        <f t="shared" si="16"/>
        <v>0.44999999999999996</v>
      </c>
    </row>
    <row r="887" spans="1:9" x14ac:dyDescent="0.25">
      <c r="A887" s="76" t="s">
        <v>491</v>
      </c>
      <c r="B887" s="76" t="s">
        <v>498</v>
      </c>
      <c r="C887" s="77">
        <v>41169</v>
      </c>
      <c r="D887" s="78">
        <v>41208</v>
      </c>
      <c r="E887" s="79">
        <v>0.46</v>
      </c>
      <c r="F887" s="80">
        <v>102538</v>
      </c>
      <c r="G887" s="88"/>
      <c r="H887" s="80">
        <v>47167.48</v>
      </c>
      <c r="I887" s="79">
        <f t="shared" si="16"/>
        <v>0.46</v>
      </c>
    </row>
    <row r="888" spans="1:9" x14ac:dyDescent="0.25">
      <c r="A888" s="76" t="s">
        <v>502</v>
      </c>
      <c r="B888" s="76" t="s">
        <v>92</v>
      </c>
      <c r="C888" s="77">
        <v>41151</v>
      </c>
      <c r="D888" s="78">
        <v>41515</v>
      </c>
      <c r="E888" s="79">
        <v>0.92500000000000004</v>
      </c>
      <c r="F888" s="80">
        <v>17104.46</v>
      </c>
      <c r="G888" s="81"/>
      <c r="H888" s="80">
        <v>15821.63</v>
      </c>
      <c r="I888" s="79">
        <f t="shared" si="16"/>
        <v>0.92500026308927608</v>
      </c>
    </row>
    <row r="889" spans="1:9" x14ac:dyDescent="0.25">
      <c r="A889" s="76" t="s">
        <v>502</v>
      </c>
      <c r="B889" s="76" t="s">
        <v>92</v>
      </c>
      <c r="C889" s="77">
        <v>41151</v>
      </c>
      <c r="D889" s="78">
        <v>41515</v>
      </c>
      <c r="E889" s="79">
        <v>0.92500000000000004</v>
      </c>
      <c r="F889" s="80"/>
      <c r="G889" s="81">
        <v>275.56</v>
      </c>
      <c r="H889" s="80">
        <v>254.89</v>
      </c>
      <c r="I889" s="79">
        <f>H889/G889</f>
        <v>0.92498911307882126</v>
      </c>
    </row>
    <row r="890" spans="1:9" x14ac:dyDescent="0.25">
      <c r="A890" s="76" t="s">
        <v>502</v>
      </c>
      <c r="B890" s="76" t="s">
        <v>19</v>
      </c>
      <c r="C890" s="77">
        <v>41154</v>
      </c>
      <c r="D890" s="78">
        <v>41289</v>
      </c>
      <c r="E890" s="79">
        <v>0.92500000000000004</v>
      </c>
      <c r="F890" s="80">
        <v>3586.63</v>
      </c>
      <c r="G890" s="81"/>
      <c r="H890" s="80">
        <v>3317.63</v>
      </c>
      <c r="I890" s="79">
        <f>H890/F890</f>
        <v>0.92499923326353706</v>
      </c>
    </row>
    <row r="891" spans="1:9" x14ac:dyDescent="0.25">
      <c r="A891" s="76" t="s">
        <v>502</v>
      </c>
      <c r="B891" s="76" t="s">
        <v>19</v>
      </c>
      <c r="C891" s="77">
        <v>41154</v>
      </c>
      <c r="D891" s="78">
        <v>41289</v>
      </c>
      <c r="E891" s="79">
        <v>0.92500000000000004</v>
      </c>
      <c r="F891" s="80"/>
      <c r="G891" s="81">
        <v>157.62</v>
      </c>
      <c r="H891" s="80">
        <v>145.80000000000001</v>
      </c>
      <c r="I891" s="79">
        <f>H891/G891</f>
        <v>0.92500951655881236</v>
      </c>
    </row>
    <row r="892" spans="1:9" x14ac:dyDescent="0.25">
      <c r="A892" s="76" t="s">
        <v>502</v>
      </c>
      <c r="B892" s="76" t="s">
        <v>503</v>
      </c>
      <c r="C892" s="77">
        <v>41153</v>
      </c>
      <c r="D892" s="78">
        <v>41289</v>
      </c>
      <c r="E892" s="79">
        <v>0.92500000000000004</v>
      </c>
      <c r="F892" s="80">
        <v>692.59</v>
      </c>
      <c r="G892" s="81"/>
      <c r="H892" s="80">
        <v>645.37</v>
      </c>
      <c r="I892" s="79">
        <f>H892/F892</f>
        <v>0.93182113515932941</v>
      </c>
    </row>
    <row r="893" spans="1:9" x14ac:dyDescent="0.25">
      <c r="A893" s="76" t="s">
        <v>502</v>
      </c>
      <c r="B893" s="76" t="s">
        <v>503</v>
      </c>
      <c r="C893" s="77">
        <v>41153</v>
      </c>
      <c r="D893" s="78">
        <v>41289</v>
      </c>
      <c r="E893" s="79">
        <v>0.92500000000000004</v>
      </c>
      <c r="F893" s="80"/>
      <c r="G893" s="81">
        <v>0.14000000000000001</v>
      </c>
      <c r="H893" s="80">
        <v>0.13</v>
      </c>
      <c r="I893" s="79">
        <f>H893/G893</f>
        <v>0.92857142857142849</v>
      </c>
    </row>
    <row r="894" spans="1:9" x14ac:dyDescent="0.25">
      <c r="A894" s="76" t="s">
        <v>502</v>
      </c>
      <c r="B894" s="76" t="s">
        <v>90</v>
      </c>
      <c r="C894" s="77">
        <v>41154</v>
      </c>
      <c r="D894" s="78">
        <v>41518</v>
      </c>
      <c r="E894" s="79">
        <v>0.92500000000000004</v>
      </c>
      <c r="F894" s="80">
        <v>454332.98</v>
      </c>
      <c r="G894" s="81"/>
      <c r="H894" s="80">
        <v>420258.01</v>
      </c>
      <c r="I894" s="79">
        <f>H894/F894</f>
        <v>0.92500000770360102</v>
      </c>
    </row>
    <row r="895" spans="1:9" x14ac:dyDescent="0.25">
      <c r="A895" s="76" t="s">
        <v>502</v>
      </c>
      <c r="B895" s="76" t="s">
        <v>90</v>
      </c>
      <c r="C895" s="77">
        <v>41154</v>
      </c>
      <c r="D895" s="78">
        <v>41518</v>
      </c>
      <c r="E895" s="79">
        <v>0.92500000000000004</v>
      </c>
      <c r="F895" s="80"/>
      <c r="G895" s="81">
        <v>11486.03</v>
      </c>
      <c r="H895" s="80">
        <v>10624.58</v>
      </c>
      <c r="I895" s="79">
        <f>H895/G895</f>
        <v>0.92500019589013782</v>
      </c>
    </row>
    <row r="896" spans="1:9" x14ac:dyDescent="0.25">
      <c r="A896" s="76" t="s">
        <v>504</v>
      </c>
      <c r="B896" s="76" t="s">
        <v>506</v>
      </c>
      <c r="C896" s="77">
        <v>40760</v>
      </c>
      <c r="D896" s="78">
        <v>41125</v>
      </c>
      <c r="E896" s="79">
        <v>0.1</v>
      </c>
      <c r="F896" s="80"/>
      <c r="G896" s="81">
        <v>15292.94</v>
      </c>
      <c r="H896" s="80">
        <v>1529.29</v>
      </c>
      <c r="I896" s="79">
        <f>H896/G896</f>
        <v>9.999973844139845E-2</v>
      </c>
    </row>
    <row r="897" spans="1:9" x14ac:dyDescent="0.25">
      <c r="A897" s="76" t="s">
        <v>504</v>
      </c>
      <c r="B897" s="76" t="s">
        <v>69</v>
      </c>
      <c r="C897" s="77">
        <v>40804</v>
      </c>
      <c r="D897" s="78">
        <v>41169</v>
      </c>
      <c r="E897" s="79">
        <v>0.09</v>
      </c>
      <c r="F897" s="80"/>
      <c r="G897" s="81">
        <v>29008</v>
      </c>
      <c r="H897" s="80">
        <v>2900.8</v>
      </c>
      <c r="I897" s="79">
        <f>H897/G897</f>
        <v>0.1</v>
      </c>
    </row>
    <row r="898" spans="1:9" x14ac:dyDescent="0.25">
      <c r="A898" s="76" t="s">
        <v>504</v>
      </c>
      <c r="B898" s="76" t="s">
        <v>120</v>
      </c>
      <c r="C898" s="77">
        <v>40681</v>
      </c>
      <c r="D898" s="78">
        <v>41046</v>
      </c>
      <c r="E898" s="79">
        <v>0.09</v>
      </c>
      <c r="F898" s="80">
        <v>816701.21</v>
      </c>
      <c r="G898" s="81"/>
      <c r="H898" s="80">
        <v>81670.12</v>
      </c>
      <c r="I898" s="79">
        <f>H898/F898</f>
        <v>9.9999998775561996E-2</v>
      </c>
    </row>
    <row r="899" spans="1:9" x14ac:dyDescent="0.25">
      <c r="A899" s="76" t="s">
        <v>504</v>
      </c>
      <c r="B899" s="76" t="s">
        <v>511</v>
      </c>
      <c r="C899" s="77">
        <v>40969</v>
      </c>
      <c r="D899" s="78">
        <v>41333</v>
      </c>
      <c r="E899" s="79">
        <v>0.13500000000000001</v>
      </c>
      <c r="F899" s="80"/>
      <c r="G899" s="81">
        <v>5917</v>
      </c>
      <c r="H899" s="80">
        <v>887.55</v>
      </c>
      <c r="I899" s="79">
        <f>H899/G899</f>
        <v>0.15</v>
      </c>
    </row>
    <row r="900" spans="1:9" x14ac:dyDescent="0.25">
      <c r="A900" s="76" t="s">
        <v>504</v>
      </c>
      <c r="B900" s="76" t="s">
        <v>132</v>
      </c>
      <c r="C900" s="77">
        <v>40772</v>
      </c>
      <c r="D900" s="78">
        <v>41137</v>
      </c>
      <c r="E900" s="79">
        <v>8.9999999999999993E-3</v>
      </c>
      <c r="F900" s="80"/>
      <c r="G900" s="81">
        <v>21615</v>
      </c>
      <c r="H900" s="80">
        <v>2161.5</v>
      </c>
      <c r="I900" s="79">
        <f>H900/G900</f>
        <v>0.1</v>
      </c>
    </row>
    <row r="901" spans="1:9" x14ac:dyDescent="0.25">
      <c r="A901" s="76" t="s">
        <v>504</v>
      </c>
      <c r="B901" s="76" t="s">
        <v>509</v>
      </c>
      <c r="C901" s="77">
        <v>40815</v>
      </c>
      <c r="D901" s="78">
        <v>41180</v>
      </c>
      <c r="E901" s="79">
        <v>0.09</v>
      </c>
      <c r="F901" s="80">
        <v>0</v>
      </c>
      <c r="G901" s="81"/>
      <c r="H901" s="80">
        <v>0</v>
      </c>
      <c r="I901" s="79">
        <v>0</v>
      </c>
    </row>
    <row r="902" spans="1:9" x14ac:dyDescent="0.25">
      <c r="A902" s="76" t="s">
        <v>504</v>
      </c>
      <c r="B902" s="76" t="s">
        <v>509</v>
      </c>
      <c r="C902" s="77">
        <v>40815</v>
      </c>
      <c r="D902" s="78">
        <v>41180</v>
      </c>
      <c r="E902" s="79">
        <v>0.09</v>
      </c>
      <c r="F902" s="80"/>
      <c r="G902" s="81">
        <v>0</v>
      </c>
      <c r="H902" s="80">
        <v>0</v>
      </c>
      <c r="I902" s="79">
        <v>0</v>
      </c>
    </row>
    <row r="903" spans="1:9" x14ac:dyDescent="0.25">
      <c r="A903" s="76" t="s">
        <v>504</v>
      </c>
      <c r="B903" s="76" t="s">
        <v>508</v>
      </c>
      <c r="C903" s="77">
        <v>40808</v>
      </c>
      <c r="D903" s="78">
        <v>41173</v>
      </c>
      <c r="E903" s="79">
        <v>0.09</v>
      </c>
      <c r="F903" s="80">
        <v>0</v>
      </c>
      <c r="G903" s="81"/>
      <c r="H903" s="80">
        <v>0</v>
      </c>
      <c r="I903" s="79">
        <v>0</v>
      </c>
    </row>
    <row r="904" spans="1:9" x14ac:dyDescent="0.25">
      <c r="A904" s="76" t="s">
        <v>504</v>
      </c>
      <c r="B904" s="76" t="s">
        <v>508</v>
      </c>
      <c r="C904" s="77">
        <v>40808</v>
      </c>
      <c r="D904" s="78">
        <v>41173</v>
      </c>
      <c r="E904" s="79">
        <v>0.09</v>
      </c>
      <c r="F904" s="80"/>
      <c r="G904" s="81">
        <v>0</v>
      </c>
      <c r="H904" s="80">
        <v>0</v>
      </c>
      <c r="I904" s="79">
        <v>0</v>
      </c>
    </row>
    <row r="905" spans="1:9" x14ac:dyDescent="0.25">
      <c r="A905" s="76" t="s">
        <v>504</v>
      </c>
      <c r="B905" s="76" t="s">
        <v>67</v>
      </c>
      <c r="C905" s="77">
        <v>40780</v>
      </c>
      <c r="D905" s="78">
        <v>41145</v>
      </c>
      <c r="E905" s="79">
        <v>0.1</v>
      </c>
      <c r="F905" s="80">
        <v>26039</v>
      </c>
      <c r="G905" s="81"/>
      <c r="H905" s="80">
        <v>2603.9</v>
      </c>
      <c r="I905" s="79">
        <f>H905/F905</f>
        <v>0.1</v>
      </c>
    </row>
    <row r="906" spans="1:9" x14ac:dyDescent="0.25">
      <c r="A906" s="76" t="s">
        <v>504</v>
      </c>
      <c r="B906" s="76" t="s">
        <v>510</v>
      </c>
      <c r="C906" s="77">
        <v>40940</v>
      </c>
      <c r="D906" s="78">
        <v>41305</v>
      </c>
      <c r="E906" s="79">
        <v>0.09</v>
      </c>
      <c r="F906" s="80"/>
      <c r="G906" s="81">
        <v>10707</v>
      </c>
      <c r="H906" s="80">
        <v>1070.7</v>
      </c>
      <c r="I906" s="79">
        <f>H906/G906</f>
        <v>0.1</v>
      </c>
    </row>
    <row r="907" spans="1:9" x14ac:dyDescent="0.25">
      <c r="A907" s="76" t="s">
        <v>504</v>
      </c>
      <c r="B907" s="76" t="s">
        <v>98</v>
      </c>
      <c r="C907" s="77">
        <v>40758</v>
      </c>
      <c r="D907" s="78">
        <v>41123</v>
      </c>
      <c r="E907" s="79">
        <v>0.09</v>
      </c>
      <c r="F907" s="80"/>
      <c r="G907" s="81">
        <v>24151</v>
      </c>
      <c r="H907" s="80">
        <v>2415.1</v>
      </c>
      <c r="I907" s="79">
        <f>H907/G907</f>
        <v>9.9999999999999992E-2</v>
      </c>
    </row>
    <row r="908" spans="1:9" x14ac:dyDescent="0.25">
      <c r="A908" s="76" t="s">
        <v>504</v>
      </c>
      <c r="B908" s="76" t="s">
        <v>131</v>
      </c>
      <c r="C908" s="77">
        <v>40724</v>
      </c>
      <c r="D908" s="78">
        <v>41089</v>
      </c>
      <c r="E908" s="79">
        <v>0.12</v>
      </c>
      <c r="F908" s="80"/>
      <c r="G908" s="81">
        <v>23899.85</v>
      </c>
      <c r="H908" s="80">
        <v>2867.98</v>
      </c>
      <c r="I908" s="79">
        <f>H908/G908</f>
        <v>0.11999991631746644</v>
      </c>
    </row>
    <row r="909" spans="1:9" x14ac:dyDescent="0.25">
      <c r="A909" s="76" t="s">
        <v>504</v>
      </c>
      <c r="B909" s="76" t="s">
        <v>505</v>
      </c>
      <c r="C909" s="77">
        <v>40648</v>
      </c>
      <c r="D909" s="78">
        <v>41013</v>
      </c>
      <c r="E909" s="79">
        <v>0.09</v>
      </c>
      <c r="F909" s="80">
        <v>326746.38</v>
      </c>
      <c r="G909" s="88"/>
      <c r="H909" s="80">
        <v>32674.639999999999</v>
      </c>
      <c r="I909" s="79">
        <f>H909/F909</f>
        <v>0.10000000612095533</v>
      </c>
    </row>
    <row r="910" spans="1:9" x14ac:dyDescent="0.25">
      <c r="A910" s="76" t="s">
        <v>504</v>
      </c>
      <c r="B910" s="76" t="s">
        <v>54</v>
      </c>
      <c r="C910" s="77">
        <v>40899</v>
      </c>
      <c r="D910" s="78">
        <v>41197</v>
      </c>
      <c r="E910" s="79">
        <v>0.15</v>
      </c>
      <c r="F910" s="80"/>
      <c r="G910" s="81">
        <v>10262</v>
      </c>
      <c r="H910" s="80">
        <v>1529.3</v>
      </c>
      <c r="I910" s="79">
        <f t="shared" ref="I910:I916" si="17">H910/G910</f>
        <v>0.14902553108555835</v>
      </c>
    </row>
    <row r="911" spans="1:9" x14ac:dyDescent="0.25">
      <c r="A911" s="76" t="s">
        <v>504</v>
      </c>
      <c r="B911" s="76" t="s">
        <v>70</v>
      </c>
      <c r="C911" s="77">
        <v>40820</v>
      </c>
      <c r="D911" s="78">
        <v>41185</v>
      </c>
      <c r="E911" s="79">
        <v>0.09</v>
      </c>
      <c r="F911" s="80"/>
      <c r="G911" s="81">
        <v>6933</v>
      </c>
      <c r="H911" s="80">
        <v>1039.95</v>
      </c>
      <c r="I911" s="79">
        <f t="shared" si="17"/>
        <v>0.15</v>
      </c>
    </row>
    <row r="912" spans="1:9" x14ac:dyDescent="0.25">
      <c r="A912" s="76" t="s">
        <v>504</v>
      </c>
      <c r="B912" s="76" t="s">
        <v>507</v>
      </c>
      <c r="C912" s="77">
        <v>40763</v>
      </c>
      <c r="D912" s="78">
        <v>41128</v>
      </c>
      <c r="E912" s="79">
        <v>0.09</v>
      </c>
      <c r="F912" s="80"/>
      <c r="G912" s="81">
        <v>16742.57</v>
      </c>
      <c r="H912" s="80">
        <v>1674.26</v>
      </c>
      <c r="I912" s="79">
        <f t="shared" si="17"/>
        <v>0.10000017918396041</v>
      </c>
    </row>
    <row r="913" spans="1:9" x14ac:dyDescent="0.25">
      <c r="A913" s="76" t="s">
        <v>504</v>
      </c>
      <c r="B913" s="76" t="s">
        <v>68</v>
      </c>
      <c r="C913" s="77">
        <v>40789</v>
      </c>
      <c r="D913" s="78">
        <v>41154</v>
      </c>
      <c r="E913" s="79">
        <v>0.09</v>
      </c>
      <c r="F913" s="80"/>
      <c r="G913" s="81">
        <v>16123</v>
      </c>
      <c r="H913" s="80">
        <v>1612.3</v>
      </c>
      <c r="I913" s="79">
        <f t="shared" si="17"/>
        <v>9.9999999999999992E-2</v>
      </c>
    </row>
    <row r="914" spans="1:9" x14ac:dyDescent="0.25">
      <c r="A914" s="76" t="s">
        <v>512</v>
      </c>
      <c r="B914" s="76" t="s">
        <v>506</v>
      </c>
      <c r="C914" s="77">
        <v>41126</v>
      </c>
      <c r="D914" s="78">
        <v>41490</v>
      </c>
      <c r="E914" s="79">
        <v>0.09</v>
      </c>
      <c r="F914" s="80"/>
      <c r="G914" s="81">
        <v>17326</v>
      </c>
      <c r="H914" s="80">
        <v>1732.6</v>
      </c>
      <c r="I914" s="79">
        <f t="shared" si="17"/>
        <v>9.9999999999999992E-2</v>
      </c>
    </row>
    <row r="915" spans="1:9" x14ac:dyDescent="0.25">
      <c r="A915" s="76" t="s">
        <v>512</v>
      </c>
      <c r="B915" s="76" t="s">
        <v>69</v>
      </c>
      <c r="C915" s="77">
        <v>41170</v>
      </c>
      <c r="D915" s="78">
        <v>41534</v>
      </c>
      <c r="E915" s="79">
        <v>0.09</v>
      </c>
      <c r="F915" s="80"/>
      <c r="G915" s="81">
        <v>45671</v>
      </c>
      <c r="H915" s="80">
        <v>4567.1000000000004</v>
      </c>
      <c r="I915" s="79">
        <f t="shared" si="17"/>
        <v>0.1</v>
      </c>
    </row>
    <row r="916" spans="1:9" x14ac:dyDescent="0.25">
      <c r="A916" s="76" t="s">
        <v>512</v>
      </c>
      <c r="B916" s="76" t="s">
        <v>43</v>
      </c>
      <c r="C916" s="77">
        <v>40743</v>
      </c>
      <c r="D916" s="78">
        <v>41108</v>
      </c>
      <c r="E916" s="79">
        <v>0.09</v>
      </c>
      <c r="F916" s="80"/>
      <c r="G916" s="81">
        <v>11768</v>
      </c>
      <c r="H916" s="80">
        <v>1294.48</v>
      </c>
      <c r="I916" s="79">
        <f t="shared" si="17"/>
        <v>0.11</v>
      </c>
    </row>
    <row r="917" spans="1:9" x14ac:dyDescent="0.25">
      <c r="A917" s="76" t="s">
        <v>512</v>
      </c>
      <c r="B917" s="76" t="s">
        <v>120</v>
      </c>
      <c r="C917" s="77">
        <v>41047</v>
      </c>
      <c r="D917" s="78">
        <v>41411</v>
      </c>
      <c r="E917" s="79">
        <v>8.9999999999999998E-4</v>
      </c>
      <c r="F917" s="80">
        <v>1519018.88</v>
      </c>
      <c r="G917" s="81"/>
      <c r="H917" s="80">
        <v>151901.89000000001</v>
      </c>
      <c r="I917" s="79">
        <f>H917/F917</f>
        <v>0.10000000131663934</v>
      </c>
    </row>
    <row r="918" spans="1:9" x14ac:dyDescent="0.25">
      <c r="A918" s="76" t="s">
        <v>512</v>
      </c>
      <c r="B918" s="76" t="s">
        <v>120</v>
      </c>
      <c r="C918" s="77">
        <v>41047</v>
      </c>
      <c r="D918" s="78">
        <v>41411</v>
      </c>
      <c r="E918" s="79">
        <v>8.9999999999999998E-4</v>
      </c>
      <c r="F918" s="80"/>
      <c r="G918" s="81">
        <v>19255.66</v>
      </c>
      <c r="H918" s="80">
        <v>1925.57</v>
      </c>
      <c r="I918" s="79">
        <f>H918/G918</f>
        <v>0.10000020773112944</v>
      </c>
    </row>
    <row r="919" spans="1:9" x14ac:dyDescent="0.25">
      <c r="A919" s="76" t="s">
        <v>512</v>
      </c>
      <c r="B919" s="76" t="s">
        <v>514</v>
      </c>
      <c r="C919" s="77">
        <v>40865</v>
      </c>
      <c r="D919" s="78">
        <v>41230</v>
      </c>
      <c r="E919" s="79">
        <v>0.13500000000000001</v>
      </c>
      <c r="F919" s="80"/>
      <c r="G919" s="81">
        <v>9772</v>
      </c>
      <c r="H919" s="80">
        <v>1465.8</v>
      </c>
      <c r="I919" s="79">
        <f>H919/G919</f>
        <v>0.15</v>
      </c>
    </row>
    <row r="920" spans="1:9" x14ac:dyDescent="0.25">
      <c r="A920" s="76" t="s">
        <v>512</v>
      </c>
      <c r="B920" s="76" t="s">
        <v>132</v>
      </c>
      <c r="C920" s="77">
        <v>41138</v>
      </c>
      <c r="D920" s="78">
        <v>41502</v>
      </c>
      <c r="E920" s="79">
        <v>8.9999999999999993E-3</v>
      </c>
      <c r="F920" s="80"/>
      <c r="G920" s="81">
        <v>24388.5</v>
      </c>
      <c r="H920" s="80">
        <v>2438.85</v>
      </c>
      <c r="I920" s="79">
        <f>H920/G920</f>
        <v>9.9999999999999992E-2</v>
      </c>
    </row>
    <row r="921" spans="1:9" x14ac:dyDescent="0.25">
      <c r="A921" s="76" t="s">
        <v>512</v>
      </c>
      <c r="B921" s="76" t="s">
        <v>509</v>
      </c>
      <c r="C921" s="77">
        <v>41181</v>
      </c>
      <c r="D921" s="78">
        <v>41545</v>
      </c>
      <c r="E921" s="79">
        <v>0.09</v>
      </c>
      <c r="F921" s="80">
        <v>0</v>
      </c>
      <c r="G921" s="81"/>
      <c r="H921" s="80">
        <v>0</v>
      </c>
      <c r="I921" s="79">
        <v>0</v>
      </c>
    </row>
    <row r="922" spans="1:9" x14ac:dyDescent="0.25">
      <c r="A922" s="76" t="s">
        <v>512</v>
      </c>
      <c r="B922" s="76" t="s">
        <v>509</v>
      </c>
      <c r="C922" s="77">
        <v>41181</v>
      </c>
      <c r="D922" s="78">
        <v>41545</v>
      </c>
      <c r="E922" s="79">
        <v>0.09</v>
      </c>
      <c r="F922" s="80"/>
      <c r="G922" s="81">
        <v>0</v>
      </c>
      <c r="H922" s="80">
        <v>0</v>
      </c>
      <c r="I922" s="79">
        <v>0</v>
      </c>
    </row>
    <row r="923" spans="1:9" x14ac:dyDescent="0.25">
      <c r="A923" s="76" t="s">
        <v>512</v>
      </c>
      <c r="B923" s="76" t="s">
        <v>515</v>
      </c>
      <c r="C923" s="77">
        <v>41174</v>
      </c>
      <c r="D923" s="78">
        <v>41538</v>
      </c>
      <c r="E923" s="79">
        <v>0.09</v>
      </c>
      <c r="F923" s="80">
        <v>0</v>
      </c>
      <c r="G923" s="81"/>
      <c r="H923" s="80">
        <v>0</v>
      </c>
      <c r="I923" s="79">
        <v>0</v>
      </c>
    </row>
    <row r="924" spans="1:9" x14ac:dyDescent="0.25">
      <c r="A924" s="76" t="s">
        <v>512</v>
      </c>
      <c r="B924" s="76" t="s">
        <v>515</v>
      </c>
      <c r="C924" s="77">
        <v>41174</v>
      </c>
      <c r="D924" s="78">
        <v>41538</v>
      </c>
      <c r="E924" s="79">
        <v>0.09</v>
      </c>
      <c r="F924" s="80"/>
      <c r="G924" s="81">
        <v>0</v>
      </c>
      <c r="H924" s="80">
        <v>0</v>
      </c>
      <c r="I924" s="79">
        <v>0</v>
      </c>
    </row>
    <row r="925" spans="1:9" x14ac:dyDescent="0.25">
      <c r="A925" s="76" t="s">
        <v>512</v>
      </c>
      <c r="B925" s="76" t="s">
        <v>67</v>
      </c>
      <c r="C925" s="77">
        <v>41146</v>
      </c>
      <c r="D925" s="78">
        <v>41510</v>
      </c>
      <c r="E925" s="79">
        <v>0.1</v>
      </c>
      <c r="F925" s="80"/>
      <c r="G925" s="81">
        <v>28652</v>
      </c>
      <c r="H925" s="80">
        <v>2865.2</v>
      </c>
      <c r="I925" s="79">
        <f>H925/G925</f>
        <v>9.9999999999999992E-2</v>
      </c>
    </row>
    <row r="926" spans="1:9" x14ac:dyDescent="0.25">
      <c r="A926" s="76" t="s">
        <v>512</v>
      </c>
      <c r="B926" s="76" t="s">
        <v>98</v>
      </c>
      <c r="C926" s="77">
        <v>41124</v>
      </c>
      <c r="D926" s="78">
        <v>41488</v>
      </c>
      <c r="E926" s="79">
        <v>0.09</v>
      </c>
      <c r="F926" s="80"/>
      <c r="G926" s="81">
        <v>29709.5</v>
      </c>
      <c r="H926" s="80">
        <v>2970.95</v>
      </c>
      <c r="I926" s="79">
        <f>H926/G926</f>
        <v>9.9999999999999992E-2</v>
      </c>
    </row>
    <row r="927" spans="1:9" x14ac:dyDescent="0.25">
      <c r="A927" s="76" t="s">
        <v>512</v>
      </c>
      <c r="B927" s="76" t="s">
        <v>131</v>
      </c>
      <c r="C927" s="77">
        <v>41090</v>
      </c>
      <c r="D927" s="78">
        <v>41454</v>
      </c>
      <c r="E927" s="79">
        <v>0.12</v>
      </c>
      <c r="F927" s="80">
        <v>422608.12</v>
      </c>
      <c r="G927" s="81"/>
      <c r="H927" s="80">
        <v>50712.97</v>
      </c>
      <c r="I927" s="79">
        <f>H927/F927</f>
        <v>0.11999998958846318</v>
      </c>
    </row>
    <row r="928" spans="1:9" x14ac:dyDescent="0.25">
      <c r="A928" s="76" t="s">
        <v>512</v>
      </c>
      <c r="B928" s="76" t="s">
        <v>131</v>
      </c>
      <c r="C928" s="77">
        <v>41090</v>
      </c>
      <c r="D928" s="78">
        <v>41454</v>
      </c>
      <c r="E928" s="79">
        <v>0.12</v>
      </c>
      <c r="F928" s="80"/>
      <c r="G928" s="81">
        <v>18765.830000000002</v>
      </c>
      <c r="H928" s="80">
        <v>2251.9</v>
      </c>
      <c r="I928" s="79">
        <f t="shared" ref="I928:I935" si="18">H928/G928</f>
        <v>0.1200000213153375</v>
      </c>
    </row>
    <row r="929" spans="1:9" x14ac:dyDescent="0.25">
      <c r="A929" s="76" t="s">
        <v>512</v>
      </c>
      <c r="B929" s="76" t="s">
        <v>505</v>
      </c>
      <c r="C929" s="77">
        <v>41014</v>
      </c>
      <c r="D929" s="78">
        <v>41378</v>
      </c>
      <c r="E929" s="79">
        <v>0.09</v>
      </c>
      <c r="F929" s="80"/>
      <c r="G929" s="81">
        <v>18662</v>
      </c>
      <c r="H929" s="80">
        <v>1866.2</v>
      </c>
      <c r="I929" s="79">
        <f t="shared" si="18"/>
        <v>0.1</v>
      </c>
    </row>
    <row r="930" spans="1:9" x14ac:dyDescent="0.25">
      <c r="A930" s="76" t="s">
        <v>512</v>
      </c>
      <c r="B930" s="76" t="s">
        <v>425</v>
      </c>
      <c r="C930" s="77">
        <v>40996</v>
      </c>
      <c r="D930" s="78">
        <v>41360</v>
      </c>
      <c r="E930" s="79">
        <v>0.16</v>
      </c>
      <c r="F930" s="80"/>
      <c r="G930" s="81">
        <v>59947</v>
      </c>
      <c r="H930" s="80">
        <v>8992.0499999999993</v>
      </c>
      <c r="I930" s="79">
        <f t="shared" si="18"/>
        <v>0.15</v>
      </c>
    </row>
    <row r="931" spans="1:9" x14ac:dyDescent="0.25">
      <c r="A931" s="76" t="s">
        <v>512</v>
      </c>
      <c r="B931" s="76" t="s">
        <v>420</v>
      </c>
      <c r="C931" s="77">
        <v>40575</v>
      </c>
      <c r="D931" s="78">
        <v>40939</v>
      </c>
      <c r="E931" s="79">
        <v>0.15</v>
      </c>
      <c r="F931" s="88"/>
      <c r="G931" s="81">
        <v>29347.42</v>
      </c>
      <c r="H931" s="80">
        <v>4402.1099999999997</v>
      </c>
      <c r="I931" s="79">
        <f t="shared" si="18"/>
        <v>0.1499998977763633</v>
      </c>
    </row>
    <row r="932" spans="1:9" x14ac:dyDescent="0.25">
      <c r="A932" s="76" t="s">
        <v>512</v>
      </c>
      <c r="B932" s="76" t="s">
        <v>513</v>
      </c>
      <c r="C932" s="77">
        <v>40968</v>
      </c>
      <c r="D932" s="78">
        <v>41333</v>
      </c>
      <c r="E932" s="79">
        <v>0.09</v>
      </c>
      <c r="F932" s="80"/>
      <c r="G932" s="81">
        <v>477</v>
      </c>
      <c r="H932" s="80">
        <v>47.7</v>
      </c>
      <c r="I932" s="79">
        <f t="shared" si="18"/>
        <v>0.1</v>
      </c>
    </row>
    <row r="933" spans="1:9" x14ac:dyDescent="0.25">
      <c r="A933" s="76" t="s">
        <v>512</v>
      </c>
      <c r="B933" s="76" t="s">
        <v>70</v>
      </c>
      <c r="C933" s="77">
        <v>41186</v>
      </c>
      <c r="D933" s="78">
        <v>41550</v>
      </c>
      <c r="E933" s="79">
        <v>0.09</v>
      </c>
      <c r="F933" s="80"/>
      <c r="G933" s="81">
        <v>13414</v>
      </c>
      <c r="H933" s="80">
        <v>1341.4</v>
      </c>
      <c r="I933" s="79">
        <f t="shared" si="18"/>
        <v>0.1</v>
      </c>
    </row>
    <row r="934" spans="1:9" x14ac:dyDescent="0.25">
      <c r="A934" s="76" t="s">
        <v>512</v>
      </c>
      <c r="B934" s="76" t="s">
        <v>507</v>
      </c>
      <c r="C934" s="77">
        <v>41129</v>
      </c>
      <c r="D934" s="78">
        <v>41493</v>
      </c>
      <c r="E934" s="79">
        <v>0.09</v>
      </c>
      <c r="F934" s="80"/>
      <c r="G934" s="81">
        <v>13249</v>
      </c>
      <c r="H934" s="80">
        <v>1324.9</v>
      </c>
      <c r="I934" s="79">
        <f t="shared" si="18"/>
        <v>0.1</v>
      </c>
    </row>
    <row r="935" spans="1:9" x14ac:dyDescent="0.25">
      <c r="A935" s="76" t="s">
        <v>512</v>
      </c>
      <c r="B935" s="76" t="s">
        <v>68</v>
      </c>
      <c r="C935" s="77">
        <v>41155</v>
      </c>
      <c r="D935" s="78">
        <v>41519</v>
      </c>
      <c r="E935" s="79">
        <v>0.09</v>
      </c>
      <c r="F935" s="80"/>
      <c r="G935" s="81">
        <v>15925.35</v>
      </c>
      <c r="H935" s="80">
        <v>1592.54</v>
      </c>
      <c r="I935" s="79">
        <f t="shared" si="18"/>
        <v>0.10000031396484221</v>
      </c>
    </row>
    <row r="936" spans="1:9" x14ac:dyDescent="0.25">
      <c r="A936" s="76" t="s">
        <v>516</v>
      </c>
      <c r="B936" s="76" t="s">
        <v>527</v>
      </c>
      <c r="C936" s="77">
        <v>40910</v>
      </c>
      <c r="D936" s="78">
        <v>41182</v>
      </c>
      <c r="E936" s="79">
        <v>0.1</v>
      </c>
      <c r="F936" s="80">
        <v>32458</v>
      </c>
      <c r="G936" s="88"/>
      <c r="H936" s="80">
        <v>6576.02</v>
      </c>
      <c r="I936" s="79">
        <f t="shared" ref="I936:I954" si="19">H936/F936</f>
        <v>0.20260089962412967</v>
      </c>
    </row>
    <row r="937" spans="1:9" x14ac:dyDescent="0.25">
      <c r="A937" s="76" t="s">
        <v>516</v>
      </c>
      <c r="B937" s="76" t="s">
        <v>525</v>
      </c>
      <c r="C937" s="77">
        <v>40862</v>
      </c>
      <c r="D937" s="78">
        <v>41228</v>
      </c>
      <c r="E937" s="79">
        <v>0.2</v>
      </c>
      <c r="F937" s="80">
        <v>52933</v>
      </c>
      <c r="G937" s="88"/>
      <c r="H937" s="80">
        <v>11437.29</v>
      </c>
      <c r="I937" s="79">
        <f t="shared" si="19"/>
        <v>0.21607107097651751</v>
      </c>
    </row>
    <row r="938" spans="1:9" x14ac:dyDescent="0.25">
      <c r="A938" s="76" t="s">
        <v>516</v>
      </c>
      <c r="B938" s="76" t="s">
        <v>521</v>
      </c>
      <c r="C938" s="77">
        <v>41061</v>
      </c>
      <c r="D938" s="78">
        <v>41364</v>
      </c>
      <c r="E938" s="79">
        <v>0.2</v>
      </c>
      <c r="F938" s="80">
        <v>22055</v>
      </c>
      <c r="G938" s="88"/>
      <c r="H938" s="80">
        <v>4702.8999999999996</v>
      </c>
      <c r="I938" s="79">
        <f t="shared" si="19"/>
        <v>0.21323509408297436</v>
      </c>
    </row>
    <row r="939" spans="1:9" x14ac:dyDescent="0.25">
      <c r="A939" s="76" t="s">
        <v>516</v>
      </c>
      <c r="B939" s="76" t="s">
        <v>521</v>
      </c>
      <c r="C939" s="77">
        <v>40695</v>
      </c>
      <c r="D939" s="78">
        <v>40999</v>
      </c>
      <c r="E939" s="79">
        <v>0.15</v>
      </c>
      <c r="F939" s="80">
        <v>20902</v>
      </c>
      <c r="G939" s="88"/>
      <c r="H939" s="80">
        <v>4515.74</v>
      </c>
      <c r="I939" s="79">
        <f t="shared" si="19"/>
        <v>0.21604344081906038</v>
      </c>
    </row>
    <row r="940" spans="1:9" x14ac:dyDescent="0.25">
      <c r="A940" s="76" t="s">
        <v>516</v>
      </c>
      <c r="B940" s="76" t="s">
        <v>520</v>
      </c>
      <c r="C940" s="77">
        <v>41000</v>
      </c>
      <c r="D940" s="78">
        <v>41365</v>
      </c>
      <c r="E940" s="79">
        <v>0.18</v>
      </c>
      <c r="F940" s="80">
        <v>87883</v>
      </c>
      <c r="G940" s="88"/>
      <c r="H940" s="80">
        <v>25000</v>
      </c>
      <c r="I940" s="79">
        <f t="shared" si="19"/>
        <v>0.28446912372131128</v>
      </c>
    </row>
    <row r="941" spans="1:9" x14ac:dyDescent="0.25">
      <c r="A941" s="76" t="s">
        <v>516</v>
      </c>
      <c r="B941" s="76" t="s">
        <v>520</v>
      </c>
      <c r="C941" s="77">
        <v>40634</v>
      </c>
      <c r="D941" s="78">
        <v>41000</v>
      </c>
      <c r="E941" s="79">
        <v>0.18</v>
      </c>
      <c r="F941" s="80">
        <v>89187</v>
      </c>
      <c r="G941" s="88"/>
      <c r="H941" s="80">
        <v>25000</v>
      </c>
      <c r="I941" s="79">
        <f t="shared" si="19"/>
        <v>0.28030991063720051</v>
      </c>
    </row>
    <row r="942" spans="1:9" x14ac:dyDescent="0.25">
      <c r="A942" s="76" t="s">
        <v>516</v>
      </c>
      <c r="B942" s="76" t="s">
        <v>528</v>
      </c>
      <c r="C942" s="77">
        <v>40910</v>
      </c>
      <c r="D942" s="78">
        <v>41258</v>
      </c>
      <c r="E942" s="79">
        <v>0.1</v>
      </c>
      <c r="F942" s="80">
        <v>24482</v>
      </c>
      <c r="G942" s="88"/>
      <c r="H942" s="80">
        <v>10000</v>
      </c>
      <c r="I942" s="79">
        <f t="shared" si="19"/>
        <v>0.40846336083653295</v>
      </c>
    </row>
    <row r="943" spans="1:9" x14ac:dyDescent="0.25">
      <c r="A943" s="76" t="s">
        <v>516</v>
      </c>
      <c r="B943" s="76" t="s">
        <v>526</v>
      </c>
      <c r="C943" s="77">
        <v>40868</v>
      </c>
      <c r="D943" s="78">
        <v>41234</v>
      </c>
      <c r="E943" s="79">
        <v>0.15</v>
      </c>
      <c r="F943" s="80">
        <v>104146.5</v>
      </c>
      <c r="G943" s="88"/>
      <c r="H943" s="80">
        <v>22861.42</v>
      </c>
      <c r="I943" s="79">
        <f t="shared" si="19"/>
        <v>0.21951212954828053</v>
      </c>
    </row>
    <row r="944" spans="1:9" x14ac:dyDescent="0.25">
      <c r="A944" s="76" t="s">
        <v>516</v>
      </c>
      <c r="B944" s="76" t="s">
        <v>524</v>
      </c>
      <c r="C944" s="77">
        <v>40862</v>
      </c>
      <c r="D944" s="78">
        <v>41228</v>
      </c>
      <c r="E944" s="79">
        <v>0.3</v>
      </c>
      <c r="F944" s="80">
        <v>75771</v>
      </c>
      <c r="G944" s="88"/>
      <c r="H944" s="80">
        <v>22731.3</v>
      </c>
      <c r="I944" s="79">
        <f t="shared" si="19"/>
        <v>0.3</v>
      </c>
    </row>
    <row r="945" spans="1:9" x14ac:dyDescent="0.25">
      <c r="A945" s="76" t="s">
        <v>516</v>
      </c>
      <c r="B945" s="76" t="s">
        <v>519</v>
      </c>
      <c r="C945" s="77">
        <v>40634</v>
      </c>
      <c r="D945" s="78">
        <v>41000</v>
      </c>
      <c r="E945" s="79">
        <v>0.17</v>
      </c>
      <c r="F945" s="80">
        <v>72503</v>
      </c>
      <c r="G945" s="88"/>
      <c r="H945" s="80">
        <v>22500</v>
      </c>
      <c r="I945" s="79">
        <f t="shared" si="19"/>
        <v>0.31033198626263742</v>
      </c>
    </row>
    <row r="946" spans="1:9" x14ac:dyDescent="0.25">
      <c r="A946" s="76" t="s">
        <v>516</v>
      </c>
      <c r="B946" s="76" t="s">
        <v>519</v>
      </c>
      <c r="C946" s="77">
        <v>41000</v>
      </c>
      <c r="D946" s="78" t="s">
        <v>530</v>
      </c>
      <c r="E946" s="79">
        <v>0.17</v>
      </c>
      <c r="F946" s="80">
        <v>65357</v>
      </c>
      <c r="G946" s="88"/>
      <c r="H946" s="80">
        <v>17000</v>
      </c>
      <c r="I946" s="79">
        <f t="shared" si="19"/>
        <v>0.26010985816362442</v>
      </c>
    </row>
    <row r="947" spans="1:9" x14ac:dyDescent="0.25">
      <c r="A947" s="76" t="s">
        <v>516</v>
      </c>
      <c r="B947" s="76" t="s">
        <v>523</v>
      </c>
      <c r="C947" s="77">
        <v>40862</v>
      </c>
      <c r="D947" s="78">
        <v>41228</v>
      </c>
      <c r="E947" s="79">
        <v>0.2</v>
      </c>
      <c r="F947" s="80">
        <v>103356</v>
      </c>
      <c r="G947" s="88"/>
      <c r="H947" s="80">
        <v>28355.17</v>
      </c>
      <c r="I947" s="79">
        <f t="shared" si="19"/>
        <v>0.27434469213204843</v>
      </c>
    </row>
    <row r="948" spans="1:9" x14ac:dyDescent="0.25">
      <c r="A948" s="76" t="s">
        <v>516</v>
      </c>
      <c r="B948" s="76" t="s">
        <v>518</v>
      </c>
      <c r="C948" s="77">
        <v>41000</v>
      </c>
      <c r="D948" s="78">
        <v>41365</v>
      </c>
      <c r="E948" s="79">
        <v>0.2</v>
      </c>
      <c r="F948" s="80">
        <v>20755</v>
      </c>
      <c r="G948" s="88"/>
      <c r="H948" s="80">
        <v>6095</v>
      </c>
      <c r="I948" s="79">
        <f t="shared" si="19"/>
        <v>0.2936641773066731</v>
      </c>
    </row>
    <row r="949" spans="1:9" x14ac:dyDescent="0.25">
      <c r="A949" s="76" t="s">
        <v>516</v>
      </c>
      <c r="B949" s="76" t="s">
        <v>518</v>
      </c>
      <c r="C949" s="77">
        <v>40634</v>
      </c>
      <c r="D949" s="78">
        <v>41000</v>
      </c>
      <c r="E949" s="79">
        <v>0.2</v>
      </c>
      <c r="F949" s="80">
        <v>21057</v>
      </c>
      <c r="G949" s="88"/>
      <c r="H949" s="80">
        <v>6000</v>
      </c>
      <c r="I949" s="79">
        <f t="shared" si="19"/>
        <v>0.28494087476848556</v>
      </c>
    </row>
    <row r="950" spans="1:9" x14ac:dyDescent="0.25">
      <c r="A950" s="76" t="s">
        <v>516</v>
      </c>
      <c r="B950" s="76" t="s">
        <v>522</v>
      </c>
      <c r="C950" s="77">
        <v>40695</v>
      </c>
      <c r="D950" s="78">
        <v>40999</v>
      </c>
      <c r="E950" s="79">
        <v>0.2</v>
      </c>
      <c r="F950" s="80">
        <v>26404</v>
      </c>
      <c r="G950" s="88"/>
      <c r="H950" s="80">
        <v>10000</v>
      </c>
      <c r="I950" s="79">
        <f t="shared" si="19"/>
        <v>0.37873049537948794</v>
      </c>
    </row>
    <row r="951" spans="1:9" x14ac:dyDescent="0.25">
      <c r="A951" s="76" t="s">
        <v>516</v>
      </c>
      <c r="B951" s="76" t="s">
        <v>522</v>
      </c>
      <c r="C951" s="77">
        <v>41086</v>
      </c>
      <c r="D951" s="78">
        <v>41364</v>
      </c>
      <c r="E951" s="79">
        <v>0.25</v>
      </c>
      <c r="F951" s="80">
        <v>27875</v>
      </c>
      <c r="G951" s="88"/>
      <c r="H951" s="80">
        <v>7576.63</v>
      </c>
      <c r="I951" s="79">
        <f t="shared" si="19"/>
        <v>0.27180735426008967</v>
      </c>
    </row>
    <row r="952" spans="1:9" x14ac:dyDescent="0.25">
      <c r="A952" s="76" t="s">
        <v>516</v>
      </c>
      <c r="B952" s="76" t="s">
        <v>529</v>
      </c>
      <c r="C952" s="77">
        <v>40924</v>
      </c>
      <c r="D952" s="78">
        <v>41290</v>
      </c>
      <c r="E952" s="79">
        <v>0.3</v>
      </c>
      <c r="F952" s="80">
        <v>295916</v>
      </c>
      <c r="G952" s="88"/>
      <c r="H952" s="80">
        <v>88774.8</v>
      </c>
      <c r="I952" s="79">
        <f t="shared" si="19"/>
        <v>0.3</v>
      </c>
    </row>
    <row r="953" spans="1:9" x14ac:dyDescent="0.25">
      <c r="A953" s="76" t="s">
        <v>516</v>
      </c>
      <c r="B953" s="117" t="s">
        <v>517</v>
      </c>
      <c r="C953" s="118">
        <v>40575</v>
      </c>
      <c r="D953" s="119">
        <v>40940</v>
      </c>
      <c r="E953" s="120">
        <v>0.3</v>
      </c>
      <c r="F953" s="121">
        <v>301993</v>
      </c>
      <c r="G953" s="88"/>
      <c r="H953" s="121">
        <v>90597.9</v>
      </c>
      <c r="I953" s="79">
        <f t="shared" si="19"/>
        <v>0.3</v>
      </c>
    </row>
    <row r="954" spans="1:9" x14ac:dyDescent="0.25">
      <c r="A954" s="76" t="s">
        <v>531</v>
      </c>
      <c r="B954" s="76" t="s">
        <v>534</v>
      </c>
      <c r="C954" s="77">
        <v>40726</v>
      </c>
      <c r="D954" s="78">
        <v>41029</v>
      </c>
      <c r="E954" s="79">
        <v>8.9999999999999993E-3</v>
      </c>
      <c r="F954" s="80">
        <v>83867</v>
      </c>
      <c r="G954" s="81"/>
      <c r="H954" s="80">
        <v>32693</v>
      </c>
      <c r="I954" s="79">
        <f t="shared" si="19"/>
        <v>0.38981959531162436</v>
      </c>
    </row>
    <row r="955" spans="1:9" x14ac:dyDescent="0.25">
      <c r="A955" s="76" t="s">
        <v>531</v>
      </c>
      <c r="B955" s="76" t="s">
        <v>534</v>
      </c>
      <c r="C955" s="77">
        <v>40726</v>
      </c>
      <c r="D955" s="78">
        <v>41029</v>
      </c>
      <c r="E955" s="79">
        <v>8.9999999999999993E-3</v>
      </c>
      <c r="F955" s="80"/>
      <c r="G955" s="81">
        <v>3341</v>
      </c>
      <c r="H955" s="80">
        <v>1479</v>
      </c>
      <c r="I955" s="79">
        <f>H955/G955</f>
        <v>0.44268183178689013</v>
      </c>
    </row>
    <row r="956" spans="1:9" x14ac:dyDescent="0.25">
      <c r="A956" s="76" t="s">
        <v>531</v>
      </c>
      <c r="B956" s="76" t="s">
        <v>548</v>
      </c>
      <c r="C956" s="77">
        <v>41000</v>
      </c>
      <c r="D956" s="78">
        <v>41364</v>
      </c>
      <c r="E956" s="79">
        <v>8.9999999999999993E-3</v>
      </c>
      <c r="F956" s="80">
        <v>1016054</v>
      </c>
      <c r="G956" s="81"/>
      <c r="H956" s="80">
        <v>253768</v>
      </c>
      <c r="I956" s="79">
        <f>H956/F956</f>
        <v>0.24975837898379416</v>
      </c>
    </row>
    <row r="957" spans="1:9" x14ac:dyDescent="0.25">
      <c r="A957" s="76" t="s">
        <v>531</v>
      </c>
      <c r="B957" s="76" t="s">
        <v>548</v>
      </c>
      <c r="C957" s="77">
        <v>41000</v>
      </c>
      <c r="D957" s="78">
        <v>41364</v>
      </c>
      <c r="E957" s="79">
        <v>8.9999999999999993E-3</v>
      </c>
      <c r="F957" s="80"/>
      <c r="G957" s="81">
        <v>10483</v>
      </c>
      <c r="H957" s="80">
        <v>4204</v>
      </c>
      <c r="I957" s="79">
        <f>H957/G957</f>
        <v>0.40103023943527616</v>
      </c>
    </row>
    <row r="958" spans="1:9" x14ac:dyDescent="0.25">
      <c r="A958" s="76" t="s">
        <v>531</v>
      </c>
      <c r="B958" s="76" t="s">
        <v>33</v>
      </c>
      <c r="C958" s="77">
        <v>40709</v>
      </c>
      <c r="D958" s="78">
        <v>40999</v>
      </c>
      <c r="E958" s="79">
        <v>8.9999999999999993E-3</v>
      </c>
      <c r="F958" s="80">
        <v>415576</v>
      </c>
      <c r="G958" s="81"/>
      <c r="H958" s="80">
        <v>892610</v>
      </c>
      <c r="I958" s="79">
        <f>H958/F958</f>
        <v>2.1478863071977208</v>
      </c>
    </row>
    <row r="959" spans="1:9" x14ac:dyDescent="0.25">
      <c r="A959" s="76" t="s">
        <v>531</v>
      </c>
      <c r="B959" s="76" t="s">
        <v>33</v>
      </c>
      <c r="C959" s="77">
        <v>40709</v>
      </c>
      <c r="D959" s="78">
        <v>40999</v>
      </c>
      <c r="E959" s="79">
        <v>8.9999999999999993E-3</v>
      </c>
      <c r="F959" s="80"/>
      <c r="G959" s="81">
        <v>6980</v>
      </c>
      <c r="H959" s="80">
        <v>1470</v>
      </c>
      <c r="I959" s="79">
        <f>H959/G959</f>
        <v>0.21060171919770773</v>
      </c>
    </row>
    <row r="960" spans="1:9" x14ac:dyDescent="0.25">
      <c r="A960" s="76" t="s">
        <v>531</v>
      </c>
      <c r="B960" s="76" t="s">
        <v>31</v>
      </c>
      <c r="C960" s="77">
        <v>41153</v>
      </c>
      <c r="D960" s="78">
        <v>41517</v>
      </c>
      <c r="E960" s="79">
        <v>8.9999999999999993E-3</v>
      </c>
      <c r="F960" s="80">
        <v>0</v>
      </c>
      <c r="G960" s="81"/>
      <c r="H960" s="80">
        <v>0</v>
      </c>
      <c r="I960" s="79">
        <v>0</v>
      </c>
    </row>
    <row r="961" spans="1:9" x14ac:dyDescent="0.25">
      <c r="A961" s="76" t="s">
        <v>531</v>
      </c>
      <c r="B961" s="76" t="s">
        <v>31</v>
      </c>
      <c r="C961" s="77">
        <v>41153</v>
      </c>
      <c r="D961" s="78">
        <v>41517</v>
      </c>
      <c r="E961" s="79">
        <v>8.9999999999999993E-3</v>
      </c>
      <c r="F961" s="80"/>
      <c r="G961" s="81">
        <v>0</v>
      </c>
      <c r="H961" s="80">
        <v>0</v>
      </c>
      <c r="I961" s="79">
        <v>0</v>
      </c>
    </row>
    <row r="962" spans="1:9" x14ac:dyDescent="0.25">
      <c r="A962" s="76" t="s">
        <v>531</v>
      </c>
      <c r="B962" s="76" t="s">
        <v>31</v>
      </c>
      <c r="C962" s="77">
        <v>40796</v>
      </c>
      <c r="D962" s="78">
        <v>41152</v>
      </c>
      <c r="E962" s="79">
        <v>8.9999999999999993E-3</v>
      </c>
      <c r="F962" s="80"/>
      <c r="G962" s="81">
        <v>505</v>
      </c>
      <c r="H962" s="80">
        <v>-52</v>
      </c>
      <c r="I962" s="79">
        <f>H962/G962</f>
        <v>-0.10297029702970296</v>
      </c>
    </row>
    <row r="963" spans="1:9" x14ac:dyDescent="0.25">
      <c r="A963" s="76" t="s">
        <v>531</v>
      </c>
      <c r="B963" s="76" t="s">
        <v>31</v>
      </c>
      <c r="C963" s="77">
        <v>40796</v>
      </c>
      <c r="D963" s="78">
        <v>41152</v>
      </c>
      <c r="E963" s="79">
        <v>8.9999999999999993E-3</v>
      </c>
      <c r="F963" s="80">
        <v>13333</v>
      </c>
      <c r="G963" s="81"/>
      <c r="H963" s="80">
        <v>-10993</v>
      </c>
      <c r="I963" s="79">
        <f>H963/F963</f>
        <v>-0.82449561239030977</v>
      </c>
    </row>
    <row r="964" spans="1:9" x14ac:dyDescent="0.25">
      <c r="A964" s="76" t="s">
        <v>531</v>
      </c>
      <c r="B964" s="76" t="s">
        <v>546</v>
      </c>
      <c r="C964" s="77">
        <v>40909</v>
      </c>
      <c r="D964" s="78">
        <v>41274</v>
      </c>
      <c r="E964" s="79">
        <v>8.9999999999999993E-3</v>
      </c>
      <c r="F964" s="80"/>
      <c r="G964" s="81">
        <v>7015</v>
      </c>
      <c r="H964" s="80">
        <v>-1039</v>
      </c>
      <c r="I964" s="79">
        <f>H964/G964</f>
        <v>-0.14811119030648609</v>
      </c>
    </row>
    <row r="965" spans="1:9" x14ac:dyDescent="0.25">
      <c r="A965" s="76" t="s">
        <v>531</v>
      </c>
      <c r="B965" s="76" t="s">
        <v>546</v>
      </c>
      <c r="C965" s="77">
        <v>40909</v>
      </c>
      <c r="D965" s="78">
        <v>41274</v>
      </c>
      <c r="E965" s="79">
        <v>8.9999999999999993E-3</v>
      </c>
      <c r="F965" s="80">
        <v>151291</v>
      </c>
      <c r="G965" s="81"/>
      <c r="H965" s="80">
        <v>-48584</v>
      </c>
      <c r="I965" s="79">
        <f>H965/F965</f>
        <v>-0.32112947895116034</v>
      </c>
    </row>
    <row r="966" spans="1:9" x14ac:dyDescent="0.25">
      <c r="A966" s="76" t="s">
        <v>531</v>
      </c>
      <c r="B966" s="76" t="s">
        <v>537</v>
      </c>
      <c r="C966" s="77">
        <v>40756</v>
      </c>
      <c r="D966" s="78">
        <v>41121</v>
      </c>
      <c r="E966" s="79">
        <v>8.9999999999999993E-3</v>
      </c>
      <c r="F966" s="80"/>
      <c r="G966" s="81">
        <v>437</v>
      </c>
      <c r="H966" s="80">
        <v>77</v>
      </c>
      <c r="I966" s="79">
        <f>H966/G966</f>
        <v>0.17620137299771166</v>
      </c>
    </row>
    <row r="967" spans="1:9" x14ac:dyDescent="0.25">
      <c r="A967" s="76" t="s">
        <v>531</v>
      </c>
      <c r="B967" s="76" t="s">
        <v>537</v>
      </c>
      <c r="C967" s="77">
        <v>40756</v>
      </c>
      <c r="D967" s="78">
        <v>41121</v>
      </c>
      <c r="E967" s="79">
        <v>8.9999999999999993E-3</v>
      </c>
      <c r="F967" s="80">
        <v>14289</v>
      </c>
      <c r="G967" s="81"/>
      <c r="H967" s="80">
        <v>-2822</v>
      </c>
      <c r="I967" s="79">
        <f>H967/F967</f>
        <v>-0.19749457624746308</v>
      </c>
    </row>
    <row r="968" spans="1:9" x14ac:dyDescent="0.25">
      <c r="A968" s="76" t="s">
        <v>531</v>
      </c>
      <c r="B968" s="76" t="s">
        <v>544</v>
      </c>
      <c r="C968" s="77">
        <v>40862</v>
      </c>
      <c r="D968" s="78">
        <v>41213</v>
      </c>
      <c r="E968" s="79">
        <v>8.9999999999999993E-3</v>
      </c>
      <c r="F968" s="80"/>
      <c r="G968" s="81">
        <v>395</v>
      </c>
      <c r="H968" s="80">
        <v>191</v>
      </c>
      <c r="I968" s="79">
        <f>H968/G968</f>
        <v>0.48354430379746838</v>
      </c>
    </row>
    <row r="969" spans="1:9" x14ac:dyDescent="0.25">
      <c r="A969" s="76" t="s">
        <v>531</v>
      </c>
      <c r="B969" s="76" t="s">
        <v>544</v>
      </c>
      <c r="C969" s="77">
        <v>40862</v>
      </c>
      <c r="D969" s="78">
        <v>41213</v>
      </c>
      <c r="E969" s="79">
        <v>8.9999999999999993E-3</v>
      </c>
      <c r="F969" s="80">
        <v>13668</v>
      </c>
      <c r="G969" s="81"/>
      <c r="H969" s="80">
        <v>-2453</v>
      </c>
      <c r="I969" s="79">
        <f>H969/F969</f>
        <v>-0.17947029558091893</v>
      </c>
    </row>
    <row r="970" spans="1:9" x14ac:dyDescent="0.25">
      <c r="A970" s="76" t="s">
        <v>531</v>
      </c>
      <c r="B970" s="76" t="s">
        <v>540</v>
      </c>
      <c r="C970" s="77">
        <v>40828</v>
      </c>
      <c r="D970" s="78">
        <v>41182</v>
      </c>
      <c r="E970" s="79">
        <v>8.9999999999999993E-3</v>
      </c>
      <c r="F970" s="80"/>
      <c r="G970" s="81">
        <v>186</v>
      </c>
      <c r="H970" s="80">
        <v>-89</v>
      </c>
      <c r="I970" s="79">
        <f>H970/G970</f>
        <v>-0.478494623655914</v>
      </c>
    </row>
    <row r="971" spans="1:9" x14ac:dyDescent="0.25">
      <c r="A971" s="76" t="s">
        <v>531</v>
      </c>
      <c r="B971" s="76" t="s">
        <v>540</v>
      </c>
      <c r="C971" s="77">
        <v>40828</v>
      </c>
      <c r="D971" s="78">
        <v>41182</v>
      </c>
      <c r="E971" s="79">
        <v>8.9999999999999993E-3</v>
      </c>
      <c r="F971" s="80">
        <v>5668</v>
      </c>
      <c r="G971" s="81"/>
      <c r="H971" s="80">
        <v>-668</v>
      </c>
      <c r="I971" s="79">
        <f>H971/F971</f>
        <v>-0.11785462244177841</v>
      </c>
    </row>
    <row r="972" spans="1:9" x14ac:dyDescent="0.25">
      <c r="A972" s="76" t="s">
        <v>531</v>
      </c>
      <c r="B972" s="76" t="s">
        <v>541</v>
      </c>
      <c r="C972" s="77">
        <v>40828</v>
      </c>
      <c r="D972" s="78">
        <v>41182</v>
      </c>
      <c r="E972" s="79">
        <v>8.9999999999999993E-3</v>
      </c>
      <c r="F972" s="80">
        <v>0</v>
      </c>
      <c r="G972" s="81"/>
      <c r="H972" s="80">
        <v>0</v>
      </c>
      <c r="I972" s="79">
        <v>0</v>
      </c>
    </row>
    <row r="973" spans="1:9" x14ac:dyDescent="0.25">
      <c r="A973" s="76" t="s">
        <v>531</v>
      </c>
      <c r="B973" s="76" t="s">
        <v>541</v>
      </c>
      <c r="C973" s="77">
        <v>40828</v>
      </c>
      <c r="D973" s="78">
        <v>41182</v>
      </c>
      <c r="E973" s="79">
        <v>8.9999999999999993E-3</v>
      </c>
      <c r="F973" s="80"/>
      <c r="G973" s="81">
        <v>0</v>
      </c>
      <c r="H973" s="80">
        <v>0</v>
      </c>
      <c r="I973" s="79">
        <v>0</v>
      </c>
    </row>
    <row r="974" spans="1:9" x14ac:dyDescent="0.25">
      <c r="A974" s="76" t="s">
        <v>531</v>
      </c>
      <c r="B974" s="76" t="s">
        <v>374</v>
      </c>
      <c r="C974" s="77">
        <v>41000</v>
      </c>
      <c r="D974" s="78">
        <v>41364</v>
      </c>
      <c r="E974" s="79">
        <v>8.9999999999999993E-3</v>
      </c>
      <c r="F974" s="80"/>
      <c r="G974" s="81">
        <v>1530</v>
      </c>
      <c r="H974" s="80">
        <v>348</v>
      </c>
      <c r="I974" s="79">
        <f>H974/G974</f>
        <v>0.22745098039215686</v>
      </c>
    </row>
    <row r="975" spans="1:9" x14ac:dyDescent="0.25">
      <c r="A975" s="76" t="s">
        <v>531</v>
      </c>
      <c r="B975" s="76" t="s">
        <v>374</v>
      </c>
      <c r="C975" s="77">
        <v>41000</v>
      </c>
      <c r="D975" s="78">
        <v>41364</v>
      </c>
      <c r="E975" s="79">
        <v>8.9999999999999993E-3</v>
      </c>
      <c r="F975" s="80">
        <v>22525</v>
      </c>
      <c r="G975" s="81"/>
      <c r="H975" s="80">
        <v>-14408</v>
      </c>
      <c r="I975" s="79">
        <f>H975/F975</f>
        <v>-0.63964483906770253</v>
      </c>
    </row>
    <row r="976" spans="1:9" x14ac:dyDescent="0.25">
      <c r="A976" s="76" t="s">
        <v>531</v>
      </c>
      <c r="B976" s="76" t="s">
        <v>93</v>
      </c>
      <c r="C976" s="77">
        <v>40806</v>
      </c>
      <c r="D976" s="78">
        <v>41090</v>
      </c>
      <c r="E976" s="79">
        <v>8.9999999999999993E-3</v>
      </c>
      <c r="F976" s="80"/>
      <c r="G976" s="81">
        <v>21691</v>
      </c>
      <c r="H976" s="80">
        <v>7215</v>
      </c>
      <c r="I976" s="79">
        <f>H976/G976</f>
        <v>0.33262643492692823</v>
      </c>
    </row>
    <row r="977" spans="1:9" x14ac:dyDescent="0.25">
      <c r="A977" s="76" t="s">
        <v>531</v>
      </c>
      <c r="B977" s="76" t="s">
        <v>93</v>
      </c>
      <c r="C977" s="77">
        <v>40806</v>
      </c>
      <c r="D977" s="78">
        <v>41090</v>
      </c>
      <c r="E977" s="79">
        <v>8.9999999999999993E-3</v>
      </c>
      <c r="F977" s="80">
        <v>249962</v>
      </c>
      <c r="G977" s="81"/>
      <c r="H977" s="80">
        <v>-79026</v>
      </c>
      <c r="I977" s="79">
        <f>H977/F977</f>
        <v>-0.3161520551123771</v>
      </c>
    </row>
    <row r="978" spans="1:9" x14ac:dyDescent="0.25">
      <c r="A978" s="76" t="s">
        <v>531</v>
      </c>
      <c r="B978" s="76" t="s">
        <v>542</v>
      </c>
      <c r="C978" s="77">
        <v>40848</v>
      </c>
      <c r="D978" s="78">
        <v>41213</v>
      </c>
      <c r="E978" s="79">
        <v>8.9999999999999993E-3</v>
      </c>
      <c r="F978" s="80"/>
      <c r="G978" s="81">
        <v>105</v>
      </c>
      <c r="H978" s="80">
        <v>-14</v>
      </c>
      <c r="I978" s="79">
        <f>H978/G978</f>
        <v>-0.13333333333333333</v>
      </c>
    </row>
    <row r="979" spans="1:9" x14ac:dyDescent="0.25">
      <c r="A979" s="76" t="s">
        <v>531</v>
      </c>
      <c r="B979" s="76" t="s">
        <v>542</v>
      </c>
      <c r="C979" s="77">
        <v>40848</v>
      </c>
      <c r="D979" s="78">
        <v>41213</v>
      </c>
      <c r="E979" s="79">
        <v>8.9999999999999993E-3</v>
      </c>
      <c r="F979" s="80">
        <v>4266</v>
      </c>
      <c r="G979" s="81"/>
      <c r="H979" s="80">
        <v>-3748</v>
      </c>
      <c r="I979" s="79">
        <f>H979/F979</f>
        <v>-0.8785747773089545</v>
      </c>
    </row>
    <row r="980" spans="1:9" x14ac:dyDescent="0.25">
      <c r="A980" s="76" t="s">
        <v>531</v>
      </c>
      <c r="B980" s="76" t="s">
        <v>175</v>
      </c>
      <c r="C980" s="77">
        <v>41179</v>
      </c>
      <c r="D980" s="78">
        <v>41364</v>
      </c>
      <c r="E980" s="79">
        <v>8.9999999999999993E-3</v>
      </c>
      <c r="F980" s="80">
        <v>59132</v>
      </c>
      <c r="G980" s="81"/>
      <c r="H980" s="80">
        <v>37701</v>
      </c>
      <c r="I980" s="79">
        <f>H980/F980</f>
        <v>0.63757356422918221</v>
      </c>
    </row>
    <row r="981" spans="1:9" x14ac:dyDescent="0.25">
      <c r="A981" s="76" t="s">
        <v>531</v>
      </c>
      <c r="B981" s="76" t="s">
        <v>175</v>
      </c>
      <c r="C981" s="77">
        <v>41179</v>
      </c>
      <c r="D981" s="78">
        <v>41364</v>
      </c>
      <c r="E981" s="79">
        <v>8.9999999999999993E-3</v>
      </c>
      <c r="F981" s="80"/>
      <c r="G981" s="81">
        <v>1830</v>
      </c>
      <c r="H981" s="80">
        <v>1176</v>
      </c>
      <c r="I981" s="79">
        <f>H981/G981</f>
        <v>0.64262295081967213</v>
      </c>
    </row>
    <row r="982" spans="1:9" x14ac:dyDescent="0.25">
      <c r="A982" s="76" t="s">
        <v>531</v>
      </c>
      <c r="B982" s="76" t="s">
        <v>545</v>
      </c>
      <c r="C982" s="77">
        <v>40889</v>
      </c>
      <c r="D982" s="78">
        <v>41243</v>
      </c>
      <c r="E982" s="79">
        <v>8.9999999999999993E-3</v>
      </c>
      <c r="F982" s="80"/>
      <c r="G982" s="81">
        <v>2654</v>
      </c>
      <c r="H982" s="80">
        <v>120</v>
      </c>
      <c r="I982" s="79">
        <f>H982/G982</f>
        <v>4.5214770158251698E-2</v>
      </c>
    </row>
    <row r="983" spans="1:9" x14ac:dyDescent="0.25">
      <c r="A983" s="76" t="s">
        <v>531</v>
      </c>
      <c r="B983" s="76" t="s">
        <v>545</v>
      </c>
      <c r="C983" s="77">
        <v>40889</v>
      </c>
      <c r="D983" s="78">
        <v>41243</v>
      </c>
      <c r="E983" s="79">
        <v>8.9999999999999993E-3</v>
      </c>
      <c r="F983" s="80">
        <v>42776</v>
      </c>
      <c r="G983" s="81"/>
      <c r="H983" s="80">
        <v>-36018</v>
      </c>
      <c r="I983" s="79">
        <f>H983/F983</f>
        <v>-0.84201421357770712</v>
      </c>
    </row>
    <row r="984" spans="1:9" x14ac:dyDescent="0.25">
      <c r="A984" s="76" t="s">
        <v>531</v>
      </c>
      <c r="B984" s="76" t="s">
        <v>173</v>
      </c>
      <c r="C984" s="77">
        <v>40796</v>
      </c>
      <c r="D984" s="78">
        <v>41152</v>
      </c>
      <c r="E984" s="79">
        <v>8.9999999999999993E-3</v>
      </c>
      <c r="F984" s="80"/>
      <c r="G984" s="81">
        <v>870</v>
      </c>
      <c r="H984" s="80">
        <v>285</v>
      </c>
      <c r="I984" s="79">
        <f>H984/G984</f>
        <v>0.32758620689655171</v>
      </c>
    </row>
    <row r="985" spans="1:9" x14ac:dyDescent="0.25">
      <c r="A985" s="76" t="s">
        <v>531</v>
      </c>
      <c r="B985" s="76" t="s">
        <v>173</v>
      </c>
      <c r="C985" s="77">
        <v>40796</v>
      </c>
      <c r="D985" s="78">
        <v>41152</v>
      </c>
      <c r="E985" s="79">
        <v>8.9999999999999993E-3</v>
      </c>
      <c r="F985" s="80">
        <v>24682</v>
      </c>
      <c r="G985" s="81"/>
      <c r="H985" s="80">
        <v>49</v>
      </c>
      <c r="I985" s="79">
        <f>H985/F985</f>
        <v>1.9852524106636414E-3</v>
      </c>
    </row>
    <row r="986" spans="1:9" x14ac:dyDescent="0.25">
      <c r="A986" s="76" t="s">
        <v>531</v>
      </c>
      <c r="B986" s="76" t="s">
        <v>539</v>
      </c>
      <c r="C986" s="77">
        <v>40796</v>
      </c>
      <c r="D986" s="78">
        <v>41152</v>
      </c>
      <c r="E986" s="79">
        <v>8.9999999999999993E-3</v>
      </c>
      <c r="F986" s="80">
        <v>18408</v>
      </c>
      <c r="G986" s="81"/>
      <c r="H986" s="80">
        <v>13818</v>
      </c>
      <c r="I986" s="79">
        <f>H986/F986</f>
        <v>0.750651890482399</v>
      </c>
    </row>
    <row r="987" spans="1:9" x14ac:dyDescent="0.25">
      <c r="A987" s="76" t="s">
        <v>531</v>
      </c>
      <c r="B987" s="76" t="s">
        <v>539</v>
      </c>
      <c r="C987" s="77">
        <v>40796</v>
      </c>
      <c r="D987" s="78">
        <v>41152</v>
      </c>
      <c r="E987" s="79">
        <v>8.9999999999999993E-3</v>
      </c>
      <c r="F987" s="80"/>
      <c r="G987" s="81">
        <v>2225</v>
      </c>
      <c r="H987" s="80">
        <v>2135</v>
      </c>
      <c r="I987" s="79">
        <f>H987/G987</f>
        <v>0.95955056179775278</v>
      </c>
    </row>
    <row r="988" spans="1:9" x14ac:dyDescent="0.25">
      <c r="A988" s="76" t="s">
        <v>531</v>
      </c>
      <c r="B988" s="76" t="s">
        <v>141</v>
      </c>
      <c r="C988" s="77">
        <v>40922</v>
      </c>
      <c r="D988" s="78">
        <v>41182</v>
      </c>
      <c r="E988" s="79">
        <v>8.9999999999999993E-3</v>
      </c>
      <c r="F988" s="80">
        <v>0</v>
      </c>
      <c r="G988" s="81"/>
      <c r="H988" s="80">
        <v>0</v>
      </c>
      <c r="I988" s="79">
        <v>0</v>
      </c>
    </row>
    <row r="989" spans="1:9" x14ac:dyDescent="0.25">
      <c r="A989" s="76" t="s">
        <v>531</v>
      </c>
      <c r="B989" s="76" t="s">
        <v>141</v>
      </c>
      <c r="C989" s="77">
        <v>40922</v>
      </c>
      <c r="D989" s="78">
        <v>41182</v>
      </c>
      <c r="E989" s="79">
        <v>8.9999999999999993E-3</v>
      </c>
      <c r="F989" s="80"/>
      <c r="G989" s="81">
        <v>0</v>
      </c>
      <c r="H989" s="80">
        <v>0</v>
      </c>
      <c r="I989" s="79">
        <v>0</v>
      </c>
    </row>
    <row r="990" spans="1:9" x14ac:dyDescent="0.25">
      <c r="A990" s="76" t="s">
        <v>531</v>
      </c>
      <c r="B990" s="76" t="s">
        <v>29</v>
      </c>
      <c r="C990" s="77">
        <v>40955</v>
      </c>
      <c r="D990" s="78">
        <v>41274</v>
      </c>
      <c r="E990" s="79">
        <v>8.9999999999999998E-4</v>
      </c>
      <c r="F990" s="80">
        <v>47147</v>
      </c>
      <c r="G990" s="81"/>
      <c r="H990" s="80">
        <v>32827</v>
      </c>
      <c r="I990" s="79">
        <f>H990/F990</f>
        <v>0.696269115744374</v>
      </c>
    </row>
    <row r="991" spans="1:9" x14ac:dyDescent="0.25">
      <c r="A991" s="76" t="s">
        <v>531</v>
      </c>
      <c r="B991" s="76" t="s">
        <v>29</v>
      </c>
      <c r="C991" s="77">
        <v>40955</v>
      </c>
      <c r="D991" s="78">
        <v>41274</v>
      </c>
      <c r="E991" s="79">
        <v>8.9999999999999998E-4</v>
      </c>
      <c r="F991" s="80"/>
      <c r="G991" s="81">
        <v>245</v>
      </c>
      <c r="H991" s="80">
        <v>158</v>
      </c>
      <c r="I991" s="79">
        <f>H991/G991</f>
        <v>0.64489795918367343</v>
      </c>
    </row>
    <row r="992" spans="1:9" x14ac:dyDescent="0.25">
      <c r="A992" s="76" t="s">
        <v>531</v>
      </c>
      <c r="B992" s="76" t="s">
        <v>543</v>
      </c>
      <c r="C992" s="77">
        <v>40848</v>
      </c>
      <c r="D992" s="78">
        <v>41213</v>
      </c>
      <c r="E992" s="79">
        <v>8.9999999999999993E-3</v>
      </c>
      <c r="F992" s="80">
        <v>143783</v>
      </c>
      <c r="G992" s="81"/>
      <c r="H992" s="80">
        <v>68207</v>
      </c>
      <c r="I992" s="79">
        <f>H992/F992</f>
        <v>0.474374578357664</v>
      </c>
    </row>
    <row r="993" spans="1:9" x14ac:dyDescent="0.25">
      <c r="A993" s="76" t="s">
        <v>531</v>
      </c>
      <c r="B993" s="76" t="s">
        <v>543</v>
      </c>
      <c r="C993" s="77">
        <v>40848</v>
      </c>
      <c r="D993" s="78">
        <v>41213</v>
      </c>
      <c r="E993" s="79">
        <v>8.9999999999999993E-3</v>
      </c>
      <c r="F993" s="80"/>
      <c r="G993" s="81">
        <v>4150</v>
      </c>
      <c r="H993" s="80">
        <v>1950</v>
      </c>
      <c r="I993" s="79">
        <f>H993/G993</f>
        <v>0.46987951807228917</v>
      </c>
    </row>
    <row r="994" spans="1:9" x14ac:dyDescent="0.25">
      <c r="A994" s="76" t="s">
        <v>531</v>
      </c>
      <c r="B994" s="76" t="s">
        <v>532</v>
      </c>
      <c r="C994" s="77">
        <v>40948</v>
      </c>
      <c r="D994" s="78">
        <v>41305</v>
      </c>
      <c r="E994" s="79">
        <v>8.9999999999999993E-3</v>
      </c>
      <c r="F994" s="80"/>
      <c r="G994" s="81">
        <v>5001</v>
      </c>
      <c r="H994" s="80">
        <v>682</v>
      </c>
      <c r="I994" s="79">
        <f>H994/G994</f>
        <v>0.13637272545490903</v>
      </c>
    </row>
    <row r="995" spans="1:9" x14ac:dyDescent="0.25">
      <c r="A995" s="76" t="s">
        <v>531</v>
      </c>
      <c r="B995" s="76" t="s">
        <v>532</v>
      </c>
      <c r="C995" s="77">
        <v>40708</v>
      </c>
      <c r="D995" s="78">
        <v>40939</v>
      </c>
      <c r="E995" s="79">
        <v>8.9999999999999993E-3</v>
      </c>
      <c r="F995" s="80"/>
      <c r="G995" s="81">
        <v>4618</v>
      </c>
      <c r="H995" s="80">
        <v>-1611</v>
      </c>
      <c r="I995" s="79">
        <f>H995/G995</f>
        <v>-0.34885231702035513</v>
      </c>
    </row>
    <row r="996" spans="1:9" x14ac:dyDescent="0.25">
      <c r="A996" s="76" t="s">
        <v>531</v>
      </c>
      <c r="B996" s="76" t="s">
        <v>532</v>
      </c>
      <c r="C996" s="77">
        <v>40708</v>
      </c>
      <c r="D996" s="78">
        <v>40939</v>
      </c>
      <c r="E996" s="79">
        <v>8.9999999999999993E-3</v>
      </c>
      <c r="F996" s="80">
        <v>119002</v>
      </c>
      <c r="G996" s="81"/>
      <c r="H996" s="80">
        <v>-2135</v>
      </c>
      <c r="I996" s="79">
        <f>H996/F996</f>
        <v>-1.7940874943278264E-2</v>
      </c>
    </row>
    <row r="997" spans="1:9" x14ac:dyDescent="0.25">
      <c r="A997" s="76" t="s">
        <v>531</v>
      </c>
      <c r="B997" s="76" t="s">
        <v>532</v>
      </c>
      <c r="C997" s="77">
        <v>40948</v>
      </c>
      <c r="D997" s="78">
        <v>41305</v>
      </c>
      <c r="E997" s="79">
        <v>8.9999999999999993E-3</v>
      </c>
      <c r="F997" s="80">
        <v>97362</v>
      </c>
      <c r="G997" s="81"/>
      <c r="H997" s="80">
        <v>-5668</v>
      </c>
      <c r="I997" s="79">
        <f>H997/F997</f>
        <v>-5.821573098334052E-2</v>
      </c>
    </row>
    <row r="998" spans="1:9" x14ac:dyDescent="0.25">
      <c r="A998" s="76" t="s">
        <v>531</v>
      </c>
      <c r="B998" s="76" t="s">
        <v>187</v>
      </c>
      <c r="C998" s="77">
        <v>41153</v>
      </c>
      <c r="D998" s="78">
        <v>41517</v>
      </c>
      <c r="E998" s="79">
        <v>8.9999999999999993E-3</v>
      </c>
      <c r="F998" s="80">
        <v>108676</v>
      </c>
      <c r="G998" s="81"/>
      <c r="H998" s="80">
        <v>40622</v>
      </c>
      <c r="I998" s="79">
        <f>H998/F998</f>
        <v>0.37378998122860613</v>
      </c>
    </row>
    <row r="999" spans="1:9" x14ac:dyDescent="0.25">
      <c r="A999" s="76" t="s">
        <v>531</v>
      </c>
      <c r="B999" s="76" t="s">
        <v>187</v>
      </c>
      <c r="C999" s="77">
        <v>40813</v>
      </c>
      <c r="D999" s="78">
        <v>41152</v>
      </c>
      <c r="E999" s="79">
        <v>8.9999999999999993E-3</v>
      </c>
      <c r="F999" s="80">
        <v>78830</v>
      </c>
      <c r="G999" s="81"/>
      <c r="H999" s="80">
        <v>8601</v>
      </c>
      <c r="I999" s="79">
        <f>H999/F999</f>
        <v>0.10910820753520234</v>
      </c>
    </row>
    <row r="1000" spans="1:9" x14ac:dyDescent="0.25">
      <c r="A1000" s="76" t="s">
        <v>531</v>
      </c>
      <c r="B1000" s="76" t="s">
        <v>187</v>
      </c>
      <c r="C1000" s="77">
        <v>41153</v>
      </c>
      <c r="D1000" s="78">
        <v>41517</v>
      </c>
      <c r="E1000" s="79">
        <v>8.9999999999999993E-3</v>
      </c>
      <c r="F1000" s="80"/>
      <c r="G1000" s="81">
        <v>3525</v>
      </c>
      <c r="H1000" s="80">
        <v>578</v>
      </c>
      <c r="I1000" s="79">
        <f>H1000/G1000</f>
        <v>0.16397163120567376</v>
      </c>
    </row>
    <row r="1001" spans="1:9" x14ac:dyDescent="0.25">
      <c r="A1001" s="76" t="s">
        <v>531</v>
      </c>
      <c r="B1001" s="76" t="s">
        <v>187</v>
      </c>
      <c r="C1001" s="77">
        <v>40813</v>
      </c>
      <c r="D1001" s="78">
        <v>41152</v>
      </c>
      <c r="E1001" s="79">
        <v>8.9999999999999993E-3</v>
      </c>
      <c r="F1001" s="80"/>
      <c r="G1001" s="81">
        <v>2689</v>
      </c>
      <c r="H1001" s="80">
        <v>295</v>
      </c>
      <c r="I1001" s="79">
        <f>H1001/G1001</f>
        <v>0.10970621048716996</v>
      </c>
    </row>
    <row r="1002" spans="1:9" x14ac:dyDescent="0.25">
      <c r="A1002" s="76" t="s">
        <v>531</v>
      </c>
      <c r="B1002" s="76" t="s">
        <v>193</v>
      </c>
      <c r="C1002" s="77">
        <v>41114</v>
      </c>
      <c r="D1002" s="78">
        <v>41455</v>
      </c>
      <c r="E1002" s="79">
        <v>8.9999999999999993E-3</v>
      </c>
      <c r="F1002" s="80"/>
      <c r="G1002" s="81">
        <v>193</v>
      </c>
      <c r="H1002" s="80">
        <v>-53</v>
      </c>
      <c r="I1002" s="79">
        <f>H1002/G1002</f>
        <v>-0.27461139896373055</v>
      </c>
    </row>
    <row r="1003" spans="1:9" x14ac:dyDescent="0.25">
      <c r="A1003" s="76" t="s">
        <v>531</v>
      </c>
      <c r="B1003" s="76" t="s">
        <v>193</v>
      </c>
      <c r="C1003" s="77">
        <v>40829</v>
      </c>
      <c r="D1003" s="78">
        <v>41090</v>
      </c>
      <c r="E1003" s="79">
        <v>8.9999999999999993E-3</v>
      </c>
      <c r="F1003" s="80"/>
      <c r="G1003" s="81">
        <v>2075</v>
      </c>
      <c r="H1003" s="80">
        <v>-232</v>
      </c>
      <c r="I1003" s="79">
        <f>H1003/G1003</f>
        <v>-0.11180722891566265</v>
      </c>
    </row>
    <row r="1004" spans="1:9" x14ac:dyDescent="0.25">
      <c r="A1004" s="76" t="s">
        <v>531</v>
      </c>
      <c r="B1004" s="76" t="s">
        <v>193</v>
      </c>
      <c r="C1004" s="77">
        <v>40829</v>
      </c>
      <c r="D1004" s="78">
        <v>41090</v>
      </c>
      <c r="E1004" s="79">
        <v>8.9999999999999993E-3</v>
      </c>
      <c r="F1004" s="80">
        <v>76897</v>
      </c>
      <c r="G1004" s="81"/>
      <c r="H1004" s="80">
        <v>-1754</v>
      </c>
      <c r="I1004" s="79">
        <f>H1004/F1004</f>
        <v>-2.2809732499317267E-2</v>
      </c>
    </row>
    <row r="1005" spans="1:9" x14ac:dyDescent="0.25">
      <c r="A1005" s="76" t="s">
        <v>531</v>
      </c>
      <c r="B1005" s="76" t="s">
        <v>193</v>
      </c>
      <c r="C1005" s="77">
        <v>41114</v>
      </c>
      <c r="D1005" s="78">
        <v>41455</v>
      </c>
      <c r="E1005" s="79">
        <v>8.9999999999999993E-3</v>
      </c>
      <c r="F1005" s="80">
        <v>4753</v>
      </c>
      <c r="G1005" s="81"/>
      <c r="H1005" s="80">
        <v>-3455</v>
      </c>
      <c r="I1005" s="79">
        <f>H1005/F1005</f>
        <v>-0.72690932042920264</v>
      </c>
    </row>
    <row r="1006" spans="1:9" x14ac:dyDescent="0.25">
      <c r="A1006" s="76" t="s">
        <v>531</v>
      </c>
      <c r="B1006" s="76" t="s">
        <v>190</v>
      </c>
      <c r="C1006" s="77">
        <v>41179</v>
      </c>
      <c r="D1006" s="78">
        <v>41364</v>
      </c>
      <c r="E1006" s="79">
        <v>8.9999999999999993E-3</v>
      </c>
      <c r="F1006" s="80"/>
      <c r="G1006" s="81">
        <v>2268</v>
      </c>
      <c r="H1006" s="80">
        <v>783</v>
      </c>
      <c r="I1006" s="79">
        <f>H1006/G1006</f>
        <v>0.34523809523809523</v>
      </c>
    </row>
    <row r="1007" spans="1:9" x14ac:dyDescent="0.25">
      <c r="A1007" s="76" t="s">
        <v>531</v>
      </c>
      <c r="B1007" s="76" t="s">
        <v>190</v>
      </c>
      <c r="C1007" s="77">
        <v>41179</v>
      </c>
      <c r="D1007" s="78">
        <v>41364</v>
      </c>
      <c r="E1007" s="79">
        <v>8.9999999999999993E-3</v>
      </c>
      <c r="F1007" s="80">
        <v>34447</v>
      </c>
      <c r="G1007" s="81"/>
      <c r="H1007" s="80">
        <v>-485</v>
      </c>
      <c r="I1007" s="79">
        <f>H1007/F1007</f>
        <v>-1.407960054576596E-2</v>
      </c>
    </row>
    <row r="1008" spans="1:9" x14ac:dyDescent="0.25">
      <c r="A1008" s="76" t="s">
        <v>531</v>
      </c>
      <c r="B1008" s="76" t="s">
        <v>23</v>
      </c>
      <c r="C1008" s="77">
        <v>41106</v>
      </c>
      <c r="D1008" s="78">
        <v>41470</v>
      </c>
      <c r="E1008" s="79">
        <v>8.9999999999999993E-3</v>
      </c>
      <c r="F1008" s="80">
        <v>173587</v>
      </c>
      <c r="G1008" s="81"/>
      <c r="H1008" s="80">
        <v>90676</v>
      </c>
      <c r="I1008" s="79">
        <f>H1008/F1008</f>
        <v>0.5223663062326096</v>
      </c>
    </row>
    <row r="1009" spans="1:9" x14ac:dyDescent="0.25">
      <c r="A1009" s="76" t="s">
        <v>531</v>
      </c>
      <c r="B1009" s="76" t="s">
        <v>23</v>
      </c>
      <c r="C1009" s="77">
        <v>40760</v>
      </c>
      <c r="D1009" s="78">
        <v>41090</v>
      </c>
      <c r="E1009" s="79">
        <v>8.9999999999999993E-3</v>
      </c>
      <c r="F1009" s="80">
        <v>73705</v>
      </c>
      <c r="G1009" s="81"/>
      <c r="H1009" s="80">
        <v>45572</v>
      </c>
      <c r="I1009" s="79">
        <f>H1009/F1009</f>
        <v>0.61830269316871311</v>
      </c>
    </row>
    <row r="1010" spans="1:9" x14ac:dyDescent="0.25">
      <c r="A1010" s="76" t="s">
        <v>531</v>
      </c>
      <c r="B1010" s="76" t="s">
        <v>23</v>
      </c>
      <c r="C1010" s="77">
        <v>41106</v>
      </c>
      <c r="D1010" s="78">
        <v>41470</v>
      </c>
      <c r="E1010" s="79">
        <v>8.9999999999999993E-3</v>
      </c>
      <c r="F1010" s="80"/>
      <c r="G1010" s="81">
        <v>4373</v>
      </c>
      <c r="H1010" s="80">
        <v>2207</v>
      </c>
      <c r="I1010" s="79">
        <f>H1010/G1010</f>
        <v>0.50468785730619714</v>
      </c>
    </row>
    <row r="1011" spans="1:9" x14ac:dyDescent="0.25">
      <c r="A1011" s="76" t="s">
        <v>531</v>
      </c>
      <c r="B1011" s="76" t="s">
        <v>23</v>
      </c>
      <c r="C1011" s="77">
        <v>40760</v>
      </c>
      <c r="D1011" s="78">
        <v>41090</v>
      </c>
      <c r="E1011" s="79">
        <v>8.9999999999999993E-3</v>
      </c>
      <c r="F1011" s="80"/>
      <c r="G1011" s="81">
        <v>2340</v>
      </c>
      <c r="H1011" s="80">
        <v>1146</v>
      </c>
      <c r="I1011" s="79">
        <f>H1011/G1011</f>
        <v>0.48974358974358972</v>
      </c>
    </row>
    <row r="1012" spans="1:9" x14ac:dyDescent="0.25">
      <c r="A1012" s="76" t="s">
        <v>531</v>
      </c>
      <c r="B1012" s="76" t="s">
        <v>22</v>
      </c>
      <c r="C1012" s="77">
        <v>40760</v>
      </c>
      <c r="D1012" s="78">
        <v>41090</v>
      </c>
      <c r="E1012" s="79">
        <v>8.9999999999999993E-3</v>
      </c>
      <c r="F1012" s="80">
        <v>223465</v>
      </c>
      <c r="G1012" s="81"/>
      <c r="H1012" s="80">
        <v>101828</v>
      </c>
      <c r="I1012" s="79">
        <f>H1012/F1012</f>
        <v>0.45567762289396552</v>
      </c>
    </row>
    <row r="1013" spans="1:9" x14ac:dyDescent="0.25">
      <c r="A1013" s="76" t="s">
        <v>531</v>
      </c>
      <c r="B1013" s="76" t="s">
        <v>22</v>
      </c>
      <c r="C1013" s="77">
        <v>41106</v>
      </c>
      <c r="D1013" s="78">
        <v>41470</v>
      </c>
      <c r="E1013" s="79">
        <v>0.01</v>
      </c>
      <c r="F1013" s="80">
        <v>157375</v>
      </c>
      <c r="G1013" s="81"/>
      <c r="H1013" s="80">
        <v>56502</v>
      </c>
      <c r="I1013" s="79">
        <f>H1013/F1013</f>
        <v>0.35902779984114375</v>
      </c>
    </row>
    <row r="1014" spans="1:9" x14ac:dyDescent="0.25">
      <c r="A1014" s="76" t="s">
        <v>531</v>
      </c>
      <c r="B1014" s="76" t="s">
        <v>22</v>
      </c>
      <c r="C1014" s="77">
        <v>40760</v>
      </c>
      <c r="D1014" s="78">
        <v>41090</v>
      </c>
      <c r="E1014" s="79">
        <v>8.9999999999999993E-3</v>
      </c>
      <c r="F1014" s="80"/>
      <c r="G1014" s="81">
        <v>5096</v>
      </c>
      <c r="H1014" s="80">
        <v>2344</v>
      </c>
      <c r="I1014" s="79">
        <f>H1014/G1014</f>
        <v>0.4599686028257457</v>
      </c>
    </row>
    <row r="1015" spans="1:9" x14ac:dyDescent="0.25">
      <c r="A1015" s="76" t="s">
        <v>531</v>
      </c>
      <c r="B1015" s="76" t="s">
        <v>22</v>
      </c>
      <c r="C1015" s="77">
        <v>41106</v>
      </c>
      <c r="D1015" s="78">
        <v>41470</v>
      </c>
      <c r="E1015" s="79">
        <v>0.01</v>
      </c>
      <c r="F1015" s="80"/>
      <c r="G1015" s="81">
        <v>3310</v>
      </c>
      <c r="H1015" s="80">
        <v>512</v>
      </c>
      <c r="I1015" s="79">
        <f>H1015/G1015</f>
        <v>0.15468277945619335</v>
      </c>
    </row>
    <row r="1016" spans="1:9" x14ac:dyDescent="0.25">
      <c r="A1016" s="76" t="s">
        <v>531</v>
      </c>
      <c r="B1016" s="76" t="s">
        <v>533</v>
      </c>
      <c r="C1016" s="77">
        <v>40726</v>
      </c>
      <c r="D1016" s="78">
        <v>40755</v>
      </c>
      <c r="E1016" s="79">
        <v>8.9999999999999993E-3</v>
      </c>
      <c r="F1016" s="80">
        <v>13960</v>
      </c>
      <c r="G1016" s="81"/>
      <c r="H1016" s="80">
        <v>642</v>
      </c>
      <c r="I1016" s="79">
        <f>H1016/F1016</f>
        <v>4.5988538681948424E-2</v>
      </c>
    </row>
    <row r="1017" spans="1:9" x14ac:dyDescent="0.25">
      <c r="A1017" s="76" t="s">
        <v>531</v>
      </c>
      <c r="B1017" s="76" t="s">
        <v>533</v>
      </c>
      <c r="C1017" s="77">
        <v>40786</v>
      </c>
      <c r="D1017" s="78">
        <v>41121</v>
      </c>
      <c r="E1017" s="79">
        <v>8.9999999999999993E-3</v>
      </c>
      <c r="F1017" s="80">
        <v>0</v>
      </c>
      <c r="G1017" s="81"/>
      <c r="H1017" s="80">
        <v>0</v>
      </c>
      <c r="I1017" s="79">
        <v>0</v>
      </c>
    </row>
    <row r="1018" spans="1:9" x14ac:dyDescent="0.25">
      <c r="A1018" s="76" t="s">
        <v>531</v>
      </c>
      <c r="B1018" s="76" t="s">
        <v>533</v>
      </c>
      <c r="C1018" s="77">
        <v>40786</v>
      </c>
      <c r="D1018" s="78">
        <v>41121</v>
      </c>
      <c r="E1018" s="79">
        <v>8.9999999999999993E-3</v>
      </c>
      <c r="F1018" s="80"/>
      <c r="G1018" s="81">
        <v>0</v>
      </c>
      <c r="H1018" s="80">
        <v>0</v>
      </c>
      <c r="I1018" s="79">
        <v>0</v>
      </c>
    </row>
    <row r="1019" spans="1:9" x14ac:dyDescent="0.25">
      <c r="A1019" s="76" t="s">
        <v>531</v>
      </c>
      <c r="B1019" s="76" t="s">
        <v>538</v>
      </c>
      <c r="C1019" s="77">
        <v>40975</v>
      </c>
      <c r="D1019" s="78">
        <v>41333</v>
      </c>
      <c r="E1019" s="79">
        <v>8.9999999999999993E-3</v>
      </c>
      <c r="F1019" s="80">
        <v>44928</v>
      </c>
      <c r="G1019" s="81"/>
      <c r="H1019" s="80">
        <v>17997</v>
      </c>
      <c r="I1019" s="79">
        <f>H1019/F1019</f>
        <v>0.40057425213675213</v>
      </c>
    </row>
    <row r="1020" spans="1:9" x14ac:dyDescent="0.25">
      <c r="A1020" s="76" t="s">
        <v>531</v>
      </c>
      <c r="B1020" s="76" t="s">
        <v>538</v>
      </c>
      <c r="C1020" s="77">
        <v>40770</v>
      </c>
      <c r="D1020" s="78">
        <v>40968</v>
      </c>
      <c r="E1020" s="79">
        <v>8.9999999999999993E-3</v>
      </c>
      <c r="F1020" s="80">
        <v>16283</v>
      </c>
      <c r="G1020" s="81"/>
      <c r="H1020" s="80">
        <v>7838</v>
      </c>
      <c r="I1020" s="79">
        <f>H1020/F1020</f>
        <v>0.48136092857581525</v>
      </c>
    </row>
    <row r="1021" spans="1:9" x14ac:dyDescent="0.25">
      <c r="A1021" s="76" t="s">
        <v>531</v>
      </c>
      <c r="B1021" s="76" t="s">
        <v>538</v>
      </c>
      <c r="C1021" s="77">
        <v>40975</v>
      </c>
      <c r="D1021" s="78">
        <v>41333</v>
      </c>
      <c r="E1021" s="79">
        <v>8.9999999999999993E-3</v>
      </c>
      <c r="F1021" s="80"/>
      <c r="G1021" s="81">
        <v>1305</v>
      </c>
      <c r="H1021" s="80">
        <v>326</v>
      </c>
      <c r="I1021" s="79">
        <f>H1021/G1021</f>
        <v>0.24980842911877393</v>
      </c>
    </row>
    <row r="1022" spans="1:9" x14ac:dyDescent="0.25">
      <c r="A1022" s="76" t="s">
        <v>531</v>
      </c>
      <c r="B1022" s="76" t="s">
        <v>538</v>
      </c>
      <c r="C1022" s="77">
        <v>40770</v>
      </c>
      <c r="D1022" s="78">
        <v>40968</v>
      </c>
      <c r="E1022" s="79">
        <v>8.9999999999999993E-3</v>
      </c>
      <c r="F1022" s="80"/>
      <c r="G1022" s="81">
        <v>470</v>
      </c>
      <c r="H1022" s="80">
        <v>30</v>
      </c>
      <c r="I1022" s="79">
        <f>H1022/G1022</f>
        <v>6.3829787234042548E-2</v>
      </c>
    </row>
    <row r="1023" spans="1:9" x14ac:dyDescent="0.25">
      <c r="A1023" s="76" t="s">
        <v>531</v>
      </c>
      <c r="B1023" s="76" t="s">
        <v>183</v>
      </c>
      <c r="C1023" s="77">
        <v>40909</v>
      </c>
      <c r="D1023" s="78">
        <v>41274</v>
      </c>
      <c r="E1023" s="79">
        <v>8.9999999999999993E-3</v>
      </c>
      <c r="F1023" s="80">
        <v>1346509.75</v>
      </c>
      <c r="G1023" s="81"/>
      <c r="H1023" s="80">
        <v>355402.75</v>
      </c>
      <c r="I1023" s="79">
        <f>H1023/F1023</f>
        <v>0.26394368848795935</v>
      </c>
    </row>
    <row r="1024" spans="1:9" x14ac:dyDescent="0.25">
      <c r="A1024" s="76" t="s">
        <v>531</v>
      </c>
      <c r="B1024" s="76" t="s">
        <v>183</v>
      </c>
      <c r="C1024" s="77">
        <v>40909</v>
      </c>
      <c r="D1024" s="78">
        <v>41274</v>
      </c>
      <c r="E1024" s="79">
        <v>8.9999999999999993E-3</v>
      </c>
      <c r="F1024" s="80"/>
      <c r="G1024" s="81">
        <v>61342.2</v>
      </c>
      <c r="H1024" s="80">
        <v>22291.200000000001</v>
      </c>
      <c r="I1024" s="79">
        <f>H1024/G1024</f>
        <v>0.36339094456996979</v>
      </c>
    </row>
    <row r="1025" spans="1:9" x14ac:dyDescent="0.25">
      <c r="A1025" s="76" t="s">
        <v>531</v>
      </c>
      <c r="B1025" s="76" t="s">
        <v>547</v>
      </c>
      <c r="C1025" s="77">
        <v>41107</v>
      </c>
      <c r="D1025" s="78">
        <v>41364</v>
      </c>
      <c r="E1025" s="79">
        <v>8.9999999999999993E-3</v>
      </c>
      <c r="F1025" s="80">
        <v>0</v>
      </c>
      <c r="G1025" s="81"/>
      <c r="H1025" s="80">
        <v>0</v>
      </c>
      <c r="I1025" s="79">
        <v>0</v>
      </c>
    </row>
    <row r="1026" spans="1:9" x14ac:dyDescent="0.25">
      <c r="A1026" s="76" t="s">
        <v>531</v>
      </c>
      <c r="B1026" s="76" t="s">
        <v>90</v>
      </c>
      <c r="C1026" s="77">
        <v>41129</v>
      </c>
      <c r="D1026" s="78">
        <v>41455</v>
      </c>
      <c r="E1026" s="79">
        <v>0.18</v>
      </c>
      <c r="F1026" s="80">
        <v>907362</v>
      </c>
      <c r="G1026" s="81"/>
      <c r="H1026" s="80">
        <v>216625</v>
      </c>
      <c r="I1026" s="79">
        <f>H1026/F1026</f>
        <v>0.2387415386582202</v>
      </c>
    </row>
    <row r="1027" spans="1:9" x14ac:dyDescent="0.25">
      <c r="A1027" s="76" t="s">
        <v>531</v>
      </c>
      <c r="B1027" s="76" t="s">
        <v>90</v>
      </c>
      <c r="C1027" s="77">
        <v>40718</v>
      </c>
      <c r="D1027" s="78">
        <v>41083</v>
      </c>
      <c r="E1027" s="79">
        <v>0.36</v>
      </c>
      <c r="F1027" s="80">
        <v>476820</v>
      </c>
      <c r="G1027" s="81"/>
      <c r="H1027" s="80">
        <v>156930</v>
      </c>
      <c r="I1027" s="79">
        <f>H1027/F1027</f>
        <v>0.32911790612809866</v>
      </c>
    </row>
    <row r="1028" spans="1:9" x14ac:dyDescent="0.25">
      <c r="A1028" s="76" t="s">
        <v>531</v>
      </c>
      <c r="B1028" s="76" t="s">
        <v>90</v>
      </c>
      <c r="C1028" s="77">
        <v>41084</v>
      </c>
      <c r="D1028" s="78">
        <v>41090</v>
      </c>
      <c r="E1028" s="79">
        <v>0.36</v>
      </c>
      <c r="F1028" s="80">
        <v>17505</v>
      </c>
      <c r="G1028" s="81"/>
      <c r="H1028" s="80">
        <v>11441</v>
      </c>
      <c r="I1028" s="79">
        <f>H1028/F1028</f>
        <v>0.65358469008854614</v>
      </c>
    </row>
    <row r="1029" spans="1:9" x14ac:dyDescent="0.25">
      <c r="A1029" s="76" t="s">
        <v>531</v>
      </c>
      <c r="B1029" s="76" t="s">
        <v>90</v>
      </c>
      <c r="C1029" s="77">
        <v>41129</v>
      </c>
      <c r="D1029" s="78">
        <v>41455</v>
      </c>
      <c r="E1029" s="79">
        <v>0.18</v>
      </c>
      <c r="F1029" s="80"/>
      <c r="G1029" s="81">
        <v>27373</v>
      </c>
      <c r="H1029" s="80">
        <v>6685</v>
      </c>
      <c r="I1029" s="79">
        <f>H1029/G1029</f>
        <v>0.24421875570817958</v>
      </c>
    </row>
    <row r="1030" spans="1:9" x14ac:dyDescent="0.25">
      <c r="A1030" s="76" t="s">
        <v>531</v>
      </c>
      <c r="B1030" s="76" t="s">
        <v>90</v>
      </c>
      <c r="C1030" s="77">
        <v>40718</v>
      </c>
      <c r="D1030" s="78">
        <v>41083</v>
      </c>
      <c r="E1030" s="79">
        <v>0.36</v>
      </c>
      <c r="F1030" s="80"/>
      <c r="G1030" s="81">
        <v>10669</v>
      </c>
      <c r="H1030" s="80">
        <v>3520</v>
      </c>
      <c r="I1030" s="79">
        <f>H1030/G1030</f>
        <v>0.32992782828756212</v>
      </c>
    </row>
    <row r="1031" spans="1:9" x14ac:dyDescent="0.25">
      <c r="A1031" s="76" t="s">
        <v>531</v>
      </c>
      <c r="B1031" s="76" t="s">
        <v>90</v>
      </c>
      <c r="C1031" s="77">
        <v>41084</v>
      </c>
      <c r="D1031" s="78">
        <v>41090</v>
      </c>
      <c r="E1031" s="79">
        <v>0.36</v>
      </c>
      <c r="F1031" s="80"/>
      <c r="G1031" s="81">
        <v>260</v>
      </c>
      <c r="H1031" s="80">
        <v>169</v>
      </c>
      <c r="I1031" s="79">
        <f>H1031/G1031</f>
        <v>0.65</v>
      </c>
    </row>
    <row r="1032" spans="1:9" x14ac:dyDescent="0.25">
      <c r="A1032" s="76" t="s">
        <v>531</v>
      </c>
      <c r="B1032" s="76" t="s">
        <v>536</v>
      </c>
      <c r="C1032" s="77">
        <v>40751</v>
      </c>
      <c r="D1032" s="78">
        <v>41090</v>
      </c>
      <c r="E1032" s="79">
        <v>8.9999999999999993E-3</v>
      </c>
      <c r="F1032" s="80">
        <v>33455</v>
      </c>
      <c r="G1032" s="81"/>
      <c r="H1032" s="80">
        <v>6859</v>
      </c>
      <c r="I1032" s="79">
        <f>H1032/F1032</f>
        <v>0.20502167090121057</v>
      </c>
    </row>
    <row r="1033" spans="1:9" x14ac:dyDescent="0.25">
      <c r="A1033" s="76" t="s">
        <v>531</v>
      </c>
      <c r="B1033" s="76" t="s">
        <v>536</v>
      </c>
      <c r="C1033" s="77">
        <v>40751</v>
      </c>
      <c r="D1033" s="78">
        <v>41090</v>
      </c>
      <c r="E1033" s="79">
        <v>8.9999999999999993E-3</v>
      </c>
      <c r="F1033" s="80"/>
      <c r="G1033" s="81">
        <v>635</v>
      </c>
      <c r="H1033" s="80">
        <v>204</v>
      </c>
      <c r="I1033" s="79">
        <f>H1033/G1033</f>
        <v>0.32125984251968503</v>
      </c>
    </row>
    <row r="1034" spans="1:9" x14ac:dyDescent="0.25">
      <c r="A1034" s="76" t="s">
        <v>531</v>
      </c>
      <c r="B1034" s="76" t="s">
        <v>535</v>
      </c>
      <c r="C1034" s="77">
        <v>40749</v>
      </c>
      <c r="D1034" s="78">
        <v>41060</v>
      </c>
      <c r="E1034" s="79">
        <v>8.9999999999999993E-3</v>
      </c>
      <c r="F1034" s="80">
        <v>42703</v>
      </c>
      <c r="G1034" s="81"/>
      <c r="H1034" s="80">
        <v>10111</v>
      </c>
      <c r="I1034" s="79">
        <f>H1034/F1034</f>
        <v>0.23677493384539727</v>
      </c>
    </row>
    <row r="1035" spans="1:9" x14ac:dyDescent="0.25">
      <c r="A1035" s="76" t="s">
        <v>531</v>
      </c>
      <c r="B1035" s="76" t="s">
        <v>535</v>
      </c>
      <c r="C1035" s="77">
        <v>40749</v>
      </c>
      <c r="D1035" s="78">
        <v>41060</v>
      </c>
      <c r="E1035" s="79">
        <v>8.9999999999999993E-3</v>
      </c>
      <c r="F1035" s="80"/>
      <c r="G1035" s="81">
        <v>3459</v>
      </c>
      <c r="H1035" s="80">
        <v>2292</v>
      </c>
      <c r="I1035" s="79">
        <f>H1035/G1035</f>
        <v>0.66261925411968781</v>
      </c>
    </row>
    <row r="1036" spans="1:9" x14ac:dyDescent="0.25">
      <c r="A1036" s="76" t="s">
        <v>549</v>
      </c>
      <c r="B1036" s="76" t="s">
        <v>554</v>
      </c>
      <c r="C1036" s="77">
        <v>40891</v>
      </c>
      <c r="D1036" s="78">
        <v>41090</v>
      </c>
      <c r="E1036" s="79">
        <v>0.32400000000000001</v>
      </c>
      <c r="F1036" s="80">
        <v>13650</v>
      </c>
      <c r="G1036" s="88"/>
      <c r="H1036" s="80">
        <v>1957.95</v>
      </c>
      <c r="I1036" s="79">
        <f t="shared" ref="I1036:I1046" si="20">H1036/F1036</f>
        <v>0.14343956043956044</v>
      </c>
    </row>
    <row r="1037" spans="1:9" x14ac:dyDescent="0.25">
      <c r="A1037" s="76" t="s">
        <v>549</v>
      </c>
      <c r="B1037" s="76" t="s">
        <v>550</v>
      </c>
      <c r="C1037" s="77">
        <v>40601</v>
      </c>
      <c r="D1037" s="78">
        <v>40965</v>
      </c>
      <c r="E1037" s="79">
        <v>0.36</v>
      </c>
      <c r="F1037" s="80">
        <v>34508.36</v>
      </c>
      <c r="G1037" s="88"/>
      <c r="H1037" s="80">
        <v>13453.47</v>
      </c>
      <c r="I1037" s="79">
        <f t="shared" si="20"/>
        <v>0.38986118146443349</v>
      </c>
    </row>
    <row r="1038" spans="1:9" x14ac:dyDescent="0.25">
      <c r="A1038" s="76" t="s">
        <v>549</v>
      </c>
      <c r="B1038" s="76" t="s">
        <v>550</v>
      </c>
      <c r="C1038" s="77">
        <v>40966</v>
      </c>
      <c r="D1038" s="78">
        <v>41331</v>
      </c>
      <c r="E1038" s="79">
        <v>0.36</v>
      </c>
      <c r="F1038" s="80">
        <v>28515.41</v>
      </c>
      <c r="G1038" s="88"/>
      <c r="H1038" s="80">
        <v>9098.5499999999993</v>
      </c>
      <c r="I1038" s="79">
        <f t="shared" si="20"/>
        <v>0.31907484409307107</v>
      </c>
    </row>
    <row r="1039" spans="1:9" x14ac:dyDescent="0.25">
      <c r="A1039" s="76" t="s">
        <v>549</v>
      </c>
      <c r="B1039" s="76" t="s">
        <v>552</v>
      </c>
      <c r="C1039" s="77">
        <v>41024</v>
      </c>
      <c r="D1039" s="78">
        <v>41388</v>
      </c>
      <c r="E1039" s="79">
        <v>0.36</v>
      </c>
      <c r="F1039" s="80">
        <v>43492</v>
      </c>
      <c r="G1039" s="88"/>
      <c r="H1039" s="80">
        <v>26975.200000000001</v>
      </c>
      <c r="I1039" s="79">
        <f t="shared" si="20"/>
        <v>0.62023360618044698</v>
      </c>
    </row>
    <row r="1040" spans="1:9" x14ac:dyDescent="0.25">
      <c r="A1040" s="76" t="s">
        <v>549</v>
      </c>
      <c r="B1040" s="76" t="s">
        <v>552</v>
      </c>
      <c r="C1040" s="77">
        <v>40658</v>
      </c>
      <c r="D1040" s="78">
        <v>41023</v>
      </c>
      <c r="E1040" s="79">
        <v>0.36</v>
      </c>
      <c r="F1040" s="80">
        <v>39128.14</v>
      </c>
      <c r="G1040" s="88"/>
      <c r="H1040" s="80">
        <v>23501.94</v>
      </c>
      <c r="I1040" s="79">
        <f t="shared" si="20"/>
        <v>0.60064035755341294</v>
      </c>
    </row>
    <row r="1041" spans="1:9" x14ac:dyDescent="0.25">
      <c r="A1041" s="76" t="s">
        <v>549</v>
      </c>
      <c r="B1041" s="76" t="s">
        <v>553</v>
      </c>
      <c r="C1041" s="77">
        <v>41030</v>
      </c>
      <c r="D1041" s="78">
        <v>41394</v>
      </c>
      <c r="E1041" s="79">
        <v>0.36</v>
      </c>
      <c r="F1041" s="80">
        <v>139030</v>
      </c>
      <c r="G1041" s="88"/>
      <c r="H1041" s="80">
        <v>43210.31</v>
      </c>
      <c r="I1041" s="79">
        <f t="shared" si="20"/>
        <v>0.31079846076386392</v>
      </c>
    </row>
    <row r="1042" spans="1:9" x14ac:dyDescent="0.25">
      <c r="A1042" s="76" t="s">
        <v>549</v>
      </c>
      <c r="B1042" s="76" t="s">
        <v>553</v>
      </c>
      <c r="C1042" s="77">
        <v>40664</v>
      </c>
      <c r="D1042" s="78">
        <v>41029</v>
      </c>
      <c r="E1042" s="79">
        <v>0.36</v>
      </c>
      <c r="F1042" s="80">
        <v>106009.97</v>
      </c>
      <c r="G1042" s="88"/>
      <c r="H1042" s="80">
        <v>32123.56</v>
      </c>
      <c r="I1042" s="79">
        <f t="shared" si="20"/>
        <v>0.30302395142645544</v>
      </c>
    </row>
    <row r="1043" spans="1:9" x14ac:dyDescent="0.25">
      <c r="A1043" s="76" t="s">
        <v>549</v>
      </c>
      <c r="B1043" s="76" t="s">
        <v>551</v>
      </c>
      <c r="C1043" s="77">
        <v>40647</v>
      </c>
      <c r="D1043" s="78">
        <v>41012</v>
      </c>
      <c r="E1043" s="79">
        <v>0.3</v>
      </c>
      <c r="F1043" s="80">
        <v>290785</v>
      </c>
      <c r="G1043" s="88"/>
      <c r="H1043" s="80">
        <v>113865.4</v>
      </c>
      <c r="I1043" s="79">
        <f t="shared" si="20"/>
        <v>0.3915793455645924</v>
      </c>
    </row>
    <row r="1044" spans="1:9" x14ac:dyDescent="0.25">
      <c r="A1044" s="76" t="s">
        <v>549</v>
      </c>
      <c r="B1044" s="76" t="s">
        <v>551</v>
      </c>
      <c r="C1044" s="77">
        <v>41013</v>
      </c>
      <c r="D1044" s="78">
        <v>41377</v>
      </c>
      <c r="E1044" s="79">
        <v>0.27</v>
      </c>
      <c r="F1044" s="80">
        <v>198815.05</v>
      </c>
      <c r="G1044" s="88"/>
      <c r="H1044" s="80">
        <v>97313.65</v>
      </c>
      <c r="I1044" s="79">
        <f t="shared" si="20"/>
        <v>0.48946822687719066</v>
      </c>
    </row>
    <row r="1045" spans="1:9" x14ac:dyDescent="0.25">
      <c r="A1045" s="76" t="s">
        <v>555</v>
      </c>
      <c r="B1045" s="76" t="s">
        <v>69</v>
      </c>
      <c r="C1045" s="77">
        <v>40804</v>
      </c>
      <c r="D1045" s="78">
        <v>41169</v>
      </c>
      <c r="E1045" s="79">
        <v>0.09</v>
      </c>
      <c r="F1045" s="80">
        <v>47735.97</v>
      </c>
      <c r="G1045" s="81"/>
      <c r="H1045" s="80">
        <v>4773.6000000000004</v>
      </c>
      <c r="I1045" s="79">
        <f t="shared" si="20"/>
        <v>0.10000006284569059</v>
      </c>
    </row>
    <row r="1046" spans="1:9" x14ac:dyDescent="0.25">
      <c r="A1046" s="76" t="s">
        <v>555</v>
      </c>
      <c r="B1046" s="76" t="s">
        <v>69</v>
      </c>
      <c r="C1046" s="77">
        <v>41170</v>
      </c>
      <c r="D1046" s="78">
        <v>41534</v>
      </c>
      <c r="E1046" s="79">
        <v>0.09</v>
      </c>
      <c r="F1046" s="80">
        <v>14907</v>
      </c>
      <c r="G1046" s="88"/>
      <c r="H1046" s="80">
        <v>1490.7</v>
      </c>
      <c r="I1046" s="79">
        <f t="shared" si="20"/>
        <v>0.1</v>
      </c>
    </row>
    <row r="1047" spans="1:9" x14ac:dyDescent="0.25">
      <c r="A1047" s="76" t="s">
        <v>555</v>
      </c>
      <c r="B1047" s="76" t="s">
        <v>120</v>
      </c>
      <c r="C1047" s="112">
        <v>40681</v>
      </c>
      <c r="D1047" s="78">
        <v>41046</v>
      </c>
      <c r="E1047" s="79">
        <v>0.09</v>
      </c>
      <c r="F1047" s="80">
        <v>0</v>
      </c>
      <c r="G1047" s="81"/>
      <c r="H1047" s="80">
        <v>0</v>
      </c>
      <c r="I1047" s="79">
        <v>0</v>
      </c>
    </row>
    <row r="1048" spans="1:9" x14ac:dyDescent="0.25">
      <c r="A1048" s="76" t="s">
        <v>555</v>
      </c>
      <c r="B1048" s="76" t="s">
        <v>44</v>
      </c>
      <c r="C1048" s="77">
        <v>40588</v>
      </c>
      <c r="D1048" s="78">
        <v>40952</v>
      </c>
      <c r="E1048" s="79">
        <v>0.15</v>
      </c>
      <c r="F1048" s="80"/>
      <c r="G1048" s="81">
        <v>6854</v>
      </c>
      <c r="H1048" s="80">
        <v>1028.0999999999999</v>
      </c>
      <c r="I1048" s="79">
        <f>H1048/G1048</f>
        <v>0.15</v>
      </c>
    </row>
    <row r="1049" spans="1:9" x14ac:dyDescent="0.25">
      <c r="A1049" s="76" t="s">
        <v>555</v>
      </c>
      <c r="B1049" s="76" t="s">
        <v>44</v>
      </c>
      <c r="C1049" s="77">
        <v>40953</v>
      </c>
      <c r="D1049" s="78">
        <v>41318</v>
      </c>
      <c r="E1049" s="79">
        <v>0.15</v>
      </c>
      <c r="F1049" s="80"/>
      <c r="G1049" s="81">
        <v>4655</v>
      </c>
      <c r="H1049" s="80">
        <v>698.25</v>
      </c>
      <c r="I1049" s="79">
        <f>H1049/G1049</f>
        <v>0.15</v>
      </c>
    </row>
    <row r="1050" spans="1:9" x14ac:dyDescent="0.25">
      <c r="A1050" s="76" t="s">
        <v>555</v>
      </c>
      <c r="B1050" s="76" t="s">
        <v>100</v>
      </c>
      <c r="C1050" s="77">
        <v>40592</v>
      </c>
      <c r="D1050" s="78">
        <v>40956</v>
      </c>
      <c r="E1050" s="79">
        <v>0.13</v>
      </c>
      <c r="F1050" s="80"/>
      <c r="G1050" s="81">
        <v>2140</v>
      </c>
      <c r="H1050" s="80">
        <v>278.2</v>
      </c>
      <c r="I1050" s="79">
        <f>H1050/G1050</f>
        <v>0.13</v>
      </c>
    </row>
    <row r="1051" spans="1:9" x14ac:dyDescent="0.25">
      <c r="A1051" s="76" t="s">
        <v>555</v>
      </c>
      <c r="B1051" s="76" t="s">
        <v>100</v>
      </c>
      <c r="C1051" s="77">
        <v>40957</v>
      </c>
      <c r="D1051" s="78">
        <v>41322</v>
      </c>
      <c r="E1051" s="79">
        <v>0.13</v>
      </c>
      <c r="F1051" s="80"/>
      <c r="G1051" s="81">
        <v>195</v>
      </c>
      <c r="H1051" s="80">
        <v>25.35</v>
      </c>
      <c r="I1051" s="79">
        <f>H1051/G1051</f>
        <v>0.13</v>
      </c>
    </row>
    <row r="1052" spans="1:9" x14ac:dyDescent="0.25">
      <c r="A1052" s="76" t="s">
        <v>555</v>
      </c>
      <c r="B1052" s="76" t="s">
        <v>514</v>
      </c>
      <c r="C1052" s="77">
        <v>40878</v>
      </c>
      <c r="D1052" s="78">
        <v>40983</v>
      </c>
      <c r="E1052" s="79">
        <v>0.2</v>
      </c>
      <c r="F1052" s="80"/>
      <c r="G1052" s="81">
        <v>85</v>
      </c>
      <c r="H1052" s="80">
        <v>17</v>
      </c>
      <c r="I1052" s="79">
        <f>H1052/G1052</f>
        <v>0.2</v>
      </c>
    </row>
    <row r="1053" spans="1:9" x14ac:dyDescent="0.25">
      <c r="A1053" s="76" t="s">
        <v>555</v>
      </c>
      <c r="B1053" s="76" t="s">
        <v>67</v>
      </c>
      <c r="C1053" s="77">
        <v>40780</v>
      </c>
      <c r="D1053" s="78">
        <v>41145</v>
      </c>
      <c r="E1053" s="79">
        <v>0.1</v>
      </c>
      <c r="F1053" s="80">
        <v>51233</v>
      </c>
      <c r="G1053" s="81"/>
      <c r="H1053" s="80">
        <v>5123.3</v>
      </c>
      <c r="I1053" s="79">
        <f>H1053/F1053</f>
        <v>0.1</v>
      </c>
    </row>
    <row r="1054" spans="1:9" x14ac:dyDescent="0.25">
      <c r="A1054" s="76" t="s">
        <v>555</v>
      </c>
      <c r="B1054" s="76" t="s">
        <v>67</v>
      </c>
      <c r="C1054" s="77">
        <v>41146</v>
      </c>
      <c r="D1054" s="78">
        <v>41510</v>
      </c>
      <c r="E1054" s="79">
        <v>0.1</v>
      </c>
      <c r="F1054" s="80">
        <v>21525</v>
      </c>
      <c r="G1054" s="88"/>
      <c r="H1054" s="80">
        <v>2152.5</v>
      </c>
      <c r="I1054" s="79">
        <f>H1054/F1054</f>
        <v>0.1</v>
      </c>
    </row>
    <row r="1055" spans="1:9" x14ac:dyDescent="0.25">
      <c r="A1055" s="76" t="s">
        <v>555</v>
      </c>
      <c r="B1055" s="76" t="s">
        <v>98</v>
      </c>
      <c r="C1055" s="77">
        <v>40758</v>
      </c>
      <c r="D1055" s="78">
        <v>41123</v>
      </c>
      <c r="E1055" s="79">
        <v>0.09</v>
      </c>
      <c r="F1055" s="80">
        <v>0</v>
      </c>
      <c r="G1055" s="81"/>
      <c r="H1055" s="80">
        <v>0</v>
      </c>
      <c r="I1055" s="79">
        <v>0</v>
      </c>
    </row>
    <row r="1056" spans="1:9" x14ac:dyDescent="0.25">
      <c r="A1056" s="76" t="s">
        <v>555</v>
      </c>
      <c r="B1056" s="76" t="s">
        <v>98</v>
      </c>
      <c r="C1056" s="77">
        <v>41124</v>
      </c>
      <c r="D1056" s="78">
        <v>41488</v>
      </c>
      <c r="E1056" s="79">
        <v>0.09</v>
      </c>
      <c r="F1056" s="80">
        <v>0</v>
      </c>
      <c r="G1056" s="88"/>
      <c r="H1056" s="80">
        <v>0</v>
      </c>
      <c r="I1056" s="79">
        <v>0</v>
      </c>
    </row>
    <row r="1057" spans="1:9" x14ac:dyDescent="0.25">
      <c r="A1057" s="76" t="s">
        <v>555</v>
      </c>
      <c r="B1057" s="76" t="s">
        <v>70</v>
      </c>
      <c r="C1057" s="77">
        <v>40820</v>
      </c>
      <c r="D1057" s="78">
        <v>41185</v>
      </c>
      <c r="E1057" s="79">
        <v>0.09</v>
      </c>
      <c r="F1057" s="80">
        <v>4836</v>
      </c>
      <c r="G1057" s="81"/>
      <c r="H1057" s="80">
        <v>725.4</v>
      </c>
      <c r="I1057" s="79">
        <f>H1057/F1057</f>
        <v>0.15</v>
      </c>
    </row>
    <row r="1058" spans="1:9" x14ac:dyDescent="0.25">
      <c r="A1058" s="76" t="s">
        <v>555</v>
      </c>
      <c r="B1058" s="76" t="s">
        <v>70</v>
      </c>
      <c r="C1058" s="77">
        <v>41186</v>
      </c>
      <c r="D1058" s="78">
        <v>41550</v>
      </c>
      <c r="E1058" s="79">
        <v>0.09</v>
      </c>
      <c r="F1058" s="80">
        <v>4185</v>
      </c>
      <c r="G1058" s="88"/>
      <c r="H1058" s="80">
        <v>418.5</v>
      </c>
      <c r="I1058" s="79">
        <f>H1058/F1058</f>
        <v>0.1</v>
      </c>
    </row>
    <row r="1059" spans="1:9" x14ac:dyDescent="0.25">
      <c r="A1059" s="76" t="s">
        <v>555</v>
      </c>
      <c r="B1059" s="76" t="s">
        <v>557</v>
      </c>
      <c r="C1059" s="77">
        <v>41098</v>
      </c>
      <c r="D1059" s="78">
        <v>41456</v>
      </c>
      <c r="E1059" s="79">
        <v>0.18</v>
      </c>
      <c r="F1059" s="88"/>
      <c r="G1059" s="81">
        <v>445</v>
      </c>
      <c r="H1059" s="80">
        <v>89</v>
      </c>
      <c r="I1059" s="79">
        <f>H1059/G1059</f>
        <v>0.2</v>
      </c>
    </row>
    <row r="1060" spans="1:9" x14ac:dyDescent="0.25">
      <c r="A1060" s="76" t="s">
        <v>555</v>
      </c>
      <c r="B1060" s="76" t="s">
        <v>556</v>
      </c>
      <c r="C1060" s="77">
        <v>40732</v>
      </c>
      <c r="D1060" s="78">
        <v>41097</v>
      </c>
      <c r="E1060" s="79">
        <v>0.18</v>
      </c>
      <c r="F1060" s="80"/>
      <c r="G1060" s="81">
        <v>1245</v>
      </c>
      <c r="H1060" s="80">
        <v>249</v>
      </c>
      <c r="I1060" s="79">
        <f>H1060/G1060</f>
        <v>0.2</v>
      </c>
    </row>
    <row r="1061" spans="1:9" x14ac:dyDescent="0.25">
      <c r="A1061" s="76" t="s">
        <v>555</v>
      </c>
      <c r="B1061" s="76" t="s">
        <v>68</v>
      </c>
      <c r="C1061" s="77">
        <v>40789</v>
      </c>
      <c r="D1061" s="78">
        <v>41154</v>
      </c>
      <c r="E1061" s="79">
        <v>0.09</v>
      </c>
      <c r="F1061" s="80">
        <v>119240</v>
      </c>
      <c r="G1061" s="81"/>
      <c r="H1061" s="80">
        <v>11924</v>
      </c>
      <c r="I1061" s="79">
        <f>H1061/F1061</f>
        <v>0.1</v>
      </c>
    </row>
    <row r="1062" spans="1:9" x14ac:dyDescent="0.25">
      <c r="A1062" s="76" t="s">
        <v>555</v>
      </c>
      <c r="B1062" s="76" t="s">
        <v>68</v>
      </c>
      <c r="C1062" s="77">
        <v>41155</v>
      </c>
      <c r="D1062" s="78">
        <v>41519</v>
      </c>
      <c r="E1062" s="79">
        <v>0.09</v>
      </c>
      <c r="F1062" s="80">
        <v>34923.67</v>
      </c>
      <c r="G1062" s="88"/>
      <c r="H1062" s="80">
        <v>3492.37</v>
      </c>
      <c r="I1062" s="79">
        <f>H1062/F1062</f>
        <v>0.10000008590162489</v>
      </c>
    </row>
    <row r="1063" spans="1:9" x14ac:dyDescent="0.25">
      <c r="A1063" s="76" t="s">
        <v>558</v>
      </c>
      <c r="B1063" s="76" t="s">
        <v>446</v>
      </c>
      <c r="C1063" s="77">
        <v>40798</v>
      </c>
      <c r="D1063" s="78">
        <v>41152</v>
      </c>
      <c r="E1063" s="79">
        <v>0.14000000000000001</v>
      </c>
      <c r="F1063" s="88"/>
      <c r="G1063" s="81">
        <v>11616</v>
      </c>
      <c r="H1063" s="80">
        <v>2124.1999999999998</v>
      </c>
      <c r="I1063" s="79">
        <f t="shared" ref="I1063:I1073" si="21">H1063/G1063</f>
        <v>0.18286845730027546</v>
      </c>
    </row>
    <row r="1064" spans="1:9" x14ac:dyDescent="0.25">
      <c r="A1064" s="76" t="s">
        <v>558</v>
      </c>
      <c r="B1064" s="76" t="s">
        <v>447</v>
      </c>
      <c r="C1064" s="77">
        <v>40840</v>
      </c>
      <c r="D1064" s="78">
        <v>41152</v>
      </c>
      <c r="E1064" s="79">
        <v>0.14000000000000001</v>
      </c>
      <c r="F1064" s="88"/>
      <c r="G1064" s="81">
        <v>8903</v>
      </c>
      <c r="H1064" s="80">
        <v>1727.18</v>
      </c>
      <c r="I1064" s="79">
        <f t="shared" si="21"/>
        <v>0.19399977535662138</v>
      </c>
    </row>
    <row r="1065" spans="1:9" x14ac:dyDescent="0.25">
      <c r="A1065" s="76" t="s">
        <v>558</v>
      </c>
      <c r="B1065" s="76" t="s">
        <v>561</v>
      </c>
      <c r="C1065" s="77">
        <v>40812</v>
      </c>
      <c r="D1065" s="78">
        <v>41152</v>
      </c>
      <c r="E1065" s="79">
        <v>0.14000000000000001</v>
      </c>
      <c r="F1065" s="88"/>
      <c r="G1065" s="81">
        <v>22404</v>
      </c>
      <c r="H1065" s="80">
        <v>4209.5600000000004</v>
      </c>
      <c r="I1065" s="79">
        <f t="shared" si="21"/>
        <v>0.18789323335118729</v>
      </c>
    </row>
    <row r="1066" spans="1:9" x14ac:dyDescent="0.25">
      <c r="A1066" s="76" t="s">
        <v>558</v>
      </c>
      <c r="B1066" s="76" t="s">
        <v>444</v>
      </c>
      <c r="C1066" s="77">
        <v>40792</v>
      </c>
      <c r="D1066" s="78">
        <v>41152</v>
      </c>
      <c r="E1066" s="79">
        <v>0.14000000000000001</v>
      </c>
      <c r="F1066" s="88"/>
      <c r="G1066" s="81">
        <v>18268</v>
      </c>
      <c r="H1066" s="80">
        <v>2964.96</v>
      </c>
      <c r="I1066" s="79">
        <f t="shared" si="21"/>
        <v>0.16230348149770091</v>
      </c>
    </row>
    <row r="1067" spans="1:9" x14ac:dyDescent="0.25">
      <c r="A1067" s="76" t="s">
        <v>558</v>
      </c>
      <c r="B1067" s="76" t="s">
        <v>445</v>
      </c>
      <c r="C1067" s="77">
        <v>40609</v>
      </c>
      <c r="D1067" s="78">
        <v>40967</v>
      </c>
      <c r="E1067" s="79">
        <v>0.14000000000000001</v>
      </c>
      <c r="F1067" s="88"/>
      <c r="G1067" s="81">
        <v>10972.2</v>
      </c>
      <c r="H1067" s="80">
        <v>1833.34</v>
      </c>
      <c r="I1067" s="79">
        <f t="shared" si="21"/>
        <v>0.16708955359909589</v>
      </c>
    </row>
    <row r="1068" spans="1:9" x14ac:dyDescent="0.25">
      <c r="A1068" s="76" t="s">
        <v>558</v>
      </c>
      <c r="B1068" s="76" t="s">
        <v>443</v>
      </c>
      <c r="C1068" s="77">
        <v>40763</v>
      </c>
      <c r="D1068" s="78">
        <v>41065</v>
      </c>
      <c r="E1068" s="79">
        <v>0.14000000000000001</v>
      </c>
      <c r="F1068" s="88"/>
      <c r="G1068" s="81">
        <v>13602</v>
      </c>
      <c r="H1068" s="80">
        <v>2224.1999999999998</v>
      </c>
      <c r="I1068" s="79">
        <f t="shared" si="21"/>
        <v>0.1635200705778562</v>
      </c>
    </row>
    <row r="1069" spans="1:9" x14ac:dyDescent="0.25">
      <c r="A1069" s="76" t="s">
        <v>558</v>
      </c>
      <c r="B1069" s="76" t="s">
        <v>440</v>
      </c>
      <c r="C1069" s="77">
        <v>40826</v>
      </c>
      <c r="D1069" s="78">
        <v>41151</v>
      </c>
      <c r="E1069" s="79">
        <v>0.14000000000000001</v>
      </c>
      <c r="F1069" s="88"/>
      <c r="G1069" s="81">
        <v>4859</v>
      </c>
      <c r="H1069" s="80">
        <v>789.48</v>
      </c>
      <c r="I1069" s="79">
        <f t="shared" si="21"/>
        <v>0.16247787610619469</v>
      </c>
    </row>
    <row r="1070" spans="1:9" x14ac:dyDescent="0.25">
      <c r="A1070" s="76" t="s">
        <v>558</v>
      </c>
      <c r="B1070" s="76" t="s">
        <v>559</v>
      </c>
      <c r="C1070" s="77">
        <v>40651</v>
      </c>
      <c r="D1070" s="78">
        <v>40998</v>
      </c>
      <c r="E1070" s="79">
        <v>0.14000000000000001</v>
      </c>
      <c r="F1070" s="88"/>
      <c r="G1070" s="81">
        <v>4671</v>
      </c>
      <c r="H1070" s="80">
        <v>751.96</v>
      </c>
      <c r="I1070" s="79">
        <f t="shared" si="21"/>
        <v>0.16098479982873048</v>
      </c>
    </row>
    <row r="1071" spans="1:9" x14ac:dyDescent="0.25">
      <c r="A1071" s="76" t="s">
        <v>558</v>
      </c>
      <c r="B1071" s="76" t="s">
        <v>438</v>
      </c>
      <c r="C1071" s="77">
        <v>40581</v>
      </c>
      <c r="D1071" s="78">
        <v>40939</v>
      </c>
      <c r="E1071" s="79">
        <v>0.14000000000000001</v>
      </c>
      <c r="F1071" s="88"/>
      <c r="G1071" s="81">
        <v>5102</v>
      </c>
      <c r="H1071" s="80">
        <v>863.92</v>
      </c>
      <c r="I1071" s="79">
        <f t="shared" si="21"/>
        <v>0.16932967463739709</v>
      </c>
    </row>
    <row r="1072" spans="1:9" x14ac:dyDescent="0.25">
      <c r="A1072" s="76" t="s">
        <v>558</v>
      </c>
      <c r="B1072" s="76" t="s">
        <v>562</v>
      </c>
      <c r="C1072" s="77">
        <v>41099</v>
      </c>
      <c r="D1072" s="78">
        <v>41152</v>
      </c>
      <c r="E1072" s="79">
        <v>0.14000000000000001</v>
      </c>
      <c r="F1072" s="88"/>
      <c r="G1072" s="81">
        <v>5080</v>
      </c>
      <c r="H1072" s="80">
        <v>830</v>
      </c>
      <c r="I1072" s="79">
        <f t="shared" si="21"/>
        <v>0.16338582677165353</v>
      </c>
    </row>
    <row r="1073" spans="1:9" x14ac:dyDescent="0.25">
      <c r="A1073" s="76" t="s">
        <v>558</v>
      </c>
      <c r="B1073" s="76" t="s">
        <v>560</v>
      </c>
      <c r="C1073" s="77">
        <v>40714</v>
      </c>
      <c r="D1073" s="78">
        <v>41151</v>
      </c>
      <c r="E1073" s="79">
        <v>0.14000000000000001</v>
      </c>
      <c r="F1073" s="88"/>
      <c r="G1073" s="81">
        <v>46625</v>
      </c>
      <c r="H1073" s="80">
        <v>7796</v>
      </c>
      <c r="I1073" s="79">
        <f t="shared" si="21"/>
        <v>0.16720643431635387</v>
      </c>
    </row>
    <row r="1074" spans="1:9" x14ac:dyDescent="0.25">
      <c r="A1074" s="76" t="s">
        <v>563</v>
      </c>
      <c r="B1074" s="76" t="s">
        <v>565</v>
      </c>
      <c r="C1074" s="77">
        <v>40969</v>
      </c>
      <c r="D1074" s="78">
        <v>41060</v>
      </c>
      <c r="E1074" s="79">
        <v>0.17100000000000001</v>
      </c>
      <c r="F1074" s="80">
        <v>39350</v>
      </c>
      <c r="G1074" s="88"/>
      <c r="H1074" s="80">
        <v>10000</v>
      </c>
      <c r="I1074" s="79">
        <f t="shared" ref="I1074:I1082" si="22">H1074/F1074</f>
        <v>0.25412960609911056</v>
      </c>
    </row>
    <row r="1075" spans="1:9" x14ac:dyDescent="0.25">
      <c r="A1075" s="76" t="s">
        <v>563</v>
      </c>
      <c r="B1075" s="76" t="s">
        <v>566</v>
      </c>
      <c r="C1075" s="77">
        <v>41060</v>
      </c>
      <c r="D1075" s="78">
        <v>41243</v>
      </c>
      <c r="E1075" s="79">
        <v>0.17100000000000001</v>
      </c>
      <c r="F1075" s="80">
        <v>58285</v>
      </c>
      <c r="G1075" s="88"/>
      <c r="H1075" s="80">
        <v>16500.599999999999</v>
      </c>
      <c r="I1075" s="79">
        <f t="shared" si="22"/>
        <v>0.28310199879900488</v>
      </c>
    </row>
    <row r="1076" spans="1:9" x14ac:dyDescent="0.25">
      <c r="A1076" s="76" t="s">
        <v>563</v>
      </c>
      <c r="B1076" s="76" t="s">
        <v>564</v>
      </c>
      <c r="C1076" s="77">
        <v>41156</v>
      </c>
      <c r="D1076" s="78">
        <v>41426</v>
      </c>
      <c r="E1076" s="79">
        <v>0.17100000000000001</v>
      </c>
      <c r="F1076" s="80">
        <v>99240</v>
      </c>
      <c r="G1076" s="88"/>
      <c r="H1076" s="80">
        <v>27500</v>
      </c>
      <c r="I1076" s="79">
        <f t="shared" si="22"/>
        <v>0.27710600564288596</v>
      </c>
    </row>
    <row r="1077" spans="1:9" x14ac:dyDescent="0.25">
      <c r="A1077" s="76" t="s">
        <v>563</v>
      </c>
      <c r="B1077" s="76" t="s">
        <v>564</v>
      </c>
      <c r="C1077" s="77">
        <v>40843</v>
      </c>
      <c r="D1077" s="78">
        <v>41061</v>
      </c>
      <c r="E1077" s="79">
        <v>0.17100000000000001</v>
      </c>
      <c r="F1077" s="80">
        <v>86441</v>
      </c>
      <c r="G1077" s="88"/>
      <c r="H1077" s="80">
        <v>27000</v>
      </c>
      <c r="I1077" s="79">
        <f t="shared" si="22"/>
        <v>0.31235177751298576</v>
      </c>
    </row>
    <row r="1078" spans="1:9" x14ac:dyDescent="0.25">
      <c r="A1078" s="76" t="s">
        <v>563</v>
      </c>
      <c r="B1078" s="76" t="s">
        <v>567</v>
      </c>
      <c r="C1078" s="77">
        <v>41092</v>
      </c>
      <c r="D1078" s="78">
        <v>41243</v>
      </c>
      <c r="E1078" s="79">
        <v>0.27</v>
      </c>
      <c r="F1078" s="80">
        <v>52120</v>
      </c>
      <c r="G1078" s="88"/>
      <c r="H1078" s="80">
        <v>15636</v>
      </c>
      <c r="I1078" s="79">
        <f t="shared" si="22"/>
        <v>0.3</v>
      </c>
    </row>
    <row r="1079" spans="1:9" x14ac:dyDescent="0.25">
      <c r="A1079" s="76" t="s">
        <v>568</v>
      </c>
      <c r="B1079" s="76" t="s">
        <v>571</v>
      </c>
      <c r="C1079" s="77">
        <v>41156</v>
      </c>
      <c r="D1079" s="78">
        <v>41459</v>
      </c>
      <c r="E1079" s="79">
        <v>0.2</v>
      </c>
      <c r="F1079" s="80">
        <v>18802</v>
      </c>
      <c r="G1079" s="81"/>
      <c r="H1079" s="80">
        <v>3776</v>
      </c>
      <c r="I1079" s="79">
        <f t="shared" si="22"/>
        <v>0.20082969896819489</v>
      </c>
    </row>
    <row r="1080" spans="1:9" x14ac:dyDescent="0.25">
      <c r="A1080" s="76" t="s">
        <v>568</v>
      </c>
      <c r="B1080" s="76" t="s">
        <v>569</v>
      </c>
      <c r="C1080" s="77">
        <v>40739</v>
      </c>
      <c r="D1080" s="78">
        <v>41075</v>
      </c>
      <c r="E1080" s="79">
        <v>0.18</v>
      </c>
      <c r="F1080" s="80">
        <v>23704</v>
      </c>
      <c r="G1080" s="81"/>
      <c r="H1080" s="80">
        <v>4312</v>
      </c>
      <c r="I1080" s="79">
        <f t="shared" si="22"/>
        <v>0.18191022612217347</v>
      </c>
    </row>
    <row r="1081" spans="1:9" x14ac:dyDescent="0.25">
      <c r="A1081" s="76" t="s">
        <v>568</v>
      </c>
      <c r="B1081" s="76" t="s">
        <v>570</v>
      </c>
      <c r="C1081" s="77">
        <v>40909</v>
      </c>
      <c r="D1081" s="78">
        <v>41274</v>
      </c>
      <c r="E1081" s="79">
        <v>0.2</v>
      </c>
      <c r="F1081" s="80">
        <v>95036.29</v>
      </c>
      <c r="G1081" s="81"/>
      <c r="H1081" s="80">
        <v>19008.599999999999</v>
      </c>
      <c r="I1081" s="79">
        <f t="shared" si="22"/>
        <v>0.20001412092159743</v>
      </c>
    </row>
    <row r="1082" spans="1:9" x14ac:dyDescent="0.25">
      <c r="A1082" s="76" t="s">
        <v>572</v>
      </c>
      <c r="B1082" s="76" t="s">
        <v>574</v>
      </c>
      <c r="C1082" s="77">
        <v>41000</v>
      </c>
      <c r="D1082" s="78">
        <v>41364</v>
      </c>
      <c r="E1082" s="79">
        <v>0.8</v>
      </c>
      <c r="F1082" s="80">
        <v>268430</v>
      </c>
      <c r="G1082" s="81"/>
      <c r="H1082" s="80">
        <v>264171</v>
      </c>
      <c r="I1082" s="79">
        <f t="shared" si="22"/>
        <v>0.98413366613269748</v>
      </c>
    </row>
    <row r="1083" spans="1:9" x14ac:dyDescent="0.25">
      <c r="A1083" s="76" t="s">
        <v>572</v>
      </c>
      <c r="B1083" s="76" t="s">
        <v>574</v>
      </c>
      <c r="C1083" s="77">
        <v>41000</v>
      </c>
      <c r="D1083" s="78">
        <v>41364</v>
      </c>
      <c r="E1083" s="79">
        <v>0.8</v>
      </c>
      <c r="F1083" s="80"/>
      <c r="G1083" s="81">
        <v>268430</v>
      </c>
      <c r="H1083" s="80">
        <v>264171</v>
      </c>
      <c r="I1083" s="79">
        <f>H1083/G1083</f>
        <v>0.98413366613269748</v>
      </c>
    </row>
    <row r="1084" spans="1:9" x14ac:dyDescent="0.25">
      <c r="A1084" s="76" t="s">
        <v>572</v>
      </c>
      <c r="B1084" s="76" t="s">
        <v>576</v>
      </c>
      <c r="C1084" s="77">
        <v>40634</v>
      </c>
      <c r="D1084" s="78">
        <v>40999</v>
      </c>
      <c r="E1084" s="79">
        <v>0.8</v>
      </c>
      <c r="F1084" s="80"/>
      <c r="G1084" s="81">
        <v>209772</v>
      </c>
      <c r="H1084" s="80">
        <v>196572</v>
      </c>
      <c r="I1084" s="79">
        <f>H1084/G1084</f>
        <v>0.93707453806990448</v>
      </c>
    </row>
    <row r="1085" spans="1:9" x14ac:dyDescent="0.25">
      <c r="A1085" s="76" t="s">
        <v>572</v>
      </c>
      <c r="B1085" s="76" t="s">
        <v>575</v>
      </c>
      <c r="C1085" s="77">
        <v>41000</v>
      </c>
      <c r="D1085" s="78">
        <v>41364</v>
      </c>
      <c r="E1085" s="79">
        <v>0.8</v>
      </c>
      <c r="F1085" s="80">
        <v>1135153</v>
      </c>
      <c r="G1085" s="81"/>
      <c r="H1085" s="80">
        <v>1075016</v>
      </c>
      <c r="I1085" s="79">
        <f>H1085/F1085</f>
        <v>0.94702300042373144</v>
      </c>
    </row>
    <row r="1086" spans="1:9" x14ac:dyDescent="0.25">
      <c r="A1086" s="76" t="s">
        <v>572</v>
      </c>
      <c r="B1086" s="76" t="s">
        <v>575</v>
      </c>
      <c r="C1086" s="77">
        <v>41000</v>
      </c>
      <c r="D1086" s="78">
        <v>41364</v>
      </c>
      <c r="E1086" s="79">
        <v>0.8</v>
      </c>
      <c r="F1086" s="80"/>
      <c r="G1086" s="81">
        <v>1135153</v>
      </c>
      <c r="H1086" s="80">
        <v>1075016</v>
      </c>
      <c r="I1086" s="79">
        <f>H1086/G1086</f>
        <v>0.94702300042373144</v>
      </c>
    </row>
    <row r="1087" spans="1:9" x14ac:dyDescent="0.25">
      <c r="A1087" s="76" t="s">
        <v>572</v>
      </c>
      <c r="B1087" s="76" t="s">
        <v>575</v>
      </c>
      <c r="C1087" s="77">
        <v>40634</v>
      </c>
      <c r="D1087" s="78">
        <v>40999</v>
      </c>
      <c r="E1087" s="79">
        <v>0.8</v>
      </c>
      <c r="F1087" s="80"/>
      <c r="G1087" s="81">
        <v>896749</v>
      </c>
      <c r="H1087" s="80">
        <v>825945</v>
      </c>
      <c r="I1087" s="79">
        <f>H1087/G1087</f>
        <v>0.92104368111924295</v>
      </c>
    </row>
    <row r="1088" spans="1:9" x14ac:dyDescent="0.25">
      <c r="A1088" s="76" t="s">
        <v>572</v>
      </c>
      <c r="B1088" s="76" t="s">
        <v>573</v>
      </c>
      <c r="C1088" s="77">
        <v>41000</v>
      </c>
      <c r="D1088" s="78">
        <v>41364</v>
      </c>
      <c r="E1088" s="79">
        <v>0.8</v>
      </c>
      <c r="F1088" s="80">
        <v>224833</v>
      </c>
      <c r="G1088" s="81"/>
      <c r="H1088" s="80">
        <v>218833</v>
      </c>
      <c r="I1088" s="79">
        <f>H1088/F1088</f>
        <v>0.97331352603932697</v>
      </c>
    </row>
    <row r="1089" spans="1:9" x14ac:dyDescent="0.25">
      <c r="A1089" s="76" t="s">
        <v>572</v>
      </c>
      <c r="B1089" s="76" t="s">
        <v>573</v>
      </c>
      <c r="C1089" s="77">
        <v>41000</v>
      </c>
      <c r="D1089" s="78">
        <v>41364</v>
      </c>
      <c r="E1089" s="79">
        <v>0.8</v>
      </c>
      <c r="F1089" s="80"/>
      <c r="G1089" s="81">
        <v>224833</v>
      </c>
      <c r="H1089" s="80">
        <v>218833</v>
      </c>
      <c r="I1089" s="79">
        <f>H1089/G1089</f>
        <v>0.97331352603932697</v>
      </c>
    </row>
    <row r="1090" spans="1:9" x14ac:dyDescent="0.25">
      <c r="A1090" s="76" t="s">
        <v>572</v>
      </c>
      <c r="B1090" s="76" t="s">
        <v>577</v>
      </c>
      <c r="C1090" s="77">
        <v>40634</v>
      </c>
      <c r="D1090" s="78">
        <v>40999</v>
      </c>
      <c r="E1090" s="79">
        <v>0.8</v>
      </c>
      <c r="F1090" s="80"/>
      <c r="G1090" s="81">
        <v>191912</v>
      </c>
      <c r="H1090" s="80">
        <v>186147</v>
      </c>
      <c r="I1090" s="79">
        <f>H1090/G1090</f>
        <v>0.96996019008712331</v>
      </c>
    </row>
    <row r="1091" spans="1:9" x14ac:dyDescent="0.25">
      <c r="A1091" s="76" t="s">
        <v>578</v>
      </c>
      <c r="B1091" s="76" t="s">
        <v>115</v>
      </c>
      <c r="C1091" s="77">
        <v>40923</v>
      </c>
      <c r="D1091" s="78">
        <v>40939</v>
      </c>
      <c r="E1091" s="79">
        <v>0</v>
      </c>
      <c r="F1091" s="80">
        <v>316088.33</v>
      </c>
      <c r="G1091" s="81"/>
      <c r="H1091" s="80">
        <v>183481.82</v>
      </c>
      <c r="I1091" s="79">
        <f>H1091/F1091</f>
        <v>0.58047641303302777</v>
      </c>
    </row>
    <row r="1092" spans="1:9" x14ac:dyDescent="0.25">
      <c r="A1092" s="76" t="s">
        <v>578</v>
      </c>
      <c r="B1092" s="76" t="s">
        <v>580</v>
      </c>
      <c r="C1092" s="77">
        <v>40829</v>
      </c>
      <c r="D1092" s="78">
        <v>40939</v>
      </c>
      <c r="E1092" s="79">
        <v>0</v>
      </c>
      <c r="F1092" s="80"/>
      <c r="G1092" s="81">
        <v>324.91000000000003</v>
      </c>
      <c r="H1092" s="80">
        <v>-408.16</v>
      </c>
      <c r="I1092" s="79">
        <f>H1092/G1092</f>
        <v>-1.256224800714044</v>
      </c>
    </row>
    <row r="1093" spans="1:9" x14ac:dyDescent="0.25">
      <c r="A1093" s="76" t="s">
        <v>578</v>
      </c>
      <c r="B1093" s="76" t="s">
        <v>580</v>
      </c>
      <c r="C1093" s="77">
        <v>40829</v>
      </c>
      <c r="D1093" s="78">
        <v>40939</v>
      </c>
      <c r="E1093" s="79">
        <v>0</v>
      </c>
      <c r="F1093" s="80">
        <v>9283</v>
      </c>
      <c r="G1093" s="81"/>
      <c r="H1093" s="80">
        <v>-11661.65</v>
      </c>
      <c r="I1093" s="79">
        <f>H1093/F1093</f>
        <v>-1.2562372077992028</v>
      </c>
    </row>
    <row r="1094" spans="1:9" x14ac:dyDescent="0.25">
      <c r="A1094" s="76" t="s">
        <v>578</v>
      </c>
      <c r="B1094" s="76" t="s">
        <v>581</v>
      </c>
      <c r="C1094" s="77">
        <v>40651</v>
      </c>
      <c r="D1094" s="78">
        <v>40909</v>
      </c>
      <c r="E1094" s="79">
        <v>0</v>
      </c>
      <c r="F1094" s="80">
        <v>18807</v>
      </c>
      <c r="G1094" s="81"/>
      <c r="H1094" s="80">
        <v>9653.76</v>
      </c>
      <c r="I1094" s="79">
        <f>H1094/F1094</f>
        <v>0.5133067474876376</v>
      </c>
    </row>
    <row r="1095" spans="1:9" x14ac:dyDescent="0.25">
      <c r="A1095" s="76" t="s">
        <v>578</v>
      </c>
      <c r="B1095" s="76" t="s">
        <v>178</v>
      </c>
      <c r="C1095" s="77">
        <v>40707</v>
      </c>
      <c r="D1095" s="78">
        <v>40939</v>
      </c>
      <c r="E1095" s="79">
        <v>0</v>
      </c>
      <c r="F1095" s="80">
        <v>286760.31</v>
      </c>
      <c r="G1095" s="88"/>
      <c r="H1095" s="80">
        <v>51142.42</v>
      </c>
      <c r="I1095" s="79">
        <f>H1095/F1095</f>
        <v>0.1783455318485323</v>
      </c>
    </row>
    <row r="1096" spans="1:9" x14ac:dyDescent="0.25">
      <c r="A1096" s="76" t="s">
        <v>578</v>
      </c>
      <c r="B1096" s="76" t="s">
        <v>183</v>
      </c>
      <c r="C1096" s="77">
        <v>40735</v>
      </c>
      <c r="D1096" s="78">
        <v>40921</v>
      </c>
      <c r="E1096" s="79">
        <v>0</v>
      </c>
      <c r="F1096" s="80">
        <v>73864</v>
      </c>
      <c r="G1096" s="81"/>
      <c r="H1096" s="80">
        <v>26354</v>
      </c>
      <c r="I1096" s="79">
        <f>H1096/F1096</f>
        <v>0.35679085887577167</v>
      </c>
    </row>
    <row r="1097" spans="1:9" x14ac:dyDescent="0.25">
      <c r="A1097" s="76" t="s">
        <v>578</v>
      </c>
      <c r="B1097" s="76" t="s">
        <v>579</v>
      </c>
      <c r="C1097" s="112">
        <v>40589</v>
      </c>
      <c r="D1097" s="78">
        <v>40954</v>
      </c>
      <c r="E1097" s="79">
        <v>0</v>
      </c>
      <c r="F1097" s="80"/>
      <c r="G1097" s="81">
        <v>1096.27</v>
      </c>
      <c r="H1097" s="80">
        <v>-336.8</v>
      </c>
      <c r="I1097" s="79">
        <f>H1097/G1097</f>
        <v>-0.30722358543059647</v>
      </c>
    </row>
    <row r="1098" spans="1:9" x14ac:dyDescent="0.25">
      <c r="A1098" s="76" t="s">
        <v>578</v>
      </c>
      <c r="B1098" s="76" t="s">
        <v>579</v>
      </c>
      <c r="C1098" s="112">
        <v>40589</v>
      </c>
      <c r="D1098" s="78">
        <v>40954</v>
      </c>
      <c r="E1098" s="79">
        <v>0</v>
      </c>
      <c r="F1098" s="80">
        <v>31322</v>
      </c>
      <c r="G1098" s="81"/>
      <c r="H1098" s="80">
        <v>-9622.7999999999993</v>
      </c>
      <c r="I1098" s="79">
        <f>H1098/F1098</f>
        <v>-0.30722176106251192</v>
      </c>
    </row>
    <row r="1099" spans="1:9" x14ac:dyDescent="0.25">
      <c r="A1099" s="76" t="s">
        <v>578</v>
      </c>
      <c r="B1099" s="76" t="s">
        <v>1969</v>
      </c>
      <c r="C1099" s="77">
        <v>40744</v>
      </c>
      <c r="D1099" s="77">
        <v>40999</v>
      </c>
      <c r="E1099" s="79">
        <v>0</v>
      </c>
      <c r="F1099" s="80">
        <v>335454.25</v>
      </c>
      <c r="G1099" s="88"/>
      <c r="H1099" s="80">
        <v>270091.59999999998</v>
      </c>
      <c r="I1099" s="79">
        <f>H1099/F1099</f>
        <v>0.80515182025566823</v>
      </c>
    </row>
    <row r="1100" spans="1:9" x14ac:dyDescent="0.25">
      <c r="A1100" s="76" t="s">
        <v>578</v>
      </c>
      <c r="B1100" s="76" t="s">
        <v>1970</v>
      </c>
      <c r="C1100" s="77">
        <v>40848</v>
      </c>
      <c r="D1100" s="77">
        <v>41213</v>
      </c>
      <c r="E1100" s="79">
        <v>8.9999999999999993E-3</v>
      </c>
      <c r="F1100" s="80">
        <v>39794</v>
      </c>
      <c r="G1100" s="88"/>
      <c r="H1100" s="80">
        <v>18708.400000000001</v>
      </c>
      <c r="I1100" s="79">
        <f>H1100/F1100</f>
        <v>0.47013117555410366</v>
      </c>
    </row>
    <row r="1101" spans="1:9" x14ac:dyDescent="0.25">
      <c r="A1101" s="76" t="s">
        <v>578</v>
      </c>
      <c r="B1101" s="76" t="s">
        <v>1971</v>
      </c>
      <c r="C1101" s="77">
        <v>40801</v>
      </c>
      <c r="D1101" s="77">
        <v>41104</v>
      </c>
      <c r="E1101" s="79">
        <v>0</v>
      </c>
      <c r="F1101" s="80">
        <v>27843</v>
      </c>
      <c r="G1101" s="88"/>
      <c r="H1101" s="80">
        <v>10648.5</v>
      </c>
      <c r="I1101" s="79">
        <f>H1101/F1101</f>
        <v>0.3824480120676651</v>
      </c>
    </row>
    <row r="1102" spans="1:9" x14ac:dyDescent="0.25">
      <c r="A1102" s="76" t="s">
        <v>578</v>
      </c>
      <c r="B1102" s="76" t="s">
        <v>615</v>
      </c>
      <c r="C1102" s="77">
        <v>40707</v>
      </c>
      <c r="D1102" s="78">
        <v>40999</v>
      </c>
      <c r="E1102" s="79">
        <v>0</v>
      </c>
      <c r="F1102" s="80">
        <v>20823</v>
      </c>
      <c r="G1102" s="81"/>
      <c r="H1102" s="80">
        <v>-2683.77</v>
      </c>
      <c r="I1102" s="79">
        <f>H1102/F1102</f>
        <v>-0.12888488690390434</v>
      </c>
    </row>
    <row r="1103" spans="1:9" x14ac:dyDescent="0.25">
      <c r="A1103" s="76" t="s">
        <v>578</v>
      </c>
      <c r="B1103" s="76" t="s">
        <v>615</v>
      </c>
      <c r="C1103" s="77">
        <v>40707</v>
      </c>
      <c r="D1103" s="78">
        <v>40999</v>
      </c>
      <c r="E1103" s="79">
        <v>0</v>
      </c>
      <c r="F1103" s="80"/>
      <c r="G1103" s="81">
        <v>728.81</v>
      </c>
      <c r="H1103" s="80">
        <v>-93.93</v>
      </c>
      <c r="I1103" s="79">
        <f>H1103/G1103</f>
        <v>-0.12888132709485328</v>
      </c>
    </row>
    <row r="1104" spans="1:9" x14ac:dyDescent="0.25">
      <c r="A1104" s="76" t="s">
        <v>578</v>
      </c>
      <c r="B1104" s="76" t="s">
        <v>176</v>
      </c>
      <c r="C1104" s="77">
        <v>40717</v>
      </c>
      <c r="D1104" s="78">
        <v>41020</v>
      </c>
      <c r="E1104" s="79">
        <v>0</v>
      </c>
      <c r="F1104" s="80">
        <v>89838</v>
      </c>
      <c r="G1104" s="88"/>
      <c r="H1104" s="80">
        <v>61357.62</v>
      </c>
      <c r="I1104" s="79">
        <f>H1104/F1104</f>
        <v>0.6829806985907968</v>
      </c>
    </row>
    <row r="1105" spans="1:9" x14ac:dyDescent="0.25">
      <c r="A1105" s="76" t="s">
        <v>578</v>
      </c>
      <c r="B1105" s="76" t="s">
        <v>31</v>
      </c>
      <c r="C1105" s="77">
        <v>40707</v>
      </c>
      <c r="D1105" s="78">
        <v>41029</v>
      </c>
      <c r="E1105" s="79">
        <v>0</v>
      </c>
      <c r="F1105" s="80">
        <v>300701</v>
      </c>
      <c r="G1105" s="88"/>
      <c r="H1105" s="80">
        <v>30502.93</v>
      </c>
      <c r="I1105" s="79">
        <f>H1105/F1105</f>
        <v>0.10143940326104668</v>
      </c>
    </row>
    <row r="1106" spans="1:9" x14ac:dyDescent="0.25">
      <c r="A1106" s="76" t="s">
        <v>578</v>
      </c>
      <c r="B1106" s="76" t="s">
        <v>621</v>
      </c>
      <c r="C1106" s="77">
        <v>40688</v>
      </c>
      <c r="D1106" s="78">
        <v>40999</v>
      </c>
      <c r="E1106" s="79">
        <v>0</v>
      </c>
      <c r="F1106" s="80">
        <v>151238</v>
      </c>
      <c r="G1106" s="88"/>
      <c r="H1106" s="80">
        <v>60318.63</v>
      </c>
      <c r="I1106" s="79">
        <f>H1106/F1106</f>
        <v>0.39883250241341461</v>
      </c>
    </row>
    <row r="1107" spans="1:9" x14ac:dyDescent="0.25">
      <c r="A1107" s="76" t="s">
        <v>578</v>
      </c>
      <c r="B1107" s="76" t="s">
        <v>1973</v>
      </c>
      <c r="C1107" s="77">
        <v>40800</v>
      </c>
      <c r="D1107" s="78">
        <v>41013</v>
      </c>
      <c r="E1107" s="79">
        <v>0</v>
      </c>
      <c r="F1107" s="80">
        <v>2851281.47</v>
      </c>
      <c r="G1107" s="88"/>
      <c r="H1107" s="80">
        <v>2454856.89</v>
      </c>
      <c r="I1107" s="79">
        <f>H1107/F1107</f>
        <v>0.86096617111603502</v>
      </c>
    </row>
    <row r="1108" spans="1:9" x14ac:dyDescent="0.25">
      <c r="A1108" s="76" t="s">
        <v>582</v>
      </c>
      <c r="B1108" s="76" t="s">
        <v>24</v>
      </c>
      <c r="C1108" s="77">
        <v>40878</v>
      </c>
      <c r="D1108" s="78">
        <v>41243</v>
      </c>
      <c r="E1108" s="79">
        <v>0.59399999999999997</v>
      </c>
      <c r="F1108" s="88"/>
      <c r="G1108" s="81">
        <v>1919080.95</v>
      </c>
      <c r="H1108" s="80">
        <v>1341072.19</v>
      </c>
      <c r="I1108" s="79">
        <f>H1108/G1108</f>
        <v>0.69880959945957466</v>
      </c>
    </row>
    <row r="1109" spans="1:9" x14ac:dyDescent="0.25">
      <c r="A1109" s="76" t="s">
        <v>582</v>
      </c>
      <c r="B1109" s="76" t="s">
        <v>163</v>
      </c>
      <c r="C1109" s="77">
        <v>40787</v>
      </c>
      <c r="D1109" s="78">
        <v>41152</v>
      </c>
      <c r="E1109" s="79">
        <v>0.63</v>
      </c>
      <c r="F1109" s="88"/>
      <c r="G1109" s="81">
        <v>2099675.6800000002</v>
      </c>
      <c r="H1109" s="80">
        <v>1507456.96</v>
      </c>
      <c r="I1109" s="79">
        <f>H1109/G1109</f>
        <v>0.71794752606745427</v>
      </c>
    </row>
    <row r="1110" spans="1:9" x14ac:dyDescent="0.25">
      <c r="A1110" s="76" t="s">
        <v>583</v>
      </c>
      <c r="B1110" s="76" t="s">
        <v>585</v>
      </c>
      <c r="C1110" s="77">
        <v>40837</v>
      </c>
      <c r="D1110" s="78">
        <v>41202</v>
      </c>
      <c r="E1110" s="79">
        <v>0.09</v>
      </c>
      <c r="F1110" s="80"/>
      <c r="G1110" s="81">
        <v>131368</v>
      </c>
      <c r="H1110" s="80">
        <v>128968</v>
      </c>
      <c r="I1110" s="79">
        <f>H1110/G1110</f>
        <v>0.98173071067535478</v>
      </c>
    </row>
    <row r="1111" spans="1:9" x14ac:dyDescent="0.25">
      <c r="A1111" s="76" t="s">
        <v>583</v>
      </c>
      <c r="B1111" s="76" t="s">
        <v>586</v>
      </c>
      <c r="C1111" s="77">
        <v>40544</v>
      </c>
      <c r="D1111" s="78">
        <v>40954</v>
      </c>
      <c r="E1111" s="79">
        <v>0.09</v>
      </c>
      <c r="F1111" s="80"/>
      <c r="G1111" s="81">
        <v>18700</v>
      </c>
      <c r="H1111" s="80">
        <v>11500</v>
      </c>
      <c r="I1111" s="79">
        <f>H1111/G1111</f>
        <v>0.61497326203208558</v>
      </c>
    </row>
    <row r="1112" spans="1:9" x14ac:dyDescent="0.25">
      <c r="A1112" s="76" t="s">
        <v>583</v>
      </c>
      <c r="B1112" s="76" t="s">
        <v>586</v>
      </c>
      <c r="C1112" s="77">
        <v>40955</v>
      </c>
      <c r="D1112" s="78">
        <v>41320</v>
      </c>
      <c r="E1112" s="79">
        <v>0.09</v>
      </c>
      <c r="F1112" s="80"/>
      <c r="G1112" s="81">
        <v>0</v>
      </c>
      <c r="H1112" s="80">
        <v>0</v>
      </c>
      <c r="I1112" s="79">
        <v>0</v>
      </c>
    </row>
    <row r="1113" spans="1:9" x14ac:dyDescent="0.25">
      <c r="A1113" s="76" t="s">
        <v>583</v>
      </c>
      <c r="B1113" s="76" t="s">
        <v>584</v>
      </c>
      <c r="C1113" s="77">
        <v>40544</v>
      </c>
      <c r="D1113" s="78">
        <v>40939</v>
      </c>
      <c r="E1113" s="79">
        <v>0.09</v>
      </c>
      <c r="F1113" s="80">
        <v>0</v>
      </c>
      <c r="G1113" s="81"/>
      <c r="H1113" s="80">
        <v>0</v>
      </c>
      <c r="I1113" s="79">
        <v>0</v>
      </c>
    </row>
    <row r="1114" spans="1:9" x14ac:dyDescent="0.25">
      <c r="A1114" s="76" t="s">
        <v>583</v>
      </c>
      <c r="B1114" s="76" t="s">
        <v>584</v>
      </c>
      <c r="C1114" s="77">
        <v>40940</v>
      </c>
      <c r="D1114" s="78">
        <v>41305</v>
      </c>
      <c r="E1114" s="79">
        <v>0.09</v>
      </c>
      <c r="F1114" s="80">
        <v>0</v>
      </c>
      <c r="G1114" s="81"/>
      <c r="H1114" s="80">
        <v>0</v>
      </c>
      <c r="I1114" s="79">
        <v>0</v>
      </c>
    </row>
    <row r="1115" spans="1:9" x14ac:dyDescent="0.25">
      <c r="A1115" s="76" t="s">
        <v>587</v>
      </c>
      <c r="B1115" s="76" t="s">
        <v>588</v>
      </c>
      <c r="C1115" s="77">
        <v>41014</v>
      </c>
      <c r="D1115" s="78">
        <v>41274</v>
      </c>
      <c r="E1115" s="79">
        <v>0.3</v>
      </c>
      <c r="F1115" s="80">
        <v>57198.66</v>
      </c>
      <c r="G1115" s="88"/>
      <c r="H1115" s="80">
        <v>17153.009999999998</v>
      </c>
      <c r="I1115" s="79">
        <f>H1115/F1115</f>
        <v>0.29988482247661041</v>
      </c>
    </row>
    <row r="1116" spans="1:9" x14ac:dyDescent="0.25">
      <c r="A1116" s="76" t="s">
        <v>587</v>
      </c>
      <c r="B1116" s="76" t="s">
        <v>589</v>
      </c>
      <c r="C1116" s="77">
        <v>41050</v>
      </c>
      <c r="D1116" s="78">
        <v>41274</v>
      </c>
      <c r="E1116" s="79">
        <v>0.3</v>
      </c>
      <c r="F1116" s="80">
        <v>19590</v>
      </c>
      <c r="G1116" s="88"/>
      <c r="H1116" s="80">
        <v>5877</v>
      </c>
      <c r="I1116" s="79">
        <f>H1116/F1116</f>
        <v>0.3</v>
      </c>
    </row>
    <row r="1117" spans="1:9" x14ac:dyDescent="0.25">
      <c r="A1117" s="76" t="s">
        <v>590</v>
      </c>
      <c r="B1117" s="76" t="s">
        <v>592</v>
      </c>
      <c r="C1117" s="77">
        <v>41061</v>
      </c>
      <c r="D1117" s="78">
        <v>41424</v>
      </c>
      <c r="E1117" s="79">
        <v>0.5</v>
      </c>
      <c r="F1117" s="80">
        <v>32535.32</v>
      </c>
      <c r="G1117" s="81"/>
      <c r="H1117" s="80">
        <v>16267.66</v>
      </c>
      <c r="I1117" s="79">
        <f>H1117/F1117</f>
        <v>0.5</v>
      </c>
    </row>
    <row r="1118" spans="1:9" x14ac:dyDescent="0.25">
      <c r="A1118" s="76" t="s">
        <v>590</v>
      </c>
      <c r="B1118" s="76" t="s">
        <v>591</v>
      </c>
      <c r="C1118" s="77">
        <v>41030</v>
      </c>
      <c r="D1118" s="78">
        <v>41394</v>
      </c>
      <c r="E1118" s="79">
        <v>0.5</v>
      </c>
      <c r="F1118" s="80">
        <v>17243.64</v>
      </c>
      <c r="G1118" s="81"/>
      <c r="H1118" s="80">
        <v>8621.82</v>
      </c>
      <c r="I1118" s="79">
        <f>H1118/F1118</f>
        <v>0.5</v>
      </c>
    </row>
    <row r="1119" spans="1:9" x14ac:dyDescent="0.25">
      <c r="A1119" s="76" t="s">
        <v>590</v>
      </c>
      <c r="B1119" s="76" t="s">
        <v>591</v>
      </c>
      <c r="C1119" s="77">
        <v>41030</v>
      </c>
      <c r="D1119" s="78">
        <v>41394</v>
      </c>
      <c r="E1119" s="79">
        <v>0.5</v>
      </c>
      <c r="F1119" s="80"/>
      <c r="G1119" s="81">
        <v>17243.64</v>
      </c>
      <c r="H1119" s="80">
        <v>8621.82</v>
      </c>
      <c r="I1119" s="79">
        <f>H1119/G1119</f>
        <v>0.5</v>
      </c>
    </row>
    <row r="1120" spans="1:9" x14ac:dyDescent="0.25">
      <c r="A1120" s="76" t="s">
        <v>590</v>
      </c>
      <c r="B1120" s="76" t="s">
        <v>591</v>
      </c>
      <c r="C1120" s="77">
        <v>41030</v>
      </c>
      <c r="D1120" s="78">
        <v>41394</v>
      </c>
      <c r="E1120" s="79">
        <v>0.5</v>
      </c>
      <c r="F1120" s="80">
        <v>17243.64</v>
      </c>
      <c r="G1120" s="81"/>
      <c r="H1120" s="80">
        <v>8621.82</v>
      </c>
      <c r="I1120" s="79">
        <f>H1120/F1120</f>
        <v>0.5</v>
      </c>
    </row>
    <row r="1121" spans="1:9" x14ac:dyDescent="0.25">
      <c r="A1121" s="76" t="s">
        <v>590</v>
      </c>
      <c r="B1121" s="76" t="s">
        <v>591</v>
      </c>
      <c r="C1121" s="77">
        <v>40664</v>
      </c>
      <c r="D1121" s="78">
        <v>41029</v>
      </c>
      <c r="E1121" s="79">
        <v>0.5</v>
      </c>
      <c r="F1121" s="80">
        <v>10904.72</v>
      </c>
      <c r="G1121" s="81"/>
      <c r="H1121" s="80">
        <v>5452.36</v>
      </c>
      <c r="I1121" s="79">
        <f>H1121/F1121</f>
        <v>0.5</v>
      </c>
    </row>
    <row r="1122" spans="1:9" x14ac:dyDescent="0.25">
      <c r="A1122" s="76" t="s">
        <v>590</v>
      </c>
      <c r="B1122" s="76" t="s">
        <v>593</v>
      </c>
      <c r="C1122" s="77">
        <v>41059</v>
      </c>
      <c r="D1122" s="78">
        <v>41424</v>
      </c>
      <c r="E1122" s="79">
        <v>0.5</v>
      </c>
      <c r="F1122" s="80">
        <v>67093.7</v>
      </c>
      <c r="G1122" s="81"/>
      <c r="H1122" s="80">
        <v>33546.85</v>
      </c>
      <c r="I1122" s="79">
        <f>H1122/F1122</f>
        <v>0.5</v>
      </c>
    </row>
    <row r="1123" spans="1:9" x14ac:dyDescent="0.25">
      <c r="A1123" s="76" t="s">
        <v>594</v>
      </c>
      <c r="B1123" s="76" t="s">
        <v>608</v>
      </c>
      <c r="C1123" s="77">
        <v>41043</v>
      </c>
      <c r="D1123" s="78">
        <v>41274</v>
      </c>
      <c r="E1123" s="79">
        <v>0.45900000000000002</v>
      </c>
      <c r="F1123" s="80">
        <v>280377</v>
      </c>
      <c r="G1123" s="81"/>
      <c r="H1123" s="80">
        <v>214147.54</v>
      </c>
      <c r="I1123" s="79">
        <f>H1123/F1123</f>
        <v>0.76378426190450721</v>
      </c>
    </row>
    <row r="1124" spans="1:9" x14ac:dyDescent="0.25">
      <c r="A1124" s="76" t="s">
        <v>594</v>
      </c>
      <c r="B1124" s="76" t="s">
        <v>608</v>
      </c>
      <c r="C1124" s="77">
        <v>41043</v>
      </c>
      <c r="D1124" s="78">
        <v>41274</v>
      </c>
      <c r="E1124" s="79">
        <v>0.45900000000000002</v>
      </c>
      <c r="F1124" s="80"/>
      <c r="G1124" s="81">
        <v>280072</v>
      </c>
      <c r="H1124" s="80">
        <v>213842.54</v>
      </c>
      <c r="I1124" s="79">
        <f>H1124/G1124</f>
        <v>0.76352702162301123</v>
      </c>
    </row>
    <row r="1125" spans="1:9" x14ac:dyDescent="0.25">
      <c r="A1125" s="76" t="s">
        <v>594</v>
      </c>
      <c r="B1125" s="76" t="s">
        <v>603</v>
      </c>
      <c r="C1125" s="77">
        <v>41261</v>
      </c>
      <c r="D1125" s="78">
        <v>41455</v>
      </c>
      <c r="E1125" s="79">
        <v>0.27</v>
      </c>
      <c r="F1125" s="80">
        <v>94175</v>
      </c>
      <c r="G1125" s="81"/>
      <c r="H1125" s="80">
        <v>48036.93</v>
      </c>
      <c r="I1125" s="79">
        <f>H1125/F1125</f>
        <v>0.51008155030528268</v>
      </c>
    </row>
    <row r="1126" spans="1:9" x14ac:dyDescent="0.25">
      <c r="A1126" s="76" t="s">
        <v>594</v>
      </c>
      <c r="B1126" s="76" t="s">
        <v>603</v>
      </c>
      <c r="C1126" s="77">
        <v>40900</v>
      </c>
      <c r="D1126" s="78">
        <v>41090</v>
      </c>
      <c r="E1126" s="79">
        <v>0.26100000000000001</v>
      </c>
      <c r="F1126" s="80">
        <v>85377</v>
      </c>
      <c r="G1126" s="81"/>
      <c r="H1126" s="80">
        <v>38475.550000000003</v>
      </c>
      <c r="I1126" s="79">
        <f>H1126/F1126</f>
        <v>0.4506547430806892</v>
      </c>
    </row>
    <row r="1127" spans="1:9" x14ac:dyDescent="0.25">
      <c r="A1127" s="76" t="s">
        <v>594</v>
      </c>
      <c r="B1127" s="76" t="s">
        <v>603</v>
      </c>
      <c r="C1127" s="77">
        <v>40900</v>
      </c>
      <c r="D1127" s="78">
        <v>41090</v>
      </c>
      <c r="E1127" s="79">
        <v>0.26100000000000001</v>
      </c>
      <c r="F1127" s="80"/>
      <c r="G1127" s="81">
        <v>4760</v>
      </c>
      <c r="H1127" s="80">
        <v>2142.9</v>
      </c>
      <c r="I1127" s="79">
        <f>H1127/G1127</f>
        <v>0.45018907563025212</v>
      </c>
    </row>
    <row r="1128" spans="1:9" x14ac:dyDescent="0.25">
      <c r="A1128" s="76" t="s">
        <v>594</v>
      </c>
      <c r="B1128" s="76" t="s">
        <v>603</v>
      </c>
      <c r="C1128" s="77">
        <v>41261</v>
      </c>
      <c r="D1128" s="78">
        <v>41455</v>
      </c>
      <c r="E1128" s="79">
        <v>0.27</v>
      </c>
      <c r="F1128" s="80"/>
      <c r="G1128" s="81">
        <v>3785</v>
      </c>
      <c r="H1128" s="80">
        <v>1939.48</v>
      </c>
      <c r="I1128" s="79">
        <f>H1128/G1128</f>
        <v>0.51241215323645972</v>
      </c>
    </row>
    <row r="1129" spans="1:9" x14ac:dyDescent="0.25">
      <c r="A1129" s="76" t="s">
        <v>594</v>
      </c>
      <c r="B1129" s="76" t="s">
        <v>138</v>
      </c>
      <c r="C1129" s="77">
        <v>41180</v>
      </c>
      <c r="D1129" s="78">
        <v>41333</v>
      </c>
      <c r="E1129" s="79">
        <v>0.45</v>
      </c>
      <c r="F1129" s="80">
        <v>70906</v>
      </c>
      <c r="G1129" s="81"/>
      <c r="H1129" s="80">
        <v>31307.75</v>
      </c>
      <c r="I1129" s="79">
        <f>H1129/F1129</f>
        <v>0.44153879784503425</v>
      </c>
    </row>
    <row r="1130" spans="1:9" x14ac:dyDescent="0.25">
      <c r="A1130" s="76" t="s">
        <v>594</v>
      </c>
      <c r="B1130" s="76" t="s">
        <v>138</v>
      </c>
      <c r="C1130" s="77">
        <v>41180</v>
      </c>
      <c r="D1130" s="78">
        <v>41333</v>
      </c>
      <c r="E1130" s="79">
        <v>0.45</v>
      </c>
      <c r="F1130" s="80"/>
      <c r="G1130" s="81">
        <v>62314</v>
      </c>
      <c r="H1130" s="80">
        <v>27467.54</v>
      </c>
      <c r="I1130" s="79">
        <f>H1130/G1130</f>
        <v>0.44079243829636999</v>
      </c>
    </row>
    <row r="1131" spans="1:9" x14ac:dyDescent="0.25">
      <c r="A1131" s="76" t="s">
        <v>594</v>
      </c>
      <c r="B1131" s="76" t="s">
        <v>609</v>
      </c>
      <c r="C1131" s="77">
        <v>41058</v>
      </c>
      <c r="D1131" s="78">
        <v>41422</v>
      </c>
      <c r="E1131" s="79">
        <v>0.36</v>
      </c>
      <c r="F1131" s="80">
        <v>27225.43</v>
      </c>
      <c r="G1131" s="81"/>
      <c r="H1131" s="80">
        <v>15265.43</v>
      </c>
      <c r="I1131" s="79">
        <f>H1131/F1131</f>
        <v>0.56070482633332142</v>
      </c>
    </row>
    <row r="1132" spans="1:9" x14ac:dyDescent="0.25">
      <c r="A1132" s="76" t="s">
        <v>594</v>
      </c>
      <c r="B1132" s="76" t="s">
        <v>609</v>
      </c>
      <c r="C1132" s="77">
        <v>41058</v>
      </c>
      <c r="D1132" s="78">
        <v>41422</v>
      </c>
      <c r="E1132" s="79">
        <v>0.36</v>
      </c>
      <c r="F1132" s="80"/>
      <c r="G1132" s="81">
        <v>26825.43</v>
      </c>
      <c r="H1132" s="80">
        <v>14985.03</v>
      </c>
      <c r="I1132" s="79">
        <f>H1132/G1132</f>
        <v>0.55861285354978463</v>
      </c>
    </row>
    <row r="1133" spans="1:9" x14ac:dyDescent="0.25">
      <c r="A1133" s="76" t="s">
        <v>594</v>
      </c>
      <c r="B1133" s="76" t="s">
        <v>596</v>
      </c>
      <c r="C1133" s="77">
        <v>40777</v>
      </c>
      <c r="D1133" s="78">
        <v>41029</v>
      </c>
      <c r="E1133" s="79">
        <v>0.39600000000000002</v>
      </c>
      <c r="F1133" s="80"/>
      <c r="G1133" s="81">
        <v>38820.400000000001</v>
      </c>
      <c r="H1133" s="80">
        <v>24585.22</v>
      </c>
      <c r="I1133" s="79">
        <f>H1133/G1133</f>
        <v>0.63330671502612035</v>
      </c>
    </row>
    <row r="1134" spans="1:9" x14ac:dyDescent="0.25">
      <c r="A1134" s="76" t="s">
        <v>594</v>
      </c>
      <c r="B1134" s="76" t="s">
        <v>596</v>
      </c>
      <c r="C1134" s="77">
        <v>40777</v>
      </c>
      <c r="D1134" s="78">
        <v>41029</v>
      </c>
      <c r="E1134" s="79">
        <v>0.39600000000000002</v>
      </c>
      <c r="F1134" s="80">
        <v>27167.759999999998</v>
      </c>
      <c r="G1134" s="81"/>
      <c r="H1134" s="80">
        <v>17203.13</v>
      </c>
      <c r="I1134" s="79">
        <f>H1134/F1134</f>
        <v>0.63321856494609796</v>
      </c>
    </row>
    <row r="1135" spans="1:9" x14ac:dyDescent="0.25">
      <c r="A1135" s="76" t="s">
        <v>594</v>
      </c>
      <c r="B1135" s="76" t="s">
        <v>598</v>
      </c>
      <c r="C1135" s="77">
        <v>40813</v>
      </c>
      <c r="D1135" s="78">
        <v>41178</v>
      </c>
      <c r="E1135" s="79">
        <v>0.45</v>
      </c>
      <c r="F1135" s="80">
        <v>38512.93</v>
      </c>
      <c r="G1135" s="81"/>
      <c r="H1135" s="80">
        <v>17252.78</v>
      </c>
      <c r="I1135" s="79">
        <f>H1135/F1135</f>
        <v>0.44797370649285834</v>
      </c>
    </row>
    <row r="1136" spans="1:9" x14ac:dyDescent="0.25">
      <c r="A1136" s="76" t="s">
        <v>594</v>
      </c>
      <c r="B1136" s="76" t="s">
        <v>598</v>
      </c>
      <c r="C1136" s="77">
        <v>41179</v>
      </c>
      <c r="D1136" s="78">
        <v>41543</v>
      </c>
      <c r="E1136" s="79">
        <v>0.45</v>
      </c>
      <c r="F1136" s="80">
        <v>31311.59</v>
      </c>
      <c r="G1136" s="81"/>
      <c r="H1136" s="80">
        <v>11483.34</v>
      </c>
      <c r="I1136" s="79">
        <f>H1136/F1136</f>
        <v>0.36674407144447152</v>
      </c>
    </row>
    <row r="1137" spans="1:9" x14ac:dyDescent="0.25">
      <c r="A1137" s="76" t="s">
        <v>594</v>
      </c>
      <c r="B1137" s="76" t="s">
        <v>598</v>
      </c>
      <c r="C1137" s="77">
        <v>41179</v>
      </c>
      <c r="D1137" s="78">
        <v>41543</v>
      </c>
      <c r="E1137" s="79">
        <v>0.45</v>
      </c>
      <c r="F1137" s="80"/>
      <c r="G1137" s="81">
        <v>15074</v>
      </c>
      <c r="H1137" s="80">
        <v>6917.42</v>
      </c>
      <c r="I1137" s="79">
        <f>H1137/G1137</f>
        <v>0.45889743929945603</v>
      </c>
    </row>
    <row r="1138" spans="1:9" x14ac:dyDescent="0.25">
      <c r="A1138" s="76" t="s">
        <v>594</v>
      </c>
      <c r="B1138" s="76" t="s">
        <v>598</v>
      </c>
      <c r="C1138" s="77">
        <v>40813</v>
      </c>
      <c r="D1138" s="78">
        <v>41178</v>
      </c>
      <c r="E1138" s="79">
        <v>0.45</v>
      </c>
      <c r="F1138" s="80"/>
      <c r="G1138" s="81">
        <v>14994</v>
      </c>
      <c r="H1138" s="80">
        <v>6716.92</v>
      </c>
      <c r="I1138" s="79">
        <f>H1138/G1138</f>
        <v>0.44797385620915031</v>
      </c>
    </row>
    <row r="1139" spans="1:9" x14ac:dyDescent="0.25">
      <c r="A1139" s="76" t="s">
        <v>594</v>
      </c>
      <c r="B1139" s="76" t="s">
        <v>602</v>
      </c>
      <c r="C1139" s="77">
        <v>40897</v>
      </c>
      <c r="D1139" s="78">
        <v>41262</v>
      </c>
      <c r="E1139" s="79">
        <v>0.9</v>
      </c>
      <c r="F1139" s="80">
        <v>279540.99</v>
      </c>
      <c r="G1139" s="81"/>
      <c r="H1139" s="80">
        <v>279540.99</v>
      </c>
      <c r="I1139" s="79">
        <f>H1139/F1139</f>
        <v>1</v>
      </c>
    </row>
    <row r="1140" spans="1:9" x14ac:dyDescent="0.25">
      <c r="A1140" s="76" t="s">
        <v>594</v>
      </c>
      <c r="B1140" s="76" t="s">
        <v>602</v>
      </c>
      <c r="C1140" s="77">
        <v>40897</v>
      </c>
      <c r="D1140" s="78">
        <v>41262</v>
      </c>
      <c r="E1140" s="79">
        <v>0.9</v>
      </c>
      <c r="F1140" s="80"/>
      <c r="G1140" s="81">
        <v>168431.12</v>
      </c>
      <c r="H1140" s="80">
        <v>168431.12</v>
      </c>
      <c r="I1140" s="79">
        <f>H1140/G1140</f>
        <v>1</v>
      </c>
    </row>
    <row r="1141" spans="1:9" x14ac:dyDescent="0.25">
      <c r="A1141" s="76" t="s">
        <v>594</v>
      </c>
      <c r="B1141" s="76" t="s">
        <v>610</v>
      </c>
      <c r="C1141" s="77">
        <v>41207</v>
      </c>
      <c r="D1141" s="78">
        <v>41455</v>
      </c>
      <c r="E1141" s="79">
        <v>0.18</v>
      </c>
      <c r="F1141" s="80">
        <v>583761.03</v>
      </c>
      <c r="G1141" s="81"/>
      <c r="H1141" s="80">
        <v>341725.42</v>
      </c>
      <c r="I1141" s="79">
        <f>H1141/F1141</f>
        <v>0.58538580418771691</v>
      </c>
    </row>
    <row r="1142" spans="1:9" x14ac:dyDescent="0.25">
      <c r="A1142" s="76" t="s">
        <v>594</v>
      </c>
      <c r="B1142" s="76" t="s">
        <v>610</v>
      </c>
      <c r="C1142" s="77">
        <v>41207</v>
      </c>
      <c r="D1142" s="78">
        <v>41455</v>
      </c>
      <c r="E1142" s="79">
        <v>0.18</v>
      </c>
      <c r="F1142" s="80"/>
      <c r="G1142" s="81">
        <v>3610</v>
      </c>
      <c r="H1142" s="80">
        <v>2113.25</v>
      </c>
      <c r="I1142" s="79">
        <f>H1142/G1142</f>
        <v>0.58538781163434905</v>
      </c>
    </row>
    <row r="1143" spans="1:9" x14ac:dyDescent="0.25">
      <c r="A1143" s="76" t="s">
        <v>594</v>
      </c>
      <c r="B1143" s="76" t="s">
        <v>607</v>
      </c>
      <c r="C1143" s="77">
        <v>40662</v>
      </c>
      <c r="D1143" s="78">
        <v>41028</v>
      </c>
      <c r="E1143" s="79">
        <v>0.57599999999999996</v>
      </c>
      <c r="F1143" s="91"/>
      <c r="G1143" s="122">
        <v>85548.34</v>
      </c>
      <c r="H1143" s="80">
        <v>47972.26</v>
      </c>
      <c r="I1143" s="79">
        <f>H1143/G1143</f>
        <v>0.56076202063067504</v>
      </c>
    </row>
    <row r="1144" spans="1:9" x14ac:dyDescent="0.25">
      <c r="A1144" s="76" t="s">
        <v>594</v>
      </c>
      <c r="B1144" s="76" t="s">
        <v>607</v>
      </c>
      <c r="C1144" s="77">
        <v>41028</v>
      </c>
      <c r="D1144" s="78">
        <v>41152</v>
      </c>
      <c r="E1144" s="79">
        <v>0.57599999999999996</v>
      </c>
      <c r="F1144" s="80">
        <v>26037.06</v>
      </c>
      <c r="G1144" s="81"/>
      <c r="H1144" s="80">
        <v>14872.89</v>
      </c>
      <c r="I1144" s="79">
        <f>H1144/F1144</f>
        <v>0.57122002253710669</v>
      </c>
    </row>
    <row r="1145" spans="1:9" x14ac:dyDescent="0.25">
      <c r="A1145" s="76" t="s">
        <v>594</v>
      </c>
      <c r="B1145" s="76" t="s">
        <v>607</v>
      </c>
      <c r="C1145" s="77">
        <v>40662</v>
      </c>
      <c r="D1145" s="78">
        <v>41028</v>
      </c>
      <c r="E1145" s="79">
        <v>0.57599999999999996</v>
      </c>
      <c r="F1145" s="80">
        <v>4803</v>
      </c>
      <c r="G1145" s="81"/>
      <c r="H1145" s="80">
        <v>2548.46</v>
      </c>
      <c r="I1145" s="79">
        <f>H1145/F1145</f>
        <v>0.53059754320216534</v>
      </c>
    </row>
    <row r="1146" spans="1:9" x14ac:dyDescent="0.25">
      <c r="A1146" s="76" t="s">
        <v>594</v>
      </c>
      <c r="B1146" s="76" t="s">
        <v>607</v>
      </c>
      <c r="C1146" s="77">
        <v>41028</v>
      </c>
      <c r="D1146" s="78">
        <v>41152</v>
      </c>
      <c r="E1146" s="79">
        <v>0.57599999999999996</v>
      </c>
      <c r="F1146" s="80"/>
      <c r="G1146" s="81">
        <v>1020.1</v>
      </c>
      <c r="H1146" s="80">
        <v>573.53</v>
      </c>
      <c r="I1146" s="79">
        <f>H1146/G1146</f>
        <v>0.56222919321635134</v>
      </c>
    </row>
    <row r="1147" spans="1:9" x14ac:dyDescent="0.25">
      <c r="A1147" s="76" t="s">
        <v>594</v>
      </c>
      <c r="B1147" s="76" t="s">
        <v>597</v>
      </c>
      <c r="C1147" s="77">
        <v>40805</v>
      </c>
      <c r="D1147" s="78">
        <v>41170</v>
      </c>
      <c r="E1147" s="79">
        <v>0.35099999999999998</v>
      </c>
      <c r="F1147" s="80">
        <v>153250.17000000001</v>
      </c>
      <c r="G1147" s="81"/>
      <c r="H1147" s="80">
        <v>100750.17</v>
      </c>
      <c r="I1147" s="79">
        <f>H1147/F1147</f>
        <v>0.6574228922551929</v>
      </c>
    </row>
    <row r="1148" spans="1:9" x14ac:dyDescent="0.25">
      <c r="A1148" s="76" t="s">
        <v>594</v>
      </c>
      <c r="B1148" s="76" t="s">
        <v>597</v>
      </c>
      <c r="C1148" s="77">
        <v>40805</v>
      </c>
      <c r="D1148" s="78">
        <v>41170</v>
      </c>
      <c r="E1148" s="79">
        <v>0.35099999999999998</v>
      </c>
      <c r="F1148" s="80"/>
      <c r="G1148" s="81">
        <v>11374.05</v>
      </c>
      <c r="H1148" s="80">
        <v>7699.05</v>
      </c>
      <c r="I1148" s="79">
        <f>H1148/G1148</f>
        <v>0.67689609242090554</v>
      </c>
    </row>
    <row r="1149" spans="1:9" x14ac:dyDescent="0.25">
      <c r="A1149" s="76" t="s">
        <v>594</v>
      </c>
      <c r="B1149" s="76" t="s">
        <v>604</v>
      </c>
      <c r="C1149" s="77">
        <v>40954</v>
      </c>
      <c r="D1149" s="78">
        <v>41274</v>
      </c>
      <c r="E1149" s="79">
        <v>1.7999999999999999E-2</v>
      </c>
      <c r="F1149" s="80"/>
      <c r="G1149" s="81">
        <v>3295</v>
      </c>
      <c r="H1149" s="80">
        <v>94.46</v>
      </c>
      <c r="I1149" s="79">
        <f>H1149/G1149</f>
        <v>2.8667678300455232E-2</v>
      </c>
    </row>
    <row r="1150" spans="1:9" x14ac:dyDescent="0.25">
      <c r="A1150" s="76" t="s">
        <v>594</v>
      </c>
      <c r="B1150" s="76" t="s">
        <v>604</v>
      </c>
      <c r="C1150" s="77">
        <v>40954</v>
      </c>
      <c r="D1150" s="78">
        <v>41274</v>
      </c>
      <c r="E1150" s="79">
        <v>1.7999999999999999E-2</v>
      </c>
      <c r="F1150" s="80">
        <v>52579.98</v>
      </c>
      <c r="G1150" s="81"/>
      <c r="H1150" s="80">
        <v>-762.37</v>
      </c>
      <c r="I1150" s="79">
        <f>H1150/F1150</f>
        <v>-1.4499244769587208E-2</v>
      </c>
    </row>
    <row r="1151" spans="1:9" x14ac:dyDescent="0.25">
      <c r="A1151" s="76" t="s">
        <v>594</v>
      </c>
      <c r="B1151" s="76" t="s">
        <v>606</v>
      </c>
      <c r="C1151" s="77">
        <v>40991</v>
      </c>
      <c r="D1151" s="78">
        <v>41060</v>
      </c>
      <c r="E1151" s="79">
        <v>0.53100000000000003</v>
      </c>
      <c r="F1151" s="80"/>
      <c r="G1151" s="81">
        <v>354.08</v>
      </c>
      <c r="H1151" s="80">
        <v>-167.48</v>
      </c>
      <c r="I1151" s="79">
        <f>H1151/G1151</f>
        <v>-0.47300045187528239</v>
      </c>
    </row>
    <row r="1152" spans="1:9" x14ac:dyDescent="0.25">
      <c r="A1152" s="76" t="s">
        <v>594</v>
      </c>
      <c r="B1152" s="76" t="s">
        <v>606</v>
      </c>
      <c r="C1152" s="77">
        <v>40991</v>
      </c>
      <c r="D1152" s="78">
        <v>41060</v>
      </c>
      <c r="E1152" s="79">
        <v>0.53100000000000003</v>
      </c>
      <c r="F1152" s="80">
        <v>9807.7900000000009</v>
      </c>
      <c r="G1152" s="81"/>
      <c r="H1152" s="80">
        <v>-3231.24</v>
      </c>
      <c r="I1152" s="79">
        <f>H1152/F1152</f>
        <v>-0.3294564830609138</v>
      </c>
    </row>
    <row r="1153" spans="1:9" x14ac:dyDescent="0.25">
      <c r="A1153" s="76" t="s">
        <v>594</v>
      </c>
      <c r="B1153" s="76" t="s">
        <v>595</v>
      </c>
      <c r="C1153" s="77">
        <v>40774</v>
      </c>
      <c r="D1153" s="78">
        <v>41090</v>
      </c>
      <c r="E1153" s="79">
        <v>3.5999999999999997E-2</v>
      </c>
      <c r="F1153" s="80"/>
      <c r="G1153" s="81">
        <v>13574.75</v>
      </c>
      <c r="H1153" s="80">
        <v>-20710.849999999999</v>
      </c>
      <c r="I1153" s="79">
        <f>H1153/G1153</f>
        <v>-1.5256892392125083</v>
      </c>
    </row>
    <row r="1154" spans="1:9" x14ac:dyDescent="0.25">
      <c r="A1154" s="76" t="s">
        <v>594</v>
      </c>
      <c r="B1154" s="76" t="s">
        <v>595</v>
      </c>
      <c r="C1154" s="77">
        <v>40774</v>
      </c>
      <c r="D1154" s="78">
        <v>41090</v>
      </c>
      <c r="E1154" s="79">
        <v>3.5999999999999997E-2</v>
      </c>
      <c r="F1154" s="80">
        <v>16895.28</v>
      </c>
      <c r="G1154" s="81"/>
      <c r="H1154" s="80">
        <v>-25961.72</v>
      </c>
      <c r="I1154" s="79">
        <f>H1154/F1154</f>
        <v>-1.5366256137808905</v>
      </c>
    </row>
    <row r="1155" spans="1:9" x14ac:dyDescent="0.25">
      <c r="A1155" s="76" t="s">
        <v>594</v>
      </c>
      <c r="B1155" s="76" t="s">
        <v>611</v>
      </c>
      <c r="C1155" s="77">
        <v>41152</v>
      </c>
      <c r="D1155" s="78">
        <v>41455</v>
      </c>
      <c r="E1155" s="79">
        <v>8.9999999999999998E-4</v>
      </c>
      <c r="F1155" s="80">
        <v>19461.59</v>
      </c>
      <c r="G1155" s="81"/>
      <c r="H1155" s="80">
        <v>1106.56</v>
      </c>
      <c r="I1155" s="79">
        <f>H1155/F1155</f>
        <v>5.6858663654922335E-2</v>
      </c>
    </row>
    <row r="1156" spans="1:9" x14ac:dyDescent="0.25">
      <c r="A1156" s="76" t="s">
        <v>594</v>
      </c>
      <c r="B1156" s="76" t="s">
        <v>611</v>
      </c>
      <c r="C1156" s="77">
        <v>41152</v>
      </c>
      <c r="D1156" s="78">
        <v>41455</v>
      </c>
      <c r="E1156" s="79">
        <v>8.9999999999999998E-4</v>
      </c>
      <c r="F1156" s="80"/>
      <c r="G1156" s="81">
        <v>6421.11</v>
      </c>
      <c r="H1156" s="80">
        <v>547.5</v>
      </c>
      <c r="I1156" s="79">
        <f>H1156/G1156</f>
        <v>8.5265631643127129E-2</v>
      </c>
    </row>
    <row r="1157" spans="1:9" x14ac:dyDescent="0.25">
      <c r="A1157" s="76" t="s">
        <v>594</v>
      </c>
      <c r="B1157" s="76" t="s">
        <v>599</v>
      </c>
      <c r="C1157" s="77">
        <v>40823</v>
      </c>
      <c r="D1157" s="78">
        <v>41188</v>
      </c>
      <c r="E1157" s="79">
        <v>0.63</v>
      </c>
      <c r="F1157" s="80">
        <v>752957.65</v>
      </c>
      <c r="G1157" s="81"/>
      <c r="H1157" s="80">
        <v>395406.75</v>
      </c>
      <c r="I1157" s="79">
        <f>H1157/F1157</f>
        <v>0.52513810039648312</v>
      </c>
    </row>
    <row r="1158" spans="1:9" x14ac:dyDescent="0.25">
      <c r="A1158" s="76" t="s">
        <v>594</v>
      </c>
      <c r="B1158" s="76" t="s">
        <v>599</v>
      </c>
      <c r="C1158" s="77">
        <v>40823</v>
      </c>
      <c r="D1158" s="78">
        <v>41188</v>
      </c>
      <c r="E1158" s="79">
        <v>0.63</v>
      </c>
      <c r="F1158" s="80"/>
      <c r="G1158" s="81">
        <v>10015.120000000001</v>
      </c>
      <c r="H1158" s="80">
        <v>5259.32</v>
      </c>
      <c r="I1158" s="79">
        <f>H1158/G1158</f>
        <v>0.52513799135706807</v>
      </c>
    </row>
    <row r="1159" spans="1:9" x14ac:dyDescent="0.25">
      <c r="A1159" s="76" t="s">
        <v>594</v>
      </c>
      <c r="B1159" s="76" t="s">
        <v>600</v>
      </c>
      <c r="C1159" s="77">
        <v>40843</v>
      </c>
      <c r="D1159" s="78">
        <v>41090</v>
      </c>
      <c r="E1159" s="79">
        <v>0.36</v>
      </c>
      <c r="F1159" s="80">
        <v>939441.17</v>
      </c>
      <c r="G1159" s="81"/>
      <c r="H1159" s="80">
        <v>397618.55</v>
      </c>
      <c r="I1159" s="79">
        <f>H1159/F1159</f>
        <v>0.42325007961914207</v>
      </c>
    </row>
    <row r="1160" spans="1:9" x14ac:dyDescent="0.25">
      <c r="A1160" s="76" t="s">
        <v>594</v>
      </c>
      <c r="B1160" s="76" t="s">
        <v>600</v>
      </c>
      <c r="C1160" s="77">
        <v>41116</v>
      </c>
      <c r="D1160" s="78">
        <v>41480</v>
      </c>
      <c r="E1160" s="79">
        <v>0.39600000000000002</v>
      </c>
      <c r="F1160" s="80">
        <v>1053920.74</v>
      </c>
      <c r="G1160" s="81"/>
      <c r="H1160" s="80">
        <v>243234.11</v>
      </c>
      <c r="I1160" s="79">
        <f>H1160/F1160</f>
        <v>0.23078975559395482</v>
      </c>
    </row>
    <row r="1161" spans="1:9" x14ac:dyDescent="0.25">
      <c r="A1161" s="76" t="s">
        <v>594</v>
      </c>
      <c r="B1161" s="76" t="s">
        <v>600</v>
      </c>
      <c r="C1161" s="77">
        <v>40843</v>
      </c>
      <c r="D1161" s="78">
        <v>41090</v>
      </c>
      <c r="E1161" s="79">
        <v>0.36</v>
      </c>
      <c r="F1161" s="80"/>
      <c r="G1161" s="81">
        <v>8920</v>
      </c>
      <c r="H1161" s="80">
        <v>3775.39</v>
      </c>
      <c r="I1161" s="79">
        <f>H1161/G1161</f>
        <v>0.42324999999999996</v>
      </c>
    </row>
    <row r="1162" spans="1:9" x14ac:dyDescent="0.25">
      <c r="A1162" s="76" t="s">
        <v>594</v>
      </c>
      <c r="B1162" s="76" t="s">
        <v>600</v>
      </c>
      <c r="C1162" s="77">
        <v>41116</v>
      </c>
      <c r="D1162" s="78">
        <v>41480</v>
      </c>
      <c r="E1162" s="79">
        <v>0.39600000000000002</v>
      </c>
      <c r="F1162" s="80"/>
      <c r="G1162" s="81">
        <v>14680.13</v>
      </c>
      <c r="H1162" s="80">
        <v>3388.02</v>
      </c>
      <c r="I1162" s="79">
        <f>H1162/G1162</f>
        <v>0.23078950935720596</v>
      </c>
    </row>
    <row r="1163" spans="1:9" x14ac:dyDescent="0.25">
      <c r="A1163" s="76" t="s">
        <v>594</v>
      </c>
      <c r="B1163" s="76" t="s">
        <v>601</v>
      </c>
      <c r="C1163" s="77">
        <v>40849</v>
      </c>
      <c r="D1163" s="78">
        <v>41182</v>
      </c>
      <c r="E1163" s="79">
        <v>0.27</v>
      </c>
      <c r="F1163" s="80">
        <v>507204.85</v>
      </c>
      <c r="G1163" s="81"/>
      <c r="H1163" s="80">
        <v>23024.66</v>
      </c>
      <c r="I1163" s="79">
        <f>H1163/F1163</f>
        <v>4.5395188945847029E-2</v>
      </c>
    </row>
    <row r="1164" spans="1:9" x14ac:dyDescent="0.25">
      <c r="A1164" s="76" t="s">
        <v>594</v>
      </c>
      <c r="B1164" s="76" t="s">
        <v>601</v>
      </c>
      <c r="C1164" s="77">
        <v>40849</v>
      </c>
      <c r="D1164" s="78">
        <v>41182</v>
      </c>
      <c r="E1164" s="79">
        <v>0.27</v>
      </c>
      <c r="F1164" s="80"/>
      <c r="G1164" s="81">
        <v>3710</v>
      </c>
      <c r="H1164" s="80">
        <v>988.52</v>
      </c>
      <c r="I1164" s="79">
        <f>H1164/G1164</f>
        <v>0.26644743935309972</v>
      </c>
    </row>
    <row r="1165" spans="1:9" x14ac:dyDescent="0.25">
      <c r="A1165" s="76" t="s">
        <v>594</v>
      </c>
      <c r="B1165" s="76" t="s">
        <v>612</v>
      </c>
      <c r="C1165" s="77">
        <v>41172</v>
      </c>
      <c r="D1165" s="78">
        <v>41536</v>
      </c>
      <c r="E1165" s="79">
        <v>0.39600000000000002</v>
      </c>
      <c r="F1165" s="80">
        <v>548401.25</v>
      </c>
      <c r="G1165" s="81"/>
      <c r="H1165" s="80">
        <v>225616.82</v>
      </c>
      <c r="I1165" s="79">
        <f>H1165/F1165</f>
        <v>0.41140828909489174</v>
      </c>
    </row>
    <row r="1166" spans="1:9" x14ac:dyDescent="0.25">
      <c r="A1166" s="76" t="s">
        <v>594</v>
      </c>
      <c r="B1166" s="76" t="s">
        <v>612</v>
      </c>
      <c r="C1166" s="77">
        <v>41172</v>
      </c>
      <c r="D1166" s="78">
        <v>41536</v>
      </c>
      <c r="E1166" s="79">
        <v>0.39600000000000002</v>
      </c>
      <c r="F1166" s="80"/>
      <c r="G1166" s="81">
        <v>7010</v>
      </c>
      <c r="H1166" s="80">
        <v>3360</v>
      </c>
      <c r="I1166" s="79">
        <f>H1166/G1166</f>
        <v>0.47931526390870183</v>
      </c>
    </row>
    <row r="1167" spans="1:9" x14ac:dyDescent="0.25">
      <c r="A1167" s="76" t="s">
        <v>594</v>
      </c>
      <c r="B1167" s="76" t="s">
        <v>605</v>
      </c>
      <c r="C1167" s="77">
        <v>40987</v>
      </c>
      <c r="D1167" s="78">
        <v>41274</v>
      </c>
      <c r="E1167" s="79">
        <v>0.8</v>
      </c>
      <c r="F1167" s="80">
        <v>441591.95</v>
      </c>
      <c r="G1167" s="81"/>
      <c r="H1167" s="80">
        <v>339829.07</v>
      </c>
      <c r="I1167" s="79">
        <f>H1167/F1167</f>
        <v>0.76955449482265248</v>
      </c>
    </row>
    <row r="1168" spans="1:9" x14ac:dyDescent="0.25">
      <c r="A1168" s="76" t="s">
        <v>594</v>
      </c>
      <c r="B1168" s="76" t="s">
        <v>605</v>
      </c>
      <c r="C1168" s="77">
        <v>40987</v>
      </c>
      <c r="D1168" s="78">
        <v>41274</v>
      </c>
      <c r="E1168" s="79">
        <v>0.8</v>
      </c>
      <c r="F1168" s="80"/>
      <c r="G1168" s="81">
        <v>11778</v>
      </c>
      <c r="H1168" s="80">
        <v>9063.84</v>
      </c>
      <c r="I1168" s="79">
        <f>H1168/G1168</f>
        <v>0.76955680081507893</v>
      </c>
    </row>
    <row r="1169" spans="1:9" x14ac:dyDescent="0.25">
      <c r="A1169" s="76" t="s">
        <v>613</v>
      </c>
      <c r="B1169" s="76" t="s">
        <v>615</v>
      </c>
      <c r="C1169" s="77">
        <v>40710</v>
      </c>
      <c r="D1169" s="78">
        <v>41045</v>
      </c>
      <c r="E1169" s="79">
        <v>8.9999999999999993E-3</v>
      </c>
      <c r="F1169" s="80"/>
      <c r="G1169" s="81">
        <v>400</v>
      </c>
      <c r="H1169" s="80">
        <v>4</v>
      </c>
      <c r="I1169" s="79">
        <f>H1169/G1169</f>
        <v>0.01</v>
      </c>
    </row>
    <row r="1170" spans="1:9" x14ac:dyDescent="0.25">
      <c r="A1170" s="76" t="s">
        <v>613</v>
      </c>
      <c r="B1170" s="76" t="s">
        <v>615</v>
      </c>
      <c r="C1170" s="77">
        <v>40710</v>
      </c>
      <c r="D1170" s="78">
        <v>41045</v>
      </c>
      <c r="E1170" s="79">
        <v>8.9999999999999993E-3</v>
      </c>
      <c r="F1170" s="80">
        <v>13121</v>
      </c>
      <c r="G1170" s="81"/>
      <c r="H1170" s="80">
        <v>-17846</v>
      </c>
      <c r="I1170" s="79">
        <f>H1170/F1170</f>
        <v>-1.3601097477326423</v>
      </c>
    </row>
    <row r="1171" spans="1:9" x14ac:dyDescent="0.25">
      <c r="A1171" s="76" t="s">
        <v>613</v>
      </c>
      <c r="B1171" s="76" t="s">
        <v>548</v>
      </c>
      <c r="C1171" s="77">
        <v>41082</v>
      </c>
      <c r="D1171" s="78">
        <v>41425</v>
      </c>
      <c r="E1171" s="79">
        <v>8.9999999999999993E-3</v>
      </c>
      <c r="F1171" s="80">
        <v>253034</v>
      </c>
      <c r="G1171" s="81"/>
      <c r="H1171" s="80">
        <v>65309</v>
      </c>
      <c r="I1171" s="79">
        <f>H1171/F1171</f>
        <v>0.25810365405439584</v>
      </c>
    </row>
    <row r="1172" spans="1:9" x14ac:dyDescent="0.25">
      <c r="A1172" s="76" t="s">
        <v>613</v>
      </c>
      <c r="B1172" s="76" t="s">
        <v>548</v>
      </c>
      <c r="C1172" s="77">
        <v>41082</v>
      </c>
      <c r="D1172" s="78">
        <v>41425</v>
      </c>
      <c r="E1172" s="79">
        <v>8.9999999999999993E-3</v>
      </c>
      <c r="F1172" s="80"/>
      <c r="G1172" s="81">
        <v>7476</v>
      </c>
      <c r="H1172" s="80">
        <v>1403</v>
      </c>
      <c r="I1172" s="79">
        <f>H1172/G1172</f>
        <v>0.18766720171214554</v>
      </c>
    </row>
    <row r="1173" spans="1:9" x14ac:dyDescent="0.25">
      <c r="A1173" s="76" t="s">
        <v>613</v>
      </c>
      <c r="B1173" s="76" t="s">
        <v>33</v>
      </c>
      <c r="C1173" s="77">
        <v>40696</v>
      </c>
      <c r="D1173" s="78">
        <v>41060</v>
      </c>
      <c r="E1173" s="79">
        <v>8.9999999999999993E-3</v>
      </c>
      <c r="F1173" s="80">
        <v>810773</v>
      </c>
      <c r="G1173" s="81"/>
      <c r="H1173" s="80">
        <v>610337</v>
      </c>
      <c r="I1173" s="79">
        <f>H1173/F1173</f>
        <v>0.75278407149720084</v>
      </c>
    </row>
    <row r="1174" spans="1:9" x14ac:dyDescent="0.25">
      <c r="A1174" s="76" t="s">
        <v>613</v>
      </c>
      <c r="B1174" s="76" t="s">
        <v>33</v>
      </c>
      <c r="C1174" s="77">
        <v>40696</v>
      </c>
      <c r="D1174" s="78">
        <v>41060</v>
      </c>
      <c r="E1174" s="79">
        <v>8.9999999999999993E-3</v>
      </c>
      <c r="F1174" s="80"/>
      <c r="G1174" s="81">
        <v>23584</v>
      </c>
      <c r="H1174" s="80">
        <v>17693</v>
      </c>
      <c r="I1174" s="79">
        <f>H1174/G1174</f>
        <v>0.75021200814111266</v>
      </c>
    </row>
    <row r="1175" spans="1:9" x14ac:dyDescent="0.25">
      <c r="A1175" s="76" t="s">
        <v>613</v>
      </c>
      <c r="B1175" s="76" t="s">
        <v>31</v>
      </c>
      <c r="C1175" s="77">
        <v>41170</v>
      </c>
      <c r="D1175" s="78">
        <v>41517</v>
      </c>
      <c r="E1175" s="79">
        <v>8.9999999999999993E-3</v>
      </c>
      <c r="F1175" s="80">
        <v>44962</v>
      </c>
      <c r="G1175" s="81"/>
      <c r="H1175" s="80">
        <v>-87687</v>
      </c>
      <c r="I1175" s="79">
        <f>H1175/F1175</f>
        <v>-1.9502468751390063</v>
      </c>
    </row>
    <row r="1176" spans="1:9" x14ac:dyDescent="0.25">
      <c r="A1176" s="76" t="s">
        <v>613</v>
      </c>
      <c r="B1176" s="76" t="s">
        <v>619</v>
      </c>
      <c r="C1176" s="77">
        <v>40949</v>
      </c>
      <c r="D1176" s="78">
        <v>41274</v>
      </c>
      <c r="E1176" s="79">
        <v>8.9999999999999993E-3</v>
      </c>
      <c r="F1176" s="80">
        <v>54657</v>
      </c>
      <c r="G1176" s="81"/>
      <c r="H1176" s="80">
        <v>9082</v>
      </c>
      <c r="I1176" s="79">
        <f>H1176/F1176</f>
        <v>0.16616352891669869</v>
      </c>
    </row>
    <row r="1177" spans="1:9" x14ac:dyDescent="0.25">
      <c r="A1177" s="76" t="s">
        <v>613</v>
      </c>
      <c r="B1177" s="76" t="s">
        <v>619</v>
      </c>
      <c r="C1177" s="77">
        <v>40949</v>
      </c>
      <c r="D1177" s="78">
        <v>41274</v>
      </c>
      <c r="E1177" s="79">
        <v>8.9999999999999993E-3</v>
      </c>
      <c r="F1177" s="80"/>
      <c r="G1177" s="81">
        <v>1866</v>
      </c>
      <c r="H1177" s="80">
        <v>960</v>
      </c>
      <c r="I1177" s="79">
        <f>H1177/G1177</f>
        <v>0.51446945337620575</v>
      </c>
    </row>
    <row r="1178" spans="1:9" x14ac:dyDescent="0.25">
      <c r="A1178" s="76" t="s">
        <v>613</v>
      </c>
      <c r="B1178" s="76" t="s">
        <v>617</v>
      </c>
      <c r="C1178" s="77">
        <v>41118</v>
      </c>
      <c r="D1178" s="78">
        <v>41455</v>
      </c>
      <c r="E1178" s="79">
        <v>8.9999999999999993E-3</v>
      </c>
      <c r="F1178" s="80">
        <v>409897</v>
      </c>
      <c r="G1178" s="81"/>
      <c r="H1178" s="80">
        <v>222932</v>
      </c>
      <c r="I1178" s="79">
        <f>H1178/F1178</f>
        <v>0.54387321693010682</v>
      </c>
    </row>
    <row r="1179" spans="1:9" x14ac:dyDescent="0.25">
      <c r="A1179" s="76" t="s">
        <v>613</v>
      </c>
      <c r="B1179" s="76" t="s">
        <v>617</v>
      </c>
      <c r="C1179" s="77">
        <v>40752</v>
      </c>
      <c r="D1179" s="78">
        <v>41117</v>
      </c>
      <c r="E1179" s="79">
        <v>8.9999999999999993E-3</v>
      </c>
      <c r="F1179" s="80">
        <v>360555</v>
      </c>
      <c r="G1179" s="81"/>
      <c r="H1179" s="80">
        <v>203963</v>
      </c>
      <c r="I1179" s="79">
        <f>H1179/F1179</f>
        <v>0.56569178072693482</v>
      </c>
    </row>
    <row r="1180" spans="1:9" x14ac:dyDescent="0.25">
      <c r="A1180" s="76" t="s">
        <v>613</v>
      </c>
      <c r="B1180" s="76" t="s">
        <v>617</v>
      </c>
      <c r="C1180" s="77">
        <v>40752</v>
      </c>
      <c r="D1180" s="78">
        <v>41117</v>
      </c>
      <c r="E1180" s="79">
        <v>8.9999999999999993E-3</v>
      </c>
      <c r="F1180" s="80"/>
      <c r="G1180" s="81">
        <v>2190</v>
      </c>
      <c r="H1180" s="80">
        <v>882</v>
      </c>
      <c r="I1180" s="79">
        <f>H1180/G1180</f>
        <v>0.40273972602739727</v>
      </c>
    </row>
    <row r="1181" spans="1:9" x14ac:dyDescent="0.25">
      <c r="A1181" s="76" t="s">
        <v>613</v>
      </c>
      <c r="B1181" s="76" t="s">
        <v>617</v>
      </c>
      <c r="C1181" s="77">
        <v>41118</v>
      </c>
      <c r="D1181" s="78">
        <v>41455</v>
      </c>
      <c r="E1181" s="79">
        <v>8.9999999999999993E-3</v>
      </c>
      <c r="F1181" s="80"/>
      <c r="G1181" s="81">
        <v>1109</v>
      </c>
      <c r="H1181" s="80">
        <v>12</v>
      </c>
      <c r="I1181" s="79">
        <f>H1181/G1181</f>
        <v>1.0820559062218215E-2</v>
      </c>
    </row>
    <row r="1182" spans="1:9" x14ac:dyDescent="0.25">
      <c r="A1182" s="76" t="s">
        <v>613</v>
      </c>
      <c r="B1182" s="76" t="s">
        <v>621</v>
      </c>
      <c r="C1182" s="77">
        <v>41074</v>
      </c>
      <c r="D1182" s="78">
        <v>41394</v>
      </c>
      <c r="E1182" s="79">
        <v>8.9999999999999993E-3</v>
      </c>
      <c r="F1182" s="80"/>
      <c r="G1182" s="81">
        <v>1717</v>
      </c>
      <c r="H1182" s="80">
        <v>-34</v>
      </c>
      <c r="I1182" s="79">
        <f>H1182/G1182</f>
        <v>-1.9801980198019802E-2</v>
      </c>
    </row>
    <row r="1183" spans="1:9" x14ac:dyDescent="0.25">
      <c r="A1183" s="76" t="s">
        <v>613</v>
      </c>
      <c r="B1183" s="76" t="s">
        <v>621</v>
      </c>
      <c r="C1183" s="77">
        <v>41074</v>
      </c>
      <c r="D1183" s="78">
        <v>41394</v>
      </c>
      <c r="E1183" s="79">
        <v>8.9999999999999993E-3</v>
      </c>
      <c r="F1183" s="80">
        <v>50054</v>
      </c>
      <c r="G1183" s="81"/>
      <c r="H1183" s="80">
        <v>-14506</v>
      </c>
      <c r="I1183" s="79">
        <f>H1183/F1183</f>
        <v>-0.28980700843089463</v>
      </c>
    </row>
    <row r="1184" spans="1:9" x14ac:dyDescent="0.25">
      <c r="A1184" s="76" t="s">
        <v>613</v>
      </c>
      <c r="B1184" s="76" t="s">
        <v>614</v>
      </c>
      <c r="C1184" s="77">
        <v>40679</v>
      </c>
      <c r="D1184" s="78">
        <v>41029</v>
      </c>
      <c r="E1184" s="79">
        <v>8.9999999999999993E-3</v>
      </c>
      <c r="F1184" s="80">
        <v>73709</v>
      </c>
      <c r="G1184" s="81"/>
      <c r="H1184" s="80">
        <v>3603</v>
      </c>
      <c r="I1184" s="79">
        <f>H1184/F1184</f>
        <v>4.8881412039235371E-2</v>
      </c>
    </row>
    <row r="1185" spans="1:9" x14ac:dyDescent="0.25">
      <c r="A1185" s="76" t="s">
        <v>613</v>
      </c>
      <c r="B1185" s="76" t="s">
        <v>614</v>
      </c>
      <c r="C1185" s="77">
        <v>40679</v>
      </c>
      <c r="D1185" s="78">
        <v>41029</v>
      </c>
      <c r="E1185" s="79">
        <v>8.9999999999999993E-3</v>
      </c>
      <c r="F1185" s="80"/>
      <c r="G1185" s="81">
        <v>600</v>
      </c>
      <c r="H1185" s="80">
        <v>8</v>
      </c>
      <c r="I1185" s="79">
        <f>H1185/G1185</f>
        <v>1.3333333333333334E-2</v>
      </c>
    </row>
    <row r="1186" spans="1:9" x14ac:dyDescent="0.25">
      <c r="A1186" s="76" t="s">
        <v>613</v>
      </c>
      <c r="B1186" s="76" t="s">
        <v>616</v>
      </c>
      <c r="C1186" s="77">
        <v>40714</v>
      </c>
      <c r="D1186" s="78">
        <v>41060</v>
      </c>
      <c r="E1186" s="79">
        <v>8.9999999999999993E-3</v>
      </c>
      <c r="F1186" s="80">
        <v>89247</v>
      </c>
      <c r="G1186" s="81"/>
      <c r="H1186" s="80">
        <v>30949</v>
      </c>
      <c r="I1186" s="79">
        <f>H1186/F1186</f>
        <v>0.34677916344526988</v>
      </c>
    </row>
    <row r="1187" spans="1:9" x14ac:dyDescent="0.25">
      <c r="A1187" s="76" t="s">
        <v>613</v>
      </c>
      <c r="B1187" s="76" t="s">
        <v>616</v>
      </c>
      <c r="C1187" s="77">
        <v>40714</v>
      </c>
      <c r="D1187" s="78">
        <v>41060</v>
      </c>
      <c r="E1187" s="79">
        <v>8.9999999999999993E-3</v>
      </c>
      <c r="F1187" s="80"/>
      <c r="G1187" s="81">
        <v>2207</v>
      </c>
      <c r="H1187" s="80">
        <v>947</v>
      </c>
      <c r="I1187" s="79">
        <f>H1187/G1187</f>
        <v>0.42908926144086995</v>
      </c>
    </row>
    <row r="1188" spans="1:9" x14ac:dyDescent="0.25">
      <c r="A1188" s="76" t="s">
        <v>613</v>
      </c>
      <c r="B1188" s="76" t="s">
        <v>107</v>
      </c>
      <c r="C1188" s="77">
        <v>40610</v>
      </c>
      <c r="D1188" s="78">
        <v>40939</v>
      </c>
      <c r="E1188" s="79">
        <v>8.9999999999999993E-3</v>
      </c>
      <c r="F1188" s="80">
        <v>29284</v>
      </c>
      <c r="G1188" s="88"/>
      <c r="H1188" s="80">
        <v>19780</v>
      </c>
      <c r="I1188" s="79">
        <f>H1188/F1188</f>
        <v>0.67545417292719578</v>
      </c>
    </row>
    <row r="1189" spans="1:9" x14ac:dyDescent="0.25">
      <c r="A1189" s="76" t="s">
        <v>613</v>
      </c>
      <c r="B1189" s="76" t="s">
        <v>107</v>
      </c>
      <c r="C1189" s="77">
        <v>41017</v>
      </c>
      <c r="D1189" s="78">
        <v>41305</v>
      </c>
      <c r="E1189" s="79">
        <v>8.9999999999999993E-3</v>
      </c>
      <c r="F1189" s="80"/>
      <c r="G1189" s="81">
        <v>502</v>
      </c>
      <c r="H1189" s="80">
        <v>6</v>
      </c>
      <c r="I1189" s="79">
        <f>H1189/G1189</f>
        <v>1.1952191235059761E-2</v>
      </c>
    </row>
    <row r="1190" spans="1:9" x14ac:dyDescent="0.25">
      <c r="A1190" s="76" t="s">
        <v>613</v>
      </c>
      <c r="B1190" s="76" t="s">
        <v>107</v>
      </c>
      <c r="C1190" s="77">
        <v>41017</v>
      </c>
      <c r="D1190" s="78">
        <v>41305</v>
      </c>
      <c r="E1190" s="79">
        <v>8.9999999999999993E-3</v>
      </c>
      <c r="F1190" s="80">
        <v>12614</v>
      </c>
      <c r="G1190" s="81"/>
      <c r="H1190" s="80">
        <v>-157</v>
      </c>
      <c r="I1190" s="79">
        <f>H1190/F1190</f>
        <v>-1.2446488029173934E-2</v>
      </c>
    </row>
    <row r="1191" spans="1:9" x14ac:dyDescent="0.25">
      <c r="A1191" s="76" t="s">
        <v>613</v>
      </c>
      <c r="B1191" s="76" t="s">
        <v>36</v>
      </c>
      <c r="C1191" s="77">
        <v>40743</v>
      </c>
      <c r="D1191" s="78">
        <v>41060</v>
      </c>
      <c r="E1191" s="79">
        <v>8.9999999999999993E-3</v>
      </c>
      <c r="F1191" s="80">
        <v>44706</v>
      </c>
      <c r="G1191" s="81"/>
      <c r="H1191" s="80">
        <v>12055</v>
      </c>
      <c r="I1191" s="79">
        <f>H1191/F1191</f>
        <v>0.26965060618261533</v>
      </c>
    </row>
    <row r="1192" spans="1:9" x14ac:dyDescent="0.25">
      <c r="A1192" s="76" t="s">
        <v>613</v>
      </c>
      <c r="B1192" s="76" t="s">
        <v>36</v>
      </c>
      <c r="C1192" s="77">
        <v>40743</v>
      </c>
      <c r="D1192" s="78">
        <v>41060</v>
      </c>
      <c r="E1192" s="79">
        <v>8.9999999999999993E-3</v>
      </c>
      <c r="F1192" s="80"/>
      <c r="G1192" s="81">
        <v>2005</v>
      </c>
      <c r="H1192" s="80">
        <v>387</v>
      </c>
      <c r="I1192" s="79">
        <f>H1192/G1192</f>
        <v>0.19301745635910225</v>
      </c>
    </row>
    <row r="1193" spans="1:9" x14ac:dyDescent="0.25">
      <c r="A1193" s="76" t="s">
        <v>613</v>
      </c>
      <c r="B1193" s="76" t="s">
        <v>186</v>
      </c>
      <c r="C1193" s="77">
        <v>41038</v>
      </c>
      <c r="D1193" s="78">
        <v>41305</v>
      </c>
      <c r="E1193" s="79">
        <v>8.9999999999999993E-3</v>
      </c>
      <c r="F1193" s="80"/>
      <c r="G1193" s="81">
        <v>120</v>
      </c>
      <c r="H1193" s="80">
        <v>2</v>
      </c>
      <c r="I1193" s="79">
        <f>H1193/G1193</f>
        <v>1.6666666666666666E-2</v>
      </c>
    </row>
    <row r="1194" spans="1:9" x14ac:dyDescent="0.25">
      <c r="A1194" s="76" t="s">
        <v>613</v>
      </c>
      <c r="B1194" s="76" t="s">
        <v>186</v>
      </c>
      <c r="C1194" s="77">
        <v>41038</v>
      </c>
      <c r="D1194" s="78">
        <v>41305</v>
      </c>
      <c r="E1194" s="79">
        <v>8.9999999999999993E-3</v>
      </c>
      <c r="F1194" s="80">
        <v>4012</v>
      </c>
      <c r="G1194" s="81"/>
      <c r="H1194" s="80">
        <v>-17130</v>
      </c>
      <c r="I1194" s="79">
        <f>H1194/F1194</f>
        <v>-4.2696909272183445</v>
      </c>
    </row>
    <row r="1195" spans="1:9" x14ac:dyDescent="0.25">
      <c r="A1195" s="76" t="s">
        <v>613</v>
      </c>
      <c r="B1195" s="76" t="s">
        <v>532</v>
      </c>
      <c r="C1195" s="77">
        <v>40956</v>
      </c>
      <c r="D1195" s="78">
        <v>41305</v>
      </c>
      <c r="E1195" s="79">
        <v>8.9999999999999993E-3</v>
      </c>
      <c r="F1195" s="80"/>
      <c r="G1195" s="81">
        <v>2004</v>
      </c>
      <c r="H1195" s="80">
        <v>26</v>
      </c>
      <c r="I1195" s="79">
        <f>H1195/G1195</f>
        <v>1.2974051896207584E-2</v>
      </c>
    </row>
    <row r="1196" spans="1:9" x14ac:dyDescent="0.25">
      <c r="A1196" s="76" t="s">
        <v>613</v>
      </c>
      <c r="B1196" s="76" t="s">
        <v>532</v>
      </c>
      <c r="C1196" s="77">
        <v>40956</v>
      </c>
      <c r="D1196" s="78">
        <v>41305</v>
      </c>
      <c r="E1196" s="79">
        <v>8.9999999999999993E-3</v>
      </c>
      <c r="F1196" s="80">
        <v>30489</v>
      </c>
      <c r="G1196" s="81"/>
      <c r="H1196" s="80">
        <v>-2502</v>
      </c>
      <c r="I1196" s="79">
        <f>H1196/F1196</f>
        <v>-8.2062383154580337E-2</v>
      </c>
    </row>
    <row r="1197" spans="1:9" x14ac:dyDescent="0.25">
      <c r="A1197" s="76" t="s">
        <v>613</v>
      </c>
      <c r="B1197" s="76" t="s">
        <v>187</v>
      </c>
      <c r="C1197" s="77">
        <v>40976</v>
      </c>
      <c r="D1197" s="78">
        <v>41305</v>
      </c>
      <c r="E1197" s="79">
        <v>8.9999999999999993E-3</v>
      </c>
      <c r="F1197" s="80">
        <v>105017</v>
      </c>
      <c r="G1197" s="81"/>
      <c r="H1197" s="80">
        <v>15798</v>
      </c>
      <c r="I1197" s="79">
        <f>H1197/F1197</f>
        <v>0.15043278707256921</v>
      </c>
    </row>
    <row r="1198" spans="1:9" x14ac:dyDescent="0.25">
      <c r="A1198" s="76" t="s">
        <v>613</v>
      </c>
      <c r="B1198" s="76" t="s">
        <v>187</v>
      </c>
      <c r="C1198" s="77">
        <v>40976</v>
      </c>
      <c r="D1198" s="78">
        <v>41305</v>
      </c>
      <c r="E1198" s="79">
        <v>8.9999999999999993E-3</v>
      </c>
      <c r="F1198" s="80"/>
      <c r="G1198" s="81">
        <v>4844</v>
      </c>
      <c r="H1198" s="80">
        <v>421</v>
      </c>
      <c r="I1198" s="79">
        <f>H1198/G1198</f>
        <v>8.6911643270024777E-2</v>
      </c>
    </row>
    <row r="1199" spans="1:9" x14ac:dyDescent="0.25">
      <c r="A1199" s="76" t="s">
        <v>613</v>
      </c>
      <c r="B1199" s="76" t="s">
        <v>193</v>
      </c>
      <c r="C1199" s="77">
        <v>41101</v>
      </c>
      <c r="D1199" s="78">
        <v>41455</v>
      </c>
      <c r="E1199" s="79">
        <v>8.9999999999999993E-3</v>
      </c>
      <c r="F1199" s="80"/>
      <c r="G1199" s="81">
        <v>9700</v>
      </c>
      <c r="H1199" s="80">
        <v>194</v>
      </c>
      <c r="I1199" s="79">
        <f>H1199/G1199</f>
        <v>0.02</v>
      </c>
    </row>
    <row r="1200" spans="1:9" x14ac:dyDescent="0.25">
      <c r="A1200" s="76" t="s">
        <v>613</v>
      </c>
      <c r="B1200" s="76" t="s">
        <v>193</v>
      </c>
      <c r="C1200" s="77">
        <v>40793</v>
      </c>
      <c r="D1200" s="78">
        <v>41090</v>
      </c>
      <c r="E1200" s="79">
        <v>8.9999999999999993E-3</v>
      </c>
      <c r="F1200" s="80"/>
      <c r="G1200" s="81">
        <v>6690</v>
      </c>
      <c r="H1200" s="80">
        <v>67</v>
      </c>
      <c r="I1200" s="79">
        <f>H1200/G1200</f>
        <v>1.0014947683109118E-2</v>
      </c>
    </row>
    <row r="1201" spans="1:9" x14ac:dyDescent="0.25">
      <c r="A1201" s="76" t="s">
        <v>613</v>
      </c>
      <c r="B1201" s="76" t="s">
        <v>193</v>
      </c>
      <c r="C1201" s="77">
        <v>40793</v>
      </c>
      <c r="D1201" s="78">
        <v>41090</v>
      </c>
      <c r="E1201" s="79">
        <v>8.9999999999999993E-3</v>
      </c>
      <c r="F1201" s="80">
        <v>199876</v>
      </c>
      <c r="G1201" s="81"/>
      <c r="H1201" s="80">
        <v>-1524</v>
      </c>
      <c r="I1201" s="79">
        <f>H1201/F1201</f>
        <v>-7.6247273309451857E-3</v>
      </c>
    </row>
    <row r="1202" spans="1:9" x14ac:dyDescent="0.25">
      <c r="A1202" s="76" t="s">
        <v>613</v>
      </c>
      <c r="B1202" s="76" t="s">
        <v>193</v>
      </c>
      <c r="C1202" s="77">
        <v>41101</v>
      </c>
      <c r="D1202" s="78">
        <v>41455</v>
      </c>
      <c r="E1202" s="79">
        <v>8.9999999999999993E-3</v>
      </c>
      <c r="F1202" s="80">
        <v>294175</v>
      </c>
      <c r="G1202" s="81"/>
      <c r="H1202" s="80">
        <v>-43475</v>
      </c>
      <c r="I1202" s="79">
        <f>H1202/F1202</f>
        <v>-0.14778618169456956</v>
      </c>
    </row>
    <row r="1203" spans="1:9" x14ac:dyDescent="0.25">
      <c r="A1203" s="76" t="s">
        <v>613</v>
      </c>
      <c r="B1203" s="76" t="s">
        <v>190</v>
      </c>
      <c r="C1203" s="77">
        <v>41019</v>
      </c>
      <c r="D1203" s="78">
        <v>41364</v>
      </c>
      <c r="E1203" s="79">
        <v>8.9999999999999993E-3</v>
      </c>
      <c r="F1203" s="80">
        <v>30246</v>
      </c>
      <c r="G1203" s="81"/>
      <c r="H1203" s="80">
        <v>19366</v>
      </c>
      <c r="I1203" s="79">
        <f>H1203/F1203</f>
        <v>0.64028301262976928</v>
      </c>
    </row>
    <row r="1204" spans="1:9" x14ac:dyDescent="0.25">
      <c r="A1204" s="76" t="s">
        <v>613</v>
      </c>
      <c r="B1204" s="76" t="s">
        <v>190</v>
      </c>
      <c r="C1204" s="77">
        <v>41019</v>
      </c>
      <c r="D1204" s="78">
        <v>41364</v>
      </c>
      <c r="E1204" s="79">
        <v>8.9999999999999993E-3</v>
      </c>
      <c r="F1204" s="80"/>
      <c r="G1204" s="81">
        <v>875</v>
      </c>
      <c r="H1204" s="80">
        <v>608</v>
      </c>
      <c r="I1204" s="79">
        <f>H1204/G1204</f>
        <v>0.69485714285714284</v>
      </c>
    </row>
    <row r="1205" spans="1:9" x14ac:dyDescent="0.25">
      <c r="A1205" s="76" t="s">
        <v>613</v>
      </c>
      <c r="B1205" s="110" t="s">
        <v>190</v>
      </c>
      <c r="C1205" s="77">
        <v>40738</v>
      </c>
      <c r="D1205" s="78">
        <v>40999</v>
      </c>
      <c r="E1205" s="79">
        <v>8.9999999999999993E-3</v>
      </c>
      <c r="F1205" s="80"/>
      <c r="G1205" s="81">
        <v>2485</v>
      </c>
      <c r="H1205" s="80">
        <v>25</v>
      </c>
      <c r="I1205" s="79">
        <f>H1205/G1205</f>
        <v>1.0060362173038229E-2</v>
      </c>
    </row>
    <row r="1206" spans="1:9" x14ac:dyDescent="0.25">
      <c r="A1206" s="76" t="s">
        <v>613</v>
      </c>
      <c r="B1206" s="76" t="s">
        <v>620</v>
      </c>
      <c r="C1206" s="77">
        <v>41019</v>
      </c>
      <c r="D1206" s="78">
        <v>41274</v>
      </c>
      <c r="E1206" s="79">
        <v>8.9999999999999993E-3</v>
      </c>
      <c r="F1206" s="80">
        <v>54579</v>
      </c>
      <c r="G1206" s="81"/>
      <c r="H1206" s="80">
        <v>13840</v>
      </c>
      <c r="I1206" s="79">
        <f>H1206/F1206</f>
        <v>0.25357738324263912</v>
      </c>
    </row>
    <row r="1207" spans="1:9" x14ac:dyDescent="0.25">
      <c r="A1207" s="76" t="s">
        <v>613</v>
      </c>
      <c r="B1207" s="76" t="s">
        <v>620</v>
      </c>
      <c r="C1207" s="77">
        <v>41019</v>
      </c>
      <c r="D1207" s="78">
        <v>41274</v>
      </c>
      <c r="E1207" s="79">
        <v>8.9999999999999993E-3</v>
      </c>
      <c r="F1207" s="80"/>
      <c r="G1207" s="81">
        <v>185</v>
      </c>
      <c r="H1207" s="80">
        <v>5</v>
      </c>
      <c r="I1207" s="79">
        <f>H1207/G1207</f>
        <v>2.7027027027027029E-2</v>
      </c>
    </row>
    <row r="1208" spans="1:9" x14ac:dyDescent="0.25">
      <c r="A1208" s="76" t="s">
        <v>613</v>
      </c>
      <c r="B1208" s="76" t="s">
        <v>22</v>
      </c>
      <c r="C1208" s="77">
        <v>40807</v>
      </c>
      <c r="D1208" s="78">
        <v>41173</v>
      </c>
      <c r="E1208" s="79">
        <v>1.7999999999999999E-2</v>
      </c>
      <c r="F1208" s="80">
        <v>222745</v>
      </c>
      <c r="G1208" s="81"/>
      <c r="H1208" s="80">
        <v>152987</v>
      </c>
      <c r="I1208" s="79">
        <f>H1208/F1208</f>
        <v>0.68682574244090777</v>
      </c>
    </row>
    <row r="1209" spans="1:9" x14ac:dyDescent="0.25">
      <c r="A1209" s="76" t="s">
        <v>613</v>
      </c>
      <c r="B1209" s="76" t="s">
        <v>22</v>
      </c>
      <c r="C1209" s="77">
        <v>41173</v>
      </c>
      <c r="D1209" s="78">
        <v>41455</v>
      </c>
      <c r="E1209" s="79">
        <v>1.7999999999999999E-2</v>
      </c>
      <c r="F1209" s="80">
        <v>165364</v>
      </c>
      <c r="G1209" s="81"/>
      <c r="H1209" s="80">
        <v>76635</v>
      </c>
      <c r="I1209" s="79">
        <f>H1209/F1209</f>
        <v>0.46343218596550639</v>
      </c>
    </row>
    <row r="1210" spans="1:9" x14ac:dyDescent="0.25">
      <c r="A1210" s="76" t="s">
        <v>613</v>
      </c>
      <c r="B1210" s="76" t="s">
        <v>22</v>
      </c>
      <c r="C1210" s="77">
        <v>40807</v>
      </c>
      <c r="D1210" s="78">
        <v>41173</v>
      </c>
      <c r="E1210" s="79">
        <v>1.7999999999999999E-2</v>
      </c>
      <c r="F1210" s="80"/>
      <c r="G1210" s="81">
        <v>8046</v>
      </c>
      <c r="H1210" s="80">
        <v>5690</v>
      </c>
      <c r="I1210" s="79">
        <f>H1210/G1210</f>
        <v>0.70718369376087498</v>
      </c>
    </row>
    <row r="1211" spans="1:9" x14ac:dyDescent="0.25">
      <c r="A1211" s="76" t="s">
        <v>613</v>
      </c>
      <c r="B1211" s="76" t="s">
        <v>22</v>
      </c>
      <c r="C1211" s="77">
        <v>41173</v>
      </c>
      <c r="D1211" s="78">
        <v>41455</v>
      </c>
      <c r="E1211" s="79">
        <v>1.7999999999999999E-2</v>
      </c>
      <c r="F1211" s="80"/>
      <c r="G1211" s="81">
        <v>5213</v>
      </c>
      <c r="H1211" s="80">
        <v>1954</v>
      </c>
      <c r="I1211" s="79">
        <f>H1211/G1211</f>
        <v>0.37483215039324763</v>
      </c>
    </row>
    <row r="1212" spans="1:9" x14ac:dyDescent="0.25">
      <c r="A1212" s="76" t="s">
        <v>613</v>
      </c>
      <c r="B1212" s="76" t="s">
        <v>183</v>
      </c>
      <c r="C1212" s="77">
        <v>41150</v>
      </c>
      <c r="D1212" s="78">
        <v>41469</v>
      </c>
      <c r="E1212" s="79">
        <v>1.7999999999999999E-2</v>
      </c>
      <c r="F1212" s="80">
        <v>472592.07</v>
      </c>
      <c r="G1212" s="81"/>
      <c r="H1212" s="80">
        <v>308780.06</v>
      </c>
      <c r="I1212" s="79">
        <f>H1212/F1212</f>
        <v>0.6533754576118892</v>
      </c>
    </row>
    <row r="1213" spans="1:9" x14ac:dyDescent="0.25">
      <c r="A1213" s="76" t="s">
        <v>613</v>
      </c>
      <c r="B1213" s="76" t="s">
        <v>183</v>
      </c>
      <c r="C1213" s="77">
        <v>40774</v>
      </c>
      <c r="D1213" s="78">
        <v>41104</v>
      </c>
      <c r="E1213" s="79">
        <v>1.7999999999999999E-2</v>
      </c>
      <c r="F1213" s="80">
        <v>384826</v>
      </c>
      <c r="G1213" s="81"/>
      <c r="H1213" s="80">
        <v>209441</v>
      </c>
      <c r="I1213" s="79">
        <f>H1213/F1213</f>
        <v>0.54424856948335087</v>
      </c>
    </row>
    <row r="1214" spans="1:9" x14ac:dyDescent="0.25">
      <c r="A1214" s="76" t="s">
        <v>613</v>
      </c>
      <c r="B1214" s="76" t="s">
        <v>183</v>
      </c>
      <c r="C1214" s="77">
        <v>41150</v>
      </c>
      <c r="D1214" s="78">
        <v>41469</v>
      </c>
      <c r="E1214" s="79">
        <v>1.7999999999999999E-2</v>
      </c>
      <c r="F1214" s="80"/>
      <c r="G1214" s="81">
        <v>13406.22</v>
      </c>
      <c r="H1214" s="80">
        <v>7717.29</v>
      </c>
      <c r="I1214" s="79">
        <f>H1214/G1214</f>
        <v>0.57564995949641284</v>
      </c>
    </row>
    <row r="1215" spans="1:9" x14ac:dyDescent="0.25">
      <c r="A1215" s="76" t="s">
        <v>613</v>
      </c>
      <c r="B1215" s="76" t="s">
        <v>183</v>
      </c>
      <c r="C1215" s="77">
        <v>40774</v>
      </c>
      <c r="D1215" s="78">
        <v>41104</v>
      </c>
      <c r="E1215" s="79">
        <v>1.7999999999999999E-2</v>
      </c>
      <c r="F1215" s="80"/>
      <c r="G1215" s="81">
        <v>6185</v>
      </c>
      <c r="H1215" s="80">
        <v>1889</v>
      </c>
      <c r="I1215" s="79">
        <f>H1215/G1215</f>
        <v>0.30541632983023442</v>
      </c>
    </row>
    <row r="1216" spans="1:9" x14ac:dyDescent="0.25">
      <c r="A1216" s="76" t="s">
        <v>613</v>
      </c>
      <c r="B1216" s="76" t="s">
        <v>618</v>
      </c>
      <c r="C1216" s="77">
        <v>40793</v>
      </c>
      <c r="D1216" s="78">
        <v>41121</v>
      </c>
      <c r="E1216" s="79">
        <v>8.9999999999999993E-3</v>
      </c>
      <c r="F1216" s="80"/>
      <c r="G1216" s="81">
        <v>0</v>
      </c>
      <c r="H1216" s="80">
        <v>0</v>
      </c>
      <c r="I1216" s="79">
        <v>0</v>
      </c>
    </row>
    <row r="1217" spans="1:9" x14ac:dyDescent="0.25">
      <c r="A1217" s="76" t="s">
        <v>613</v>
      </c>
      <c r="B1217" s="76" t="s">
        <v>618</v>
      </c>
      <c r="C1217" s="77">
        <v>40793</v>
      </c>
      <c r="D1217" s="78">
        <v>41121</v>
      </c>
      <c r="E1217" s="79">
        <v>8.9999999999999993E-3</v>
      </c>
      <c r="F1217" s="80">
        <v>2068</v>
      </c>
      <c r="G1217" s="81"/>
      <c r="H1217" s="80">
        <v>-2508</v>
      </c>
      <c r="I1217" s="79">
        <f>H1217/F1217</f>
        <v>-1.2127659574468086</v>
      </c>
    </row>
    <row r="1218" spans="1:9" x14ac:dyDescent="0.25">
      <c r="A1218" s="76" t="s">
        <v>622</v>
      </c>
      <c r="B1218" s="76" t="s">
        <v>31</v>
      </c>
      <c r="C1218" s="77">
        <v>41170</v>
      </c>
      <c r="D1218" s="78">
        <v>41517</v>
      </c>
      <c r="E1218" s="79">
        <v>8.9999999999999993E-3</v>
      </c>
      <c r="F1218" s="80"/>
      <c r="G1218" s="81">
        <v>1610</v>
      </c>
      <c r="H1218" s="80">
        <v>17</v>
      </c>
      <c r="I1218" s="79">
        <f>H1218/G1218</f>
        <v>1.0559006211180125E-2</v>
      </c>
    </row>
    <row r="1219" spans="1:9" x14ac:dyDescent="0.25">
      <c r="A1219" s="76" t="s">
        <v>622</v>
      </c>
      <c r="B1219" s="76" t="s">
        <v>107</v>
      </c>
      <c r="C1219" s="77">
        <v>40610</v>
      </c>
      <c r="D1219" s="78">
        <v>40939</v>
      </c>
      <c r="E1219" s="79">
        <v>8.9999999999999993E-3</v>
      </c>
      <c r="F1219" s="80">
        <v>633</v>
      </c>
      <c r="G1219" s="81"/>
      <c r="H1219" s="80">
        <v>322</v>
      </c>
      <c r="I1219" s="79">
        <f t="shared" ref="I1219:I1230" si="23">H1219/F1219</f>
        <v>0.50868878357030012</v>
      </c>
    </row>
    <row r="1220" spans="1:9" x14ac:dyDescent="0.25">
      <c r="A1220" s="76" t="s">
        <v>622</v>
      </c>
      <c r="B1220" s="110" t="s">
        <v>190</v>
      </c>
      <c r="C1220" s="77">
        <v>40738</v>
      </c>
      <c r="D1220" s="78">
        <v>40999</v>
      </c>
      <c r="E1220" s="79">
        <v>8.9999999999999993E-3</v>
      </c>
      <c r="F1220" s="80">
        <v>95116</v>
      </c>
      <c r="G1220" s="81"/>
      <c r="H1220" s="80">
        <v>-31223</v>
      </c>
      <c r="I1220" s="79">
        <f t="shared" si="23"/>
        <v>-0.32826233231002144</v>
      </c>
    </row>
    <row r="1221" spans="1:9" x14ac:dyDescent="0.25">
      <c r="A1221" s="76" t="s">
        <v>623</v>
      </c>
      <c r="B1221" s="76" t="s">
        <v>404</v>
      </c>
      <c r="C1221" s="77">
        <v>40661</v>
      </c>
      <c r="D1221" s="78">
        <v>41026</v>
      </c>
      <c r="E1221" s="79">
        <v>0.25</v>
      </c>
      <c r="F1221" s="80">
        <v>81880</v>
      </c>
      <c r="G1221" s="88"/>
      <c r="H1221" s="80">
        <v>21683.25</v>
      </c>
      <c r="I1221" s="79">
        <f t="shared" si="23"/>
        <v>0.26481741573033707</v>
      </c>
    </row>
    <row r="1222" spans="1:9" x14ac:dyDescent="0.25">
      <c r="A1222" s="76" t="s">
        <v>623</v>
      </c>
      <c r="B1222" s="76" t="s">
        <v>625</v>
      </c>
      <c r="C1222" s="77">
        <v>40648</v>
      </c>
      <c r="D1222" s="78">
        <v>41013</v>
      </c>
      <c r="E1222" s="79">
        <v>0.27500000000000002</v>
      </c>
      <c r="F1222" s="80">
        <v>40323</v>
      </c>
      <c r="G1222" s="88"/>
      <c r="H1222" s="80">
        <v>11662.75</v>
      </c>
      <c r="I1222" s="79">
        <f t="shared" si="23"/>
        <v>0.28923319197480346</v>
      </c>
    </row>
    <row r="1223" spans="1:9" x14ac:dyDescent="0.25">
      <c r="A1223" s="76" t="s">
        <v>623</v>
      </c>
      <c r="B1223" s="76" t="s">
        <v>625</v>
      </c>
      <c r="C1223" s="77">
        <v>41024</v>
      </c>
      <c r="D1223" s="78">
        <v>41388</v>
      </c>
      <c r="E1223" s="79">
        <v>0.27500000000000002</v>
      </c>
      <c r="F1223" s="80">
        <v>41718</v>
      </c>
      <c r="G1223" s="88"/>
      <c r="H1223" s="80">
        <v>11524.65</v>
      </c>
      <c r="I1223" s="79">
        <f t="shared" si="23"/>
        <v>0.27625125844959009</v>
      </c>
    </row>
    <row r="1224" spans="1:9" x14ac:dyDescent="0.25">
      <c r="A1224" s="76" t="s">
        <v>623</v>
      </c>
      <c r="B1224" s="76" t="s">
        <v>626</v>
      </c>
      <c r="C1224" s="77">
        <v>40661</v>
      </c>
      <c r="D1224" s="78">
        <v>41026</v>
      </c>
      <c r="E1224" s="79">
        <v>0.25</v>
      </c>
      <c r="F1224" s="80">
        <v>41460</v>
      </c>
      <c r="G1224" s="88"/>
      <c r="H1224" s="80">
        <v>10365</v>
      </c>
      <c r="I1224" s="79">
        <f t="shared" si="23"/>
        <v>0.25</v>
      </c>
    </row>
    <row r="1225" spans="1:9" x14ac:dyDescent="0.25">
      <c r="A1225" s="76" t="s">
        <v>623</v>
      </c>
      <c r="B1225" s="76" t="s">
        <v>628</v>
      </c>
      <c r="C1225" s="77">
        <v>40862</v>
      </c>
      <c r="D1225" s="78">
        <v>41227</v>
      </c>
      <c r="E1225" s="79">
        <v>0.25</v>
      </c>
      <c r="F1225" s="80">
        <v>83914</v>
      </c>
      <c r="G1225" s="88"/>
      <c r="H1225" s="80">
        <v>20978.5</v>
      </c>
      <c r="I1225" s="79">
        <f t="shared" si="23"/>
        <v>0.25</v>
      </c>
    </row>
    <row r="1226" spans="1:9" x14ac:dyDescent="0.25">
      <c r="A1226" s="76" t="s">
        <v>623</v>
      </c>
      <c r="B1226" s="76" t="s">
        <v>624</v>
      </c>
      <c r="C1226" s="77">
        <v>40570</v>
      </c>
      <c r="D1226" s="78">
        <v>40934</v>
      </c>
      <c r="E1226" s="79">
        <v>0.25</v>
      </c>
      <c r="F1226" s="80">
        <v>45400</v>
      </c>
      <c r="G1226" s="88"/>
      <c r="H1226" s="80">
        <v>11365</v>
      </c>
      <c r="I1226" s="79">
        <f t="shared" si="23"/>
        <v>0.25033039647577093</v>
      </c>
    </row>
    <row r="1227" spans="1:9" x14ac:dyDescent="0.25">
      <c r="A1227" s="76" t="s">
        <v>623</v>
      </c>
      <c r="B1227" s="76" t="s">
        <v>627</v>
      </c>
      <c r="C1227" s="77">
        <v>40781</v>
      </c>
      <c r="D1227" s="78">
        <v>41146</v>
      </c>
      <c r="E1227" s="79">
        <v>0.27</v>
      </c>
      <c r="F1227" s="80">
        <v>11675</v>
      </c>
      <c r="G1227" s="88"/>
      <c r="H1227" s="80">
        <v>3152.25</v>
      </c>
      <c r="I1227" s="79">
        <f t="shared" si="23"/>
        <v>0.27</v>
      </c>
    </row>
    <row r="1228" spans="1:9" x14ac:dyDescent="0.25">
      <c r="A1228" s="76" t="s">
        <v>623</v>
      </c>
      <c r="B1228" s="76" t="s">
        <v>629</v>
      </c>
      <c r="C1228" s="77">
        <v>40859</v>
      </c>
      <c r="D1228" s="78">
        <v>41224</v>
      </c>
      <c r="E1228" s="79">
        <v>0.25</v>
      </c>
      <c r="F1228" s="80">
        <v>48440</v>
      </c>
      <c r="G1228" s="88"/>
      <c r="H1228" s="80">
        <v>12110</v>
      </c>
      <c r="I1228" s="79">
        <f t="shared" si="23"/>
        <v>0.25</v>
      </c>
    </row>
    <row r="1229" spans="1:9" x14ac:dyDescent="0.25">
      <c r="A1229" s="76" t="s">
        <v>630</v>
      </c>
      <c r="B1229" s="76" t="s">
        <v>632</v>
      </c>
      <c r="C1229" s="77">
        <v>40917</v>
      </c>
      <c r="D1229" s="78">
        <v>41274</v>
      </c>
      <c r="E1229" s="79">
        <v>8.9999999999999993E-3</v>
      </c>
      <c r="F1229" s="80">
        <v>169671.72</v>
      </c>
      <c r="G1229" s="81"/>
      <c r="H1229" s="80">
        <v>97436.74</v>
      </c>
      <c r="I1229" s="79">
        <f t="shared" si="23"/>
        <v>0.57426623599972937</v>
      </c>
    </row>
    <row r="1230" spans="1:9" x14ac:dyDescent="0.25">
      <c r="A1230" s="76" t="s">
        <v>630</v>
      </c>
      <c r="B1230" s="76" t="s">
        <v>634</v>
      </c>
      <c r="C1230" s="77">
        <v>41101</v>
      </c>
      <c r="D1230" s="78">
        <v>41274</v>
      </c>
      <c r="E1230" s="79">
        <v>8.9999999999999993E-3</v>
      </c>
      <c r="F1230" s="80">
        <v>55101</v>
      </c>
      <c r="G1230" s="81"/>
      <c r="H1230" s="80">
        <v>35060.959999999999</v>
      </c>
      <c r="I1230" s="79">
        <f t="shared" si="23"/>
        <v>0.63630351536269758</v>
      </c>
    </row>
    <row r="1231" spans="1:9" x14ac:dyDescent="0.25">
      <c r="A1231" s="76" t="s">
        <v>630</v>
      </c>
      <c r="B1231" s="76" t="s">
        <v>634</v>
      </c>
      <c r="C1231" s="77">
        <v>41101</v>
      </c>
      <c r="D1231" s="78">
        <v>41274</v>
      </c>
      <c r="E1231" s="79">
        <v>8.9999999999999993E-3</v>
      </c>
      <c r="F1231" s="80"/>
      <c r="G1231" s="81">
        <v>729</v>
      </c>
      <c r="H1231" s="80">
        <v>410.18</v>
      </c>
      <c r="I1231" s="79">
        <f>H1231/G1231</f>
        <v>0.56266117969821672</v>
      </c>
    </row>
    <row r="1232" spans="1:9" x14ac:dyDescent="0.25">
      <c r="A1232" s="76" t="s">
        <v>630</v>
      </c>
      <c r="B1232" s="76" t="s">
        <v>633</v>
      </c>
      <c r="C1232" s="77">
        <v>40983</v>
      </c>
      <c r="D1232" s="78">
        <v>41274</v>
      </c>
      <c r="E1232" s="79">
        <v>8.9999999999999993E-3</v>
      </c>
      <c r="F1232" s="80"/>
      <c r="G1232" s="81">
        <v>78667.5</v>
      </c>
      <c r="H1232" s="80">
        <v>70483.5</v>
      </c>
      <c r="I1232" s="79">
        <f>H1232/G1232</f>
        <v>0.89596720373724859</v>
      </c>
    </row>
    <row r="1233" spans="1:9" x14ac:dyDescent="0.25">
      <c r="A1233" s="76" t="s">
        <v>630</v>
      </c>
      <c r="B1233" s="76" t="s">
        <v>631</v>
      </c>
      <c r="C1233" s="77">
        <v>40889</v>
      </c>
      <c r="D1233" s="78">
        <v>41178</v>
      </c>
      <c r="E1233" s="79">
        <v>8.9999999999999993E-3</v>
      </c>
      <c r="F1233" s="80">
        <v>2870</v>
      </c>
      <c r="G1233" s="81"/>
      <c r="H1233" s="80">
        <v>-4630</v>
      </c>
      <c r="I1233" s="79">
        <f>H1233/F1233</f>
        <v>-1.613240418118467</v>
      </c>
    </row>
    <row r="1234" spans="1:9" x14ac:dyDescent="0.25">
      <c r="A1234" s="76" t="s">
        <v>630</v>
      </c>
      <c r="B1234" s="76" t="s">
        <v>1926</v>
      </c>
      <c r="C1234" s="77">
        <v>40953</v>
      </c>
      <c r="D1234" s="78">
        <v>41240</v>
      </c>
      <c r="E1234" s="79">
        <v>0.01</v>
      </c>
      <c r="F1234" s="80">
        <v>105062.25</v>
      </c>
      <c r="G1234" s="81"/>
      <c r="H1234" s="80">
        <v>22496.82</v>
      </c>
      <c r="I1234" s="79">
        <f>H1234/F1234</f>
        <v>0.21412848097199516</v>
      </c>
    </row>
    <row r="1235" spans="1:9" x14ac:dyDescent="0.25">
      <c r="A1235" s="76" t="s">
        <v>630</v>
      </c>
      <c r="B1235" s="76" t="s">
        <v>1926</v>
      </c>
      <c r="C1235" s="77">
        <v>40953</v>
      </c>
      <c r="D1235" s="78">
        <v>41240</v>
      </c>
      <c r="E1235" s="79">
        <v>0.01</v>
      </c>
      <c r="F1235" s="80"/>
      <c r="G1235" s="81">
        <v>3174</v>
      </c>
      <c r="H1235" s="80">
        <v>913.4</v>
      </c>
      <c r="I1235" s="79">
        <f>H1235/G1235</f>
        <v>0.28777567737870197</v>
      </c>
    </row>
    <row r="1236" spans="1:9" x14ac:dyDescent="0.25">
      <c r="A1236" s="76" t="s">
        <v>635</v>
      </c>
      <c r="B1236" s="76" t="s">
        <v>639</v>
      </c>
      <c r="C1236" s="77">
        <v>40875</v>
      </c>
      <c r="D1236" s="78">
        <v>41241</v>
      </c>
      <c r="E1236" s="79">
        <v>0.5</v>
      </c>
      <c r="F1236" s="80"/>
      <c r="G1236" s="81">
        <v>186542</v>
      </c>
      <c r="H1236" s="80">
        <v>93271</v>
      </c>
      <c r="I1236" s="79">
        <f>H1236/G1236</f>
        <v>0.5</v>
      </c>
    </row>
    <row r="1237" spans="1:9" x14ac:dyDescent="0.25">
      <c r="A1237" s="76" t="s">
        <v>635</v>
      </c>
      <c r="B1237" s="76" t="s">
        <v>636</v>
      </c>
      <c r="C1237" s="77">
        <v>40559</v>
      </c>
      <c r="D1237" s="78">
        <v>40923</v>
      </c>
      <c r="E1237" s="79">
        <v>0.5</v>
      </c>
      <c r="F1237" s="80">
        <v>224830</v>
      </c>
      <c r="G1237" s="81"/>
      <c r="H1237" s="80">
        <v>112415</v>
      </c>
      <c r="I1237" s="79">
        <f>H1237/F1237</f>
        <v>0.5</v>
      </c>
    </row>
    <row r="1238" spans="1:9" x14ac:dyDescent="0.25">
      <c r="A1238" s="76" t="s">
        <v>635</v>
      </c>
      <c r="B1238" s="76" t="s">
        <v>636</v>
      </c>
      <c r="C1238" s="77">
        <v>40924</v>
      </c>
      <c r="D1238" s="78">
        <v>41289</v>
      </c>
      <c r="E1238" s="79">
        <v>0.5</v>
      </c>
      <c r="F1238" s="80"/>
      <c r="G1238" s="81">
        <v>150370</v>
      </c>
      <c r="H1238" s="80">
        <v>75185</v>
      </c>
      <c r="I1238" s="79">
        <f t="shared" ref="I1238:I1244" si="24">H1238/G1238</f>
        <v>0.5</v>
      </c>
    </row>
    <row r="1239" spans="1:9" x14ac:dyDescent="0.25">
      <c r="A1239" s="76" t="s">
        <v>635</v>
      </c>
      <c r="B1239" s="76" t="s">
        <v>638</v>
      </c>
      <c r="C1239" s="77">
        <v>40933</v>
      </c>
      <c r="D1239" s="78">
        <v>41298</v>
      </c>
      <c r="E1239" s="79">
        <v>0.5</v>
      </c>
      <c r="F1239" s="80"/>
      <c r="G1239" s="81">
        <v>53971</v>
      </c>
      <c r="H1239" s="80">
        <v>26985.5</v>
      </c>
      <c r="I1239" s="79">
        <f t="shared" si="24"/>
        <v>0.5</v>
      </c>
    </row>
    <row r="1240" spans="1:9" x14ac:dyDescent="0.25">
      <c r="A1240" s="76" t="s">
        <v>635</v>
      </c>
      <c r="B1240" s="76" t="s">
        <v>638</v>
      </c>
      <c r="C1240" s="77">
        <v>40568</v>
      </c>
      <c r="D1240" s="78">
        <v>40932</v>
      </c>
      <c r="E1240" s="79">
        <v>0.5</v>
      </c>
      <c r="F1240" s="80"/>
      <c r="G1240" s="81">
        <v>46628</v>
      </c>
      <c r="H1240" s="80">
        <v>23314</v>
      </c>
      <c r="I1240" s="79">
        <f t="shared" si="24"/>
        <v>0.5</v>
      </c>
    </row>
    <row r="1241" spans="1:9" x14ac:dyDescent="0.25">
      <c r="A1241" s="76" t="s">
        <v>635</v>
      </c>
      <c r="B1241" s="76" t="s">
        <v>362</v>
      </c>
      <c r="C1241" s="77">
        <v>41167</v>
      </c>
      <c r="D1241" s="78">
        <v>41488</v>
      </c>
      <c r="E1241" s="79">
        <v>0.12</v>
      </c>
      <c r="F1241" s="80"/>
      <c r="G1241" s="81">
        <v>155237</v>
      </c>
      <c r="H1241" s="80">
        <v>18727.2</v>
      </c>
      <c r="I1241" s="79">
        <f t="shared" si="24"/>
        <v>0.1206361885375265</v>
      </c>
    </row>
    <row r="1242" spans="1:9" x14ac:dyDescent="0.25">
      <c r="A1242" s="76" t="s">
        <v>635</v>
      </c>
      <c r="B1242" s="76" t="s">
        <v>640</v>
      </c>
      <c r="C1242" s="77">
        <v>41169</v>
      </c>
      <c r="D1242" s="78">
        <v>41533</v>
      </c>
      <c r="E1242" s="79">
        <v>0.5</v>
      </c>
      <c r="F1242" s="80"/>
      <c r="G1242" s="81">
        <v>130562</v>
      </c>
      <c r="H1242" s="80">
        <v>65281</v>
      </c>
      <c r="I1242" s="79">
        <f t="shared" si="24"/>
        <v>0.5</v>
      </c>
    </row>
    <row r="1243" spans="1:9" x14ac:dyDescent="0.25">
      <c r="A1243" s="76" t="s">
        <v>635</v>
      </c>
      <c r="B1243" s="76" t="s">
        <v>637</v>
      </c>
      <c r="C1243" s="77">
        <v>40564</v>
      </c>
      <c r="D1243" s="78">
        <v>40928</v>
      </c>
      <c r="E1243" s="79">
        <v>0.5</v>
      </c>
      <c r="F1243" s="80"/>
      <c r="G1243" s="81">
        <v>198096</v>
      </c>
      <c r="H1243" s="80">
        <v>99048</v>
      </c>
      <c r="I1243" s="79">
        <f t="shared" si="24"/>
        <v>0.5</v>
      </c>
    </row>
    <row r="1244" spans="1:9" x14ac:dyDescent="0.25">
      <c r="A1244" s="76" t="s">
        <v>635</v>
      </c>
      <c r="B1244" s="76" t="s">
        <v>637</v>
      </c>
      <c r="C1244" s="77">
        <v>40929</v>
      </c>
      <c r="D1244" s="78">
        <v>41294</v>
      </c>
      <c r="E1244" s="79">
        <v>0.5</v>
      </c>
      <c r="F1244" s="80"/>
      <c r="G1244" s="81">
        <v>191024</v>
      </c>
      <c r="H1244" s="80">
        <v>95512</v>
      </c>
      <c r="I1244" s="79">
        <f t="shared" si="24"/>
        <v>0.5</v>
      </c>
    </row>
    <row r="1245" spans="1:9" x14ac:dyDescent="0.25">
      <c r="A1245" s="76" t="s">
        <v>641</v>
      </c>
      <c r="B1245" s="76" t="s">
        <v>642</v>
      </c>
      <c r="C1245" s="77">
        <v>40653</v>
      </c>
      <c r="D1245" s="78">
        <v>40967</v>
      </c>
      <c r="E1245" s="79">
        <v>8.9999999999999993E-3</v>
      </c>
      <c r="F1245" s="80">
        <v>21972</v>
      </c>
      <c r="G1245" s="81"/>
      <c r="H1245" s="80">
        <v>12564.9</v>
      </c>
      <c r="I1245" s="79">
        <f>H1245/F1245</f>
        <v>0.57185963954123431</v>
      </c>
    </row>
    <row r="1246" spans="1:9" x14ac:dyDescent="0.25">
      <c r="A1246" s="76" t="s">
        <v>641</v>
      </c>
      <c r="B1246" s="76" t="s">
        <v>642</v>
      </c>
      <c r="C1246" s="77">
        <v>40653</v>
      </c>
      <c r="D1246" s="78">
        <v>40967</v>
      </c>
      <c r="E1246" s="79">
        <v>8.9999999999999993E-3</v>
      </c>
      <c r="F1246" s="80"/>
      <c r="G1246" s="81">
        <v>1099</v>
      </c>
      <c r="H1246" s="80">
        <v>628.47</v>
      </c>
      <c r="I1246" s="79">
        <f>H1246/G1246</f>
        <v>0.57185623293903554</v>
      </c>
    </row>
    <row r="1247" spans="1:9" x14ac:dyDescent="0.25">
      <c r="A1247" s="76" t="s">
        <v>643</v>
      </c>
      <c r="B1247" s="76" t="s">
        <v>658</v>
      </c>
      <c r="C1247" s="77">
        <v>40982</v>
      </c>
      <c r="D1247" s="78">
        <v>41274</v>
      </c>
      <c r="E1247" s="79">
        <v>4.4999999999999997E-3</v>
      </c>
      <c r="F1247" s="80">
        <v>100073.18</v>
      </c>
      <c r="G1247" s="81"/>
      <c r="H1247" s="80">
        <v>23632.52</v>
      </c>
      <c r="I1247" s="79">
        <f>H1247/F1247</f>
        <v>0.23615238368561889</v>
      </c>
    </row>
    <row r="1248" spans="1:9" x14ac:dyDescent="0.25">
      <c r="A1248" s="76" t="s">
        <v>643</v>
      </c>
      <c r="B1248" s="76" t="s">
        <v>658</v>
      </c>
      <c r="C1248" s="77">
        <v>40982</v>
      </c>
      <c r="D1248" s="78">
        <v>41274</v>
      </c>
      <c r="E1248" s="79">
        <v>4.4999999999999997E-3</v>
      </c>
      <c r="F1248" s="80"/>
      <c r="G1248" s="81">
        <v>2117</v>
      </c>
      <c r="H1248" s="80">
        <v>-247.4</v>
      </c>
      <c r="I1248" s="93">
        <f>H1248/G1248</f>
        <v>-0.11686348606518658</v>
      </c>
    </row>
    <row r="1249" spans="1:9" x14ac:dyDescent="0.25">
      <c r="A1249" s="76" t="s">
        <v>643</v>
      </c>
      <c r="B1249" s="76" t="s">
        <v>646</v>
      </c>
      <c r="C1249" s="77">
        <v>40616</v>
      </c>
      <c r="D1249" s="78">
        <v>40981</v>
      </c>
      <c r="E1249" s="79">
        <v>4.4999999999999997E-3</v>
      </c>
      <c r="F1249" s="80">
        <v>189737.88</v>
      </c>
      <c r="G1249" s="81"/>
      <c r="H1249" s="80">
        <v>55063.08</v>
      </c>
      <c r="I1249" s="93">
        <f>H1249/F1249</f>
        <v>0.29020604636248704</v>
      </c>
    </row>
    <row r="1250" spans="1:9" x14ac:dyDescent="0.25">
      <c r="A1250" s="76" t="s">
        <v>643</v>
      </c>
      <c r="B1250" s="76" t="s">
        <v>646</v>
      </c>
      <c r="C1250" s="77">
        <v>40616</v>
      </c>
      <c r="D1250" s="78">
        <v>40981</v>
      </c>
      <c r="E1250" s="79">
        <v>4.4999999999999997E-3</v>
      </c>
      <c r="F1250" s="80"/>
      <c r="G1250" s="81">
        <v>10051</v>
      </c>
      <c r="H1250" s="80">
        <v>2365.4</v>
      </c>
      <c r="I1250" s="93">
        <f>H1250/G1250</f>
        <v>0.23533976718734456</v>
      </c>
    </row>
    <row r="1251" spans="1:9" x14ac:dyDescent="0.25">
      <c r="A1251" s="76" t="s">
        <v>643</v>
      </c>
      <c r="B1251" s="76" t="s">
        <v>650</v>
      </c>
      <c r="C1251" s="77">
        <v>40766</v>
      </c>
      <c r="D1251" s="78">
        <v>41117</v>
      </c>
      <c r="E1251" s="79">
        <v>4.4999999999999997E-3</v>
      </c>
      <c r="F1251" s="80">
        <v>0</v>
      </c>
      <c r="G1251" s="81"/>
      <c r="H1251" s="80">
        <v>0</v>
      </c>
      <c r="I1251" s="93">
        <v>0</v>
      </c>
    </row>
    <row r="1252" spans="1:9" x14ac:dyDescent="0.25">
      <c r="A1252" s="76" t="s">
        <v>643</v>
      </c>
      <c r="B1252" s="76" t="s">
        <v>650</v>
      </c>
      <c r="C1252" s="77">
        <v>40766</v>
      </c>
      <c r="D1252" s="78">
        <v>41117</v>
      </c>
      <c r="E1252" s="79">
        <v>4.4999999999999997E-3</v>
      </c>
      <c r="F1252" s="80">
        <v>0</v>
      </c>
      <c r="G1252" s="81"/>
      <c r="H1252" s="80">
        <v>0</v>
      </c>
      <c r="I1252" s="93">
        <v>0</v>
      </c>
    </row>
    <row r="1253" spans="1:9" x14ac:dyDescent="0.25">
      <c r="A1253" s="76" t="s">
        <v>643</v>
      </c>
      <c r="B1253" s="76" t="s">
        <v>330</v>
      </c>
      <c r="C1253" s="77">
        <v>40956</v>
      </c>
      <c r="D1253" s="78">
        <v>41321</v>
      </c>
      <c r="E1253" s="79">
        <v>4.4999999999999997E-3</v>
      </c>
      <c r="F1253" s="80">
        <v>227868.03</v>
      </c>
      <c r="G1253" s="81"/>
      <c r="H1253" s="80">
        <v>139193.13</v>
      </c>
      <c r="I1253" s="93">
        <f>H1253/F1253</f>
        <v>0.61084975369295991</v>
      </c>
    </row>
    <row r="1254" spans="1:9" x14ac:dyDescent="0.25">
      <c r="A1254" s="76" t="s">
        <v>643</v>
      </c>
      <c r="B1254" s="76" t="s">
        <v>330</v>
      </c>
      <c r="C1254" s="77">
        <v>40591</v>
      </c>
      <c r="D1254" s="78">
        <v>40955</v>
      </c>
      <c r="E1254" s="79">
        <v>4.4999999999999997E-3</v>
      </c>
      <c r="F1254" s="80">
        <v>172853.14</v>
      </c>
      <c r="G1254" s="81"/>
      <c r="H1254" s="80">
        <v>0</v>
      </c>
      <c r="I1254" s="93">
        <f>H1254/F1254</f>
        <v>0</v>
      </c>
    </row>
    <row r="1255" spans="1:9" x14ac:dyDescent="0.25">
      <c r="A1255" s="76" t="s">
        <v>643</v>
      </c>
      <c r="B1255" s="76" t="s">
        <v>330</v>
      </c>
      <c r="C1255" s="77">
        <v>40591</v>
      </c>
      <c r="D1255" s="78">
        <v>40955</v>
      </c>
      <c r="E1255" s="79">
        <v>4.4999999999999997E-3</v>
      </c>
      <c r="F1255" s="80"/>
      <c r="G1255" s="81">
        <v>10354</v>
      </c>
      <c r="H1255" s="80">
        <v>0</v>
      </c>
      <c r="I1255" s="93">
        <f>H1255/G1255</f>
        <v>0</v>
      </c>
    </row>
    <row r="1256" spans="1:9" x14ac:dyDescent="0.25">
      <c r="A1256" s="76" t="s">
        <v>643</v>
      </c>
      <c r="B1256" s="76" t="s">
        <v>330</v>
      </c>
      <c r="C1256" s="77">
        <v>40956</v>
      </c>
      <c r="D1256" s="78">
        <v>41321</v>
      </c>
      <c r="E1256" s="79">
        <v>4.4999999999999997E-3</v>
      </c>
      <c r="F1256" s="80"/>
      <c r="G1256" s="81">
        <v>10101</v>
      </c>
      <c r="H1256" s="80">
        <v>-6262.8</v>
      </c>
      <c r="I1256" s="93">
        <f>H1256/G1256</f>
        <v>-0.62001782001782002</v>
      </c>
    </row>
    <row r="1257" spans="1:9" x14ac:dyDescent="0.25">
      <c r="A1257" s="76" t="s">
        <v>643</v>
      </c>
      <c r="B1257" s="76" t="s">
        <v>655</v>
      </c>
      <c r="C1257" s="77">
        <v>40890</v>
      </c>
      <c r="D1257" s="78">
        <v>41255</v>
      </c>
      <c r="E1257" s="79">
        <v>4.4999999999999997E-3</v>
      </c>
      <c r="F1257" s="80"/>
      <c r="G1257" s="81">
        <v>1070</v>
      </c>
      <c r="H1257" s="80">
        <v>-182.8</v>
      </c>
      <c r="I1257" s="93">
        <f>H1257/G1257</f>
        <v>-0.17084112149532713</v>
      </c>
    </row>
    <row r="1258" spans="1:9" x14ac:dyDescent="0.25">
      <c r="A1258" s="76" t="s">
        <v>643</v>
      </c>
      <c r="B1258" s="76" t="s">
        <v>655</v>
      </c>
      <c r="C1258" s="77">
        <v>40890</v>
      </c>
      <c r="D1258" s="78">
        <v>41255</v>
      </c>
      <c r="E1258" s="79">
        <v>4.4999999999999997E-3</v>
      </c>
      <c r="F1258" s="80">
        <v>29872</v>
      </c>
      <c r="G1258" s="81"/>
      <c r="H1258" s="80">
        <v>-883.7</v>
      </c>
      <c r="I1258" s="93">
        <f>H1258/F1258</f>
        <v>-2.9582886984467063E-2</v>
      </c>
    </row>
    <row r="1259" spans="1:9" x14ac:dyDescent="0.25">
      <c r="A1259" s="76" t="s">
        <v>643</v>
      </c>
      <c r="B1259" s="76" t="s">
        <v>459</v>
      </c>
      <c r="C1259" s="77">
        <v>41092</v>
      </c>
      <c r="D1259" s="78">
        <v>41456</v>
      </c>
      <c r="E1259" s="79">
        <v>4.4999999999999997E-3</v>
      </c>
      <c r="F1259" s="80">
        <v>100157</v>
      </c>
      <c r="G1259" s="81"/>
      <c r="H1259" s="80">
        <v>80831.75</v>
      </c>
      <c r="I1259" s="93">
        <f>H1259/F1259</f>
        <v>0.80705043082360695</v>
      </c>
    </row>
    <row r="1260" spans="1:9" x14ac:dyDescent="0.25">
      <c r="A1260" s="76" t="s">
        <v>643</v>
      </c>
      <c r="B1260" s="76" t="s">
        <v>459</v>
      </c>
      <c r="C1260" s="77">
        <v>40740</v>
      </c>
      <c r="D1260" s="78">
        <v>41060</v>
      </c>
      <c r="E1260" s="79">
        <v>0.09</v>
      </c>
      <c r="F1260" s="80">
        <v>83007.360000000001</v>
      </c>
      <c r="G1260" s="81"/>
      <c r="H1260" s="80">
        <v>16371.01</v>
      </c>
      <c r="I1260" s="93">
        <f>H1260/F1260</f>
        <v>0.19722359559441477</v>
      </c>
    </row>
    <row r="1261" spans="1:9" x14ac:dyDescent="0.25">
      <c r="A1261" s="76" t="s">
        <v>643</v>
      </c>
      <c r="B1261" s="76" t="s">
        <v>459</v>
      </c>
      <c r="C1261" s="77">
        <v>40740</v>
      </c>
      <c r="D1261" s="78">
        <v>41060</v>
      </c>
      <c r="E1261" s="79">
        <v>0.09</v>
      </c>
      <c r="F1261" s="80"/>
      <c r="G1261" s="81">
        <v>2885</v>
      </c>
      <c r="H1261" s="80">
        <v>-557.85</v>
      </c>
      <c r="I1261" s="93">
        <f>H1261/G1261</f>
        <v>-0.19336221837088388</v>
      </c>
    </row>
    <row r="1262" spans="1:9" x14ac:dyDescent="0.25">
      <c r="A1262" s="76" t="s">
        <v>643</v>
      </c>
      <c r="B1262" s="76" t="s">
        <v>459</v>
      </c>
      <c r="C1262" s="77">
        <v>41092</v>
      </c>
      <c r="D1262" s="78">
        <v>41456</v>
      </c>
      <c r="E1262" s="79">
        <v>4.4999999999999997E-3</v>
      </c>
      <c r="F1262" s="80"/>
      <c r="G1262" s="81">
        <v>5049</v>
      </c>
      <c r="H1262" s="80">
        <v>-6060.55</v>
      </c>
      <c r="I1262" s="93">
        <f>H1262/G1262</f>
        <v>-1.2003466032877799</v>
      </c>
    </row>
    <row r="1263" spans="1:9" x14ac:dyDescent="0.25">
      <c r="A1263" s="76" t="s">
        <v>643</v>
      </c>
      <c r="B1263" s="76" t="s">
        <v>653</v>
      </c>
      <c r="C1263" s="77">
        <v>40862</v>
      </c>
      <c r="D1263" s="78">
        <v>41227</v>
      </c>
      <c r="E1263" s="79">
        <v>4.4999999999999997E-3</v>
      </c>
      <c r="F1263" s="80">
        <v>57965</v>
      </c>
      <c r="G1263" s="81"/>
      <c r="H1263" s="80">
        <v>29494.6</v>
      </c>
      <c r="I1263" s="93">
        <f>H1263/F1263</f>
        <v>0.50883464159406533</v>
      </c>
    </row>
    <row r="1264" spans="1:9" x14ac:dyDescent="0.25">
      <c r="A1264" s="76" t="s">
        <v>643</v>
      </c>
      <c r="B1264" s="76" t="s">
        <v>653</v>
      </c>
      <c r="C1264" s="77">
        <v>41228</v>
      </c>
      <c r="D1264" s="78">
        <v>41502</v>
      </c>
      <c r="E1264" s="79">
        <v>4.4999999999999997E-3</v>
      </c>
      <c r="F1264" s="80">
        <v>40084</v>
      </c>
      <c r="G1264" s="81"/>
      <c r="H1264" s="80">
        <v>15315.3</v>
      </c>
      <c r="I1264" s="93">
        <f>H1264/F1264</f>
        <v>0.3820801317233809</v>
      </c>
    </row>
    <row r="1265" spans="1:9" x14ac:dyDescent="0.25">
      <c r="A1265" s="76" t="s">
        <v>643</v>
      </c>
      <c r="B1265" s="76" t="s">
        <v>653</v>
      </c>
      <c r="C1265" s="77">
        <v>41228</v>
      </c>
      <c r="D1265" s="78">
        <v>41502</v>
      </c>
      <c r="E1265" s="79">
        <v>4.4999999999999997E-3</v>
      </c>
      <c r="F1265" s="80"/>
      <c r="G1265" s="81">
        <v>85</v>
      </c>
      <c r="H1265" s="80">
        <v>10.6</v>
      </c>
      <c r="I1265" s="93">
        <f>H1265/G1265</f>
        <v>0.12470588235294117</v>
      </c>
    </row>
    <row r="1266" spans="1:9" x14ac:dyDescent="0.25">
      <c r="A1266" s="76" t="s">
        <v>643</v>
      </c>
      <c r="B1266" s="76" t="s">
        <v>653</v>
      </c>
      <c r="C1266" s="77">
        <v>40862</v>
      </c>
      <c r="D1266" s="78">
        <v>41227</v>
      </c>
      <c r="E1266" s="79">
        <v>4.4999999999999997E-3</v>
      </c>
      <c r="F1266" s="80"/>
      <c r="G1266" s="81">
        <v>0</v>
      </c>
      <c r="H1266" s="80">
        <v>0</v>
      </c>
      <c r="I1266" s="93">
        <v>0</v>
      </c>
    </row>
    <row r="1267" spans="1:9" x14ac:dyDescent="0.25">
      <c r="A1267" s="76" t="s">
        <v>643</v>
      </c>
      <c r="B1267" s="76" t="s">
        <v>657</v>
      </c>
      <c r="C1267" s="77">
        <v>40956</v>
      </c>
      <c r="D1267" s="78">
        <v>41321</v>
      </c>
      <c r="E1267" s="79">
        <v>4.4999999999999997E-3</v>
      </c>
      <c r="F1267" s="80">
        <v>319841.53000000003</v>
      </c>
      <c r="G1267" s="81"/>
      <c r="H1267" s="80">
        <v>204694.33</v>
      </c>
      <c r="I1267" s="93">
        <f>H1267/F1267</f>
        <v>0.63998671467085577</v>
      </c>
    </row>
    <row r="1268" spans="1:9" x14ac:dyDescent="0.25">
      <c r="A1268" s="76" t="s">
        <v>643</v>
      </c>
      <c r="B1268" s="76" t="s">
        <v>657</v>
      </c>
      <c r="C1268" s="77">
        <v>40956</v>
      </c>
      <c r="D1268" s="78">
        <v>41321</v>
      </c>
      <c r="E1268" s="79">
        <v>4.4999999999999997E-3</v>
      </c>
      <c r="F1268" s="80"/>
      <c r="G1268" s="81">
        <v>7973</v>
      </c>
      <c r="H1268" s="80">
        <v>5319.7</v>
      </c>
      <c r="I1268" s="93">
        <f>H1268/G1268</f>
        <v>0.66721434842593752</v>
      </c>
    </row>
    <row r="1269" spans="1:9" ht="28.5" x14ac:dyDescent="0.25">
      <c r="A1269" s="76" t="s">
        <v>643</v>
      </c>
      <c r="B1269" s="76" t="s">
        <v>654</v>
      </c>
      <c r="C1269" s="77">
        <v>40863</v>
      </c>
      <c r="D1269" s="78">
        <v>41231</v>
      </c>
      <c r="E1269" s="79">
        <v>4.4999999999999997E-3</v>
      </c>
      <c r="F1269" s="80"/>
      <c r="G1269" s="81">
        <v>2966.03</v>
      </c>
      <c r="H1269" s="80">
        <v>849.33</v>
      </c>
      <c r="I1269" s="93">
        <f>H1269/G1269</f>
        <v>0.2863524644052825</v>
      </c>
    </row>
    <row r="1270" spans="1:9" ht="28.5" x14ac:dyDescent="0.25">
      <c r="A1270" s="76" t="s">
        <v>643</v>
      </c>
      <c r="B1270" s="76" t="s">
        <v>654</v>
      </c>
      <c r="C1270" s="77">
        <v>40863</v>
      </c>
      <c r="D1270" s="78">
        <v>41231</v>
      </c>
      <c r="E1270" s="79">
        <v>4.4999999999999997E-3</v>
      </c>
      <c r="F1270" s="80">
        <v>63206.04</v>
      </c>
      <c r="G1270" s="81"/>
      <c r="H1270" s="80">
        <v>-1641.06</v>
      </c>
      <c r="I1270" s="93">
        <f>H1270/F1270</f>
        <v>-2.5963657903580101E-2</v>
      </c>
    </row>
    <row r="1271" spans="1:9" x14ac:dyDescent="0.25">
      <c r="A1271" s="76" t="s">
        <v>643</v>
      </c>
      <c r="B1271" s="76" t="s">
        <v>652</v>
      </c>
      <c r="C1271" s="77">
        <v>40807</v>
      </c>
      <c r="D1271" s="78">
        <v>41148</v>
      </c>
      <c r="E1271" s="79">
        <v>8.9999999999999998E-4</v>
      </c>
      <c r="F1271" s="80">
        <v>0</v>
      </c>
      <c r="G1271" s="81"/>
      <c r="H1271" s="80">
        <v>0</v>
      </c>
      <c r="I1271" s="93">
        <v>0</v>
      </c>
    </row>
    <row r="1272" spans="1:9" x14ac:dyDescent="0.25">
      <c r="A1272" s="76" t="s">
        <v>643</v>
      </c>
      <c r="B1272" s="76" t="s">
        <v>652</v>
      </c>
      <c r="C1272" s="77">
        <v>40807</v>
      </c>
      <c r="D1272" s="78">
        <v>41148</v>
      </c>
      <c r="E1272" s="79">
        <v>8.9999999999999998E-4</v>
      </c>
      <c r="F1272" s="80">
        <v>0</v>
      </c>
      <c r="G1272" s="81"/>
      <c r="H1272" s="80">
        <v>0</v>
      </c>
      <c r="I1272" s="93">
        <v>0</v>
      </c>
    </row>
    <row r="1273" spans="1:9" x14ac:dyDescent="0.25">
      <c r="A1273" s="76" t="s">
        <v>643</v>
      </c>
      <c r="B1273" s="76" t="s">
        <v>659</v>
      </c>
      <c r="C1273" s="77">
        <v>41025</v>
      </c>
      <c r="D1273" s="78">
        <v>41364</v>
      </c>
      <c r="E1273" s="79">
        <v>4.4999999999999997E-3</v>
      </c>
      <c r="F1273" s="80">
        <v>189524</v>
      </c>
      <c r="G1273" s="81"/>
      <c r="H1273" s="80">
        <v>96010.18</v>
      </c>
      <c r="I1273" s="93">
        <f>H1273/F1273</f>
        <v>0.50658586775289671</v>
      </c>
    </row>
    <row r="1274" spans="1:9" x14ac:dyDescent="0.25">
      <c r="A1274" s="76" t="s">
        <v>643</v>
      </c>
      <c r="B1274" s="76" t="s">
        <v>659</v>
      </c>
      <c r="C1274" s="77">
        <v>41025</v>
      </c>
      <c r="D1274" s="78">
        <v>41364</v>
      </c>
      <c r="E1274" s="79">
        <v>4.4999999999999997E-3</v>
      </c>
      <c r="F1274" s="80"/>
      <c r="G1274" s="81">
        <v>2455</v>
      </c>
      <c r="H1274" s="80">
        <v>392.32</v>
      </c>
      <c r="I1274" s="93">
        <f>H1274/G1274</f>
        <v>0.15980448065173117</v>
      </c>
    </row>
    <row r="1275" spans="1:9" x14ac:dyDescent="0.25">
      <c r="A1275" s="76" t="s">
        <v>643</v>
      </c>
      <c r="B1275" s="76" t="s">
        <v>647</v>
      </c>
      <c r="C1275" s="77">
        <v>40659</v>
      </c>
      <c r="D1275" s="78">
        <v>41024</v>
      </c>
      <c r="E1275" s="79">
        <v>4.4999999999999997E-3</v>
      </c>
      <c r="F1275" s="80"/>
      <c r="G1275" s="81">
        <v>5255</v>
      </c>
      <c r="H1275" s="80">
        <v>-181.34</v>
      </c>
      <c r="I1275" s="93">
        <f>H1275/G1275</f>
        <v>-3.4508087535680305E-2</v>
      </c>
    </row>
    <row r="1276" spans="1:9" x14ac:dyDescent="0.25">
      <c r="A1276" s="76" t="s">
        <v>643</v>
      </c>
      <c r="B1276" s="76" t="s">
        <v>647</v>
      </c>
      <c r="C1276" s="77">
        <v>40659</v>
      </c>
      <c r="D1276" s="78">
        <v>41024</v>
      </c>
      <c r="E1276" s="79">
        <v>4.4999999999999997E-3</v>
      </c>
      <c r="F1276" s="80">
        <v>120919</v>
      </c>
      <c r="G1276" s="81"/>
      <c r="H1276" s="80">
        <v>-1616.08</v>
      </c>
      <c r="I1276" s="93">
        <f>H1276/F1276</f>
        <v>-1.3364979862552617E-2</v>
      </c>
    </row>
    <row r="1277" spans="1:9" x14ac:dyDescent="0.25">
      <c r="A1277" s="76" t="s">
        <v>643</v>
      </c>
      <c r="B1277" s="76" t="s">
        <v>651</v>
      </c>
      <c r="C1277" s="77">
        <v>40787</v>
      </c>
      <c r="D1277" s="78">
        <v>41152</v>
      </c>
      <c r="E1277" s="79">
        <v>1E-4</v>
      </c>
      <c r="F1277" s="80">
        <v>3390</v>
      </c>
      <c r="G1277" s="81"/>
      <c r="H1277" s="80">
        <v>0</v>
      </c>
      <c r="I1277" s="93">
        <f>H1277/F1277</f>
        <v>0</v>
      </c>
    </row>
    <row r="1278" spans="1:9" x14ac:dyDescent="0.25">
      <c r="A1278" s="76" t="s">
        <v>643</v>
      </c>
      <c r="B1278" s="76" t="s">
        <v>651</v>
      </c>
      <c r="C1278" s="77">
        <v>40787</v>
      </c>
      <c r="D1278" s="78">
        <v>41152</v>
      </c>
      <c r="E1278" s="79">
        <v>1E-4</v>
      </c>
      <c r="F1278" s="80"/>
      <c r="G1278" s="81">
        <v>255</v>
      </c>
      <c r="H1278" s="80">
        <v>0</v>
      </c>
      <c r="I1278" s="93">
        <f>H1278/G1278</f>
        <v>0</v>
      </c>
    </row>
    <row r="1279" spans="1:9" x14ac:dyDescent="0.25">
      <c r="A1279" s="76" t="s">
        <v>643</v>
      </c>
      <c r="B1279" s="76" t="s">
        <v>651</v>
      </c>
      <c r="C1279" s="77">
        <v>41153</v>
      </c>
      <c r="D1279" s="78">
        <v>41517</v>
      </c>
      <c r="E1279" s="79">
        <v>4.4999999999999997E-3</v>
      </c>
      <c r="F1279" s="80">
        <v>0</v>
      </c>
      <c r="G1279" s="81"/>
      <c r="H1279" s="80">
        <v>0</v>
      </c>
      <c r="I1279" s="93">
        <v>0</v>
      </c>
    </row>
    <row r="1280" spans="1:9" x14ac:dyDescent="0.25">
      <c r="A1280" s="76" t="s">
        <v>643</v>
      </c>
      <c r="B1280" s="76" t="s">
        <v>651</v>
      </c>
      <c r="C1280" s="77">
        <v>41153</v>
      </c>
      <c r="D1280" s="78">
        <v>41517</v>
      </c>
      <c r="E1280" s="79">
        <v>4.4999999999999997E-3</v>
      </c>
      <c r="F1280" s="80"/>
      <c r="G1280" s="81">
        <v>0</v>
      </c>
      <c r="H1280" s="80">
        <v>0</v>
      </c>
      <c r="I1280" s="93">
        <v>0</v>
      </c>
    </row>
    <row r="1281" spans="1:9" x14ac:dyDescent="0.25">
      <c r="A1281" s="76" t="s">
        <v>643</v>
      </c>
      <c r="B1281" s="76" t="s">
        <v>328</v>
      </c>
      <c r="C1281" s="77">
        <v>40634</v>
      </c>
      <c r="D1281" s="78">
        <v>40999</v>
      </c>
      <c r="E1281" s="79">
        <v>4.4999999999999997E-3</v>
      </c>
      <c r="F1281" s="80">
        <v>243450.45</v>
      </c>
      <c r="G1281" s="81"/>
      <c r="H1281" s="80">
        <v>85424.25</v>
      </c>
      <c r="I1281" s="93">
        <f>H1281/F1281</f>
        <v>0.35088967796116211</v>
      </c>
    </row>
    <row r="1282" spans="1:9" x14ac:dyDescent="0.25">
      <c r="A1282" s="76" t="s">
        <v>643</v>
      </c>
      <c r="B1282" s="76" t="s">
        <v>328</v>
      </c>
      <c r="C1282" s="77">
        <v>40634</v>
      </c>
      <c r="D1282" s="78">
        <v>40999</v>
      </c>
      <c r="E1282" s="79">
        <v>4.4999999999999997E-3</v>
      </c>
      <c r="F1282" s="80"/>
      <c r="G1282" s="81">
        <v>12866.88</v>
      </c>
      <c r="H1282" s="80">
        <v>5301.18</v>
      </c>
      <c r="I1282" s="93">
        <f>H1282/G1282</f>
        <v>0.41200197716929049</v>
      </c>
    </row>
    <row r="1283" spans="1:9" x14ac:dyDescent="0.25">
      <c r="A1283" s="76" t="s">
        <v>643</v>
      </c>
      <c r="B1283" s="76" t="s">
        <v>328</v>
      </c>
      <c r="C1283" s="77">
        <v>41000</v>
      </c>
      <c r="D1283" s="78">
        <v>41274</v>
      </c>
      <c r="E1283" s="79">
        <v>4.4999999999999997E-3</v>
      </c>
      <c r="F1283" s="80"/>
      <c r="G1283" s="81">
        <v>265</v>
      </c>
      <c r="H1283" s="80">
        <v>-30</v>
      </c>
      <c r="I1283" s="93">
        <f>H1283/G1283</f>
        <v>-0.11320754716981132</v>
      </c>
    </row>
    <row r="1284" spans="1:9" x14ac:dyDescent="0.25">
      <c r="A1284" s="76" t="s">
        <v>643</v>
      </c>
      <c r="B1284" s="76" t="s">
        <v>328</v>
      </c>
      <c r="C1284" s="77">
        <v>41000</v>
      </c>
      <c r="D1284" s="78">
        <v>41274</v>
      </c>
      <c r="E1284" s="79">
        <v>4.4999999999999997E-3</v>
      </c>
      <c r="F1284" s="80">
        <v>16869</v>
      </c>
      <c r="G1284" s="81"/>
      <c r="H1284" s="80">
        <v>-5416.55</v>
      </c>
      <c r="I1284" s="93">
        <f>H1284/F1284</f>
        <v>-0.3210949078190764</v>
      </c>
    </row>
    <row r="1285" spans="1:9" x14ac:dyDescent="0.25">
      <c r="A1285" s="76" t="s">
        <v>643</v>
      </c>
      <c r="B1285" s="76" t="s">
        <v>374</v>
      </c>
      <c r="C1285" s="77">
        <v>41137</v>
      </c>
      <c r="D1285" s="78">
        <v>41425</v>
      </c>
      <c r="E1285" s="79">
        <v>4.4999999999999997E-3</v>
      </c>
      <c r="F1285" s="80"/>
      <c r="G1285" s="81">
        <v>255</v>
      </c>
      <c r="H1285" s="80">
        <v>-998.75</v>
      </c>
      <c r="I1285" s="93">
        <f>H1285/G1285</f>
        <v>-3.9166666666666665</v>
      </c>
    </row>
    <row r="1286" spans="1:9" x14ac:dyDescent="0.25">
      <c r="A1286" s="76" t="s">
        <v>643</v>
      </c>
      <c r="B1286" s="76" t="s">
        <v>374</v>
      </c>
      <c r="C1286" s="77">
        <v>41137</v>
      </c>
      <c r="D1286" s="78">
        <v>41425</v>
      </c>
      <c r="E1286" s="79">
        <v>4.4999999999999997E-3</v>
      </c>
      <c r="F1286" s="80">
        <v>14206</v>
      </c>
      <c r="G1286" s="81"/>
      <c r="H1286" s="80">
        <v>-31837.599999999999</v>
      </c>
      <c r="I1286" s="93">
        <f>H1286/F1286</f>
        <v>-2.2411375475151343</v>
      </c>
    </row>
    <row r="1287" spans="1:9" x14ac:dyDescent="0.25">
      <c r="A1287" s="76" t="s">
        <v>643</v>
      </c>
      <c r="B1287" s="76" t="s">
        <v>660</v>
      </c>
      <c r="C1287" s="77">
        <v>40865</v>
      </c>
      <c r="D1287" s="78">
        <v>41230</v>
      </c>
      <c r="E1287" s="79">
        <v>8.9999999999999993E-3</v>
      </c>
      <c r="F1287" s="80">
        <v>207654.84</v>
      </c>
      <c r="G1287" s="81"/>
      <c r="H1287" s="80">
        <v>78039.94</v>
      </c>
      <c r="I1287" s="93">
        <f>H1287/F1287</f>
        <v>0.37581565640367448</v>
      </c>
    </row>
    <row r="1288" spans="1:9" x14ac:dyDescent="0.25">
      <c r="A1288" s="76" t="s">
        <v>643</v>
      </c>
      <c r="B1288" s="76" t="s">
        <v>660</v>
      </c>
      <c r="C1288" s="77">
        <v>40865</v>
      </c>
      <c r="D1288" s="78">
        <v>41230</v>
      </c>
      <c r="E1288" s="79">
        <v>8.9999999999999993E-3</v>
      </c>
      <c r="F1288" s="80"/>
      <c r="G1288" s="81">
        <v>3329</v>
      </c>
      <c r="H1288" s="80">
        <v>0</v>
      </c>
      <c r="I1288" s="93">
        <f>H1288/G1288</f>
        <v>0</v>
      </c>
    </row>
    <row r="1289" spans="1:9" x14ac:dyDescent="0.25">
      <c r="A1289" s="76" t="s">
        <v>643</v>
      </c>
      <c r="B1289" s="76" t="s">
        <v>158</v>
      </c>
      <c r="C1289" s="77">
        <v>40555</v>
      </c>
      <c r="D1289" s="78">
        <v>40919</v>
      </c>
      <c r="E1289" s="79">
        <v>4.4999999999999997E-3</v>
      </c>
      <c r="F1289" s="80">
        <v>229935.18</v>
      </c>
      <c r="G1289" s="81"/>
      <c r="H1289" s="80">
        <v>67923.98</v>
      </c>
      <c r="I1289" s="93">
        <f>H1289/F1289</f>
        <v>0.295404904982352</v>
      </c>
    </row>
    <row r="1290" spans="1:9" x14ac:dyDescent="0.25">
      <c r="A1290" s="76" t="s">
        <v>643</v>
      </c>
      <c r="B1290" s="76" t="s">
        <v>158</v>
      </c>
      <c r="C1290" s="77">
        <v>40555</v>
      </c>
      <c r="D1290" s="78">
        <v>40919</v>
      </c>
      <c r="E1290" s="79">
        <v>4.4999999999999997E-3</v>
      </c>
      <c r="F1290" s="80"/>
      <c r="G1290" s="81">
        <v>12082.01</v>
      </c>
      <c r="H1290" s="80">
        <v>4699.6099999999997</v>
      </c>
      <c r="I1290" s="93">
        <f>H1290/G1290</f>
        <v>0.3889758409403733</v>
      </c>
    </row>
    <row r="1291" spans="1:9" x14ac:dyDescent="0.25">
      <c r="A1291" s="76" t="s">
        <v>643</v>
      </c>
      <c r="B1291" s="76" t="s">
        <v>158</v>
      </c>
      <c r="C1291" s="77">
        <v>40920</v>
      </c>
      <c r="D1291" s="78">
        <v>41274</v>
      </c>
      <c r="E1291" s="79">
        <v>4.4999999999999997E-3</v>
      </c>
      <c r="F1291" s="80">
        <v>0</v>
      </c>
      <c r="G1291" s="81"/>
      <c r="H1291" s="80">
        <v>0</v>
      </c>
      <c r="I1291" s="93">
        <v>0</v>
      </c>
    </row>
    <row r="1292" spans="1:9" x14ac:dyDescent="0.25">
      <c r="A1292" s="76" t="s">
        <v>643</v>
      </c>
      <c r="B1292" s="76" t="s">
        <v>158</v>
      </c>
      <c r="C1292" s="77">
        <v>40920</v>
      </c>
      <c r="D1292" s="78">
        <v>41274</v>
      </c>
      <c r="E1292" s="79">
        <v>4.4999999999999997E-3</v>
      </c>
      <c r="F1292" s="80"/>
      <c r="G1292" s="81">
        <v>0</v>
      </c>
      <c r="H1292" s="80">
        <v>0</v>
      </c>
      <c r="I1292" s="93">
        <v>0</v>
      </c>
    </row>
    <row r="1293" spans="1:9" x14ac:dyDescent="0.25">
      <c r="A1293" s="76" t="s">
        <v>643</v>
      </c>
      <c r="B1293" s="76" t="s">
        <v>644</v>
      </c>
      <c r="C1293" s="77">
        <v>40549</v>
      </c>
      <c r="D1293" s="78">
        <v>40913</v>
      </c>
      <c r="E1293" s="79">
        <v>4.4999999999999997E-3</v>
      </c>
      <c r="F1293" s="80">
        <v>58924.5</v>
      </c>
      <c r="G1293" s="81"/>
      <c r="H1293" s="80">
        <v>0</v>
      </c>
      <c r="I1293" s="93">
        <f>H1293/F1293</f>
        <v>0</v>
      </c>
    </row>
    <row r="1294" spans="1:9" x14ac:dyDescent="0.25">
      <c r="A1294" s="76" t="s">
        <v>643</v>
      </c>
      <c r="B1294" s="76" t="s">
        <v>644</v>
      </c>
      <c r="C1294" s="77">
        <v>40549</v>
      </c>
      <c r="D1294" s="78">
        <v>40913</v>
      </c>
      <c r="E1294" s="79">
        <v>4.4999999999999997E-3</v>
      </c>
      <c r="F1294" s="80"/>
      <c r="G1294" s="81">
        <v>3021</v>
      </c>
      <c r="H1294" s="80">
        <v>0</v>
      </c>
      <c r="I1294" s="93">
        <f>H1294/G1294</f>
        <v>0</v>
      </c>
    </row>
    <row r="1295" spans="1:9" x14ac:dyDescent="0.25">
      <c r="A1295" s="76" t="s">
        <v>643</v>
      </c>
      <c r="B1295" s="76" t="s">
        <v>644</v>
      </c>
      <c r="C1295" s="77">
        <v>40914</v>
      </c>
      <c r="D1295" s="78">
        <v>41252</v>
      </c>
      <c r="E1295" s="79">
        <v>4.4999999999999997E-3</v>
      </c>
      <c r="F1295" s="80">
        <v>0</v>
      </c>
      <c r="G1295" s="81"/>
      <c r="H1295" s="80">
        <v>0</v>
      </c>
      <c r="I1295" s="93">
        <v>0</v>
      </c>
    </row>
    <row r="1296" spans="1:9" x14ac:dyDescent="0.25">
      <c r="A1296" s="76" t="s">
        <v>643</v>
      </c>
      <c r="B1296" s="76" t="s">
        <v>644</v>
      </c>
      <c r="C1296" s="77">
        <v>40914</v>
      </c>
      <c r="D1296" s="78">
        <v>41252</v>
      </c>
      <c r="E1296" s="79">
        <v>4.4999999999999997E-3</v>
      </c>
      <c r="F1296" s="80"/>
      <c r="G1296" s="81">
        <v>0</v>
      </c>
      <c r="H1296" s="80">
        <v>0</v>
      </c>
      <c r="I1296" s="93">
        <v>0</v>
      </c>
    </row>
    <row r="1297" spans="1:9" x14ac:dyDescent="0.25">
      <c r="A1297" s="76" t="s">
        <v>643</v>
      </c>
      <c r="B1297" s="76" t="s">
        <v>648</v>
      </c>
      <c r="C1297" s="77">
        <v>40695</v>
      </c>
      <c r="D1297" s="78">
        <v>41060</v>
      </c>
      <c r="E1297" s="79">
        <v>4.4999999999999997E-3</v>
      </c>
      <c r="F1297" s="80">
        <v>237303.03</v>
      </c>
      <c r="G1297" s="81"/>
      <c r="H1297" s="80">
        <v>92410.41</v>
      </c>
      <c r="I1297" s="93">
        <f>H1297/F1297</f>
        <v>0.38941942713500122</v>
      </c>
    </row>
    <row r="1298" spans="1:9" x14ac:dyDescent="0.25">
      <c r="A1298" s="76" t="s">
        <v>643</v>
      </c>
      <c r="B1298" s="76" t="s">
        <v>648</v>
      </c>
      <c r="C1298" s="77">
        <v>41061</v>
      </c>
      <c r="D1298" s="78">
        <v>41394</v>
      </c>
      <c r="E1298" s="79">
        <v>4.4999999999999997E-3</v>
      </c>
      <c r="F1298" s="80">
        <v>196454.05</v>
      </c>
      <c r="G1298" s="81"/>
      <c r="H1298" s="80">
        <v>88882.55</v>
      </c>
      <c r="I1298" s="93">
        <f>H1298/F1298</f>
        <v>0.45243429697682491</v>
      </c>
    </row>
    <row r="1299" spans="1:9" x14ac:dyDescent="0.25">
      <c r="A1299" s="76" t="s">
        <v>643</v>
      </c>
      <c r="B1299" s="76" t="s">
        <v>648</v>
      </c>
      <c r="C1299" s="77">
        <v>40695</v>
      </c>
      <c r="D1299" s="78">
        <v>41060</v>
      </c>
      <c r="E1299" s="79">
        <v>4.4999999999999997E-3</v>
      </c>
      <c r="F1299" s="80"/>
      <c r="G1299" s="81">
        <v>10725</v>
      </c>
      <c r="H1299" s="80">
        <v>4031.08</v>
      </c>
      <c r="I1299" s="93">
        <f>H1299/G1299</f>
        <v>0.37585827505827507</v>
      </c>
    </row>
    <row r="1300" spans="1:9" x14ac:dyDescent="0.25">
      <c r="A1300" s="76" t="s">
        <v>643</v>
      </c>
      <c r="B1300" s="76" t="s">
        <v>648</v>
      </c>
      <c r="C1300" s="77">
        <v>41061</v>
      </c>
      <c r="D1300" s="78">
        <v>41394</v>
      </c>
      <c r="E1300" s="79">
        <v>4.4999999999999997E-3</v>
      </c>
      <c r="F1300" s="80"/>
      <c r="G1300" s="81">
        <v>5180</v>
      </c>
      <c r="H1300" s="80">
        <v>212.8</v>
      </c>
      <c r="I1300" s="93">
        <f>H1300/G1300</f>
        <v>4.1081081081081085E-2</v>
      </c>
    </row>
    <row r="1301" spans="1:9" x14ac:dyDescent="0.25">
      <c r="A1301" s="76" t="s">
        <v>643</v>
      </c>
      <c r="B1301" s="76" t="s">
        <v>181</v>
      </c>
      <c r="C1301" s="77">
        <v>40847</v>
      </c>
      <c r="D1301" s="78">
        <v>41212</v>
      </c>
      <c r="E1301" s="79">
        <v>4.4999999999999997E-3</v>
      </c>
      <c r="F1301" s="80">
        <v>172677.05</v>
      </c>
      <c r="G1301" s="81"/>
      <c r="H1301" s="80">
        <v>0</v>
      </c>
      <c r="I1301" s="93">
        <f>H1301/F1301</f>
        <v>0</v>
      </c>
    </row>
    <row r="1302" spans="1:9" x14ac:dyDescent="0.25">
      <c r="A1302" s="76" t="s">
        <v>643</v>
      </c>
      <c r="B1302" s="76" t="s">
        <v>181</v>
      </c>
      <c r="C1302" s="77">
        <v>40847</v>
      </c>
      <c r="D1302" s="78">
        <v>41212</v>
      </c>
      <c r="E1302" s="79">
        <v>4.4999999999999997E-3</v>
      </c>
      <c r="F1302" s="80"/>
      <c r="G1302" s="81">
        <v>4040</v>
      </c>
      <c r="H1302" s="80">
        <v>0</v>
      </c>
      <c r="I1302" s="93">
        <f>H1302/G1302</f>
        <v>0</v>
      </c>
    </row>
    <row r="1303" spans="1:9" x14ac:dyDescent="0.25">
      <c r="A1303" s="76" t="s">
        <v>643</v>
      </c>
      <c r="B1303" s="76" t="s">
        <v>181</v>
      </c>
      <c r="C1303" s="77">
        <v>41213</v>
      </c>
      <c r="D1303" s="78">
        <v>41577</v>
      </c>
      <c r="E1303" s="79">
        <v>4.4999999999999997E-3</v>
      </c>
      <c r="F1303" s="80"/>
      <c r="G1303" s="81">
        <v>20160.18</v>
      </c>
      <c r="H1303" s="80">
        <v>-5888.22</v>
      </c>
      <c r="I1303" s="93">
        <f>H1303/G1303</f>
        <v>-0.29207179697800317</v>
      </c>
    </row>
    <row r="1304" spans="1:9" x14ac:dyDescent="0.25">
      <c r="A1304" s="76" t="s">
        <v>643</v>
      </c>
      <c r="B1304" s="76" t="s">
        <v>181</v>
      </c>
      <c r="C1304" s="77">
        <v>41213</v>
      </c>
      <c r="D1304" s="78">
        <v>41577</v>
      </c>
      <c r="E1304" s="79">
        <v>4.4999999999999997E-3</v>
      </c>
      <c r="F1304" s="80">
        <v>505210.2</v>
      </c>
      <c r="G1304" s="81"/>
      <c r="H1304" s="80">
        <v>-35782.120000000003</v>
      </c>
      <c r="I1304" s="93">
        <f>H1304/F1304</f>
        <v>-7.0826202638030675E-2</v>
      </c>
    </row>
    <row r="1305" spans="1:9" x14ac:dyDescent="0.25">
      <c r="A1305" s="76" t="s">
        <v>643</v>
      </c>
      <c r="B1305" s="76" t="s">
        <v>247</v>
      </c>
      <c r="C1305" s="77">
        <v>40954</v>
      </c>
      <c r="D1305" s="78">
        <v>41274</v>
      </c>
      <c r="E1305" s="79">
        <v>4.4999999999999997E-3</v>
      </c>
      <c r="F1305" s="80">
        <v>192923.81</v>
      </c>
      <c r="G1305" s="81"/>
      <c r="H1305" s="80">
        <v>51505.21</v>
      </c>
      <c r="I1305" s="93">
        <f>H1305/F1305</f>
        <v>0.26697176465673161</v>
      </c>
    </row>
    <row r="1306" spans="1:9" x14ac:dyDescent="0.25">
      <c r="A1306" s="76" t="s">
        <v>643</v>
      </c>
      <c r="B1306" s="76" t="s">
        <v>247</v>
      </c>
      <c r="C1306" s="77">
        <v>40954</v>
      </c>
      <c r="D1306" s="78">
        <v>41274</v>
      </c>
      <c r="E1306" s="79">
        <v>4.4999999999999997E-3</v>
      </c>
      <c r="F1306" s="80"/>
      <c r="G1306" s="81">
        <v>2810</v>
      </c>
      <c r="H1306" s="80">
        <v>1304</v>
      </c>
      <c r="I1306" s="93">
        <f>H1306/G1306</f>
        <v>0.46405693950177934</v>
      </c>
    </row>
    <row r="1307" spans="1:9" x14ac:dyDescent="0.25">
      <c r="A1307" s="76" t="s">
        <v>643</v>
      </c>
      <c r="B1307" s="76" t="s">
        <v>117</v>
      </c>
      <c r="C1307" s="77">
        <v>40585</v>
      </c>
      <c r="D1307" s="78">
        <v>40949</v>
      </c>
      <c r="E1307" s="79">
        <v>4.4999999999999997E-3</v>
      </c>
      <c r="F1307" s="80">
        <v>419020.47</v>
      </c>
      <c r="G1307" s="81"/>
      <c r="H1307" s="80">
        <v>190859.47</v>
      </c>
      <c r="I1307" s="93">
        <f>H1307/F1307</f>
        <v>0.45548960889667278</v>
      </c>
    </row>
    <row r="1308" spans="1:9" x14ac:dyDescent="0.25">
      <c r="A1308" s="76" t="s">
        <v>643</v>
      </c>
      <c r="B1308" s="76" t="s">
        <v>117</v>
      </c>
      <c r="C1308" s="77">
        <v>40950</v>
      </c>
      <c r="D1308" s="78">
        <v>41274</v>
      </c>
      <c r="E1308" s="79">
        <v>4.4999999999999997E-3</v>
      </c>
      <c r="F1308" s="80">
        <v>45626</v>
      </c>
      <c r="G1308" s="81"/>
      <c r="H1308" s="80">
        <v>28970</v>
      </c>
      <c r="I1308" s="93">
        <f>H1308/F1308</f>
        <v>0.63494498750712314</v>
      </c>
    </row>
    <row r="1309" spans="1:9" x14ac:dyDescent="0.25">
      <c r="A1309" s="76" t="s">
        <v>643</v>
      </c>
      <c r="B1309" s="76" t="s">
        <v>117</v>
      </c>
      <c r="C1309" s="77">
        <v>40585</v>
      </c>
      <c r="D1309" s="78">
        <v>40949</v>
      </c>
      <c r="E1309" s="79">
        <v>4.4999999999999997E-3</v>
      </c>
      <c r="F1309" s="80"/>
      <c r="G1309" s="81">
        <v>34994.19</v>
      </c>
      <c r="H1309" s="80">
        <v>15829.19</v>
      </c>
      <c r="I1309" s="93">
        <f>H1309/G1309</f>
        <v>0.45233765948004512</v>
      </c>
    </row>
    <row r="1310" spans="1:9" x14ac:dyDescent="0.25">
      <c r="A1310" s="76" t="s">
        <v>643</v>
      </c>
      <c r="B1310" s="76" t="s">
        <v>117</v>
      </c>
      <c r="C1310" s="77">
        <v>40950</v>
      </c>
      <c r="D1310" s="78">
        <v>41274</v>
      </c>
      <c r="E1310" s="79">
        <v>4.4999999999999997E-3</v>
      </c>
      <c r="F1310" s="80"/>
      <c r="G1310" s="81">
        <v>2970</v>
      </c>
      <c r="H1310" s="80">
        <v>1635</v>
      </c>
      <c r="I1310" s="93">
        <f>H1310/G1310</f>
        <v>0.5505050505050505</v>
      </c>
    </row>
    <row r="1311" spans="1:9" x14ac:dyDescent="0.25">
      <c r="A1311" s="76" t="s">
        <v>643</v>
      </c>
      <c r="B1311" s="76" t="s">
        <v>168</v>
      </c>
      <c r="C1311" s="77">
        <v>40969</v>
      </c>
      <c r="D1311" s="78">
        <v>41274</v>
      </c>
      <c r="E1311" s="79">
        <v>1.7999999999999999E-2</v>
      </c>
      <c r="F1311" s="80">
        <v>90364.34</v>
      </c>
      <c r="G1311" s="81"/>
      <c r="H1311" s="80">
        <v>0</v>
      </c>
      <c r="I1311" s="93">
        <f>H1311/F1311</f>
        <v>0</v>
      </c>
    </row>
    <row r="1312" spans="1:9" x14ac:dyDescent="0.25">
      <c r="A1312" s="76" t="s">
        <v>643</v>
      </c>
      <c r="B1312" s="76" t="s">
        <v>168</v>
      </c>
      <c r="C1312" s="77">
        <v>40969</v>
      </c>
      <c r="D1312" s="78">
        <v>41274</v>
      </c>
      <c r="E1312" s="79">
        <v>1.7999999999999999E-2</v>
      </c>
      <c r="F1312" s="80"/>
      <c r="G1312" s="81">
        <v>3305</v>
      </c>
      <c r="H1312" s="80">
        <v>0</v>
      </c>
      <c r="I1312" s="93">
        <f>H1312/G1312</f>
        <v>0</v>
      </c>
    </row>
    <row r="1313" spans="1:9" x14ac:dyDescent="0.25">
      <c r="A1313" s="76" t="s">
        <v>643</v>
      </c>
      <c r="B1313" s="76" t="s">
        <v>645</v>
      </c>
      <c r="C1313" s="77">
        <v>40591</v>
      </c>
      <c r="D1313" s="78">
        <v>40955</v>
      </c>
      <c r="E1313" s="79">
        <v>4.4999999999999997E-3</v>
      </c>
      <c r="F1313" s="80">
        <v>2028540.68</v>
      </c>
      <c r="G1313" s="81"/>
      <c r="H1313" s="80">
        <v>567377.74</v>
      </c>
      <c r="I1313" s="93">
        <f>H1313/F1313</f>
        <v>0.27969749169634595</v>
      </c>
    </row>
    <row r="1314" spans="1:9" x14ac:dyDescent="0.25">
      <c r="A1314" s="76" t="s">
        <v>643</v>
      </c>
      <c r="B1314" s="76" t="s">
        <v>645</v>
      </c>
      <c r="C1314" s="77">
        <v>40956</v>
      </c>
      <c r="D1314" s="78">
        <v>41274</v>
      </c>
      <c r="E1314" s="79">
        <v>4.4999999999999997E-3</v>
      </c>
      <c r="F1314" s="80">
        <v>2024532.84</v>
      </c>
      <c r="G1314" s="81"/>
      <c r="H1314" s="80">
        <v>437195.04</v>
      </c>
      <c r="I1314" s="93">
        <f>H1314/F1314</f>
        <v>0.21594860372825564</v>
      </c>
    </row>
    <row r="1315" spans="1:9" x14ac:dyDescent="0.25">
      <c r="A1315" s="76" t="s">
        <v>643</v>
      </c>
      <c r="B1315" s="76" t="s">
        <v>645</v>
      </c>
      <c r="C1315" s="77">
        <v>40956</v>
      </c>
      <c r="D1315" s="78">
        <v>41274</v>
      </c>
      <c r="E1315" s="79">
        <v>4.4999999999999997E-3</v>
      </c>
      <c r="F1315" s="80"/>
      <c r="G1315" s="81">
        <v>57344.04</v>
      </c>
      <c r="H1315" s="80">
        <v>9905.5</v>
      </c>
      <c r="I1315" s="93">
        <f>H1315/G1315</f>
        <v>0.17273809100300572</v>
      </c>
    </row>
    <row r="1316" spans="1:9" x14ac:dyDescent="0.25">
      <c r="A1316" s="76" t="s">
        <v>643</v>
      </c>
      <c r="B1316" s="76" t="s">
        <v>645</v>
      </c>
      <c r="C1316" s="77">
        <v>40591</v>
      </c>
      <c r="D1316" s="78">
        <v>40955</v>
      </c>
      <c r="E1316" s="79">
        <v>4.4999999999999997E-3</v>
      </c>
      <c r="F1316" s="80"/>
      <c r="G1316" s="81">
        <v>70134.039999999994</v>
      </c>
      <c r="H1316" s="80">
        <v>3609.86</v>
      </c>
      <c r="I1316" s="93">
        <f>H1316/G1316</f>
        <v>5.1470869209872989E-2</v>
      </c>
    </row>
    <row r="1317" spans="1:9" x14ac:dyDescent="0.25">
      <c r="A1317" s="76" t="s">
        <v>643</v>
      </c>
      <c r="B1317" s="76" t="s">
        <v>656</v>
      </c>
      <c r="C1317" s="77">
        <v>40942</v>
      </c>
      <c r="D1317" s="78">
        <v>41274</v>
      </c>
      <c r="E1317" s="79">
        <v>4.4999999999999997E-3</v>
      </c>
      <c r="F1317" s="80">
        <v>118869.32</v>
      </c>
      <c r="G1317" s="81"/>
      <c r="H1317" s="80">
        <v>0</v>
      </c>
      <c r="I1317" s="93">
        <v>0</v>
      </c>
    </row>
    <row r="1318" spans="1:9" x14ac:dyDescent="0.25">
      <c r="A1318" s="76" t="s">
        <v>643</v>
      </c>
      <c r="B1318" s="76" t="s">
        <v>656</v>
      </c>
      <c r="C1318" s="77">
        <v>40942</v>
      </c>
      <c r="D1318" s="78">
        <v>41274</v>
      </c>
      <c r="E1318" s="79">
        <v>4.4999999999999997E-3</v>
      </c>
      <c r="F1318" s="80"/>
      <c r="G1318" s="81">
        <v>4251.5</v>
      </c>
      <c r="H1318" s="80">
        <v>0</v>
      </c>
      <c r="I1318" s="93">
        <v>0</v>
      </c>
    </row>
    <row r="1319" spans="1:9" x14ac:dyDescent="0.25">
      <c r="A1319" s="76" t="s">
        <v>643</v>
      </c>
      <c r="B1319" s="76" t="s">
        <v>649</v>
      </c>
      <c r="C1319" s="77">
        <v>40754</v>
      </c>
      <c r="D1319" s="78">
        <v>41119</v>
      </c>
      <c r="E1319" s="79">
        <v>4.4999999999999997E-3</v>
      </c>
      <c r="F1319" s="80">
        <v>60177.67</v>
      </c>
      <c r="G1319" s="81"/>
      <c r="H1319" s="80">
        <v>27348.87</v>
      </c>
      <c r="I1319" s="93">
        <f>H1319/F1319</f>
        <v>0.45446874230923195</v>
      </c>
    </row>
    <row r="1320" spans="1:9" x14ac:dyDescent="0.25">
      <c r="A1320" s="76" t="s">
        <v>643</v>
      </c>
      <c r="B1320" s="76" t="s">
        <v>649</v>
      </c>
      <c r="C1320" s="77">
        <v>41120</v>
      </c>
      <c r="D1320" s="78">
        <v>41484</v>
      </c>
      <c r="E1320" s="79">
        <v>4.4999999999999997E-3</v>
      </c>
      <c r="F1320" s="80">
        <v>43686.59</v>
      </c>
      <c r="G1320" s="81"/>
      <c r="H1320" s="80">
        <v>12155.69</v>
      </c>
      <c r="I1320" s="93">
        <f>H1320/F1320</f>
        <v>0.27824762701781031</v>
      </c>
    </row>
    <row r="1321" spans="1:9" x14ac:dyDescent="0.25">
      <c r="A1321" s="76" t="s">
        <v>643</v>
      </c>
      <c r="B1321" s="76" t="s">
        <v>649</v>
      </c>
      <c r="C1321" s="77">
        <v>40754</v>
      </c>
      <c r="D1321" s="78">
        <v>41119</v>
      </c>
      <c r="E1321" s="79">
        <v>4.4999999999999997E-3</v>
      </c>
      <c r="F1321" s="80"/>
      <c r="G1321" s="81">
        <v>2484</v>
      </c>
      <c r="H1321" s="80">
        <v>1124</v>
      </c>
      <c r="I1321" s="93">
        <f>H1321/G1321</f>
        <v>0.45249597423510468</v>
      </c>
    </row>
    <row r="1322" spans="1:9" x14ac:dyDescent="0.25">
      <c r="A1322" s="76" t="s">
        <v>643</v>
      </c>
      <c r="B1322" s="76" t="s">
        <v>649</v>
      </c>
      <c r="C1322" s="77">
        <v>41120</v>
      </c>
      <c r="D1322" s="78">
        <v>41484</v>
      </c>
      <c r="E1322" s="79">
        <v>4.4999999999999997E-3</v>
      </c>
      <c r="F1322" s="80"/>
      <c r="G1322" s="81">
        <v>0</v>
      </c>
      <c r="H1322" s="80">
        <v>0</v>
      </c>
      <c r="I1322" s="93">
        <v>0</v>
      </c>
    </row>
    <row r="1323" spans="1:9" x14ac:dyDescent="0.25">
      <c r="A1323" s="76" t="s">
        <v>643</v>
      </c>
      <c r="B1323" s="76" t="s">
        <v>458</v>
      </c>
      <c r="C1323" s="77">
        <v>41090</v>
      </c>
      <c r="D1323" s="78">
        <v>41274</v>
      </c>
      <c r="E1323" s="79">
        <v>4.4999999999999997E-3</v>
      </c>
      <c r="F1323" s="80">
        <v>1068511.01</v>
      </c>
      <c r="G1323" s="81"/>
      <c r="H1323" s="80">
        <v>277351</v>
      </c>
      <c r="I1323" s="93">
        <f>H1323/F1323</f>
        <v>0.25956775120174008</v>
      </c>
    </row>
    <row r="1324" spans="1:9" x14ac:dyDescent="0.25">
      <c r="A1324" s="76" t="s">
        <v>643</v>
      </c>
      <c r="B1324" s="76" t="s">
        <v>458</v>
      </c>
      <c r="C1324" s="77">
        <v>40724</v>
      </c>
      <c r="D1324" s="78">
        <v>41089</v>
      </c>
      <c r="E1324" s="79">
        <v>4.4999999999999997E-3</v>
      </c>
      <c r="F1324" s="80">
        <v>1660831.65</v>
      </c>
      <c r="G1324" s="81"/>
      <c r="H1324" s="80">
        <v>196316.5</v>
      </c>
      <c r="I1324" s="93">
        <f>H1324/F1324</f>
        <v>0.11820373244934249</v>
      </c>
    </row>
    <row r="1325" spans="1:9" x14ac:dyDescent="0.25">
      <c r="A1325" s="76" t="s">
        <v>643</v>
      </c>
      <c r="B1325" s="76" t="s">
        <v>458</v>
      </c>
      <c r="C1325" s="77">
        <v>40724</v>
      </c>
      <c r="D1325" s="78">
        <v>41089</v>
      </c>
      <c r="E1325" s="79">
        <v>4.4999999999999997E-3</v>
      </c>
      <c r="F1325" s="80"/>
      <c r="G1325" s="81">
        <v>54779</v>
      </c>
      <c r="H1325" s="80">
        <v>4193</v>
      </c>
      <c r="I1325" s="93">
        <f>H1325/G1325</f>
        <v>7.6543931068475152E-2</v>
      </c>
    </row>
    <row r="1326" spans="1:9" x14ac:dyDescent="0.25">
      <c r="A1326" s="76" t="s">
        <v>643</v>
      </c>
      <c r="B1326" s="76" t="s">
        <v>458</v>
      </c>
      <c r="C1326" s="77">
        <v>41090</v>
      </c>
      <c r="D1326" s="78">
        <v>41274</v>
      </c>
      <c r="E1326" s="79">
        <v>4.4999999999999997E-3</v>
      </c>
      <c r="F1326" s="80"/>
      <c r="G1326" s="81">
        <v>16766</v>
      </c>
      <c r="H1326" s="80">
        <v>2909</v>
      </c>
      <c r="I1326" s="93">
        <f>H1326/G1326</f>
        <v>0.1735059048073482</v>
      </c>
    </row>
    <row r="1327" spans="1:9" x14ac:dyDescent="0.25">
      <c r="A1327" s="76" t="s">
        <v>643</v>
      </c>
      <c r="B1327" s="76" t="s">
        <v>174</v>
      </c>
      <c r="C1327" s="77">
        <v>40583</v>
      </c>
      <c r="D1327" s="78">
        <v>40947</v>
      </c>
      <c r="E1327" s="79">
        <v>0</v>
      </c>
      <c r="F1327" s="80">
        <v>1495117.97</v>
      </c>
      <c r="G1327" s="81"/>
      <c r="H1327" s="80">
        <v>909649.32</v>
      </c>
      <c r="I1327" s="93">
        <f>H1327/F1327</f>
        <v>0.60841307391951149</v>
      </c>
    </row>
    <row r="1328" spans="1:9" x14ac:dyDescent="0.25">
      <c r="A1328" s="76" t="s">
        <v>643</v>
      </c>
      <c r="B1328" s="76" t="s">
        <v>174</v>
      </c>
      <c r="C1328" s="77">
        <v>40948</v>
      </c>
      <c r="D1328" s="78">
        <v>41274</v>
      </c>
      <c r="E1328" s="79">
        <v>8.9999999999999998E-4</v>
      </c>
      <c r="F1328" s="80">
        <v>2330900.04</v>
      </c>
      <c r="G1328" s="81"/>
      <c r="H1328" s="80">
        <v>535425.38</v>
      </c>
      <c r="I1328" s="93">
        <f>H1328/F1328</f>
        <v>0.22970756824046387</v>
      </c>
    </row>
    <row r="1329" spans="1:9" x14ac:dyDescent="0.25">
      <c r="A1329" s="76" t="s">
        <v>643</v>
      </c>
      <c r="B1329" s="76" t="s">
        <v>174</v>
      </c>
      <c r="C1329" s="77">
        <v>40583</v>
      </c>
      <c r="D1329" s="78">
        <v>40947</v>
      </c>
      <c r="E1329" s="79">
        <v>0</v>
      </c>
      <c r="F1329" s="80"/>
      <c r="G1329" s="81">
        <v>58943.1</v>
      </c>
      <c r="H1329" s="80">
        <v>35318.449999999997</v>
      </c>
      <c r="I1329" s="93">
        <f>H1329/G1329</f>
        <v>0.59919566497181176</v>
      </c>
    </row>
    <row r="1330" spans="1:9" x14ac:dyDescent="0.25">
      <c r="A1330" s="76" t="s">
        <v>643</v>
      </c>
      <c r="B1330" s="76" t="s">
        <v>174</v>
      </c>
      <c r="C1330" s="77">
        <v>40948</v>
      </c>
      <c r="D1330" s="78">
        <v>41274</v>
      </c>
      <c r="E1330" s="79">
        <v>8.9999999999999998E-4</v>
      </c>
      <c r="F1330" s="80"/>
      <c r="G1330" s="81">
        <v>29196</v>
      </c>
      <c r="H1330" s="80">
        <v>5915.95</v>
      </c>
      <c r="I1330" s="93">
        <f>H1330/G1330</f>
        <v>0.20262878476503629</v>
      </c>
    </row>
    <row r="1331" spans="1:9" x14ac:dyDescent="0.25">
      <c r="A1331" s="76" t="s">
        <v>661</v>
      </c>
      <c r="B1331" s="76" t="s">
        <v>662</v>
      </c>
      <c r="C1331" s="77">
        <v>41106</v>
      </c>
      <c r="D1331" s="78">
        <v>41203</v>
      </c>
      <c r="E1331" s="79">
        <v>0</v>
      </c>
      <c r="F1331" s="80">
        <v>16309</v>
      </c>
      <c r="G1331" s="88"/>
      <c r="H1331" s="80">
        <v>5423.78</v>
      </c>
      <c r="I1331" s="93">
        <f t="shared" ref="I1331:I1345" si="25">H1331/F1331</f>
        <v>0.33256361518180144</v>
      </c>
    </row>
    <row r="1332" spans="1:9" x14ac:dyDescent="0.25">
      <c r="A1332" s="76" t="s">
        <v>663</v>
      </c>
      <c r="B1332" s="76" t="s">
        <v>664</v>
      </c>
      <c r="C1332" s="77">
        <v>41050</v>
      </c>
      <c r="D1332" s="78">
        <v>41327</v>
      </c>
      <c r="E1332" s="79">
        <v>0.35</v>
      </c>
      <c r="F1332" s="80">
        <v>48216</v>
      </c>
      <c r="G1332" s="88"/>
      <c r="H1332" s="80">
        <v>16875.599999999999</v>
      </c>
      <c r="I1332" s="93">
        <f t="shared" si="25"/>
        <v>0.35</v>
      </c>
    </row>
    <row r="1333" spans="1:9" x14ac:dyDescent="0.25">
      <c r="A1333" s="76" t="s">
        <v>663</v>
      </c>
      <c r="B1333" s="76" t="s">
        <v>664</v>
      </c>
      <c r="C1333" s="77">
        <v>40921</v>
      </c>
      <c r="D1333" s="78">
        <v>40955</v>
      </c>
      <c r="E1333" s="79">
        <v>0.35</v>
      </c>
      <c r="F1333" s="80">
        <v>31620</v>
      </c>
      <c r="G1333" s="88"/>
      <c r="H1333" s="80">
        <v>11067</v>
      </c>
      <c r="I1333" s="93">
        <f t="shared" si="25"/>
        <v>0.35</v>
      </c>
    </row>
    <row r="1334" spans="1:9" x14ac:dyDescent="0.25">
      <c r="A1334" s="76" t="s">
        <v>665</v>
      </c>
      <c r="B1334" s="76" t="s">
        <v>671</v>
      </c>
      <c r="C1334" s="77">
        <v>40934</v>
      </c>
      <c r="D1334" s="78">
        <v>41299</v>
      </c>
      <c r="E1334" s="79">
        <v>0.2</v>
      </c>
      <c r="F1334" s="80">
        <v>356998</v>
      </c>
      <c r="G1334" s="81"/>
      <c r="H1334" s="80">
        <v>71400</v>
      </c>
      <c r="I1334" s="93">
        <f t="shared" si="25"/>
        <v>0.20000112045445634</v>
      </c>
    </row>
    <row r="1335" spans="1:9" x14ac:dyDescent="0.25">
      <c r="A1335" s="76" t="s">
        <v>665</v>
      </c>
      <c r="B1335" s="76" t="s">
        <v>668</v>
      </c>
      <c r="C1335" s="77">
        <v>40634</v>
      </c>
      <c r="D1335" s="78">
        <v>40999</v>
      </c>
      <c r="E1335" s="79">
        <v>0.24</v>
      </c>
      <c r="F1335" s="80">
        <v>148675</v>
      </c>
      <c r="G1335" s="81"/>
      <c r="H1335" s="80">
        <v>35682</v>
      </c>
      <c r="I1335" s="93">
        <f t="shared" si="25"/>
        <v>0.24</v>
      </c>
    </row>
    <row r="1336" spans="1:9" x14ac:dyDescent="0.25">
      <c r="A1336" s="76" t="s">
        <v>665</v>
      </c>
      <c r="B1336" s="76" t="s">
        <v>669</v>
      </c>
      <c r="C1336" s="77">
        <v>40664</v>
      </c>
      <c r="D1336" s="78">
        <v>41029</v>
      </c>
      <c r="E1336" s="79">
        <v>0.17</v>
      </c>
      <c r="F1336" s="80">
        <v>442297</v>
      </c>
      <c r="G1336" s="81"/>
      <c r="H1336" s="80">
        <v>75190</v>
      </c>
      <c r="I1336" s="93">
        <f t="shared" si="25"/>
        <v>0.1699988921471319</v>
      </c>
    </row>
    <row r="1337" spans="1:9" x14ac:dyDescent="0.25">
      <c r="A1337" s="76" t="s">
        <v>665</v>
      </c>
      <c r="B1337" s="76" t="s">
        <v>669</v>
      </c>
      <c r="C1337" s="77">
        <v>41030</v>
      </c>
      <c r="D1337" s="78">
        <v>41213</v>
      </c>
      <c r="E1337" s="79">
        <v>0.17</v>
      </c>
      <c r="F1337" s="80">
        <v>168884</v>
      </c>
      <c r="G1337" s="81"/>
      <c r="H1337" s="80">
        <v>28710</v>
      </c>
      <c r="I1337" s="93">
        <f t="shared" si="25"/>
        <v>0.16999834205727007</v>
      </c>
    </row>
    <row r="1338" spans="1:9" x14ac:dyDescent="0.25">
      <c r="A1338" s="76" t="s">
        <v>665</v>
      </c>
      <c r="B1338" s="123" t="s">
        <v>667</v>
      </c>
      <c r="C1338" s="77">
        <v>40569</v>
      </c>
      <c r="D1338" s="78">
        <v>40933</v>
      </c>
      <c r="E1338" s="79">
        <v>0.2</v>
      </c>
      <c r="F1338" s="80">
        <v>65815</v>
      </c>
      <c r="G1338" s="81"/>
      <c r="H1338" s="80">
        <v>13163</v>
      </c>
      <c r="I1338" s="93">
        <f t="shared" si="25"/>
        <v>0.2</v>
      </c>
    </row>
    <row r="1339" spans="1:9" x14ac:dyDescent="0.25">
      <c r="A1339" s="76" t="s">
        <v>665</v>
      </c>
      <c r="B1339" s="76" t="s">
        <v>667</v>
      </c>
      <c r="C1339" s="77">
        <v>40934</v>
      </c>
      <c r="D1339" s="78">
        <v>41274</v>
      </c>
      <c r="E1339" s="79">
        <v>0.18</v>
      </c>
      <c r="F1339" s="80">
        <v>40047</v>
      </c>
      <c r="G1339" s="81"/>
      <c r="H1339" s="80">
        <v>8009</v>
      </c>
      <c r="I1339" s="93">
        <f t="shared" si="25"/>
        <v>0.19999001173620995</v>
      </c>
    </row>
    <row r="1340" spans="1:9" x14ac:dyDescent="0.25">
      <c r="A1340" s="76" t="s">
        <v>665</v>
      </c>
      <c r="B1340" s="76" t="s">
        <v>672</v>
      </c>
      <c r="C1340" s="77">
        <v>40909</v>
      </c>
      <c r="D1340" s="78">
        <v>41274</v>
      </c>
      <c r="E1340" s="79">
        <v>0.19800000000000001</v>
      </c>
      <c r="F1340" s="80">
        <v>551533</v>
      </c>
      <c r="G1340" s="81"/>
      <c r="H1340" s="80">
        <v>144305</v>
      </c>
      <c r="I1340" s="93">
        <f t="shared" si="25"/>
        <v>0.26164345560465102</v>
      </c>
    </row>
    <row r="1341" spans="1:9" x14ac:dyDescent="0.25">
      <c r="A1341" s="76" t="s">
        <v>665</v>
      </c>
      <c r="B1341" s="76" t="s">
        <v>666</v>
      </c>
      <c r="C1341" s="77">
        <v>40569</v>
      </c>
      <c r="D1341" s="78">
        <v>40933</v>
      </c>
      <c r="E1341" s="79">
        <v>0.2</v>
      </c>
      <c r="F1341" s="80">
        <v>429272</v>
      </c>
      <c r="G1341" s="81"/>
      <c r="H1341" s="80">
        <v>85855</v>
      </c>
      <c r="I1341" s="93">
        <f t="shared" si="25"/>
        <v>0.20000139771520156</v>
      </c>
    </row>
    <row r="1342" spans="1:9" x14ac:dyDescent="0.25">
      <c r="A1342" s="76" t="s">
        <v>665</v>
      </c>
      <c r="B1342" s="76" t="s">
        <v>673</v>
      </c>
      <c r="C1342" s="77">
        <v>41061</v>
      </c>
      <c r="D1342" s="78">
        <v>41425</v>
      </c>
      <c r="E1342" s="79">
        <v>0.189</v>
      </c>
      <c r="F1342" s="80">
        <v>46456</v>
      </c>
      <c r="G1342" s="81"/>
      <c r="H1342" s="80">
        <v>9756</v>
      </c>
      <c r="I1342" s="93">
        <f t="shared" si="25"/>
        <v>0.21000516617874979</v>
      </c>
    </row>
    <row r="1343" spans="1:9" x14ac:dyDescent="0.25">
      <c r="A1343" s="76" t="s">
        <v>665</v>
      </c>
      <c r="B1343" s="76" t="s">
        <v>670</v>
      </c>
      <c r="C1343" s="77">
        <v>40909</v>
      </c>
      <c r="D1343" s="78">
        <v>41253</v>
      </c>
      <c r="E1343" s="79">
        <v>0.2</v>
      </c>
      <c r="F1343" s="80">
        <v>568396</v>
      </c>
      <c r="G1343" s="81"/>
      <c r="H1343" s="80">
        <v>109934</v>
      </c>
      <c r="I1343" s="93">
        <f t="shared" si="25"/>
        <v>0.19341093181514296</v>
      </c>
    </row>
    <row r="1344" spans="1:9" x14ac:dyDescent="0.25">
      <c r="A1344" s="76" t="s">
        <v>674</v>
      </c>
      <c r="B1344" s="76" t="s">
        <v>109</v>
      </c>
      <c r="C1344" s="77">
        <v>40920</v>
      </c>
      <c r="D1344" s="78">
        <v>41274</v>
      </c>
      <c r="E1344" s="79">
        <v>0.22500000000000001</v>
      </c>
      <c r="F1344" s="80">
        <v>46683</v>
      </c>
      <c r="G1344" s="81"/>
      <c r="H1344" s="80">
        <v>19712.599999999999</v>
      </c>
      <c r="I1344" s="93">
        <f t="shared" si="25"/>
        <v>0.42226506437032751</v>
      </c>
    </row>
    <row r="1345" spans="1:9" x14ac:dyDescent="0.25">
      <c r="A1345" s="76" t="s">
        <v>674</v>
      </c>
      <c r="B1345" s="76" t="s">
        <v>213</v>
      </c>
      <c r="C1345" s="77">
        <v>40911</v>
      </c>
      <c r="D1345" s="78">
        <v>41274</v>
      </c>
      <c r="E1345" s="79">
        <v>9.9000000000000005E-2</v>
      </c>
      <c r="F1345" s="80">
        <v>796977.67</v>
      </c>
      <c r="G1345" s="81"/>
      <c r="H1345" s="80">
        <v>178981.36</v>
      </c>
      <c r="I1345" s="93">
        <f t="shared" si="25"/>
        <v>0.22457512517257852</v>
      </c>
    </row>
    <row r="1346" spans="1:9" x14ac:dyDescent="0.25">
      <c r="A1346" s="76" t="s">
        <v>674</v>
      </c>
      <c r="B1346" s="76" t="s">
        <v>213</v>
      </c>
      <c r="C1346" s="77">
        <v>40911</v>
      </c>
      <c r="D1346" s="78">
        <v>41274</v>
      </c>
      <c r="E1346" s="79">
        <v>9.9000000000000005E-2</v>
      </c>
      <c r="F1346" s="80"/>
      <c r="G1346" s="81">
        <v>20514</v>
      </c>
      <c r="H1346" s="80">
        <v>3840.44</v>
      </c>
      <c r="I1346" s="93">
        <f>H1346/G1346</f>
        <v>0.18721068538559033</v>
      </c>
    </row>
    <row r="1347" spans="1:9" x14ac:dyDescent="0.25">
      <c r="A1347" s="76" t="s">
        <v>674</v>
      </c>
      <c r="B1347" s="76" t="s">
        <v>172</v>
      </c>
      <c r="C1347" s="77">
        <v>40920</v>
      </c>
      <c r="D1347" s="78">
        <v>41274</v>
      </c>
      <c r="E1347" s="79">
        <v>0.29699999999999999</v>
      </c>
      <c r="F1347" s="80">
        <v>4792418.3499999996</v>
      </c>
      <c r="G1347" s="81"/>
      <c r="H1347" s="80">
        <v>3981987.29</v>
      </c>
      <c r="I1347" s="93">
        <f>H1347/F1347</f>
        <v>0.83089308970699527</v>
      </c>
    </row>
    <row r="1348" spans="1:9" x14ac:dyDescent="0.25">
      <c r="A1348" s="76" t="s">
        <v>674</v>
      </c>
      <c r="B1348" s="76" t="s">
        <v>172</v>
      </c>
      <c r="C1348" s="77">
        <v>40920</v>
      </c>
      <c r="D1348" s="78">
        <v>41274</v>
      </c>
      <c r="E1348" s="79">
        <v>0.29699999999999999</v>
      </c>
      <c r="F1348" s="80"/>
      <c r="G1348" s="81">
        <v>172897</v>
      </c>
      <c r="H1348" s="80">
        <v>140463.56</v>
      </c>
      <c r="I1348" s="93">
        <f>H1348/G1348</f>
        <v>0.81241178273769932</v>
      </c>
    </row>
    <row r="1349" spans="1:9" x14ac:dyDescent="0.25">
      <c r="A1349" s="76" t="s">
        <v>674</v>
      </c>
      <c r="B1349" s="76" t="s">
        <v>31</v>
      </c>
      <c r="C1349" s="77">
        <v>40940</v>
      </c>
      <c r="D1349" s="78">
        <v>41274</v>
      </c>
      <c r="E1349" s="79">
        <v>0.39600000000000002</v>
      </c>
      <c r="F1349" s="80">
        <v>617996.31000000006</v>
      </c>
      <c r="G1349" s="81"/>
      <c r="H1349" s="80">
        <v>447179.96</v>
      </c>
      <c r="I1349" s="93">
        <f>H1349/F1349</f>
        <v>0.72359648878809646</v>
      </c>
    </row>
    <row r="1350" spans="1:9" x14ac:dyDescent="0.25">
      <c r="A1350" s="76" t="s">
        <v>674</v>
      </c>
      <c r="B1350" s="76" t="s">
        <v>31</v>
      </c>
      <c r="C1350" s="77">
        <v>40940</v>
      </c>
      <c r="D1350" s="78">
        <v>41274</v>
      </c>
      <c r="E1350" s="79">
        <v>0.39600000000000002</v>
      </c>
      <c r="F1350" s="80"/>
      <c r="G1350" s="81">
        <v>4641</v>
      </c>
      <c r="H1350" s="80">
        <v>538</v>
      </c>
      <c r="I1350" s="93">
        <f>H1350/G1350</f>
        <v>0.11592329239388063</v>
      </c>
    </row>
    <row r="1351" spans="1:9" x14ac:dyDescent="0.25">
      <c r="A1351" s="76" t="s">
        <v>674</v>
      </c>
      <c r="B1351" s="76" t="s">
        <v>619</v>
      </c>
      <c r="C1351" s="77">
        <v>40940</v>
      </c>
      <c r="D1351" s="78">
        <v>41274</v>
      </c>
      <c r="E1351" s="79">
        <v>0.30599999999999999</v>
      </c>
      <c r="F1351" s="80">
        <v>84607</v>
      </c>
      <c r="G1351" s="81"/>
      <c r="H1351" s="80">
        <v>14190.4</v>
      </c>
      <c r="I1351" s="93">
        <f>H1351/F1351</f>
        <v>0.16772134693346885</v>
      </c>
    </row>
    <row r="1352" spans="1:9" x14ac:dyDescent="0.25">
      <c r="A1352" s="76" t="s">
        <v>674</v>
      </c>
      <c r="B1352" s="76" t="s">
        <v>619</v>
      </c>
      <c r="C1352" s="77">
        <v>40940</v>
      </c>
      <c r="D1352" s="78">
        <v>41274</v>
      </c>
      <c r="E1352" s="79">
        <v>0.30599999999999999</v>
      </c>
      <c r="F1352" s="80"/>
      <c r="G1352" s="81">
        <v>3023</v>
      </c>
      <c r="H1352" s="80">
        <v>1154.83</v>
      </c>
      <c r="I1352" s="93">
        <f>H1352/G1352</f>
        <v>0.38201455507773735</v>
      </c>
    </row>
    <row r="1353" spans="1:9" x14ac:dyDescent="0.25">
      <c r="A1353" s="76" t="s">
        <v>674</v>
      </c>
      <c r="B1353" s="76" t="s">
        <v>342</v>
      </c>
      <c r="C1353" s="77">
        <v>40911</v>
      </c>
      <c r="D1353" s="78">
        <v>41274</v>
      </c>
      <c r="E1353" s="79">
        <v>0.315</v>
      </c>
      <c r="F1353" s="80">
        <v>76642</v>
      </c>
      <c r="G1353" s="81"/>
      <c r="H1353" s="80">
        <v>30812.42</v>
      </c>
      <c r="I1353" s="93">
        <f>H1353/F1353</f>
        <v>0.40203047937162389</v>
      </c>
    </row>
    <row r="1354" spans="1:9" x14ac:dyDescent="0.25">
      <c r="A1354" s="76" t="s">
        <v>674</v>
      </c>
      <c r="B1354" s="76" t="s">
        <v>342</v>
      </c>
      <c r="C1354" s="77">
        <v>40911</v>
      </c>
      <c r="D1354" s="78">
        <v>41274</v>
      </c>
      <c r="E1354" s="79">
        <v>0.315</v>
      </c>
      <c r="F1354" s="80"/>
      <c r="G1354" s="81">
        <v>2160</v>
      </c>
      <c r="H1354" s="80">
        <v>1139.82</v>
      </c>
      <c r="I1354" s="93">
        <f>H1354/G1354</f>
        <v>0.52769444444444447</v>
      </c>
    </row>
    <row r="1355" spans="1:9" x14ac:dyDescent="0.25">
      <c r="A1355" s="76" t="s">
        <v>674</v>
      </c>
      <c r="B1355" s="76" t="s">
        <v>540</v>
      </c>
      <c r="C1355" s="77">
        <v>40911</v>
      </c>
      <c r="D1355" s="78">
        <v>41182</v>
      </c>
      <c r="E1355" s="79">
        <v>0.25</v>
      </c>
      <c r="F1355" s="80">
        <v>0</v>
      </c>
      <c r="G1355" s="81"/>
      <c r="H1355" s="80">
        <v>0</v>
      </c>
      <c r="I1355" s="93">
        <v>0</v>
      </c>
    </row>
    <row r="1356" spans="1:9" x14ac:dyDescent="0.25">
      <c r="A1356" s="76" t="s">
        <v>674</v>
      </c>
      <c r="B1356" s="76" t="s">
        <v>540</v>
      </c>
      <c r="C1356" s="77">
        <v>40911</v>
      </c>
      <c r="D1356" s="78">
        <v>41182</v>
      </c>
      <c r="E1356" s="79">
        <v>0.25</v>
      </c>
      <c r="F1356" s="80"/>
      <c r="G1356" s="81">
        <v>0</v>
      </c>
      <c r="H1356" s="80">
        <v>0</v>
      </c>
      <c r="I1356" s="93">
        <v>0</v>
      </c>
    </row>
    <row r="1357" spans="1:9" ht="28.5" x14ac:dyDescent="0.25">
      <c r="A1357" s="76" t="s">
        <v>674</v>
      </c>
      <c r="B1357" s="76" t="s">
        <v>677</v>
      </c>
      <c r="C1357" s="77">
        <v>40938</v>
      </c>
      <c r="D1357" s="78">
        <v>41274</v>
      </c>
      <c r="E1357" s="79">
        <v>0.432</v>
      </c>
      <c r="F1357" s="80">
        <v>59392</v>
      </c>
      <c r="G1357" s="81"/>
      <c r="H1357" s="80">
        <v>9385.89</v>
      </c>
      <c r="I1357" s="93">
        <f>H1357/F1357</f>
        <v>0.15803290005387929</v>
      </c>
    </row>
    <row r="1358" spans="1:9" ht="28.5" x14ac:dyDescent="0.25">
      <c r="A1358" s="76" t="s">
        <v>674</v>
      </c>
      <c r="B1358" s="76" t="s">
        <v>677</v>
      </c>
      <c r="C1358" s="77">
        <v>40938</v>
      </c>
      <c r="D1358" s="78">
        <v>41274</v>
      </c>
      <c r="E1358" s="79">
        <v>0.432</v>
      </c>
      <c r="F1358" s="80"/>
      <c r="G1358" s="81">
        <v>1705</v>
      </c>
      <c r="H1358" s="80">
        <v>204.81</v>
      </c>
      <c r="I1358" s="93">
        <f>H1358/G1358</f>
        <v>0.12012316715542522</v>
      </c>
    </row>
    <row r="1359" spans="1:9" x14ac:dyDescent="0.25">
      <c r="A1359" s="76" t="s">
        <v>674</v>
      </c>
      <c r="B1359" s="76" t="s">
        <v>28</v>
      </c>
      <c r="C1359" s="77">
        <v>40940</v>
      </c>
      <c r="D1359" s="78">
        <v>41274</v>
      </c>
      <c r="E1359" s="79">
        <v>0.29699999999999999</v>
      </c>
      <c r="F1359" s="80">
        <v>195080</v>
      </c>
      <c r="G1359" s="81"/>
      <c r="H1359" s="80">
        <v>54115.199999999997</v>
      </c>
      <c r="I1359" s="93">
        <f>H1359/F1359</f>
        <v>0.27740004100881688</v>
      </c>
    </row>
    <row r="1360" spans="1:9" x14ac:dyDescent="0.25">
      <c r="A1360" s="76" t="s">
        <v>674</v>
      </c>
      <c r="B1360" s="76" t="s">
        <v>28</v>
      </c>
      <c r="C1360" s="77">
        <v>40940</v>
      </c>
      <c r="D1360" s="78">
        <v>41274</v>
      </c>
      <c r="E1360" s="79">
        <v>0.29699999999999999</v>
      </c>
      <c r="F1360" s="80"/>
      <c r="G1360" s="81">
        <v>6763</v>
      </c>
      <c r="H1360" s="80">
        <v>1362.66</v>
      </c>
      <c r="I1360" s="93">
        <f>H1360/G1360</f>
        <v>0.20148750554487654</v>
      </c>
    </row>
    <row r="1361" spans="1:9" x14ac:dyDescent="0.25">
      <c r="A1361" s="76" t="s">
        <v>674</v>
      </c>
      <c r="B1361" s="76" t="s">
        <v>678</v>
      </c>
      <c r="C1361" s="77">
        <v>40940</v>
      </c>
      <c r="D1361" s="78">
        <v>41274</v>
      </c>
      <c r="E1361" s="79">
        <v>0.28799999999999998</v>
      </c>
      <c r="F1361" s="80">
        <v>36510</v>
      </c>
      <c r="G1361" s="81"/>
      <c r="H1361" s="80">
        <v>12489.44</v>
      </c>
      <c r="I1361" s="93">
        <f>H1361/F1361</f>
        <v>0.34208271706381815</v>
      </c>
    </row>
    <row r="1362" spans="1:9" x14ac:dyDescent="0.25">
      <c r="A1362" s="76" t="s">
        <v>674</v>
      </c>
      <c r="B1362" s="76" t="s">
        <v>175</v>
      </c>
      <c r="C1362" s="77">
        <v>40911</v>
      </c>
      <c r="D1362" s="78">
        <v>41274</v>
      </c>
      <c r="E1362" s="79">
        <v>8.9999999999999993E-3</v>
      </c>
      <c r="F1362" s="80">
        <v>1020915.42</v>
      </c>
      <c r="G1362" s="81"/>
      <c r="H1362" s="80">
        <v>97848.79</v>
      </c>
      <c r="I1362" s="93">
        <f>H1362/F1362</f>
        <v>9.5844168951821684E-2</v>
      </c>
    </row>
    <row r="1363" spans="1:9" x14ac:dyDescent="0.25">
      <c r="A1363" s="76" t="s">
        <v>674</v>
      </c>
      <c r="B1363" s="76" t="s">
        <v>175</v>
      </c>
      <c r="C1363" s="77">
        <v>40911</v>
      </c>
      <c r="D1363" s="78">
        <v>41274</v>
      </c>
      <c r="E1363" s="79">
        <v>8.9999999999999993E-3</v>
      </c>
      <c r="F1363" s="80"/>
      <c r="G1363" s="81">
        <v>39522</v>
      </c>
      <c r="H1363" s="80">
        <v>5220.83</v>
      </c>
      <c r="I1363" s="93">
        <f>H1363/G1363</f>
        <v>0.13209933707808308</v>
      </c>
    </row>
    <row r="1364" spans="1:9" x14ac:dyDescent="0.25">
      <c r="A1364" s="76" t="s">
        <v>674</v>
      </c>
      <c r="B1364" s="76" t="s">
        <v>580</v>
      </c>
      <c r="C1364" s="77">
        <v>41152</v>
      </c>
      <c r="D1364" s="78">
        <v>41274</v>
      </c>
      <c r="E1364" s="79">
        <v>0.33300000000000002</v>
      </c>
      <c r="F1364" s="80"/>
      <c r="G1364" s="81">
        <v>430</v>
      </c>
      <c r="H1364" s="80">
        <v>164.97</v>
      </c>
      <c r="I1364" s="93">
        <f>H1364/G1364</f>
        <v>0.38365116279069766</v>
      </c>
    </row>
    <row r="1365" spans="1:9" x14ac:dyDescent="0.25">
      <c r="A1365" s="76" t="s">
        <v>674</v>
      </c>
      <c r="B1365" s="76" t="s">
        <v>580</v>
      </c>
      <c r="C1365" s="77">
        <v>41152</v>
      </c>
      <c r="D1365" s="78">
        <v>41274</v>
      </c>
      <c r="E1365" s="79">
        <v>0.33300000000000002</v>
      </c>
      <c r="F1365" s="80">
        <v>12795</v>
      </c>
      <c r="G1365" s="81"/>
      <c r="H1365" s="80">
        <v>-65</v>
      </c>
      <c r="I1365" s="93">
        <f>H1365/F1365</f>
        <v>-5.0801094177413053E-3</v>
      </c>
    </row>
    <row r="1366" spans="1:9" x14ac:dyDescent="0.25">
      <c r="A1366" s="76" t="s">
        <v>674</v>
      </c>
      <c r="B1366" s="76" t="s">
        <v>184</v>
      </c>
      <c r="C1366" s="77">
        <v>40961</v>
      </c>
      <c r="D1366" s="78">
        <v>41274</v>
      </c>
      <c r="E1366" s="79">
        <v>0.22500000000000001</v>
      </c>
      <c r="F1366" s="80">
        <v>0</v>
      </c>
      <c r="G1366" s="81"/>
      <c r="H1366" s="80">
        <v>0</v>
      </c>
      <c r="I1366" s="93">
        <v>0</v>
      </c>
    </row>
    <row r="1367" spans="1:9" x14ac:dyDescent="0.25">
      <c r="A1367" s="76" t="s">
        <v>674</v>
      </c>
      <c r="B1367" s="76" t="s">
        <v>184</v>
      </c>
      <c r="C1367" s="77">
        <v>40961</v>
      </c>
      <c r="D1367" s="78">
        <v>41274</v>
      </c>
      <c r="E1367" s="79">
        <v>0.22500000000000001</v>
      </c>
      <c r="F1367" s="80"/>
      <c r="G1367" s="81">
        <v>0</v>
      </c>
      <c r="H1367" s="80">
        <v>0</v>
      </c>
      <c r="I1367" s="93">
        <v>0</v>
      </c>
    </row>
    <row r="1368" spans="1:9" x14ac:dyDescent="0.25">
      <c r="A1368" s="76" t="s">
        <v>674</v>
      </c>
      <c r="B1368" s="76" t="s">
        <v>107</v>
      </c>
      <c r="C1368" s="77">
        <v>41011</v>
      </c>
      <c r="D1368" s="78">
        <v>41274</v>
      </c>
      <c r="E1368" s="79">
        <v>0.18</v>
      </c>
      <c r="F1368" s="80"/>
      <c r="G1368" s="81">
        <v>2257</v>
      </c>
      <c r="H1368" s="80">
        <v>-729.49</v>
      </c>
      <c r="I1368" s="93">
        <f>H1368/G1368</f>
        <v>-0.32321222862206467</v>
      </c>
    </row>
    <row r="1369" spans="1:9" x14ac:dyDescent="0.25">
      <c r="A1369" s="76" t="s">
        <v>674</v>
      </c>
      <c r="B1369" s="76" t="s">
        <v>107</v>
      </c>
      <c r="C1369" s="77">
        <v>41011</v>
      </c>
      <c r="D1369" s="78">
        <v>41274</v>
      </c>
      <c r="E1369" s="79">
        <v>0.18</v>
      </c>
      <c r="F1369" s="80">
        <v>48791.34</v>
      </c>
      <c r="G1369" s="81"/>
      <c r="H1369" s="80">
        <v>-34397.75</v>
      </c>
      <c r="I1369" s="93">
        <f>H1369/F1369</f>
        <v>-0.70499703430977712</v>
      </c>
    </row>
    <row r="1370" spans="1:9" x14ac:dyDescent="0.25">
      <c r="A1370" s="76" t="s">
        <v>674</v>
      </c>
      <c r="B1370" s="76" t="s">
        <v>29</v>
      </c>
      <c r="C1370" s="77">
        <v>40938</v>
      </c>
      <c r="D1370" s="78">
        <v>41274</v>
      </c>
      <c r="E1370" s="79">
        <v>0.24660000000000001</v>
      </c>
      <c r="F1370" s="80">
        <v>292231.25</v>
      </c>
      <c r="G1370" s="81"/>
      <c r="H1370" s="80">
        <v>172747.53</v>
      </c>
      <c r="I1370" s="93">
        <f>H1370/F1370</f>
        <v>0.59113298115790147</v>
      </c>
    </row>
    <row r="1371" spans="1:9" x14ac:dyDescent="0.25">
      <c r="A1371" s="76" t="s">
        <v>674</v>
      </c>
      <c r="B1371" s="76" t="s">
        <v>29</v>
      </c>
      <c r="C1371" s="77">
        <v>40938</v>
      </c>
      <c r="D1371" s="78">
        <v>41274</v>
      </c>
      <c r="E1371" s="79">
        <v>0.24660000000000001</v>
      </c>
      <c r="F1371" s="80"/>
      <c r="G1371" s="81">
        <v>8219</v>
      </c>
      <c r="H1371" s="80">
        <v>4708.57</v>
      </c>
      <c r="I1371" s="93">
        <f>H1371/G1371</f>
        <v>0.57288842924930039</v>
      </c>
    </row>
    <row r="1372" spans="1:9" x14ac:dyDescent="0.25">
      <c r="A1372" s="76" t="s">
        <v>674</v>
      </c>
      <c r="B1372" s="76" t="s">
        <v>36</v>
      </c>
      <c r="C1372" s="77">
        <v>40961</v>
      </c>
      <c r="D1372" s="78">
        <v>41274</v>
      </c>
      <c r="E1372" s="79">
        <v>0.315</v>
      </c>
      <c r="F1372" s="80">
        <v>247207.08</v>
      </c>
      <c r="G1372" s="81"/>
      <c r="H1372" s="80">
        <v>21390.83</v>
      </c>
      <c r="I1372" s="93">
        <f>H1372/F1372</f>
        <v>8.6530005532204024E-2</v>
      </c>
    </row>
    <row r="1373" spans="1:9" x14ac:dyDescent="0.25">
      <c r="A1373" s="76" t="s">
        <v>674</v>
      </c>
      <c r="B1373" s="76" t="s">
        <v>680</v>
      </c>
      <c r="C1373" s="77">
        <v>41086</v>
      </c>
      <c r="D1373" s="78">
        <v>41274</v>
      </c>
      <c r="E1373" s="79">
        <v>0.32219999999999999</v>
      </c>
      <c r="F1373" s="80"/>
      <c r="G1373" s="81">
        <v>330</v>
      </c>
      <c r="H1373" s="80">
        <v>292.75</v>
      </c>
      <c r="I1373" s="93">
        <f>H1373/G1373</f>
        <v>0.88712121212121209</v>
      </c>
    </row>
    <row r="1374" spans="1:9" x14ac:dyDescent="0.25">
      <c r="A1374" s="76" t="s">
        <v>674</v>
      </c>
      <c r="B1374" s="76" t="s">
        <v>680</v>
      </c>
      <c r="C1374" s="77">
        <v>41086</v>
      </c>
      <c r="D1374" s="78">
        <v>41274</v>
      </c>
      <c r="E1374" s="79">
        <v>0.32219999999999999</v>
      </c>
      <c r="F1374" s="80">
        <v>7921</v>
      </c>
      <c r="G1374" s="81"/>
      <c r="H1374" s="80">
        <v>-1986.48</v>
      </c>
      <c r="I1374" s="93">
        <f>H1374/F1374</f>
        <v>-0.25078651685393261</v>
      </c>
    </row>
    <row r="1375" spans="1:9" x14ac:dyDescent="0.25">
      <c r="A1375" s="76" t="s">
        <v>674</v>
      </c>
      <c r="B1375" s="76" t="s">
        <v>676</v>
      </c>
      <c r="C1375" s="77">
        <v>40920</v>
      </c>
      <c r="D1375" s="78">
        <v>41274</v>
      </c>
      <c r="E1375" s="79">
        <v>0.23849999999999999</v>
      </c>
      <c r="F1375" s="80">
        <v>270375.78999999998</v>
      </c>
      <c r="G1375" s="81"/>
      <c r="H1375" s="80">
        <v>91405.08</v>
      </c>
      <c r="I1375" s="93">
        <f>H1375/F1375</f>
        <v>0.33806680694303293</v>
      </c>
    </row>
    <row r="1376" spans="1:9" x14ac:dyDescent="0.25">
      <c r="A1376" s="76" t="s">
        <v>674</v>
      </c>
      <c r="B1376" s="76" t="s">
        <v>676</v>
      </c>
      <c r="C1376" s="77">
        <v>40920</v>
      </c>
      <c r="D1376" s="78">
        <v>41274</v>
      </c>
      <c r="E1376" s="79">
        <v>0.23849999999999999</v>
      </c>
      <c r="F1376" s="80"/>
      <c r="G1376" s="81">
        <v>8519</v>
      </c>
      <c r="H1376" s="80">
        <v>2858.16</v>
      </c>
      <c r="I1376" s="93">
        <f>H1376/G1376</f>
        <v>0.33550416715576942</v>
      </c>
    </row>
    <row r="1377" spans="1:9" x14ac:dyDescent="0.25">
      <c r="A1377" s="76" t="s">
        <v>674</v>
      </c>
      <c r="B1377" s="76" t="s">
        <v>193</v>
      </c>
      <c r="C1377" s="77">
        <v>40938</v>
      </c>
      <c r="D1377" s="78">
        <v>41274</v>
      </c>
      <c r="E1377" s="79">
        <v>0.22500000000000001</v>
      </c>
      <c r="F1377" s="80"/>
      <c r="G1377" s="81">
        <v>7744.14</v>
      </c>
      <c r="H1377" s="80">
        <v>-5611.8</v>
      </c>
      <c r="I1377" s="93">
        <f>H1377/G1377</f>
        <v>-0.72465115558344761</v>
      </c>
    </row>
    <row r="1378" spans="1:9" x14ac:dyDescent="0.25">
      <c r="A1378" s="76" t="s">
        <v>674</v>
      </c>
      <c r="B1378" s="76" t="s">
        <v>193</v>
      </c>
      <c r="C1378" s="77">
        <v>40938</v>
      </c>
      <c r="D1378" s="78">
        <v>41274</v>
      </c>
      <c r="E1378" s="79">
        <v>0.22500000000000001</v>
      </c>
      <c r="F1378" s="80">
        <v>237778.37</v>
      </c>
      <c r="G1378" s="81"/>
      <c r="H1378" s="80">
        <v>-167807.48</v>
      </c>
      <c r="I1378" s="93">
        <f>H1378/F1378</f>
        <v>-0.70573063479239095</v>
      </c>
    </row>
    <row r="1379" spans="1:9" x14ac:dyDescent="0.25">
      <c r="A1379" s="76" t="s">
        <v>674</v>
      </c>
      <c r="B1379" s="76" t="s">
        <v>190</v>
      </c>
      <c r="C1379" s="77">
        <v>41086</v>
      </c>
      <c r="D1379" s="78">
        <v>41274</v>
      </c>
      <c r="E1379" s="79">
        <v>0.1719</v>
      </c>
      <c r="F1379" s="80"/>
      <c r="G1379" s="81">
        <v>1806</v>
      </c>
      <c r="H1379" s="80">
        <v>-159.53</v>
      </c>
      <c r="I1379" s="93">
        <f>H1379/G1379</f>
        <v>-8.8333333333333333E-2</v>
      </c>
    </row>
    <row r="1380" spans="1:9" x14ac:dyDescent="0.25">
      <c r="A1380" s="76" t="s">
        <v>674</v>
      </c>
      <c r="B1380" s="76" t="s">
        <v>190</v>
      </c>
      <c r="C1380" s="77">
        <v>41086</v>
      </c>
      <c r="D1380" s="78">
        <v>41274</v>
      </c>
      <c r="E1380" s="79">
        <v>0.1719</v>
      </c>
      <c r="F1380" s="80">
        <v>57093</v>
      </c>
      <c r="G1380" s="81"/>
      <c r="H1380" s="80">
        <v>-5563</v>
      </c>
      <c r="I1380" s="93">
        <f>H1380/F1380</f>
        <v>-9.74375142311667E-2</v>
      </c>
    </row>
    <row r="1381" spans="1:9" x14ac:dyDescent="0.25">
      <c r="A1381" s="76" t="s">
        <v>674</v>
      </c>
      <c r="B1381" s="76" t="s">
        <v>108</v>
      </c>
      <c r="C1381" s="77">
        <v>41011</v>
      </c>
      <c r="D1381" s="78">
        <v>41274</v>
      </c>
      <c r="E1381" s="79">
        <v>0.22500000000000001</v>
      </c>
      <c r="F1381" s="80">
        <v>70177.5</v>
      </c>
      <c r="G1381" s="81"/>
      <c r="H1381" s="80">
        <v>36533.339999999997</v>
      </c>
      <c r="I1381" s="93">
        <f>H1381/F1381</f>
        <v>0.52058480282141706</v>
      </c>
    </row>
    <row r="1382" spans="1:9" x14ac:dyDescent="0.25">
      <c r="A1382" s="76" t="s">
        <v>674</v>
      </c>
      <c r="B1382" s="76" t="s">
        <v>108</v>
      </c>
      <c r="C1382" s="77">
        <v>41011</v>
      </c>
      <c r="D1382" s="78">
        <v>41274</v>
      </c>
      <c r="E1382" s="79">
        <v>0.22500000000000001</v>
      </c>
      <c r="F1382" s="80"/>
      <c r="G1382" s="81">
        <v>2625</v>
      </c>
      <c r="H1382" s="80">
        <v>1439.03</v>
      </c>
      <c r="I1382" s="93">
        <f>H1382/G1382</f>
        <v>0.54820190476190478</v>
      </c>
    </row>
    <row r="1383" spans="1:9" x14ac:dyDescent="0.25">
      <c r="A1383" s="76" t="s">
        <v>674</v>
      </c>
      <c r="B1383" s="76" t="s">
        <v>23</v>
      </c>
      <c r="C1383" s="77">
        <v>40920</v>
      </c>
      <c r="D1383" s="78">
        <v>41274</v>
      </c>
      <c r="E1383" s="79">
        <v>0.22500000000000001</v>
      </c>
      <c r="F1383" s="80">
        <v>595479</v>
      </c>
      <c r="G1383" s="81"/>
      <c r="H1383" s="80">
        <v>377649.4</v>
      </c>
      <c r="I1383" s="93">
        <f>H1383/F1383</f>
        <v>0.63419432087445571</v>
      </c>
    </row>
    <row r="1384" spans="1:9" x14ac:dyDescent="0.25">
      <c r="A1384" s="76" t="s">
        <v>674</v>
      </c>
      <c r="B1384" s="76" t="s">
        <v>23</v>
      </c>
      <c r="C1384" s="77">
        <v>40920</v>
      </c>
      <c r="D1384" s="78">
        <v>41274</v>
      </c>
      <c r="E1384" s="79">
        <v>0.22500000000000001</v>
      </c>
      <c r="F1384" s="80"/>
      <c r="G1384" s="81">
        <v>16232</v>
      </c>
      <c r="H1384" s="80">
        <v>10967.07</v>
      </c>
      <c r="I1384" s="93">
        <f>H1384/G1384</f>
        <v>0.67564502217841305</v>
      </c>
    </row>
    <row r="1385" spans="1:9" x14ac:dyDescent="0.25">
      <c r="A1385" s="76" t="s">
        <v>674</v>
      </c>
      <c r="B1385" s="76" t="s">
        <v>22</v>
      </c>
      <c r="C1385" s="77">
        <v>40920</v>
      </c>
      <c r="D1385" s="78">
        <v>41274</v>
      </c>
      <c r="E1385" s="79">
        <v>0.22500000000000001</v>
      </c>
      <c r="F1385" s="80">
        <v>614451.29</v>
      </c>
      <c r="G1385" s="81"/>
      <c r="H1385" s="80">
        <v>261134.34</v>
      </c>
      <c r="I1385" s="93">
        <f>H1385/F1385</f>
        <v>0.42498786193450744</v>
      </c>
    </row>
    <row r="1386" spans="1:9" x14ac:dyDescent="0.25">
      <c r="A1386" s="76" t="s">
        <v>674</v>
      </c>
      <c r="B1386" s="76" t="s">
        <v>22</v>
      </c>
      <c r="C1386" s="77">
        <v>40920</v>
      </c>
      <c r="D1386" s="78">
        <v>41274</v>
      </c>
      <c r="E1386" s="79">
        <v>0.22500000000000001</v>
      </c>
      <c r="F1386" s="80"/>
      <c r="G1386" s="81">
        <v>18086</v>
      </c>
      <c r="H1386" s="80">
        <v>8977.48</v>
      </c>
      <c r="I1386" s="93">
        <f>H1386/G1386</f>
        <v>0.49637730841534888</v>
      </c>
    </row>
    <row r="1387" spans="1:9" x14ac:dyDescent="0.25">
      <c r="A1387" s="76" t="s">
        <v>674</v>
      </c>
      <c r="B1387" s="76" t="s">
        <v>103</v>
      </c>
      <c r="C1387" s="77">
        <v>40961</v>
      </c>
      <c r="D1387" s="78">
        <v>41274</v>
      </c>
      <c r="E1387" s="79">
        <v>0.22500000000000001</v>
      </c>
      <c r="F1387" s="80"/>
      <c r="G1387" s="81">
        <v>1712</v>
      </c>
      <c r="H1387" s="80">
        <v>224.79</v>
      </c>
      <c r="I1387" s="93">
        <f>H1387/G1387</f>
        <v>0.13130257009345794</v>
      </c>
    </row>
    <row r="1388" spans="1:9" x14ac:dyDescent="0.25">
      <c r="A1388" s="76" t="s">
        <v>674</v>
      </c>
      <c r="B1388" s="76" t="s">
        <v>103</v>
      </c>
      <c r="C1388" s="77">
        <v>40961</v>
      </c>
      <c r="D1388" s="78">
        <v>41274</v>
      </c>
      <c r="E1388" s="79">
        <v>0.22500000000000001</v>
      </c>
      <c r="F1388" s="80">
        <v>29464</v>
      </c>
      <c r="G1388" s="81"/>
      <c r="H1388" s="80">
        <v>-1918.05</v>
      </c>
      <c r="I1388" s="93">
        <f>H1388/F1388</f>
        <v>-6.509808579961987E-2</v>
      </c>
    </row>
    <row r="1389" spans="1:9" x14ac:dyDescent="0.25">
      <c r="A1389" s="76" t="s">
        <v>674</v>
      </c>
      <c r="B1389" s="76" t="s">
        <v>183</v>
      </c>
      <c r="C1389" s="77">
        <v>41051</v>
      </c>
      <c r="D1389" s="78">
        <v>41274</v>
      </c>
      <c r="E1389" s="79">
        <v>0.16200000000000001</v>
      </c>
      <c r="F1389" s="80">
        <v>677175.04</v>
      </c>
      <c r="G1389" s="81"/>
      <c r="H1389" s="80">
        <v>457325.12</v>
      </c>
      <c r="I1389" s="93">
        <f>H1389/F1389</f>
        <v>0.67534255249573283</v>
      </c>
    </row>
    <row r="1390" spans="1:9" x14ac:dyDescent="0.25">
      <c r="A1390" s="76" t="s">
        <v>674</v>
      </c>
      <c r="B1390" s="76" t="s">
        <v>183</v>
      </c>
      <c r="C1390" s="77">
        <v>41051</v>
      </c>
      <c r="D1390" s="78">
        <v>41274</v>
      </c>
      <c r="E1390" s="79">
        <v>0.16200000000000001</v>
      </c>
      <c r="F1390" s="80"/>
      <c r="G1390" s="81">
        <v>27117.9</v>
      </c>
      <c r="H1390" s="80">
        <v>19583.650000000001</v>
      </c>
      <c r="I1390" s="93">
        <f>H1390/G1390</f>
        <v>0.72216690820454388</v>
      </c>
    </row>
    <row r="1391" spans="1:9" x14ac:dyDescent="0.25">
      <c r="A1391" s="76" t="s">
        <v>674</v>
      </c>
      <c r="B1391" s="76" t="s">
        <v>675</v>
      </c>
      <c r="C1391" s="77">
        <v>40911</v>
      </c>
      <c r="D1391" s="78">
        <v>41274</v>
      </c>
      <c r="E1391" s="79">
        <v>0.47160000000000002</v>
      </c>
      <c r="F1391" s="80">
        <v>730406.35</v>
      </c>
      <c r="G1391" s="81"/>
      <c r="H1391" s="80">
        <v>349050.39</v>
      </c>
      <c r="I1391" s="93">
        <f>H1391/F1391</f>
        <v>0.47788520732329343</v>
      </c>
    </row>
    <row r="1392" spans="1:9" x14ac:dyDescent="0.25">
      <c r="A1392" s="76" t="s">
        <v>674</v>
      </c>
      <c r="B1392" s="76" t="s">
        <v>675</v>
      </c>
      <c r="C1392" s="77">
        <v>40911</v>
      </c>
      <c r="D1392" s="78">
        <v>41274</v>
      </c>
      <c r="E1392" s="79">
        <v>0.47160000000000002</v>
      </c>
      <c r="F1392" s="80"/>
      <c r="G1392" s="81">
        <v>23603.37</v>
      </c>
      <c r="H1392" s="80">
        <v>10927.11</v>
      </c>
      <c r="I1392" s="93">
        <f>H1392/G1392</f>
        <v>0.46294702832688728</v>
      </c>
    </row>
    <row r="1393" spans="1:9" x14ac:dyDescent="0.25">
      <c r="A1393" s="76" t="s">
        <v>674</v>
      </c>
      <c r="B1393" s="76" t="s">
        <v>102</v>
      </c>
      <c r="C1393" s="77">
        <v>40961</v>
      </c>
      <c r="D1393" s="78">
        <v>41274</v>
      </c>
      <c r="E1393" s="79">
        <v>0.22500000000000001</v>
      </c>
      <c r="F1393" s="80">
        <v>0</v>
      </c>
      <c r="G1393" s="81"/>
      <c r="H1393" s="80">
        <v>0</v>
      </c>
      <c r="I1393" s="93">
        <v>0</v>
      </c>
    </row>
    <row r="1394" spans="1:9" x14ac:dyDescent="0.25">
      <c r="A1394" s="76" t="s">
        <v>674</v>
      </c>
      <c r="B1394" s="76" t="s">
        <v>535</v>
      </c>
      <c r="C1394" s="77">
        <v>41086</v>
      </c>
      <c r="D1394" s="78">
        <v>41274</v>
      </c>
      <c r="E1394" s="79">
        <v>0.22500000000000001</v>
      </c>
      <c r="F1394" s="80">
        <v>105057.98</v>
      </c>
      <c r="G1394" s="81"/>
      <c r="H1394" s="80">
        <v>73356.179999999993</v>
      </c>
      <c r="I1394" s="93">
        <f>H1394/F1394</f>
        <v>0.6982447216289519</v>
      </c>
    </row>
    <row r="1395" spans="1:9" x14ac:dyDescent="0.25">
      <c r="A1395" s="76" t="s">
        <v>674</v>
      </c>
      <c r="B1395" s="76" t="s">
        <v>535</v>
      </c>
      <c r="C1395" s="77">
        <v>41086</v>
      </c>
      <c r="D1395" s="78">
        <v>41274</v>
      </c>
      <c r="E1395" s="79">
        <v>0.22500000000000001</v>
      </c>
      <c r="F1395" s="80"/>
      <c r="G1395" s="81">
        <v>3006.74</v>
      </c>
      <c r="H1395" s="80">
        <v>2143.5100000000002</v>
      </c>
      <c r="I1395" s="93">
        <f>H1395/G1395</f>
        <v>0.71290168089026662</v>
      </c>
    </row>
    <row r="1396" spans="1:9" x14ac:dyDescent="0.25">
      <c r="A1396" s="76" t="s">
        <v>674</v>
      </c>
      <c r="B1396" s="76" t="s">
        <v>679</v>
      </c>
      <c r="C1396" s="77">
        <v>41023</v>
      </c>
      <c r="D1396" s="78">
        <v>41274</v>
      </c>
      <c r="E1396" s="79">
        <v>0.32219999999999999</v>
      </c>
      <c r="F1396" s="80"/>
      <c r="G1396" s="81">
        <v>0</v>
      </c>
      <c r="H1396" s="80">
        <v>-66.930000000000007</v>
      </c>
      <c r="I1396" s="93">
        <v>0</v>
      </c>
    </row>
    <row r="1397" spans="1:9" x14ac:dyDescent="0.25">
      <c r="A1397" s="76" t="s">
        <v>674</v>
      </c>
      <c r="B1397" s="76" t="s">
        <v>679</v>
      </c>
      <c r="C1397" s="77">
        <v>41023</v>
      </c>
      <c r="D1397" s="78">
        <v>41274</v>
      </c>
      <c r="E1397" s="79">
        <v>0.32219999999999999</v>
      </c>
      <c r="F1397" s="80">
        <v>0</v>
      </c>
      <c r="G1397" s="81"/>
      <c r="H1397" s="80">
        <v>-789.8</v>
      </c>
      <c r="I1397" s="93">
        <v>0</v>
      </c>
    </row>
    <row r="1398" spans="1:9" x14ac:dyDescent="0.25">
      <c r="A1398" s="76" t="s">
        <v>681</v>
      </c>
      <c r="B1398" s="76" t="s">
        <v>125</v>
      </c>
      <c r="C1398" s="77">
        <v>40664</v>
      </c>
      <c r="D1398" s="78">
        <v>40962</v>
      </c>
      <c r="E1398" s="79">
        <v>0.13</v>
      </c>
      <c r="F1398" s="80">
        <v>384218.65</v>
      </c>
      <c r="G1398" s="81"/>
      <c r="H1398" s="80">
        <v>131515.46</v>
      </c>
      <c r="I1398" s="93">
        <f>H1398/F1398</f>
        <v>0.34229327493602923</v>
      </c>
    </row>
    <row r="1399" spans="1:9" x14ac:dyDescent="0.25">
      <c r="A1399" s="76" t="s">
        <v>681</v>
      </c>
      <c r="B1399" s="76" t="s">
        <v>125</v>
      </c>
      <c r="C1399" s="77">
        <v>40664</v>
      </c>
      <c r="D1399" s="78">
        <v>40962</v>
      </c>
      <c r="E1399" s="79">
        <v>8.9999999999999993E-3</v>
      </c>
      <c r="F1399" s="80">
        <v>43992.55</v>
      </c>
      <c r="G1399" s="81"/>
      <c r="H1399" s="80">
        <v>13519.99</v>
      </c>
      <c r="I1399" s="93">
        <f>H1399/F1399</f>
        <v>0.30732453563160123</v>
      </c>
    </row>
    <row r="1400" spans="1:9" x14ac:dyDescent="0.25">
      <c r="A1400" s="76" t="s">
        <v>682</v>
      </c>
      <c r="B1400" s="76" t="s">
        <v>683</v>
      </c>
      <c r="C1400" s="77">
        <v>40909</v>
      </c>
      <c r="D1400" s="78">
        <v>40981</v>
      </c>
      <c r="E1400" s="79">
        <v>0.315</v>
      </c>
      <c r="F1400" s="80">
        <v>31055</v>
      </c>
      <c r="G1400" s="88"/>
      <c r="H1400" s="80">
        <v>12293.42</v>
      </c>
      <c r="I1400" s="93">
        <f>H1400/F1400</f>
        <v>0.39585960392851394</v>
      </c>
    </row>
    <row r="1401" spans="1:9" x14ac:dyDescent="0.25">
      <c r="A1401" s="76" t="s">
        <v>684</v>
      </c>
      <c r="B1401" s="76" t="s">
        <v>9</v>
      </c>
      <c r="C1401" s="77">
        <v>40655</v>
      </c>
      <c r="D1401" s="78">
        <v>41020</v>
      </c>
      <c r="E1401" s="79">
        <v>8.9999999999999993E-3</v>
      </c>
      <c r="F1401" s="80">
        <v>7680.85</v>
      </c>
      <c r="G1401" s="81"/>
      <c r="H1401" s="80">
        <v>0</v>
      </c>
      <c r="I1401" s="93">
        <v>0</v>
      </c>
    </row>
    <row r="1402" spans="1:9" x14ac:dyDescent="0.25">
      <c r="A1402" s="76" t="s">
        <v>684</v>
      </c>
      <c r="B1402" s="76" t="s">
        <v>9</v>
      </c>
      <c r="C1402" s="77">
        <v>40655</v>
      </c>
      <c r="D1402" s="78">
        <v>41020</v>
      </c>
      <c r="E1402" s="79">
        <v>8.9999999999999993E-3</v>
      </c>
      <c r="F1402" s="80"/>
      <c r="G1402" s="81">
        <v>122</v>
      </c>
      <c r="H1402" s="80">
        <v>0</v>
      </c>
      <c r="I1402" s="93">
        <v>0</v>
      </c>
    </row>
    <row r="1403" spans="1:9" x14ac:dyDescent="0.25">
      <c r="A1403" s="76" t="s">
        <v>685</v>
      </c>
      <c r="B1403" s="76" t="s">
        <v>691</v>
      </c>
      <c r="C1403" s="77">
        <v>40909</v>
      </c>
      <c r="D1403" s="78">
        <v>41274</v>
      </c>
      <c r="E1403" s="79">
        <v>0.11700000000000001</v>
      </c>
      <c r="F1403" s="80">
        <v>9617146.0999999996</v>
      </c>
      <c r="G1403" s="81"/>
      <c r="H1403" s="80">
        <v>1250210.8899999999</v>
      </c>
      <c r="I1403" s="79">
        <f>H1403/F1403</f>
        <v>0.12999811763283911</v>
      </c>
    </row>
    <row r="1404" spans="1:9" x14ac:dyDescent="0.25">
      <c r="A1404" s="76" t="s">
        <v>685</v>
      </c>
      <c r="B1404" s="76" t="s">
        <v>688</v>
      </c>
      <c r="C1404" s="77">
        <v>40817</v>
      </c>
      <c r="D1404" s="78">
        <v>41182</v>
      </c>
      <c r="E1404" s="79">
        <v>0.13500000000000001</v>
      </c>
      <c r="F1404" s="80">
        <v>40922</v>
      </c>
      <c r="G1404" s="81"/>
      <c r="H1404" s="80">
        <v>6138.3</v>
      </c>
      <c r="I1404" s="79">
        <f>H1404/F1404</f>
        <v>0.15</v>
      </c>
    </row>
    <row r="1405" spans="1:9" x14ac:dyDescent="0.25">
      <c r="A1405" s="76" t="s">
        <v>685</v>
      </c>
      <c r="B1405" s="76" t="s">
        <v>687</v>
      </c>
      <c r="C1405" s="77">
        <v>41091</v>
      </c>
      <c r="D1405" s="78">
        <v>41455</v>
      </c>
      <c r="E1405" s="79">
        <v>0.108</v>
      </c>
      <c r="F1405" s="80">
        <v>1961611.85</v>
      </c>
      <c r="G1405" s="81"/>
      <c r="H1405" s="80">
        <v>600000</v>
      </c>
      <c r="I1405" s="79">
        <f>H1405/F1405</f>
        <v>0.30587090917094528</v>
      </c>
    </row>
    <row r="1406" spans="1:9" x14ac:dyDescent="0.25">
      <c r="A1406" s="76" t="s">
        <v>685</v>
      </c>
      <c r="B1406" s="76" t="s">
        <v>687</v>
      </c>
      <c r="C1406" s="77">
        <v>40725</v>
      </c>
      <c r="D1406" s="78">
        <v>41090</v>
      </c>
      <c r="E1406" s="79">
        <v>0.108</v>
      </c>
      <c r="F1406" s="80">
        <v>2688607.48</v>
      </c>
      <c r="G1406" s="81"/>
      <c r="H1406" s="80">
        <v>600000</v>
      </c>
      <c r="I1406" s="79">
        <f>H1406/F1406</f>
        <v>0.22316385134805919</v>
      </c>
    </row>
    <row r="1407" spans="1:9" x14ac:dyDescent="0.25">
      <c r="A1407" s="76" t="s">
        <v>685</v>
      </c>
      <c r="B1407" s="76" t="s">
        <v>690</v>
      </c>
      <c r="C1407" s="77">
        <v>40878</v>
      </c>
      <c r="D1407" s="78">
        <v>41243</v>
      </c>
      <c r="E1407" s="79">
        <v>0.1</v>
      </c>
      <c r="F1407" s="80"/>
      <c r="G1407" s="81">
        <v>47400</v>
      </c>
      <c r="H1407" s="80">
        <v>6782.36</v>
      </c>
      <c r="I1407" s="79">
        <f>H1407/G1407</f>
        <v>0.14308776371308016</v>
      </c>
    </row>
    <row r="1408" spans="1:9" x14ac:dyDescent="0.25">
      <c r="A1408" s="76" t="s">
        <v>685</v>
      </c>
      <c r="B1408" s="76" t="s">
        <v>419</v>
      </c>
      <c r="C1408" s="77">
        <v>40695</v>
      </c>
      <c r="D1408" s="78">
        <v>41060</v>
      </c>
      <c r="E1408" s="79">
        <v>0.12</v>
      </c>
      <c r="F1408" s="80">
        <v>19972</v>
      </c>
      <c r="G1408" s="81"/>
      <c r="H1408" s="80">
        <v>2396.64</v>
      </c>
      <c r="I1408" s="79">
        <f t="shared" ref="I1408:I1418" si="26">H1408/F1408</f>
        <v>0.12</v>
      </c>
    </row>
    <row r="1409" spans="1:9" x14ac:dyDescent="0.25">
      <c r="A1409" s="76" t="s">
        <v>685</v>
      </c>
      <c r="B1409" s="76" t="s">
        <v>419</v>
      </c>
      <c r="C1409" s="77">
        <v>41061</v>
      </c>
      <c r="D1409" s="78">
        <v>41425</v>
      </c>
      <c r="E1409" s="79">
        <v>0.12</v>
      </c>
      <c r="F1409" s="80">
        <v>18255.22</v>
      </c>
      <c r="G1409" s="81"/>
      <c r="H1409" s="80">
        <v>2190.5300000000002</v>
      </c>
      <c r="I1409" s="79">
        <f t="shared" si="26"/>
        <v>0.11999471931863873</v>
      </c>
    </row>
    <row r="1410" spans="1:9" x14ac:dyDescent="0.25">
      <c r="A1410" s="76" t="s">
        <v>685</v>
      </c>
      <c r="B1410" s="76" t="s">
        <v>689</v>
      </c>
      <c r="C1410" s="77">
        <v>40848</v>
      </c>
      <c r="D1410" s="78">
        <v>41213</v>
      </c>
      <c r="E1410" s="79">
        <v>0.15</v>
      </c>
      <c r="F1410" s="80">
        <v>128936</v>
      </c>
      <c r="G1410" s="81"/>
      <c r="H1410" s="80">
        <v>19340</v>
      </c>
      <c r="I1410" s="79">
        <f t="shared" si="26"/>
        <v>0.14999689768567351</v>
      </c>
    </row>
    <row r="1411" spans="1:9" x14ac:dyDescent="0.25">
      <c r="A1411" s="76" t="s">
        <v>685</v>
      </c>
      <c r="B1411" s="76" t="s">
        <v>686</v>
      </c>
      <c r="C1411" s="77">
        <v>40695</v>
      </c>
      <c r="D1411" s="78">
        <v>41060</v>
      </c>
      <c r="E1411" s="79">
        <v>0.09</v>
      </c>
      <c r="F1411" s="80">
        <v>818234.65</v>
      </c>
      <c r="G1411" s="81"/>
      <c r="H1411" s="80">
        <v>99999.96</v>
      </c>
      <c r="I1411" s="93">
        <f t="shared" si="26"/>
        <v>0.1222142816855776</v>
      </c>
    </row>
    <row r="1412" spans="1:9" x14ac:dyDescent="0.25">
      <c r="A1412" s="76" t="s">
        <v>685</v>
      </c>
      <c r="B1412" s="76" t="s">
        <v>686</v>
      </c>
      <c r="C1412" s="77">
        <v>41061</v>
      </c>
      <c r="D1412" s="78">
        <v>41274</v>
      </c>
      <c r="E1412" s="79">
        <v>0.09</v>
      </c>
      <c r="F1412" s="80">
        <v>273759.81</v>
      </c>
      <c r="G1412" s="81"/>
      <c r="H1412" s="80">
        <v>49999.98</v>
      </c>
      <c r="I1412" s="93">
        <f t="shared" si="26"/>
        <v>0.1826417836862175</v>
      </c>
    </row>
    <row r="1413" spans="1:9" x14ac:dyDescent="0.25">
      <c r="A1413" s="76" t="s">
        <v>692</v>
      </c>
      <c r="B1413" s="76" t="s">
        <v>31</v>
      </c>
      <c r="C1413" s="77">
        <v>40909</v>
      </c>
      <c r="D1413" s="78">
        <v>41274</v>
      </c>
      <c r="E1413" s="79">
        <v>8.9999999999999993E-3</v>
      </c>
      <c r="F1413" s="80">
        <v>313942</v>
      </c>
      <c r="G1413" s="81"/>
      <c r="H1413" s="80">
        <v>170568</v>
      </c>
      <c r="I1413" s="79">
        <f t="shared" si="26"/>
        <v>0.54331054780819388</v>
      </c>
    </row>
    <row r="1414" spans="1:9" ht="28.5" x14ac:dyDescent="0.25">
      <c r="A1414" s="76" t="s">
        <v>692</v>
      </c>
      <c r="B1414" s="76" t="s">
        <v>111</v>
      </c>
      <c r="C1414" s="77">
        <v>40909</v>
      </c>
      <c r="D1414" s="78">
        <v>41274</v>
      </c>
      <c r="E1414" s="79">
        <v>8.9999999999999993E-3</v>
      </c>
      <c r="F1414" s="80">
        <v>5842</v>
      </c>
      <c r="G1414" s="81"/>
      <c r="H1414" s="80">
        <v>1415</v>
      </c>
      <c r="I1414" s="93">
        <f t="shared" si="26"/>
        <v>0.24221157137966451</v>
      </c>
    </row>
    <row r="1415" spans="1:9" x14ac:dyDescent="0.25">
      <c r="A1415" s="76" t="s">
        <v>692</v>
      </c>
      <c r="B1415" s="76" t="s">
        <v>107</v>
      </c>
      <c r="C1415" s="77">
        <v>41091</v>
      </c>
      <c r="D1415" s="78">
        <v>41274</v>
      </c>
      <c r="E1415" s="79">
        <v>8.9999999999999993E-3</v>
      </c>
      <c r="F1415" s="80">
        <v>36404</v>
      </c>
      <c r="G1415" s="81"/>
      <c r="H1415" s="80">
        <v>16217</v>
      </c>
      <c r="I1415" s="93">
        <f t="shared" si="26"/>
        <v>0.44547302494231406</v>
      </c>
    </row>
    <row r="1416" spans="1:9" x14ac:dyDescent="0.25">
      <c r="A1416" s="76" t="s">
        <v>692</v>
      </c>
      <c r="B1416" s="76" t="s">
        <v>693</v>
      </c>
      <c r="C1416" s="77">
        <v>40683</v>
      </c>
      <c r="D1416" s="78">
        <v>40939</v>
      </c>
      <c r="E1416" s="79">
        <v>8.9999999999999993E-3</v>
      </c>
      <c r="F1416" s="80">
        <v>51055.5</v>
      </c>
      <c r="G1416" s="81"/>
      <c r="H1416" s="80">
        <v>20683</v>
      </c>
      <c r="I1416" s="93">
        <f t="shared" si="26"/>
        <v>0.40510816660301047</v>
      </c>
    </row>
    <row r="1417" spans="1:9" x14ac:dyDescent="0.25">
      <c r="A1417" s="76" t="s">
        <v>692</v>
      </c>
      <c r="B1417" s="76" t="s">
        <v>29</v>
      </c>
      <c r="C1417" s="77">
        <v>40954</v>
      </c>
      <c r="D1417" s="78">
        <v>41274</v>
      </c>
      <c r="E1417" s="79">
        <v>8.9999999999999993E-3</v>
      </c>
      <c r="F1417" s="80">
        <v>278803</v>
      </c>
      <c r="G1417" s="81"/>
      <c r="H1417" s="80">
        <v>142452</v>
      </c>
      <c r="I1417" s="93">
        <f t="shared" si="26"/>
        <v>0.51094141741659882</v>
      </c>
    </row>
    <row r="1418" spans="1:9" x14ac:dyDescent="0.25">
      <c r="A1418" s="76" t="s">
        <v>692</v>
      </c>
      <c r="B1418" s="76" t="s">
        <v>694</v>
      </c>
      <c r="C1418" s="77">
        <v>40909</v>
      </c>
      <c r="D1418" s="78">
        <v>41274</v>
      </c>
      <c r="E1418" s="79">
        <v>8.9999999999999993E-3</v>
      </c>
      <c r="F1418" s="80">
        <v>331488</v>
      </c>
      <c r="G1418" s="81"/>
      <c r="H1418" s="80">
        <v>188881</v>
      </c>
      <c r="I1418" s="93">
        <f t="shared" si="26"/>
        <v>0.56979739839752874</v>
      </c>
    </row>
    <row r="1419" spans="1:9" x14ac:dyDescent="0.25">
      <c r="A1419" s="124"/>
      <c r="B1419" s="124"/>
      <c r="C1419" s="125"/>
      <c r="D1419" s="125"/>
    </row>
    <row r="1420" spans="1:9" x14ac:dyDescent="0.25">
      <c r="A1420" s="124"/>
      <c r="B1420" s="124"/>
      <c r="C1420" s="125"/>
      <c r="D1420" s="125"/>
    </row>
    <row r="1421" spans="1:9" x14ac:dyDescent="0.25">
      <c r="A1421" s="124"/>
      <c r="B1421" s="124"/>
      <c r="C1421" s="125"/>
      <c r="D1421" s="125"/>
    </row>
    <row r="1422" spans="1:9" x14ac:dyDescent="0.25">
      <c r="A1422" s="124"/>
      <c r="B1422" s="124"/>
      <c r="C1422" s="125"/>
      <c r="D1422" s="125"/>
    </row>
    <row r="1423" spans="1:9" x14ac:dyDescent="0.25">
      <c r="A1423" s="124"/>
      <c r="B1423" s="124"/>
      <c r="C1423" s="125"/>
      <c r="D1423" s="125"/>
    </row>
    <row r="1424" spans="1:9" x14ac:dyDescent="0.25">
      <c r="A1424" s="124"/>
      <c r="B1424" s="124"/>
      <c r="C1424" s="125"/>
      <c r="D1424" s="125"/>
    </row>
    <row r="1425" spans="1:4" x14ac:dyDescent="0.25">
      <c r="A1425" s="125"/>
      <c r="B1425" s="125"/>
      <c r="C1425" s="125"/>
      <c r="D1425" s="125"/>
    </row>
    <row r="1426" spans="1:4" x14ac:dyDescent="0.25">
      <c r="A1426" s="125"/>
      <c r="B1426" s="125"/>
      <c r="C1426" s="125"/>
      <c r="D1426" s="125"/>
    </row>
  </sheetData>
  <autoFilter ref="A1:I1418"/>
  <sortState ref="A2:XFD1427">
    <sortCondition ref="A2:A1427"/>
  </sortState>
  <pageMargins left="0.7" right="0.7" top="0.75" bottom="0.75" header="0.3" footer="0.3"/>
  <pageSetup scale="57" fitToHeight="30" orientation="landscape" r:id="rId1"/>
  <ignoredErrors>
    <ignoredError sqref="I656:I657 I658 I664:I667 I668 I672 I685 I689 I717:I718 I719:I720 I721:I722 I727 I732:I733 I750 I870 I889:I890 I891:I892 I893:I894 I898 I909 I917 I927 I955:I956 I957:I958 I963:I964 I965:I966 I967:I968 I969:I970 I975:I976 I977:I978 I983:I984 I991:I992 I1006 I1023 I1032:I1035 I1085 I1088 I1091:I1092 I1097 I1103 I1119 I1124 I1129:I1130 I1131 I1139:I1140 I1141 I1146:I1147 I1150:I1151 I1152:I1153 I1156:I1157 I1158 I1163:I1164 I1165:I1166 I1167 I1172:I1173 I1174 I1177 I1185:I1188 I1189 I1194:I1195 I1206:I1207 I1218 I1237 I1245:I1248 I1249 I1284:I1285 I1288:I1289 I1301 I1306 I1311:I1312 I1346:I1353 I1358:I1359 I1360 I1371:I1372 I1373 I1378:I1379 I1382:I1385 I1390:I1391 I1407 I648:I649 I647 I639:I641 I642 I628:I629 I630 I603:I605 I597:I598 I591:I592 I588:I590 I585:I587 I579:I580 I576:I578 I572:I573 I566:I567 I560:I563 I559 I543:I546 I540:I542 I531:I532 I528:I530 I527 I521:I522 I519:I520 I513:I514 I509 I453 I442 I424 I417:I418 I416 I404:I405 I401:I403 I399:I400 I398 I389:I390 I355:I356 I352 I348:I349 I328 I317 I309 I304 I291:I293 I284 I261 I208:I209 I201:I204 I200 I43:I4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2E82"/>
    <pageSetUpPr fitToPage="1"/>
  </sheetPr>
  <dimension ref="A1:I1426"/>
  <sheetViews>
    <sheetView workbookViewId="0">
      <pane xSplit="2" ySplit="1" topLeftCell="C2" activePane="bottomRight" state="frozen"/>
      <selection pane="topRight" activeCell="C1" sqref="C1"/>
      <selection pane="bottomLeft" activeCell="A2" sqref="A2"/>
      <selection pane="bottomRight" activeCell="A922" sqref="A922"/>
    </sheetView>
  </sheetViews>
  <sheetFormatPr defaultRowHeight="15" x14ac:dyDescent="0.25"/>
  <cols>
    <col min="1" max="1" width="43.140625" style="20" bestFit="1" customWidth="1"/>
    <col min="2" max="2" width="65.28515625" style="20" bestFit="1" customWidth="1"/>
    <col min="3" max="4" width="14.28515625" style="20" bestFit="1" customWidth="1"/>
    <col min="5" max="5" width="20.140625" style="20" bestFit="1" customWidth="1"/>
    <col min="6" max="6" width="31" style="20" bestFit="1" customWidth="1"/>
    <col min="7" max="7" width="15.7109375" style="20" bestFit="1" customWidth="1"/>
    <col min="8" max="8" width="16.42578125" style="20" bestFit="1" customWidth="1"/>
    <col min="9" max="9" width="14.28515625" style="20" bestFit="1" customWidth="1"/>
    <col min="10" max="16384" width="9.140625" style="20"/>
  </cols>
  <sheetData>
    <row r="1" spans="1:9" ht="64.5" customHeight="1" x14ac:dyDescent="0.25">
      <c r="A1" s="63" t="s">
        <v>1962</v>
      </c>
      <c r="B1" s="63" t="s">
        <v>0</v>
      </c>
      <c r="C1" s="64" t="s">
        <v>1</v>
      </c>
      <c r="D1" s="65" t="s">
        <v>2</v>
      </c>
      <c r="E1" s="66" t="s">
        <v>3</v>
      </c>
      <c r="F1" s="67" t="s">
        <v>4</v>
      </c>
      <c r="G1" s="68" t="s">
        <v>5</v>
      </c>
      <c r="H1" s="69" t="s">
        <v>6</v>
      </c>
      <c r="I1" s="66" t="s">
        <v>7</v>
      </c>
    </row>
    <row r="2" spans="1:9" x14ac:dyDescent="0.25">
      <c r="A2" s="76" t="s">
        <v>516</v>
      </c>
      <c r="B2" s="76" t="s">
        <v>527</v>
      </c>
      <c r="C2" s="77">
        <v>40910</v>
      </c>
      <c r="D2" s="78">
        <v>41182</v>
      </c>
      <c r="E2" s="79">
        <v>0.1</v>
      </c>
      <c r="F2" s="80">
        <v>32458</v>
      </c>
      <c r="G2" s="88"/>
      <c r="H2" s="80">
        <v>6576.02</v>
      </c>
      <c r="I2" s="79">
        <f>H2/F2</f>
        <v>0.20260089962412967</v>
      </c>
    </row>
    <row r="3" spans="1:9" x14ac:dyDescent="0.25">
      <c r="A3" s="76" t="s">
        <v>426</v>
      </c>
      <c r="B3" s="76" t="s">
        <v>427</v>
      </c>
      <c r="C3" s="77">
        <v>40729</v>
      </c>
      <c r="D3" s="78">
        <v>41014</v>
      </c>
      <c r="E3" s="79">
        <v>0.1</v>
      </c>
      <c r="F3" s="88"/>
      <c r="G3" s="81">
        <v>209380.83</v>
      </c>
      <c r="H3" s="80">
        <v>20938.09</v>
      </c>
      <c r="I3" s="79">
        <f>H3/G3</f>
        <v>0.10000003343190493</v>
      </c>
    </row>
    <row r="4" spans="1:9" x14ac:dyDescent="0.25">
      <c r="A4" s="70" t="s">
        <v>127</v>
      </c>
      <c r="B4" s="70" t="s">
        <v>128</v>
      </c>
      <c r="C4" s="71">
        <v>40742</v>
      </c>
      <c r="D4" s="72">
        <v>41065</v>
      </c>
      <c r="E4" s="73">
        <v>0</v>
      </c>
      <c r="F4" s="74">
        <v>0</v>
      </c>
      <c r="G4" s="75"/>
      <c r="H4" s="74">
        <v>-371325</v>
      </c>
      <c r="I4" s="73">
        <v>0</v>
      </c>
    </row>
    <row r="5" spans="1:9" x14ac:dyDescent="0.25">
      <c r="A5" s="70" t="s">
        <v>20</v>
      </c>
      <c r="B5" s="70" t="s">
        <v>30</v>
      </c>
      <c r="C5" s="71">
        <v>40770</v>
      </c>
      <c r="D5" s="72">
        <v>41060</v>
      </c>
      <c r="E5" s="73">
        <v>0</v>
      </c>
      <c r="F5" s="74"/>
      <c r="G5" s="75">
        <v>71.61</v>
      </c>
      <c r="H5" s="74">
        <v>0</v>
      </c>
      <c r="I5" s="73">
        <v>0</v>
      </c>
    </row>
    <row r="6" spans="1:9" x14ac:dyDescent="0.25">
      <c r="A6" s="70" t="s">
        <v>20</v>
      </c>
      <c r="B6" s="70" t="s">
        <v>30</v>
      </c>
      <c r="C6" s="71">
        <v>40770</v>
      </c>
      <c r="D6" s="72">
        <v>41060</v>
      </c>
      <c r="E6" s="73">
        <v>0</v>
      </c>
      <c r="F6" s="74">
        <v>3985</v>
      </c>
      <c r="G6" s="75"/>
      <c r="H6" s="74">
        <v>-121.85</v>
      </c>
      <c r="I6" s="73">
        <v>-1.7015779919005725</v>
      </c>
    </row>
    <row r="7" spans="1:9" x14ac:dyDescent="0.25">
      <c r="A7" s="76" t="s">
        <v>449</v>
      </c>
      <c r="B7" s="76" t="s">
        <v>450</v>
      </c>
      <c r="C7" s="77">
        <v>40909</v>
      </c>
      <c r="D7" s="78">
        <v>41274</v>
      </c>
      <c r="E7" s="79">
        <v>0</v>
      </c>
      <c r="F7" s="80">
        <v>0</v>
      </c>
      <c r="G7" s="88"/>
      <c r="H7" s="80">
        <v>0</v>
      </c>
      <c r="I7" s="79">
        <v>0</v>
      </c>
    </row>
    <row r="8" spans="1:9" x14ac:dyDescent="0.25">
      <c r="A8" s="76" t="s">
        <v>578</v>
      </c>
      <c r="B8" s="76" t="s">
        <v>615</v>
      </c>
      <c r="C8" s="77">
        <v>40707</v>
      </c>
      <c r="D8" s="78">
        <v>40999</v>
      </c>
      <c r="E8" s="79">
        <v>0</v>
      </c>
      <c r="F8" s="80">
        <v>20823</v>
      </c>
      <c r="G8" s="81"/>
      <c r="H8" s="80">
        <v>-2683.77</v>
      </c>
      <c r="I8" s="79">
        <f>H8/F8</f>
        <v>-0.12888488690390434</v>
      </c>
    </row>
    <row r="9" spans="1:9" x14ac:dyDescent="0.25">
      <c r="A9" s="76" t="s">
        <v>578</v>
      </c>
      <c r="B9" s="76" t="s">
        <v>615</v>
      </c>
      <c r="C9" s="77">
        <v>40707</v>
      </c>
      <c r="D9" s="78">
        <v>40999</v>
      </c>
      <c r="E9" s="79">
        <v>0</v>
      </c>
      <c r="F9" s="80"/>
      <c r="G9" s="81">
        <v>728.81</v>
      </c>
      <c r="H9" s="80">
        <v>-93.93</v>
      </c>
      <c r="I9" s="79">
        <f>H9/G9</f>
        <v>-0.12888132709485328</v>
      </c>
    </row>
    <row r="10" spans="1:9" x14ac:dyDescent="0.25">
      <c r="A10" s="76" t="s">
        <v>613</v>
      </c>
      <c r="B10" s="76" t="s">
        <v>615</v>
      </c>
      <c r="C10" s="77">
        <v>40710</v>
      </c>
      <c r="D10" s="78">
        <v>41045</v>
      </c>
      <c r="E10" s="79">
        <v>8.9999999999999993E-3</v>
      </c>
      <c r="F10" s="80"/>
      <c r="G10" s="81">
        <v>400</v>
      </c>
      <c r="H10" s="80">
        <v>4</v>
      </c>
      <c r="I10" s="79">
        <f>H10/G10</f>
        <v>0.01</v>
      </c>
    </row>
    <row r="11" spans="1:9" x14ac:dyDescent="0.25">
      <c r="A11" s="76" t="s">
        <v>613</v>
      </c>
      <c r="B11" s="76" t="s">
        <v>615</v>
      </c>
      <c r="C11" s="77">
        <v>40710</v>
      </c>
      <c r="D11" s="78">
        <v>41045</v>
      </c>
      <c r="E11" s="79">
        <v>8.9999999999999993E-3</v>
      </c>
      <c r="F11" s="80">
        <v>13121</v>
      </c>
      <c r="G11" s="81"/>
      <c r="H11" s="80">
        <v>-17846</v>
      </c>
      <c r="I11" s="79">
        <f>H11/F11</f>
        <v>-1.3601097477326423</v>
      </c>
    </row>
    <row r="12" spans="1:9" x14ac:dyDescent="0.25">
      <c r="A12" s="76" t="s">
        <v>531</v>
      </c>
      <c r="B12" s="76" t="s">
        <v>534</v>
      </c>
      <c r="C12" s="77">
        <v>40726</v>
      </c>
      <c r="D12" s="78">
        <v>41029</v>
      </c>
      <c r="E12" s="79">
        <v>8.9999999999999993E-3</v>
      </c>
      <c r="F12" s="80">
        <v>83867</v>
      </c>
      <c r="G12" s="81"/>
      <c r="H12" s="80">
        <v>32693</v>
      </c>
      <c r="I12" s="79">
        <f>H12/F12</f>
        <v>0.38981959531162436</v>
      </c>
    </row>
    <row r="13" spans="1:9" x14ac:dyDescent="0.25">
      <c r="A13" s="76" t="s">
        <v>531</v>
      </c>
      <c r="B13" s="76" t="s">
        <v>534</v>
      </c>
      <c r="C13" s="77">
        <v>40726</v>
      </c>
      <c r="D13" s="78">
        <v>41029</v>
      </c>
      <c r="E13" s="79">
        <v>8.9999999999999993E-3</v>
      </c>
      <c r="F13" s="80"/>
      <c r="G13" s="81">
        <v>3341</v>
      </c>
      <c r="H13" s="80">
        <v>1479</v>
      </c>
      <c r="I13" s="79">
        <f>H13/G13</f>
        <v>0.44268183178689013</v>
      </c>
    </row>
    <row r="14" spans="1:9" x14ac:dyDescent="0.25">
      <c r="A14" s="76" t="s">
        <v>643</v>
      </c>
      <c r="B14" s="76" t="s">
        <v>658</v>
      </c>
      <c r="C14" s="77">
        <v>40982</v>
      </c>
      <c r="D14" s="78">
        <v>41274</v>
      </c>
      <c r="E14" s="79">
        <v>4.4999999999999997E-3</v>
      </c>
      <c r="F14" s="80">
        <v>100073.18</v>
      </c>
      <c r="G14" s="81"/>
      <c r="H14" s="80">
        <v>23632.52</v>
      </c>
      <c r="I14" s="79">
        <f>H14/F14</f>
        <v>0.23615238368561889</v>
      </c>
    </row>
    <row r="15" spans="1:9" x14ac:dyDescent="0.25">
      <c r="A15" s="76" t="s">
        <v>643</v>
      </c>
      <c r="B15" s="76" t="s">
        <v>658</v>
      </c>
      <c r="C15" s="77">
        <v>40982</v>
      </c>
      <c r="D15" s="78">
        <v>41274</v>
      </c>
      <c r="E15" s="79">
        <v>4.4999999999999997E-3</v>
      </c>
      <c r="F15" s="80"/>
      <c r="G15" s="81">
        <v>2117</v>
      </c>
      <c r="H15" s="80">
        <v>-247.4</v>
      </c>
      <c r="I15" s="79">
        <f>H15/G15</f>
        <v>-0.11686348606518658</v>
      </c>
    </row>
    <row r="16" spans="1:9" x14ac:dyDescent="0.25">
      <c r="A16" s="76" t="s">
        <v>643</v>
      </c>
      <c r="B16" s="76" t="s">
        <v>646</v>
      </c>
      <c r="C16" s="77">
        <v>40616</v>
      </c>
      <c r="D16" s="78">
        <v>40981</v>
      </c>
      <c r="E16" s="79">
        <v>4.4999999999999997E-3</v>
      </c>
      <c r="F16" s="80">
        <v>189737.88</v>
      </c>
      <c r="G16" s="81"/>
      <c r="H16" s="80">
        <v>55063.08</v>
      </c>
      <c r="I16" s="79">
        <f>H16/F16</f>
        <v>0.29020604636248704</v>
      </c>
    </row>
    <row r="17" spans="1:9" x14ac:dyDescent="0.25">
      <c r="A17" s="76" t="s">
        <v>643</v>
      </c>
      <c r="B17" s="76" t="s">
        <v>646</v>
      </c>
      <c r="C17" s="77">
        <v>40616</v>
      </c>
      <c r="D17" s="78">
        <v>40981</v>
      </c>
      <c r="E17" s="79">
        <v>4.4999999999999997E-3</v>
      </c>
      <c r="F17" s="80"/>
      <c r="G17" s="81">
        <v>10051</v>
      </c>
      <c r="H17" s="80">
        <v>2365.4</v>
      </c>
      <c r="I17" s="79">
        <f>H17/G17</f>
        <v>0.23533976718734456</v>
      </c>
    </row>
    <row r="18" spans="1:9" x14ac:dyDescent="0.25">
      <c r="A18" s="76" t="s">
        <v>220</v>
      </c>
      <c r="B18" s="76" t="s">
        <v>228</v>
      </c>
      <c r="C18" s="77">
        <v>40952</v>
      </c>
      <c r="D18" s="78">
        <v>41097</v>
      </c>
      <c r="E18" s="79">
        <v>0.22</v>
      </c>
      <c r="F18" s="80">
        <v>31118</v>
      </c>
      <c r="G18" s="81"/>
      <c r="H18" s="80">
        <v>6845.96</v>
      </c>
      <c r="I18" s="79">
        <f>H18/F18</f>
        <v>0.22</v>
      </c>
    </row>
    <row r="19" spans="1:9" x14ac:dyDescent="0.25">
      <c r="A19" s="76" t="s">
        <v>583</v>
      </c>
      <c r="B19" s="76" t="s">
        <v>585</v>
      </c>
      <c r="C19" s="77">
        <v>40837</v>
      </c>
      <c r="D19" s="78">
        <v>41202</v>
      </c>
      <c r="E19" s="79">
        <v>0.09</v>
      </c>
      <c r="F19" s="80"/>
      <c r="G19" s="81">
        <v>131368</v>
      </c>
      <c r="H19" s="80">
        <v>128968</v>
      </c>
      <c r="I19" s="79">
        <f>H19/G19</f>
        <v>0.98173071067535478</v>
      </c>
    </row>
    <row r="20" spans="1:9" x14ac:dyDescent="0.25">
      <c r="A20" s="76" t="s">
        <v>317</v>
      </c>
      <c r="B20" s="76" t="s">
        <v>344</v>
      </c>
      <c r="C20" s="77">
        <v>40848</v>
      </c>
      <c r="D20" s="78">
        <v>41213</v>
      </c>
      <c r="E20" s="79">
        <v>0.27</v>
      </c>
      <c r="F20" s="80">
        <v>2576949.9700000002</v>
      </c>
      <c r="G20" s="81"/>
      <c r="H20" s="80">
        <v>1041207.9</v>
      </c>
      <c r="I20" s="79">
        <f>H20/F20</f>
        <v>0.40404661018700333</v>
      </c>
    </row>
    <row r="21" spans="1:9" x14ac:dyDescent="0.25">
      <c r="A21" s="76" t="s">
        <v>317</v>
      </c>
      <c r="B21" s="76" t="s">
        <v>344</v>
      </c>
      <c r="C21" s="77">
        <v>40848</v>
      </c>
      <c r="D21" s="78">
        <v>41213</v>
      </c>
      <c r="E21" s="79">
        <v>0.27</v>
      </c>
      <c r="F21" s="80"/>
      <c r="G21" s="81">
        <v>104707.63</v>
      </c>
      <c r="H21" s="80">
        <v>42306.76</v>
      </c>
      <c r="I21" s="79">
        <f>H21/G21</f>
        <v>0.40404658189665832</v>
      </c>
    </row>
    <row r="22" spans="1:9" x14ac:dyDescent="0.25">
      <c r="A22" s="70" t="s">
        <v>38</v>
      </c>
      <c r="B22" s="70" t="s">
        <v>55</v>
      </c>
      <c r="C22" s="71">
        <v>40959</v>
      </c>
      <c r="D22" s="72">
        <v>41316</v>
      </c>
      <c r="E22" s="73">
        <v>0.40500000000000003</v>
      </c>
      <c r="F22" s="74"/>
      <c r="G22" s="75">
        <v>10579.97</v>
      </c>
      <c r="H22" s="74">
        <v>4760.99</v>
      </c>
      <c r="I22" s="73">
        <v>0.45000033081379248</v>
      </c>
    </row>
    <row r="23" spans="1:9" x14ac:dyDescent="0.25">
      <c r="A23" s="70" t="s">
        <v>80</v>
      </c>
      <c r="B23" s="70" t="s">
        <v>55</v>
      </c>
      <c r="C23" s="71">
        <v>40912</v>
      </c>
      <c r="D23" s="72">
        <v>41277</v>
      </c>
      <c r="E23" s="73">
        <v>8.9999999999999993E-3</v>
      </c>
      <c r="F23" s="74">
        <v>1630</v>
      </c>
      <c r="G23" s="75"/>
      <c r="H23" s="74">
        <v>1042</v>
      </c>
      <c r="I23" s="73">
        <v>0.63926380368098157</v>
      </c>
    </row>
    <row r="24" spans="1:9" x14ac:dyDescent="0.25">
      <c r="A24" s="70" t="s">
        <v>80</v>
      </c>
      <c r="B24" s="70" t="s">
        <v>55</v>
      </c>
      <c r="C24" s="71">
        <v>40912</v>
      </c>
      <c r="D24" s="72">
        <v>41277</v>
      </c>
      <c r="E24" s="73">
        <v>8.9999999999999993E-3</v>
      </c>
      <c r="F24" s="74"/>
      <c r="G24" s="75">
        <v>0</v>
      </c>
      <c r="H24" s="74">
        <v>0</v>
      </c>
      <c r="I24" s="73">
        <v>0</v>
      </c>
    </row>
    <row r="25" spans="1:9" x14ac:dyDescent="0.25">
      <c r="A25" s="76" t="s">
        <v>171</v>
      </c>
      <c r="B25" s="76" t="s">
        <v>208</v>
      </c>
      <c r="C25" s="77">
        <v>40891</v>
      </c>
      <c r="D25" s="78">
        <v>41206</v>
      </c>
      <c r="E25" s="79">
        <v>1.7999999999999999E-2</v>
      </c>
      <c r="F25" s="80">
        <v>27179</v>
      </c>
      <c r="G25" s="81"/>
      <c r="H25" s="80">
        <v>1776</v>
      </c>
      <c r="I25" s="79">
        <f>H25/F25</f>
        <v>6.5344567496964573E-2</v>
      </c>
    </row>
    <row r="26" spans="1:9" x14ac:dyDescent="0.25">
      <c r="A26" s="76" t="s">
        <v>171</v>
      </c>
      <c r="B26" s="76" t="s">
        <v>208</v>
      </c>
      <c r="C26" s="77">
        <v>40891</v>
      </c>
      <c r="D26" s="78">
        <v>41206</v>
      </c>
      <c r="E26" s="79">
        <v>1.7999999999999999E-2</v>
      </c>
      <c r="F26" s="80"/>
      <c r="G26" s="81">
        <v>635</v>
      </c>
      <c r="H26" s="80">
        <v>6</v>
      </c>
      <c r="I26" s="79">
        <f>H26/G26</f>
        <v>9.4488188976377951E-3</v>
      </c>
    </row>
    <row r="27" spans="1:9" x14ac:dyDescent="0.25">
      <c r="A27" s="70" t="s">
        <v>101</v>
      </c>
      <c r="B27" s="70" t="s">
        <v>109</v>
      </c>
      <c r="C27" s="71">
        <v>40934</v>
      </c>
      <c r="D27" s="72">
        <v>41274</v>
      </c>
      <c r="E27" s="73">
        <v>8.9999999999999993E-3</v>
      </c>
      <c r="F27" s="74">
        <v>8958.5</v>
      </c>
      <c r="G27" s="75"/>
      <c r="H27" s="74">
        <v>1662.35</v>
      </c>
      <c r="I27" s="73">
        <v>0.18556119886141653</v>
      </c>
    </row>
    <row r="28" spans="1:9" x14ac:dyDescent="0.25">
      <c r="A28" s="70" t="s">
        <v>101</v>
      </c>
      <c r="B28" s="70" t="s">
        <v>109</v>
      </c>
      <c r="C28" s="71">
        <v>40934</v>
      </c>
      <c r="D28" s="72">
        <v>41274</v>
      </c>
      <c r="E28" s="73">
        <v>8.9999999999999993E-3</v>
      </c>
      <c r="F28" s="74"/>
      <c r="G28" s="75">
        <v>115.56</v>
      </c>
      <c r="H28" s="74">
        <v>21.44</v>
      </c>
      <c r="I28" s="73">
        <v>0.1855313257182416</v>
      </c>
    </row>
    <row r="29" spans="1:9" x14ac:dyDescent="0.25">
      <c r="A29" s="76" t="s">
        <v>246</v>
      </c>
      <c r="B29" s="76" t="s">
        <v>109</v>
      </c>
      <c r="C29" s="77">
        <v>40909</v>
      </c>
      <c r="D29" s="78">
        <v>41274</v>
      </c>
      <c r="E29" s="79">
        <v>0</v>
      </c>
      <c r="F29" s="80">
        <v>57024</v>
      </c>
      <c r="G29" s="81"/>
      <c r="H29" s="80">
        <v>4271.92</v>
      </c>
      <c r="I29" s="79">
        <f>H29/F29</f>
        <v>7.4914421997755332E-2</v>
      </c>
    </row>
    <row r="30" spans="1:9" x14ac:dyDescent="0.25">
      <c r="A30" s="76" t="s">
        <v>674</v>
      </c>
      <c r="B30" s="76" t="s">
        <v>109</v>
      </c>
      <c r="C30" s="77">
        <v>40920</v>
      </c>
      <c r="D30" s="78">
        <v>41274</v>
      </c>
      <c r="E30" s="79">
        <v>0.22500000000000001</v>
      </c>
      <c r="F30" s="80">
        <v>46683</v>
      </c>
      <c r="G30" s="81"/>
      <c r="H30" s="80">
        <v>19712.599999999999</v>
      </c>
      <c r="I30" s="79">
        <f>H30/F30</f>
        <v>0.42226506437032751</v>
      </c>
    </row>
    <row r="31" spans="1:9" x14ac:dyDescent="0.25">
      <c r="A31" s="70" t="s">
        <v>146</v>
      </c>
      <c r="B31" s="70" t="s">
        <v>154</v>
      </c>
      <c r="C31" s="71">
        <v>40725</v>
      </c>
      <c r="D31" s="72">
        <v>41090</v>
      </c>
      <c r="E31" s="101">
        <v>4.4999999999999999E-4</v>
      </c>
      <c r="F31" s="74">
        <v>36136.5</v>
      </c>
      <c r="G31" s="75"/>
      <c r="H31" s="74">
        <v>15311.03</v>
      </c>
      <c r="I31" s="73">
        <v>0.42369986025209971</v>
      </c>
    </row>
    <row r="32" spans="1:9" x14ac:dyDescent="0.25">
      <c r="A32" s="76" t="s">
        <v>790</v>
      </c>
      <c r="B32" s="76" t="s">
        <v>1723</v>
      </c>
      <c r="C32" s="77">
        <v>40827</v>
      </c>
      <c r="D32" s="78">
        <v>41192</v>
      </c>
      <c r="E32" s="79">
        <v>0.16</v>
      </c>
      <c r="F32" s="80">
        <v>25819</v>
      </c>
      <c r="G32" s="81"/>
      <c r="H32" s="80">
        <v>4131.04</v>
      </c>
      <c r="I32" s="73">
        <f>H32/F32</f>
        <v>0.16</v>
      </c>
    </row>
    <row r="33" spans="1:9" x14ac:dyDescent="0.25">
      <c r="A33" s="76" t="s">
        <v>790</v>
      </c>
      <c r="B33" s="76" t="s">
        <v>1723</v>
      </c>
      <c r="C33" s="77">
        <v>40827</v>
      </c>
      <c r="D33" s="78">
        <v>41192</v>
      </c>
      <c r="E33" s="79">
        <v>0.16</v>
      </c>
      <c r="F33" s="80"/>
      <c r="G33" s="81">
        <v>4968</v>
      </c>
      <c r="H33" s="80">
        <v>794.88</v>
      </c>
      <c r="I33" s="73">
        <f>H33/G33</f>
        <v>0.16</v>
      </c>
    </row>
    <row r="34" spans="1:9" x14ac:dyDescent="0.25">
      <c r="A34" s="76" t="s">
        <v>531</v>
      </c>
      <c r="B34" s="76" t="s">
        <v>548</v>
      </c>
      <c r="C34" s="77">
        <v>41000</v>
      </c>
      <c r="D34" s="78">
        <v>41364</v>
      </c>
      <c r="E34" s="79">
        <v>8.9999999999999993E-3</v>
      </c>
      <c r="F34" s="80">
        <v>1016054</v>
      </c>
      <c r="G34" s="81"/>
      <c r="H34" s="80">
        <v>253768</v>
      </c>
      <c r="I34" s="79">
        <f>H34/F34</f>
        <v>0.24975837898379416</v>
      </c>
    </row>
    <row r="35" spans="1:9" x14ac:dyDescent="0.25">
      <c r="A35" s="76" t="s">
        <v>531</v>
      </c>
      <c r="B35" s="76" t="s">
        <v>548</v>
      </c>
      <c r="C35" s="77">
        <v>41000</v>
      </c>
      <c r="D35" s="78">
        <v>41364</v>
      </c>
      <c r="E35" s="79">
        <v>8.9999999999999993E-3</v>
      </c>
      <c r="F35" s="80"/>
      <c r="G35" s="81">
        <v>10483</v>
      </c>
      <c r="H35" s="80">
        <v>4204</v>
      </c>
      <c r="I35" s="79">
        <f>H35/G35</f>
        <v>0.40103023943527616</v>
      </c>
    </row>
    <row r="36" spans="1:9" x14ac:dyDescent="0.25">
      <c r="A36" s="76" t="s">
        <v>613</v>
      </c>
      <c r="B36" s="76" t="s">
        <v>548</v>
      </c>
      <c r="C36" s="77">
        <v>41082</v>
      </c>
      <c r="D36" s="78">
        <v>41425</v>
      </c>
      <c r="E36" s="79">
        <v>8.9999999999999993E-3</v>
      </c>
      <c r="F36" s="80">
        <v>253034</v>
      </c>
      <c r="G36" s="81"/>
      <c r="H36" s="80">
        <v>65309</v>
      </c>
      <c r="I36" s="79">
        <f>H36/F36</f>
        <v>0.25810365405439584</v>
      </c>
    </row>
    <row r="37" spans="1:9" x14ac:dyDescent="0.25">
      <c r="A37" s="76" t="s">
        <v>613</v>
      </c>
      <c r="B37" s="76" t="s">
        <v>548</v>
      </c>
      <c r="C37" s="77">
        <v>41082</v>
      </c>
      <c r="D37" s="78">
        <v>41425</v>
      </c>
      <c r="E37" s="79">
        <v>8.9999999999999993E-3</v>
      </c>
      <c r="F37" s="80"/>
      <c r="G37" s="81">
        <v>7476</v>
      </c>
      <c r="H37" s="80">
        <v>1403</v>
      </c>
      <c r="I37" s="79">
        <f>H37/G37</f>
        <v>0.18766720171214554</v>
      </c>
    </row>
    <row r="38" spans="1:9" x14ac:dyDescent="0.25">
      <c r="A38" s="76" t="s">
        <v>171</v>
      </c>
      <c r="B38" s="76" t="s">
        <v>213</v>
      </c>
      <c r="C38" s="77">
        <v>40962</v>
      </c>
      <c r="D38" s="78">
        <v>41274</v>
      </c>
      <c r="E38" s="79">
        <v>1.7999999999999999E-2</v>
      </c>
      <c r="F38" s="80">
        <v>228334</v>
      </c>
      <c r="G38" s="81"/>
      <c r="H38" s="80">
        <v>188035</v>
      </c>
      <c r="I38" s="79">
        <f>H38/F38</f>
        <v>0.82350854450059996</v>
      </c>
    </row>
    <row r="39" spans="1:9" x14ac:dyDescent="0.25">
      <c r="A39" s="76" t="s">
        <v>674</v>
      </c>
      <c r="B39" s="76" t="s">
        <v>213</v>
      </c>
      <c r="C39" s="77">
        <v>40911</v>
      </c>
      <c r="D39" s="78">
        <v>41274</v>
      </c>
      <c r="E39" s="79">
        <v>9.9000000000000005E-2</v>
      </c>
      <c r="F39" s="80">
        <v>796977.67</v>
      </c>
      <c r="G39" s="81"/>
      <c r="H39" s="80">
        <v>178981.36</v>
      </c>
      <c r="I39" s="79">
        <f>H39/F39</f>
        <v>0.22457512517257852</v>
      </c>
    </row>
    <row r="40" spans="1:9" x14ac:dyDescent="0.25">
      <c r="A40" s="76" t="s">
        <v>674</v>
      </c>
      <c r="B40" s="76" t="s">
        <v>213</v>
      </c>
      <c r="C40" s="77">
        <v>40911</v>
      </c>
      <c r="D40" s="78">
        <v>41274</v>
      </c>
      <c r="E40" s="79">
        <v>9.9000000000000005E-2</v>
      </c>
      <c r="F40" s="80"/>
      <c r="G40" s="81">
        <v>20514</v>
      </c>
      <c r="H40" s="80">
        <v>3840.44</v>
      </c>
      <c r="I40" s="79">
        <f>H40/G40</f>
        <v>0.18721068538559033</v>
      </c>
    </row>
    <row r="41" spans="1:9" x14ac:dyDescent="0.25">
      <c r="A41" s="70" t="s">
        <v>20</v>
      </c>
      <c r="B41" s="70" t="s">
        <v>33</v>
      </c>
      <c r="C41" s="71">
        <v>40861</v>
      </c>
      <c r="D41" s="72">
        <v>41207</v>
      </c>
      <c r="E41" s="73">
        <v>0</v>
      </c>
      <c r="F41" s="74">
        <v>171538.46</v>
      </c>
      <c r="G41" s="75"/>
      <c r="H41" s="74">
        <v>122303.03999999999</v>
      </c>
      <c r="I41" s="73">
        <v>0.71297736962311542</v>
      </c>
    </row>
    <row r="42" spans="1:9" x14ac:dyDescent="0.25">
      <c r="A42" s="70" t="s">
        <v>20</v>
      </c>
      <c r="B42" s="70" t="s">
        <v>33</v>
      </c>
      <c r="C42" s="71">
        <v>40861</v>
      </c>
      <c r="D42" s="72">
        <v>41207</v>
      </c>
      <c r="E42" s="73">
        <v>0</v>
      </c>
      <c r="F42" s="74"/>
      <c r="G42" s="75">
        <v>4331</v>
      </c>
      <c r="H42" s="74">
        <v>3152.16</v>
      </c>
      <c r="I42" s="73">
        <v>0.72781343800507958</v>
      </c>
    </row>
    <row r="43" spans="1:9" x14ac:dyDescent="0.25">
      <c r="A43" s="70" t="s">
        <v>171</v>
      </c>
      <c r="B43" s="70" t="s">
        <v>33</v>
      </c>
      <c r="C43" s="71">
        <v>40729</v>
      </c>
      <c r="D43" s="72">
        <v>41060</v>
      </c>
      <c r="E43" s="73">
        <v>1.7999999999999999E-2</v>
      </c>
      <c r="F43" s="74">
        <v>479860.5</v>
      </c>
      <c r="G43" s="75"/>
      <c r="H43" s="74">
        <v>227459.92</v>
      </c>
      <c r="I43" s="79">
        <f>H43/F43</f>
        <v>0.47401259324324468</v>
      </c>
    </row>
    <row r="44" spans="1:9" x14ac:dyDescent="0.25">
      <c r="A44" s="76" t="s">
        <v>531</v>
      </c>
      <c r="B44" s="76" t="s">
        <v>33</v>
      </c>
      <c r="C44" s="77">
        <v>40709</v>
      </c>
      <c r="D44" s="78">
        <v>40999</v>
      </c>
      <c r="E44" s="79">
        <v>8.9999999999999993E-3</v>
      </c>
      <c r="F44" s="80">
        <v>415576</v>
      </c>
      <c r="G44" s="81"/>
      <c r="H44" s="80">
        <v>892610</v>
      </c>
      <c r="I44" s="79">
        <f>H44/F44</f>
        <v>2.1478863071977208</v>
      </c>
    </row>
    <row r="45" spans="1:9" x14ac:dyDescent="0.25">
      <c r="A45" s="76" t="s">
        <v>531</v>
      </c>
      <c r="B45" s="76" t="s">
        <v>33</v>
      </c>
      <c r="C45" s="77">
        <v>40709</v>
      </c>
      <c r="D45" s="78">
        <v>40999</v>
      </c>
      <c r="E45" s="79">
        <v>8.9999999999999993E-3</v>
      </c>
      <c r="F45" s="80"/>
      <c r="G45" s="81">
        <v>6980</v>
      </c>
      <c r="H45" s="80">
        <v>1470</v>
      </c>
      <c r="I45" s="79">
        <f>H45/G45</f>
        <v>0.21060171919770773</v>
      </c>
    </row>
    <row r="46" spans="1:9" x14ac:dyDescent="0.25">
      <c r="A46" s="76" t="s">
        <v>613</v>
      </c>
      <c r="B46" s="76" t="s">
        <v>33</v>
      </c>
      <c r="C46" s="77">
        <v>40696</v>
      </c>
      <c r="D46" s="78">
        <v>41060</v>
      </c>
      <c r="E46" s="79">
        <v>8.9999999999999993E-3</v>
      </c>
      <c r="F46" s="80">
        <v>810773</v>
      </c>
      <c r="G46" s="81"/>
      <c r="H46" s="80">
        <v>610337</v>
      </c>
      <c r="I46" s="79">
        <f>H46/F46</f>
        <v>0.75278407149720084</v>
      </c>
    </row>
    <row r="47" spans="1:9" x14ac:dyDescent="0.25">
      <c r="A47" s="76" t="s">
        <v>613</v>
      </c>
      <c r="B47" s="76" t="s">
        <v>33</v>
      </c>
      <c r="C47" s="77">
        <v>40696</v>
      </c>
      <c r="D47" s="78">
        <v>41060</v>
      </c>
      <c r="E47" s="79">
        <v>8.9999999999999993E-3</v>
      </c>
      <c r="F47" s="80"/>
      <c r="G47" s="81">
        <v>23584</v>
      </c>
      <c r="H47" s="80">
        <v>17693</v>
      </c>
      <c r="I47" s="79">
        <f>H47/G47</f>
        <v>0.75021200814111266</v>
      </c>
    </row>
    <row r="48" spans="1:9" x14ac:dyDescent="0.25">
      <c r="A48" s="76" t="s">
        <v>643</v>
      </c>
      <c r="B48" s="76" t="s">
        <v>650</v>
      </c>
      <c r="C48" s="77">
        <v>40766</v>
      </c>
      <c r="D48" s="78">
        <v>41117</v>
      </c>
      <c r="E48" s="79">
        <v>4.4999999999999997E-3</v>
      </c>
      <c r="F48" s="80">
        <v>0</v>
      </c>
      <c r="G48" s="81"/>
      <c r="H48" s="80">
        <v>0</v>
      </c>
      <c r="I48" s="79">
        <v>0</v>
      </c>
    </row>
    <row r="49" spans="1:9" x14ac:dyDescent="0.25">
      <c r="A49" s="76" t="s">
        <v>643</v>
      </c>
      <c r="B49" s="76" t="s">
        <v>650</v>
      </c>
      <c r="C49" s="77">
        <v>40766</v>
      </c>
      <c r="D49" s="78">
        <v>41117</v>
      </c>
      <c r="E49" s="79">
        <v>4.4999999999999997E-3</v>
      </c>
      <c r="F49" s="80">
        <v>0</v>
      </c>
      <c r="G49" s="81"/>
      <c r="H49" s="80">
        <v>0</v>
      </c>
      <c r="I49" s="79">
        <v>0</v>
      </c>
    </row>
    <row r="50" spans="1:9" x14ac:dyDescent="0.25">
      <c r="A50" s="76" t="s">
        <v>249</v>
      </c>
      <c r="B50" s="76" t="s">
        <v>250</v>
      </c>
      <c r="C50" s="77">
        <v>40635</v>
      </c>
      <c r="D50" s="78">
        <v>41000</v>
      </c>
      <c r="E50" s="79">
        <v>8.9999999999999993E-3</v>
      </c>
      <c r="F50" s="80">
        <v>381934.66</v>
      </c>
      <c r="G50" s="81"/>
      <c r="H50" s="80">
        <v>272395.65999999997</v>
      </c>
      <c r="I50" s="79">
        <f>H50/F50</f>
        <v>0.71319963472286074</v>
      </c>
    </row>
    <row r="51" spans="1:9" x14ac:dyDescent="0.25">
      <c r="A51" s="76" t="s">
        <v>249</v>
      </c>
      <c r="B51" s="76" t="s">
        <v>250</v>
      </c>
      <c r="C51" s="77">
        <v>41001</v>
      </c>
      <c r="D51" s="78">
        <v>41182</v>
      </c>
      <c r="E51" s="79">
        <v>8.9999999999999993E-3</v>
      </c>
      <c r="F51" s="80">
        <v>80930.880000000005</v>
      </c>
      <c r="G51" s="81"/>
      <c r="H51" s="80">
        <v>8230.8799999999992</v>
      </c>
      <c r="I51" s="79">
        <f>H51/F51</f>
        <v>0.10170258867814114</v>
      </c>
    </row>
    <row r="52" spans="1:9" x14ac:dyDescent="0.25">
      <c r="A52" s="76" t="s">
        <v>317</v>
      </c>
      <c r="B52" s="76" t="s">
        <v>324</v>
      </c>
      <c r="C52" s="77">
        <v>40701</v>
      </c>
      <c r="D52" s="78">
        <v>41029</v>
      </c>
      <c r="E52" s="79">
        <v>2.7E-2</v>
      </c>
      <c r="F52" s="80">
        <v>15375</v>
      </c>
      <c r="G52" s="81"/>
      <c r="H52" s="80">
        <v>0</v>
      </c>
      <c r="I52" s="79">
        <v>0</v>
      </c>
    </row>
    <row r="53" spans="1:9" x14ac:dyDescent="0.25">
      <c r="A53" s="76" t="s">
        <v>317</v>
      </c>
      <c r="B53" s="76" t="s">
        <v>324</v>
      </c>
      <c r="C53" s="77">
        <v>40701</v>
      </c>
      <c r="D53" s="78">
        <v>41029</v>
      </c>
      <c r="E53" s="79">
        <v>2.7E-2</v>
      </c>
      <c r="F53" s="80"/>
      <c r="G53" s="81">
        <v>580</v>
      </c>
      <c r="H53" s="80">
        <v>0</v>
      </c>
      <c r="I53" s="79">
        <f>H53/G53</f>
        <v>0</v>
      </c>
    </row>
    <row r="54" spans="1:9" x14ac:dyDescent="0.25">
      <c r="A54" s="76" t="s">
        <v>317</v>
      </c>
      <c r="B54" s="76" t="s">
        <v>324</v>
      </c>
      <c r="C54" s="77">
        <v>40701</v>
      </c>
      <c r="D54" s="78">
        <v>41029</v>
      </c>
      <c r="E54" s="79">
        <v>2.7E-2</v>
      </c>
      <c r="F54" s="80">
        <v>15375</v>
      </c>
      <c r="G54" s="81"/>
      <c r="H54" s="80">
        <v>0</v>
      </c>
      <c r="I54" s="79">
        <f>H54/F54</f>
        <v>0</v>
      </c>
    </row>
    <row r="55" spans="1:9" x14ac:dyDescent="0.25">
      <c r="A55" s="76" t="s">
        <v>317</v>
      </c>
      <c r="B55" s="76" t="s">
        <v>324</v>
      </c>
      <c r="C55" s="77">
        <v>40701</v>
      </c>
      <c r="D55" s="78">
        <v>41029</v>
      </c>
      <c r="E55" s="79">
        <v>2.7E-2</v>
      </c>
      <c r="F55" s="80"/>
      <c r="G55" s="81">
        <v>580</v>
      </c>
      <c r="H55" s="80">
        <v>0</v>
      </c>
      <c r="I55" s="79">
        <f>H55/G55</f>
        <v>0</v>
      </c>
    </row>
    <row r="56" spans="1:9" x14ac:dyDescent="0.25">
      <c r="A56" s="76" t="s">
        <v>372</v>
      </c>
      <c r="B56" s="76" t="s">
        <v>373</v>
      </c>
      <c r="C56" s="77">
        <v>40909</v>
      </c>
      <c r="D56" s="78">
        <v>41274</v>
      </c>
      <c r="E56" s="79">
        <v>8.9999999999999993E-3</v>
      </c>
      <c r="F56" s="80">
        <v>214409.72</v>
      </c>
      <c r="G56" s="81"/>
      <c r="H56" s="80">
        <v>85724.800000000003</v>
      </c>
      <c r="I56" s="79">
        <f>H56/F56</f>
        <v>0.39981769483211865</v>
      </c>
    </row>
    <row r="57" spans="1:9" ht="28.5" x14ac:dyDescent="0.25">
      <c r="A57" s="70" t="s">
        <v>10</v>
      </c>
      <c r="B57" s="70" t="s">
        <v>11</v>
      </c>
      <c r="C57" s="71">
        <v>40787</v>
      </c>
      <c r="D57" s="72">
        <v>41022</v>
      </c>
      <c r="E57" s="73">
        <v>3.1414999999999998E-2</v>
      </c>
      <c r="F57" s="74">
        <v>79075</v>
      </c>
      <c r="G57" s="75"/>
      <c r="H57" s="74">
        <v>13759.34</v>
      </c>
      <c r="I57" s="73">
        <v>0.17400366740436296</v>
      </c>
    </row>
    <row r="58" spans="1:9" x14ac:dyDescent="0.25">
      <c r="A58" s="76" t="s">
        <v>317</v>
      </c>
      <c r="B58" s="76" t="s">
        <v>349</v>
      </c>
      <c r="C58" s="77">
        <v>40909</v>
      </c>
      <c r="D58" s="78">
        <v>41274</v>
      </c>
      <c r="E58" s="79">
        <v>0.09</v>
      </c>
      <c r="F58" s="80">
        <v>3695270</v>
      </c>
      <c r="G58" s="81"/>
      <c r="H58" s="80">
        <v>1405971.93</v>
      </c>
      <c r="I58" s="79">
        <f>H58/F58</f>
        <v>0.38047880939687762</v>
      </c>
    </row>
    <row r="59" spans="1:9" x14ac:dyDescent="0.25">
      <c r="A59" s="76" t="s">
        <v>317</v>
      </c>
      <c r="B59" s="76" t="s">
        <v>349</v>
      </c>
      <c r="C59" s="77">
        <v>40909</v>
      </c>
      <c r="D59" s="78">
        <v>41274</v>
      </c>
      <c r="E59" s="79">
        <v>0.09</v>
      </c>
      <c r="F59" s="80">
        <v>2458248</v>
      </c>
      <c r="G59" s="81"/>
      <c r="H59" s="80">
        <v>967357.3</v>
      </c>
      <c r="I59" s="79">
        <f>H59/F59</f>
        <v>0.39351493421330969</v>
      </c>
    </row>
    <row r="60" spans="1:9" x14ac:dyDescent="0.25">
      <c r="A60" s="76" t="s">
        <v>317</v>
      </c>
      <c r="B60" s="76" t="s">
        <v>349</v>
      </c>
      <c r="C60" s="77">
        <v>40909</v>
      </c>
      <c r="D60" s="78">
        <v>41274</v>
      </c>
      <c r="E60" s="79">
        <v>0.09</v>
      </c>
      <c r="F60" s="80"/>
      <c r="G60" s="81">
        <v>197136.54</v>
      </c>
      <c r="H60" s="80">
        <v>75770</v>
      </c>
      <c r="I60" s="79">
        <f>H60/G60</f>
        <v>0.38435289571380321</v>
      </c>
    </row>
    <row r="61" spans="1:9" x14ac:dyDescent="0.25">
      <c r="A61" s="76" t="s">
        <v>317</v>
      </c>
      <c r="B61" s="76" t="s">
        <v>349</v>
      </c>
      <c r="C61" s="77">
        <v>40909</v>
      </c>
      <c r="D61" s="78">
        <v>41274</v>
      </c>
      <c r="E61" s="79">
        <v>0.09</v>
      </c>
      <c r="F61" s="80"/>
      <c r="G61" s="81">
        <v>118111.55</v>
      </c>
      <c r="H61" s="80">
        <v>43366.76</v>
      </c>
      <c r="I61" s="79">
        <f>H61/G61</f>
        <v>0.36716781720331332</v>
      </c>
    </row>
    <row r="62" spans="1:9" x14ac:dyDescent="0.25">
      <c r="A62" s="76" t="s">
        <v>478</v>
      </c>
      <c r="B62" s="76" t="s">
        <v>479</v>
      </c>
      <c r="C62" s="77">
        <v>41061</v>
      </c>
      <c r="D62" s="78">
        <v>41425</v>
      </c>
      <c r="E62" s="79">
        <v>0.09</v>
      </c>
      <c r="F62" s="80">
        <v>870441.98</v>
      </c>
      <c r="G62" s="81"/>
      <c r="H62" s="80">
        <v>87044.2</v>
      </c>
      <c r="I62" s="79">
        <f>H62/F62</f>
        <v>0.1000000022976833</v>
      </c>
    </row>
    <row r="63" spans="1:9" x14ac:dyDescent="0.25">
      <c r="A63" s="76" t="s">
        <v>478</v>
      </c>
      <c r="B63" s="76" t="s">
        <v>479</v>
      </c>
      <c r="C63" s="77">
        <v>40909</v>
      </c>
      <c r="D63" s="78">
        <v>41060</v>
      </c>
      <c r="E63" s="79">
        <v>0.09</v>
      </c>
      <c r="F63" s="80">
        <v>411995.58</v>
      </c>
      <c r="G63" s="81"/>
      <c r="H63" s="80">
        <v>41199.56</v>
      </c>
      <c r="I63" s="79">
        <f>H63/F63</f>
        <v>0.100000004854421</v>
      </c>
    </row>
    <row r="64" spans="1:9" x14ac:dyDescent="0.25">
      <c r="A64" s="70" t="s">
        <v>171</v>
      </c>
      <c r="B64" s="70" t="s">
        <v>196</v>
      </c>
      <c r="C64" s="71">
        <v>40631</v>
      </c>
      <c r="D64" s="72">
        <v>40968</v>
      </c>
      <c r="E64" s="73">
        <v>1.7999999999999999E-2</v>
      </c>
      <c r="F64" s="74">
        <v>27885</v>
      </c>
      <c r="G64" s="75"/>
      <c r="H64" s="74">
        <v>6906.54</v>
      </c>
      <c r="I64" s="73">
        <v>0.24767939752555138</v>
      </c>
    </row>
    <row r="65" spans="1:9" x14ac:dyDescent="0.25">
      <c r="A65" s="76" t="s">
        <v>171</v>
      </c>
      <c r="B65" s="76" t="s">
        <v>196</v>
      </c>
      <c r="C65" s="77">
        <v>40981</v>
      </c>
      <c r="D65" s="78">
        <v>41333</v>
      </c>
      <c r="E65" s="79">
        <v>1.7999999999999999E-2</v>
      </c>
      <c r="F65" s="80">
        <v>0</v>
      </c>
      <c r="G65" s="81"/>
      <c r="H65" s="80">
        <v>0</v>
      </c>
      <c r="I65" s="79">
        <v>0</v>
      </c>
    </row>
    <row r="66" spans="1:9" x14ac:dyDescent="0.25">
      <c r="A66" s="76" t="s">
        <v>504</v>
      </c>
      <c r="B66" s="76" t="s">
        <v>506</v>
      </c>
      <c r="C66" s="77">
        <v>40760</v>
      </c>
      <c r="D66" s="78">
        <v>41125</v>
      </c>
      <c r="E66" s="79">
        <v>0.1</v>
      </c>
      <c r="F66" s="80"/>
      <c r="G66" s="81">
        <v>15292.94</v>
      </c>
      <c r="H66" s="80">
        <v>1529.29</v>
      </c>
      <c r="I66" s="79">
        <f>H66/G66</f>
        <v>9.999973844139845E-2</v>
      </c>
    </row>
    <row r="67" spans="1:9" x14ac:dyDescent="0.25">
      <c r="A67" s="76" t="s">
        <v>512</v>
      </c>
      <c r="B67" s="76" t="s">
        <v>506</v>
      </c>
      <c r="C67" s="77">
        <v>41126</v>
      </c>
      <c r="D67" s="78">
        <v>41490</v>
      </c>
      <c r="E67" s="79">
        <v>0.09</v>
      </c>
      <c r="F67" s="80"/>
      <c r="G67" s="81">
        <v>17326</v>
      </c>
      <c r="H67" s="80">
        <v>1732.6</v>
      </c>
      <c r="I67" s="79">
        <f>H67/G67</f>
        <v>9.9999999999999992E-2</v>
      </c>
    </row>
    <row r="68" spans="1:9" x14ac:dyDescent="0.25">
      <c r="A68" s="76" t="s">
        <v>317</v>
      </c>
      <c r="B68" s="76" t="s">
        <v>366</v>
      </c>
      <c r="C68" s="77">
        <v>41183</v>
      </c>
      <c r="D68" s="78">
        <v>41547</v>
      </c>
      <c r="E68" s="79">
        <v>0.27</v>
      </c>
      <c r="F68" s="80">
        <v>7378443.5099999998</v>
      </c>
      <c r="G68" s="81"/>
      <c r="H68" s="80">
        <v>4677357.3600000003</v>
      </c>
      <c r="I68" s="79">
        <f>H68/F68</f>
        <v>0.63392195842670351</v>
      </c>
    </row>
    <row r="69" spans="1:9" x14ac:dyDescent="0.25">
      <c r="A69" s="76" t="s">
        <v>317</v>
      </c>
      <c r="B69" s="76" t="s">
        <v>366</v>
      </c>
      <c r="C69" s="77">
        <v>41183</v>
      </c>
      <c r="D69" s="78">
        <v>41547</v>
      </c>
      <c r="E69" s="79">
        <v>0.27</v>
      </c>
      <c r="F69" s="80"/>
      <c r="G69" s="81">
        <v>433417.73</v>
      </c>
      <c r="H69" s="80">
        <v>274753.02</v>
      </c>
      <c r="I69" s="79">
        <f>H69/G69</f>
        <v>0.63392196715164384</v>
      </c>
    </row>
    <row r="70" spans="1:9" x14ac:dyDescent="0.25">
      <c r="A70" s="70" t="s">
        <v>56</v>
      </c>
      <c r="B70" s="70" t="s">
        <v>59</v>
      </c>
      <c r="C70" s="71">
        <v>40603</v>
      </c>
      <c r="D70" s="72">
        <v>40968</v>
      </c>
      <c r="E70" s="73">
        <v>8.9999999999999993E-3</v>
      </c>
      <c r="F70" s="74">
        <v>5925</v>
      </c>
      <c r="G70" s="75"/>
      <c r="H70" s="74">
        <v>4613.1099999999997</v>
      </c>
      <c r="I70" s="73">
        <v>0.7785839662447257</v>
      </c>
    </row>
    <row r="71" spans="1:9" x14ac:dyDescent="0.25">
      <c r="A71" s="76" t="s">
        <v>315</v>
      </c>
      <c r="B71" s="76" t="s">
        <v>59</v>
      </c>
      <c r="C71" s="77">
        <v>40817</v>
      </c>
      <c r="D71" s="78">
        <v>41182</v>
      </c>
      <c r="E71" s="79">
        <v>0.29699999999999999</v>
      </c>
      <c r="F71" s="80">
        <v>11080823.9</v>
      </c>
      <c r="G71" s="81"/>
      <c r="H71" s="80">
        <v>5408284.3300000001</v>
      </c>
      <c r="I71" s="79">
        <f>H71/F71</f>
        <v>0.48807601120707278</v>
      </c>
    </row>
    <row r="72" spans="1:9" x14ac:dyDescent="0.25">
      <c r="A72" s="76" t="s">
        <v>315</v>
      </c>
      <c r="B72" s="76" t="s">
        <v>59</v>
      </c>
      <c r="C72" s="77">
        <v>40817</v>
      </c>
      <c r="D72" s="78">
        <v>41182</v>
      </c>
      <c r="E72" s="79">
        <v>0.29699999999999999</v>
      </c>
      <c r="F72" s="80"/>
      <c r="G72" s="81">
        <v>672654.26</v>
      </c>
      <c r="H72" s="80">
        <v>328306.40999999997</v>
      </c>
      <c r="I72" s="79">
        <f>H72/G72</f>
        <v>0.48807601396889982</v>
      </c>
    </row>
    <row r="73" spans="1:9" x14ac:dyDescent="0.25">
      <c r="A73" s="76" t="s">
        <v>317</v>
      </c>
      <c r="B73" s="76" t="s">
        <v>348</v>
      </c>
      <c r="C73" s="77">
        <v>40909</v>
      </c>
      <c r="D73" s="78">
        <v>41274</v>
      </c>
      <c r="E73" s="79">
        <v>0</v>
      </c>
      <c r="F73" s="80">
        <v>6162025.6900000004</v>
      </c>
      <c r="G73" s="81"/>
      <c r="H73" s="80">
        <v>2224238.04</v>
      </c>
      <c r="I73" s="79">
        <f>H73/F73</f>
        <v>0.3609589040840237</v>
      </c>
    </row>
    <row r="74" spans="1:9" x14ac:dyDescent="0.25">
      <c r="A74" s="76" t="s">
        <v>317</v>
      </c>
      <c r="B74" s="76" t="s">
        <v>348</v>
      </c>
      <c r="C74" s="77">
        <v>40909</v>
      </c>
      <c r="D74" s="78">
        <v>41274</v>
      </c>
      <c r="E74" s="79">
        <v>0</v>
      </c>
      <c r="F74" s="80">
        <v>1011212</v>
      </c>
      <c r="G74" s="81"/>
      <c r="H74" s="80">
        <v>273417.89</v>
      </c>
      <c r="I74" s="79">
        <f>H74/F74</f>
        <v>0.27038631859590273</v>
      </c>
    </row>
    <row r="75" spans="1:9" x14ac:dyDescent="0.25">
      <c r="A75" s="76" t="s">
        <v>317</v>
      </c>
      <c r="B75" s="76" t="s">
        <v>348</v>
      </c>
      <c r="C75" s="77">
        <v>40909</v>
      </c>
      <c r="D75" s="78">
        <v>41274</v>
      </c>
      <c r="E75" s="79">
        <v>0</v>
      </c>
      <c r="F75" s="80"/>
      <c r="G75" s="81">
        <v>392619.18</v>
      </c>
      <c r="H75" s="80">
        <v>141719.39000000001</v>
      </c>
      <c r="I75" s="79">
        <f>H75/G75</f>
        <v>0.36095890679614789</v>
      </c>
    </row>
    <row r="76" spans="1:9" x14ac:dyDescent="0.25">
      <c r="A76" s="76" t="s">
        <v>317</v>
      </c>
      <c r="B76" s="76" t="s">
        <v>348</v>
      </c>
      <c r="C76" s="77">
        <v>40909</v>
      </c>
      <c r="D76" s="78">
        <v>41274</v>
      </c>
      <c r="E76" s="79">
        <v>0</v>
      </c>
      <c r="F76" s="80"/>
      <c r="G76" s="81">
        <v>54213.61</v>
      </c>
      <c r="H76" s="80">
        <v>14658.62</v>
      </c>
      <c r="I76" s="79">
        <f>H76/G76</f>
        <v>0.2703863476348467</v>
      </c>
    </row>
    <row r="77" spans="1:9" x14ac:dyDescent="0.25">
      <c r="A77" s="76" t="s">
        <v>630</v>
      </c>
      <c r="B77" s="76" t="s">
        <v>632</v>
      </c>
      <c r="C77" s="77">
        <v>40917</v>
      </c>
      <c r="D77" s="78">
        <v>41274</v>
      </c>
      <c r="E77" s="79">
        <v>8.9999999999999993E-3</v>
      </c>
      <c r="F77" s="80">
        <v>169671.72</v>
      </c>
      <c r="G77" s="81"/>
      <c r="H77" s="80">
        <v>97436.74</v>
      </c>
      <c r="I77" s="79">
        <f>H77/F77</f>
        <v>0.57426623599972937</v>
      </c>
    </row>
    <row r="78" spans="1:9" ht="28.5" x14ac:dyDescent="0.25">
      <c r="A78" s="76" t="s">
        <v>315</v>
      </c>
      <c r="B78" s="76" t="s">
        <v>327</v>
      </c>
      <c r="C78" s="77">
        <v>40725</v>
      </c>
      <c r="D78" s="78">
        <v>41090</v>
      </c>
      <c r="E78" s="79">
        <v>0</v>
      </c>
      <c r="F78" s="80">
        <v>2334193.5699999998</v>
      </c>
      <c r="G78" s="81"/>
      <c r="H78" s="80">
        <v>336007.8</v>
      </c>
      <c r="I78" s="79">
        <f>H78/F78</f>
        <v>0.1439502722989679</v>
      </c>
    </row>
    <row r="79" spans="1:9" ht="28.5" x14ac:dyDescent="0.25">
      <c r="A79" s="76" t="s">
        <v>315</v>
      </c>
      <c r="B79" s="76" t="s">
        <v>327</v>
      </c>
      <c r="C79" s="77">
        <v>40725</v>
      </c>
      <c r="D79" s="78">
        <v>41090</v>
      </c>
      <c r="E79" s="79">
        <v>0</v>
      </c>
      <c r="F79" s="80"/>
      <c r="G79" s="81">
        <v>95109.58</v>
      </c>
      <c r="H79" s="80">
        <v>13691.05</v>
      </c>
      <c r="I79" s="79">
        <f>H79/G79</f>
        <v>0.14395027293780499</v>
      </c>
    </row>
    <row r="80" spans="1:9" ht="28.5" x14ac:dyDescent="0.25">
      <c r="A80" s="76" t="s">
        <v>449</v>
      </c>
      <c r="B80" s="76" t="s">
        <v>327</v>
      </c>
      <c r="C80" s="77">
        <v>41166</v>
      </c>
      <c r="D80" s="78">
        <v>41455</v>
      </c>
      <c r="E80" s="79">
        <v>4.4999999999999998E-2</v>
      </c>
      <c r="F80" s="80">
        <v>2415160</v>
      </c>
      <c r="G80" s="81"/>
      <c r="H80" s="80">
        <v>630664</v>
      </c>
      <c r="I80" s="79">
        <f>H80/F80</f>
        <v>0.26112721310389375</v>
      </c>
    </row>
    <row r="81" spans="1:9" ht="28.5" x14ac:dyDescent="0.25">
      <c r="A81" s="76" t="s">
        <v>449</v>
      </c>
      <c r="B81" s="76" t="s">
        <v>327</v>
      </c>
      <c r="C81" s="77">
        <v>40695</v>
      </c>
      <c r="D81" s="78">
        <v>41060</v>
      </c>
      <c r="E81" s="79">
        <v>0</v>
      </c>
      <c r="F81" s="80">
        <v>1843415</v>
      </c>
      <c r="G81" s="81"/>
      <c r="H81" s="80">
        <v>164064</v>
      </c>
      <c r="I81" s="79">
        <f>H81/F81</f>
        <v>8.900003526064397E-2</v>
      </c>
    </row>
    <row r="82" spans="1:9" ht="28.5" x14ac:dyDescent="0.25">
      <c r="A82" s="76" t="s">
        <v>449</v>
      </c>
      <c r="B82" s="76" t="s">
        <v>327</v>
      </c>
      <c r="C82" s="77">
        <v>41061</v>
      </c>
      <c r="D82" s="78">
        <v>41090</v>
      </c>
      <c r="E82" s="79">
        <v>0</v>
      </c>
      <c r="F82" s="80">
        <v>40953</v>
      </c>
      <c r="G82" s="81"/>
      <c r="H82" s="80">
        <v>3414</v>
      </c>
      <c r="I82" s="79">
        <f>H82/F82</f>
        <v>8.3363856127756208E-2</v>
      </c>
    </row>
    <row r="83" spans="1:9" x14ac:dyDescent="0.25">
      <c r="A83" s="76" t="s">
        <v>270</v>
      </c>
      <c r="B83" s="76" t="s">
        <v>279</v>
      </c>
      <c r="C83" s="77">
        <v>40998</v>
      </c>
      <c r="D83" s="78">
        <v>41305</v>
      </c>
      <c r="E83" s="79">
        <v>4.4999999999999997E-3</v>
      </c>
      <c r="F83" s="80">
        <v>90306.1</v>
      </c>
      <c r="G83" s="81"/>
      <c r="H83" s="80">
        <v>19341.22</v>
      </c>
      <c r="I83" s="79">
        <f>H83/F83</f>
        <v>0.21417401482291895</v>
      </c>
    </row>
    <row r="84" spans="1:9" x14ac:dyDescent="0.25">
      <c r="A84" s="76" t="s">
        <v>635</v>
      </c>
      <c r="B84" s="76" t="s">
        <v>639</v>
      </c>
      <c r="C84" s="77">
        <v>40875</v>
      </c>
      <c r="D84" s="78">
        <v>41241</v>
      </c>
      <c r="E84" s="79">
        <v>0.5</v>
      </c>
      <c r="F84" s="80"/>
      <c r="G84" s="81">
        <v>186542</v>
      </c>
      <c r="H84" s="80">
        <v>93271</v>
      </c>
      <c r="I84" s="79">
        <f>H84/G84</f>
        <v>0.5</v>
      </c>
    </row>
    <row r="85" spans="1:9" x14ac:dyDescent="0.25">
      <c r="A85" s="76" t="s">
        <v>568</v>
      </c>
      <c r="B85" s="76" t="s">
        <v>571</v>
      </c>
      <c r="C85" s="77">
        <v>41156</v>
      </c>
      <c r="D85" s="78">
        <v>41459</v>
      </c>
      <c r="E85" s="79">
        <v>0.2</v>
      </c>
      <c r="F85" s="80">
        <v>18802</v>
      </c>
      <c r="G85" s="81"/>
      <c r="H85" s="80">
        <v>3776</v>
      </c>
      <c r="I85" s="79">
        <f>H85/F85</f>
        <v>0.20082969896819489</v>
      </c>
    </row>
    <row r="86" spans="1:9" x14ac:dyDescent="0.25">
      <c r="A86" s="76" t="s">
        <v>635</v>
      </c>
      <c r="B86" s="76" t="s">
        <v>636</v>
      </c>
      <c r="C86" s="77">
        <v>40559</v>
      </c>
      <c r="D86" s="78">
        <v>40923</v>
      </c>
      <c r="E86" s="79">
        <v>0.5</v>
      </c>
      <c r="F86" s="80">
        <v>224830</v>
      </c>
      <c r="G86" s="81"/>
      <c r="H86" s="80">
        <v>112415</v>
      </c>
      <c r="I86" s="79">
        <f>H86/F86</f>
        <v>0.5</v>
      </c>
    </row>
    <row r="87" spans="1:9" x14ac:dyDescent="0.25">
      <c r="A87" s="76" t="s">
        <v>635</v>
      </c>
      <c r="B87" s="76" t="s">
        <v>636</v>
      </c>
      <c r="C87" s="77">
        <v>40924</v>
      </c>
      <c r="D87" s="78">
        <v>41289</v>
      </c>
      <c r="E87" s="79">
        <v>0.5</v>
      </c>
      <c r="F87" s="80"/>
      <c r="G87" s="81">
        <v>150370</v>
      </c>
      <c r="H87" s="80">
        <v>75185</v>
      </c>
      <c r="I87" s="79">
        <f>H87/G87</f>
        <v>0.5</v>
      </c>
    </row>
    <row r="88" spans="1:9" x14ac:dyDescent="0.25">
      <c r="A88" s="76" t="s">
        <v>489</v>
      </c>
      <c r="B88" s="110" t="s">
        <v>490</v>
      </c>
      <c r="C88" s="77">
        <v>40695</v>
      </c>
      <c r="D88" s="78">
        <v>41060</v>
      </c>
      <c r="E88" s="79">
        <v>0.3</v>
      </c>
      <c r="F88" s="80">
        <v>18470</v>
      </c>
      <c r="G88" s="88"/>
      <c r="H88" s="80">
        <v>5541</v>
      </c>
      <c r="I88" s="79">
        <f>H88/F88</f>
        <v>0.3</v>
      </c>
    </row>
    <row r="89" spans="1:9" x14ac:dyDescent="0.25">
      <c r="A89" s="76" t="s">
        <v>568</v>
      </c>
      <c r="B89" s="76" t="s">
        <v>569</v>
      </c>
      <c r="C89" s="77">
        <v>40739</v>
      </c>
      <c r="D89" s="78">
        <v>41075</v>
      </c>
      <c r="E89" s="79">
        <v>0.18</v>
      </c>
      <c r="F89" s="80">
        <v>23704</v>
      </c>
      <c r="G89" s="81"/>
      <c r="H89" s="80">
        <v>4312</v>
      </c>
      <c r="I89" s="79">
        <f>H89/F89</f>
        <v>0.18191022612217347</v>
      </c>
    </row>
    <row r="90" spans="1:9" x14ac:dyDescent="0.25">
      <c r="A90" s="76" t="s">
        <v>317</v>
      </c>
      <c r="B90" s="76" t="s">
        <v>320</v>
      </c>
      <c r="C90" s="77">
        <v>40955</v>
      </c>
      <c r="D90" s="78">
        <v>41305</v>
      </c>
      <c r="E90" s="79">
        <v>8.9999999999999998E-4</v>
      </c>
      <c r="F90" s="80">
        <v>68711.45</v>
      </c>
      <c r="G90" s="81"/>
      <c r="H90" s="80">
        <v>4861.0600000000004</v>
      </c>
      <c r="I90" s="79">
        <f>H90/F90</f>
        <v>7.074599648239123E-2</v>
      </c>
    </row>
    <row r="91" spans="1:9" x14ac:dyDescent="0.25">
      <c r="A91" s="76" t="s">
        <v>317</v>
      </c>
      <c r="B91" s="76" t="s">
        <v>320</v>
      </c>
      <c r="C91" s="77">
        <v>40955</v>
      </c>
      <c r="D91" s="78">
        <v>41305</v>
      </c>
      <c r="E91" s="79">
        <v>8.9999999999999998E-4</v>
      </c>
      <c r="F91" s="80"/>
      <c r="G91" s="81">
        <v>2414</v>
      </c>
      <c r="H91" s="80">
        <v>170.78</v>
      </c>
      <c r="I91" s="79">
        <f>H91/G91</f>
        <v>7.0745650372825181E-2</v>
      </c>
    </row>
    <row r="92" spans="1:9" x14ac:dyDescent="0.25">
      <c r="A92" s="76" t="s">
        <v>317</v>
      </c>
      <c r="B92" s="76" t="s">
        <v>320</v>
      </c>
      <c r="C92" s="77">
        <v>40648</v>
      </c>
      <c r="D92" s="78">
        <v>40939</v>
      </c>
      <c r="E92" s="79">
        <v>0</v>
      </c>
      <c r="F92" s="80">
        <v>90117.33</v>
      </c>
      <c r="G92" s="81"/>
      <c r="H92" s="80">
        <v>131.25</v>
      </c>
      <c r="I92" s="79">
        <f>H92/F92</f>
        <v>1.456434628056557E-3</v>
      </c>
    </row>
    <row r="93" spans="1:9" x14ac:dyDescent="0.25">
      <c r="A93" s="76" t="s">
        <v>317</v>
      </c>
      <c r="B93" s="76" t="s">
        <v>320</v>
      </c>
      <c r="C93" s="77">
        <v>40648</v>
      </c>
      <c r="D93" s="78">
        <v>40939</v>
      </c>
      <c r="E93" s="79">
        <v>0</v>
      </c>
      <c r="F93" s="80"/>
      <c r="G93" s="81">
        <v>2568</v>
      </c>
      <c r="H93" s="80">
        <v>3.85</v>
      </c>
      <c r="I93" s="79">
        <f>H93/G93</f>
        <v>1.4992211838006232E-3</v>
      </c>
    </row>
    <row r="94" spans="1:9" x14ac:dyDescent="0.25">
      <c r="A94" s="76" t="s">
        <v>317</v>
      </c>
      <c r="B94" s="76" t="s">
        <v>330</v>
      </c>
      <c r="C94" s="77">
        <v>40787</v>
      </c>
      <c r="D94" s="78">
        <v>41152</v>
      </c>
      <c r="E94" s="79">
        <v>1.7999999999999999E-2</v>
      </c>
      <c r="F94" s="80">
        <v>2860487.59</v>
      </c>
      <c r="G94" s="81"/>
      <c r="H94" s="80">
        <v>860041.5</v>
      </c>
      <c r="I94" s="79">
        <f>H94/F94</f>
        <v>0.30066255242869278</v>
      </c>
    </row>
    <row r="95" spans="1:9" x14ac:dyDescent="0.25">
      <c r="A95" s="76" t="s">
        <v>317</v>
      </c>
      <c r="B95" s="76" t="s">
        <v>330</v>
      </c>
      <c r="C95" s="77">
        <v>41153</v>
      </c>
      <c r="D95" s="78">
        <v>41517</v>
      </c>
      <c r="E95" s="79">
        <v>1.7999999999999999E-2</v>
      </c>
      <c r="F95" s="80">
        <v>2499522.81</v>
      </c>
      <c r="G95" s="81"/>
      <c r="H95" s="80">
        <v>414753.74</v>
      </c>
      <c r="I95" s="79">
        <f>H95/F95</f>
        <v>0.16593316865950106</v>
      </c>
    </row>
    <row r="96" spans="1:9" x14ac:dyDescent="0.25">
      <c r="A96" s="76" t="s">
        <v>317</v>
      </c>
      <c r="B96" s="76" t="s">
        <v>330</v>
      </c>
      <c r="C96" s="77">
        <v>40787</v>
      </c>
      <c r="D96" s="78">
        <v>41152</v>
      </c>
      <c r="E96" s="79">
        <v>1.7999999999999999E-2</v>
      </c>
      <c r="F96" s="80"/>
      <c r="G96" s="81">
        <v>147248.62</v>
      </c>
      <c r="H96" s="80">
        <v>44272.15</v>
      </c>
      <c r="I96" s="79">
        <f>H96/G96</f>
        <v>0.30066258006356872</v>
      </c>
    </row>
    <row r="97" spans="1:9" x14ac:dyDescent="0.25">
      <c r="A97" s="76" t="s">
        <v>317</v>
      </c>
      <c r="B97" s="76" t="s">
        <v>330</v>
      </c>
      <c r="C97" s="77">
        <v>41153</v>
      </c>
      <c r="D97" s="78">
        <v>41517</v>
      </c>
      <c r="E97" s="79">
        <v>1.7999999999999999E-2</v>
      </c>
      <c r="F97" s="80"/>
      <c r="G97" s="81">
        <v>138758.82999999999</v>
      </c>
      <c r="H97" s="80">
        <v>23024.69</v>
      </c>
      <c r="I97" s="79">
        <f>H97/G97</f>
        <v>0.16593315178572782</v>
      </c>
    </row>
    <row r="98" spans="1:9" x14ac:dyDescent="0.25">
      <c r="A98" s="76" t="s">
        <v>449</v>
      </c>
      <c r="B98" s="76" t="s">
        <v>330</v>
      </c>
      <c r="C98" s="77">
        <v>40756</v>
      </c>
      <c r="D98" s="78">
        <v>41121</v>
      </c>
      <c r="E98" s="79">
        <v>0</v>
      </c>
      <c r="F98" s="80">
        <v>0</v>
      </c>
      <c r="G98" s="81"/>
      <c r="H98" s="80">
        <v>0</v>
      </c>
      <c r="I98" s="79">
        <v>0</v>
      </c>
    </row>
    <row r="99" spans="1:9" x14ac:dyDescent="0.25">
      <c r="A99" s="76" t="s">
        <v>449</v>
      </c>
      <c r="B99" s="76" t="s">
        <v>330</v>
      </c>
      <c r="C99" s="77">
        <v>41122</v>
      </c>
      <c r="D99" s="78">
        <v>41486</v>
      </c>
      <c r="E99" s="79">
        <v>0</v>
      </c>
      <c r="F99" s="80">
        <v>0</v>
      </c>
      <c r="G99" s="88"/>
      <c r="H99" s="80">
        <v>0</v>
      </c>
      <c r="I99" s="79">
        <v>0</v>
      </c>
    </row>
    <row r="100" spans="1:9" x14ac:dyDescent="0.25">
      <c r="A100" s="76" t="s">
        <v>643</v>
      </c>
      <c r="B100" s="76" t="s">
        <v>330</v>
      </c>
      <c r="C100" s="77">
        <v>40956</v>
      </c>
      <c r="D100" s="78">
        <v>41321</v>
      </c>
      <c r="E100" s="79">
        <v>4.4999999999999997E-3</v>
      </c>
      <c r="F100" s="80">
        <v>227868.03</v>
      </c>
      <c r="G100" s="81"/>
      <c r="H100" s="80">
        <v>139193.13</v>
      </c>
      <c r="I100" s="79">
        <f>H100/F100</f>
        <v>0.61084975369295991</v>
      </c>
    </row>
    <row r="101" spans="1:9" x14ac:dyDescent="0.25">
      <c r="A101" s="76" t="s">
        <v>643</v>
      </c>
      <c r="B101" s="76" t="s">
        <v>330</v>
      </c>
      <c r="C101" s="77">
        <v>40591</v>
      </c>
      <c r="D101" s="78">
        <v>40955</v>
      </c>
      <c r="E101" s="79">
        <v>4.4999999999999997E-3</v>
      </c>
      <c r="F101" s="80">
        <v>172853.14</v>
      </c>
      <c r="G101" s="81"/>
      <c r="H101" s="80">
        <v>0</v>
      </c>
      <c r="I101" s="79">
        <f>H101/F101</f>
        <v>0</v>
      </c>
    </row>
    <row r="102" spans="1:9" x14ac:dyDescent="0.25">
      <c r="A102" s="76" t="s">
        <v>643</v>
      </c>
      <c r="B102" s="76" t="s">
        <v>330</v>
      </c>
      <c r="C102" s="77">
        <v>40591</v>
      </c>
      <c r="D102" s="78">
        <v>40955</v>
      </c>
      <c r="E102" s="79">
        <v>4.4999999999999997E-3</v>
      </c>
      <c r="F102" s="80"/>
      <c r="G102" s="81">
        <v>10354</v>
      </c>
      <c r="H102" s="80">
        <v>0</v>
      </c>
      <c r="I102" s="79">
        <f>H102/G102</f>
        <v>0</v>
      </c>
    </row>
    <row r="103" spans="1:9" x14ac:dyDescent="0.25">
      <c r="A103" s="76" t="s">
        <v>643</v>
      </c>
      <c r="B103" s="76" t="s">
        <v>330</v>
      </c>
      <c r="C103" s="77">
        <v>40956</v>
      </c>
      <c r="D103" s="78">
        <v>41321</v>
      </c>
      <c r="E103" s="79">
        <v>4.4999999999999997E-3</v>
      </c>
      <c r="F103" s="80"/>
      <c r="G103" s="81">
        <v>10101</v>
      </c>
      <c r="H103" s="80">
        <v>-6262.8</v>
      </c>
      <c r="I103" s="79">
        <f>H103/G103</f>
        <v>-0.62001782001782002</v>
      </c>
    </row>
    <row r="104" spans="1:9" x14ac:dyDescent="0.25">
      <c r="A104" s="70" t="s">
        <v>87</v>
      </c>
      <c r="B104" s="70" t="s">
        <v>91</v>
      </c>
      <c r="C104" s="71">
        <v>40899</v>
      </c>
      <c r="D104" s="72" t="s">
        <v>97</v>
      </c>
      <c r="E104" s="73">
        <v>0.92500000000000004</v>
      </c>
      <c r="F104" s="74">
        <v>171707.01</v>
      </c>
      <c r="G104" s="75"/>
      <c r="H104" s="74">
        <v>158828.98000000001</v>
      </c>
      <c r="I104" s="73">
        <v>0.92499997524853528</v>
      </c>
    </row>
    <row r="105" spans="1:9" x14ac:dyDescent="0.25">
      <c r="A105" s="70" t="s">
        <v>87</v>
      </c>
      <c r="B105" s="70" t="s">
        <v>91</v>
      </c>
      <c r="C105" s="71">
        <v>40899</v>
      </c>
      <c r="D105" s="72" t="s">
        <v>97</v>
      </c>
      <c r="E105" s="73">
        <v>0.92500000000000004</v>
      </c>
      <c r="F105" s="74"/>
      <c r="G105" s="75">
        <v>8034.39</v>
      </c>
      <c r="H105" s="74">
        <v>7431.81</v>
      </c>
      <c r="I105" s="73">
        <v>0.92499990665128284</v>
      </c>
    </row>
    <row r="106" spans="1:9" x14ac:dyDescent="0.25">
      <c r="A106" s="70" t="s">
        <v>171</v>
      </c>
      <c r="B106" s="70" t="s">
        <v>172</v>
      </c>
      <c r="C106" s="71">
        <v>40639</v>
      </c>
      <c r="D106" s="72">
        <v>40983</v>
      </c>
      <c r="E106" s="73">
        <v>1.7999999999999999E-2</v>
      </c>
      <c r="F106" s="74">
        <v>4522402.72</v>
      </c>
      <c r="G106" s="75"/>
      <c r="H106" s="89">
        <v>3622801.07</v>
      </c>
      <c r="I106" s="79">
        <f>H106/F106</f>
        <v>0.80107882784928097</v>
      </c>
    </row>
    <row r="107" spans="1:9" x14ac:dyDescent="0.25">
      <c r="A107" s="76" t="s">
        <v>317</v>
      </c>
      <c r="B107" s="76" t="s">
        <v>172</v>
      </c>
      <c r="C107" s="77">
        <v>40589</v>
      </c>
      <c r="D107" s="78">
        <v>40953</v>
      </c>
      <c r="E107" s="79">
        <v>1.7999999999999999E-2</v>
      </c>
      <c r="F107" s="80"/>
      <c r="G107" s="81">
        <v>13835</v>
      </c>
      <c r="H107" s="80">
        <v>249.03</v>
      </c>
      <c r="I107" s="79">
        <f>H107/G107</f>
        <v>1.7999999999999999E-2</v>
      </c>
    </row>
    <row r="108" spans="1:9" x14ac:dyDescent="0.25">
      <c r="A108" s="76" t="s">
        <v>317</v>
      </c>
      <c r="B108" s="76" t="s">
        <v>172</v>
      </c>
      <c r="C108" s="77">
        <v>40589</v>
      </c>
      <c r="D108" s="78">
        <v>40953</v>
      </c>
      <c r="E108" s="79">
        <v>1.7999999999999999E-2</v>
      </c>
      <c r="F108" s="80">
        <v>313909</v>
      </c>
      <c r="G108" s="81"/>
      <c r="H108" s="80">
        <v>-41761.08</v>
      </c>
      <c r="I108" s="79">
        <f>H108/F108</f>
        <v>-0.1330356249741167</v>
      </c>
    </row>
    <row r="109" spans="1:9" x14ac:dyDescent="0.25">
      <c r="A109" s="76" t="s">
        <v>674</v>
      </c>
      <c r="B109" s="76" t="s">
        <v>172</v>
      </c>
      <c r="C109" s="77">
        <v>40920</v>
      </c>
      <c r="D109" s="78">
        <v>41274</v>
      </c>
      <c r="E109" s="79">
        <v>0.29699999999999999</v>
      </c>
      <c r="F109" s="80">
        <v>4792418.3499999996</v>
      </c>
      <c r="G109" s="81"/>
      <c r="H109" s="80">
        <v>3981987.29</v>
      </c>
      <c r="I109" s="79">
        <f>H109/F109</f>
        <v>0.83089308970699527</v>
      </c>
    </row>
    <row r="110" spans="1:9" x14ac:dyDescent="0.25">
      <c r="A110" s="76" t="s">
        <v>674</v>
      </c>
      <c r="B110" s="76" t="s">
        <v>172</v>
      </c>
      <c r="C110" s="77">
        <v>40920</v>
      </c>
      <c r="D110" s="78">
        <v>41274</v>
      </c>
      <c r="E110" s="79">
        <v>0.29699999999999999</v>
      </c>
      <c r="F110" s="80"/>
      <c r="G110" s="81">
        <v>172897</v>
      </c>
      <c r="H110" s="80">
        <v>140463.56</v>
      </c>
      <c r="I110" s="79">
        <f>H110/G110</f>
        <v>0.81241178273769932</v>
      </c>
    </row>
    <row r="111" spans="1:9" x14ac:dyDescent="0.25">
      <c r="A111" s="76" t="s">
        <v>449</v>
      </c>
      <c r="B111" s="76" t="s">
        <v>465</v>
      </c>
      <c r="C111" s="77">
        <v>40909</v>
      </c>
      <c r="D111" s="78">
        <v>41274</v>
      </c>
      <c r="E111" s="79">
        <v>0</v>
      </c>
      <c r="F111" s="80">
        <v>259816</v>
      </c>
      <c r="G111" s="81"/>
      <c r="H111" s="80">
        <v>145854</v>
      </c>
      <c r="I111" s="79">
        <f>H111/F111</f>
        <v>0.5613742032823229</v>
      </c>
    </row>
    <row r="112" spans="1:9" x14ac:dyDescent="0.25">
      <c r="A112" s="76" t="s">
        <v>171</v>
      </c>
      <c r="B112" s="76" t="s">
        <v>210</v>
      </c>
      <c r="C112" s="77">
        <v>40909</v>
      </c>
      <c r="D112" s="78">
        <v>41274</v>
      </c>
      <c r="E112" s="79">
        <v>1.7999999999999999E-2</v>
      </c>
      <c r="F112" s="80">
        <v>1509038</v>
      </c>
      <c r="G112" s="81"/>
      <c r="H112" s="80">
        <v>1249943.6499999999</v>
      </c>
      <c r="I112" s="79">
        <f>H112/F112</f>
        <v>0.82830495322185382</v>
      </c>
    </row>
    <row r="113" spans="1:9" x14ac:dyDescent="0.25">
      <c r="A113" s="70" t="s">
        <v>20</v>
      </c>
      <c r="B113" s="70" t="s">
        <v>31</v>
      </c>
      <c r="C113" s="71">
        <v>40787</v>
      </c>
      <c r="D113" s="72">
        <v>41090</v>
      </c>
      <c r="E113" s="73">
        <v>0</v>
      </c>
      <c r="F113" s="74"/>
      <c r="G113" s="75">
        <v>14.5</v>
      </c>
      <c r="H113" s="74">
        <v>174228.1</v>
      </c>
      <c r="I113" s="73">
        <v>0.61982950962814953</v>
      </c>
    </row>
    <row r="114" spans="1:9" x14ac:dyDescent="0.25">
      <c r="A114" s="70" t="s">
        <v>20</v>
      </c>
      <c r="B114" s="70" t="s">
        <v>31</v>
      </c>
      <c r="C114" s="71">
        <v>40787</v>
      </c>
      <c r="D114" s="72">
        <v>41090</v>
      </c>
      <c r="E114" s="73">
        <v>0</v>
      </c>
      <c r="F114" s="74">
        <v>1412</v>
      </c>
      <c r="G114" s="75"/>
      <c r="H114" s="74">
        <v>0</v>
      </c>
      <c r="I114" s="73">
        <v>0</v>
      </c>
    </row>
    <row r="115" spans="1:9" x14ac:dyDescent="0.25">
      <c r="A115" s="70" t="s">
        <v>101</v>
      </c>
      <c r="B115" s="70" t="s">
        <v>31</v>
      </c>
      <c r="C115" s="71">
        <v>40940</v>
      </c>
      <c r="D115" s="72">
        <v>41305</v>
      </c>
      <c r="E115" s="73">
        <v>8.9999999999999993E-3</v>
      </c>
      <c r="F115" s="74">
        <v>812736.46</v>
      </c>
      <c r="G115" s="75"/>
      <c r="H115" s="74">
        <v>479180.36</v>
      </c>
      <c r="I115" s="73">
        <v>0.58958885639263681</v>
      </c>
    </row>
    <row r="116" spans="1:9" x14ac:dyDescent="0.25">
      <c r="A116" s="70" t="s">
        <v>101</v>
      </c>
      <c r="B116" s="70" t="s">
        <v>31</v>
      </c>
      <c r="C116" s="71">
        <v>40940</v>
      </c>
      <c r="D116" s="72">
        <v>41305</v>
      </c>
      <c r="E116" s="73">
        <v>8.9999999999999993E-3</v>
      </c>
      <c r="F116" s="74"/>
      <c r="G116" s="75">
        <v>21131.14</v>
      </c>
      <c r="H116" s="74">
        <v>12463.89</v>
      </c>
      <c r="I116" s="73">
        <v>0.58983519109712013</v>
      </c>
    </row>
    <row r="117" spans="1:9" x14ac:dyDescent="0.25">
      <c r="A117" s="70" t="s">
        <v>113</v>
      </c>
      <c r="B117" s="70" t="s">
        <v>31</v>
      </c>
      <c r="C117" s="71">
        <v>40612</v>
      </c>
      <c r="D117" s="72">
        <v>40939</v>
      </c>
      <c r="E117" s="73">
        <v>8.9999999999999993E-3</v>
      </c>
      <c r="F117" s="74">
        <v>266209</v>
      </c>
      <c r="G117" s="75"/>
      <c r="H117" s="74">
        <v>159111.79999999999</v>
      </c>
      <c r="I117" s="73">
        <v>0.59769504411946994</v>
      </c>
    </row>
    <row r="118" spans="1:9" x14ac:dyDescent="0.25">
      <c r="A118" s="70" t="s">
        <v>113</v>
      </c>
      <c r="B118" s="70" t="s">
        <v>31</v>
      </c>
      <c r="C118" s="71">
        <v>40612</v>
      </c>
      <c r="D118" s="72">
        <v>40939</v>
      </c>
      <c r="E118" s="73">
        <v>8.9999999999999993E-3</v>
      </c>
      <c r="F118" s="74"/>
      <c r="G118" s="75">
        <v>7187</v>
      </c>
      <c r="H118" s="74">
        <v>4306</v>
      </c>
      <c r="I118" s="73">
        <v>0.59913733129261171</v>
      </c>
    </row>
    <row r="119" spans="1:9" x14ac:dyDescent="0.25">
      <c r="A119" s="70" t="s">
        <v>137</v>
      </c>
      <c r="B119" s="70" t="s">
        <v>31</v>
      </c>
      <c r="C119" s="71">
        <v>40779</v>
      </c>
      <c r="D119" s="72">
        <v>41119</v>
      </c>
      <c r="E119" s="73">
        <v>0.315</v>
      </c>
      <c r="F119" s="74">
        <v>6228</v>
      </c>
      <c r="G119" s="75"/>
      <c r="H119" s="74">
        <v>2128.4</v>
      </c>
      <c r="I119" s="73">
        <v>0.34174694926140015</v>
      </c>
    </row>
    <row r="120" spans="1:9" x14ac:dyDescent="0.25">
      <c r="A120" s="76" t="s">
        <v>171</v>
      </c>
      <c r="B120" s="76" t="s">
        <v>31</v>
      </c>
      <c r="C120" s="77">
        <v>40800</v>
      </c>
      <c r="D120" s="78">
        <v>41152</v>
      </c>
      <c r="E120" s="79">
        <v>1.7999999999999999E-2</v>
      </c>
      <c r="F120" s="80">
        <v>0</v>
      </c>
      <c r="G120" s="81"/>
      <c r="H120" s="80">
        <v>0</v>
      </c>
      <c r="I120" s="79">
        <v>0</v>
      </c>
    </row>
    <row r="121" spans="1:9" x14ac:dyDescent="0.25">
      <c r="A121" s="76" t="s">
        <v>246</v>
      </c>
      <c r="B121" s="76" t="s">
        <v>31</v>
      </c>
      <c r="C121" s="77">
        <v>40909</v>
      </c>
      <c r="D121" s="78">
        <v>41274</v>
      </c>
      <c r="E121" s="79">
        <v>0</v>
      </c>
      <c r="F121" s="80">
        <v>115035.47</v>
      </c>
      <c r="G121" s="81"/>
      <c r="H121" s="80">
        <v>-27407.57</v>
      </c>
      <c r="I121" s="79">
        <f>H121/F121</f>
        <v>-0.23825321007511857</v>
      </c>
    </row>
    <row r="122" spans="1:9" x14ac:dyDescent="0.25">
      <c r="A122" s="76" t="s">
        <v>262</v>
      </c>
      <c r="B122" s="76" t="s">
        <v>31</v>
      </c>
      <c r="C122" s="77">
        <v>40747</v>
      </c>
      <c r="D122" s="78">
        <v>41060</v>
      </c>
      <c r="E122" s="79">
        <v>8.9999999999999993E-3</v>
      </c>
      <c r="F122" s="80"/>
      <c r="G122" s="81">
        <v>3360</v>
      </c>
      <c r="H122" s="80">
        <v>2150.4</v>
      </c>
      <c r="I122" s="79">
        <f>H122/G122</f>
        <v>0.64</v>
      </c>
    </row>
    <row r="123" spans="1:9" x14ac:dyDescent="0.25">
      <c r="A123" s="76" t="s">
        <v>262</v>
      </c>
      <c r="B123" s="76" t="s">
        <v>31</v>
      </c>
      <c r="C123" s="77">
        <v>40747</v>
      </c>
      <c r="D123" s="78">
        <v>41060</v>
      </c>
      <c r="E123" s="79">
        <v>8.9999999999999993E-3</v>
      </c>
      <c r="F123" s="80">
        <v>124795</v>
      </c>
      <c r="G123" s="81"/>
      <c r="H123" s="80">
        <v>-60357.4</v>
      </c>
      <c r="I123" s="79">
        <f>H123/F123</f>
        <v>-0.48365238991946796</v>
      </c>
    </row>
    <row r="124" spans="1:9" x14ac:dyDescent="0.25">
      <c r="A124" s="76" t="s">
        <v>317</v>
      </c>
      <c r="B124" s="76" t="s">
        <v>31</v>
      </c>
      <c r="C124" s="77">
        <v>41061</v>
      </c>
      <c r="D124" s="78">
        <v>41394</v>
      </c>
      <c r="E124" s="79">
        <v>8.9999999999999993E-3</v>
      </c>
      <c r="F124" s="80">
        <v>16152.68</v>
      </c>
      <c r="G124" s="81"/>
      <c r="H124" s="80">
        <v>10.8</v>
      </c>
      <c r="I124" s="79">
        <f>H124/F124</f>
        <v>6.6861969654571256E-4</v>
      </c>
    </row>
    <row r="125" spans="1:9" x14ac:dyDescent="0.25">
      <c r="A125" s="76" t="s">
        <v>317</v>
      </c>
      <c r="B125" s="76" t="s">
        <v>31</v>
      </c>
      <c r="C125" s="77">
        <v>41061</v>
      </c>
      <c r="D125" s="78">
        <v>41394</v>
      </c>
      <c r="E125" s="79">
        <v>8.9999999999999993E-3</v>
      </c>
      <c r="F125" s="80"/>
      <c r="G125" s="81">
        <v>316</v>
      </c>
      <c r="H125" s="80">
        <v>0.21</v>
      </c>
      <c r="I125" s="79">
        <f>H125/G125</f>
        <v>6.6455696202531646E-4</v>
      </c>
    </row>
    <row r="126" spans="1:9" x14ac:dyDescent="0.25">
      <c r="A126" s="76" t="s">
        <v>372</v>
      </c>
      <c r="B126" s="76" t="s">
        <v>31</v>
      </c>
      <c r="C126" s="77">
        <v>40847</v>
      </c>
      <c r="D126" s="78">
        <v>41152</v>
      </c>
      <c r="E126" s="79">
        <v>8.9999999999999993E-3</v>
      </c>
      <c r="F126" s="80">
        <v>33539</v>
      </c>
      <c r="G126" s="81"/>
      <c r="H126" s="80">
        <v>0</v>
      </c>
      <c r="I126" s="79">
        <f>H126/F126</f>
        <v>0</v>
      </c>
    </row>
    <row r="127" spans="1:9" x14ac:dyDescent="0.25">
      <c r="A127" s="76" t="s">
        <v>372</v>
      </c>
      <c r="B127" s="76" t="s">
        <v>31</v>
      </c>
      <c r="C127" s="77">
        <v>41153</v>
      </c>
      <c r="D127" s="78">
        <v>41262</v>
      </c>
      <c r="E127" s="79">
        <v>8.9999999999999993E-3</v>
      </c>
      <c r="F127" s="80">
        <v>0</v>
      </c>
      <c r="G127" s="81"/>
      <c r="H127" s="80">
        <v>0</v>
      </c>
      <c r="I127" s="79">
        <v>0</v>
      </c>
    </row>
    <row r="128" spans="1:9" x14ac:dyDescent="0.25">
      <c r="A128" s="76" t="s">
        <v>372</v>
      </c>
      <c r="B128" s="76" t="s">
        <v>31</v>
      </c>
      <c r="C128" s="77">
        <v>41153</v>
      </c>
      <c r="D128" s="78">
        <v>41262</v>
      </c>
      <c r="E128" s="79">
        <v>8.9999999999999993E-3</v>
      </c>
      <c r="F128" s="80"/>
      <c r="G128" s="81">
        <v>0</v>
      </c>
      <c r="H128" s="80">
        <v>0</v>
      </c>
      <c r="I128" s="79">
        <v>0</v>
      </c>
    </row>
    <row r="129" spans="1:9" ht="28.5" x14ac:dyDescent="0.25">
      <c r="A129" s="76" t="s">
        <v>392</v>
      </c>
      <c r="B129" s="76" t="s">
        <v>31</v>
      </c>
      <c r="C129" s="77">
        <v>40892</v>
      </c>
      <c r="D129" s="78">
        <v>41257</v>
      </c>
      <c r="E129" s="79">
        <v>8.9999999999999993E-3</v>
      </c>
      <c r="F129" s="80">
        <v>41319</v>
      </c>
      <c r="G129" s="81"/>
      <c r="H129" s="80">
        <v>8156.75</v>
      </c>
      <c r="I129" s="79">
        <f>H129/F129</f>
        <v>0.19740918221641376</v>
      </c>
    </row>
    <row r="130" spans="1:9" ht="28.5" x14ac:dyDescent="0.25">
      <c r="A130" s="76" t="s">
        <v>392</v>
      </c>
      <c r="B130" s="76" t="s">
        <v>31</v>
      </c>
      <c r="C130" s="77">
        <v>40892</v>
      </c>
      <c r="D130" s="78">
        <v>41257</v>
      </c>
      <c r="E130" s="79">
        <v>8.9999999999999993E-3</v>
      </c>
      <c r="F130" s="80"/>
      <c r="G130" s="81">
        <v>270</v>
      </c>
      <c r="H130" s="80">
        <v>35</v>
      </c>
      <c r="I130" s="79">
        <f>H130/G130</f>
        <v>0.12962962962962962</v>
      </c>
    </row>
    <row r="131" spans="1:9" ht="28.5" x14ac:dyDescent="0.25">
      <c r="A131" s="76" t="s">
        <v>392</v>
      </c>
      <c r="B131" s="76" t="s">
        <v>31</v>
      </c>
      <c r="C131" s="77">
        <v>41258</v>
      </c>
      <c r="D131" s="78">
        <v>41455</v>
      </c>
      <c r="E131" s="79">
        <v>8.9999999999999993E-3</v>
      </c>
      <c r="F131" s="80">
        <v>0</v>
      </c>
      <c r="G131" s="81"/>
      <c r="H131" s="80">
        <v>0</v>
      </c>
      <c r="I131" s="79">
        <v>0</v>
      </c>
    </row>
    <row r="132" spans="1:9" ht="28.5" x14ac:dyDescent="0.25">
      <c r="A132" s="76" t="s">
        <v>392</v>
      </c>
      <c r="B132" s="76" t="s">
        <v>31</v>
      </c>
      <c r="C132" s="77">
        <v>41258</v>
      </c>
      <c r="D132" s="78">
        <v>41455</v>
      </c>
      <c r="E132" s="79">
        <v>8.9999999999999993E-3</v>
      </c>
      <c r="F132" s="80"/>
      <c r="G132" s="81">
        <v>0</v>
      </c>
      <c r="H132" s="80">
        <v>0</v>
      </c>
      <c r="I132" s="79">
        <v>0</v>
      </c>
    </row>
    <row r="133" spans="1:9" x14ac:dyDescent="0.25">
      <c r="A133" s="76" t="s">
        <v>477</v>
      </c>
      <c r="B133" s="76" t="s">
        <v>31</v>
      </c>
      <c r="C133" s="77">
        <v>40792</v>
      </c>
      <c r="D133" s="78">
        <v>41121</v>
      </c>
      <c r="E133" s="79">
        <v>8.9999999999999993E-3</v>
      </c>
      <c r="F133" s="80">
        <v>0</v>
      </c>
      <c r="G133" s="81"/>
      <c r="H133" s="80">
        <v>0</v>
      </c>
      <c r="I133" s="79">
        <v>0</v>
      </c>
    </row>
    <row r="134" spans="1:9" x14ac:dyDescent="0.25">
      <c r="A134" s="76" t="s">
        <v>477</v>
      </c>
      <c r="B134" s="76" t="s">
        <v>31</v>
      </c>
      <c r="C134" s="77">
        <v>40792</v>
      </c>
      <c r="D134" s="78">
        <v>41121</v>
      </c>
      <c r="E134" s="79">
        <v>8.9999999999999993E-3</v>
      </c>
      <c r="F134" s="80"/>
      <c r="G134" s="81">
        <v>0</v>
      </c>
      <c r="H134" s="80">
        <v>0</v>
      </c>
      <c r="I134" s="79">
        <v>0</v>
      </c>
    </row>
    <row r="135" spans="1:9" x14ac:dyDescent="0.25">
      <c r="A135" s="76" t="s">
        <v>531</v>
      </c>
      <c r="B135" s="76" t="s">
        <v>31</v>
      </c>
      <c r="C135" s="77">
        <v>41153</v>
      </c>
      <c r="D135" s="78">
        <v>41517</v>
      </c>
      <c r="E135" s="79">
        <v>8.9999999999999993E-3</v>
      </c>
      <c r="F135" s="80">
        <v>0</v>
      </c>
      <c r="G135" s="81"/>
      <c r="H135" s="80">
        <v>0</v>
      </c>
      <c r="I135" s="79">
        <v>0</v>
      </c>
    </row>
    <row r="136" spans="1:9" x14ac:dyDescent="0.25">
      <c r="A136" s="76" t="s">
        <v>531</v>
      </c>
      <c r="B136" s="76" t="s">
        <v>31</v>
      </c>
      <c r="C136" s="77">
        <v>41153</v>
      </c>
      <c r="D136" s="78">
        <v>41517</v>
      </c>
      <c r="E136" s="79">
        <v>8.9999999999999993E-3</v>
      </c>
      <c r="F136" s="80"/>
      <c r="G136" s="81">
        <v>0</v>
      </c>
      <c r="H136" s="80">
        <v>0</v>
      </c>
      <c r="I136" s="93">
        <v>0</v>
      </c>
    </row>
    <row r="137" spans="1:9" x14ac:dyDescent="0.25">
      <c r="A137" s="76" t="s">
        <v>531</v>
      </c>
      <c r="B137" s="76" t="s">
        <v>31</v>
      </c>
      <c r="C137" s="77">
        <v>40796</v>
      </c>
      <c r="D137" s="78">
        <v>41152</v>
      </c>
      <c r="E137" s="79">
        <v>8.9999999999999993E-3</v>
      </c>
      <c r="F137" s="80"/>
      <c r="G137" s="81">
        <v>505</v>
      </c>
      <c r="H137" s="80">
        <v>-52</v>
      </c>
      <c r="I137" s="79">
        <f>H137/G137</f>
        <v>-0.10297029702970296</v>
      </c>
    </row>
    <row r="138" spans="1:9" x14ac:dyDescent="0.25">
      <c r="A138" s="76" t="s">
        <v>531</v>
      </c>
      <c r="B138" s="76" t="s">
        <v>31</v>
      </c>
      <c r="C138" s="77">
        <v>40796</v>
      </c>
      <c r="D138" s="78">
        <v>41152</v>
      </c>
      <c r="E138" s="79">
        <v>8.9999999999999993E-3</v>
      </c>
      <c r="F138" s="80">
        <v>13333</v>
      </c>
      <c r="G138" s="81"/>
      <c r="H138" s="80">
        <v>-10993</v>
      </c>
      <c r="I138" s="79">
        <f>H138/F138</f>
        <v>-0.82449561239030977</v>
      </c>
    </row>
    <row r="139" spans="1:9" x14ac:dyDescent="0.25">
      <c r="A139" s="76" t="s">
        <v>578</v>
      </c>
      <c r="B139" s="76" t="s">
        <v>31</v>
      </c>
      <c r="C139" s="77">
        <v>40707</v>
      </c>
      <c r="D139" s="78">
        <v>41029</v>
      </c>
      <c r="E139" s="79">
        <v>0</v>
      </c>
      <c r="F139" s="80">
        <v>300701</v>
      </c>
      <c r="G139" s="88"/>
      <c r="H139" s="80">
        <v>30502.93</v>
      </c>
      <c r="I139" s="79">
        <f>H139/F139</f>
        <v>0.10143940326104668</v>
      </c>
    </row>
    <row r="140" spans="1:9" x14ac:dyDescent="0.25">
      <c r="A140" s="76" t="s">
        <v>613</v>
      </c>
      <c r="B140" s="76" t="s">
        <v>31</v>
      </c>
      <c r="C140" s="77">
        <v>41170</v>
      </c>
      <c r="D140" s="78">
        <v>41517</v>
      </c>
      <c r="E140" s="79">
        <v>8.9999999999999993E-3</v>
      </c>
      <c r="F140" s="80">
        <v>44962</v>
      </c>
      <c r="G140" s="81"/>
      <c r="H140" s="80">
        <v>-87687</v>
      </c>
      <c r="I140" s="79">
        <f>H140/F140</f>
        <v>-1.9502468751390063</v>
      </c>
    </row>
    <row r="141" spans="1:9" x14ac:dyDescent="0.25">
      <c r="A141" s="76" t="s">
        <v>622</v>
      </c>
      <c r="B141" s="76" t="s">
        <v>31</v>
      </c>
      <c r="C141" s="77">
        <v>41170</v>
      </c>
      <c r="D141" s="78">
        <v>41517</v>
      </c>
      <c r="E141" s="79">
        <v>8.9999999999999993E-3</v>
      </c>
      <c r="F141" s="80"/>
      <c r="G141" s="81">
        <v>1610</v>
      </c>
      <c r="H141" s="80">
        <v>17</v>
      </c>
      <c r="I141" s="79">
        <f>H141/G141</f>
        <v>1.0559006211180125E-2</v>
      </c>
    </row>
    <row r="142" spans="1:9" x14ac:dyDescent="0.25">
      <c r="A142" s="76" t="s">
        <v>674</v>
      </c>
      <c r="B142" s="76" t="s">
        <v>31</v>
      </c>
      <c r="C142" s="77">
        <v>40940</v>
      </c>
      <c r="D142" s="78">
        <v>41274</v>
      </c>
      <c r="E142" s="79">
        <v>0.39600000000000002</v>
      </c>
      <c r="F142" s="80">
        <v>617996.31000000006</v>
      </c>
      <c r="G142" s="81"/>
      <c r="H142" s="80">
        <v>447179.96</v>
      </c>
      <c r="I142" s="79">
        <f>H142/F142</f>
        <v>0.72359648878809646</v>
      </c>
    </row>
    <row r="143" spans="1:9" x14ac:dyDescent="0.25">
      <c r="A143" s="76" t="s">
        <v>674</v>
      </c>
      <c r="B143" s="76" t="s">
        <v>31</v>
      </c>
      <c r="C143" s="77">
        <v>40940</v>
      </c>
      <c r="D143" s="78">
        <v>41274</v>
      </c>
      <c r="E143" s="79">
        <v>0.39600000000000002</v>
      </c>
      <c r="F143" s="80"/>
      <c r="G143" s="81">
        <v>4641</v>
      </c>
      <c r="H143" s="80">
        <v>538</v>
      </c>
      <c r="I143" s="79">
        <f>H143/G143</f>
        <v>0.11592329239388063</v>
      </c>
    </row>
    <row r="144" spans="1:9" x14ac:dyDescent="0.25">
      <c r="A144" s="76" t="s">
        <v>692</v>
      </c>
      <c r="B144" s="76" t="s">
        <v>31</v>
      </c>
      <c r="C144" s="77">
        <v>40909</v>
      </c>
      <c r="D144" s="78">
        <v>41274</v>
      </c>
      <c r="E144" s="79">
        <v>8.9999999999999993E-3</v>
      </c>
      <c r="F144" s="80">
        <v>313942</v>
      </c>
      <c r="G144" s="81"/>
      <c r="H144" s="80">
        <v>170568</v>
      </c>
      <c r="I144" s="79">
        <f>H144/F144</f>
        <v>0.54331054780819388</v>
      </c>
    </row>
    <row r="145" spans="1:9" x14ac:dyDescent="0.25">
      <c r="A145" s="76" t="s">
        <v>394</v>
      </c>
      <c r="B145" s="76" t="s">
        <v>403</v>
      </c>
      <c r="C145" s="77">
        <v>40802</v>
      </c>
      <c r="D145" s="78">
        <v>41168</v>
      </c>
      <c r="E145" s="79">
        <v>0.25</v>
      </c>
      <c r="F145" s="80"/>
      <c r="G145" s="81">
        <v>72924</v>
      </c>
      <c r="H145" s="80">
        <v>18231</v>
      </c>
      <c r="I145" s="79">
        <f>H145/G145</f>
        <v>0.25</v>
      </c>
    </row>
    <row r="146" spans="1:9" x14ac:dyDescent="0.25">
      <c r="A146" s="76" t="s">
        <v>394</v>
      </c>
      <c r="B146" s="76" t="s">
        <v>403</v>
      </c>
      <c r="C146" s="77">
        <v>41178</v>
      </c>
      <c r="D146" s="78">
        <v>41541</v>
      </c>
      <c r="E146" s="79">
        <v>0.25</v>
      </c>
      <c r="F146" s="80">
        <v>63339</v>
      </c>
      <c r="G146" s="81"/>
      <c r="H146" s="80">
        <v>15835</v>
      </c>
      <c r="I146" s="79">
        <f>H146/F146</f>
        <v>0.25000394701526707</v>
      </c>
    </row>
    <row r="147" spans="1:9" x14ac:dyDescent="0.25">
      <c r="A147" s="76" t="s">
        <v>394</v>
      </c>
      <c r="B147" s="76" t="s">
        <v>400</v>
      </c>
      <c r="C147" s="77">
        <v>40801</v>
      </c>
      <c r="D147" s="78">
        <v>41167</v>
      </c>
      <c r="E147" s="79">
        <v>0.25</v>
      </c>
      <c r="F147" s="80">
        <v>34494</v>
      </c>
      <c r="G147" s="81"/>
      <c r="H147" s="80">
        <v>8625</v>
      </c>
      <c r="I147" s="79">
        <f>H147/F147</f>
        <v>0.25004348582362151</v>
      </c>
    </row>
    <row r="148" spans="1:9" x14ac:dyDescent="0.25">
      <c r="A148" s="76" t="s">
        <v>394</v>
      </c>
      <c r="B148" s="76" t="s">
        <v>400</v>
      </c>
      <c r="C148" s="77">
        <v>41178</v>
      </c>
      <c r="D148" s="78">
        <v>41541</v>
      </c>
      <c r="E148" s="79">
        <v>0.25</v>
      </c>
      <c r="F148" s="80">
        <v>33656</v>
      </c>
      <c r="G148" s="81"/>
      <c r="H148" s="80">
        <v>8414</v>
      </c>
      <c r="I148" s="79">
        <f>H148/F148</f>
        <v>0.25</v>
      </c>
    </row>
    <row r="149" spans="1:9" x14ac:dyDescent="0.25">
      <c r="A149" s="76" t="s">
        <v>685</v>
      </c>
      <c r="B149" s="76" t="s">
        <v>691</v>
      </c>
      <c r="C149" s="77">
        <v>40909</v>
      </c>
      <c r="D149" s="78">
        <v>41274</v>
      </c>
      <c r="E149" s="79">
        <v>0.11700000000000001</v>
      </c>
      <c r="F149" s="80">
        <v>9617146.0999999996</v>
      </c>
      <c r="G149" s="81"/>
      <c r="H149" s="80">
        <v>1250210.8899999999</v>
      </c>
      <c r="I149" s="79">
        <f>H149/F149</f>
        <v>0.12999811763283911</v>
      </c>
    </row>
    <row r="150" spans="1:9" x14ac:dyDescent="0.25">
      <c r="A150" s="76" t="s">
        <v>643</v>
      </c>
      <c r="B150" s="76" t="s">
        <v>655</v>
      </c>
      <c r="C150" s="77">
        <v>40890</v>
      </c>
      <c r="D150" s="78">
        <v>41255</v>
      </c>
      <c r="E150" s="79">
        <v>4.4999999999999997E-3</v>
      </c>
      <c r="F150" s="80"/>
      <c r="G150" s="81">
        <v>1070</v>
      </c>
      <c r="H150" s="80">
        <v>-182.8</v>
      </c>
      <c r="I150" s="79">
        <f>H150/G150</f>
        <v>-0.17084112149532713</v>
      </c>
    </row>
    <row r="151" spans="1:9" x14ac:dyDescent="0.25">
      <c r="A151" s="76" t="s">
        <v>643</v>
      </c>
      <c r="B151" s="76" t="s">
        <v>655</v>
      </c>
      <c r="C151" s="77">
        <v>40890</v>
      </c>
      <c r="D151" s="78">
        <v>41255</v>
      </c>
      <c r="E151" s="79">
        <v>4.4999999999999997E-3</v>
      </c>
      <c r="F151" s="80">
        <v>29872</v>
      </c>
      <c r="G151" s="81"/>
      <c r="H151" s="80">
        <v>-883.7</v>
      </c>
      <c r="I151" s="79">
        <f>H151/F151</f>
        <v>-2.9582886984467063E-2</v>
      </c>
    </row>
    <row r="152" spans="1:9" x14ac:dyDescent="0.25">
      <c r="A152" s="70" t="s">
        <v>38</v>
      </c>
      <c r="B152" s="70" t="s">
        <v>53</v>
      </c>
      <c r="C152" s="71">
        <v>40861</v>
      </c>
      <c r="D152" s="72">
        <v>41186</v>
      </c>
      <c r="E152" s="73">
        <v>0.40500000000000003</v>
      </c>
      <c r="F152" s="74"/>
      <c r="G152" s="75">
        <v>6694.2</v>
      </c>
      <c r="H152" s="74">
        <v>3012.39</v>
      </c>
      <c r="I152" s="73">
        <v>0.45</v>
      </c>
    </row>
    <row r="153" spans="1:9" x14ac:dyDescent="0.25">
      <c r="A153" s="76" t="s">
        <v>613</v>
      </c>
      <c r="B153" s="76" t="s">
        <v>619</v>
      </c>
      <c r="C153" s="77">
        <v>40949</v>
      </c>
      <c r="D153" s="78">
        <v>41274</v>
      </c>
      <c r="E153" s="79">
        <v>8.9999999999999993E-3</v>
      </c>
      <c r="F153" s="80">
        <v>54657</v>
      </c>
      <c r="G153" s="81"/>
      <c r="H153" s="80">
        <v>9082</v>
      </c>
      <c r="I153" s="79">
        <f>H153/F153</f>
        <v>0.16616352891669869</v>
      </c>
    </row>
    <row r="154" spans="1:9" x14ac:dyDescent="0.25">
      <c r="A154" s="76" t="s">
        <v>613</v>
      </c>
      <c r="B154" s="76" t="s">
        <v>619</v>
      </c>
      <c r="C154" s="77">
        <v>40949</v>
      </c>
      <c r="D154" s="78">
        <v>41274</v>
      </c>
      <c r="E154" s="79">
        <v>8.9999999999999993E-3</v>
      </c>
      <c r="F154" s="80"/>
      <c r="G154" s="81">
        <v>1866</v>
      </c>
      <c r="H154" s="80">
        <v>960</v>
      </c>
      <c r="I154" s="79">
        <f>H154/G154</f>
        <v>0.51446945337620575</v>
      </c>
    </row>
    <row r="155" spans="1:9" x14ac:dyDescent="0.25">
      <c r="A155" s="76" t="s">
        <v>674</v>
      </c>
      <c r="B155" s="76" t="s">
        <v>619</v>
      </c>
      <c r="C155" s="77">
        <v>40940</v>
      </c>
      <c r="D155" s="78">
        <v>41274</v>
      </c>
      <c r="E155" s="79">
        <v>0.30599999999999999</v>
      </c>
      <c r="F155" s="80">
        <v>84607</v>
      </c>
      <c r="G155" s="81"/>
      <c r="H155" s="80">
        <v>14190.4</v>
      </c>
      <c r="I155" s="79">
        <f>H155/F155</f>
        <v>0.16772134693346885</v>
      </c>
    </row>
    <row r="156" spans="1:9" x14ac:dyDescent="0.25">
      <c r="A156" s="76" t="s">
        <v>674</v>
      </c>
      <c r="B156" s="76" t="s">
        <v>619</v>
      </c>
      <c r="C156" s="77">
        <v>40940</v>
      </c>
      <c r="D156" s="78">
        <v>41274</v>
      </c>
      <c r="E156" s="79">
        <v>0.30599999999999999</v>
      </c>
      <c r="F156" s="80"/>
      <c r="G156" s="81">
        <v>3023</v>
      </c>
      <c r="H156" s="80">
        <v>1154.83</v>
      </c>
      <c r="I156" s="79">
        <f>H156/G156</f>
        <v>0.38201455507773735</v>
      </c>
    </row>
    <row r="157" spans="1:9" x14ac:dyDescent="0.25">
      <c r="A157" s="76" t="s">
        <v>394</v>
      </c>
      <c r="B157" s="76" t="s">
        <v>401</v>
      </c>
      <c r="C157" s="77">
        <v>40842</v>
      </c>
      <c r="D157" s="78">
        <v>41208</v>
      </c>
      <c r="E157" s="79">
        <v>0.3</v>
      </c>
      <c r="F157" s="80">
        <v>35440</v>
      </c>
      <c r="G157" s="81"/>
      <c r="H157" s="80">
        <v>10653</v>
      </c>
      <c r="I157" s="79">
        <f>H157/F157</f>
        <v>0.30059255079006775</v>
      </c>
    </row>
    <row r="158" spans="1:9" x14ac:dyDescent="0.25">
      <c r="A158" s="76" t="s">
        <v>317</v>
      </c>
      <c r="B158" s="76" t="s">
        <v>364</v>
      </c>
      <c r="C158" s="77">
        <v>41122</v>
      </c>
      <c r="D158" s="78">
        <v>41486</v>
      </c>
      <c r="E158" s="79">
        <v>8.9999999999999998E-4</v>
      </c>
      <c r="F158" s="80">
        <v>286809</v>
      </c>
      <c r="G158" s="81"/>
      <c r="H158" s="80">
        <v>165594.75</v>
      </c>
      <c r="I158" s="79">
        <f>H158/F158</f>
        <v>0.57736943401357699</v>
      </c>
    </row>
    <row r="159" spans="1:9" x14ac:dyDescent="0.25">
      <c r="A159" s="76" t="s">
        <v>317</v>
      </c>
      <c r="B159" s="76" t="s">
        <v>364</v>
      </c>
      <c r="C159" s="77">
        <v>41122</v>
      </c>
      <c r="D159" s="78">
        <v>41486</v>
      </c>
      <c r="E159" s="79">
        <v>8.9999999999999998E-4</v>
      </c>
      <c r="F159" s="80"/>
      <c r="G159" s="81">
        <v>9321</v>
      </c>
      <c r="H159" s="80">
        <v>5381.66</v>
      </c>
      <c r="I159" s="79">
        <f>H159/G159</f>
        <v>0.57736938096770729</v>
      </c>
    </row>
    <row r="160" spans="1:9" x14ac:dyDescent="0.25">
      <c r="A160" s="76" t="s">
        <v>317</v>
      </c>
      <c r="B160" s="76" t="s">
        <v>342</v>
      </c>
      <c r="C160" s="77">
        <v>40830</v>
      </c>
      <c r="D160" s="78">
        <v>41121</v>
      </c>
      <c r="E160" s="79">
        <v>0</v>
      </c>
      <c r="F160" s="80">
        <v>198365.13</v>
      </c>
      <c r="G160" s="81"/>
      <c r="H160" s="80">
        <v>125604.68</v>
      </c>
      <c r="I160" s="79">
        <f>H160/F160</f>
        <v>0.63319939346194565</v>
      </c>
    </row>
    <row r="161" spans="1:9" x14ac:dyDescent="0.25">
      <c r="A161" s="76" t="s">
        <v>317</v>
      </c>
      <c r="B161" s="76" t="s">
        <v>342</v>
      </c>
      <c r="C161" s="77">
        <v>40830</v>
      </c>
      <c r="D161" s="78">
        <v>41121</v>
      </c>
      <c r="E161" s="79">
        <v>0</v>
      </c>
      <c r="F161" s="80"/>
      <c r="G161" s="81">
        <v>6513</v>
      </c>
      <c r="H161" s="80">
        <v>4124.03</v>
      </c>
      <c r="I161" s="79">
        <f>H161/G161</f>
        <v>0.63319975433747888</v>
      </c>
    </row>
    <row r="162" spans="1:9" x14ac:dyDescent="0.25">
      <c r="A162" s="76" t="s">
        <v>674</v>
      </c>
      <c r="B162" s="76" t="s">
        <v>342</v>
      </c>
      <c r="C162" s="77">
        <v>40911</v>
      </c>
      <c r="D162" s="78">
        <v>41274</v>
      </c>
      <c r="E162" s="79">
        <v>0.315</v>
      </c>
      <c r="F162" s="80">
        <v>76642</v>
      </c>
      <c r="G162" s="81"/>
      <c r="H162" s="80">
        <v>30812.42</v>
      </c>
      <c r="I162" s="79">
        <f>H162/F162</f>
        <v>0.40203047937162389</v>
      </c>
    </row>
    <row r="163" spans="1:9" x14ac:dyDescent="0.25">
      <c r="A163" s="76" t="s">
        <v>674</v>
      </c>
      <c r="B163" s="76" t="s">
        <v>342</v>
      </c>
      <c r="C163" s="77">
        <v>40911</v>
      </c>
      <c r="D163" s="78">
        <v>41274</v>
      </c>
      <c r="E163" s="79">
        <v>0.315</v>
      </c>
      <c r="F163" s="80"/>
      <c r="G163" s="81">
        <v>2160</v>
      </c>
      <c r="H163" s="80">
        <v>1139.82</v>
      </c>
      <c r="I163" s="79">
        <f>H163/G163</f>
        <v>0.52769444444444447</v>
      </c>
    </row>
    <row r="164" spans="1:9" x14ac:dyDescent="0.25">
      <c r="A164" s="76" t="s">
        <v>613</v>
      </c>
      <c r="B164" s="76" t="s">
        <v>617</v>
      </c>
      <c r="C164" s="77">
        <v>41118</v>
      </c>
      <c r="D164" s="78">
        <v>41455</v>
      </c>
      <c r="E164" s="79">
        <v>8.9999999999999993E-3</v>
      </c>
      <c r="F164" s="80">
        <v>409897</v>
      </c>
      <c r="G164" s="81"/>
      <c r="H164" s="80">
        <v>222932</v>
      </c>
      <c r="I164" s="79">
        <f>H164/F164</f>
        <v>0.54387321693010682</v>
      </c>
    </row>
    <row r="165" spans="1:9" x14ac:dyDescent="0.25">
      <c r="A165" s="76" t="s">
        <v>613</v>
      </c>
      <c r="B165" s="76" t="s">
        <v>617</v>
      </c>
      <c r="C165" s="77">
        <v>40752</v>
      </c>
      <c r="D165" s="78">
        <v>41117</v>
      </c>
      <c r="E165" s="79">
        <v>8.9999999999999993E-3</v>
      </c>
      <c r="F165" s="80">
        <v>360555</v>
      </c>
      <c r="G165" s="81"/>
      <c r="H165" s="80">
        <v>203963</v>
      </c>
      <c r="I165" s="79">
        <f>H165/F165</f>
        <v>0.56569178072693482</v>
      </c>
    </row>
    <row r="166" spans="1:9" x14ac:dyDescent="0.25">
      <c r="A166" s="76" t="s">
        <v>613</v>
      </c>
      <c r="B166" s="76" t="s">
        <v>617</v>
      </c>
      <c r="C166" s="77">
        <v>40752</v>
      </c>
      <c r="D166" s="78">
        <v>41117</v>
      </c>
      <c r="E166" s="79">
        <v>8.9999999999999993E-3</v>
      </c>
      <c r="F166" s="80"/>
      <c r="G166" s="81">
        <v>2190</v>
      </c>
      <c r="H166" s="80">
        <v>882</v>
      </c>
      <c r="I166" s="79">
        <f>H166/G166</f>
        <v>0.40273972602739727</v>
      </c>
    </row>
    <row r="167" spans="1:9" x14ac:dyDescent="0.25">
      <c r="A167" s="76" t="s">
        <v>613</v>
      </c>
      <c r="B167" s="76" t="s">
        <v>617</v>
      </c>
      <c r="C167" s="77">
        <v>41118</v>
      </c>
      <c r="D167" s="78">
        <v>41455</v>
      </c>
      <c r="E167" s="79">
        <v>8.9999999999999993E-3</v>
      </c>
      <c r="F167" s="80"/>
      <c r="G167" s="81">
        <v>1109</v>
      </c>
      <c r="H167" s="80">
        <v>12</v>
      </c>
      <c r="I167" s="79">
        <f>H167/G167</f>
        <v>1.0820559062218215E-2</v>
      </c>
    </row>
    <row r="168" spans="1:9" x14ac:dyDescent="0.25">
      <c r="A168" s="76" t="s">
        <v>449</v>
      </c>
      <c r="B168" s="76" t="s">
        <v>459</v>
      </c>
      <c r="C168" s="77">
        <v>40756</v>
      </c>
      <c r="D168" s="78">
        <v>41121</v>
      </c>
      <c r="E168" s="79">
        <v>0.36899999999999999</v>
      </c>
      <c r="F168" s="80">
        <v>181661</v>
      </c>
      <c r="G168" s="81"/>
      <c r="H168" s="80">
        <v>88288</v>
      </c>
      <c r="I168" s="79">
        <f>H168/F168</f>
        <v>0.48600415058818347</v>
      </c>
    </row>
    <row r="169" spans="1:9" x14ac:dyDescent="0.25">
      <c r="A169" s="76" t="s">
        <v>449</v>
      </c>
      <c r="B169" s="76" t="s">
        <v>459</v>
      </c>
      <c r="C169" s="77">
        <v>41122</v>
      </c>
      <c r="D169" s="78">
        <v>41486</v>
      </c>
      <c r="E169" s="79">
        <v>0.36899999999999999</v>
      </c>
      <c r="F169" s="80">
        <v>143903</v>
      </c>
      <c r="G169" s="81"/>
      <c r="H169" s="80">
        <v>79632</v>
      </c>
      <c r="I169" s="79">
        <f>H169/F169</f>
        <v>0.55337275803840091</v>
      </c>
    </row>
    <row r="170" spans="1:9" x14ac:dyDescent="0.25">
      <c r="A170" s="76" t="s">
        <v>643</v>
      </c>
      <c r="B170" s="76" t="s">
        <v>459</v>
      </c>
      <c r="C170" s="77">
        <v>41092</v>
      </c>
      <c r="D170" s="78">
        <v>41456</v>
      </c>
      <c r="E170" s="79">
        <v>4.4999999999999997E-3</v>
      </c>
      <c r="F170" s="80">
        <v>100157</v>
      </c>
      <c r="G170" s="81"/>
      <c r="H170" s="80">
        <v>80831.75</v>
      </c>
      <c r="I170" s="79">
        <f>H170/F170</f>
        <v>0.80705043082360695</v>
      </c>
    </row>
    <row r="171" spans="1:9" x14ac:dyDescent="0.25">
      <c r="A171" s="76" t="s">
        <v>643</v>
      </c>
      <c r="B171" s="76" t="s">
        <v>459</v>
      </c>
      <c r="C171" s="77">
        <v>40740</v>
      </c>
      <c r="D171" s="78">
        <v>41060</v>
      </c>
      <c r="E171" s="79">
        <v>0.09</v>
      </c>
      <c r="F171" s="80">
        <v>83007.360000000001</v>
      </c>
      <c r="G171" s="81"/>
      <c r="H171" s="80">
        <v>16371.01</v>
      </c>
      <c r="I171" s="79">
        <f>H171/F171</f>
        <v>0.19722359559441477</v>
      </c>
    </row>
    <row r="172" spans="1:9" x14ac:dyDescent="0.25">
      <c r="A172" s="76" t="s">
        <v>643</v>
      </c>
      <c r="B172" s="76" t="s">
        <v>459</v>
      </c>
      <c r="C172" s="77">
        <v>40740</v>
      </c>
      <c r="D172" s="78">
        <v>41060</v>
      </c>
      <c r="E172" s="79">
        <v>0.09</v>
      </c>
      <c r="F172" s="80"/>
      <c r="G172" s="81">
        <v>2885</v>
      </c>
      <c r="H172" s="80">
        <v>-557.85</v>
      </c>
      <c r="I172" s="79">
        <f>H172/G172</f>
        <v>-0.19336221837088388</v>
      </c>
    </row>
    <row r="173" spans="1:9" x14ac:dyDescent="0.25">
      <c r="A173" s="76" t="s">
        <v>643</v>
      </c>
      <c r="B173" s="76" t="s">
        <v>459</v>
      </c>
      <c r="C173" s="77">
        <v>41092</v>
      </c>
      <c r="D173" s="78">
        <v>41456</v>
      </c>
      <c r="E173" s="79">
        <v>4.4999999999999997E-3</v>
      </c>
      <c r="F173" s="80"/>
      <c r="G173" s="81">
        <v>5049</v>
      </c>
      <c r="H173" s="80">
        <v>-6060.55</v>
      </c>
      <c r="I173" s="79">
        <f>H173/G173</f>
        <v>-1.2003466032877799</v>
      </c>
    </row>
    <row r="174" spans="1:9" ht="28.5" x14ac:dyDescent="0.25">
      <c r="A174" s="76" t="s">
        <v>392</v>
      </c>
      <c r="B174" s="116" t="s">
        <v>393</v>
      </c>
      <c r="C174" s="77">
        <v>40892</v>
      </c>
      <c r="D174" s="78">
        <v>41151</v>
      </c>
      <c r="E174" s="79">
        <v>8.9999999999999993E-3</v>
      </c>
      <c r="F174" s="80">
        <v>40440</v>
      </c>
      <c r="G174" s="81"/>
      <c r="H174" s="80">
        <v>13773.81</v>
      </c>
      <c r="I174" s="79">
        <f>H174/F174</f>
        <v>0.34059866468842731</v>
      </c>
    </row>
    <row r="175" spans="1:9" ht="28.5" x14ac:dyDescent="0.25">
      <c r="A175" s="76" t="s">
        <v>392</v>
      </c>
      <c r="B175" s="116" t="s">
        <v>393</v>
      </c>
      <c r="C175" s="77">
        <v>40892</v>
      </c>
      <c r="D175" s="78">
        <v>41151</v>
      </c>
      <c r="E175" s="79">
        <v>8.9999999999999993E-3</v>
      </c>
      <c r="F175" s="80"/>
      <c r="G175" s="81">
        <v>135</v>
      </c>
      <c r="H175" s="80">
        <v>97.65</v>
      </c>
      <c r="I175" s="79">
        <f>H175/G175</f>
        <v>0.72333333333333338</v>
      </c>
    </row>
    <row r="176" spans="1:9" x14ac:dyDescent="0.25">
      <c r="A176" s="70" t="s">
        <v>119</v>
      </c>
      <c r="B176" s="70" t="s">
        <v>121</v>
      </c>
      <c r="C176" s="71">
        <v>40964</v>
      </c>
      <c r="D176" s="72">
        <v>41329</v>
      </c>
      <c r="E176" s="73">
        <v>0.09</v>
      </c>
      <c r="F176" s="74">
        <v>155315.12</v>
      </c>
      <c r="G176" s="75"/>
      <c r="H176" s="74">
        <v>15531.51</v>
      </c>
      <c r="I176" s="73">
        <v>9.9999987122953646E-2</v>
      </c>
    </row>
    <row r="177" spans="1:9" x14ac:dyDescent="0.25">
      <c r="A177" s="70" t="s">
        <v>14</v>
      </c>
      <c r="B177" s="70" t="s">
        <v>15</v>
      </c>
      <c r="C177" s="71">
        <v>40969</v>
      </c>
      <c r="D177" s="72">
        <v>41236</v>
      </c>
      <c r="E177" s="73">
        <v>0.5</v>
      </c>
      <c r="F177" s="74">
        <v>1023042.06</v>
      </c>
      <c r="G177" s="75"/>
      <c r="H177" s="74">
        <v>605042.96</v>
      </c>
      <c r="I177" s="73">
        <v>0.59141552792071905</v>
      </c>
    </row>
    <row r="178" spans="1:9" x14ac:dyDescent="0.25">
      <c r="A178" s="70" t="s">
        <v>14</v>
      </c>
      <c r="B178" s="70" t="s">
        <v>15</v>
      </c>
      <c r="C178" s="71">
        <v>40969</v>
      </c>
      <c r="D178" s="72">
        <v>41236</v>
      </c>
      <c r="E178" s="73">
        <v>0.5</v>
      </c>
      <c r="F178" s="74"/>
      <c r="G178" s="75">
        <v>24474</v>
      </c>
      <c r="H178" s="74">
        <v>14255.58</v>
      </c>
      <c r="I178" s="73">
        <v>0.58247854866388815</v>
      </c>
    </row>
    <row r="179" spans="1:9" x14ac:dyDescent="0.25">
      <c r="A179" s="70" t="s">
        <v>71</v>
      </c>
      <c r="B179" s="70" t="s">
        <v>73</v>
      </c>
      <c r="C179" s="71">
        <v>41200</v>
      </c>
      <c r="D179" s="72">
        <v>41274</v>
      </c>
      <c r="E179" s="73">
        <v>8.9999999999999993E-3</v>
      </c>
      <c r="F179" s="74">
        <v>4478.5</v>
      </c>
      <c r="G179" s="75"/>
      <c r="H179" s="74">
        <v>1956.24</v>
      </c>
      <c r="I179" s="73">
        <v>0.43680696661828738</v>
      </c>
    </row>
    <row r="180" spans="1:9" x14ac:dyDescent="0.25">
      <c r="A180" s="70" t="s">
        <v>71</v>
      </c>
      <c r="B180" s="70" t="s">
        <v>73</v>
      </c>
      <c r="C180" s="71">
        <v>41200</v>
      </c>
      <c r="D180" s="72">
        <v>41274</v>
      </c>
      <c r="E180" s="73">
        <v>8.9999999999999993E-3</v>
      </c>
      <c r="F180" s="74"/>
      <c r="G180" s="75">
        <v>235</v>
      </c>
      <c r="H180" s="74">
        <v>184.43</v>
      </c>
      <c r="I180" s="73">
        <v>0.78480851063829793</v>
      </c>
    </row>
    <row r="181" spans="1:9" x14ac:dyDescent="0.25">
      <c r="A181" s="76" t="s">
        <v>449</v>
      </c>
      <c r="B181" s="76" t="s">
        <v>73</v>
      </c>
      <c r="C181" s="77">
        <v>40913</v>
      </c>
      <c r="D181" s="78">
        <v>41274</v>
      </c>
      <c r="E181" s="79">
        <v>0</v>
      </c>
      <c r="F181" s="80">
        <v>123515</v>
      </c>
      <c r="G181" s="81"/>
      <c r="H181" s="80">
        <v>0</v>
      </c>
      <c r="I181" s="79">
        <f>H181/F181</f>
        <v>0</v>
      </c>
    </row>
    <row r="182" spans="1:9" x14ac:dyDescent="0.25">
      <c r="A182" s="76" t="s">
        <v>317</v>
      </c>
      <c r="B182" s="76" t="s">
        <v>319</v>
      </c>
      <c r="C182" s="77">
        <v>40940</v>
      </c>
      <c r="D182" s="78">
        <v>41232</v>
      </c>
      <c r="E182" s="79">
        <v>0</v>
      </c>
      <c r="F182" s="80">
        <v>53599</v>
      </c>
      <c r="G182" s="81"/>
      <c r="H182" s="80">
        <v>13599.37</v>
      </c>
      <c r="I182" s="79">
        <f>H182/F182</f>
        <v>0.25372432321498539</v>
      </c>
    </row>
    <row r="183" spans="1:9" x14ac:dyDescent="0.25">
      <c r="A183" s="76" t="s">
        <v>317</v>
      </c>
      <c r="B183" s="76" t="s">
        <v>319</v>
      </c>
      <c r="C183" s="77">
        <v>40612</v>
      </c>
      <c r="D183" s="78">
        <v>40939</v>
      </c>
      <c r="E183" s="79">
        <v>0</v>
      </c>
      <c r="F183" s="80"/>
      <c r="G183" s="81">
        <v>63732.959999999999</v>
      </c>
      <c r="H183" s="80">
        <v>3734.72</v>
      </c>
      <c r="I183" s="79">
        <f>H183/G183</f>
        <v>5.8599506440623499E-2</v>
      </c>
    </row>
    <row r="184" spans="1:9" x14ac:dyDescent="0.25">
      <c r="A184" s="70" t="s">
        <v>38</v>
      </c>
      <c r="B184" s="70" t="s">
        <v>52</v>
      </c>
      <c r="C184" s="71">
        <v>40814</v>
      </c>
      <c r="D184" s="72">
        <v>41179</v>
      </c>
      <c r="E184" s="73">
        <v>0.432</v>
      </c>
      <c r="F184" s="74"/>
      <c r="G184" s="75">
        <v>0</v>
      </c>
      <c r="H184" s="74">
        <v>0</v>
      </c>
      <c r="I184" s="73">
        <v>0</v>
      </c>
    </row>
    <row r="185" spans="1:9" x14ac:dyDescent="0.25">
      <c r="A185" s="76" t="s">
        <v>317</v>
      </c>
      <c r="B185" s="76" t="s">
        <v>52</v>
      </c>
      <c r="C185" s="77">
        <v>40955</v>
      </c>
      <c r="D185" s="78">
        <v>41320</v>
      </c>
      <c r="E185" s="79">
        <v>8.9999999999999993E-3</v>
      </c>
      <c r="F185" s="80">
        <v>2577396.61</v>
      </c>
      <c r="G185" s="81"/>
      <c r="H185" s="80">
        <v>235000</v>
      </c>
      <c r="I185" s="79">
        <f>H185/F185</f>
        <v>9.1177275196307486E-2</v>
      </c>
    </row>
    <row r="186" spans="1:9" x14ac:dyDescent="0.25">
      <c r="A186" s="76" t="s">
        <v>315</v>
      </c>
      <c r="B186" s="76" t="s">
        <v>52</v>
      </c>
      <c r="C186" s="77">
        <v>40634</v>
      </c>
      <c r="D186" s="78">
        <v>40954</v>
      </c>
      <c r="E186" s="79">
        <v>0.01</v>
      </c>
      <c r="F186" s="80">
        <v>2175997</v>
      </c>
      <c r="G186" s="81"/>
      <c r="H186" s="80">
        <v>106034.18</v>
      </c>
      <c r="I186" s="79">
        <f>H186/F186</f>
        <v>4.8729010196245669E-2</v>
      </c>
    </row>
    <row r="187" spans="1:9" x14ac:dyDescent="0.25">
      <c r="A187" s="76" t="s">
        <v>315</v>
      </c>
      <c r="B187" s="76" t="s">
        <v>52</v>
      </c>
      <c r="C187" s="77">
        <v>40634</v>
      </c>
      <c r="D187" s="78">
        <v>40954</v>
      </c>
      <c r="E187" s="79">
        <v>0.01</v>
      </c>
      <c r="F187" s="80"/>
      <c r="G187" s="81">
        <v>118357.74</v>
      </c>
      <c r="H187" s="80">
        <v>30065.55</v>
      </c>
      <c r="I187" s="79">
        <f>H187/G187</f>
        <v>0.25402267735088552</v>
      </c>
    </row>
    <row r="188" spans="1:9" x14ac:dyDescent="0.25">
      <c r="A188" s="76" t="s">
        <v>317</v>
      </c>
      <c r="B188" s="76" t="s">
        <v>52</v>
      </c>
      <c r="C188" s="77">
        <v>40955</v>
      </c>
      <c r="D188" s="78">
        <v>41320</v>
      </c>
      <c r="E188" s="79">
        <v>8.9999999999999993E-3</v>
      </c>
      <c r="F188" s="80"/>
      <c r="G188" s="81">
        <v>131447.75</v>
      </c>
      <c r="H188" s="80">
        <v>11985.05</v>
      </c>
      <c r="I188" s="79">
        <f>H188/G188</f>
        <v>9.1177292878729374E-2</v>
      </c>
    </row>
    <row r="189" spans="1:9" x14ac:dyDescent="0.25">
      <c r="A189" s="76" t="s">
        <v>643</v>
      </c>
      <c r="B189" s="76" t="s">
        <v>653</v>
      </c>
      <c r="C189" s="77">
        <v>40862</v>
      </c>
      <c r="D189" s="78">
        <v>41227</v>
      </c>
      <c r="E189" s="79">
        <v>4.4999999999999997E-3</v>
      </c>
      <c r="F189" s="80">
        <v>57965</v>
      </c>
      <c r="G189" s="81"/>
      <c r="H189" s="80">
        <v>29494.6</v>
      </c>
      <c r="I189" s="79">
        <f>H189/F189</f>
        <v>0.50883464159406533</v>
      </c>
    </row>
    <row r="190" spans="1:9" x14ac:dyDescent="0.25">
      <c r="A190" s="76" t="s">
        <v>643</v>
      </c>
      <c r="B190" s="76" t="s">
        <v>653</v>
      </c>
      <c r="C190" s="77">
        <v>41228</v>
      </c>
      <c r="D190" s="78">
        <v>41502</v>
      </c>
      <c r="E190" s="79">
        <v>4.4999999999999997E-3</v>
      </c>
      <c r="F190" s="80">
        <v>40084</v>
      </c>
      <c r="G190" s="81"/>
      <c r="H190" s="80">
        <v>15315.3</v>
      </c>
      <c r="I190" s="79">
        <f>H190/F190</f>
        <v>0.3820801317233809</v>
      </c>
    </row>
    <row r="191" spans="1:9" x14ac:dyDescent="0.25">
      <c r="A191" s="76" t="s">
        <v>643</v>
      </c>
      <c r="B191" s="76" t="s">
        <v>653</v>
      </c>
      <c r="C191" s="77">
        <v>41228</v>
      </c>
      <c r="D191" s="78">
        <v>41502</v>
      </c>
      <c r="E191" s="79">
        <v>4.4999999999999997E-3</v>
      </c>
      <c r="F191" s="80"/>
      <c r="G191" s="81">
        <v>85</v>
      </c>
      <c r="H191" s="80">
        <v>10.6</v>
      </c>
      <c r="I191" s="79">
        <f>H191/G191</f>
        <v>0.12470588235294117</v>
      </c>
    </row>
    <row r="192" spans="1:9" x14ac:dyDescent="0.25">
      <c r="A192" s="76" t="s">
        <v>643</v>
      </c>
      <c r="B192" s="76" t="s">
        <v>653</v>
      </c>
      <c r="C192" s="77">
        <v>40862</v>
      </c>
      <c r="D192" s="78">
        <v>41227</v>
      </c>
      <c r="E192" s="79">
        <v>4.4999999999999997E-3</v>
      </c>
      <c r="F192" s="80"/>
      <c r="G192" s="81">
        <v>0</v>
      </c>
      <c r="H192" s="80">
        <v>0</v>
      </c>
      <c r="I192" s="79">
        <v>0</v>
      </c>
    </row>
    <row r="193" spans="1:9" x14ac:dyDescent="0.25">
      <c r="A193" s="76" t="s">
        <v>643</v>
      </c>
      <c r="B193" s="76" t="s">
        <v>657</v>
      </c>
      <c r="C193" s="77">
        <v>40956</v>
      </c>
      <c r="D193" s="78">
        <v>41321</v>
      </c>
      <c r="E193" s="79">
        <v>4.4999999999999997E-3</v>
      </c>
      <c r="F193" s="80">
        <v>319841.53000000003</v>
      </c>
      <c r="G193" s="81"/>
      <c r="H193" s="80">
        <v>204694.33</v>
      </c>
      <c r="I193" s="79">
        <f>H193/F193</f>
        <v>0.63998671467085577</v>
      </c>
    </row>
    <row r="194" spans="1:9" x14ac:dyDescent="0.25">
      <c r="A194" s="76" t="s">
        <v>643</v>
      </c>
      <c r="B194" s="76" t="s">
        <v>657</v>
      </c>
      <c r="C194" s="77">
        <v>40956</v>
      </c>
      <c r="D194" s="78">
        <v>41321</v>
      </c>
      <c r="E194" s="79">
        <v>4.4999999999999997E-3</v>
      </c>
      <c r="F194" s="80"/>
      <c r="G194" s="81">
        <v>7973</v>
      </c>
      <c r="H194" s="80">
        <v>5319.7</v>
      </c>
      <c r="I194" s="79">
        <f>H194/G194</f>
        <v>0.66721434842593752</v>
      </c>
    </row>
    <row r="195" spans="1:9" x14ac:dyDescent="0.25">
      <c r="A195" s="76" t="s">
        <v>630</v>
      </c>
      <c r="B195" s="76" t="s">
        <v>634</v>
      </c>
      <c r="C195" s="77">
        <v>41101</v>
      </c>
      <c r="D195" s="78">
        <v>41274</v>
      </c>
      <c r="E195" s="79">
        <v>8.9999999999999993E-3</v>
      </c>
      <c r="F195" s="80">
        <v>55101</v>
      </c>
      <c r="G195" s="81"/>
      <c r="H195" s="80">
        <v>35060.959999999999</v>
      </c>
      <c r="I195" s="79">
        <f>H195/F195</f>
        <v>0.63630351536269758</v>
      </c>
    </row>
    <row r="196" spans="1:9" x14ac:dyDescent="0.25">
      <c r="A196" s="76" t="s">
        <v>630</v>
      </c>
      <c r="B196" s="76" t="s">
        <v>634</v>
      </c>
      <c r="C196" s="77">
        <v>41101</v>
      </c>
      <c r="D196" s="78">
        <v>41274</v>
      </c>
      <c r="E196" s="79">
        <v>8.9999999999999993E-3</v>
      </c>
      <c r="F196" s="80"/>
      <c r="G196" s="81">
        <v>729</v>
      </c>
      <c r="H196" s="80">
        <v>410.18</v>
      </c>
      <c r="I196" s="79">
        <f>H196/G196</f>
        <v>0.56266117969821672</v>
      </c>
    </row>
    <row r="197" spans="1:9" x14ac:dyDescent="0.25">
      <c r="A197" s="76" t="s">
        <v>744</v>
      </c>
      <c r="B197" s="76" t="s">
        <v>1049</v>
      </c>
      <c r="C197" s="77">
        <v>40909</v>
      </c>
      <c r="D197" s="78">
        <v>41274</v>
      </c>
      <c r="E197" s="79">
        <v>0.3</v>
      </c>
      <c r="F197" s="80">
        <v>71413</v>
      </c>
      <c r="G197" s="88"/>
      <c r="H197" s="80">
        <v>21423.9</v>
      </c>
      <c r="I197" s="73">
        <f>H197/F197</f>
        <v>0.30000000000000004</v>
      </c>
    </row>
    <row r="198" spans="1:9" x14ac:dyDescent="0.25">
      <c r="A198" s="76" t="s">
        <v>375</v>
      </c>
      <c r="B198" s="76" t="s">
        <v>380</v>
      </c>
      <c r="C198" s="77">
        <v>41107</v>
      </c>
      <c r="D198" s="78">
        <v>41162</v>
      </c>
      <c r="E198" s="79">
        <v>4.4999999999999998E-2</v>
      </c>
      <c r="F198" s="80"/>
      <c r="G198" s="81">
        <v>14607</v>
      </c>
      <c r="H198" s="80">
        <v>11682</v>
      </c>
      <c r="I198" s="79">
        <f>H198/G198</f>
        <v>0.79975354282193467</v>
      </c>
    </row>
    <row r="199" spans="1:9" x14ac:dyDescent="0.25">
      <c r="A199" s="76" t="s">
        <v>407</v>
      </c>
      <c r="B199" s="76" t="s">
        <v>409</v>
      </c>
      <c r="C199" s="77">
        <v>40850</v>
      </c>
      <c r="D199" s="78">
        <v>41029</v>
      </c>
      <c r="E199" s="79">
        <v>0.18</v>
      </c>
      <c r="F199" s="88"/>
      <c r="G199" s="81">
        <v>61069.32</v>
      </c>
      <c r="H199" s="80">
        <v>10996.11</v>
      </c>
      <c r="I199" s="79">
        <f>H199/G199</f>
        <v>0.18005947994836033</v>
      </c>
    </row>
    <row r="200" spans="1:9" x14ac:dyDescent="0.25">
      <c r="A200" s="76" t="s">
        <v>663</v>
      </c>
      <c r="B200" s="76" t="s">
        <v>664</v>
      </c>
      <c r="C200" s="77">
        <v>41050</v>
      </c>
      <c r="D200" s="78">
        <v>41327</v>
      </c>
      <c r="E200" s="79">
        <v>0.35</v>
      </c>
      <c r="F200" s="80">
        <v>48216</v>
      </c>
      <c r="G200" s="88"/>
      <c r="H200" s="80">
        <v>16875.599999999999</v>
      </c>
      <c r="I200" s="79">
        <f>H200/F200</f>
        <v>0.35</v>
      </c>
    </row>
    <row r="201" spans="1:9" x14ac:dyDescent="0.25">
      <c r="A201" s="76" t="s">
        <v>663</v>
      </c>
      <c r="B201" s="76" t="s">
        <v>664</v>
      </c>
      <c r="C201" s="77">
        <v>40921</v>
      </c>
      <c r="D201" s="78">
        <v>40955</v>
      </c>
      <c r="E201" s="79">
        <v>0.35</v>
      </c>
      <c r="F201" s="80">
        <v>31620</v>
      </c>
      <c r="G201" s="88"/>
      <c r="H201" s="80">
        <v>11067</v>
      </c>
      <c r="I201" s="79">
        <f>H201/F201</f>
        <v>0.35</v>
      </c>
    </row>
    <row r="202" spans="1:9" x14ac:dyDescent="0.25">
      <c r="A202" s="76" t="s">
        <v>410</v>
      </c>
      <c r="B202" s="76" t="s">
        <v>412</v>
      </c>
      <c r="C202" s="77">
        <v>40913</v>
      </c>
      <c r="D202" s="78">
        <v>41060</v>
      </c>
      <c r="E202" s="79">
        <v>0.23</v>
      </c>
      <c r="F202" s="88"/>
      <c r="G202" s="81">
        <v>18670</v>
      </c>
      <c r="H202" s="80">
        <v>4279.01</v>
      </c>
      <c r="I202" s="79">
        <f>H202/G202</f>
        <v>0.22919175147295126</v>
      </c>
    </row>
    <row r="203" spans="1:9" ht="21.75" customHeight="1" x14ac:dyDescent="0.25">
      <c r="A203" s="76" t="s">
        <v>216</v>
      </c>
      <c r="B203" s="76" t="s">
        <v>218</v>
      </c>
      <c r="C203" s="77">
        <v>41057</v>
      </c>
      <c r="D203" s="78">
        <v>41271</v>
      </c>
      <c r="E203" s="79">
        <v>0.2</v>
      </c>
      <c r="F203" s="80">
        <v>25802</v>
      </c>
      <c r="G203" s="88"/>
      <c r="H203" s="80">
        <v>6520.22</v>
      </c>
      <c r="I203" s="79">
        <f>H203/F203</f>
        <v>0.25270211611502985</v>
      </c>
    </row>
    <row r="204" spans="1:9" x14ac:dyDescent="0.25">
      <c r="A204" s="76" t="s">
        <v>216</v>
      </c>
      <c r="B204" s="76" t="s">
        <v>217</v>
      </c>
      <c r="C204" s="77">
        <v>40945</v>
      </c>
      <c r="D204" s="78">
        <v>41145</v>
      </c>
      <c r="E204" s="79">
        <v>0.2</v>
      </c>
      <c r="F204" s="80">
        <v>35530</v>
      </c>
      <c r="G204" s="88"/>
      <c r="H204" s="80">
        <v>8320.0499999999993</v>
      </c>
      <c r="I204" s="79">
        <f>H204/F204</f>
        <v>0.23416971573318321</v>
      </c>
    </row>
    <row r="205" spans="1:9" x14ac:dyDescent="0.25">
      <c r="A205" s="76" t="s">
        <v>171</v>
      </c>
      <c r="B205" s="76" t="s">
        <v>202</v>
      </c>
      <c r="C205" s="77">
        <v>40770</v>
      </c>
      <c r="D205" s="78">
        <v>41135</v>
      </c>
      <c r="E205" s="79">
        <v>1.7999999999999999E-2</v>
      </c>
      <c r="F205" s="80">
        <v>39200</v>
      </c>
      <c r="G205" s="81"/>
      <c r="H205" s="80">
        <v>7253</v>
      </c>
      <c r="I205" s="79">
        <f>H205/F205</f>
        <v>0.18502551020408164</v>
      </c>
    </row>
    <row r="206" spans="1:9" x14ac:dyDescent="0.25">
      <c r="A206" s="76" t="s">
        <v>439</v>
      </c>
      <c r="B206" s="76" t="s">
        <v>446</v>
      </c>
      <c r="C206" s="77">
        <v>41156</v>
      </c>
      <c r="D206" s="78">
        <v>41419</v>
      </c>
      <c r="E206" s="79">
        <v>0.14000000000000001</v>
      </c>
      <c r="F206" s="88"/>
      <c r="G206" s="81">
        <v>8977</v>
      </c>
      <c r="H206" s="80">
        <v>1464</v>
      </c>
      <c r="I206" s="79">
        <f t="shared" ref="I206:I212" si="0">H206/G206</f>
        <v>0.16308343544614012</v>
      </c>
    </row>
    <row r="207" spans="1:9" x14ac:dyDescent="0.25">
      <c r="A207" s="76" t="s">
        <v>558</v>
      </c>
      <c r="B207" s="76" t="s">
        <v>446</v>
      </c>
      <c r="C207" s="77">
        <v>40798</v>
      </c>
      <c r="D207" s="78">
        <v>41152</v>
      </c>
      <c r="E207" s="79">
        <v>0.14000000000000001</v>
      </c>
      <c r="F207" s="88"/>
      <c r="G207" s="81">
        <v>11616</v>
      </c>
      <c r="H207" s="80">
        <v>2124.1999999999998</v>
      </c>
      <c r="I207" s="79">
        <f t="shared" si="0"/>
        <v>0.18286845730027546</v>
      </c>
    </row>
    <row r="208" spans="1:9" x14ac:dyDescent="0.25">
      <c r="A208" s="76" t="s">
        <v>375</v>
      </c>
      <c r="B208" s="76" t="s">
        <v>379</v>
      </c>
      <c r="C208" s="77">
        <v>41099</v>
      </c>
      <c r="D208" s="78">
        <v>41156</v>
      </c>
      <c r="E208" s="79">
        <v>4.4999999999999998E-2</v>
      </c>
      <c r="F208" s="80"/>
      <c r="G208" s="81">
        <v>16975</v>
      </c>
      <c r="H208" s="80">
        <v>11556.5</v>
      </c>
      <c r="I208" s="79">
        <f t="shared" si="0"/>
        <v>0.68079528718703974</v>
      </c>
    </row>
    <row r="209" spans="1:9" x14ac:dyDescent="0.25">
      <c r="A209" s="76" t="s">
        <v>375</v>
      </c>
      <c r="B209" s="76" t="s">
        <v>381</v>
      </c>
      <c r="C209" s="77">
        <v>41136</v>
      </c>
      <c r="D209" s="78">
        <v>41165</v>
      </c>
      <c r="E209" s="79">
        <v>4.4999999999999998E-2</v>
      </c>
      <c r="F209" s="80"/>
      <c r="G209" s="81">
        <v>14530</v>
      </c>
      <c r="H209" s="80">
        <v>6498</v>
      </c>
      <c r="I209" s="79">
        <f t="shared" si="0"/>
        <v>0.44721266345492083</v>
      </c>
    </row>
    <row r="210" spans="1:9" x14ac:dyDescent="0.25">
      <c r="A210" s="76" t="s">
        <v>384</v>
      </c>
      <c r="B210" s="76" t="s">
        <v>388</v>
      </c>
      <c r="C210" s="77">
        <v>41157</v>
      </c>
      <c r="D210" s="78">
        <v>41211</v>
      </c>
      <c r="E210" s="79">
        <v>4.4999999999999998E-2</v>
      </c>
      <c r="F210" s="80"/>
      <c r="G210" s="81">
        <v>6855</v>
      </c>
      <c r="H210" s="80">
        <v>5424</v>
      </c>
      <c r="I210" s="79">
        <f t="shared" si="0"/>
        <v>0.79124726477024065</v>
      </c>
    </row>
    <row r="211" spans="1:9" x14ac:dyDescent="0.25">
      <c r="A211" s="76" t="s">
        <v>384</v>
      </c>
      <c r="B211" s="76" t="s">
        <v>386</v>
      </c>
      <c r="C211" s="77">
        <v>41030</v>
      </c>
      <c r="D211" s="78">
        <v>41187</v>
      </c>
      <c r="E211" s="79">
        <v>4.4999999999999998E-2</v>
      </c>
      <c r="F211" s="80"/>
      <c r="G211" s="81">
        <v>14920</v>
      </c>
      <c r="H211" s="80">
        <v>10066</v>
      </c>
      <c r="I211" s="79">
        <f t="shared" si="0"/>
        <v>0.67466487935656838</v>
      </c>
    </row>
    <row r="212" spans="1:9" x14ac:dyDescent="0.25">
      <c r="A212" s="76" t="s">
        <v>531</v>
      </c>
      <c r="B212" s="76" t="s">
        <v>546</v>
      </c>
      <c r="C212" s="77">
        <v>40909</v>
      </c>
      <c r="D212" s="78">
        <v>41274</v>
      </c>
      <c r="E212" s="79">
        <v>8.9999999999999993E-3</v>
      </c>
      <c r="F212" s="80"/>
      <c r="G212" s="81">
        <v>7015</v>
      </c>
      <c r="H212" s="80">
        <v>-1039</v>
      </c>
      <c r="I212" s="79">
        <f t="shared" si="0"/>
        <v>-0.14811119030648609</v>
      </c>
    </row>
    <row r="213" spans="1:9" x14ac:dyDescent="0.25">
      <c r="A213" s="76" t="s">
        <v>531</v>
      </c>
      <c r="B213" s="76" t="s">
        <v>546</v>
      </c>
      <c r="C213" s="77">
        <v>40909</v>
      </c>
      <c r="D213" s="78">
        <v>41274</v>
      </c>
      <c r="E213" s="79">
        <v>8.9999999999999993E-3</v>
      </c>
      <c r="F213" s="80">
        <v>151291</v>
      </c>
      <c r="G213" s="81"/>
      <c r="H213" s="80">
        <v>-48584</v>
      </c>
      <c r="I213" s="79">
        <f>H213/F213</f>
        <v>-0.32112947895116034</v>
      </c>
    </row>
    <row r="214" spans="1:9" x14ac:dyDescent="0.25">
      <c r="A214" s="70" t="s">
        <v>38</v>
      </c>
      <c r="B214" s="70" t="s">
        <v>42</v>
      </c>
      <c r="C214" s="71">
        <v>40710</v>
      </c>
      <c r="D214" s="72">
        <v>41075</v>
      </c>
      <c r="E214" s="73">
        <v>0.40500000000000003</v>
      </c>
      <c r="F214" s="74"/>
      <c r="G214" s="75">
        <v>95609.42</v>
      </c>
      <c r="H214" s="74">
        <v>43024.23</v>
      </c>
      <c r="I214" s="73">
        <v>0.44999990586701605</v>
      </c>
    </row>
    <row r="215" spans="1:9" ht="28.5" x14ac:dyDescent="0.25">
      <c r="A215" s="70" t="s">
        <v>122</v>
      </c>
      <c r="B215" s="70" t="s">
        <v>65</v>
      </c>
      <c r="C215" s="71">
        <v>40940</v>
      </c>
      <c r="D215" s="72">
        <v>41305</v>
      </c>
      <c r="E215" s="73">
        <v>0.15</v>
      </c>
      <c r="F215" s="74">
        <v>851914</v>
      </c>
      <c r="G215" s="75"/>
      <c r="H215" s="74">
        <v>127787.1</v>
      </c>
      <c r="I215" s="73">
        <v>0.15</v>
      </c>
    </row>
    <row r="216" spans="1:9" ht="28.5" x14ac:dyDescent="0.25">
      <c r="A216" s="70" t="s">
        <v>122</v>
      </c>
      <c r="B216" s="70" t="s">
        <v>65</v>
      </c>
      <c r="C216" s="71">
        <v>40940</v>
      </c>
      <c r="D216" s="72">
        <v>41305</v>
      </c>
      <c r="E216" s="73">
        <v>0.15</v>
      </c>
      <c r="F216" s="74"/>
      <c r="G216" s="75">
        <v>21216</v>
      </c>
      <c r="H216" s="74">
        <v>3182.4</v>
      </c>
      <c r="I216" s="73">
        <v>0.15</v>
      </c>
    </row>
    <row r="217" spans="1:9" ht="28.5" x14ac:dyDescent="0.25">
      <c r="A217" s="76" t="s">
        <v>478</v>
      </c>
      <c r="B217" s="76" t="s">
        <v>65</v>
      </c>
      <c r="C217" s="77">
        <v>40787</v>
      </c>
      <c r="D217" s="78">
        <v>41152</v>
      </c>
      <c r="E217" s="79">
        <v>0.13500000000000001</v>
      </c>
      <c r="F217" s="80">
        <v>2329672.44</v>
      </c>
      <c r="G217" s="81"/>
      <c r="H217" s="80">
        <v>349450.87</v>
      </c>
      <c r="I217" s="79">
        <f>H217/F217</f>
        <v>0.15000000171697958</v>
      </c>
    </row>
    <row r="218" spans="1:9" x14ac:dyDescent="0.25">
      <c r="A218" s="70" t="s">
        <v>38</v>
      </c>
      <c r="B218" s="70" t="s">
        <v>45</v>
      </c>
      <c r="C218" s="71">
        <v>40787</v>
      </c>
      <c r="D218" s="72">
        <v>41152</v>
      </c>
      <c r="E218" s="73">
        <v>0.45</v>
      </c>
      <c r="F218" s="74"/>
      <c r="G218" s="75">
        <v>812907.87</v>
      </c>
      <c r="H218" s="74">
        <v>365808.52</v>
      </c>
      <c r="I218" s="73">
        <v>0.44999997355173843</v>
      </c>
    </row>
    <row r="219" spans="1:9" x14ac:dyDescent="0.25">
      <c r="A219" s="76" t="s">
        <v>390</v>
      </c>
      <c r="B219" s="76" t="s">
        <v>45</v>
      </c>
      <c r="C219" s="77">
        <v>40974</v>
      </c>
      <c r="D219" s="78">
        <v>41338</v>
      </c>
      <c r="E219" s="79">
        <v>0.13500000000000001</v>
      </c>
      <c r="F219" s="80">
        <v>1486210.94</v>
      </c>
      <c r="G219" s="81"/>
      <c r="H219" s="80">
        <v>220075.05</v>
      </c>
      <c r="I219" s="79">
        <f>H219/F219</f>
        <v>0.14807793703900471</v>
      </c>
    </row>
    <row r="220" spans="1:9" x14ac:dyDescent="0.25">
      <c r="A220" s="76" t="s">
        <v>390</v>
      </c>
      <c r="B220" s="76" t="s">
        <v>45</v>
      </c>
      <c r="C220" s="77">
        <v>40974</v>
      </c>
      <c r="D220" s="78">
        <v>41338</v>
      </c>
      <c r="E220" s="79">
        <v>0.13500000000000001</v>
      </c>
      <c r="F220" s="80"/>
      <c r="G220" s="81">
        <v>120828.95</v>
      </c>
      <c r="H220" s="80">
        <v>17892.099999999999</v>
      </c>
      <c r="I220" s="79">
        <f>H220/G220</f>
        <v>0.14807792337846185</v>
      </c>
    </row>
    <row r="221" spans="1:9" x14ac:dyDescent="0.25">
      <c r="A221" s="70" t="s">
        <v>66</v>
      </c>
      <c r="B221" s="70" t="s">
        <v>69</v>
      </c>
      <c r="C221" s="71">
        <v>40804</v>
      </c>
      <c r="D221" s="72">
        <v>41169</v>
      </c>
      <c r="E221" s="73">
        <v>0.09</v>
      </c>
      <c r="F221" s="74">
        <v>42324.33</v>
      </c>
      <c r="G221" s="75"/>
      <c r="H221" s="74">
        <v>4232.43</v>
      </c>
      <c r="I221" s="73">
        <v>9.9999929118783457E-2</v>
      </c>
    </row>
    <row r="222" spans="1:9" x14ac:dyDescent="0.25">
      <c r="A222" s="76" t="s">
        <v>504</v>
      </c>
      <c r="B222" s="76" t="s">
        <v>69</v>
      </c>
      <c r="C222" s="77">
        <v>40804</v>
      </c>
      <c r="D222" s="78">
        <v>41169</v>
      </c>
      <c r="E222" s="79">
        <v>0.09</v>
      </c>
      <c r="F222" s="80"/>
      <c r="G222" s="81">
        <v>29008</v>
      </c>
      <c r="H222" s="80">
        <v>2900.8</v>
      </c>
      <c r="I222" s="79">
        <f>H222/G222</f>
        <v>0.1</v>
      </c>
    </row>
    <row r="223" spans="1:9" x14ac:dyDescent="0.25">
      <c r="A223" s="76" t="s">
        <v>512</v>
      </c>
      <c r="B223" s="76" t="s">
        <v>69</v>
      </c>
      <c r="C223" s="77">
        <v>41170</v>
      </c>
      <c r="D223" s="78">
        <v>41534</v>
      </c>
      <c r="E223" s="79">
        <v>0.09</v>
      </c>
      <c r="F223" s="80"/>
      <c r="G223" s="81">
        <v>45671</v>
      </c>
      <c r="H223" s="80">
        <v>4567.1000000000004</v>
      </c>
      <c r="I223" s="79">
        <f>H223/G223</f>
        <v>0.1</v>
      </c>
    </row>
    <row r="224" spans="1:9" x14ac:dyDescent="0.25">
      <c r="A224" s="76" t="s">
        <v>555</v>
      </c>
      <c r="B224" s="76" t="s">
        <v>69</v>
      </c>
      <c r="C224" s="77">
        <v>40804</v>
      </c>
      <c r="D224" s="78">
        <v>41169</v>
      </c>
      <c r="E224" s="79">
        <v>0.09</v>
      </c>
      <c r="F224" s="80">
        <v>47735.97</v>
      </c>
      <c r="G224" s="81"/>
      <c r="H224" s="80">
        <v>4773.6000000000004</v>
      </c>
      <c r="I224" s="79">
        <f>H224/F224</f>
        <v>0.10000006284569059</v>
      </c>
    </row>
    <row r="225" spans="1:9" x14ac:dyDescent="0.25">
      <c r="A225" s="76" t="s">
        <v>555</v>
      </c>
      <c r="B225" s="76" t="s">
        <v>69</v>
      </c>
      <c r="C225" s="77">
        <v>41170</v>
      </c>
      <c r="D225" s="78">
        <v>41534</v>
      </c>
      <c r="E225" s="79">
        <v>0.09</v>
      </c>
      <c r="F225" s="80">
        <v>14907</v>
      </c>
      <c r="G225" s="88"/>
      <c r="H225" s="80">
        <v>1490.7</v>
      </c>
      <c r="I225" s="79">
        <f>H225/F225</f>
        <v>0.1</v>
      </c>
    </row>
    <row r="226" spans="1:9" x14ac:dyDescent="0.25">
      <c r="A226" s="76" t="s">
        <v>289</v>
      </c>
      <c r="B226" s="76" t="s">
        <v>299</v>
      </c>
      <c r="C226" s="77">
        <v>40892</v>
      </c>
      <c r="D226" s="78">
        <v>41014</v>
      </c>
      <c r="E226" s="79">
        <v>0.13</v>
      </c>
      <c r="F226" s="79"/>
      <c r="G226" s="81">
        <v>12090</v>
      </c>
      <c r="H226" s="80">
        <v>1590.7</v>
      </c>
      <c r="I226" s="79">
        <f>H226/G226</f>
        <v>0.13157154673283705</v>
      </c>
    </row>
    <row r="227" spans="1:9" x14ac:dyDescent="0.25">
      <c r="A227" s="76" t="s">
        <v>289</v>
      </c>
      <c r="B227" s="76" t="s">
        <v>299</v>
      </c>
      <c r="C227" s="77">
        <v>41080</v>
      </c>
      <c r="D227" s="78">
        <v>41190</v>
      </c>
      <c r="E227" s="79">
        <v>0.13</v>
      </c>
      <c r="F227" s="88"/>
      <c r="G227" s="81">
        <v>11186</v>
      </c>
      <c r="H227" s="80">
        <v>1497.18</v>
      </c>
      <c r="I227" s="79">
        <f>H227/G227</f>
        <v>0.13384409082782051</v>
      </c>
    </row>
    <row r="228" spans="1:9" x14ac:dyDescent="0.25">
      <c r="A228" s="76" t="s">
        <v>289</v>
      </c>
      <c r="B228" s="76" t="s">
        <v>299</v>
      </c>
      <c r="C228" s="77">
        <v>41214</v>
      </c>
      <c r="D228" s="78">
        <v>41341</v>
      </c>
      <c r="E228" s="79">
        <v>0.13</v>
      </c>
      <c r="F228" s="88"/>
      <c r="G228" s="81">
        <v>10654</v>
      </c>
      <c r="H228" s="80">
        <v>1393.52</v>
      </c>
      <c r="I228" s="79">
        <f>H228/G228</f>
        <v>0.13079782241411675</v>
      </c>
    </row>
    <row r="229" spans="1:9" x14ac:dyDescent="0.25">
      <c r="A229" s="76" t="s">
        <v>249</v>
      </c>
      <c r="B229" s="76" t="s">
        <v>260</v>
      </c>
      <c r="C229" s="77">
        <v>41022</v>
      </c>
      <c r="D229" s="78">
        <v>41243</v>
      </c>
      <c r="E229" s="79">
        <v>0</v>
      </c>
      <c r="F229" s="80">
        <v>30631</v>
      </c>
      <c r="G229" s="81"/>
      <c r="H229" s="80">
        <v>-56333.85</v>
      </c>
      <c r="I229" s="79">
        <f>H229/F229</f>
        <v>-1.8391123371747575</v>
      </c>
    </row>
    <row r="230" spans="1:9" ht="28.5" x14ac:dyDescent="0.25">
      <c r="A230" s="70" t="s">
        <v>122</v>
      </c>
      <c r="B230" s="70" t="s">
        <v>123</v>
      </c>
      <c r="C230" s="71">
        <v>40603</v>
      </c>
      <c r="D230" s="72">
        <v>40939</v>
      </c>
      <c r="E230" s="73">
        <v>0.15</v>
      </c>
      <c r="F230" s="74">
        <v>808864</v>
      </c>
      <c r="G230" s="75"/>
      <c r="H230" s="74">
        <v>121329.60000000001</v>
      </c>
      <c r="I230" s="73">
        <v>0.15</v>
      </c>
    </row>
    <row r="231" spans="1:9" ht="28.5" x14ac:dyDescent="0.25">
      <c r="A231" s="76" t="s">
        <v>478</v>
      </c>
      <c r="B231" s="76" t="s">
        <v>123</v>
      </c>
      <c r="C231" s="77">
        <v>41153</v>
      </c>
      <c r="D231" s="78">
        <v>41274</v>
      </c>
      <c r="E231" s="79">
        <v>0.15</v>
      </c>
      <c r="F231" s="80">
        <v>660198.26</v>
      </c>
      <c r="G231" s="81"/>
      <c r="H231" s="80">
        <v>99029.74</v>
      </c>
      <c r="I231" s="79">
        <f>H231/F231</f>
        <v>0.1500000015146965</v>
      </c>
    </row>
    <row r="232" spans="1:9" x14ac:dyDescent="0.25">
      <c r="A232" s="83" t="s">
        <v>38</v>
      </c>
      <c r="B232" s="83" t="s">
        <v>43</v>
      </c>
      <c r="C232" s="84">
        <v>40725</v>
      </c>
      <c r="D232" s="85">
        <v>41091</v>
      </c>
      <c r="E232" s="86">
        <v>0.18</v>
      </c>
      <c r="F232" s="74"/>
      <c r="G232" s="75">
        <v>132743.94</v>
      </c>
      <c r="H232" s="74">
        <v>26326.54</v>
      </c>
      <c r="I232" s="73">
        <v>0.19832573901302011</v>
      </c>
    </row>
    <row r="233" spans="1:9" x14ac:dyDescent="0.25">
      <c r="A233" s="70" t="s">
        <v>38</v>
      </c>
      <c r="B233" s="70" t="s">
        <v>43</v>
      </c>
      <c r="C233" s="71">
        <v>41092</v>
      </c>
      <c r="D233" s="72">
        <v>41152</v>
      </c>
      <c r="E233" s="73">
        <v>0.18</v>
      </c>
      <c r="F233" s="74"/>
      <c r="G233" s="75">
        <v>29614</v>
      </c>
      <c r="H233" s="74">
        <v>4442.1000000000004</v>
      </c>
      <c r="I233" s="73">
        <v>0.15000000000000002</v>
      </c>
    </row>
    <row r="234" spans="1:9" x14ac:dyDescent="0.25">
      <c r="A234" s="70" t="s">
        <v>60</v>
      </c>
      <c r="B234" s="70" t="s">
        <v>43</v>
      </c>
      <c r="C234" s="71">
        <v>40732</v>
      </c>
      <c r="D234" s="72">
        <v>41097</v>
      </c>
      <c r="E234" s="73">
        <v>0.09</v>
      </c>
      <c r="F234" s="74">
        <v>185777.2</v>
      </c>
      <c r="G234" s="75"/>
      <c r="H234" s="74">
        <v>27115.279999999999</v>
      </c>
      <c r="I234" s="73">
        <v>0.14595590847531342</v>
      </c>
    </row>
    <row r="235" spans="1:9" x14ac:dyDescent="0.25">
      <c r="A235" s="70" t="s">
        <v>60</v>
      </c>
      <c r="B235" s="70" t="s">
        <v>43</v>
      </c>
      <c r="C235" s="71">
        <v>40732</v>
      </c>
      <c r="D235" s="72">
        <v>41097</v>
      </c>
      <c r="E235" s="73">
        <v>0.09</v>
      </c>
      <c r="F235" s="74"/>
      <c r="G235" s="75">
        <v>10736</v>
      </c>
      <c r="H235" s="74">
        <v>1566.93</v>
      </c>
      <c r="I235" s="73">
        <v>0.14595100596125188</v>
      </c>
    </row>
    <row r="236" spans="1:9" x14ac:dyDescent="0.25">
      <c r="A236" s="70" t="s">
        <v>118</v>
      </c>
      <c r="B236" s="70" t="s">
        <v>43</v>
      </c>
      <c r="C236" s="71">
        <v>40736</v>
      </c>
      <c r="D236" s="72">
        <v>41101</v>
      </c>
      <c r="E236" s="73">
        <v>0.17</v>
      </c>
      <c r="F236" s="74">
        <v>432564.07</v>
      </c>
      <c r="G236" s="75"/>
      <c r="H236" s="74">
        <v>38166.51</v>
      </c>
      <c r="I236" s="73">
        <v>8.8233195142629395E-2</v>
      </c>
    </row>
    <row r="237" spans="1:9" x14ac:dyDescent="0.25">
      <c r="A237" s="70" t="s">
        <v>118</v>
      </c>
      <c r="B237" s="70" t="s">
        <v>43</v>
      </c>
      <c r="C237" s="71">
        <v>40736</v>
      </c>
      <c r="D237" s="72">
        <v>41101</v>
      </c>
      <c r="E237" s="73">
        <v>0.17</v>
      </c>
      <c r="F237" s="74"/>
      <c r="G237" s="75">
        <v>84648.22</v>
      </c>
      <c r="H237" s="74">
        <v>4308.91</v>
      </c>
      <c r="I237" s="73">
        <v>5.0000000000000001E-4</v>
      </c>
    </row>
    <row r="238" spans="1:9" x14ac:dyDescent="0.25">
      <c r="A238" s="76" t="s">
        <v>367</v>
      </c>
      <c r="B238" s="76" t="s">
        <v>43</v>
      </c>
      <c r="C238" s="77">
        <v>40801</v>
      </c>
      <c r="D238" s="78">
        <v>41166</v>
      </c>
      <c r="E238" s="79">
        <v>0.14000000000000001</v>
      </c>
      <c r="F238" s="80">
        <v>32162.560000000001</v>
      </c>
      <c r="G238" s="81"/>
      <c r="H238" s="80">
        <v>4502.76</v>
      </c>
      <c r="I238" s="79">
        <f>H238/F238</f>
        <v>0.14000004974728381</v>
      </c>
    </row>
    <row r="239" spans="1:9" x14ac:dyDescent="0.25">
      <c r="A239" s="76" t="s">
        <v>367</v>
      </c>
      <c r="B239" s="76" t="s">
        <v>43</v>
      </c>
      <c r="C239" s="77">
        <v>41167</v>
      </c>
      <c r="D239" s="78">
        <v>41531</v>
      </c>
      <c r="E239" s="79">
        <v>0.14000000000000001</v>
      </c>
      <c r="F239" s="80">
        <v>24732</v>
      </c>
      <c r="G239" s="81"/>
      <c r="H239" s="80">
        <v>3462.48</v>
      </c>
      <c r="I239" s="79">
        <f>H239/F239</f>
        <v>0.14000000000000001</v>
      </c>
    </row>
    <row r="240" spans="1:9" x14ac:dyDescent="0.25">
      <c r="A240" s="76" t="s">
        <v>512</v>
      </c>
      <c r="B240" s="76" t="s">
        <v>43</v>
      </c>
      <c r="C240" s="77">
        <v>40743</v>
      </c>
      <c r="D240" s="78">
        <v>41108</v>
      </c>
      <c r="E240" s="79">
        <v>0.09</v>
      </c>
      <c r="F240" s="80"/>
      <c r="G240" s="81">
        <v>11768</v>
      </c>
      <c r="H240" s="80">
        <v>1294.48</v>
      </c>
      <c r="I240" s="79">
        <f>H240/G240</f>
        <v>0.11</v>
      </c>
    </row>
    <row r="241" spans="1:9" x14ac:dyDescent="0.25">
      <c r="A241" s="76" t="s">
        <v>390</v>
      </c>
      <c r="B241" s="76" t="s">
        <v>391</v>
      </c>
      <c r="C241" s="77">
        <v>40854</v>
      </c>
      <c r="D241" s="78">
        <v>41219</v>
      </c>
      <c r="E241" s="79">
        <v>0.09</v>
      </c>
      <c r="F241" s="80">
        <v>434437.17</v>
      </c>
      <c r="G241" s="81"/>
      <c r="H241" s="80">
        <v>42897.34</v>
      </c>
      <c r="I241" s="79">
        <f>H241/F241</f>
        <v>9.8742333672784025E-2</v>
      </c>
    </row>
    <row r="242" spans="1:9" x14ac:dyDescent="0.25">
      <c r="A242" s="76" t="s">
        <v>390</v>
      </c>
      <c r="B242" s="76" t="s">
        <v>391</v>
      </c>
      <c r="C242" s="77">
        <v>40854</v>
      </c>
      <c r="D242" s="78">
        <v>41219</v>
      </c>
      <c r="E242" s="79">
        <v>0.09</v>
      </c>
      <c r="F242" s="80"/>
      <c r="G242" s="81">
        <v>10296.16</v>
      </c>
      <c r="H242" s="80">
        <v>1016.67</v>
      </c>
      <c r="I242" s="79">
        <f>H242/G242</f>
        <v>9.8742638032043015E-2</v>
      </c>
    </row>
    <row r="243" spans="1:9" x14ac:dyDescent="0.25">
      <c r="A243" s="76" t="s">
        <v>478</v>
      </c>
      <c r="B243" s="76" t="s">
        <v>391</v>
      </c>
      <c r="C243" s="77">
        <v>40909</v>
      </c>
      <c r="D243" s="78">
        <v>41274</v>
      </c>
      <c r="E243" s="79">
        <v>0.1</v>
      </c>
      <c r="F243" s="80">
        <v>924123.82</v>
      </c>
      <c r="G243" s="81"/>
      <c r="H243" s="80">
        <v>92412.39</v>
      </c>
      <c r="I243" s="79">
        <f>H243/F243</f>
        <v>0.1000000086568486</v>
      </c>
    </row>
    <row r="244" spans="1:9" x14ac:dyDescent="0.25">
      <c r="A244" s="76" t="s">
        <v>216</v>
      </c>
      <c r="B244" s="76" t="s">
        <v>219</v>
      </c>
      <c r="C244" s="77">
        <v>41085</v>
      </c>
      <c r="D244" s="78">
        <v>41271</v>
      </c>
      <c r="E244" s="79">
        <v>0.2</v>
      </c>
      <c r="F244" s="80">
        <v>90458.82</v>
      </c>
      <c r="G244" s="88"/>
      <c r="H244" s="80">
        <v>31655.79</v>
      </c>
      <c r="I244" s="79">
        <f>H244/F244</f>
        <v>0.34994697034518024</v>
      </c>
    </row>
    <row r="245" spans="1:9" x14ac:dyDescent="0.25">
      <c r="A245" s="76" t="s">
        <v>384</v>
      </c>
      <c r="B245" s="76" t="s">
        <v>385</v>
      </c>
      <c r="C245" s="77">
        <v>40975</v>
      </c>
      <c r="D245" s="78">
        <v>40988</v>
      </c>
      <c r="E245" s="79">
        <v>4.4999999999999998E-2</v>
      </c>
      <c r="F245" s="80"/>
      <c r="G245" s="81">
        <v>18310.52</v>
      </c>
      <c r="H245" s="80">
        <v>16560.52</v>
      </c>
      <c r="I245" s="79">
        <f>H245/G245</f>
        <v>0.90442652639029364</v>
      </c>
    </row>
    <row r="246" spans="1:9" ht="28.5" x14ac:dyDescent="0.25">
      <c r="A246" s="76" t="s">
        <v>643</v>
      </c>
      <c r="B246" s="76" t="s">
        <v>654</v>
      </c>
      <c r="C246" s="77">
        <v>40863</v>
      </c>
      <c r="D246" s="78">
        <v>41231</v>
      </c>
      <c r="E246" s="79">
        <v>4.4999999999999997E-3</v>
      </c>
      <c r="F246" s="80"/>
      <c r="G246" s="81">
        <v>2966.03</v>
      </c>
      <c r="H246" s="80">
        <v>849.33</v>
      </c>
      <c r="I246" s="79">
        <f>H246/G246</f>
        <v>0.2863524644052825</v>
      </c>
    </row>
    <row r="247" spans="1:9" ht="28.5" x14ac:dyDescent="0.25">
      <c r="A247" s="76" t="s">
        <v>643</v>
      </c>
      <c r="B247" s="76" t="s">
        <v>654</v>
      </c>
      <c r="C247" s="77">
        <v>40863</v>
      </c>
      <c r="D247" s="78">
        <v>41231</v>
      </c>
      <c r="E247" s="79">
        <v>4.4999999999999997E-3</v>
      </c>
      <c r="F247" s="80">
        <v>63206.04</v>
      </c>
      <c r="G247" s="81"/>
      <c r="H247" s="80">
        <v>-1641.06</v>
      </c>
      <c r="I247" s="79">
        <f>H247/F247</f>
        <v>-2.5963657903580101E-2</v>
      </c>
    </row>
    <row r="248" spans="1:9" x14ac:dyDescent="0.25">
      <c r="A248" s="76" t="s">
        <v>790</v>
      </c>
      <c r="B248" s="76" t="s">
        <v>1722</v>
      </c>
      <c r="C248" s="77">
        <v>40787</v>
      </c>
      <c r="D248" s="78">
        <v>41152</v>
      </c>
      <c r="E248" s="79">
        <v>0.16</v>
      </c>
      <c r="F248" s="80">
        <v>20880.04</v>
      </c>
      <c r="G248" s="81"/>
      <c r="H248" s="80">
        <v>3340.81</v>
      </c>
      <c r="I248" s="73">
        <f>H248/F248</f>
        <v>0.16000017241346279</v>
      </c>
    </row>
    <row r="249" spans="1:9" x14ac:dyDescent="0.25">
      <c r="A249" s="76" t="s">
        <v>790</v>
      </c>
      <c r="B249" s="76" t="s">
        <v>1722</v>
      </c>
      <c r="C249" s="77">
        <v>40787</v>
      </c>
      <c r="D249" s="78">
        <v>41152</v>
      </c>
      <c r="E249" s="79">
        <v>0.16</v>
      </c>
      <c r="F249" s="80"/>
      <c r="G249" s="81">
        <v>3344</v>
      </c>
      <c r="H249" s="80">
        <v>535.04</v>
      </c>
      <c r="I249" s="73">
        <f>H249/G249</f>
        <v>0.15999999999999998</v>
      </c>
    </row>
    <row r="250" spans="1:9" x14ac:dyDescent="0.25">
      <c r="A250" s="76" t="s">
        <v>478</v>
      </c>
      <c r="B250" s="76" t="s">
        <v>480</v>
      </c>
      <c r="C250" s="77">
        <v>40909</v>
      </c>
      <c r="D250" s="78">
        <v>41274</v>
      </c>
      <c r="E250" s="79">
        <v>0.1</v>
      </c>
      <c r="F250" s="80">
        <v>318679.96999999997</v>
      </c>
      <c r="G250" s="81"/>
      <c r="H250" s="80">
        <v>31868</v>
      </c>
      <c r="I250" s="79">
        <f>H250/F250</f>
        <v>0.10000000941383295</v>
      </c>
    </row>
    <row r="251" spans="1:9" x14ac:dyDescent="0.25">
      <c r="A251" s="76" t="s">
        <v>594</v>
      </c>
      <c r="B251" s="76" t="s">
        <v>608</v>
      </c>
      <c r="C251" s="77">
        <v>41043</v>
      </c>
      <c r="D251" s="78">
        <v>41274</v>
      </c>
      <c r="E251" s="79">
        <v>0.45900000000000002</v>
      </c>
      <c r="F251" s="80">
        <v>280377</v>
      </c>
      <c r="G251" s="81"/>
      <c r="H251" s="80">
        <v>214147.54</v>
      </c>
      <c r="I251" s="79">
        <f>H251/F251</f>
        <v>0.76378426190450721</v>
      </c>
    </row>
    <row r="252" spans="1:9" x14ac:dyDescent="0.25">
      <c r="A252" s="76" t="s">
        <v>594</v>
      </c>
      <c r="B252" s="76" t="s">
        <v>608</v>
      </c>
      <c r="C252" s="77">
        <v>41043</v>
      </c>
      <c r="D252" s="78">
        <v>41274</v>
      </c>
      <c r="E252" s="79">
        <v>0.45900000000000002</v>
      </c>
      <c r="F252" s="80"/>
      <c r="G252" s="81">
        <v>280072</v>
      </c>
      <c r="H252" s="80">
        <v>213842.54</v>
      </c>
      <c r="I252" s="79">
        <f>H252/G252</f>
        <v>0.76352702162301123</v>
      </c>
    </row>
    <row r="253" spans="1:9" x14ac:dyDescent="0.25">
      <c r="A253" s="76" t="s">
        <v>249</v>
      </c>
      <c r="B253" s="76" t="s">
        <v>254</v>
      </c>
      <c r="C253" s="77">
        <v>40700</v>
      </c>
      <c r="D253" s="78">
        <v>40939</v>
      </c>
      <c r="E253" s="79">
        <v>0</v>
      </c>
      <c r="F253" s="80">
        <v>350803.5</v>
      </c>
      <c r="G253" s="81"/>
      <c r="H253" s="80">
        <v>-71013.69</v>
      </c>
      <c r="I253" s="79">
        <f>H253/F253</f>
        <v>-0.20243153218254664</v>
      </c>
    </row>
    <row r="254" spans="1:9" x14ac:dyDescent="0.25">
      <c r="A254" s="76" t="s">
        <v>249</v>
      </c>
      <c r="B254" s="76" t="s">
        <v>254</v>
      </c>
      <c r="C254" s="77">
        <v>40700</v>
      </c>
      <c r="D254" s="77">
        <v>40939</v>
      </c>
      <c r="E254" s="79">
        <v>0</v>
      </c>
      <c r="F254" s="80">
        <v>350803.5</v>
      </c>
      <c r="G254" s="88"/>
      <c r="H254" s="80">
        <v>-71013.69</v>
      </c>
      <c r="I254" s="79">
        <v>0</v>
      </c>
    </row>
    <row r="255" spans="1:9" x14ac:dyDescent="0.25">
      <c r="A255" s="76" t="s">
        <v>449</v>
      </c>
      <c r="B255" s="76" t="s">
        <v>457</v>
      </c>
      <c r="C255" s="77">
        <v>40756</v>
      </c>
      <c r="D255" s="78">
        <v>41121</v>
      </c>
      <c r="E255" s="79">
        <v>0</v>
      </c>
      <c r="F255" s="80">
        <v>491460</v>
      </c>
      <c r="G255" s="81"/>
      <c r="H255" s="80">
        <v>191763</v>
      </c>
      <c r="I255" s="79">
        <f>H255/F255</f>
        <v>0.39019045293614946</v>
      </c>
    </row>
    <row r="256" spans="1:9" x14ac:dyDescent="0.25">
      <c r="A256" s="76" t="s">
        <v>449</v>
      </c>
      <c r="B256" s="76" t="s">
        <v>457</v>
      </c>
      <c r="C256" s="77">
        <v>41122</v>
      </c>
      <c r="D256" s="78">
        <v>41182</v>
      </c>
      <c r="E256" s="79">
        <v>0</v>
      </c>
      <c r="F256" s="80">
        <v>253643</v>
      </c>
      <c r="G256" s="81"/>
      <c r="H256" s="80">
        <v>87168</v>
      </c>
      <c r="I256" s="79">
        <f>H256/F256</f>
        <v>0.34366412635081589</v>
      </c>
    </row>
    <row r="257" spans="1:9" x14ac:dyDescent="0.25">
      <c r="A257" s="76" t="s">
        <v>449</v>
      </c>
      <c r="B257" s="76" t="s">
        <v>476</v>
      </c>
      <c r="C257" s="77">
        <v>41221</v>
      </c>
      <c r="D257" s="78">
        <v>41547</v>
      </c>
      <c r="E257" s="79">
        <v>0</v>
      </c>
      <c r="F257" s="80">
        <v>753838</v>
      </c>
      <c r="G257" s="88"/>
      <c r="H257" s="80">
        <v>294051</v>
      </c>
      <c r="I257" s="79">
        <f>H257/F257</f>
        <v>0.39007187220596468</v>
      </c>
    </row>
    <row r="258" spans="1:9" x14ac:dyDescent="0.25">
      <c r="A258" s="70" t="s">
        <v>146</v>
      </c>
      <c r="B258" s="70" t="s">
        <v>170</v>
      </c>
      <c r="C258" s="71">
        <v>41026</v>
      </c>
      <c r="D258" s="72">
        <v>41333</v>
      </c>
      <c r="E258" s="101">
        <v>4.4999999999999999E-4</v>
      </c>
      <c r="F258" s="74">
        <v>0</v>
      </c>
      <c r="G258" s="75"/>
      <c r="H258" s="74">
        <v>0</v>
      </c>
      <c r="I258" s="73">
        <v>0</v>
      </c>
    </row>
    <row r="259" spans="1:9" x14ac:dyDescent="0.25">
      <c r="A259" s="70" t="s">
        <v>119</v>
      </c>
      <c r="B259" s="70" t="s">
        <v>120</v>
      </c>
      <c r="C259" s="94">
        <v>40829</v>
      </c>
      <c r="D259" s="72">
        <v>41194</v>
      </c>
      <c r="E259" s="73">
        <v>0.09</v>
      </c>
      <c r="F259" s="74">
        <v>202218.1</v>
      </c>
      <c r="G259" s="75"/>
      <c r="H259" s="74">
        <v>20221.810000000001</v>
      </c>
      <c r="I259" s="73">
        <v>0.1</v>
      </c>
    </row>
    <row r="260" spans="1:9" x14ac:dyDescent="0.25">
      <c r="A260" s="76" t="s">
        <v>504</v>
      </c>
      <c r="B260" s="76" t="s">
        <v>120</v>
      </c>
      <c r="C260" s="77">
        <v>40681</v>
      </c>
      <c r="D260" s="78">
        <v>41046</v>
      </c>
      <c r="E260" s="79">
        <v>0.09</v>
      </c>
      <c r="F260" s="80">
        <v>816701.21</v>
      </c>
      <c r="G260" s="81"/>
      <c r="H260" s="80">
        <v>81670.12</v>
      </c>
      <c r="I260" s="79">
        <f>H260/F260</f>
        <v>9.9999998775561996E-2</v>
      </c>
    </row>
    <row r="261" spans="1:9" x14ac:dyDescent="0.25">
      <c r="A261" s="76" t="s">
        <v>512</v>
      </c>
      <c r="B261" s="76" t="s">
        <v>120</v>
      </c>
      <c r="C261" s="77">
        <v>41047</v>
      </c>
      <c r="D261" s="78">
        <v>41411</v>
      </c>
      <c r="E261" s="79">
        <v>8.9999999999999998E-4</v>
      </c>
      <c r="F261" s="80">
        <v>1519018.88</v>
      </c>
      <c r="G261" s="81"/>
      <c r="H261" s="80">
        <v>151901.89000000001</v>
      </c>
      <c r="I261" s="79">
        <f>H261/F261</f>
        <v>0.10000000131663934</v>
      </c>
    </row>
    <row r="262" spans="1:9" x14ac:dyDescent="0.25">
      <c r="A262" s="76" t="s">
        <v>512</v>
      </c>
      <c r="B262" s="76" t="s">
        <v>120</v>
      </c>
      <c r="C262" s="77">
        <v>41047</v>
      </c>
      <c r="D262" s="78">
        <v>41411</v>
      </c>
      <c r="E262" s="79">
        <v>8.9999999999999998E-4</v>
      </c>
      <c r="F262" s="80"/>
      <c r="G262" s="81">
        <v>19255.66</v>
      </c>
      <c r="H262" s="80">
        <v>1925.57</v>
      </c>
      <c r="I262" s="79">
        <f>H262/G262</f>
        <v>0.10000020773112944</v>
      </c>
    </row>
    <row r="263" spans="1:9" x14ac:dyDescent="0.25">
      <c r="A263" s="76" t="s">
        <v>555</v>
      </c>
      <c r="B263" s="76" t="s">
        <v>120</v>
      </c>
      <c r="C263" s="112">
        <v>40681</v>
      </c>
      <c r="D263" s="78">
        <v>41046</v>
      </c>
      <c r="E263" s="79">
        <v>0.09</v>
      </c>
      <c r="F263" s="80">
        <v>0</v>
      </c>
      <c r="G263" s="81"/>
      <c r="H263" s="80">
        <v>0</v>
      </c>
      <c r="I263" s="79">
        <v>0</v>
      </c>
    </row>
    <row r="264" spans="1:9" x14ac:dyDescent="0.25">
      <c r="A264" s="76" t="s">
        <v>531</v>
      </c>
      <c r="B264" s="76" t="s">
        <v>537</v>
      </c>
      <c r="C264" s="77">
        <v>40756</v>
      </c>
      <c r="D264" s="78">
        <v>41121</v>
      </c>
      <c r="E264" s="79">
        <v>8.9999999999999993E-3</v>
      </c>
      <c r="F264" s="80"/>
      <c r="G264" s="81">
        <v>437</v>
      </c>
      <c r="H264" s="80">
        <v>77</v>
      </c>
      <c r="I264" s="79">
        <f>H264/G264</f>
        <v>0.17620137299771166</v>
      </c>
    </row>
    <row r="265" spans="1:9" x14ac:dyDescent="0.25">
      <c r="A265" s="76" t="s">
        <v>531</v>
      </c>
      <c r="B265" s="76" t="s">
        <v>537</v>
      </c>
      <c r="C265" s="77">
        <v>40756</v>
      </c>
      <c r="D265" s="78">
        <v>41121</v>
      </c>
      <c r="E265" s="79">
        <v>8.9999999999999993E-3</v>
      </c>
      <c r="F265" s="80">
        <v>14289</v>
      </c>
      <c r="G265" s="81"/>
      <c r="H265" s="80">
        <v>-2822</v>
      </c>
      <c r="I265" s="79">
        <f>H265/F265</f>
        <v>-0.19749457624746308</v>
      </c>
    </row>
    <row r="266" spans="1:9" x14ac:dyDescent="0.25">
      <c r="A266" s="76" t="s">
        <v>531</v>
      </c>
      <c r="B266" s="76" t="s">
        <v>544</v>
      </c>
      <c r="C266" s="77">
        <v>40862</v>
      </c>
      <c r="D266" s="78">
        <v>41213</v>
      </c>
      <c r="E266" s="79">
        <v>8.9999999999999993E-3</v>
      </c>
      <c r="F266" s="80"/>
      <c r="G266" s="81">
        <v>395</v>
      </c>
      <c r="H266" s="80">
        <v>191</v>
      </c>
      <c r="I266" s="79">
        <f>H266/G266</f>
        <v>0.48354430379746838</v>
      </c>
    </row>
    <row r="267" spans="1:9" x14ac:dyDescent="0.25">
      <c r="A267" s="76" t="s">
        <v>531</v>
      </c>
      <c r="B267" s="76" t="s">
        <v>544</v>
      </c>
      <c r="C267" s="77">
        <v>40862</v>
      </c>
      <c r="D267" s="78">
        <v>41213</v>
      </c>
      <c r="E267" s="79">
        <v>8.9999999999999993E-3</v>
      </c>
      <c r="F267" s="80">
        <v>13668</v>
      </c>
      <c r="G267" s="81"/>
      <c r="H267" s="80">
        <v>-2453</v>
      </c>
      <c r="I267" s="79">
        <f>H267/F267</f>
        <v>-0.17947029558091893</v>
      </c>
    </row>
    <row r="268" spans="1:9" x14ac:dyDescent="0.25">
      <c r="A268" s="70" t="s">
        <v>87</v>
      </c>
      <c r="B268" s="70" t="s">
        <v>92</v>
      </c>
      <c r="C268" s="71">
        <v>40785</v>
      </c>
      <c r="D268" s="72">
        <v>41150</v>
      </c>
      <c r="E268" s="73">
        <v>0.92500000000000004</v>
      </c>
      <c r="F268" s="74">
        <v>23297.95</v>
      </c>
      <c r="G268" s="75"/>
      <c r="H268" s="74">
        <v>21550.6</v>
      </c>
      <c r="I268" s="73">
        <v>0.9249998390416323</v>
      </c>
    </row>
    <row r="269" spans="1:9" x14ac:dyDescent="0.25">
      <c r="A269" s="70" t="s">
        <v>87</v>
      </c>
      <c r="B269" s="70" t="s">
        <v>92</v>
      </c>
      <c r="C269" s="71">
        <v>40785</v>
      </c>
      <c r="D269" s="72">
        <v>41150</v>
      </c>
      <c r="E269" s="73">
        <v>0.92500000000000004</v>
      </c>
      <c r="F269" s="74"/>
      <c r="G269" s="75">
        <v>214.56</v>
      </c>
      <c r="H269" s="74">
        <v>198.47</v>
      </c>
      <c r="I269" s="73">
        <v>0.92500932140193881</v>
      </c>
    </row>
    <row r="270" spans="1:9" x14ac:dyDescent="0.25">
      <c r="A270" s="76" t="s">
        <v>502</v>
      </c>
      <c r="B270" s="76" t="s">
        <v>92</v>
      </c>
      <c r="C270" s="77">
        <v>41151</v>
      </c>
      <c r="D270" s="78">
        <v>41515</v>
      </c>
      <c r="E270" s="79">
        <v>0.92500000000000004</v>
      </c>
      <c r="F270" s="80">
        <v>17104.46</v>
      </c>
      <c r="G270" s="81"/>
      <c r="H270" s="80">
        <v>15821.63</v>
      </c>
      <c r="I270" s="79">
        <f>H270/F270</f>
        <v>0.92500026308927608</v>
      </c>
    </row>
    <row r="271" spans="1:9" x14ac:dyDescent="0.25">
      <c r="A271" s="76" t="s">
        <v>502</v>
      </c>
      <c r="B271" s="76" t="s">
        <v>92</v>
      </c>
      <c r="C271" s="77">
        <v>41151</v>
      </c>
      <c r="D271" s="78">
        <v>41515</v>
      </c>
      <c r="E271" s="79">
        <v>0.92500000000000004</v>
      </c>
      <c r="F271" s="80"/>
      <c r="G271" s="81">
        <v>275.56</v>
      </c>
      <c r="H271" s="80">
        <v>254.89</v>
      </c>
      <c r="I271" s="79">
        <f>H271/G271</f>
        <v>0.92498911307882126</v>
      </c>
    </row>
    <row r="272" spans="1:9" x14ac:dyDescent="0.25">
      <c r="A272" s="76" t="s">
        <v>239</v>
      </c>
      <c r="B272" s="76" t="s">
        <v>240</v>
      </c>
      <c r="C272" s="77">
        <v>40969</v>
      </c>
      <c r="D272" s="78">
        <v>41274</v>
      </c>
      <c r="E272" s="79">
        <v>0.09</v>
      </c>
      <c r="F272" s="80"/>
      <c r="G272" s="81">
        <v>64099</v>
      </c>
      <c r="H272" s="80">
        <v>37801</v>
      </c>
      <c r="I272" s="79">
        <f>H272/G272</f>
        <v>0.58972838889842272</v>
      </c>
    </row>
    <row r="273" spans="1:9" x14ac:dyDescent="0.25">
      <c r="A273" s="76" t="s">
        <v>594</v>
      </c>
      <c r="B273" s="76" t="s">
        <v>603</v>
      </c>
      <c r="C273" s="77">
        <v>41261</v>
      </c>
      <c r="D273" s="78">
        <v>41455</v>
      </c>
      <c r="E273" s="79">
        <v>0.27</v>
      </c>
      <c r="F273" s="80">
        <v>94175</v>
      </c>
      <c r="G273" s="81"/>
      <c r="H273" s="80">
        <v>48036.93</v>
      </c>
      <c r="I273" s="79">
        <f>H273/F273</f>
        <v>0.51008155030528268</v>
      </c>
    </row>
    <row r="274" spans="1:9" x14ac:dyDescent="0.25">
      <c r="A274" s="76" t="s">
        <v>594</v>
      </c>
      <c r="B274" s="76" t="s">
        <v>603</v>
      </c>
      <c r="C274" s="77">
        <v>40900</v>
      </c>
      <c r="D274" s="78">
        <v>41090</v>
      </c>
      <c r="E274" s="79">
        <v>0.26100000000000001</v>
      </c>
      <c r="F274" s="80">
        <v>85377</v>
      </c>
      <c r="G274" s="81"/>
      <c r="H274" s="80">
        <v>38475.550000000003</v>
      </c>
      <c r="I274" s="79">
        <f>H274/F274</f>
        <v>0.4506547430806892</v>
      </c>
    </row>
    <row r="275" spans="1:9" x14ac:dyDescent="0.25">
      <c r="A275" s="76" t="s">
        <v>594</v>
      </c>
      <c r="B275" s="76" t="s">
        <v>603</v>
      </c>
      <c r="C275" s="77">
        <v>40900</v>
      </c>
      <c r="D275" s="78">
        <v>41090</v>
      </c>
      <c r="E275" s="79">
        <v>0.26100000000000001</v>
      </c>
      <c r="F275" s="80"/>
      <c r="G275" s="81">
        <v>4760</v>
      </c>
      <c r="H275" s="80">
        <v>2142.9</v>
      </c>
      <c r="I275" s="79">
        <f>H275/G275</f>
        <v>0.45018907563025212</v>
      </c>
    </row>
    <row r="276" spans="1:9" x14ac:dyDescent="0.25">
      <c r="A276" s="76" t="s">
        <v>594</v>
      </c>
      <c r="B276" s="76" t="s">
        <v>603</v>
      </c>
      <c r="C276" s="77">
        <v>41261</v>
      </c>
      <c r="D276" s="78">
        <v>41455</v>
      </c>
      <c r="E276" s="79">
        <v>0.27</v>
      </c>
      <c r="F276" s="80"/>
      <c r="G276" s="81">
        <v>3785</v>
      </c>
      <c r="H276" s="80">
        <v>1939.48</v>
      </c>
      <c r="I276" s="79">
        <f>H276/G276</f>
        <v>0.51241215323645972</v>
      </c>
    </row>
    <row r="277" spans="1:9" x14ac:dyDescent="0.25">
      <c r="A277" s="76" t="s">
        <v>685</v>
      </c>
      <c r="B277" s="76" t="s">
        <v>688</v>
      </c>
      <c r="C277" s="77">
        <v>40817</v>
      </c>
      <c r="D277" s="78">
        <v>41182</v>
      </c>
      <c r="E277" s="79">
        <v>0.13500000000000001</v>
      </c>
      <c r="F277" s="80">
        <v>40922</v>
      </c>
      <c r="G277" s="81"/>
      <c r="H277" s="80">
        <v>6138.3</v>
      </c>
      <c r="I277" s="79">
        <f>H277/F277</f>
        <v>0.15</v>
      </c>
    </row>
    <row r="278" spans="1:9" x14ac:dyDescent="0.25">
      <c r="A278" s="76" t="s">
        <v>317</v>
      </c>
      <c r="B278" s="76" t="s">
        <v>325</v>
      </c>
      <c r="C278" s="77">
        <v>40725</v>
      </c>
      <c r="D278" s="78">
        <v>41090</v>
      </c>
      <c r="E278" s="79">
        <v>0</v>
      </c>
      <c r="F278" s="80">
        <v>3962435.29</v>
      </c>
      <c r="G278" s="81"/>
      <c r="H278" s="80">
        <v>3832311.61</v>
      </c>
      <c r="I278" s="79">
        <f>H278/F278</f>
        <v>0.96716068011800893</v>
      </c>
    </row>
    <row r="279" spans="1:9" x14ac:dyDescent="0.25">
      <c r="A279" s="76" t="s">
        <v>317</v>
      </c>
      <c r="B279" s="76" t="s">
        <v>365</v>
      </c>
      <c r="C279" s="77">
        <v>41232</v>
      </c>
      <c r="D279" s="78">
        <v>41547</v>
      </c>
      <c r="E279" s="79">
        <v>8.9999999999999998E-4</v>
      </c>
      <c r="F279" s="80">
        <v>3517405.21</v>
      </c>
      <c r="G279" s="81"/>
      <c r="H279" s="80">
        <v>3186251.17</v>
      </c>
      <c r="I279" s="79">
        <f>H279/F279</f>
        <v>0.90585274649092817</v>
      </c>
    </row>
    <row r="280" spans="1:9" x14ac:dyDescent="0.25">
      <c r="A280" s="76" t="s">
        <v>317</v>
      </c>
      <c r="B280" s="76" t="s">
        <v>325</v>
      </c>
      <c r="C280" s="77">
        <v>40725</v>
      </c>
      <c r="D280" s="78">
        <v>41090</v>
      </c>
      <c r="E280" s="79">
        <v>0</v>
      </c>
      <c r="F280" s="80"/>
      <c r="G280" s="81">
        <v>152803.82999999999</v>
      </c>
      <c r="H280" s="80">
        <v>147785.85999999999</v>
      </c>
      <c r="I280" s="79">
        <f>H280/G280</f>
        <v>0.96716070533048815</v>
      </c>
    </row>
    <row r="281" spans="1:9" x14ac:dyDescent="0.25">
      <c r="A281" s="76" t="s">
        <v>317</v>
      </c>
      <c r="B281" s="76" t="s">
        <v>365</v>
      </c>
      <c r="C281" s="77">
        <v>41232</v>
      </c>
      <c r="D281" s="78">
        <v>41547</v>
      </c>
      <c r="E281" s="79">
        <v>8.9999999999999998E-4</v>
      </c>
      <c r="F281" s="80"/>
      <c r="G281" s="81">
        <v>148684.45000000001</v>
      </c>
      <c r="H281" s="80">
        <v>134686.22</v>
      </c>
      <c r="I281" s="79">
        <f>H281/G281</f>
        <v>0.90585276402475168</v>
      </c>
    </row>
    <row r="282" spans="1:9" x14ac:dyDescent="0.25">
      <c r="A282" s="76" t="s">
        <v>504</v>
      </c>
      <c r="B282" s="76" t="s">
        <v>511</v>
      </c>
      <c r="C282" s="77">
        <v>40969</v>
      </c>
      <c r="D282" s="78">
        <v>41333</v>
      </c>
      <c r="E282" s="79">
        <v>0.13500000000000001</v>
      </c>
      <c r="F282" s="80"/>
      <c r="G282" s="81">
        <v>5917</v>
      </c>
      <c r="H282" s="80">
        <v>887.55</v>
      </c>
      <c r="I282" s="79">
        <f>H282/G282</f>
        <v>0.15</v>
      </c>
    </row>
    <row r="283" spans="1:9" x14ac:dyDescent="0.25">
      <c r="A283" s="70" t="s">
        <v>38</v>
      </c>
      <c r="B283" s="70" t="s">
        <v>49</v>
      </c>
      <c r="C283" s="71">
        <v>40878</v>
      </c>
      <c r="D283" s="72">
        <v>41243</v>
      </c>
      <c r="E283" s="73">
        <v>0.1575</v>
      </c>
      <c r="F283" s="74"/>
      <c r="G283" s="75">
        <v>43171</v>
      </c>
      <c r="H283" s="74">
        <v>7554.83</v>
      </c>
      <c r="I283" s="73">
        <v>0.174997799448704</v>
      </c>
    </row>
    <row r="284" spans="1:9" x14ac:dyDescent="0.25">
      <c r="A284" s="70" t="s">
        <v>95</v>
      </c>
      <c r="B284" s="70" t="s">
        <v>44</v>
      </c>
      <c r="C284" s="71">
        <v>40704</v>
      </c>
      <c r="D284" s="72">
        <v>41060</v>
      </c>
      <c r="E284" s="73">
        <v>0.09</v>
      </c>
      <c r="F284" s="74">
        <v>128942</v>
      </c>
      <c r="G284" s="75"/>
      <c r="H284" s="74">
        <v>15473.04</v>
      </c>
      <c r="I284" s="73">
        <v>0.12000000000000001</v>
      </c>
    </row>
    <row r="285" spans="1:9" x14ac:dyDescent="0.25">
      <c r="A285" s="70" t="s">
        <v>95</v>
      </c>
      <c r="B285" s="70" t="s">
        <v>44</v>
      </c>
      <c r="C285" s="71">
        <v>40704</v>
      </c>
      <c r="D285" s="72">
        <v>41060</v>
      </c>
      <c r="E285" s="73">
        <v>0.09</v>
      </c>
      <c r="F285" s="74"/>
      <c r="G285" s="75">
        <v>0</v>
      </c>
      <c r="H285" s="74">
        <v>0</v>
      </c>
      <c r="I285" s="73">
        <v>0</v>
      </c>
    </row>
    <row r="286" spans="1:9" x14ac:dyDescent="0.25">
      <c r="A286" s="70" t="s">
        <v>119</v>
      </c>
      <c r="B286" s="70" t="s">
        <v>44</v>
      </c>
      <c r="C286" s="71">
        <v>40704</v>
      </c>
      <c r="D286" s="72">
        <v>41060</v>
      </c>
      <c r="E286" s="73">
        <v>0.09</v>
      </c>
      <c r="F286" s="74"/>
      <c r="G286" s="75">
        <v>0</v>
      </c>
      <c r="H286" s="74">
        <v>0</v>
      </c>
      <c r="I286" s="73">
        <v>0</v>
      </c>
    </row>
    <row r="287" spans="1:9" x14ac:dyDescent="0.25">
      <c r="A287" s="70" t="s">
        <v>130</v>
      </c>
      <c r="B287" s="70" t="s">
        <v>44</v>
      </c>
      <c r="C287" s="71">
        <v>40817</v>
      </c>
      <c r="D287" s="72">
        <v>41182</v>
      </c>
      <c r="E287" s="73">
        <v>0.126</v>
      </c>
      <c r="F287" s="74">
        <v>581038.1</v>
      </c>
      <c r="G287" s="75"/>
      <c r="H287" s="74">
        <v>82349.39</v>
      </c>
      <c r="I287" s="73">
        <v>0.14172803814414237</v>
      </c>
    </row>
    <row r="288" spans="1:9" x14ac:dyDescent="0.25">
      <c r="A288" s="76" t="s">
        <v>555</v>
      </c>
      <c r="B288" s="76" t="s">
        <v>44</v>
      </c>
      <c r="C288" s="77">
        <v>40588</v>
      </c>
      <c r="D288" s="78">
        <v>40952</v>
      </c>
      <c r="E288" s="79">
        <v>0.15</v>
      </c>
      <c r="F288" s="80"/>
      <c r="G288" s="81">
        <v>6854</v>
      </c>
      <c r="H288" s="80">
        <v>1028.0999999999999</v>
      </c>
      <c r="I288" s="79">
        <f>H288/G288</f>
        <v>0.15</v>
      </c>
    </row>
    <row r="289" spans="1:9" x14ac:dyDescent="0.25">
      <c r="A289" s="76" t="s">
        <v>555</v>
      </c>
      <c r="B289" s="76" t="s">
        <v>44</v>
      </c>
      <c r="C289" s="77">
        <v>40953</v>
      </c>
      <c r="D289" s="78">
        <v>41318</v>
      </c>
      <c r="E289" s="79">
        <v>0.15</v>
      </c>
      <c r="F289" s="80"/>
      <c r="G289" s="81">
        <v>4655</v>
      </c>
      <c r="H289" s="80">
        <v>698.25</v>
      </c>
      <c r="I289" s="79">
        <f>H289/G289</f>
        <v>0.15</v>
      </c>
    </row>
    <row r="290" spans="1:9" x14ac:dyDescent="0.25">
      <c r="A290" s="70" t="s">
        <v>38</v>
      </c>
      <c r="B290" s="70" t="s">
        <v>40</v>
      </c>
      <c r="C290" s="71">
        <v>40633</v>
      </c>
      <c r="D290" s="72">
        <v>40998</v>
      </c>
      <c r="E290" s="73">
        <v>0.40500000000000003</v>
      </c>
      <c r="F290" s="74"/>
      <c r="G290" s="75">
        <v>278405.68</v>
      </c>
      <c r="H290" s="74">
        <v>125282.55</v>
      </c>
      <c r="I290" s="73">
        <v>0.44999997844871559</v>
      </c>
    </row>
    <row r="291" spans="1:9" x14ac:dyDescent="0.25">
      <c r="A291" s="76" t="s">
        <v>643</v>
      </c>
      <c r="B291" s="76" t="s">
        <v>652</v>
      </c>
      <c r="C291" s="77">
        <v>40807</v>
      </c>
      <c r="D291" s="78">
        <v>41148</v>
      </c>
      <c r="E291" s="79">
        <v>8.9999999999999998E-4</v>
      </c>
      <c r="F291" s="80">
        <v>0</v>
      </c>
      <c r="G291" s="81"/>
      <c r="H291" s="80">
        <v>0</v>
      </c>
      <c r="I291" s="79">
        <v>0</v>
      </c>
    </row>
    <row r="292" spans="1:9" x14ac:dyDescent="0.25">
      <c r="A292" s="76" t="s">
        <v>643</v>
      </c>
      <c r="B292" s="76" t="s">
        <v>652</v>
      </c>
      <c r="C292" s="77">
        <v>40807</v>
      </c>
      <c r="D292" s="78">
        <v>41148</v>
      </c>
      <c r="E292" s="79">
        <v>8.9999999999999998E-4</v>
      </c>
      <c r="F292" s="80">
        <v>0</v>
      </c>
      <c r="G292" s="81"/>
      <c r="H292" s="80">
        <v>0</v>
      </c>
      <c r="I292" s="79">
        <v>0</v>
      </c>
    </row>
    <row r="293" spans="1:9" x14ac:dyDescent="0.25">
      <c r="A293" s="70" t="s">
        <v>122</v>
      </c>
      <c r="B293" s="70" t="s">
        <v>124</v>
      </c>
      <c r="C293" s="71">
        <v>40725</v>
      </c>
      <c r="D293" s="72">
        <v>41090</v>
      </c>
      <c r="E293" s="73">
        <v>0.09</v>
      </c>
      <c r="F293" s="74">
        <v>802162.18</v>
      </c>
      <c r="G293" s="75"/>
      <c r="H293" s="74">
        <v>144683.47</v>
      </c>
      <c r="I293" s="73">
        <v>0.18036685549049444</v>
      </c>
    </row>
    <row r="294" spans="1:9" x14ac:dyDescent="0.25">
      <c r="A294" s="76" t="s">
        <v>265</v>
      </c>
      <c r="B294" s="76" t="s">
        <v>266</v>
      </c>
      <c r="C294" s="77">
        <v>40585</v>
      </c>
      <c r="D294" s="78">
        <v>40949</v>
      </c>
      <c r="E294" s="79">
        <v>0.18</v>
      </c>
      <c r="F294" s="80">
        <v>6068503.71</v>
      </c>
      <c r="G294" s="81"/>
      <c r="H294" s="80">
        <v>2002743.8</v>
      </c>
      <c r="I294" s="79">
        <f>H294/F294</f>
        <v>0.33002267044836331</v>
      </c>
    </row>
    <row r="295" spans="1:9" x14ac:dyDescent="0.25">
      <c r="A295" s="76" t="s">
        <v>270</v>
      </c>
      <c r="B295" s="76" t="s">
        <v>266</v>
      </c>
      <c r="C295" s="77">
        <v>40950</v>
      </c>
      <c r="D295" s="78">
        <v>41315</v>
      </c>
      <c r="E295" s="79">
        <v>0.18</v>
      </c>
      <c r="F295" s="80">
        <v>5601609.2199999997</v>
      </c>
      <c r="G295" s="81"/>
      <c r="H295" s="80">
        <v>1896630.71</v>
      </c>
      <c r="I295" s="79">
        <f>H295/F295</f>
        <v>0.33858675882427941</v>
      </c>
    </row>
    <row r="296" spans="1:9" x14ac:dyDescent="0.25">
      <c r="A296" s="70" t="s">
        <v>146</v>
      </c>
      <c r="B296" s="70" t="s">
        <v>152</v>
      </c>
      <c r="C296" s="71">
        <v>40695</v>
      </c>
      <c r="D296" s="72">
        <v>41060</v>
      </c>
      <c r="E296" s="101">
        <v>4.4999999999999999E-4</v>
      </c>
      <c r="F296" s="74">
        <v>482053.5</v>
      </c>
      <c r="G296" s="75"/>
      <c r="H296" s="74">
        <v>355710.51</v>
      </c>
      <c r="I296" s="73">
        <v>0.73790670537606307</v>
      </c>
    </row>
    <row r="297" spans="1:9" x14ac:dyDescent="0.25">
      <c r="A297" s="76" t="s">
        <v>317</v>
      </c>
      <c r="B297" s="76" t="s">
        <v>152</v>
      </c>
      <c r="C297" s="77">
        <v>40955</v>
      </c>
      <c r="D297" s="78">
        <v>41320</v>
      </c>
      <c r="E297" s="79">
        <v>0.09</v>
      </c>
      <c r="F297" s="80">
        <v>5410169</v>
      </c>
      <c r="G297" s="81"/>
      <c r="H297" s="80">
        <v>4853028.04</v>
      </c>
      <c r="I297" s="79">
        <f>H297/F297</f>
        <v>0.89701967535579763</v>
      </c>
    </row>
    <row r="298" spans="1:9" x14ac:dyDescent="0.25">
      <c r="A298" s="76" t="s">
        <v>315</v>
      </c>
      <c r="B298" s="110" t="s">
        <v>152</v>
      </c>
      <c r="C298" s="77">
        <v>40607</v>
      </c>
      <c r="D298" s="78">
        <v>40968</v>
      </c>
      <c r="E298" s="79">
        <v>0.108</v>
      </c>
      <c r="F298" s="80">
        <v>5518845.29</v>
      </c>
      <c r="G298" s="81"/>
      <c r="H298" s="80">
        <v>1306139.8700000001</v>
      </c>
      <c r="I298" s="79">
        <f>H298/F298</f>
        <v>0.23666904965911811</v>
      </c>
    </row>
    <row r="299" spans="1:9" x14ac:dyDescent="0.25">
      <c r="A299" s="76" t="s">
        <v>317</v>
      </c>
      <c r="B299" s="76" t="s">
        <v>152</v>
      </c>
      <c r="C299" s="77">
        <v>40955</v>
      </c>
      <c r="D299" s="78">
        <v>41320</v>
      </c>
      <c r="E299" s="79">
        <v>0.09</v>
      </c>
      <c r="F299" s="80"/>
      <c r="G299" s="81">
        <v>233270</v>
      </c>
      <c r="H299" s="80">
        <v>209001.73</v>
      </c>
      <c r="I299" s="79">
        <f>H299/G299</f>
        <v>0.8959648904702705</v>
      </c>
    </row>
    <row r="300" spans="1:9" x14ac:dyDescent="0.25">
      <c r="A300" s="76" t="s">
        <v>317</v>
      </c>
      <c r="B300" s="110" t="s">
        <v>152</v>
      </c>
      <c r="C300" s="77">
        <v>40607</v>
      </c>
      <c r="D300" s="78">
        <v>40968</v>
      </c>
      <c r="E300" s="79">
        <v>0.108</v>
      </c>
      <c r="F300" s="80">
        <v>37044.5</v>
      </c>
      <c r="G300" s="81">
        <v>258609.14</v>
      </c>
      <c r="H300" s="80">
        <v>51955.62</v>
      </c>
      <c r="I300" s="79">
        <f>H300/G300</f>
        <v>0.20090403610638047</v>
      </c>
    </row>
    <row r="301" spans="1:9" x14ac:dyDescent="0.25">
      <c r="A301" s="76" t="s">
        <v>449</v>
      </c>
      <c r="B301" s="76" t="s">
        <v>152</v>
      </c>
      <c r="C301" s="77">
        <v>40982</v>
      </c>
      <c r="D301" s="78">
        <v>41334</v>
      </c>
      <c r="E301" s="79">
        <v>0</v>
      </c>
      <c r="F301" s="80">
        <v>1281677</v>
      </c>
      <c r="G301" s="81"/>
      <c r="H301" s="80">
        <v>1081944</v>
      </c>
      <c r="I301" s="79">
        <f>H301/F301</f>
        <v>0.84416276487757835</v>
      </c>
    </row>
    <row r="302" spans="1:9" x14ac:dyDescent="0.25">
      <c r="A302" s="76" t="s">
        <v>449</v>
      </c>
      <c r="B302" s="110" t="s">
        <v>152</v>
      </c>
      <c r="C302" s="77">
        <v>40611</v>
      </c>
      <c r="D302" s="78">
        <v>40967</v>
      </c>
      <c r="E302" s="79">
        <v>0</v>
      </c>
      <c r="F302" s="80">
        <v>1032722</v>
      </c>
      <c r="G302" s="81"/>
      <c r="H302" s="80">
        <v>875705</v>
      </c>
      <c r="I302" s="79">
        <f>H302/F302</f>
        <v>0.84795811457488079</v>
      </c>
    </row>
    <row r="303" spans="1:9" x14ac:dyDescent="0.25">
      <c r="A303" s="76" t="s">
        <v>578</v>
      </c>
      <c r="B303" s="76" t="s">
        <v>1973</v>
      </c>
      <c r="C303" s="77">
        <v>40800</v>
      </c>
      <c r="D303" s="78">
        <v>41013</v>
      </c>
      <c r="E303" s="79">
        <v>0</v>
      </c>
      <c r="F303" s="80">
        <v>2851281.47</v>
      </c>
      <c r="G303" s="88"/>
      <c r="H303" s="80">
        <v>2454856.89</v>
      </c>
      <c r="I303" s="79">
        <f>H303/F303</f>
        <v>0.86096617111603502</v>
      </c>
    </row>
    <row r="304" spans="1:9" x14ac:dyDescent="0.25">
      <c r="A304" s="70" t="s">
        <v>146</v>
      </c>
      <c r="B304" s="70" t="s">
        <v>169</v>
      </c>
      <c r="C304" s="71">
        <v>40991</v>
      </c>
      <c r="D304" s="72">
        <v>41333</v>
      </c>
      <c r="E304" s="101">
        <v>4.4999999999999999E-4</v>
      </c>
      <c r="F304" s="74">
        <v>3172.44</v>
      </c>
      <c r="G304" s="75"/>
      <c r="H304" s="74">
        <v>-8283.7099999999991</v>
      </c>
      <c r="I304" s="73">
        <v>-2.6111478861696358</v>
      </c>
    </row>
    <row r="305" spans="1:9" x14ac:dyDescent="0.25">
      <c r="A305" s="76" t="s">
        <v>643</v>
      </c>
      <c r="B305" s="76" t="s">
        <v>659</v>
      </c>
      <c r="C305" s="77">
        <v>41025</v>
      </c>
      <c r="D305" s="78">
        <v>41364</v>
      </c>
      <c r="E305" s="79">
        <v>4.4999999999999997E-3</v>
      </c>
      <c r="F305" s="80">
        <v>189524</v>
      </c>
      <c r="G305" s="81"/>
      <c r="H305" s="80">
        <v>96010.18</v>
      </c>
      <c r="I305" s="79">
        <f>H305/F305</f>
        <v>0.50658586775289671</v>
      </c>
    </row>
    <row r="306" spans="1:9" x14ac:dyDescent="0.25">
      <c r="A306" s="76" t="s">
        <v>643</v>
      </c>
      <c r="B306" s="76" t="s">
        <v>659</v>
      </c>
      <c r="C306" s="77">
        <v>41025</v>
      </c>
      <c r="D306" s="78">
        <v>41364</v>
      </c>
      <c r="E306" s="79">
        <v>4.4999999999999997E-3</v>
      </c>
      <c r="F306" s="80"/>
      <c r="G306" s="81">
        <v>2455</v>
      </c>
      <c r="H306" s="80">
        <v>392.32</v>
      </c>
      <c r="I306" s="79">
        <f>H306/G306</f>
        <v>0.15980448065173117</v>
      </c>
    </row>
    <row r="307" spans="1:9" x14ac:dyDescent="0.25">
      <c r="A307" s="76" t="s">
        <v>643</v>
      </c>
      <c r="B307" s="76" t="s">
        <v>647</v>
      </c>
      <c r="C307" s="77">
        <v>40659</v>
      </c>
      <c r="D307" s="78">
        <v>41024</v>
      </c>
      <c r="E307" s="79">
        <v>4.4999999999999997E-3</v>
      </c>
      <c r="F307" s="80"/>
      <c r="G307" s="81">
        <v>5255</v>
      </c>
      <c r="H307" s="80">
        <v>-181.34</v>
      </c>
      <c r="I307" s="79">
        <f>H307/G307</f>
        <v>-3.4508087535680305E-2</v>
      </c>
    </row>
    <row r="308" spans="1:9" x14ac:dyDescent="0.25">
      <c r="A308" s="76" t="s">
        <v>643</v>
      </c>
      <c r="B308" s="76" t="s">
        <v>647</v>
      </c>
      <c r="C308" s="77">
        <v>40659</v>
      </c>
      <c r="D308" s="78">
        <v>41024</v>
      </c>
      <c r="E308" s="79">
        <v>4.4999999999999997E-3</v>
      </c>
      <c r="F308" s="80">
        <v>120919</v>
      </c>
      <c r="G308" s="81"/>
      <c r="H308" s="80">
        <v>-1616.08</v>
      </c>
      <c r="I308" s="79">
        <f>H308/F308</f>
        <v>-1.3364979862552617E-2</v>
      </c>
    </row>
    <row r="309" spans="1:9" x14ac:dyDescent="0.25">
      <c r="A309" s="76" t="s">
        <v>643</v>
      </c>
      <c r="B309" s="76" t="s">
        <v>651</v>
      </c>
      <c r="C309" s="77">
        <v>40787</v>
      </c>
      <c r="D309" s="78">
        <v>41152</v>
      </c>
      <c r="E309" s="79">
        <v>1E-4</v>
      </c>
      <c r="F309" s="80">
        <v>3390</v>
      </c>
      <c r="G309" s="81"/>
      <c r="H309" s="80">
        <v>0</v>
      </c>
      <c r="I309" s="79">
        <f>H309/F309</f>
        <v>0</v>
      </c>
    </row>
    <row r="310" spans="1:9" x14ac:dyDescent="0.25">
      <c r="A310" s="76" t="s">
        <v>643</v>
      </c>
      <c r="B310" s="76" t="s">
        <v>651</v>
      </c>
      <c r="C310" s="77">
        <v>40787</v>
      </c>
      <c r="D310" s="78">
        <v>41152</v>
      </c>
      <c r="E310" s="79">
        <v>1E-4</v>
      </c>
      <c r="F310" s="80"/>
      <c r="G310" s="81">
        <v>255</v>
      </c>
      <c r="H310" s="80">
        <v>0</v>
      </c>
      <c r="I310" s="79">
        <f>H310/G310</f>
        <v>0</v>
      </c>
    </row>
    <row r="311" spans="1:9" x14ac:dyDescent="0.25">
      <c r="A311" s="76" t="s">
        <v>643</v>
      </c>
      <c r="B311" s="76" t="s">
        <v>651</v>
      </c>
      <c r="C311" s="77">
        <v>41153</v>
      </c>
      <c r="D311" s="78">
        <v>41517</v>
      </c>
      <c r="E311" s="79">
        <v>4.4999999999999997E-3</v>
      </c>
      <c r="F311" s="80">
        <v>0</v>
      </c>
      <c r="G311" s="81"/>
      <c r="H311" s="80">
        <v>0</v>
      </c>
      <c r="I311" s="79">
        <v>0</v>
      </c>
    </row>
    <row r="312" spans="1:9" x14ac:dyDescent="0.25">
      <c r="A312" s="76" t="s">
        <v>643</v>
      </c>
      <c r="B312" s="76" t="s">
        <v>651</v>
      </c>
      <c r="C312" s="77">
        <v>41153</v>
      </c>
      <c r="D312" s="78">
        <v>41517</v>
      </c>
      <c r="E312" s="79">
        <v>4.4999999999999997E-3</v>
      </c>
      <c r="F312" s="80"/>
      <c r="G312" s="81">
        <v>0</v>
      </c>
      <c r="H312" s="80">
        <v>0</v>
      </c>
      <c r="I312" s="79">
        <v>0</v>
      </c>
    </row>
    <row r="313" spans="1:9" x14ac:dyDescent="0.25">
      <c r="A313" s="70" t="s">
        <v>20</v>
      </c>
      <c r="B313" s="70" t="s">
        <v>24</v>
      </c>
      <c r="C313" s="71">
        <v>40756</v>
      </c>
      <c r="D313" s="72">
        <v>41121</v>
      </c>
      <c r="E313" s="73">
        <v>0</v>
      </c>
      <c r="F313" s="74"/>
      <c r="G313" s="75">
        <v>3370</v>
      </c>
      <c r="H313" s="74">
        <v>0</v>
      </c>
      <c r="I313" s="73">
        <v>0</v>
      </c>
    </row>
    <row r="314" spans="1:9" x14ac:dyDescent="0.25">
      <c r="A314" s="76" t="s">
        <v>582</v>
      </c>
      <c r="B314" s="76" t="s">
        <v>24</v>
      </c>
      <c r="C314" s="77">
        <v>40878</v>
      </c>
      <c r="D314" s="78">
        <v>41243</v>
      </c>
      <c r="E314" s="79">
        <v>0.59399999999999997</v>
      </c>
      <c r="F314" s="88"/>
      <c r="G314" s="81">
        <v>1919080.95</v>
      </c>
      <c r="H314" s="80">
        <v>1341072.19</v>
      </c>
      <c r="I314" s="79">
        <f>H314/G314</f>
        <v>0.69880959945957466</v>
      </c>
    </row>
    <row r="315" spans="1:9" x14ac:dyDescent="0.25">
      <c r="A315" s="70" t="s">
        <v>137</v>
      </c>
      <c r="B315" s="70" t="s">
        <v>138</v>
      </c>
      <c r="C315" s="71">
        <v>40969</v>
      </c>
      <c r="D315" s="72">
        <v>41288</v>
      </c>
      <c r="E315" s="73">
        <v>0.45</v>
      </c>
      <c r="F315" s="74">
        <v>458322.01</v>
      </c>
      <c r="G315" s="75"/>
      <c r="H315" s="74">
        <v>313188.31</v>
      </c>
      <c r="I315" s="73">
        <v>0.68333683123793243</v>
      </c>
    </row>
    <row r="316" spans="1:9" x14ac:dyDescent="0.25">
      <c r="A316" s="70" t="s">
        <v>137</v>
      </c>
      <c r="B316" s="70" t="s">
        <v>138</v>
      </c>
      <c r="C316" s="71">
        <v>40603</v>
      </c>
      <c r="D316" s="72">
        <v>40968</v>
      </c>
      <c r="E316" s="73">
        <v>0.45</v>
      </c>
      <c r="F316" s="74">
        <v>450890.83</v>
      </c>
      <c r="G316" s="75"/>
      <c r="H316" s="74">
        <v>308476.90000000002</v>
      </c>
      <c r="I316" s="73">
        <v>0.68414986394822008</v>
      </c>
    </row>
    <row r="317" spans="1:9" x14ac:dyDescent="0.25">
      <c r="A317" s="70" t="s">
        <v>137</v>
      </c>
      <c r="B317" s="70" t="s">
        <v>138</v>
      </c>
      <c r="C317" s="71">
        <v>40818</v>
      </c>
      <c r="D317" s="72">
        <v>41181</v>
      </c>
      <c r="E317" s="73">
        <v>0.45900000000000002</v>
      </c>
      <c r="F317" s="74">
        <v>154066</v>
      </c>
      <c r="G317" s="75"/>
      <c r="H317" s="74">
        <v>92268.5</v>
      </c>
      <c r="I317" s="73">
        <v>0.59888943699453479</v>
      </c>
    </row>
    <row r="318" spans="1:9" x14ac:dyDescent="0.25">
      <c r="A318" s="76" t="s">
        <v>594</v>
      </c>
      <c r="B318" s="76" t="s">
        <v>138</v>
      </c>
      <c r="C318" s="77">
        <v>41180</v>
      </c>
      <c r="D318" s="78">
        <v>41333</v>
      </c>
      <c r="E318" s="79">
        <v>0.45</v>
      </c>
      <c r="F318" s="80">
        <v>70906</v>
      </c>
      <c r="G318" s="81"/>
      <c r="H318" s="80">
        <v>31307.75</v>
      </c>
      <c r="I318" s="79">
        <f>H318/F318</f>
        <v>0.44153879784503425</v>
      </c>
    </row>
    <row r="319" spans="1:9" x14ac:dyDescent="0.25">
      <c r="A319" s="76" t="s">
        <v>594</v>
      </c>
      <c r="B319" s="76" t="s">
        <v>138</v>
      </c>
      <c r="C319" s="77">
        <v>41180</v>
      </c>
      <c r="D319" s="78">
        <v>41333</v>
      </c>
      <c r="E319" s="79">
        <v>0.45</v>
      </c>
      <c r="F319" s="80"/>
      <c r="G319" s="81">
        <v>62314</v>
      </c>
      <c r="H319" s="80">
        <v>27467.54</v>
      </c>
      <c r="I319" s="79">
        <f>H319/G319</f>
        <v>0.44079243829636999</v>
      </c>
    </row>
    <row r="320" spans="1:9" x14ac:dyDescent="0.25">
      <c r="A320" s="70" t="s">
        <v>130</v>
      </c>
      <c r="B320" s="70" t="s">
        <v>134</v>
      </c>
      <c r="C320" s="71">
        <v>40817</v>
      </c>
      <c r="D320" s="72">
        <v>41182</v>
      </c>
      <c r="E320" s="73">
        <v>0.13500000000000001</v>
      </c>
      <c r="F320" s="74">
        <v>1527045.5</v>
      </c>
      <c r="G320" s="75"/>
      <c r="H320" s="74">
        <v>229056.82</v>
      </c>
      <c r="I320" s="73">
        <v>0.14999999672570333</v>
      </c>
    </row>
    <row r="321" spans="1:9" x14ac:dyDescent="0.25">
      <c r="A321" s="76" t="s">
        <v>317</v>
      </c>
      <c r="B321" s="76" t="s">
        <v>347</v>
      </c>
      <c r="C321" s="77">
        <v>40909</v>
      </c>
      <c r="D321" s="78">
        <v>41274</v>
      </c>
      <c r="E321" s="79">
        <v>8.9999999999999998E-4</v>
      </c>
      <c r="F321" s="80">
        <v>4124598</v>
      </c>
      <c r="G321" s="81"/>
      <c r="H321" s="80">
        <v>283705.7</v>
      </c>
      <c r="I321" s="79">
        <f>H321/F321</f>
        <v>6.8783842692063571E-2</v>
      </c>
    </row>
    <row r="322" spans="1:9" x14ac:dyDescent="0.25">
      <c r="A322" s="76" t="s">
        <v>317</v>
      </c>
      <c r="B322" s="76" t="s">
        <v>347</v>
      </c>
      <c r="C322" s="77">
        <v>40909</v>
      </c>
      <c r="D322" s="78">
        <v>41274</v>
      </c>
      <c r="E322" s="79">
        <v>8.9999999999999998E-4</v>
      </c>
      <c r="F322" s="80"/>
      <c r="G322" s="81">
        <v>202069</v>
      </c>
      <c r="H322" s="80">
        <v>13899.08</v>
      </c>
      <c r="I322" s="79">
        <f>H322/G322</f>
        <v>6.8783831265557802E-2</v>
      </c>
    </row>
    <row r="323" spans="1:9" x14ac:dyDescent="0.25">
      <c r="A323" s="76" t="s">
        <v>239</v>
      </c>
      <c r="B323" s="76" t="s">
        <v>242</v>
      </c>
      <c r="C323" s="77">
        <v>41136</v>
      </c>
      <c r="D323" s="78">
        <v>41274</v>
      </c>
      <c r="E323" s="79">
        <v>8.9999999999999993E-3</v>
      </c>
      <c r="F323" s="80"/>
      <c r="G323" s="81">
        <v>18710</v>
      </c>
      <c r="H323" s="80">
        <v>9282</v>
      </c>
      <c r="I323" s="79">
        <f>H323/G323</f>
        <v>0.49609834313201495</v>
      </c>
    </row>
    <row r="324" spans="1:9" x14ac:dyDescent="0.25">
      <c r="A324" s="76" t="s">
        <v>394</v>
      </c>
      <c r="B324" s="76" t="s">
        <v>397</v>
      </c>
      <c r="C324" s="77">
        <v>40801</v>
      </c>
      <c r="D324" s="78">
        <v>41167</v>
      </c>
      <c r="E324" s="79">
        <v>0.3</v>
      </c>
      <c r="F324" s="80">
        <v>74590</v>
      </c>
      <c r="G324" s="81"/>
      <c r="H324" s="80">
        <v>22377</v>
      </c>
      <c r="I324" s="79">
        <f>H324/F324</f>
        <v>0.3</v>
      </c>
    </row>
    <row r="325" spans="1:9" x14ac:dyDescent="0.25">
      <c r="A325" s="76" t="s">
        <v>394</v>
      </c>
      <c r="B325" s="76" t="s">
        <v>397</v>
      </c>
      <c r="C325" s="77">
        <v>41164</v>
      </c>
      <c r="D325" s="78">
        <v>41443</v>
      </c>
      <c r="E325" s="79">
        <v>0.3</v>
      </c>
      <c r="F325" s="80">
        <v>45391</v>
      </c>
      <c r="G325" s="81"/>
      <c r="H325" s="80">
        <v>13668</v>
      </c>
      <c r="I325" s="79">
        <f>H325/F325</f>
        <v>0.30111696151219403</v>
      </c>
    </row>
    <row r="326" spans="1:9" x14ac:dyDescent="0.25">
      <c r="A326" s="70" t="s">
        <v>101</v>
      </c>
      <c r="B326" s="70" t="s">
        <v>105</v>
      </c>
      <c r="C326" s="71">
        <v>40827</v>
      </c>
      <c r="D326" s="72">
        <v>41192</v>
      </c>
      <c r="E326" s="73">
        <v>1.35E-2</v>
      </c>
      <c r="F326" s="74">
        <v>26085</v>
      </c>
      <c r="G326" s="75"/>
      <c r="H326" s="74">
        <v>6793.84</v>
      </c>
      <c r="I326" s="73">
        <v>0.26045006708836499</v>
      </c>
    </row>
    <row r="327" spans="1:9" x14ac:dyDescent="0.25">
      <c r="A327" s="70" t="s">
        <v>101</v>
      </c>
      <c r="B327" s="70" t="s">
        <v>105</v>
      </c>
      <c r="C327" s="71">
        <v>40827</v>
      </c>
      <c r="D327" s="72">
        <v>41192</v>
      </c>
      <c r="E327" s="73">
        <v>1.35E-2</v>
      </c>
      <c r="F327" s="74"/>
      <c r="G327" s="75">
        <v>26085</v>
      </c>
      <c r="H327" s="74">
        <v>6793.84</v>
      </c>
      <c r="I327" s="73">
        <v>0.26045006708836499</v>
      </c>
    </row>
    <row r="328" spans="1:9" x14ac:dyDescent="0.25">
      <c r="A328" s="76" t="s">
        <v>101</v>
      </c>
      <c r="B328" s="76" t="s">
        <v>105</v>
      </c>
      <c r="C328" s="77">
        <v>41193</v>
      </c>
      <c r="D328" s="78">
        <v>41557</v>
      </c>
      <c r="E328" s="79">
        <v>1.35E-2</v>
      </c>
      <c r="F328" s="91"/>
      <c r="G328" s="92">
        <v>0</v>
      </c>
      <c r="H328" s="91">
        <v>0</v>
      </c>
      <c r="I328" s="79">
        <v>0</v>
      </c>
    </row>
    <row r="329" spans="1:9" x14ac:dyDescent="0.25">
      <c r="A329" s="76" t="s">
        <v>594</v>
      </c>
      <c r="B329" s="76" t="s">
        <v>609</v>
      </c>
      <c r="C329" s="77">
        <v>41058</v>
      </c>
      <c r="D329" s="78">
        <v>41422</v>
      </c>
      <c r="E329" s="79">
        <v>0.36</v>
      </c>
      <c r="F329" s="80">
        <v>27225.43</v>
      </c>
      <c r="G329" s="81"/>
      <c r="H329" s="80">
        <v>15265.43</v>
      </c>
      <c r="I329" s="79">
        <f>H329/F329</f>
        <v>0.56070482633332142</v>
      </c>
    </row>
    <row r="330" spans="1:9" x14ac:dyDescent="0.25">
      <c r="A330" s="76" t="s">
        <v>594</v>
      </c>
      <c r="B330" s="76" t="s">
        <v>609</v>
      </c>
      <c r="C330" s="77">
        <v>41058</v>
      </c>
      <c r="D330" s="78">
        <v>41422</v>
      </c>
      <c r="E330" s="79">
        <v>0.36</v>
      </c>
      <c r="F330" s="80"/>
      <c r="G330" s="81">
        <v>26825.43</v>
      </c>
      <c r="H330" s="80">
        <v>14985.03</v>
      </c>
      <c r="I330" s="79">
        <f>H330/G330</f>
        <v>0.55861285354978463</v>
      </c>
    </row>
    <row r="331" spans="1:9" x14ac:dyDescent="0.25">
      <c r="A331" s="70" t="s">
        <v>171</v>
      </c>
      <c r="B331" s="70" t="s">
        <v>177</v>
      </c>
      <c r="C331" s="71">
        <v>40662</v>
      </c>
      <c r="D331" s="72">
        <v>41027</v>
      </c>
      <c r="E331" s="73">
        <v>1.7999999999999999E-2</v>
      </c>
      <c r="F331" s="74">
        <v>271231</v>
      </c>
      <c r="G331" s="75"/>
      <c r="H331" s="74">
        <v>130242.68</v>
      </c>
      <c r="I331" s="79">
        <f>H331/F331</f>
        <v>0.48019098111941477</v>
      </c>
    </row>
    <row r="332" spans="1:9" x14ac:dyDescent="0.25">
      <c r="A332" s="70" t="s">
        <v>101</v>
      </c>
      <c r="B332" s="70" t="s">
        <v>110</v>
      </c>
      <c r="C332" s="71">
        <v>40972</v>
      </c>
      <c r="D332" s="72">
        <v>41315</v>
      </c>
      <c r="E332" s="73">
        <v>1.35E-2</v>
      </c>
      <c r="F332" s="74"/>
      <c r="G332" s="75">
        <v>3663.97</v>
      </c>
      <c r="H332" s="74">
        <v>-1483.52</v>
      </c>
      <c r="I332" s="73">
        <v>-0.40489414487564035</v>
      </c>
    </row>
    <row r="333" spans="1:9" x14ac:dyDescent="0.25">
      <c r="A333" s="70" t="s">
        <v>101</v>
      </c>
      <c r="B333" s="70" t="s">
        <v>110</v>
      </c>
      <c r="C333" s="71">
        <v>40972</v>
      </c>
      <c r="D333" s="72">
        <v>41315</v>
      </c>
      <c r="E333" s="73">
        <v>1.35E-2</v>
      </c>
      <c r="F333" s="74">
        <v>3944</v>
      </c>
      <c r="G333" s="75"/>
      <c r="H333" s="74">
        <v>-1596.9</v>
      </c>
      <c r="I333" s="73">
        <v>-0.4048935091277891</v>
      </c>
    </row>
    <row r="334" spans="1:9" x14ac:dyDescent="0.25">
      <c r="A334" s="70" t="s">
        <v>99</v>
      </c>
      <c r="B334" s="70" t="s">
        <v>100</v>
      </c>
      <c r="C334" s="71">
        <v>40725</v>
      </c>
      <c r="D334" s="72">
        <v>40999</v>
      </c>
      <c r="E334" s="73">
        <v>0.18</v>
      </c>
      <c r="F334" s="74">
        <v>340</v>
      </c>
      <c r="G334" s="75"/>
      <c r="H334" s="74">
        <v>68</v>
      </c>
      <c r="I334" s="73">
        <v>0.2</v>
      </c>
    </row>
    <row r="335" spans="1:9" x14ac:dyDescent="0.25">
      <c r="A335" s="76" t="s">
        <v>478</v>
      </c>
      <c r="B335" s="76" t="s">
        <v>100</v>
      </c>
      <c r="C335" s="77">
        <v>40611</v>
      </c>
      <c r="D335" s="78">
        <v>40976</v>
      </c>
      <c r="E335" s="79">
        <v>0.13500000000000001</v>
      </c>
      <c r="F335" s="80">
        <v>555296.68999999994</v>
      </c>
      <c r="G335" s="81"/>
      <c r="H335" s="80">
        <v>74965.070000000007</v>
      </c>
      <c r="I335" s="79">
        <f>H335/F335</f>
        <v>0.13500003034413913</v>
      </c>
    </row>
    <row r="336" spans="1:9" x14ac:dyDescent="0.25">
      <c r="A336" s="76" t="s">
        <v>478</v>
      </c>
      <c r="B336" s="76" t="s">
        <v>100</v>
      </c>
      <c r="C336" s="77">
        <v>40977</v>
      </c>
      <c r="D336" s="78">
        <v>41341</v>
      </c>
      <c r="E336" s="79">
        <v>0.13500000000000001</v>
      </c>
      <c r="F336" s="80">
        <v>520790.8</v>
      </c>
      <c r="G336" s="81"/>
      <c r="H336" s="80">
        <v>70306.759999999995</v>
      </c>
      <c r="I336" s="79">
        <f>H336/F336</f>
        <v>0.1350000038403136</v>
      </c>
    </row>
    <row r="337" spans="1:9" x14ac:dyDescent="0.25">
      <c r="A337" s="76" t="s">
        <v>555</v>
      </c>
      <c r="B337" s="76" t="s">
        <v>100</v>
      </c>
      <c r="C337" s="77">
        <v>40592</v>
      </c>
      <c r="D337" s="78">
        <v>40956</v>
      </c>
      <c r="E337" s="79">
        <v>0.13</v>
      </c>
      <c r="F337" s="80"/>
      <c r="G337" s="81">
        <v>2140</v>
      </c>
      <c r="H337" s="80">
        <v>278.2</v>
      </c>
      <c r="I337" s="79">
        <f>H337/G337</f>
        <v>0.13</v>
      </c>
    </row>
    <row r="338" spans="1:9" x14ac:dyDescent="0.25">
      <c r="A338" s="76" t="s">
        <v>555</v>
      </c>
      <c r="B338" s="76" t="s">
        <v>100</v>
      </c>
      <c r="C338" s="77">
        <v>40957</v>
      </c>
      <c r="D338" s="78">
        <v>41322</v>
      </c>
      <c r="E338" s="79">
        <v>0.13</v>
      </c>
      <c r="F338" s="80"/>
      <c r="G338" s="81">
        <v>195</v>
      </c>
      <c r="H338" s="80">
        <v>25.35</v>
      </c>
      <c r="I338" s="79">
        <f>H338/G338</f>
        <v>0.13</v>
      </c>
    </row>
    <row r="339" spans="1:9" ht="28.5" x14ac:dyDescent="0.25">
      <c r="A339" s="70" t="s">
        <v>95</v>
      </c>
      <c r="B339" s="70" t="s">
        <v>96</v>
      </c>
      <c r="C339" s="71">
        <v>40825</v>
      </c>
      <c r="D339" s="72">
        <v>41190</v>
      </c>
      <c r="E339" s="73">
        <v>0.09</v>
      </c>
      <c r="F339" s="74">
        <v>100231</v>
      </c>
      <c r="G339" s="75"/>
      <c r="H339" s="74">
        <v>10023.1</v>
      </c>
      <c r="I339" s="73">
        <v>0.1</v>
      </c>
    </row>
    <row r="340" spans="1:9" ht="28.5" x14ac:dyDescent="0.25">
      <c r="A340" s="70" t="s">
        <v>119</v>
      </c>
      <c r="B340" s="70" t="s">
        <v>96</v>
      </c>
      <c r="C340" s="71">
        <v>40848</v>
      </c>
      <c r="D340" s="72">
        <v>41213</v>
      </c>
      <c r="E340" s="73">
        <v>0.09</v>
      </c>
      <c r="F340" s="74">
        <v>2912561</v>
      </c>
      <c r="G340" s="75"/>
      <c r="H340" s="74">
        <v>436884.15</v>
      </c>
      <c r="I340" s="73">
        <v>0.15</v>
      </c>
    </row>
    <row r="341" spans="1:9" ht="28.5" x14ac:dyDescent="0.25">
      <c r="A341" s="70" t="s">
        <v>119</v>
      </c>
      <c r="B341" s="70" t="s">
        <v>96</v>
      </c>
      <c r="C341" s="71">
        <v>40848</v>
      </c>
      <c r="D341" s="72">
        <v>41213</v>
      </c>
      <c r="E341" s="73">
        <v>0.09</v>
      </c>
      <c r="F341" s="74"/>
      <c r="G341" s="75">
        <v>0</v>
      </c>
      <c r="H341" s="74">
        <v>0</v>
      </c>
      <c r="I341" s="73">
        <v>0</v>
      </c>
    </row>
    <row r="342" spans="1:9" x14ac:dyDescent="0.25">
      <c r="A342" s="70" t="s">
        <v>171</v>
      </c>
      <c r="B342" s="70" t="s">
        <v>197</v>
      </c>
      <c r="C342" s="71">
        <v>40639</v>
      </c>
      <c r="D342" s="72">
        <v>40982</v>
      </c>
      <c r="E342" s="73">
        <v>1.7999999999999999E-2</v>
      </c>
      <c r="F342" s="74">
        <v>96448</v>
      </c>
      <c r="G342" s="75"/>
      <c r="H342" s="74">
        <v>22639.88</v>
      </c>
      <c r="I342" s="73">
        <v>0.23473664565361646</v>
      </c>
    </row>
    <row r="343" spans="1:9" x14ac:dyDescent="0.25">
      <c r="A343" s="70" t="s">
        <v>171</v>
      </c>
      <c r="B343" s="70" t="s">
        <v>198</v>
      </c>
      <c r="C343" s="71">
        <v>40639</v>
      </c>
      <c r="D343" s="72">
        <v>40982</v>
      </c>
      <c r="E343" s="73">
        <v>1.7999999999999999E-2</v>
      </c>
      <c r="F343" s="74">
        <v>7510</v>
      </c>
      <c r="G343" s="75"/>
      <c r="H343" s="74">
        <v>-7101.69</v>
      </c>
      <c r="I343" s="79">
        <f>H343/F343</f>
        <v>-0.94563115845539281</v>
      </c>
    </row>
    <row r="344" spans="1:9" x14ac:dyDescent="0.25">
      <c r="A344" s="70" t="s">
        <v>146</v>
      </c>
      <c r="B344" s="70" t="s">
        <v>153</v>
      </c>
      <c r="C344" s="71">
        <v>40725</v>
      </c>
      <c r="D344" s="72">
        <v>41090</v>
      </c>
      <c r="E344" s="101">
        <v>4.4999999999999999E-4</v>
      </c>
      <c r="F344" s="74">
        <v>4742</v>
      </c>
      <c r="G344" s="75"/>
      <c r="H344" s="74">
        <v>-2083.09</v>
      </c>
      <c r="I344" s="73">
        <v>-0.43928511176718688</v>
      </c>
    </row>
    <row r="345" spans="1:9" x14ac:dyDescent="0.25">
      <c r="A345" s="76" t="s">
        <v>317</v>
      </c>
      <c r="B345" s="76" t="s">
        <v>326</v>
      </c>
      <c r="C345" s="77">
        <v>40725</v>
      </c>
      <c r="D345" s="78">
        <v>41090</v>
      </c>
      <c r="E345" s="79">
        <v>0</v>
      </c>
      <c r="F345" s="80">
        <v>2001882.7</v>
      </c>
      <c r="G345" s="81"/>
      <c r="H345" s="80">
        <v>735694.53</v>
      </c>
      <c r="I345" s="79">
        <f>H345/F345</f>
        <v>0.36750131763464466</v>
      </c>
    </row>
    <row r="346" spans="1:9" x14ac:dyDescent="0.25">
      <c r="A346" s="76" t="s">
        <v>317</v>
      </c>
      <c r="B346" s="76" t="s">
        <v>326</v>
      </c>
      <c r="C346" s="77">
        <v>40725</v>
      </c>
      <c r="D346" s="78">
        <v>41090</v>
      </c>
      <c r="E346" s="79">
        <v>0</v>
      </c>
      <c r="F346" s="80"/>
      <c r="G346" s="81">
        <v>107029.43</v>
      </c>
      <c r="H346" s="80">
        <v>39333.46</v>
      </c>
      <c r="I346" s="79">
        <f>H346/G346</f>
        <v>0.36750134986236965</v>
      </c>
    </row>
    <row r="347" spans="1:9" x14ac:dyDescent="0.25">
      <c r="A347" s="76" t="s">
        <v>317</v>
      </c>
      <c r="B347" s="76" t="s">
        <v>326</v>
      </c>
      <c r="C347" s="77">
        <v>41091</v>
      </c>
      <c r="D347" s="78">
        <v>41440</v>
      </c>
      <c r="E347" s="79">
        <v>8.9999999999999998E-4</v>
      </c>
      <c r="F347" s="80">
        <v>971726</v>
      </c>
      <c r="G347" s="81"/>
      <c r="H347" s="80">
        <v>10254.459999999999</v>
      </c>
      <c r="I347" s="79">
        <f>H347/F347</f>
        <v>1.0552830736236345E-2</v>
      </c>
    </row>
    <row r="348" spans="1:9" x14ac:dyDescent="0.25">
      <c r="A348" s="76" t="s">
        <v>317</v>
      </c>
      <c r="B348" s="76" t="s">
        <v>326</v>
      </c>
      <c r="C348" s="77">
        <v>41091</v>
      </c>
      <c r="D348" s="78">
        <v>41440</v>
      </c>
      <c r="E348" s="79">
        <v>8.9999999999999998E-4</v>
      </c>
      <c r="F348" s="80"/>
      <c r="G348" s="81">
        <v>72832</v>
      </c>
      <c r="H348" s="80">
        <v>5630.02</v>
      </c>
      <c r="I348" s="79">
        <f>H348/G348</f>
        <v>7.7301460896309321E-2</v>
      </c>
    </row>
    <row r="349" spans="1:9" x14ac:dyDescent="0.25">
      <c r="A349" s="102" t="s">
        <v>146</v>
      </c>
      <c r="B349" s="102" t="s">
        <v>155</v>
      </c>
      <c r="C349" s="103">
        <v>40725</v>
      </c>
      <c r="D349" s="104">
        <v>41090</v>
      </c>
      <c r="E349" s="101">
        <v>4.4999999999999999E-4</v>
      </c>
      <c r="F349" s="105">
        <v>126358.74</v>
      </c>
      <c r="G349" s="106"/>
      <c r="H349" s="105">
        <v>33299.01</v>
      </c>
      <c r="I349" s="107">
        <v>0.26352755654258664</v>
      </c>
    </row>
    <row r="350" spans="1:9" x14ac:dyDescent="0.25">
      <c r="A350" s="76" t="s">
        <v>317</v>
      </c>
      <c r="B350" s="76" t="s">
        <v>155</v>
      </c>
      <c r="C350" s="77">
        <v>41091</v>
      </c>
      <c r="D350" s="78">
        <v>41440</v>
      </c>
      <c r="E350" s="79">
        <v>8.9999999999999998E-4</v>
      </c>
      <c r="F350" s="80"/>
      <c r="G350" s="81">
        <v>11960</v>
      </c>
      <c r="H350" s="80">
        <v>12</v>
      </c>
      <c r="I350" s="79">
        <f>H350/G350</f>
        <v>1.0033444816053511E-3</v>
      </c>
    </row>
    <row r="351" spans="1:9" x14ac:dyDescent="0.25">
      <c r="A351" s="76" t="s">
        <v>317</v>
      </c>
      <c r="B351" s="76" t="s">
        <v>155</v>
      </c>
      <c r="C351" s="77">
        <v>40725</v>
      </c>
      <c r="D351" s="78">
        <v>41090</v>
      </c>
      <c r="E351" s="79">
        <v>0</v>
      </c>
      <c r="F351" s="80">
        <v>176638.05</v>
      </c>
      <c r="G351" s="81"/>
      <c r="H351" s="80">
        <v>0</v>
      </c>
      <c r="I351" s="79">
        <f>H351/F351</f>
        <v>0</v>
      </c>
    </row>
    <row r="352" spans="1:9" x14ac:dyDescent="0.25">
      <c r="A352" s="76" t="s">
        <v>317</v>
      </c>
      <c r="B352" s="76" t="s">
        <v>155</v>
      </c>
      <c r="C352" s="77">
        <v>40725</v>
      </c>
      <c r="D352" s="78">
        <v>41090</v>
      </c>
      <c r="E352" s="79">
        <v>0</v>
      </c>
      <c r="F352" s="80"/>
      <c r="G352" s="81">
        <v>9889.5</v>
      </c>
      <c r="H352" s="80">
        <v>0</v>
      </c>
      <c r="I352" s="79">
        <f>H352/G352</f>
        <v>0</v>
      </c>
    </row>
    <row r="353" spans="1:9" x14ac:dyDescent="0.25">
      <c r="A353" s="76" t="s">
        <v>317</v>
      </c>
      <c r="B353" s="76" t="s">
        <v>155</v>
      </c>
      <c r="C353" s="77">
        <v>41091</v>
      </c>
      <c r="D353" s="78">
        <v>41440</v>
      </c>
      <c r="E353" s="79">
        <v>8.9999999999999998E-4</v>
      </c>
      <c r="F353" s="80">
        <v>211722</v>
      </c>
      <c r="G353" s="81"/>
      <c r="H353" s="80">
        <v>0</v>
      </c>
      <c r="I353" s="79">
        <f t="shared" ref="I353:I359" si="1">H353/F353</f>
        <v>0</v>
      </c>
    </row>
    <row r="354" spans="1:9" x14ac:dyDescent="0.25">
      <c r="A354" s="70" t="s">
        <v>171</v>
      </c>
      <c r="B354" s="70" t="s">
        <v>185</v>
      </c>
      <c r="C354" s="71">
        <v>40747</v>
      </c>
      <c r="D354" s="72">
        <v>41090</v>
      </c>
      <c r="E354" s="73">
        <v>1.7999999999999999E-2</v>
      </c>
      <c r="F354" s="74">
        <v>234012</v>
      </c>
      <c r="G354" s="75"/>
      <c r="H354" s="74">
        <v>126881.51</v>
      </c>
      <c r="I354" s="79">
        <f t="shared" si="1"/>
        <v>0.5422008700408526</v>
      </c>
    </row>
    <row r="355" spans="1:9" x14ac:dyDescent="0.25">
      <c r="A355" s="76" t="s">
        <v>449</v>
      </c>
      <c r="B355" s="76" t="s">
        <v>470</v>
      </c>
      <c r="C355" s="77">
        <v>41061</v>
      </c>
      <c r="D355" s="78">
        <v>41394</v>
      </c>
      <c r="E355" s="79">
        <v>8.9999999999999993E-3</v>
      </c>
      <c r="F355" s="80">
        <v>1786286</v>
      </c>
      <c r="G355" s="88"/>
      <c r="H355" s="80">
        <v>762206</v>
      </c>
      <c r="I355" s="79">
        <f t="shared" si="1"/>
        <v>0.4266987481287991</v>
      </c>
    </row>
    <row r="356" spans="1:9" x14ac:dyDescent="0.25">
      <c r="A356" s="76" t="s">
        <v>171</v>
      </c>
      <c r="B356" s="76" t="s">
        <v>209</v>
      </c>
      <c r="C356" s="77">
        <v>40898</v>
      </c>
      <c r="D356" s="78">
        <v>41090</v>
      </c>
      <c r="E356" s="79">
        <v>1.7999999999999999E-2</v>
      </c>
      <c r="F356" s="80">
        <v>782168.12</v>
      </c>
      <c r="G356" s="81"/>
      <c r="H356" s="80">
        <v>584597.74</v>
      </c>
      <c r="I356" s="79">
        <f t="shared" si="1"/>
        <v>0.74740675955956881</v>
      </c>
    </row>
    <row r="357" spans="1:9" x14ac:dyDescent="0.25">
      <c r="A357" s="76" t="s">
        <v>449</v>
      </c>
      <c r="B357" s="76" t="s">
        <v>209</v>
      </c>
      <c r="C357" s="77">
        <v>40749</v>
      </c>
      <c r="D357" s="78">
        <v>41029</v>
      </c>
      <c r="E357" s="79">
        <v>8.9999999999999993E-3</v>
      </c>
      <c r="F357" s="80">
        <v>1131863</v>
      </c>
      <c r="G357" s="81"/>
      <c r="H357" s="80">
        <v>563294</v>
      </c>
      <c r="I357" s="79">
        <f t="shared" si="1"/>
        <v>0.49766977098818499</v>
      </c>
    </row>
    <row r="358" spans="1:9" x14ac:dyDescent="0.25">
      <c r="A358" s="76" t="s">
        <v>665</v>
      </c>
      <c r="B358" s="76" t="s">
        <v>671</v>
      </c>
      <c r="C358" s="77">
        <v>40934</v>
      </c>
      <c r="D358" s="78">
        <v>41299</v>
      </c>
      <c r="E358" s="79">
        <v>0.2</v>
      </c>
      <c r="F358" s="80">
        <v>356998</v>
      </c>
      <c r="G358" s="81"/>
      <c r="H358" s="80">
        <v>71400</v>
      </c>
      <c r="I358" s="79">
        <f t="shared" si="1"/>
        <v>0.20000112045445634</v>
      </c>
    </row>
    <row r="359" spans="1:9" x14ac:dyDescent="0.25">
      <c r="A359" s="76" t="s">
        <v>317</v>
      </c>
      <c r="B359" s="76" t="s">
        <v>323</v>
      </c>
      <c r="C359" s="77">
        <v>41015</v>
      </c>
      <c r="D359" s="78">
        <v>41379</v>
      </c>
      <c r="E359" s="79">
        <v>0</v>
      </c>
      <c r="F359" s="80">
        <v>311724.5</v>
      </c>
      <c r="G359" s="81"/>
      <c r="H359" s="80">
        <v>60633.43</v>
      </c>
      <c r="I359" s="93">
        <f t="shared" si="1"/>
        <v>0.19450967120005005</v>
      </c>
    </row>
    <row r="360" spans="1:9" x14ac:dyDescent="0.25">
      <c r="A360" s="76" t="s">
        <v>317</v>
      </c>
      <c r="B360" s="76" t="s">
        <v>323</v>
      </c>
      <c r="C360" s="77">
        <v>41015</v>
      </c>
      <c r="D360" s="78">
        <v>41379</v>
      </c>
      <c r="E360" s="79">
        <v>0</v>
      </c>
      <c r="F360" s="80"/>
      <c r="G360" s="81">
        <v>18438.68</v>
      </c>
      <c r="H360" s="80">
        <v>3540.4</v>
      </c>
      <c r="I360" s="79">
        <f>H360/G360</f>
        <v>0.1920094063132502</v>
      </c>
    </row>
    <row r="361" spans="1:9" x14ac:dyDescent="0.25">
      <c r="A361" s="76" t="s">
        <v>317</v>
      </c>
      <c r="B361" s="76" t="s">
        <v>323</v>
      </c>
      <c r="C361" s="77">
        <v>40689</v>
      </c>
      <c r="D361" s="78">
        <v>40672</v>
      </c>
      <c r="E361" s="79">
        <v>0</v>
      </c>
      <c r="F361" s="80"/>
      <c r="G361" s="81">
        <v>62797.94</v>
      </c>
      <c r="H361" s="80">
        <v>2366.7800000000002</v>
      </c>
      <c r="I361" s="79">
        <f>H361/G361</f>
        <v>3.7688815907018607E-2</v>
      </c>
    </row>
    <row r="362" spans="1:9" x14ac:dyDescent="0.25">
      <c r="A362" s="76" t="s">
        <v>317</v>
      </c>
      <c r="B362" s="76" t="s">
        <v>323</v>
      </c>
      <c r="C362" s="77">
        <v>40673</v>
      </c>
      <c r="D362" s="78">
        <v>41014</v>
      </c>
      <c r="E362" s="79">
        <v>0</v>
      </c>
      <c r="F362" s="80">
        <v>285059.36</v>
      </c>
      <c r="G362" s="81"/>
      <c r="H362" s="80">
        <v>0</v>
      </c>
      <c r="I362" s="79">
        <f>H362/F362</f>
        <v>0</v>
      </c>
    </row>
    <row r="363" spans="1:9" x14ac:dyDescent="0.25">
      <c r="A363" s="76" t="s">
        <v>317</v>
      </c>
      <c r="B363" s="76" t="s">
        <v>323</v>
      </c>
      <c r="C363" s="77">
        <v>40673</v>
      </c>
      <c r="D363" s="78">
        <v>41014</v>
      </c>
      <c r="E363" s="79">
        <v>0</v>
      </c>
      <c r="F363" s="80"/>
      <c r="G363" s="81">
        <v>13055</v>
      </c>
      <c r="H363" s="80">
        <v>0</v>
      </c>
      <c r="I363" s="79">
        <f>H363/G363</f>
        <v>0</v>
      </c>
    </row>
    <row r="364" spans="1:9" x14ac:dyDescent="0.25">
      <c r="A364" s="76" t="s">
        <v>317</v>
      </c>
      <c r="B364" s="76" t="s">
        <v>323</v>
      </c>
      <c r="C364" s="77">
        <v>40689</v>
      </c>
      <c r="D364" s="78">
        <v>40672</v>
      </c>
      <c r="E364" s="79">
        <v>0</v>
      </c>
      <c r="F364" s="80">
        <v>1077545.45</v>
      </c>
      <c r="G364" s="81"/>
      <c r="H364" s="80">
        <v>0</v>
      </c>
      <c r="I364" s="79">
        <f>H364/F364</f>
        <v>0</v>
      </c>
    </row>
    <row r="365" spans="1:9" x14ac:dyDescent="0.25">
      <c r="A365" s="76" t="s">
        <v>317</v>
      </c>
      <c r="B365" s="76" t="s">
        <v>329</v>
      </c>
      <c r="C365" s="77">
        <v>40740</v>
      </c>
      <c r="D365" s="78">
        <v>41090</v>
      </c>
      <c r="E365" s="79">
        <v>0</v>
      </c>
      <c r="F365" s="80">
        <v>82553.5</v>
      </c>
      <c r="G365" s="81"/>
      <c r="H365" s="80">
        <v>40310.25</v>
      </c>
      <c r="I365" s="79">
        <f>H365/F365</f>
        <v>0.48829244065969341</v>
      </c>
    </row>
    <row r="366" spans="1:9" x14ac:dyDescent="0.25">
      <c r="A366" s="76" t="s">
        <v>317</v>
      </c>
      <c r="B366" s="76" t="s">
        <v>329</v>
      </c>
      <c r="C366" s="77">
        <v>40740</v>
      </c>
      <c r="D366" s="78">
        <v>41090</v>
      </c>
      <c r="E366" s="79">
        <v>0</v>
      </c>
      <c r="F366" s="80"/>
      <c r="G366" s="81">
        <v>3025</v>
      </c>
      <c r="H366" s="80">
        <v>1477.08</v>
      </c>
      <c r="I366" s="79">
        <f>H366/G366</f>
        <v>0.48829090909090905</v>
      </c>
    </row>
    <row r="367" spans="1:9" x14ac:dyDescent="0.25">
      <c r="A367" s="76" t="s">
        <v>317</v>
      </c>
      <c r="B367" s="76" t="s">
        <v>363</v>
      </c>
      <c r="C367" s="77">
        <v>41144</v>
      </c>
      <c r="D367" s="78">
        <v>41455</v>
      </c>
      <c r="E367" s="79">
        <v>8.9999999999999998E-4</v>
      </c>
      <c r="F367" s="80">
        <v>43873</v>
      </c>
      <c r="G367" s="81"/>
      <c r="H367" s="80">
        <v>12639.61</v>
      </c>
      <c r="I367" s="79">
        <f>H367/F367</f>
        <v>0.28809541175666131</v>
      </c>
    </row>
    <row r="368" spans="1:9" x14ac:dyDescent="0.25">
      <c r="A368" s="76" t="s">
        <v>317</v>
      </c>
      <c r="B368" s="76" t="s">
        <v>363</v>
      </c>
      <c r="C368" s="77">
        <v>41144</v>
      </c>
      <c r="D368" s="78">
        <v>41455</v>
      </c>
      <c r="E368" s="79">
        <v>8.9999999999999998E-4</v>
      </c>
      <c r="F368" s="80"/>
      <c r="G368" s="81">
        <v>1910</v>
      </c>
      <c r="H368" s="80">
        <v>550.26</v>
      </c>
      <c r="I368" s="79">
        <f>H368/G368</f>
        <v>0.2880942408376963</v>
      </c>
    </row>
    <row r="369" spans="1:9" x14ac:dyDescent="0.25">
      <c r="A369" s="70" t="s">
        <v>146</v>
      </c>
      <c r="B369" s="70" t="s">
        <v>161</v>
      </c>
      <c r="C369" s="71">
        <v>40990</v>
      </c>
      <c r="D369" s="72">
        <v>41274</v>
      </c>
      <c r="E369" s="101">
        <v>4.4999999999999999E-4</v>
      </c>
      <c r="F369" s="74">
        <v>224345.67</v>
      </c>
      <c r="G369" s="75"/>
      <c r="H369" s="74">
        <v>-39718.720000000001</v>
      </c>
      <c r="I369" s="73">
        <v>-0.17704250766239438</v>
      </c>
    </row>
    <row r="370" spans="1:9" x14ac:dyDescent="0.25">
      <c r="A370" s="76" t="s">
        <v>317</v>
      </c>
      <c r="B370" s="76" t="s">
        <v>161</v>
      </c>
      <c r="C370" s="77">
        <v>40708</v>
      </c>
      <c r="D370" s="78">
        <v>41029</v>
      </c>
      <c r="E370" s="79">
        <v>0</v>
      </c>
      <c r="F370" s="80">
        <v>200721.12</v>
      </c>
      <c r="G370" s="81"/>
      <c r="H370" s="80">
        <v>0</v>
      </c>
      <c r="I370" s="79">
        <f>H370/F370</f>
        <v>0</v>
      </c>
    </row>
    <row r="371" spans="1:9" x14ac:dyDescent="0.25">
      <c r="A371" s="76" t="s">
        <v>317</v>
      </c>
      <c r="B371" s="76" t="s">
        <v>161</v>
      </c>
      <c r="C371" s="77">
        <v>40708</v>
      </c>
      <c r="D371" s="78">
        <v>41029</v>
      </c>
      <c r="E371" s="79">
        <v>0</v>
      </c>
      <c r="F371" s="80"/>
      <c r="G371" s="81">
        <v>2533</v>
      </c>
      <c r="H371" s="80">
        <v>0</v>
      </c>
      <c r="I371" s="79">
        <f>H371/G371</f>
        <v>0</v>
      </c>
    </row>
    <row r="372" spans="1:9" x14ac:dyDescent="0.25">
      <c r="A372" s="76" t="s">
        <v>449</v>
      </c>
      <c r="B372" s="76" t="s">
        <v>475</v>
      </c>
      <c r="C372" s="77">
        <v>41153</v>
      </c>
      <c r="D372" s="78">
        <v>41517</v>
      </c>
      <c r="E372" s="79">
        <v>0</v>
      </c>
      <c r="F372" s="80">
        <v>141151</v>
      </c>
      <c r="G372" s="81"/>
      <c r="H372" s="80">
        <v>62230</v>
      </c>
      <c r="I372" s="79">
        <f>H372/F372</f>
        <v>0.44087537459883386</v>
      </c>
    </row>
    <row r="373" spans="1:9" x14ac:dyDescent="0.25">
      <c r="A373" s="70" t="s">
        <v>146</v>
      </c>
      <c r="B373" s="70" t="s">
        <v>159</v>
      </c>
      <c r="C373" s="71">
        <v>40852</v>
      </c>
      <c r="D373" s="72">
        <v>41217</v>
      </c>
      <c r="E373" s="73">
        <v>0</v>
      </c>
      <c r="F373" s="74">
        <v>0</v>
      </c>
      <c r="G373" s="75"/>
      <c r="H373" s="74">
        <v>0</v>
      </c>
      <c r="I373" s="73">
        <v>0</v>
      </c>
    </row>
    <row r="374" spans="1:9" x14ac:dyDescent="0.25">
      <c r="A374" s="76" t="s">
        <v>449</v>
      </c>
      <c r="B374" s="76" t="s">
        <v>159</v>
      </c>
      <c r="C374" s="77">
        <v>40787</v>
      </c>
      <c r="D374" s="78">
        <v>41152</v>
      </c>
      <c r="E374" s="79">
        <v>0</v>
      </c>
      <c r="F374" s="80">
        <v>77833</v>
      </c>
      <c r="G374" s="81"/>
      <c r="H374" s="80">
        <v>20202</v>
      </c>
      <c r="I374" s="79">
        <f>H374/F374</f>
        <v>0.25955571544203615</v>
      </c>
    </row>
    <row r="375" spans="1:9" ht="14.25" customHeight="1" x14ac:dyDescent="0.25">
      <c r="A375" s="76" t="s">
        <v>289</v>
      </c>
      <c r="B375" s="76" t="s">
        <v>300</v>
      </c>
      <c r="C375" s="77">
        <v>40919</v>
      </c>
      <c r="D375" s="78">
        <v>41010</v>
      </c>
      <c r="E375" s="79">
        <v>0.13</v>
      </c>
      <c r="F375" s="79"/>
      <c r="G375" s="81">
        <v>9912</v>
      </c>
      <c r="H375" s="80">
        <v>1295.56</v>
      </c>
      <c r="I375" s="79">
        <f>H375/G375</f>
        <v>0.13070621468926552</v>
      </c>
    </row>
    <row r="376" spans="1:9" x14ac:dyDescent="0.25">
      <c r="A376" s="76" t="s">
        <v>549</v>
      </c>
      <c r="B376" s="76" t="s">
        <v>554</v>
      </c>
      <c r="C376" s="77">
        <v>40891</v>
      </c>
      <c r="D376" s="78">
        <v>41090</v>
      </c>
      <c r="E376" s="79">
        <v>0.32400000000000001</v>
      </c>
      <c r="F376" s="80">
        <v>13650</v>
      </c>
      <c r="G376" s="88"/>
      <c r="H376" s="80">
        <v>1957.95</v>
      </c>
      <c r="I376" s="79">
        <f>H376/F376</f>
        <v>0.14343956043956044</v>
      </c>
    </row>
    <row r="377" spans="1:9" x14ac:dyDescent="0.25">
      <c r="A377" s="70" t="s">
        <v>101</v>
      </c>
      <c r="B377" s="70" t="s">
        <v>112</v>
      </c>
      <c r="C377" s="71">
        <v>41007</v>
      </c>
      <c r="D377" s="72">
        <v>41371</v>
      </c>
      <c r="E377" s="73">
        <v>1.35E-2</v>
      </c>
      <c r="F377" s="74"/>
      <c r="G377" s="75">
        <v>1472.2</v>
      </c>
      <c r="H377" s="74">
        <v>-1489.34</v>
      </c>
      <c r="I377" s="73">
        <v>-1.011642439885885</v>
      </c>
    </row>
    <row r="378" spans="1:9" x14ac:dyDescent="0.25">
      <c r="A378" s="76" t="s">
        <v>512</v>
      </c>
      <c r="B378" s="76" t="s">
        <v>514</v>
      </c>
      <c r="C378" s="77">
        <v>40865</v>
      </c>
      <c r="D378" s="78">
        <v>41230</v>
      </c>
      <c r="E378" s="79">
        <v>0.13500000000000001</v>
      </c>
      <c r="F378" s="80"/>
      <c r="G378" s="81">
        <v>9772</v>
      </c>
      <c r="H378" s="80">
        <v>1465.8</v>
      </c>
      <c r="I378" s="79">
        <f>H378/G378</f>
        <v>0.15</v>
      </c>
    </row>
    <row r="379" spans="1:9" x14ac:dyDescent="0.25">
      <c r="A379" s="76" t="s">
        <v>555</v>
      </c>
      <c r="B379" s="76" t="s">
        <v>514</v>
      </c>
      <c r="C379" s="77">
        <v>40878</v>
      </c>
      <c r="D379" s="78">
        <v>40983</v>
      </c>
      <c r="E379" s="79">
        <v>0.2</v>
      </c>
      <c r="F379" s="80"/>
      <c r="G379" s="81">
        <v>85</v>
      </c>
      <c r="H379" s="80">
        <v>17</v>
      </c>
      <c r="I379" s="79">
        <f>H379/G379</f>
        <v>0.2</v>
      </c>
    </row>
    <row r="380" spans="1:9" x14ac:dyDescent="0.25">
      <c r="A380" s="76" t="s">
        <v>531</v>
      </c>
      <c r="B380" s="76" t="s">
        <v>540</v>
      </c>
      <c r="C380" s="77">
        <v>40828</v>
      </c>
      <c r="D380" s="78">
        <v>41182</v>
      </c>
      <c r="E380" s="79">
        <v>8.9999999999999993E-3</v>
      </c>
      <c r="F380" s="80"/>
      <c r="G380" s="81">
        <v>186</v>
      </c>
      <c r="H380" s="80">
        <v>-89</v>
      </c>
      <c r="I380" s="79">
        <f>H380/G380</f>
        <v>-0.478494623655914</v>
      </c>
    </row>
    <row r="381" spans="1:9" x14ac:dyDescent="0.25">
      <c r="A381" s="76" t="s">
        <v>531</v>
      </c>
      <c r="B381" s="76" t="s">
        <v>540</v>
      </c>
      <c r="C381" s="77">
        <v>40828</v>
      </c>
      <c r="D381" s="78">
        <v>41182</v>
      </c>
      <c r="E381" s="79">
        <v>8.9999999999999993E-3</v>
      </c>
      <c r="F381" s="80">
        <v>5668</v>
      </c>
      <c r="G381" s="81"/>
      <c r="H381" s="80">
        <v>-668</v>
      </c>
      <c r="I381" s="79">
        <f>H381/F381</f>
        <v>-0.11785462244177841</v>
      </c>
    </row>
    <row r="382" spans="1:9" x14ac:dyDescent="0.25">
      <c r="A382" s="76" t="s">
        <v>674</v>
      </c>
      <c r="B382" s="76" t="s">
        <v>540</v>
      </c>
      <c r="C382" s="77">
        <v>40911</v>
      </c>
      <c r="D382" s="78">
        <v>41182</v>
      </c>
      <c r="E382" s="79">
        <v>0.25</v>
      </c>
      <c r="F382" s="80">
        <v>0</v>
      </c>
      <c r="G382" s="81"/>
      <c r="H382" s="80">
        <v>0</v>
      </c>
      <c r="I382" s="79">
        <v>0</v>
      </c>
    </row>
    <row r="383" spans="1:9" x14ac:dyDescent="0.25">
      <c r="A383" s="76" t="s">
        <v>674</v>
      </c>
      <c r="B383" s="76" t="s">
        <v>540</v>
      </c>
      <c r="C383" s="77">
        <v>40911</v>
      </c>
      <c r="D383" s="78">
        <v>41182</v>
      </c>
      <c r="E383" s="79">
        <v>0.25</v>
      </c>
      <c r="F383" s="80"/>
      <c r="G383" s="81">
        <v>0</v>
      </c>
      <c r="H383" s="80">
        <v>0</v>
      </c>
      <c r="I383" s="79">
        <v>0</v>
      </c>
    </row>
    <row r="384" spans="1:9" x14ac:dyDescent="0.25">
      <c r="A384" s="76" t="s">
        <v>531</v>
      </c>
      <c r="B384" s="76" t="s">
        <v>541</v>
      </c>
      <c r="C384" s="77">
        <v>40828</v>
      </c>
      <c r="D384" s="78">
        <v>41182</v>
      </c>
      <c r="E384" s="79">
        <v>8.9999999999999993E-3</v>
      </c>
      <c r="F384" s="80">
        <v>0</v>
      </c>
      <c r="G384" s="81"/>
      <c r="H384" s="80">
        <v>0</v>
      </c>
      <c r="I384" s="79">
        <v>0</v>
      </c>
    </row>
    <row r="385" spans="1:9" x14ac:dyDescent="0.25">
      <c r="A385" s="76" t="s">
        <v>531</v>
      </c>
      <c r="B385" s="76" t="s">
        <v>541</v>
      </c>
      <c r="C385" s="77">
        <v>40828</v>
      </c>
      <c r="D385" s="78">
        <v>41182</v>
      </c>
      <c r="E385" s="79">
        <v>8.9999999999999993E-3</v>
      </c>
      <c r="F385" s="80"/>
      <c r="G385" s="81">
        <v>0</v>
      </c>
      <c r="H385" s="80">
        <v>0</v>
      </c>
      <c r="I385" s="79">
        <v>0</v>
      </c>
    </row>
    <row r="386" spans="1:9" x14ac:dyDescent="0.25">
      <c r="A386" s="76" t="s">
        <v>491</v>
      </c>
      <c r="B386" s="76" t="s">
        <v>499</v>
      </c>
      <c r="C386" s="77">
        <v>41197</v>
      </c>
      <c r="D386" s="78">
        <v>41222</v>
      </c>
      <c r="E386" s="79">
        <v>0.4</v>
      </c>
      <c r="F386" s="80">
        <v>100841</v>
      </c>
      <c r="G386" s="88"/>
      <c r="H386" s="80">
        <v>40336.400000000001</v>
      </c>
      <c r="I386" s="79">
        <f>H386/F386</f>
        <v>0.4</v>
      </c>
    </row>
    <row r="387" spans="1:9" x14ac:dyDescent="0.25">
      <c r="A387" s="76" t="s">
        <v>491</v>
      </c>
      <c r="B387" s="76" t="s">
        <v>494</v>
      </c>
      <c r="C387" s="77">
        <v>41029</v>
      </c>
      <c r="D387" s="78">
        <v>41054</v>
      </c>
      <c r="E387" s="79">
        <v>0.4</v>
      </c>
      <c r="F387" s="80">
        <v>84500.5</v>
      </c>
      <c r="G387" s="88"/>
      <c r="H387" s="80">
        <v>33800.199999999997</v>
      </c>
      <c r="I387" s="79">
        <f>H387/F387</f>
        <v>0.39999999999999997</v>
      </c>
    </row>
    <row r="388" spans="1:9" x14ac:dyDescent="0.25">
      <c r="A388" s="70" t="s">
        <v>130</v>
      </c>
      <c r="B388" s="70" t="s">
        <v>132</v>
      </c>
      <c r="C388" s="71">
        <v>40725</v>
      </c>
      <c r="D388" s="72">
        <v>41014</v>
      </c>
      <c r="E388" s="73">
        <v>0.108</v>
      </c>
      <c r="F388" s="74">
        <v>299821.55</v>
      </c>
      <c r="G388" s="75"/>
      <c r="H388" s="74">
        <v>36450.269999999997</v>
      </c>
      <c r="I388" s="73">
        <v>0.12157321580119908</v>
      </c>
    </row>
    <row r="389" spans="1:9" x14ac:dyDescent="0.25">
      <c r="A389" s="76" t="s">
        <v>504</v>
      </c>
      <c r="B389" s="76" t="s">
        <v>132</v>
      </c>
      <c r="C389" s="77">
        <v>40772</v>
      </c>
      <c r="D389" s="78">
        <v>41137</v>
      </c>
      <c r="E389" s="79">
        <v>8.9999999999999993E-3</v>
      </c>
      <c r="F389" s="80"/>
      <c r="G389" s="81">
        <v>21615</v>
      </c>
      <c r="H389" s="80">
        <v>2161.5</v>
      </c>
      <c r="I389" s="79">
        <f>H389/G389</f>
        <v>0.1</v>
      </c>
    </row>
    <row r="390" spans="1:9" x14ac:dyDescent="0.25">
      <c r="A390" s="76" t="s">
        <v>512</v>
      </c>
      <c r="B390" s="76" t="s">
        <v>132</v>
      </c>
      <c r="C390" s="77">
        <v>41138</v>
      </c>
      <c r="D390" s="78">
        <v>41502</v>
      </c>
      <c r="E390" s="79">
        <v>8.9999999999999993E-3</v>
      </c>
      <c r="F390" s="80"/>
      <c r="G390" s="81">
        <v>24388.5</v>
      </c>
      <c r="H390" s="80">
        <v>2438.85</v>
      </c>
      <c r="I390" s="79">
        <f>H390/G390</f>
        <v>9.9999999999999992E-2</v>
      </c>
    </row>
    <row r="391" spans="1:9" x14ac:dyDescent="0.25">
      <c r="A391" s="76" t="s">
        <v>504</v>
      </c>
      <c r="B391" s="76" t="s">
        <v>509</v>
      </c>
      <c r="C391" s="77">
        <v>40815</v>
      </c>
      <c r="D391" s="78">
        <v>41180</v>
      </c>
      <c r="E391" s="79">
        <v>0.09</v>
      </c>
      <c r="F391" s="80">
        <v>0</v>
      </c>
      <c r="G391" s="81"/>
      <c r="H391" s="80">
        <v>0</v>
      </c>
      <c r="I391" s="79">
        <v>0</v>
      </c>
    </row>
    <row r="392" spans="1:9" x14ac:dyDescent="0.25">
      <c r="A392" s="76" t="s">
        <v>504</v>
      </c>
      <c r="B392" s="76" t="s">
        <v>509</v>
      </c>
      <c r="C392" s="77">
        <v>40815</v>
      </c>
      <c r="D392" s="78">
        <v>41180</v>
      </c>
      <c r="E392" s="79">
        <v>0.09</v>
      </c>
      <c r="F392" s="80"/>
      <c r="G392" s="81">
        <v>0</v>
      </c>
      <c r="H392" s="80">
        <v>0</v>
      </c>
      <c r="I392" s="79">
        <v>0</v>
      </c>
    </row>
    <row r="393" spans="1:9" x14ac:dyDescent="0.25">
      <c r="A393" s="76" t="s">
        <v>512</v>
      </c>
      <c r="B393" s="76" t="s">
        <v>509</v>
      </c>
      <c r="C393" s="77">
        <v>41181</v>
      </c>
      <c r="D393" s="78">
        <v>41545</v>
      </c>
      <c r="E393" s="79">
        <v>0.09</v>
      </c>
      <c r="F393" s="80">
        <v>0</v>
      </c>
      <c r="G393" s="81"/>
      <c r="H393" s="80">
        <v>0</v>
      </c>
      <c r="I393" s="79">
        <v>0</v>
      </c>
    </row>
    <row r="394" spans="1:9" x14ac:dyDescent="0.25">
      <c r="A394" s="76" t="s">
        <v>512</v>
      </c>
      <c r="B394" s="76" t="s">
        <v>509</v>
      </c>
      <c r="C394" s="77">
        <v>41181</v>
      </c>
      <c r="D394" s="78">
        <v>41545</v>
      </c>
      <c r="E394" s="79">
        <v>0.09</v>
      </c>
      <c r="F394" s="80"/>
      <c r="G394" s="81">
        <v>0</v>
      </c>
      <c r="H394" s="80">
        <v>0</v>
      </c>
      <c r="I394" s="79">
        <v>0</v>
      </c>
    </row>
    <row r="395" spans="1:9" x14ac:dyDescent="0.25">
      <c r="A395" s="76" t="s">
        <v>512</v>
      </c>
      <c r="B395" s="76" t="s">
        <v>515</v>
      </c>
      <c r="C395" s="77">
        <v>41174</v>
      </c>
      <c r="D395" s="78">
        <v>41538</v>
      </c>
      <c r="E395" s="79">
        <v>0.09</v>
      </c>
      <c r="F395" s="80">
        <v>0</v>
      </c>
      <c r="G395" s="81"/>
      <c r="H395" s="80">
        <v>0</v>
      </c>
      <c r="I395" s="79">
        <v>0</v>
      </c>
    </row>
    <row r="396" spans="1:9" x14ac:dyDescent="0.25">
      <c r="A396" s="76" t="s">
        <v>512</v>
      </c>
      <c r="B396" s="76" t="s">
        <v>515</v>
      </c>
      <c r="C396" s="77">
        <v>41174</v>
      </c>
      <c r="D396" s="78">
        <v>41538</v>
      </c>
      <c r="E396" s="79">
        <v>0.09</v>
      </c>
      <c r="F396" s="80"/>
      <c r="G396" s="81">
        <v>0</v>
      </c>
      <c r="H396" s="80">
        <v>0</v>
      </c>
      <c r="I396" s="79">
        <v>0</v>
      </c>
    </row>
    <row r="397" spans="1:9" x14ac:dyDescent="0.25">
      <c r="A397" s="76" t="s">
        <v>504</v>
      </c>
      <c r="B397" s="76" t="s">
        <v>508</v>
      </c>
      <c r="C397" s="77">
        <v>40808</v>
      </c>
      <c r="D397" s="78">
        <v>41173</v>
      </c>
      <c r="E397" s="79">
        <v>0.09</v>
      </c>
      <c r="F397" s="80">
        <v>0</v>
      </c>
      <c r="G397" s="81"/>
      <c r="H397" s="80">
        <v>0</v>
      </c>
      <c r="I397" s="79">
        <v>0</v>
      </c>
    </row>
    <row r="398" spans="1:9" x14ac:dyDescent="0.25">
      <c r="A398" s="76" t="s">
        <v>504</v>
      </c>
      <c r="B398" s="76" t="s">
        <v>508</v>
      </c>
      <c r="C398" s="77">
        <v>40808</v>
      </c>
      <c r="D398" s="78">
        <v>41173</v>
      </c>
      <c r="E398" s="79">
        <v>0.09</v>
      </c>
      <c r="F398" s="80"/>
      <c r="G398" s="81">
        <v>0</v>
      </c>
      <c r="H398" s="80">
        <v>0</v>
      </c>
      <c r="I398" s="79">
        <v>0</v>
      </c>
    </row>
    <row r="399" spans="1:9" x14ac:dyDescent="0.25">
      <c r="A399" s="70" t="s">
        <v>38</v>
      </c>
      <c r="B399" s="70" t="s">
        <v>39</v>
      </c>
      <c r="C399" s="71">
        <v>40549</v>
      </c>
      <c r="D399" s="72">
        <v>40913</v>
      </c>
      <c r="E399" s="73">
        <v>0.45</v>
      </c>
      <c r="F399" s="74"/>
      <c r="G399" s="75">
        <v>94803</v>
      </c>
      <c r="H399" s="74">
        <v>42661.35</v>
      </c>
      <c r="I399" s="73">
        <v>0.45</v>
      </c>
    </row>
    <row r="400" spans="1:9" x14ac:dyDescent="0.25">
      <c r="A400" s="70" t="s">
        <v>38</v>
      </c>
      <c r="B400" s="70" t="s">
        <v>39</v>
      </c>
      <c r="C400" s="71">
        <v>40914</v>
      </c>
      <c r="D400" s="72">
        <v>41279</v>
      </c>
      <c r="E400" s="73">
        <v>0.45</v>
      </c>
      <c r="F400" s="74"/>
      <c r="G400" s="75">
        <v>56990</v>
      </c>
      <c r="H400" s="74">
        <v>25645.5</v>
      </c>
      <c r="I400" s="73">
        <v>0.45</v>
      </c>
    </row>
    <row r="401" spans="1:9" x14ac:dyDescent="0.25">
      <c r="A401" s="70" t="s">
        <v>95</v>
      </c>
      <c r="B401" s="70" t="s">
        <v>39</v>
      </c>
      <c r="C401" s="71">
        <v>40825</v>
      </c>
      <c r="D401" s="72">
        <v>41190</v>
      </c>
      <c r="E401" s="73">
        <v>0.09</v>
      </c>
      <c r="F401" s="74">
        <v>276171.36</v>
      </c>
      <c r="G401" s="75"/>
      <c r="H401" s="74">
        <v>27647.14</v>
      </c>
      <c r="I401" s="73">
        <v>0.1001086426919866</v>
      </c>
    </row>
    <row r="402" spans="1:9" x14ac:dyDescent="0.25">
      <c r="A402" s="70" t="s">
        <v>119</v>
      </c>
      <c r="B402" s="70" t="s">
        <v>39</v>
      </c>
      <c r="C402" s="71">
        <v>40787</v>
      </c>
      <c r="D402" s="72">
        <v>41152</v>
      </c>
      <c r="E402" s="73">
        <v>0.09</v>
      </c>
      <c r="F402" s="74">
        <v>2673607.9</v>
      </c>
      <c r="G402" s="75"/>
      <c r="H402" s="74">
        <v>401041.18</v>
      </c>
      <c r="I402" s="73">
        <v>0.14999999812986789</v>
      </c>
    </row>
    <row r="403" spans="1:9" x14ac:dyDescent="0.25">
      <c r="A403" s="70" t="s">
        <v>171</v>
      </c>
      <c r="B403" s="70" t="s">
        <v>180</v>
      </c>
      <c r="C403" s="71">
        <v>40758</v>
      </c>
      <c r="D403" s="72">
        <v>41123</v>
      </c>
      <c r="E403" s="73">
        <v>1.7999999999999999E-2</v>
      </c>
      <c r="F403" s="74">
        <v>2723980</v>
      </c>
      <c r="G403" s="75"/>
      <c r="H403" s="74">
        <v>1847928</v>
      </c>
      <c r="I403" s="79">
        <f>H403/F403</f>
        <v>0.67839264605466998</v>
      </c>
    </row>
    <row r="404" spans="1:9" x14ac:dyDescent="0.25">
      <c r="A404" s="76" t="s">
        <v>171</v>
      </c>
      <c r="B404" s="76" t="s">
        <v>180</v>
      </c>
      <c r="C404" s="77">
        <v>41124</v>
      </c>
      <c r="D404" s="78">
        <v>41274</v>
      </c>
      <c r="E404" s="79">
        <v>1.7999999999999999E-2</v>
      </c>
      <c r="F404" s="80">
        <v>374605</v>
      </c>
      <c r="G404" s="81"/>
      <c r="H404" s="80">
        <v>200864</v>
      </c>
      <c r="I404" s="79">
        <f>H404/F404</f>
        <v>0.53620213291333541</v>
      </c>
    </row>
    <row r="405" spans="1:9" x14ac:dyDescent="0.25">
      <c r="A405" s="70" t="s">
        <v>171</v>
      </c>
      <c r="B405" s="70" t="s">
        <v>199</v>
      </c>
      <c r="C405" s="71">
        <v>40710</v>
      </c>
      <c r="D405" s="72">
        <v>41076</v>
      </c>
      <c r="E405" s="73">
        <v>1.7999999999999999E-2</v>
      </c>
      <c r="F405" s="74"/>
      <c r="G405" s="75">
        <v>2401</v>
      </c>
      <c r="H405" s="74">
        <v>-705</v>
      </c>
      <c r="I405" s="73">
        <v>-0.2936276551436901</v>
      </c>
    </row>
    <row r="406" spans="1:9" x14ac:dyDescent="0.25">
      <c r="A406" s="70" t="s">
        <v>171</v>
      </c>
      <c r="B406" s="70" t="s">
        <v>199</v>
      </c>
      <c r="C406" s="71">
        <v>40710</v>
      </c>
      <c r="D406" s="72">
        <v>41076</v>
      </c>
      <c r="E406" s="73">
        <v>1.7999999999999999E-2</v>
      </c>
      <c r="F406" s="74">
        <v>64593</v>
      </c>
      <c r="G406" s="75"/>
      <c r="H406" s="74">
        <v>-2442</v>
      </c>
      <c r="I406" s="79">
        <f>H406/F406</f>
        <v>-3.7805954205564068E-2</v>
      </c>
    </row>
    <row r="407" spans="1:9" x14ac:dyDescent="0.25">
      <c r="A407" s="76" t="s">
        <v>239</v>
      </c>
      <c r="B407" s="76" t="s">
        <v>241</v>
      </c>
      <c r="C407" s="77">
        <v>41003</v>
      </c>
      <c r="D407" s="78">
        <v>41364</v>
      </c>
      <c r="E407" s="79">
        <v>0</v>
      </c>
      <c r="F407" s="80">
        <v>6748</v>
      </c>
      <c r="G407" s="81"/>
      <c r="H407" s="80">
        <v>867</v>
      </c>
      <c r="I407" s="79">
        <f>H407/F407</f>
        <v>0.12848251333728511</v>
      </c>
    </row>
    <row r="408" spans="1:9" x14ac:dyDescent="0.25">
      <c r="A408" s="76" t="s">
        <v>239</v>
      </c>
      <c r="B408" s="76" t="s">
        <v>241</v>
      </c>
      <c r="C408" s="77">
        <v>41003</v>
      </c>
      <c r="D408" s="78">
        <v>41364</v>
      </c>
      <c r="E408" s="79">
        <v>0</v>
      </c>
      <c r="F408" s="80"/>
      <c r="G408" s="81">
        <v>170</v>
      </c>
      <c r="H408" s="80">
        <v>100.7</v>
      </c>
      <c r="I408" s="79">
        <f>H408/G408</f>
        <v>0.59235294117647064</v>
      </c>
    </row>
    <row r="409" spans="1:9" x14ac:dyDescent="0.25">
      <c r="A409" s="76" t="s">
        <v>429</v>
      </c>
      <c r="B409" s="76" t="s">
        <v>431</v>
      </c>
      <c r="C409" s="77">
        <v>40847</v>
      </c>
      <c r="D409" s="78">
        <v>41151</v>
      </c>
      <c r="E409" s="79">
        <v>0.2</v>
      </c>
      <c r="F409" s="88"/>
      <c r="G409" s="81">
        <v>97145</v>
      </c>
      <c r="H409" s="80">
        <v>77716</v>
      </c>
      <c r="I409" s="79">
        <f>H409/G409</f>
        <v>0.8</v>
      </c>
    </row>
    <row r="410" spans="1:9" x14ac:dyDescent="0.25">
      <c r="A410" s="76" t="s">
        <v>171</v>
      </c>
      <c r="B410" s="76" t="s">
        <v>204</v>
      </c>
      <c r="C410" s="77">
        <v>40796</v>
      </c>
      <c r="D410" s="78">
        <v>41161</v>
      </c>
      <c r="E410" s="79">
        <v>1.7999999999999999E-2</v>
      </c>
      <c r="F410" s="80">
        <v>281577</v>
      </c>
      <c r="G410" s="81"/>
      <c r="H410" s="80">
        <v>150420</v>
      </c>
      <c r="I410" s="79">
        <f>H410/F410</f>
        <v>0.53420556366464589</v>
      </c>
    </row>
    <row r="411" spans="1:9" x14ac:dyDescent="0.25">
      <c r="A411" s="76" t="s">
        <v>246</v>
      </c>
      <c r="B411" s="76" t="s">
        <v>188</v>
      </c>
      <c r="C411" s="77">
        <v>40731</v>
      </c>
      <c r="D411" s="78">
        <v>41090</v>
      </c>
      <c r="E411" s="79">
        <v>0</v>
      </c>
      <c r="F411" s="80">
        <v>47197.39</v>
      </c>
      <c r="G411" s="88"/>
      <c r="H411" s="80">
        <v>-20050.04</v>
      </c>
      <c r="I411" s="79">
        <f>H411/F411</f>
        <v>-0.42481247374060305</v>
      </c>
    </row>
    <row r="412" spans="1:9" x14ac:dyDescent="0.25">
      <c r="A412" s="76" t="s">
        <v>413</v>
      </c>
      <c r="B412" s="76" t="s">
        <v>414</v>
      </c>
      <c r="C412" s="77">
        <v>40575</v>
      </c>
      <c r="D412" s="78">
        <v>40939</v>
      </c>
      <c r="E412" s="79">
        <v>0.29699999999999999</v>
      </c>
      <c r="F412" s="112"/>
      <c r="G412" s="81">
        <v>574208</v>
      </c>
      <c r="H412" s="80">
        <v>187222</v>
      </c>
      <c r="I412" s="79">
        <f>H412/G412</f>
        <v>0.3260525802496656</v>
      </c>
    </row>
    <row r="413" spans="1:9" x14ac:dyDescent="0.25">
      <c r="A413" s="76" t="s">
        <v>413</v>
      </c>
      <c r="B413" s="76" t="s">
        <v>414</v>
      </c>
      <c r="C413" s="77">
        <v>40940</v>
      </c>
      <c r="D413" s="78">
        <v>41305</v>
      </c>
      <c r="E413" s="79">
        <v>0.29699999999999999</v>
      </c>
      <c r="F413" s="80"/>
      <c r="G413" s="81">
        <v>517065</v>
      </c>
      <c r="H413" s="80">
        <v>167110</v>
      </c>
      <c r="I413" s="79">
        <f>H413/G413</f>
        <v>0.32318954096680302</v>
      </c>
    </row>
    <row r="414" spans="1:9" x14ac:dyDescent="0.25">
      <c r="A414" s="76" t="s">
        <v>317</v>
      </c>
      <c r="B414" s="76" t="s">
        <v>328</v>
      </c>
      <c r="C414" s="77">
        <v>41095</v>
      </c>
      <c r="D414" s="78">
        <v>41459</v>
      </c>
      <c r="E414" s="79">
        <v>8.9999999999999998E-4</v>
      </c>
      <c r="F414" s="80">
        <v>1386488.63</v>
      </c>
      <c r="G414" s="81"/>
      <c r="H414" s="80">
        <v>160507.10999999999</v>
      </c>
      <c r="I414" s="79">
        <f>H414/F414</f>
        <v>0.11576518301487983</v>
      </c>
    </row>
    <row r="415" spans="1:9" x14ac:dyDescent="0.25">
      <c r="A415" s="76" t="s">
        <v>317</v>
      </c>
      <c r="B415" s="76" t="s">
        <v>328</v>
      </c>
      <c r="C415" s="77">
        <v>40729</v>
      </c>
      <c r="D415" s="78">
        <v>41094</v>
      </c>
      <c r="E415" s="79">
        <v>0</v>
      </c>
      <c r="F415" s="80">
        <v>1401611.29</v>
      </c>
      <c r="G415" s="81"/>
      <c r="H415" s="80">
        <v>40352.58</v>
      </c>
      <c r="I415" s="79">
        <f>H415/F415</f>
        <v>2.8790136243836906E-2</v>
      </c>
    </row>
    <row r="416" spans="1:9" x14ac:dyDescent="0.25">
      <c r="A416" s="76" t="s">
        <v>317</v>
      </c>
      <c r="B416" s="76" t="s">
        <v>328</v>
      </c>
      <c r="C416" s="77">
        <v>41095</v>
      </c>
      <c r="D416" s="78">
        <v>41459</v>
      </c>
      <c r="E416" s="79">
        <v>8.9999999999999998E-4</v>
      </c>
      <c r="F416" s="80"/>
      <c r="G416" s="81">
        <v>77505.22</v>
      </c>
      <c r="H416" s="80">
        <v>8972.41</v>
      </c>
      <c r="I416" s="79">
        <f>H416/G416</f>
        <v>0.115765234909339</v>
      </c>
    </row>
    <row r="417" spans="1:9" x14ac:dyDescent="0.25">
      <c r="A417" s="76" t="s">
        <v>317</v>
      </c>
      <c r="B417" s="76" t="s">
        <v>328</v>
      </c>
      <c r="C417" s="77">
        <v>40729</v>
      </c>
      <c r="D417" s="78">
        <v>41094</v>
      </c>
      <c r="E417" s="79">
        <v>0</v>
      </c>
      <c r="F417" s="80"/>
      <c r="G417" s="81">
        <v>78350.58</v>
      </c>
      <c r="H417" s="80">
        <v>2255.7199999999998</v>
      </c>
      <c r="I417" s="79">
        <f>H417/G417</f>
        <v>2.879008681237586E-2</v>
      </c>
    </row>
    <row r="418" spans="1:9" x14ac:dyDescent="0.25">
      <c r="A418" s="76" t="s">
        <v>317</v>
      </c>
      <c r="B418" s="76" t="s">
        <v>328</v>
      </c>
      <c r="C418" s="77">
        <v>40955</v>
      </c>
      <c r="D418" s="78">
        <v>41274</v>
      </c>
      <c r="E418" s="79">
        <v>8.9999999999999998E-4</v>
      </c>
      <c r="F418" s="80">
        <v>95852.15</v>
      </c>
      <c r="G418" s="81"/>
      <c r="H418" s="80">
        <v>250</v>
      </c>
      <c r="I418" s="79">
        <f>H418/F418</f>
        <v>2.608183541005601E-3</v>
      </c>
    </row>
    <row r="419" spans="1:9" x14ac:dyDescent="0.25">
      <c r="A419" s="76" t="s">
        <v>317</v>
      </c>
      <c r="B419" s="76" t="s">
        <v>328</v>
      </c>
      <c r="C419" s="77">
        <v>40955</v>
      </c>
      <c r="D419" s="78">
        <v>41274</v>
      </c>
      <c r="E419" s="79">
        <v>8.9999999999999998E-4</v>
      </c>
      <c r="F419" s="80"/>
      <c r="G419" s="81">
        <v>2743</v>
      </c>
      <c r="H419" s="80">
        <v>7.15</v>
      </c>
      <c r="I419" s="79">
        <f>H419/G419</f>
        <v>2.6066350710900474E-3</v>
      </c>
    </row>
    <row r="420" spans="1:9" x14ac:dyDescent="0.25">
      <c r="A420" s="76" t="s">
        <v>643</v>
      </c>
      <c r="B420" s="76" t="s">
        <v>328</v>
      </c>
      <c r="C420" s="77">
        <v>40634</v>
      </c>
      <c r="D420" s="78">
        <v>40999</v>
      </c>
      <c r="E420" s="79">
        <v>4.4999999999999997E-3</v>
      </c>
      <c r="F420" s="80">
        <v>243450.45</v>
      </c>
      <c r="G420" s="81"/>
      <c r="H420" s="80">
        <v>85424.25</v>
      </c>
      <c r="I420" s="79">
        <f>H420/F420</f>
        <v>0.35088967796116211</v>
      </c>
    </row>
    <row r="421" spans="1:9" x14ac:dyDescent="0.25">
      <c r="A421" s="76" t="s">
        <v>643</v>
      </c>
      <c r="B421" s="76" t="s">
        <v>328</v>
      </c>
      <c r="C421" s="77">
        <v>40634</v>
      </c>
      <c r="D421" s="78">
        <v>40999</v>
      </c>
      <c r="E421" s="79">
        <v>4.4999999999999997E-3</v>
      </c>
      <c r="F421" s="80"/>
      <c r="G421" s="81">
        <v>12866.88</v>
      </c>
      <c r="H421" s="80">
        <v>5301.18</v>
      </c>
      <c r="I421" s="79">
        <f>H421/G421</f>
        <v>0.41200197716929049</v>
      </c>
    </row>
    <row r="422" spans="1:9" x14ac:dyDescent="0.25">
      <c r="A422" s="76" t="s">
        <v>643</v>
      </c>
      <c r="B422" s="76" t="s">
        <v>328</v>
      </c>
      <c r="C422" s="77">
        <v>41000</v>
      </c>
      <c r="D422" s="78">
        <v>41274</v>
      </c>
      <c r="E422" s="79">
        <v>4.4999999999999997E-3</v>
      </c>
      <c r="F422" s="80"/>
      <c r="G422" s="81">
        <v>265</v>
      </c>
      <c r="H422" s="80">
        <v>-30</v>
      </c>
      <c r="I422" s="79">
        <f>H422/G422</f>
        <v>-0.11320754716981132</v>
      </c>
    </row>
    <row r="423" spans="1:9" x14ac:dyDescent="0.25">
      <c r="A423" s="76" t="s">
        <v>643</v>
      </c>
      <c r="B423" s="76" t="s">
        <v>328</v>
      </c>
      <c r="C423" s="77">
        <v>41000</v>
      </c>
      <c r="D423" s="78">
        <v>41274</v>
      </c>
      <c r="E423" s="79">
        <v>4.4999999999999997E-3</v>
      </c>
      <c r="F423" s="80">
        <v>16869</v>
      </c>
      <c r="G423" s="81"/>
      <c r="H423" s="80">
        <v>-5416.55</v>
      </c>
      <c r="I423" s="79">
        <f>H423/F423</f>
        <v>-0.3210949078190764</v>
      </c>
    </row>
    <row r="424" spans="1:9" x14ac:dyDescent="0.25">
      <c r="A424" s="76" t="s">
        <v>317</v>
      </c>
      <c r="B424" s="76" t="s">
        <v>358</v>
      </c>
      <c r="C424" s="77">
        <v>41107</v>
      </c>
      <c r="D424" s="78">
        <v>41425</v>
      </c>
      <c r="E424" s="79">
        <v>8.9999999999999993E-3</v>
      </c>
      <c r="F424" s="80">
        <v>5180</v>
      </c>
      <c r="G424" s="81"/>
      <c r="H424" s="80">
        <v>2846.75</v>
      </c>
      <c r="I424" s="79">
        <f>H424/F424</f>
        <v>0.5495656370656371</v>
      </c>
    </row>
    <row r="425" spans="1:9" x14ac:dyDescent="0.25">
      <c r="A425" s="76" t="s">
        <v>317</v>
      </c>
      <c r="B425" s="76" t="s">
        <v>358</v>
      </c>
      <c r="C425" s="77">
        <v>41107</v>
      </c>
      <c r="D425" s="78">
        <v>41425</v>
      </c>
      <c r="E425" s="79">
        <v>8.9999999999999993E-3</v>
      </c>
      <c r="F425" s="80"/>
      <c r="G425" s="81">
        <v>320</v>
      </c>
      <c r="H425" s="80">
        <v>175.86</v>
      </c>
      <c r="I425" s="79">
        <f>H425/G425</f>
        <v>0.54956250000000006</v>
      </c>
    </row>
    <row r="426" spans="1:9" x14ac:dyDescent="0.25">
      <c r="A426" s="76" t="s">
        <v>289</v>
      </c>
      <c r="B426" s="76" t="s">
        <v>304</v>
      </c>
      <c r="C426" s="77">
        <v>40981</v>
      </c>
      <c r="D426" s="78">
        <v>41086</v>
      </c>
      <c r="E426" s="79">
        <v>0.13</v>
      </c>
      <c r="F426" s="88"/>
      <c r="G426" s="81">
        <v>5404</v>
      </c>
      <c r="H426" s="80">
        <v>707.52</v>
      </c>
      <c r="I426" s="79">
        <f>H426/G426</f>
        <v>0.13092524056254626</v>
      </c>
    </row>
    <row r="427" spans="1:9" x14ac:dyDescent="0.25">
      <c r="A427" s="76" t="s">
        <v>583</v>
      </c>
      <c r="B427" s="76" t="s">
        <v>586</v>
      </c>
      <c r="C427" s="77">
        <v>40544</v>
      </c>
      <c r="D427" s="78">
        <v>40954</v>
      </c>
      <c r="E427" s="79">
        <v>0.09</v>
      </c>
      <c r="F427" s="80"/>
      <c r="G427" s="81">
        <v>18700</v>
      </c>
      <c r="H427" s="80">
        <v>11500</v>
      </c>
      <c r="I427" s="79">
        <f>H427/G427</f>
        <v>0.61497326203208558</v>
      </c>
    </row>
    <row r="428" spans="1:9" x14ac:dyDescent="0.25">
      <c r="A428" s="76" t="s">
        <v>583</v>
      </c>
      <c r="B428" s="76" t="s">
        <v>586</v>
      </c>
      <c r="C428" s="77">
        <v>40955</v>
      </c>
      <c r="D428" s="78">
        <v>41320</v>
      </c>
      <c r="E428" s="79">
        <v>0.09</v>
      </c>
      <c r="F428" s="80"/>
      <c r="G428" s="81">
        <v>0</v>
      </c>
      <c r="H428" s="80">
        <v>0</v>
      </c>
      <c r="I428" s="79">
        <v>0</v>
      </c>
    </row>
    <row r="429" spans="1:9" x14ac:dyDescent="0.25">
      <c r="A429" s="76" t="s">
        <v>265</v>
      </c>
      <c r="B429" s="76" t="s">
        <v>276</v>
      </c>
      <c r="C429" s="77">
        <v>41153</v>
      </c>
      <c r="D429" s="78">
        <v>41517</v>
      </c>
      <c r="E429" s="79">
        <v>0.09</v>
      </c>
      <c r="F429" s="80">
        <v>523878.21</v>
      </c>
      <c r="G429" s="81"/>
      <c r="H429" s="80">
        <v>170383.58</v>
      </c>
      <c r="I429" s="79">
        <f>H429/F429</f>
        <v>0.32523509614954205</v>
      </c>
    </row>
    <row r="430" spans="1:9" x14ac:dyDescent="0.25">
      <c r="A430" s="76" t="s">
        <v>270</v>
      </c>
      <c r="B430" s="76" t="s">
        <v>276</v>
      </c>
      <c r="C430" s="77">
        <v>40909</v>
      </c>
      <c r="D430" s="78">
        <v>41152</v>
      </c>
      <c r="E430" s="79">
        <v>0.09</v>
      </c>
      <c r="F430" s="80">
        <v>502141.14</v>
      </c>
      <c r="G430" s="81"/>
      <c r="H430" s="80">
        <v>115190.56</v>
      </c>
      <c r="I430" s="79">
        <f>H430/F430</f>
        <v>0.22939877023420147</v>
      </c>
    </row>
    <row r="431" spans="1:9" x14ac:dyDescent="0.25">
      <c r="A431" s="76" t="s">
        <v>372</v>
      </c>
      <c r="B431" s="76" t="s">
        <v>374</v>
      </c>
      <c r="C431" s="77">
        <v>41083</v>
      </c>
      <c r="D431" s="78">
        <v>41447</v>
      </c>
      <c r="E431" s="79">
        <v>8.9999999999999993E-3</v>
      </c>
      <c r="F431" s="80">
        <v>653942.18000000005</v>
      </c>
      <c r="G431" s="81"/>
      <c r="H431" s="80">
        <v>185701.92</v>
      </c>
      <c r="I431" s="79">
        <f>H431/F431</f>
        <v>0.28397299590003505</v>
      </c>
    </row>
    <row r="432" spans="1:9" x14ac:dyDescent="0.25">
      <c r="A432" s="76" t="s">
        <v>531</v>
      </c>
      <c r="B432" s="76" t="s">
        <v>374</v>
      </c>
      <c r="C432" s="77">
        <v>41000</v>
      </c>
      <c r="D432" s="78">
        <v>41364</v>
      </c>
      <c r="E432" s="79">
        <v>8.9999999999999993E-3</v>
      </c>
      <c r="F432" s="80"/>
      <c r="G432" s="81">
        <v>1530</v>
      </c>
      <c r="H432" s="80">
        <v>348</v>
      </c>
      <c r="I432" s="79">
        <f>H432/G432</f>
        <v>0.22745098039215686</v>
      </c>
    </row>
    <row r="433" spans="1:9" x14ac:dyDescent="0.25">
      <c r="A433" s="76" t="s">
        <v>531</v>
      </c>
      <c r="B433" s="76" t="s">
        <v>374</v>
      </c>
      <c r="C433" s="77">
        <v>41000</v>
      </c>
      <c r="D433" s="78">
        <v>41364</v>
      </c>
      <c r="E433" s="79">
        <v>8.9999999999999993E-3</v>
      </c>
      <c r="F433" s="80">
        <v>22525</v>
      </c>
      <c r="G433" s="81"/>
      <c r="H433" s="80">
        <v>-14408</v>
      </c>
      <c r="I433" s="79">
        <f>H433/F433</f>
        <v>-0.63964483906770253</v>
      </c>
    </row>
    <row r="434" spans="1:9" x14ac:dyDescent="0.25">
      <c r="A434" s="76" t="s">
        <v>643</v>
      </c>
      <c r="B434" s="76" t="s">
        <v>374</v>
      </c>
      <c r="C434" s="77">
        <v>41137</v>
      </c>
      <c r="D434" s="78">
        <v>41425</v>
      </c>
      <c r="E434" s="79">
        <v>4.4999999999999997E-3</v>
      </c>
      <c r="F434" s="80"/>
      <c r="G434" s="81">
        <v>255</v>
      </c>
      <c r="H434" s="80">
        <v>-998.75</v>
      </c>
      <c r="I434" s="79">
        <f>H434/G434</f>
        <v>-3.9166666666666665</v>
      </c>
    </row>
    <row r="435" spans="1:9" x14ac:dyDescent="0.25">
      <c r="A435" s="76" t="s">
        <v>643</v>
      </c>
      <c r="B435" s="76" t="s">
        <v>374</v>
      </c>
      <c r="C435" s="77">
        <v>41137</v>
      </c>
      <c r="D435" s="78">
        <v>41425</v>
      </c>
      <c r="E435" s="79">
        <v>4.4999999999999997E-3</v>
      </c>
      <c r="F435" s="80">
        <v>14206</v>
      </c>
      <c r="G435" s="81"/>
      <c r="H435" s="80">
        <v>-31837.599999999999</v>
      </c>
      <c r="I435" s="79">
        <f>H435/F435</f>
        <v>-2.2411375475151343</v>
      </c>
    </row>
    <row r="436" spans="1:9" x14ac:dyDescent="0.25">
      <c r="A436" s="70" t="s">
        <v>113</v>
      </c>
      <c r="B436" s="70" t="s">
        <v>115</v>
      </c>
      <c r="C436" s="71">
        <v>40650</v>
      </c>
      <c r="D436" s="72">
        <v>41015</v>
      </c>
      <c r="E436" s="73">
        <v>1.35E-2</v>
      </c>
      <c r="F436" s="74">
        <v>113723.13</v>
      </c>
      <c r="G436" s="75"/>
      <c r="H436" s="74">
        <v>1312.93</v>
      </c>
      <c r="I436" s="73">
        <v>1.1544968908259911E-2</v>
      </c>
    </row>
    <row r="437" spans="1:9" x14ac:dyDescent="0.25">
      <c r="A437" s="70" t="s">
        <v>113</v>
      </c>
      <c r="B437" s="70" t="s">
        <v>115</v>
      </c>
      <c r="C437" s="71">
        <v>40650</v>
      </c>
      <c r="D437" s="72">
        <v>41015</v>
      </c>
      <c r="E437" s="73">
        <v>1.35E-2</v>
      </c>
      <c r="F437" s="74"/>
      <c r="G437" s="75">
        <v>3548.16</v>
      </c>
      <c r="H437" s="74">
        <v>219.41</v>
      </c>
      <c r="I437" s="73">
        <v>6.1837684884559888E-2</v>
      </c>
    </row>
    <row r="438" spans="1:9" x14ac:dyDescent="0.25">
      <c r="A438" s="76" t="s">
        <v>372</v>
      </c>
      <c r="B438" s="76" t="s">
        <v>115</v>
      </c>
      <c r="C438" s="77">
        <v>40717</v>
      </c>
      <c r="D438" s="78">
        <v>41082</v>
      </c>
      <c r="E438" s="79">
        <v>8.9999999999999993E-3</v>
      </c>
      <c r="F438" s="80">
        <v>392947.79</v>
      </c>
      <c r="G438" s="81"/>
      <c r="H438" s="80">
        <v>167195.03</v>
      </c>
      <c r="I438" s="79">
        <f>H438/F438</f>
        <v>0.42548917249286478</v>
      </c>
    </row>
    <row r="439" spans="1:9" x14ac:dyDescent="0.25">
      <c r="A439" s="76" t="s">
        <v>578</v>
      </c>
      <c r="B439" s="76" t="s">
        <v>115</v>
      </c>
      <c r="C439" s="77">
        <v>40923</v>
      </c>
      <c r="D439" s="78">
        <v>40939</v>
      </c>
      <c r="E439" s="79">
        <v>0</v>
      </c>
      <c r="F439" s="80">
        <v>316088.33</v>
      </c>
      <c r="G439" s="81"/>
      <c r="H439" s="80">
        <v>183481.82</v>
      </c>
      <c r="I439" s="79">
        <f>H439/F439</f>
        <v>0.58047641303302777</v>
      </c>
    </row>
    <row r="440" spans="1:9" x14ac:dyDescent="0.25">
      <c r="A440" s="76" t="s">
        <v>281</v>
      </c>
      <c r="B440" s="76" t="s">
        <v>284</v>
      </c>
      <c r="C440" s="77">
        <v>40969</v>
      </c>
      <c r="D440" s="78">
        <v>41274</v>
      </c>
      <c r="E440" s="79">
        <v>0.54</v>
      </c>
      <c r="F440" s="80">
        <v>2675</v>
      </c>
      <c r="G440" s="81"/>
      <c r="H440" s="80">
        <v>2199.2800000000002</v>
      </c>
      <c r="I440" s="79">
        <f>H440/F440</f>
        <v>0.82216074766355152</v>
      </c>
    </row>
    <row r="441" spans="1:9" x14ac:dyDescent="0.25">
      <c r="A441" s="76" t="s">
        <v>281</v>
      </c>
      <c r="B441" s="76" t="s">
        <v>284</v>
      </c>
      <c r="C441" s="77">
        <v>40603</v>
      </c>
      <c r="D441" s="78">
        <v>40967</v>
      </c>
      <c r="E441" s="79">
        <v>0.54</v>
      </c>
      <c r="F441" s="80">
        <v>5405</v>
      </c>
      <c r="G441" s="81"/>
      <c r="H441" s="80">
        <v>0</v>
      </c>
      <c r="I441" s="79">
        <f>H441/F441</f>
        <v>0</v>
      </c>
    </row>
    <row r="442" spans="1:9" x14ac:dyDescent="0.25">
      <c r="A442" s="76" t="s">
        <v>281</v>
      </c>
      <c r="B442" s="76" t="s">
        <v>284</v>
      </c>
      <c r="C442" s="77">
        <v>40603</v>
      </c>
      <c r="D442" s="78">
        <v>40967</v>
      </c>
      <c r="E442" s="79">
        <v>0.54</v>
      </c>
      <c r="F442" s="80"/>
      <c r="G442" s="81">
        <v>0</v>
      </c>
      <c r="H442" s="80">
        <v>0</v>
      </c>
      <c r="I442" s="79">
        <v>0</v>
      </c>
    </row>
    <row r="443" spans="1:9" x14ac:dyDescent="0.25">
      <c r="A443" s="76" t="s">
        <v>289</v>
      </c>
      <c r="B443" s="76" t="s">
        <v>309</v>
      </c>
      <c r="C443" s="77">
        <v>41138</v>
      </c>
      <c r="D443" s="78">
        <v>41202</v>
      </c>
      <c r="E443" s="79">
        <v>0.13</v>
      </c>
      <c r="F443" s="88"/>
      <c r="G443" s="81">
        <v>10262</v>
      </c>
      <c r="H443" s="80">
        <v>1338.06</v>
      </c>
      <c r="I443" s="79">
        <f>H443/G443</f>
        <v>0.13038978756577665</v>
      </c>
    </row>
    <row r="444" spans="1:9" x14ac:dyDescent="0.25">
      <c r="A444" s="76" t="s">
        <v>317</v>
      </c>
      <c r="B444" s="76" t="s">
        <v>346</v>
      </c>
      <c r="C444" s="77">
        <v>40909</v>
      </c>
      <c r="D444" s="78">
        <v>41274</v>
      </c>
      <c r="E444" s="79">
        <v>8.9999999999999998E-4</v>
      </c>
      <c r="F444" s="80">
        <v>1020214.51</v>
      </c>
      <c r="G444" s="81"/>
      <c r="H444" s="80">
        <v>45922.05</v>
      </c>
      <c r="I444" s="79">
        <f>H444/F444</f>
        <v>4.5012151415097991E-2</v>
      </c>
    </row>
    <row r="445" spans="1:9" x14ac:dyDescent="0.25">
      <c r="A445" s="76" t="s">
        <v>317</v>
      </c>
      <c r="B445" s="76" t="s">
        <v>346</v>
      </c>
      <c r="C445" s="77">
        <v>40909</v>
      </c>
      <c r="D445" s="78">
        <v>41274</v>
      </c>
      <c r="E445" s="79">
        <v>8.9999999999999998E-4</v>
      </c>
      <c r="F445" s="80"/>
      <c r="G445" s="81">
        <v>47833.35</v>
      </c>
      <c r="H445" s="80">
        <v>2153.08</v>
      </c>
      <c r="I445" s="79">
        <f>H445/G445</f>
        <v>4.5012109751878138E-2</v>
      </c>
    </row>
    <row r="446" spans="1:9" x14ac:dyDescent="0.25">
      <c r="A446" s="76" t="s">
        <v>449</v>
      </c>
      <c r="B446" s="76" t="s">
        <v>456</v>
      </c>
      <c r="C446" s="77">
        <v>40725</v>
      </c>
      <c r="D446" s="78">
        <v>41090</v>
      </c>
      <c r="E446" s="79">
        <v>0</v>
      </c>
      <c r="F446" s="80">
        <v>764842</v>
      </c>
      <c r="G446" s="81"/>
      <c r="H446" s="80">
        <v>14019</v>
      </c>
      <c r="I446" s="79">
        <f>H446/F446</f>
        <v>1.8329275850437084E-2</v>
      </c>
    </row>
    <row r="447" spans="1:9" x14ac:dyDescent="0.25">
      <c r="A447" s="76" t="s">
        <v>317</v>
      </c>
      <c r="B447" s="76" t="s">
        <v>361</v>
      </c>
      <c r="C447" s="77">
        <v>41144</v>
      </c>
      <c r="D447" s="78">
        <v>41469</v>
      </c>
      <c r="E447" s="79">
        <v>8.9999999999999998E-4</v>
      </c>
      <c r="F447" s="80">
        <v>125262.71</v>
      </c>
      <c r="G447" s="81"/>
      <c r="H447" s="80">
        <v>22994.51</v>
      </c>
      <c r="I447" s="79">
        <f>H447/F447</f>
        <v>0.18357027402648399</v>
      </c>
    </row>
    <row r="448" spans="1:9" x14ac:dyDescent="0.25">
      <c r="A448" s="76" t="s">
        <v>317</v>
      </c>
      <c r="B448" s="76" t="s">
        <v>361</v>
      </c>
      <c r="C448" s="77">
        <v>41144</v>
      </c>
      <c r="D448" s="78">
        <v>41469</v>
      </c>
      <c r="E448" s="79">
        <v>8.9999999999999998E-4</v>
      </c>
      <c r="F448" s="80"/>
      <c r="G448" s="81">
        <v>7649</v>
      </c>
      <c r="H448" s="80">
        <v>1404.13</v>
      </c>
      <c r="I448" s="79">
        <f>H448/G448</f>
        <v>0.18357040135965488</v>
      </c>
    </row>
    <row r="449" spans="1:9" x14ac:dyDescent="0.25">
      <c r="A449" s="76" t="s">
        <v>449</v>
      </c>
      <c r="B449" s="76" t="s">
        <v>473</v>
      </c>
      <c r="C449" s="77">
        <v>41091</v>
      </c>
      <c r="D449" s="78">
        <v>41455</v>
      </c>
      <c r="E449" s="79">
        <v>0</v>
      </c>
      <c r="F449" s="80">
        <v>286718</v>
      </c>
      <c r="G449" s="88"/>
      <c r="H449" s="80">
        <v>0</v>
      </c>
      <c r="I449" s="79">
        <v>0</v>
      </c>
    </row>
    <row r="450" spans="1:9" x14ac:dyDescent="0.25">
      <c r="A450" s="76" t="s">
        <v>578</v>
      </c>
      <c r="B450" s="76" t="s">
        <v>621</v>
      </c>
      <c r="C450" s="77">
        <v>40688</v>
      </c>
      <c r="D450" s="78">
        <v>40999</v>
      </c>
      <c r="E450" s="79">
        <v>0</v>
      </c>
      <c r="F450" s="80">
        <v>151238</v>
      </c>
      <c r="G450" s="88"/>
      <c r="H450" s="80">
        <v>60318.63</v>
      </c>
      <c r="I450" s="79">
        <f>H450/F450</f>
        <v>0.39883250241341461</v>
      </c>
    </row>
    <row r="451" spans="1:9" x14ac:dyDescent="0.25">
      <c r="A451" s="76" t="s">
        <v>613</v>
      </c>
      <c r="B451" s="76" t="s">
        <v>621</v>
      </c>
      <c r="C451" s="77">
        <v>41074</v>
      </c>
      <c r="D451" s="78">
        <v>41394</v>
      </c>
      <c r="E451" s="79">
        <v>8.9999999999999993E-3</v>
      </c>
      <c r="F451" s="80"/>
      <c r="G451" s="81">
        <v>1717</v>
      </c>
      <c r="H451" s="80">
        <v>-34</v>
      </c>
      <c r="I451" s="79">
        <f>H451/G451</f>
        <v>-1.9801980198019802E-2</v>
      </c>
    </row>
    <row r="452" spans="1:9" x14ac:dyDescent="0.25">
      <c r="A452" s="76" t="s">
        <v>613</v>
      </c>
      <c r="B452" s="76" t="s">
        <v>621</v>
      </c>
      <c r="C452" s="77">
        <v>41074</v>
      </c>
      <c r="D452" s="78">
        <v>41394</v>
      </c>
      <c r="E452" s="79">
        <v>8.9999999999999993E-3</v>
      </c>
      <c r="F452" s="80">
        <v>50054</v>
      </c>
      <c r="G452" s="81"/>
      <c r="H452" s="80">
        <v>-14506</v>
      </c>
      <c r="I452" s="79">
        <f>H452/F452</f>
        <v>-0.28980700843089463</v>
      </c>
    </row>
    <row r="453" spans="1:9" x14ac:dyDescent="0.25">
      <c r="A453" s="70" t="s">
        <v>8</v>
      </c>
      <c r="B453" s="70" t="s">
        <v>9</v>
      </c>
      <c r="C453" s="71">
        <v>41021</v>
      </c>
      <c r="D453" s="72">
        <v>41213</v>
      </c>
      <c r="E453" s="73">
        <v>8.9999999999999993E-3</v>
      </c>
      <c r="F453" s="74">
        <v>1982</v>
      </c>
      <c r="G453" s="75"/>
      <c r="H453" s="74">
        <v>1982</v>
      </c>
      <c r="I453" s="73">
        <v>1</v>
      </c>
    </row>
    <row r="454" spans="1:9" x14ac:dyDescent="0.25">
      <c r="A454" s="70" t="s">
        <v>8</v>
      </c>
      <c r="B454" s="70" t="s">
        <v>9</v>
      </c>
      <c r="C454" s="71">
        <v>41021</v>
      </c>
      <c r="D454" s="72">
        <v>41213</v>
      </c>
      <c r="E454" s="73">
        <v>8.9999999999999993E-3</v>
      </c>
      <c r="F454" s="74"/>
      <c r="G454" s="75">
        <v>20</v>
      </c>
      <c r="H454" s="74">
        <v>20</v>
      </c>
      <c r="I454" s="73">
        <v>1</v>
      </c>
    </row>
    <row r="455" spans="1:9" x14ac:dyDescent="0.25">
      <c r="A455" s="70" t="s">
        <v>8</v>
      </c>
      <c r="B455" s="70" t="s">
        <v>9</v>
      </c>
      <c r="C455" s="71">
        <v>40655</v>
      </c>
      <c r="D455" s="72">
        <v>41020</v>
      </c>
      <c r="E455" s="73">
        <v>8.9999999999999993E-3</v>
      </c>
      <c r="F455" s="74">
        <v>0</v>
      </c>
      <c r="G455" s="75"/>
      <c r="H455" s="74">
        <v>0</v>
      </c>
      <c r="I455" s="73">
        <v>0</v>
      </c>
    </row>
    <row r="456" spans="1:9" x14ac:dyDescent="0.25">
      <c r="A456" s="70" t="s">
        <v>146</v>
      </c>
      <c r="B456" s="70" t="s">
        <v>9</v>
      </c>
      <c r="C456" s="71">
        <v>40655</v>
      </c>
      <c r="D456" s="72">
        <v>41020</v>
      </c>
      <c r="E456" s="73">
        <v>8.9999999999999993E-3</v>
      </c>
      <c r="F456" s="74">
        <v>135108.45000000001</v>
      </c>
      <c r="G456" s="75"/>
      <c r="H456" s="74">
        <v>0</v>
      </c>
      <c r="I456" s="73">
        <v>0</v>
      </c>
    </row>
    <row r="457" spans="1:9" x14ac:dyDescent="0.25">
      <c r="A457" s="70" t="s">
        <v>146</v>
      </c>
      <c r="B457" s="70" t="s">
        <v>9</v>
      </c>
      <c r="C457" s="71">
        <v>40655</v>
      </c>
      <c r="D457" s="72">
        <v>41020</v>
      </c>
      <c r="E457" s="73">
        <v>8.9999999999999993E-3</v>
      </c>
      <c r="F457" s="74"/>
      <c r="G457" s="75">
        <v>7156</v>
      </c>
      <c r="H457" s="74">
        <v>0</v>
      </c>
      <c r="I457" s="73">
        <v>0</v>
      </c>
    </row>
    <row r="458" spans="1:9" x14ac:dyDescent="0.25">
      <c r="A458" s="76" t="s">
        <v>449</v>
      </c>
      <c r="B458" s="76" t="s">
        <v>9</v>
      </c>
      <c r="C458" s="77">
        <v>40655</v>
      </c>
      <c r="D458" s="78">
        <v>41020</v>
      </c>
      <c r="E458" s="79">
        <v>8.9999999999999993E-3</v>
      </c>
      <c r="F458" s="80">
        <v>306201.09000000003</v>
      </c>
      <c r="G458" s="81"/>
      <c r="H458" s="80">
        <v>0</v>
      </c>
      <c r="I458" s="79">
        <f>H458/F458</f>
        <v>0</v>
      </c>
    </row>
    <row r="459" spans="1:9" x14ac:dyDescent="0.25">
      <c r="A459" s="76" t="s">
        <v>449</v>
      </c>
      <c r="B459" s="76" t="s">
        <v>9</v>
      </c>
      <c r="C459" s="77">
        <v>40655</v>
      </c>
      <c r="D459" s="78">
        <v>41020</v>
      </c>
      <c r="E459" s="79">
        <v>8.9999999999999993E-3</v>
      </c>
      <c r="F459" s="80"/>
      <c r="G459" s="81">
        <v>17383.47</v>
      </c>
      <c r="H459" s="80">
        <v>0</v>
      </c>
      <c r="I459" s="79">
        <f>H459/G459</f>
        <v>0</v>
      </c>
    </row>
    <row r="460" spans="1:9" x14ac:dyDescent="0.25">
      <c r="A460" s="76" t="s">
        <v>684</v>
      </c>
      <c r="B460" s="76" t="s">
        <v>9</v>
      </c>
      <c r="C460" s="77">
        <v>40655</v>
      </c>
      <c r="D460" s="78">
        <v>41020</v>
      </c>
      <c r="E460" s="79">
        <v>8.9999999999999993E-3</v>
      </c>
      <c r="F460" s="80">
        <v>7680.85</v>
      </c>
      <c r="G460" s="81"/>
      <c r="H460" s="80">
        <v>0</v>
      </c>
      <c r="I460" s="79">
        <v>0</v>
      </c>
    </row>
    <row r="461" spans="1:9" x14ac:dyDescent="0.25">
      <c r="A461" s="76" t="s">
        <v>684</v>
      </c>
      <c r="B461" s="76" t="s">
        <v>9</v>
      </c>
      <c r="C461" s="77">
        <v>40655</v>
      </c>
      <c r="D461" s="78">
        <v>41020</v>
      </c>
      <c r="E461" s="79">
        <v>8.9999999999999993E-3</v>
      </c>
      <c r="F461" s="80"/>
      <c r="G461" s="81">
        <v>122</v>
      </c>
      <c r="H461" s="80">
        <v>0</v>
      </c>
      <c r="I461" s="79">
        <v>0</v>
      </c>
    </row>
    <row r="462" spans="1:9" x14ac:dyDescent="0.25">
      <c r="A462" s="76" t="s">
        <v>643</v>
      </c>
      <c r="B462" s="76" t="s">
        <v>660</v>
      </c>
      <c r="C462" s="77">
        <v>40865</v>
      </c>
      <c r="D462" s="78">
        <v>41230</v>
      </c>
      <c r="E462" s="79">
        <v>8.9999999999999993E-3</v>
      </c>
      <c r="F462" s="80">
        <v>207654.84</v>
      </c>
      <c r="G462" s="81"/>
      <c r="H462" s="80">
        <v>78039.94</v>
      </c>
      <c r="I462" s="79">
        <f>H462/F462</f>
        <v>0.37581565640367448</v>
      </c>
    </row>
    <row r="463" spans="1:9" x14ac:dyDescent="0.25">
      <c r="A463" s="76" t="s">
        <v>643</v>
      </c>
      <c r="B463" s="76" t="s">
        <v>660</v>
      </c>
      <c r="C463" s="77">
        <v>40865</v>
      </c>
      <c r="D463" s="78">
        <v>41230</v>
      </c>
      <c r="E463" s="79">
        <v>8.9999999999999993E-3</v>
      </c>
      <c r="F463" s="80"/>
      <c r="G463" s="81">
        <v>3329</v>
      </c>
      <c r="H463" s="80">
        <v>0</v>
      </c>
      <c r="I463" s="79">
        <f>H463/G463</f>
        <v>0</v>
      </c>
    </row>
    <row r="464" spans="1:9" x14ac:dyDescent="0.25">
      <c r="A464" s="70" t="s">
        <v>87</v>
      </c>
      <c r="B464" s="70" t="s">
        <v>93</v>
      </c>
      <c r="C464" s="71">
        <v>40849</v>
      </c>
      <c r="D464" s="72">
        <v>41214</v>
      </c>
      <c r="E464" s="73">
        <v>0.92500000000000004</v>
      </c>
      <c r="F464" s="74">
        <v>115302.1</v>
      </c>
      <c r="G464" s="75"/>
      <c r="H464" s="74">
        <v>106654.44</v>
      </c>
      <c r="I464" s="73">
        <v>0.92499997831782765</v>
      </c>
    </row>
    <row r="465" spans="1:9" x14ac:dyDescent="0.25">
      <c r="A465" s="70" t="s">
        <v>87</v>
      </c>
      <c r="B465" s="70" t="s">
        <v>93</v>
      </c>
      <c r="C465" s="71">
        <v>40849</v>
      </c>
      <c r="D465" s="72">
        <v>41214</v>
      </c>
      <c r="E465" s="73">
        <v>0.92500000000000004</v>
      </c>
      <c r="F465" s="74"/>
      <c r="G465" s="75">
        <v>3786.8</v>
      </c>
      <c r="H465" s="74">
        <v>3502.79</v>
      </c>
      <c r="I465" s="73">
        <v>0.92499999999999993</v>
      </c>
    </row>
    <row r="466" spans="1:9" x14ac:dyDescent="0.25">
      <c r="A466" s="76" t="s">
        <v>449</v>
      </c>
      <c r="B466" s="76" t="s">
        <v>93</v>
      </c>
      <c r="C466" s="77">
        <v>40603</v>
      </c>
      <c r="D466" s="78">
        <v>40967</v>
      </c>
      <c r="E466" s="79">
        <v>0</v>
      </c>
      <c r="F466" s="80">
        <v>0</v>
      </c>
      <c r="G466" s="81"/>
      <c r="H466" s="80">
        <v>0</v>
      </c>
      <c r="I466" s="79">
        <v>0</v>
      </c>
    </row>
    <row r="467" spans="1:9" x14ac:dyDescent="0.25">
      <c r="A467" s="76" t="s">
        <v>449</v>
      </c>
      <c r="B467" s="76" t="s">
        <v>93</v>
      </c>
      <c r="C467" s="77">
        <v>40968</v>
      </c>
      <c r="D467" s="78">
        <v>41333</v>
      </c>
      <c r="E467" s="79">
        <v>0</v>
      </c>
      <c r="F467" s="80">
        <v>0</v>
      </c>
      <c r="G467" s="81"/>
      <c r="H467" s="80">
        <v>0</v>
      </c>
      <c r="I467" s="79">
        <v>0</v>
      </c>
    </row>
    <row r="468" spans="1:9" x14ac:dyDescent="0.25">
      <c r="A468" s="76" t="s">
        <v>449</v>
      </c>
      <c r="B468" s="76" t="s">
        <v>93</v>
      </c>
      <c r="C468" s="77">
        <v>40968</v>
      </c>
      <c r="D468" s="78">
        <v>41333</v>
      </c>
      <c r="E468" s="79">
        <v>0</v>
      </c>
      <c r="F468" s="80"/>
      <c r="G468" s="81">
        <v>0</v>
      </c>
      <c r="H468" s="80">
        <v>0</v>
      </c>
      <c r="I468" s="79">
        <v>0</v>
      </c>
    </row>
    <row r="469" spans="1:9" x14ac:dyDescent="0.25">
      <c r="A469" s="76" t="s">
        <v>531</v>
      </c>
      <c r="B469" s="76" t="s">
        <v>93</v>
      </c>
      <c r="C469" s="77">
        <v>40806</v>
      </c>
      <c r="D469" s="78">
        <v>41090</v>
      </c>
      <c r="E469" s="79">
        <v>8.9999999999999993E-3</v>
      </c>
      <c r="F469" s="80"/>
      <c r="G469" s="81">
        <v>21691</v>
      </c>
      <c r="H469" s="80">
        <v>7215</v>
      </c>
      <c r="I469" s="79">
        <f>H469/G469</f>
        <v>0.33262643492692823</v>
      </c>
    </row>
    <row r="470" spans="1:9" x14ac:dyDescent="0.25">
      <c r="A470" s="76" t="s">
        <v>531</v>
      </c>
      <c r="B470" s="76" t="s">
        <v>93</v>
      </c>
      <c r="C470" s="77">
        <v>40806</v>
      </c>
      <c r="D470" s="78">
        <v>41090</v>
      </c>
      <c r="E470" s="79">
        <v>8.9999999999999993E-3</v>
      </c>
      <c r="F470" s="80">
        <v>249962</v>
      </c>
      <c r="G470" s="81"/>
      <c r="H470" s="80">
        <v>-79026</v>
      </c>
      <c r="I470" s="79">
        <f>H470/F470</f>
        <v>-0.3161520551123771</v>
      </c>
    </row>
    <row r="471" spans="1:9" x14ac:dyDescent="0.25">
      <c r="A471" s="76" t="s">
        <v>613</v>
      </c>
      <c r="B471" s="76" t="s">
        <v>614</v>
      </c>
      <c r="C471" s="77">
        <v>40679</v>
      </c>
      <c r="D471" s="78">
        <v>41029</v>
      </c>
      <c r="E471" s="79">
        <v>8.9999999999999993E-3</v>
      </c>
      <c r="F471" s="80">
        <v>73709</v>
      </c>
      <c r="G471" s="81"/>
      <c r="H471" s="80">
        <v>3603</v>
      </c>
      <c r="I471" s="79">
        <f>H471/F471</f>
        <v>4.8881412039235371E-2</v>
      </c>
    </row>
    <row r="472" spans="1:9" x14ac:dyDescent="0.25">
      <c r="A472" s="76" t="s">
        <v>613</v>
      </c>
      <c r="B472" s="76" t="s">
        <v>614</v>
      </c>
      <c r="C472" s="77">
        <v>40679</v>
      </c>
      <c r="D472" s="78">
        <v>41029</v>
      </c>
      <c r="E472" s="79">
        <v>8.9999999999999993E-3</v>
      </c>
      <c r="F472" s="80"/>
      <c r="G472" s="81">
        <v>600</v>
      </c>
      <c r="H472" s="80">
        <v>8</v>
      </c>
      <c r="I472" s="79">
        <f>H472/G472</f>
        <v>1.3333333333333334E-2</v>
      </c>
    </row>
    <row r="473" spans="1:9" x14ac:dyDescent="0.25">
      <c r="A473" s="76" t="s">
        <v>790</v>
      </c>
      <c r="B473" s="76" t="s">
        <v>1721</v>
      </c>
      <c r="C473" s="77">
        <v>40849</v>
      </c>
      <c r="D473" s="78">
        <v>41214</v>
      </c>
      <c r="E473" s="79">
        <v>0.18</v>
      </c>
      <c r="F473" s="80">
        <v>57025.04</v>
      </c>
      <c r="G473" s="81"/>
      <c r="H473" s="80">
        <v>10264.51</v>
      </c>
      <c r="I473" s="73">
        <f>H473/F473</f>
        <v>0.18000004910123693</v>
      </c>
    </row>
    <row r="474" spans="1:9" x14ac:dyDescent="0.25">
      <c r="A474" s="76" t="s">
        <v>790</v>
      </c>
      <c r="B474" s="76" t="s">
        <v>1721</v>
      </c>
      <c r="C474" s="77">
        <v>40849</v>
      </c>
      <c r="D474" s="78">
        <v>41214</v>
      </c>
      <c r="E474" s="79">
        <v>0.18</v>
      </c>
      <c r="F474" s="80"/>
      <c r="G474" s="81">
        <v>9837</v>
      </c>
      <c r="H474" s="80">
        <v>1770.66</v>
      </c>
      <c r="I474" s="73">
        <f>H474/G474</f>
        <v>0.18000000000000002</v>
      </c>
    </row>
    <row r="475" spans="1:9" s="87" customFormat="1" x14ac:dyDescent="0.25">
      <c r="A475" s="70" t="s">
        <v>38</v>
      </c>
      <c r="B475" s="70" t="s">
        <v>51</v>
      </c>
      <c r="C475" s="71">
        <v>40909</v>
      </c>
      <c r="D475" s="72" t="s">
        <v>696</v>
      </c>
      <c r="E475" s="73">
        <v>0.15</v>
      </c>
      <c r="F475" s="74"/>
      <c r="G475" s="75">
        <v>19890</v>
      </c>
      <c r="H475" s="74">
        <v>2983.5</v>
      </c>
      <c r="I475" s="73">
        <v>0.15</v>
      </c>
    </row>
    <row r="476" spans="1:9" x14ac:dyDescent="0.25">
      <c r="A476" s="70" t="s">
        <v>38</v>
      </c>
      <c r="B476" s="70" t="s">
        <v>51</v>
      </c>
      <c r="C476" s="71">
        <v>40634</v>
      </c>
      <c r="D476" s="72">
        <v>40999</v>
      </c>
      <c r="E476" s="73">
        <v>0.18</v>
      </c>
      <c r="F476" s="74"/>
      <c r="G476" s="75">
        <v>12150.5</v>
      </c>
      <c r="H476" s="74">
        <v>2430.1</v>
      </c>
      <c r="I476" s="73">
        <v>0.19999999999999998</v>
      </c>
    </row>
    <row r="477" spans="1:9" x14ac:dyDescent="0.25">
      <c r="A477" s="70" t="s">
        <v>95</v>
      </c>
      <c r="B477" s="70" t="s">
        <v>51</v>
      </c>
      <c r="C477" s="71">
        <v>40694</v>
      </c>
      <c r="D477" s="72">
        <v>41012</v>
      </c>
      <c r="E477" s="73">
        <v>0.15</v>
      </c>
      <c r="F477" s="74">
        <v>44109</v>
      </c>
      <c r="G477" s="75"/>
      <c r="H477" s="74">
        <v>4410.8999999999996</v>
      </c>
      <c r="I477" s="73">
        <v>9.9999999999999992E-2</v>
      </c>
    </row>
    <row r="478" spans="1:9" x14ac:dyDescent="0.25">
      <c r="A478" s="70" t="s">
        <v>119</v>
      </c>
      <c r="B478" s="70" t="s">
        <v>51</v>
      </c>
      <c r="C478" s="71">
        <v>40909</v>
      </c>
      <c r="D478" s="72">
        <v>41274</v>
      </c>
      <c r="E478" s="73">
        <v>0.15</v>
      </c>
      <c r="F478" s="74">
        <v>304465.02</v>
      </c>
      <c r="G478" s="75"/>
      <c r="H478" s="74">
        <v>36535.800000000003</v>
      </c>
      <c r="I478" s="73">
        <v>0.11999999211732107</v>
      </c>
    </row>
    <row r="479" spans="1:9" x14ac:dyDescent="0.25">
      <c r="A479" s="76" t="s">
        <v>236</v>
      </c>
      <c r="B479" s="76" t="s">
        <v>51</v>
      </c>
      <c r="C479" s="77">
        <v>40893</v>
      </c>
      <c r="D479" s="78">
        <v>41258</v>
      </c>
      <c r="E479" s="79">
        <v>0.15</v>
      </c>
      <c r="F479" s="80"/>
      <c r="G479" s="81">
        <v>247343.87</v>
      </c>
      <c r="H479" s="80">
        <v>37101.58</v>
      </c>
      <c r="I479" s="79">
        <f>H479/G479</f>
        <v>0.14999999797852279</v>
      </c>
    </row>
    <row r="480" spans="1:9" x14ac:dyDescent="0.25">
      <c r="A480" s="76" t="s">
        <v>390</v>
      </c>
      <c r="B480" s="76" t="s">
        <v>51</v>
      </c>
      <c r="C480" s="77">
        <v>40901</v>
      </c>
      <c r="D480" s="78">
        <v>41266</v>
      </c>
      <c r="E480" s="79">
        <v>0.12</v>
      </c>
      <c r="F480" s="80">
        <v>3325956.05</v>
      </c>
      <c r="G480" s="81"/>
      <c r="H480" s="80">
        <v>399703.73</v>
      </c>
      <c r="I480" s="79">
        <f>H480/F480</f>
        <v>0.12017709313988079</v>
      </c>
    </row>
    <row r="481" spans="1:9" x14ac:dyDescent="0.25">
      <c r="A481" s="76" t="s">
        <v>390</v>
      </c>
      <c r="B481" s="76" t="s">
        <v>51</v>
      </c>
      <c r="C481" s="77">
        <v>40901</v>
      </c>
      <c r="D481" s="78">
        <v>41266</v>
      </c>
      <c r="E481" s="79">
        <v>0.12</v>
      </c>
      <c r="F481" s="80"/>
      <c r="G481" s="81">
        <v>146674.66</v>
      </c>
      <c r="H481" s="80">
        <v>17626.93</v>
      </c>
      <c r="I481" s="79">
        <f>H481/G481</f>
        <v>0.12017706398637638</v>
      </c>
    </row>
    <row r="482" spans="1:9" x14ac:dyDescent="0.25">
      <c r="A482" s="76" t="s">
        <v>478</v>
      </c>
      <c r="B482" s="76" t="s">
        <v>51</v>
      </c>
      <c r="C482" s="77">
        <v>40909</v>
      </c>
      <c r="D482" s="78">
        <v>41274</v>
      </c>
      <c r="E482" s="79">
        <v>0.11700000000000001</v>
      </c>
      <c r="F482" s="80">
        <v>623554.81999999995</v>
      </c>
      <c r="G482" s="81"/>
      <c r="H482" s="80">
        <v>81062.13</v>
      </c>
      <c r="I482" s="79">
        <f>H482/F482</f>
        <v>0.13000000545260801</v>
      </c>
    </row>
    <row r="483" spans="1:9" x14ac:dyDescent="0.25">
      <c r="A483" s="70" t="s">
        <v>66</v>
      </c>
      <c r="B483" s="70" t="s">
        <v>67</v>
      </c>
      <c r="C483" s="71">
        <v>40780</v>
      </c>
      <c r="D483" s="72">
        <v>41145</v>
      </c>
      <c r="E483" s="73">
        <v>0.1</v>
      </c>
      <c r="F483" s="74">
        <v>26278.18</v>
      </c>
      <c r="G483" s="75"/>
      <c r="H483" s="74">
        <v>2627.82</v>
      </c>
      <c r="I483" s="73">
        <v>0.10000007610877162</v>
      </c>
    </row>
    <row r="484" spans="1:9" x14ac:dyDescent="0.25">
      <c r="A484" s="76" t="s">
        <v>478</v>
      </c>
      <c r="B484" s="76" t="s">
        <v>67</v>
      </c>
      <c r="C484" s="77">
        <v>40780</v>
      </c>
      <c r="D484" s="78">
        <v>41145</v>
      </c>
      <c r="E484" s="79">
        <v>0.1</v>
      </c>
      <c r="F484" s="80">
        <v>570217.24</v>
      </c>
      <c r="G484" s="81"/>
      <c r="H484" s="80">
        <v>57021.72</v>
      </c>
      <c r="I484" s="79">
        <f>H484/F484</f>
        <v>9.9999992985129668E-2</v>
      </c>
    </row>
    <row r="485" spans="1:9" x14ac:dyDescent="0.25">
      <c r="A485" s="76" t="s">
        <v>478</v>
      </c>
      <c r="B485" s="76" t="s">
        <v>67</v>
      </c>
      <c r="C485" s="77">
        <v>41146</v>
      </c>
      <c r="D485" s="78">
        <v>41510</v>
      </c>
      <c r="E485" s="79">
        <v>0.1</v>
      </c>
      <c r="F485" s="80">
        <v>491495.73</v>
      </c>
      <c r="G485" s="81"/>
      <c r="H485" s="80">
        <v>49149.57</v>
      </c>
      <c r="I485" s="79">
        <f>H485/F485</f>
        <v>9.9999993896182984E-2</v>
      </c>
    </row>
    <row r="486" spans="1:9" x14ac:dyDescent="0.25">
      <c r="A486" s="76" t="s">
        <v>504</v>
      </c>
      <c r="B486" s="76" t="s">
        <v>67</v>
      </c>
      <c r="C486" s="77">
        <v>40780</v>
      </c>
      <c r="D486" s="78">
        <v>41145</v>
      </c>
      <c r="E486" s="79">
        <v>0.1</v>
      </c>
      <c r="F486" s="80">
        <v>26039</v>
      </c>
      <c r="G486" s="81"/>
      <c r="H486" s="80">
        <v>2603.9</v>
      </c>
      <c r="I486" s="79">
        <f>H486/F486</f>
        <v>0.1</v>
      </c>
    </row>
    <row r="487" spans="1:9" x14ac:dyDescent="0.25">
      <c r="A487" s="76" t="s">
        <v>512</v>
      </c>
      <c r="B487" s="76" t="s">
        <v>67</v>
      </c>
      <c r="C487" s="77">
        <v>41146</v>
      </c>
      <c r="D487" s="78">
        <v>41510</v>
      </c>
      <c r="E487" s="79">
        <v>0.1</v>
      </c>
      <c r="F487" s="80"/>
      <c r="G487" s="81">
        <v>28652</v>
      </c>
      <c r="H487" s="80">
        <v>2865.2</v>
      </c>
      <c r="I487" s="79">
        <f>H487/G487</f>
        <v>9.9999999999999992E-2</v>
      </c>
    </row>
    <row r="488" spans="1:9" x14ac:dyDescent="0.25">
      <c r="A488" s="76" t="s">
        <v>555</v>
      </c>
      <c r="B488" s="76" t="s">
        <v>67</v>
      </c>
      <c r="C488" s="77">
        <v>40780</v>
      </c>
      <c r="D488" s="78">
        <v>41145</v>
      </c>
      <c r="E488" s="79">
        <v>0.1</v>
      </c>
      <c r="F488" s="80">
        <v>51233</v>
      </c>
      <c r="G488" s="81"/>
      <c r="H488" s="80">
        <v>5123.3</v>
      </c>
      <c r="I488" s="79">
        <f>H488/F488</f>
        <v>0.1</v>
      </c>
    </row>
    <row r="489" spans="1:9" x14ac:dyDescent="0.25">
      <c r="A489" s="76" t="s">
        <v>555</v>
      </c>
      <c r="B489" s="76" t="s">
        <v>67</v>
      </c>
      <c r="C489" s="77">
        <v>41146</v>
      </c>
      <c r="D489" s="78">
        <v>41510</v>
      </c>
      <c r="E489" s="79">
        <v>0.1</v>
      </c>
      <c r="F489" s="80">
        <v>21525</v>
      </c>
      <c r="G489" s="88"/>
      <c r="H489" s="80">
        <v>2152.5</v>
      </c>
      <c r="I489" s="79">
        <f>H489/F489</f>
        <v>0.1</v>
      </c>
    </row>
    <row r="490" spans="1:9" x14ac:dyDescent="0.25">
      <c r="A490" s="76" t="s">
        <v>289</v>
      </c>
      <c r="B490" s="76" t="s">
        <v>303</v>
      </c>
      <c r="C490" s="77">
        <v>40927</v>
      </c>
      <c r="D490" s="78">
        <v>41048</v>
      </c>
      <c r="E490" s="79">
        <v>0.13</v>
      </c>
      <c r="F490" s="79"/>
      <c r="G490" s="81">
        <v>10570</v>
      </c>
      <c r="H490" s="80">
        <v>1387.4</v>
      </c>
      <c r="I490" s="79">
        <f>H490/G490</f>
        <v>0.13125827814569538</v>
      </c>
    </row>
    <row r="491" spans="1:9" x14ac:dyDescent="0.25">
      <c r="A491" s="76" t="s">
        <v>289</v>
      </c>
      <c r="B491" s="76" t="s">
        <v>303</v>
      </c>
      <c r="C491" s="77">
        <v>41158</v>
      </c>
      <c r="D491" s="78">
        <v>41222</v>
      </c>
      <c r="E491" s="79">
        <v>0.13</v>
      </c>
      <c r="F491" s="88"/>
      <c r="G491" s="81">
        <v>10024</v>
      </c>
      <c r="H491" s="80">
        <v>1330.12</v>
      </c>
      <c r="I491" s="79">
        <f>H491/G491</f>
        <v>0.13269353551476457</v>
      </c>
    </row>
    <row r="492" spans="1:9" x14ac:dyDescent="0.25">
      <c r="A492" s="76" t="s">
        <v>572</v>
      </c>
      <c r="B492" s="76" t="s">
        <v>574</v>
      </c>
      <c r="C492" s="77">
        <v>41000</v>
      </c>
      <c r="D492" s="78">
        <v>41364</v>
      </c>
      <c r="E492" s="79">
        <v>0.8</v>
      </c>
      <c r="F492" s="80">
        <v>268430</v>
      </c>
      <c r="G492" s="81"/>
      <c r="H492" s="80">
        <v>264171</v>
      </c>
      <c r="I492" s="79">
        <f>H492/F492</f>
        <v>0.98413366613269748</v>
      </c>
    </row>
    <row r="493" spans="1:9" x14ac:dyDescent="0.25">
      <c r="A493" s="76" t="s">
        <v>572</v>
      </c>
      <c r="B493" s="76" t="s">
        <v>574</v>
      </c>
      <c r="C493" s="77">
        <v>41000</v>
      </c>
      <c r="D493" s="78">
        <v>41364</v>
      </c>
      <c r="E493" s="79">
        <v>0.8</v>
      </c>
      <c r="F493" s="80"/>
      <c r="G493" s="81">
        <v>268430</v>
      </c>
      <c r="H493" s="80">
        <v>264171</v>
      </c>
      <c r="I493" s="79">
        <f>H493/G493</f>
        <v>0.98413366613269748</v>
      </c>
    </row>
    <row r="494" spans="1:9" x14ac:dyDescent="0.25">
      <c r="A494" s="76" t="s">
        <v>572</v>
      </c>
      <c r="B494" s="76" t="s">
        <v>576</v>
      </c>
      <c r="C494" s="77">
        <v>40634</v>
      </c>
      <c r="D494" s="78">
        <v>40999</v>
      </c>
      <c r="E494" s="79">
        <v>0.8</v>
      </c>
      <c r="F494" s="80"/>
      <c r="G494" s="81">
        <v>209772</v>
      </c>
      <c r="H494" s="80">
        <v>196572</v>
      </c>
      <c r="I494" s="79">
        <f>H494/G494</f>
        <v>0.93707453806990448</v>
      </c>
    </row>
    <row r="495" spans="1:9" x14ac:dyDescent="0.25">
      <c r="A495" s="76" t="s">
        <v>281</v>
      </c>
      <c r="B495" s="76" t="s">
        <v>287</v>
      </c>
      <c r="C495" s="77">
        <v>40754</v>
      </c>
      <c r="D495" s="78">
        <v>41119</v>
      </c>
      <c r="E495" s="79">
        <v>0.54</v>
      </c>
      <c r="F495" s="80">
        <v>29303</v>
      </c>
      <c r="G495" s="81"/>
      <c r="H495" s="80">
        <v>19304.13</v>
      </c>
      <c r="I495" s="79">
        <f>H495/F495</f>
        <v>0.65877657577722426</v>
      </c>
    </row>
    <row r="496" spans="1:9" x14ac:dyDescent="0.25">
      <c r="A496" s="76" t="s">
        <v>281</v>
      </c>
      <c r="B496" s="76" t="s">
        <v>287</v>
      </c>
      <c r="C496" s="77">
        <v>41120</v>
      </c>
      <c r="D496" s="78">
        <v>41274</v>
      </c>
      <c r="E496" s="79">
        <v>0.54</v>
      </c>
      <c r="F496" s="80">
        <v>16642</v>
      </c>
      <c r="G496" s="81"/>
      <c r="H496" s="80">
        <v>12464.31</v>
      </c>
      <c r="I496" s="79">
        <f>IF(H496="","",(IF(C496&lt;&gt;"",H496/C496,H496/D496)))</f>
        <v>0.30312037937743191</v>
      </c>
    </row>
    <row r="497" spans="1:9" x14ac:dyDescent="0.25">
      <c r="A497" s="76" t="s">
        <v>281</v>
      </c>
      <c r="B497" s="76" t="s">
        <v>287</v>
      </c>
      <c r="C497" s="77">
        <v>40754</v>
      </c>
      <c r="D497" s="78">
        <v>41119</v>
      </c>
      <c r="E497" s="79">
        <v>0.54</v>
      </c>
      <c r="F497" s="80"/>
      <c r="G497" s="81">
        <v>0</v>
      </c>
      <c r="H497" s="80">
        <v>0</v>
      </c>
      <c r="I497" s="79">
        <v>0</v>
      </c>
    </row>
    <row r="498" spans="1:9" ht="28.5" x14ac:dyDescent="0.25">
      <c r="A498" s="76" t="s">
        <v>392</v>
      </c>
      <c r="B498" s="76" t="s">
        <v>287</v>
      </c>
      <c r="C498" s="77">
        <v>41011</v>
      </c>
      <c r="D498" s="78">
        <v>41394</v>
      </c>
      <c r="E498" s="79">
        <v>8.9999999999999993E-3</v>
      </c>
      <c r="F498" s="80">
        <v>10165</v>
      </c>
      <c r="G498" s="81"/>
      <c r="H498" s="80">
        <v>6898</v>
      </c>
      <c r="I498" s="79">
        <f>H498/F498</f>
        <v>0.67860304968027541</v>
      </c>
    </row>
    <row r="499" spans="1:9" ht="28.5" x14ac:dyDescent="0.25">
      <c r="A499" s="76" t="s">
        <v>392</v>
      </c>
      <c r="B499" s="76" t="s">
        <v>287</v>
      </c>
      <c r="C499" s="77">
        <v>41011</v>
      </c>
      <c r="D499" s="78">
        <v>41394</v>
      </c>
      <c r="E499" s="79">
        <v>8.9999999999999993E-3</v>
      </c>
      <c r="F499" s="80"/>
      <c r="G499" s="81">
        <v>190</v>
      </c>
      <c r="H499" s="80">
        <v>27.86</v>
      </c>
      <c r="I499" s="79">
        <f>H499/G499</f>
        <v>0.14663157894736842</v>
      </c>
    </row>
    <row r="500" spans="1:9" x14ac:dyDescent="0.25">
      <c r="A500" s="70" t="s">
        <v>146</v>
      </c>
      <c r="B500" s="70" t="s">
        <v>158</v>
      </c>
      <c r="C500" s="71">
        <v>40841</v>
      </c>
      <c r="D500" s="72">
        <v>41207</v>
      </c>
      <c r="E500" s="101">
        <v>4.4999999999999999E-4</v>
      </c>
      <c r="F500" s="74">
        <v>0</v>
      </c>
      <c r="G500" s="75"/>
      <c r="H500" s="74">
        <v>0</v>
      </c>
      <c r="I500" s="73">
        <v>0</v>
      </c>
    </row>
    <row r="501" spans="1:9" x14ac:dyDescent="0.25">
      <c r="A501" s="76" t="s">
        <v>643</v>
      </c>
      <c r="B501" s="76" t="s">
        <v>158</v>
      </c>
      <c r="C501" s="77">
        <v>40555</v>
      </c>
      <c r="D501" s="78">
        <v>40919</v>
      </c>
      <c r="E501" s="79">
        <v>4.4999999999999997E-3</v>
      </c>
      <c r="F501" s="80">
        <v>229935.18</v>
      </c>
      <c r="G501" s="81"/>
      <c r="H501" s="80">
        <v>67923.98</v>
      </c>
      <c r="I501" s="79">
        <f>H501/F501</f>
        <v>0.295404904982352</v>
      </c>
    </row>
    <row r="502" spans="1:9" x14ac:dyDescent="0.25">
      <c r="A502" s="76" t="s">
        <v>643</v>
      </c>
      <c r="B502" s="76" t="s">
        <v>158</v>
      </c>
      <c r="C502" s="77">
        <v>40555</v>
      </c>
      <c r="D502" s="78">
        <v>40919</v>
      </c>
      <c r="E502" s="79">
        <v>4.4999999999999997E-3</v>
      </c>
      <c r="F502" s="80"/>
      <c r="G502" s="81">
        <v>12082.01</v>
      </c>
      <c r="H502" s="80">
        <v>4699.6099999999997</v>
      </c>
      <c r="I502" s="79">
        <f>H502/G502</f>
        <v>0.3889758409403733</v>
      </c>
    </row>
    <row r="503" spans="1:9" x14ac:dyDescent="0.25">
      <c r="A503" s="76" t="s">
        <v>643</v>
      </c>
      <c r="B503" s="76" t="s">
        <v>158</v>
      </c>
      <c r="C503" s="77">
        <v>40920</v>
      </c>
      <c r="D503" s="78">
        <v>41274</v>
      </c>
      <c r="E503" s="79">
        <v>4.4999999999999997E-3</v>
      </c>
      <c r="F503" s="80">
        <v>0</v>
      </c>
      <c r="G503" s="81"/>
      <c r="H503" s="80">
        <v>0</v>
      </c>
      <c r="I503" s="79">
        <v>0</v>
      </c>
    </row>
    <row r="504" spans="1:9" x14ac:dyDescent="0.25">
      <c r="A504" s="76" t="s">
        <v>643</v>
      </c>
      <c r="B504" s="76" t="s">
        <v>158</v>
      </c>
      <c r="C504" s="77">
        <v>40920</v>
      </c>
      <c r="D504" s="78">
        <v>41274</v>
      </c>
      <c r="E504" s="79">
        <v>4.4999999999999997E-3</v>
      </c>
      <c r="F504" s="80"/>
      <c r="G504" s="81">
        <v>0</v>
      </c>
      <c r="H504" s="80">
        <v>0</v>
      </c>
      <c r="I504" s="93">
        <v>0</v>
      </c>
    </row>
    <row r="505" spans="1:9" x14ac:dyDescent="0.25">
      <c r="A505" s="76" t="s">
        <v>643</v>
      </c>
      <c r="B505" s="76" t="s">
        <v>644</v>
      </c>
      <c r="C505" s="77">
        <v>40549</v>
      </c>
      <c r="D505" s="78">
        <v>40913</v>
      </c>
      <c r="E505" s="79">
        <v>4.4999999999999997E-3</v>
      </c>
      <c r="F505" s="80">
        <v>58924.5</v>
      </c>
      <c r="G505" s="81"/>
      <c r="H505" s="80">
        <v>0</v>
      </c>
      <c r="I505" s="93">
        <f>H505/F505</f>
        <v>0</v>
      </c>
    </row>
    <row r="506" spans="1:9" x14ac:dyDescent="0.25">
      <c r="A506" s="76" t="s">
        <v>643</v>
      </c>
      <c r="B506" s="76" t="s">
        <v>644</v>
      </c>
      <c r="C506" s="77">
        <v>40549</v>
      </c>
      <c r="D506" s="78">
        <v>40913</v>
      </c>
      <c r="E506" s="79">
        <v>4.4999999999999997E-3</v>
      </c>
      <c r="F506" s="80"/>
      <c r="G506" s="81">
        <v>3021</v>
      </c>
      <c r="H506" s="80">
        <v>0</v>
      </c>
      <c r="I506" s="93">
        <f>H506/G506</f>
        <v>0</v>
      </c>
    </row>
    <row r="507" spans="1:9" x14ac:dyDescent="0.25">
      <c r="A507" s="76" t="s">
        <v>643</v>
      </c>
      <c r="B507" s="76" t="s">
        <v>644</v>
      </c>
      <c r="C507" s="77">
        <v>40914</v>
      </c>
      <c r="D507" s="78">
        <v>41252</v>
      </c>
      <c r="E507" s="79">
        <v>4.4999999999999997E-3</v>
      </c>
      <c r="F507" s="80">
        <v>0</v>
      </c>
      <c r="G507" s="81"/>
      <c r="H507" s="80">
        <v>0</v>
      </c>
      <c r="I507" s="93">
        <v>0</v>
      </c>
    </row>
    <row r="508" spans="1:9" x14ac:dyDescent="0.25">
      <c r="A508" s="76" t="s">
        <v>643</v>
      </c>
      <c r="B508" s="76" t="s">
        <v>644</v>
      </c>
      <c r="C508" s="77">
        <v>40914</v>
      </c>
      <c r="D508" s="78">
        <v>41252</v>
      </c>
      <c r="E508" s="79">
        <v>4.4999999999999997E-3</v>
      </c>
      <c r="F508" s="80"/>
      <c r="G508" s="81">
        <v>0</v>
      </c>
      <c r="H508" s="80">
        <v>0</v>
      </c>
      <c r="I508" s="93">
        <v>0</v>
      </c>
    </row>
    <row r="509" spans="1:9" x14ac:dyDescent="0.25">
      <c r="A509" s="76" t="s">
        <v>439</v>
      </c>
      <c r="B509" s="76" t="s">
        <v>447</v>
      </c>
      <c r="C509" s="77">
        <v>41183</v>
      </c>
      <c r="D509" s="78">
        <v>41419</v>
      </c>
      <c r="E509" s="79">
        <v>0.14000000000000001</v>
      </c>
      <c r="F509" s="88"/>
      <c r="G509" s="81">
        <v>7532</v>
      </c>
      <c r="H509" s="80">
        <v>1467</v>
      </c>
      <c r="I509" s="93">
        <f>H509/G509</f>
        <v>0.19476898566117898</v>
      </c>
    </row>
    <row r="510" spans="1:9" x14ac:dyDescent="0.25">
      <c r="A510" s="76" t="s">
        <v>558</v>
      </c>
      <c r="B510" s="76" t="s">
        <v>447</v>
      </c>
      <c r="C510" s="77">
        <v>40840</v>
      </c>
      <c r="D510" s="78">
        <v>41152</v>
      </c>
      <c r="E510" s="79">
        <v>0.14000000000000001</v>
      </c>
      <c r="F510" s="88"/>
      <c r="G510" s="81">
        <v>8903</v>
      </c>
      <c r="H510" s="80">
        <v>1727.18</v>
      </c>
      <c r="I510" s="93">
        <f>H510/G510</f>
        <v>0.19399977535662138</v>
      </c>
    </row>
    <row r="511" spans="1:9" x14ac:dyDescent="0.25">
      <c r="A511" s="76" t="s">
        <v>643</v>
      </c>
      <c r="B511" s="76" t="s">
        <v>648</v>
      </c>
      <c r="C511" s="77">
        <v>40695</v>
      </c>
      <c r="D511" s="78">
        <v>41060</v>
      </c>
      <c r="E511" s="79">
        <v>4.4999999999999997E-3</v>
      </c>
      <c r="F511" s="80">
        <v>237303.03</v>
      </c>
      <c r="G511" s="81"/>
      <c r="H511" s="80">
        <v>92410.41</v>
      </c>
      <c r="I511" s="93">
        <f>H511/F511</f>
        <v>0.38941942713500122</v>
      </c>
    </row>
    <row r="512" spans="1:9" x14ac:dyDescent="0.25">
      <c r="A512" s="76" t="s">
        <v>643</v>
      </c>
      <c r="B512" s="76" t="s">
        <v>648</v>
      </c>
      <c r="C512" s="77">
        <v>41061</v>
      </c>
      <c r="D512" s="78">
        <v>41394</v>
      </c>
      <c r="E512" s="79">
        <v>4.4999999999999997E-3</v>
      </c>
      <c r="F512" s="80">
        <v>196454.05</v>
      </c>
      <c r="G512" s="81"/>
      <c r="H512" s="80">
        <v>88882.55</v>
      </c>
      <c r="I512" s="93">
        <f>H512/F512</f>
        <v>0.45243429697682491</v>
      </c>
    </row>
    <row r="513" spans="1:9" x14ac:dyDescent="0.25">
      <c r="A513" s="76" t="s">
        <v>643</v>
      </c>
      <c r="B513" s="76" t="s">
        <v>648</v>
      </c>
      <c r="C513" s="77">
        <v>40695</v>
      </c>
      <c r="D513" s="78">
        <v>41060</v>
      </c>
      <c r="E513" s="79">
        <v>4.4999999999999997E-3</v>
      </c>
      <c r="F513" s="80"/>
      <c r="G513" s="81">
        <v>10725</v>
      </c>
      <c r="H513" s="80">
        <v>4031.08</v>
      </c>
      <c r="I513" s="93">
        <f>H513/G513</f>
        <v>0.37585827505827507</v>
      </c>
    </row>
    <row r="514" spans="1:9" x14ac:dyDescent="0.25">
      <c r="A514" s="76" t="s">
        <v>643</v>
      </c>
      <c r="B514" s="76" t="s">
        <v>648</v>
      </c>
      <c r="C514" s="77">
        <v>41061</v>
      </c>
      <c r="D514" s="78">
        <v>41394</v>
      </c>
      <c r="E514" s="79">
        <v>4.4999999999999997E-3</v>
      </c>
      <c r="F514" s="80"/>
      <c r="G514" s="81">
        <v>5180</v>
      </c>
      <c r="H514" s="80">
        <v>212.8</v>
      </c>
      <c r="I514" s="93">
        <f>H514/G514</f>
        <v>4.1081081081081085E-2</v>
      </c>
    </row>
    <row r="515" spans="1:9" x14ac:dyDescent="0.25">
      <c r="A515" s="70" t="s">
        <v>146</v>
      </c>
      <c r="B515" s="70" t="s">
        <v>147</v>
      </c>
      <c r="C515" s="71">
        <v>40590</v>
      </c>
      <c r="D515" s="72">
        <v>40939</v>
      </c>
      <c r="E515" s="101">
        <v>4.4999999999999999E-4</v>
      </c>
      <c r="F515" s="74">
        <v>92903.18</v>
      </c>
      <c r="G515" s="75"/>
      <c r="H515" s="74">
        <v>45244.91</v>
      </c>
      <c r="I515" s="126">
        <v>0.48701142415146614</v>
      </c>
    </row>
    <row r="516" spans="1:9" x14ac:dyDescent="0.25">
      <c r="A516" s="70" t="s">
        <v>146</v>
      </c>
      <c r="B516" s="70" t="s">
        <v>147</v>
      </c>
      <c r="C516" s="71">
        <v>40940</v>
      </c>
      <c r="D516" s="72">
        <v>41305</v>
      </c>
      <c r="E516" s="101">
        <v>4.4999999999999999E-4</v>
      </c>
      <c r="F516" s="74">
        <v>52766</v>
      </c>
      <c r="G516" s="75"/>
      <c r="H516" s="74">
        <v>-61439.46</v>
      </c>
      <c r="I516" s="126">
        <v>-1.1643759238903839</v>
      </c>
    </row>
    <row r="517" spans="1:9" ht="28.5" x14ac:dyDescent="0.25">
      <c r="A517" s="76" t="s">
        <v>674</v>
      </c>
      <c r="B517" s="76" t="s">
        <v>677</v>
      </c>
      <c r="C517" s="77">
        <v>40938</v>
      </c>
      <c r="D517" s="78">
        <v>41274</v>
      </c>
      <c r="E517" s="79">
        <v>0.432</v>
      </c>
      <c r="F517" s="80">
        <v>59392</v>
      </c>
      <c r="G517" s="81"/>
      <c r="H517" s="80">
        <v>9385.89</v>
      </c>
      <c r="I517" s="93">
        <f>H517/F517</f>
        <v>0.15803290005387929</v>
      </c>
    </row>
    <row r="518" spans="1:9" ht="28.5" x14ac:dyDescent="0.25">
      <c r="A518" s="76" t="s">
        <v>674</v>
      </c>
      <c r="B518" s="76" t="s">
        <v>677</v>
      </c>
      <c r="C518" s="77">
        <v>40938</v>
      </c>
      <c r="D518" s="78">
        <v>41274</v>
      </c>
      <c r="E518" s="79">
        <v>0.432</v>
      </c>
      <c r="F518" s="80"/>
      <c r="G518" s="81">
        <v>1705</v>
      </c>
      <c r="H518" s="80">
        <v>204.81</v>
      </c>
      <c r="I518" s="93">
        <f>H518/G518</f>
        <v>0.12012316715542522</v>
      </c>
    </row>
    <row r="519" spans="1:9" x14ac:dyDescent="0.25">
      <c r="A519" s="70" t="s">
        <v>38</v>
      </c>
      <c r="B519" s="70" t="s">
        <v>47</v>
      </c>
      <c r="C519" s="71">
        <v>40848</v>
      </c>
      <c r="D519" s="72">
        <v>41213</v>
      </c>
      <c r="E519" s="73">
        <v>0.40500000000000003</v>
      </c>
      <c r="F519" s="74"/>
      <c r="G519" s="75">
        <v>455843.72</v>
      </c>
      <c r="H519" s="74">
        <v>205129.66</v>
      </c>
      <c r="I519" s="126">
        <v>0.44999996928771996</v>
      </c>
    </row>
    <row r="520" spans="1:9" x14ac:dyDescent="0.25">
      <c r="A520" s="70" t="s">
        <v>20</v>
      </c>
      <c r="B520" s="70" t="s">
        <v>28</v>
      </c>
      <c r="C520" s="71">
        <v>40686</v>
      </c>
      <c r="D520" s="72">
        <v>41029</v>
      </c>
      <c r="E520" s="73">
        <v>0</v>
      </c>
      <c r="F520" s="74"/>
      <c r="G520" s="75">
        <v>976.95</v>
      </c>
      <c r="H520" s="74">
        <v>2167.34</v>
      </c>
      <c r="I520" s="73">
        <v>0.64312759643916917</v>
      </c>
    </row>
    <row r="521" spans="1:9" x14ac:dyDescent="0.25">
      <c r="A521" s="70" t="s">
        <v>20</v>
      </c>
      <c r="B521" s="70" t="s">
        <v>28</v>
      </c>
      <c r="C521" s="71">
        <v>40686</v>
      </c>
      <c r="D521" s="72">
        <v>41029</v>
      </c>
      <c r="E521" s="73">
        <v>0</v>
      </c>
      <c r="F521" s="74">
        <v>20206</v>
      </c>
      <c r="G521" s="75"/>
      <c r="H521" s="74">
        <v>238.92</v>
      </c>
      <c r="I521" s="73">
        <v>0.24455703976662058</v>
      </c>
    </row>
    <row r="522" spans="1:9" x14ac:dyDescent="0.25">
      <c r="A522" s="76" t="s">
        <v>171</v>
      </c>
      <c r="B522" s="76" t="s">
        <v>28</v>
      </c>
      <c r="C522" s="77">
        <v>40956</v>
      </c>
      <c r="D522" s="78">
        <v>41305</v>
      </c>
      <c r="E522" s="79">
        <v>1.7999999999999999E-2</v>
      </c>
      <c r="F522" s="80">
        <v>66668</v>
      </c>
      <c r="G522" s="81"/>
      <c r="H522" s="80">
        <v>29265.919999999998</v>
      </c>
      <c r="I522" s="79">
        <f>H522/F522</f>
        <v>0.438980020399592</v>
      </c>
    </row>
    <row r="523" spans="1:9" x14ac:dyDescent="0.25">
      <c r="A523" s="76" t="s">
        <v>674</v>
      </c>
      <c r="B523" s="76" t="s">
        <v>28</v>
      </c>
      <c r="C523" s="77">
        <v>40940</v>
      </c>
      <c r="D523" s="78">
        <v>41274</v>
      </c>
      <c r="E523" s="79">
        <v>0.29699999999999999</v>
      </c>
      <c r="F523" s="80">
        <v>195080</v>
      </c>
      <c r="G523" s="81"/>
      <c r="H523" s="80">
        <v>54115.199999999997</v>
      </c>
      <c r="I523" s="79">
        <f>H523/F523</f>
        <v>0.27740004100881688</v>
      </c>
    </row>
    <row r="524" spans="1:9" x14ac:dyDescent="0.25">
      <c r="A524" s="76" t="s">
        <v>674</v>
      </c>
      <c r="B524" s="76" t="s">
        <v>28</v>
      </c>
      <c r="C524" s="77">
        <v>40940</v>
      </c>
      <c r="D524" s="78">
        <v>41274</v>
      </c>
      <c r="E524" s="79">
        <v>0.29699999999999999</v>
      </c>
      <c r="F524" s="80"/>
      <c r="G524" s="81">
        <v>6763</v>
      </c>
      <c r="H524" s="80">
        <v>1362.66</v>
      </c>
      <c r="I524" s="79">
        <f>H524/G524</f>
        <v>0.20148750554487654</v>
      </c>
    </row>
    <row r="525" spans="1:9" x14ac:dyDescent="0.25">
      <c r="A525" s="76" t="s">
        <v>594</v>
      </c>
      <c r="B525" s="76" t="s">
        <v>596</v>
      </c>
      <c r="C525" s="77">
        <v>40777</v>
      </c>
      <c r="D525" s="78">
        <v>41029</v>
      </c>
      <c r="E525" s="79">
        <v>0.39600000000000002</v>
      </c>
      <c r="F525" s="80"/>
      <c r="G525" s="81">
        <v>38820.400000000001</v>
      </c>
      <c r="H525" s="80">
        <v>24585.22</v>
      </c>
      <c r="I525" s="79">
        <f>H525/G525</f>
        <v>0.63330671502612035</v>
      </c>
    </row>
    <row r="526" spans="1:9" x14ac:dyDescent="0.25">
      <c r="A526" s="76" t="s">
        <v>594</v>
      </c>
      <c r="B526" s="76" t="s">
        <v>596</v>
      </c>
      <c r="C526" s="77">
        <v>40777</v>
      </c>
      <c r="D526" s="78">
        <v>41029</v>
      </c>
      <c r="E526" s="79">
        <v>0.39600000000000002</v>
      </c>
      <c r="F526" s="80">
        <v>27167.759999999998</v>
      </c>
      <c r="G526" s="81"/>
      <c r="H526" s="80">
        <v>17203.13</v>
      </c>
      <c r="I526" s="79">
        <f>H526/F526</f>
        <v>0.63321856494609796</v>
      </c>
    </row>
    <row r="527" spans="1:9" x14ac:dyDescent="0.25">
      <c r="A527" s="76" t="s">
        <v>590</v>
      </c>
      <c r="B527" s="76" t="s">
        <v>592</v>
      </c>
      <c r="C527" s="77">
        <v>41061</v>
      </c>
      <c r="D527" s="78">
        <v>41424</v>
      </c>
      <c r="E527" s="79">
        <v>0.5</v>
      </c>
      <c r="F527" s="80">
        <v>32535.32</v>
      </c>
      <c r="G527" s="81"/>
      <c r="H527" s="80">
        <v>16267.66</v>
      </c>
      <c r="I527" s="79">
        <f>H527/F527</f>
        <v>0.5</v>
      </c>
    </row>
    <row r="528" spans="1:9" x14ac:dyDescent="0.25">
      <c r="A528" s="76" t="s">
        <v>590</v>
      </c>
      <c r="B528" s="76" t="s">
        <v>591</v>
      </c>
      <c r="C528" s="77">
        <v>41030</v>
      </c>
      <c r="D528" s="78">
        <v>41394</v>
      </c>
      <c r="E528" s="79">
        <v>0.5</v>
      </c>
      <c r="F528" s="80">
        <v>17243.64</v>
      </c>
      <c r="G528" s="81"/>
      <c r="H528" s="80">
        <v>8621.82</v>
      </c>
      <c r="I528" s="79">
        <f>H528/F528</f>
        <v>0.5</v>
      </c>
    </row>
    <row r="529" spans="1:9" x14ac:dyDescent="0.25">
      <c r="A529" s="76" t="s">
        <v>590</v>
      </c>
      <c r="B529" s="76" t="s">
        <v>591</v>
      </c>
      <c r="C529" s="77">
        <v>41030</v>
      </c>
      <c r="D529" s="78">
        <v>41394</v>
      </c>
      <c r="E529" s="79">
        <v>0.5</v>
      </c>
      <c r="F529" s="80"/>
      <c r="G529" s="81">
        <v>17243.64</v>
      </c>
      <c r="H529" s="80">
        <v>8621.82</v>
      </c>
      <c r="I529" s="79">
        <f>H529/G529</f>
        <v>0.5</v>
      </c>
    </row>
    <row r="530" spans="1:9" x14ac:dyDescent="0.25">
      <c r="A530" s="76" t="s">
        <v>590</v>
      </c>
      <c r="B530" s="76" t="s">
        <v>591</v>
      </c>
      <c r="C530" s="77">
        <v>41030</v>
      </c>
      <c r="D530" s="78">
        <v>41394</v>
      </c>
      <c r="E530" s="79">
        <v>0.5</v>
      </c>
      <c r="F530" s="80">
        <v>17243.64</v>
      </c>
      <c r="G530" s="81"/>
      <c r="H530" s="80">
        <v>8621.82</v>
      </c>
      <c r="I530" s="79">
        <f>H530/F530</f>
        <v>0.5</v>
      </c>
    </row>
    <row r="531" spans="1:9" x14ac:dyDescent="0.25">
      <c r="A531" s="76" t="s">
        <v>590</v>
      </c>
      <c r="B531" s="76" t="s">
        <v>591</v>
      </c>
      <c r="C531" s="77">
        <v>40664</v>
      </c>
      <c r="D531" s="78">
        <v>41029</v>
      </c>
      <c r="E531" s="79">
        <v>0.5</v>
      </c>
      <c r="F531" s="80">
        <v>10904.72</v>
      </c>
      <c r="G531" s="81"/>
      <c r="H531" s="80">
        <v>5452.36</v>
      </c>
      <c r="I531" s="79">
        <f>H531/F531</f>
        <v>0.5</v>
      </c>
    </row>
    <row r="532" spans="1:9" x14ac:dyDescent="0.25">
      <c r="A532" s="76" t="s">
        <v>635</v>
      </c>
      <c r="B532" s="76" t="s">
        <v>638</v>
      </c>
      <c r="C532" s="77">
        <v>40933</v>
      </c>
      <c r="D532" s="78">
        <v>41298</v>
      </c>
      <c r="E532" s="79">
        <v>0.5</v>
      </c>
      <c r="F532" s="80"/>
      <c r="G532" s="81">
        <v>53971</v>
      </c>
      <c r="H532" s="80">
        <v>26985.5</v>
      </c>
      <c r="I532" s="79">
        <f>H532/G532</f>
        <v>0.5</v>
      </c>
    </row>
    <row r="533" spans="1:9" x14ac:dyDescent="0.25">
      <c r="A533" s="76" t="s">
        <v>635</v>
      </c>
      <c r="B533" s="76" t="s">
        <v>638</v>
      </c>
      <c r="C533" s="77">
        <v>40568</v>
      </c>
      <c r="D533" s="78">
        <v>40932</v>
      </c>
      <c r="E533" s="79">
        <v>0.5</v>
      </c>
      <c r="F533" s="80"/>
      <c r="G533" s="81">
        <v>46628</v>
      </c>
      <c r="H533" s="80">
        <v>23314</v>
      </c>
      <c r="I533" s="79">
        <f>H533/G533</f>
        <v>0.5</v>
      </c>
    </row>
    <row r="534" spans="1:9" x14ac:dyDescent="0.25">
      <c r="A534" s="76" t="s">
        <v>563</v>
      </c>
      <c r="B534" s="76" t="s">
        <v>565</v>
      </c>
      <c r="C534" s="77">
        <v>40969</v>
      </c>
      <c r="D534" s="78">
        <v>41060</v>
      </c>
      <c r="E534" s="79">
        <v>0.17100000000000001</v>
      </c>
      <c r="F534" s="80">
        <v>39350</v>
      </c>
      <c r="G534" s="88"/>
      <c r="H534" s="80">
        <v>10000</v>
      </c>
      <c r="I534" s="79">
        <f t="shared" ref="I534:I544" si="2">H534/F534</f>
        <v>0.25412960609911056</v>
      </c>
    </row>
    <row r="535" spans="1:9" x14ac:dyDescent="0.25">
      <c r="A535" s="76" t="s">
        <v>220</v>
      </c>
      <c r="B535" s="76" t="s">
        <v>231</v>
      </c>
      <c r="C535" s="77">
        <v>40994</v>
      </c>
      <c r="D535" s="78">
        <v>41097</v>
      </c>
      <c r="E535" s="79">
        <v>0.23</v>
      </c>
      <c r="F535" s="80">
        <v>22658</v>
      </c>
      <c r="G535" s="81"/>
      <c r="H535" s="80">
        <v>5211.34</v>
      </c>
      <c r="I535" s="79">
        <f t="shared" si="2"/>
        <v>0.23</v>
      </c>
    </row>
    <row r="536" spans="1:9" x14ac:dyDescent="0.25">
      <c r="A536" s="76" t="s">
        <v>394</v>
      </c>
      <c r="B536" s="76" t="s">
        <v>404</v>
      </c>
      <c r="C536" s="77">
        <v>41120</v>
      </c>
      <c r="D536" s="78">
        <v>41485</v>
      </c>
      <c r="E536" s="79">
        <v>0.3</v>
      </c>
      <c r="F536" s="80">
        <v>128735</v>
      </c>
      <c r="G536" s="81"/>
      <c r="H536" s="80">
        <v>38620.5</v>
      </c>
      <c r="I536" s="79">
        <f t="shared" si="2"/>
        <v>0.3</v>
      </c>
    </row>
    <row r="537" spans="1:9" x14ac:dyDescent="0.25">
      <c r="A537" s="76" t="s">
        <v>623</v>
      </c>
      <c r="B537" s="76" t="s">
        <v>404</v>
      </c>
      <c r="C537" s="77">
        <v>40661</v>
      </c>
      <c r="D537" s="78">
        <v>41026</v>
      </c>
      <c r="E537" s="79">
        <v>0.25</v>
      </c>
      <c r="F537" s="80">
        <v>81880</v>
      </c>
      <c r="G537" s="88"/>
      <c r="H537" s="80">
        <v>21683.25</v>
      </c>
      <c r="I537" s="79">
        <f t="shared" si="2"/>
        <v>0.26481741573033707</v>
      </c>
    </row>
    <row r="538" spans="1:9" x14ac:dyDescent="0.25">
      <c r="A538" s="76" t="s">
        <v>237</v>
      </c>
      <c r="B538" s="76" t="s">
        <v>238</v>
      </c>
      <c r="C538" s="77">
        <v>40793</v>
      </c>
      <c r="D538" s="78">
        <v>41159</v>
      </c>
      <c r="E538" s="79">
        <v>0.35</v>
      </c>
      <c r="F538" s="80">
        <v>69725</v>
      </c>
      <c r="G538" s="88"/>
      <c r="H538" s="80">
        <v>24403.75</v>
      </c>
      <c r="I538" s="79">
        <f t="shared" si="2"/>
        <v>0.35</v>
      </c>
    </row>
    <row r="539" spans="1:9" x14ac:dyDescent="0.25">
      <c r="A539" s="76" t="s">
        <v>220</v>
      </c>
      <c r="B539" s="76" t="s">
        <v>224</v>
      </c>
      <c r="C539" s="77">
        <v>40861</v>
      </c>
      <c r="D539" s="78">
        <v>41026</v>
      </c>
      <c r="E539" s="79">
        <v>0.1</v>
      </c>
      <c r="F539" s="80">
        <v>65526</v>
      </c>
      <c r="G539" s="81"/>
      <c r="H539" s="80">
        <v>6552.6</v>
      </c>
      <c r="I539" s="79">
        <f t="shared" si="2"/>
        <v>0.1</v>
      </c>
    </row>
    <row r="540" spans="1:9" x14ac:dyDescent="0.25">
      <c r="A540" s="76" t="s">
        <v>394</v>
      </c>
      <c r="B540" s="76" t="s">
        <v>398</v>
      </c>
      <c r="C540" s="77">
        <v>40969</v>
      </c>
      <c r="D540" s="78">
        <v>41275</v>
      </c>
      <c r="E540" s="79">
        <v>0.3</v>
      </c>
      <c r="F540" s="80">
        <v>35694</v>
      </c>
      <c r="G540" s="81"/>
      <c r="H540" s="80">
        <v>10708</v>
      </c>
      <c r="I540" s="79">
        <f t="shared" si="2"/>
        <v>0.29999439681739226</v>
      </c>
    </row>
    <row r="541" spans="1:9" x14ac:dyDescent="0.25">
      <c r="A541" s="76" t="s">
        <v>623</v>
      </c>
      <c r="B541" s="76" t="s">
        <v>625</v>
      </c>
      <c r="C541" s="77">
        <v>40648</v>
      </c>
      <c r="D541" s="78">
        <v>41013</v>
      </c>
      <c r="E541" s="79">
        <v>0.27500000000000002</v>
      </c>
      <c r="F541" s="80">
        <v>40323</v>
      </c>
      <c r="G541" s="88"/>
      <c r="H541" s="80">
        <v>11662.75</v>
      </c>
      <c r="I541" s="79">
        <f t="shared" si="2"/>
        <v>0.28923319197480346</v>
      </c>
    </row>
    <row r="542" spans="1:9" x14ac:dyDescent="0.25">
      <c r="A542" s="76" t="s">
        <v>623</v>
      </c>
      <c r="B542" s="76" t="s">
        <v>625</v>
      </c>
      <c r="C542" s="77">
        <v>41024</v>
      </c>
      <c r="D542" s="78">
        <v>41388</v>
      </c>
      <c r="E542" s="79">
        <v>0.27500000000000002</v>
      </c>
      <c r="F542" s="80">
        <v>41718</v>
      </c>
      <c r="G542" s="88"/>
      <c r="H542" s="80">
        <v>11524.65</v>
      </c>
      <c r="I542" s="79">
        <f t="shared" si="2"/>
        <v>0.27625125844959009</v>
      </c>
    </row>
    <row r="543" spans="1:9" x14ac:dyDescent="0.25">
      <c r="A543" s="76" t="s">
        <v>516</v>
      </c>
      <c r="B543" s="76" t="s">
        <v>525</v>
      </c>
      <c r="C543" s="77">
        <v>40862</v>
      </c>
      <c r="D543" s="78">
        <v>41228</v>
      </c>
      <c r="E543" s="79">
        <v>0.2</v>
      </c>
      <c r="F543" s="80">
        <v>52933</v>
      </c>
      <c r="G543" s="88"/>
      <c r="H543" s="80">
        <v>11437.29</v>
      </c>
      <c r="I543" s="113">
        <f t="shared" si="2"/>
        <v>0.21607107097651751</v>
      </c>
    </row>
    <row r="544" spans="1:9" x14ac:dyDescent="0.25">
      <c r="A544" s="76" t="s">
        <v>623</v>
      </c>
      <c r="B544" s="76" t="s">
        <v>626</v>
      </c>
      <c r="C544" s="77">
        <v>40661</v>
      </c>
      <c r="D544" s="78">
        <v>41026</v>
      </c>
      <c r="E544" s="79">
        <v>0.25</v>
      </c>
      <c r="F544" s="80">
        <v>41460</v>
      </c>
      <c r="G544" s="88"/>
      <c r="H544" s="80">
        <v>10365</v>
      </c>
      <c r="I544" s="79">
        <f t="shared" si="2"/>
        <v>0.25</v>
      </c>
    </row>
    <row r="545" spans="1:9" x14ac:dyDescent="0.25">
      <c r="A545" s="70" t="s">
        <v>82</v>
      </c>
      <c r="B545" s="70" t="s">
        <v>83</v>
      </c>
      <c r="C545" s="71">
        <v>40911</v>
      </c>
      <c r="D545" s="72">
        <v>41274</v>
      </c>
      <c r="E545" s="73">
        <v>8.9999999999999993E-3</v>
      </c>
      <c r="F545" s="74">
        <v>98445</v>
      </c>
      <c r="G545" s="75"/>
      <c r="H545" s="74">
        <v>26786.74</v>
      </c>
      <c r="I545" s="73">
        <v>0.27209853217532631</v>
      </c>
    </row>
    <row r="546" spans="1:9" x14ac:dyDescent="0.25">
      <c r="A546" s="76" t="s">
        <v>516</v>
      </c>
      <c r="B546" s="76" t="s">
        <v>521</v>
      </c>
      <c r="C546" s="77">
        <v>41061</v>
      </c>
      <c r="D546" s="78">
        <v>41364</v>
      </c>
      <c r="E546" s="79">
        <v>0.2</v>
      </c>
      <c r="F546" s="80">
        <v>22055</v>
      </c>
      <c r="G546" s="88"/>
      <c r="H546" s="80">
        <v>4702.8999999999996</v>
      </c>
      <c r="I546" s="79">
        <f>H546/F546</f>
        <v>0.21323509408297436</v>
      </c>
    </row>
    <row r="547" spans="1:9" x14ac:dyDescent="0.25">
      <c r="A547" s="76" t="s">
        <v>516</v>
      </c>
      <c r="B547" s="76" t="s">
        <v>521</v>
      </c>
      <c r="C547" s="77">
        <v>40695</v>
      </c>
      <c r="D547" s="78">
        <v>40999</v>
      </c>
      <c r="E547" s="79">
        <v>0.15</v>
      </c>
      <c r="F547" s="80">
        <v>20902</v>
      </c>
      <c r="G547" s="88"/>
      <c r="H547" s="80">
        <v>4515.74</v>
      </c>
      <c r="I547" s="79">
        <f>H547/F547</f>
        <v>0.21604344081906038</v>
      </c>
    </row>
    <row r="548" spans="1:9" x14ac:dyDescent="0.25">
      <c r="A548" s="76" t="s">
        <v>429</v>
      </c>
      <c r="B548" s="76" t="s">
        <v>430</v>
      </c>
      <c r="C548" s="77">
        <v>40664</v>
      </c>
      <c r="D548" s="78">
        <v>40961</v>
      </c>
      <c r="E548" s="79">
        <v>0.2</v>
      </c>
      <c r="F548" s="88"/>
      <c r="G548" s="81">
        <v>53999</v>
      </c>
      <c r="H548" s="80">
        <v>10799.8</v>
      </c>
      <c r="I548" s="79">
        <f>H548/G548</f>
        <v>0.19999999999999998</v>
      </c>
    </row>
    <row r="549" spans="1:9" x14ac:dyDescent="0.25">
      <c r="A549" s="76" t="s">
        <v>563</v>
      </c>
      <c r="B549" s="76" t="s">
        <v>566</v>
      </c>
      <c r="C549" s="77">
        <v>41060</v>
      </c>
      <c r="D549" s="78">
        <v>41243</v>
      </c>
      <c r="E549" s="79">
        <v>0.17100000000000001</v>
      </c>
      <c r="F549" s="80">
        <v>58285</v>
      </c>
      <c r="G549" s="88"/>
      <c r="H549" s="80">
        <v>16500.599999999999</v>
      </c>
      <c r="I549" s="114">
        <f t="shared" ref="I549:I557" si="3">H549/F549</f>
        <v>0.28310199879900488</v>
      </c>
    </row>
    <row r="550" spans="1:9" x14ac:dyDescent="0.25">
      <c r="A550" s="76" t="s">
        <v>220</v>
      </c>
      <c r="B550" s="76" t="s">
        <v>234</v>
      </c>
      <c r="C550" s="77">
        <v>41078</v>
      </c>
      <c r="D550" s="78">
        <v>41237</v>
      </c>
      <c r="E550" s="79">
        <v>0.25</v>
      </c>
      <c r="F550" s="80">
        <v>27548</v>
      </c>
      <c r="G550" s="81"/>
      <c r="H550" s="80">
        <v>6887</v>
      </c>
      <c r="I550" s="93">
        <f t="shared" si="3"/>
        <v>0.25</v>
      </c>
    </row>
    <row r="551" spans="1:9" x14ac:dyDescent="0.25">
      <c r="A551" s="76" t="s">
        <v>491</v>
      </c>
      <c r="B551" s="76" t="s">
        <v>495</v>
      </c>
      <c r="C551" s="77">
        <v>41058</v>
      </c>
      <c r="D551" s="78">
        <v>41089</v>
      </c>
      <c r="E551" s="79">
        <v>0.4</v>
      </c>
      <c r="F551" s="80">
        <v>75206</v>
      </c>
      <c r="G551" s="88"/>
      <c r="H551" s="80">
        <v>30082.400000000001</v>
      </c>
      <c r="I551" s="114">
        <f t="shared" si="3"/>
        <v>0.4</v>
      </c>
    </row>
    <row r="552" spans="1:9" x14ac:dyDescent="0.25">
      <c r="A552" s="76" t="s">
        <v>563</v>
      </c>
      <c r="B552" s="76" t="s">
        <v>564</v>
      </c>
      <c r="C552" s="77">
        <v>41156</v>
      </c>
      <c r="D552" s="78">
        <v>41426</v>
      </c>
      <c r="E552" s="79">
        <v>0.17100000000000001</v>
      </c>
      <c r="F552" s="80">
        <v>99240</v>
      </c>
      <c r="G552" s="88"/>
      <c r="H552" s="80">
        <v>27500</v>
      </c>
      <c r="I552" s="93">
        <f t="shared" si="3"/>
        <v>0.27710600564288596</v>
      </c>
    </row>
    <row r="553" spans="1:9" x14ac:dyDescent="0.25">
      <c r="A553" s="76" t="s">
        <v>563</v>
      </c>
      <c r="B553" s="76" t="s">
        <v>564</v>
      </c>
      <c r="C553" s="77">
        <v>40843</v>
      </c>
      <c r="D553" s="78">
        <v>41061</v>
      </c>
      <c r="E553" s="79">
        <v>0.17100000000000001</v>
      </c>
      <c r="F553" s="80">
        <v>86441</v>
      </c>
      <c r="G553" s="88"/>
      <c r="H553" s="80">
        <v>27000</v>
      </c>
      <c r="I553" s="93">
        <f t="shared" si="3"/>
        <v>0.31235177751298576</v>
      </c>
    </row>
    <row r="554" spans="1:9" x14ac:dyDescent="0.25">
      <c r="A554" s="76" t="s">
        <v>516</v>
      </c>
      <c r="B554" s="76" t="s">
        <v>520</v>
      </c>
      <c r="C554" s="77">
        <v>41000</v>
      </c>
      <c r="D554" s="78">
        <v>41365</v>
      </c>
      <c r="E554" s="79">
        <v>0.18</v>
      </c>
      <c r="F554" s="80">
        <v>87883</v>
      </c>
      <c r="G554" s="88"/>
      <c r="H554" s="80">
        <v>25000</v>
      </c>
      <c r="I554" s="114">
        <f t="shared" si="3"/>
        <v>0.28446912372131128</v>
      </c>
    </row>
    <row r="555" spans="1:9" x14ac:dyDescent="0.25">
      <c r="A555" s="76" t="s">
        <v>516</v>
      </c>
      <c r="B555" s="76" t="s">
        <v>520</v>
      </c>
      <c r="C555" s="77">
        <v>40634</v>
      </c>
      <c r="D555" s="78">
        <v>41000</v>
      </c>
      <c r="E555" s="79">
        <v>0.18</v>
      </c>
      <c r="F555" s="80">
        <v>89187</v>
      </c>
      <c r="G555" s="88"/>
      <c r="H555" s="80">
        <v>25000</v>
      </c>
      <c r="I555" s="93">
        <f t="shared" si="3"/>
        <v>0.28030991063720051</v>
      </c>
    </row>
    <row r="556" spans="1:9" x14ac:dyDescent="0.25">
      <c r="A556" s="76" t="s">
        <v>220</v>
      </c>
      <c r="B556" s="76" t="s">
        <v>232</v>
      </c>
      <c r="C556" s="77">
        <v>41008</v>
      </c>
      <c r="D556" s="78">
        <v>41181</v>
      </c>
      <c r="E556" s="79">
        <v>0.25</v>
      </c>
      <c r="F556" s="80">
        <v>100241</v>
      </c>
      <c r="G556" s="81"/>
      <c r="H556" s="80">
        <v>25060.25</v>
      </c>
      <c r="I556" s="79">
        <f t="shared" si="3"/>
        <v>0.25</v>
      </c>
    </row>
    <row r="557" spans="1:9" x14ac:dyDescent="0.25">
      <c r="A557" s="76" t="s">
        <v>491</v>
      </c>
      <c r="B557" s="76" t="s">
        <v>500</v>
      </c>
      <c r="C557" s="77">
        <v>41218</v>
      </c>
      <c r="D557" s="78">
        <v>41257</v>
      </c>
      <c r="E557" s="79">
        <v>0.4</v>
      </c>
      <c r="F557" s="80">
        <v>64545</v>
      </c>
      <c r="G557" s="88"/>
      <c r="H557" s="80">
        <v>25818</v>
      </c>
      <c r="I557" s="114">
        <f t="shared" si="3"/>
        <v>0.4</v>
      </c>
    </row>
    <row r="558" spans="1:9" x14ac:dyDescent="0.25">
      <c r="A558" s="76" t="s">
        <v>429</v>
      </c>
      <c r="B558" s="76" t="s">
        <v>433</v>
      </c>
      <c r="C558" s="77">
        <v>40910</v>
      </c>
      <c r="D558" s="78">
        <v>41151</v>
      </c>
      <c r="E558" s="79">
        <v>0.2</v>
      </c>
      <c r="F558" s="88"/>
      <c r="G558" s="81">
        <v>54585</v>
      </c>
      <c r="H558" s="80">
        <v>10917</v>
      </c>
      <c r="I558" s="93">
        <f>H558/G558</f>
        <v>0.2</v>
      </c>
    </row>
    <row r="559" spans="1:9" x14ac:dyDescent="0.25">
      <c r="A559" s="76" t="s">
        <v>429</v>
      </c>
      <c r="B559" s="76" t="s">
        <v>436</v>
      </c>
      <c r="C559" s="77">
        <v>41078</v>
      </c>
      <c r="D559" s="78">
        <v>41151</v>
      </c>
      <c r="E559" s="79">
        <v>0.2</v>
      </c>
      <c r="F559" s="88"/>
      <c r="G559" s="81">
        <v>15400</v>
      </c>
      <c r="H559" s="80">
        <v>3080</v>
      </c>
      <c r="I559" s="114">
        <f>H559/G559</f>
        <v>0.2</v>
      </c>
    </row>
    <row r="560" spans="1:9" x14ac:dyDescent="0.25">
      <c r="A560" s="76" t="s">
        <v>220</v>
      </c>
      <c r="B560" s="76" t="s">
        <v>223</v>
      </c>
      <c r="C560" s="77">
        <v>40833</v>
      </c>
      <c r="D560" s="78">
        <v>40949</v>
      </c>
      <c r="E560" s="79">
        <v>0.24</v>
      </c>
      <c r="F560" s="80">
        <v>32888</v>
      </c>
      <c r="G560" s="81"/>
      <c r="H560" s="80">
        <v>7893.12</v>
      </c>
      <c r="I560" s="93">
        <f>H560/F560</f>
        <v>0.24</v>
      </c>
    </row>
    <row r="561" spans="1:9" x14ac:dyDescent="0.25">
      <c r="A561" s="76" t="s">
        <v>491</v>
      </c>
      <c r="B561" s="76" t="s">
        <v>501</v>
      </c>
      <c r="C561" s="77">
        <v>41218</v>
      </c>
      <c r="D561" s="78">
        <v>41257</v>
      </c>
      <c r="E561" s="79">
        <v>0.4</v>
      </c>
      <c r="F561" s="80">
        <v>102318.25</v>
      </c>
      <c r="G561" s="88"/>
      <c r="H561" s="80">
        <v>40927.300000000003</v>
      </c>
      <c r="I561" s="114">
        <f>H561/F561</f>
        <v>0.4</v>
      </c>
    </row>
    <row r="562" spans="1:9" x14ac:dyDescent="0.25">
      <c r="A562" s="76" t="s">
        <v>429</v>
      </c>
      <c r="B562" s="76" t="s">
        <v>432</v>
      </c>
      <c r="C562" s="77">
        <v>40910</v>
      </c>
      <c r="D562" s="78">
        <v>41151</v>
      </c>
      <c r="E562" s="79">
        <v>0.2</v>
      </c>
      <c r="F562" s="88"/>
      <c r="G562" s="81">
        <v>36958</v>
      </c>
      <c r="H562" s="80">
        <v>7490.8</v>
      </c>
      <c r="I562" s="93">
        <f>H562/G562</f>
        <v>0.20268412792900048</v>
      </c>
    </row>
    <row r="563" spans="1:9" x14ac:dyDescent="0.25">
      <c r="A563" s="70" t="s">
        <v>82</v>
      </c>
      <c r="B563" s="70" t="s">
        <v>86</v>
      </c>
      <c r="C563" s="71">
        <v>41197</v>
      </c>
      <c r="D563" s="72">
        <v>41274</v>
      </c>
      <c r="E563" s="73">
        <v>8.9999999999999993E-3</v>
      </c>
      <c r="F563" s="74">
        <v>101805</v>
      </c>
      <c r="G563" s="75"/>
      <c r="H563" s="74">
        <v>29964.32</v>
      </c>
      <c r="I563" s="127">
        <v>0.29433053386375913</v>
      </c>
    </row>
    <row r="564" spans="1:9" x14ac:dyDescent="0.25">
      <c r="A564" s="76" t="s">
        <v>516</v>
      </c>
      <c r="B564" s="76" t="s">
        <v>528</v>
      </c>
      <c r="C564" s="77">
        <v>40910</v>
      </c>
      <c r="D564" s="78">
        <v>41258</v>
      </c>
      <c r="E564" s="79">
        <v>0.1</v>
      </c>
      <c r="F564" s="80">
        <v>24482</v>
      </c>
      <c r="G564" s="88"/>
      <c r="H564" s="80">
        <v>10000</v>
      </c>
      <c r="I564" s="93">
        <f>H564/F564</f>
        <v>0.40846336083653295</v>
      </c>
    </row>
    <row r="565" spans="1:9" x14ac:dyDescent="0.25">
      <c r="A565" s="76" t="s">
        <v>491</v>
      </c>
      <c r="B565" s="76" t="s">
        <v>497</v>
      </c>
      <c r="C565" s="77">
        <v>41113</v>
      </c>
      <c r="D565" s="78">
        <v>41131</v>
      </c>
      <c r="E565" s="79">
        <v>0.45</v>
      </c>
      <c r="F565" s="80">
        <v>82119.5</v>
      </c>
      <c r="G565" s="88"/>
      <c r="H565" s="80">
        <v>36953.78</v>
      </c>
      <c r="I565" s="114">
        <f>H565/F565</f>
        <v>0.45000006088687827</v>
      </c>
    </row>
    <row r="566" spans="1:9" x14ac:dyDescent="0.25">
      <c r="A566" s="76" t="s">
        <v>516</v>
      </c>
      <c r="B566" s="76" t="s">
        <v>526</v>
      </c>
      <c r="C566" s="77">
        <v>40868</v>
      </c>
      <c r="D566" s="78">
        <v>41234</v>
      </c>
      <c r="E566" s="79">
        <v>0.15</v>
      </c>
      <c r="F566" s="80">
        <v>104146.5</v>
      </c>
      <c r="G566" s="88"/>
      <c r="H566" s="80">
        <v>22861.42</v>
      </c>
      <c r="I566" s="93">
        <f>H566/F566</f>
        <v>0.21951212954828053</v>
      </c>
    </row>
    <row r="567" spans="1:9" x14ac:dyDescent="0.25">
      <c r="A567" s="76" t="s">
        <v>429</v>
      </c>
      <c r="B567" s="76" t="s">
        <v>435</v>
      </c>
      <c r="C567" s="77">
        <v>41029</v>
      </c>
      <c r="D567" s="78">
        <v>41151</v>
      </c>
      <c r="E567" s="79">
        <v>0.2</v>
      </c>
      <c r="F567" s="88"/>
      <c r="G567" s="81">
        <v>25005</v>
      </c>
      <c r="H567" s="80">
        <v>5001</v>
      </c>
      <c r="I567" s="93">
        <f>H567/G567</f>
        <v>0.2</v>
      </c>
    </row>
    <row r="568" spans="1:9" x14ac:dyDescent="0.25">
      <c r="A568" s="76" t="s">
        <v>587</v>
      </c>
      <c r="B568" s="76" t="s">
        <v>588</v>
      </c>
      <c r="C568" s="77">
        <v>41014</v>
      </c>
      <c r="D568" s="78">
        <v>41274</v>
      </c>
      <c r="E568" s="79">
        <v>0.3</v>
      </c>
      <c r="F568" s="80">
        <v>57198.66</v>
      </c>
      <c r="G568" s="88"/>
      <c r="H568" s="80">
        <v>17153.009999999998</v>
      </c>
      <c r="I568" s="93">
        <f>H568/F568</f>
        <v>0.29988482247661041</v>
      </c>
    </row>
    <row r="569" spans="1:9" x14ac:dyDescent="0.25">
      <c r="A569" s="70" t="s">
        <v>82</v>
      </c>
      <c r="B569" s="70" t="s">
        <v>84</v>
      </c>
      <c r="C569" s="71">
        <v>41015</v>
      </c>
      <c r="D569" s="72">
        <v>41274</v>
      </c>
      <c r="E569" s="73">
        <v>8.9999999999999993E-3</v>
      </c>
      <c r="F569" s="74">
        <v>122941</v>
      </c>
      <c r="G569" s="75"/>
      <c r="H569" s="74">
        <v>33434.15</v>
      </c>
      <c r="I569" s="127">
        <v>0.27195280663082294</v>
      </c>
    </row>
    <row r="570" spans="1:9" x14ac:dyDescent="0.25">
      <c r="A570" s="76" t="s">
        <v>491</v>
      </c>
      <c r="B570" s="76" t="s">
        <v>492</v>
      </c>
      <c r="C570" s="77">
        <v>41134</v>
      </c>
      <c r="D570" s="78">
        <v>41166</v>
      </c>
      <c r="E570" s="79">
        <v>0.5</v>
      </c>
      <c r="F570" s="80">
        <v>118324</v>
      </c>
      <c r="G570" s="88"/>
      <c r="H570" s="80">
        <v>59162</v>
      </c>
      <c r="I570" s="93">
        <f>H570/F570</f>
        <v>0.5</v>
      </c>
    </row>
    <row r="571" spans="1:9" x14ac:dyDescent="0.25">
      <c r="A571" s="76" t="s">
        <v>491</v>
      </c>
      <c r="B571" s="76" t="s">
        <v>492</v>
      </c>
      <c r="C571" s="77">
        <v>40924</v>
      </c>
      <c r="D571" s="78">
        <v>40963</v>
      </c>
      <c r="E571" s="79">
        <v>0.5</v>
      </c>
      <c r="F571" s="80">
        <v>116240</v>
      </c>
      <c r="G571" s="88"/>
      <c r="H571" s="80">
        <v>58120</v>
      </c>
      <c r="I571" s="114">
        <f>H571/F571</f>
        <v>0.5</v>
      </c>
    </row>
    <row r="572" spans="1:9" x14ac:dyDescent="0.25">
      <c r="A572" s="70" t="s">
        <v>82</v>
      </c>
      <c r="B572" s="70" t="s">
        <v>85</v>
      </c>
      <c r="C572" s="71">
        <v>41050</v>
      </c>
      <c r="D572" s="72">
        <v>41274</v>
      </c>
      <c r="E572" s="73">
        <v>8.9999999999999993E-3</v>
      </c>
      <c r="F572" s="74">
        <v>108615</v>
      </c>
      <c r="G572" s="75"/>
      <c r="H572" s="74">
        <v>32557.84</v>
      </c>
      <c r="I572" s="126">
        <v>0.29975454587303779</v>
      </c>
    </row>
    <row r="573" spans="1:9" x14ac:dyDescent="0.25">
      <c r="A573" s="76" t="s">
        <v>491</v>
      </c>
      <c r="B573" s="76" t="s">
        <v>493</v>
      </c>
      <c r="C573" s="77">
        <v>40966</v>
      </c>
      <c r="D573" s="78">
        <v>41019</v>
      </c>
      <c r="E573" s="79">
        <v>0.40500000000000003</v>
      </c>
      <c r="F573" s="80">
        <v>134741</v>
      </c>
      <c r="G573" s="88"/>
      <c r="H573" s="80">
        <v>59488.83</v>
      </c>
      <c r="I573" s="114">
        <f>H573/F573</f>
        <v>0.44150503558679244</v>
      </c>
    </row>
    <row r="574" spans="1:9" x14ac:dyDescent="0.25">
      <c r="A574" s="76" t="s">
        <v>407</v>
      </c>
      <c r="B574" s="76" t="s">
        <v>408</v>
      </c>
      <c r="C574" s="77">
        <v>40830</v>
      </c>
      <c r="D574" s="78">
        <v>40939</v>
      </c>
      <c r="E574" s="79">
        <v>0.25</v>
      </c>
      <c r="F574" s="88"/>
      <c r="G574" s="81">
        <v>22915</v>
      </c>
      <c r="H574" s="80">
        <v>5728.75</v>
      </c>
      <c r="I574" s="93">
        <f>H574/G574</f>
        <v>0.25</v>
      </c>
    </row>
    <row r="575" spans="1:9" x14ac:dyDescent="0.25">
      <c r="A575" s="76" t="s">
        <v>429</v>
      </c>
      <c r="B575" s="76" t="s">
        <v>434</v>
      </c>
      <c r="C575" s="77">
        <v>40980</v>
      </c>
      <c r="D575" s="78">
        <v>41151</v>
      </c>
      <c r="E575" s="79">
        <v>0.2</v>
      </c>
      <c r="F575" s="88"/>
      <c r="G575" s="81">
        <v>28712</v>
      </c>
      <c r="H575" s="80">
        <v>6742.2</v>
      </c>
      <c r="I575" s="114">
        <f>H575/G575</f>
        <v>0.23482167734745055</v>
      </c>
    </row>
    <row r="576" spans="1:9" x14ac:dyDescent="0.25">
      <c r="A576" s="76" t="s">
        <v>516</v>
      </c>
      <c r="B576" s="76" t="s">
        <v>524</v>
      </c>
      <c r="C576" s="77">
        <v>40862</v>
      </c>
      <c r="D576" s="78">
        <v>41228</v>
      </c>
      <c r="E576" s="79">
        <v>0.3</v>
      </c>
      <c r="F576" s="80">
        <v>75771</v>
      </c>
      <c r="G576" s="88"/>
      <c r="H576" s="80">
        <v>22731.3</v>
      </c>
      <c r="I576" s="93">
        <f t="shared" ref="I576:I589" si="4">H576/F576</f>
        <v>0.3</v>
      </c>
    </row>
    <row r="577" spans="1:9" x14ac:dyDescent="0.25">
      <c r="A577" s="76" t="s">
        <v>623</v>
      </c>
      <c r="B577" s="76" t="s">
        <v>628</v>
      </c>
      <c r="C577" s="77">
        <v>40862</v>
      </c>
      <c r="D577" s="78">
        <v>41227</v>
      </c>
      <c r="E577" s="79">
        <v>0.25</v>
      </c>
      <c r="F577" s="80">
        <v>83914</v>
      </c>
      <c r="G577" s="88"/>
      <c r="H577" s="80">
        <v>20978.5</v>
      </c>
      <c r="I577" s="79">
        <f t="shared" si="4"/>
        <v>0.25</v>
      </c>
    </row>
    <row r="578" spans="1:9" x14ac:dyDescent="0.25">
      <c r="A578" s="76" t="s">
        <v>682</v>
      </c>
      <c r="B578" s="76" t="s">
        <v>683</v>
      </c>
      <c r="C578" s="77">
        <v>40909</v>
      </c>
      <c r="D578" s="78">
        <v>40981</v>
      </c>
      <c r="E578" s="79">
        <v>0.315</v>
      </c>
      <c r="F578" s="80">
        <v>31055</v>
      </c>
      <c r="G578" s="88"/>
      <c r="H578" s="80">
        <v>12293.42</v>
      </c>
      <c r="I578" s="79">
        <f t="shared" si="4"/>
        <v>0.39585960392851394</v>
      </c>
    </row>
    <row r="579" spans="1:9" x14ac:dyDescent="0.25">
      <c r="A579" s="76" t="s">
        <v>220</v>
      </c>
      <c r="B579" s="76" t="s">
        <v>233</v>
      </c>
      <c r="C579" s="77">
        <v>41078</v>
      </c>
      <c r="D579" s="78">
        <v>41215</v>
      </c>
      <c r="E579" s="79">
        <v>0.25</v>
      </c>
      <c r="F579" s="80">
        <v>43845</v>
      </c>
      <c r="G579" s="81"/>
      <c r="H579" s="80">
        <v>10961.25</v>
      </c>
      <c r="I579" s="79">
        <f t="shared" si="4"/>
        <v>0.25</v>
      </c>
    </row>
    <row r="580" spans="1:9" x14ac:dyDescent="0.25">
      <c r="A580" s="76" t="s">
        <v>394</v>
      </c>
      <c r="B580" s="76" t="s">
        <v>399</v>
      </c>
      <c r="C580" s="77">
        <v>41030</v>
      </c>
      <c r="D580" s="78">
        <v>41214</v>
      </c>
      <c r="E580" s="79">
        <v>0.3</v>
      </c>
      <c r="F580" s="80">
        <v>37160</v>
      </c>
      <c r="G580" s="81"/>
      <c r="H580" s="80">
        <v>11148</v>
      </c>
      <c r="I580" s="79">
        <f t="shared" si="4"/>
        <v>0.3</v>
      </c>
    </row>
    <row r="581" spans="1:9" x14ac:dyDescent="0.25">
      <c r="A581" s="76" t="s">
        <v>516</v>
      </c>
      <c r="B581" s="76" t="s">
        <v>519</v>
      </c>
      <c r="C581" s="77">
        <v>40634</v>
      </c>
      <c r="D581" s="78">
        <v>41000</v>
      </c>
      <c r="E581" s="79">
        <v>0.17</v>
      </c>
      <c r="F581" s="80">
        <v>72503</v>
      </c>
      <c r="G581" s="88"/>
      <c r="H581" s="80">
        <v>22500</v>
      </c>
      <c r="I581" s="79">
        <f t="shared" si="4"/>
        <v>0.31033198626263742</v>
      </c>
    </row>
    <row r="582" spans="1:9" x14ac:dyDescent="0.25">
      <c r="A582" s="76" t="s">
        <v>516</v>
      </c>
      <c r="B582" s="76" t="s">
        <v>519</v>
      </c>
      <c r="C582" s="77">
        <v>41000</v>
      </c>
      <c r="D582" s="78" t="s">
        <v>530</v>
      </c>
      <c r="E582" s="79">
        <v>0.17</v>
      </c>
      <c r="F582" s="80">
        <v>65357</v>
      </c>
      <c r="G582" s="88"/>
      <c r="H582" s="80">
        <v>17000</v>
      </c>
      <c r="I582" s="79">
        <f t="shared" si="4"/>
        <v>0.26010985816362442</v>
      </c>
    </row>
    <row r="583" spans="1:9" x14ac:dyDescent="0.25">
      <c r="A583" s="76" t="s">
        <v>563</v>
      </c>
      <c r="B583" s="76" t="s">
        <v>567</v>
      </c>
      <c r="C583" s="77">
        <v>41092</v>
      </c>
      <c r="D583" s="78">
        <v>41243</v>
      </c>
      <c r="E583" s="79">
        <v>0.27</v>
      </c>
      <c r="F583" s="80">
        <v>52120</v>
      </c>
      <c r="G583" s="88"/>
      <c r="H583" s="80">
        <v>15636</v>
      </c>
      <c r="I583" s="79">
        <f t="shared" si="4"/>
        <v>0.3</v>
      </c>
    </row>
    <row r="584" spans="1:9" x14ac:dyDescent="0.25">
      <c r="A584" s="76" t="s">
        <v>220</v>
      </c>
      <c r="B584" s="76" t="s">
        <v>227</v>
      </c>
      <c r="C584" s="77">
        <v>40952</v>
      </c>
      <c r="D584" s="78">
        <v>41082</v>
      </c>
      <c r="E584" s="79">
        <v>0.23</v>
      </c>
      <c r="F584" s="80">
        <v>25695</v>
      </c>
      <c r="G584" s="81"/>
      <c r="H584" s="80">
        <v>5909.85</v>
      </c>
      <c r="I584" s="79">
        <f t="shared" si="4"/>
        <v>0.23</v>
      </c>
    </row>
    <row r="585" spans="1:9" x14ac:dyDescent="0.25">
      <c r="A585" s="76" t="s">
        <v>516</v>
      </c>
      <c r="B585" s="76" t="s">
        <v>523</v>
      </c>
      <c r="C585" s="77">
        <v>40862</v>
      </c>
      <c r="D585" s="78">
        <v>41228</v>
      </c>
      <c r="E585" s="79">
        <v>0.2</v>
      </c>
      <c r="F585" s="80">
        <v>103356</v>
      </c>
      <c r="G585" s="88"/>
      <c r="H585" s="80">
        <v>28355.17</v>
      </c>
      <c r="I585" s="79">
        <f t="shared" si="4"/>
        <v>0.27434469213204843</v>
      </c>
    </row>
    <row r="586" spans="1:9" x14ac:dyDescent="0.25">
      <c r="A586" s="76" t="s">
        <v>516</v>
      </c>
      <c r="B586" s="76" t="s">
        <v>518</v>
      </c>
      <c r="C586" s="77">
        <v>41000</v>
      </c>
      <c r="D586" s="78">
        <v>41365</v>
      </c>
      <c r="E586" s="79">
        <v>0.2</v>
      </c>
      <c r="F586" s="80">
        <v>20755</v>
      </c>
      <c r="G586" s="88"/>
      <c r="H586" s="80">
        <v>6095</v>
      </c>
      <c r="I586" s="79">
        <f t="shared" si="4"/>
        <v>0.2936641773066731</v>
      </c>
    </row>
    <row r="587" spans="1:9" x14ac:dyDescent="0.25">
      <c r="A587" s="76" t="s">
        <v>516</v>
      </c>
      <c r="B587" s="76" t="s">
        <v>518</v>
      </c>
      <c r="C587" s="77">
        <v>40634</v>
      </c>
      <c r="D587" s="78">
        <v>41000</v>
      </c>
      <c r="E587" s="79">
        <v>0.2</v>
      </c>
      <c r="F587" s="80">
        <v>21057</v>
      </c>
      <c r="G587" s="88"/>
      <c r="H587" s="80">
        <v>6000</v>
      </c>
      <c r="I587" s="79">
        <f t="shared" si="4"/>
        <v>0.28494087476848556</v>
      </c>
    </row>
    <row r="588" spans="1:9" x14ac:dyDescent="0.25">
      <c r="A588" s="76" t="s">
        <v>516</v>
      </c>
      <c r="B588" s="76" t="s">
        <v>522</v>
      </c>
      <c r="C588" s="77">
        <v>40695</v>
      </c>
      <c r="D588" s="78">
        <v>40999</v>
      </c>
      <c r="E588" s="79">
        <v>0.2</v>
      </c>
      <c r="F588" s="80">
        <v>26404</v>
      </c>
      <c r="G588" s="88"/>
      <c r="H588" s="80">
        <v>10000</v>
      </c>
      <c r="I588" s="79">
        <f t="shared" si="4"/>
        <v>0.37873049537948794</v>
      </c>
    </row>
    <row r="589" spans="1:9" x14ac:dyDescent="0.25">
      <c r="A589" s="76" t="s">
        <v>516</v>
      </c>
      <c r="B589" s="76" t="s">
        <v>522</v>
      </c>
      <c r="C589" s="77">
        <v>41086</v>
      </c>
      <c r="D589" s="78">
        <v>41364</v>
      </c>
      <c r="E589" s="79">
        <v>0.25</v>
      </c>
      <c r="F589" s="80">
        <v>27875</v>
      </c>
      <c r="G589" s="88"/>
      <c r="H589" s="80">
        <v>7576.63</v>
      </c>
      <c r="I589" s="79">
        <f t="shared" si="4"/>
        <v>0.27180735426008967</v>
      </c>
    </row>
    <row r="590" spans="1:9" x14ac:dyDescent="0.25">
      <c r="A590" s="76" t="s">
        <v>405</v>
      </c>
      <c r="B590" s="76" t="s">
        <v>406</v>
      </c>
      <c r="C590" s="77">
        <v>40756</v>
      </c>
      <c r="D590" s="78">
        <v>41122</v>
      </c>
      <c r="E590" s="79">
        <v>0.3</v>
      </c>
      <c r="F590" s="80"/>
      <c r="G590" s="81">
        <v>31545</v>
      </c>
      <c r="H590" s="80">
        <v>9463.5</v>
      </c>
      <c r="I590" s="79">
        <f>H590/G590</f>
        <v>0.3</v>
      </c>
    </row>
    <row r="591" spans="1:9" x14ac:dyDescent="0.25">
      <c r="A591" s="70" t="s">
        <v>74</v>
      </c>
      <c r="B591" s="70" t="s">
        <v>77</v>
      </c>
      <c r="C591" s="71">
        <v>40716</v>
      </c>
      <c r="D591" s="72">
        <v>41063</v>
      </c>
      <c r="E591" s="73">
        <v>0.24</v>
      </c>
      <c r="F591" s="74">
        <v>69262</v>
      </c>
      <c r="G591" s="75"/>
      <c r="H591" s="74">
        <v>16625.88</v>
      </c>
      <c r="I591" s="73">
        <v>0.24004331379399962</v>
      </c>
    </row>
    <row r="592" spans="1:9" x14ac:dyDescent="0.25">
      <c r="A592" s="76" t="s">
        <v>220</v>
      </c>
      <c r="B592" s="76" t="s">
        <v>221</v>
      </c>
      <c r="C592" s="77">
        <v>40805</v>
      </c>
      <c r="D592" s="78">
        <v>40929</v>
      </c>
      <c r="E592" s="79">
        <v>0.22</v>
      </c>
      <c r="F592" s="80">
        <v>26002</v>
      </c>
      <c r="G592" s="81"/>
      <c r="H592" s="80">
        <v>6000</v>
      </c>
      <c r="I592" s="79">
        <f>H592/F592</f>
        <v>0.23075148065533421</v>
      </c>
    </row>
    <row r="593" spans="1:9" x14ac:dyDescent="0.25">
      <c r="A593" s="76" t="s">
        <v>665</v>
      </c>
      <c r="B593" s="76" t="s">
        <v>668</v>
      </c>
      <c r="C593" s="77">
        <v>40634</v>
      </c>
      <c r="D593" s="78">
        <v>40999</v>
      </c>
      <c r="E593" s="79">
        <v>0.24</v>
      </c>
      <c r="F593" s="80">
        <v>148675</v>
      </c>
      <c r="G593" s="81"/>
      <c r="H593" s="80">
        <v>35682</v>
      </c>
      <c r="I593" s="79">
        <f>H593/F593</f>
        <v>0.24</v>
      </c>
    </row>
    <row r="594" spans="1:9" x14ac:dyDescent="0.25">
      <c r="A594" s="76" t="s">
        <v>558</v>
      </c>
      <c r="B594" s="76" t="s">
        <v>561</v>
      </c>
      <c r="C594" s="77">
        <v>40812</v>
      </c>
      <c r="D594" s="78">
        <v>41152</v>
      </c>
      <c r="E594" s="79">
        <v>0.14000000000000001</v>
      </c>
      <c r="F594" s="88"/>
      <c r="G594" s="81">
        <v>22404</v>
      </c>
      <c r="H594" s="80">
        <v>4209.5600000000004</v>
      </c>
      <c r="I594" s="79">
        <f>H594/G594</f>
        <v>0.18789323335118729</v>
      </c>
    </row>
    <row r="595" spans="1:9" x14ac:dyDescent="0.25">
      <c r="A595" s="76" t="s">
        <v>439</v>
      </c>
      <c r="B595" s="76" t="s">
        <v>442</v>
      </c>
      <c r="C595" s="77">
        <v>41162</v>
      </c>
      <c r="D595" s="78">
        <v>41419</v>
      </c>
      <c r="E595" s="79">
        <v>0.14000000000000001</v>
      </c>
      <c r="F595" s="88"/>
      <c r="G595" s="81">
        <v>18774</v>
      </c>
      <c r="H595" s="80">
        <v>3648.08</v>
      </c>
      <c r="I595" s="79">
        <f>H595/G595</f>
        <v>0.19431554277191862</v>
      </c>
    </row>
    <row r="596" spans="1:9" x14ac:dyDescent="0.25">
      <c r="A596" s="70" t="s">
        <v>171</v>
      </c>
      <c r="B596" s="70" t="s">
        <v>200</v>
      </c>
      <c r="C596" s="71">
        <v>40710</v>
      </c>
      <c r="D596" s="72">
        <v>41075</v>
      </c>
      <c r="E596" s="73">
        <v>1.7999999999999999E-2</v>
      </c>
      <c r="F596" s="74"/>
      <c r="G596" s="75">
        <v>520</v>
      </c>
      <c r="H596" s="74">
        <v>-351</v>
      </c>
      <c r="I596" s="73">
        <v>-0.67500000000000004</v>
      </c>
    </row>
    <row r="597" spans="1:9" x14ac:dyDescent="0.25">
      <c r="A597" s="70" t="s">
        <v>171</v>
      </c>
      <c r="B597" s="70" t="s">
        <v>200</v>
      </c>
      <c r="C597" s="71">
        <v>40710</v>
      </c>
      <c r="D597" s="72">
        <v>41075</v>
      </c>
      <c r="E597" s="73">
        <v>1.7999999999999999E-2</v>
      </c>
      <c r="F597" s="74">
        <v>22694</v>
      </c>
      <c r="G597" s="75"/>
      <c r="H597" s="74">
        <v>-4504</v>
      </c>
      <c r="I597" s="113">
        <f>H597/F597</f>
        <v>-0.19846655503657354</v>
      </c>
    </row>
    <row r="598" spans="1:9" x14ac:dyDescent="0.25">
      <c r="A598" s="76" t="s">
        <v>449</v>
      </c>
      <c r="B598" s="76" t="s">
        <v>463</v>
      </c>
      <c r="C598" s="77">
        <v>40822</v>
      </c>
      <c r="D598" s="78">
        <v>41090</v>
      </c>
      <c r="E598" s="79">
        <v>0</v>
      </c>
      <c r="F598" s="80">
        <v>59996</v>
      </c>
      <c r="G598" s="81"/>
      <c r="H598" s="80">
        <v>40912</v>
      </c>
      <c r="I598" s="79">
        <f>H598/F598</f>
        <v>0.68191212747516505</v>
      </c>
    </row>
    <row r="599" spans="1:9" x14ac:dyDescent="0.25">
      <c r="A599" s="76" t="s">
        <v>449</v>
      </c>
      <c r="B599" s="76" t="s">
        <v>472</v>
      </c>
      <c r="C599" s="77">
        <v>41091</v>
      </c>
      <c r="D599" s="78">
        <v>41455</v>
      </c>
      <c r="E599" s="79">
        <v>0</v>
      </c>
      <c r="F599" s="80">
        <v>0</v>
      </c>
      <c r="G599" s="88"/>
      <c r="H599" s="80">
        <v>0</v>
      </c>
      <c r="I599" s="113">
        <v>0</v>
      </c>
    </row>
    <row r="600" spans="1:9" x14ac:dyDescent="0.25">
      <c r="A600" s="76" t="s">
        <v>674</v>
      </c>
      <c r="B600" s="76" t="s">
        <v>678</v>
      </c>
      <c r="C600" s="77">
        <v>40940</v>
      </c>
      <c r="D600" s="78">
        <v>41274</v>
      </c>
      <c r="E600" s="79">
        <v>0.28799999999999998</v>
      </c>
      <c r="F600" s="80">
        <v>36510</v>
      </c>
      <c r="G600" s="81"/>
      <c r="H600" s="80">
        <v>12489.44</v>
      </c>
      <c r="I600" s="79">
        <f>H600/F600</f>
        <v>0.34208271706381815</v>
      </c>
    </row>
    <row r="601" spans="1:9" x14ac:dyDescent="0.25">
      <c r="A601" s="76" t="s">
        <v>613</v>
      </c>
      <c r="B601" s="76" t="s">
        <v>616</v>
      </c>
      <c r="C601" s="77">
        <v>40714</v>
      </c>
      <c r="D601" s="78">
        <v>41060</v>
      </c>
      <c r="E601" s="79">
        <v>8.9999999999999993E-3</v>
      </c>
      <c r="F601" s="80">
        <v>89247</v>
      </c>
      <c r="G601" s="81"/>
      <c r="H601" s="80">
        <v>30949</v>
      </c>
      <c r="I601" s="113">
        <f>H601/F601</f>
        <v>0.34677916344526988</v>
      </c>
    </row>
    <row r="602" spans="1:9" x14ac:dyDescent="0.25">
      <c r="A602" s="76" t="s">
        <v>613</v>
      </c>
      <c r="B602" s="76" t="s">
        <v>616</v>
      </c>
      <c r="C602" s="77">
        <v>40714</v>
      </c>
      <c r="D602" s="78">
        <v>41060</v>
      </c>
      <c r="E602" s="79">
        <v>8.9999999999999993E-3</v>
      </c>
      <c r="F602" s="80"/>
      <c r="G602" s="81">
        <v>2207</v>
      </c>
      <c r="H602" s="80">
        <v>947</v>
      </c>
      <c r="I602" s="79">
        <f>H602/G602</f>
        <v>0.42908926144086995</v>
      </c>
    </row>
    <row r="603" spans="1:9" x14ac:dyDescent="0.25">
      <c r="A603" s="76" t="s">
        <v>171</v>
      </c>
      <c r="B603" s="76" t="s">
        <v>207</v>
      </c>
      <c r="C603" s="77">
        <v>40891</v>
      </c>
      <c r="D603" s="78">
        <v>41213</v>
      </c>
      <c r="E603" s="79">
        <v>1.7999999999999999E-2</v>
      </c>
      <c r="F603" s="80">
        <v>33073</v>
      </c>
      <c r="G603" s="81"/>
      <c r="H603" s="80">
        <v>9212</v>
      </c>
      <c r="I603" s="113">
        <f>H603/F603</f>
        <v>0.27853536117074351</v>
      </c>
    </row>
    <row r="604" spans="1:9" x14ac:dyDescent="0.25">
      <c r="A604" s="76" t="s">
        <v>171</v>
      </c>
      <c r="B604" s="76" t="s">
        <v>207</v>
      </c>
      <c r="C604" s="77">
        <v>40891</v>
      </c>
      <c r="D604" s="78">
        <v>41213</v>
      </c>
      <c r="E604" s="79">
        <v>1.7999999999999999E-2</v>
      </c>
      <c r="F604" s="80"/>
      <c r="G604" s="81">
        <v>477</v>
      </c>
      <c r="H604" s="80">
        <v>52</v>
      </c>
      <c r="I604" s="79">
        <f>H604/G604</f>
        <v>0.1090146750524109</v>
      </c>
    </row>
    <row r="605" spans="1:9" x14ac:dyDescent="0.25">
      <c r="A605" s="76" t="s">
        <v>249</v>
      </c>
      <c r="B605" s="76" t="s">
        <v>1968</v>
      </c>
      <c r="C605" s="77">
        <v>40686</v>
      </c>
      <c r="D605" s="77">
        <v>40908</v>
      </c>
      <c r="E605" s="79">
        <v>0</v>
      </c>
      <c r="F605" s="80">
        <v>54564.07</v>
      </c>
      <c r="G605" s="88"/>
      <c r="H605" s="80">
        <v>-91397.67</v>
      </c>
      <c r="I605" s="79">
        <v>0</v>
      </c>
    </row>
    <row r="606" spans="1:9" x14ac:dyDescent="0.25">
      <c r="A606" s="76" t="s">
        <v>384</v>
      </c>
      <c r="B606" s="76" t="s">
        <v>389</v>
      </c>
      <c r="C606" s="77">
        <v>41214</v>
      </c>
      <c r="D606" s="78">
        <v>41455</v>
      </c>
      <c r="E606" s="79">
        <v>4.4999999999999998E-2</v>
      </c>
      <c r="F606" s="88"/>
      <c r="G606" s="81">
        <v>22790</v>
      </c>
      <c r="H606" s="80">
        <v>2358</v>
      </c>
      <c r="I606" s="79">
        <f>H606/G606</f>
        <v>0.10346643264589732</v>
      </c>
    </row>
    <row r="607" spans="1:9" x14ac:dyDescent="0.25">
      <c r="A607" s="76" t="s">
        <v>384</v>
      </c>
      <c r="B607" s="76" t="s">
        <v>387</v>
      </c>
      <c r="C607" s="77">
        <v>41039</v>
      </c>
      <c r="D607" s="78">
        <v>41060</v>
      </c>
      <c r="E607" s="79">
        <v>4.4999999999999998E-2</v>
      </c>
      <c r="F607" s="80"/>
      <c r="G607" s="81">
        <v>4750</v>
      </c>
      <c r="H607" s="80">
        <v>3976.5</v>
      </c>
      <c r="I607" s="113">
        <f>H607/G607</f>
        <v>0.8371578947368421</v>
      </c>
    </row>
    <row r="608" spans="1:9" x14ac:dyDescent="0.25">
      <c r="A608" s="76" t="s">
        <v>289</v>
      </c>
      <c r="B608" s="76" t="s">
        <v>308</v>
      </c>
      <c r="C608" s="77">
        <v>41051</v>
      </c>
      <c r="D608" s="78">
        <v>41155</v>
      </c>
      <c r="E608" s="79">
        <v>0.13</v>
      </c>
      <c r="F608" s="88"/>
      <c r="G608" s="81">
        <v>19978</v>
      </c>
      <c r="H608" s="80">
        <v>2613.14</v>
      </c>
      <c r="I608" s="79">
        <f>H608/G608</f>
        <v>0.13080088096906597</v>
      </c>
    </row>
    <row r="609" spans="1:9" x14ac:dyDescent="0.25">
      <c r="A609" s="76" t="s">
        <v>367</v>
      </c>
      <c r="B609" s="76" t="s">
        <v>368</v>
      </c>
      <c r="C609" s="77">
        <v>40739</v>
      </c>
      <c r="D609" s="78">
        <v>41104</v>
      </c>
      <c r="E609" s="79">
        <v>0.13500000000000001</v>
      </c>
      <c r="F609" s="80">
        <v>288916.7</v>
      </c>
      <c r="G609" s="81"/>
      <c r="H609" s="80">
        <v>43337.51</v>
      </c>
      <c r="I609" s="113">
        <f>H609/F609</f>
        <v>0.15000001730602627</v>
      </c>
    </row>
    <row r="610" spans="1:9" x14ac:dyDescent="0.25">
      <c r="A610" s="76" t="s">
        <v>367</v>
      </c>
      <c r="B610" s="76" t="s">
        <v>369</v>
      </c>
      <c r="C610" s="77">
        <v>41105</v>
      </c>
      <c r="D610" s="78">
        <v>41469</v>
      </c>
      <c r="E610" s="79">
        <v>0.13500000000000001</v>
      </c>
      <c r="F610" s="80"/>
      <c r="G610" s="81">
        <v>336861</v>
      </c>
      <c r="H610" s="80">
        <v>50529.15</v>
      </c>
      <c r="I610" s="79">
        <f>H610/G610</f>
        <v>0.15</v>
      </c>
    </row>
    <row r="611" spans="1:9" x14ac:dyDescent="0.25">
      <c r="A611" s="76" t="s">
        <v>317</v>
      </c>
      <c r="B611" s="76" t="s">
        <v>318</v>
      </c>
      <c r="C611" s="77">
        <v>40611</v>
      </c>
      <c r="D611" s="78">
        <v>40931</v>
      </c>
      <c r="E611" s="79">
        <v>0</v>
      </c>
      <c r="F611" s="80">
        <v>107314.94</v>
      </c>
      <c r="G611" s="81"/>
      <c r="H611" s="80">
        <v>41499.18</v>
      </c>
      <c r="I611" s="113">
        <f>H611/F611</f>
        <v>0.38670459117807826</v>
      </c>
    </row>
    <row r="612" spans="1:9" x14ac:dyDescent="0.25">
      <c r="A612" s="76" t="s">
        <v>317</v>
      </c>
      <c r="B612" s="76" t="s">
        <v>318</v>
      </c>
      <c r="C612" s="77">
        <v>40988</v>
      </c>
      <c r="D612" s="78">
        <v>41297</v>
      </c>
      <c r="E612" s="79">
        <v>8.9999999999999993E-3</v>
      </c>
      <c r="F612" s="80">
        <v>51200.6</v>
      </c>
      <c r="G612" s="81"/>
      <c r="H612" s="80">
        <v>16745.05</v>
      </c>
      <c r="I612" s="79">
        <f>H612/F612</f>
        <v>0.32704792521962633</v>
      </c>
    </row>
    <row r="613" spans="1:9" x14ac:dyDescent="0.25">
      <c r="A613" s="76" t="s">
        <v>317</v>
      </c>
      <c r="B613" s="76" t="s">
        <v>318</v>
      </c>
      <c r="C613" s="77">
        <v>40611</v>
      </c>
      <c r="D613" s="78">
        <v>40931</v>
      </c>
      <c r="E613" s="79">
        <v>0</v>
      </c>
      <c r="F613" s="80"/>
      <c r="G613" s="81">
        <v>6870.02</v>
      </c>
      <c r="H613" s="80">
        <v>3907.44</v>
      </c>
      <c r="I613" s="79">
        <f>H613/G613</f>
        <v>0.5687669031531204</v>
      </c>
    </row>
    <row r="614" spans="1:9" x14ac:dyDescent="0.25">
      <c r="A614" s="76" t="s">
        <v>317</v>
      </c>
      <c r="B614" s="76" t="s">
        <v>318</v>
      </c>
      <c r="C614" s="77">
        <v>40988</v>
      </c>
      <c r="D614" s="78">
        <v>41297</v>
      </c>
      <c r="E614" s="79">
        <v>8.9999999999999993E-3</v>
      </c>
      <c r="F614" s="80"/>
      <c r="G614" s="81">
        <v>2918</v>
      </c>
      <c r="H614" s="80">
        <v>954.33</v>
      </c>
      <c r="I614" s="79">
        <f>H614/G614</f>
        <v>0.32704934886908843</v>
      </c>
    </row>
    <row r="615" spans="1:9" x14ac:dyDescent="0.25">
      <c r="A615" s="76" t="s">
        <v>281</v>
      </c>
      <c r="B615" s="76" t="s">
        <v>285</v>
      </c>
      <c r="C615" s="77">
        <v>40617</v>
      </c>
      <c r="D615" s="78">
        <v>40982</v>
      </c>
      <c r="E615" s="79">
        <v>0.54</v>
      </c>
      <c r="F615" s="80">
        <v>80409</v>
      </c>
      <c r="G615" s="81"/>
      <c r="H615" s="80">
        <v>63535.89</v>
      </c>
      <c r="I615" s="79">
        <f>H615/F615</f>
        <v>0.79015893743237697</v>
      </c>
    </row>
    <row r="616" spans="1:9" x14ac:dyDescent="0.25">
      <c r="A616" s="76" t="s">
        <v>583</v>
      </c>
      <c r="B616" s="76" t="s">
        <v>584</v>
      </c>
      <c r="C616" s="77">
        <v>40544</v>
      </c>
      <c r="D616" s="78">
        <v>40939</v>
      </c>
      <c r="E616" s="79">
        <v>0.09</v>
      </c>
      <c r="F616" s="80">
        <v>0</v>
      </c>
      <c r="G616" s="81"/>
      <c r="H616" s="80">
        <v>0</v>
      </c>
      <c r="I616" s="79">
        <v>0</v>
      </c>
    </row>
    <row r="617" spans="1:9" x14ac:dyDescent="0.25">
      <c r="A617" s="76" t="s">
        <v>583</v>
      </c>
      <c r="B617" s="76" t="s">
        <v>584</v>
      </c>
      <c r="C617" s="77">
        <v>40940</v>
      </c>
      <c r="D617" s="78">
        <v>41305</v>
      </c>
      <c r="E617" s="79">
        <v>0.09</v>
      </c>
      <c r="F617" s="80">
        <v>0</v>
      </c>
      <c r="G617" s="81"/>
      <c r="H617" s="80">
        <v>0</v>
      </c>
      <c r="I617" s="79">
        <v>0</v>
      </c>
    </row>
    <row r="618" spans="1:9" x14ac:dyDescent="0.25">
      <c r="A618" s="76" t="s">
        <v>661</v>
      </c>
      <c r="B618" s="76" t="s">
        <v>662</v>
      </c>
      <c r="C618" s="77">
        <v>41106</v>
      </c>
      <c r="D618" s="78">
        <v>41203</v>
      </c>
      <c r="E618" s="79">
        <v>0</v>
      </c>
      <c r="F618" s="80">
        <v>16309</v>
      </c>
      <c r="G618" s="88"/>
      <c r="H618" s="80">
        <v>5423.78</v>
      </c>
      <c r="I618" s="79">
        <f t="shared" ref="I618:I623" si="5">H618/F618</f>
        <v>0.33256361518180144</v>
      </c>
    </row>
    <row r="619" spans="1:9" x14ac:dyDescent="0.25">
      <c r="A619" s="76" t="s">
        <v>549</v>
      </c>
      <c r="B619" s="76" t="s">
        <v>550</v>
      </c>
      <c r="C619" s="77">
        <v>40601</v>
      </c>
      <c r="D619" s="78">
        <v>40965</v>
      </c>
      <c r="E619" s="79">
        <v>0.36</v>
      </c>
      <c r="F619" s="80">
        <v>34508.36</v>
      </c>
      <c r="G619" s="88"/>
      <c r="H619" s="80">
        <v>13453.47</v>
      </c>
      <c r="I619" s="79">
        <f t="shared" si="5"/>
        <v>0.38986118146443349</v>
      </c>
    </row>
    <row r="620" spans="1:9" x14ac:dyDescent="0.25">
      <c r="A620" s="76" t="s">
        <v>549</v>
      </c>
      <c r="B620" s="76" t="s">
        <v>550</v>
      </c>
      <c r="C620" s="77">
        <v>40966</v>
      </c>
      <c r="D620" s="78">
        <v>41331</v>
      </c>
      <c r="E620" s="79">
        <v>0.36</v>
      </c>
      <c r="F620" s="80">
        <v>28515.41</v>
      </c>
      <c r="G620" s="88"/>
      <c r="H620" s="80">
        <v>9098.5499999999993</v>
      </c>
      <c r="I620" s="79">
        <f t="shared" si="5"/>
        <v>0.31907484409307107</v>
      </c>
    </row>
    <row r="621" spans="1:9" x14ac:dyDescent="0.25">
      <c r="A621" s="76" t="s">
        <v>744</v>
      </c>
      <c r="B621" s="76" t="s">
        <v>1720</v>
      </c>
      <c r="C621" s="77">
        <v>40909</v>
      </c>
      <c r="D621" s="78">
        <v>41274</v>
      </c>
      <c r="E621" s="79">
        <v>0.3</v>
      </c>
      <c r="F621" s="80">
        <v>99689</v>
      </c>
      <c r="G621" s="88"/>
      <c r="H621" s="80">
        <v>29906.7</v>
      </c>
      <c r="I621" s="73">
        <f t="shared" si="5"/>
        <v>0.3</v>
      </c>
    </row>
    <row r="622" spans="1:9" x14ac:dyDescent="0.25">
      <c r="A622" s="76" t="s">
        <v>549</v>
      </c>
      <c r="B622" s="76" t="s">
        <v>552</v>
      </c>
      <c r="C622" s="77">
        <v>41024</v>
      </c>
      <c r="D622" s="78">
        <v>41388</v>
      </c>
      <c r="E622" s="79">
        <v>0.36</v>
      </c>
      <c r="F622" s="80">
        <v>43492</v>
      </c>
      <c r="G622" s="88"/>
      <c r="H622" s="80">
        <v>26975.200000000001</v>
      </c>
      <c r="I622" s="79">
        <f t="shared" si="5"/>
        <v>0.62023360618044698</v>
      </c>
    </row>
    <row r="623" spans="1:9" x14ac:dyDescent="0.25">
      <c r="A623" s="76" t="s">
        <v>549</v>
      </c>
      <c r="B623" s="76" t="s">
        <v>552</v>
      </c>
      <c r="C623" s="77">
        <v>40658</v>
      </c>
      <c r="D623" s="78">
        <v>41023</v>
      </c>
      <c r="E623" s="79">
        <v>0.36</v>
      </c>
      <c r="F623" s="80">
        <v>39128.14</v>
      </c>
      <c r="G623" s="88"/>
      <c r="H623" s="80">
        <v>23501.94</v>
      </c>
      <c r="I623" s="79">
        <f t="shared" si="5"/>
        <v>0.60064035755341294</v>
      </c>
    </row>
    <row r="624" spans="1:9" x14ac:dyDescent="0.25">
      <c r="A624" s="76" t="s">
        <v>289</v>
      </c>
      <c r="B624" s="76" t="s">
        <v>292</v>
      </c>
      <c r="C624" s="77">
        <v>40831</v>
      </c>
      <c r="D624" s="78">
        <v>40983</v>
      </c>
      <c r="E624" s="79">
        <v>0.13</v>
      </c>
      <c r="F624" s="79"/>
      <c r="G624" s="81">
        <v>12597</v>
      </c>
      <c r="H624" s="80">
        <v>1646.61</v>
      </c>
      <c r="I624" s="79">
        <f>H624/G624</f>
        <v>0.13071445582281493</v>
      </c>
    </row>
    <row r="625" spans="1:9" x14ac:dyDescent="0.25">
      <c r="A625" s="76" t="s">
        <v>289</v>
      </c>
      <c r="B625" s="76" t="s">
        <v>292</v>
      </c>
      <c r="C625" s="77">
        <v>41230</v>
      </c>
      <c r="D625" s="78">
        <v>41335</v>
      </c>
      <c r="E625" s="79">
        <v>0.13</v>
      </c>
      <c r="F625" s="88"/>
      <c r="G625" s="81">
        <v>11956</v>
      </c>
      <c r="H625" s="80">
        <v>1569.58</v>
      </c>
      <c r="I625" s="79">
        <f>H625/G625</f>
        <v>0.13127969220475075</v>
      </c>
    </row>
    <row r="626" spans="1:9" x14ac:dyDescent="0.25">
      <c r="A626" s="76" t="s">
        <v>313</v>
      </c>
      <c r="B626" s="76" t="s">
        <v>292</v>
      </c>
      <c r="C626" s="77">
        <v>41062</v>
      </c>
      <c r="D626" s="78">
        <v>41156</v>
      </c>
      <c r="E626" s="79">
        <v>0.13</v>
      </c>
      <c r="F626" s="88"/>
      <c r="G626" s="81">
        <v>12922</v>
      </c>
      <c r="H626" s="80">
        <v>1698.86</v>
      </c>
      <c r="I626" s="79">
        <f>H626/G626</f>
        <v>0.13147036062529019</v>
      </c>
    </row>
    <row r="627" spans="1:9" x14ac:dyDescent="0.25">
      <c r="A627" s="76" t="s">
        <v>171</v>
      </c>
      <c r="B627" s="76" t="s">
        <v>205</v>
      </c>
      <c r="C627" s="77">
        <v>40826</v>
      </c>
      <c r="D627" s="78">
        <v>41153</v>
      </c>
      <c r="E627" s="79">
        <v>1.7999999999999999E-2</v>
      </c>
      <c r="F627" s="80">
        <v>5363</v>
      </c>
      <c r="G627" s="81"/>
      <c r="H627" s="80">
        <v>-11448</v>
      </c>
      <c r="I627" s="79">
        <f>H627/F627</f>
        <v>-2.1346261420846542</v>
      </c>
    </row>
    <row r="628" spans="1:9" x14ac:dyDescent="0.25">
      <c r="A628" s="76" t="s">
        <v>491</v>
      </c>
      <c r="B628" s="76" t="s">
        <v>496</v>
      </c>
      <c r="C628" s="77">
        <v>41085</v>
      </c>
      <c r="D628" s="78">
        <v>41110</v>
      </c>
      <c r="E628" s="79">
        <v>0.45</v>
      </c>
      <c r="F628" s="80">
        <v>61893</v>
      </c>
      <c r="G628" s="88"/>
      <c r="H628" s="80">
        <v>27851.85</v>
      </c>
      <c r="I628" s="79">
        <f>H628/F628</f>
        <v>0.44999999999999996</v>
      </c>
    </row>
    <row r="629" spans="1:9" x14ac:dyDescent="0.25">
      <c r="A629" s="76" t="s">
        <v>491</v>
      </c>
      <c r="B629" s="76" t="s">
        <v>498</v>
      </c>
      <c r="C629" s="77">
        <v>41169</v>
      </c>
      <c r="D629" s="78">
        <v>41208</v>
      </c>
      <c r="E629" s="79">
        <v>0.46</v>
      </c>
      <c r="F629" s="80">
        <v>102538</v>
      </c>
      <c r="G629" s="88"/>
      <c r="H629" s="80">
        <v>47167.48</v>
      </c>
      <c r="I629" s="79">
        <f>H629/F629</f>
        <v>0.46</v>
      </c>
    </row>
    <row r="630" spans="1:9" x14ac:dyDescent="0.25">
      <c r="A630" s="76" t="s">
        <v>171</v>
      </c>
      <c r="B630" s="76" t="s">
        <v>203</v>
      </c>
      <c r="C630" s="77">
        <v>40771</v>
      </c>
      <c r="D630" s="78">
        <v>41121</v>
      </c>
      <c r="E630" s="79">
        <v>1.7999999999999999E-2</v>
      </c>
      <c r="F630" s="80">
        <v>0</v>
      </c>
      <c r="G630" s="81"/>
      <c r="H630" s="80">
        <v>0</v>
      </c>
      <c r="I630" s="79">
        <v>0</v>
      </c>
    </row>
    <row r="631" spans="1:9" x14ac:dyDescent="0.25">
      <c r="A631" s="76" t="s">
        <v>317</v>
      </c>
      <c r="B631" s="76" t="s">
        <v>203</v>
      </c>
      <c r="C631" s="77">
        <v>40919</v>
      </c>
      <c r="D631" s="78">
        <v>41213</v>
      </c>
      <c r="E631" s="79">
        <v>1.7999999999999999E-2</v>
      </c>
      <c r="F631" s="80">
        <v>8130</v>
      </c>
      <c r="G631" s="81"/>
      <c r="H631" s="80">
        <v>4669.6499999999996</v>
      </c>
      <c r="I631" s="79">
        <f>H631/F631</f>
        <v>0.57437269372693722</v>
      </c>
    </row>
    <row r="632" spans="1:9" x14ac:dyDescent="0.25">
      <c r="A632" s="76" t="s">
        <v>317</v>
      </c>
      <c r="B632" s="76" t="s">
        <v>203</v>
      </c>
      <c r="C632" s="77">
        <v>40919</v>
      </c>
      <c r="D632" s="78">
        <v>41213</v>
      </c>
      <c r="E632" s="79">
        <v>1.7999999999999999E-2</v>
      </c>
      <c r="F632" s="80"/>
      <c r="G632" s="81">
        <v>45</v>
      </c>
      <c r="H632" s="80">
        <v>25.85</v>
      </c>
      <c r="I632" s="79">
        <f>H632/G632</f>
        <v>0.57444444444444442</v>
      </c>
    </row>
    <row r="633" spans="1:9" x14ac:dyDescent="0.25">
      <c r="A633" s="76" t="s">
        <v>262</v>
      </c>
      <c r="B633" s="76" t="s">
        <v>335</v>
      </c>
      <c r="C633" s="77">
        <v>41337</v>
      </c>
      <c r="D633" s="78">
        <v>41455</v>
      </c>
      <c r="E633" s="79">
        <v>8.9999999999999993E-3</v>
      </c>
      <c r="F633" s="80"/>
      <c r="G633" s="81">
        <v>120</v>
      </c>
      <c r="H633" s="80">
        <v>15</v>
      </c>
      <c r="I633" s="79">
        <f>H633/G633</f>
        <v>0.125</v>
      </c>
    </row>
    <row r="634" spans="1:9" x14ac:dyDescent="0.25">
      <c r="A634" s="76" t="s">
        <v>262</v>
      </c>
      <c r="B634" s="76" t="s">
        <v>335</v>
      </c>
      <c r="C634" s="77">
        <v>41337</v>
      </c>
      <c r="D634" s="78">
        <v>41455</v>
      </c>
      <c r="E634" s="79">
        <v>8.9999999999999993E-3</v>
      </c>
      <c r="F634" s="80">
        <v>8353</v>
      </c>
      <c r="G634" s="81"/>
      <c r="H634" s="80">
        <v>-15819</v>
      </c>
      <c r="I634" s="79">
        <f>H634/F634</f>
        <v>-1.8938106069675567</v>
      </c>
    </row>
    <row r="635" spans="1:9" x14ac:dyDescent="0.25">
      <c r="A635" s="70" t="s">
        <v>171</v>
      </c>
      <c r="B635" s="70" t="s">
        <v>194</v>
      </c>
      <c r="C635" s="71">
        <v>40597</v>
      </c>
      <c r="D635" s="72">
        <v>40939</v>
      </c>
      <c r="E635" s="73">
        <v>1.7999999999999999E-2</v>
      </c>
      <c r="F635" s="74">
        <v>651767</v>
      </c>
      <c r="G635" s="88"/>
      <c r="H635" s="74">
        <v>468507.81</v>
      </c>
      <c r="I635" s="73">
        <v>0.7188271422149326</v>
      </c>
    </row>
    <row r="636" spans="1:9" x14ac:dyDescent="0.25">
      <c r="A636" s="76" t="s">
        <v>171</v>
      </c>
      <c r="B636" s="76" t="s">
        <v>194</v>
      </c>
      <c r="C636" s="77">
        <v>40949</v>
      </c>
      <c r="D636" s="78">
        <v>41305</v>
      </c>
      <c r="E636" s="79">
        <v>1.7999999999999999E-2</v>
      </c>
      <c r="F636" s="80">
        <v>335429</v>
      </c>
      <c r="G636" s="81"/>
      <c r="H636" s="80">
        <v>164717.87</v>
      </c>
      <c r="I636" s="79">
        <f>H636/F636</f>
        <v>0.49106627632077132</v>
      </c>
    </row>
    <row r="637" spans="1:9" x14ac:dyDescent="0.25">
      <c r="A637" s="76" t="s">
        <v>317</v>
      </c>
      <c r="B637" s="76" t="s">
        <v>181</v>
      </c>
      <c r="C637" s="77">
        <v>40788</v>
      </c>
      <c r="D637" s="78">
        <v>41090</v>
      </c>
      <c r="E637" s="79">
        <v>1.7999999999999999E-2</v>
      </c>
      <c r="F637" s="80">
        <v>1428344.94</v>
      </c>
      <c r="G637" s="81"/>
      <c r="H637" s="80">
        <v>473850.97</v>
      </c>
      <c r="I637" s="79">
        <f>H637/F637</f>
        <v>0.33174827503502058</v>
      </c>
    </row>
    <row r="638" spans="1:9" x14ac:dyDescent="0.25">
      <c r="A638" s="76" t="s">
        <v>317</v>
      </c>
      <c r="B638" s="76" t="s">
        <v>181</v>
      </c>
      <c r="C638" s="77">
        <v>41123</v>
      </c>
      <c r="D638" s="78">
        <v>41455</v>
      </c>
      <c r="E638" s="79">
        <v>8.9999999999999998E-4</v>
      </c>
      <c r="F638" s="80">
        <v>1152761.21</v>
      </c>
      <c r="G638" s="81"/>
      <c r="H638" s="80">
        <v>87197.4</v>
      </c>
      <c r="I638" s="79">
        <f>H638/F638</f>
        <v>7.5642205205707774E-2</v>
      </c>
    </row>
    <row r="639" spans="1:9" x14ac:dyDescent="0.25">
      <c r="A639" s="76" t="s">
        <v>317</v>
      </c>
      <c r="B639" s="76" t="s">
        <v>181</v>
      </c>
      <c r="C639" s="77">
        <v>40788</v>
      </c>
      <c r="D639" s="78">
        <v>41090</v>
      </c>
      <c r="E639" s="79">
        <v>1.7999999999999999E-2</v>
      </c>
      <c r="F639" s="80"/>
      <c r="G639" s="81">
        <v>54335.05</v>
      </c>
      <c r="H639" s="80">
        <v>18025.560000000001</v>
      </c>
      <c r="I639" s="79">
        <f>H639/G639</f>
        <v>0.33174829138833956</v>
      </c>
    </row>
    <row r="640" spans="1:9" x14ac:dyDescent="0.25">
      <c r="A640" s="76" t="s">
        <v>317</v>
      </c>
      <c r="B640" s="76" t="s">
        <v>181</v>
      </c>
      <c r="C640" s="77">
        <v>41123</v>
      </c>
      <c r="D640" s="78">
        <v>41455</v>
      </c>
      <c r="E640" s="79">
        <v>8.9999999999999998E-4</v>
      </c>
      <c r="F640" s="80"/>
      <c r="G640" s="81">
        <v>53234.36</v>
      </c>
      <c r="H640" s="80">
        <v>4026.76</v>
      </c>
      <c r="I640" s="79">
        <f>H640/G640</f>
        <v>7.5642122869515105E-2</v>
      </c>
    </row>
    <row r="641" spans="1:9" x14ac:dyDescent="0.25">
      <c r="A641" s="76" t="s">
        <v>643</v>
      </c>
      <c r="B641" s="76" t="s">
        <v>181</v>
      </c>
      <c r="C641" s="77">
        <v>40847</v>
      </c>
      <c r="D641" s="78">
        <v>41212</v>
      </c>
      <c r="E641" s="79">
        <v>4.4999999999999997E-3</v>
      </c>
      <c r="F641" s="80">
        <v>172677.05</v>
      </c>
      <c r="G641" s="81"/>
      <c r="H641" s="80">
        <v>0</v>
      </c>
      <c r="I641" s="79">
        <f>H641/F641</f>
        <v>0</v>
      </c>
    </row>
    <row r="642" spans="1:9" x14ac:dyDescent="0.25">
      <c r="A642" s="76" t="s">
        <v>643</v>
      </c>
      <c r="B642" s="76" t="s">
        <v>181</v>
      </c>
      <c r="C642" s="77">
        <v>40847</v>
      </c>
      <c r="D642" s="78">
        <v>41212</v>
      </c>
      <c r="E642" s="79">
        <v>4.4999999999999997E-3</v>
      </c>
      <c r="F642" s="80"/>
      <c r="G642" s="81">
        <v>4040</v>
      </c>
      <c r="H642" s="80">
        <v>0</v>
      </c>
      <c r="I642" s="79">
        <f>H642/G642</f>
        <v>0</v>
      </c>
    </row>
    <row r="643" spans="1:9" x14ac:dyDescent="0.25">
      <c r="A643" s="76" t="s">
        <v>643</v>
      </c>
      <c r="B643" s="76" t="s">
        <v>181</v>
      </c>
      <c r="C643" s="77">
        <v>41213</v>
      </c>
      <c r="D643" s="78">
        <v>41577</v>
      </c>
      <c r="E643" s="79">
        <v>4.4999999999999997E-3</v>
      </c>
      <c r="F643" s="80"/>
      <c r="G643" s="81">
        <v>20160.18</v>
      </c>
      <c r="H643" s="80">
        <v>-5888.22</v>
      </c>
      <c r="I643" s="79">
        <f>H643/G643</f>
        <v>-0.29207179697800317</v>
      </c>
    </row>
    <row r="644" spans="1:9" x14ac:dyDescent="0.25">
      <c r="A644" s="76" t="s">
        <v>643</v>
      </c>
      <c r="B644" s="76" t="s">
        <v>181</v>
      </c>
      <c r="C644" s="77">
        <v>41213</v>
      </c>
      <c r="D644" s="78">
        <v>41577</v>
      </c>
      <c r="E644" s="79">
        <v>4.4999999999999997E-3</v>
      </c>
      <c r="F644" s="80">
        <v>505210.2</v>
      </c>
      <c r="G644" s="81"/>
      <c r="H644" s="80">
        <v>-35782.120000000003</v>
      </c>
      <c r="I644" s="79">
        <f>H644/F644</f>
        <v>-7.0826202638030675E-2</v>
      </c>
    </row>
    <row r="645" spans="1:9" x14ac:dyDescent="0.25">
      <c r="A645" s="76" t="s">
        <v>594</v>
      </c>
      <c r="B645" s="76" t="s">
        <v>598</v>
      </c>
      <c r="C645" s="77">
        <v>40813</v>
      </c>
      <c r="D645" s="78">
        <v>41178</v>
      </c>
      <c r="E645" s="79">
        <v>0.45</v>
      </c>
      <c r="F645" s="80">
        <v>38512.93</v>
      </c>
      <c r="G645" s="81"/>
      <c r="H645" s="80">
        <v>17252.78</v>
      </c>
      <c r="I645" s="79">
        <f>H645/F645</f>
        <v>0.44797370649285834</v>
      </c>
    </row>
    <row r="646" spans="1:9" x14ac:dyDescent="0.25">
      <c r="A646" s="76" t="s">
        <v>594</v>
      </c>
      <c r="B646" s="76" t="s">
        <v>598</v>
      </c>
      <c r="C646" s="77">
        <v>41179</v>
      </c>
      <c r="D646" s="78">
        <v>41543</v>
      </c>
      <c r="E646" s="79">
        <v>0.45</v>
      </c>
      <c r="F646" s="80">
        <v>31311.59</v>
      </c>
      <c r="G646" s="81"/>
      <c r="H646" s="80">
        <v>11483.34</v>
      </c>
      <c r="I646" s="79">
        <f>H646/F646</f>
        <v>0.36674407144447152</v>
      </c>
    </row>
    <row r="647" spans="1:9" x14ac:dyDescent="0.25">
      <c r="A647" s="76" t="s">
        <v>594</v>
      </c>
      <c r="B647" s="76" t="s">
        <v>598</v>
      </c>
      <c r="C647" s="77">
        <v>41179</v>
      </c>
      <c r="D647" s="78">
        <v>41543</v>
      </c>
      <c r="E647" s="79">
        <v>0.45</v>
      </c>
      <c r="F647" s="80"/>
      <c r="G647" s="81">
        <v>15074</v>
      </c>
      <c r="H647" s="80">
        <v>6917.42</v>
      </c>
      <c r="I647" s="79">
        <f>H647/G647</f>
        <v>0.45889743929945603</v>
      </c>
    </row>
    <row r="648" spans="1:9" x14ac:dyDescent="0.25">
      <c r="A648" s="76" t="s">
        <v>594</v>
      </c>
      <c r="B648" s="76" t="s">
        <v>598</v>
      </c>
      <c r="C648" s="77">
        <v>40813</v>
      </c>
      <c r="D648" s="78">
        <v>41178</v>
      </c>
      <c r="E648" s="79">
        <v>0.45</v>
      </c>
      <c r="F648" s="80"/>
      <c r="G648" s="81">
        <v>14994</v>
      </c>
      <c r="H648" s="80">
        <v>6716.92</v>
      </c>
      <c r="I648" s="79">
        <f>H648/G648</f>
        <v>0.44797385620915031</v>
      </c>
    </row>
    <row r="649" spans="1:9" x14ac:dyDescent="0.25">
      <c r="A649" s="76" t="s">
        <v>504</v>
      </c>
      <c r="B649" s="76" t="s">
        <v>510</v>
      </c>
      <c r="C649" s="77">
        <v>40940</v>
      </c>
      <c r="D649" s="78">
        <v>41305</v>
      </c>
      <c r="E649" s="79">
        <v>0.09</v>
      </c>
      <c r="F649" s="80"/>
      <c r="G649" s="81">
        <v>10707</v>
      </c>
      <c r="H649" s="80">
        <v>1070.7</v>
      </c>
      <c r="I649" s="79">
        <f>H649/G649</f>
        <v>0.1</v>
      </c>
    </row>
    <row r="650" spans="1:9" x14ac:dyDescent="0.25">
      <c r="A650" s="70" t="s">
        <v>60</v>
      </c>
      <c r="B650" s="70" t="s">
        <v>63</v>
      </c>
      <c r="C650" s="71">
        <v>40787</v>
      </c>
      <c r="D650" s="72">
        <v>41152</v>
      </c>
      <c r="E650" s="73">
        <v>0.09</v>
      </c>
      <c r="F650" s="74">
        <v>310738.3</v>
      </c>
      <c r="G650" s="75"/>
      <c r="H650" s="74">
        <v>35998.589999999997</v>
      </c>
      <c r="I650" s="73">
        <f>H650/F650</f>
        <v>0.11584857740420154</v>
      </c>
    </row>
    <row r="651" spans="1:9" x14ac:dyDescent="0.25">
      <c r="A651" s="76" t="s">
        <v>449</v>
      </c>
      <c r="B651" s="76" t="s">
        <v>461</v>
      </c>
      <c r="C651" s="77">
        <v>40767</v>
      </c>
      <c r="D651" s="78">
        <v>41029</v>
      </c>
      <c r="E651" s="79">
        <v>0</v>
      </c>
      <c r="F651" s="80">
        <v>861440</v>
      </c>
      <c r="G651" s="81"/>
      <c r="H651" s="80">
        <v>595814</v>
      </c>
      <c r="I651" s="79">
        <f>H651/F651</f>
        <v>0.69164886701337291</v>
      </c>
    </row>
    <row r="652" spans="1:9" x14ac:dyDescent="0.25">
      <c r="A652" s="76" t="s">
        <v>449</v>
      </c>
      <c r="B652" s="76" t="s">
        <v>467</v>
      </c>
      <c r="C652" s="77">
        <v>41030</v>
      </c>
      <c r="D652" s="78">
        <v>41394</v>
      </c>
      <c r="E652" s="79">
        <v>0</v>
      </c>
      <c r="F652" s="80">
        <v>2149723</v>
      </c>
      <c r="G652" s="81"/>
      <c r="H652" s="80">
        <v>917573</v>
      </c>
      <c r="I652" s="79">
        <f>H652/F652</f>
        <v>0.42683313152438712</v>
      </c>
    </row>
    <row r="653" spans="1:9" x14ac:dyDescent="0.25">
      <c r="A653" s="76" t="s">
        <v>531</v>
      </c>
      <c r="B653" s="76" t="s">
        <v>542</v>
      </c>
      <c r="C653" s="77">
        <v>40848</v>
      </c>
      <c r="D653" s="78">
        <v>41213</v>
      </c>
      <c r="E653" s="79">
        <v>8.9999999999999993E-3</v>
      </c>
      <c r="F653" s="80"/>
      <c r="G653" s="81">
        <v>105</v>
      </c>
      <c r="H653" s="80">
        <v>-14</v>
      </c>
      <c r="I653" s="79">
        <f>H653/G653</f>
        <v>-0.13333333333333333</v>
      </c>
    </row>
    <row r="654" spans="1:9" x14ac:dyDescent="0.25">
      <c r="A654" s="76" t="s">
        <v>531</v>
      </c>
      <c r="B654" s="76" t="s">
        <v>542</v>
      </c>
      <c r="C654" s="77">
        <v>40848</v>
      </c>
      <c r="D654" s="78">
        <v>41213</v>
      </c>
      <c r="E654" s="79">
        <v>8.9999999999999993E-3</v>
      </c>
      <c r="F654" s="80">
        <v>4266</v>
      </c>
      <c r="G654" s="81"/>
      <c r="H654" s="80">
        <v>-3748</v>
      </c>
      <c r="I654" s="79">
        <f>H654/F654</f>
        <v>-0.8785747773089545</v>
      </c>
    </row>
    <row r="655" spans="1:9" x14ac:dyDescent="0.25">
      <c r="A655" s="76" t="s">
        <v>243</v>
      </c>
      <c r="B655" s="76" t="s">
        <v>244</v>
      </c>
      <c r="C655" s="77">
        <v>40909</v>
      </c>
      <c r="D655" s="78">
        <v>41274</v>
      </c>
      <c r="E655" s="79">
        <v>1.7999999999999999E-2</v>
      </c>
      <c r="F655" s="80">
        <v>6051098</v>
      </c>
      <c r="G655" s="81"/>
      <c r="H655" s="80">
        <v>4338848.32</v>
      </c>
      <c r="I655" s="79">
        <f>H655/F655</f>
        <v>0.71703487862863902</v>
      </c>
    </row>
    <row r="656" spans="1:9" x14ac:dyDescent="0.25">
      <c r="A656" s="76" t="s">
        <v>246</v>
      </c>
      <c r="B656" s="76" t="s">
        <v>247</v>
      </c>
      <c r="C656" s="77">
        <v>40909</v>
      </c>
      <c r="D656" s="78">
        <v>41274</v>
      </c>
      <c r="E656" s="79">
        <v>0</v>
      </c>
      <c r="F656" s="80">
        <v>0</v>
      </c>
      <c r="G656" s="81"/>
      <c r="H656" s="80">
        <v>0</v>
      </c>
      <c r="I656" s="79">
        <v>0</v>
      </c>
    </row>
    <row r="657" spans="1:9" x14ac:dyDescent="0.25">
      <c r="A657" s="76" t="s">
        <v>317</v>
      </c>
      <c r="B657" s="76" t="s">
        <v>247</v>
      </c>
      <c r="C657" s="77">
        <v>40725</v>
      </c>
      <c r="D657" s="78">
        <v>41090</v>
      </c>
      <c r="E657" s="79">
        <v>0</v>
      </c>
      <c r="F657" s="80">
        <v>41352.800000000003</v>
      </c>
      <c r="G657" s="81"/>
      <c r="H657" s="80">
        <v>4648.3100000000004</v>
      </c>
      <c r="I657" s="79">
        <f>H657/F657</f>
        <v>0.11240617322164401</v>
      </c>
    </row>
    <row r="658" spans="1:9" x14ac:dyDescent="0.25">
      <c r="A658" s="76" t="s">
        <v>317</v>
      </c>
      <c r="B658" s="76" t="s">
        <v>247</v>
      </c>
      <c r="C658" s="77">
        <v>40725</v>
      </c>
      <c r="D658" s="78">
        <v>41090</v>
      </c>
      <c r="E658" s="79">
        <v>0</v>
      </c>
      <c r="F658" s="80"/>
      <c r="G658" s="81">
        <v>1124</v>
      </c>
      <c r="H658" s="80">
        <v>126.34</v>
      </c>
      <c r="I658" s="79">
        <f>H658/G658</f>
        <v>0.11240213523131673</v>
      </c>
    </row>
    <row r="659" spans="1:9" x14ac:dyDescent="0.25">
      <c r="A659" s="76" t="s">
        <v>643</v>
      </c>
      <c r="B659" s="76" t="s">
        <v>247</v>
      </c>
      <c r="C659" s="77">
        <v>40954</v>
      </c>
      <c r="D659" s="78">
        <v>41274</v>
      </c>
      <c r="E659" s="79">
        <v>4.4999999999999997E-3</v>
      </c>
      <c r="F659" s="80">
        <v>192923.81</v>
      </c>
      <c r="G659" s="81"/>
      <c r="H659" s="80">
        <v>51505.21</v>
      </c>
      <c r="I659" s="79">
        <f>H659/F659</f>
        <v>0.26697176465673161</v>
      </c>
    </row>
    <row r="660" spans="1:9" x14ac:dyDescent="0.25">
      <c r="A660" s="76" t="s">
        <v>643</v>
      </c>
      <c r="B660" s="76" t="s">
        <v>247</v>
      </c>
      <c r="C660" s="77">
        <v>40954</v>
      </c>
      <c r="D660" s="78">
        <v>41274</v>
      </c>
      <c r="E660" s="79">
        <v>4.4999999999999997E-3</v>
      </c>
      <c r="F660" s="80"/>
      <c r="G660" s="81">
        <v>2810</v>
      </c>
      <c r="H660" s="80">
        <v>1304</v>
      </c>
      <c r="I660" s="79">
        <f>H660/G660</f>
        <v>0.46405693950177934</v>
      </c>
    </row>
    <row r="661" spans="1:9" x14ac:dyDescent="0.25">
      <c r="A661" s="76" t="s">
        <v>449</v>
      </c>
      <c r="B661" s="76" t="s">
        <v>455</v>
      </c>
      <c r="C661" s="77">
        <v>40695</v>
      </c>
      <c r="D661" s="78">
        <v>41060</v>
      </c>
      <c r="E661" s="79">
        <v>0</v>
      </c>
      <c r="F661" s="80">
        <v>65563</v>
      </c>
      <c r="G661" s="81"/>
      <c r="H661" s="80">
        <v>33230</v>
      </c>
      <c r="I661" s="79">
        <f>H661/F661</f>
        <v>0.50684074859295636</v>
      </c>
    </row>
    <row r="662" spans="1:9" x14ac:dyDescent="0.25">
      <c r="A662" s="76" t="s">
        <v>449</v>
      </c>
      <c r="B662" s="76" t="s">
        <v>455</v>
      </c>
      <c r="C662" s="77">
        <v>41061</v>
      </c>
      <c r="D662" s="78">
        <v>41425</v>
      </c>
      <c r="E662" s="79">
        <v>0</v>
      </c>
      <c r="F662" s="80">
        <v>53220</v>
      </c>
      <c r="G662" s="88"/>
      <c r="H662" s="80">
        <v>28592</v>
      </c>
      <c r="I662" s="79">
        <f>H662/F662</f>
        <v>0.53724163848177375</v>
      </c>
    </row>
    <row r="663" spans="1:9" x14ac:dyDescent="0.25">
      <c r="A663" s="76" t="s">
        <v>289</v>
      </c>
      <c r="B663" s="76" t="s">
        <v>293</v>
      </c>
      <c r="C663" s="77">
        <v>40842</v>
      </c>
      <c r="D663" s="78">
        <v>40927</v>
      </c>
      <c r="E663" s="79">
        <v>0.13</v>
      </c>
      <c r="F663" s="79"/>
      <c r="G663" s="81">
        <v>17433</v>
      </c>
      <c r="H663" s="80">
        <v>2279.29</v>
      </c>
      <c r="I663" s="79">
        <f>H663/G663</f>
        <v>0.13074571215510813</v>
      </c>
    </row>
    <row r="664" spans="1:9" x14ac:dyDescent="0.25">
      <c r="A664" s="76" t="s">
        <v>289</v>
      </c>
      <c r="B664" s="76" t="s">
        <v>293</v>
      </c>
      <c r="C664" s="77">
        <v>41230</v>
      </c>
      <c r="D664" s="78">
        <v>41335</v>
      </c>
      <c r="E664" s="79">
        <v>0.13</v>
      </c>
      <c r="F664" s="88"/>
      <c r="G664" s="81">
        <v>15596</v>
      </c>
      <c r="H664" s="80">
        <v>2031.48</v>
      </c>
      <c r="I664" s="79">
        <f>H664/G664</f>
        <v>0.13025647601949217</v>
      </c>
    </row>
    <row r="665" spans="1:9" x14ac:dyDescent="0.25">
      <c r="A665" s="70" t="s">
        <v>171</v>
      </c>
      <c r="B665" s="70" t="s">
        <v>175</v>
      </c>
      <c r="C665" s="71">
        <v>40634</v>
      </c>
      <c r="D665" s="72">
        <v>40999</v>
      </c>
      <c r="E665" s="73">
        <v>1.7999999999999999E-2</v>
      </c>
      <c r="F665" s="74">
        <v>1724030</v>
      </c>
      <c r="G665" s="75"/>
      <c r="H665" s="74">
        <v>954116.87</v>
      </c>
      <c r="I665" s="73">
        <v>0.55342242884404569</v>
      </c>
    </row>
    <row r="666" spans="1:9" x14ac:dyDescent="0.25">
      <c r="A666" s="76" t="s">
        <v>531</v>
      </c>
      <c r="B666" s="76" t="s">
        <v>175</v>
      </c>
      <c r="C666" s="77">
        <v>41179</v>
      </c>
      <c r="D666" s="78">
        <v>41364</v>
      </c>
      <c r="E666" s="79">
        <v>8.9999999999999993E-3</v>
      </c>
      <c r="F666" s="80">
        <v>59132</v>
      </c>
      <c r="G666" s="81"/>
      <c r="H666" s="80">
        <v>37701</v>
      </c>
      <c r="I666" s="79">
        <f>H666/F666</f>
        <v>0.63757356422918221</v>
      </c>
    </row>
    <row r="667" spans="1:9" x14ac:dyDescent="0.25">
      <c r="A667" s="76" t="s">
        <v>531</v>
      </c>
      <c r="B667" s="76" t="s">
        <v>175</v>
      </c>
      <c r="C667" s="77">
        <v>41179</v>
      </c>
      <c r="D667" s="78">
        <v>41364</v>
      </c>
      <c r="E667" s="79">
        <v>8.9999999999999993E-3</v>
      </c>
      <c r="F667" s="80"/>
      <c r="G667" s="81">
        <v>1830</v>
      </c>
      <c r="H667" s="80">
        <v>1176</v>
      </c>
      <c r="I667" s="79">
        <f>H667/G667</f>
        <v>0.64262295081967213</v>
      </c>
    </row>
    <row r="668" spans="1:9" x14ac:dyDescent="0.25">
      <c r="A668" s="76" t="s">
        <v>674</v>
      </c>
      <c r="B668" s="76" t="s">
        <v>175</v>
      </c>
      <c r="C668" s="77">
        <v>40911</v>
      </c>
      <c r="D668" s="78">
        <v>41274</v>
      </c>
      <c r="E668" s="79">
        <v>8.9999999999999993E-3</v>
      </c>
      <c r="F668" s="80">
        <v>1020915.42</v>
      </c>
      <c r="G668" s="81"/>
      <c r="H668" s="80">
        <v>97848.79</v>
      </c>
      <c r="I668" s="79">
        <f>H668/F668</f>
        <v>9.5844168951821684E-2</v>
      </c>
    </row>
    <row r="669" spans="1:9" x14ac:dyDescent="0.25">
      <c r="A669" s="76" t="s">
        <v>674</v>
      </c>
      <c r="B669" s="76" t="s">
        <v>175</v>
      </c>
      <c r="C669" s="77">
        <v>40911</v>
      </c>
      <c r="D669" s="78">
        <v>41274</v>
      </c>
      <c r="E669" s="79">
        <v>8.9999999999999993E-3</v>
      </c>
      <c r="F669" s="80"/>
      <c r="G669" s="81">
        <v>39522</v>
      </c>
      <c r="H669" s="80">
        <v>5220.83</v>
      </c>
      <c r="I669" s="79">
        <f>H669/G669</f>
        <v>0.13209933707808308</v>
      </c>
    </row>
    <row r="670" spans="1:9" x14ac:dyDescent="0.25">
      <c r="A670" s="70" t="s">
        <v>87</v>
      </c>
      <c r="B670" s="70" t="s">
        <v>94</v>
      </c>
      <c r="C670" s="71">
        <v>41000</v>
      </c>
      <c r="D670" s="72">
        <v>41333</v>
      </c>
      <c r="E670" s="73">
        <v>0.92500000000000004</v>
      </c>
      <c r="F670" s="74">
        <v>39770.1</v>
      </c>
      <c r="G670" s="75"/>
      <c r="H670" s="74">
        <v>36787.339999999997</v>
      </c>
      <c r="I670" s="73">
        <v>0.92499993713870465</v>
      </c>
    </row>
    <row r="671" spans="1:9" x14ac:dyDescent="0.25">
      <c r="A671" s="70" t="s">
        <v>87</v>
      </c>
      <c r="B671" s="70" t="s">
        <v>94</v>
      </c>
      <c r="C671" s="71">
        <v>41000</v>
      </c>
      <c r="D671" s="72">
        <v>41333</v>
      </c>
      <c r="E671" s="73">
        <v>0.92500000000000004</v>
      </c>
      <c r="F671" s="74"/>
      <c r="G671" s="75">
        <v>1379.3</v>
      </c>
      <c r="H671" s="74">
        <v>1275.8499999999999</v>
      </c>
      <c r="I671" s="73">
        <v>0.92499818748640616</v>
      </c>
    </row>
    <row r="672" spans="1:9" x14ac:dyDescent="0.25">
      <c r="A672" s="70" t="s">
        <v>146</v>
      </c>
      <c r="B672" s="70" t="s">
        <v>94</v>
      </c>
      <c r="C672" s="71">
        <v>40641</v>
      </c>
      <c r="D672" s="72">
        <v>40982</v>
      </c>
      <c r="E672" s="101">
        <v>4.4999999999999999E-4</v>
      </c>
      <c r="F672" s="74">
        <v>70560</v>
      </c>
      <c r="G672" s="75">
        <v>46628</v>
      </c>
      <c r="H672" s="74">
        <v>9912.1299999999992</v>
      </c>
      <c r="I672" s="73">
        <v>0.14047803287981858</v>
      </c>
    </row>
    <row r="673" spans="1:9" x14ac:dyDescent="0.25">
      <c r="A673" s="70" t="s">
        <v>171</v>
      </c>
      <c r="B673" s="70" t="s">
        <v>94</v>
      </c>
      <c r="C673" s="71">
        <v>40690</v>
      </c>
      <c r="D673" s="72">
        <v>41055</v>
      </c>
      <c r="E673" s="73">
        <v>1.7999999999999999E-2</v>
      </c>
      <c r="F673" s="74">
        <v>2232050</v>
      </c>
      <c r="G673" s="75"/>
      <c r="H673" s="74">
        <v>845319</v>
      </c>
      <c r="I673" s="79">
        <f>H673/F673</f>
        <v>0.37871866669653459</v>
      </c>
    </row>
    <row r="674" spans="1:9" x14ac:dyDescent="0.25">
      <c r="A674" s="70" t="s">
        <v>171</v>
      </c>
      <c r="B674" s="70" t="s">
        <v>94</v>
      </c>
      <c r="C674" s="71">
        <v>40690</v>
      </c>
      <c r="D674" s="72">
        <v>41055</v>
      </c>
      <c r="E674" s="73">
        <v>1.7999999999999999E-2</v>
      </c>
      <c r="F674" s="74"/>
      <c r="G674" s="75">
        <v>76937</v>
      </c>
      <c r="H674" s="74">
        <v>23274</v>
      </c>
      <c r="I674" s="73">
        <f>H674/G674</f>
        <v>0.30250724618843988</v>
      </c>
    </row>
    <row r="675" spans="1:9" x14ac:dyDescent="0.25">
      <c r="A675" s="76" t="s">
        <v>235</v>
      </c>
      <c r="B675" s="76" t="s">
        <v>94</v>
      </c>
      <c r="C675" s="77">
        <v>40836</v>
      </c>
      <c r="D675" s="78">
        <v>41201</v>
      </c>
      <c r="E675" s="79">
        <v>0.33</v>
      </c>
      <c r="F675" s="80">
        <v>199522.16</v>
      </c>
      <c r="G675" s="81"/>
      <c r="H675" s="80">
        <v>188911.91</v>
      </c>
      <c r="I675" s="79">
        <f>H675/F675</f>
        <v>0.94682169639703184</v>
      </c>
    </row>
    <row r="676" spans="1:9" x14ac:dyDescent="0.25">
      <c r="A676" s="76" t="s">
        <v>235</v>
      </c>
      <c r="B676" s="76" t="s">
        <v>94</v>
      </c>
      <c r="C676" s="77">
        <v>40836</v>
      </c>
      <c r="D676" s="78">
        <v>41201</v>
      </c>
      <c r="E676" s="79">
        <v>0.33</v>
      </c>
      <c r="F676" s="80"/>
      <c r="G676" s="81">
        <v>4171.12</v>
      </c>
      <c r="H676" s="80">
        <v>3877.37</v>
      </c>
      <c r="I676" s="79">
        <f>H676/G676</f>
        <v>0.92957526995147588</v>
      </c>
    </row>
    <row r="677" spans="1:9" x14ac:dyDescent="0.25">
      <c r="A677" s="76" t="s">
        <v>317</v>
      </c>
      <c r="B677" s="76" t="s">
        <v>94</v>
      </c>
      <c r="C677" s="77">
        <v>40955</v>
      </c>
      <c r="D677" s="78">
        <v>41243</v>
      </c>
      <c r="E677" s="79">
        <v>8.9999999999999998E-4</v>
      </c>
      <c r="F677" s="80">
        <v>109718.19</v>
      </c>
      <c r="G677" s="81"/>
      <c r="H677" s="80">
        <v>100.69</v>
      </c>
      <c r="I677" s="79">
        <f>H677/F677</f>
        <v>9.1771473809402061E-4</v>
      </c>
    </row>
    <row r="678" spans="1:9" x14ac:dyDescent="0.25">
      <c r="A678" s="76" t="s">
        <v>317</v>
      </c>
      <c r="B678" s="76" t="s">
        <v>94</v>
      </c>
      <c r="C678" s="77">
        <v>40955</v>
      </c>
      <c r="D678" s="78">
        <v>41243</v>
      </c>
      <c r="E678" s="79">
        <v>8.9999999999999998E-4</v>
      </c>
      <c r="F678" s="80"/>
      <c r="G678" s="81">
        <v>4424</v>
      </c>
      <c r="H678" s="80">
        <v>4.0599999999999996</v>
      </c>
      <c r="I678" s="79">
        <f>H678/G678</f>
        <v>9.1772151898734163E-4</v>
      </c>
    </row>
    <row r="679" spans="1:9" x14ac:dyDescent="0.25">
      <c r="A679" s="70" t="s">
        <v>171</v>
      </c>
      <c r="B679" s="70" t="s">
        <v>201</v>
      </c>
      <c r="C679" s="94">
        <v>40711</v>
      </c>
      <c r="D679" s="72">
        <v>41085</v>
      </c>
      <c r="E679" s="73">
        <v>1.7999999999999999E-2</v>
      </c>
      <c r="F679" s="74">
        <v>29238</v>
      </c>
      <c r="G679" s="75"/>
      <c r="H679" s="74">
        <v>1904</v>
      </c>
      <c r="I679" s="79">
        <f>H679/F679</f>
        <v>6.5120733292290858E-2</v>
      </c>
    </row>
    <row r="680" spans="1:9" x14ac:dyDescent="0.25">
      <c r="A680" s="70" t="s">
        <v>171</v>
      </c>
      <c r="B680" s="70" t="s">
        <v>201</v>
      </c>
      <c r="C680" s="94">
        <v>40711</v>
      </c>
      <c r="D680" s="72">
        <v>41085</v>
      </c>
      <c r="E680" s="73">
        <v>1.7999999999999999E-2</v>
      </c>
      <c r="F680" s="74"/>
      <c r="G680" s="75">
        <v>341</v>
      </c>
      <c r="H680" s="74">
        <v>-436</v>
      </c>
      <c r="I680" s="73">
        <f>H680/G680</f>
        <v>-1.2785923753665689</v>
      </c>
    </row>
    <row r="681" spans="1:9" x14ac:dyDescent="0.25">
      <c r="A681" s="76" t="s">
        <v>439</v>
      </c>
      <c r="B681" s="76" t="s">
        <v>441</v>
      </c>
      <c r="C681" s="77">
        <v>41239</v>
      </c>
      <c r="D681" s="78">
        <v>41333</v>
      </c>
      <c r="E681" s="79">
        <v>0.14000000000000001</v>
      </c>
      <c r="F681" s="88"/>
      <c r="G681" s="81">
        <v>7753</v>
      </c>
      <c r="H681" s="80">
        <v>1468.12</v>
      </c>
      <c r="I681" s="79">
        <f>H681/G681</f>
        <v>0.18936153746936668</v>
      </c>
    </row>
    <row r="682" spans="1:9" x14ac:dyDescent="0.25">
      <c r="A682" s="70" t="s">
        <v>146</v>
      </c>
      <c r="B682" s="70" t="s">
        <v>163</v>
      </c>
      <c r="C682" s="71">
        <v>41093</v>
      </c>
      <c r="D682" s="72">
        <v>41182</v>
      </c>
      <c r="E682" s="73">
        <v>0.45</v>
      </c>
      <c r="F682" s="74">
        <v>125787.3</v>
      </c>
      <c r="G682" s="75"/>
      <c r="H682" s="74">
        <v>40224.800000000003</v>
      </c>
      <c r="I682" s="73">
        <v>0.31978427074911381</v>
      </c>
    </row>
    <row r="683" spans="1:9" x14ac:dyDescent="0.25">
      <c r="A683" s="76" t="s">
        <v>582</v>
      </c>
      <c r="B683" s="76" t="s">
        <v>163</v>
      </c>
      <c r="C683" s="77">
        <v>40787</v>
      </c>
      <c r="D683" s="78">
        <v>41152</v>
      </c>
      <c r="E683" s="79">
        <v>0.63</v>
      </c>
      <c r="F683" s="88"/>
      <c r="G683" s="81">
        <v>2099675.6800000002</v>
      </c>
      <c r="H683" s="80">
        <v>1507456.96</v>
      </c>
      <c r="I683" s="79">
        <f>H683/G683</f>
        <v>0.71794752606745427</v>
      </c>
    </row>
    <row r="684" spans="1:9" x14ac:dyDescent="0.25">
      <c r="A684" s="76" t="s">
        <v>317</v>
      </c>
      <c r="B684" s="76" t="s">
        <v>160</v>
      </c>
      <c r="C684" s="77">
        <v>40774</v>
      </c>
      <c r="D684" s="78">
        <v>41090</v>
      </c>
      <c r="E684" s="79">
        <v>0</v>
      </c>
      <c r="F684" s="80">
        <v>0</v>
      </c>
      <c r="G684" s="81"/>
      <c r="H684" s="80">
        <v>0</v>
      </c>
      <c r="I684" s="79">
        <v>0</v>
      </c>
    </row>
    <row r="685" spans="1:9" x14ac:dyDescent="0.25">
      <c r="A685" s="76" t="s">
        <v>317</v>
      </c>
      <c r="B685" s="76" t="s">
        <v>160</v>
      </c>
      <c r="C685" s="77">
        <v>40774</v>
      </c>
      <c r="D685" s="78">
        <v>41090</v>
      </c>
      <c r="E685" s="79">
        <v>0</v>
      </c>
      <c r="F685" s="80"/>
      <c r="G685" s="81">
        <v>0</v>
      </c>
      <c r="H685" s="80">
        <v>0</v>
      </c>
      <c r="I685" s="79">
        <v>0</v>
      </c>
    </row>
    <row r="686" spans="1:9" x14ac:dyDescent="0.25">
      <c r="A686" s="70" t="s">
        <v>146</v>
      </c>
      <c r="B686" s="70" t="s">
        <v>166</v>
      </c>
      <c r="C686" s="71">
        <v>40817</v>
      </c>
      <c r="D686" s="72">
        <v>41182</v>
      </c>
      <c r="E686" s="101">
        <v>4.4999999999999999E-4</v>
      </c>
      <c r="F686" s="74">
        <v>3305.66</v>
      </c>
      <c r="G686" s="75"/>
      <c r="H686" s="74">
        <v>-72</v>
      </c>
      <c r="I686" s="73">
        <v>-2.1780824404203699E-2</v>
      </c>
    </row>
    <row r="687" spans="1:9" x14ac:dyDescent="0.25">
      <c r="A687" s="76" t="s">
        <v>289</v>
      </c>
      <c r="B687" s="76" t="s">
        <v>311</v>
      </c>
      <c r="C687" s="77">
        <v>41177</v>
      </c>
      <c r="D687" s="78">
        <v>41221</v>
      </c>
      <c r="E687" s="79">
        <v>0.13</v>
      </c>
      <c r="F687" s="88"/>
      <c r="G687" s="81">
        <v>12264</v>
      </c>
      <c r="H687" s="80">
        <v>1604.42</v>
      </c>
      <c r="I687" s="79">
        <f>H687/G687</f>
        <v>0.13082354859752121</v>
      </c>
    </row>
    <row r="688" spans="1:9" x14ac:dyDescent="0.25">
      <c r="A688" s="76" t="s">
        <v>623</v>
      </c>
      <c r="B688" s="76" t="s">
        <v>624</v>
      </c>
      <c r="C688" s="77">
        <v>40570</v>
      </c>
      <c r="D688" s="78">
        <v>40934</v>
      </c>
      <c r="E688" s="79">
        <v>0.25</v>
      </c>
      <c r="F688" s="80">
        <v>45400</v>
      </c>
      <c r="G688" s="88"/>
      <c r="H688" s="80">
        <v>11365</v>
      </c>
      <c r="I688" s="79">
        <f>H688/F688</f>
        <v>0.25033039647577093</v>
      </c>
    </row>
    <row r="689" spans="1:9" x14ac:dyDescent="0.25">
      <c r="A689" s="76" t="s">
        <v>220</v>
      </c>
      <c r="B689" s="76" t="s">
        <v>230</v>
      </c>
      <c r="C689" s="77">
        <v>40966</v>
      </c>
      <c r="D689" s="78">
        <v>41128</v>
      </c>
      <c r="E689" s="79">
        <v>0.23</v>
      </c>
      <c r="F689" s="80">
        <v>39438</v>
      </c>
      <c r="G689" s="81"/>
      <c r="H689" s="80">
        <v>9070.74</v>
      </c>
      <c r="I689" s="79">
        <f>H689/F689</f>
        <v>0.22999999999999998</v>
      </c>
    </row>
    <row r="690" spans="1:9" x14ac:dyDescent="0.25">
      <c r="A690" s="76" t="s">
        <v>220</v>
      </c>
      <c r="B690" s="76" t="s">
        <v>225</v>
      </c>
      <c r="C690" s="109">
        <v>40889</v>
      </c>
      <c r="D690" s="78">
        <v>41027</v>
      </c>
      <c r="E690" s="79">
        <v>0.2</v>
      </c>
      <c r="F690" s="80">
        <v>37237</v>
      </c>
      <c r="G690" s="81"/>
      <c r="H690" s="80">
        <v>7447.4</v>
      </c>
      <c r="I690" s="79">
        <f>H690/F690</f>
        <v>0.19999999999999998</v>
      </c>
    </row>
    <row r="691" spans="1:9" x14ac:dyDescent="0.25">
      <c r="A691" s="76" t="s">
        <v>220</v>
      </c>
      <c r="B691" s="76" t="s">
        <v>226</v>
      </c>
      <c r="C691" s="77">
        <v>40924</v>
      </c>
      <c r="D691" s="78">
        <v>41026</v>
      </c>
      <c r="E691" s="79">
        <v>0.26</v>
      </c>
      <c r="F691" s="80">
        <v>25473</v>
      </c>
      <c r="G691" s="81"/>
      <c r="H691" s="80">
        <v>6622.98</v>
      </c>
      <c r="I691" s="79">
        <f>H691/F691</f>
        <v>0.26</v>
      </c>
    </row>
    <row r="692" spans="1:9" x14ac:dyDescent="0.25">
      <c r="A692" s="76" t="s">
        <v>220</v>
      </c>
      <c r="B692" s="76" t="s">
        <v>1840</v>
      </c>
      <c r="C692" s="77">
        <v>40847</v>
      </c>
      <c r="D692" s="78">
        <v>40989</v>
      </c>
      <c r="E692" s="79">
        <v>0.22</v>
      </c>
      <c r="F692" s="80">
        <v>23170</v>
      </c>
      <c r="G692" s="81"/>
      <c r="H692" s="80">
        <v>5097.3999999999996</v>
      </c>
      <c r="I692" s="79">
        <f>H692/F692</f>
        <v>0.21999999999999997</v>
      </c>
    </row>
    <row r="693" spans="1:9" x14ac:dyDescent="0.25">
      <c r="A693" s="76" t="s">
        <v>578</v>
      </c>
      <c r="B693" s="76" t="s">
        <v>580</v>
      </c>
      <c r="C693" s="77">
        <v>40829</v>
      </c>
      <c r="D693" s="78">
        <v>40939</v>
      </c>
      <c r="E693" s="79">
        <v>0</v>
      </c>
      <c r="F693" s="80"/>
      <c r="G693" s="81">
        <v>324.91000000000003</v>
      </c>
      <c r="H693" s="80">
        <v>-408.16</v>
      </c>
      <c r="I693" s="79">
        <f>H693/G693</f>
        <v>-1.256224800714044</v>
      </c>
    </row>
    <row r="694" spans="1:9" x14ac:dyDescent="0.25">
      <c r="A694" s="76" t="s">
        <v>578</v>
      </c>
      <c r="B694" s="76" t="s">
        <v>580</v>
      </c>
      <c r="C694" s="77">
        <v>40829</v>
      </c>
      <c r="D694" s="78">
        <v>40939</v>
      </c>
      <c r="E694" s="79">
        <v>0</v>
      </c>
      <c r="F694" s="80">
        <v>9283</v>
      </c>
      <c r="G694" s="81"/>
      <c r="H694" s="80">
        <v>-11661.65</v>
      </c>
      <c r="I694" s="79">
        <f>H694/F694</f>
        <v>-1.2562372077992028</v>
      </c>
    </row>
    <row r="695" spans="1:9" x14ac:dyDescent="0.25">
      <c r="A695" s="76" t="s">
        <v>674</v>
      </c>
      <c r="B695" s="76" t="s">
        <v>580</v>
      </c>
      <c r="C695" s="77">
        <v>41152</v>
      </c>
      <c r="D695" s="78">
        <v>41274</v>
      </c>
      <c r="E695" s="79">
        <v>0.33300000000000002</v>
      </c>
      <c r="F695" s="80"/>
      <c r="G695" s="81">
        <v>430</v>
      </c>
      <c r="H695" s="80">
        <v>164.97</v>
      </c>
      <c r="I695" s="79">
        <f>H695/G695</f>
        <v>0.38365116279069766</v>
      </c>
    </row>
    <row r="696" spans="1:9" x14ac:dyDescent="0.25">
      <c r="A696" s="76" t="s">
        <v>674</v>
      </c>
      <c r="B696" s="76" t="s">
        <v>580</v>
      </c>
      <c r="C696" s="77">
        <v>41152</v>
      </c>
      <c r="D696" s="78">
        <v>41274</v>
      </c>
      <c r="E696" s="79">
        <v>0.33300000000000002</v>
      </c>
      <c r="F696" s="80">
        <v>12795</v>
      </c>
      <c r="G696" s="81"/>
      <c r="H696" s="80">
        <v>-65</v>
      </c>
      <c r="I696" s="79">
        <f>H696/F696</f>
        <v>-5.0801094177413053E-3</v>
      </c>
    </row>
    <row r="697" spans="1:9" x14ac:dyDescent="0.25">
      <c r="A697" s="70" t="s">
        <v>146</v>
      </c>
      <c r="B697" s="70" t="s">
        <v>167</v>
      </c>
      <c r="C697" s="71">
        <v>40823</v>
      </c>
      <c r="D697" s="72">
        <v>41151</v>
      </c>
      <c r="E697" s="101">
        <v>4.4999999999999999E-4</v>
      </c>
      <c r="F697" s="74">
        <v>126412.88</v>
      </c>
      <c r="G697" s="75"/>
      <c r="H697" s="74">
        <v>19586.21</v>
      </c>
      <c r="I697" s="73">
        <v>0.15493840501062864</v>
      </c>
    </row>
    <row r="698" spans="1:9" x14ac:dyDescent="0.25">
      <c r="A698" s="76" t="s">
        <v>317</v>
      </c>
      <c r="B698" s="76" t="s">
        <v>167</v>
      </c>
      <c r="C698" s="77">
        <v>40909</v>
      </c>
      <c r="D698" s="78">
        <v>41274</v>
      </c>
      <c r="E698" s="79">
        <v>8.9999999999999998E-4</v>
      </c>
      <c r="F698" s="80">
        <v>2192928.2599999998</v>
      </c>
      <c r="G698" s="81"/>
      <c r="H698" s="80">
        <v>958842.44</v>
      </c>
      <c r="I698" s="79">
        <f>H698/F698</f>
        <v>0.43724295841761829</v>
      </c>
    </row>
    <row r="699" spans="1:9" x14ac:dyDescent="0.25">
      <c r="A699" s="76" t="s">
        <v>317</v>
      </c>
      <c r="B699" s="76" t="s">
        <v>167</v>
      </c>
      <c r="C699" s="77">
        <v>40909</v>
      </c>
      <c r="D699" s="78">
        <v>41274</v>
      </c>
      <c r="E699" s="79">
        <v>8.9999999999999998E-4</v>
      </c>
      <c r="F699" s="80"/>
      <c r="G699" s="81">
        <v>102211.3</v>
      </c>
      <c r="H699" s="80">
        <v>44691.17</v>
      </c>
      <c r="I699" s="79">
        <f>H699/G699</f>
        <v>0.43724294671919833</v>
      </c>
    </row>
    <row r="700" spans="1:9" x14ac:dyDescent="0.25">
      <c r="A700" s="76" t="s">
        <v>531</v>
      </c>
      <c r="B700" s="76" t="s">
        <v>545</v>
      </c>
      <c r="C700" s="77">
        <v>40889</v>
      </c>
      <c r="D700" s="78">
        <v>41243</v>
      </c>
      <c r="E700" s="79">
        <v>8.9999999999999993E-3</v>
      </c>
      <c r="F700" s="80"/>
      <c r="G700" s="81">
        <v>2654</v>
      </c>
      <c r="H700" s="80">
        <v>120</v>
      </c>
      <c r="I700" s="79">
        <f>H700/G700</f>
        <v>4.5214770158251698E-2</v>
      </c>
    </row>
    <row r="701" spans="1:9" x14ac:dyDescent="0.25">
      <c r="A701" s="76" t="s">
        <v>531</v>
      </c>
      <c r="B701" s="76" t="s">
        <v>545</v>
      </c>
      <c r="C701" s="77">
        <v>40889</v>
      </c>
      <c r="D701" s="78">
        <v>41243</v>
      </c>
      <c r="E701" s="79">
        <v>8.9999999999999993E-3</v>
      </c>
      <c r="F701" s="80">
        <v>42776</v>
      </c>
      <c r="G701" s="81"/>
      <c r="H701" s="80">
        <v>-36018</v>
      </c>
      <c r="I701" s="79">
        <f>H701/F701</f>
        <v>-0.84201421357770712</v>
      </c>
    </row>
    <row r="702" spans="1:9" x14ac:dyDescent="0.25">
      <c r="A702" s="70" t="s">
        <v>171</v>
      </c>
      <c r="B702" s="70" t="s">
        <v>184</v>
      </c>
      <c r="C702" s="71">
        <v>40725</v>
      </c>
      <c r="D702" s="72">
        <v>41076</v>
      </c>
      <c r="E702" s="73">
        <v>1.7999999999999999E-2</v>
      </c>
      <c r="F702" s="74">
        <v>102245</v>
      </c>
      <c r="G702" s="75"/>
      <c r="H702" s="74">
        <v>-11104.18</v>
      </c>
      <c r="I702" s="79">
        <f>H702/F702</f>
        <v>-0.10860364810015161</v>
      </c>
    </row>
    <row r="703" spans="1:9" x14ac:dyDescent="0.25">
      <c r="A703" s="76" t="s">
        <v>674</v>
      </c>
      <c r="B703" s="76" t="s">
        <v>184</v>
      </c>
      <c r="C703" s="77">
        <v>40961</v>
      </c>
      <c r="D703" s="78">
        <v>41274</v>
      </c>
      <c r="E703" s="79">
        <v>0.22500000000000001</v>
      </c>
      <c r="F703" s="80">
        <v>0</v>
      </c>
      <c r="G703" s="81"/>
      <c r="H703" s="80">
        <v>0</v>
      </c>
      <c r="I703" s="79">
        <v>0</v>
      </c>
    </row>
    <row r="704" spans="1:9" x14ac:dyDescent="0.25">
      <c r="A704" s="76" t="s">
        <v>674</v>
      </c>
      <c r="B704" s="76" t="s">
        <v>184</v>
      </c>
      <c r="C704" s="77">
        <v>40961</v>
      </c>
      <c r="D704" s="78">
        <v>41274</v>
      </c>
      <c r="E704" s="79">
        <v>0.22500000000000001</v>
      </c>
      <c r="F704" s="80"/>
      <c r="G704" s="81">
        <v>0</v>
      </c>
      <c r="H704" s="80">
        <v>0</v>
      </c>
      <c r="I704" s="79">
        <v>0</v>
      </c>
    </row>
    <row r="705" spans="1:9" x14ac:dyDescent="0.25">
      <c r="A705" s="70" t="s">
        <v>95</v>
      </c>
      <c r="B705" s="70" t="s">
        <v>98</v>
      </c>
      <c r="C705" s="71">
        <v>40825</v>
      </c>
      <c r="D705" s="72">
        <v>41190</v>
      </c>
      <c r="E705" s="73">
        <v>0.09</v>
      </c>
      <c r="F705" s="74">
        <v>563484.9</v>
      </c>
      <c r="G705" s="75"/>
      <c r="H705" s="74">
        <v>56348.49</v>
      </c>
      <c r="I705" s="73">
        <v>9.9999999999999992E-2</v>
      </c>
    </row>
    <row r="706" spans="1:9" x14ac:dyDescent="0.25">
      <c r="A706" s="70" t="s">
        <v>119</v>
      </c>
      <c r="B706" s="70" t="s">
        <v>98</v>
      </c>
      <c r="C706" s="71">
        <v>40695</v>
      </c>
      <c r="D706" s="72">
        <v>41060</v>
      </c>
      <c r="E706" s="73">
        <v>0.09</v>
      </c>
      <c r="F706" s="74">
        <v>3817943.7</v>
      </c>
      <c r="G706" s="75"/>
      <c r="H706" s="74">
        <v>190897.18</v>
      </c>
      <c r="I706" s="73">
        <v>4.9999998690394516E-2</v>
      </c>
    </row>
    <row r="707" spans="1:9" x14ac:dyDescent="0.25">
      <c r="A707" s="76" t="s">
        <v>390</v>
      </c>
      <c r="B707" s="76" t="s">
        <v>98</v>
      </c>
      <c r="C707" s="77">
        <v>41045</v>
      </c>
      <c r="D707" s="78">
        <v>41409</v>
      </c>
      <c r="E707" s="79">
        <v>0.1</v>
      </c>
      <c r="F707" s="80">
        <v>3082831.85</v>
      </c>
      <c r="G707" s="81"/>
      <c r="H707" s="80">
        <v>306265.67</v>
      </c>
      <c r="I707" s="79">
        <f>H707/F707</f>
        <v>9.9345564371277659E-2</v>
      </c>
    </row>
    <row r="708" spans="1:9" x14ac:dyDescent="0.25">
      <c r="A708" s="76" t="s">
        <v>390</v>
      </c>
      <c r="B708" s="76" t="s">
        <v>98</v>
      </c>
      <c r="C708" s="77">
        <v>40679</v>
      </c>
      <c r="D708" s="78">
        <v>41044</v>
      </c>
      <c r="E708" s="79">
        <v>0.1</v>
      </c>
      <c r="F708" s="80">
        <v>2910753.69</v>
      </c>
      <c r="G708" s="81"/>
      <c r="H708" s="80">
        <v>289951.78999999998</v>
      </c>
      <c r="I708" s="79">
        <f>H708/F708</f>
        <v>9.961399035450505E-2</v>
      </c>
    </row>
    <row r="709" spans="1:9" x14ac:dyDescent="0.25">
      <c r="A709" s="76" t="s">
        <v>390</v>
      </c>
      <c r="B709" s="76" t="s">
        <v>98</v>
      </c>
      <c r="C709" s="77">
        <v>40679</v>
      </c>
      <c r="D709" s="78">
        <v>41044</v>
      </c>
      <c r="E709" s="79">
        <v>0.1</v>
      </c>
      <c r="F709" s="80"/>
      <c r="G709" s="81">
        <v>174645.22</v>
      </c>
      <c r="H709" s="80">
        <v>17397.11</v>
      </c>
      <c r="I709" s="79">
        <f>H709/G709</f>
        <v>9.9614006040359998E-2</v>
      </c>
    </row>
    <row r="710" spans="1:9" x14ac:dyDescent="0.25">
      <c r="A710" s="76" t="s">
        <v>390</v>
      </c>
      <c r="B710" s="76" t="s">
        <v>98</v>
      </c>
      <c r="C710" s="77">
        <v>41045</v>
      </c>
      <c r="D710" s="78">
        <v>41409</v>
      </c>
      <c r="E710" s="79">
        <v>0.1</v>
      </c>
      <c r="F710" s="80"/>
      <c r="G710" s="81">
        <v>171713.73</v>
      </c>
      <c r="H710" s="80">
        <v>17059</v>
      </c>
      <c r="I710" s="79">
        <f>H710/G710</f>
        <v>9.9345579412898427E-2</v>
      </c>
    </row>
    <row r="711" spans="1:9" x14ac:dyDescent="0.25">
      <c r="A711" s="76" t="s">
        <v>504</v>
      </c>
      <c r="B711" s="76" t="s">
        <v>98</v>
      </c>
      <c r="C711" s="77">
        <v>40758</v>
      </c>
      <c r="D711" s="78">
        <v>41123</v>
      </c>
      <c r="E711" s="79">
        <v>0.09</v>
      </c>
      <c r="F711" s="80"/>
      <c r="G711" s="81">
        <v>24151</v>
      </c>
      <c r="H711" s="80">
        <v>2415.1</v>
      </c>
      <c r="I711" s="79">
        <f>H711/G711</f>
        <v>9.9999999999999992E-2</v>
      </c>
    </row>
    <row r="712" spans="1:9" x14ac:dyDescent="0.25">
      <c r="A712" s="76" t="s">
        <v>512</v>
      </c>
      <c r="B712" s="76" t="s">
        <v>98</v>
      </c>
      <c r="C712" s="77">
        <v>41124</v>
      </c>
      <c r="D712" s="78">
        <v>41488</v>
      </c>
      <c r="E712" s="79">
        <v>0.09</v>
      </c>
      <c r="F712" s="80"/>
      <c r="G712" s="81">
        <v>29709.5</v>
      </c>
      <c r="H712" s="80">
        <v>2970.95</v>
      </c>
      <c r="I712" s="79">
        <f>H712/G712</f>
        <v>9.9999999999999992E-2</v>
      </c>
    </row>
    <row r="713" spans="1:9" x14ac:dyDescent="0.25">
      <c r="A713" s="76" t="s">
        <v>555</v>
      </c>
      <c r="B713" s="76" t="s">
        <v>98</v>
      </c>
      <c r="C713" s="77">
        <v>40758</v>
      </c>
      <c r="D713" s="78">
        <v>41123</v>
      </c>
      <c r="E713" s="79">
        <v>0.09</v>
      </c>
      <c r="F713" s="80">
        <v>0</v>
      </c>
      <c r="G713" s="81"/>
      <c r="H713" s="80">
        <v>0</v>
      </c>
      <c r="I713" s="79">
        <v>0</v>
      </c>
    </row>
    <row r="714" spans="1:9" x14ac:dyDescent="0.25">
      <c r="A714" s="76" t="s">
        <v>555</v>
      </c>
      <c r="B714" s="76" t="s">
        <v>98</v>
      </c>
      <c r="C714" s="77">
        <v>41124</v>
      </c>
      <c r="D714" s="78">
        <v>41488</v>
      </c>
      <c r="E714" s="79">
        <v>0.09</v>
      </c>
      <c r="F714" s="80">
        <v>0</v>
      </c>
      <c r="G714" s="88"/>
      <c r="H714" s="80">
        <v>0</v>
      </c>
      <c r="I714" s="79">
        <v>0</v>
      </c>
    </row>
    <row r="715" spans="1:9" x14ac:dyDescent="0.25">
      <c r="A715" s="76" t="s">
        <v>313</v>
      </c>
      <c r="B715" s="76" t="s">
        <v>314</v>
      </c>
      <c r="C715" s="77">
        <v>41045</v>
      </c>
      <c r="D715" s="78">
        <v>41095</v>
      </c>
      <c r="E715" s="79">
        <v>0.13</v>
      </c>
      <c r="F715" s="88"/>
      <c r="G715" s="81">
        <v>16352</v>
      </c>
      <c r="H715" s="80">
        <v>2133.2600000000002</v>
      </c>
      <c r="I715" s="79">
        <f>H715/G715</f>
        <v>0.13045865949119376</v>
      </c>
    </row>
    <row r="716" spans="1:9" x14ac:dyDescent="0.25">
      <c r="A716" s="76" t="s">
        <v>289</v>
      </c>
      <c r="B716" s="76" t="s">
        <v>296</v>
      </c>
      <c r="C716" s="77">
        <v>40862</v>
      </c>
      <c r="D716" s="78">
        <v>40983</v>
      </c>
      <c r="E716" s="79">
        <v>0.13</v>
      </c>
      <c r="F716" s="79"/>
      <c r="G716" s="81">
        <v>16497</v>
      </c>
      <c r="H716" s="80">
        <v>2151.61</v>
      </c>
      <c r="I716" s="79">
        <f>H716/G716</f>
        <v>0.13042431957325576</v>
      </c>
    </row>
    <row r="717" spans="1:9" x14ac:dyDescent="0.25">
      <c r="A717" s="76" t="s">
        <v>289</v>
      </c>
      <c r="B717" s="76" t="s">
        <v>296</v>
      </c>
      <c r="C717" s="77">
        <v>41247</v>
      </c>
      <c r="D717" s="78">
        <v>41306</v>
      </c>
      <c r="E717" s="79">
        <v>0.13</v>
      </c>
      <c r="F717" s="88"/>
      <c r="G717" s="81">
        <v>15736</v>
      </c>
      <c r="H717" s="80">
        <v>2062.1799999999998</v>
      </c>
      <c r="I717" s="79">
        <f>H717/G717</f>
        <v>0.13104855109303506</v>
      </c>
    </row>
    <row r="718" spans="1:9" ht="28.5" x14ac:dyDescent="0.25">
      <c r="A718" s="70" t="s">
        <v>101</v>
      </c>
      <c r="B718" s="70" t="s">
        <v>111</v>
      </c>
      <c r="C718" s="71">
        <v>41243</v>
      </c>
      <c r="D718" s="72">
        <v>41274</v>
      </c>
      <c r="E718" s="73">
        <v>1.35E-2</v>
      </c>
      <c r="F718" s="74">
        <v>63304.22</v>
      </c>
      <c r="G718" s="75"/>
      <c r="H718" s="74">
        <v>39057.620000000003</v>
      </c>
      <c r="I718" s="73">
        <v>0.61698288044620098</v>
      </c>
    </row>
    <row r="719" spans="1:9" ht="28.5" x14ac:dyDescent="0.25">
      <c r="A719" s="70" t="s">
        <v>101</v>
      </c>
      <c r="B719" s="70" t="s">
        <v>111</v>
      </c>
      <c r="C719" s="71">
        <v>40973</v>
      </c>
      <c r="D719" s="72">
        <v>41182</v>
      </c>
      <c r="E719" s="73">
        <v>1.35E-2</v>
      </c>
      <c r="F719" s="74">
        <v>27314.720000000001</v>
      </c>
      <c r="G719" s="75"/>
      <c r="H719" s="74">
        <v>7751.52</v>
      </c>
      <c r="I719" s="73">
        <v>0.28999999999999998</v>
      </c>
    </row>
    <row r="720" spans="1:9" ht="28.5" x14ac:dyDescent="0.25">
      <c r="A720" s="70" t="s">
        <v>101</v>
      </c>
      <c r="B720" s="70" t="s">
        <v>111</v>
      </c>
      <c r="C720" s="71">
        <v>41243</v>
      </c>
      <c r="D720" s="72">
        <v>41274</v>
      </c>
      <c r="E720" s="73">
        <v>1.35E-2</v>
      </c>
      <c r="F720" s="74"/>
      <c r="G720" s="75">
        <v>1962.43</v>
      </c>
      <c r="H720" s="74">
        <v>1210.78</v>
      </c>
      <c r="I720" s="73">
        <v>0.6169799687122598</v>
      </c>
    </row>
    <row r="721" spans="1:9" ht="28.5" x14ac:dyDescent="0.25">
      <c r="A721" s="70" t="s">
        <v>101</v>
      </c>
      <c r="B721" s="70" t="s">
        <v>111</v>
      </c>
      <c r="C721" s="71">
        <v>40973</v>
      </c>
      <c r="D721" s="72">
        <v>41182</v>
      </c>
      <c r="E721" s="73">
        <v>1.35E-2</v>
      </c>
      <c r="F721" s="74"/>
      <c r="G721" s="75">
        <v>682.87</v>
      </c>
      <c r="H721" s="74">
        <v>193.79</v>
      </c>
      <c r="I721" s="73">
        <v>0.28999999999999998</v>
      </c>
    </row>
    <row r="722" spans="1:9" ht="28.5" x14ac:dyDescent="0.25">
      <c r="A722" s="70" t="s">
        <v>137</v>
      </c>
      <c r="B722" s="70" t="s">
        <v>111</v>
      </c>
      <c r="C722" s="71">
        <v>40752</v>
      </c>
      <c r="D722" s="72">
        <v>41104</v>
      </c>
      <c r="E722" s="73">
        <v>0.315</v>
      </c>
      <c r="F722" s="74">
        <v>8650</v>
      </c>
      <c r="G722" s="75"/>
      <c r="H722" s="74">
        <v>7029.55</v>
      </c>
      <c r="I722" s="73">
        <v>0.81266473988439314</v>
      </c>
    </row>
    <row r="723" spans="1:9" ht="28.5" x14ac:dyDescent="0.25">
      <c r="A723" s="76" t="s">
        <v>171</v>
      </c>
      <c r="B723" s="76" t="s">
        <v>111</v>
      </c>
      <c r="C723" s="77">
        <v>40868</v>
      </c>
      <c r="D723" s="78">
        <v>41233</v>
      </c>
      <c r="E723" s="79">
        <v>1.7999999999999999E-2</v>
      </c>
      <c r="F723" s="80">
        <v>54539</v>
      </c>
      <c r="G723" s="81"/>
      <c r="H723" s="80">
        <v>18943.849999999999</v>
      </c>
      <c r="I723" s="79">
        <f>H723/F723</f>
        <v>0.34734501916060062</v>
      </c>
    </row>
    <row r="724" spans="1:9" ht="28.5" x14ac:dyDescent="0.25">
      <c r="A724" s="76" t="s">
        <v>692</v>
      </c>
      <c r="B724" s="76" t="s">
        <v>111</v>
      </c>
      <c r="C724" s="77">
        <v>40909</v>
      </c>
      <c r="D724" s="78">
        <v>41274</v>
      </c>
      <c r="E724" s="79">
        <v>8.9999999999999993E-3</v>
      </c>
      <c r="F724" s="80">
        <v>5842</v>
      </c>
      <c r="G724" s="81"/>
      <c r="H724" s="80">
        <v>1415</v>
      </c>
      <c r="I724" s="79">
        <f>H724/F724</f>
        <v>0.24221157137966451</v>
      </c>
    </row>
    <row r="725" spans="1:9" x14ac:dyDescent="0.25">
      <c r="A725" s="76" t="s">
        <v>630</v>
      </c>
      <c r="B725" s="76" t="s">
        <v>633</v>
      </c>
      <c r="C725" s="77">
        <v>40983</v>
      </c>
      <c r="D725" s="78">
        <v>41274</v>
      </c>
      <c r="E725" s="79">
        <v>8.9999999999999993E-3</v>
      </c>
      <c r="F725" s="80"/>
      <c r="G725" s="81">
        <v>78667.5</v>
      </c>
      <c r="H725" s="80">
        <v>70483.5</v>
      </c>
      <c r="I725" s="79">
        <f>H725/G725</f>
        <v>0.89596720373724859</v>
      </c>
    </row>
    <row r="726" spans="1:9" x14ac:dyDescent="0.25">
      <c r="A726" s="76" t="s">
        <v>630</v>
      </c>
      <c r="B726" s="76" t="s">
        <v>631</v>
      </c>
      <c r="C726" s="77">
        <v>40889</v>
      </c>
      <c r="D726" s="78">
        <v>41178</v>
      </c>
      <c r="E726" s="79">
        <v>8.9999999999999993E-3</v>
      </c>
      <c r="F726" s="80">
        <v>2870</v>
      </c>
      <c r="G726" s="81"/>
      <c r="H726" s="80">
        <v>-4630</v>
      </c>
      <c r="I726" s="79">
        <f>H726/F726</f>
        <v>-1.613240418118467</v>
      </c>
    </row>
    <row r="727" spans="1:9" x14ac:dyDescent="0.25">
      <c r="A727" s="76" t="s">
        <v>375</v>
      </c>
      <c r="B727" s="76" t="s">
        <v>383</v>
      </c>
      <c r="C727" s="77">
        <v>41212</v>
      </c>
      <c r="D727" s="78">
        <v>41224</v>
      </c>
      <c r="E727" s="79">
        <v>4.4999999999999998E-2</v>
      </c>
      <c r="F727" s="80"/>
      <c r="G727" s="81">
        <v>3225</v>
      </c>
      <c r="H727" s="80">
        <v>-184</v>
      </c>
      <c r="I727" s="79">
        <f>H727/G727</f>
        <v>-5.7054263565891473E-2</v>
      </c>
    </row>
    <row r="728" spans="1:9" x14ac:dyDescent="0.25">
      <c r="A728" s="76" t="s">
        <v>449</v>
      </c>
      <c r="B728" s="76" t="s">
        <v>468</v>
      </c>
      <c r="C728" s="77">
        <v>41030</v>
      </c>
      <c r="D728" s="78">
        <v>41394</v>
      </c>
      <c r="E728" s="79">
        <v>0</v>
      </c>
      <c r="F728" s="80">
        <v>320470</v>
      </c>
      <c r="G728" s="81"/>
      <c r="H728" s="80">
        <v>5818</v>
      </c>
      <c r="I728" s="79">
        <f>H728/F728</f>
        <v>1.8154585452616469E-2</v>
      </c>
    </row>
    <row r="729" spans="1:9" x14ac:dyDescent="0.25">
      <c r="A729" s="76" t="s">
        <v>449</v>
      </c>
      <c r="B729" s="76" t="s">
        <v>452</v>
      </c>
      <c r="C729" s="77">
        <v>40664</v>
      </c>
      <c r="D729" s="78">
        <v>41029</v>
      </c>
      <c r="E729" s="79">
        <v>0</v>
      </c>
      <c r="F729" s="80">
        <v>259840</v>
      </c>
      <c r="G729" s="81"/>
      <c r="H729" s="80">
        <v>-759</v>
      </c>
      <c r="I729" s="79">
        <f>H729/F729</f>
        <v>-2.9210283251231528E-3</v>
      </c>
    </row>
    <row r="730" spans="1:9" x14ac:dyDescent="0.25">
      <c r="A730" s="76" t="s">
        <v>317</v>
      </c>
      <c r="B730" s="76" t="s">
        <v>362</v>
      </c>
      <c r="C730" s="77">
        <v>41173</v>
      </c>
      <c r="D730" s="78">
        <v>41455</v>
      </c>
      <c r="E730" s="79">
        <v>8.9999999999999998E-4</v>
      </c>
      <c r="F730" s="80"/>
      <c r="G730" s="81">
        <v>10404</v>
      </c>
      <c r="H730" s="80">
        <v>10.4</v>
      </c>
      <c r="I730" s="79">
        <f>H730/G730</f>
        <v>9.9961553248750475E-4</v>
      </c>
    </row>
    <row r="731" spans="1:9" x14ac:dyDescent="0.25">
      <c r="A731" s="76" t="s">
        <v>317</v>
      </c>
      <c r="B731" s="76" t="s">
        <v>362</v>
      </c>
      <c r="C731" s="77">
        <v>41173</v>
      </c>
      <c r="D731" s="78">
        <v>41455</v>
      </c>
      <c r="E731" s="79">
        <v>8.9999999999999998E-4</v>
      </c>
      <c r="F731" s="80">
        <v>0</v>
      </c>
      <c r="G731" s="81"/>
      <c r="H731" s="80">
        <v>-29929.11</v>
      </c>
      <c r="I731" s="79">
        <v>0</v>
      </c>
    </row>
    <row r="732" spans="1:9" x14ac:dyDescent="0.25">
      <c r="A732" s="76" t="s">
        <v>635</v>
      </c>
      <c r="B732" s="76" t="s">
        <v>362</v>
      </c>
      <c r="C732" s="77">
        <v>41167</v>
      </c>
      <c r="D732" s="78">
        <v>41488</v>
      </c>
      <c r="E732" s="79">
        <v>0.12</v>
      </c>
      <c r="F732" s="80"/>
      <c r="G732" s="81">
        <v>155237</v>
      </c>
      <c r="H732" s="80">
        <v>18727.2</v>
      </c>
      <c r="I732" s="79">
        <f>H732/G732</f>
        <v>0.1206361885375265</v>
      </c>
    </row>
    <row r="733" spans="1:9" x14ac:dyDescent="0.25">
      <c r="A733" s="70" t="s">
        <v>20</v>
      </c>
      <c r="B733" s="70" t="s">
        <v>32</v>
      </c>
      <c r="C733" s="71">
        <v>40817</v>
      </c>
      <c r="D733" s="72">
        <v>41182</v>
      </c>
      <c r="E733" s="73">
        <v>0</v>
      </c>
      <c r="F733" s="74">
        <v>281090.36</v>
      </c>
      <c r="G733" s="75"/>
      <c r="H733" s="74">
        <v>6958.64</v>
      </c>
      <c r="I733" s="73">
        <v>0.61982951357032789</v>
      </c>
    </row>
    <row r="734" spans="1:9" x14ac:dyDescent="0.25">
      <c r="A734" s="70" t="s">
        <v>20</v>
      </c>
      <c r="B734" s="70" t="s">
        <v>32</v>
      </c>
      <c r="C734" s="71">
        <v>40817</v>
      </c>
      <c r="D734" s="72">
        <v>41182</v>
      </c>
      <c r="E734" s="73">
        <v>0</v>
      </c>
      <c r="F734" s="74"/>
      <c r="G734" s="75">
        <v>11226.7</v>
      </c>
      <c r="H734" s="74">
        <v>128.75</v>
      </c>
      <c r="I734" s="73">
        <v>5.3022269353128317E-3</v>
      </c>
    </row>
    <row r="735" spans="1:9" x14ac:dyDescent="0.25">
      <c r="A735" s="70" t="s">
        <v>20</v>
      </c>
      <c r="B735" s="70" t="s">
        <v>21</v>
      </c>
      <c r="C735" s="71">
        <v>40947</v>
      </c>
      <c r="D735" s="72">
        <v>41274</v>
      </c>
      <c r="E735" s="73">
        <v>0</v>
      </c>
      <c r="F735" s="74">
        <v>51390</v>
      </c>
      <c r="G735" s="75"/>
      <c r="H735" s="74">
        <v>35771.07</v>
      </c>
      <c r="I735" s="73">
        <v>0.6960706363105662</v>
      </c>
    </row>
    <row r="736" spans="1:9" x14ac:dyDescent="0.25">
      <c r="A736" s="70" t="s">
        <v>20</v>
      </c>
      <c r="B736" s="70" t="s">
        <v>21</v>
      </c>
      <c r="C736" s="71">
        <v>40947</v>
      </c>
      <c r="D736" s="72">
        <v>41274</v>
      </c>
      <c r="E736" s="73">
        <v>0</v>
      </c>
      <c r="F736" s="74"/>
      <c r="G736" s="75">
        <v>2075</v>
      </c>
      <c r="H736" s="74">
        <v>1444.35</v>
      </c>
      <c r="I736" s="73">
        <v>0.69607228915662644</v>
      </c>
    </row>
    <row r="737" spans="1:9" x14ac:dyDescent="0.25">
      <c r="A737" s="76" t="s">
        <v>594</v>
      </c>
      <c r="B737" s="76" t="s">
        <v>602</v>
      </c>
      <c r="C737" s="77">
        <v>40897</v>
      </c>
      <c r="D737" s="78">
        <v>41262</v>
      </c>
      <c r="E737" s="79">
        <v>0.9</v>
      </c>
      <c r="F737" s="80">
        <v>279540.99</v>
      </c>
      <c r="G737" s="81"/>
      <c r="H737" s="80">
        <v>279540.99</v>
      </c>
      <c r="I737" s="79">
        <f>H737/F737</f>
        <v>1</v>
      </c>
    </row>
    <row r="738" spans="1:9" x14ac:dyDescent="0.25">
      <c r="A738" s="76" t="s">
        <v>594</v>
      </c>
      <c r="B738" s="76" t="s">
        <v>602</v>
      </c>
      <c r="C738" s="77">
        <v>40897</v>
      </c>
      <c r="D738" s="78">
        <v>41262</v>
      </c>
      <c r="E738" s="79">
        <v>0.9</v>
      </c>
      <c r="F738" s="80"/>
      <c r="G738" s="81">
        <v>168431.12</v>
      </c>
      <c r="H738" s="80">
        <v>168431.12</v>
      </c>
      <c r="I738" s="79">
        <f>H738/G738</f>
        <v>1</v>
      </c>
    </row>
    <row r="739" spans="1:9" x14ac:dyDescent="0.25">
      <c r="A739" s="70" t="s">
        <v>130</v>
      </c>
      <c r="B739" s="70" t="s">
        <v>131</v>
      </c>
      <c r="C739" s="71">
        <v>40969</v>
      </c>
      <c r="D739" s="72">
        <v>41333</v>
      </c>
      <c r="E739" s="73">
        <v>0.108</v>
      </c>
      <c r="F739" s="74">
        <v>1066130.6200000001</v>
      </c>
      <c r="G739" s="75"/>
      <c r="H739" s="74">
        <v>128375.67</v>
      </c>
      <c r="I739" s="73">
        <v>0.12041270327645218</v>
      </c>
    </row>
    <row r="740" spans="1:9" x14ac:dyDescent="0.25">
      <c r="A740" s="76" t="s">
        <v>367</v>
      </c>
      <c r="B740" s="76" t="s">
        <v>131</v>
      </c>
      <c r="C740" s="77">
        <v>40664</v>
      </c>
      <c r="D740" s="78">
        <v>41029</v>
      </c>
      <c r="E740" s="79">
        <v>0.12</v>
      </c>
      <c r="F740" s="80">
        <v>853474.49</v>
      </c>
      <c r="G740" s="88"/>
      <c r="H740" s="80">
        <v>102416.94</v>
      </c>
      <c r="I740" s="79">
        <f>H740/F740</f>
        <v>0.12000000140601742</v>
      </c>
    </row>
    <row r="741" spans="1:9" x14ac:dyDescent="0.25">
      <c r="A741" s="76" t="s">
        <v>489</v>
      </c>
      <c r="B741" s="76" t="s">
        <v>131</v>
      </c>
      <c r="C741" s="77">
        <v>40848</v>
      </c>
      <c r="D741" s="78">
        <v>41213</v>
      </c>
      <c r="E741" s="79">
        <v>0.19</v>
      </c>
      <c r="F741" s="80">
        <v>12875</v>
      </c>
      <c r="G741" s="88"/>
      <c r="H741" s="80">
        <v>2446.25</v>
      </c>
      <c r="I741" s="79">
        <f>H741/F741</f>
        <v>0.19</v>
      </c>
    </row>
    <row r="742" spans="1:9" x14ac:dyDescent="0.25">
      <c r="A742" s="76" t="s">
        <v>504</v>
      </c>
      <c r="B742" s="76" t="s">
        <v>131</v>
      </c>
      <c r="C742" s="77">
        <v>40724</v>
      </c>
      <c r="D742" s="78">
        <v>41089</v>
      </c>
      <c r="E742" s="79">
        <v>0.12</v>
      </c>
      <c r="F742" s="80"/>
      <c r="G742" s="81">
        <v>23899.85</v>
      </c>
      <c r="H742" s="80">
        <v>2867.98</v>
      </c>
      <c r="I742" s="79">
        <f>H742/G742</f>
        <v>0.11999991631746644</v>
      </c>
    </row>
    <row r="743" spans="1:9" x14ac:dyDescent="0.25">
      <c r="A743" s="76" t="s">
        <v>512</v>
      </c>
      <c r="B743" s="76" t="s">
        <v>131</v>
      </c>
      <c r="C743" s="77">
        <v>41090</v>
      </c>
      <c r="D743" s="78">
        <v>41454</v>
      </c>
      <c r="E743" s="79">
        <v>0.12</v>
      </c>
      <c r="F743" s="80">
        <v>422608.12</v>
      </c>
      <c r="G743" s="81"/>
      <c r="H743" s="80">
        <v>50712.97</v>
      </c>
      <c r="I743" s="79">
        <f>H743/F743</f>
        <v>0.11999998958846318</v>
      </c>
    </row>
    <row r="744" spans="1:9" x14ac:dyDescent="0.25">
      <c r="A744" s="76" t="s">
        <v>512</v>
      </c>
      <c r="B744" s="76" t="s">
        <v>131</v>
      </c>
      <c r="C744" s="77">
        <v>41090</v>
      </c>
      <c r="D744" s="78">
        <v>41454</v>
      </c>
      <c r="E744" s="79">
        <v>0.12</v>
      </c>
      <c r="F744" s="80"/>
      <c r="G744" s="81">
        <v>18765.830000000002</v>
      </c>
      <c r="H744" s="80">
        <v>2251.9</v>
      </c>
      <c r="I744" s="79">
        <f>H744/G744</f>
        <v>0.1200000213153375</v>
      </c>
    </row>
    <row r="745" spans="1:9" x14ac:dyDescent="0.25">
      <c r="A745" s="70" t="s">
        <v>130</v>
      </c>
      <c r="B745" s="70" t="s">
        <v>135</v>
      </c>
      <c r="C745" s="71">
        <v>40603</v>
      </c>
      <c r="D745" s="72">
        <v>40968</v>
      </c>
      <c r="E745" s="73">
        <v>0.108</v>
      </c>
      <c r="F745" s="74">
        <v>1571242.21</v>
      </c>
      <c r="G745" s="75"/>
      <c r="H745" s="74">
        <v>199491.92</v>
      </c>
      <c r="I745" s="73">
        <v>0.12696446081346047</v>
      </c>
    </row>
    <row r="746" spans="1:9" x14ac:dyDescent="0.25">
      <c r="A746" s="76" t="s">
        <v>220</v>
      </c>
      <c r="B746" s="76" t="s">
        <v>222</v>
      </c>
      <c r="C746" s="77">
        <v>40826</v>
      </c>
      <c r="D746" s="78">
        <v>40956</v>
      </c>
      <c r="E746" s="79">
        <v>0.2</v>
      </c>
      <c r="F746" s="80">
        <v>23322</v>
      </c>
      <c r="G746" s="81"/>
      <c r="H746" s="80">
        <v>4664.3999999999996</v>
      </c>
      <c r="I746" s="79">
        <f>H746/F746</f>
        <v>0.19999999999999998</v>
      </c>
    </row>
    <row r="747" spans="1:9" x14ac:dyDescent="0.25">
      <c r="A747" s="76" t="s">
        <v>439</v>
      </c>
      <c r="B747" s="76" t="s">
        <v>444</v>
      </c>
      <c r="C747" s="77">
        <v>41148</v>
      </c>
      <c r="D747" s="78">
        <v>41418</v>
      </c>
      <c r="E747" s="79">
        <v>0.14000000000000001</v>
      </c>
      <c r="F747" s="88"/>
      <c r="G747" s="81">
        <v>12404</v>
      </c>
      <c r="H747" s="80">
        <v>2198</v>
      </c>
      <c r="I747" s="79">
        <f>H747/G747</f>
        <v>0.17720090293453725</v>
      </c>
    </row>
    <row r="748" spans="1:9" x14ac:dyDescent="0.25">
      <c r="A748" s="76" t="s">
        <v>558</v>
      </c>
      <c r="B748" s="76" t="s">
        <v>444</v>
      </c>
      <c r="C748" s="77">
        <v>40792</v>
      </c>
      <c r="D748" s="78">
        <v>41152</v>
      </c>
      <c r="E748" s="79">
        <v>0.14000000000000001</v>
      </c>
      <c r="F748" s="88"/>
      <c r="G748" s="81">
        <v>18268</v>
      </c>
      <c r="H748" s="80">
        <v>2964.96</v>
      </c>
      <c r="I748" s="79">
        <f>H748/G748</f>
        <v>0.16230348149770091</v>
      </c>
    </row>
    <row r="749" spans="1:9" x14ac:dyDescent="0.25">
      <c r="A749" s="70" t="s">
        <v>38</v>
      </c>
      <c r="B749" s="70" t="s">
        <v>41</v>
      </c>
      <c r="C749" s="71">
        <v>40634</v>
      </c>
      <c r="D749" s="72">
        <v>40999</v>
      </c>
      <c r="E749" s="73">
        <v>0.40500000000000003</v>
      </c>
      <c r="F749" s="74"/>
      <c r="G749" s="75">
        <v>78101</v>
      </c>
      <c r="H749" s="74">
        <v>35145.449999999997</v>
      </c>
      <c r="I749" s="73">
        <v>0.44999999999999996</v>
      </c>
    </row>
    <row r="750" spans="1:9" x14ac:dyDescent="0.25">
      <c r="A750" s="76" t="s">
        <v>504</v>
      </c>
      <c r="B750" s="76" t="s">
        <v>505</v>
      </c>
      <c r="C750" s="77">
        <v>40648</v>
      </c>
      <c r="D750" s="78">
        <v>41013</v>
      </c>
      <c r="E750" s="79">
        <v>0.09</v>
      </c>
      <c r="F750" s="80">
        <v>326746.38</v>
      </c>
      <c r="G750" s="88"/>
      <c r="H750" s="80">
        <v>32674.639999999999</v>
      </c>
      <c r="I750" s="79">
        <f>H750/F750</f>
        <v>0.10000000612095533</v>
      </c>
    </row>
    <row r="751" spans="1:9" x14ac:dyDescent="0.25">
      <c r="A751" s="76" t="s">
        <v>512</v>
      </c>
      <c r="B751" s="76" t="s">
        <v>505</v>
      </c>
      <c r="C751" s="77">
        <v>41014</v>
      </c>
      <c r="D751" s="78">
        <v>41378</v>
      </c>
      <c r="E751" s="79">
        <v>0.09</v>
      </c>
      <c r="F751" s="80"/>
      <c r="G751" s="81">
        <v>18662</v>
      </c>
      <c r="H751" s="80">
        <v>1866.2</v>
      </c>
      <c r="I751" s="79">
        <f>H751/G751</f>
        <v>0.1</v>
      </c>
    </row>
    <row r="752" spans="1:9" x14ac:dyDescent="0.25">
      <c r="A752" s="76" t="s">
        <v>249</v>
      </c>
      <c r="B752" s="76" t="s">
        <v>253</v>
      </c>
      <c r="C752" s="77">
        <v>40686</v>
      </c>
      <c r="D752" s="78">
        <v>41121</v>
      </c>
      <c r="E752" s="79">
        <v>0</v>
      </c>
      <c r="F752" s="80">
        <v>94425.279999999999</v>
      </c>
      <c r="G752" s="81"/>
      <c r="H752" s="80">
        <v>-273458.40000000002</v>
      </c>
      <c r="I752" s="79">
        <f>H752/F752</f>
        <v>-2.8960295378525753</v>
      </c>
    </row>
    <row r="753" spans="1:9" x14ac:dyDescent="0.25">
      <c r="A753" s="76" t="s">
        <v>243</v>
      </c>
      <c r="B753" s="76" t="s">
        <v>245</v>
      </c>
      <c r="C753" s="77">
        <v>40665</v>
      </c>
      <c r="D753" s="78">
        <v>40999</v>
      </c>
      <c r="E753" s="79">
        <v>1.7999999999999999E-2</v>
      </c>
      <c r="F753" s="80">
        <v>24631</v>
      </c>
      <c r="G753" s="88"/>
      <c r="H753" s="80">
        <v>11515.17</v>
      </c>
      <c r="I753" s="79">
        <f>H753/F753</f>
        <v>0.4675072063659616</v>
      </c>
    </row>
    <row r="754" spans="1:9" x14ac:dyDescent="0.25">
      <c r="A754" s="70" t="s">
        <v>101</v>
      </c>
      <c r="B754" s="70" t="s">
        <v>107</v>
      </c>
      <c r="C754" s="71">
        <v>41163</v>
      </c>
      <c r="D754" s="72">
        <v>41274</v>
      </c>
      <c r="E754" s="73">
        <v>8.9999999999999993E-3</v>
      </c>
      <c r="F754" s="74">
        <v>145302</v>
      </c>
      <c r="G754" s="75"/>
      <c r="H754" s="74">
        <v>113764.89</v>
      </c>
      <c r="I754" s="73">
        <v>0.78295474253623487</v>
      </c>
    </row>
    <row r="755" spans="1:9" x14ac:dyDescent="0.25">
      <c r="A755" s="70" t="s">
        <v>101</v>
      </c>
      <c r="B755" s="70" t="s">
        <v>107</v>
      </c>
      <c r="C755" s="71">
        <v>40763</v>
      </c>
      <c r="D755" s="72">
        <v>41090</v>
      </c>
      <c r="E755" s="73">
        <v>1.35E-2</v>
      </c>
      <c r="F755" s="74">
        <v>104863</v>
      </c>
      <c r="G755" s="75"/>
      <c r="H755" s="74">
        <v>57350.75</v>
      </c>
      <c r="I755" s="73">
        <v>0.54691120795704873</v>
      </c>
    </row>
    <row r="756" spans="1:9" x14ac:dyDescent="0.25">
      <c r="A756" s="70" t="s">
        <v>101</v>
      </c>
      <c r="B756" s="70" t="s">
        <v>107</v>
      </c>
      <c r="C756" s="71">
        <v>40763</v>
      </c>
      <c r="D756" s="72">
        <v>41090</v>
      </c>
      <c r="E756" s="73">
        <v>1.35E-2</v>
      </c>
      <c r="F756" s="74"/>
      <c r="G756" s="75">
        <v>2930.29</v>
      </c>
      <c r="H756" s="74">
        <v>1602.6</v>
      </c>
      <c r="I756" s="73">
        <v>0.54690832647963172</v>
      </c>
    </row>
    <row r="757" spans="1:9" x14ac:dyDescent="0.25">
      <c r="A757" s="76" t="s">
        <v>246</v>
      </c>
      <c r="B757" s="76" t="s">
        <v>107</v>
      </c>
      <c r="C757" s="77">
        <v>40909</v>
      </c>
      <c r="D757" s="78">
        <v>41274</v>
      </c>
      <c r="E757" s="79">
        <v>0</v>
      </c>
      <c r="F757" s="80">
        <v>75992.679999999993</v>
      </c>
      <c r="G757" s="81"/>
      <c r="H757" s="80">
        <v>-10166.58</v>
      </c>
      <c r="I757" s="79">
        <f>H757/F757</f>
        <v>-0.1337836749539561</v>
      </c>
    </row>
    <row r="758" spans="1:9" x14ac:dyDescent="0.25">
      <c r="A758" s="76" t="s">
        <v>262</v>
      </c>
      <c r="B758" s="76" t="s">
        <v>107</v>
      </c>
      <c r="C758" s="77">
        <v>40749</v>
      </c>
      <c r="D758" s="78">
        <v>41090</v>
      </c>
      <c r="E758" s="79">
        <v>8.9999999999999993E-3</v>
      </c>
      <c r="F758" s="80">
        <v>75127.600000000006</v>
      </c>
      <c r="G758" s="81"/>
      <c r="H758" s="80">
        <v>20714.919999999998</v>
      </c>
      <c r="I758" s="79">
        <f>H758/F758</f>
        <v>0.27572982499108178</v>
      </c>
    </row>
    <row r="759" spans="1:9" x14ac:dyDescent="0.25">
      <c r="A759" s="76" t="s">
        <v>262</v>
      </c>
      <c r="B759" s="76" t="s">
        <v>107</v>
      </c>
      <c r="C759" s="77">
        <v>40749</v>
      </c>
      <c r="D759" s="78">
        <v>41090</v>
      </c>
      <c r="E759" s="79">
        <v>8.9999999999999993E-3</v>
      </c>
      <c r="F759" s="80"/>
      <c r="G759" s="81">
        <v>2215</v>
      </c>
      <c r="H759" s="80">
        <v>1417.6</v>
      </c>
      <c r="I759" s="79">
        <f>H759/G759</f>
        <v>0.64</v>
      </c>
    </row>
    <row r="760" spans="1:9" x14ac:dyDescent="0.25">
      <c r="A760" s="76" t="s">
        <v>262</v>
      </c>
      <c r="B760" s="76" t="s">
        <v>107</v>
      </c>
      <c r="C760" s="77">
        <v>41208</v>
      </c>
      <c r="D760" s="78">
        <v>41274</v>
      </c>
      <c r="E760" s="79">
        <v>8.9999999999999993E-3</v>
      </c>
      <c r="F760" s="80">
        <v>0</v>
      </c>
      <c r="G760" s="81"/>
      <c r="H760" s="80">
        <v>0</v>
      </c>
      <c r="I760" s="79">
        <v>0</v>
      </c>
    </row>
    <row r="761" spans="1:9" x14ac:dyDescent="0.25">
      <c r="A761" s="76" t="s">
        <v>262</v>
      </c>
      <c r="B761" s="76" t="s">
        <v>107</v>
      </c>
      <c r="C761" s="77">
        <v>41208</v>
      </c>
      <c r="D761" s="78">
        <v>41274</v>
      </c>
      <c r="E761" s="79">
        <v>8.9999999999999993E-3</v>
      </c>
      <c r="F761" s="80"/>
      <c r="G761" s="81">
        <v>0</v>
      </c>
      <c r="H761" s="80">
        <v>0</v>
      </c>
      <c r="I761" s="79">
        <v>0</v>
      </c>
    </row>
    <row r="762" spans="1:9" x14ac:dyDescent="0.25">
      <c r="A762" s="76" t="s">
        <v>371</v>
      </c>
      <c r="B762" s="76" t="s">
        <v>107</v>
      </c>
      <c r="C762" s="77">
        <v>40647</v>
      </c>
      <c r="D762" s="78">
        <v>41012</v>
      </c>
      <c r="E762" s="79">
        <v>8.9999999999999993E-3</v>
      </c>
      <c r="F762" s="80">
        <v>623348.5</v>
      </c>
      <c r="G762" s="81"/>
      <c r="H762" s="80">
        <v>7578.4</v>
      </c>
      <c r="I762" s="79">
        <f>H762/F762</f>
        <v>1.2157565150152764E-2</v>
      </c>
    </row>
    <row r="763" spans="1:9" x14ac:dyDescent="0.25">
      <c r="A763" s="76" t="s">
        <v>372</v>
      </c>
      <c r="B763" s="76" t="s">
        <v>107</v>
      </c>
      <c r="C763" s="77">
        <v>41013</v>
      </c>
      <c r="D763" s="78">
        <v>41274</v>
      </c>
      <c r="E763" s="79">
        <v>8.9999999999999993E-3</v>
      </c>
      <c r="F763" s="80">
        <v>340334.5</v>
      </c>
      <c r="G763" s="81"/>
      <c r="H763" s="80">
        <v>-40208.6</v>
      </c>
      <c r="I763" s="79">
        <f>H763/F763</f>
        <v>-0.11814435503893962</v>
      </c>
    </row>
    <row r="764" spans="1:9" x14ac:dyDescent="0.25">
      <c r="A764" s="76" t="s">
        <v>613</v>
      </c>
      <c r="B764" s="76" t="s">
        <v>107</v>
      </c>
      <c r="C764" s="77">
        <v>40610</v>
      </c>
      <c r="D764" s="78">
        <v>40939</v>
      </c>
      <c r="E764" s="79">
        <v>8.9999999999999993E-3</v>
      </c>
      <c r="F764" s="80">
        <v>29284</v>
      </c>
      <c r="G764" s="88"/>
      <c r="H764" s="80">
        <v>19780</v>
      </c>
      <c r="I764" s="79">
        <f>H764/F764</f>
        <v>0.67545417292719578</v>
      </c>
    </row>
    <row r="765" spans="1:9" x14ac:dyDescent="0.25">
      <c r="A765" s="76" t="s">
        <v>613</v>
      </c>
      <c r="B765" s="76" t="s">
        <v>107</v>
      </c>
      <c r="C765" s="77">
        <v>41017</v>
      </c>
      <c r="D765" s="78">
        <v>41305</v>
      </c>
      <c r="E765" s="79">
        <v>8.9999999999999993E-3</v>
      </c>
      <c r="F765" s="80"/>
      <c r="G765" s="81">
        <v>502</v>
      </c>
      <c r="H765" s="80">
        <v>6</v>
      </c>
      <c r="I765" s="79">
        <f>H765/G765</f>
        <v>1.1952191235059761E-2</v>
      </c>
    </row>
    <row r="766" spans="1:9" x14ac:dyDescent="0.25">
      <c r="A766" s="76" t="s">
        <v>613</v>
      </c>
      <c r="B766" s="76" t="s">
        <v>107</v>
      </c>
      <c r="C766" s="77">
        <v>41017</v>
      </c>
      <c r="D766" s="78">
        <v>41305</v>
      </c>
      <c r="E766" s="79">
        <v>8.9999999999999993E-3</v>
      </c>
      <c r="F766" s="80">
        <v>12614</v>
      </c>
      <c r="G766" s="81"/>
      <c r="H766" s="80">
        <v>-157</v>
      </c>
      <c r="I766" s="79">
        <f>H766/F766</f>
        <v>-1.2446488029173934E-2</v>
      </c>
    </row>
    <row r="767" spans="1:9" x14ac:dyDescent="0.25">
      <c r="A767" s="76" t="s">
        <v>622</v>
      </c>
      <c r="B767" s="76" t="s">
        <v>107</v>
      </c>
      <c r="C767" s="77">
        <v>40610</v>
      </c>
      <c r="D767" s="78">
        <v>40939</v>
      </c>
      <c r="E767" s="79">
        <v>8.9999999999999993E-3</v>
      </c>
      <c r="F767" s="80">
        <v>633</v>
      </c>
      <c r="G767" s="81"/>
      <c r="H767" s="80">
        <v>322</v>
      </c>
      <c r="I767" s="79">
        <f>H767/F767</f>
        <v>0.50868878357030012</v>
      </c>
    </row>
    <row r="768" spans="1:9" x14ac:dyDescent="0.25">
      <c r="A768" s="76" t="s">
        <v>674</v>
      </c>
      <c r="B768" s="76" t="s">
        <v>107</v>
      </c>
      <c r="C768" s="77">
        <v>41011</v>
      </c>
      <c r="D768" s="78">
        <v>41274</v>
      </c>
      <c r="E768" s="79">
        <v>0.18</v>
      </c>
      <c r="F768" s="80"/>
      <c r="G768" s="81">
        <v>2257</v>
      </c>
      <c r="H768" s="80">
        <v>-729.49</v>
      </c>
      <c r="I768" s="79">
        <f>H768/G768</f>
        <v>-0.32321222862206467</v>
      </c>
    </row>
    <row r="769" spans="1:9" x14ac:dyDescent="0.25">
      <c r="A769" s="76" t="s">
        <v>674</v>
      </c>
      <c r="B769" s="76" t="s">
        <v>107</v>
      </c>
      <c r="C769" s="77">
        <v>41011</v>
      </c>
      <c r="D769" s="78">
        <v>41274</v>
      </c>
      <c r="E769" s="79">
        <v>0.18</v>
      </c>
      <c r="F769" s="80">
        <v>48791.34</v>
      </c>
      <c r="G769" s="81"/>
      <c r="H769" s="80">
        <v>-34397.75</v>
      </c>
      <c r="I769" s="79">
        <f>H769/F769</f>
        <v>-0.70499703430977712</v>
      </c>
    </row>
    <row r="770" spans="1:9" x14ac:dyDescent="0.25">
      <c r="A770" s="76" t="s">
        <v>692</v>
      </c>
      <c r="B770" s="76" t="s">
        <v>107</v>
      </c>
      <c r="C770" s="77">
        <v>41091</v>
      </c>
      <c r="D770" s="78">
        <v>41274</v>
      </c>
      <c r="E770" s="79">
        <v>8.9999999999999993E-3</v>
      </c>
      <c r="F770" s="80">
        <v>36404</v>
      </c>
      <c r="G770" s="81"/>
      <c r="H770" s="80">
        <v>16217</v>
      </c>
      <c r="I770" s="79">
        <f>H770/F770</f>
        <v>0.44547302494231406</v>
      </c>
    </row>
    <row r="771" spans="1:9" x14ac:dyDescent="0.25">
      <c r="A771" s="70" t="s">
        <v>171</v>
      </c>
      <c r="B771" s="70" t="s">
        <v>173</v>
      </c>
      <c r="C771" s="71">
        <v>40632</v>
      </c>
      <c r="D771" s="72">
        <v>40981</v>
      </c>
      <c r="E771" s="73">
        <v>1.7999999999999999E-2</v>
      </c>
      <c r="F771" s="74">
        <v>106710</v>
      </c>
      <c r="G771" s="75"/>
      <c r="H771" s="74">
        <v>65242.720000000001</v>
      </c>
      <c r="I771" s="73">
        <v>0.61140211788960741</v>
      </c>
    </row>
    <row r="772" spans="1:9" x14ac:dyDescent="0.25">
      <c r="A772" s="76" t="s">
        <v>246</v>
      </c>
      <c r="B772" s="76" t="s">
        <v>173</v>
      </c>
      <c r="C772" s="77">
        <v>40909</v>
      </c>
      <c r="D772" s="78">
        <v>41274</v>
      </c>
      <c r="E772" s="79">
        <v>0</v>
      </c>
      <c r="F772" s="80">
        <v>0</v>
      </c>
      <c r="G772" s="81"/>
      <c r="H772" s="80">
        <v>0</v>
      </c>
      <c r="I772" s="79">
        <v>0</v>
      </c>
    </row>
    <row r="773" spans="1:9" x14ac:dyDescent="0.25">
      <c r="A773" s="76" t="s">
        <v>531</v>
      </c>
      <c r="B773" s="76" t="s">
        <v>173</v>
      </c>
      <c r="C773" s="77">
        <v>40796</v>
      </c>
      <c r="D773" s="78">
        <v>41152</v>
      </c>
      <c r="E773" s="79">
        <v>8.9999999999999993E-3</v>
      </c>
      <c r="F773" s="80"/>
      <c r="G773" s="81">
        <v>870</v>
      </c>
      <c r="H773" s="80">
        <v>285</v>
      </c>
      <c r="I773" s="79">
        <f>H773/G773</f>
        <v>0.32758620689655171</v>
      </c>
    </row>
    <row r="774" spans="1:9" x14ac:dyDescent="0.25">
      <c r="A774" s="76" t="s">
        <v>531</v>
      </c>
      <c r="B774" s="76" t="s">
        <v>173</v>
      </c>
      <c r="C774" s="77">
        <v>40796</v>
      </c>
      <c r="D774" s="78">
        <v>41152</v>
      </c>
      <c r="E774" s="79">
        <v>8.9999999999999993E-3</v>
      </c>
      <c r="F774" s="80">
        <v>24682</v>
      </c>
      <c r="G774" s="81"/>
      <c r="H774" s="80">
        <v>49</v>
      </c>
      <c r="I774" s="79">
        <f>H774/F774</f>
        <v>1.9852524106636414E-3</v>
      </c>
    </row>
    <row r="775" spans="1:9" x14ac:dyDescent="0.25">
      <c r="A775" s="76" t="s">
        <v>127</v>
      </c>
      <c r="B775" s="76" t="s">
        <v>539</v>
      </c>
      <c r="C775" s="77">
        <v>40664</v>
      </c>
      <c r="D775" s="78">
        <v>41029</v>
      </c>
      <c r="E775" s="79">
        <v>0</v>
      </c>
      <c r="F775" s="80">
        <v>0</v>
      </c>
      <c r="G775" s="88"/>
      <c r="H775" s="80">
        <v>-14224</v>
      </c>
      <c r="I775" s="79">
        <v>0</v>
      </c>
    </row>
    <row r="776" spans="1:9" x14ac:dyDescent="0.25">
      <c r="A776" s="76" t="s">
        <v>531</v>
      </c>
      <c r="B776" s="76" t="s">
        <v>539</v>
      </c>
      <c r="C776" s="77">
        <v>40796</v>
      </c>
      <c r="D776" s="78">
        <v>41152</v>
      </c>
      <c r="E776" s="79">
        <v>8.9999999999999993E-3</v>
      </c>
      <c r="F776" s="80">
        <v>18408</v>
      </c>
      <c r="G776" s="81"/>
      <c r="H776" s="80">
        <v>13818</v>
      </c>
      <c r="I776" s="79">
        <f>H776/F776</f>
        <v>0.750651890482399</v>
      </c>
    </row>
    <row r="777" spans="1:9" x14ac:dyDescent="0.25">
      <c r="A777" s="76" t="s">
        <v>531</v>
      </c>
      <c r="B777" s="76" t="s">
        <v>539</v>
      </c>
      <c r="C777" s="77">
        <v>40796</v>
      </c>
      <c r="D777" s="78">
        <v>41152</v>
      </c>
      <c r="E777" s="79">
        <v>8.9999999999999993E-3</v>
      </c>
      <c r="F777" s="80"/>
      <c r="G777" s="81">
        <v>2225</v>
      </c>
      <c r="H777" s="80">
        <v>2135</v>
      </c>
      <c r="I777" s="79">
        <f>H777/G777</f>
        <v>0.95955056179775278</v>
      </c>
    </row>
    <row r="778" spans="1:9" x14ac:dyDescent="0.25">
      <c r="A778" s="76" t="s">
        <v>249</v>
      </c>
      <c r="B778" s="76" t="s">
        <v>695</v>
      </c>
      <c r="C778" s="77">
        <v>41220</v>
      </c>
      <c r="D778" s="78">
        <v>41510</v>
      </c>
      <c r="E778" s="79">
        <v>0</v>
      </c>
      <c r="F778" s="80">
        <v>87418.75</v>
      </c>
      <c r="G778" s="81"/>
      <c r="H778" s="80">
        <v>-16507.18</v>
      </c>
      <c r="I778" s="79">
        <f>H778/F778</f>
        <v>-0.18882882676771287</v>
      </c>
    </row>
    <row r="779" spans="1:9" x14ac:dyDescent="0.25">
      <c r="A779" s="76" t="s">
        <v>384</v>
      </c>
      <c r="B779" s="76" t="s">
        <v>376</v>
      </c>
      <c r="C779" s="77">
        <v>41010</v>
      </c>
      <c r="D779" s="78">
        <v>41024</v>
      </c>
      <c r="E779" s="79">
        <v>4.4999999999999998E-2</v>
      </c>
      <c r="F779" s="80"/>
      <c r="G779" s="81">
        <v>7698</v>
      </c>
      <c r="H779" s="82">
        <v>2050.5</v>
      </c>
      <c r="I779" s="79">
        <f>H779/G779</f>
        <v>0.26636788776305537</v>
      </c>
    </row>
    <row r="780" spans="1:9" x14ac:dyDescent="0.25">
      <c r="A780" s="76" t="s">
        <v>317</v>
      </c>
      <c r="B780" s="76" t="s">
        <v>333</v>
      </c>
      <c r="C780" s="77">
        <v>40821</v>
      </c>
      <c r="D780" s="78">
        <v>41090</v>
      </c>
      <c r="E780" s="79">
        <v>0</v>
      </c>
      <c r="F780" s="80">
        <v>959</v>
      </c>
      <c r="G780" s="81"/>
      <c r="H780" s="80">
        <v>0</v>
      </c>
      <c r="I780" s="79">
        <f>H780/F780</f>
        <v>0</v>
      </c>
    </row>
    <row r="781" spans="1:9" x14ac:dyDescent="0.25">
      <c r="A781" s="76" t="s">
        <v>317</v>
      </c>
      <c r="B781" s="76" t="s">
        <v>333</v>
      </c>
      <c r="C781" s="77">
        <v>40821</v>
      </c>
      <c r="D781" s="78">
        <v>41090</v>
      </c>
      <c r="E781" s="79">
        <v>0</v>
      </c>
      <c r="F781" s="80"/>
      <c r="G781" s="81">
        <v>0</v>
      </c>
      <c r="H781" s="80">
        <v>0</v>
      </c>
      <c r="I781" s="79">
        <v>0</v>
      </c>
    </row>
    <row r="782" spans="1:9" x14ac:dyDescent="0.25">
      <c r="A782" s="76" t="s">
        <v>317</v>
      </c>
      <c r="B782" s="76" t="s">
        <v>333</v>
      </c>
      <c r="C782" s="77">
        <v>40821</v>
      </c>
      <c r="D782" s="78">
        <v>41090</v>
      </c>
      <c r="E782" s="79">
        <v>0</v>
      </c>
      <c r="F782" s="80">
        <v>959</v>
      </c>
      <c r="G782" s="81"/>
      <c r="H782" s="80">
        <v>0</v>
      </c>
      <c r="I782" s="79">
        <f>H782/F782</f>
        <v>0</v>
      </c>
    </row>
    <row r="783" spans="1:9" x14ac:dyDescent="0.25">
      <c r="A783" s="76" t="s">
        <v>317</v>
      </c>
      <c r="B783" s="76" t="s">
        <v>333</v>
      </c>
      <c r="C783" s="77">
        <v>40821</v>
      </c>
      <c r="D783" s="78">
        <v>41090</v>
      </c>
      <c r="E783" s="79">
        <v>0</v>
      </c>
      <c r="F783" s="80"/>
      <c r="G783" s="81">
        <v>0</v>
      </c>
      <c r="H783" s="80">
        <v>0</v>
      </c>
      <c r="I783" s="79">
        <v>0</v>
      </c>
    </row>
    <row r="784" spans="1:9" ht="28.5" x14ac:dyDescent="0.25">
      <c r="A784" s="70" t="s">
        <v>17</v>
      </c>
      <c r="B784" s="70" t="s">
        <v>18</v>
      </c>
      <c r="C784" s="71">
        <v>40634</v>
      </c>
      <c r="D784" s="72">
        <v>40999</v>
      </c>
      <c r="E784" s="73">
        <v>0.45</v>
      </c>
      <c r="F784" s="74">
        <v>746293.85</v>
      </c>
      <c r="G784" s="75"/>
      <c r="H784" s="74">
        <v>370883.31</v>
      </c>
      <c r="I784" s="73">
        <v>0.49696685829583082</v>
      </c>
    </row>
    <row r="785" spans="1:9" x14ac:dyDescent="0.25">
      <c r="A785" s="76" t="s">
        <v>317</v>
      </c>
      <c r="B785" s="76" t="s">
        <v>18</v>
      </c>
      <c r="C785" s="77">
        <v>40969</v>
      </c>
      <c r="D785" s="78">
        <v>41333</v>
      </c>
      <c r="E785" s="79">
        <v>1.7999999999999999E-2</v>
      </c>
      <c r="F785" s="80">
        <v>50550916.009999998</v>
      </c>
      <c r="G785" s="81"/>
      <c r="H785" s="80">
        <v>50382212.640000001</v>
      </c>
      <c r="I785" s="79">
        <f>H785/F785</f>
        <v>0.99666270399597456</v>
      </c>
    </row>
    <row r="786" spans="1:9" x14ac:dyDescent="0.25">
      <c r="A786" s="76" t="s">
        <v>317</v>
      </c>
      <c r="B786" s="76" t="s">
        <v>18</v>
      </c>
      <c r="C786" s="77">
        <v>40603</v>
      </c>
      <c r="D786" s="78">
        <v>40968</v>
      </c>
      <c r="E786" s="79">
        <v>1.7999999999999999E-2</v>
      </c>
      <c r="F786" s="80">
        <v>46824802.25</v>
      </c>
      <c r="G786" s="81"/>
      <c r="H786" s="80">
        <v>46666488.649999999</v>
      </c>
      <c r="I786" s="79">
        <f>H786/F786</f>
        <v>0.996619022560848</v>
      </c>
    </row>
    <row r="787" spans="1:9" x14ac:dyDescent="0.25">
      <c r="A787" s="76" t="s">
        <v>317</v>
      </c>
      <c r="B787" s="76" t="s">
        <v>18</v>
      </c>
      <c r="C787" s="77">
        <v>40725</v>
      </c>
      <c r="D787" s="78">
        <v>41090</v>
      </c>
      <c r="E787" s="79">
        <v>0.4</v>
      </c>
      <c r="F787" s="80">
        <v>10447779.640000001</v>
      </c>
      <c r="G787" s="81"/>
      <c r="H787" s="80">
        <v>5974516.6399999997</v>
      </c>
      <c r="I787" s="79">
        <f>H787/F787</f>
        <v>0.57184558306782962</v>
      </c>
    </row>
    <row r="788" spans="1:9" x14ac:dyDescent="0.25">
      <c r="A788" s="76" t="s">
        <v>317</v>
      </c>
      <c r="B788" s="76" t="s">
        <v>18</v>
      </c>
      <c r="C788" s="77">
        <v>41091</v>
      </c>
      <c r="D788" s="78">
        <v>41455</v>
      </c>
      <c r="E788" s="79">
        <v>0.13500000000000001</v>
      </c>
      <c r="F788" s="80">
        <v>6195738.8899999997</v>
      </c>
      <c r="G788" s="81"/>
      <c r="H788" s="80">
        <v>3108371.89</v>
      </c>
      <c r="I788" s="79">
        <f>H788/F788</f>
        <v>0.50169510774848036</v>
      </c>
    </row>
    <row r="789" spans="1:9" x14ac:dyDescent="0.25">
      <c r="A789" s="76" t="s">
        <v>317</v>
      </c>
      <c r="B789" s="76" t="s">
        <v>18</v>
      </c>
      <c r="C789" s="77">
        <v>40969</v>
      </c>
      <c r="D789" s="78">
        <v>41333</v>
      </c>
      <c r="E789" s="79">
        <v>1.7999999999999999E-2</v>
      </c>
      <c r="F789" s="80"/>
      <c r="G789" s="81">
        <v>2034503.09</v>
      </c>
      <c r="H789" s="80">
        <v>2027713.35</v>
      </c>
      <c r="I789" s="79">
        <f>H789/G789</f>
        <v>0.99666270352039621</v>
      </c>
    </row>
    <row r="790" spans="1:9" x14ac:dyDescent="0.25">
      <c r="A790" s="76" t="s">
        <v>317</v>
      </c>
      <c r="B790" s="76" t="s">
        <v>18</v>
      </c>
      <c r="C790" s="77">
        <v>40603</v>
      </c>
      <c r="D790" s="78">
        <v>40968</v>
      </c>
      <c r="E790" s="79">
        <v>1.7999999999999999E-2</v>
      </c>
      <c r="F790" s="80"/>
      <c r="G790" s="81">
        <v>1911377.53</v>
      </c>
      <c r="H790" s="80">
        <v>1902000.91</v>
      </c>
      <c r="I790" s="79">
        <f>H790/G790</f>
        <v>0.99509431294821171</v>
      </c>
    </row>
    <row r="791" spans="1:9" x14ac:dyDescent="0.25">
      <c r="A791" s="76" t="s">
        <v>317</v>
      </c>
      <c r="B791" s="76" t="s">
        <v>18</v>
      </c>
      <c r="C791" s="77">
        <v>40725</v>
      </c>
      <c r="D791" s="78">
        <v>41090</v>
      </c>
      <c r="E791" s="79">
        <v>0.4</v>
      </c>
      <c r="F791" s="80"/>
      <c r="G791" s="81">
        <v>655983.94999999995</v>
      </c>
      <c r="H791" s="80">
        <v>375121.34</v>
      </c>
      <c r="I791" s="79">
        <f>H791/G791</f>
        <v>0.57184530200777028</v>
      </c>
    </row>
    <row r="792" spans="1:9" x14ac:dyDescent="0.25">
      <c r="A792" s="76" t="s">
        <v>317</v>
      </c>
      <c r="B792" s="76" t="s">
        <v>18</v>
      </c>
      <c r="C792" s="77">
        <v>41091</v>
      </c>
      <c r="D792" s="78">
        <v>41455</v>
      </c>
      <c r="E792" s="79">
        <v>0.13500000000000001</v>
      </c>
      <c r="F792" s="80"/>
      <c r="G792" s="81">
        <v>372799.06</v>
      </c>
      <c r="H792" s="80">
        <v>187031.46</v>
      </c>
      <c r="I792" s="79">
        <f>H792/G792</f>
        <v>0.5016950954758308</v>
      </c>
    </row>
    <row r="793" spans="1:9" x14ac:dyDescent="0.25">
      <c r="A793" s="70" t="s">
        <v>146</v>
      </c>
      <c r="B793" s="70" t="s">
        <v>165</v>
      </c>
      <c r="C793" s="71">
        <v>40773</v>
      </c>
      <c r="D793" s="72">
        <v>41090</v>
      </c>
      <c r="E793" s="101">
        <v>4.4999999999999999E-4</v>
      </c>
      <c r="F793" s="74">
        <v>20991</v>
      </c>
      <c r="G793" s="75"/>
      <c r="H793" s="74">
        <v>-4378.3900000000003</v>
      </c>
      <c r="I793" s="73">
        <v>-0.20858415511409653</v>
      </c>
    </row>
    <row r="794" spans="1:9" x14ac:dyDescent="0.25">
      <c r="A794" s="76" t="s">
        <v>449</v>
      </c>
      <c r="B794" s="76" t="s">
        <v>453</v>
      </c>
      <c r="C794" s="77">
        <v>41030</v>
      </c>
      <c r="D794" s="78">
        <v>41394</v>
      </c>
      <c r="E794" s="79">
        <v>0</v>
      </c>
      <c r="F794" s="80">
        <v>43382</v>
      </c>
      <c r="G794" s="81"/>
      <c r="H794" s="80">
        <v>25455</v>
      </c>
      <c r="I794" s="79">
        <f>H794/F794</f>
        <v>0.58676409570789734</v>
      </c>
    </row>
    <row r="795" spans="1:9" x14ac:dyDescent="0.25">
      <c r="A795" s="76" t="s">
        <v>449</v>
      </c>
      <c r="B795" s="76" t="s">
        <v>453</v>
      </c>
      <c r="C795" s="77">
        <v>40664</v>
      </c>
      <c r="D795" s="78">
        <v>41029</v>
      </c>
      <c r="E795" s="79">
        <v>0</v>
      </c>
      <c r="F795" s="80">
        <v>31836</v>
      </c>
      <c r="G795" s="81"/>
      <c r="H795" s="80">
        <v>7201</v>
      </c>
      <c r="I795" s="79">
        <f>H795/F795</f>
        <v>0.22619047619047619</v>
      </c>
    </row>
    <row r="796" spans="1:9" x14ac:dyDescent="0.25">
      <c r="A796" s="70" t="s">
        <v>146</v>
      </c>
      <c r="B796" s="70" t="s">
        <v>164</v>
      </c>
      <c r="C796" s="71">
        <v>40725</v>
      </c>
      <c r="D796" s="72">
        <v>41060</v>
      </c>
      <c r="E796" s="101">
        <v>4.4999999999999999E-4</v>
      </c>
      <c r="F796" s="74">
        <v>358417.24</v>
      </c>
      <c r="G796" s="75"/>
      <c r="H796" s="74">
        <v>157412.82</v>
      </c>
      <c r="I796" s="73">
        <v>0.43918875107681765</v>
      </c>
    </row>
    <row r="797" spans="1:9" x14ac:dyDescent="0.25">
      <c r="A797" s="76" t="s">
        <v>317</v>
      </c>
      <c r="B797" s="76" t="s">
        <v>340</v>
      </c>
      <c r="C797" s="77">
        <v>40702</v>
      </c>
      <c r="D797" s="78">
        <v>40756</v>
      </c>
      <c r="E797" s="79">
        <v>0</v>
      </c>
      <c r="F797" s="80"/>
      <c r="G797" s="81">
        <v>0</v>
      </c>
      <c r="H797" s="80">
        <v>-866.05</v>
      </c>
      <c r="I797" s="79">
        <v>0</v>
      </c>
    </row>
    <row r="798" spans="1:9" x14ac:dyDescent="0.25">
      <c r="A798" s="76" t="s">
        <v>317</v>
      </c>
      <c r="B798" s="76" t="s">
        <v>340</v>
      </c>
      <c r="C798" s="77">
        <v>40702</v>
      </c>
      <c r="D798" s="78">
        <v>40756</v>
      </c>
      <c r="E798" s="79">
        <v>0</v>
      </c>
      <c r="F798" s="80">
        <v>0</v>
      </c>
      <c r="G798" s="81"/>
      <c r="H798" s="80">
        <v>-4997.99</v>
      </c>
      <c r="I798" s="79">
        <v>0</v>
      </c>
    </row>
    <row r="799" spans="1:9" x14ac:dyDescent="0.25">
      <c r="A799" s="76" t="s">
        <v>590</v>
      </c>
      <c r="B799" s="76" t="s">
        <v>593</v>
      </c>
      <c r="C799" s="77">
        <v>41059</v>
      </c>
      <c r="D799" s="78">
        <v>41424</v>
      </c>
      <c r="E799" s="79">
        <v>0.5</v>
      </c>
      <c r="F799" s="80">
        <v>67093.7</v>
      </c>
      <c r="G799" s="81"/>
      <c r="H799" s="80">
        <v>33546.85</v>
      </c>
      <c r="I799" s="79">
        <f>H799/F799</f>
        <v>0.5</v>
      </c>
    </row>
    <row r="800" spans="1:9" x14ac:dyDescent="0.25">
      <c r="A800" s="76" t="s">
        <v>214</v>
      </c>
      <c r="B800" s="76" t="s">
        <v>215</v>
      </c>
      <c r="C800" s="77">
        <v>40603</v>
      </c>
      <c r="D800" s="78">
        <v>40968</v>
      </c>
      <c r="E800" s="79">
        <v>4.4999999999999998E-2</v>
      </c>
      <c r="F800" s="80">
        <v>123073</v>
      </c>
      <c r="G800" s="81"/>
      <c r="H800" s="80">
        <v>81750</v>
      </c>
      <c r="I800" s="79">
        <f>H800/F800</f>
        <v>0.6642399226475344</v>
      </c>
    </row>
    <row r="801" spans="1:9" x14ac:dyDescent="0.25">
      <c r="A801" s="100" t="s">
        <v>214</v>
      </c>
      <c r="B801" s="100" t="s">
        <v>215</v>
      </c>
      <c r="C801" s="77">
        <v>40603</v>
      </c>
      <c r="D801" s="78">
        <v>40968</v>
      </c>
      <c r="E801" s="79">
        <v>4.4999999999999998E-2</v>
      </c>
      <c r="F801" s="80"/>
      <c r="G801" s="81">
        <v>115614.71</v>
      </c>
      <c r="H801" s="80">
        <v>77125.86</v>
      </c>
      <c r="I801" s="79">
        <f>H801/G801</f>
        <v>0.6670938326100545</v>
      </c>
    </row>
    <row r="802" spans="1:9" x14ac:dyDescent="0.25">
      <c r="A802" s="70" t="s">
        <v>20</v>
      </c>
      <c r="B802" s="70" t="s">
        <v>26</v>
      </c>
      <c r="C802" s="71">
        <v>40848</v>
      </c>
      <c r="D802" s="72">
        <v>41213</v>
      </c>
      <c r="E802" s="73">
        <v>0</v>
      </c>
      <c r="F802" s="74"/>
      <c r="G802" s="75">
        <v>892.26</v>
      </c>
      <c r="H802" s="82">
        <v>779.12</v>
      </c>
      <c r="I802" s="79">
        <f>H802/G802</f>
        <v>0.87319839508663399</v>
      </c>
    </row>
    <row r="803" spans="1:9" x14ac:dyDescent="0.25">
      <c r="A803" s="70" t="s">
        <v>20</v>
      </c>
      <c r="B803" s="70" t="s">
        <v>26</v>
      </c>
      <c r="C803" s="71">
        <v>40848</v>
      </c>
      <c r="D803" s="72">
        <v>41213</v>
      </c>
      <c r="E803" s="73">
        <v>0</v>
      </c>
      <c r="F803" s="74">
        <v>10973</v>
      </c>
      <c r="G803" s="75"/>
      <c r="H803" s="74">
        <v>113.14</v>
      </c>
      <c r="I803" s="73">
        <v>0.12680160491336606</v>
      </c>
    </row>
    <row r="804" spans="1:9" x14ac:dyDescent="0.25">
      <c r="A804" s="76" t="s">
        <v>449</v>
      </c>
      <c r="B804" s="76" t="s">
        <v>466</v>
      </c>
      <c r="C804" s="77">
        <v>41030</v>
      </c>
      <c r="D804" s="78">
        <v>41394</v>
      </c>
      <c r="E804" s="79">
        <v>0</v>
      </c>
      <c r="F804" s="80">
        <v>0</v>
      </c>
      <c r="G804" s="81"/>
      <c r="H804" s="80">
        <v>0</v>
      </c>
      <c r="I804" s="79">
        <v>0</v>
      </c>
    </row>
    <row r="805" spans="1:9" x14ac:dyDescent="0.25">
      <c r="A805" s="76" t="s">
        <v>449</v>
      </c>
      <c r="B805" s="76" t="s">
        <v>466</v>
      </c>
      <c r="C805" s="77">
        <v>41030</v>
      </c>
      <c r="D805" s="78">
        <v>41394</v>
      </c>
      <c r="E805" s="79">
        <v>0</v>
      </c>
      <c r="F805" s="80"/>
      <c r="G805" s="81">
        <v>0</v>
      </c>
      <c r="H805" s="80">
        <v>0</v>
      </c>
      <c r="I805" s="79">
        <v>0</v>
      </c>
    </row>
    <row r="806" spans="1:9" x14ac:dyDescent="0.25">
      <c r="A806" s="70" t="s">
        <v>20</v>
      </c>
      <c r="B806" s="70" t="s">
        <v>27</v>
      </c>
      <c r="C806" s="71">
        <v>40679</v>
      </c>
      <c r="D806" s="72">
        <v>41029</v>
      </c>
      <c r="E806" s="73">
        <v>0</v>
      </c>
      <c r="F806" s="74"/>
      <c r="G806" s="75">
        <v>4491</v>
      </c>
      <c r="H806" s="74">
        <v>4941.6099999999997</v>
      </c>
      <c r="I806" s="73">
        <v>0.24456151638127288</v>
      </c>
    </row>
    <row r="807" spans="1:9" x14ac:dyDescent="0.25">
      <c r="A807" s="70" t="s">
        <v>20</v>
      </c>
      <c r="B807" s="70" t="s">
        <v>27</v>
      </c>
      <c r="C807" s="71">
        <v>40679</v>
      </c>
      <c r="D807" s="72">
        <v>41029</v>
      </c>
      <c r="E807" s="73">
        <v>0</v>
      </c>
      <c r="F807" s="74">
        <v>136417.5</v>
      </c>
      <c r="G807" s="75"/>
      <c r="H807" s="74">
        <v>3440.02</v>
      </c>
      <c r="I807" s="73">
        <v>0.76598085059006904</v>
      </c>
    </row>
    <row r="808" spans="1:9" x14ac:dyDescent="0.25">
      <c r="A808" s="76" t="s">
        <v>449</v>
      </c>
      <c r="B808" s="76" t="s">
        <v>27</v>
      </c>
      <c r="C808" s="77">
        <v>40664</v>
      </c>
      <c r="D808" s="78">
        <v>41029</v>
      </c>
      <c r="E808" s="79">
        <v>0</v>
      </c>
      <c r="F808" s="80"/>
      <c r="G808" s="81">
        <v>0</v>
      </c>
      <c r="H808" s="80">
        <v>0</v>
      </c>
      <c r="I808" s="79">
        <v>0</v>
      </c>
    </row>
    <row r="809" spans="1:9" x14ac:dyDescent="0.25">
      <c r="A809" s="76" t="s">
        <v>289</v>
      </c>
      <c r="B809" s="76" t="s">
        <v>291</v>
      </c>
      <c r="C809" s="77">
        <v>40830</v>
      </c>
      <c r="D809" s="78">
        <v>40953</v>
      </c>
      <c r="E809" s="79">
        <v>0.13</v>
      </c>
      <c r="F809" s="88"/>
      <c r="G809" s="81">
        <v>7878</v>
      </c>
      <c r="H809" s="80">
        <v>1026.1400000000001</v>
      </c>
      <c r="I809" s="79">
        <f>H809/G809</f>
        <v>0.13025387154100027</v>
      </c>
    </row>
    <row r="810" spans="1:9" x14ac:dyDescent="0.25">
      <c r="A810" s="76" t="s">
        <v>289</v>
      </c>
      <c r="B810" s="76" t="s">
        <v>291</v>
      </c>
      <c r="C810" s="77">
        <v>41230</v>
      </c>
      <c r="D810" s="78">
        <v>41333</v>
      </c>
      <c r="E810" s="79">
        <v>0.13</v>
      </c>
      <c r="F810" s="88"/>
      <c r="G810" s="81">
        <v>7700</v>
      </c>
      <c r="H810" s="80">
        <v>1012</v>
      </c>
      <c r="I810" s="79">
        <f>H810/G810</f>
        <v>0.13142857142857142</v>
      </c>
    </row>
    <row r="811" spans="1:9" x14ac:dyDescent="0.25">
      <c r="A811" s="76" t="s">
        <v>313</v>
      </c>
      <c r="B811" s="76" t="s">
        <v>291</v>
      </c>
      <c r="C811" s="77">
        <v>41009</v>
      </c>
      <c r="D811" s="78">
        <v>41149</v>
      </c>
      <c r="E811" s="79">
        <v>0.13</v>
      </c>
      <c r="F811" s="88"/>
      <c r="G811" s="81">
        <v>8330</v>
      </c>
      <c r="H811" s="80">
        <v>1087.9000000000001</v>
      </c>
      <c r="I811" s="79">
        <f>H811/G811</f>
        <v>0.13060024009603843</v>
      </c>
    </row>
    <row r="812" spans="1:9" x14ac:dyDescent="0.25">
      <c r="A812" s="76" t="s">
        <v>270</v>
      </c>
      <c r="B812" s="76" t="s">
        <v>280</v>
      </c>
      <c r="C812" s="77">
        <v>41066</v>
      </c>
      <c r="D812" s="78">
        <v>41274</v>
      </c>
      <c r="E812" s="79">
        <v>4.4999999999999997E-3</v>
      </c>
      <c r="F812" s="80">
        <v>10776.5</v>
      </c>
      <c r="G812" s="81"/>
      <c r="H812" s="80">
        <v>776.5</v>
      </c>
      <c r="I812" s="79">
        <f>H812/F812</f>
        <v>7.2054934347886609E-2</v>
      </c>
    </row>
    <row r="813" spans="1:9" ht="28.5" x14ac:dyDescent="0.25">
      <c r="A813" s="70" t="s">
        <v>17</v>
      </c>
      <c r="B813" s="70" t="s">
        <v>19</v>
      </c>
      <c r="C813" s="71">
        <v>40603</v>
      </c>
      <c r="D813" s="72">
        <v>40968</v>
      </c>
      <c r="E813" s="73">
        <v>0.18</v>
      </c>
      <c r="F813" s="74">
        <v>2167041.71</v>
      </c>
      <c r="G813" s="75"/>
      <c r="H813" s="74">
        <v>1786322.78</v>
      </c>
      <c r="I813" s="73">
        <v>0.82431398147846446</v>
      </c>
    </row>
    <row r="814" spans="1:9" x14ac:dyDescent="0.25">
      <c r="A814" s="70" t="s">
        <v>87</v>
      </c>
      <c r="B814" s="70" t="s">
        <v>19</v>
      </c>
      <c r="C814" s="71">
        <v>40788</v>
      </c>
      <c r="D814" s="72">
        <v>41153</v>
      </c>
      <c r="E814" s="73">
        <v>0.92500000000000004</v>
      </c>
      <c r="F814" s="74">
        <v>36250.85</v>
      </c>
      <c r="G814" s="75"/>
      <c r="H814" s="74">
        <v>33532.04</v>
      </c>
      <c r="I814" s="73">
        <v>0.92500010344585026</v>
      </c>
    </row>
    <row r="815" spans="1:9" x14ac:dyDescent="0.25">
      <c r="A815" s="70" t="s">
        <v>87</v>
      </c>
      <c r="B815" s="70" t="s">
        <v>19</v>
      </c>
      <c r="C815" s="71">
        <v>40788</v>
      </c>
      <c r="D815" s="72">
        <v>41153</v>
      </c>
      <c r="E815" s="73">
        <v>0.92500000000000004</v>
      </c>
      <c r="F815" s="90"/>
      <c r="G815" s="75">
        <v>1828.18</v>
      </c>
      <c r="H815" s="74">
        <v>1691.07</v>
      </c>
      <c r="I815" s="73">
        <v>0.92500191447231661</v>
      </c>
    </row>
    <row r="816" spans="1:9" x14ac:dyDescent="0.25">
      <c r="A816" s="76" t="s">
        <v>317</v>
      </c>
      <c r="B816" s="76" t="s">
        <v>19</v>
      </c>
      <c r="C816" s="77">
        <v>40621</v>
      </c>
      <c r="D816" s="78">
        <v>40968</v>
      </c>
      <c r="E816" s="79">
        <v>1.7999999999999999E-2</v>
      </c>
      <c r="F816" s="80">
        <v>7051288.9100000001</v>
      </c>
      <c r="G816" s="81"/>
      <c r="H816" s="80">
        <v>3135863.15</v>
      </c>
      <c r="I816" s="79">
        <f>H816/F816</f>
        <v>0.44472197778661149</v>
      </c>
    </row>
    <row r="817" spans="1:9" x14ac:dyDescent="0.25">
      <c r="A817" s="76" t="s">
        <v>317</v>
      </c>
      <c r="B817" s="76" t="s">
        <v>19</v>
      </c>
      <c r="C817" s="77">
        <v>40621</v>
      </c>
      <c r="D817" s="78">
        <v>40968</v>
      </c>
      <c r="E817" s="79">
        <v>1.7999999999999999E-2</v>
      </c>
      <c r="F817" s="80"/>
      <c r="G817" s="81">
        <v>364995.2</v>
      </c>
      <c r="H817" s="80">
        <v>162321.39000000001</v>
      </c>
      <c r="I817" s="79">
        <f>H817/G817</f>
        <v>0.44472198538501329</v>
      </c>
    </row>
    <row r="818" spans="1:9" x14ac:dyDescent="0.25">
      <c r="A818" s="76" t="s">
        <v>502</v>
      </c>
      <c r="B818" s="76" t="s">
        <v>19</v>
      </c>
      <c r="C818" s="77">
        <v>41154</v>
      </c>
      <c r="D818" s="78">
        <v>41289</v>
      </c>
      <c r="E818" s="79">
        <v>0.92500000000000004</v>
      </c>
      <c r="F818" s="80">
        <v>3586.63</v>
      </c>
      <c r="G818" s="81"/>
      <c r="H818" s="80">
        <v>3317.63</v>
      </c>
      <c r="I818" s="79">
        <f>H818/F818</f>
        <v>0.92499923326353706</v>
      </c>
    </row>
    <row r="819" spans="1:9" x14ac:dyDescent="0.25">
      <c r="A819" s="76" t="s">
        <v>502</v>
      </c>
      <c r="B819" s="76" t="s">
        <v>19</v>
      </c>
      <c r="C819" s="77">
        <v>41154</v>
      </c>
      <c r="D819" s="78">
        <v>41289</v>
      </c>
      <c r="E819" s="79">
        <v>0.92500000000000004</v>
      </c>
      <c r="F819" s="80"/>
      <c r="G819" s="81">
        <v>157.62</v>
      </c>
      <c r="H819" s="80">
        <v>145.80000000000001</v>
      </c>
      <c r="I819" s="79">
        <f>H819/G819</f>
        <v>0.92500951655881236</v>
      </c>
    </row>
    <row r="820" spans="1:9" x14ac:dyDescent="0.25">
      <c r="A820" s="76" t="s">
        <v>317</v>
      </c>
      <c r="B820" s="76" t="s">
        <v>356</v>
      </c>
      <c r="C820" s="77">
        <v>40969</v>
      </c>
      <c r="D820" s="78">
        <v>41333</v>
      </c>
      <c r="E820" s="79">
        <v>1.7999999999999999E-2</v>
      </c>
      <c r="F820" s="80">
        <v>9118918.5899999999</v>
      </c>
      <c r="G820" s="81"/>
      <c r="H820" s="80">
        <v>4557632.7699999996</v>
      </c>
      <c r="I820" s="79">
        <f>H820/F820</f>
        <v>0.4997996993851877</v>
      </c>
    </row>
    <row r="821" spans="1:9" x14ac:dyDescent="0.25">
      <c r="A821" s="76" t="s">
        <v>317</v>
      </c>
      <c r="B821" s="76" t="s">
        <v>356</v>
      </c>
      <c r="C821" s="77">
        <v>40969</v>
      </c>
      <c r="D821" s="78">
        <v>41333</v>
      </c>
      <c r="E821" s="79">
        <v>1.7999999999999999E-2</v>
      </c>
      <c r="F821" s="80"/>
      <c r="G821" s="81">
        <v>460153.19</v>
      </c>
      <c r="H821" s="80">
        <v>229984.43</v>
      </c>
      <c r="I821" s="79">
        <f>H821/G821</f>
        <v>0.49979970800593598</v>
      </c>
    </row>
    <row r="822" spans="1:9" x14ac:dyDescent="0.25">
      <c r="A822" s="76" t="s">
        <v>249</v>
      </c>
      <c r="B822" s="76" t="s">
        <v>252</v>
      </c>
      <c r="C822" s="77">
        <v>40658</v>
      </c>
      <c r="D822" s="78">
        <v>41023</v>
      </c>
      <c r="E822" s="79">
        <v>0</v>
      </c>
      <c r="F822" s="80">
        <v>843544.58</v>
      </c>
      <c r="G822" s="81"/>
      <c r="H822" s="80">
        <v>577371.98</v>
      </c>
      <c r="I822" s="79">
        <f>H822/F822</f>
        <v>0.68445935601886032</v>
      </c>
    </row>
    <row r="823" spans="1:9" x14ac:dyDescent="0.25">
      <c r="A823" s="76" t="s">
        <v>623</v>
      </c>
      <c r="B823" s="76" t="s">
        <v>627</v>
      </c>
      <c r="C823" s="77">
        <v>40781</v>
      </c>
      <c r="D823" s="78">
        <v>41146</v>
      </c>
      <c r="E823" s="79">
        <v>0.27</v>
      </c>
      <c r="F823" s="80">
        <v>11675</v>
      </c>
      <c r="G823" s="88"/>
      <c r="H823" s="80">
        <v>3152.25</v>
      </c>
      <c r="I823" s="79">
        <f>H823/F823</f>
        <v>0.27</v>
      </c>
    </row>
    <row r="824" spans="1:9" x14ac:dyDescent="0.25">
      <c r="A824" s="76" t="s">
        <v>289</v>
      </c>
      <c r="B824" s="76" t="s">
        <v>301</v>
      </c>
      <c r="C824" s="77">
        <v>40923</v>
      </c>
      <c r="D824" s="78">
        <v>41014</v>
      </c>
      <c r="E824" s="79">
        <v>0.13</v>
      </c>
      <c r="F824" s="79"/>
      <c r="G824" s="81">
        <v>14336</v>
      </c>
      <c r="H824" s="80">
        <v>1872.18</v>
      </c>
      <c r="I824" s="79">
        <f>H824/G824</f>
        <v>0.13059291294642858</v>
      </c>
    </row>
    <row r="825" spans="1:9" x14ac:dyDescent="0.25">
      <c r="A825" s="70" t="s">
        <v>144</v>
      </c>
      <c r="B825" s="70" t="s">
        <v>145</v>
      </c>
      <c r="C825" s="71">
        <v>41000</v>
      </c>
      <c r="D825" s="72">
        <v>41065</v>
      </c>
      <c r="E825" s="73">
        <v>0.2</v>
      </c>
      <c r="F825" s="74">
        <v>102535.59</v>
      </c>
      <c r="G825" s="75"/>
      <c r="H825" s="74">
        <v>6535.59</v>
      </c>
      <c r="I825" s="73">
        <v>6.3739721983362072E-2</v>
      </c>
    </row>
    <row r="826" spans="1:9" x14ac:dyDescent="0.25">
      <c r="A826" s="70" t="s">
        <v>144</v>
      </c>
      <c r="B826" s="70" t="s">
        <v>145</v>
      </c>
      <c r="C826" s="71">
        <v>41000</v>
      </c>
      <c r="D826" s="72">
        <v>41065</v>
      </c>
      <c r="E826" s="73">
        <v>0.2</v>
      </c>
      <c r="F826" s="74"/>
      <c r="G826" s="75">
        <v>2440</v>
      </c>
      <c r="H826" s="74">
        <v>2074</v>
      </c>
      <c r="I826" s="73">
        <v>0.85</v>
      </c>
    </row>
    <row r="827" spans="1:9" x14ac:dyDescent="0.25">
      <c r="A827" s="76" t="s">
        <v>249</v>
      </c>
      <c r="B827" s="76" t="s">
        <v>258</v>
      </c>
      <c r="C827" s="77">
        <v>40819</v>
      </c>
      <c r="D827" s="78">
        <v>40939</v>
      </c>
      <c r="E827" s="79">
        <v>0</v>
      </c>
      <c r="F827" s="80">
        <v>98908</v>
      </c>
      <c r="G827" s="81"/>
      <c r="H827" s="80">
        <v>74339.08</v>
      </c>
      <c r="I827" s="79">
        <f>H827/F827</f>
        <v>0.75159825292190729</v>
      </c>
    </row>
    <row r="828" spans="1:9" x14ac:dyDescent="0.25">
      <c r="A828" s="76" t="s">
        <v>171</v>
      </c>
      <c r="B828" s="76" t="s">
        <v>211</v>
      </c>
      <c r="C828" s="77">
        <v>40913</v>
      </c>
      <c r="D828" s="78">
        <v>41274</v>
      </c>
      <c r="E828" s="79">
        <v>1.7999999999999999E-2</v>
      </c>
      <c r="F828" s="80">
        <v>1286834.79</v>
      </c>
      <c r="G828" s="81"/>
      <c r="H828" s="80">
        <v>666834.01</v>
      </c>
      <c r="I828" s="79">
        <f>H828/F828</f>
        <v>0.51819706397586596</v>
      </c>
    </row>
    <row r="829" spans="1:9" x14ac:dyDescent="0.25">
      <c r="A829" s="76" t="s">
        <v>289</v>
      </c>
      <c r="B829" s="76" t="s">
        <v>302</v>
      </c>
      <c r="C829" s="77">
        <v>40925</v>
      </c>
      <c r="D829" s="78">
        <v>41044</v>
      </c>
      <c r="E829" s="79">
        <v>0.13</v>
      </c>
      <c r="F829" s="79"/>
      <c r="G829" s="81">
        <v>19446</v>
      </c>
      <c r="H829" s="80">
        <v>2546.4699999999998</v>
      </c>
      <c r="I829" s="79">
        <f>H829/G829</f>
        <v>0.13095083821865677</v>
      </c>
    </row>
    <row r="830" spans="1:9" x14ac:dyDescent="0.25">
      <c r="A830" s="76" t="s">
        <v>289</v>
      </c>
      <c r="B830" s="111" t="s">
        <v>302</v>
      </c>
      <c r="C830" s="112">
        <v>41261</v>
      </c>
      <c r="D830" s="78">
        <v>41373</v>
      </c>
      <c r="E830" s="79">
        <v>0.13</v>
      </c>
      <c r="F830" s="88"/>
      <c r="G830" s="81">
        <v>17360</v>
      </c>
      <c r="H830" s="80">
        <v>2268.8000000000002</v>
      </c>
      <c r="I830" s="79">
        <f>H830/G830</f>
        <v>0.13069124423963135</v>
      </c>
    </row>
    <row r="831" spans="1:9" x14ac:dyDescent="0.25">
      <c r="A831" s="70" t="s">
        <v>171</v>
      </c>
      <c r="B831" s="70" t="s">
        <v>151</v>
      </c>
      <c r="C831" s="71">
        <v>40725</v>
      </c>
      <c r="D831" s="72">
        <v>41090</v>
      </c>
      <c r="E831" s="73">
        <v>1.7999999999999999E-2</v>
      </c>
      <c r="F831" s="74">
        <v>383862</v>
      </c>
      <c r="G831" s="75"/>
      <c r="H831" s="74">
        <v>33851</v>
      </c>
      <c r="I831" s="79">
        <f>H831/F831</f>
        <v>8.818533743897547E-2</v>
      </c>
    </row>
    <row r="832" spans="1:9" x14ac:dyDescent="0.25">
      <c r="A832" s="76" t="s">
        <v>449</v>
      </c>
      <c r="B832" s="76" t="s">
        <v>151</v>
      </c>
      <c r="C832" s="77">
        <v>41030</v>
      </c>
      <c r="D832" s="78">
        <v>41394</v>
      </c>
      <c r="E832" s="79">
        <v>0</v>
      </c>
      <c r="F832" s="80">
        <v>234046</v>
      </c>
      <c r="G832" s="81"/>
      <c r="H832" s="80">
        <v>92171</v>
      </c>
      <c r="I832" s="79">
        <f>H832/F832</f>
        <v>0.39381574562265537</v>
      </c>
    </row>
    <row r="833" spans="1:9" x14ac:dyDescent="0.25">
      <c r="A833" s="76" t="s">
        <v>449</v>
      </c>
      <c r="B833" s="76" t="s">
        <v>151</v>
      </c>
      <c r="C833" s="77">
        <v>40664</v>
      </c>
      <c r="D833" s="78">
        <v>41029</v>
      </c>
      <c r="E833" s="79">
        <v>0</v>
      </c>
      <c r="F833" s="80">
        <v>0</v>
      </c>
      <c r="G833" s="81"/>
      <c r="H833" s="80">
        <v>0</v>
      </c>
      <c r="I833" s="79">
        <v>0</v>
      </c>
    </row>
    <row r="834" spans="1:9" x14ac:dyDescent="0.25">
      <c r="A834" s="76" t="s">
        <v>146</v>
      </c>
      <c r="B834" s="76" t="s">
        <v>206</v>
      </c>
      <c r="C834" s="77">
        <v>40876</v>
      </c>
      <c r="D834" s="78">
        <v>41241</v>
      </c>
      <c r="E834" s="108">
        <v>4.4999999999999999E-4</v>
      </c>
      <c r="F834" s="80">
        <v>4339.84</v>
      </c>
      <c r="G834" s="81"/>
      <c r="H834" s="80">
        <v>-1800.38</v>
      </c>
      <c r="I834" s="79">
        <f>H834/F834</f>
        <v>-0.41484939536941456</v>
      </c>
    </row>
    <row r="835" spans="1:9" x14ac:dyDescent="0.25">
      <c r="A835" s="70" t="s">
        <v>171</v>
      </c>
      <c r="B835" s="70" t="s">
        <v>182</v>
      </c>
      <c r="C835" s="71">
        <v>40725</v>
      </c>
      <c r="D835" s="72">
        <v>41090</v>
      </c>
      <c r="E835" s="73">
        <v>1.7999999999999999E-2</v>
      </c>
      <c r="F835" s="74">
        <v>585288</v>
      </c>
      <c r="G835" s="75"/>
      <c r="H835" s="74">
        <v>270184</v>
      </c>
      <c r="I835" s="79">
        <f>H835/F835</f>
        <v>0.46162572955536418</v>
      </c>
    </row>
    <row r="836" spans="1:9" x14ac:dyDescent="0.25">
      <c r="A836" s="76" t="s">
        <v>623</v>
      </c>
      <c r="B836" s="76" t="s">
        <v>629</v>
      </c>
      <c r="C836" s="77">
        <v>40859</v>
      </c>
      <c r="D836" s="78">
        <v>41224</v>
      </c>
      <c r="E836" s="79">
        <v>0.25</v>
      </c>
      <c r="F836" s="80">
        <v>48440</v>
      </c>
      <c r="G836" s="88"/>
      <c r="H836" s="80">
        <v>12110</v>
      </c>
      <c r="I836" s="79">
        <f>H836/F836</f>
        <v>0.25</v>
      </c>
    </row>
    <row r="837" spans="1:9" x14ac:dyDescent="0.25">
      <c r="A837" s="76" t="s">
        <v>289</v>
      </c>
      <c r="B837" s="76" t="s">
        <v>294</v>
      </c>
      <c r="C837" s="77">
        <v>40848</v>
      </c>
      <c r="D837" s="78">
        <v>41000</v>
      </c>
      <c r="E837" s="79">
        <v>0.13</v>
      </c>
      <c r="F837" s="88"/>
      <c r="G837" s="81">
        <v>9087</v>
      </c>
      <c r="H837" s="80">
        <v>1206.31</v>
      </c>
      <c r="I837" s="79">
        <f>H837/G837</f>
        <v>0.13275118300869373</v>
      </c>
    </row>
    <row r="838" spans="1:9" x14ac:dyDescent="0.25">
      <c r="A838" s="76" t="s">
        <v>289</v>
      </c>
      <c r="B838" s="76" t="s">
        <v>294</v>
      </c>
      <c r="C838" s="77">
        <v>41000</v>
      </c>
      <c r="D838" s="78">
        <v>41142</v>
      </c>
      <c r="E838" s="79">
        <v>0.13</v>
      </c>
      <c r="F838" s="88"/>
      <c r="G838" s="81">
        <v>9030</v>
      </c>
      <c r="H838" s="80">
        <v>1197.9000000000001</v>
      </c>
      <c r="I838" s="79">
        <f>H838/G838</f>
        <v>0.13265780730897012</v>
      </c>
    </row>
    <row r="839" spans="1:9" x14ac:dyDescent="0.25">
      <c r="A839" s="76" t="s">
        <v>289</v>
      </c>
      <c r="B839" s="76" t="s">
        <v>294</v>
      </c>
      <c r="C839" s="77">
        <v>41206</v>
      </c>
      <c r="D839" s="78">
        <v>41325</v>
      </c>
      <c r="E839" s="79">
        <v>0.13</v>
      </c>
      <c r="F839" s="88"/>
      <c r="G839" s="81">
        <v>8526</v>
      </c>
      <c r="H839" s="80">
        <v>1135.3800000000001</v>
      </c>
      <c r="I839" s="79">
        <f>H839/G839</f>
        <v>0.13316678395496132</v>
      </c>
    </row>
    <row r="840" spans="1:9" x14ac:dyDescent="0.25">
      <c r="A840" s="76" t="s">
        <v>685</v>
      </c>
      <c r="B840" s="76" t="s">
        <v>687</v>
      </c>
      <c r="C840" s="77">
        <v>41091</v>
      </c>
      <c r="D840" s="78">
        <v>41455</v>
      </c>
      <c r="E840" s="79">
        <v>0.108</v>
      </c>
      <c r="F840" s="80">
        <v>1961611.85</v>
      </c>
      <c r="G840" s="81"/>
      <c r="H840" s="80">
        <v>600000</v>
      </c>
      <c r="I840" s="79">
        <f>H840/F840</f>
        <v>0.30587090917094528</v>
      </c>
    </row>
    <row r="841" spans="1:9" x14ac:dyDescent="0.25">
      <c r="A841" s="76" t="s">
        <v>685</v>
      </c>
      <c r="B841" s="76" t="s">
        <v>687</v>
      </c>
      <c r="C841" s="77">
        <v>40725</v>
      </c>
      <c r="D841" s="78">
        <v>41090</v>
      </c>
      <c r="E841" s="79">
        <v>0.108</v>
      </c>
      <c r="F841" s="80">
        <v>2688607.48</v>
      </c>
      <c r="G841" s="81"/>
      <c r="H841" s="80">
        <v>600000</v>
      </c>
      <c r="I841" s="79">
        <f>H841/F841</f>
        <v>0.22316385134805919</v>
      </c>
    </row>
    <row r="842" spans="1:9" x14ac:dyDescent="0.25">
      <c r="A842" s="70" t="s">
        <v>122</v>
      </c>
      <c r="B842" s="70" t="s">
        <v>125</v>
      </c>
      <c r="C842" s="71">
        <v>40817</v>
      </c>
      <c r="D842" s="72">
        <v>41182</v>
      </c>
      <c r="E842" s="73">
        <v>0.15</v>
      </c>
      <c r="F842" s="74">
        <v>445631</v>
      </c>
      <c r="G842" s="75"/>
      <c r="H842" s="74">
        <v>71088.740000000005</v>
      </c>
      <c r="I842" s="73">
        <v>0.15952377639796156</v>
      </c>
    </row>
    <row r="843" spans="1:9" x14ac:dyDescent="0.25">
      <c r="A843" s="70" t="s">
        <v>122</v>
      </c>
      <c r="B843" s="70" t="s">
        <v>125</v>
      </c>
      <c r="C843" s="71">
        <v>40817</v>
      </c>
      <c r="D843" s="72">
        <v>41182</v>
      </c>
      <c r="E843" s="73">
        <v>0.15</v>
      </c>
      <c r="F843" s="74"/>
      <c r="G843" s="75">
        <v>9878</v>
      </c>
      <c r="H843" s="74">
        <v>1481.7</v>
      </c>
      <c r="I843" s="73">
        <v>0.15</v>
      </c>
    </row>
    <row r="844" spans="1:9" x14ac:dyDescent="0.25">
      <c r="A844" s="76" t="s">
        <v>681</v>
      </c>
      <c r="B844" s="76" t="s">
        <v>125</v>
      </c>
      <c r="C844" s="77">
        <v>40664</v>
      </c>
      <c r="D844" s="78">
        <v>40962</v>
      </c>
      <c r="E844" s="79">
        <v>0.13</v>
      </c>
      <c r="F844" s="80">
        <v>384218.65</v>
      </c>
      <c r="G844" s="81"/>
      <c r="H844" s="80">
        <v>131515.46</v>
      </c>
      <c r="I844" s="79">
        <f>H844/F844</f>
        <v>0.34229327493602923</v>
      </c>
    </row>
    <row r="845" spans="1:9" x14ac:dyDescent="0.25">
      <c r="A845" s="76" t="s">
        <v>681</v>
      </c>
      <c r="B845" s="76" t="s">
        <v>125</v>
      </c>
      <c r="C845" s="77">
        <v>40664</v>
      </c>
      <c r="D845" s="78">
        <v>40962</v>
      </c>
      <c r="E845" s="79">
        <v>8.9999999999999993E-3</v>
      </c>
      <c r="F845" s="80">
        <v>43992.55</v>
      </c>
      <c r="G845" s="81"/>
      <c r="H845" s="80">
        <v>13519.99</v>
      </c>
      <c r="I845" s="79">
        <f>H845/F845</f>
        <v>0.30732453563160123</v>
      </c>
    </row>
    <row r="846" spans="1:9" x14ac:dyDescent="0.25">
      <c r="A846" s="76" t="s">
        <v>439</v>
      </c>
      <c r="B846" s="76" t="s">
        <v>445</v>
      </c>
      <c r="C846" s="77">
        <v>40973</v>
      </c>
      <c r="D846" s="78">
        <v>41502</v>
      </c>
      <c r="E846" s="79">
        <v>0.14000000000000001</v>
      </c>
      <c r="F846" s="88"/>
      <c r="G846" s="81">
        <v>11970</v>
      </c>
      <c r="H846" s="80">
        <v>2000.88</v>
      </c>
      <c r="I846" s="79">
        <f>H846/G846</f>
        <v>0.16715789473684212</v>
      </c>
    </row>
    <row r="847" spans="1:9" x14ac:dyDescent="0.25">
      <c r="A847" s="76" t="s">
        <v>558</v>
      </c>
      <c r="B847" s="76" t="s">
        <v>445</v>
      </c>
      <c r="C847" s="77">
        <v>40609</v>
      </c>
      <c r="D847" s="78">
        <v>40967</v>
      </c>
      <c r="E847" s="79">
        <v>0.14000000000000001</v>
      </c>
      <c r="F847" s="88"/>
      <c r="G847" s="81">
        <v>10972.2</v>
      </c>
      <c r="H847" s="80">
        <v>1833.34</v>
      </c>
      <c r="I847" s="79">
        <f>H847/G847</f>
        <v>0.16708955359909589</v>
      </c>
    </row>
    <row r="848" spans="1:9" x14ac:dyDescent="0.25">
      <c r="A848" s="70" t="s">
        <v>146</v>
      </c>
      <c r="B848" s="70" t="s">
        <v>156</v>
      </c>
      <c r="C848" s="71">
        <v>40815</v>
      </c>
      <c r="D848" s="72">
        <v>41180</v>
      </c>
      <c r="E848" s="101">
        <v>4.4999999999999999E-4</v>
      </c>
      <c r="F848" s="74">
        <v>128205</v>
      </c>
      <c r="G848" s="75"/>
      <c r="H848" s="74">
        <v>27064.89</v>
      </c>
      <c r="I848" s="73">
        <v>0.21110635310635309</v>
      </c>
    </row>
    <row r="849" spans="1:9" x14ac:dyDescent="0.25">
      <c r="A849" s="70" t="s">
        <v>140</v>
      </c>
      <c r="B849" s="70" t="s">
        <v>141</v>
      </c>
      <c r="C849" s="71">
        <v>40742</v>
      </c>
      <c r="D849" s="72">
        <v>41060</v>
      </c>
      <c r="E849" s="73">
        <v>0.125</v>
      </c>
      <c r="F849" s="74">
        <v>2721833.07</v>
      </c>
      <c r="G849" s="75"/>
      <c r="H849" s="74">
        <v>353656.78</v>
      </c>
      <c r="I849" s="73">
        <v>0.12993330998068889</v>
      </c>
    </row>
    <row r="850" spans="1:9" x14ac:dyDescent="0.25">
      <c r="A850" s="70" t="s">
        <v>140</v>
      </c>
      <c r="B850" s="70" t="s">
        <v>141</v>
      </c>
      <c r="C850" s="71">
        <v>40664</v>
      </c>
      <c r="D850" s="72">
        <v>41029</v>
      </c>
      <c r="E850" s="73">
        <v>0.09</v>
      </c>
      <c r="F850" s="74">
        <v>347876.38</v>
      </c>
      <c r="G850" s="75"/>
      <c r="H850" s="74">
        <v>179411.7</v>
      </c>
      <c r="I850" s="73">
        <v>0.51573406622202977</v>
      </c>
    </row>
    <row r="851" spans="1:9" x14ac:dyDescent="0.25">
      <c r="A851" s="70" t="s">
        <v>140</v>
      </c>
      <c r="B851" s="70" t="s">
        <v>141</v>
      </c>
      <c r="C851" s="71">
        <v>40664</v>
      </c>
      <c r="D851" s="72">
        <v>41029</v>
      </c>
      <c r="E851" s="73">
        <v>0.09</v>
      </c>
      <c r="F851" s="74"/>
      <c r="G851" s="75">
        <v>21319</v>
      </c>
      <c r="H851" s="74">
        <v>11873.76</v>
      </c>
      <c r="I851" s="73">
        <v>0.55695670528636432</v>
      </c>
    </row>
    <row r="852" spans="1:9" x14ac:dyDescent="0.25">
      <c r="A852" s="70" t="s">
        <v>140</v>
      </c>
      <c r="B852" s="70" t="s">
        <v>141</v>
      </c>
      <c r="C852" s="71">
        <v>40742</v>
      </c>
      <c r="D852" s="72">
        <v>41060</v>
      </c>
      <c r="E852" s="73">
        <v>0.125</v>
      </c>
      <c r="F852" s="74"/>
      <c r="G852" s="75">
        <v>15409.97</v>
      </c>
      <c r="H852" s="74">
        <v>2090.79</v>
      </c>
      <c r="I852" s="73">
        <v>0.13567774629022639</v>
      </c>
    </row>
    <row r="853" spans="1:9" x14ac:dyDescent="0.25">
      <c r="A853" s="76" t="s">
        <v>265</v>
      </c>
      <c r="B853" s="76" t="s">
        <v>141</v>
      </c>
      <c r="C853" s="77">
        <v>41096</v>
      </c>
      <c r="D853" s="78">
        <v>41460</v>
      </c>
      <c r="E853" s="79">
        <v>0.45</v>
      </c>
      <c r="F853" s="80">
        <v>2390447.39</v>
      </c>
      <c r="G853" s="81"/>
      <c r="H853" s="80">
        <v>962307.28</v>
      </c>
      <c r="I853" s="79">
        <f>H853/F853</f>
        <v>0.40256367240108976</v>
      </c>
    </row>
    <row r="854" spans="1:9" x14ac:dyDescent="0.25">
      <c r="A854" s="76" t="s">
        <v>531</v>
      </c>
      <c r="B854" s="76" t="s">
        <v>141</v>
      </c>
      <c r="C854" s="77">
        <v>40922</v>
      </c>
      <c r="D854" s="78">
        <v>41182</v>
      </c>
      <c r="E854" s="79">
        <v>8.9999999999999993E-3</v>
      </c>
      <c r="F854" s="80">
        <v>0</v>
      </c>
      <c r="G854" s="81"/>
      <c r="H854" s="80">
        <v>0</v>
      </c>
      <c r="I854" s="79">
        <v>0</v>
      </c>
    </row>
    <row r="855" spans="1:9" x14ac:dyDescent="0.25">
      <c r="A855" s="76" t="s">
        <v>531</v>
      </c>
      <c r="B855" s="76" t="s">
        <v>141</v>
      </c>
      <c r="C855" s="77">
        <v>40922</v>
      </c>
      <c r="D855" s="78">
        <v>41182</v>
      </c>
      <c r="E855" s="79">
        <v>8.9999999999999993E-3</v>
      </c>
      <c r="F855" s="80"/>
      <c r="G855" s="81">
        <v>0</v>
      </c>
      <c r="H855" s="80">
        <v>0</v>
      </c>
      <c r="I855" s="79">
        <v>0</v>
      </c>
    </row>
    <row r="856" spans="1:9" x14ac:dyDescent="0.25">
      <c r="A856" s="76" t="s">
        <v>270</v>
      </c>
      <c r="B856" s="76" t="s">
        <v>273</v>
      </c>
      <c r="C856" s="77">
        <v>40725</v>
      </c>
      <c r="D856" s="78">
        <v>41090</v>
      </c>
      <c r="E856" s="79">
        <v>0.45</v>
      </c>
      <c r="F856" s="80">
        <v>409359.4</v>
      </c>
      <c r="G856" s="81"/>
      <c r="H856" s="80">
        <v>113962</v>
      </c>
      <c r="I856" s="79">
        <f>H856/F856</f>
        <v>0.27839106662751606</v>
      </c>
    </row>
    <row r="857" spans="1:9" x14ac:dyDescent="0.25">
      <c r="A857" s="76" t="s">
        <v>270</v>
      </c>
      <c r="B857" s="76" t="s">
        <v>274</v>
      </c>
      <c r="C857" s="77">
        <v>40725</v>
      </c>
      <c r="D857" s="78">
        <v>41090</v>
      </c>
      <c r="E857" s="79">
        <v>0.45</v>
      </c>
      <c r="F857" s="80">
        <v>2315164.42</v>
      </c>
      <c r="G857" s="81"/>
      <c r="H857" s="80">
        <v>844968.27</v>
      </c>
      <c r="I857" s="79">
        <f>H857/F857</f>
        <v>0.36497117124839024</v>
      </c>
    </row>
    <row r="858" spans="1:9" x14ac:dyDescent="0.25">
      <c r="A858" s="76" t="s">
        <v>375</v>
      </c>
      <c r="B858" s="76" t="s">
        <v>382</v>
      </c>
      <c r="C858" s="77">
        <v>41163</v>
      </c>
      <c r="D858" s="78">
        <v>41186</v>
      </c>
      <c r="E858" s="79">
        <v>4.4999999999999998E-2</v>
      </c>
      <c r="F858" s="80"/>
      <c r="G858" s="81">
        <v>3780</v>
      </c>
      <c r="H858" s="80">
        <v>462</v>
      </c>
      <c r="I858" s="79">
        <f>H858/G858</f>
        <v>0.12222222222222222</v>
      </c>
    </row>
    <row r="859" spans="1:9" x14ac:dyDescent="0.25">
      <c r="A859" s="76" t="s">
        <v>265</v>
      </c>
      <c r="B859" s="76" t="s">
        <v>269</v>
      </c>
      <c r="C859" s="77">
        <v>41091</v>
      </c>
      <c r="D859" s="78">
        <v>41455</v>
      </c>
      <c r="E859" s="79">
        <v>0.27</v>
      </c>
      <c r="F859" s="80">
        <v>3119516.05</v>
      </c>
      <c r="G859" s="81"/>
      <c r="H859" s="80">
        <v>1197932.5900000001</v>
      </c>
      <c r="I859" s="79">
        <f>H859/F859</f>
        <v>0.38401231819275305</v>
      </c>
    </row>
    <row r="860" spans="1:9" x14ac:dyDescent="0.25">
      <c r="A860" s="76" t="s">
        <v>267</v>
      </c>
      <c r="B860" s="76" t="s">
        <v>269</v>
      </c>
      <c r="C860" s="77">
        <v>40664</v>
      </c>
      <c r="D860" s="78">
        <v>41029</v>
      </c>
      <c r="E860" s="79">
        <v>0.18</v>
      </c>
      <c r="F860" s="80">
        <v>2438297.7999999998</v>
      </c>
      <c r="G860" s="81"/>
      <c r="H860" s="80">
        <v>826243.03</v>
      </c>
      <c r="I860" s="79">
        <f>H860/F860</f>
        <v>0.33886058954734738</v>
      </c>
    </row>
    <row r="861" spans="1:9" x14ac:dyDescent="0.25">
      <c r="A861" s="76" t="s">
        <v>270</v>
      </c>
      <c r="B861" s="110" t="s">
        <v>269</v>
      </c>
      <c r="C861" s="77">
        <v>41030</v>
      </c>
      <c r="D861" s="78">
        <v>41090</v>
      </c>
      <c r="E861" s="79">
        <v>0.18</v>
      </c>
      <c r="F861" s="80">
        <v>519242.34</v>
      </c>
      <c r="G861" s="81"/>
      <c r="H861" s="80">
        <v>188898.66</v>
      </c>
      <c r="I861" s="79">
        <f>H861/F861</f>
        <v>0.36379671965887833</v>
      </c>
    </row>
    <row r="862" spans="1:9" x14ac:dyDescent="0.25">
      <c r="A862" s="76" t="s">
        <v>1718</v>
      </c>
      <c r="B862" s="76" t="s">
        <v>1719</v>
      </c>
      <c r="C862" s="77">
        <v>41175</v>
      </c>
      <c r="D862" s="78">
        <v>41455</v>
      </c>
      <c r="E862" s="79">
        <v>0.40500000000000003</v>
      </c>
      <c r="F862" s="80"/>
      <c r="G862" s="81">
        <v>906710.79</v>
      </c>
      <c r="H862" s="80">
        <v>618281.12</v>
      </c>
      <c r="I862" s="73">
        <f>H862/G862</f>
        <v>0.68189452118464366</v>
      </c>
    </row>
    <row r="863" spans="1:9" x14ac:dyDescent="0.25">
      <c r="A863" s="76" t="s">
        <v>1718</v>
      </c>
      <c r="B863" s="76" t="s">
        <v>1719</v>
      </c>
      <c r="C863" s="77">
        <v>41050</v>
      </c>
      <c r="D863" s="78">
        <v>41358</v>
      </c>
      <c r="E863" s="79">
        <v>0.315</v>
      </c>
      <c r="F863" s="80"/>
      <c r="G863" s="81">
        <v>186129</v>
      </c>
      <c r="H863" s="80">
        <v>93751.95</v>
      </c>
      <c r="I863" s="73">
        <f>H863/G863</f>
        <v>0.5036934061860322</v>
      </c>
    </row>
    <row r="864" spans="1:9" x14ac:dyDescent="0.25">
      <c r="A864" s="76" t="s">
        <v>1718</v>
      </c>
      <c r="B864" s="76" t="s">
        <v>1719</v>
      </c>
      <c r="C864" s="77">
        <v>41036</v>
      </c>
      <c r="D864" s="78">
        <v>41105</v>
      </c>
      <c r="E864" s="79">
        <v>0.315</v>
      </c>
      <c r="F864" s="80"/>
      <c r="G864" s="81">
        <v>59737.5</v>
      </c>
      <c r="H864" s="80">
        <v>2848.25</v>
      </c>
      <c r="I864" s="73">
        <f>H864/G864</f>
        <v>4.7679430843272648E-2</v>
      </c>
    </row>
    <row r="865" spans="1:9" x14ac:dyDescent="0.25">
      <c r="A865" s="76" t="s">
        <v>375</v>
      </c>
      <c r="B865" s="76" t="s">
        <v>377</v>
      </c>
      <c r="C865" s="112">
        <v>41019</v>
      </c>
      <c r="D865" s="78">
        <v>41156</v>
      </c>
      <c r="E865" s="79">
        <v>4.4999999999999998E-2</v>
      </c>
      <c r="F865" s="80"/>
      <c r="G865" s="81">
        <v>9082</v>
      </c>
      <c r="H865" s="80">
        <v>6845</v>
      </c>
      <c r="I865" s="79">
        <f>H865/G865</f>
        <v>0.75368861484254568</v>
      </c>
    </row>
    <row r="866" spans="1:9" x14ac:dyDescent="0.25">
      <c r="A866" s="76" t="s">
        <v>692</v>
      </c>
      <c r="B866" s="76" t="s">
        <v>693</v>
      </c>
      <c r="C866" s="77">
        <v>40683</v>
      </c>
      <c r="D866" s="78">
        <v>40939</v>
      </c>
      <c r="E866" s="79">
        <v>8.9999999999999993E-3</v>
      </c>
      <c r="F866" s="80">
        <v>51055.5</v>
      </c>
      <c r="G866" s="81"/>
      <c r="H866" s="80">
        <v>20683</v>
      </c>
      <c r="I866" s="79">
        <f>H866/F866</f>
        <v>0.40510816660301047</v>
      </c>
    </row>
    <row r="867" spans="1:9" x14ac:dyDescent="0.25">
      <c r="A867" s="70" t="s">
        <v>20</v>
      </c>
      <c r="B867" s="70" t="s">
        <v>29</v>
      </c>
      <c r="C867" s="71">
        <v>40763</v>
      </c>
      <c r="D867" s="72">
        <v>41090</v>
      </c>
      <c r="E867" s="73">
        <v>0</v>
      </c>
      <c r="F867" s="74">
        <v>0</v>
      </c>
      <c r="G867" s="75"/>
      <c r="H867" s="74">
        <v>-2574.5</v>
      </c>
      <c r="I867" s="73">
        <v>-0.64604767879548308</v>
      </c>
    </row>
    <row r="868" spans="1:9" x14ac:dyDescent="0.25">
      <c r="A868" s="76" t="s">
        <v>246</v>
      </c>
      <c r="B868" s="76" t="s">
        <v>29</v>
      </c>
      <c r="C868" s="77">
        <v>40909</v>
      </c>
      <c r="D868" s="78">
        <v>41274</v>
      </c>
      <c r="E868" s="79">
        <v>0</v>
      </c>
      <c r="F868" s="80">
        <v>105804</v>
      </c>
      <c r="G868" s="81"/>
      <c r="H868" s="80">
        <v>-9197.4699999999993</v>
      </c>
      <c r="I868" s="79">
        <f>H868/F868</f>
        <v>-8.6929322142830126E-2</v>
      </c>
    </row>
    <row r="869" spans="1:9" x14ac:dyDescent="0.25">
      <c r="A869" s="76" t="s">
        <v>263</v>
      </c>
      <c r="B869" s="76" t="s">
        <v>29</v>
      </c>
      <c r="C869" s="77">
        <v>40756</v>
      </c>
      <c r="D869" s="78">
        <v>41121</v>
      </c>
      <c r="E869" s="79">
        <v>8.9999999999999993E-3</v>
      </c>
      <c r="F869" s="80">
        <v>552453.13</v>
      </c>
      <c r="G869" s="81"/>
      <c r="H869" s="80">
        <v>227738.63</v>
      </c>
      <c r="I869" s="79">
        <f>H869/F869</f>
        <v>0.41223158605328203</v>
      </c>
    </row>
    <row r="870" spans="1:9" x14ac:dyDescent="0.25">
      <c r="A870" s="76" t="s">
        <v>263</v>
      </c>
      <c r="B870" s="76" t="s">
        <v>29</v>
      </c>
      <c r="C870" s="77">
        <v>40766</v>
      </c>
      <c r="D870" s="78">
        <v>41121</v>
      </c>
      <c r="E870" s="79">
        <v>8.9999999999999993E-3</v>
      </c>
      <c r="F870" s="80"/>
      <c r="G870" s="81">
        <v>16691.5</v>
      </c>
      <c r="H870" s="80">
        <v>10014.9</v>
      </c>
      <c r="I870" s="79">
        <f>H870/G870</f>
        <v>0.6</v>
      </c>
    </row>
    <row r="871" spans="1:9" x14ac:dyDescent="0.25">
      <c r="A871" s="76" t="s">
        <v>477</v>
      </c>
      <c r="B871" s="76" t="s">
        <v>29</v>
      </c>
      <c r="C871" s="77">
        <v>40792</v>
      </c>
      <c r="D871" s="78">
        <v>41121</v>
      </c>
      <c r="E871" s="79">
        <v>8.9999999999999993E-3</v>
      </c>
      <c r="F871" s="80">
        <v>0</v>
      </c>
      <c r="G871" s="81"/>
      <c r="H871" s="80">
        <v>0</v>
      </c>
      <c r="I871" s="79">
        <v>0</v>
      </c>
    </row>
    <row r="872" spans="1:9" x14ac:dyDescent="0.25">
      <c r="A872" s="76" t="s">
        <v>477</v>
      </c>
      <c r="B872" s="76" t="s">
        <v>29</v>
      </c>
      <c r="C872" s="77">
        <v>40792</v>
      </c>
      <c r="D872" s="78">
        <v>41121</v>
      </c>
      <c r="E872" s="79">
        <v>8.9999999999999993E-3</v>
      </c>
      <c r="F872" s="80"/>
      <c r="G872" s="81">
        <v>0</v>
      </c>
      <c r="H872" s="80">
        <v>0</v>
      </c>
      <c r="I872" s="79">
        <v>0</v>
      </c>
    </row>
    <row r="873" spans="1:9" x14ac:dyDescent="0.25">
      <c r="A873" s="76" t="s">
        <v>531</v>
      </c>
      <c r="B873" s="76" t="s">
        <v>29</v>
      </c>
      <c r="C873" s="77">
        <v>40955</v>
      </c>
      <c r="D873" s="78">
        <v>41274</v>
      </c>
      <c r="E873" s="79">
        <v>8.9999999999999998E-4</v>
      </c>
      <c r="F873" s="80">
        <v>47147</v>
      </c>
      <c r="G873" s="81"/>
      <c r="H873" s="80">
        <v>32827</v>
      </c>
      <c r="I873" s="79">
        <f>H873/F873</f>
        <v>0.696269115744374</v>
      </c>
    </row>
    <row r="874" spans="1:9" x14ac:dyDescent="0.25">
      <c r="A874" s="76" t="s">
        <v>531</v>
      </c>
      <c r="B874" s="76" t="s">
        <v>29</v>
      </c>
      <c r="C874" s="77">
        <v>40955</v>
      </c>
      <c r="D874" s="78">
        <v>41274</v>
      </c>
      <c r="E874" s="79">
        <v>8.9999999999999998E-4</v>
      </c>
      <c r="F874" s="80"/>
      <c r="G874" s="81">
        <v>245</v>
      </c>
      <c r="H874" s="80">
        <v>158</v>
      </c>
      <c r="I874" s="79">
        <f>H874/G874</f>
        <v>0.64489795918367343</v>
      </c>
    </row>
    <row r="875" spans="1:9" x14ac:dyDescent="0.25">
      <c r="A875" s="76" t="s">
        <v>674</v>
      </c>
      <c r="B875" s="76" t="s">
        <v>29</v>
      </c>
      <c r="C875" s="77">
        <v>40938</v>
      </c>
      <c r="D875" s="78">
        <v>41274</v>
      </c>
      <c r="E875" s="79">
        <v>0.24660000000000001</v>
      </c>
      <c r="F875" s="80">
        <v>292231.25</v>
      </c>
      <c r="G875" s="81"/>
      <c r="H875" s="80">
        <v>172747.53</v>
      </c>
      <c r="I875" s="79">
        <f>H875/F875</f>
        <v>0.59113298115790147</v>
      </c>
    </row>
    <row r="876" spans="1:9" x14ac:dyDescent="0.25">
      <c r="A876" s="76" t="s">
        <v>674</v>
      </c>
      <c r="B876" s="76" t="s">
        <v>29</v>
      </c>
      <c r="C876" s="77">
        <v>40938</v>
      </c>
      <c r="D876" s="78">
        <v>41274</v>
      </c>
      <c r="E876" s="79">
        <v>0.24660000000000001</v>
      </c>
      <c r="F876" s="80"/>
      <c r="G876" s="81">
        <v>8219</v>
      </c>
      <c r="H876" s="80">
        <v>4708.57</v>
      </c>
      <c r="I876" s="79">
        <f>H876/G876</f>
        <v>0.57288842924930039</v>
      </c>
    </row>
    <row r="877" spans="1:9" x14ac:dyDescent="0.25">
      <c r="A877" s="76" t="s">
        <v>692</v>
      </c>
      <c r="B877" s="76" t="s">
        <v>29</v>
      </c>
      <c r="C877" s="77">
        <v>40954</v>
      </c>
      <c r="D877" s="78">
        <v>41274</v>
      </c>
      <c r="E877" s="79">
        <v>8.9999999999999993E-3</v>
      </c>
      <c r="F877" s="80">
        <v>278803</v>
      </c>
      <c r="G877" s="81"/>
      <c r="H877" s="80">
        <v>142452</v>
      </c>
      <c r="I877" s="79">
        <f>H877/F877</f>
        <v>0.51094141741659882</v>
      </c>
    </row>
    <row r="878" spans="1:9" x14ac:dyDescent="0.25">
      <c r="A878" s="70" t="s">
        <v>101</v>
      </c>
      <c r="B878" s="70" t="s">
        <v>106</v>
      </c>
      <c r="C878" s="71">
        <v>40618</v>
      </c>
      <c r="D878" s="72">
        <v>40939</v>
      </c>
      <c r="E878" s="73">
        <v>0.09</v>
      </c>
      <c r="F878" s="74">
        <v>886</v>
      </c>
      <c r="G878" s="75"/>
      <c r="H878" s="74">
        <v>856</v>
      </c>
      <c r="I878" s="73">
        <v>0.96613995485327309</v>
      </c>
    </row>
    <row r="879" spans="1:9" x14ac:dyDescent="0.25">
      <c r="A879" s="70" t="s">
        <v>113</v>
      </c>
      <c r="B879" s="70" t="s">
        <v>106</v>
      </c>
      <c r="C879" s="71">
        <v>40618</v>
      </c>
      <c r="D879" s="72">
        <v>40939</v>
      </c>
      <c r="E879" s="73">
        <v>0.09</v>
      </c>
      <c r="F879" s="74"/>
      <c r="G879" s="75">
        <v>106</v>
      </c>
      <c r="H879" s="74">
        <v>103</v>
      </c>
      <c r="I879" s="73">
        <v>0.97169811320754718</v>
      </c>
    </row>
    <row r="880" spans="1:9" x14ac:dyDescent="0.25">
      <c r="A880" s="76" t="s">
        <v>685</v>
      </c>
      <c r="B880" s="76" t="s">
        <v>690</v>
      </c>
      <c r="C880" s="77">
        <v>40878</v>
      </c>
      <c r="D880" s="78">
        <v>41243</v>
      </c>
      <c r="E880" s="79">
        <v>0.1</v>
      </c>
      <c r="F880" s="80"/>
      <c r="G880" s="81">
        <v>47400</v>
      </c>
      <c r="H880" s="80">
        <v>6782.36</v>
      </c>
      <c r="I880" s="79">
        <f>H880/G880</f>
        <v>0.14308776371308016</v>
      </c>
    </row>
    <row r="881" spans="1:9" x14ac:dyDescent="0.25">
      <c r="A881" s="76" t="s">
        <v>127</v>
      </c>
      <c r="B881" s="76" t="s">
        <v>1967</v>
      </c>
      <c r="C881" s="77">
        <v>40664</v>
      </c>
      <c r="D881" s="78">
        <v>41029</v>
      </c>
      <c r="E881" s="79">
        <v>0</v>
      </c>
      <c r="F881" s="80">
        <v>270</v>
      </c>
      <c r="G881" s="88"/>
      <c r="H881" s="80">
        <v>-21179</v>
      </c>
      <c r="I881" s="79">
        <v>0</v>
      </c>
    </row>
    <row r="882" spans="1:9" x14ac:dyDescent="0.25">
      <c r="A882" s="70" t="s">
        <v>20</v>
      </c>
      <c r="B882" s="70" t="s">
        <v>36</v>
      </c>
      <c r="C882" s="71">
        <v>41029</v>
      </c>
      <c r="D882" s="72">
        <v>41274</v>
      </c>
      <c r="E882" s="73">
        <v>0</v>
      </c>
      <c r="F882" s="74"/>
      <c r="G882" s="75">
        <v>15.11</v>
      </c>
      <c r="H882" s="74">
        <v>0</v>
      </c>
      <c r="I882" s="73">
        <v>0</v>
      </c>
    </row>
    <row r="883" spans="1:9" x14ac:dyDescent="0.25">
      <c r="A883" s="70" t="s">
        <v>20</v>
      </c>
      <c r="B883" s="70" t="s">
        <v>36</v>
      </c>
      <c r="C883" s="71">
        <v>41029</v>
      </c>
      <c r="D883" s="72">
        <v>41274</v>
      </c>
      <c r="E883" s="73">
        <v>0</v>
      </c>
      <c r="F883" s="74">
        <v>1364</v>
      </c>
      <c r="G883" s="75"/>
      <c r="H883" s="74">
        <v>-272.05</v>
      </c>
      <c r="I883" s="73">
        <v>-0.19945014662756599</v>
      </c>
    </row>
    <row r="884" spans="1:9" x14ac:dyDescent="0.25">
      <c r="A884" s="76" t="s">
        <v>171</v>
      </c>
      <c r="B884" s="76" t="s">
        <v>36</v>
      </c>
      <c r="C884" s="77">
        <v>40780</v>
      </c>
      <c r="D884" s="78">
        <v>41060</v>
      </c>
      <c r="E884" s="79">
        <v>1.7999999999999999E-2</v>
      </c>
      <c r="F884" s="80">
        <v>179838</v>
      </c>
      <c r="G884" s="81"/>
      <c r="H884" s="80">
        <v>29477.439999999999</v>
      </c>
      <c r="I884" s="79">
        <f>H884/F884</f>
        <v>0.16391107552352671</v>
      </c>
    </row>
    <row r="885" spans="1:9" x14ac:dyDescent="0.25">
      <c r="A885" s="76" t="s">
        <v>613</v>
      </c>
      <c r="B885" s="76" t="s">
        <v>36</v>
      </c>
      <c r="C885" s="77">
        <v>40743</v>
      </c>
      <c r="D885" s="78">
        <v>41060</v>
      </c>
      <c r="E885" s="79">
        <v>8.9999999999999993E-3</v>
      </c>
      <c r="F885" s="80">
        <v>44706</v>
      </c>
      <c r="G885" s="81"/>
      <c r="H885" s="80">
        <v>12055</v>
      </c>
      <c r="I885" s="79">
        <f>H885/F885</f>
        <v>0.26965060618261533</v>
      </c>
    </row>
    <row r="886" spans="1:9" x14ac:dyDescent="0.25">
      <c r="A886" s="76" t="s">
        <v>613</v>
      </c>
      <c r="B886" s="76" t="s">
        <v>36</v>
      </c>
      <c r="C886" s="77">
        <v>40743</v>
      </c>
      <c r="D886" s="78">
        <v>41060</v>
      </c>
      <c r="E886" s="79">
        <v>8.9999999999999993E-3</v>
      </c>
      <c r="F886" s="80"/>
      <c r="G886" s="81">
        <v>2005</v>
      </c>
      <c r="H886" s="80">
        <v>387</v>
      </c>
      <c r="I886" s="79">
        <f>H886/G886</f>
        <v>0.19301745635910225</v>
      </c>
    </row>
    <row r="887" spans="1:9" x14ac:dyDescent="0.25">
      <c r="A887" s="76" t="s">
        <v>674</v>
      </c>
      <c r="B887" s="76" t="s">
        <v>36</v>
      </c>
      <c r="C887" s="77">
        <v>40961</v>
      </c>
      <c r="D887" s="78">
        <v>41274</v>
      </c>
      <c r="E887" s="79">
        <v>0.315</v>
      </c>
      <c r="F887" s="80">
        <v>247207.08</v>
      </c>
      <c r="G887" s="81"/>
      <c r="H887" s="80">
        <v>21390.83</v>
      </c>
      <c r="I887" s="79">
        <f>H887/F887</f>
        <v>8.6530005532204024E-2</v>
      </c>
    </row>
    <row r="888" spans="1:9" x14ac:dyDescent="0.25">
      <c r="A888" s="76" t="s">
        <v>478</v>
      </c>
      <c r="B888" s="76" t="s">
        <v>484</v>
      </c>
      <c r="C888" s="77">
        <v>40973</v>
      </c>
      <c r="D888" s="78">
        <v>41337</v>
      </c>
      <c r="E888" s="79">
        <v>0.13500000000000001</v>
      </c>
      <c r="F888" s="80">
        <v>1252566.01</v>
      </c>
      <c r="G888" s="81"/>
      <c r="H888" s="80">
        <v>187884.92</v>
      </c>
      <c r="I888" s="79">
        <f>H888/F888</f>
        <v>0.1500000147696807</v>
      </c>
    </row>
    <row r="889" spans="1:9" x14ac:dyDescent="0.25">
      <c r="A889" s="76" t="s">
        <v>171</v>
      </c>
      <c r="B889" s="76" t="s">
        <v>186</v>
      </c>
      <c r="C889" s="77">
        <v>40766</v>
      </c>
      <c r="D889" s="78">
        <v>41090</v>
      </c>
      <c r="E889" s="79">
        <v>1.7999999999999999E-2</v>
      </c>
      <c r="F889" s="80">
        <v>39525</v>
      </c>
      <c r="G889" s="81"/>
      <c r="H889" s="80">
        <v>-5710</v>
      </c>
      <c r="I889" s="79">
        <f>H889/F889</f>
        <v>-0.14446552814674257</v>
      </c>
    </row>
    <row r="890" spans="1:9" x14ac:dyDescent="0.25">
      <c r="A890" s="76" t="s">
        <v>613</v>
      </c>
      <c r="B890" s="76" t="s">
        <v>186</v>
      </c>
      <c r="C890" s="77">
        <v>41038</v>
      </c>
      <c r="D890" s="78">
        <v>41305</v>
      </c>
      <c r="E890" s="79">
        <v>8.9999999999999993E-3</v>
      </c>
      <c r="F890" s="80"/>
      <c r="G890" s="81">
        <v>120</v>
      </c>
      <c r="H890" s="80">
        <v>2</v>
      </c>
      <c r="I890" s="79">
        <f>H890/G890</f>
        <v>1.6666666666666666E-2</v>
      </c>
    </row>
    <row r="891" spans="1:9" x14ac:dyDescent="0.25">
      <c r="A891" s="76" t="s">
        <v>613</v>
      </c>
      <c r="B891" s="76" t="s">
        <v>186</v>
      </c>
      <c r="C891" s="77">
        <v>41038</v>
      </c>
      <c r="D891" s="78">
        <v>41305</v>
      </c>
      <c r="E891" s="79">
        <v>8.9999999999999993E-3</v>
      </c>
      <c r="F891" s="80">
        <v>4012</v>
      </c>
      <c r="G891" s="81"/>
      <c r="H891" s="80">
        <v>-17130</v>
      </c>
      <c r="I891" s="79">
        <f>H891/F891</f>
        <v>-4.2696909272183445</v>
      </c>
    </row>
    <row r="892" spans="1:9" x14ac:dyDescent="0.25">
      <c r="A892" s="76" t="s">
        <v>674</v>
      </c>
      <c r="B892" s="76" t="s">
        <v>680</v>
      </c>
      <c r="C892" s="77">
        <v>41086</v>
      </c>
      <c r="D892" s="78">
        <v>41274</v>
      </c>
      <c r="E892" s="79">
        <v>0.32219999999999999</v>
      </c>
      <c r="F892" s="80"/>
      <c r="G892" s="81">
        <v>330</v>
      </c>
      <c r="H892" s="80">
        <v>292.75</v>
      </c>
      <c r="I892" s="79">
        <f>H892/G892</f>
        <v>0.88712121212121209</v>
      </c>
    </row>
    <row r="893" spans="1:9" x14ac:dyDescent="0.25">
      <c r="A893" s="76" t="s">
        <v>674</v>
      </c>
      <c r="B893" s="76" t="s">
        <v>680</v>
      </c>
      <c r="C893" s="77">
        <v>41086</v>
      </c>
      <c r="D893" s="78">
        <v>41274</v>
      </c>
      <c r="E893" s="79">
        <v>0.32219999999999999</v>
      </c>
      <c r="F893" s="80">
        <v>7921</v>
      </c>
      <c r="G893" s="81"/>
      <c r="H893" s="80">
        <v>-1986.48</v>
      </c>
      <c r="I893" s="79">
        <f>H893/F893</f>
        <v>-0.25078651685393261</v>
      </c>
    </row>
    <row r="894" spans="1:9" x14ac:dyDescent="0.25">
      <c r="A894" s="70" t="s">
        <v>130</v>
      </c>
      <c r="B894" s="70" t="s">
        <v>133</v>
      </c>
      <c r="C894" s="95">
        <v>40794</v>
      </c>
      <c r="D894" s="96">
        <v>41159</v>
      </c>
      <c r="E894" s="97">
        <v>0.108</v>
      </c>
      <c r="F894" s="98">
        <v>840914.65</v>
      </c>
      <c r="G894" s="99"/>
      <c r="H894" s="98">
        <v>102005.36</v>
      </c>
      <c r="I894" s="73">
        <v>0.12130286944103066</v>
      </c>
    </row>
    <row r="895" spans="1:9" x14ac:dyDescent="0.25">
      <c r="A895" s="70" t="s">
        <v>60</v>
      </c>
      <c r="B895" s="70" t="s">
        <v>64</v>
      </c>
      <c r="C895" s="71">
        <v>40817</v>
      </c>
      <c r="D895" s="72">
        <v>41182</v>
      </c>
      <c r="E895" s="73">
        <v>0.09</v>
      </c>
      <c r="F895" s="74">
        <v>232077.03</v>
      </c>
      <c r="G895" s="75"/>
      <c r="H895" s="74">
        <v>25359.06</v>
      </c>
      <c r="I895" s="73">
        <v>0.10927001263330542</v>
      </c>
    </row>
    <row r="896" spans="1:9" x14ac:dyDescent="0.25">
      <c r="A896" s="70" t="s">
        <v>60</v>
      </c>
      <c r="B896" s="70" t="s">
        <v>64</v>
      </c>
      <c r="C896" s="71">
        <v>40817</v>
      </c>
      <c r="D896" s="72">
        <v>41182</v>
      </c>
      <c r="E896" s="73">
        <v>0.09</v>
      </c>
      <c r="F896" s="74"/>
      <c r="G896" s="75">
        <v>9604.15</v>
      </c>
      <c r="H896" s="74">
        <v>1049.45</v>
      </c>
      <c r="I896" s="73">
        <v>0.10927047161903969</v>
      </c>
    </row>
    <row r="897" spans="1:9" x14ac:dyDescent="0.25">
      <c r="A897" s="76" t="s">
        <v>270</v>
      </c>
      <c r="B897" s="76" t="s">
        <v>278</v>
      </c>
      <c r="C897" s="77">
        <v>40962</v>
      </c>
      <c r="D897" s="78">
        <v>41327</v>
      </c>
      <c r="E897" s="79">
        <v>8.9999999999999993E-3</v>
      </c>
      <c r="F897" s="80">
        <v>576972.06000000006</v>
      </c>
      <c r="G897" s="81"/>
      <c r="H897" s="80">
        <v>115394.41</v>
      </c>
      <c r="I897" s="79">
        <f>H897/F897</f>
        <v>0.19999999653362763</v>
      </c>
    </row>
    <row r="898" spans="1:9" x14ac:dyDescent="0.25">
      <c r="A898" s="76" t="s">
        <v>270</v>
      </c>
      <c r="B898" s="76" t="s">
        <v>271</v>
      </c>
      <c r="C898" s="77">
        <v>40597</v>
      </c>
      <c r="D898" s="78">
        <v>40961</v>
      </c>
      <c r="E898" s="79">
        <v>0.01</v>
      </c>
      <c r="F898" s="80">
        <v>585240.25</v>
      </c>
      <c r="G898" s="81"/>
      <c r="H898" s="80">
        <v>117048.05</v>
      </c>
      <c r="I898" s="79">
        <f>H898/F898</f>
        <v>0.2</v>
      </c>
    </row>
    <row r="899" spans="1:9" x14ac:dyDescent="0.25">
      <c r="A899" s="76" t="s">
        <v>270</v>
      </c>
      <c r="B899" s="76" t="s">
        <v>277</v>
      </c>
      <c r="C899" s="77">
        <v>40909</v>
      </c>
      <c r="D899" s="78">
        <v>41274</v>
      </c>
      <c r="E899" s="79">
        <v>0.09</v>
      </c>
      <c r="F899" s="80">
        <v>2532457.46</v>
      </c>
      <c r="G899" s="81"/>
      <c r="H899" s="80">
        <v>1107399.33</v>
      </c>
      <c r="I899" s="79">
        <f>H899/F899</f>
        <v>0.43728250029518761</v>
      </c>
    </row>
    <row r="900" spans="1:9" x14ac:dyDescent="0.25">
      <c r="A900" s="76" t="s">
        <v>367</v>
      </c>
      <c r="B900" s="76" t="s">
        <v>370</v>
      </c>
      <c r="C900" s="77">
        <v>41131</v>
      </c>
      <c r="D900" s="78">
        <v>41495</v>
      </c>
      <c r="E900" s="79">
        <v>0.15</v>
      </c>
      <c r="F900" s="80">
        <v>37755</v>
      </c>
      <c r="G900" s="81"/>
      <c r="H900" s="80">
        <v>5663.25</v>
      </c>
      <c r="I900" s="79">
        <f>H900/F900</f>
        <v>0.15</v>
      </c>
    </row>
    <row r="901" spans="1:9" x14ac:dyDescent="0.25">
      <c r="A901" s="70" t="s">
        <v>38</v>
      </c>
      <c r="B901" s="70" t="s">
        <v>54</v>
      </c>
      <c r="C901" s="71">
        <v>40909</v>
      </c>
      <c r="D901" s="72">
        <v>41274</v>
      </c>
      <c r="E901" s="73">
        <v>0.45</v>
      </c>
      <c r="F901" s="74"/>
      <c r="G901" s="75">
        <v>30839.98</v>
      </c>
      <c r="H901" s="74">
        <v>15419.99</v>
      </c>
      <c r="I901" s="73">
        <v>0.5</v>
      </c>
    </row>
    <row r="902" spans="1:9" x14ac:dyDescent="0.25">
      <c r="A902" s="76" t="s">
        <v>367</v>
      </c>
      <c r="B902" s="76" t="s">
        <v>54</v>
      </c>
      <c r="C902" s="77">
        <v>40695</v>
      </c>
      <c r="D902" s="78">
        <v>40966</v>
      </c>
      <c r="E902" s="79">
        <v>0.15</v>
      </c>
      <c r="F902" s="80">
        <v>285683.40000000002</v>
      </c>
      <c r="G902" s="81"/>
      <c r="H902" s="80">
        <v>42852.51</v>
      </c>
      <c r="I902" s="79">
        <f>H902/F902</f>
        <v>0.15</v>
      </c>
    </row>
    <row r="903" spans="1:9" x14ac:dyDescent="0.25">
      <c r="A903" s="76" t="s">
        <v>367</v>
      </c>
      <c r="B903" s="76" t="s">
        <v>54</v>
      </c>
      <c r="C903" s="77">
        <v>40967</v>
      </c>
      <c r="D903" s="78">
        <v>41117</v>
      </c>
      <c r="E903" s="79">
        <v>0.15</v>
      </c>
      <c r="F903" s="80">
        <v>65431.5</v>
      </c>
      <c r="G903" s="81"/>
      <c r="H903" s="80">
        <v>9814.73</v>
      </c>
      <c r="I903" s="79">
        <f>H903/F903</f>
        <v>0.1500000764157936</v>
      </c>
    </row>
    <row r="904" spans="1:9" x14ac:dyDescent="0.25">
      <c r="A904" s="76" t="s">
        <v>504</v>
      </c>
      <c r="B904" s="76" t="s">
        <v>54</v>
      </c>
      <c r="C904" s="77">
        <v>40899</v>
      </c>
      <c r="D904" s="78">
        <v>41197</v>
      </c>
      <c r="E904" s="79">
        <v>0.15</v>
      </c>
      <c r="F904" s="80"/>
      <c r="G904" s="81">
        <v>10262</v>
      </c>
      <c r="H904" s="80">
        <v>1529.3</v>
      </c>
      <c r="I904" s="79">
        <f>H904/G904</f>
        <v>0.14902553108555835</v>
      </c>
    </row>
    <row r="905" spans="1:9" x14ac:dyDescent="0.25">
      <c r="A905" s="70" t="s">
        <v>113</v>
      </c>
      <c r="B905" s="70" t="s">
        <v>114</v>
      </c>
      <c r="C905" s="71">
        <v>40566</v>
      </c>
      <c r="D905" s="72">
        <v>40930</v>
      </c>
      <c r="E905" s="73">
        <v>1.35E-2</v>
      </c>
      <c r="F905" s="74">
        <v>0</v>
      </c>
      <c r="G905" s="75"/>
      <c r="H905" s="74">
        <v>0</v>
      </c>
      <c r="I905" s="73">
        <v>0</v>
      </c>
    </row>
    <row r="906" spans="1:9" x14ac:dyDescent="0.25">
      <c r="A906" s="70" t="s">
        <v>113</v>
      </c>
      <c r="B906" s="70" t="s">
        <v>114</v>
      </c>
      <c r="C906" s="71">
        <v>40566</v>
      </c>
      <c r="D906" s="72">
        <v>40930</v>
      </c>
      <c r="E906" s="73">
        <v>1.35E-2</v>
      </c>
      <c r="F906" s="74"/>
      <c r="G906" s="75">
        <v>0</v>
      </c>
      <c r="H906" s="74">
        <v>0</v>
      </c>
      <c r="I906" s="73">
        <v>0</v>
      </c>
    </row>
    <row r="907" spans="1:9" x14ac:dyDescent="0.25">
      <c r="A907" s="76" t="s">
        <v>317</v>
      </c>
      <c r="B907" s="76" t="s">
        <v>334</v>
      </c>
      <c r="C907" s="77">
        <v>40827</v>
      </c>
      <c r="D907" s="78">
        <v>41152</v>
      </c>
      <c r="E907" s="79">
        <v>0</v>
      </c>
      <c r="F907" s="80">
        <v>176295.8</v>
      </c>
      <c r="G907" s="81"/>
      <c r="H907" s="80">
        <v>36589.800000000003</v>
      </c>
      <c r="I907" s="79">
        <f>H907/F907</f>
        <v>0.20754776914708123</v>
      </c>
    </row>
    <row r="908" spans="1:9" x14ac:dyDescent="0.25">
      <c r="A908" s="76" t="s">
        <v>317</v>
      </c>
      <c r="B908" s="76" t="s">
        <v>334</v>
      </c>
      <c r="C908" s="77">
        <v>41153</v>
      </c>
      <c r="D908" s="78">
        <v>41517</v>
      </c>
      <c r="E908" s="79">
        <v>8.9999999999999998E-4</v>
      </c>
      <c r="F908" s="80">
        <v>30784</v>
      </c>
      <c r="G908" s="81"/>
      <c r="H908" s="80">
        <v>7132</v>
      </c>
      <c r="I908" s="79">
        <f>H908/F908</f>
        <v>0.23167879417879417</v>
      </c>
    </row>
    <row r="909" spans="1:9" x14ac:dyDescent="0.25">
      <c r="A909" s="76" t="s">
        <v>317</v>
      </c>
      <c r="B909" s="76" t="s">
        <v>334</v>
      </c>
      <c r="C909" s="77">
        <v>40827</v>
      </c>
      <c r="D909" s="78">
        <v>41152</v>
      </c>
      <c r="E909" s="79">
        <v>0</v>
      </c>
      <c r="F909" s="80"/>
      <c r="G909" s="81">
        <v>6034</v>
      </c>
      <c r="H909" s="80">
        <v>1252.3399999999999</v>
      </c>
      <c r="I909" s="79">
        <f>H909/G909</f>
        <v>0.20754723235001657</v>
      </c>
    </row>
    <row r="910" spans="1:9" x14ac:dyDescent="0.25">
      <c r="A910" s="76" t="s">
        <v>317</v>
      </c>
      <c r="B910" s="76" t="s">
        <v>334</v>
      </c>
      <c r="C910" s="77">
        <v>41153</v>
      </c>
      <c r="D910" s="78">
        <v>41517</v>
      </c>
      <c r="E910" s="79">
        <v>8.9999999999999998E-4</v>
      </c>
      <c r="F910" s="80"/>
      <c r="G910" s="81">
        <v>484</v>
      </c>
      <c r="H910" s="80">
        <v>112.13</v>
      </c>
      <c r="I910" s="79">
        <f>H910/G910</f>
        <v>0.23167355371900825</v>
      </c>
    </row>
    <row r="911" spans="1:9" x14ac:dyDescent="0.25">
      <c r="A911" s="76" t="s">
        <v>578</v>
      </c>
      <c r="B911" s="76" t="s">
        <v>581</v>
      </c>
      <c r="C911" s="77">
        <v>40651</v>
      </c>
      <c r="D911" s="78">
        <v>40909</v>
      </c>
      <c r="E911" s="79">
        <v>0</v>
      </c>
      <c r="F911" s="80">
        <v>18807</v>
      </c>
      <c r="G911" s="81"/>
      <c r="H911" s="80">
        <v>9653.76</v>
      </c>
      <c r="I911" s="79">
        <f>H911/F911</f>
        <v>0.5133067474876376</v>
      </c>
    </row>
    <row r="912" spans="1:9" x14ac:dyDescent="0.25">
      <c r="A912" s="70" t="s">
        <v>56</v>
      </c>
      <c r="B912" s="70" t="s">
        <v>57</v>
      </c>
      <c r="C912" s="71">
        <v>40756</v>
      </c>
      <c r="D912" s="72">
        <v>41121</v>
      </c>
      <c r="E912" s="73">
        <v>8.9999999999999993E-3</v>
      </c>
      <c r="F912" s="74">
        <v>66550</v>
      </c>
      <c r="G912" s="75"/>
      <c r="H912" s="74">
        <v>49681.4</v>
      </c>
      <c r="I912" s="73">
        <f>H912/F912</f>
        <v>0.74652742299023289</v>
      </c>
    </row>
    <row r="913" spans="1:9" x14ac:dyDescent="0.25">
      <c r="A913" s="76" t="s">
        <v>317</v>
      </c>
      <c r="B913" s="76" t="s">
        <v>331</v>
      </c>
      <c r="C913" s="77">
        <v>41179</v>
      </c>
      <c r="D913" s="78">
        <v>41517</v>
      </c>
      <c r="E913" s="79">
        <v>1.7999999999999999E-2</v>
      </c>
      <c r="F913" s="80">
        <v>1361057</v>
      </c>
      <c r="G913" s="81"/>
      <c r="H913" s="80">
        <v>653164.43999999994</v>
      </c>
      <c r="I913" s="79">
        <f>H913/F913</f>
        <v>0.47989499337647135</v>
      </c>
    </row>
    <row r="914" spans="1:9" x14ac:dyDescent="0.25">
      <c r="A914" s="76" t="s">
        <v>315</v>
      </c>
      <c r="B914" s="76" t="s">
        <v>331</v>
      </c>
      <c r="C914" s="77">
        <v>40794</v>
      </c>
      <c r="D914" s="78">
        <v>41152</v>
      </c>
      <c r="E914" s="79">
        <v>1.7999999999999999E-2</v>
      </c>
      <c r="F914" s="80">
        <v>1342198</v>
      </c>
      <c r="G914" s="81"/>
      <c r="H914" s="80">
        <v>607268.4</v>
      </c>
      <c r="I914" s="79">
        <f>H914/F914</f>
        <v>0.45244323117751628</v>
      </c>
    </row>
    <row r="915" spans="1:9" x14ac:dyDescent="0.25">
      <c r="A915" s="76" t="s">
        <v>317</v>
      </c>
      <c r="B915" s="76" t="s">
        <v>331</v>
      </c>
      <c r="C915" s="77">
        <v>41179</v>
      </c>
      <c r="D915" s="78">
        <v>41517</v>
      </c>
      <c r="E915" s="79">
        <v>1.7999999999999999E-2</v>
      </c>
      <c r="F915" s="80"/>
      <c r="G915" s="81">
        <v>73043</v>
      </c>
      <c r="H915" s="80">
        <v>35052.97</v>
      </c>
      <c r="I915" s="79">
        <f>H915/G915</f>
        <v>0.47989499336007557</v>
      </c>
    </row>
    <row r="916" spans="1:9" x14ac:dyDescent="0.25">
      <c r="A916" s="76" t="s">
        <v>315</v>
      </c>
      <c r="B916" s="76" t="s">
        <v>331</v>
      </c>
      <c r="C916" s="77">
        <v>40794</v>
      </c>
      <c r="D916" s="78">
        <v>41152</v>
      </c>
      <c r="E916" s="79">
        <v>1.7999999999999999E-2</v>
      </c>
      <c r="F916" s="80"/>
      <c r="G916" s="81">
        <v>74995</v>
      </c>
      <c r="H916" s="80">
        <v>33930.980000000003</v>
      </c>
      <c r="I916" s="79">
        <f>H916/G916</f>
        <v>0.45244322954863664</v>
      </c>
    </row>
    <row r="917" spans="1:9" x14ac:dyDescent="0.25">
      <c r="A917" s="76" t="s">
        <v>531</v>
      </c>
      <c r="B917" s="76" t="s">
        <v>543</v>
      </c>
      <c r="C917" s="77">
        <v>40848</v>
      </c>
      <c r="D917" s="78">
        <v>41213</v>
      </c>
      <c r="E917" s="79">
        <v>8.9999999999999993E-3</v>
      </c>
      <c r="F917" s="80">
        <v>143783</v>
      </c>
      <c r="G917" s="81"/>
      <c r="H917" s="80">
        <v>68207</v>
      </c>
      <c r="I917" s="79">
        <f>H917/F917</f>
        <v>0.474374578357664</v>
      </c>
    </row>
    <row r="918" spans="1:9" x14ac:dyDescent="0.25">
      <c r="A918" s="76" t="s">
        <v>531</v>
      </c>
      <c r="B918" s="76" t="s">
        <v>543</v>
      </c>
      <c r="C918" s="77">
        <v>40848</v>
      </c>
      <c r="D918" s="78">
        <v>41213</v>
      </c>
      <c r="E918" s="79">
        <v>8.9999999999999993E-3</v>
      </c>
      <c r="F918" s="80"/>
      <c r="G918" s="81">
        <v>4150</v>
      </c>
      <c r="H918" s="80">
        <v>1950</v>
      </c>
      <c r="I918" s="79">
        <f>H918/G918</f>
        <v>0.46987951807228917</v>
      </c>
    </row>
    <row r="919" spans="1:9" x14ac:dyDescent="0.25">
      <c r="A919" s="76" t="s">
        <v>478</v>
      </c>
      <c r="B919" s="76" t="s">
        <v>482</v>
      </c>
      <c r="C919" s="77">
        <v>40918</v>
      </c>
      <c r="D919" s="78">
        <v>41274</v>
      </c>
      <c r="E919" s="79">
        <v>0.15</v>
      </c>
      <c r="F919" s="80">
        <v>158308.39000000001</v>
      </c>
      <c r="G919" s="81"/>
      <c r="H919" s="80">
        <v>23746.25</v>
      </c>
      <c r="I919" s="79">
        <f>H919/F919</f>
        <v>0.14999994630733088</v>
      </c>
    </row>
    <row r="920" spans="1:9" x14ac:dyDescent="0.25">
      <c r="A920" s="76" t="s">
        <v>674</v>
      </c>
      <c r="B920" s="76" t="s">
        <v>676</v>
      </c>
      <c r="C920" s="77">
        <v>40920</v>
      </c>
      <c r="D920" s="78">
        <v>41274</v>
      </c>
      <c r="E920" s="79">
        <v>0.23849999999999999</v>
      </c>
      <c r="F920" s="80">
        <v>270375.78999999998</v>
      </c>
      <c r="G920" s="81"/>
      <c r="H920" s="80">
        <v>91405.08</v>
      </c>
      <c r="I920" s="79">
        <f>H920/F920</f>
        <v>0.33806680694303293</v>
      </c>
    </row>
    <row r="921" spans="1:9" x14ac:dyDescent="0.25">
      <c r="A921" s="76" t="s">
        <v>674</v>
      </c>
      <c r="B921" s="76" t="s">
        <v>676</v>
      </c>
      <c r="C921" s="77">
        <v>40920</v>
      </c>
      <c r="D921" s="78">
        <v>41274</v>
      </c>
      <c r="E921" s="79">
        <v>0.23849999999999999</v>
      </c>
      <c r="F921" s="80"/>
      <c r="G921" s="81">
        <v>8519</v>
      </c>
      <c r="H921" s="80">
        <v>2858.16</v>
      </c>
      <c r="I921" s="79">
        <f>H921/G921</f>
        <v>0.33550416715576942</v>
      </c>
    </row>
    <row r="922" spans="1:9" x14ac:dyDescent="0.25">
      <c r="A922" s="70" t="s">
        <v>146</v>
      </c>
      <c r="B922" s="70" t="s">
        <v>149</v>
      </c>
      <c r="C922" s="71">
        <v>40575</v>
      </c>
      <c r="D922" s="72">
        <v>40939</v>
      </c>
      <c r="E922" s="101">
        <v>4.4999999999999999E-4</v>
      </c>
      <c r="F922" s="74">
        <v>119726.91</v>
      </c>
      <c r="G922" s="75"/>
      <c r="H922" s="74">
        <v>54097.599999999999</v>
      </c>
      <c r="I922" s="73">
        <v>0.45184161188157279</v>
      </c>
    </row>
    <row r="923" spans="1:9" x14ac:dyDescent="0.25">
      <c r="A923" s="70" t="s">
        <v>146</v>
      </c>
      <c r="B923" s="70" t="s">
        <v>149</v>
      </c>
      <c r="C923" s="71">
        <v>40940</v>
      </c>
      <c r="D923" s="72">
        <v>41305</v>
      </c>
      <c r="E923" s="101">
        <v>4.4999999999999999E-4</v>
      </c>
      <c r="F923" s="74">
        <v>106771.18</v>
      </c>
      <c r="G923" s="75"/>
      <c r="H923" s="74">
        <v>41769.97</v>
      </c>
      <c r="I923" s="73">
        <v>0.39121015614887844</v>
      </c>
    </row>
    <row r="924" spans="1:9" x14ac:dyDescent="0.25">
      <c r="A924" s="76" t="s">
        <v>531</v>
      </c>
      <c r="B924" s="76" t="s">
        <v>532</v>
      </c>
      <c r="C924" s="77">
        <v>40948</v>
      </c>
      <c r="D924" s="78">
        <v>41305</v>
      </c>
      <c r="E924" s="79">
        <v>8.9999999999999993E-3</v>
      </c>
      <c r="F924" s="80"/>
      <c r="G924" s="81">
        <v>5001</v>
      </c>
      <c r="H924" s="80">
        <v>682</v>
      </c>
      <c r="I924" s="79">
        <f>H924/G924</f>
        <v>0.13637272545490903</v>
      </c>
    </row>
    <row r="925" spans="1:9" x14ac:dyDescent="0.25">
      <c r="A925" s="76" t="s">
        <v>531</v>
      </c>
      <c r="B925" s="76" t="s">
        <v>532</v>
      </c>
      <c r="C925" s="77">
        <v>40708</v>
      </c>
      <c r="D925" s="78">
        <v>40939</v>
      </c>
      <c r="E925" s="79">
        <v>8.9999999999999993E-3</v>
      </c>
      <c r="F925" s="80"/>
      <c r="G925" s="81">
        <v>4618</v>
      </c>
      <c r="H925" s="80">
        <v>-1611</v>
      </c>
      <c r="I925" s="79">
        <f>H925/G925</f>
        <v>-0.34885231702035513</v>
      </c>
    </row>
    <row r="926" spans="1:9" x14ac:dyDescent="0.25">
      <c r="A926" s="76" t="s">
        <v>531</v>
      </c>
      <c r="B926" s="76" t="s">
        <v>532</v>
      </c>
      <c r="C926" s="77">
        <v>40708</v>
      </c>
      <c r="D926" s="78">
        <v>40939</v>
      </c>
      <c r="E926" s="79">
        <v>8.9999999999999993E-3</v>
      </c>
      <c r="F926" s="80">
        <v>119002</v>
      </c>
      <c r="G926" s="81"/>
      <c r="H926" s="80">
        <v>-2135</v>
      </c>
      <c r="I926" s="79">
        <f>H926/F926</f>
        <v>-1.7940874943278264E-2</v>
      </c>
    </row>
    <row r="927" spans="1:9" x14ac:dyDescent="0.25">
      <c r="A927" s="76" t="s">
        <v>531</v>
      </c>
      <c r="B927" s="76" t="s">
        <v>532</v>
      </c>
      <c r="C927" s="77">
        <v>40948</v>
      </c>
      <c r="D927" s="78">
        <v>41305</v>
      </c>
      <c r="E927" s="79">
        <v>8.9999999999999993E-3</v>
      </c>
      <c r="F927" s="80">
        <v>97362</v>
      </c>
      <c r="G927" s="81"/>
      <c r="H927" s="80">
        <v>-5668</v>
      </c>
      <c r="I927" s="79">
        <f>H927/F927</f>
        <v>-5.821573098334052E-2</v>
      </c>
    </row>
    <row r="928" spans="1:9" x14ac:dyDescent="0.25">
      <c r="A928" s="76" t="s">
        <v>613</v>
      </c>
      <c r="B928" s="76" t="s">
        <v>532</v>
      </c>
      <c r="C928" s="77">
        <v>40956</v>
      </c>
      <c r="D928" s="78">
        <v>41305</v>
      </c>
      <c r="E928" s="79">
        <v>8.9999999999999993E-3</v>
      </c>
      <c r="F928" s="80"/>
      <c r="G928" s="81">
        <v>2004</v>
      </c>
      <c r="H928" s="80">
        <v>26</v>
      </c>
      <c r="I928" s="79">
        <f>H928/G928</f>
        <v>1.2974051896207584E-2</v>
      </c>
    </row>
    <row r="929" spans="1:9" x14ac:dyDescent="0.25">
      <c r="A929" s="76" t="s">
        <v>613</v>
      </c>
      <c r="B929" s="76" t="s">
        <v>532</v>
      </c>
      <c r="C929" s="77">
        <v>40956</v>
      </c>
      <c r="D929" s="78">
        <v>41305</v>
      </c>
      <c r="E929" s="79">
        <v>8.9999999999999993E-3</v>
      </c>
      <c r="F929" s="80">
        <v>30489</v>
      </c>
      <c r="G929" s="81"/>
      <c r="H929" s="80">
        <v>-2502</v>
      </c>
      <c r="I929" s="79">
        <f>H929/F929</f>
        <v>-8.2062383154580337E-2</v>
      </c>
    </row>
    <row r="930" spans="1:9" x14ac:dyDescent="0.25">
      <c r="A930" s="76" t="s">
        <v>281</v>
      </c>
      <c r="B930" s="76" t="s">
        <v>286</v>
      </c>
      <c r="C930" s="77">
        <v>40709</v>
      </c>
      <c r="D930" s="78">
        <v>41060</v>
      </c>
      <c r="E930" s="79">
        <v>0.54</v>
      </c>
      <c r="F930" s="80">
        <v>7837</v>
      </c>
      <c r="G930" s="81"/>
      <c r="H930" s="80">
        <v>5191.6400000000003</v>
      </c>
      <c r="I930" s="79">
        <f>H930/F930</f>
        <v>0.66245246905703714</v>
      </c>
    </row>
    <row r="931" spans="1:9" x14ac:dyDescent="0.25">
      <c r="A931" s="76" t="s">
        <v>281</v>
      </c>
      <c r="B931" s="76" t="s">
        <v>288</v>
      </c>
      <c r="C931" s="77">
        <v>41061</v>
      </c>
      <c r="D931" s="78">
        <v>41274</v>
      </c>
      <c r="E931" s="79">
        <v>0.54</v>
      </c>
      <c r="F931" s="80">
        <v>2395</v>
      </c>
      <c r="G931" s="81"/>
      <c r="H931" s="80">
        <v>1828.42</v>
      </c>
      <c r="I931" s="79">
        <f>IF(H931="","",(IF(C931&lt;&gt;"",H931/C931,H931/D931)))</f>
        <v>4.4529358758919661E-2</v>
      </c>
    </row>
    <row r="932" spans="1:9" x14ac:dyDescent="0.25">
      <c r="A932" s="76" t="s">
        <v>317</v>
      </c>
      <c r="B932" s="76" t="s">
        <v>355</v>
      </c>
      <c r="C932" s="77">
        <v>41073</v>
      </c>
      <c r="D932" s="78">
        <v>41348</v>
      </c>
      <c r="E932" s="79">
        <v>0.315</v>
      </c>
      <c r="F932" s="80">
        <v>10632044.24</v>
      </c>
      <c r="G932" s="81"/>
      <c r="H932" s="80">
        <v>3979085.47</v>
      </c>
      <c r="I932" s="79">
        <f>H932/F932</f>
        <v>0.37425403621157244</v>
      </c>
    </row>
    <row r="933" spans="1:9" x14ac:dyDescent="0.25">
      <c r="A933" s="76" t="s">
        <v>317</v>
      </c>
      <c r="B933" s="76" t="s">
        <v>355</v>
      </c>
      <c r="C933" s="77">
        <v>41073</v>
      </c>
      <c r="D933" s="78">
        <v>41348</v>
      </c>
      <c r="E933" s="79">
        <v>0.315</v>
      </c>
      <c r="F933" s="80"/>
      <c r="G933" s="81">
        <v>489505.95</v>
      </c>
      <c r="H933" s="80">
        <v>183199.58</v>
      </c>
      <c r="I933" s="79">
        <f>H933/G933</f>
        <v>0.37425404124301243</v>
      </c>
    </row>
    <row r="934" spans="1:9" x14ac:dyDescent="0.25">
      <c r="A934" s="70" t="s">
        <v>116</v>
      </c>
      <c r="B934" s="70" t="s">
        <v>117</v>
      </c>
      <c r="C934" s="71">
        <v>40952</v>
      </c>
      <c r="D934" s="72">
        <v>41317</v>
      </c>
      <c r="E934" s="73">
        <v>8.9999999999999993E-3</v>
      </c>
      <c r="F934" s="74">
        <v>0</v>
      </c>
      <c r="G934" s="75"/>
      <c r="H934" s="74">
        <v>0</v>
      </c>
      <c r="I934" s="73">
        <v>0</v>
      </c>
    </row>
    <row r="935" spans="1:9" x14ac:dyDescent="0.25">
      <c r="A935" s="76" t="s">
        <v>317</v>
      </c>
      <c r="B935" s="76" t="s">
        <v>117</v>
      </c>
      <c r="C935" s="77">
        <v>40681</v>
      </c>
      <c r="D935" s="78">
        <v>41029</v>
      </c>
      <c r="E935" s="79">
        <v>0</v>
      </c>
      <c r="F935" s="80">
        <v>1343923.69</v>
      </c>
      <c r="G935" s="81"/>
      <c r="H935" s="80">
        <v>672771.78</v>
      </c>
      <c r="I935" s="79">
        <f>H935/F935</f>
        <v>0.50060266442657919</v>
      </c>
    </row>
    <row r="936" spans="1:9" x14ac:dyDescent="0.25">
      <c r="A936" s="76" t="s">
        <v>317</v>
      </c>
      <c r="B936" s="76" t="s">
        <v>117</v>
      </c>
      <c r="C936" s="77">
        <v>40681</v>
      </c>
      <c r="D936" s="78">
        <v>41029</v>
      </c>
      <c r="E936" s="79">
        <v>0</v>
      </c>
      <c r="F936" s="80"/>
      <c r="G936" s="81">
        <v>111369.59</v>
      </c>
      <c r="H936" s="80">
        <v>55751.91</v>
      </c>
      <c r="I936" s="79">
        <f>H936/G936</f>
        <v>0.50060263308861963</v>
      </c>
    </row>
    <row r="937" spans="1:9" x14ac:dyDescent="0.25">
      <c r="A937" s="76" t="s">
        <v>449</v>
      </c>
      <c r="B937" s="76" t="s">
        <v>117</v>
      </c>
      <c r="C937" s="77">
        <v>40603</v>
      </c>
      <c r="D937" s="78">
        <v>40967</v>
      </c>
      <c r="E937" s="79">
        <v>0</v>
      </c>
      <c r="F937" s="80">
        <v>370915</v>
      </c>
      <c r="G937" s="81"/>
      <c r="H937" s="80">
        <v>170289</v>
      </c>
      <c r="I937" s="79">
        <f>H937/F937</f>
        <v>0.45910518582424542</v>
      </c>
    </row>
    <row r="938" spans="1:9" x14ac:dyDescent="0.25">
      <c r="A938" s="76" t="s">
        <v>449</v>
      </c>
      <c r="B938" s="76" t="s">
        <v>117</v>
      </c>
      <c r="C938" s="77">
        <v>40968</v>
      </c>
      <c r="D938" s="78">
        <v>41333</v>
      </c>
      <c r="E938" s="79">
        <v>0</v>
      </c>
      <c r="F938" s="80">
        <v>98495</v>
      </c>
      <c r="G938" s="81"/>
      <c r="H938" s="80">
        <v>12140</v>
      </c>
      <c r="I938" s="79">
        <f>H938/F938</f>
        <v>0.12325498756282045</v>
      </c>
    </row>
    <row r="939" spans="1:9" x14ac:dyDescent="0.25">
      <c r="A939" s="76" t="s">
        <v>643</v>
      </c>
      <c r="B939" s="76" t="s">
        <v>117</v>
      </c>
      <c r="C939" s="77">
        <v>40585</v>
      </c>
      <c r="D939" s="78">
        <v>40949</v>
      </c>
      <c r="E939" s="79">
        <v>4.4999999999999997E-3</v>
      </c>
      <c r="F939" s="80">
        <v>419020.47</v>
      </c>
      <c r="G939" s="81"/>
      <c r="H939" s="80">
        <v>190859.47</v>
      </c>
      <c r="I939" s="79">
        <f>H939/F939</f>
        <v>0.45548960889667278</v>
      </c>
    </row>
    <row r="940" spans="1:9" x14ac:dyDescent="0.25">
      <c r="A940" s="76" t="s">
        <v>643</v>
      </c>
      <c r="B940" s="76" t="s">
        <v>117</v>
      </c>
      <c r="C940" s="77">
        <v>40950</v>
      </c>
      <c r="D940" s="78">
        <v>41274</v>
      </c>
      <c r="E940" s="79">
        <v>4.4999999999999997E-3</v>
      </c>
      <c r="F940" s="80">
        <v>45626</v>
      </c>
      <c r="G940" s="81"/>
      <c r="H940" s="80">
        <v>28970</v>
      </c>
      <c r="I940" s="79">
        <f>H940/F940</f>
        <v>0.63494498750712314</v>
      </c>
    </row>
    <row r="941" spans="1:9" x14ac:dyDescent="0.25">
      <c r="A941" s="76" t="s">
        <v>643</v>
      </c>
      <c r="B941" s="76" t="s">
        <v>117</v>
      </c>
      <c r="C941" s="77">
        <v>40585</v>
      </c>
      <c r="D941" s="78">
        <v>40949</v>
      </c>
      <c r="E941" s="79">
        <v>4.4999999999999997E-3</v>
      </c>
      <c r="F941" s="80"/>
      <c r="G941" s="81">
        <v>34994.19</v>
      </c>
      <c r="H941" s="80">
        <v>15829.19</v>
      </c>
      <c r="I941" s="79">
        <f>H941/G941</f>
        <v>0.45233765948004512</v>
      </c>
    </row>
    <row r="942" spans="1:9" x14ac:dyDescent="0.25">
      <c r="A942" s="76" t="s">
        <v>643</v>
      </c>
      <c r="B942" s="76" t="s">
        <v>117</v>
      </c>
      <c r="C942" s="77">
        <v>40950</v>
      </c>
      <c r="D942" s="78">
        <v>41274</v>
      </c>
      <c r="E942" s="79">
        <v>4.4999999999999997E-3</v>
      </c>
      <c r="F942" s="80"/>
      <c r="G942" s="81">
        <v>2970</v>
      </c>
      <c r="H942" s="80">
        <v>1635</v>
      </c>
      <c r="I942" s="79">
        <f>H942/G942</f>
        <v>0.5505050505050505</v>
      </c>
    </row>
    <row r="943" spans="1:9" x14ac:dyDescent="0.25">
      <c r="A943" s="76" t="s">
        <v>171</v>
      </c>
      <c r="B943" s="76" t="s">
        <v>212</v>
      </c>
      <c r="C943" s="77">
        <v>40933</v>
      </c>
      <c r="D943" s="78">
        <v>41274</v>
      </c>
      <c r="E943" s="79">
        <v>1.7999999999999999E-2</v>
      </c>
      <c r="F943" s="80">
        <v>196371</v>
      </c>
      <c r="G943" s="81"/>
      <c r="H943" s="80">
        <v>71606</v>
      </c>
      <c r="I943" s="79">
        <f>H943/F943</f>
        <v>0.3646465109410249</v>
      </c>
    </row>
    <row r="944" spans="1:9" x14ac:dyDescent="0.25">
      <c r="A944" s="70" t="s">
        <v>60</v>
      </c>
      <c r="B944" s="70" t="s">
        <v>58</v>
      </c>
      <c r="C944" s="71">
        <v>40725</v>
      </c>
      <c r="D944" s="72">
        <v>41090</v>
      </c>
      <c r="E944" s="73">
        <v>0.11700000000000001</v>
      </c>
      <c r="F944" s="74">
        <v>295229.78999999998</v>
      </c>
      <c r="G944" s="75"/>
      <c r="H944" s="74">
        <v>58459.38</v>
      </c>
      <c r="I944" s="73">
        <v>0.19801314765694886</v>
      </c>
    </row>
    <row r="945" spans="1:9" x14ac:dyDescent="0.25">
      <c r="A945" s="70" t="s">
        <v>60</v>
      </c>
      <c r="B945" s="70" t="s">
        <v>58</v>
      </c>
      <c r="C945" s="71">
        <v>40725</v>
      </c>
      <c r="D945" s="72">
        <v>41090</v>
      </c>
      <c r="E945" s="73">
        <v>0.11700000000000001</v>
      </c>
      <c r="F945" s="74"/>
      <c r="G945" s="75">
        <v>14913.28</v>
      </c>
      <c r="H945" s="74">
        <v>2953.02</v>
      </c>
      <c r="I945" s="73">
        <v>0.19801277787314392</v>
      </c>
    </row>
    <row r="946" spans="1:9" x14ac:dyDescent="0.25">
      <c r="A946" s="76" t="s">
        <v>665</v>
      </c>
      <c r="B946" s="76" t="s">
        <v>669</v>
      </c>
      <c r="C946" s="77">
        <v>40664</v>
      </c>
      <c r="D946" s="78">
        <v>41029</v>
      </c>
      <c r="E946" s="79">
        <v>0.17</v>
      </c>
      <c r="F946" s="80">
        <v>442297</v>
      </c>
      <c r="G946" s="81"/>
      <c r="H946" s="80">
        <v>75190</v>
      </c>
      <c r="I946" s="79">
        <f>H946/F946</f>
        <v>0.1699988921471319</v>
      </c>
    </row>
    <row r="947" spans="1:9" x14ac:dyDescent="0.25">
      <c r="A947" s="76" t="s">
        <v>665</v>
      </c>
      <c r="B947" s="76" t="s">
        <v>669</v>
      </c>
      <c r="C947" s="77">
        <v>41030</v>
      </c>
      <c r="D947" s="78">
        <v>41213</v>
      </c>
      <c r="E947" s="79">
        <v>0.17</v>
      </c>
      <c r="F947" s="80">
        <v>168884</v>
      </c>
      <c r="G947" s="81"/>
      <c r="H947" s="80">
        <v>28710</v>
      </c>
      <c r="I947" s="79">
        <f>H947/F947</f>
        <v>0.16999834205727007</v>
      </c>
    </row>
    <row r="948" spans="1:9" x14ac:dyDescent="0.25">
      <c r="A948" s="76" t="s">
        <v>265</v>
      </c>
      <c r="B948" s="76" t="s">
        <v>337</v>
      </c>
      <c r="C948" s="77">
        <v>41142</v>
      </c>
      <c r="D948" s="78">
        <v>41506</v>
      </c>
      <c r="E948" s="79">
        <v>0.18</v>
      </c>
      <c r="F948" s="80">
        <v>133499</v>
      </c>
      <c r="G948" s="81"/>
      <c r="H948" s="80">
        <v>68198.67</v>
      </c>
      <c r="I948" s="79">
        <f>H948/F948</f>
        <v>0.51085528730552288</v>
      </c>
    </row>
    <row r="949" spans="1:9" x14ac:dyDescent="0.25">
      <c r="A949" s="76" t="s">
        <v>171</v>
      </c>
      <c r="B949" s="76" t="s">
        <v>187</v>
      </c>
      <c r="C949" s="77">
        <v>40879</v>
      </c>
      <c r="D949" s="78">
        <v>41213</v>
      </c>
      <c r="E949" s="79">
        <v>1.7999999999999999E-2</v>
      </c>
      <c r="F949" s="80">
        <v>38212</v>
      </c>
      <c r="G949" s="81"/>
      <c r="H949" s="80">
        <v>15985</v>
      </c>
      <c r="I949" s="79">
        <f>H949/F949</f>
        <v>0.41832408667434312</v>
      </c>
    </row>
    <row r="950" spans="1:9" x14ac:dyDescent="0.25">
      <c r="A950" s="76" t="s">
        <v>171</v>
      </c>
      <c r="B950" s="76" t="s">
        <v>187</v>
      </c>
      <c r="C950" s="77">
        <v>40879</v>
      </c>
      <c r="D950" s="78">
        <v>41213</v>
      </c>
      <c r="E950" s="79">
        <v>1.7999999999999999E-2</v>
      </c>
      <c r="F950" s="80"/>
      <c r="G950" s="81">
        <v>1742</v>
      </c>
      <c r="H950" s="80">
        <v>930</v>
      </c>
      <c r="I950" s="79">
        <f>H950/G950</f>
        <v>0.53386911595866815</v>
      </c>
    </row>
    <row r="951" spans="1:9" x14ac:dyDescent="0.25">
      <c r="A951" s="76" t="s">
        <v>531</v>
      </c>
      <c r="B951" s="76" t="s">
        <v>187</v>
      </c>
      <c r="C951" s="77">
        <v>41153</v>
      </c>
      <c r="D951" s="78">
        <v>41517</v>
      </c>
      <c r="E951" s="79">
        <v>8.9999999999999993E-3</v>
      </c>
      <c r="F951" s="80">
        <v>108676</v>
      </c>
      <c r="G951" s="81"/>
      <c r="H951" s="80">
        <v>40622</v>
      </c>
      <c r="I951" s="79">
        <f>H951/F951</f>
        <v>0.37378998122860613</v>
      </c>
    </row>
    <row r="952" spans="1:9" x14ac:dyDescent="0.25">
      <c r="A952" s="76" t="s">
        <v>531</v>
      </c>
      <c r="B952" s="76" t="s">
        <v>187</v>
      </c>
      <c r="C952" s="77">
        <v>40813</v>
      </c>
      <c r="D952" s="78">
        <v>41152</v>
      </c>
      <c r="E952" s="79">
        <v>8.9999999999999993E-3</v>
      </c>
      <c r="F952" s="80">
        <v>78830</v>
      </c>
      <c r="G952" s="81"/>
      <c r="H952" s="80">
        <v>8601</v>
      </c>
      <c r="I952" s="79">
        <f>H952/F952</f>
        <v>0.10910820753520234</v>
      </c>
    </row>
    <row r="953" spans="1:9" x14ac:dyDescent="0.25">
      <c r="A953" s="76" t="s">
        <v>531</v>
      </c>
      <c r="B953" s="76" t="s">
        <v>187</v>
      </c>
      <c r="C953" s="77">
        <v>41153</v>
      </c>
      <c r="D953" s="78">
        <v>41517</v>
      </c>
      <c r="E953" s="79">
        <v>8.9999999999999993E-3</v>
      </c>
      <c r="F953" s="80"/>
      <c r="G953" s="81">
        <v>3525</v>
      </c>
      <c r="H953" s="80">
        <v>578</v>
      </c>
      <c r="I953" s="79">
        <f>H953/G953</f>
        <v>0.16397163120567376</v>
      </c>
    </row>
    <row r="954" spans="1:9" x14ac:dyDescent="0.25">
      <c r="A954" s="76" t="s">
        <v>531</v>
      </c>
      <c r="B954" s="76" t="s">
        <v>187</v>
      </c>
      <c r="C954" s="77">
        <v>40813</v>
      </c>
      <c r="D954" s="78">
        <v>41152</v>
      </c>
      <c r="E954" s="79">
        <v>8.9999999999999993E-3</v>
      </c>
      <c r="F954" s="80"/>
      <c r="G954" s="81">
        <v>2689</v>
      </c>
      <c r="H954" s="80">
        <v>295</v>
      </c>
      <c r="I954" s="79">
        <f>H954/G954</f>
        <v>0.10970621048716996</v>
      </c>
    </row>
    <row r="955" spans="1:9" x14ac:dyDescent="0.25">
      <c r="A955" s="76" t="s">
        <v>613</v>
      </c>
      <c r="B955" s="76" t="s">
        <v>187</v>
      </c>
      <c r="C955" s="77">
        <v>40976</v>
      </c>
      <c r="D955" s="78">
        <v>41305</v>
      </c>
      <c r="E955" s="79">
        <v>8.9999999999999993E-3</v>
      </c>
      <c r="F955" s="80">
        <v>105017</v>
      </c>
      <c r="G955" s="81"/>
      <c r="H955" s="80">
        <v>15798</v>
      </c>
      <c r="I955" s="79">
        <f>H955/F955</f>
        <v>0.15043278707256921</v>
      </c>
    </row>
    <row r="956" spans="1:9" x14ac:dyDescent="0.25">
      <c r="A956" s="76" t="s">
        <v>613</v>
      </c>
      <c r="B956" s="76" t="s">
        <v>187</v>
      </c>
      <c r="C956" s="77">
        <v>40976</v>
      </c>
      <c r="D956" s="78">
        <v>41305</v>
      </c>
      <c r="E956" s="79">
        <v>8.9999999999999993E-3</v>
      </c>
      <c r="F956" s="80"/>
      <c r="G956" s="81">
        <v>4844</v>
      </c>
      <c r="H956" s="80">
        <v>421</v>
      </c>
      <c r="I956" s="79">
        <f>H956/G956</f>
        <v>8.6911643270024777E-2</v>
      </c>
    </row>
    <row r="957" spans="1:9" x14ac:dyDescent="0.25">
      <c r="A957" s="70" t="s">
        <v>101</v>
      </c>
      <c r="B957" s="70" t="s">
        <v>104</v>
      </c>
      <c r="C957" s="71">
        <v>40867</v>
      </c>
      <c r="D957" s="72">
        <v>41232</v>
      </c>
      <c r="E957" s="73">
        <v>1.35E-2</v>
      </c>
      <c r="F957" s="74">
        <v>8514.26</v>
      </c>
      <c r="G957" s="75"/>
      <c r="H957" s="74">
        <v>2926.17</v>
      </c>
      <c r="I957" s="73">
        <v>0.34367872251963177</v>
      </c>
    </row>
    <row r="958" spans="1:9" x14ac:dyDescent="0.25">
      <c r="A958" s="70" t="s">
        <v>101</v>
      </c>
      <c r="B958" s="70" t="s">
        <v>104</v>
      </c>
      <c r="C958" s="71">
        <v>40867</v>
      </c>
      <c r="D958" s="72">
        <v>41232</v>
      </c>
      <c r="E958" s="73">
        <v>1.35E-2</v>
      </c>
      <c r="F958" s="74"/>
      <c r="G958" s="75">
        <v>364.41</v>
      </c>
      <c r="H958" s="74">
        <v>125.24</v>
      </c>
      <c r="I958" s="73">
        <v>0.34367882330342192</v>
      </c>
    </row>
    <row r="959" spans="1:9" x14ac:dyDescent="0.25">
      <c r="A959" s="76" t="s">
        <v>171</v>
      </c>
      <c r="B959" s="76" t="s">
        <v>193</v>
      </c>
      <c r="C959" s="77">
        <v>40918</v>
      </c>
      <c r="D959" s="78">
        <v>41274</v>
      </c>
      <c r="E959" s="79">
        <v>1.7999999999999999E-2</v>
      </c>
      <c r="F959" s="80">
        <v>348708</v>
      </c>
      <c r="G959" s="81"/>
      <c r="H959" s="80">
        <v>-60162</v>
      </c>
      <c r="I959" s="79">
        <f>H959/F959</f>
        <v>-0.17252830448398088</v>
      </c>
    </row>
    <row r="960" spans="1:9" x14ac:dyDescent="0.25">
      <c r="A960" s="76" t="s">
        <v>531</v>
      </c>
      <c r="B960" s="76" t="s">
        <v>193</v>
      </c>
      <c r="C960" s="77">
        <v>41114</v>
      </c>
      <c r="D960" s="78">
        <v>41455</v>
      </c>
      <c r="E960" s="79">
        <v>8.9999999999999993E-3</v>
      </c>
      <c r="F960" s="80"/>
      <c r="G960" s="81">
        <v>193</v>
      </c>
      <c r="H960" s="80">
        <v>-53</v>
      </c>
      <c r="I960" s="79">
        <f>H960/G960</f>
        <v>-0.27461139896373055</v>
      </c>
    </row>
    <row r="961" spans="1:9" x14ac:dyDescent="0.25">
      <c r="A961" s="76" t="s">
        <v>531</v>
      </c>
      <c r="B961" s="76" t="s">
        <v>193</v>
      </c>
      <c r="C961" s="77">
        <v>40829</v>
      </c>
      <c r="D961" s="78">
        <v>41090</v>
      </c>
      <c r="E961" s="79">
        <v>8.9999999999999993E-3</v>
      </c>
      <c r="F961" s="80"/>
      <c r="G961" s="81">
        <v>2075</v>
      </c>
      <c r="H961" s="80">
        <v>-232</v>
      </c>
      <c r="I961" s="79">
        <f>H961/G961</f>
        <v>-0.11180722891566265</v>
      </c>
    </row>
    <row r="962" spans="1:9" x14ac:dyDescent="0.25">
      <c r="A962" s="76" t="s">
        <v>531</v>
      </c>
      <c r="B962" s="76" t="s">
        <v>193</v>
      </c>
      <c r="C962" s="77">
        <v>40829</v>
      </c>
      <c r="D962" s="78">
        <v>41090</v>
      </c>
      <c r="E962" s="79">
        <v>8.9999999999999993E-3</v>
      </c>
      <c r="F962" s="80">
        <v>76897</v>
      </c>
      <c r="G962" s="81"/>
      <c r="H962" s="80">
        <v>-1754</v>
      </c>
      <c r="I962" s="79">
        <f>H962/F962</f>
        <v>-2.2809732499317267E-2</v>
      </c>
    </row>
    <row r="963" spans="1:9" x14ac:dyDescent="0.25">
      <c r="A963" s="76" t="s">
        <v>531</v>
      </c>
      <c r="B963" s="76" t="s">
        <v>193</v>
      </c>
      <c r="C963" s="77">
        <v>41114</v>
      </c>
      <c r="D963" s="78">
        <v>41455</v>
      </c>
      <c r="E963" s="79">
        <v>8.9999999999999993E-3</v>
      </c>
      <c r="F963" s="80">
        <v>4753</v>
      </c>
      <c r="G963" s="81"/>
      <c r="H963" s="80">
        <v>-3455</v>
      </c>
      <c r="I963" s="79">
        <f>H963/F963</f>
        <v>-0.72690932042920264</v>
      </c>
    </row>
    <row r="964" spans="1:9" x14ac:dyDescent="0.25">
      <c r="A964" s="76" t="s">
        <v>613</v>
      </c>
      <c r="B964" s="76" t="s">
        <v>193</v>
      </c>
      <c r="C964" s="77">
        <v>41101</v>
      </c>
      <c r="D964" s="78">
        <v>41455</v>
      </c>
      <c r="E964" s="79">
        <v>8.9999999999999993E-3</v>
      </c>
      <c r="F964" s="80"/>
      <c r="G964" s="81">
        <v>9700</v>
      </c>
      <c r="H964" s="80">
        <v>194</v>
      </c>
      <c r="I964" s="79">
        <f>H964/G964</f>
        <v>0.02</v>
      </c>
    </row>
    <row r="965" spans="1:9" x14ac:dyDescent="0.25">
      <c r="A965" s="76" t="s">
        <v>613</v>
      </c>
      <c r="B965" s="76" t="s">
        <v>193</v>
      </c>
      <c r="C965" s="77">
        <v>40793</v>
      </c>
      <c r="D965" s="78">
        <v>41090</v>
      </c>
      <c r="E965" s="79">
        <v>8.9999999999999993E-3</v>
      </c>
      <c r="F965" s="80"/>
      <c r="G965" s="81">
        <v>6690</v>
      </c>
      <c r="H965" s="80">
        <v>67</v>
      </c>
      <c r="I965" s="79">
        <f>H965/G965</f>
        <v>1.0014947683109118E-2</v>
      </c>
    </row>
    <row r="966" spans="1:9" x14ac:dyDescent="0.25">
      <c r="A966" s="76" t="s">
        <v>613</v>
      </c>
      <c r="B966" s="76" t="s">
        <v>193</v>
      </c>
      <c r="C966" s="77">
        <v>40793</v>
      </c>
      <c r="D966" s="78">
        <v>41090</v>
      </c>
      <c r="E966" s="79">
        <v>8.9999999999999993E-3</v>
      </c>
      <c r="F966" s="80">
        <v>199876</v>
      </c>
      <c r="G966" s="81"/>
      <c r="H966" s="80">
        <v>-1524</v>
      </c>
      <c r="I966" s="79">
        <f>H966/F966</f>
        <v>-7.6247273309451857E-3</v>
      </c>
    </row>
    <row r="967" spans="1:9" x14ac:dyDescent="0.25">
      <c r="A967" s="76" t="s">
        <v>613</v>
      </c>
      <c r="B967" s="76" t="s">
        <v>193</v>
      </c>
      <c r="C967" s="77">
        <v>41101</v>
      </c>
      <c r="D967" s="78">
        <v>41455</v>
      </c>
      <c r="E967" s="79">
        <v>8.9999999999999993E-3</v>
      </c>
      <c r="F967" s="80">
        <v>294175</v>
      </c>
      <c r="G967" s="81"/>
      <c r="H967" s="80">
        <v>-43475</v>
      </c>
      <c r="I967" s="79">
        <f>H967/F967</f>
        <v>-0.14778618169456956</v>
      </c>
    </row>
    <row r="968" spans="1:9" x14ac:dyDescent="0.25">
      <c r="A968" s="76" t="s">
        <v>674</v>
      </c>
      <c r="B968" s="76" t="s">
        <v>193</v>
      </c>
      <c r="C968" s="77">
        <v>40938</v>
      </c>
      <c r="D968" s="78">
        <v>41274</v>
      </c>
      <c r="E968" s="79">
        <v>0.22500000000000001</v>
      </c>
      <c r="F968" s="80"/>
      <c r="G968" s="81">
        <v>7744.14</v>
      </c>
      <c r="H968" s="80">
        <v>-5611.8</v>
      </c>
      <c r="I968" s="79">
        <f>H968/G968</f>
        <v>-0.72465115558344761</v>
      </c>
    </row>
    <row r="969" spans="1:9" x14ac:dyDescent="0.25">
      <c r="A969" s="76" t="s">
        <v>674</v>
      </c>
      <c r="B969" s="76" t="s">
        <v>193</v>
      </c>
      <c r="C969" s="77">
        <v>40938</v>
      </c>
      <c r="D969" s="78">
        <v>41274</v>
      </c>
      <c r="E969" s="79">
        <v>0.22500000000000001</v>
      </c>
      <c r="F969" s="80">
        <v>237778.37</v>
      </c>
      <c r="G969" s="81"/>
      <c r="H969" s="80">
        <v>-167807.48</v>
      </c>
      <c r="I969" s="79">
        <f>H969/F969</f>
        <v>-0.70573063479239095</v>
      </c>
    </row>
    <row r="970" spans="1:9" x14ac:dyDescent="0.25">
      <c r="A970" s="70" t="s">
        <v>146</v>
      </c>
      <c r="B970" s="70" t="s">
        <v>168</v>
      </c>
      <c r="C970" s="71">
        <v>40849</v>
      </c>
      <c r="D970" s="72">
        <v>41182</v>
      </c>
      <c r="E970" s="101">
        <v>4.4999999999999999E-4</v>
      </c>
      <c r="F970" s="74">
        <v>939</v>
      </c>
      <c r="G970" s="75"/>
      <c r="H970" s="74">
        <v>-1057.7</v>
      </c>
      <c r="I970" s="73">
        <v>-1.1264110756123535</v>
      </c>
    </row>
    <row r="971" spans="1:9" x14ac:dyDescent="0.25">
      <c r="A971" s="76" t="s">
        <v>235</v>
      </c>
      <c r="B971" s="76" t="s">
        <v>168</v>
      </c>
      <c r="C971" s="77">
        <v>40616</v>
      </c>
      <c r="D971" s="78">
        <v>40981</v>
      </c>
      <c r="E971" s="79">
        <v>4.4999999999999998E-2</v>
      </c>
      <c r="F971" s="80">
        <v>1763</v>
      </c>
      <c r="G971" s="81"/>
      <c r="H971" s="80">
        <v>1583.69</v>
      </c>
      <c r="I971" s="79">
        <f>H971/F971</f>
        <v>0.89829268292682929</v>
      </c>
    </row>
    <row r="972" spans="1:9" x14ac:dyDescent="0.25">
      <c r="A972" s="76" t="s">
        <v>235</v>
      </c>
      <c r="B972" s="76" t="s">
        <v>168</v>
      </c>
      <c r="C972" s="77">
        <v>40982</v>
      </c>
      <c r="D972" s="78">
        <v>41121</v>
      </c>
      <c r="E972" s="79">
        <v>4.4999999999999998E-2</v>
      </c>
      <c r="F972" s="80"/>
      <c r="G972" s="81">
        <v>18</v>
      </c>
      <c r="H972" s="80">
        <v>-55.32</v>
      </c>
      <c r="I972" s="79">
        <f>H972/G972</f>
        <v>-3.0733333333333333</v>
      </c>
    </row>
    <row r="973" spans="1:9" x14ac:dyDescent="0.25">
      <c r="A973" s="76" t="s">
        <v>643</v>
      </c>
      <c r="B973" s="76" t="s">
        <v>168</v>
      </c>
      <c r="C973" s="77">
        <v>40969</v>
      </c>
      <c r="D973" s="78">
        <v>41274</v>
      </c>
      <c r="E973" s="79">
        <v>1.7999999999999999E-2</v>
      </c>
      <c r="F973" s="80">
        <v>90364.34</v>
      </c>
      <c r="G973" s="81"/>
      <c r="H973" s="80">
        <v>0</v>
      </c>
      <c r="I973" s="79">
        <f>H973/F973</f>
        <v>0</v>
      </c>
    </row>
    <row r="974" spans="1:9" x14ac:dyDescent="0.25">
      <c r="A974" s="76" t="s">
        <v>643</v>
      </c>
      <c r="B974" s="76" t="s">
        <v>168</v>
      </c>
      <c r="C974" s="77">
        <v>40969</v>
      </c>
      <c r="D974" s="78">
        <v>41274</v>
      </c>
      <c r="E974" s="79">
        <v>1.7999999999999999E-2</v>
      </c>
      <c r="F974" s="80"/>
      <c r="G974" s="81">
        <v>3305</v>
      </c>
      <c r="H974" s="80">
        <v>0</v>
      </c>
      <c r="I974" s="79">
        <f>H974/G974</f>
        <v>0</v>
      </c>
    </row>
    <row r="975" spans="1:9" x14ac:dyDescent="0.25">
      <c r="A975" s="76" t="s">
        <v>249</v>
      </c>
      <c r="B975" s="76" t="s">
        <v>257</v>
      </c>
      <c r="C975" s="77">
        <v>40938</v>
      </c>
      <c r="D975" s="78">
        <v>41304</v>
      </c>
      <c r="E975" s="79">
        <v>0</v>
      </c>
      <c r="F975" s="80">
        <v>348909.75</v>
      </c>
      <c r="G975" s="81"/>
      <c r="H975" s="80">
        <v>73909.75</v>
      </c>
      <c r="I975" s="79">
        <f>H975/F975</f>
        <v>0.21183056650036292</v>
      </c>
    </row>
    <row r="976" spans="1:9" x14ac:dyDescent="0.25">
      <c r="A976" s="76" t="s">
        <v>249</v>
      </c>
      <c r="B976" s="76" t="s">
        <v>257</v>
      </c>
      <c r="C976" s="77">
        <v>40817</v>
      </c>
      <c r="D976" s="78">
        <v>40968</v>
      </c>
      <c r="E976" s="79">
        <v>0</v>
      </c>
      <c r="F976" s="80">
        <v>159928.5</v>
      </c>
      <c r="G976" s="81"/>
      <c r="H976" s="80">
        <v>9308.81</v>
      </c>
      <c r="I976" s="79">
        <f>H976/F976</f>
        <v>5.8206073339023376E-2</v>
      </c>
    </row>
    <row r="977" spans="1:9" x14ac:dyDescent="0.25">
      <c r="A977" s="76" t="s">
        <v>485</v>
      </c>
      <c r="B977" s="76" t="s">
        <v>486</v>
      </c>
      <c r="C977" s="77">
        <v>41037</v>
      </c>
      <c r="D977" s="78">
        <v>41274</v>
      </c>
      <c r="E977" s="79">
        <v>0.45</v>
      </c>
      <c r="F977" s="80">
        <v>42270</v>
      </c>
      <c r="G977" s="81"/>
      <c r="H977" s="80">
        <v>5021</v>
      </c>
      <c r="I977" s="79">
        <f>H977/F977</f>
        <v>0.11878400757038088</v>
      </c>
    </row>
    <row r="978" spans="1:9" x14ac:dyDescent="0.25">
      <c r="A978" s="76" t="s">
        <v>485</v>
      </c>
      <c r="B978" s="76" t="s">
        <v>486</v>
      </c>
      <c r="C978" s="77">
        <v>41037</v>
      </c>
      <c r="D978" s="78">
        <v>41274</v>
      </c>
      <c r="E978" s="79">
        <v>0.45</v>
      </c>
      <c r="F978" s="88"/>
      <c r="G978" s="81">
        <v>5515</v>
      </c>
      <c r="H978" s="80">
        <v>448</v>
      </c>
      <c r="I978" s="79">
        <f>H978/G978</f>
        <v>8.1233000906618308E-2</v>
      </c>
    </row>
    <row r="979" spans="1:9" x14ac:dyDescent="0.25">
      <c r="A979" s="76" t="s">
        <v>317</v>
      </c>
      <c r="B979" s="76" t="s">
        <v>322</v>
      </c>
      <c r="C979" s="77">
        <v>40663</v>
      </c>
      <c r="D979" s="78">
        <v>41021</v>
      </c>
      <c r="E979" s="79">
        <v>0</v>
      </c>
      <c r="F979" s="80">
        <v>219085</v>
      </c>
      <c r="G979" s="81"/>
      <c r="H979" s="80">
        <v>1419.24</v>
      </c>
      <c r="I979" s="79">
        <f>H979/F979</f>
        <v>6.4780336399114496E-3</v>
      </c>
    </row>
    <row r="980" spans="1:9" x14ac:dyDescent="0.25">
      <c r="A980" s="76" t="s">
        <v>317</v>
      </c>
      <c r="B980" s="76" t="s">
        <v>322</v>
      </c>
      <c r="C980" s="77">
        <v>41039</v>
      </c>
      <c r="D980" s="78">
        <v>41386</v>
      </c>
      <c r="E980" s="79">
        <v>8.9999999999999998E-4</v>
      </c>
      <c r="F980" s="80">
        <v>108358.02</v>
      </c>
      <c r="G980" s="81"/>
      <c r="H980" s="80">
        <v>108.25</v>
      </c>
      <c r="I980" s="79">
        <f>H980/F980</f>
        <v>9.9900311947375927E-4</v>
      </c>
    </row>
    <row r="981" spans="1:9" x14ac:dyDescent="0.25">
      <c r="A981" s="76" t="s">
        <v>317</v>
      </c>
      <c r="B981" s="76" t="s">
        <v>322</v>
      </c>
      <c r="C981" s="77">
        <v>40663</v>
      </c>
      <c r="D981" s="78">
        <v>41021</v>
      </c>
      <c r="E981" s="79">
        <v>0</v>
      </c>
      <c r="F981" s="80"/>
      <c r="G981" s="81">
        <v>10741.05</v>
      </c>
      <c r="H981" s="80">
        <v>69.58</v>
      </c>
      <c r="I981" s="79">
        <f>H981/G981</f>
        <v>6.4779514107093815E-3</v>
      </c>
    </row>
    <row r="982" spans="1:9" x14ac:dyDescent="0.25">
      <c r="A982" s="76" t="s">
        <v>317</v>
      </c>
      <c r="B982" s="76" t="s">
        <v>322</v>
      </c>
      <c r="C982" s="77">
        <v>41039</v>
      </c>
      <c r="D982" s="78">
        <v>41386</v>
      </c>
      <c r="E982" s="79">
        <v>8.9999999999999998E-4</v>
      </c>
      <c r="F982" s="80"/>
      <c r="G982" s="81">
        <v>4977.05</v>
      </c>
      <c r="H982" s="80">
        <v>4.97</v>
      </c>
      <c r="I982" s="79">
        <f>H982/G982</f>
        <v>9.9858349825699961E-4</v>
      </c>
    </row>
    <row r="983" spans="1:9" x14ac:dyDescent="0.25">
      <c r="A983" s="76" t="s">
        <v>289</v>
      </c>
      <c r="B983" s="76" t="s">
        <v>305</v>
      </c>
      <c r="C983" s="77">
        <v>41158</v>
      </c>
      <c r="D983" s="78">
        <v>41222</v>
      </c>
      <c r="E983" s="79">
        <v>0.13</v>
      </c>
      <c r="F983" s="88"/>
      <c r="G983" s="81">
        <v>15120</v>
      </c>
      <c r="H983" s="80">
        <v>1969.6</v>
      </c>
      <c r="I983" s="79">
        <f>H983/G983</f>
        <v>0.13026455026455025</v>
      </c>
    </row>
    <row r="984" spans="1:9" x14ac:dyDescent="0.25">
      <c r="A984" s="76" t="s">
        <v>289</v>
      </c>
      <c r="B984" s="76" t="s">
        <v>305</v>
      </c>
      <c r="C984" s="77">
        <v>40983</v>
      </c>
      <c r="D984" s="78">
        <v>41038</v>
      </c>
      <c r="E984" s="79">
        <v>0.13</v>
      </c>
      <c r="F984" s="79"/>
      <c r="G984" s="81">
        <v>14350</v>
      </c>
      <c r="H984" s="80">
        <v>1880.5</v>
      </c>
      <c r="I984" s="79">
        <f>H984/G984</f>
        <v>0.13104529616724739</v>
      </c>
    </row>
    <row r="985" spans="1:9" x14ac:dyDescent="0.25">
      <c r="A985" s="76" t="s">
        <v>289</v>
      </c>
      <c r="B985" s="76" t="s">
        <v>1437</v>
      </c>
      <c r="C985" s="77">
        <v>41023</v>
      </c>
      <c r="D985" s="78">
        <v>41145</v>
      </c>
      <c r="E985" s="79">
        <v>0.13</v>
      </c>
      <c r="F985" s="88"/>
      <c r="G985" s="81">
        <v>18116</v>
      </c>
      <c r="H985" s="80">
        <v>2377.08</v>
      </c>
      <c r="I985" s="79">
        <f>H985/G985</f>
        <v>0.13121439611393243</v>
      </c>
    </row>
    <row r="986" spans="1:9" x14ac:dyDescent="0.25">
      <c r="A986" s="76" t="s">
        <v>594</v>
      </c>
      <c r="B986" s="76" t="s">
        <v>610</v>
      </c>
      <c r="C986" s="77">
        <v>41207</v>
      </c>
      <c r="D986" s="78">
        <v>41455</v>
      </c>
      <c r="E986" s="79">
        <v>0.18</v>
      </c>
      <c r="F986" s="80">
        <v>583761.03</v>
      </c>
      <c r="G986" s="81"/>
      <c r="H986" s="80">
        <v>341725.42</v>
      </c>
      <c r="I986" s="79">
        <f>H986/F986</f>
        <v>0.58538580418771691</v>
      </c>
    </row>
    <row r="987" spans="1:9" x14ac:dyDescent="0.25">
      <c r="A987" s="76" t="s">
        <v>594</v>
      </c>
      <c r="B987" s="76" t="s">
        <v>610</v>
      </c>
      <c r="C987" s="77">
        <v>41207</v>
      </c>
      <c r="D987" s="78">
        <v>41455</v>
      </c>
      <c r="E987" s="79">
        <v>0.18</v>
      </c>
      <c r="F987" s="80"/>
      <c r="G987" s="81">
        <v>3610</v>
      </c>
      <c r="H987" s="80">
        <v>2113.25</v>
      </c>
      <c r="I987" s="79">
        <f t="shared" ref="I987:I993" si="6">H987/G987</f>
        <v>0.58538781163434905</v>
      </c>
    </row>
    <row r="988" spans="1:9" x14ac:dyDescent="0.25">
      <c r="A988" s="76" t="s">
        <v>289</v>
      </c>
      <c r="B988" s="76" t="s">
        <v>298</v>
      </c>
      <c r="C988" s="77">
        <v>40892</v>
      </c>
      <c r="D988" s="78">
        <v>41014</v>
      </c>
      <c r="E988" s="79">
        <v>0.13</v>
      </c>
      <c r="F988" s="79"/>
      <c r="G988" s="81">
        <v>7189</v>
      </c>
      <c r="H988" s="80">
        <v>944.57</v>
      </c>
      <c r="I988" s="79">
        <f t="shared" si="6"/>
        <v>0.13139101404924192</v>
      </c>
    </row>
    <row r="989" spans="1:9" x14ac:dyDescent="0.25">
      <c r="A989" s="76" t="s">
        <v>289</v>
      </c>
      <c r="B989" s="76" t="s">
        <v>298</v>
      </c>
      <c r="C989" s="77">
        <v>41261</v>
      </c>
      <c r="D989" s="78">
        <v>41373</v>
      </c>
      <c r="E989" s="79">
        <v>0.13</v>
      </c>
      <c r="F989" s="88"/>
      <c r="G989" s="81">
        <v>6300</v>
      </c>
      <c r="H989" s="80">
        <v>826</v>
      </c>
      <c r="I989" s="79">
        <f t="shared" si="6"/>
        <v>0.13111111111111112</v>
      </c>
    </row>
    <row r="990" spans="1:9" x14ac:dyDescent="0.25">
      <c r="A990" s="76" t="s">
        <v>289</v>
      </c>
      <c r="B990" s="76" t="s">
        <v>298</v>
      </c>
      <c r="C990" s="77">
        <v>41087</v>
      </c>
      <c r="D990" s="78">
        <v>41162</v>
      </c>
      <c r="E990" s="79">
        <v>0.13</v>
      </c>
      <c r="F990" s="88"/>
      <c r="G990" s="81">
        <v>6034</v>
      </c>
      <c r="H990" s="80">
        <v>786.42</v>
      </c>
      <c r="I990" s="79">
        <f t="shared" si="6"/>
        <v>0.13033145508783558</v>
      </c>
    </row>
    <row r="991" spans="1:9" x14ac:dyDescent="0.25">
      <c r="A991" s="76" t="s">
        <v>289</v>
      </c>
      <c r="B991" s="76" t="s">
        <v>295</v>
      </c>
      <c r="C991" s="77">
        <v>40862</v>
      </c>
      <c r="D991" s="78">
        <v>40996</v>
      </c>
      <c r="E991" s="79">
        <v>0.13</v>
      </c>
      <c r="F991" s="88"/>
      <c r="G991" s="81">
        <v>9698</v>
      </c>
      <c r="H991" s="80">
        <v>1277.19</v>
      </c>
      <c r="I991" s="79">
        <f t="shared" si="6"/>
        <v>0.13169622602598474</v>
      </c>
    </row>
    <row r="992" spans="1:9" x14ac:dyDescent="0.25">
      <c r="A992" s="76" t="s">
        <v>289</v>
      </c>
      <c r="B992" s="76" t="s">
        <v>295</v>
      </c>
      <c r="C992" s="77">
        <v>41211</v>
      </c>
      <c r="D992" s="78">
        <v>41338</v>
      </c>
      <c r="E992" s="79">
        <v>0.13</v>
      </c>
      <c r="F992" s="88"/>
      <c r="G992" s="81">
        <v>9562</v>
      </c>
      <c r="H992" s="80">
        <v>1258.06</v>
      </c>
      <c r="I992" s="79">
        <f t="shared" si="6"/>
        <v>0.13156870947500524</v>
      </c>
    </row>
    <row r="993" spans="1:9" x14ac:dyDescent="0.25">
      <c r="A993" s="76" t="s">
        <v>313</v>
      </c>
      <c r="B993" s="76" t="s">
        <v>295</v>
      </c>
      <c r="C993" s="77">
        <v>41019</v>
      </c>
      <c r="D993" s="78">
        <v>41141</v>
      </c>
      <c r="E993" s="79">
        <v>0.13</v>
      </c>
      <c r="F993" s="88"/>
      <c r="G993" s="81">
        <v>8932</v>
      </c>
      <c r="H993" s="80">
        <v>1162.1600000000001</v>
      </c>
      <c r="I993" s="79">
        <f t="shared" si="6"/>
        <v>0.13011195700850875</v>
      </c>
    </row>
    <row r="994" spans="1:9" x14ac:dyDescent="0.25">
      <c r="A994" s="76" t="s">
        <v>317</v>
      </c>
      <c r="B994" s="76" t="s">
        <v>351</v>
      </c>
      <c r="C994" s="77">
        <v>40940</v>
      </c>
      <c r="D994" s="78">
        <v>41305</v>
      </c>
      <c r="E994" s="79">
        <v>8.9999999999999998E-4</v>
      </c>
      <c r="F994" s="80">
        <v>715170.47</v>
      </c>
      <c r="G994" s="81"/>
      <c r="H994" s="80">
        <v>376930.92</v>
      </c>
      <c r="I994" s="79">
        <f>H994/F994</f>
        <v>0.52705045274030959</v>
      </c>
    </row>
    <row r="995" spans="1:9" x14ac:dyDescent="0.25">
      <c r="A995" s="76" t="s">
        <v>317</v>
      </c>
      <c r="B995" s="76" t="s">
        <v>351</v>
      </c>
      <c r="C995" s="77">
        <v>40940</v>
      </c>
      <c r="D995" s="78">
        <v>41305</v>
      </c>
      <c r="E995" s="79">
        <v>8.9999999999999998E-4</v>
      </c>
      <c r="F995" s="80"/>
      <c r="G995" s="81">
        <v>21413.45</v>
      </c>
      <c r="H995" s="80">
        <v>11285.97</v>
      </c>
      <c r="I995" s="79">
        <f>H995/G995</f>
        <v>0.52705052198501401</v>
      </c>
    </row>
    <row r="996" spans="1:9" x14ac:dyDescent="0.25">
      <c r="A996" s="76" t="s">
        <v>665</v>
      </c>
      <c r="B996" s="123" t="s">
        <v>667</v>
      </c>
      <c r="C996" s="77">
        <v>40569</v>
      </c>
      <c r="D996" s="78">
        <v>40933</v>
      </c>
      <c r="E996" s="79">
        <v>0.2</v>
      </c>
      <c r="F996" s="80">
        <v>65815</v>
      </c>
      <c r="G996" s="81"/>
      <c r="H996" s="80">
        <v>13163</v>
      </c>
      <c r="I996" s="79">
        <f t="shared" ref="I996:I1001" si="7">H996/F996</f>
        <v>0.2</v>
      </c>
    </row>
    <row r="997" spans="1:9" x14ac:dyDescent="0.25">
      <c r="A997" s="76" t="s">
        <v>665</v>
      </c>
      <c r="B997" s="76" t="s">
        <v>667</v>
      </c>
      <c r="C997" s="77">
        <v>40934</v>
      </c>
      <c r="D997" s="78">
        <v>41274</v>
      </c>
      <c r="E997" s="79">
        <v>0.18</v>
      </c>
      <c r="F997" s="80">
        <v>40047</v>
      </c>
      <c r="G997" s="81"/>
      <c r="H997" s="80">
        <v>8009</v>
      </c>
      <c r="I997" s="79">
        <f t="shared" si="7"/>
        <v>0.19999001173620995</v>
      </c>
    </row>
    <row r="998" spans="1:9" x14ac:dyDescent="0.25">
      <c r="A998" s="76" t="s">
        <v>549</v>
      </c>
      <c r="B998" s="76" t="s">
        <v>553</v>
      </c>
      <c r="C998" s="77">
        <v>41030</v>
      </c>
      <c r="D998" s="78">
        <v>41394</v>
      </c>
      <c r="E998" s="79">
        <v>0.36</v>
      </c>
      <c r="F998" s="80">
        <v>139030</v>
      </c>
      <c r="G998" s="88"/>
      <c r="H998" s="80">
        <v>43210.31</v>
      </c>
      <c r="I998" s="79">
        <f t="shared" si="7"/>
        <v>0.31079846076386392</v>
      </c>
    </row>
    <row r="999" spans="1:9" x14ac:dyDescent="0.25">
      <c r="A999" s="76" t="s">
        <v>549</v>
      </c>
      <c r="B999" s="76" t="s">
        <v>553</v>
      </c>
      <c r="C999" s="77">
        <v>40664</v>
      </c>
      <c r="D999" s="78">
        <v>41029</v>
      </c>
      <c r="E999" s="79">
        <v>0.36</v>
      </c>
      <c r="F999" s="80">
        <v>106009.97</v>
      </c>
      <c r="G999" s="88"/>
      <c r="H999" s="80">
        <v>32123.56</v>
      </c>
      <c r="I999" s="79">
        <f t="shared" si="7"/>
        <v>0.30302395142645544</v>
      </c>
    </row>
    <row r="1000" spans="1:9" x14ac:dyDescent="0.25">
      <c r="A1000" s="76" t="s">
        <v>516</v>
      </c>
      <c r="B1000" s="76" t="s">
        <v>529</v>
      </c>
      <c r="C1000" s="77">
        <v>40924</v>
      </c>
      <c r="D1000" s="78">
        <v>41290</v>
      </c>
      <c r="E1000" s="79">
        <v>0.3</v>
      </c>
      <c r="F1000" s="80">
        <v>295916</v>
      </c>
      <c r="G1000" s="88"/>
      <c r="H1000" s="80">
        <v>88774.8</v>
      </c>
      <c r="I1000" s="79">
        <f t="shared" si="7"/>
        <v>0.3</v>
      </c>
    </row>
    <row r="1001" spans="1:9" x14ac:dyDescent="0.25">
      <c r="A1001" s="76" t="s">
        <v>516</v>
      </c>
      <c r="B1001" s="117" t="s">
        <v>517</v>
      </c>
      <c r="C1001" s="118">
        <v>40575</v>
      </c>
      <c r="D1001" s="119">
        <v>40940</v>
      </c>
      <c r="E1001" s="120">
        <v>0.3</v>
      </c>
      <c r="F1001" s="121">
        <v>301993</v>
      </c>
      <c r="G1001" s="88"/>
      <c r="H1001" s="121">
        <v>90597.9</v>
      </c>
      <c r="I1001" s="79">
        <f t="shared" si="7"/>
        <v>0.3</v>
      </c>
    </row>
    <row r="1002" spans="1:9" x14ac:dyDescent="0.25">
      <c r="A1002" s="76" t="s">
        <v>594</v>
      </c>
      <c r="B1002" s="76" t="s">
        <v>607</v>
      </c>
      <c r="C1002" s="77">
        <v>40662</v>
      </c>
      <c r="D1002" s="78">
        <v>41028</v>
      </c>
      <c r="E1002" s="79">
        <v>0.57599999999999996</v>
      </c>
      <c r="F1002" s="91"/>
      <c r="G1002" s="122">
        <v>85548.34</v>
      </c>
      <c r="H1002" s="80">
        <v>47972.26</v>
      </c>
      <c r="I1002" s="79">
        <f>H1002/G1002</f>
        <v>0.56076202063067504</v>
      </c>
    </row>
    <row r="1003" spans="1:9" x14ac:dyDescent="0.25">
      <c r="A1003" s="76" t="s">
        <v>594</v>
      </c>
      <c r="B1003" s="76" t="s">
        <v>607</v>
      </c>
      <c r="C1003" s="77">
        <v>41028</v>
      </c>
      <c r="D1003" s="78">
        <v>41152</v>
      </c>
      <c r="E1003" s="79">
        <v>0.57599999999999996</v>
      </c>
      <c r="F1003" s="80">
        <v>26037.06</v>
      </c>
      <c r="G1003" s="81"/>
      <c r="H1003" s="80">
        <v>14872.89</v>
      </c>
      <c r="I1003" s="79">
        <f>H1003/F1003</f>
        <v>0.57122002253710669</v>
      </c>
    </row>
    <row r="1004" spans="1:9" x14ac:dyDescent="0.25">
      <c r="A1004" s="76" t="s">
        <v>594</v>
      </c>
      <c r="B1004" s="76" t="s">
        <v>607</v>
      </c>
      <c r="C1004" s="77">
        <v>40662</v>
      </c>
      <c r="D1004" s="78">
        <v>41028</v>
      </c>
      <c r="E1004" s="79">
        <v>0.57599999999999996</v>
      </c>
      <c r="F1004" s="80">
        <v>4803</v>
      </c>
      <c r="G1004" s="81"/>
      <c r="H1004" s="80">
        <v>2548.46</v>
      </c>
      <c r="I1004" s="79">
        <f>H1004/F1004</f>
        <v>0.53059754320216534</v>
      </c>
    </row>
    <row r="1005" spans="1:9" x14ac:dyDescent="0.25">
      <c r="A1005" s="76" t="s">
        <v>594</v>
      </c>
      <c r="B1005" s="76" t="s">
        <v>607</v>
      </c>
      <c r="C1005" s="77">
        <v>41028</v>
      </c>
      <c r="D1005" s="78">
        <v>41152</v>
      </c>
      <c r="E1005" s="79">
        <v>0.57599999999999996</v>
      </c>
      <c r="F1005" s="80"/>
      <c r="G1005" s="81">
        <v>1020.1</v>
      </c>
      <c r="H1005" s="80">
        <v>573.53</v>
      </c>
      <c r="I1005" s="79">
        <f>H1005/G1005</f>
        <v>0.56222919321635134</v>
      </c>
    </row>
    <row r="1006" spans="1:9" x14ac:dyDescent="0.25">
      <c r="A1006" s="70" t="s">
        <v>146</v>
      </c>
      <c r="B1006" s="70" t="s">
        <v>157</v>
      </c>
      <c r="C1006" s="71">
        <v>40841</v>
      </c>
      <c r="D1006" s="72">
        <v>41206</v>
      </c>
      <c r="E1006" s="101">
        <v>4.4999999999999999E-4</v>
      </c>
      <c r="F1006" s="74">
        <v>91631.64</v>
      </c>
      <c r="G1006" s="75"/>
      <c r="H1006" s="74">
        <v>149.4</v>
      </c>
      <c r="I1006" s="73">
        <v>1.6304411882183927E-3</v>
      </c>
    </row>
    <row r="1007" spans="1:9" x14ac:dyDescent="0.25">
      <c r="A1007" s="70" t="s">
        <v>20</v>
      </c>
      <c r="B1007" s="70" t="s">
        <v>34</v>
      </c>
      <c r="C1007" s="71">
        <v>40973</v>
      </c>
      <c r="D1007" s="72">
        <v>41319</v>
      </c>
      <c r="E1007" s="73">
        <v>0</v>
      </c>
      <c r="F1007" s="74">
        <v>13327</v>
      </c>
      <c r="G1007" s="75"/>
      <c r="H1007" s="74">
        <v>1933.53</v>
      </c>
      <c r="I1007" s="73">
        <v>0.14508366474075185</v>
      </c>
    </row>
    <row r="1008" spans="1:9" x14ac:dyDescent="0.25">
      <c r="A1008" s="70" t="s">
        <v>20</v>
      </c>
      <c r="B1008" s="70" t="s">
        <v>34</v>
      </c>
      <c r="C1008" s="71">
        <v>40973</v>
      </c>
      <c r="D1008" s="72">
        <v>41319</v>
      </c>
      <c r="E1008" s="73">
        <v>0</v>
      </c>
      <c r="F1008" s="74"/>
      <c r="G1008" s="75">
        <v>200.1</v>
      </c>
      <c r="H1008" s="74">
        <v>3.76</v>
      </c>
      <c r="I1008" s="73">
        <v>1.8790604697651175E-2</v>
      </c>
    </row>
    <row r="1009" spans="1:9" x14ac:dyDescent="0.25">
      <c r="A1009" s="70" t="s">
        <v>37</v>
      </c>
      <c r="B1009" s="70" t="s">
        <v>34</v>
      </c>
      <c r="C1009" s="71">
        <v>40609</v>
      </c>
      <c r="D1009" s="72">
        <v>40953</v>
      </c>
      <c r="E1009" s="73">
        <v>0</v>
      </c>
      <c r="F1009" s="74"/>
      <c r="G1009" s="75">
        <v>1151</v>
      </c>
      <c r="H1009" s="74">
        <v>202.56</v>
      </c>
      <c r="I1009" s="73">
        <f>H1009/G1009</f>
        <v>0.17598609904430929</v>
      </c>
    </row>
    <row r="1010" spans="1:9" x14ac:dyDescent="0.25">
      <c r="A1010" s="70" t="s">
        <v>37</v>
      </c>
      <c r="B1010" s="70" t="s">
        <v>34</v>
      </c>
      <c r="C1010" s="71">
        <v>40609</v>
      </c>
      <c r="D1010" s="72">
        <v>40953</v>
      </c>
      <c r="E1010" s="73">
        <v>0</v>
      </c>
      <c r="F1010" s="74">
        <v>27661</v>
      </c>
      <c r="G1010" s="75"/>
      <c r="H1010" s="74">
        <v>-1896.56</v>
      </c>
      <c r="I1010" s="73">
        <v>-6.856440475760095E-2</v>
      </c>
    </row>
    <row r="1011" spans="1:9" x14ac:dyDescent="0.25">
      <c r="A1011" s="76" t="s">
        <v>171</v>
      </c>
      <c r="B1011" s="76" t="s">
        <v>34</v>
      </c>
      <c r="C1011" s="77">
        <v>40981</v>
      </c>
      <c r="D1011" s="78">
        <v>41333</v>
      </c>
      <c r="E1011" s="79">
        <v>1.7999999999999999E-2</v>
      </c>
      <c r="F1011" s="80">
        <v>23744</v>
      </c>
      <c r="G1011" s="81"/>
      <c r="H1011" s="80">
        <v>-22790.28</v>
      </c>
      <c r="I1011" s="79">
        <f>H1011/F1011</f>
        <v>-0.95983322102425872</v>
      </c>
    </row>
    <row r="1012" spans="1:9" x14ac:dyDescent="0.25">
      <c r="A1012" s="70" t="s">
        <v>171</v>
      </c>
      <c r="B1012" s="70" t="s">
        <v>34</v>
      </c>
      <c r="C1012" s="71">
        <v>40617</v>
      </c>
      <c r="D1012" s="72">
        <v>40968</v>
      </c>
      <c r="E1012" s="73">
        <v>1.7999999999999999E-2</v>
      </c>
      <c r="F1012" s="74">
        <v>98843</v>
      </c>
      <c r="G1012" s="75"/>
      <c r="H1012" s="74">
        <v>-49489.63</v>
      </c>
      <c r="I1012" s="73">
        <v>-0.50068927491071702</v>
      </c>
    </row>
    <row r="1013" spans="1:9" ht="28.5" x14ac:dyDescent="0.25">
      <c r="A1013" s="76" t="s">
        <v>422</v>
      </c>
      <c r="B1013" s="76" t="s">
        <v>425</v>
      </c>
      <c r="C1013" s="77">
        <v>41142</v>
      </c>
      <c r="D1013" s="78">
        <v>41506</v>
      </c>
      <c r="E1013" s="79">
        <v>0.35</v>
      </c>
      <c r="F1013" s="80">
        <v>111870</v>
      </c>
      <c r="G1013" s="88"/>
      <c r="H1013" s="80">
        <v>44748</v>
      </c>
      <c r="I1013" s="79">
        <f>H1013/F1013</f>
        <v>0.4</v>
      </c>
    </row>
    <row r="1014" spans="1:9" x14ac:dyDescent="0.25">
      <c r="A1014" s="76" t="s">
        <v>512</v>
      </c>
      <c r="B1014" s="76" t="s">
        <v>425</v>
      </c>
      <c r="C1014" s="77">
        <v>40996</v>
      </c>
      <c r="D1014" s="78">
        <v>41360</v>
      </c>
      <c r="E1014" s="79">
        <v>0.16</v>
      </c>
      <c r="F1014" s="80"/>
      <c r="G1014" s="81">
        <v>59947</v>
      </c>
      <c r="H1014" s="80">
        <v>8992.0499999999993</v>
      </c>
      <c r="I1014" s="79">
        <f>H1014/G1014</f>
        <v>0.15</v>
      </c>
    </row>
    <row r="1015" spans="1:9" x14ac:dyDescent="0.25">
      <c r="A1015" s="76" t="s">
        <v>790</v>
      </c>
      <c r="B1015" s="100" t="s">
        <v>420</v>
      </c>
      <c r="C1015" s="77">
        <v>40664</v>
      </c>
      <c r="D1015" s="78">
        <v>41029</v>
      </c>
      <c r="E1015" s="79">
        <v>0.18</v>
      </c>
      <c r="F1015" s="80">
        <v>25463.88</v>
      </c>
      <c r="G1015" s="81"/>
      <c r="H1015" s="80">
        <v>4583.5</v>
      </c>
      <c r="I1015" s="73">
        <f>H1015/F1015</f>
        <v>0.18000006283410069</v>
      </c>
    </row>
    <row r="1016" spans="1:9" ht="28.5" x14ac:dyDescent="0.25">
      <c r="A1016" s="76" t="s">
        <v>415</v>
      </c>
      <c r="B1016" s="76" t="s">
        <v>420</v>
      </c>
      <c r="C1016" s="77">
        <v>40776</v>
      </c>
      <c r="D1016" s="78">
        <v>41141</v>
      </c>
      <c r="E1016" s="79">
        <v>0.35</v>
      </c>
      <c r="F1016" s="80">
        <v>93290</v>
      </c>
      <c r="G1016" s="81"/>
      <c r="H1016" s="80">
        <v>37316</v>
      </c>
      <c r="I1016" s="79">
        <f>H1016/F1016</f>
        <v>0.4</v>
      </c>
    </row>
    <row r="1017" spans="1:9" x14ac:dyDescent="0.25">
      <c r="A1017" s="76" t="s">
        <v>512</v>
      </c>
      <c r="B1017" s="76" t="s">
        <v>420</v>
      </c>
      <c r="C1017" s="77">
        <v>40575</v>
      </c>
      <c r="D1017" s="78">
        <v>40939</v>
      </c>
      <c r="E1017" s="79">
        <v>0.15</v>
      </c>
      <c r="F1017" s="88"/>
      <c r="G1017" s="81">
        <v>29347.42</v>
      </c>
      <c r="H1017" s="80">
        <v>4402.1099999999997</v>
      </c>
      <c r="I1017" s="79">
        <f>H1017/G1017</f>
        <v>0.1499998977763633</v>
      </c>
    </row>
    <row r="1018" spans="1:9" ht="28.5" x14ac:dyDescent="0.25">
      <c r="A1018" s="76" t="s">
        <v>415</v>
      </c>
      <c r="B1018" s="76" t="s">
        <v>418</v>
      </c>
      <c r="C1018" s="77">
        <v>40738</v>
      </c>
      <c r="D1018" s="78">
        <v>41103</v>
      </c>
      <c r="E1018" s="79">
        <v>0.35</v>
      </c>
      <c r="F1018" s="80">
        <v>70988.789999999994</v>
      </c>
      <c r="G1018" s="81"/>
      <c r="H1018" s="80">
        <v>24846.080000000002</v>
      </c>
      <c r="I1018" s="79">
        <f t="shared" ref="I1018:I1023" si="8">H1018/F1018</f>
        <v>0.3500000493035591</v>
      </c>
    </row>
    <row r="1019" spans="1:9" ht="28.5" x14ac:dyDescent="0.25">
      <c r="A1019" s="76" t="s">
        <v>422</v>
      </c>
      <c r="B1019" s="76" t="s">
        <v>418</v>
      </c>
      <c r="C1019" s="77">
        <v>41104</v>
      </c>
      <c r="D1019" s="78">
        <v>41467</v>
      </c>
      <c r="E1019" s="79">
        <v>0.35</v>
      </c>
      <c r="F1019" s="80">
        <v>75970</v>
      </c>
      <c r="G1019" s="88"/>
      <c r="H1019" s="80">
        <v>26589.5</v>
      </c>
      <c r="I1019" s="79">
        <f t="shared" si="8"/>
        <v>0.35</v>
      </c>
    </row>
    <row r="1020" spans="1:9" x14ac:dyDescent="0.25">
      <c r="A1020" s="76" t="s">
        <v>665</v>
      </c>
      <c r="B1020" s="76" t="s">
        <v>672</v>
      </c>
      <c r="C1020" s="77">
        <v>40909</v>
      </c>
      <c r="D1020" s="78">
        <v>41274</v>
      </c>
      <c r="E1020" s="79">
        <v>0.19800000000000001</v>
      </c>
      <c r="F1020" s="80">
        <v>551533</v>
      </c>
      <c r="G1020" s="81"/>
      <c r="H1020" s="80">
        <v>144305</v>
      </c>
      <c r="I1020" s="79">
        <f t="shared" si="8"/>
        <v>0.26164345560465102</v>
      </c>
    </row>
    <row r="1021" spans="1:9" x14ac:dyDescent="0.25">
      <c r="A1021" s="76" t="s">
        <v>665</v>
      </c>
      <c r="B1021" s="76" t="s">
        <v>666</v>
      </c>
      <c r="C1021" s="77">
        <v>40569</v>
      </c>
      <c r="D1021" s="78">
        <v>40933</v>
      </c>
      <c r="E1021" s="79">
        <v>0.2</v>
      </c>
      <c r="F1021" s="80">
        <v>429272</v>
      </c>
      <c r="G1021" s="81"/>
      <c r="H1021" s="80">
        <v>85855</v>
      </c>
      <c r="I1021" s="79">
        <f t="shared" si="8"/>
        <v>0.20000139771520156</v>
      </c>
    </row>
    <row r="1022" spans="1:9" ht="28.5" x14ac:dyDescent="0.25">
      <c r="A1022" s="76" t="s">
        <v>415</v>
      </c>
      <c r="B1022" s="76" t="s">
        <v>421</v>
      </c>
      <c r="C1022" s="77">
        <v>40985</v>
      </c>
      <c r="D1022" s="78">
        <v>41349</v>
      </c>
      <c r="E1022" s="79">
        <v>0.35</v>
      </c>
      <c r="F1022" s="80">
        <v>113490</v>
      </c>
      <c r="G1022" s="81"/>
      <c r="H1022" s="80">
        <v>45396</v>
      </c>
      <c r="I1022" s="79">
        <f t="shared" si="8"/>
        <v>0.4</v>
      </c>
    </row>
    <row r="1023" spans="1:9" ht="28.5" x14ac:dyDescent="0.25">
      <c r="A1023" s="76" t="s">
        <v>415</v>
      </c>
      <c r="B1023" s="76" t="s">
        <v>416</v>
      </c>
      <c r="C1023" s="77">
        <v>40634</v>
      </c>
      <c r="D1023" s="78">
        <v>40984</v>
      </c>
      <c r="E1023" s="79">
        <v>0.35</v>
      </c>
      <c r="F1023" s="80">
        <v>120075</v>
      </c>
      <c r="G1023" s="81"/>
      <c r="H1023" s="80">
        <v>48030</v>
      </c>
      <c r="I1023" s="79">
        <f t="shared" si="8"/>
        <v>0.4</v>
      </c>
    </row>
    <row r="1024" spans="1:9" x14ac:dyDescent="0.25">
      <c r="A1024" s="70" t="s">
        <v>78</v>
      </c>
      <c r="B1024" s="70" t="s">
        <v>79</v>
      </c>
      <c r="C1024" s="71">
        <v>40878</v>
      </c>
      <c r="D1024" s="72">
        <v>41243</v>
      </c>
      <c r="E1024" s="73">
        <v>0.54</v>
      </c>
      <c r="F1024" s="74">
        <v>1196386.3999999999</v>
      </c>
      <c r="G1024" s="75"/>
      <c r="H1024" s="74">
        <v>719846.72</v>
      </c>
      <c r="I1024" s="73">
        <v>0.60168413816807009</v>
      </c>
    </row>
    <row r="1025" spans="1:9" x14ac:dyDescent="0.25">
      <c r="A1025" s="76" t="s">
        <v>790</v>
      </c>
      <c r="B1025" s="76" t="s">
        <v>79</v>
      </c>
      <c r="C1025" s="77">
        <v>40909</v>
      </c>
      <c r="D1025" s="78">
        <v>41274</v>
      </c>
      <c r="E1025" s="79">
        <v>0.15</v>
      </c>
      <c r="F1025" s="80">
        <v>21621</v>
      </c>
      <c r="G1025" s="81"/>
      <c r="H1025" s="80">
        <v>3434.73</v>
      </c>
      <c r="I1025" s="73">
        <f>H1025/F1025</f>
        <v>0.15886082974885529</v>
      </c>
    </row>
    <row r="1026" spans="1:9" ht="28.5" x14ac:dyDescent="0.25">
      <c r="A1026" s="76" t="s">
        <v>415</v>
      </c>
      <c r="B1026" s="76" t="s">
        <v>417</v>
      </c>
      <c r="C1026" s="77">
        <v>40664</v>
      </c>
      <c r="D1026" s="78">
        <v>41029</v>
      </c>
      <c r="E1026" s="79">
        <v>0.35</v>
      </c>
      <c r="F1026" s="80">
        <v>68965</v>
      </c>
      <c r="G1026" s="81"/>
      <c r="H1026" s="80">
        <v>24137.75</v>
      </c>
      <c r="I1026" s="79">
        <f>H1026/F1026</f>
        <v>0.35</v>
      </c>
    </row>
    <row r="1027" spans="1:9" x14ac:dyDescent="0.25">
      <c r="A1027" s="76" t="s">
        <v>478</v>
      </c>
      <c r="B1027" s="76" t="s">
        <v>417</v>
      </c>
      <c r="C1027" s="77">
        <v>40909</v>
      </c>
      <c r="D1027" s="78">
        <v>41274</v>
      </c>
      <c r="E1027" s="79">
        <v>0.18</v>
      </c>
      <c r="F1027" s="80"/>
      <c r="G1027" s="81">
        <v>66383</v>
      </c>
      <c r="H1027" s="80">
        <v>11948.94</v>
      </c>
      <c r="I1027" s="79">
        <f>H1027/G1027</f>
        <v>0.18000000000000002</v>
      </c>
    </row>
    <row r="1028" spans="1:9" x14ac:dyDescent="0.25">
      <c r="A1028" s="76" t="s">
        <v>265</v>
      </c>
      <c r="B1028" s="76" t="s">
        <v>336</v>
      </c>
      <c r="C1028" s="77">
        <v>41103</v>
      </c>
      <c r="D1028" s="78">
        <v>41467</v>
      </c>
      <c r="E1028" s="79">
        <v>0.18</v>
      </c>
      <c r="F1028" s="80"/>
      <c r="G1028" s="81">
        <v>59075</v>
      </c>
      <c r="H1028" s="80">
        <v>11946.92</v>
      </c>
      <c r="I1028" s="79">
        <f>H1028/G1028</f>
        <v>0.20223309352517985</v>
      </c>
    </row>
    <row r="1029" spans="1:9" x14ac:dyDescent="0.25">
      <c r="A1029" s="76" t="s">
        <v>489</v>
      </c>
      <c r="B1029" s="76" t="s">
        <v>336</v>
      </c>
      <c r="C1029" s="77">
        <v>41000</v>
      </c>
      <c r="D1029" s="78">
        <v>41364</v>
      </c>
      <c r="E1029" s="79">
        <v>0.3</v>
      </c>
      <c r="F1029" s="80">
        <v>23945</v>
      </c>
      <c r="G1029" s="88"/>
      <c r="H1029" s="80">
        <v>7183.5</v>
      </c>
      <c r="I1029" s="79">
        <f>H1029/F1029</f>
        <v>0.3</v>
      </c>
    </row>
    <row r="1030" spans="1:9" x14ac:dyDescent="0.25">
      <c r="A1030" s="76" t="s">
        <v>489</v>
      </c>
      <c r="B1030" s="76" t="s">
        <v>336</v>
      </c>
      <c r="C1030" s="77">
        <v>40634</v>
      </c>
      <c r="D1030" s="78">
        <v>40999</v>
      </c>
      <c r="E1030" s="79">
        <v>0.3</v>
      </c>
      <c r="F1030" s="80">
        <v>21455</v>
      </c>
      <c r="G1030" s="88"/>
      <c r="H1030" s="80">
        <v>6436.5</v>
      </c>
      <c r="I1030" s="79">
        <f>H1030/F1030</f>
        <v>0.3</v>
      </c>
    </row>
    <row r="1031" spans="1:9" x14ac:dyDescent="0.25">
      <c r="A1031" s="76" t="s">
        <v>270</v>
      </c>
      <c r="B1031" s="76" t="s">
        <v>272</v>
      </c>
      <c r="C1031" s="77">
        <v>40664</v>
      </c>
      <c r="D1031" s="78">
        <v>41029</v>
      </c>
      <c r="E1031" s="79">
        <v>0.2</v>
      </c>
      <c r="F1031" s="80"/>
      <c r="G1031" s="81">
        <v>65030</v>
      </c>
      <c r="H1031" s="80">
        <v>12006.45</v>
      </c>
      <c r="I1031" s="79">
        <f>H1031/G1031</f>
        <v>0.18462940181454715</v>
      </c>
    </row>
    <row r="1032" spans="1:9" x14ac:dyDescent="0.25">
      <c r="A1032" s="76" t="s">
        <v>270</v>
      </c>
      <c r="B1032" s="76" t="s">
        <v>272</v>
      </c>
      <c r="C1032" s="77">
        <v>41030</v>
      </c>
      <c r="D1032" s="78">
        <v>41060</v>
      </c>
      <c r="E1032" s="79">
        <v>0.2</v>
      </c>
      <c r="F1032" s="80"/>
      <c r="G1032" s="81">
        <v>55</v>
      </c>
      <c r="H1032" s="80">
        <v>330.6</v>
      </c>
      <c r="I1032" s="79">
        <f>H1032/G1032</f>
        <v>6.0109090909090916</v>
      </c>
    </row>
    <row r="1033" spans="1:9" x14ac:dyDescent="0.25">
      <c r="A1033" s="76" t="s">
        <v>478</v>
      </c>
      <c r="B1033" s="76" t="s">
        <v>481</v>
      </c>
      <c r="C1033" s="77">
        <v>40909</v>
      </c>
      <c r="D1033" s="78">
        <v>41274</v>
      </c>
      <c r="E1033" s="79">
        <v>0.18</v>
      </c>
      <c r="F1033" s="80"/>
      <c r="G1033" s="81">
        <v>223896.63</v>
      </c>
      <c r="H1033" s="80">
        <v>40301.39</v>
      </c>
      <c r="I1033" s="79">
        <f>H1033/G1033</f>
        <v>0.17999998481442084</v>
      </c>
    </row>
    <row r="1034" spans="1:9" x14ac:dyDescent="0.25">
      <c r="A1034" s="70" t="s">
        <v>71</v>
      </c>
      <c r="B1034" s="70" t="s">
        <v>72</v>
      </c>
      <c r="C1034" s="71">
        <v>41177</v>
      </c>
      <c r="D1034" s="72">
        <v>41274</v>
      </c>
      <c r="E1034" s="73">
        <v>0.54</v>
      </c>
      <c r="F1034" s="74">
        <v>47249</v>
      </c>
      <c r="G1034" s="75"/>
      <c r="H1034" s="74">
        <v>28390.05</v>
      </c>
      <c r="I1034" s="73">
        <v>0.60086033566847974</v>
      </c>
    </row>
    <row r="1035" spans="1:9" x14ac:dyDescent="0.25">
      <c r="A1035" s="70" t="s">
        <v>71</v>
      </c>
      <c r="B1035" s="70" t="s">
        <v>72</v>
      </c>
      <c r="C1035" s="71">
        <v>41177</v>
      </c>
      <c r="D1035" s="72">
        <v>41274</v>
      </c>
      <c r="E1035" s="73">
        <v>0.54</v>
      </c>
      <c r="F1035" s="74"/>
      <c r="G1035" s="75">
        <v>47249</v>
      </c>
      <c r="H1035" s="74">
        <v>28390.05</v>
      </c>
      <c r="I1035" s="73">
        <v>0.60086033566847974</v>
      </c>
    </row>
    <row r="1036" spans="1:9" x14ac:dyDescent="0.25">
      <c r="A1036" s="76" t="s">
        <v>449</v>
      </c>
      <c r="B1036" s="76" t="s">
        <v>72</v>
      </c>
      <c r="C1036" s="77">
        <v>40848</v>
      </c>
      <c r="D1036" s="78">
        <v>41213</v>
      </c>
      <c r="E1036" s="79">
        <v>0</v>
      </c>
      <c r="F1036" s="80">
        <v>85689</v>
      </c>
      <c r="G1036" s="81"/>
      <c r="H1036" s="80">
        <v>44284</v>
      </c>
      <c r="I1036" s="79">
        <f t="shared" ref="I1036:I1046" si="9">H1036/F1036</f>
        <v>0.51679912240777692</v>
      </c>
    </row>
    <row r="1037" spans="1:9" x14ac:dyDescent="0.25">
      <c r="A1037" s="76" t="s">
        <v>449</v>
      </c>
      <c r="B1037" s="76" t="s">
        <v>72</v>
      </c>
      <c r="C1037" s="77">
        <v>41214</v>
      </c>
      <c r="D1037" s="78">
        <v>41257</v>
      </c>
      <c r="E1037" s="79">
        <v>0</v>
      </c>
      <c r="F1037" s="80">
        <v>85689</v>
      </c>
      <c r="G1037" s="81"/>
      <c r="H1037" s="80">
        <v>44284</v>
      </c>
      <c r="I1037" s="79">
        <f t="shared" si="9"/>
        <v>0.51679912240777692</v>
      </c>
    </row>
    <row r="1038" spans="1:9" ht="28.5" x14ac:dyDescent="0.25">
      <c r="A1038" s="76" t="s">
        <v>422</v>
      </c>
      <c r="B1038" s="76" t="s">
        <v>424</v>
      </c>
      <c r="C1038" s="77">
        <v>40985</v>
      </c>
      <c r="D1038" s="78">
        <v>41349</v>
      </c>
      <c r="E1038" s="79">
        <v>0.2</v>
      </c>
      <c r="F1038" s="80">
        <v>63975.17</v>
      </c>
      <c r="G1038" s="88"/>
      <c r="H1038" s="80">
        <v>25590.07</v>
      </c>
      <c r="I1038" s="79">
        <f t="shared" si="9"/>
        <v>0.40000003126212874</v>
      </c>
    </row>
    <row r="1039" spans="1:9" ht="28.5" x14ac:dyDescent="0.25">
      <c r="A1039" s="76" t="s">
        <v>422</v>
      </c>
      <c r="B1039" s="76" t="s">
        <v>423</v>
      </c>
      <c r="C1039" s="77">
        <v>40634</v>
      </c>
      <c r="D1039" s="78">
        <v>40984</v>
      </c>
      <c r="E1039" s="79">
        <v>0.2</v>
      </c>
      <c r="F1039" s="80">
        <v>65350</v>
      </c>
      <c r="G1039" s="88"/>
      <c r="H1039" s="80">
        <v>26140</v>
      </c>
      <c r="I1039" s="79">
        <f t="shared" si="9"/>
        <v>0.4</v>
      </c>
    </row>
    <row r="1040" spans="1:9" ht="28.5" x14ac:dyDescent="0.25">
      <c r="A1040" s="76" t="s">
        <v>415</v>
      </c>
      <c r="B1040" s="76" t="s">
        <v>419</v>
      </c>
      <c r="C1040" s="77">
        <v>40756</v>
      </c>
      <c r="D1040" s="78">
        <v>41122</v>
      </c>
      <c r="E1040" s="79">
        <v>0.35</v>
      </c>
      <c r="F1040" s="80">
        <v>56528</v>
      </c>
      <c r="G1040" s="81"/>
      <c r="H1040" s="80">
        <v>19784.8</v>
      </c>
      <c r="I1040" s="79">
        <f t="shared" si="9"/>
        <v>0.35</v>
      </c>
    </row>
    <row r="1041" spans="1:9" ht="28.5" x14ac:dyDescent="0.25">
      <c r="A1041" s="76" t="s">
        <v>422</v>
      </c>
      <c r="B1041" s="76" t="s">
        <v>419</v>
      </c>
      <c r="C1041" s="77">
        <v>41122</v>
      </c>
      <c r="D1041" s="78">
        <v>41487</v>
      </c>
      <c r="E1041" s="79">
        <v>0.35</v>
      </c>
      <c r="F1041" s="80">
        <v>82587</v>
      </c>
      <c r="G1041" s="88"/>
      <c r="H1041" s="80">
        <v>28905.45</v>
      </c>
      <c r="I1041" s="79">
        <f t="shared" si="9"/>
        <v>0.35000000000000003</v>
      </c>
    </row>
    <row r="1042" spans="1:9" x14ac:dyDescent="0.25">
      <c r="A1042" s="76" t="s">
        <v>685</v>
      </c>
      <c r="B1042" s="76" t="s">
        <v>419</v>
      </c>
      <c r="C1042" s="77">
        <v>40695</v>
      </c>
      <c r="D1042" s="78">
        <v>41060</v>
      </c>
      <c r="E1042" s="79">
        <v>0.12</v>
      </c>
      <c r="F1042" s="80">
        <v>19972</v>
      </c>
      <c r="G1042" s="81"/>
      <c r="H1042" s="80">
        <v>2396.64</v>
      </c>
      <c r="I1042" s="79">
        <f t="shared" si="9"/>
        <v>0.12</v>
      </c>
    </row>
    <row r="1043" spans="1:9" x14ac:dyDescent="0.25">
      <c r="A1043" s="76" t="s">
        <v>685</v>
      </c>
      <c r="B1043" s="76" t="s">
        <v>419</v>
      </c>
      <c r="C1043" s="77">
        <v>41061</v>
      </c>
      <c r="D1043" s="78">
        <v>41425</v>
      </c>
      <c r="E1043" s="79">
        <v>0.12</v>
      </c>
      <c r="F1043" s="80">
        <v>18255.22</v>
      </c>
      <c r="G1043" s="81"/>
      <c r="H1043" s="80">
        <v>2190.5300000000002</v>
      </c>
      <c r="I1043" s="79">
        <f t="shared" si="9"/>
        <v>0.11999471931863873</v>
      </c>
    </row>
    <row r="1044" spans="1:9" x14ac:dyDescent="0.25">
      <c r="A1044" s="76" t="s">
        <v>665</v>
      </c>
      <c r="B1044" s="76" t="s">
        <v>673</v>
      </c>
      <c r="C1044" s="77">
        <v>41061</v>
      </c>
      <c r="D1044" s="78">
        <v>41425</v>
      </c>
      <c r="E1044" s="79">
        <v>0.189</v>
      </c>
      <c r="F1044" s="80">
        <v>46456</v>
      </c>
      <c r="G1044" s="81"/>
      <c r="H1044" s="80">
        <v>9756</v>
      </c>
      <c r="I1044" s="79">
        <f t="shared" si="9"/>
        <v>0.21000516617874979</v>
      </c>
    </row>
    <row r="1045" spans="1:9" x14ac:dyDescent="0.25">
      <c r="A1045" s="76" t="s">
        <v>685</v>
      </c>
      <c r="B1045" s="76" t="s">
        <v>689</v>
      </c>
      <c r="C1045" s="77">
        <v>40848</v>
      </c>
      <c r="D1045" s="78">
        <v>41213</v>
      </c>
      <c r="E1045" s="79">
        <v>0.15</v>
      </c>
      <c r="F1045" s="80">
        <v>128936</v>
      </c>
      <c r="G1045" s="81"/>
      <c r="H1045" s="80">
        <v>19340</v>
      </c>
      <c r="I1045" s="79">
        <f t="shared" si="9"/>
        <v>0.14999689768567351</v>
      </c>
    </row>
    <row r="1046" spans="1:9" x14ac:dyDescent="0.25">
      <c r="A1046" s="76" t="s">
        <v>594</v>
      </c>
      <c r="B1046" s="76" t="s">
        <v>597</v>
      </c>
      <c r="C1046" s="77">
        <v>40805</v>
      </c>
      <c r="D1046" s="78">
        <v>41170</v>
      </c>
      <c r="E1046" s="79">
        <v>0.35099999999999998</v>
      </c>
      <c r="F1046" s="80">
        <v>153250.17000000001</v>
      </c>
      <c r="G1046" s="81"/>
      <c r="H1046" s="80">
        <v>100750.17</v>
      </c>
      <c r="I1046" s="79">
        <f t="shared" si="9"/>
        <v>0.6574228922551929</v>
      </c>
    </row>
    <row r="1047" spans="1:9" x14ac:dyDescent="0.25">
      <c r="A1047" s="76" t="s">
        <v>594</v>
      </c>
      <c r="B1047" s="76" t="s">
        <v>597</v>
      </c>
      <c r="C1047" s="77">
        <v>40805</v>
      </c>
      <c r="D1047" s="78">
        <v>41170</v>
      </c>
      <c r="E1047" s="79">
        <v>0.35099999999999998</v>
      </c>
      <c r="F1047" s="80"/>
      <c r="G1047" s="81">
        <v>11374.05</v>
      </c>
      <c r="H1047" s="80">
        <v>7699.05</v>
      </c>
      <c r="I1047" s="79">
        <f>H1047/G1047</f>
        <v>0.67689609242090554</v>
      </c>
    </row>
    <row r="1048" spans="1:9" x14ac:dyDescent="0.25">
      <c r="A1048" s="70" t="s">
        <v>146</v>
      </c>
      <c r="B1048" s="70" t="s">
        <v>150</v>
      </c>
      <c r="C1048" s="71">
        <v>40646</v>
      </c>
      <c r="D1048" s="72">
        <v>40999</v>
      </c>
      <c r="E1048" s="101">
        <v>4.4999999999999999E-4</v>
      </c>
      <c r="F1048" s="74">
        <v>11590</v>
      </c>
      <c r="G1048" s="75"/>
      <c r="H1048" s="74">
        <v>-12016.92</v>
      </c>
      <c r="I1048" s="73">
        <v>-1.0368352027610008</v>
      </c>
    </row>
    <row r="1049" spans="1:9" x14ac:dyDescent="0.25">
      <c r="A1049" s="76" t="s">
        <v>315</v>
      </c>
      <c r="B1049" s="76" t="s">
        <v>343</v>
      </c>
      <c r="C1049" s="77">
        <v>40844</v>
      </c>
      <c r="D1049" s="78">
        <v>41209</v>
      </c>
      <c r="E1049" s="79">
        <v>0</v>
      </c>
      <c r="F1049" s="80">
        <v>86432.79</v>
      </c>
      <c r="G1049" s="81"/>
      <c r="H1049" s="80">
        <v>24561.26</v>
      </c>
      <c r="I1049" s="79">
        <f>H1049/F1049</f>
        <v>0.28416599764973455</v>
      </c>
    </row>
    <row r="1050" spans="1:9" x14ac:dyDescent="0.25">
      <c r="A1050" s="76" t="s">
        <v>315</v>
      </c>
      <c r="B1050" s="76" t="s">
        <v>343</v>
      </c>
      <c r="C1050" s="77">
        <v>40844</v>
      </c>
      <c r="D1050" s="78">
        <v>41209</v>
      </c>
      <c r="E1050" s="79">
        <v>0</v>
      </c>
      <c r="F1050" s="80"/>
      <c r="G1050" s="81">
        <v>3365</v>
      </c>
      <c r="H1050" s="80">
        <v>956.22</v>
      </c>
      <c r="I1050" s="79">
        <f>H1050/G1050</f>
        <v>0.2841664190193165</v>
      </c>
    </row>
    <row r="1051" spans="1:9" x14ac:dyDescent="0.25">
      <c r="A1051" s="76" t="s">
        <v>317</v>
      </c>
      <c r="B1051" s="76" t="s">
        <v>321</v>
      </c>
      <c r="C1051" s="77">
        <v>40648</v>
      </c>
      <c r="D1051" s="78">
        <v>41013</v>
      </c>
      <c r="E1051" s="79">
        <v>0</v>
      </c>
      <c r="F1051" s="80">
        <v>0</v>
      </c>
      <c r="G1051" s="81"/>
      <c r="H1051" s="80">
        <v>0</v>
      </c>
      <c r="I1051" s="79">
        <v>0</v>
      </c>
    </row>
    <row r="1052" spans="1:9" x14ac:dyDescent="0.25">
      <c r="A1052" s="76" t="s">
        <v>317</v>
      </c>
      <c r="B1052" s="76" t="s">
        <v>321</v>
      </c>
      <c r="C1052" s="77">
        <v>40648</v>
      </c>
      <c r="D1052" s="78">
        <v>41013</v>
      </c>
      <c r="E1052" s="79">
        <v>0</v>
      </c>
      <c r="F1052" s="80"/>
      <c r="G1052" s="81">
        <v>0</v>
      </c>
      <c r="H1052" s="80">
        <v>0</v>
      </c>
      <c r="I1052" s="79">
        <v>0</v>
      </c>
    </row>
    <row r="1053" spans="1:9" x14ac:dyDescent="0.25">
      <c r="A1053" s="76" t="s">
        <v>317</v>
      </c>
      <c r="B1053" s="76" t="s">
        <v>321</v>
      </c>
      <c r="C1053" s="77">
        <v>40648</v>
      </c>
      <c r="D1053" s="78">
        <v>41013</v>
      </c>
      <c r="E1053" s="79">
        <v>0</v>
      </c>
      <c r="F1053" s="80">
        <v>0</v>
      </c>
      <c r="G1053" s="81"/>
      <c r="H1053" s="80">
        <v>0</v>
      </c>
      <c r="I1053" s="79">
        <v>0</v>
      </c>
    </row>
    <row r="1054" spans="1:9" x14ac:dyDescent="0.25">
      <c r="A1054" s="76" t="s">
        <v>317</v>
      </c>
      <c r="B1054" s="76" t="s">
        <v>321</v>
      </c>
      <c r="C1054" s="77">
        <v>40648</v>
      </c>
      <c r="D1054" s="78">
        <v>41013</v>
      </c>
      <c r="E1054" s="79">
        <v>0</v>
      </c>
      <c r="F1054" s="80"/>
      <c r="G1054" s="81">
        <v>0</v>
      </c>
      <c r="H1054" s="80">
        <v>0</v>
      </c>
      <c r="I1054" s="79">
        <v>0</v>
      </c>
    </row>
    <row r="1055" spans="1:9" ht="28.5" x14ac:dyDescent="0.25">
      <c r="A1055" s="76" t="s">
        <v>317</v>
      </c>
      <c r="B1055" s="76" t="s">
        <v>357</v>
      </c>
      <c r="C1055" s="77">
        <v>41201</v>
      </c>
      <c r="D1055" s="78">
        <v>41378</v>
      </c>
      <c r="E1055" s="79">
        <v>8.9999999999999998E-4</v>
      </c>
      <c r="F1055" s="80">
        <v>4871.46</v>
      </c>
      <c r="G1055" s="81"/>
      <c r="H1055" s="80">
        <v>5.8</v>
      </c>
      <c r="I1055" s="79">
        <f>H1055/F1055</f>
        <v>1.1906081544341943E-3</v>
      </c>
    </row>
    <row r="1056" spans="1:9" ht="28.5" x14ac:dyDescent="0.25">
      <c r="A1056" s="76" t="s">
        <v>317</v>
      </c>
      <c r="B1056" s="76" t="s">
        <v>357</v>
      </c>
      <c r="C1056" s="77">
        <v>41201</v>
      </c>
      <c r="D1056" s="78">
        <v>41378</v>
      </c>
      <c r="E1056" s="79">
        <v>8.9999999999999998E-4</v>
      </c>
      <c r="F1056" s="80"/>
      <c r="G1056" s="81">
        <v>160</v>
      </c>
      <c r="H1056" s="80">
        <v>0.19</v>
      </c>
      <c r="I1056" s="79">
        <f>H1056/G1056</f>
        <v>1.1875E-3</v>
      </c>
    </row>
    <row r="1057" spans="1:9" x14ac:dyDescent="0.25">
      <c r="A1057" s="70" t="s">
        <v>38</v>
      </c>
      <c r="B1057" s="70" t="s">
        <v>46</v>
      </c>
      <c r="C1057" s="71">
        <v>40787</v>
      </c>
      <c r="D1057" s="72">
        <v>41152</v>
      </c>
      <c r="E1057" s="73">
        <v>0.40500000000000003</v>
      </c>
      <c r="F1057" s="74"/>
      <c r="G1057" s="75">
        <v>2360</v>
      </c>
      <c r="H1057" s="74">
        <v>1062</v>
      </c>
      <c r="I1057" s="73">
        <v>0.45</v>
      </c>
    </row>
    <row r="1058" spans="1:9" x14ac:dyDescent="0.25">
      <c r="A1058" s="76" t="s">
        <v>790</v>
      </c>
      <c r="B1058" s="76" t="s">
        <v>483</v>
      </c>
      <c r="C1058" s="77">
        <v>40603</v>
      </c>
      <c r="D1058" s="78">
        <v>40967</v>
      </c>
      <c r="E1058" s="79">
        <v>0.16</v>
      </c>
      <c r="F1058" s="80">
        <v>29501</v>
      </c>
      <c r="G1058" s="81"/>
      <c r="H1058" s="80">
        <v>4720.16</v>
      </c>
      <c r="I1058" s="73">
        <f>H1058/F1058</f>
        <v>0.16</v>
      </c>
    </row>
    <row r="1059" spans="1:9" x14ac:dyDescent="0.25">
      <c r="A1059" s="76" t="s">
        <v>790</v>
      </c>
      <c r="B1059" s="76" t="s">
        <v>483</v>
      </c>
      <c r="C1059" s="77">
        <v>40603</v>
      </c>
      <c r="D1059" s="78">
        <v>40967</v>
      </c>
      <c r="E1059" s="79">
        <v>0.16</v>
      </c>
      <c r="F1059" s="80"/>
      <c r="G1059" s="81">
        <v>5949</v>
      </c>
      <c r="H1059" s="80">
        <v>951.84</v>
      </c>
      <c r="I1059" s="73">
        <f>H1059/G1059</f>
        <v>0.16</v>
      </c>
    </row>
    <row r="1060" spans="1:9" x14ac:dyDescent="0.25">
      <c r="A1060" s="76" t="s">
        <v>478</v>
      </c>
      <c r="B1060" s="76" t="s">
        <v>483</v>
      </c>
      <c r="C1060" s="77">
        <v>40918</v>
      </c>
      <c r="D1060" s="78">
        <v>41274</v>
      </c>
      <c r="E1060" s="79">
        <v>0.15</v>
      </c>
      <c r="F1060" s="80">
        <v>152971.32999999999</v>
      </c>
      <c r="G1060" s="81"/>
      <c r="H1060" s="80">
        <v>22945.69</v>
      </c>
      <c r="I1060" s="79">
        <f>H1060/F1060</f>
        <v>0.1499999378968595</v>
      </c>
    </row>
    <row r="1061" spans="1:9" x14ac:dyDescent="0.25">
      <c r="A1061" s="76" t="s">
        <v>643</v>
      </c>
      <c r="B1061" s="76" t="s">
        <v>645</v>
      </c>
      <c r="C1061" s="77">
        <v>40591</v>
      </c>
      <c r="D1061" s="78">
        <v>40955</v>
      </c>
      <c r="E1061" s="79">
        <v>4.4999999999999997E-3</v>
      </c>
      <c r="F1061" s="80">
        <v>2028540.68</v>
      </c>
      <c r="G1061" s="81"/>
      <c r="H1061" s="80">
        <v>567377.74</v>
      </c>
      <c r="I1061" s="79">
        <f>H1061/F1061</f>
        <v>0.27969749169634595</v>
      </c>
    </row>
    <row r="1062" spans="1:9" x14ac:dyDescent="0.25">
      <c r="A1062" s="76" t="s">
        <v>643</v>
      </c>
      <c r="B1062" s="76" t="s">
        <v>645</v>
      </c>
      <c r="C1062" s="77">
        <v>40956</v>
      </c>
      <c r="D1062" s="78">
        <v>41274</v>
      </c>
      <c r="E1062" s="79">
        <v>4.4999999999999997E-3</v>
      </c>
      <c r="F1062" s="80">
        <v>2024532.84</v>
      </c>
      <c r="G1062" s="81"/>
      <c r="H1062" s="80">
        <v>437195.04</v>
      </c>
      <c r="I1062" s="79">
        <f>H1062/F1062</f>
        <v>0.21594860372825564</v>
      </c>
    </row>
    <row r="1063" spans="1:9" x14ac:dyDescent="0.25">
      <c r="A1063" s="76" t="s">
        <v>643</v>
      </c>
      <c r="B1063" s="76" t="s">
        <v>645</v>
      </c>
      <c r="C1063" s="77">
        <v>40956</v>
      </c>
      <c r="D1063" s="78">
        <v>41274</v>
      </c>
      <c r="E1063" s="79">
        <v>4.4999999999999997E-3</v>
      </c>
      <c r="F1063" s="80"/>
      <c r="G1063" s="81">
        <v>57344.04</v>
      </c>
      <c r="H1063" s="80">
        <v>9905.5</v>
      </c>
      <c r="I1063" s="79">
        <f>H1063/G1063</f>
        <v>0.17273809100300572</v>
      </c>
    </row>
    <row r="1064" spans="1:9" x14ac:dyDescent="0.25">
      <c r="A1064" s="76" t="s">
        <v>643</v>
      </c>
      <c r="B1064" s="76" t="s">
        <v>645</v>
      </c>
      <c r="C1064" s="77">
        <v>40591</v>
      </c>
      <c r="D1064" s="78">
        <v>40955</v>
      </c>
      <c r="E1064" s="79">
        <v>4.4999999999999997E-3</v>
      </c>
      <c r="F1064" s="80"/>
      <c r="G1064" s="81">
        <v>70134.039999999994</v>
      </c>
      <c r="H1064" s="80">
        <v>3609.86</v>
      </c>
      <c r="I1064" s="79">
        <f>H1064/G1064</f>
        <v>5.1470869209872989E-2</v>
      </c>
    </row>
    <row r="1065" spans="1:9" x14ac:dyDescent="0.25">
      <c r="A1065" s="76" t="s">
        <v>512</v>
      </c>
      <c r="B1065" s="76" t="s">
        <v>513</v>
      </c>
      <c r="C1065" s="77">
        <v>40968</v>
      </c>
      <c r="D1065" s="78">
        <v>41333</v>
      </c>
      <c r="E1065" s="79">
        <v>0.09</v>
      </c>
      <c r="F1065" s="80"/>
      <c r="G1065" s="81">
        <v>477</v>
      </c>
      <c r="H1065" s="80">
        <v>47.7</v>
      </c>
      <c r="I1065" s="79">
        <f>H1065/G1065</f>
        <v>0.1</v>
      </c>
    </row>
    <row r="1066" spans="1:9" x14ac:dyDescent="0.25">
      <c r="A1066" s="76" t="s">
        <v>281</v>
      </c>
      <c r="B1066" s="76" t="s">
        <v>283</v>
      </c>
      <c r="C1066" s="77">
        <v>40575</v>
      </c>
      <c r="D1066" s="78">
        <v>40999</v>
      </c>
      <c r="E1066" s="79">
        <v>0</v>
      </c>
      <c r="F1066" s="80">
        <v>326963</v>
      </c>
      <c r="G1066" s="81"/>
      <c r="H1066" s="80">
        <v>268731.40999999997</v>
      </c>
      <c r="I1066" s="79">
        <f>H1066/F1066</f>
        <v>0.82190159131155505</v>
      </c>
    </row>
    <row r="1067" spans="1:9" x14ac:dyDescent="0.25">
      <c r="A1067" s="76" t="s">
        <v>281</v>
      </c>
      <c r="B1067" s="76" t="s">
        <v>283</v>
      </c>
      <c r="C1067" s="77">
        <v>40940</v>
      </c>
      <c r="D1067" s="78">
        <v>41274</v>
      </c>
      <c r="E1067" s="79">
        <v>0</v>
      </c>
      <c r="F1067" s="80">
        <v>271148.86</v>
      </c>
      <c r="G1067" s="81"/>
      <c r="H1067" s="80">
        <v>223165.86</v>
      </c>
      <c r="I1067" s="79">
        <f>H1067/F1067</f>
        <v>0.82303816435001786</v>
      </c>
    </row>
    <row r="1068" spans="1:9" x14ac:dyDescent="0.25">
      <c r="A1068" s="76" t="s">
        <v>281</v>
      </c>
      <c r="B1068" s="76" t="s">
        <v>283</v>
      </c>
      <c r="C1068" s="77">
        <v>40575</v>
      </c>
      <c r="D1068" s="78">
        <v>40999</v>
      </c>
      <c r="E1068" s="79">
        <v>0</v>
      </c>
      <c r="F1068" s="80"/>
      <c r="G1068" s="81">
        <v>0</v>
      </c>
      <c r="H1068" s="80">
        <v>0</v>
      </c>
      <c r="I1068" s="79">
        <v>0</v>
      </c>
    </row>
    <row r="1069" spans="1:9" x14ac:dyDescent="0.25">
      <c r="A1069" s="76" t="s">
        <v>281</v>
      </c>
      <c r="B1069" s="76" t="s">
        <v>282</v>
      </c>
      <c r="C1069" s="77">
        <v>40940</v>
      </c>
      <c r="D1069" s="78">
        <v>41274</v>
      </c>
      <c r="E1069" s="79">
        <v>0</v>
      </c>
      <c r="F1069" s="80">
        <v>191191.6</v>
      </c>
      <c r="G1069" s="81"/>
      <c r="H1069" s="80">
        <v>143312.65</v>
      </c>
      <c r="I1069" s="79">
        <f>H1069/F1069</f>
        <v>0.74957607970224627</v>
      </c>
    </row>
    <row r="1070" spans="1:9" x14ac:dyDescent="0.25">
      <c r="A1070" s="76" t="s">
        <v>281</v>
      </c>
      <c r="B1070" s="76" t="s">
        <v>282</v>
      </c>
      <c r="C1070" s="77">
        <v>40575</v>
      </c>
      <c r="D1070" s="78">
        <v>40939</v>
      </c>
      <c r="E1070" s="79">
        <v>0</v>
      </c>
      <c r="F1070" s="80">
        <v>187684.67</v>
      </c>
      <c r="G1070" s="81"/>
      <c r="H1070" s="80">
        <v>137022.14000000001</v>
      </c>
      <c r="I1070" s="79">
        <f>H1070/F1070</f>
        <v>0.73006570009154181</v>
      </c>
    </row>
    <row r="1071" spans="1:9" x14ac:dyDescent="0.25">
      <c r="A1071" s="76" t="s">
        <v>281</v>
      </c>
      <c r="B1071" s="76" t="s">
        <v>282</v>
      </c>
      <c r="C1071" s="77">
        <v>40575</v>
      </c>
      <c r="D1071" s="78">
        <v>40939</v>
      </c>
      <c r="E1071" s="79">
        <v>0</v>
      </c>
      <c r="F1071" s="80"/>
      <c r="G1071" s="81">
        <v>0</v>
      </c>
      <c r="H1071" s="80">
        <v>0</v>
      </c>
      <c r="I1071" s="79">
        <v>0</v>
      </c>
    </row>
    <row r="1072" spans="1:9" x14ac:dyDescent="0.25">
      <c r="A1072" s="76" t="s">
        <v>171</v>
      </c>
      <c r="B1072" s="76" t="s">
        <v>190</v>
      </c>
      <c r="C1072" s="77">
        <v>40848</v>
      </c>
      <c r="D1072" s="78">
        <v>41213</v>
      </c>
      <c r="E1072" s="79">
        <v>1.7999999999999999E-2</v>
      </c>
      <c r="F1072" s="80">
        <v>394773</v>
      </c>
      <c r="G1072" s="81"/>
      <c r="H1072" s="80">
        <v>239069</v>
      </c>
      <c r="I1072" s="79">
        <f>H1072/F1072</f>
        <v>0.60558599498952559</v>
      </c>
    </row>
    <row r="1073" spans="1:9" x14ac:dyDescent="0.25">
      <c r="A1073" s="76" t="s">
        <v>171</v>
      </c>
      <c r="B1073" s="76" t="s">
        <v>190</v>
      </c>
      <c r="C1073" s="77">
        <v>40848</v>
      </c>
      <c r="D1073" s="78">
        <v>41213</v>
      </c>
      <c r="E1073" s="79">
        <v>1.7999999999999999E-2</v>
      </c>
      <c r="F1073" s="80"/>
      <c r="G1073" s="81">
        <v>6496</v>
      </c>
      <c r="H1073" s="80">
        <v>2460</v>
      </c>
      <c r="I1073" s="79">
        <f>H1073/G1073</f>
        <v>0.3786945812807882</v>
      </c>
    </row>
    <row r="1074" spans="1:9" x14ac:dyDescent="0.25">
      <c r="A1074" s="76" t="s">
        <v>263</v>
      </c>
      <c r="B1074" s="76" t="s">
        <v>190</v>
      </c>
      <c r="C1074" s="77">
        <v>40911</v>
      </c>
      <c r="D1074" s="78">
        <v>41276</v>
      </c>
      <c r="E1074" s="79">
        <v>8.9999999999999993E-3</v>
      </c>
      <c r="F1074" s="80">
        <v>136777</v>
      </c>
      <c r="G1074" s="81"/>
      <c r="H1074" s="80">
        <v>49937.8</v>
      </c>
      <c r="I1074" s="79">
        <f>H1074/F1074</f>
        <v>0.36510378206862265</v>
      </c>
    </row>
    <row r="1075" spans="1:9" x14ac:dyDescent="0.25">
      <c r="A1075" s="76" t="s">
        <v>263</v>
      </c>
      <c r="B1075" s="76" t="s">
        <v>190</v>
      </c>
      <c r="C1075" s="77">
        <v>40911</v>
      </c>
      <c r="D1075" s="78">
        <v>41276</v>
      </c>
      <c r="E1075" s="79">
        <v>8.9999999999999993E-3</v>
      </c>
      <c r="F1075" s="80"/>
      <c r="G1075" s="81">
        <v>3895</v>
      </c>
      <c r="H1075" s="80">
        <v>2633.02</v>
      </c>
      <c r="I1075" s="79">
        <f>H1075/G1075</f>
        <v>0.67600000000000005</v>
      </c>
    </row>
    <row r="1076" spans="1:9" x14ac:dyDescent="0.25">
      <c r="A1076" s="76" t="s">
        <v>531</v>
      </c>
      <c r="B1076" s="76" t="s">
        <v>190</v>
      </c>
      <c r="C1076" s="77">
        <v>41179</v>
      </c>
      <c r="D1076" s="78">
        <v>41364</v>
      </c>
      <c r="E1076" s="79">
        <v>8.9999999999999993E-3</v>
      </c>
      <c r="F1076" s="80"/>
      <c r="G1076" s="81">
        <v>2268</v>
      </c>
      <c r="H1076" s="80">
        <v>783</v>
      </c>
      <c r="I1076" s="79">
        <f>H1076/G1076</f>
        <v>0.34523809523809523</v>
      </c>
    </row>
    <row r="1077" spans="1:9" x14ac:dyDescent="0.25">
      <c r="A1077" s="76" t="s">
        <v>531</v>
      </c>
      <c r="B1077" s="76" t="s">
        <v>190</v>
      </c>
      <c r="C1077" s="77">
        <v>41179</v>
      </c>
      <c r="D1077" s="78">
        <v>41364</v>
      </c>
      <c r="E1077" s="79">
        <v>8.9999999999999993E-3</v>
      </c>
      <c r="F1077" s="80">
        <v>34447</v>
      </c>
      <c r="G1077" s="81"/>
      <c r="H1077" s="80">
        <v>-485</v>
      </c>
      <c r="I1077" s="79">
        <f>H1077/F1077</f>
        <v>-1.407960054576596E-2</v>
      </c>
    </row>
    <row r="1078" spans="1:9" x14ac:dyDescent="0.25">
      <c r="A1078" s="76" t="s">
        <v>613</v>
      </c>
      <c r="B1078" s="76" t="s">
        <v>190</v>
      </c>
      <c r="C1078" s="77">
        <v>41019</v>
      </c>
      <c r="D1078" s="78">
        <v>41364</v>
      </c>
      <c r="E1078" s="79">
        <v>8.9999999999999993E-3</v>
      </c>
      <c r="F1078" s="80">
        <v>30246</v>
      </c>
      <c r="G1078" s="81"/>
      <c r="H1078" s="80">
        <v>19366</v>
      </c>
      <c r="I1078" s="79">
        <f>H1078/F1078</f>
        <v>0.64028301262976928</v>
      </c>
    </row>
    <row r="1079" spans="1:9" x14ac:dyDescent="0.25">
      <c r="A1079" s="76" t="s">
        <v>613</v>
      </c>
      <c r="B1079" s="76" t="s">
        <v>190</v>
      </c>
      <c r="C1079" s="77">
        <v>41019</v>
      </c>
      <c r="D1079" s="78">
        <v>41364</v>
      </c>
      <c r="E1079" s="79">
        <v>8.9999999999999993E-3</v>
      </c>
      <c r="F1079" s="80"/>
      <c r="G1079" s="81">
        <v>875</v>
      </c>
      <c r="H1079" s="80">
        <v>608</v>
      </c>
      <c r="I1079" s="79">
        <f>H1079/G1079</f>
        <v>0.69485714285714284</v>
      </c>
    </row>
    <row r="1080" spans="1:9" x14ac:dyDescent="0.25">
      <c r="A1080" s="76" t="s">
        <v>613</v>
      </c>
      <c r="B1080" s="110" t="s">
        <v>190</v>
      </c>
      <c r="C1080" s="77">
        <v>40738</v>
      </c>
      <c r="D1080" s="78">
        <v>40999</v>
      </c>
      <c r="E1080" s="79">
        <v>8.9999999999999993E-3</v>
      </c>
      <c r="F1080" s="80"/>
      <c r="G1080" s="81">
        <v>2485</v>
      </c>
      <c r="H1080" s="80">
        <v>25</v>
      </c>
      <c r="I1080" s="79">
        <f>H1080/G1080</f>
        <v>1.0060362173038229E-2</v>
      </c>
    </row>
    <row r="1081" spans="1:9" x14ac:dyDescent="0.25">
      <c r="A1081" s="76" t="s">
        <v>622</v>
      </c>
      <c r="B1081" s="110" t="s">
        <v>190</v>
      </c>
      <c r="C1081" s="77">
        <v>40738</v>
      </c>
      <c r="D1081" s="78">
        <v>40999</v>
      </c>
      <c r="E1081" s="79">
        <v>8.9999999999999993E-3</v>
      </c>
      <c r="F1081" s="80">
        <v>95116</v>
      </c>
      <c r="G1081" s="81"/>
      <c r="H1081" s="80">
        <v>-31223</v>
      </c>
      <c r="I1081" s="79">
        <f>H1081/F1081</f>
        <v>-0.32826233231002144</v>
      </c>
    </row>
    <row r="1082" spans="1:9" x14ac:dyDescent="0.25">
      <c r="A1082" s="76" t="s">
        <v>674</v>
      </c>
      <c r="B1082" s="76" t="s">
        <v>190</v>
      </c>
      <c r="C1082" s="77">
        <v>41086</v>
      </c>
      <c r="D1082" s="78">
        <v>41274</v>
      </c>
      <c r="E1082" s="79">
        <v>0.1719</v>
      </c>
      <c r="F1082" s="80"/>
      <c r="G1082" s="81">
        <v>1806</v>
      </c>
      <c r="H1082" s="80">
        <v>-159.53</v>
      </c>
      <c r="I1082" s="79">
        <f>H1082/G1082</f>
        <v>-8.8333333333333333E-2</v>
      </c>
    </row>
    <row r="1083" spans="1:9" x14ac:dyDescent="0.25">
      <c r="A1083" s="76" t="s">
        <v>674</v>
      </c>
      <c r="B1083" s="76" t="s">
        <v>190</v>
      </c>
      <c r="C1083" s="77">
        <v>41086</v>
      </c>
      <c r="D1083" s="78">
        <v>41274</v>
      </c>
      <c r="E1083" s="79">
        <v>0.1719</v>
      </c>
      <c r="F1083" s="80">
        <v>57093</v>
      </c>
      <c r="G1083" s="81"/>
      <c r="H1083" s="80">
        <v>-5563</v>
      </c>
      <c r="I1083" s="79">
        <f>H1083/F1083</f>
        <v>-9.74375142311667E-2</v>
      </c>
    </row>
    <row r="1084" spans="1:9" x14ac:dyDescent="0.25">
      <c r="A1084" s="70" t="s">
        <v>87</v>
      </c>
      <c r="B1084" s="70" t="s">
        <v>89</v>
      </c>
      <c r="C1084" s="71">
        <v>40787</v>
      </c>
      <c r="D1084" s="72">
        <v>41152</v>
      </c>
      <c r="E1084" s="73">
        <v>0.92500000000000004</v>
      </c>
      <c r="F1084" s="74">
        <v>9855.6299999999992</v>
      </c>
      <c r="G1084" s="75"/>
      <c r="H1084" s="74">
        <v>9116.4599999999991</v>
      </c>
      <c r="I1084" s="73">
        <v>0.925000228295908</v>
      </c>
    </row>
    <row r="1085" spans="1:9" x14ac:dyDescent="0.25">
      <c r="A1085" s="70" t="s">
        <v>87</v>
      </c>
      <c r="B1085" s="70" t="s">
        <v>89</v>
      </c>
      <c r="C1085" s="71">
        <v>40787</v>
      </c>
      <c r="D1085" s="72">
        <v>41152</v>
      </c>
      <c r="E1085" s="73">
        <v>0.92500000000000004</v>
      </c>
      <c r="F1085" s="74"/>
      <c r="G1085" s="75">
        <v>189.56</v>
      </c>
      <c r="H1085" s="74">
        <v>175.34</v>
      </c>
      <c r="I1085" s="73">
        <v>0.92498417387634524</v>
      </c>
    </row>
    <row r="1086" spans="1:9" x14ac:dyDescent="0.25">
      <c r="A1086" s="76" t="s">
        <v>502</v>
      </c>
      <c r="B1086" s="76" t="s">
        <v>503</v>
      </c>
      <c r="C1086" s="77">
        <v>41153</v>
      </c>
      <c r="D1086" s="78">
        <v>41289</v>
      </c>
      <c r="E1086" s="79">
        <v>0.92500000000000004</v>
      </c>
      <c r="F1086" s="80">
        <v>692.59</v>
      </c>
      <c r="G1086" s="81"/>
      <c r="H1086" s="80">
        <v>645.37</v>
      </c>
      <c r="I1086" s="79">
        <f>H1086/F1086</f>
        <v>0.93182113515932941</v>
      </c>
    </row>
    <row r="1087" spans="1:9" x14ac:dyDescent="0.25">
      <c r="A1087" s="76" t="s">
        <v>502</v>
      </c>
      <c r="B1087" s="76" t="s">
        <v>503</v>
      </c>
      <c r="C1087" s="77">
        <v>41153</v>
      </c>
      <c r="D1087" s="78">
        <v>41289</v>
      </c>
      <c r="E1087" s="79">
        <v>0.92500000000000004</v>
      </c>
      <c r="F1087" s="80"/>
      <c r="G1087" s="81">
        <v>0.14000000000000001</v>
      </c>
      <c r="H1087" s="80">
        <v>0.13</v>
      </c>
      <c r="I1087" s="79">
        <f>H1087/G1087</f>
        <v>0.92857142857142849</v>
      </c>
    </row>
    <row r="1088" spans="1:9" x14ac:dyDescent="0.25">
      <c r="A1088" s="70" t="s">
        <v>80</v>
      </c>
      <c r="B1088" s="70" t="s">
        <v>81</v>
      </c>
      <c r="C1088" s="71">
        <v>40857</v>
      </c>
      <c r="D1088" s="72">
        <v>41222</v>
      </c>
      <c r="E1088" s="73">
        <v>8.9999999999999993E-3</v>
      </c>
      <c r="F1088" s="74">
        <v>150681</v>
      </c>
      <c r="G1088" s="75"/>
      <c r="H1088" s="74">
        <v>90559</v>
      </c>
      <c r="I1088" s="73">
        <v>0.60099813513316214</v>
      </c>
    </row>
    <row r="1089" spans="1:9" x14ac:dyDescent="0.25">
      <c r="A1089" s="70" t="s">
        <v>80</v>
      </c>
      <c r="B1089" s="70" t="s">
        <v>81</v>
      </c>
      <c r="C1089" s="71">
        <v>40857</v>
      </c>
      <c r="D1089" s="72">
        <v>41222</v>
      </c>
      <c r="E1089" s="73">
        <v>8.9999999999999993E-3</v>
      </c>
      <c r="F1089" s="74"/>
      <c r="G1089" s="75">
        <v>2750</v>
      </c>
      <c r="H1089" s="74">
        <v>1477</v>
      </c>
      <c r="I1089" s="73">
        <v>0.53709090909090906</v>
      </c>
    </row>
    <row r="1090" spans="1:9" x14ac:dyDescent="0.25">
      <c r="A1090" s="70" t="s">
        <v>146</v>
      </c>
      <c r="B1090" s="70" t="s">
        <v>81</v>
      </c>
      <c r="C1090" s="71">
        <v>40913</v>
      </c>
      <c r="D1090" s="72">
        <v>41263</v>
      </c>
      <c r="E1090" s="101">
        <v>4.4999999999999999E-4</v>
      </c>
      <c r="F1090" s="74">
        <v>395</v>
      </c>
      <c r="G1090" s="75"/>
      <c r="H1090" s="74">
        <v>-15353</v>
      </c>
      <c r="I1090" s="73">
        <f>H1090/F1090</f>
        <v>-38.868354430379746</v>
      </c>
    </row>
    <row r="1091" spans="1:9" x14ac:dyDescent="0.25">
      <c r="A1091" s="76" t="s">
        <v>171</v>
      </c>
      <c r="B1091" s="76" t="s">
        <v>176</v>
      </c>
      <c r="C1091" s="77">
        <v>40771</v>
      </c>
      <c r="D1091" s="78">
        <v>41121</v>
      </c>
      <c r="E1091" s="79">
        <v>1.7999999999999999E-2</v>
      </c>
      <c r="F1091" s="80">
        <v>11686</v>
      </c>
      <c r="G1091" s="81"/>
      <c r="H1091" s="80">
        <v>2319</v>
      </c>
      <c r="I1091" s="79">
        <f>H1091/F1091</f>
        <v>0.19844258086599351</v>
      </c>
    </row>
    <row r="1092" spans="1:9" x14ac:dyDescent="0.25">
      <c r="A1092" s="76" t="s">
        <v>578</v>
      </c>
      <c r="B1092" s="76" t="s">
        <v>176</v>
      </c>
      <c r="C1092" s="77">
        <v>40717</v>
      </c>
      <c r="D1092" s="78">
        <v>41020</v>
      </c>
      <c r="E1092" s="79">
        <v>0</v>
      </c>
      <c r="F1092" s="80">
        <v>89838</v>
      </c>
      <c r="G1092" s="88"/>
      <c r="H1092" s="80">
        <v>61357.62</v>
      </c>
      <c r="I1092" s="79">
        <f>H1092/F1092</f>
        <v>0.6829806985907968</v>
      </c>
    </row>
    <row r="1093" spans="1:9" x14ac:dyDescent="0.25">
      <c r="A1093" s="76" t="s">
        <v>289</v>
      </c>
      <c r="B1093" s="76" t="s">
        <v>297</v>
      </c>
      <c r="C1093" s="77">
        <v>40862</v>
      </c>
      <c r="D1093" s="78">
        <v>40983</v>
      </c>
      <c r="E1093" s="79">
        <v>0.13</v>
      </c>
      <c r="F1093" s="79"/>
      <c r="G1093" s="81">
        <v>10413</v>
      </c>
      <c r="H1093" s="80">
        <v>1369.69</v>
      </c>
      <c r="I1093" s="79">
        <f>H1093/G1093</f>
        <v>0.13153654086238356</v>
      </c>
    </row>
    <row r="1094" spans="1:9" x14ac:dyDescent="0.25">
      <c r="A1094" s="76" t="s">
        <v>289</v>
      </c>
      <c r="B1094" s="76" t="s">
        <v>297</v>
      </c>
      <c r="C1094" s="77">
        <v>41239</v>
      </c>
      <c r="D1094" s="78">
        <v>41331</v>
      </c>
      <c r="E1094" s="79">
        <v>0.13</v>
      </c>
      <c r="F1094" s="88"/>
      <c r="G1094" s="81">
        <v>9282</v>
      </c>
      <c r="H1094" s="80">
        <v>1261.6600000000001</v>
      </c>
      <c r="I1094" s="79">
        <f>H1094/G1094</f>
        <v>0.1359254471019177</v>
      </c>
    </row>
    <row r="1095" spans="1:9" x14ac:dyDescent="0.25">
      <c r="A1095" s="76" t="s">
        <v>289</v>
      </c>
      <c r="B1095" s="76" t="s">
        <v>297</v>
      </c>
      <c r="C1095" s="77">
        <v>41239</v>
      </c>
      <c r="D1095" s="78">
        <v>41331</v>
      </c>
      <c r="E1095" s="79">
        <v>0.13</v>
      </c>
      <c r="F1095" s="88"/>
      <c r="G1095" s="81">
        <v>9282</v>
      </c>
      <c r="H1095" s="80">
        <v>1261.6600000000001</v>
      </c>
      <c r="I1095" s="79">
        <f>H1095/G1095</f>
        <v>0.1359254471019177</v>
      </c>
    </row>
    <row r="1096" spans="1:9" x14ac:dyDescent="0.25">
      <c r="A1096" s="76" t="s">
        <v>313</v>
      </c>
      <c r="B1096" s="76" t="s">
        <v>297</v>
      </c>
      <c r="C1096" s="77">
        <v>41043</v>
      </c>
      <c r="D1096" s="78">
        <v>41153</v>
      </c>
      <c r="E1096" s="79">
        <v>0.13</v>
      </c>
      <c r="F1096" s="88"/>
      <c r="G1096" s="81">
        <v>10364</v>
      </c>
      <c r="H1096" s="80">
        <v>1350.8</v>
      </c>
      <c r="I1096" s="79">
        <f>H1096/G1096</f>
        <v>0.1303357776920108</v>
      </c>
    </row>
    <row r="1097" spans="1:9" x14ac:dyDescent="0.25">
      <c r="A1097" s="76" t="s">
        <v>613</v>
      </c>
      <c r="B1097" s="76" t="s">
        <v>620</v>
      </c>
      <c r="C1097" s="77">
        <v>41019</v>
      </c>
      <c r="D1097" s="78">
        <v>41274</v>
      </c>
      <c r="E1097" s="79">
        <v>8.9999999999999993E-3</v>
      </c>
      <c r="F1097" s="80">
        <v>54579</v>
      </c>
      <c r="G1097" s="81"/>
      <c r="H1097" s="80">
        <v>13840</v>
      </c>
      <c r="I1097" s="79">
        <f>H1097/F1097</f>
        <v>0.25357738324263912</v>
      </c>
    </row>
    <row r="1098" spans="1:9" x14ac:dyDescent="0.25">
      <c r="A1098" s="76" t="s">
        <v>613</v>
      </c>
      <c r="B1098" s="76" t="s">
        <v>620</v>
      </c>
      <c r="C1098" s="77">
        <v>41019</v>
      </c>
      <c r="D1098" s="78">
        <v>41274</v>
      </c>
      <c r="E1098" s="79">
        <v>8.9999999999999993E-3</v>
      </c>
      <c r="F1098" s="80"/>
      <c r="G1098" s="81">
        <v>185</v>
      </c>
      <c r="H1098" s="80">
        <v>5</v>
      </c>
      <c r="I1098" s="79">
        <f>H1098/G1098</f>
        <v>2.7027027027027029E-2</v>
      </c>
    </row>
    <row r="1099" spans="1:9" x14ac:dyDescent="0.25">
      <c r="A1099" s="70" t="s">
        <v>140</v>
      </c>
      <c r="B1099" s="70" t="s">
        <v>143</v>
      </c>
      <c r="C1099" s="71">
        <v>40931</v>
      </c>
      <c r="D1099" s="72">
        <v>41121</v>
      </c>
      <c r="E1099" s="73">
        <v>0.125</v>
      </c>
      <c r="F1099" s="74">
        <v>178797.94</v>
      </c>
      <c r="G1099" s="75"/>
      <c r="H1099" s="74">
        <v>23286.639999999999</v>
      </c>
      <c r="I1099" s="73">
        <v>0.130239979274929</v>
      </c>
    </row>
    <row r="1100" spans="1:9" x14ac:dyDescent="0.25">
      <c r="A1100" s="70" t="s">
        <v>140</v>
      </c>
      <c r="B1100" s="70" t="s">
        <v>143</v>
      </c>
      <c r="C1100" s="71">
        <v>40931</v>
      </c>
      <c r="D1100" s="72">
        <v>41121</v>
      </c>
      <c r="E1100" s="73">
        <v>0.125</v>
      </c>
      <c r="F1100" s="74"/>
      <c r="G1100" s="75">
        <v>254.56</v>
      </c>
      <c r="H1100" s="74">
        <v>31.82</v>
      </c>
      <c r="I1100" s="73">
        <v>0.125</v>
      </c>
    </row>
    <row r="1101" spans="1:9" x14ac:dyDescent="0.25">
      <c r="A1101" s="70" t="s">
        <v>101</v>
      </c>
      <c r="B1101" s="70" t="s">
        <v>108</v>
      </c>
      <c r="C1101" s="71">
        <v>40817</v>
      </c>
      <c r="D1101" s="72">
        <v>41182</v>
      </c>
      <c r="E1101" s="73">
        <v>1.35E-2</v>
      </c>
      <c r="F1101" s="74">
        <v>172417.28</v>
      </c>
      <c r="G1101" s="75"/>
      <c r="H1101" s="74">
        <v>56853.78</v>
      </c>
      <c r="I1101" s="73">
        <v>0.32974525523195819</v>
      </c>
    </row>
    <row r="1102" spans="1:9" x14ac:dyDescent="0.25">
      <c r="A1102" s="70" t="s">
        <v>101</v>
      </c>
      <c r="B1102" s="70" t="s">
        <v>108</v>
      </c>
      <c r="C1102" s="71">
        <v>40817</v>
      </c>
      <c r="D1102" s="72">
        <v>41182</v>
      </c>
      <c r="E1102" s="73">
        <v>1.35E-2</v>
      </c>
      <c r="F1102" s="74"/>
      <c r="G1102" s="75">
        <v>4862.16</v>
      </c>
      <c r="H1102" s="74">
        <v>1603.27</v>
      </c>
      <c r="I1102" s="73">
        <v>0.32974439343830725</v>
      </c>
    </row>
    <row r="1103" spans="1:9" x14ac:dyDescent="0.25">
      <c r="A1103" s="76" t="s">
        <v>246</v>
      </c>
      <c r="B1103" s="76" t="s">
        <v>108</v>
      </c>
      <c r="C1103" s="77">
        <v>40946</v>
      </c>
      <c r="D1103" s="78">
        <v>41274</v>
      </c>
      <c r="E1103" s="79">
        <v>0</v>
      </c>
      <c r="F1103" s="80">
        <v>33534.120000000003</v>
      </c>
      <c r="G1103" s="81"/>
      <c r="H1103" s="80">
        <v>-31671.8</v>
      </c>
      <c r="I1103" s="79">
        <f>H1103/F1103</f>
        <v>-0.94446492110125435</v>
      </c>
    </row>
    <row r="1104" spans="1:9" x14ac:dyDescent="0.25">
      <c r="A1104" s="76" t="s">
        <v>263</v>
      </c>
      <c r="B1104" s="76" t="s">
        <v>108</v>
      </c>
      <c r="C1104" s="77">
        <v>40952</v>
      </c>
      <c r="D1104" s="78">
        <v>41274</v>
      </c>
      <c r="E1104" s="79">
        <v>8.9999999999999993E-3</v>
      </c>
      <c r="F1104" s="80">
        <v>20031</v>
      </c>
      <c r="G1104" s="81"/>
      <c r="H1104" s="80">
        <v>1258.75</v>
      </c>
      <c r="I1104" s="79">
        <f>H1104/F1104</f>
        <v>6.284009784833508E-2</v>
      </c>
    </row>
    <row r="1105" spans="1:9" x14ac:dyDescent="0.25">
      <c r="A1105" s="76" t="s">
        <v>263</v>
      </c>
      <c r="B1105" s="76" t="s">
        <v>108</v>
      </c>
      <c r="C1105" s="77">
        <v>40952</v>
      </c>
      <c r="D1105" s="78">
        <v>41274</v>
      </c>
      <c r="E1105" s="79">
        <v>8.9999999999999993E-3</v>
      </c>
      <c r="F1105" s="80"/>
      <c r="G1105" s="81">
        <v>445</v>
      </c>
      <c r="H1105" s="80">
        <v>360.45</v>
      </c>
      <c r="I1105" s="79">
        <f>H1105/G1105</f>
        <v>0.80999999999999994</v>
      </c>
    </row>
    <row r="1106" spans="1:9" x14ac:dyDescent="0.25">
      <c r="A1106" s="76" t="s">
        <v>674</v>
      </c>
      <c r="B1106" s="76" t="s">
        <v>108</v>
      </c>
      <c r="C1106" s="77">
        <v>41011</v>
      </c>
      <c r="D1106" s="78">
        <v>41274</v>
      </c>
      <c r="E1106" s="79">
        <v>0.22500000000000001</v>
      </c>
      <c r="F1106" s="80">
        <v>70177.5</v>
      </c>
      <c r="G1106" s="81"/>
      <c r="H1106" s="80">
        <v>36533.339999999997</v>
      </c>
      <c r="I1106" s="79">
        <f>H1106/F1106</f>
        <v>0.52058480282141706</v>
      </c>
    </row>
    <row r="1107" spans="1:9" x14ac:dyDescent="0.25">
      <c r="A1107" s="76" t="s">
        <v>674</v>
      </c>
      <c r="B1107" s="76" t="s">
        <v>108</v>
      </c>
      <c r="C1107" s="77">
        <v>41011</v>
      </c>
      <c r="D1107" s="78">
        <v>41274</v>
      </c>
      <c r="E1107" s="79">
        <v>0.22500000000000001</v>
      </c>
      <c r="F1107" s="80"/>
      <c r="G1107" s="81">
        <v>2625</v>
      </c>
      <c r="H1107" s="80">
        <v>1439.03</v>
      </c>
      <c r="I1107" s="79">
        <f>H1107/G1107</f>
        <v>0.54820190476190478</v>
      </c>
    </row>
    <row r="1108" spans="1:9" x14ac:dyDescent="0.25">
      <c r="A1108" s="76" t="s">
        <v>692</v>
      </c>
      <c r="B1108" s="76" t="s">
        <v>694</v>
      </c>
      <c r="C1108" s="77">
        <v>40909</v>
      </c>
      <c r="D1108" s="78">
        <v>41274</v>
      </c>
      <c r="E1108" s="79">
        <v>8.9999999999999993E-3</v>
      </c>
      <c r="F1108" s="80">
        <v>331488</v>
      </c>
      <c r="G1108" s="81"/>
      <c r="H1108" s="80">
        <v>188881</v>
      </c>
      <c r="I1108" s="79">
        <f>H1108/F1108</f>
        <v>0.56979739839752874</v>
      </c>
    </row>
    <row r="1109" spans="1:9" x14ac:dyDescent="0.25">
      <c r="A1109" s="76" t="s">
        <v>171</v>
      </c>
      <c r="B1109" s="76" t="s">
        <v>178</v>
      </c>
      <c r="C1109" s="77">
        <v>40805</v>
      </c>
      <c r="D1109" s="78">
        <v>41152</v>
      </c>
      <c r="E1109" s="79">
        <v>1.7999999999999999E-2</v>
      </c>
      <c r="F1109" s="80">
        <v>290116</v>
      </c>
      <c r="G1109" s="81"/>
      <c r="H1109" s="80">
        <v>7545</v>
      </c>
      <c r="I1109" s="79">
        <f>H1109/F1109</f>
        <v>2.6006838643852805E-2</v>
      </c>
    </row>
    <row r="1110" spans="1:9" x14ac:dyDescent="0.25">
      <c r="A1110" s="76" t="s">
        <v>317</v>
      </c>
      <c r="B1110" s="76" t="s">
        <v>178</v>
      </c>
      <c r="C1110" s="77">
        <v>40943</v>
      </c>
      <c r="D1110" s="78">
        <v>41274</v>
      </c>
      <c r="E1110" s="79">
        <v>0</v>
      </c>
      <c r="F1110" s="80">
        <v>271893.48</v>
      </c>
      <c r="G1110" s="81"/>
      <c r="H1110" s="80">
        <v>60318.18</v>
      </c>
      <c r="I1110" s="79">
        <f>H1110/F1110</f>
        <v>0.22184489308092273</v>
      </c>
    </row>
    <row r="1111" spans="1:9" x14ac:dyDescent="0.25">
      <c r="A1111" s="76" t="s">
        <v>317</v>
      </c>
      <c r="B1111" s="76" t="s">
        <v>178</v>
      </c>
      <c r="C1111" s="77">
        <v>40943</v>
      </c>
      <c r="D1111" s="78">
        <v>41274</v>
      </c>
      <c r="E1111" s="79">
        <v>0</v>
      </c>
      <c r="F1111" s="80"/>
      <c r="G1111" s="81">
        <v>10880.25</v>
      </c>
      <c r="H1111" s="80">
        <v>2413.73</v>
      </c>
      <c r="I1111" s="79">
        <f>H1111/G1111</f>
        <v>0.22184508628018657</v>
      </c>
    </row>
    <row r="1112" spans="1:9" x14ac:dyDescent="0.25">
      <c r="A1112" s="76" t="s">
        <v>578</v>
      </c>
      <c r="B1112" s="76" t="s">
        <v>178</v>
      </c>
      <c r="C1112" s="77">
        <v>40707</v>
      </c>
      <c r="D1112" s="78">
        <v>40939</v>
      </c>
      <c r="E1112" s="79">
        <v>0</v>
      </c>
      <c r="F1112" s="80">
        <v>286760.31</v>
      </c>
      <c r="G1112" s="88"/>
      <c r="H1112" s="80">
        <v>51142.42</v>
      </c>
      <c r="I1112" s="79">
        <f>H1112/F1112</f>
        <v>0.1783455318485323</v>
      </c>
    </row>
    <row r="1113" spans="1:9" x14ac:dyDescent="0.25">
      <c r="A1113" s="76" t="s">
        <v>289</v>
      </c>
      <c r="B1113" s="76" t="s">
        <v>310</v>
      </c>
      <c r="C1113" s="77">
        <v>41145</v>
      </c>
      <c r="D1113" s="78">
        <v>41202</v>
      </c>
      <c r="E1113" s="79">
        <v>0.13</v>
      </c>
      <c r="F1113" s="88"/>
      <c r="G1113" s="81">
        <v>14644</v>
      </c>
      <c r="H1113" s="80">
        <v>1907.11</v>
      </c>
      <c r="I1113" s="79">
        <f>H1113/G1113</f>
        <v>0.13023149412728763</v>
      </c>
    </row>
    <row r="1114" spans="1:9" x14ac:dyDescent="0.25">
      <c r="A1114" s="76" t="s">
        <v>313</v>
      </c>
      <c r="B1114" s="76" t="s">
        <v>310</v>
      </c>
      <c r="C1114" s="77">
        <v>40968</v>
      </c>
      <c r="D1114" s="78">
        <v>41088</v>
      </c>
      <c r="E1114" s="79">
        <v>0.13</v>
      </c>
      <c r="F1114" s="88"/>
      <c r="G1114" s="81">
        <v>14014</v>
      </c>
      <c r="H1114" s="80">
        <v>1827.82</v>
      </c>
      <c r="I1114" s="79">
        <f>H1114/G1114</f>
        <v>0.13042814328528612</v>
      </c>
    </row>
    <row r="1115" spans="1:9" x14ac:dyDescent="0.25">
      <c r="A1115" s="76" t="s">
        <v>594</v>
      </c>
      <c r="B1115" s="76" t="s">
        <v>604</v>
      </c>
      <c r="C1115" s="77">
        <v>40954</v>
      </c>
      <c r="D1115" s="78">
        <v>41274</v>
      </c>
      <c r="E1115" s="79">
        <v>1.7999999999999999E-2</v>
      </c>
      <c r="F1115" s="80"/>
      <c r="G1115" s="81">
        <v>3295</v>
      </c>
      <c r="H1115" s="80">
        <v>94.46</v>
      </c>
      <c r="I1115" s="79">
        <f>H1115/G1115</f>
        <v>2.8667678300455232E-2</v>
      </c>
    </row>
    <row r="1116" spans="1:9" x14ac:dyDescent="0.25">
      <c r="A1116" s="76" t="s">
        <v>594</v>
      </c>
      <c r="B1116" s="76" t="s">
        <v>604</v>
      </c>
      <c r="C1116" s="77">
        <v>40954</v>
      </c>
      <c r="D1116" s="78">
        <v>41274</v>
      </c>
      <c r="E1116" s="79">
        <v>1.7999999999999999E-2</v>
      </c>
      <c r="F1116" s="80">
        <v>52579.98</v>
      </c>
      <c r="G1116" s="81"/>
      <c r="H1116" s="80">
        <v>-762.37</v>
      </c>
      <c r="I1116" s="79">
        <f>H1116/F1116</f>
        <v>-1.4499244769587208E-2</v>
      </c>
    </row>
    <row r="1117" spans="1:9" x14ac:dyDescent="0.25">
      <c r="A1117" s="70" t="s">
        <v>137</v>
      </c>
      <c r="B1117" s="70" t="s">
        <v>139</v>
      </c>
      <c r="C1117" s="71">
        <v>40802</v>
      </c>
      <c r="D1117" s="72">
        <v>41167</v>
      </c>
      <c r="E1117" s="73">
        <v>0.68400000000000005</v>
      </c>
      <c r="F1117" s="74">
        <v>2069803</v>
      </c>
      <c r="G1117" s="75"/>
      <c r="H1117" s="74">
        <v>1510149.37</v>
      </c>
      <c r="I1117" s="73">
        <v>0.72961019478665368</v>
      </c>
    </row>
    <row r="1118" spans="1:9" x14ac:dyDescent="0.25">
      <c r="A1118" s="76" t="s">
        <v>171</v>
      </c>
      <c r="B1118" s="76" t="s">
        <v>191</v>
      </c>
      <c r="C1118" s="77">
        <v>40873</v>
      </c>
      <c r="D1118" s="78">
        <v>41238</v>
      </c>
      <c r="E1118" s="79">
        <v>1.7999999999999999E-2</v>
      </c>
      <c r="F1118" s="80">
        <v>91461</v>
      </c>
      <c r="G1118" s="81"/>
      <c r="H1118" s="80">
        <v>2918.31</v>
      </c>
      <c r="I1118" s="79">
        <f>H1118/F1118</f>
        <v>3.1907698363236786E-2</v>
      </c>
    </row>
    <row r="1119" spans="1:9" x14ac:dyDescent="0.25">
      <c r="A1119" s="76" t="s">
        <v>317</v>
      </c>
      <c r="B1119" s="76" t="s">
        <v>353</v>
      </c>
      <c r="C1119" s="77">
        <v>40968</v>
      </c>
      <c r="D1119" s="78">
        <v>41274</v>
      </c>
      <c r="E1119" s="79">
        <v>8.9999999999999998E-4</v>
      </c>
      <c r="F1119" s="80">
        <v>12887</v>
      </c>
      <c r="G1119" s="81"/>
      <c r="H1119" s="80">
        <v>-11736.55</v>
      </c>
      <c r="I1119" s="79">
        <f>H1119/F1119</f>
        <v>-0.9107278652906029</v>
      </c>
    </row>
    <row r="1120" spans="1:9" x14ac:dyDescent="0.25">
      <c r="A1120" s="76" t="s">
        <v>263</v>
      </c>
      <c r="B1120" s="76" t="s">
        <v>264</v>
      </c>
      <c r="C1120" s="77">
        <v>40948</v>
      </c>
      <c r="D1120" s="78">
        <v>41313</v>
      </c>
      <c r="E1120" s="79">
        <v>8.9999999999999993E-3</v>
      </c>
      <c r="F1120" s="80"/>
      <c r="G1120" s="81">
        <v>1087</v>
      </c>
      <c r="H1120" s="80">
        <v>380.45</v>
      </c>
      <c r="I1120" s="79">
        <f>H1120/G1120</f>
        <v>0.35</v>
      </c>
    </row>
    <row r="1121" spans="1:9" x14ac:dyDescent="0.25">
      <c r="A1121" s="76" t="s">
        <v>263</v>
      </c>
      <c r="B1121" s="76" t="s">
        <v>264</v>
      </c>
      <c r="C1121" s="77">
        <v>40948</v>
      </c>
      <c r="D1121" s="78">
        <v>41313</v>
      </c>
      <c r="E1121" s="79">
        <v>8.9999999999999993E-3</v>
      </c>
      <c r="F1121" s="80">
        <v>37535.75</v>
      </c>
      <c r="G1121" s="81"/>
      <c r="H1121" s="80">
        <v>-10459.51</v>
      </c>
      <c r="I1121" s="79">
        <f>H1121/F1121</f>
        <v>-0.27865461593281071</v>
      </c>
    </row>
    <row r="1122" spans="1:9" x14ac:dyDescent="0.25">
      <c r="A1122" s="70" t="s">
        <v>20</v>
      </c>
      <c r="B1122" s="70" t="s">
        <v>23</v>
      </c>
      <c r="C1122" s="71">
        <v>40634</v>
      </c>
      <c r="D1122" s="72">
        <v>41090</v>
      </c>
      <c r="E1122" s="73">
        <v>0</v>
      </c>
      <c r="F1122" s="74"/>
      <c r="G1122" s="75">
        <v>132</v>
      </c>
      <c r="H1122" s="74">
        <v>10624.54</v>
      </c>
      <c r="I1122" s="73">
        <v>0.20482667731875767</v>
      </c>
    </row>
    <row r="1123" spans="1:9" x14ac:dyDescent="0.25">
      <c r="A1123" s="70" t="s">
        <v>20</v>
      </c>
      <c r="B1123" s="70" t="s">
        <v>23</v>
      </c>
      <c r="C1123" s="71">
        <v>40634</v>
      </c>
      <c r="D1123" s="72">
        <v>41090</v>
      </c>
      <c r="E1123" s="73">
        <v>0</v>
      </c>
      <c r="F1123" s="74">
        <v>16551.150000000001</v>
      </c>
      <c r="G1123" s="75"/>
      <c r="H1123" s="74">
        <v>0</v>
      </c>
      <c r="I1123" s="73">
        <v>0</v>
      </c>
    </row>
    <row r="1124" spans="1:9" x14ac:dyDescent="0.25">
      <c r="A1124" s="70" t="s">
        <v>171</v>
      </c>
      <c r="B1124" s="70" t="s">
        <v>23</v>
      </c>
      <c r="C1124" s="71">
        <v>40740</v>
      </c>
      <c r="D1124" s="72">
        <v>41090</v>
      </c>
      <c r="E1124" s="73">
        <v>1.7999999999999999E-2</v>
      </c>
      <c r="F1124" s="74">
        <v>73494</v>
      </c>
      <c r="G1124" s="75"/>
      <c r="H1124" s="74">
        <v>30218</v>
      </c>
      <c r="I1124" s="79">
        <f>H1124/F1124</f>
        <v>0.41116281601219146</v>
      </c>
    </row>
    <row r="1125" spans="1:9" x14ac:dyDescent="0.25">
      <c r="A1125" s="76" t="s">
        <v>262</v>
      </c>
      <c r="B1125" s="76" t="s">
        <v>23</v>
      </c>
      <c r="C1125" s="77">
        <v>41138</v>
      </c>
      <c r="D1125" s="78">
        <v>41455</v>
      </c>
      <c r="E1125" s="79">
        <v>8.9999999999999993E-3</v>
      </c>
      <c r="F1125" s="80"/>
      <c r="G1125" s="81">
        <v>0</v>
      </c>
      <c r="H1125" s="80">
        <v>0</v>
      </c>
      <c r="I1125" s="79">
        <v>0</v>
      </c>
    </row>
    <row r="1126" spans="1:9" x14ac:dyDescent="0.25">
      <c r="A1126" s="76" t="s">
        <v>263</v>
      </c>
      <c r="B1126" s="76" t="s">
        <v>23</v>
      </c>
      <c r="C1126" s="77">
        <v>40772</v>
      </c>
      <c r="D1126" s="78">
        <v>41137</v>
      </c>
      <c r="E1126" s="79">
        <v>8.9999999999999993E-3</v>
      </c>
      <c r="F1126" s="80">
        <v>0</v>
      </c>
      <c r="G1126" s="81"/>
      <c r="H1126" s="80">
        <v>0</v>
      </c>
      <c r="I1126" s="79">
        <v>0</v>
      </c>
    </row>
    <row r="1127" spans="1:9" x14ac:dyDescent="0.25">
      <c r="A1127" s="76" t="s">
        <v>263</v>
      </c>
      <c r="B1127" s="76" t="s">
        <v>23</v>
      </c>
      <c r="C1127" s="77">
        <v>40772</v>
      </c>
      <c r="D1127" s="78">
        <v>41137</v>
      </c>
      <c r="E1127" s="79">
        <v>8.9999999999999993E-3</v>
      </c>
      <c r="F1127" s="80"/>
      <c r="G1127" s="81">
        <v>0</v>
      </c>
      <c r="H1127" s="80">
        <v>0</v>
      </c>
      <c r="I1127" s="79">
        <v>0</v>
      </c>
    </row>
    <row r="1128" spans="1:9" x14ac:dyDescent="0.25">
      <c r="A1128" s="76" t="s">
        <v>263</v>
      </c>
      <c r="B1128" s="76" t="s">
        <v>23</v>
      </c>
      <c r="C1128" s="77">
        <v>40772</v>
      </c>
      <c r="D1128" s="78">
        <v>41137</v>
      </c>
      <c r="E1128" s="79">
        <v>8.9999999999999993E-3</v>
      </c>
      <c r="F1128" s="80">
        <v>0</v>
      </c>
      <c r="G1128" s="81"/>
      <c r="H1128" s="80">
        <v>0</v>
      </c>
      <c r="I1128" s="79">
        <v>0</v>
      </c>
    </row>
    <row r="1129" spans="1:9" x14ac:dyDescent="0.25">
      <c r="A1129" s="76" t="s">
        <v>263</v>
      </c>
      <c r="B1129" s="76" t="s">
        <v>23</v>
      </c>
      <c r="C1129" s="77">
        <v>40772</v>
      </c>
      <c r="D1129" s="78">
        <v>41137</v>
      </c>
      <c r="E1129" s="79">
        <v>8.9999999999999993E-3</v>
      </c>
      <c r="F1129" s="80"/>
      <c r="G1129" s="81">
        <v>0</v>
      </c>
      <c r="H1129" s="80">
        <v>0</v>
      </c>
      <c r="I1129" s="79">
        <v>0</v>
      </c>
    </row>
    <row r="1130" spans="1:9" x14ac:dyDescent="0.25">
      <c r="A1130" s="76" t="s">
        <v>372</v>
      </c>
      <c r="B1130" s="76" t="s">
        <v>23</v>
      </c>
      <c r="C1130" s="77">
        <v>40742</v>
      </c>
      <c r="D1130" s="78">
        <v>41107</v>
      </c>
      <c r="E1130" s="79">
        <v>8.9999999999999993E-3</v>
      </c>
      <c r="F1130" s="80">
        <v>379045.07</v>
      </c>
      <c r="G1130" s="81"/>
      <c r="H1130" s="80">
        <v>36845.1</v>
      </c>
      <c r="I1130" s="79">
        <f>H1130/F1130</f>
        <v>9.7205063239577283E-2</v>
      </c>
    </row>
    <row r="1131" spans="1:9" x14ac:dyDescent="0.25">
      <c r="A1131" s="76" t="s">
        <v>531</v>
      </c>
      <c r="B1131" s="76" t="s">
        <v>23</v>
      </c>
      <c r="C1131" s="77">
        <v>41106</v>
      </c>
      <c r="D1131" s="78">
        <v>41470</v>
      </c>
      <c r="E1131" s="79">
        <v>8.9999999999999993E-3</v>
      </c>
      <c r="F1131" s="80">
        <v>173587</v>
      </c>
      <c r="G1131" s="81"/>
      <c r="H1131" s="80">
        <v>90676</v>
      </c>
      <c r="I1131" s="79">
        <f>H1131/F1131</f>
        <v>0.5223663062326096</v>
      </c>
    </row>
    <row r="1132" spans="1:9" x14ac:dyDescent="0.25">
      <c r="A1132" s="76" t="s">
        <v>531</v>
      </c>
      <c r="B1132" s="76" t="s">
        <v>23</v>
      </c>
      <c r="C1132" s="77">
        <v>40760</v>
      </c>
      <c r="D1132" s="78">
        <v>41090</v>
      </c>
      <c r="E1132" s="79">
        <v>8.9999999999999993E-3</v>
      </c>
      <c r="F1132" s="80">
        <v>73705</v>
      </c>
      <c r="G1132" s="81"/>
      <c r="H1132" s="80">
        <v>45572</v>
      </c>
      <c r="I1132" s="79">
        <f>H1132/F1132</f>
        <v>0.61830269316871311</v>
      </c>
    </row>
    <row r="1133" spans="1:9" x14ac:dyDescent="0.25">
      <c r="A1133" s="76" t="s">
        <v>531</v>
      </c>
      <c r="B1133" s="76" t="s">
        <v>23</v>
      </c>
      <c r="C1133" s="77">
        <v>41106</v>
      </c>
      <c r="D1133" s="78">
        <v>41470</v>
      </c>
      <c r="E1133" s="79">
        <v>8.9999999999999993E-3</v>
      </c>
      <c r="F1133" s="80"/>
      <c r="G1133" s="81">
        <v>4373</v>
      </c>
      <c r="H1133" s="80">
        <v>2207</v>
      </c>
      <c r="I1133" s="79">
        <f>H1133/G1133</f>
        <v>0.50468785730619714</v>
      </c>
    </row>
    <row r="1134" spans="1:9" x14ac:dyDescent="0.25">
      <c r="A1134" s="76" t="s">
        <v>531</v>
      </c>
      <c r="B1134" s="76" t="s">
        <v>23</v>
      </c>
      <c r="C1134" s="77">
        <v>40760</v>
      </c>
      <c r="D1134" s="78">
        <v>41090</v>
      </c>
      <c r="E1134" s="79">
        <v>8.9999999999999993E-3</v>
      </c>
      <c r="F1134" s="80"/>
      <c r="G1134" s="81">
        <v>2340</v>
      </c>
      <c r="H1134" s="80">
        <v>1146</v>
      </c>
      <c r="I1134" s="79">
        <f>H1134/G1134</f>
        <v>0.48974358974358972</v>
      </c>
    </row>
    <row r="1135" spans="1:9" x14ac:dyDescent="0.25">
      <c r="A1135" s="76" t="s">
        <v>674</v>
      </c>
      <c r="B1135" s="76" t="s">
        <v>23</v>
      </c>
      <c r="C1135" s="77">
        <v>40920</v>
      </c>
      <c r="D1135" s="78">
        <v>41274</v>
      </c>
      <c r="E1135" s="79">
        <v>0.22500000000000001</v>
      </c>
      <c r="F1135" s="80">
        <v>595479</v>
      </c>
      <c r="G1135" s="81"/>
      <c r="H1135" s="80">
        <v>377649.4</v>
      </c>
      <c r="I1135" s="79">
        <f>H1135/F1135</f>
        <v>0.63419432087445571</v>
      </c>
    </row>
    <row r="1136" spans="1:9" x14ac:dyDescent="0.25">
      <c r="A1136" s="76" t="s">
        <v>674</v>
      </c>
      <c r="B1136" s="76" t="s">
        <v>23</v>
      </c>
      <c r="C1136" s="77">
        <v>40920</v>
      </c>
      <c r="D1136" s="78">
        <v>41274</v>
      </c>
      <c r="E1136" s="79">
        <v>0.22500000000000001</v>
      </c>
      <c r="F1136" s="80"/>
      <c r="G1136" s="81">
        <v>16232</v>
      </c>
      <c r="H1136" s="80">
        <v>10967.07</v>
      </c>
      <c r="I1136" s="79">
        <f>H1136/G1136</f>
        <v>0.67564502217841305</v>
      </c>
    </row>
    <row r="1137" spans="1:9" x14ac:dyDescent="0.25">
      <c r="A1137" s="70" t="s">
        <v>20</v>
      </c>
      <c r="B1137" s="70" t="s">
        <v>22</v>
      </c>
      <c r="C1137" s="71">
        <v>40634</v>
      </c>
      <c r="D1137" s="72">
        <v>41090</v>
      </c>
      <c r="E1137" s="73">
        <v>0</v>
      </c>
      <c r="F1137" s="74"/>
      <c r="G1137" s="75">
        <v>582.1</v>
      </c>
      <c r="H1137" s="74">
        <v>104493.26</v>
      </c>
      <c r="I1137" s="73">
        <v>0.76598134403577245</v>
      </c>
    </row>
    <row r="1138" spans="1:9" x14ac:dyDescent="0.25">
      <c r="A1138" s="70" t="s">
        <v>20</v>
      </c>
      <c r="B1138" s="70" t="s">
        <v>22</v>
      </c>
      <c r="C1138" s="71">
        <v>40634</v>
      </c>
      <c r="D1138" s="72">
        <v>41090</v>
      </c>
      <c r="E1138" s="73">
        <v>0</v>
      </c>
      <c r="F1138" s="74">
        <v>51870.879999999997</v>
      </c>
      <c r="G1138" s="75"/>
      <c r="H1138" s="74">
        <v>0</v>
      </c>
      <c r="I1138" s="73">
        <v>0</v>
      </c>
    </row>
    <row r="1139" spans="1:9" x14ac:dyDescent="0.25">
      <c r="A1139" s="70" t="s">
        <v>171</v>
      </c>
      <c r="B1139" s="70" t="s">
        <v>22</v>
      </c>
      <c r="C1139" s="71">
        <v>40740</v>
      </c>
      <c r="D1139" s="72">
        <v>41090</v>
      </c>
      <c r="E1139" s="73">
        <v>1.7999999999999999E-2</v>
      </c>
      <c r="F1139" s="74">
        <v>1200423</v>
      </c>
      <c r="G1139" s="75"/>
      <c r="H1139" s="74">
        <v>590656</v>
      </c>
      <c r="I1139" s="79">
        <f>H1139/F1139</f>
        <v>0.49203988927236481</v>
      </c>
    </row>
    <row r="1140" spans="1:9" x14ac:dyDescent="0.25">
      <c r="A1140" s="76" t="s">
        <v>246</v>
      </c>
      <c r="B1140" s="76" t="s">
        <v>22</v>
      </c>
      <c r="C1140" s="77">
        <v>40909</v>
      </c>
      <c r="D1140" s="78">
        <v>41274</v>
      </c>
      <c r="E1140" s="79">
        <v>1.7999999999999999E-2</v>
      </c>
      <c r="F1140" s="80">
        <v>445376.45</v>
      </c>
      <c r="G1140" s="81"/>
      <c r="H1140" s="80">
        <v>-12490.32</v>
      </c>
      <c r="I1140" s="79">
        <f>H1140/F1140</f>
        <v>-2.8044410520583204E-2</v>
      </c>
    </row>
    <row r="1141" spans="1:9" x14ac:dyDescent="0.25">
      <c r="A1141" s="76" t="s">
        <v>263</v>
      </c>
      <c r="B1141" s="76" t="s">
        <v>22</v>
      </c>
      <c r="C1141" s="77">
        <v>40772</v>
      </c>
      <c r="D1141" s="78">
        <v>41137</v>
      </c>
      <c r="E1141" s="79">
        <v>8.9999999999999993E-3</v>
      </c>
      <c r="F1141" s="80"/>
      <c r="G1141" s="81">
        <v>2439</v>
      </c>
      <c r="H1141" s="80">
        <v>1463.4</v>
      </c>
      <c r="I1141" s="79">
        <f>H1141/G1141</f>
        <v>0.60000000000000009</v>
      </c>
    </row>
    <row r="1142" spans="1:9" x14ac:dyDescent="0.25">
      <c r="A1142" s="76" t="s">
        <v>263</v>
      </c>
      <c r="B1142" s="76" t="s">
        <v>22</v>
      </c>
      <c r="C1142" s="77">
        <v>40772</v>
      </c>
      <c r="D1142" s="78">
        <v>41137</v>
      </c>
      <c r="E1142" s="79">
        <v>8.9999999999999993E-3</v>
      </c>
      <c r="F1142" s="80">
        <v>93147.62</v>
      </c>
      <c r="G1142" s="81"/>
      <c r="H1142" s="80">
        <v>945.93</v>
      </c>
      <c r="I1142" s="79">
        <f>H1142/F1142</f>
        <v>1.0155170899696631E-2</v>
      </c>
    </row>
    <row r="1143" spans="1:9" x14ac:dyDescent="0.25">
      <c r="A1143" s="76" t="s">
        <v>372</v>
      </c>
      <c r="B1143" s="76" t="s">
        <v>22</v>
      </c>
      <c r="C1143" s="77">
        <v>40742</v>
      </c>
      <c r="D1143" s="78">
        <v>41107</v>
      </c>
      <c r="E1143" s="79">
        <v>8.9999999999999993E-3</v>
      </c>
      <c r="F1143" s="80">
        <v>754364.77</v>
      </c>
      <c r="G1143" s="81"/>
      <c r="H1143" s="80">
        <v>47471.43</v>
      </c>
      <c r="I1143" s="79">
        <f>H1143/F1143</f>
        <v>6.2929012445795948E-2</v>
      </c>
    </row>
    <row r="1144" spans="1:9" x14ac:dyDescent="0.25">
      <c r="A1144" s="76" t="s">
        <v>531</v>
      </c>
      <c r="B1144" s="76" t="s">
        <v>22</v>
      </c>
      <c r="C1144" s="77">
        <v>40760</v>
      </c>
      <c r="D1144" s="78">
        <v>41090</v>
      </c>
      <c r="E1144" s="79">
        <v>8.9999999999999993E-3</v>
      </c>
      <c r="F1144" s="80">
        <v>223465</v>
      </c>
      <c r="G1144" s="81"/>
      <c r="H1144" s="80">
        <v>101828</v>
      </c>
      <c r="I1144" s="79">
        <f>H1144/F1144</f>
        <v>0.45567762289396552</v>
      </c>
    </row>
    <row r="1145" spans="1:9" x14ac:dyDescent="0.25">
      <c r="A1145" s="76" t="s">
        <v>531</v>
      </c>
      <c r="B1145" s="76" t="s">
        <v>22</v>
      </c>
      <c r="C1145" s="77">
        <v>41106</v>
      </c>
      <c r="D1145" s="78">
        <v>41470</v>
      </c>
      <c r="E1145" s="79">
        <v>0.01</v>
      </c>
      <c r="F1145" s="80">
        <v>157375</v>
      </c>
      <c r="G1145" s="81"/>
      <c r="H1145" s="80">
        <v>56502</v>
      </c>
      <c r="I1145" s="79">
        <f>H1145/F1145</f>
        <v>0.35902779984114375</v>
      </c>
    </row>
    <row r="1146" spans="1:9" x14ac:dyDescent="0.25">
      <c r="A1146" s="76" t="s">
        <v>531</v>
      </c>
      <c r="B1146" s="76" t="s">
        <v>22</v>
      </c>
      <c r="C1146" s="77">
        <v>40760</v>
      </c>
      <c r="D1146" s="78">
        <v>41090</v>
      </c>
      <c r="E1146" s="79">
        <v>8.9999999999999993E-3</v>
      </c>
      <c r="F1146" s="80"/>
      <c r="G1146" s="81">
        <v>5096</v>
      </c>
      <c r="H1146" s="80">
        <v>2344</v>
      </c>
      <c r="I1146" s="79">
        <f>H1146/G1146</f>
        <v>0.4599686028257457</v>
      </c>
    </row>
    <row r="1147" spans="1:9" x14ac:dyDescent="0.25">
      <c r="A1147" s="76" t="s">
        <v>531</v>
      </c>
      <c r="B1147" s="76" t="s">
        <v>22</v>
      </c>
      <c r="C1147" s="77">
        <v>41106</v>
      </c>
      <c r="D1147" s="78">
        <v>41470</v>
      </c>
      <c r="E1147" s="79">
        <v>0.01</v>
      </c>
      <c r="F1147" s="80"/>
      <c r="G1147" s="81">
        <v>3310</v>
      </c>
      <c r="H1147" s="80">
        <v>512</v>
      </c>
      <c r="I1147" s="79">
        <f>H1147/G1147</f>
        <v>0.15468277945619335</v>
      </c>
    </row>
    <row r="1148" spans="1:9" x14ac:dyDescent="0.25">
      <c r="A1148" s="76" t="s">
        <v>613</v>
      </c>
      <c r="B1148" s="76" t="s">
        <v>22</v>
      </c>
      <c r="C1148" s="77">
        <v>40807</v>
      </c>
      <c r="D1148" s="78">
        <v>41173</v>
      </c>
      <c r="E1148" s="79">
        <v>1.7999999999999999E-2</v>
      </c>
      <c r="F1148" s="80">
        <v>222745</v>
      </c>
      <c r="G1148" s="81"/>
      <c r="H1148" s="80">
        <v>152987</v>
      </c>
      <c r="I1148" s="79">
        <f>H1148/F1148</f>
        <v>0.68682574244090777</v>
      </c>
    </row>
    <row r="1149" spans="1:9" x14ac:dyDescent="0.25">
      <c r="A1149" s="76" t="s">
        <v>613</v>
      </c>
      <c r="B1149" s="76" t="s">
        <v>22</v>
      </c>
      <c r="C1149" s="77">
        <v>41173</v>
      </c>
      <c r="D1149" s="78">
        <v>41455</v>
      </c>
      <c r="E1149" s="79">
        <v>1.7999999999999999E-2</v>
      </c>
      <c r="F1149" s="80">
        <v>165364</v>
      </c>
      <c r="G1149" s="81"/>
      <c r="H1149" s="80">
        <v>76635</v>
      </c>
      <c r="I1149" s="79">
        <f>H1149/F1149</f>
        <v>0.46343218596550639</v>
      </c>
    </row>
    <row r="1150" spans="1:9" x14ac:dyDescent="0.25">
      <c r="A1150" s="76" t="s">
        <v>613</v>
      </c>
      <c r="B1150" s="76" t="s">
        <v>22</v>
      </c>
      <c r="C1150" s="77">
        <v>40807</v>
      </c>
      <c r="D1150" s="78">
        <v>41173</v>
      </c>
      <c r="E1150" s="79">
        <v>1.7999999999999999E-2</v>
      </c>
      <c r="F1150" s="80"/>
      <c r="G1150" s="81">
        <v>8046</v>
      </c>
      <c r="H1150" s="80">
        <v>5690</v>
      </c>
      <c r="I1150" s="79">
        <f>H1150/G1150</f>
        <v>0.70718369376087498</v>
      </c>
    </row>
    <row r="1151" spans="1:9" x14ac:dyDescent="0.25">
      <c r="A1151" s="76" t="s">
        <v>613</v>
      </c>
      <c r="B1151" s="76" t="s">
        <v>22</v>
      </c>
      <c r="C1151" s="77">
        <v>41173</v>
      </c>
      <c r="D1151" s="78">
        <v>41455</v>
      </c>
      <c r="E1151" s="79">
        <v>1.7999999999999999E-2</v>
      </c>
      <c r="F1151" s="80"/>
      <c r="G1151" s="81">
        <v>5213</v>
      </c>
      <c r="H1151" s="80">
        <v>1954</v>
      </c>
      <c r="I1151" s="79">
        <f>H1151/G1151</f>
        <v>0.37483215039324763</v>
      </c>
    </row>
    <row r="1152" spans="1:9" x14ac:dyDescent="0.25">
      <c r="A1152" s="76" t="s">
        <v>674</v>
      </c>
      <c r="B1152" s="76" t="s">
        <v>22</v>
      </c>
      <c r="C1152" s="77">
        <v>40920</v>
      </c>
      <c r="D1152" s="78">
        <v>41274</v>
      </c>
      <c r="E1152" s="79">
        <v>0.22500000000000001</v>
      </c>
      <c r="F1152" s="80">
        <v>614451.29</v>
      </c>
      <c r="G1152" s="81"/>
      <c r="H1152" s="80">
        <v>261134.34</v>
      </c>
      <c r="I1152" s="79">
        <f>H1152/F1152</f>
        <v>0.42498786193450744</v>
      </c>
    </row>
    <row r="1153" spans="1:9" x14ac:dyDescent="0.25">
      <c r="A1153" s="76" t="s">
        <v>674</v>
      </c>
      <c r="B1153" s="76" t="s">
        <v>22</v>
      </c>
      <c r="C1153" s="77">
        <v>40920</v>
      </c>
      <c r="D1153" s="78">
        <v>41274</v>
      </c>
      <c r="E1153" s="79">
        <v>0.22500000000000001</v>
      </c>
      <c r="F1153" s="80"/>
      <c r="G1153" s="81">
        <v>18086</v>
      </c>
      <c r="H1153" s="80">
        <v>8977.48</v>
      </c>
      <c r="I1153" s="79">
        <f>H1153/G1153</f>
        <v>0.49637730841534888</v>
      </c>
    </row>
    <row r="1154" spans="1:9" x14ac:dyDescent="0.25">
      <c r="A1154" s="76" t="s">
        <v>568</v>
      </c>
      <c r="B1154" s="76" t="s">
        <v>570</v>
      </c>
      <c r="C1154" s="77">
        <v>40909</v>
      </c>
      <c r="D1154" s="78">
        <v>41274</v>
      </c>
      <c r="E1154" s="79">
        <v>0.2</v>
      </c>
      <c r="F1154" s="80">
        <v>95036.29</v>
      </c>
      <c r="G1154" s="81"/>
      <c r="H1154" s="80">
        <v>19008.599999999999</v>
      </c>
      <c r="I1154" s="79">
        <f>H1154/F1154</f>
        <v>0.20001412092159743</v>
      </c>
    </row>
    <row r="1155" spans="1:9" x14ac:dyDescent="0.25">
      <c r="A1155" s="76" t="s">
        <v>531</v>
      </c>
      <c r="B1155" s="76" t="s">
        <v>533</v>
      </c>
      <c r="C1155" s="77">
        <v>40726</v>
      </c>
      <c r="D1155" s="78">
        <v>40755</v>
      </c>
      <c r="E1155" s="79">
        <v>8.9999999999999993E-3</v>
      </c>
      <c r="F1155" s="80">
        <v>13960</v>
      </c>
      <c r="G1155" s="81"/>
      <c r="H1155" s="80">
        <v>642</v>
      </c>
      <c r="I1155" s="79">
        <f>H1155/F1155</f>
        <v>4.5988538681948424E-2</v>
      </c>
    </row>
    <row r="1156" spans="1:9" x14ac:dyDescent="0.25">
      <c r="A1156" s="76" t="s">
        <v>531</v>
      </c>
      <c r="B1156" s="76" t="s">
        <v>533</v>
      </c>
      <c r="C1156" s="77">
        <v>40786</v>
      </c>
      <c r="D1156" s="78">
        <v>41121</v>
      </c>
      <c r="E1156" s="79">
        <v>8.9999999999999993E-3</v>
      </c>
      <c r="F1156" s="80">
        <v>0</v>
      </c>
      <c r="G1156" s="81"/>
      <c r="H1156" s="80">
        <v>0</v>
      </c>
      <c r="I1156" s="79">
        <v>0</v>
      </c>
    </row>
    <row r="1157" spans="1:9" x14ac:dyDescent="0.25">
      <c r="A1157" s="76" t="s">
        <v>531</v>
      </c>
      <c r="B1157" s="76" t="s">
        <v>533</v>
      </c>
      <c r="C1157" s="77">
        <v>40786</v>
      </c>
      <c r="D1157" s="78">
        <v>41121</v>
      </c>
      <c r="E1157" s="79">
        <v>8.9999999999999993E-3</v>
      </c>
      <c r="F1157" s="80"/>
      <c r="G1157" s="81">
        <v>0</v>
      </c>
      <c r="H1157" s="80">
        <v>0</v>
      </c>
      <c r="I1157" s="79">
        <v>0</v>
      </c>
    </row>
    <row r="1158" spans="1:9" x14ac:dyDescent="0.25">
      <c r="A1158" s="70" t="s">
        <v>74</v>
      </c>
      <c r="B1158" s="70" t="s">
        <v>76</v>
      </c>
      <c r="C1158" s="71">
        <v>40690</v>
      </c>
      <c r="D1158" s="72">
        <v>41051</v>
      </c>
      <c r="E1158" s="73">
        <v>0.3</v>
      </c>
      <c r="F1158" s="74">
        <v>49838</v>
      </c>
      <c r="G1158" s="75"/>
      <c r="H1158" s="74">
        <v>15348.16</v>
      </c>
      <c r="I1158" s="73">
        <v>0.30796099361932661</v>
      </c>
    </row>
    <row r="1159" spans="1:9" x14ac:dyDescent="0.25">
      <c r="A1159" s="70" t="s">
        <v>74</v>
      </c>
      <c r="B1159" s="70" t="s">
        <v>75</v>
      </c>
      <c r="C1159" s="71">
        <v>40924</v>
      </c>
      <c r="D1159" s="72">
        <v>41289</v>
      </c>
      <c r="E1159" s="73">
        <v>0.2</v>
      </c>
      <c r="F1159" s="74">
        <v>54969</v>
      </c>
      <c r="G1159" s="75"/>
      <c r="H1159" s="74">
        <v>10993.8</v>
      </c>
      <c r="I1159" s="73">
        <v>0.19999999999999998</v>
      </c>
    </row>
    <row r="1160" spans="1:9" x14ac:dyDescent="0.25">
      <c r="A1160" s="76" t="s">
        <v>249</v>
      </c>
      <c r="B1160" s="76" t="s">
        <v>255</v>
      </c>
      <c r="C1160" s="77">
        <v>40805</v>
      </c>
      <c r="D1160" s="78">
        <v>41053</v>
      </c>
      <c r="E1160" s="79">
        <v>0</v>
      </c>
      <c r="F1160" s="80">
        <v>38009.5</v>
      </c>
      <c r="G1160" s="81"/>
      <c r="H1160" s="80">
        <v>0</v>
      </c>
      <c r="I1160" s="79">
        <f>H1160/F1160</f>
        <v>0</v>
      </c>
    </row>
    <row r="1161" spans="1:9" x14ac:dyDescent="0.25">
      <c r="A1161" s="76" t="s">
        <v>1972</v>
      </c>
      <c r="B1161" s="76" t="s">
        <v>656</v>
      </c>
      <c r="C1161" s="77">
        <v>41228</v>
      </c>
      <c r="D1161" s="78">
        <v>41578</v>
      </c>
      <c r="E1161" s="79">
        <v>8.9999999999999998E-4</v>
      </c>
      <c r="F1161" s="80">
        <v>91997.27</v>
      </c>
      <c r="G1161" s="81"/>
      <c r="H1161" s="80">
        <v>16898.27</v>
      </c>
      <c r="I1161" s="79">
        <f>H1161/F1161</f>
        <v>0.18368229839863726</v>
      </c>
    </row>
    <row r="1162" spans="1:9" x14ac:dyDescent="0.25">
      <c r="A1162" s="76" t="s">
        <v>1972</v>
      </c>
      <c r="B1162" s="76" t="s">
        <v>656</v>
      </c>
      <c r="C1162" s="77">
        <v>41228</v>
      </c>
      <c r="D1162" s="78">
        <v>41578</v>
      </c>
      <c r="E1162" s="79">
        <v>8.9999999999999998E-4</v>
      </c>
      <c r="F1162" s="115"/>
      <c r="G1162" s="81">
        <v>4349</v>
      </c>
      <c r="H1162" s="80">
        <v>798.83</v>
      </c>
      <c r="I1162" s="79">
        <f>H1162/G1162</f>
        <v>0.18368130604736721</v>
      </c>
    </row>
    <row r="1163" spans="1:9" x14ac:dyDescent="0.25">
      <c r="A1163" s="76" t="s">
        <v>643</v>
      </c>
      <c r="B1163" s="76" t="s">
        <v>656</v>
      </c>
      <c r="C1163" s="77">
        <v>40942</v>
      </c>
      <c r="D1163" s="78">
        <v>41274</v>
      </c>
      <c r="E1163" s="79">
        <v>4.4999999999999997E-3</v>
      </c>
      <c r="F1163" s="80">
        <v>118869.32</v>
      </c>
      <c r="G1163" s="81"/>
      <c r="H1163" s="80">
        <v>0</v>
      </c>
      <c r="I1163" s="79">
        <v>0</v>
      </c>
    </row>
    <row r="1164" spans="1:9" x14ac:dyDescent="0.25">
      <c r="A1164" s="76" t="s">
        <v>643</v>
      </c>
      <c r="B1164" s="76" t="s">
        <v>656</v>
      </c>
      <c r="C1164" s="77">
        <v>40942</v>
      </c>
      <c r="D1164" s="78">
        <v>41274</v>
      </c>
      <c r="E1164" s="79">
        <v>4.4999999999999997E-3</v>
      </c>
      <c r="F1164" s="80"/>
      <c r="G1164" s="81">
        <v>4251.5</v>
      </c>
      <c r="H1164" s="80">
        <v>0</v>
      </c>
      <c r="I1164" s="79">
        <v>0</v>
      </c>
    </row>
    <row r="1165" spans="1:9" x14ac:dyDescent="0.25">
      <c r="A1165" s="70" t="s">
        <v>60</v>
      </c>
      <c r="B1165" s="70" t="s">
        <v>61</v>
      </c>
      <c r="C1165" s="71">
        <v>40725</v>
      </c>
      <c r="D1165" s="72">
        <v>41090</v>
      </c>
      <c r="E1165" s="73">
        <v>0.09</v>
      </c>
      <c r="F1165" s="74">
        <v>1482958.17</v>
      </c>
      <c r="G1165" s="75"/>
      <c r="H1165" s="74">
        <v>199227.36</v>
      </c>
      <c r="I1165" s="73">
        <v>0.13434455808015139</v>
      </c>
    </row>
    <row r="1166" spans="1:9" x14ac:dyDescent="0.25">
      <c r="A1166" s="70" t="s">
        <v>60</v>
      </c>
      <c r="B1166" s="70" t="s">
        <v>61</v>
      </c>
      <c r="C1166" s="71">
        <v>40725</v>
      </c>
      <c r="D1166" s="72">
        <v>41090</v>
      </c>
      <c r="E1166" s="73">
        <v>0.09</v>
      </c>
      <c r="F1166" s="74"/>
      <c r="G1166" s="75">
        <v>68728.34</v>
      </c>
      <c r="H1166" s="74">
        <v>9233.2800000000007</v>
      </c>
      <c r="I1166" s="73">
        <v>0.13434458041617187</v>
      </c>
    </row>
    <row r="1167" spans="1:9" x14ac:dyDescent="0.25">
      <c r="A1167" s="76" t="s">
        <v>171</v>
      </c>
      <c r="B1167" s="76" t="s">
        <v>103</v>
      </c>
      <c r="C1167" s="77">
        <v>40787</v>
      </c>
      <c r="D1167" s="78">
        <v>41152</v>
      </c>
      <c r="E1167" s="79">
        <v>1.7999999999999999E-2</v>
      </c>
      <c r="F1167" s="80">
        <v>0</v>
      </c>
      <c r="G1167" s="81"/>
      <c r="H1167" s="80">
        <v>0</v>
      </c>
      <c r="I1167" s="79">
        <v>0</v>
      </c>
    </row>
    <row r="1168" spans="1:9" x14ac:dyDescent="0.25">
      <c r="A1168" s="76" t="s">
        <v>674</v>
      </c>
      <c r="B1168" s="76" t="s">
        <v>103</v>
      </c>
      <c r="C1168" s="77">
        <v>40961</v>
      </c>
      <c r="D1168" s="78">
        <v>41274</v>
      </c>
      <c r="E1168" s="79">
        <v>0.22500000000000001</v>
      </c>
      <c r="F1168" s="80"/>
      <c r="G1168" s="81">
        <v>1712</v>
      </c>
      <c r="H1168" s="80">
        <v>224.79</v>
      </c>
      <c r="I1168" s="79">
        <f>H1168/G1168</f>
        <v>0.13130257009345794</v>
      </c>
    </row>
    <row r="1169" spans="1:9" x14ac:dyDescent="0.25">
      <c r="A1169" s="76" t="s">
        <v>674</v>
      </c>
      <c r="B1169" s="76" t="s">
        <v>103</v>
      </c>
      <c r="C1169" s="77">
        <v>40961</v>
      </c>
      <c r="D1169" s="78">
        <v>41274</v>
      </c>
      <c r="E1169" s="79">
        <v>0.22500000000000001</v>
      </c>
      <c r="F1169" s="80">
        <v>29464</v>
      </c>
      <c r="G1169" s="81"/>
      <c r="H1169" s="80">
        <v>-1918.05</v>
      </c>
      <c r="I1169" s="79">
        <f t="shared" ref="I1169:I1174" si="10">H1169/F1169</f>
        <v>-6.509808579961987E-2</v>
      </c>
    </row>
    <row r="1170" spans="1:9" x14ac:dyDescent="0.25">
      <c r="A1170" s="76" t="s">
        <v>265</v>
      </c>
      <c r="B1170" s="76" t="s">
        <v>275</v>
      </c>
      <c r="C1170" s="77">
        <v>41153</v>
      </c>
      <c r="D1170" s="78">
        <v>41517</v>
      </c>
      <c r="E1170" s="79">
        <v>0.18</v>
      </c>
      <c r="F1170" s="80">
        <v>126882</v>
      </c>
      <c r="G1170" s="81"/>
      <c r="H1170" s="80">
        <v>31466.39</v>
      </c>
      <c r="I1170" s="79">
        <f t="shared" si="10"/>
        <v>0.24799727305685598</v>
      </c>
    </row>
    <row r="1171" spans="1:9" x14ac:dyDescent="0.25">
      <c r="A1171" s="76" t="s">
        <v>270</v>
      </c>
      <c r="B1171" s="76" t="s">
        <v>275</v>
      </c>
      <c r="C1171" s="77">
        <v>40787</v>
      </c>
      <c r="D1171" s="78">
        <v>41152</v>
      </c>
      <c r="E1171" s="79">
        <v>0.18</v>
      </c>
      <c r="F1171" s="80">
        <v>136027.42000000001</v>
      </c>
      <c r="G1171" s="81"/>
      <c r="H1171" s="80">
        <v>31730.79</v>
      </c>
      <c r="I1171" s="79">
        <f t="shared" si="10"/>
        <v>0.23326760148799411</v>
      </c>
    </row>
    <row r="1172" spans="1:9" x14ac:dyDescent="0.25">
      <c r="A1172" s="76" t="s">
        <v>449</v>
      </c>
      <c r="B1172" s="76" t="s">
        <v>471</v>
      </c>
      <c r="C1172" s="77">
        <v>41061</v>
      </c>
      <c r="D1172" s="78">
        <v>41425</v>
      </c>
      <c r="E1172" s="79">
        <v>0</v>
      </c>
      <c r="F1172" s="80">
        <v>20839</v>
      </c>
      <c r="G1172" s="88"/>
      <c r="H1172" s="80">
        <v>10579</v>
      </c>
      <c r="I1172" s="79">
        <f t="shared" si="10"/>
        <v>0.50765391813426752</v>
      </c>
    </row>
    <row r="1173" spans="1:9" x14ac:dyDescent="0.25">
      <c r="A1173" s="76" t="s">
        <v>449</v>
      </c>
      <c r="B1173" s="76" t="s">
        <v>454</v>
      </c>
      <c r="C1173" s="77">
        <v>40695</v>
      </c>
      <c r="D1173" s="78">
        <v>41059</v>
      </c>
      <c r="E1173" s="79">
        <v>0</v>
      </c>
      <c r="F1173" s="80">
        <v>32071</v>
      </c>
      <c r="G1173" s="81"/>
      <c r="H1173" s="80">
        <v>18634</v>
      </c>
      <c r="I1173" s="79">
        <f t="shared" si="10"/>
        <v>0.5810233544323532</v>
      </c>
    </row>
    <row r="1174" spans="1:9" x14ac:dyDescent="0.25">
      <c r="A1174" s="76" t="s">
        <v>572</v>
      </c>
      <c r="B1174" s="76" t="s">
        <v>575</v>
      </c>
      <c r="C1174" s="77">
        <v>41000</v>
      </c>
      <c r="D1174" s="78">
        <v>41364</v>
      </c>
      <c r="E1174" s="79">
        <v>0.8</v>
      </c>
      <c r="F1174" s="80">
        <v>1135153</v>
      </c>
      <c r="G1174" s="81"/>
      <c r="H1174" s="80">
        <v>1075016</v>
      </c>
      <c r="I1174" s="79">
        <f t="shared" si="10"/>
        <v>0.94702300042373144</v>
      </c>
    </row>
    <row r="1175" spans="1:9" x14ac:dyDescent="0.25">
      <c r="A1175" s="76" t="s">
        <v>572</v>
      </c>
      <c r="B1175" s="76" t="s">
        <v>575</v>
      </c>
      <c r="C1175" s="77">
        <v>41000</v>
      </c>
      <c r="D1175" s="78">
        <v>41364</v>
      </c>
      <c r="E1175" s="79">
        <v>0.8</v>
      </c>
      <c r="F1175" s="80"/>
      <c r="G1175" s="81">
        <v>1135153</v>
      </c>
      <c r="H1175" s="80">
        <v>1075016</v>
      </c>
      <c r="I1175" s="79">
        <f>H1175/G1175</f>
        <v>0.94702300042373144</v>
      </c>
    </row>
    <row r="1176" spans="1:9" x14ac:dyDescent="0.25">
      <c r="A1176" s="76" t="s">
        <v>572</v>
      </c>
      <c r="B1176" s="76" t="s">
        <v>575</v>
      </c>
      <c r="C1176" s="77">
        <v>40634</v>
      </c>
      <c r="D1176" s="78">
        <v>40999</v>
      </c>
      <c r="E1176" s="79">
        <v>0.8</v>
      </c>
      <c r="F1176" s="80"/>
      <c r="G1176" s="81">
        <v>896749</v>
      </c>
      <c r="H1176" s="80">
        <v>825945</v>
      </c>
      <c r="I1176" s="79">
        <f>H1176/G1176</f>
        <v>0.92104368111924295</v>
      </c>
    </row>
    <row r="1177" spans="1:9" x14ac:dyDescent="0.25">
      <c r="A1177" s="76" t="s">
        <v>531</v>
      </c>
      <c r="B1177" s="76" t="s">
        <v>538</v>
      </c>
      <c r="C1177" s="77">
        <v>40975</v>
      </c>
      <c r="D1177" s="78">
        <v>41333</v>
      </c>
      <c r="E1177" s="79">
        <v>8.9999999999999993E-3</v>
      </c>
      <c r="F1177" s="80">
        <v>44928</v>
      </c>
      <c r="G1177" s="81"/>
      <c r="H1177" s="80">
        <v>17997</v>
      </c>
      <c r="I1177" s="79">
        <f>H1177/F1177</f>
        <v>0.40057425213675213</v>
      </c>
    </row>
    <row r="1178" spans="1:9" x14ac:dyDescent="0.25">
      <c r="A1178" s="76" t="s">
        <v>531</v>
      </c>
      <c r="B1178" s="76" t="s">
        <v>538</v>
      </c>
      <c r="C1178" s="77">
        <v>40770</v>
      </c>
      <c r="D1178" s="78">
        <v>40968</v>
      </c>
      <c r="E1178" s="79">
        <v>8.9999999999999993E-3</v>
      </c>
      <c r="F1178" s="80">
        <v>16283</v>
      </c>
      <c r="G1178" s="81"/>
      <c r="H1178" s="80">
        <v>7838</v>
      </c>
      <c r="I1178" s="79">
        <f>H1178/F1178</f>
        <v>0.48136092857581525</v>
      </c>
    </row>
    <row r="1179" spans="1:9" x14ac:dyDescent="0.25">
      <c r="A1179" s="76" t="s">
        <v>531</v>
      </c>
      <c r="B1179" s="76" t="s">
        <v>538</v>
      </c>
      <c r="C1179" s="77">
        <v>40975</v>
      </c>
      <c r="D1179" s="78">
        <v>41333</v>
      </c>
      <c r="E1179" s="79">
        <v>8.9999999999999993E-3</v>
      </c>
      <c r="F1179" s="80"/>
      <c r="G1179" s="81">
        <v>1305</v>
      </c>
      <c r="H1179" s="80">
        <v>326</v>
      </c>
      <c r="I1179" s="79">
        <f>H1179/G1179</f>
        <v>0.24980842911877393</v>
      </c>
    </row>
    <row r="1180" spans="1:9" x14ac:dyDescent="0.25">
      <c r="A1180" s="76" t="s">
        <v>531</v>
      </c>
      <c r="B1180" s="76" t="s">
        <v>538</v>
      </c>
      <c r="C1180" s="77">
        <v>40770</v>
      </c>
      <c r="D1180" s="78">
        <v>40968</v>
      </c>
      <c r="E1180" s="79">
        <v>8.9999999999999993E-3</v>
      </c>
      <c r="F1180" s="80"/>
      <c r="G1180" s="81">
        <v>470</v>
      </c>
      <c r="H1180" s="80">
        <v>30</v>
      </c>
      <c r="I1180" s="79">
        <f>H1180/G1180</f>
        <v>6.3829787234042548E-2</v>
      </c>
    </row>
    <row r="1181" spans="1:9" x14ac:dyDescent="0.25">
      <c r="A1181" s="70" t="s">
        <v>66</v>
      </c>
      <c r="B1181" s="70" t="s">
        <v>70</v>
      </c>
      <c r="C1181" s="71">
        <v>40820</v>
      </c>
      <c r="D1181" s="72">
        <v>41185</v>
      </c>
      <c r="E1181" s="73">
        <v>0.09</v>
      </c>
      <c r="F1181" s="74">
        <v>30623</v>
      </c>
      <c r="G1181" s="75"/>
      <c r="H1181" s="74">
        <v>4593.45</v>
      </c>
      <c r="I1181" s="73">
        <v>0.15</v>
      </c>
    </row>
    <row r="1182" spans="1:9" x14ac:dyDescent="0.25">
      <c r="A1182" s="70" t="s">
        <v>119</v>
      </c>
      <c r="B1182" s="70" t="s">
        <v>70</v>
      </c>
      <c r="C1182" s="71">
        <v>40820</v>
      </c>
      <c r="D1182" s="72">
        <v>41185</v>
      </c>
      <c r="E1182" s="73">
        <v>0.09</v>
      </c>
      <c r="F1182" s="74">
        <v>0</v>
      </c>
      <c r="G1182" s="75">
        <v>0</v>
      </c>
      <c r="H1182" s="74">
        <v>0</v>
      </c>
      <c r="I1182" s="73">
        <v>0</v>
      </c>
    </row>
    <row r="1183" spans="1:9" x14ac:dyDescent="0.25">
      <c r="A1183" s="76" t="s">
        <v>504</v>
      </c>
      <c r="B1183" s="76" t="s">
        <v>70</v>
      </c>
      <c r="C1183" s="77">
        <v>40820</v>
      </c>
      <c r="D1183" s="78">
        <v>41185</v>
      </c>
      <c r="E1183" s="79">
        <v>0.09</v>
      </c>
      <c r="F1183" s="80"/>
      <c r="G1183" s="81">
        <v>6933</v>
      </c>
      <c r="H1183" s="80">
        <v>1039.95</v>
      </c>
      <c r="I1183" s="79">
        <f>H1183/G1183</f>
        <v>0.15</v>
      </c>
    </row>
    <row r="1184" spans="1:9" x14ac:dyDescent="0.25">
      <c r="A1184" s="76" t="s">
        <v>512</v>
      </c>
      <c r="B1184" s="76" t="s">
        <v>70</v>
      </c>
      <c r="C1184" s="77">
        <v>41186</v>
      </c>
      <c r="D1184" s="78">
        <v>41550</v>
      </c>
      <c r="E1184" s="79">
        <v>0.09</v>
      </c>
      <c r="F1184" s="80"/>
      <c r="G1184" s="81">
        <v>13414</v>
      </c>
      <c r="H1184" s="80">
        <v>1341.4</v>
      </c>
      <c r="I1184" s="79">
        <f>H1184/G1184</f>
        <v>0.1</v>
      </c>
    </row>
    <row r="1185" spans="1:9" x14ac:dyDescent="0.25">
      <c r="A1185" s="76" t="s">
        <v>555</v>
      </c>
      <c r="B1185" s="76" t="s">
        <v>70</v>
      </c>
      <c r="C1185" s="77">
        <v>40820</v>
      </c>
      <c r="D1185" s="78">
        <v>41185</v>
      </c>
      <c r="E1185" s="79">
        <v>0.09</v>
      </c>
      <c r="F1185" s="80">
        <v>4836</v>
      </c>
      <c r="G1185" s="81"/>
      <c r="H1185" s="80">
        <v>725.4</v>
      </c>
      <c r="I1185" s="79">
        <f>H1185/F1185</f>
        <v>0.15</v>
      </c>
    </row>
    <row r="1186" spans="1:9" x14ac:dyDescent="0.25">
      <c r="A1186" s="76" t="s">
        <v>555</v>
      </c>
      <c r="B1186" s="76" t="s">
        <v>70</v>
      </c>
      <c r="C1186" s="77">
        <v>41186</v>
      </c>
      <c r="D1186" s="78">
        <v>41550</v>
      </c>
      <c r="E1186" s="79">
        <v>0.09</v>
      </c>
      <c r="F1186" s="80">
        <v>4185</v>
      </c>
      <c r="G1186" s="88"/>
      <c r="H1186" s="80">
        <v>418.5</v>
      </c>
      <c r="I1186" s="79">
        <f>H1186/F1186</f>
        <v>0.1</v>
      </c>
    </row>
    <row r="1187" spans="1:9" x14ac:dyDescent="0.25">
      <c r="A1187" s="70" t="s">
        <v>130</v>
      </c>
      <c r="B1187" s="70" t="s">
        <v>136</v>
      </c>
      <c r="C1187" s="71">
        <v>40787</v>
      </c>
      <c r="D1187" s="72">
        <v>41152</v>
      </c>
      <c r="E1187" s="73">
        <v>0.14000000000000001</v>
      </c>
      <c r="F1187" s="74">
        <v>306672.42</v>
      </c>
      <c r="G1187" s="75"/>
      <c r="H1187" s="74">
        <v>43355.96</v>
      </c>
      <c r="I1187" s="73">
        <v>0.14137547810787812</v>
      </c>
    </row>
    <row r="1188" spans="1:9" x14ac:dyDescent="0.25">
      <c r="A1188" s="70" t="s">
        <v>130</v>
      </c>
      <c r="B1188" s="70" t="s">
        <v>136</v>
      </c>
      <c r="C1188" s="71">
        <v>41153</v>
      </c>
      <c r="D1188" s="72">
        <v>41274</v>
      </c>
      <c r="E1188" s="73">
        <v>0.126</v>
      </c>
      <c r="F1188" s="74">
        <v>94937.38</v>
      </c>
      <c r="G1188" s="75"/>
      <c r="H1188" s="74">
        <v>13291.23</v>
      </c>
      <c r="I1188" s="73">
        <v>0.13999996629357161</v>
      </c>
    </row>
    <row r="1189" spans="1:9" x14ac:dyDescent="0.25">
      <c r="A1189" s="70" t="s">
        <v>14</v>
      </c>
      <c r="B1189" s="70" t="s">
        <v>16</v>
      </c>
      <c r="C1189" s="71">
        <v>41001</v>
      </c>
      <c r="D1189" s="72">
        <v>41262</v>
      </c>
      <c r="E1189" s="73">
        <v>0.45</v>
      </c>
      <c r="F1189" s="74"/>
      <c r="G1189" s="75">
        <v>500</v>
      </c>
      <c r="H1189" s="74">
        <v>500</v>
      </c>
      <c r="I1189" s="73">
        <v>1</v>
      </c>
    </row>
    <row r="1190" spans="1:9" x14ac:dyDescent="0.25">
      <c r="A1190" s="70" t="s">
        <v>14</v>
      </c>
      <c r="B1190" s="70" t="s">
        <v>16</v>
      </c>
      <c r="C1190" s="71">
        <v>41001</v>
      </c>
      <c r="D1190" s="72">
        <v>41262</v>
      </c>
      <c r="E1190" s="73">
        <v>0.45</v>
      </c>
      <c r="F1190" s="74">
        <v>37367.5</v>
      </c>
      <c r="G1190" s="75"/>
      <c r="H1190" s="74">
        <v>-4032.5</v>
      </c>
      <c r="I1190" s="73">
        <v>-0.10791463169866863</v>
      </c>
    </row>
    <row r="1191" spans="1:9" x14ac:dyDescent="0.25">
      <c r="A1191" s="76" t="s">
        <v>289</v>
      </c>
      <c r="B1191" s="76" t="s">
        <v>339</v>
      </c>
      <c r="C1191" s="77">
        <v>41275</v>
      </c>
      <c r="D1191" s="78">
        <v>41327</v>
      </c>
      <c r="E1191" s="79">
        <v>0.13</v>
      </c>
      <c r="F1191" s="88"/>
      <c r="G1191" s="81">
        <v>3374</v>
      </c>
      <c r="H1191" s="80">
        <v>447.12</v>
      </c>
      <c r="I1191" s="79">
        <f>H1191/G1191</f>
        <v>0.13251926496739774</v>
      </c>
    </row>
    <row r="1192" spans="1:9" x14ac:dyDescent="0.25">
      <c r="A1192" s="76" t="s">
        <v>375</v>
      </c>
      <c r="B1192" s="76" t="s">
        <v>378</v>
      </c>
      <c r="C1192" s="77">
        <v>41030</v>
      </c>
      <c r="D1192" s="78">
        <v>41046</v>
      </c>
      <c r="E1192" s="79">
        <v>4.4999999999999998E-2</v>
      </c>
      <c r="F1192" s="80"/>
      <c r="G1192" s="81">
        <v>8210</v>
      </c>
      <c r="H1192" s="80">
        <v>6553</v>
      </c>
      <c r="I1192" s="79">
        <f>H1192/G1192</f>
        <v>0.79817295980511571</v>
      </c>
    </row>
    <row r="1193" spans="1:9" ht="28.5" x14ac:dyDescent="0.25">
      <c r="A1193" s="70" t="s">
        <v>60</v>
      </c>
      <c r="B1193" s="70" t="s">
        <v>62</v>
      </c>
      <c r="C1193" s="71">
        <v>40690</v>
      </c>
      <c r="D1193" s="72">
        <v>41055</v>
      </c>
      <c r="E1193" s="73">
        <v>0.09</v>
      </c>
      <c r="F1193" s="74">
        <v>94271.14</v>
      </c>
      <c r="G1193" s="75"/>
      <c r="H1193" s="74">
        <v>13904.01</v>
      </c>
      <c r="I1193" s="73">
        <v>0.14748957103945068</v>
      </c>
    </row>
    <row r="1194" spans="1:9" ht="28.5" x14ac:dyDescent="0.25">
      <c r="A1194" s="70" t="s">
        <v>60</v>
      </c>
      <c r="B1194" s="70" t="s">
        <v>62</v>
      </c>
      <c r="C1194" s="71">
        <v>40690</v>
      </c>
      <c r="D1194" s="72">
        <v>41055</v>
      </c>
      <c r="E1194" s="73">
        <v>0.09</v>
      </c>
      <c r="F1194" s="74"/>
      <c r="G1194" s="75">
        <v>4198</v>
      </c>
      <c r="H1194" s="74">
        <v>619.15</v>
      </c>
      <c r="I1194" s="73">
        <v>0.14748689852310623</v>
      </c>
    </row>
    <row r="1195" spans="1:9" x14ac:dyDescent="0.25">
      <c r="A1195" s="76" t="s">
        <v>643</v>
      </c>
      <c r="B1195" s="76" t="s">
        <v>649</v>
      </c>
      <c r="C1195" s="77">
        <v>40754</v>
      </c>
      <c r="D1195" s="78">
        <v>41119</v>
      </c>
      <c r="E1195" s="79">
        <v>4.4999999999999997E-3</v>
      </c>
      <c r="F1195" s="80">
        <v>60177.67</v>
      </c>
      <c r="G1195" s="81"/>
      <c r="H1195" s="80">
        <v>27348.87</v>
      </c>
      <c r="I1195" s="79">
        <f>H1195/F1195</f>
        <v>0.45446874230923195</v>
      </c>
    </row>
    <row r="1196" spans="1:9" x14ac:dyDescent="0.25">
      <c r="A1196" s="76" t="s">
        <v>643</v>
      </c>
      <c r="B1196" s="76" t="s">
        <v>649</v>
      </c>
      <c r="C1196" s="77">
        <v>41120</v>
      </c>
      <c r="D1196" s="78">
        <v>41484</v>
      </c>
      <c r="E1196" s="79">
        <v>4.4999999999999997E-3</v>
      </c>
      <c r="F1196" s="80">
        <v>43686.59</v>
      </c>
      <c r="G1196" s="81"/>
      <c r="H1196" s="80">
        <v>12155.69</v>
      </c>
      <c r="I1196" s="79">
        <f>H1196/F1196</f>
        <v>0.27824762701781031</v>
      </c>
    </row>
    <row r="1197" spans="1:9" x14ac:dyDescent="0.25">
      <c r="A1197" s="76" t="s">
        <v>643</v>
      </c>
      <c r="B1197" s="76" t="s">
        <v>649</v>
      </c>
      <c r="C1197" s="77">
        <v>40754</v>
      </c>
      <c r="D1197" s="78">
        <v>41119</v>
      </c>
      <c r="E1197" s="79">
        <v>4.4999999999999997E-3</v>
      </c>
      <c r="F1197" s="80"/>
      <c r="G1197" s="81">
        <v>2484</v>
      </c>
      <c r="H1197" s="80">
        <v>1124</v>
      </c>
      <c r="I1197" s="79">
        <f>H1197/G1197</f>
        <v>0.45249597423510468</v>
      </c>
    </row>
    <row r="1198" spans="1:9" x14ac:dyDescent="0.25">
      <c r="A1198" s="76" t="s">
        <v>643</v>
      </c>
      <c r="B1198" s="76" t="s">
        <v>649</v>
      </c>
      <c r="C1198" s="77">
        <v>41120</v>
      </c>
      <c r="D1198" s="78">
        <v>41484</v>
      </c>
      <c r="E1198" s="79">
        <v>4.4999999999999997E-3</v>
      </c>
      <c r="F1198" s="80"/>
      <c r="G1198" s="81">
        <v>0</v>
      </c>
      <c r="H1198" s="80">
        <v>0</v>
      </c>
      <c r="I1198" s="79">
        <v>0</v>
      </c>
    </row>
    <row r="1199" spans="1:9" x14ac:dyDescent="0.25">
      <c r="A1199" s="76" t="s">
        <v>249</v>
      </c>
      <c r="B1199" s="76" t="s">
        <v>261</v>
      </c>
      <c r="C1199" s="77">
        <v>41120</v>
      </c>
      <c r="D1199" s="78">
        <v>41213</v>
      </c>
      <c r="E1199" s="79">
        <v>0</v>
      </c>
      <c r="F1199" s="80">
        <v>50530</v>
      </c>
      <c r="G1199" s="81"/>
      <c r="H1199" s="80">
        <v>5630.15</v>
      </c>
      <c r="I1199" s="79">
        <f>H1199/F1199</f>
        <v>0.11142192756778151</v>
      </c>
    </row>
    <row r="1200" spans="1:9" x14ac:dyDescent="0.25">
      <c r="A1200" s="76" t="s">
        <v>449</v>
      </c>
      <c r="B1200" s="76" t="s">
        <v>451</v>
      </c>
      <c r="C1200" s="77">
        <v>40603</v>
      </c>
      <c r="D1200" s="78">
        <v>40967</v>
      </c>
      <c r="E1200" s="79">
        <v>0</v>
      </c>
      <c r="F1200" s="80">
        <v>9315</v>
      </c>
      <c r="G1200" s="81"/>
      <c r="H1200" s="80">
        <v>2315</v>
      </c>
      <c r="I1200" s="79">
        <f>H1200/F1200</f>
        <v>0.24852388620504562</v>
      </c>
    </row>
    <row r="1201" spans="1:9" x14ac:dyDescent="0.25">
      <c r="A1201" s="76" t="s">
        <v>449</v>
      </c>
      <c r="B1201" s="76" t="s">
        <v>451</v>
      </c>
      <c r="C1201" s="77">
        <v>40968</v>
      </c>
      <c r="D1201" s="78">
        <v>41333</v>
      </c>
      <c r="E1201" s="79">
        <v>0</v>
      </c>
      <c r="F1201" s="80">
        <v>0</v>
      </c>
      <c r="G1201" s="81" t="s">
        <v>469</v>
      </c>
      <c r="H1201" s="80">
        <v>0</v>
      </c>
      <c r="I1201" s="79">
        <v>0</v>
      </c>
    </row>
    <row r="1202" spans="1:9" x14ac:dyDescent="0.25">
      <c r="A1202" s="76" t="s">
        <v>449</v>
      </c>
      <c r="B1202" s="76" t="s">
        <v>451</v>
      </c>
      <c r="C1202" s="77">
        <v>40968</v>
      </c>
      <c r="D1202" s="78">
        <v>41333</v>
      </c>
      <c r="E1202" s="79">
        <v>0</v>
      </c>
      <c r="F1202" s="80"/>
      <c r="G1202" s="81">
        <v>0</v>
      </c>
      <c r="H1202" s="80">
        <v>0</v>
      </c>
      <c r="I1202" s="79">
        <v>0</v>
      </c>
    </row>
    <row r="1203" spans="1:9" x14ac:dyDescent="0.25">
      <c r="A1203" s="76" t="s">
        <v>265</v>
      </c>
      <c r="B1203" s="76" t="s">
        <v>338</v>
      </c>
      <c r="C1203" s="77">
        <v>41194</v>
      </c>
      <c r="D1203" s="78">
        <v>41547</v>
      </c>
      <c r="E1203" s="79">
        <v>0.09</v>
      </c>
      <c r="F1203" s="80">
        <v>654864.9</v>
      </c>
      <c r="G1203" s="81"/>
      <c r="H1203" s="80">
        <v>221405.41</v>
      </c>
      <c r="I1203" s="79">
        <f>H1203/F1203</f>
        <v>0.33809326167885922</v>
      </c>
    </row>
    <row r="1204" spans="1:9" x14ac:dyDescent="0.25">
      <c r="A1204" s="76" t="s">
        <v>249</v>
      </c>
      <c r="B1204" s="76" t="s">
        <v>259</v>
      </c>
      <c r="C1204" s="77">
        <v>40969</v>
      </c>
      <c r="D1204" s="78">
        <v>41152</v>
      </c>
      <c r="E1204" s="79">
        <v>0</v>
      </c>
      <c r="F1204" s="80">
        <v>0</v>
      </c>
      <c r="G1204" s="81"/>
      <c r="H1204" s="80">
        <v>-62748.95</v>
      </c>
      <c r="I1204" s="79">
        <v>0</v>
      </c>
    </row>
    <row r="1205" spans="1:9" x14ac:dyDescent="0.25">
      <c r="A1205" s="70" t="s">
        <v>146</v>
      </c>
      <c r="B1205" s="70" t="s">
        <v>148</v>
      </c>
      <c r="C1205" s="71">
        <v>40592</v>
      </c>
      <c r="D1205" s="72">
        <v>40939</v>
      </c>
      <c r="E1205" s="101">
        <v>4.4999999999999999E-4</v>
      </c>
      <c r="F1205" s="74">
        <v>764720.8</v>
      </c>
      <c r="G1205" s="75"/>
      <c r="H1205" s="74">
        <v>215267.37</v>
      </c>
      <c r="I1205" s="73">
        <v>0.28149799246993151</v>
      </c>
    </row>
    <row r="1206" spans="1:9" x14ac:dyDescent="0.25">
      <c r="A1206" s="70" t="s">
        <v>146</v>
      </c>
      <c r="B1206" s="70" t="s">
        <v>148</v>
      </c>
      <c r="C1206" s="71">
        <v>40940</v>
      </c>
      <c r="D1206" s="72">
        <v>41305</v>
      </c>
      <c r="E1206" s="101">
        <v>4.4999999999999999E-4</v>
      </c>
      <c r="F1206" s="74">
        <v>135352.95999999999</v>
      </c>
      <c r="G1206" s="75"/>
      <c r="H1206" s="74">
        <v>-19751.830000000002</v>
      </c>
      <c r="I1206" s="73">
        <v>-0.14592831955799121</v>
      </c>
    </row>
    <row r="1207" spans="1:9" x14ac:dyDescent="0.25">
      <c r="A1207" s="70" t="s">
        <v>20</v>
      </c>
      <c r="B1207" s="70" t="s">
        <v>35</v>
      </c>
      <c r="C1207" s="71">
        <v>41015</v>
      </c>
      <c r="D1207" s="72">
        <v>41364</v>
      </c>
      <c r="E1207" s="73">
        <v>0</v>
      </c>
      <c r="F1207" s="74"/>
      <c r="G1207" s="75">
        <v>19.95</v>
      </c>
      <c r="H1207" s="74">
        <v>-159.5</v>
      </c>
      <c r="I1207" s="73">
        <f>H1207/G1207</f>
        <v>-7.9949874686716793</v>
      </c>
    </row>
    <row r="1208" spans="1:9" x14ac:dyDescent="0.25">
      <c r="A1208" s="70" t="s">
        <v>20</v>
      </c>
      <c r="B1208" s="70" t="s">
        <v>35</v>
      </c>
      <c r="C1208" s="71">
        <v>41015</v>
      </c>
      <c r="D1208" s="72">
        <v>41364</v>
      </c>
      <c r="E1208" s="73">
        <v>0</v>
      </c>
      <c r="F1208" s="74">
        <v>1875</v>
      </c>
      <c r="G1208" s="75"/>
      <c r="H1208" s="74">
        <v>-4220.3500000000004</v>
      </c>
      <c r="I1208" s="73">
        <f>H1208/F1208</f>
        <v>-2.2508533333333336</v>
      </c>
    </row>
    <row r="1209" spans="1:9" x14ac:dyDescent="0.25">
      <c r="A1209" s="70" t="s">
        <v>171</v>
      </c>
      <c r="B1209" s="70" t="s">
        <v>183</v>
      </c>
      <c r="C1209" s="71">
        <v>40749</v>
      </c>
      <c r="D1209" s="72">
        <v>41104</v>
      </c>
      <c r="E1209" s="73">
        <v>1.7999999999999999E-2</v>
      </c>
      <c r="F1209" s="74">
        <v>204875</v>
      </c>
      <c r="G1209" s="75"/>
      <c r="H1209" s="74">
        <v>-70011</v>
      </c>
      <c r="I1209" s="79">
        <f>H1209/F1209</f>
        <v>-0.34172544234289198</v>
      </c>
    </row>
    <row r="1210" spans="1:9" x14ac:dyDescent="0.25">
      <c r="A1210" s="76" t="s">
        <v>531</v>
      </c>
      <c r="B1210" s="76" t="s">
        <v>183</v>
      </c>
      <c r="C1210" s="77">
        <v>40909</v>
      </c>
      <c r="D1210" s="78">
        <v>41274</v>
      </c>
      <c r="E1210" s="79">
        <v>8.9999999999999993E-3</v>
      </c>
      <c r="F1210" s="80">
        <v>1346509.75</v>
      </c>
      <c r="G1210" s="81"/>
      <c r="H1210" s="80">
        <v>355402.75</v>
      </c>
      <c r="I1210" s="79">
        <f>H1210/F1210</f>
        <v>0.26394368848795935</v>
      </c>
    </row>
    <row r="1211" spans="1:9" x14ac:dyDescent="0.25">
      <c r="A1211" s="76" t="s">
        <v>531</v>
      </c>
      <c r="B1211" s="76" t="s">
        <v>183</v>
      </c>
      <c r="C1211" s="77">
        <v>40909</v>
      </c>
      <c r="D1211" s="78">
        <v>41274</v>
      </c>
      <c r="E1211" s="79">
        <v>8.9999999999999993E-3</v>
      </c>
      <c r="F1211" s="80"/>
      <c r="G1211" s="81">
        <v>61342.2</v>
      </c>
      <c r="H1211" s="80">
        <v>22291.200000000001</v>
      </c>
      <c r="I1211" s="79">
        <f>H1211/G1211</f>
        <v>0.36339094456996979</v>
      </c>
    </row>
    <row r="1212" spans="1:9" x14ac:dyDescent="0.25">
      <c r="A1212" s="76" t="s">
        <v>578</v>
      </c>
      <c r="B1212" s="76" t="s">
        <v>183</v>
      </c>
      <c r="C1212" s="77">
        <v>40735</v>
      </c>
      <c r="D1212" s="78">
        <v>40921</v>
      </c>
      <c r="E1212" s="79">
        <v>0</v>
      </c>
      <c r="F1212" s="80">
        <v>73864</v>
      </c>
      <c r="G1212" s="81"/>
      <c r="H1212" s="80">
        <v>26354</v>
      </c>
      <c r="I1212" s="79">
        <f>H1212/F1212</f>
        <v>0.35679085887577167</v>
      </c>
    </row>
    <row r="1213" spans="1:9" x14ac:dyDescent="0.25">
      <c r="A1213" s="76" t="s">
        <v>613</v>
      </c>
      <c r="B1213" s="76" t="s">
        <v>183</v>
      </c>
      <c r="C1213" s="77">
        <v>41150</v>
      </c>
      <c r="D1213" s="78">
        <v>41469</v>
      </c>
      <c r="E1213" s="79">
        <v>1.7999999999999999E-2</v>
      </c>
      <c r="F1213" s="80">
        <v>472592.07</v>
      </c>
      <c r="G1213" s="81"/>
      <c r="H1213" s="80">
        <v>308780.06</v>
      </c>
      <c r="I1213" s="79">
        <f>H1213/F1213</f>
        <v>0.6533754576118892</v>
      </c>
    </row>
    <row r="1214" spans="1:9" x14ac:dyDescent="0.25">
      <c r="A1214" s="76" t="s">
        <v>613</v>
      </c>
      <c r="B1214" s="76" t="s">
        <v>183</v>
      </c>
      <c r="C1214" s="77">
        <v>40774</v>
      </c>
      <c r="D1214" s="78">
        <v>41104</v>
      </c>
      <c r="E1214" s="79">
        <v>1.7999999999999999E-2</v>
      </c>
      <c r="F1214" s="80">
        <v>384826</v>
      </c>
      <c r="G1214" s="81"/>
      <c r="H1214" s="80">
        <v>209441</v>
      </c>
      <c r="I1214" s="79">
        <f>H1214/F1214</f>
        <v>0.54424856948335087</v>
      </c>
    </row>
    <row r="1215" spans="1:9" x14ac:dyDescent="0.25">
      <c r="A1215" s="76" t="s">
        <v>613</v>
      </c>
      <c r="B1215" s="76" t="s">
        <v>183</v>
      </c>
      <c r="C1215" s="77">
        <v>41150</v>
      </c>
      <c r="D1215" s="78">
        <v>41469</v>
      </c>
      <c r="E1215" s="79">
        <v>1.7999999999999999E-2</v>
      </c>
      <c r="F1215" s="80"/>
      <c r="G1215" s="81">
        <v>13406.22</v>
      </c>
      <c r="H1215" s="80">
        <v>7717.29</v>
      </c>
      <c r="I1215" s="79">
        <f>H1215/G1215</f>
        <v>0.57564995949641284</v>
      </c>
    </row>
    <row r="1216" spans="1:9" x14ac:dyDescent="0.25">
      <c r="A1216" s="76" t="s">
        <v>613</v>
      </c>
      <c r="B1216" s="76" t="s">
        <v>183</v>
      </c>
      <c r="C1216" s="77">
        <v>40774</v>
      </c>
      <c r="D1216" s="78">
        <v>41104</v>
      </c>
      <c r="E1216" s="79">
        <v>1.7999999999999999E-2</v>
      </c>
      <c r="F1216" s="80"/>
      <c r="G1216" s="81">
        <v>6185</v>
      </c>
      <c r="H1216" s="80">
        <v>1889</v>
      </c>
      <c r="I1216" s="79">
        <f>H1216/G1216</f>
        <v>0.30541632983023442</v>
      </c>
    </row>
    <row r="1217" spans="1:9" x14ac:dyDescent="0.25">
      <c r="A1217" s="76" t="s">
        <v>674</v>
      </c>
      <c r="B1217" s="76" t="s">
        <v>183</v>
      </c>
      <c r="C1217" s="77">
        <v>41051</v>
      </c>
      <c r="D1217" s="78">
        <v>41274</v>
      </c>
      <c r="E1217" s="79">
        <v>0.16200000000000001</v>
      </c>
      <c r="F1217" s="80">
        <v>677175.04</v>
      </c>
      <c r="G1217" s="81"/>
      <c r="H1217" s="80">
        <v>457325.12</v>
      </c>
      <c r="I1217" s="79">
        <f>H1217/F1217</f>
        <v>0.67534255249573283</v>
      </c>
    </row>
    <row r="1218" spans="1:9" x14ac:dyDescent="0.25">
      <c r="A1218" s="76" t="s">
        <v>674</v>
      </c>
      <c r="B1218" s="76" t="s">
        <v>183</v>
      </c>
      <c r="C1218" s="77">
        <v>41051</v>
      </c>
      <c r="D1218" s="78">
        <v>41274</v>
      </c>
      <c r="E1218" s="79">
        <v>0.16200000000000001</v>
      </c>
      <c r="F1218" s="80"/>
      <c r="G1218" s="81">
        <v>27117.9</v>
      </c>
      <c r="H1218" s="80">
        <v>19583.650000000001</v>
      </c>
      <c r="I1218" s="79">
        <f>H1218/G1218</f>
        <v>0.72216690820454388</v>
      </c>
    </row>
    <row r="1219" spans="1:9" x14ac:dyDescent="0.25">
      <c r="A1219" s="76" t="s">
        <v>594</v>
      </c>
      <c r="B1219" s="76" t="s">
        <v>606</v>
      </c>
      <c r="C1219" s="77">
        <v>40991</v>
      </c>
      <c r="D1219" s="78">
        <v>41060</v>
      </c>
      <c r="E1219" s="79">
        <v>0.53100000000000003</v>
      </c>
      <c r="F1219" s="80"/>
      <c r="G1219" s="81">
        <v>354.08</v>
      </c>
      <c r="H1219" s="80">
        <v>-167.48</v>
      </c>
      <c r="I1219" s="79">
        <f>H1219/G1219</f>
        <v>-0.47300045187528239</v>
      </c>
    </row>
    <row r="1220" spans="1:9" x14ac:dyDescent="0.25">
      <c r="A1220" s="76" t="s">
        <v>594</v>
      </c>
      <c r="B1220" s="76" t="s">
        <v>606</v>
      </c>
      <c r="C1220" s="77">
        <v>40991</v>
      </c>
      <c r="D1220" s="78">
        <v>41060</v>
      </c>
      <c r="E1220" s="79">
        <v>0.53100000000000003</v>
      </c>
      <c r="F1220" s="80">
        <v>9807.7900000000009</v>
      </c>
      <c r="G1220" s="81"/>
      <c r="H1220" s="80">
        <v>-3231.24</v>
      </c>
      <c r="I1220" s="79">
        <f>H1220/F1220</f>
        <v>-0.3294564830609138</v>
      </c>
    </row>
    <row r="1221" spans="1:9" x14ac:dyDescent="0.25">
      <c r="A1221" s="70" t="s">
        <v>10</v>
      </c>
      <c r="B1221" s="70" t="s">
        <v>13</v>
      </c>
      <c r="C1221" s="71">
        <v>41030</v>
      </c>
      <c r="D1221" s="72">
        <v>41333</v>
      </c>
      <c r="E1221" s="73">
        <v>3.1E-2</v>
      </c>
      <c r="F1221" s="74">
        <v>126317</v>
      </c>
      <c r="G1221" s="75"/>
      <c r="H1221" s="74">
        <v>25023.37</v>
      </c>
      <c r="I1221" s="73">
        <v>0.19809978071043485</v>
      </c>
    </row>
    <row r="1222" spans="1:9" x14ac:dyDescent="0.25">
      <c r="A1222" s="76" t="s">
        <v>594</v>
      </c>
      <c r="B1222" s="76" t="s">
        <v>595</v>
      </c>
      <c r="C1222" s="77">
        <v>40774</v>
      </c>
      <c r="D1222" s="78">
        <v>41090</v>
      </c>
      <c r="E1222" s="79">
        <v>3.5999999999999997E-2</v>
      </c>
      <c r="F1222" s="80"/>
      <c r="G1222" s="81">
        <v>13574.75</v>
      </c>
      <c r="H1222" s="80">
        <v>-20710.849999999999</v>
      </c>
      <c r="I1222" s="79">
        <f>H1222/G1222</f>
        <v>-1.5256892392125083</v>
      </c>
    </row>
    <row r="1223" spans="1:9" x14ac:dyDescent="0.25">
      <c r="A1223" s="76" t="s">
        <v>594</v>
      </c>
      <c r="B1223" s="76" t="s">
        <v>595</v>
      </c>
      <c r="C1223" s="77">
        <v>40774</v>
      </c>
      <c r="D1223" s="78">
        <v>41090</v>
      </c>
      <c r="E1223" s="79">
        <v>3.5999999999999997E-2</v>
      </c>
      <c r="F1223" s="80">
        <v>16895.28</v>
      </c>
      <c r="G1223" s="81"/>
      <c r="H1223" s="80">
        <v>-25961.72</v>
      </c>
      <c r="I1223" s="79">
        <f>H1223/F1223</f>
        <v>-1.5366256137808905</v>
      </c>
    </row>
    <row r="1224" spans="1:9" x14ac:dyDescent="0.25">
      <c r="A1224" s="76" t="s">
        <v>594</v>
      </c>
      <c r="B1224" s="76" t="s">
        <v>611</v>
      </c>
      <c r="C1224" s="77">
        <v>41152</v>
      </c>
      <c r="D1224" s="78">
        <v>41455</v>
      </c>
      <c r="E1224" s="79">
        <v>8.9999999999999998E-4</v>
      </c>
      <c r="F1224" s="80">
        <v>19461.59</v>
      </c>
      <c r="G1224" s="81"/>
      <c r="H1224" s="80">
        <v>1106.56</v>
      </c>
      <c r="I1224" s="79">
        <f>H1224/F1224</f>
        <v>5.6858663654922335E-2</v>
      </c>
    </row>
    <row r="1225" spans="1:9" x14ac:dyDescent="0.25">
      <c r="A1225" s="76" t="s">
        <v>594</v>
      </c>
      <c r="B1225" s="76" t="s">
        <v>611</v>
      </c>
      <c r="C1225" s="77">
        <v>41152</v>
      </c>
      <c r="D1225" s="78">
        <v>41455</v>
      </c>
      <c r="E1225" s="79">
        <v>8.9999999999999998E-4</v>
      </c>
      <c r="F1225" s="80"/>
      <c r="G1225" s="81">
        <v>6421.11</v>
      </c>
      <c r="H1225" s="80">
        <v>547.5</v>
      </c>
      <c r="I1225" s="79">
        <f>H1225/G1225</f>
        <v>8.5265631643127129E-2</v>
      </c>
    </row>
    <row r="1226" spans="1:9" x14ac:dyDescent="0.25">
      <c r="A1226" s="76" t="s">
        <v>317</v>
      </c>
      <c r="B1226" s="76" t="s">
        <v>332</v>
      </c>
      <c r="C1226" s="77">
        <v>41153</v>
      </c>
      <c r="D1226" s="78">
        <v>41517</v>
      </c>
      <c r="E1226" s="79">
        <v>8.9999999999999998E-4</v>
      </c>
      <c r="F1226" s="80">
        <v>1911706.91</v>
      </c>
      <c r="G1226" s="81"/>
      <c r="H1226" s="80">
        <v>446899.74</v>
      </c>
      <c r="I1226" s="79">
        <f>H1226/F1226</f>
        <v>0.23377000818603519</v>
      </c>
    </row>
    <row r="1227" spans="1:9" x14ac:dyDescent="0.25">
      <c r="A1227" s="76" t="s">
        <v>315</v>
      </c>
      <c r="B1227" s="76" t="s">
        <v>332</v>
      </c>
      <c r="C1227" s="77">
        <v>40801</v>
      </c>
      <c r="D1227" s="78">
        <v>41152</v>
      </c>
      <c r="E1227" s="79">
        <v>0</v>
      </c>
      <c r="F1227" s="80">
        <v>1204870.77</v>
      </c>
      <c r="G1227" s="81"/>
      <c r="H1227" s="80">
        <v>213280.68</v>
      </c>
      <c r="I1227" s="79">
        <f>H1227/F1227</f>
        <v>0.17701539892116397</v>
      </c>
    </row>
    <row r="1228" spans="1:9" x14ac:dyDescent="0.25">
      <c r="A1228" s="76" t="s">
        <v>317</v>
      </c>
      <c r="B1228" s="76" t="s">
        <v>332</v>
      </c>
      <c r="C1228" s="77">
        <v>41153</v>
      </c>
      <c r="D1228" s="78">
        <v>41517</v>
      </c>
      <c r="E1228" s="79">
        <v>8.9999999999999998E-4</v>
      </c>
      <c r="F1228" s="80"/>
      <c r="G1228" s="81">
        <v>68345.460000000006</v>
      </c>
      <c r="H1228" s="80">
        <v>15977.12</v>
      </c>
      <c r="I1228" s="79">
        <f>H1228/G1228</f>
        <v>0.23377002656796808</v>
      </c>
    </row>
    <row r="1229" spans="1:9" x14ac:dyDescent="0.25">
      <c r="A1229" s="76" t="s">
        <v>315</v>
      </c>
      <c r="B1229" s="76" t="s">
        <v>332</v>
      </c>
      <c r="C1229" s="77">
        <v>40801</v>
      </c>
      <c r="D1229" s="78">
        <v>41152</v>
      </c>
      <c r="E1229" s="79">
        <v>0</v>
      </c>
      <c r="F1229" s="80"/>
      <c r="G1229" s="81">
        <v>50707</v>
      </c>
      <c r="H1229" s="80">
        <v>8975.92</v>
      </c>
      <c r="I1229" s="79">
        <f>H1229/G1229</f>
        <v>0.17701540221271225</v>
      </c>
    </row>
    <row r="1230" spans="1:9" x14ac:dyDescent="0.25">
      <c r="A1230" s="76" t="s">
        <v>426</v>
      </c>
      <c r="B1230" s="76" t="s">
        <v>428</v>
      </c>
      <c r="C1230" s="77">
        <v>40952</v>
      </c>
      <c r="D1230" s="78">
        <v>41258</v>
      </c>
      <c r="E1230" s="79">
        <v>0.1</v>
      </c>
      <c r="F1230" s="88"/>
      <c r="G1230" s="81">
        <v>153385</v>
      </c>
      <c r="H1230" s="80">
        <v>15338.5</v>
      </c>
      <c r="I1230" s="79">
        <f>H1230/G1230</f>
        <v>0.1</v>
      </c>
    </row>
    <row r="1231" spans="1:9" x14ac:dyDescent="0.25">
      <c r="A1231" s="76" t="s">
        <v>317</v>
      </c>
      <c r="B1231" s="76" t="s">
        <v>341</v>
      </c>
      <c r="C1231" s="77">
        <v>40829</v>
      </c>
      <c r="D1231" s="78">
        <v>41121</v>
      </c>
      <c r="E1231" s="79">
        <v>0</v>
      </c>
      <c r="F1231" s="80">
        <v>233684.22</v>
      </c>
      <c r="G1231" s="81"/>
      <c r="H1231" s="80">
        <v>17589.55</v>
      </c>
      <c r="I1231" s="79">
        <f>H1231/F1231</f>
        <v>7.527059379533628E-2</v>
      </c>
    </row>
    <row r="1232" spans="1:9" x14ac:dyDescent="0.25">
      <c r="A1232" s="76" t="s">
        <v>317</v>
      </c>
      <c r="B1232" s="76" t="s">
        <v>341</v>
      </c>
      <c r="C1232" s="77">
        <v>40829</v>
      </c>
      <c r="D1232" s="78">
        <v>41121</v>
      </c>
      <c r="E1232" s="79">
        <v>0</v>
      </c>
      <c r="F1232" s="80"/>
      <c r="G1232" s="81">
        <v>14285.44</v>
      </c>
      <c r="H1232" s="80">
        <v>1075.27</v>
      </c>
      <c r="I1232" s="79">
        <f>H1232/G1232</f>
        <v>7.5270345190627655E-2</v>
      </c>
    </row>
    <row r="1233" spans="1:9" x14ac:dyDescent="0.25">
      <c r="A1233" s="76" t="s">
        <v>635</v>
      </c>
      <c r="B1233" s="76" t="s">
        <v>640</v>
      </c>
      <c r="C1233" s="77">
        <v>41169</v>
      </c>
      <c r="D1233" s="78">
        <v>41533</v>
      </c>
      <c r="E1233" s="79">
        <v>0.5</v>
      </c>
      <c r="F1233" s="80"/>
      <c r="G1233" s="81">
        <v>130562</v>
      </c>
      <c r="H1233" s="80">
        <v>65281</v>
      </c>
      <c r="I1233" s="79">
        <f>H1233/G1233</f>
        <v>0.5</v>
      </c>
    </row>
    <row r="1234" spans="1:9" x14ac:dyDescent="0.25">
      <c r="A1234" s="76" t="s">
        <v>578</v>
      </c>
      <c r="B1234" s="76" t="s">
        <v>1971</v>
      </c>
      <c r="C1234" s="77">
        <v>40801</v>
      </c>
      <c r="D1234" s="77">
        <v>41104</v>
      </c>
      <c r="E1234" s="79">
        <v>0</v>
      </c>
      <c r="F1234" s="80">
        <v>27843</v>
      </c>
      <c r="G1234" s="88"/>
      <c r="H1234" s="80">
        <v>10648.5</v>
      </c>
      <c r="I1234" s="79">
        <f>H1234/F1234</f>
        <v>0.3824480120676651</v>
      </c>
    </row>
    <row r="1235" spans="1:9" x14ac:dyDescent="0.25">
      <c r="A1235" s="76" t="s">
        <v>578</v>
      </c>
      <c r="B1235" s="76" t="s">
        <v>1970</v>
      </c>
      <c r="C1235" s="77">
        <v>40848</v>
      </c>
      <c r="D1235" s="77">
        <v>41213</v>
      </c>
      <c r="E1235" s="79">
        <v>8.9999999999999993E-3</v>
      </c>
      <c r="F1235" s="80">
        <v>39794</v>
      </c>
      <c r="G1235" s="88"/>
      <c r="H1235" s="80">
        <v>18708.400000000001</v>
      </c>
      <c r="I1235" s="79">
        <f>H1235/F1235</f>
        <v>0.47013117555410366</v>
      </c>
    </row>
    <row r="1236" spans="1:9" x14ac:dyDescent="0.25">
      <c r="A1236" s="76" t="s">
        <v>674</v>
      </c>
      <c r="B1236" s="76" t="s">
        <v>675</v>
      </c>
      <c r="C1236" s="77">
        <v>40911</v>
      </c>
      <c r="D1236" s="78">
        <v>41274</v>
      </c>
      <c r="E1236" s="79">
        <v>0.47160000000000002</v>
      </c>
      <c r="F1236" s="80">
        <v>730406.35</v>
      </c>
      <c r="G1236" s="81"/>
      <c r="H1236" s="80">
        <v>349050.39</v>
      </c>
      <c r="I1236" s="79">
        <f>H1236/F1236</f>
        <v>0.47788520732329343</v>
      </c>
    </row>
    <row r="1237" spans="1:9" x14ac:dyDescent="0.25">
      <c r="A1237" s="76" t="s">
        <v>674</v>
      </c>
      <c r="B1237" s="76" t="s">
        <v>675</v>
      </c>
      <c r="C1237" s="77">
        <v>40911</v>
      </c>
      <c r="D1237" s="78">
        <v>41274</v>
      </c>
      <c r="E1237" s="79">
        <v>0.47160000000000002</v>
      </c>
      <c r="F1237" s="80"/>
      <c r="G1237" s="81">
        <v>23603.37</v>
      </c>
      <c r="H1237" s="80">
        <v>10927.11</v>
      </c>
      <c r="I1237" s="79">
        <f>H1237/G1237</f>
        <v>0.46294702832688728</v>
      </c>
    </row>
    <row r="1238" spans="1:9" x14ac:dyDescent="0.25">
      <c r="A1238" s="76" t="s">
        <v>171</v>
      </c>
      <c r="B1238" s="76" t="s">
        <v>179</v>
      </c>
      <c r="C1238" s="77">
        <v>40988</v>
      </c>
      <c r="D1238" s="78">
        <v>41213</v>
      </c>
      <c r="E1238" s="79">
        <v>1.7999999999999999E-2</v>
      </c>
      <c r="F1238" s="80"/>
      <c r="G1238" s="81">
        <v>1685</v>
      </c>
      <c r="H1238" s="80">
        <v>68</v>
      </c>
      <c r="I1238" s="79">
        <f>H1238/G1238</f>
        <v>4.0356083086053415E-2</v>
      </c>
    </row>
    <row r="1239" spans="1:9" x14ac:dyDescent="0.25">
      <c r="A1239" s="76" t="s">
        <v>171</v>
      </c>
      <c r="B1239" s="76" t="s">
        <v>179</v>
      </c>
      <c r="C1239" s="77">
        <v>40988</v>
      </c>
      <c r="D1239" s="78">
        <v>41213</v>
      </c>
      <c r="E1239" s="79">
        <v>1.7999999999999999E-2</v>
      </c>
      <c r="F1239" s="80">
        <v>49890</v>
      </c>
      <c r="G1239" s="81"/>
      <c r="H1239" s="80">
        <v>-4771</v>
      </c>
      <c r="I1239" s="79">
        <f>H1239/F1239</f>
        <v>-9.5630386851072363E-2</v>
      </c>
    </row>
    <row r="1240" spans="1:9" x14ac:dyDescent="0.25">
      <c r="A1240" s="76" t="s">
        <v>262</v>
      </c>
      <c r="B1240" s="76" t="s">
        <v>179</v>
      </c>
      <c r="C1240" s="77">
        <v>41220</v>
      </c>
      <c r="D1240" s="78">
        <v>41455</v>
      </c>
      <c r="E1240" s="79">
        <v>8.9999999999999993E-3</v>
      </c>
      <c r="F1240" s="80">
        <v>161125.25</v>
      </c>
      <c r="G1240" s="81"/>
      <c r="H1240" s="80">
        <v>71497.95</v>
      </c>
      <c r="I1240" s="79">
        <f>H1240/F1240</f>
        <v>0.4437414371738756</v>
      </c>
    </row>
    <row r="1241" spans="1:9" x14ac:dyDescent="0.25">
      <c r="A1241" s="76" t="s">
        <v>262</v>
      </c>
      <c r="B1241" s="76" t="s">
        <v>179</v>
      </c>
      <c r="C1241" s="77">
        <v>41220</v>
      </c>
      <c r="D1241" s="78">
        <v>41455</v>
      </c>
      <c r="E1241" s="79">
        <v>8.9999999999999993E-3</v>
      </c>
      <c r="F1241" s="80"/>
      <c r="G1241" s="81">
        <v>4292.12</v>
      </c>
      <c r="H1241" s="80">
        <v>1131.6199999999999</v>
      </c>
      <c r="I1241" s="79">
        <f>H1241/G1241</f>
        <v>0.26365059690782178</v>
      </c>
    </row>
    <row r="1242" spans="1:9" x14ac:dyDescent="0.25">
      <c r="A1242" s="76" t="s">
        <v>263</v>
      </c>
      <c r="B1242" s="76" t="s">
        <v>179</v>
      </c>
      <c r="C1242" s="77">
        <v>40854</v>
      </c>
      <c r="D1242" s="78">
        <v>41219</v>
      </c>
      <c r="E1242" s="79">
        <v>8.9999999999999993E-3</v>
      </c>
      <c r="F1242" s="80">
        <v>310048.58</v>
      </c>
      <c r="G1242" s="81"/>
      <c r="H1242" s="80">
        <v>158275.09</v>
      </c>
      <c r="I1242" s="79">
        <f>H1242/F1242</f>
        <v>0.51048480854193878</v>
      </c>
    </row>
    <row r="1243" spans="1:9" x14ac:dyDescent="0.25">
      <c r="A1243" s="76" t="s">
        <v>263</v>
      </c>
      <c r="B1243" s="76" t="s">
        <v>179</v>
      </c>
      <c r="C1243" s="77">
        <v>40854</v>
      </c>
      <c r="D1243" s="78">
        <v>41219</v>
      </c>
      <c r="E1243" s="79">
        <v>8.9999999999999993E-3</v>
      </c>
      <c r="F1243" s="80"/>
      <c r="G1243" s="81">
        <v>8562</v>
      </c>
      <c r="H1243" s="80">
        <v>2772</v>
      </c>
      <c r="I1243" s="79">
        <f>H1243/G1243</f>
        <v>0.32375613174491941</v>
      </c>
    </row>
    <row r="1244" spans="1:9" x14ac:dyDescent="0.25">
      <c r="A1244" s="76" t="s">
        <v>487</v>
      </c>
      <c r="B1244" s="76" t="s">
        <v>488</v>
      </c>
      <c r="C1244" s="77">
        <v>41091</v>
      </c>
      <c r="D1244" s="78">
        <v>41455</v>
      </c>
      <c r="E1244" s="79">
        <v>0.09</v>
      </c>
      <c r="F1244" s="80">
        <v>3300896.24</v>
      </c>
      <c r="G1244" s="88"/>
      <c r="H1244" s="80">
        <v>137000</v>
      </c>
      <c r="I1244" s="79">
        <f>H1244/F1244</f>
        <v>4.150387956453911E-2</v>
      </c>
    </row>
    <row r="1245" spans="1:9" x14ac:dyDescent="0.25">
      <c r="A1245" s="70" t="s">
        <v>140</v>
      </c>
      <c r="B1245" s="70" t="s">
        <v>142</v>
      </c>
      <c r="C1245" s="71">
        <v>40909</v>
      </c>
      <c r="D1245" s="72">
        <v>41274</v>
      </c>
      <c r="E1245" s="73">
        <v>0.125</v>
      </c>
      <c r="F1245" s="74">
        <v>972020.15</v>
      </c>
      <c r="G1245" s="75"/>
      <c r="H1245" s="74">
        <v>133158.56</v>
      </c>
      <c r="I1245" s="73">
        <v>0.13699156339505925</v>
      </c>
    </row>
    <row r="1246" spans="1:9" x14ac:dyDescent="0.25">
      <c r="A1246" s="70" t="s">
        <v>140</v>
      </c>
      <c r="B1246" s="70" t="s">
        <v>142</v>
      </c>
      <c r="C1246" s="71">
        <v>40909</v>
      </c>
      <c r="D1246" s="72">
        <v>41274</v>
      </c>
      <c r="E1246" s="73">
        <v>0.125</v>
      </c>
      <c r="F1246" s="74"/>
      <c r="G1246" s="75">
        <v>972020.15</v>
      </c>
      <c r="H1246" s="74">
        <v>133158.56</v>
      </c>
      <c r="I1246" s="73">
        <v>0.13699156339505925</v>
      </c>
    </row>
    <row r="1247" spans="1:9" x14ac:dyDescent="0.25">
      <c r="A1247" s="76" t="s">
        <v>270</v>
      </c>
      <c r="B1247" s="76" t="s">
        <v>142</v>
      </c>
      <c r="C1247" s="77">
        <v>40786</v>
      </c>
      <c r="D1247" s="78">
        <v>41151</v>
      </c>
      <c r="E1247" s="79">
        <v>0.37</v>
      </c>
      <c r="F1247" s="80"/>
      <c r="G1247" s="81">
        <v>789724.28</v>
      </c>
      <c r="H1247" s="80">
        <v>311689.83</v>
      </c>
      <c r="I1247" s="79">
        <f>H1247/G1247</f>
        <v>0.39468183756487774</v>
      </c>
    </row>
    <row r="1248" spans="1:9" x14ac:dyDescent="0.25">
      <c r="A1248" s="76" t="s">
        <v>270</v>
      </c>
      <c r="B1248" s="76" t="s">
        <v>142</v>
      </c>
      <c r="C1248" s="77">
        <v>41152</v>
      </c>
      <c r="D1248" s="78">
        <v>41274</v>
      </c>
      <c r="E1248" s="79">
        <v>0.37</v>
      </c>
      <c r="F1248" s="80"/>
      <c r="G1248" s="81">
        <v>212715.62</v>
      </c>
      <c r="H1248" s="80">
        <v>83387.88</v>
      </c>
      <c r="I1248" s="93">
        <f>H1248/G1248</f>
        <v>0.39201578144566912</v>
      </c>
    </row>
    <row r="1249" spans="1:9" x14ac:dyDescent="0.25">
      <c r="A1249" s="76" t="s">
        <v>487</v>
      </c>
      <c r="B1249" s="76" t="s">
        <v>142</v>
      </c>
      <c r="C1249" s="77">
        <v>40725</v>
      </c>
      <c r="D1249" s="78">
        <v>41090</v>
      </c>
      <c r="E1249" s="79">
        <v>0.09</v>
      </c>
      <c r="F1249" s="80">
        <v>2059060.4</v>
      </c>
      <c r="G1249" s="88"/>
      <c r="H1249" s="80">
        <v>135000</v>
      </c>
      <c r="I1249" s="93">
        <f>H1249/F1249</f>
        <v>6.5563885352756049E-2</v>
      </c>
    </row>
    <row r="1250" spans="1:9" x14ac:dyDescent="0.25">
      <c r="A1250" s="76" t="s">
        <v>394</v>
      </c>
      <c r="B1250" s="76" t="s">
        <v>395</v>
      </c>
      <c r="C1250" s="77">
        <v>41095</v>
      </c>
      <c r="D1250" s="78">
        <v>41436</v>
      </c>
      <c r="E1250" s="79">
        <v>0.3</v>
      </c>
      <c r="F1250" s="80">
        <v>27207</v>
      </c>
      <c r="G1250" s="81"/>
      <c r="H1250" s="80">
        <v>8162</v>
      </c>
      <c r="I1250" s="93">
        <f>H1250/F1250</f>
        <v>0.29999632447531888</v>
      </c>
    </row>
    <row r="1251" spans="1:9" x14ac:dyDescent="0.25">
      <c r="A1251" s="76" t="s">
        <v>394</v>
      </c>
      <c r="B1251" s="76" t="s">
        <v>395</v>
      </c>
      <c r="C1251" s="77">
        <v>40725</v>
      </c>
      <c r="D1251" s="78">
        <v>41075</v>
      </c>
      <c r="E1251" s="79">
        <v>0.3</v>
      </c>
      <c r="F1251" s="80"/>
      <c r="G1251" s="81">
        <v>26882</v>
      </c>
      <c r="H1251" s="80">
        <v>8065</v>
      </c>
      <c r="I1251" s="93">
        <f t="shared" ref="I1251:I1256" si="11">H1251/G1251</f>
        <v>0.3000148798452496</v>
      </c>
    </row>
    <row r="1252" spans="1:9" x14ac:dyDescent="0.25">
      <c r="A1252" s="76" t="s">
        <v>439</v>
      </c>
      <c r="B1252" s="76" t="s">
        <v>443</v>
      </c>
      <c r="C1252" s="77">
        <v>41127</v>
      </c>
      <c r="D1252" s="78">
        <v>41417</v>
      </c>
      <c r="E1252" s="79">
        <v>0.14000000000000001</v>
      </c>
      <c r="F1252" s="88"/>
      <c r="G1252" s="81">
        <v>11587</v>
      </c>
      <c r="H1252" s="80">
        <v>1810.52</v>
      </c>
      <c r="I1252" s="93">
        <f t="shared" si="11"/>
        <v>0.15625442306032622</v>
      </c>
    </row>
    <row r="1253" spans="1:9" x14ac:dyDescent="0.25">
      <c r="A1253" s="76" t="s">
        <v>558</v>
      </c>
      <c r="B1253" s="76" t="s">
        <v>443</v>
      </c>
      <c r="C1253" s="77">
        <v>40763</v>
      </c>
      <c r="D1253" s="78">
        <v>41065</v>
      </c>
      <c r="E1253" s="79">
        <v>0.14000000000000001</v>
      </c>
      <c r="F1253" s="88"/>
      <c r="G1253" s="81">
        <v>13602</v>
      </c>
      <c r="H1253" s="80">
        <v>2224.1999999999998</v>
      </c>
      <c r="I1253" s="93">
        <f t="shared" si="11"/>
        <v>0.1635200705778562</v>
      </c>
    </row>
    <row r="1254" spans="1:9" x14ac:dyDescent="0.25">
      <c r="A1254" s="76" t="s">
        <v>394</v>
      </c>
      <c r="B1254" s="76" t="s">
        <v>402</v>
      </c>
      <c r="C1254" s="77">
        <v>40967</v>
      </c>
      <c r="D1254" s="78">
        <v>41333</v>
      </c>
      <c r="E1254" s="79">
        <v>0.35</v>
      </c>
      <c r="F1254" s="80"/>
      <c r="G1254" s="81">
        <v>32144</v>
      </c>
      <c r="H1254" s="80">
        <v>12250</v>
      </c>
      <c r="I1254" s="93">
        <f t="shared" si="11"/>
        <v>0.38109756097560976</v>
      </c>
    </row>
    <row r="1255" spans="1:9" x14ac:dyDescent="0.25">
      <c r="A1255" s="76" t="s">
        <v>394</v>
      </c>
      <c r="B1255" s="76" t="s">
        <v>402</v>
      </c>
      <c r="C1255" s="77">
        <v>40658</v>
      </c>
      <c r="D1255" s="78">
        <v>41013</v>
      </c>
      <c r="E1255" s="79">
        <v>0.3</v>
      </c>
      <c r="F1255" s="80"/>
      <c r="G1255" s="81">
        <v>33150</v>
      </c>
      <c r="H1255" s="80">
        <v>11890</v>
      </c>
      <c r="I1255" s="93">
        <f t="shared" si="11"/>
        <v>0.35867269984917044</v>
      </c>
    </row>
    <row r="1256" spans="1:9" x14ac:dyDescent="0.25">
      <c r="A1256" s="76" t="s">
        <v>394</v>
      </c>
      <c r="B1256" s="76" t="s">
        <v>396</v>
      </c>
      <c r="C1256" s="77">
        <v>40725</v>
      </c>
      <c r="D1256" s="78">
        <v>41075</v>
      </c>
      <c r="E1256" s="79">
        <v>0.3</v>
      </c>
      <c r="F1256" s="80"/>
      <c r="G1256" s="81">
        <v>35217</v>
      </c>
      <c r="H1256" s="80">
        <v>10565</v>
      </c>
      <c r="I1256" s="93">
        <f t="shared" si="11"/>
        <v>0.29999716046227676</v>
      </c>
    </row>
    <row r="1257" spans="1:9" x14ac:dyDescent="0.25">
      <c r="A1257" s="76" t="s">
        <v>394</v>
      </c>
      <c r="B1257" s="76" t="s">
        <v>396</v>
      </c>
      <c r="C1257" s="77">
        <v>41122</v>
      </c>
      <c r="D1257" s="78">
        <v>41455</v>
      </c>
      <c r="E1257" s="79">
        <v>0.3</v>
      </c>
      <c r="F1257" s="80">
        <v>31301</v>
      </c>
      <c r="G1257" s="81"/>
      <c r="H1257" s="80">
        <v>9390</v>
      </c>
      <c r="I1257" s="93">
        <f>H1257/F1257</f>
        <v>0.29999041564167278</v>
      </c>
    </row>
    <row r="1258" spans="1:9" x14ac:dyDescent="0.25">
      <c r="A1258" s="76" t="s">
        <v>439</v>
      </c>
      <c r="B1258" s="76" t="s">
        <v>440</v>
      </c>
      <c r="C1258" s="77">
        <v>41176</v>
      </c>
      <c r="D1258" s="78">
        <v>41417</v>
      </c>
      <c r="E1258" s="79">
        <v>0.14000000000000001</v>
      </c>
      <c r="F1258" s="88"/>
      <c r="G1258" s="81">
        <v>9677</v>
      </c>
      <c r="H1258" s="80">
        <v>1614.12</v>
      </c>
      <c r="I1258" s="93">
        <f>H1258/G1258</f>
        <v>0.16679962798387929</v>
      </c>
    </row>
    <row r="1259" spans="1:9" x14ac:dyDescent="0.25">
      <c r="A1259" s="76" t="s">
        <v>439</v>
      </c>
      <c r="B1259" s="76" t="s">
        <v>440</v>
      </c>
      <c r="C1259" s="77">
        <v>41015</v>
      </c>
      <c r="D1259" s="78">
        <v>41348</v>
      </c>
      <c r="E1259" s="79">
        <v>0.14000000000000001</v>
      </c>
      <c r="F1259" s="88"/>
      <c r="G1259" s="81">
        <v>5147</v>
      </c>
      <c r="H1259" s="80">
        <v>836.68</v>
      </c>
      <c r="I1259" s="93">
        <f>H1259/G1259</f>
        <v>0.16255682922090536</v>
      </c>
    </row>
    <row r="1260" spans="1:9" x14ac:dyDescent="0.25">
      <c r="A1260" s="76" t="s">
        <v>558</v>
      </c>
      <c r="B1260" s="76" t="s">
        <v>440</v>
      </c>
      <c r="C1260" s="77">
        <v>40826</v>
      </c>
      <c r="D1260" s="78">
        <v>41151</v>
      </c>
      <c r="E1260" s="79">
        <v>0.14000000000000001</v>
      </c>
      <c r="F1260" s="88"/>
      <c r="G1260" s="81">
        <v>4859</v>
      </c>
      <c r="H1260" s="80">
        <v>789.48</v>
      </c>
      <c r="I1260" s="93">
        <f>H1260/G1260</f>
        <v>0.16247787610619469</v>
      </c>
    </row>
    <row r="1261" spans="1:9" x14ac:dyDescent="0.25">
      <c r="A1261" s="76" t="s">
        <v>558</v>
      </c>
      <c r="B1261" s="76" t="s">
        <v>559</v>
      </c>
      <c r="C1261" s="77">
        <v>40651</v>
      </c>
      <c r="D1261" s="78">
        <v>40998</v>
      </c>
      <c r="E1261" s="79">
        <v>0.14000000000000001</v>
      </c>
      <c r="F1261" s="88"/>
      <c r="G1261" s="81">
        <v>4671</v>
      </c>
      <c r="H1261" s="80">
        <v>751.96</v>
      </c>
      <c r="I1261" s="93">
        <f>H1261/G1261</f>
        <v>0.16098479982873048</v>
      </c>
    </row>
    <row r="1262" spans="1:9" x14ac:dyDescent="0.25">
      <c r="A1262" s="76" t="s">
        <v>594</v>
      </c>
      <c r="B1262" s="76" t="s">
        <v>599</v>
      </c>
      <c r="C1262" s="77">
        <v>40823</v>
      </c>
      <c r="D1262" s="78">
        <v>41188</v>
      </c>
      <c r="E1262" s="79">
        <v>0.63</v>
      </c>
      <c r="F1262" s="80">
        <v>752957.65</v>
      </c>
      <c r="G1262" s="81"/>
      <c r="H1262" s="80">
        <v>395406.75</v>
      </c>
      <c r="I1262" s="93">
        <f>H1262/F1262</f>
        <v>0.52513810039648312</v>
      </c>
    </row>
    <row r="1263" spans="1:9" x14ac:dyDescent="0.25">
      <c r="A1263" s="76" t="s">
        <v>594</v>
      </c>
      <c r="B1263" s="76" t="s">
        <v>599</v>
      </c>
      <c r="C1263" s="77">
        <v>40823</v>
      </c>
      <c r="D1263" s="78">
        <v>41188</v>
      </c>
      <c r="E1263" s="79">
        <v>0.63</v>
      </c>
      <c r="F1263" s="80"/>
      <c r="G1263" s="81">
        <v>10015.120000000001</v>
      </c>
      <c r="H1263" s="80">
        <v>5259.32</v>
      </c>
      <c r="I1263" s="93">
        <f>H1263/G1263</f>
        <v>0.52513799135706807</v>
      </c>
    </row>
    <row r="1264" spans="1:9" x14ac:dyDescent="0.25">
      <c r="A1264" s="76" t="s">
        <v>289</v>
      </c>
      <c r="B1264" s="76" t="s">
        <v>312</v>
      </c>
      <c r="C1264" s="77">
        <v>41193</v>
      </c>
      <c r="D1264" s="78">
        <v>41261</v>
      </c>
      <c r="E1264" s="79">
        <v>0.13</v>
      </c>
      <c r="F1264" s="88"/>
      <c r="G1264" s="81">
        <v>18690</v>
      </c>
      <c r="H1264" s="80">
        <v>2458.6999999999998</v>
      </c>
      <c r="I1264" s="93">
        <f>H1264/G1264</f>
        <v>0.13155163188871052</v>
      </c>
    </row>
    <row r="1265" spans="1:9" x14ac:dyDescent="0.25">
      <c r="A1265" s="76" t="s">
        <v>313</v>
      </c>
      <c r="B1265" s="76" t="s">
        <v>312</v>
      </c>
      <c r="C1265" s="77">
        <v>40959</v>
      </c>
      <c r="D1265" s="78">
        <v>41080</v>
      </c>
      <c r="E1265" s="79">
        <v>0.13</v>
      </c>
      <c r="F1265" s="88"/>
      <c r="G1265" s="81">
        <v>19726</v>
      </c>
      <c r="H1265" s="80">
        <v>2573.38</v>
      </c>
      <c r="I1265" s="93">
        <f>H1265/G1265</f>
        <v>0.13045625063368144</v>
      </c>
    </row>
    <row r="1266" spans="1:9" x14ac:dyDescent="0.25">
      <c r="A1266" s="70" t="s">
        <v>171</v>
      </c>
      <c r="B1266" s="70" t="s">
        <v>195</v>
      </c>
      <c r="C1266" s="71">
        <v>40599</v>
      </c>
      <c r="D1266" s="72">
        <v>40927</v>
      </c>
      <c r="E1266" s="73">
        <v>1.7999999999999999E-2</v>
      </c>
      <c r="F1266" s="74">
        <v>44815</v>
      </c>
      <c r="G1266" s="88"/>
      <c r="H1266" s="74">
        <v>8018.73</v>
      </c>
      <c r="I1266" s="126">
        <v>0.17892959946446502</v>
      </c>
    </row>
    <row r="1267" spans="1:9" x14ac:dyDescent="0.25">
      <c r="A1267" s="76" t="s">
        <v>317</v>
      </c>
      <c r="B1267" s="76" t="s">
        <v>352</v>
      </c>
      <c r="C1267" s="77">
        <v>40962</v>
      </c>
      <c r="D1267" s="78">
        <v>41029</v>
      </c>
      <c r="E1267" s="79">
        <v>8.9999999999999998E-4</v>
      </c>
      <c r="F1267" s="80">
        <v>1840.84</v>
      </c>
      <c r="G1267" s="81"/>
      <c r="H1267" s="80">
        <v>1.84</v>
      </c>
      <c r="I1267" s="93">
        <f>H1267/F1267</f>
        <v>9.995436865778667E-4</v>
      </c>
    </row>
    <row r="1268" spans="1:9" x14ac:dyDescent="0.25">
      <c r="A1268" s="76" t="s">
        <v>317</v>
      </c>
      <c r="B1268" s="76" t="s">
        <v>352</v>
      </c>
      <c r="C1268" s="77">
        <v>40962</v>
      </c>
      <c r="D1268" s="78">
        <v>41029</v>
      </c>
      <c r="E1268" s="79">
        <v>8.9999999999999998E-4</v>
      </c>
      <c r="F1268" s="80"/>
      <c r="G1268" s="81">
        <v>75</v>
      </c>
      <c r="H1268" s="80">
        <v>0.08</v>
      </c>
      <c r="I1268" s="93">
        <f>H1268/G1268</f>
        <v>1.0666666666666667E-3</v>
      </c>
    </row>
    <row r="1269" spans="1:9" x14ac:dyDescent="0.25">
      <c r="A1269" s="76" t="s">
        <v>449</v>
      </c>
      <c r="B1269" s="76" t="s">
        <v>474</v>
      </c>
      <c r="C1269" s="77">
        <v>41122</v>
      </c>
      <c r="D1269" s="78">
        <v>41486</v>
      </c>
      <c r="E1269" s="79">
        <v>0</v>
      </c>
      <c r="F1269" s="80">
        <v>248930</v>
      </c>
      <c r="G1269" s="88"/>
      <c r="H1269" s="80">
        <v>55035</v>
      </c>
      <c r="I1269" s="93">
        <f>H1269/F1269</f>
        <v>0.22108624914634636</v>
      </c>
    </row>
    <row r="1270" spans="1:9" x14ac:dyDescent="0.25">
      <c r="A1270" s="76" t="s">
        <v>449</v>
      </c>
      <c r="B1270" s="76" t="s">
        <v>460</v>
      </c>
      <c r="C1270" s="77">
        <v>40756</v>
      </c>
      <c r="D1270" s="78">
        <v>41121</v>
      </c>
      <c r="E1270" s="79">
        <v>0</v>
      </c>
      <c r="F1270" s="80">
        <v>196612</v>
      </c>
      <c r="G1270" s="81"/>
      <c r="H1270" s="80">
        <v>29787</v>
      </c>
      <c r="I1270" s="93">
        <f>H1270/F1270</f>
        <v>0.15150143429699103</v>
      </c>
    </row>
    <row r="1271" spans="1:9" x14ac:dyDescent="0.25">
      <c r="A1271" s="76" t="s">
        <v>555</v>
      </c>
      <c r="B1271" s="76" t="s">
        <v>557</v>
      </c>
      <c r="C1271" s="77">
        <v>41098</v>
      </c>
      <c r="D1271" s="78">
        <v>41456</v>
      </c>
      <c r="E1271" s="79">
        <v>0.18</v>
      </c>
      <c r="F1271" s="88"/>
      <c r="G1271" s="81">
        <v>445</v>
      </c>
      <c r="H1271" s="80">
        <v>89</v>
      </c>
      <c r="I1271" s="93">
        <f>H1271/G1271</f>
        <v>0.2</v>
      </c>
    </row>
    <row r="1272" spans="1:9" x14ac:dyDescent="0.25">
      <c r="A1272" s="76" t="s">
        <v>555</v>
      </c>
      <c r="B1272" s="76" t="s">
        <v>556</v>
      </c>
      <c r="C1272" s="77">
        <v>40732</v>
      </c>
      <c r="D1272" s="78">
        <v>41097</v>
      </c>
      <c r="E1272" s="79">
        <v>0.18</v>
      </c>
      <c r="F1272" s="80"/>
      <c r="G1272" s="81">
        <v>1245</v>
      </c>
      <c r="H1272" s="80">
        <v>249</v>
      </c>
      <c r="I1272" s="93">
        <f>H1272/G1272</f>
        <v>0.2</v>
      </c>
    </row>
    <row r="1273" spans="1:9" x14ac:dyDescent="0.25">
      <c r="A1273" s="76" t="s">
        <v>1717</v>
      </c>
      <c r="B1273" s="76" t="s">
        <v>458</v>
      </c>
      <c r="C1273" s="77">
        <v>41205</v>
      </c>
      <c r="D1273" s="78">
        <v>41274</v>
      </c>
      <c r="E1273" s="79">
        <v>8.9999999999999993E-3</v>
      </c>
      <c r="F1273" s="80">
        <v>327757</v>
      </c>
      <c r="G1273" s="81"/>
      <c r="H1273" s="80">
        <v>169732.35</v>
      </c>
      <c r="I1273" s="126">
        <f>H1273/F1273</f>
        <v>0.5178603355534741</v>
      </c>
    </row>
    <row r="1274" spans="1:9" x14ac:dyDescent="0.25">
      <c r="A1274" s="76" t="s">
        <v>1717</v>
      </c>
      <c r="B1274" s="76" t="s">
        <v>458</v>
      </c>
      <c r="C1274" s="77">
        <v>41205</v>
      </c>
      <c r="D1274" s="78">
        <v>41274</v>
      </c>
      <c r="E1274" s="79">
        <v>8.9999999999999993E-3</v>
      </c>
      <c r="F1274" s="80"/>
      <c r="G1274" s="81">
        <v>5723</v>
      </c>
      <c r="H1274" s="80">
        <v>1841.35</v>
      </c>
      <c r="I1274" s="126">
        <f>H1274/G1274</f>
        <v>0.32174558797833303</v>
      </c>
    </row>
    <row r="1275" spans="1:9" x14ac:dyDescent="0.25">
      <c r="A1275" s="76" t="s">
        <v>449</v>
      </c>
      <c r="B1275" s="76" t="s">
        <v>458</v>
      </c>
      <c r="C1275" s="77">
        <v>40756</v>
      </c>
      <c r="D1275" s="78">
        <v>41121</v>
      </c>
      <c r="E1275" s="79">
        <v>0</v>
      </c>
      <c r="F1275" s="80">
        <v>986984</v>
      </c>
      <c r="G1275" s="81"/>
      <c r="H1275" s="80">
        <v>103434</v>
      </c>
      <c r="I1275" s="93">
        <f>H1275/F1275</f>
        <v>0.10479805143751064</v>
      </c>
    </row>
    <row r="1276" spans="1:9" x14ac:dyDescent="0.25">
      <c r="A1276" s="76" t="s">
        <v>449</v>
      </c>
      <c r="B1276" s="76" t="s">
        <v>458</v>
      </c>
      <c r="C1276" s="77">
        <v>41122</v>
      </c>
      <c r="D1276" s="78">
        <v>41486</v>
      </c>
      <c r="E1276" s="79">
        <v>0</v>
      </c>
      <c r="F1276" s="80">
        <v>180814</v>
      </c>
      <c r="G1276" s="88"/>
      <c r="H1276" s="80">
        <v>76598</v>
      </c>
      <c r="I1276" s="93">
        <f>H1276/F1276</f>
        <v>0.42362870131737584</v>
      </c>
    </row>
    <row r="1277" spans="1:9" x14ac:dyDescent="0.25">
      <c r="A1277" s="76" t="s">
        <v>643</v>
      </c>
      <c r="B1277" s="76" t="s">
        <v>458</v>
      </c>
      <c r="C1277" s="77">
        <v>41090</v>
      </c>
      <c r="D1277" s="78">
        <v>41274</v>
      </c>
      <c r="E1277" s="79">
        <v>4.4999999999999997E-3</v>
      </c>
      <c r="F1277" s="80">
        <v>1068511.01</v>
      </c>
      <c r="G1277" s="81"/>
      <c r="H1277" s="80">
        <v>277351</v>
      </c>
      <c r="I1277" s="93">
        <f>H1277/F1277</f>
        <v>0.25956775120174008</v>
      </c>
    </row>
    <row r="1278" spans="1:9" x14ac:dyDescent="0.25">
      <c r="A1278" s="76" t="s">
        <v>643</v>
      </c>
      <c r="B1278" s="76" t="s">
        <v>458</v>
      </c>
      <c r="C1278" s="77">
        <v>40724</v>
      </c>
      <c r="D1278" s="78">
        <v>41089</v>
      </c>
      <c r="E1278" s="79">
        <v>4.4999999999999997E-3</v>
      </c>
      <c r="F1278" s="80">
        <v>1660831.65</v>
      </c>
      <c r="G1278" s="81"/>
      <c r="H1278" s="80">
        <v>196316.5</v>
      </c>
      <c r="I1278" s="93">
        <f>H1278/F1278</f>
        <v>0.11820373244934249</v>
      </c>
    </row>
    <row r="1279" spans="1:9" x14ac:dyDescent="0.25">
      <c r="A1279" s="76" t="s">
        <v>643</v>
      </c>
      <c r="B1279" s="76" t="s">
        <v>458</v>
      </c>
      <c r="C1279" s="77">
        <v>40724</v>
      </c>
      <c r="D1279" s="78">
        <v>41089</v>
      </c>
      <c r="E1279" s="79">
        <v>4.4999999999999997E-3</v>
      </c>
      <c r="F1279" s="80"/>
      <c r="G1279" s="81">
        <v>54779</v>
      </c>
      <c r="H1279" s="80">
        <v>4193</v>
      </c>
      <c r="I1279" s="93">
        <f>H1279/G1279</f>
        <v>7.6543931068475152E-2</v>
      </c>
    </row>
    <row r="1280" spans="1:9" x14ac:dyDescent="0.25">
      <c r="A1280" s="76" t="s">
        <v>643</v>
      </c>
      <c r="B1280" s="76" t="s">
        <v>458</v>
      </c>
      <c r="C1280" s="77">
        <v>41090</v>
      </c>
      <c r="D1280" s="78">
        <v>41274</v>
      </c>
      <c r="E1280" s="79">
        <v>4.4999999999999997E-3</v>
      </c>
      <c r="F1280" s="80"/>
      <c r="G1280" s="81">
        <v>16766</v>
      </c>
      <c r="H1280" s="80">
        <v>2909</v>
      </c>
      <c r="I1280" s="93">
        <f>H1280/G1280</f>
        <v>0.1735059048073482</v>
      </c>
    </row>
    <row r="1281" spans="1:9" x14ac:dyDescent="0.25">
      <c r="A1281" s="70" t="s">
        <v>127</v>
      </c>
      <c r="B1281" s="70" t="s">
        <v>129</v>
      </c>
      <c r="C1281" s="71">
        <v>40812</v>
      </c>
      <c r="D1281" s="72">
        <v>41121</v>
      </c>
      <c r="E1281" s="73">
        <v>0</v>
      </c>
      <c r="F1281" s="74">
        <v>0</v>
      </c>
      <c r="G1281" s="75"/>
      <c r="H1281" s="74">
        <v>-3000</v>
      </c>
      <c r="I1281" s="126">
        <v>0</v>
      </c>
    </row>
    <row r="1282" spans="1:9" x14ac:dyDescent="0.25">
      <c r="A1282" s="70" t="s">
        <v>127</v>
      </c>
      <c r="B1282" s="70" t="s">
        <v>129</v>
      </c>
      <c r="C1282" s="71">
        <v>40786</v>
      </c>
      <c r="D1282" s="72">
        <v>41121</v>
      </c>
      <c r="E1282" s="73">
        <v>0</v>
      </c>
      <c r="F1282" s="74">
        <v>0</v>
      </c>
      <c r="G1282" s="75"/>
      <c r="H1282" s="74">
        <v>-58402</v>
      </c>
      <c r="I1282" s="126">
        <v>0</v>
      </c>
    </row>
    <row r="1283" spans="1:9" x14ac:dyDescent="0.25">
      <c r="A1283" s="76" t="s">
        <v>317</v>
      </c>
      <c r="B1283" s="76" t="s">
        <v>359</v>
      </c>
      <c r="C1283" s="77">
        <v>41183</v>
      </c>
      <c r="D1283" s="78">
        <v>41425</v>
      </c>
      <c r="E1283" s="79">
        <v>8.9999999999999993E-3</v>
      </c>
      <c r="F1283" s="80">
        <v>2014</v>
      </c>
      <c r="G1283" s="81"/>
      <c r="H1283" s="80">
        <v>2</v>
      </c>
      <c r="I1283" s="93">
        <f>H1283/F1283</f>
        <v>9.930486593843098E-4</v>
      </c>
    </row>
    <row r="1284" spans="1:9" x14ac:dyDescent="0.25">
      <c r="A1284" s="76" t="s">
        <v>317</v>
      </c>
      <c r="B1284" s="76" t="s">
        <v>359</v>
      </c>
      <c r="C1284" s="77">
        <v>41183</v>
      </c>
      <c r="D1284" s="78">
        <v>41425</v>
      </c>
      <c r="E1284" s="79">
        <v>8.9999999999999993E-3</v>
      </c>
      <c r="F1284" s="80"/>
      <c r="G1284" s="81">
        <v>265</v>
      </c>
      <c r="H1284" s="80">
        <v>2.5999999999999999E-2</v>
      </c>
      <c r="I1284" s="93">
        <f>H1284/G1284</f>
        <v>9.8113207547169813E-5</v>
      </c>
    </row>
    <row r="1285" spans="1:9" x14ac:dyDescent="0.25">
      <c r="A1285" s="76" t="s">
        <v>317</v>
      </c>
      <c r="B1285" s="76" t="s">
        <v>350</v>
      </c>
      <c r="C1285" s="77">
        <v>40928</v>
      </c>
      <c r="D1285" s="78">
        <v>41293</v>
      </c>
      <c r="E1285" s="79">
        <v>8.9999999999999998E-4</v>
      </c>
      <c r="F1285" s="80">
        <v>0</v>
      </c>
      <c r="G1285" s="81"/>
      <c r="H1285" s="80">
        <v>0</v>
      </c>
      <c r="I1285" s="93">
        <v>0</v>
      </c>
    </row>
    <row r="1286" spans="1:9" x14ac:dyDescent="0.25">
      <c r="A1286" s="76" t="s">
        <v>315</v>
      </c>
      <c r="B1286" s="76" t="s">
        <v>316</v>
      </c>
      <c r="C1286" s="77">
        <v>40575</v>
      </c>
      <c r="D1286" s="78">
        <v>40924</v>
      </c>
      <c r="E1286" s="79">
        <v>1.7999999999999999E-2</v>
      </c>
      <c r="F1286" s="80">
        <v>77595.710000000006</v>
      </c>
      <c r="G1286" s="81"/>
      <c r="H1286" s="80">
        <v>4010.53</v>
      </c>
      <c r="I1286" s="93">
        <f>H1286/F1286</f>
        <v>5.1684944953786748E-2</v>
      </c>
    </row>
    <row r="1287" spans="1:9" x14ac:dyDescent="0.25">
      <c r="A1287" s="76" t="s">
        <v>315</v>
      </c>
      <c r="B1287" s="76" t="s">
        <v>316</v>
      </c>
      <c r="C1287" s="77">
        <v>40575</v>
      </c>
      <c r="D1287" s="78">
        <v>40924</v>
      </c>
      <c r="E1287" s="79">
        <v>1.7999999999999999E-2</v>
      </c>
      <c r="F1287" s="80"/>
      <c r="G1287" s="81">
        <v>2853</v>
      </c>
      <c r="H1287" s="80">
        <v>380</v>
      </c>
      <c r="I1287" s="93">
        <f>H1287/G1287</f>
        <v>0.1331931300385559</v>
      </c>
    </row>
    <row r="1288" spans="1:9" x14ac:dyDescent="0.25">
      <c r="A1288" s="76" t="s">
        <v>630</v>
      </c>
      <c r="B1288" s="76" t="s">
        <v>1926</v>
      </c>
      <c r="C1288" s="77">
        <v>40953</v>
      </c>
      <c r="D1288" s="78">
        <v>41240</v>
      </c>
      <c r="E1288" s="79">
        <v>0.01</v>
      </c>
      <c r="F1288" s="80">
        <v>105062.25</v>
      </c>
      <c r="G1288" s="81"/>
      <c r="H1288" s="80">
        <v>22496.82</v>
      </c>
      <c r="I1288" s="93">
        <f>H1288/F1288</f>
        <v>0.21412848097199516</v>
      </c>
    </row>
    <row r="1289" spans="1:9" x14ac:dyDescent="0.25">
      <c r="A1289" s="76" t="s">
        <v>630</v>
      </c>
      <c r="B1289" s="76" t="s">
        <v>1926</v>
      </c>
      <c r="C1289" s="77">
        <v>40953</v>
      </c>
      <c r="D1289" s="78">
        <v>41240</v>
      </c>
      <c r="E1289" s="79">
        <v>0.01</v>
      </c>
      <c r="F1289" s="80"/>
      <c r="G1289" s="81">
        <v>3174</v>
      </c>
      <c r="H1289" s="80">
        <v>913.4</v>
      </c>
      <c r="I1289" s="93">
        <f>H1289/G1289</f>
        <v>0.28777567737870197</v>
      </c>
    </row>
    <row r="1290" spans="1:9" x14ac:dyDescent="0.25">
      <c r="A1290" s="76" t="s">
        <v>220</v>
      </c>
      <c r="B1290" s="76" t="s">
        <v>229</v>
      </c>
      <c r="C1290" s="77">
        <v>40959</v>
      </c>
      <c r="D1290" s="78">
        <v>41018</v>
      </c>
      <c r="E1290" s="79">
        <v>0.3</v>
      </c>
      <c r="F1290" s="80">
        <v>14725</v>
      </c>
      <c r="G1290" s="81"/>
      <c r="H1290" s="80">
        <v>4417.5</v>
      </c>
      <c r="I1290" s="93">
        <f>H1290/F1290</f>
        <v>0.3</v>
      </c>
    </row>
    <row r="1291" spans="1:9" x14ac:dyDescent="0.25">
      <c r="A1291" s="70" t="s">
        <v>122</v>
      </c>
      <c r="B1291" s="70" t="s">
        <v>126</v>
      </c>
      <c r="C1291" s="71">
        <v>41137</v>
      </c>
      <c r="D1291" s="72">
        <v>41305</v>
      </c>
      <c r="E1291" s="73">
        <v>0.09</v>
      </c>
      <c r="F1291" s="74">
        <v>11784</v>
      </c>
      <c r="G1291" s="75"/>
      <c r="H1291" s="74">
        <v>1178.4000000000001</v>
      </c>
      <c r="I1291" s="126">
        <v>0.1</v>
      </c>
    </row>
    <row r="1292" spans="1:9" x14ac:dyDescent="0.25">
      <c r="A1292" s="76" t="s">
        <v>665</v>
      </c>
      <c r="B1292" s="76" t="s">
        <v>670</v>
      </c>
      <c r="C1292" s="77">
        <v>40909</v>
      </c>
      <c r="D1292" s="78">
        <v>41253</v>
      </c>
      <c r="E1292" s="79">
        <v>0.2</v>
      </c>
      <c r="F1292" s="80">
        <v>568396</v>
      </c>
      <c r="G1292" s="81"/>
      <c r="H1292" s="80">
        <v>109934</v>
      </c>
      <c r="I1292" s="93">
        <f>H1292/F1292</f>
        <v>0.19341093181514296</v>
      </c>
    </row>
    <row r="1293" spans="1:9" x14ac:dyDescent="0.25">
      <c r="A1293" s="76" t="s">
        <v>410</v>
      </c>
      <c r="B1293" s="76" t="s">
        <v>411</v>
      </c>
      <c r="C1293" s="77">
        <v>40729</v>
      </c>
      <c r="D1293" s="78">
        <v>40939</v>
      </c>
      <c r="E1293" s="79">
        <v>0.12</v>
      </c>
      <c r="F1293" s="88"/>
      <c r="G1293" s="81">
        <v>42404.5</v>
      </c>
      <c r="H1293" s="80">
        <v>5088.54</v>
      </c>
      <c r="I1293" s="93">
        <f>H1293/G1293</f>
        <v>0.12</v>
      </c>
    </row>
    <row r="1294" spans="1:9" x14ac:dyDescent="0.25">
      <c r="A1294" s="76" t="s">
        <v>317</v>
      </c>
      <c r="B1294" s="76" t="s">
        <v>345</v>
      </c>
      <c r="C1294" s="77">
        <v>40849</v>
      </c>
      <c r="D1294" s="78">
        <v>41121</v>
      </c>
      <c r="E1294" s="79">
        <v>1.7999999999999999E-2</v>
      </c>
      <c r="F1294" s="80">
        <v>23215.45</v>
      </c>
      <c r="G1294" s="81"/>
      <c r="H1294" s="80">
        <v>4.8</v>
      </c>
      <c r="I1294" s="93">
        <f>H1294/F1294</f>
        <v>2.0675886101712435E-4</v>
      </c>
    </row>
    <row r="1295" spans="1:9" x14ac:dyDescent="0.25">
      <c r="A1295" s="76" t="s">
        <v>317</v>
      </c>
      <c r="B1295" s="76" t="s">
        <v>360</v>
      </c>
      <c r="C1295" s="77">
        <v>41177</v>
      </c>
      <c r="D1295" s="78">
        <v>41486</v>
      </c>
      <c r="E1295" s="79">
        <v>8.9999999999999998E-4</v>
      </c>
      <c r="F1295" s="80">
        <v>78283.8</v>
      </c>
      <c r="G1295" s="81"/>
      <c r="H1295" s="80">
        <v>44171.12</v>
      </c>
      <c r="I1295" s="93">
        <f>H1295/F1295</f>
        <v>0.56424343222991225</v>
      </c>
    </row>
    <row r="1296" spans="1:9" x14ac:dyDescent="0.25">
      <c r="A1296" s="76" t="s">
        <v>317</v>
      </c>
      <c r="B1296" s="76" t="s">
        <v>360</v>
      </c>
      <c r="C1296" s="77">
        <v>41177</v>
      </c>
      <c r="D1296" s="78">
        <v>41486</v>
      </c>
      <c r="E1296" s="79">
        <v>8.9999999999999998E-4</v>
      </c>
      <c r="F1296" s="80"/>
      <c r="G1296" s="81">
        <v>3273</v>
      </c>
      <c r="H1296" s="80">
        <v>1846.77</v>
      </c>
      <c r="I1296" s="93">
        <f>H1296/G1296</f>
        <v>0.56424381301558202</v>
      </c>
    </row>
    <row r="1297" spans="1:9" x14ac:dyDescent="0.25">
      <c r="A1297" s="76" t="s">
        <v>171</v>
      </c>
      <c r="B1297" s="76" t="s">
        <v>192</v>
      </c>
      <c r="C1297" s="77">
        <v>40879</v>
      </c>
      <c r="D1297" s="78">
        <v>41243</v>
      </c>
      <c r="E1297" s="79">
        <v>1.7999999999999999E-2</v>
      </c>
      <c r="F1297" s="80">
        <v>902813</v>
      </c>
      <c r="G1297" s="81"/>
      <c r="H1297" s="80">
        <v>7565.31</v>
      </c>
      <c r="I1297" s="93">
        <f>H1297/F1297</f>
        <v>8.3797087547476615E-3</v>
      </c>
    </row>
    <row r="1298" spans="1:9" x14ac:dyDescent="0.25">
      <c r="A1298" s="76" t="s">
        <v>641</v>
      </c>
      <c r="B1298" s="76" t="s">
        <v>642</v>
      </c>
      <c r="C1298" s="77">
        <v>40653</v>
      </c>
      <c r="D1298" s="78">
        <v>40967</v>
      </c>
      <c r="E1298" s="79">
        <v>8.9999999999999993E-3</v>
      </c>
      <c r="F1298" s="80">
        <v>21972</v>
      </c>
      <c r="G1298" s="81"/>
      <c r="H1298" s="80">
        <v>12564.9</v>
      </c>
      <c r="I1298" s="93">
        <f>H1298/F1298</f>
        <v>0.57185963954123431</v>
      </c>
    </row>
    <row r="1299" spans="1:9" x14ac:dyDescent="0.25">
      <c r="A1299" s="76" t="s">
        <v>641</v>
      </c>
      <c r="B1299" s="76" t="s">
        <v>642</v>
      </c>
      <c r="C1299" s="77">
        <v>40653</v>
      </c>
      <c r="D1299" s="78">
        <v>40967</v>
      </c>
      <c r="E1299" s="79">
        <v>8.9999999999999993E-3</v>
      </c>
      <c r="F1299" s="80"/>
      <c r="G1299" s="81">
        <v>1099</v>
      </c>
      <c r="H1299" s="80">
        <v>628.47</v>
      </c>
      <c r="I1299" s="93">
        <f>H1299/G1299</f>
        <v>0.57185623293903554</v>
      </c>
    </row>
    <row r="1300" spans="1:9" x14ac:dyDescent="0.25">
      <c r="A1300" s="76" t="s">
        <v>578</v>
      </c>
      <c r="B1300" s="76" t="s">
        <v>1969</v>
      </c>
      <c r="C1300" s="77">
        <v>40744</v>
      </c>
      <c r="D1300" s="77">
        <v>40999</v>
      </c>
      <c r="E1300" s="79">
        <v>0</v>
      </c>
      <c r="F1300" s="80">
        <v>335454.25</v>
      </c>
      <c r="G1300" s="88"/>
      <c r="H1300" s="80">
        <v>270091.59999999998</v>
      </c>
      <c r="I1300" s="93">
        <f>H1300/F1300</f>
        <v>0.80515182025566823</v>
      </c>
    </row>
    <row r="1301" spans="1:9" x14ac:dyDescent="0.25">
      <c r="A1301" s="76" t="s">
        <v>265</v>
      </c>
      <c r="B1301" s="76" t="s">
        <v>268</v>
      </c>
      <c r="C1301" s="77">
        <v>41006</v>
      </c>
      <c r="D1301" s="78">
        <v>41370</v>
      </c>
      <c r="E1301" s="79">
        <v>0.27</v>
      </c>
      <c r="F1301" s="80">
        <v>652577.6</v>
      </c>
      <c r="G1301" s="81"/>
      <c r="H1301" s="80">
        <v>195773.29</v>
      </c>
      <c r="I1301" s="93">
        <f>H1301/F1301</f>
        <v>0.30000001532384812</v>
      </c>
    </row>
    <row r="1302" spans="1:9" x14ac:dyDescent="0.25">
      <c r="A1302" s="76" t="s">
        <v>267</v>
      </c>
      <c r="B1302" s="76" t="s">
        <v>268</v>
      </c>
      <c r="C1302" s="77">
        <v>40640</v>
      </c>
      <c r="D1302" s="78">
        <v>41005</v>
      </c>
      <c r="E1302" s="79">
        <v>0.27</v>
      </c>
      <c r="F1302" s="80">
        <v>809191.04</v>
      </c>
      <c r="G1302" s="81"/>
      <c r="H1302" s="80">
        <v>242757.31</v>
      </c>
      <c r="I1302" s="93">
        <f>H1302/F1302</f>
        <v>0.29999999752839573</v>
      </c>
    </row>
    <row r="1303" spans="1:9" x14ac:dyDescent="0.25">
      <c r="A1303" s="76" t="s">
        <v>504</v>
      </c>
      <c r="B1303" s="76" t="s">
        <v>507</v>
      </c>
      <c r="C1303" s="77">
        <v>40763</v>
      </c>
      <c r="D1303" s="78">
        <v>41128</v>
      </c>
      <c r="E1303" s="79">
        <v>0.09</v>
      </c>
      <c r="F1303" s="80"/>
      <c r="G1303" s="81">
        <v>16742.57</v>
      </c>
      <c r="H1303" s="80">
        <v>1674.26</v>
      </c>
      <c r="I1303" s="93">
        <f>H1303/G1303</f>
        <v>0.10000017918396041</v>
      </c>
    </row>
    <row r="1304" spans="1:9" x14ac:dyDescent="0.25">
      <c r="A1304" s="76" t="s">
        <v>512</v>
      </c>
      <c r="B1304" s="76" t="s">
        <v>507</v>
      </c>
      <c r="C1304" s="77">
        <v>41129</v>
      </c>
      <c r="D1304" s="78">
        <v>41493</v>
      </c>
      <c r="E1304" s="79">
        <v>0.09</v>
      </c>
      <c r="F1304" s="80"/>
      <c r="G1304" s="81">
        <v>13249</v>
      </c>
      <c r="H1304" s="80">
        <v>1324.9</v>
      </c>
      <c r="I1304" s="93">
        <f>H1304/G1304</f>
        <v>0.1</v>
      </c>
    </row>
    <row r="1305" spans="1:9" x14ac:dyDescent="0.25">
      <c r="A1305" s="76" t="s">
        <v>613</v>
      </c>
      <c r="B1305" s="76" t="s">
        <v>618</v>
      </c>
      <c r="C1305" s="77">
        <v>40793</v>
      </c>
      <c r="D1305" s="78">
        <v>41121</v>
      </c>
      <c r="E1305" s="79">
        <v>8.9999999999999993E-3</v>
      </c>
      <c r="F1305" s="80"/>
      <c r="G1305" s="81">
        <v>0</v>
      </c>
      <c r="H1305" s="80">
        <v>0</v>
      </c>
      <c r="I1305" s="93">
        <v>0</v>
      </c>
    </row>
    <row r="1306" spans="1:9" x14ac:dyDescent="0.25">
      <c r="A1306" s="76" t="s">
        <v>613</v>
      </c>
      <c r="B1306" s="76" t="s">
        <v>618</v>
      </c>
      <c r="C1306" s="77">
        <v>40793</v>
      </c>
      <c r="D1306" s="78">
        <v>41121</v>
      </c>
      <c r="E1306" s="79">
        <v>8.9999999999999993E-3</v>
      </c>
      <c r="F1306" s="80">
        <v>2068</v>
      </c>
      <c r="G1306" s="81"/>
      <c r="H1306" s="80">
        <v>-2508</v>
      </c>
      <c r="I1306" s="93">
        <f>H1306/F1306</f>
        <v>-1.2127659574468086</v>
      </c>
    </row>
    <row r="1307" spans="1:9" x14ac:dyDescent="0.25">
      <c r="A1307" s="76" t="s">
        <v>246</v>
      </c>
      <c r="B1307" s="76" t="s">
        <v>248</v>
      </c>
      <c r="C1307" s="77">
        <v>40909</v>
      </c>
      <c r="D1307" s="78">
        <v>41274</v>
      </c>
      <c r="E1307" s="79">
        <v>0</v>
      </c>
      <c r="F1307" s="80">
        <v>209718.28</v>
      </c>
      <c r="G1307" s="81"/>
      <c r="H1307" s="80">
        <v>92957.71</v>
      </c>
      <c r="I1307" s="93">
        <f>H1307/F1307</f>
        <v>0.44325039286036488</v>
      </c>
    </row>
    <row r="1308" spans="1:9" x14ac:dyDescent="0.25">
      <c r="A1308" s="76" t="s">
        <v>531</v>
      </c>
      <c r="B1308" s="76" t="s">
        <v>547</v>
      </c>
      <c r="C1308" s="77">
        <v>41107</v>
      </c>
      <c r="D1308" s="78">
        <v>41364</v>
      </c>
      <c r="E1308" s="79">
        <v>8.9999999999999993E-3</v>
      </c>
      <c r="F1308" s="80">
        <v>0</v>
      </c>
      <c r="G1308" s="81"/>
      <c r="H1308" s="80">
        <v>0</v>
      </c>
      <c r="I1308" s="93">
        <v>0</v>
      </c>
    </row>
    <row r="1309" spans="1:9" x14ac:dyDescent="0.25">
      <c r="A1309" s="76" t="s">
        <v>249</v>
      </c>
      <c r="B1309" s="76" t="s">
        <v>256</v>
      </c>
      <c r="C1309" s="77">
        <v>40812</v>
      </c>
      <c r="D1309" s="78">
        <v>40939</v>
      </c>
      <c r="E1309" s="79">
        <v>0</v>
      </c>
      <c r="F1309" s="80">
        <v>153537</v>
      </c>
      <c r="G1309" s="81"/>
      <c r="H1309" s="80">
        <v>105824.66</v>
      </c>
      <c r="I1309" s="93">
        <f>H1309/F1309</f>
        <v>0.6892453284875959</v>
      </c>
    </row>
    <row r="1310" spans="1:9" x14ac:dyDescent="0.25">
      <c r="A1310" s="70" t="s">
        <v>87</v>
      </c>
      <c r="B1310" s="70" t="s">
        <v>90</v>
      </c>
      <c r="C1310" s="71">
        <v>40788</v>
      </c>
      <c r="D1310" s="72">
        <v>41153</v>
      </c>
      <c r="E1310" s="73">
        <v>0.92500000000000004</v>
      </c>
      <c r="F1310" s="74">
        <v>659969.68999999994</v>
      </c>
      <c r="G1310" s="75"/>
      <c r="H1310" s="74">
        <v>610471.96</v>
      </c>
      <c r="I1310" s="126">
        <v>0.92499999507553143</v>
      </c>
    </row>
    <row r="1311" spans="1:9" x14ac:dyDescent="0.25">
      <c r="A1311" s="70" t="s">
        <v>87</v>
      </c>
      <c r="B1311" s="70" t="s">
        <v>90</v>
      </c>
      <c r="C1311" s="71">
        <v>40788</v>
      </c>
      <c r="D1311" s="72">
        <v>41153</v>
      </c>
      <c r="E1311" s="73">
        <v>0.92500000000000004</v>
      </c>
      <c r="F1311" s="74"/>
      <c r="G1311" s="75">
        <v>16998.7</v>
      </c>
      <c r="H1311" s="74">
        <v>15723.8</v>
      </c>
      <c r="I1311" s="126">
        <v>0.92500014707006994</v>
      </c>
    </row>
    <row r="1312" spans="1:9" x14ac:dyDescent="0.25">
      <c r="A1312" s="70" t="s">
        <v>171</v>
      </c>
      <c r="B1312" s="70" t="s">
        <v>90</v>
      </c>
      <c r="C1312" s="71">
        <v>40763</v>
      </c>
      <c r="D1312" s="72">
        <v>41090</v>
      </c>
      <c r="E1312" s="73">
        <v>1.7999999999999999E-2</v>
      </c>
      <c r="F1312" s="74">
        <v>1111511.07</v>
      </c>
      <c r="G1312" s="75"/>
      <c r="H1312" s="74">
        <v>786517.58</v>
      </c>
      <c r="I1312" s="93">
        <f>H1312/F1312</f>
        <v>0.70761110818266515</v>
      </c>
    </row>
    <row r="1313" spans="1:9" x14ac:dyDescent="0.25">
      <c r="A1313" s="76" t="s">
        <v>317</v>
      </c>
      <c r="B1313" s="76" t="s">
        <v>90</v>
      </c>
      <c r="C1313" s="77">
        <v>40830</v>
      </c>
      <c r="D1313" s="78">
        <v>41090</v>
      </c>
      <c r="E1313" s="79">
        <v>0.18</v>
      </c>
      <c r="F1313" s="80">
        <v>0</v>
      </c>
      <c r="G1313" s="81"/>
      <c r="H1313" s="80">
        <v>0</v>
      </c>
      <c r="I1313" s="93">
        <v>0</v>
      </c>
    </row>
    <row r="1314" spans="1:9" x14ac:dyDescent="0.25">
      <c r="A1314" s="76" t="s">
        <v>317</v>
      </c>
      <c r="B1314" s="76" t="s">
        <v>90</v>
      </c>
      <c r="C1314" s="77">
        <v>40830</v>
      </c>
      <c r="D1314" s="78">
        <v>41090</v>
      </c>
      <c r="E1314" s="79">
        <v>0.18</v>
      </c>
      <c r="F1314" s="80"/>
      <c r="G1314" s="81">
        <v>0</v>
      </c>
      <c r="H1314" s="80">
        <v>0</v>
      </c>
      <c r="I1314" s="93">
        <v>0</v>
      </c>
    </row>
    <row r="1315" spans="1:9" x14ac:dyDescent="0.25">
      <c r="A1315" s="76" t="s">
        <v>317</v>
      </c>
      <c r="B1315" s="76" t="s">
        <v>90</v>
      </c>
      <c r="C1315" s="77">
        <v>41104</v>
      </c>
      <c r="D1315" s="78">
        <v>41455</v>
      </c>
      <c r="E1315" s="79">
        <v>0.18</v>
      </c>
      <c r="F1315" s="80">
        <v>0</v>
      </c>
      <c r="G1315" s="81"/>
      <c r="H1315" s="80">
        <v>0</v>
      </c>
      <c r="I1315" s="93">
        <v>0</v>
      </c>
    </row>
    <row r="1316" spans="1:9" x14ac:dyDescent="0.25">
      <c r="A1316" s="76" t="s">
        <v>317</v>
      </c>
      <c r="B1316" s="76" t="s">
        <v>90</v>
      </c>
      <c r="C1316" s="77">
        <v>41104</v>
      </c>
      <c r="D1316" s="78">
        <v>41455</v>
      </c>
      <c r="E1316" s="79">
        <v>0.18</v>
      </c>
      <c r="F1316" s="80"/>
      <c r="G1316" s="81">
        <v>0</v>
      </c>
      <c r="H1316" s="80">
        <v>0</v>
      </c>
      <c r="I1316" s="93">
        <v>0</v>
      </c>
    </row>
    <row r="1317" spans="1:9" x14ac:dyDescent="0.25">
      <c r="A1317" s="76" t="s">
        <v>502</v>
      </c>
      <c r="B1317" s="76" t="s">
        <v>90</v>
      </c>
      <c r="C1317" s="77">
        <v>41154</v>
      </c>
      <c r="D1317" s="78">
        <v>41518</v>
      </c>
      <c r="E1317" s="79">
        <v>0.92500000000000004</v>
      </c>
      <c r="F1317" s="80">
        <v>454332.98</v>
      </c>
      <c r="G1317" s="81"/>
      <c r="H1317" s="80">
        <v>420258.01</v>
      </c>
      <c r="I1317" s="93">
        <f>H1317/F1317</f>
        <v>0.92500000770360102</v>
      </c>
    </row>
    <row r="1318" spans="1:9" x14ac:dyDescent="0.25">
      <c r="A1318" s="76" t="s">
        <v>502</v>
      </c>
      <c r="B1318" s="76" t="s">
        <v>90</v>
      </c>
      <c r="C1318" s="77">
        <v>41154</v>
      </c>
      <c r="D1318" s="78">
        <v>41518</v>
      </c>
      <c r="E1318" s="79">
        <v>0.92500000000000004</v>
      </c>
      <c r="F1318" s="80"/>
      <c r="G1318" s="81">
        <v>11486.03</v>
      </c>
      <c r="H1318" s="80">
        <v>10624.58</v>
      </c>
      <c r="I1318" s="93">
        <f>H1318/G1318</f>
        <v>0.92500019589013782</v>
      </c>
    </row>
    <row r="1319" spans="1:9" x14ac:dyDescent="0.25">
      <c r="A1319" s="76" t="s">
        <v>531</v>
      </c>
      <c r="B1319" s="76" t="s">
        <v>90</v>
      </c>
      <c r="C1319" s="77">
        <v>41129</v>
      </c>
      <c r="D1319" s="78">
        <v>41455</v>
      </c>
      <c r="E1319" s="79">
        <v>0.18</v>
      </c>
      <c r="F1319" s="80">
        <v>907362</v>
      </c>
      <c r="G1319" s="81"/>
      <c r="H1319" s="80">
        <v>216625</v>
      </c>
      <c r="I1319" s="93">
        <f>H1319/F1319</f>
        <v>0.2387415386582202</v>
      </c>
    </row>
    <row r="1320" spans="1:9" x14ac:dyDescent="0.25">
      <c r="A1320" s="76" t="s">
        <v>531</v>
      </c>
      <c r="B1320" s="76" t="s">
        <v>90</v>
      </c>
      <c r="C1320" s="77">
        <v>40718</v>
      </c>
      <c r="D1320" s="78">
        <v>41083</v>
      </c>
      <c r="E1320" s="79">
        <v>0.36</v>
      </c>
      <c r="F1320" s="80">
        <v>476820</v>
      </c>
      <c r="G1320" s="81"/>
      <c r="H1320" s="80">
        <v>156930</v>
      </c>
      <c r="I1320" s="93">
        <f>H1320/F1320</f>
        <v>0.32911790612809866</v>
      </c>
    </row>
    <row r="1321" spans="1:9" x14ac:dyDescent="0.25">
      <c r="A1321" s="76" t="s">
        <v>531</v>
      </c>
      <c r="B1321" s="76" t="s">
        <v>90</v>
      </c>
      <c r="C1321" s="77">
        <v>41084</v>
      </c>
      <c r="D1321" s="78">
        <v>41090</v>
      </c>
      <c r="E1321" s="79">
        <v>0.36</v>
      </c>
      <c r="F1321" s="80">
        <v>17505</v>
      </c>
      <c r="G1321" s="81"/>
      <c r="H1321" s="80">
        <v>11441</v>
      </c>
      <c r="I1321" s="93">
        <f>H1321/F1321</f>
        <v>0.65358469008854614</v>
      </c>
    </row>
    <row r="1322" spans="1:9" x14ac:dyDescent="0.25">
      <c r="A1322" s="76" t="s">
        <v>531</v>
      </c>
      <c r="B1322" s="76" t="s">
        <v>90</v>
      </c>
      <c r="C1322" s="77">
        <v>41129</v>
      </c>
      <c r="D1322" s="78">
        <v>41455</v>
      </c>
      <c r="E1322" s="79">
        <v>0.18</v>
      </c>
      <c r="F1322" s="80"/>
      <c r="G1322" s="81">
        <v>27373</v>
      </c>
      <c r="H1322" s="80">
        <v>6685</v>
      </c>
      <c r="I1322" s="93">
        <f>H1322/G1322</f>
        <v>0.24421875570817958</v>
      </c>
    </row>
    <row r="1323" spans="1:9" x14ac:dyDescent="0.25">
      <c r="A1323" s="76" t="s">
        <v>531</v>
      </c>
      <c r="B1323" s="76" t="s">
        <v>90</v>
      </c>
      <c r="C1323" s="77">
        <v>40718</v>
      </c>
      <c r="D1323" s="78">
        <v>41083</v>
      </c>
      <c r="E1323" s="79">
        <v>0.36</v>
      </c>
      <c r="F1323" s="80"/>
      <c r="G1323" s="81">
        <v>10669</v>
      </c>
      <c r="H1323" s="80">
        <v>3520</v>
      </c>
      <c r="I1323" s="93">
        <f>H1323/G1323</f>
        <v>0.32992782828756212</v>
      </c>
    </row>
    <row r="1324" spans="1:9" x14ac:dyDescent="0.25">
      <c r="A1324" s="76" t="s">
        <v>531</v>
      </c>
      <c r="B1324" s="76" t="s">
        <v>90</v>
      </c>
      <c r="C1324" s="77">
        <v>41084</v>
      </c>
      <c r="D1324" s="78">
        <v>41090</v>
      </c>
      <c r="E1324" s="79">
        <v>0.36</v>
      </c>
      <c r="F1324" s="80"/>
      <c r="G1324" s="81">
        <v>260</v>
      </c>
      <c r="H1324" s="80">
        <v>169</v>
      </c>
      <c r="I1324" s="93">
        <f>H1324/G1324</f>
        <v>0.65</v>
      </c>
    </row>
    <row r="1325" spans="1:9" x14ac:dyDescent="0.25">
      <c r="A1325" s="70" t="s">
        <v>171</v>
      </c>
      <c r="B1325" s="70" t="s">
        <v>174</v>
      </c>
      <c r="C1325" s="71">
        <v>40634</v>
      </c>
      <c r="D1325" s="72">
        <v>40999</v>
      </c>
      <c r="E1325" s="73">
        <v>1.7999999999999999E-2</v>
      </c>
      <c r="F1325" s="74">
        <v>179838</v>
      </c>
      <c r="G1325" s="75"/>
      <c r="H1325" s="74">
        <v>-88028</v>
      </c>
      <c r="I1325" s="126">
        <v>-0.48948498092727899</v>
      </c>
    </row>
    <row r="1326" spans="1:9" x14ac:dyDescent="0.25">
      <c r="A1326" s="76" t="s">
        <v>317</v>
      </c>
      <c r="B1326" s="76" t="s">
        <v>174</v>
      </c>
      <c r="C1326" s="77">
        <v>40953</v>
      </c>
      <c r="D1326" s="78">
        <v>41274</v>
      </c>
      <c r="E1326" s="79">
        <v>8.9999999999999998E-4</v>
      </c>
      <c r="F1326" s="80">
        <v>453774.67</v>
      </c>
      <c r="G1326" s="81"/>
      <c r="H1326" s="80">
        <v>60006.1</v>
      </c>
      <c r="I1326" s="93">
        <f>H1326/F1326</f>
        <v>0.13223765883626779</v>
      </c>
    </row>
    <row r="1327" spans="1:9" x14ac:dyDescent="0.25">
      <c r="A1327" s="76" t="s">
        <v>317</v>
      </c>
      <c r="B1327" s="76" t="s">
        <v>174</v>
      </c>
      <c r="C1327" s="77">
        <v>40953</v>
      </c>
      <c r="D1327" s="78">
        <v>41274</v>
      </c>
      <c r="E1327" s="79">
        <v>8.9999999999999998E-4</v>
      </c>
      <c r="F1327" s="80"/>
      <c r="G1327" s="81">
        <v>19088.47</v>
      </c>
      <c r="H1327" s="80">
        <v>2524.21</v>
      </c>
      <c r="I1327" s="93">
        <f>H1327/G1327</f>
        <v>0.13223741871401951</v>
      </c>
    </row>
    <row r="1328" spans="1:9" x14ac:dyDescent="0.25">
      <c r="A1328" s="76" t="s">
        <v>643</v>
      </c>
      <c r="B1328" s="76" t="s">
        <v>174</v>
      </c>
      <c r="C1328" s="77">
        <v>40583</v>
      </c>
      <c r="D1328" s="78">
        <v>40947</v>
      </c>
      <c r="E1328" s="79">
        <v>0</v>
      </c>
      <c r="F1328" s="80">
        <v>1495117.97</v>
      </c>
      <c r="G1328" s="81"/>
      <c r="H1328" s="80">
        <v>909649.32</v>
      </c>
      <c r="I1328" s="93">
        <f>H1328/F1328</f>
        <v>0.60841307391951149</v>
      </c>
    </row>
    <row r="1329" spans="1:9" x14ac:dyDescent="0.25">
      <c r="A1329" s="76" t="s">
        <v>643</v>
      </c>
      <c r="B1329" s="76" t="s">
        <v>174</v>
      </c>
      <c r="C1329" s="77">
        <v>40948</v>
      </c>
      <c r="D1329" s="78">
        <v>41274</v>
      </c>
      <c r="E1329" s="79">
        <v>8.9999999999999998E-4</v>
      </c>
      <c r="F1329" s="80">
        <v>2330900.04</v>
      </c>
      <c r="G1329" s="81"/>
      <c r="H1329" s="80">
        <v>535425.38</v>
      </c>
      <c r="I1329" s="93">
        <f>H1329/F1329</f>
        <v>0.22970756824046387</v>
      </c>
    </row>
    <row r="1330" spans="1:9" x14ac:dyDescent="0.25">
      <c r="A1330" s="76" t="s">
        <v>643</v>
      </c>
      <c r="B1330" s="76" t="s">
        <v>174</v>
      </c>
      <c r="C1330" s="77">
        <v>40583</v>
      </c>
      <c r="D1330" s="78">
        <v>40947</v>
      </c>
      <c r="E1330" s="79">
        <v>0</v>
      </c>
      <c r="F1330" s="80"/>
      <c r="G1330" s="81">
        <v>58943.1</v>
      </c>
      <c r="H1330" s="80">
        <v>35318.449999999997</v>
      </c>
      <c r="I1330" s="93">
        <f>H1330/G1330</f>
        <v>0.59919566497181176</v>
      </c>
    </row>
    <row r="1331" spans="1:9" x14ac:dyDescent="0.25">
      <c r="A1331" s="76" t="s">
        <v>643</v>
      </c>
      <c r="B1331" s="76" t="s">
        <v>174</v>
      </c>
      <c r="C1331" s="77">
        <v>40948</v>
      </c>
      <c r="D1331" s="78">
        <v>41274</v>
      </c>
      <c r="E1331" s="79">
        <v>8.9999999999999998E-4</v>
      </c>
      <c r="F1331" s="80"/>
      <c r="G1331" s="81">
        <v>29196</v>
      </c>
      <c r="H1331" s="80">
        <v>5915.95</v>
      </c>
      <c r="I1331" s="93">
        <f>H1331/G1331</f>
        <v>0.20262878476503629</v>
      </c>
    </row>
    <row r="1332" spans="1:9" x14ac:dyDescent="0.25">
      <c r="A1332" s="76" t="s">
        <v>594</v>
      </c>
      <c r="B1332" s="76" t="s">
        <v>600</v>
      </c>
      <c r="C1332" s="77">
        <v>40843</v>
      </c>
      <c r="D1332" s="78">
        <v>41090</v>
      </c>
      <c r="E1332" s="79">
        <v>0.36</v>
      </c>
      <c r="F1332" s="80">
        <v>939441.17</v>
      </c>
      <c r="G1332" s="81"/>
      <c r="H1332" s="80">
        <v>397618.55</v>
      </c>
      <c r="I1332" s="93">
        <f>H1332/F1332</f>
        <v>0.42325007961914207</v>
      </c>
    </row>
    <row r="1333" spans="1:9" x14ac:dyDescent="0.25">
      <c r="A1333" s="76" t="s">
        <v>594</v>
      </c>
      <c r="B1333" s="76" t="s">
        <v>600</v>
      </c>
      <c r="C1333" s="77">
        <v>41116</v>
      </c>
      <c r="D1333" s="78">
        <v>41480</v>
      </c>
      <c r="E1333" s="79">
        <v>0.39600000000000002</v>
      </c>
      <c r="F1333" s="80">
        <v>1053920.74</v>
      </c>
      <c r="G1333" s="81"/>
      <c r="H1333" s="80">
        <v>243234.11</v>
      </c>
      <c r="I1333" s="93">
        <f>H1333/F1333</f>
        <v>0.23078975559395482</v>
      </c>
    </row>
    <row r="1334" spans="1:9" x14ac:dyDescent="0.25">
      <c r="A1334" s="76" t="s">
        <v>594</v>
      </c>
      <c r="B1334" s="76" t="s">
        <v>600</v>
      </c>
      <c r="C1334" s="77">
        <v>40843</v>
      </c>
      <c r="D1334" s="78">
        <v>41090</v>
      </c>
      <c r="E1334" s="79">
        <v>0.36</v>
      </c>
      <c r="F1334" s="80"/>
      <c r="G1334" s="81">
        <v>8920</v>
      </c>
      <c r="H1334" s="80">
        <v>3775.39</v>
      </c>
      <c r="I1334" s="93">
        <f>H1334/G1334</f>
        <v>0.42324999999999996</v>
      </c>
    </row>
    <row r="1335" spans="1:9" x14ac:dyDescent="0.25">
      <c r="A1335" s="76" t="s">
        <v>594</v>
      </c>
      <c r="B1335" s="76" t="s">
        <v>600</v>
      </c>
      <c r="C1335" s="77">
        <v>41116</v>
      </c>
      <c r="D1335" s="78">
        <v>41480</v>
      </c>
      <c r="E1335" s="79">
        <v>0.39600000000000002</v>
      </c>
      <c r="F1335" s="80"/>
      <c r="G1335" s="81">
        <v>14680.13</v>
      </c>
      <c r="H1335" s="80">
        <v>3388.02</v>
      </c>
      <c r="I1335" s="93">
        <f>H1335/G1335</f>
        <v>0.23078950935720596</v>
      </c>
    </row>
    <row r="1336" spans="1:9" x14ac:dyDescent="0.25">
      <c r="A1336" s="76" t="s">
        <v>594</v>
      </c>
      <c r="B1336" s="76" t="s">
        <v>601</v>
      </c>
      <c r="C1336" s="77">
        <v>40849</v>
      </c>
      <c r="D1336" s="78">
        <v>41182</v>
      </c>
      <c r="E1336" s="79">
        <v>0.27</v>
      </c>
      <c r="F1336" s="80">
        <v>507204.85</v>
      </c>
      <c r="G1336" s="81"/>
      <c r="H1336" s="80">
        <v>23024.66</v>
      </c>
      <c r="I1336" s="93">
        <f>H1336/F1336</f>
        <v>4.5395188945847029E-2</v>
      </c>
    </row>
    <row r="1337" spans="1:9" x14ac:dyDescent="0.25">
      <c r="A1337" s="76" t="s">
        <v>594</v>
      </c>
      <c r="B1337" s="76" t="s">
        <v>601</v>
      </c>
      <c r="C1337" s="77">
        <v>40849</v>
      </c>
      <c r="D1337" s="78">
        <v>41182</v>
      </c>
      <c r="E1337" s="79">
        <v>0.27</v>
      </c>
      <c r="F1337" s="80"/>
      <c r="G1337" s="81">
        <v>3710</v>
      </c>
      <c r="H1337" s="80">
        <v>988.52</v>
      </c>
      <c r="I1337" s="93">
        <f>H1337/G1337</f>
        <v>0.26644743935309972</v>
      </c>
    </row>
    <row r="1338" spans="1:9" x14ac:dyDescent="0.25">
      <c r="A1338" s="76" t="s">
        <v>594</v>
      </c>
      <c r="B1338" s="76" t="s">
        <v>612</v>
      </c>
      <c r="C1338" s="77">
        <v>41172</v>
      </c>
      <c r="D1338" s="78">
        <v>41536</v>
      </c>
      <c r="E1338" s="79">
        <v>0.39600000000000002</v>
      </c>
      <c r="F1338" s="80">
        <v>548401.25</v>
      </c>
      <c r="G1338" s="81"/>
      <c r="H1338" s="80">
        <v>225616.82</v>
      </c>
      <c r="I1338" s="93">
        <f>H1338/F1338</f>
        <v>0.41140828909489174</v>
      </c>
    </row>
    <row r="1339" spans="1:9" x14ac:dyDescent="0.25">
      <c r="A1339" s="76" t="s">
        <v>594</v>
      </c>
      <c r="B1339" s="76" t="s">
        <v>612</v>
      </c>
      <c r="C1339" s="77">
        <v>41172</v>
      </c>
      <c r="D1339" s="78">
        <v>41536</v>
      </c>
      <c r="E1339" s="79">
        <v>0.39600000000000002</v>
      </c>
      <c r="F1339" s="80"/>
      <c r="G1339" s="81">
        <v>7010</v>
      </c>
      <c r="H1339" s="80">
        <v>3360</v>
      </c>
      <c r="I1339" s="93">
        <f>H1339/G1339</f>
        <v>0.47931526390870183</v>
      </c>
    </row>
    <row r="1340" spans="1:9" x14ac:dyDescent="0.25">
      <c r="A1340" s="76" t="s">
        <v>594</v>
      </c>
      <c r="B1340" s="76" t="s">
        <v>605</v>
      </c>
      <c r="C1340" s="77">
        <v>40987</v>
      </c>
      <c r="D1340" s="78">
        <v>41274</v>
      </c>
      <c r="E1340" s="79">
        <v>0.8</v>
      </c>
      <c r="F1340" s="80">
        <v>441591.95</v>
      </c>
      <c r="G1340" s="81"/>
      <c r="H1340" s="80">
        <v>339829.07</v>
      </c>
      <c r="I1340" s="93">
        <f>H1340/F1340</f>
        <v>0.76955449482265248</v>
      </c>
    </row>
    <row r="1341" spans="1:9" x14ac:dyDescent="0.25">
      <c r="A1341" s="76" t="s">
        <v>594</v>
      </c>
      <c r="B1341" s="76" t="s">
        <v>605</v>
      </c>
      <c r="C1341" s="77">
        <v>40987</v>
      </c>
      <c r="D1341" s="78">
        <v>41274</v>
      </c>
      <c r="E1341" s="79">
        <v>0.8</v>
      </c>
      <c r="F1341" s="80"/>
      <c r="G1341" s="81">
        <v>11778</v>
      </c>
      <c r="H1341" s="80">
        <v>9063.84</v>
      </c>
      <c r="I1341" s="93">
        <f>H1341/G1341</f>
        <v>0.76955680081507893</v>
      </c>
    </row>
    <row r="1342" spans="1:9" x14ac:dyDescent="0.25">
      <c r="A1342" s="76" t="s">
        <v>289</v>
      </c>
      <c r="B1342" s="76" t="s">
        <v>307</v>
      </c>
      <c r="C1342" s="77">
        <v>41165</v>
      </c>
      <c r="D1342" s="78">
        <v>41255</v>
      </c>
      <c r="E1342" s="79">
        <v>0.13</v>
      </c>
      <c r="F1342" s="88"/>
      <c r="G1342" s="81">
        <v>11340</v>
      </c>
      <c r="H1342" s="80">
        <v>1491.2</v>
      </c>
      <c r="I1342" s="93">
        <f>H1342/G1342</f>
        <v>0.13149911816578483</v>
      </c>
    </row>
    <row r="1343" spans="1:9" x14ac:dyDescent="0.25">
      <c r="A1343" s="76" t="s">
        <v>289</v>
      </c>
      <c r="B1343" s="76" t="s">
        <v>307</v>
      </c>
      <c r="C1343" s="77">
        <v>41000</v>
      </c>
      <c r="D1343" s="78">
        <v>41088</v>
      </c>
      <c r="E1343" s="79">
        <v>0.13</v>
      </c>
      <c r="F1343" s="88"/>
      <c r="G1343" s="81">
        <v>11298</v>
      </c>
      <c r="H1343" s="80">
        <v>1473.74</v>
      </c>
      <c r="I1343" s="93">
        <f>H1343/G1343</f>
        <v>0.13044255620463799</v>
      </c>
    </row>
    <row r="1344" spans="1:9" x14ac:dyDescent="0.25">
      <c r="A1344" s="76" t="s">
        <v>289</v>
      </c>
      <c r="B1344" s="76" t="s">
        <v>290</v>
      </c>
      <c r="C1344" s="77">
        <v>40820</v>
      </c>
      <c r="D1344" s="78">
        <v>40943</v>
      </c>
      <c r="E1344" s="79">
        <v>0.13</v>
      </c>
      <c r="F1344" s="88"/>
      <c r="G1344" s="81">
        <v>12623</v>
      </c>
      <c r="H1344" s="80">
        <v>1646.99</v>
      </c>
      <c r="I1344" s="93">
        <f>H1344/G1344</f>
        <v>0.13047532282341756</v>
      </c>
    </row>
    <row r="1345" spans="1:9" x14ac:dyDescent="0.25">
      <c r="A1345" s="76" t="s">
        <v>587</v>
      </c>
      <c r="B1345" s="76" t="s">
        <v>589</v>
      </c>
      <c r="C1345" s="77">
        <v>41050</v>
      </c>
      <c r="D1345" s="78">
        <v>41274</v>
      </c>
      <c r="E1345" s="79">
        <v>0.3</v>
      </c>
      <c r="F1345" s="80">
        <v>19590</v>
      </c>
      <c r="G1345" s="88"/>
      <c r="H1345" s="80">
        <v>5877</v>
      </c>
      <c r="I1345" s="93">
        <f>H1345/F1345</f>
        <v>0.3</v>
      </c>
    </row>
    <row r="1346" spans="1:9" x14ac:dyDescent="0.25">
      <c r="A1346" s="76" t="s">
        <v>685</v>
      </c>
      <c r="B1346" s="76" t="s">
        <v>686</v>
      </c>
      <c r="C1346" s="77">
        <v>40695</v>
      </c>
      <c r="D1346" s="78">
        <v>41060</v>
      </c>
      <c r="E1346" s="79">
        <v>0.09</v>
      </c>
      <c r="F1346" s="80">
        <v>818234.65</v>
      </c>
      <c r="G1346" s="81"/>
      <c r="H1346" s="80">
        <v>99999.96</v>
      </c>
      <c r="I1346" s="93">
        <f>H1346/F1346</f>
        <v>0.1222142816855776</v>
      </c>
    </row>
    <row r="1347" spans="1:9" x14ac:dyDescent="0.25">
      <c r="A1347" s="76" t="s">
        <v>685</v>
      </c>
      <c r="B1347" s="76" t="s">
        <v>686</v>
      </c>
      <c r="C1347" s="77">
        <v>41061</v>
      </c>
      <c r="D1347" s="78">
        <v>41274</v>
      </c>
      <c r="E1347" s="79">
        <v>0.09</v>
      </c>
      <c r="F1347" s="80">
        <v>273759.81</v>
      </c>
      <c r="G1347" s="81"/>
      <c r="H1347" s="80">
        <v>49999.98</v>
      </c>
      <c r="I1347" s="93">
        <f>H1347/F1347</f>
        <v>0.1826417836862175</v>
      </c>
    </row>
    <row r="1348" spans="1:9" x14ac:dyDescent="0.25">
      <c r="A1348" s="76" t="s">
        <v>635</v>
      </c>
      <c r="B1348" s="76" t="s">
        <v>637</v>
      </c>
      <c r="C1348" s="77">
        <v>40564</v>
      </c>
      <c r="D1348" s="78">
        <v>40928</v>
      </c>
      <c r="E1348" s="79">
        <v>0.5</v>
      </c>
      <c r="F1348" s="80"/>
      <c r="G1348" s="81">
        <v>198096</v>
      </c>
      <c r="H1348" s="80">
        <v>99048</v>
      </c>
      <c r="I1348" s="93">
        <f>H1348/G1348</f>
        <v>0.5</v>
      </c>
    </row>
    <row r="1349" spans="1:9" x14ac:dyDescent="0.25">
      <c r="A1349" s="76" t="s">
        <v>635</v>
      </c>
      <c r="B1349" s="76" t="s">
        <v>637</v>
      </c>
      <c r="C1349" s="77">
        <v>40929</v>
      </c>
      <c r="D1349" s="78">
        <v>41294</v>
      </c>
      <c r="E1349" s="79">
        <v>0.5</v>
      </c>
      <c r="F1349" s="80"/>
      <c r="G1349" s="81">
        <v>191024</v>
      </c>
      <c r="H1349" s="80">
        <v>95512</v>
      </c>
      <c r="I1349" s="93">
        <f>H1349/G1349</f>
        <v>0.5</v>
      </c>
    </row>
    <row r="1350" spans="1:9" x14ac:dyDescent="0.25">
      <c r="A1350" s="76" t="s">
        <v>449</v>
      </c>
      <c r="B1350" s="76" t="s">
        <v>464</v>
      </c>
      <c r="C1350" s="77">
        <v>40848</v>
      </c>
      <c r="D1350" s="78">
        <v>41213</v>
      </c>
      <c r="E1350" s="79">
        <v>0</v>
      </c>
      <c r="F1350" s="80">
        <v>1807681</v>
      </c>
      <c r="G1350" s="81"/>
      <c r="H1350" s="80">
        <v>288681</v>
      </c>
      <c r="I1350" s="93">
        <f>H1350/F1350</f>
        <v>0.15969687129532256</v>
      </c>
    </row>
    <row r="1351" spans="1:9" x14ac:dyDescent="0.25">
      <c r="A1351" s="70" t="s">
        <v>38</v>
      </c>
      <c r="B1351" s="70" t="s">
        <v>50</v>
      </c>
      <c r="C1351" s="71">
        <v>40878</v>
      </c>
      <c r="D1351" s="72">
        <v>41243</v>
      </c>
      <c r="E1351" s="73">
        <v>0.45</v>
      </c>
      <c r="F1351" s="74"/>
      <c r="G1351" s="75">
        <v>266503.34999999998</v>
      </c>
      <c r="H1351" s="74">
        <v>119926.5</v>
      </c>
      <c r="I1351" s="126">
        <v>0.44999997185776469</v>
      </c>
    </row>
    <row r="1352" spans="1:9" x14ac:dyDescent="0.25">
      <c r="A1352" s="70" t="s">
        <v>10</v>
      </c>
      <c r="B1352" s="70" t="s">
        <v>12</v>
      </c>
      <c r="C1352" s="71">
        <v>40909</v>
      </c>
      <c r="D1352" s="72">
        <v>41141</v>
      </c>
      <c r="E1352" s="73">
        <v>3.1414999999999998E-2</v>
      </c>
      <c r="F1352" s="74">
        <v>95310</v>
      </c>
      <c r="G1352" s="75"/>
      <c r="H1352" s="74">
        <v>17781.7</v>
      </c>
      <c r="I1352" s="126">
        <v>0.18656699192109957</v>
      </c>
    </row>
    <row r="1353" spans="1:9" x14ac:dyDescent="0.25">
      <c r="A1353" s="76" t="s">
        <v>790</v>
      </c>
      <c r="B1353" s="76" t="s">
        <v>1587</v>
      </c>
      <c r="C1353" s="77">
        <v>40695</v>
      </c>
      <c r="D1353" s="78">
        <v>41060</v>
      </c>
      <c r="E1353" s="79">
        <v>0.15</v>
      </c>
      <c r="F1353" s="80">
        <v>66082.62</v>
      </c>
      <c r="G1353" s="81"/>
      <c r="H1353" s="80">
        <v>9912.39</v>
      </c>
      <c r="I1353" s="126">
        <f>H1353/F1353</f>
        <v>0.14999995460228424</v>
      </c>
    </row>
    <row r="1354" spans="1:9" x14ac:dyDescent="0.25">
      <c r="A1354" s="76" t="s">
        <v>790</v>
      </c>
      <c r="B1354" s="76" t="s">
        <v>1587</v>
      </c>
      <c r="C1354" s="77">
        <v>40695</v>
      </c>
      <c r="D1354" s="78">
        <v>41060</v>
      </c>
      <c r="E1354" s="79">
        <v>0.15</v>
      </c>
      <c r="F1354" s="80"/>
      <c r="G1354" s="81">
        <v>9672</v>
      </c>
      <c r="H1354" s="80">
        <v>1450.8</v>
      </c>
      <c r="I1354" s="126">
        <f>H1354/G1354</f>
        <v>0.15</v>
      </c>
    </row>
    <row r="1355" spans="1:9" x14ac:dyDescent="0.25">
      <c r="A1355" s="76" t="s">
        <v>437</v>
      </c>
      <c r="B1355" s="76" t="s">
        <v>438</v>
      </c>
      <c r="C1355" s="77">
        <v>40945</v>
      </c>
      <c r="D1355" s="78">
        <v>41305</v>
      </c>
      <c r="E1355" s="79">
        <v>0.14000000000000001</v>
      </c>
      <c r="F1355" s="88"/>
      <c r="G1355" s="81">
        <v>4436.25</v>
      </c>
      <c r="H1355" s="80">
        <v>739.97</v>
      </c>
      <c r="I1355" s="93">
        <f>H1355/G1355</f>
        <v>0.16680078895463513</v>
      </c>
    </row>
    <row r="1356" spans="1:9" x14ac:dyDescent="0.25">
      <c r="A1356" s="76" t="s">
        <v>558</v>
      </c>
      <c r="B1356" s="76" t="s">
        <v>438</v>
      </c>
      <c r="C1356" s="77">
        <v>40581</v>
      </c>
      <c r="D1356" s="78">
        <v>40939</v>
      </c>
      <c r="E1356" s="79">
        <v>0.14000000000000001</v>
      </c>
      <c r="F1356" s="88"/>
      <c r="G1356" s="81">
        <v>5102</v>
      </c>
      <c r="H1356" s="80">
        <v>863.92</v>
      </c>
      <c r="I1356" s="93">
        <f>H1356/G1356</f>
        <v>0.16932967463739709</v>
      </c>
    </row>
    <row r="1357" spans="1:9" x14ac:dyDescent="0.25">
      <c r="A1357" s="76" t="s">
        <v>249</v>
      </c>
      <c r="B1357" s="76" t="s">
        <v>251</v>
      </c>
      <c r="C1357" s="77">
        <v>41014</v>
      </c>
      <c r="D1357" s="78">
        <v>41090</v>
      </c>
      <c r="E1357" s="79">
        <v>0</v>
      </c>
      <c r="F1357" s="80">
        <v>723288</v>
      </c>
      <c r="G1357" s="81"/>
      <c r="H1357" s="80">
        <v>677565.2</v>
      </c>
      <c r="I1357" s="93">
        <f>H1357/F1357</f>
        <v>0.93678479388569968</v>
      </c>
    </row>
    <row r="1358" spans="1:9" x14ac:dyDescent="0.25">
      <c r="A1358" s="76" t="s">
        <v>249</v>
      </c>
      <c r="B1358" s="76" t="s">
        <v>251</v>
      </c>
      <c r="C1358" s="77">
        <v>40648</v>
      </c>
      <c r="D1358" s="78">
        <v>41014</v>
      </c>
      <c r="E1358" s="79">
        <v>0</v>
      </c>
      <c r="F1358" s="80">
        <v>625521.44999999995</v>
      </c>
      <c r="G1358" s="81"/>
      <c r="H1358" s="80">
        <v>-834958.74</v>
      </c>
      <c r="I1358" s="93">
        <f>H1358/F1358</f>
        <v>-1.3348203167133599</v>
      </c>
    </row>
    <row r="1359" spans="1:9" x14ac:dyDescent="0.25">
      <c r="A1359" s="76" t="s">
        <v>572</v>
      </c>
      <c r="B1359" s="76" t="s">
        <v>573</v>
      </c>
      <c r="C1359" s="77">
        <v>41000</v>
      </c>
      <c r="D1359" s="78">
        <v>41364</v>
      </c>
      <c r="E1359" s="79">
        <v>0.8</v>
      </c>
      <c r="F1359" s="80">
        <v>224833</v>
      </c>
      <c r="G1359" s="81"/>
      <c r="H1359" s="80">
        <v>218833</v>
      </c>
      <c r="I1359" s="93">
        <f>H1359/F1359</f>
        <v>0.97331352603932697</v>
      </c>
    </row>
    <row r="1360" spans="1:9" x14ac:dyDescent="0.25">
      <c r="A1360" s="76" t="s">
        <v>572</v>
      </c>
      <c r="B1360" s="76" t="s">
        <v>573</v>
      </c>
      <c r="C1360" s="77">
        <v>41000</v>
      </c>
      <c r="D1360" s="78">
        <v>41364</v>
      </c>
      <c r="E1360" s="79">
        <v>0.8</v>
      </c>
      <c r="F1360" s="80"/>
      <c r="G1360" s="81">
        <v>224833</v>
      </c>
      <c r="H1360" s="80">
        <v>218833</v>
      </c>
      <c r="I1360" s="93">
        <f>H1360/G1360</f>
        <v>0.97331352603932697</v>
      </c>
    </row>
    <row r="1361" spans="1:9" x14ac:dyDescent="0.25">
      <c r="A1361" s="76" t="s">
        <v>572</v>
      </c>
      <c r="B1361" s="76" t="s">
        <v>577</v>
      </c>
      <c r="C1361" s="77">
        <v>40634</v>
      </c>
      <c r="D1361" s="78">
        <v>40999</v>
      </c>
      <c r="E1361" s="79">
        <v>0.8</v>
      </c>
      <c r="F1361" s="80"/>
      <c r="G1361" s="81">
        <v>191912</v>
      </c>
      <c r="H1361" s="80">
        <v>186147</v>
      </c>
      <c r="I1361" s="93">
        <f>H1361/G1361</f>
        <v>0.96996019008712331</v>
      </c>
    </row>
    <row r="1362" spans="1:9" x14ac:dyDescent="0.25">
      <c r="A1362" s="76" t="s">
        <v>531</v>
      </c>
      <c r="B1362" s="76" t="s">
        <v>536</v>
      </c>
      <c r="C1362" s="77">
        <v>40751</v>
      </c>
      <c r="D1362" s="78">
        <v>41090</v>
      </c>
      <c r="E1362" s="79">
        <v>8.9999999999999993E-3</v>
      </c>
      <c r="F1362" s="80">
        <v>33455</v>
      </c>
      <c r="G1362" s="81"/>
      <c r="H1362" s="80">
        <v>6859</v>
      </c>
      <c r="I1362" s="93">
        <f>H1362/F1362</f>
        <v>0.20502167090121057</v>
      </c>
    </row>
    <row r="1363" spans="1:9" x14ac:dyDescent="0.25">
      <c r="A1363" s="76" t="s">
        <v>531</v>
      </c>
      <c r="B1363" s="76" t="s">
        <v>536</v>
      </c>
      <c r="C1363" s="77">
        <v>40751</v>
      </c>
      <c r="D1363" s="78">
        <v>41090</v>
      </c>
      <c r="E1363" s="79">
        <v>8.9999999999999993E-3</v>
      </c>
      <c r="F1363" s="80"/>
      <c r="G1363" s="81">
        <v>635</v>
      </c>
      <c r="H1363" s="80">
        <v>204</v>
      </c>
      <c r="I1363" s="93">
        <f>H1363/G1363</f>
        <v>0.32125984251968503</v>
      </c>
    </row>
    <row r="1364" spans="1:9" x14ac:dyDescent="0.25">
      <c r="A1364" s="76" t="s">
        <v>171</v>
      </c>
      <c r="B1364" s="76" t="s">
        <v>189</v>
      </c>
      <c r="C1364" s="77">
        <v>40821</v>
      </c>
      <c r="D1364" s="78">
        <v>41186</v>
      </c>
      <c r="E1364" s="79">
        <v>1.7999999999999999E-2</v>
      </c>
      <c r="F1364" s="80"/>
      <c r="G1364" s="81">
        <v>1330</v>
      </c>
      <c r="H1364" s="80">
        <v>-2143</v>
      </c>
      <c r="I1364" s="93">
        <f>H1364/G1364</f>
        <v>-1.6112781954887219</v>
      </c>
    </row>
    <row r="1365" spans="1:9" x14ac:dyDescent="0.25">
      <c r="A1365" s="76" t="s">
        <v>171</v>
      </c>
      <c r="B1365" s="76" t="s">
        <v>189</v>
      </c>
      <c r="C1365" s="77">
        <v>40821</v>
      </c>
      <c r="D1365" s="78">
        <v>41186</v>
      </c>
      <c r="E1365" s="79">
        <v>1.7999999999999999E-2</v>
      </c>
      <c r="F1365" s="80">
        <v>29696</v>
      </c>
      <c r="G1365" s="81"/>
      <c r="H1365" s="80">
        <v>-17698</v>
      </c>
      <c r="I1365" s="93">
        <f>H1365/F1365</f>
        <v>-0.59597252155172409</v>
      </c>
    </row>
    <row r="1366" spans="1:9" x14ac:dyDescent="0.25">
      <c r="A1366" s="70" t="s">
        <v>20</v>
      </c>
      <c r="B1366" s="70" t="s">
        <v>25</v>
      </c>
      <c r="C1366" s="71">
        <v>40817</v>
      </c>
      <c r="D1366" s="72">
        <v>41182</v>
      </c>
      <c r="E1366" s="73">
        <v>0</v>
      </c>
      <c r="F1366" s="74"/>
      <c r="G1366" s="75">
        <v>959.24</v>
      </c>
      <c r="H1366" s="80">
        <v>5.08</v>
      </c>
      <c r="I1366" s="126">
        <f>H1366/G1366</f>
        <v>5.2958592218839912E-3</v>
      </c>
    </row>
    <row r="1367" spans="1:9" x14ac:dyDescent="0.25">
      <c r="A1367" s="70" t="s">
        <v>20</v>
      </c>
      <c r="B1367" s="70" t="s">
        <v>25</v>
      </c>
      <c r="C1367" s="71">
        <v>40817</v>
      </c>
      <c r="D1367" s="72">
        <v>41182</v>
      </c>
      <c r="E1367" s="73">
        <v>0</v>
      </c>
      <c r="F1367" s="74">
        <v>24282.25</v>
      </c>
      <c r="G1367" s="75"/>
      <c r="H1367" s="80">
        <v>128.75</v>
      </c>
      <c r="I1367" s="126">
        <f>H1367/F1367</f>
        <v>5.3022269353128317E-3</v>
      </c>
    </row>
    <row r="1368" spans="1:9" x14ac:dyDescent="0.25">
      <c r="A1368" s="76" t="s">
        <v>20</v>
      </c>
      <c r="B1368" s="76" t="s">
        <v>25</v>
      </c>
      <c r="C1368" s="77">
        <v>41187</v>
      </c>
      <c r="D1368" s="78">
        <v>41547</v>
      </c>
      <c r="E1368" s="79">
        <v>0</v>
      </c>
      <c r="F1368" s="80">
        <v>16398</v>
      </c>
      <c r="G1368" s="81"/>
      <c r="H1368" s="80">
        <v>1901.92</v>
      </c>
      <c r="I1368" s="126">
        <f>H1368/F1368</f>
        <v>0.11598487620441518</v>
      </c>
    </row>
    <row r="1369" spans="1:9" x14ac:dyDescent="0.25">
      <c r="A1369" s="76" t="s">
        <v>20</v>
      </c>
      <c r="B1369" s="76" t="s">
        <v>25</v>
      </c>
      <c r="C1369" s="77">
        <v>41187</v>
      </c>
      <c r="D1369" s="78">
        <v>41547</v>
      </c>
      <c r="E1369" s="79">
        <v>0</v>
      </c>
      <c r="F1369" s="80"/>
      <c r="G1369" s="81">
        <v>2656.78</v>
      </c>
      <c r="H1369" s="80">
        <v>308.14999999999998</v>
      </c>
      <c r="I1369" s="126">
        <f>H1369/G1369</f>
        <v>0.11598626909266102</v>
      </c>
    </row>
    <row r="1370" spans="1:9" x14ac:dyDescent="0.25">
      <c r="A1370" s="76" t="s">
        <v>558</v>
      </c>
      <c r="B1370" s="76" t="s">
        <v>562</v>
      </c>
      <c r="C1370" s="77">
        <v>41099</v>
      </c>
      <c r="D1370" s="78">
        <v>41152</v>
      </c>
      <c r="E1370" s="79">
        <v>0.14000000000000001</v>
      </c>
      <c r="F1370" s="88"/>
      <c r="G1370" s="81">
        <v>5080</v>
      </c>
      <c r="H1370" s="80">
        <v>830</v>
      </c>
      <c r="I1370" s="93">
        <f>H1370/G1370</f>
        <v>0.16338582677165353</v>
      </c>
    </row>
    <row r="1371" spans="1:9" x14ac:dyDescent="0.25">
      <c r="A1371" s="70" t="s">
        <v>101</v>
      </c>
      <c r="B1371" s="70" t="s">
        <v>102</v>
      </c>
      <c r="C1371" s="71">
        <v>40725</v>
      </c>
      <c r="D1371" s="72">
        <v>41090</v>
      </c>
      <c r="E1371" s="73">
        <v>1.35E-2</v>
      </c>
      <c r="F1371" s="74">
        <v>338748</v>
      </c>
      <c r="G1371" s="75"/>
      <c r="H1371" s="74">
        <v>198257.61</v>
      </c>
      <c r="I1371" s="126">
        <v>0.58526577278685032</v>
      </c>
    </row>
    <row r="1372" spans="1:9" x14ac:dyDescent="0.25">
      <c r="A1372" s="70" t="s">
        <v>101</v>
      </c>
      <c r="B1372" s="70" t="s">
        <v>102</v>
      </c>
      <c r="C1372" s="71">
        <v>40725</v>
      </c>
      <c r="D1372" s="72">
        <v>41090</v>
      </c>
      <c r="E1372" s="73">
        <v>1.35E-2</v>
      </c>
      <c r="F1372" s="74"/>
      <c r="G1372" s="75">
        <v>12093.3</v>
      </c>
      <c r="H1372" s="74">
        <v>7077.8</v>
      </c>
      <c r="I1372" s="126">
        <v>0.58526622179223209</v>
      </c>
    </row>
    <row r="1373" spans="1:9" x14ac:dyDescent="0.25">
      <c r="A1373" s="70" t="s">
        <v>137</v>
      </c>
      <c r="B1373" s="70" t="s">
        <v>102</v>
      </c>
      <c r="C1373" s="71">
        <v>40722</v>
      </c>
      <c r="D1373" s="72">
        <v>41002</v>
      </c>
      <c r="E1373" s="73">
        <v>0.315</v>
      </c>
      <c r="F1373" s="74">
        <v>1150</v>
      </c>
      <c r="G1373" s="75"/>
      <c r="H1373" s="74">
        <v>255.4</v>
      </c>
      <c r="I1373" s="126">
        <v>0.22208695652173913</v>
      </c>
    </row>
    <row r="1374" spans="1:9" x14ac:dyDescent="0.25">
      <c r="A1374" s="76" t="s">
        <v>171</v>
      </c>
      <c r="B1374" s="76" t="s">
        <v>102</v>
      </c>
      <c r="C1374" s="77">
        <v>40800</v>
      </c>
      <c r="D1374" s="78">
        <v>41152</v>
      </c>
      <c r="E1374" s="79">
        <v>1.7999999999999999E-2</v>
      </c>
      <c r="F1374" s="80">
        <v>0</v>
      </c>
      <c r="G1374" s="81"/>
      <c r="H1374" s="80">
        <v>0</v>
      </c>
      <c r="I1374" s="93">
        <v>0</v>
      </c>
    </row>
    <row r="1375" spans="1:9" x14ac:dyDescent="0.25">
      <c r="A1375" s="76" t="s">
        <v>246</v>
      </c>
      <c r="B1375" s="76" t="s">
        <v>102</v>
      </c>
      <c r="C1375" s="77">
        <v>41085</v>
      </c>
      <c r="D1375" s="78">
        <v>41274</v>
      </c>
      <c r="E1375" s="79">
        <v>0</v>
      </c>
      <c r="F1375" s="80">
        <v>14360</v>
      </c>
      <c r="G1375" s="81"/>
      <c r="H1375" s="80">
        <v>-4476.59</v>
      </c>
      <c r="I1375" s="93">
        <f>H1375/F1375</f>
        <v>-0.31174025069637884</v>
      </c>
    </row>
    <row r="1376" spans="1:9" x14ac:dyDescent="0.25">
      <c r="A1376" s="76" t="s">
        <v>263</v>
      </c>
      <c r="B1376" s="76" t="s">
        <v>102</v>
      </c>
      <c r="C1376" s="77">
        <v>40800</v>
      </c>
      <c r="D1376" s="78">
        <v>41121</v>
      </c>
      <c r="E1376" s="79">
        <v>0.36</v>
      </c>
      <c r="F1376" s="80">
        <v>18821.5</v>
      </c>
      <c r="G1376" s="81"/>
      <c r="H1376" s="80">
        <v>7575.2</v>
      </c>
      <c r="I1376" s="93">
        <f>H1376/F1376</f>
        <v>0.40247589193209893</v>
      </c>
    </row>
    <row r="1377" spans="1:9" x14ac:dyDescent="0.25">
      <c r="A1377" s="76" t="s">
        <v>263</v>
      </c>
      <c r="B1377" s="76" t="s">
        <v>102</v>
      </c>
      <c r="C1377" s="77">
        <v>40800</v>
      </c>
      <c r="D1377" s="78">
        <v>41121</v>
      </c>
      <c r="E1377" s="79">
        <v>0.36</v>
      </c>
      <c r="F1377" s="80"/>
      <c r="G1377" s="81">
        <v>960</v>
      </c>
      <c r="H1377" s="80">
        <v>914.9</v>
      </c>
      <c r="I1377" s="93">
        <f>H1377/G1377</f>
        <v>0.95302083333333332</v>
      </c>
    </row>
    <row r="1378" spans="1:9" x14ac:dyDescent="0.25">
      <c r="A1378" s="76" t="s">
        <v>674</v>
      </c>
      <c r="B1378" s="76" t="s">
        <v>102</v>
      </c>
      <c r="C1378" s="77">
        <v>40961</v>
      </c>
      <c r="D1378" s="78">
        <v>41274</v>
      </c>
      <c r="E1378" s="79">
        <v>0.22500000000000001</v>
      </c>
      <c r="F1378" s="80">
        <v>0</v>
      </c>
      <c r="G1378" s="81"/>
      <c r="H1378" s="80">
        <v>0</v>
      </c>
      <c r="I1378" s="93">
        <v>0</v>
      </c>
    </row>
    <row r="1379" spans="1:9" x14ac:dyDescent="0.25">
      <c r="A1379" s="76" t="s">
        <v>289</v>
      </c>
      <c r="B1379" s="76" t="s">
        <v>306</v>
      </c>
      <c r="C1379" s="77">
        <v>40992</v>
      </c>
      <c r="D1379" s="78">
        <v>41039</v>
      </c>
      <c r="E1379" s="79">
        <v>0.13</v>
      </c>
      <c r="F1379" s="88"/>
      <c r="G1379" s="81">
        <v>10010</v>
      </c>
      <c r="H1379" s="80">
        <v>1314.3</v>
      </c>
      <c r="I1379" s="93">
        <f>H1379/G1379</f>
        <v>0.1312987012987013</v>
      </c>
    </row>
    <row r="1380" spans="1:9" x14ac:dyDescent="0.25">
      <c r="A1380" s="70" t="s">
        <v>66</v>
      </c>
      <c r="B1380" s="70" t="s">
        <v>68</v>
      </c>
      <c r="C1380" s="71">
        <v>40789</v>
      </c>
      <c r="D1380" s="72">
        <v>41154</v>
      </c>
      <c r="E1380" s="73">
        <v>0.09</v>
      </c>
      <c r="F1380" s="74">
        <v>56556.49</v>
      </c>
      <c r="G1380" s="75"/>
      <c r="H1380" s="74">
        <v>5655.65</v>
      </c>
      <c r="I1380" s="126">
        <v>0.10000001768143674</v>
      </c>
    </row>
    <row r="1381" spans="1:9" x14ac:dyDescent="0.25">
      <c r="A1381" s="70" t="s">
        <v>119</v>
      </c>
      <c r="B1381" s="70" t="s">
        <v>68</v>
      </c>
      <c r="C1381" s="71">
        <v>40789</v>
      </c>
      <c r="D1381" s="72">
        <v>41154</v>
      </c>
      <c r="E1381" s="73">
        <v>0.09</v>
      </c>
      <c r="F1381" s="74">
        <v>182293.96</v>
      </c>
      <c r="G1381" s="75"/>
      <c r="H1381" s="74">
        <v>18229.400000000001</v>
      </c>
      <c r="I1381" s="126">
        <v>0.1000000219425811</v>
      </c>
    </row>
    <row r="1382" spans="1:9" x14ac:dyDescent="0.25">
      <c r="A1382" s="70" t="s">
        <v>130</v>
      </c>
      <c r="B1382" s="70" t="s">
        <v>68</v>
      </c>
      <c r="C1382" s="71">
        <v>40725</v>
      </c>
      <c r="D1382" s="72">
        <v>41090</v>
      </c>
      <c r="E1382" s="73">
        <v>0.1</v>
      </c>
      <c r="F1382" s="74">
        <v>751709.23</v>
      </c>
      <c r="G1382" s="75"/>
      <c r="H1382" s="74">
        <v>76363.42</v>
      </c>
      <c r="I1382" s="126">
        <v>0.1015863806807321</v>
      </c>
    </row>
    <row r="1383" spans="1:9" x14ac:dyDescent="0.25">
      <c r="A1383" s="76" t="s">
        <v>478</v>
      </c>
      <c r="B1383" s="76" t="s">
        <v>68</v>
      </c>
      <c r="C1383" s="77">
        <v>40787</v>
      </c>
      <c r="D1383" s="78">
        <v>41152</v>
      </c>
      <c r="E1383" s="79">
        <v>0.13</v>
      </c>
      <c r="F1383" s="80">
        <v>1519186.2</v>
      </c>
      <c r="G1383" s="81"/>
      <c r="H1383" s="80">
        <v>151918.63</v>
      </c>
      <c r="I1383" s="93">
        <f>H1383/F1383</f>
        <v>0.1000000065824716</v>
      </c>
    </row>
    <row r="1384" spans="1:9" x14ac:dyDescent="0.25">
      <c r="A1384" s="76" t="s">
        <v>478</v>
      </c>
      <c r="B1384" s="76" t="s">
        <v>68</v>
      </c>
      <c r="C1384" s="77">
        <v>41153</v>
      </c>
      <c r="D1384" s="78">
        <v>41517</v>
      </c>
      <c r="E1384" s="79">
        <v>0.13</v>
      </c>
      <c r="F1384" s="80">
        <v>1258312.26</v>
      </c>
      <c r="G1384" s="81"/>
      <c r="H1384" s="80">
        <v>125831.24</v>
      </c>
      <c r="I1384" s="93">
        <f>H1384/F1384</f>
        <v>0.10000001112601414</v>
      </c>
    </row>
    <row r="1385" spans="1:9" x14ac:dyDescent="0.25">
      <c r="A1385" s="76" t="s">
        <v>504</v>
      </c>
      <c r="B1385" s="76" t="s">
        <v>68</v>
      </c>
      <c r="C1385" s="77">
        <v>40789</v>
      </c>
      <c r="D1385" s="78">
        <v>41154</v>
      </c>
      <c r="E1385" s="79">
        <v>0.09</v>
      </c>
      <c r="F1385" s="80"/>
      <c r="G1385" s="81">
        <v>16123</v>
      </c>
      <c r="H1385" s="80">
        <v>1612.3</v>
      </c>
      <c r="I1385" s="93">
        <f>H1385/G1385</f>
        <v>9.9999999999999992E-2</v>
      </c>
    </row>
    <row r="1386" spans="1:9" x14ac:dyDescent="0.25">
      <c r="A1386" s="76" t="s">
        <v>512</v>
      </c>
      <c r="B1386" s="76" t="s">
        <v>68</v>
      </c>
      <c r="C1386" s="77">
        <v>41155</v>
      </c>
      <c r="D1386" s="78">
        <v>41519</v>
      </c>
      <c r="E1386" s="79">
        <v>0.09</v>
      </c>
      <c r="F1386" s="80"/>
      <c r="G1386" s="81">
        <v>15925.35</v>
      </c>
      <c r="H1386" s="80">
        <v>1592.54</v>
      </c>
      <c r="I1386" s="93">
        <f>H1386/G1386</f>
        <v>0.10000031396484221</v>
      </c>
    </row>
    <row r="1387" spans="1:9" x14ac:dyDescent="0.25">
      <c r="A1387" s="76" t="s">
        <v>555</v>
      </c>
      <c r="B1387" s="76" t="s">
        <v>68</v>
      </c>
      <c r="C1387" s="77">
        <v>40789</v>
      </c>
      <c r="D1387" s="78">
        <v>41154</v>
      </c>
      <c r="E1387" s="79">
        <v>0.09</v>
      </c>
      <c r="F1387" s="80">
        <v>119240</v>
      </c>
      <c r="G1387" s="81"/>
      <c r="H1387" s="80">
        <v>11924</v>
      </c>
      <c r="I1387" s="93">
        <f>H1387/F1387</f>
        <v>0.1</v>
      </c>
    </row>
    <row r="1388" spans="1:9" x14ac:dyDescent="0.25">
      <c r="A1388" s="76" t="s">
        <v>555</v>
      </c>
      <c r="B1388" s="76" t="s">
        <v>68</v>
      </c>
      <c r="C1388" s="77">
        <v>41155</v>
      </c>
      <c r="D1388" s="78">
        <v>41519</v>
      </c>
      <c r="E1388" s="79">
        <v>0.09</v>
      </c>
      <c r="F1388" s="80">
        <v>34923.67</v>
      </c>
      <c r="G1388" s="88"/>
      <c r="H1388" s="80">
        <v>3492.37</v>
      </c>
      <c r="I1388" s="93">
        <f>H1388/F1388</f>
        <v>0.10000008590162489</v>
      </c>
    </row>
    <row r="1389" spans="1:9" x14ac:dyDescent="0.25">
      <c r="A1389" s="76" t="s">
        <v>531</v>
      </c>
      <c r="B1389" s="76" t="s">
        <v>535</v>
      </c>
      <c r="C1389" s="77">
        <v>40749</v>
      </c>
      <c r="D1389" s="78">
        <v>41060</v>
      </c>
      <c r="E1389" s="79">
        <v>8.9999999999999993E-3</v>
      </c>
      <c r="F1389" s="80">
        <v>42703</v>
      </c>
      <c r="G1389" s="81"/>
      <c r="H1389" s="80">
        <v>10111</v>
      </c>
      <c r="I1389" s="93">
        <f>H1389/F1389</f>
        <v>0.23677493384539727</v>
      </c>
    </row>
    <row r="1390" spans="1:9" x14ac:dyDescent="0.25">
      <c r="A1390" s="76" t="s">
        <v>531</v>
      </c>
      <c r="B1390" s="76" t="s">
        <v>535</v>
      </c>
      <c r="C1390" s="77">
        <v>40749</v>
      </c>
      <c r="D1390" s="78">
        <v>41060</v>
      </c>
      <c r="E1390" s="79">
        <v>8.9999999999999993E-3</v>
      </c>
      <c r="F1390" s="80"/>
      <c r="G1390" s="81">
        <v>3459</v>
      </c>
      <c r="H1390" s="80">
        <v>2292</v>
      </c>
      <c r="I1390" s="93">
        <f>H1390/G1390</f>
        <v>0.66261925411968781</v>
      </c>
    </row>
    <row r="1391" spans="1:9" x14ac:dyDescent="0.25">
      <c r="A1391" s="76" t="s">
        <v>674</v>
      </c>
      <c r="B1391" s="76" t="s">
        <v>535</v>
      </c>
      <c r="C1391" s="77">
        <v>41086</v>
      </c>
      <c r="D1391" s="78">
        <v>41274</v>
      </c>
      <c r="E1391" s="79">
        <v>0.22500000000000001</v>
      </c>
      <c r="F1391" s="80">
        <v>105057.98</v>
      </c>
      <c r="G1391" s="81"/>
      <c r="H1391" s="80">
        <v>73356.179999999993</v>
      </c>
      <c r="I1391" s="93">
        <f>H1391/F1391</f>
        <v>0.6982447216289519</v>
      </c>
    </row>
    <row r="1392" spans="1:9" x14ac:dyDescent="0.25">
      <c r="A1392" s="76" t="s">
        <v>674</v>
      </c>
      <c r="B1392" s="76" t="s">
        <v>535</v>
      </c>
      <c r="C1392" s="77">
        <v>41086</v>
      </c>
      <c r="D1392" s="78">
        <v>41274</v>
      </c>
      <c r="E1392" s="79">
        <v>0.22500000000000001</v>
      </c>
      <c r="F1392" s="80"/>
      <c r="G1392" s="81">
        <v>3006.74</v>
      </c>
      <c r="H1392" s="80">
        <v>2143.5100000000002</v>
      </c>
      <c r="I1392" s="93">
        <f>H1392/G1392</f>
        <v>0.71290168089026662</v>
      </c>
    </row>
    <row r="1393" spans="1:9" x14ac:dyDescent="0.25">
      <c r="A1393" s="76" t="s">
        <v>558</v>
      </c>
      <c r="B1393" s="76" t="s">
        <v>560</v>
      </c>
      <c r="C1393" s="77">
        <v>40714</v>
      </c>
      <c r="D1393" s="78">
        <v>41151</v>
      </c>
      <c r="E1393" s="79">
        <v>0.14000000000000001</v>
      </c>
      <c r="F1393" s="88"/>
      <c r="G1393" s="81">
        <v>46625</v>
      </c>
      <c r="H1393" s="80">
        <v>7796</v>
      </c>
      <c r="I1393" s="93">
        <f>H1393/G1393</f>
        <v>0.16720643431635387</v>
      </c>
    </row>
    <row r="1394" spans="1:9" x14ac:dyDescent="0.25">
      <c r="A1394" s="76" t="s">
        <v>439</v>
      </c>
      <c r="B1394" s="76" t="s">
        <v>448</v>
      </c>
      <c r="C1394" s="77">
        <v>41218</v>
      </c>
      <c r="D1394" s="78">
        <v>41577</v>
      </c>
      <c r="E1394" s="79">
        <v>0.14000000000000001</v>
      </c>
      <c r="F1394" s="88"/>
      <c r="G1394" s="81">
        <v>41972</v>
      </c>
      <c r="H1394" s="80">
        <v>8225.84</v>
      </c>
      <c r="I1394" s="93">
        <f>H1394/G1394</f>
        <v>0.19598398932621749</v>
      </c>
    </row>
    <row r="1395" spans="1:9" x14ac:dyDescent="0.25">
      <c r="A1395" s="76" t="s">
        <v>674</v>
      </c>
      <c r="B1395" s="76" t="s">
        <v>679</v>
      </c>
      <c r="C1395" s="77">
        <v>41023</v>
      </c>
      <c r="D1395" s="78">
        <v>41274</v>
      </c>
      <c r="E1395" s="79">
        <v>0.32219999999999999</v>
      </c>
      <c r="F1395" s="80"/>
      <c r="G1395" s="81">
        <v>0</v>
      </c>
      <c r="H1395" s="80">
        <v>-66.930000000000007</v>
      </c>
      <c r="I1395" s="93">
        <v>0</v>
      </c>
    </row>
    <row r="1396" spans="1:9" x14ac:dyDescent="0.25">
      <c r="A1396" s="76" t="s">
        <v>674</v>
      </c>
      <c r="B1396" s="76" t="s">
        <v>679</v>
      </c>
      <c r="C1396" s="77">
        <v>41023</v>
      </c>
      <c r="D1396" s="78">
        <v>41274</v>
      </c>
      <c r="E1396" s="79">
        <v>0.32219999999999999</v>
      </c>
      <c r="F1396" s="80">
        <v>0</v>
      </c>
      <c r="G1396" s="81"/>
      <c r="H1396" s="80">
        <v>-789.8</v>
      </c>
      <c r="I1396" s="93">
        <v>0</v>
      </c>
    </row>
    <row r="1397" spans="1:9" x14ac:dyDescent="0.25">
      <c r="A1397" s="76" t="s">
        <v>449</v>
      </c>
      <c r="B1397" s="76" t="s">
        <v>462</v>
      </c>
      <c r="C1397" s="77">
        <v>40787</v>
      </c>
      <c r="D1397" s="78">
        <v>41152</v>
      </c>
      <c r="E1397" s="79">
        <v>0</v>
      </c>
      <c r="F1397" s="80">
        <v>0</v>
      </c>
      <c r="G1397" s="81"/>
      <c r="H1397" s="80">
        <v>0</v>
      </c>
      <c r="I1397" s="93">
        <v>0</v>
      </c>
    </row>
    <row r="1398" spans="1:9" x14ac:dyDescent="0.25">
      <c r="A1398" s="76" t="s">
        <v>449</v>
      </c>
      <c r="B1398" s="76" t="s">
        <v>462</v>
      </c>
      <c r="C1398" s="77">
        <v>41153</v>
      </c>
      <c r="D1398" s="78">
        <v>41194</v>
      </c>
      <c r="E1398" s="79">
        <v>0</v>
      </c>
      <c r="F1398" s="80">
        <v>0</v>
      </c>
      <c r="G1398" s="81"/>
      <c r="H1398" s="80">
        <v>0</v>
      </c>
      <c r="I1398" s="93">
        <v>0</v>
      </c>
    </row>
    <row r="1399" spans="1:9" x14ac:dyDescent="0.25">
      <c r="A1399" s="76" t="s">
        <v>449</v>
      </c>
      <c r="B1399" s="76" t="s">
        <v>462</v>
      </c>
      <c r="C1399" s="77">
        <v>41153</v>
      </c>
      <c r="D1399" s="78">
        <v>41194</v>
      </c>
      <c r="E1399" s="79">
        <v>0</v>
      </c>
      <c r="F1399" s="80"/>
      <c r="G1399" s="81">
        <v>0</v>
      </c>
      <c r="H1399" s="80">
        <v>0</v>
      </c>
      <c r="I1399" s="93">
        <v>0</v>
      </c>
    </row>
    <row r="1400" spans="1:9" x14ac:dyDescent="0.25">
      <c r="A1400" s="70" t="s">
        <v>127</v>
      </c>
      <c r="B1400" s="70" t="s">
        <v>88</v>
      </c>
      <c r="C1400" s="71">
        <v>41172</v>
      </c>
      <c r="D1400" s="72">
        <v>41182</v>
      </c>
      <c r="E1400" s="73">
        <v>0</v>
      </c>
      <c r="F1400" s="74">
        <v>0</v>
      </c>
      <c r="G1400" s="75"/>
      <c r="H1400" s="74">
        <v>0</v>
      </c>
      <c r="I1400" s="126">
        <v>0</v>
      </c>
    </row>
    <row r="1401" spans="1:9" x14ac:dyDescent="0.25">
      <c r="A1401" s="70" t="s">
        <v>127</v>
      </c>
      <c r="B1401" s="70" t="s">
        <v>88</v>
      </c>
      <c r="C1401" s="71">
        <v>40806</v>
      </c>
      <c r="D1401" s="72">
        <v>41171</v>
      </c>
      <c r="E1401" s="73">
        <v>0</v>
      </c>
      <c r="F1401" s="74">
        <v>0</v>
      </c>
      <c r="G1401" s="75"/>
      <c r="H1401" s="74">
        <v>-318215</v>
      </c>
      <c r="I1401" s="126">
        <v>0</v>
      </c>
    </row>
    <row r="1402" spans="1:9" x14ac:dyDescent="0.25">
      <c r="A1402" s="70" t="s">
        <v>171</v>
      </c>
      <c r="B1402" s="70" t="s">
        <v>88</v>
      </c>
      <c r="C1402" s="71">
        <v>40765</v>
      </c>
      <c r="D1402" s="72">
        <v>41090</v>
      </c>
      <c r="E1402" s="73">
        <v>1.7999999999999999E-2</v>
      </c>
      <c r="F1402" s="74">
        <v>448475</v>
      </c>
      <c r="G1402" s="75"/>
      <c r="H1402" s="74">
        <v>214952</v>
      </c>
      <c r="I1402" s="93">
        <f>H1402/F1402</f>
        <v>0.47929538993254922</v>
      </c>
    </row>
    <row r="1403" spans="1:9" x14ac:dyDescent="0.25">
      <c r="A1403" s="76" t="s">
        <v>262</v>
      </c>
      <c r="B1403" s="76" t="s">
        <v>88</v>
      </c>
      <c r="C1403" s="77">
        <v>40766</v>
      </c>
      <c r="D1403" s="78">
        <v>41090</v>
      </c>
      <c r="E1403" s="79">
        <v>8.9999999999999993E-3</v>
      </c>
      <c r="F1403" s="80">
        <v>146376.26</v>
      </c>
      <c r="G1403" s="81"/>
      <c r="H1403" s="80">
        <v>62369.22</v>
      </c>
      <c r="I1403" s="79">
        <f>H1403/F1403</f>
        <v>0.42608835613097368</v>
      </c>
    </row>
    <row r="1404" spans="1:9" x14ac:dyDescent="0.25">
      <c r="A1404" s="76" t="s">
        <v>262</v>
      </c>
      <c r="B1404" s="76" t="s">
        <v>88</v>
      </c>
      <c r="C1404" s="77">
        <v>40766</v>
      </c>
      <c r="D1404" s="78">
        <v>41090</v>
      </c>
      <c r="E1404" s="79">
        <v>8.9999999999999993E-3</v>
      </c>
      <c r="F1404" s="80"/>
      <c r="G1404" s="81">
        <v>13379</v>
      </c>
      <c r="H1404" s="80">
        <v>8562.56</v>
      </c>
      <c r="I1404" s="79">
        <f>H1404/G1404</f>
        <v>0.64</v>
      </c>
    </row>
    <row r="1405" spans="1:9" x14ac:dyDescent="0.25">
      <c r="A1405" s="76" t="s">
        <v>1724</v>
      </c>
      <c r="B1405" s="76" t="s">
        <v>1725</v>
      </c>
      <c r="C1405" s="77">
        <v>41000</v>
      </c>
      <c r="D1405" s="78">
        <v>41364</v>
      </c>
      <c r="E1405" s="79">
        <v>8.9999999999999993E-3</v>
      </c>
      <c r="F1405" s="80">
        <v>3459680</v>
      </c>
      <c r="G1405" s="81"/>
      <c r="H1405" s="80">
        <v>445667</v>
      </c>
      <c r="I1405" s="73">
        <f>H1405/F1405</f>
        <v>0.12881740507792627</v>
      </c>
    </row>
    <row r="1406" spans="1:9" x14ac:dyDescent="0.25">
      <c r="A1406" s="76" t="s">
        <v>1724</v>
      </c>
      <c r="B1406" s="76" t="s">
        <v>1725</v>
      </c>
      <c r="C1406" s="77">
        <v>41000</v>
      </c>
      <c r="D1406" s="78">
        <v>41364</v>
      </c>
      <c r="E1406" s="79">
        <v>8.9999999999999993E-3</v>
      </c>
      <c r="F1406" s="80"/>
      <c r="G1406" s="81">
        <v>140298</v>
      </c>
      <c r="H1406" s="80">
        <v>18074</v>
      </c>
      <c r="I1406" s="73">
        <f>H1406/G1406</f>
        <v>0.1288257851145419</v>
      </c>
    </row>
    <row r="1407" spans="1:9" x14ac:dyDescent="0.25">
      <c r="A1407" s="76" t="s">
        <v>549</v>
      </c>
      <c r="B1407" s="76" t="s">
        <v>551</v>
      </c>
      <c r="C1407" s="77">
        <v>40647</v>
      </c>
      <c r="D1407" s="78">
        <v>41012</v>
      </c>
      <c r="E1407" s="79">
        <v>0.3</v>
      </c>
      <c r="F1407" s="80">
        <v>290785</v>
      </c>
      <c r="G1407" s="88"/>
      <c r="H1407" s="80">
        <v>113865.4</v>
      </c>
      <c r="I1407" s="79">
        <f>H1407/F1407</f>
        <v>0.3915793455645924</v>
      </c>
    </row>
    <row r="1408" spans="1:9" x14ac:dyDescent="0.25">
      <c r="A1408" s="76" t="s">
        <v>549</v>
      </c>
      <c r="B1408" s="76" t="s">
        <v>551</v>
      </c>
      <c r="C1408" s="77">
        <v>41013</v>
      </c>
      <c r="D1408" s="78">
        <v>41377</v>
      </c>
      <c r="E1408" s="79">
        <v>0.27</v>
      </c>
      <c r="F1408" s="80">
        <v>198815.05</v>
      </c>
      <c r="G1408" s="88"/>
      <c r="H1408" s="80">
        <v>97313.65</v>
      </c>
      <c r="I1408" s="79">
        <f>H1408/F1408</f>
        <v>0.48946822687719066</v>
      </c>
    </row>
    <row r="1409" spans="1:9" x14ac:dyDescent="0.25">
      <c r="A1409" s="70" t="s">
        <v>146</v>
      </c>
      <c r="B1409" s="70" t="s">
        <v>162</v>
      </c>
      <c r="C1409" s="71">
        <v>40676</v>
      </c>
      <c r="D1409" s="72">
        <v>41029</v>
      </c>
      <c r="E1409" s="101">
        <v>4.4999999999999999E-4</v>
      </c>
      <c r="F1409" s="74">
        <v>8815</v>
      </c>
      <c r="G1409" s="75"/>
      <c r="H1409" s="74">
        <v>-3294.46</v>
      </c>
      <c r="I1409" s="73">
        <v>-0.37373340896199658</v>
      </c>
    </row>
    <row r="1410" spans="1:9" x14ac:dyDescent="0.25">
      <c r="A1410" s="76" t="s">
        <v>578</v>
      </c>
      <c r="B1410" s="76" t="s">
        <v>579</v>
      </c>
      <c r="C1410" s="112">
        <v>40589</v>
      </c>
      <c r="D1410" s="78">
        <v>40954</v>
      </c>
      <c r="E1410" s="79">
        <v>0</v>
      </c>
      <c r="F1410" s="80"/>
      <c r="G1410" s="81">
        <v>1096.27</v>
      </c>
      <c r="H1410" s="80">
        <v>-336.8</v>
      </c>
      <c r="I1410" s="79">
        <f>H1410/G1410</f>
        <v>-0.30722358543059647</v>
      </c>
    </row>
    <row r="1411" spans="1:9" x14ac:dyDescent="0.25">
      <c r="A1411" s="76" t="s">
        <v>578</v>
      </c>
      <c r="B1411" s="76" t="s">
        <v>579</v>
      </c>
      <c r="C1411" s="112">
        <v>40589</v>
      </c>
      <c r="D1411" s="78">
        <v>40954</v>
      </c>
      <c r="E1411" s="79">
        <v>0</v>
      </c>
      <c r="F1411" s="80">
        <v>31322</v>
      </c>
      <c r="G1411" s="81"/>
      <c r="H1411" s="80">
        <v>-9622.7999999999993</v>
      </c>
      <c r="I1411" s="93">
        <f>H1411/F1411</f>
        <v>-0.30722176106251192</v>
      </c>
    </row>
    <row r="1412" spans="1:9" x14ac:dyDescent="0.25">
      <c r="A1412" s="70" t="s">
        <v>38</v>
      </c>
      <c r="B1412" s="70" t="s">
        <v>48</v>
      </c>
      <c r="C1412" s="71">
        <v>40863</v>
      </c>
      <c r="D1412" s="72">
        <v>41228</v>
      </c>
      <c r="E1412" s="73">
        <v>0.40500000000000003</v>
      </c>
      <c r="F1412" s="74"/>
      <c r="G1412" s="75">
        <v>203365.8</v>
      </c>
      <c r="H1412" s="74">
        <v>91514.59</v>
      </c>
      <c r="I1412" s="126">
        <v>0.44999990165504722</v>
      </c>
    </row>
    <row r="1413" spans="1:9" x14ac:dyDescent="0.25">
      <c r="A1413" s="70" t="s">
        <v>95</v>
      </c>
      <c r="B1413" s="70" t="s">
        <v>48</v>
      </c>
      <c r="C1413" s="71">
        <v>40725</v>
      </c>
      <c r="D1413" s="72">
        <v>41090</v>
      </c>
      <c r="E1413" s="73">
        <v>0.09</v>
      </c>
      <c r="F1413" s="74">
        <v>784</v>
      </c>
      <c r="G1413" s="75"/>
      <c r="H1413" s="74">
        <v>101.92</v>
      </c>
      <c r="I1413" s="73">
        <v>0.13</v>
      </c>
    </row>
    <row r="1414" spans="1:9" x14ac:dyDescent="0.25">
      <c r="A1414" s="70" t="s">
        <v>95</v>
      </c>
      <c r="B1414" s="70" t="s">
        <v>48</v>
      </c>
      <c r="C1414" s="71">
        <v>40725</v>
      </c>
      <c r="D1414" s="72">
        <v>41090</v>
      </c>
      <c r="E1414" s="73">
        <v>0.09</v>
      </c>
      <c r="F1414" s="74"/>
      <c r="G1414" s="75">
        <v>0</v>
      </c>
      <c r="H1414" s="74">
        <v>0</v>
      </c>
      <c r="I1414" s="126">
        <v>0</v>
      </c>
    </row>
    <row r="1415" spans="1:9" x14ac:dyDescent="0.25">
      <c r="A1415" s="70" t="s">
        <v>119</v>
      </c>
      <c r="B1415" s="70" t="s">
        <v>48</v>
      </c>
      <c r="C1415" s="71">
        <v>40725</v>
      </c>
      <c r="D1415" s="72">
        <v>41090</v>
      </c>
      <c r="E1415" s="73">
        <v>0.09</v>
      </c>
      <c r="F1415" s="74">
        <v>54762.99</v>
      </c>
      <c r="G1415" s="75"/>
      <c r="H1415" s="74">
        <v>7119.19</v>
      </c>
      <c r="I1415" s="126">
        <v>0.13000002373865999</v>
      </c>
    </row>
    <row r="1416" spans="1:9" x14ac:dyDescent="0.25">
      <c r="A1416" s="70" t="s">
        <v>119</v>
      </c>
      <c r="B1416" s="70" t="s">
        <v>48</v>
      </c>
      <c r="C1416" s="71">
        <v>40725</v>
      </c>
      <c r="D1416" s="72">
        <v>41090</v>
      </c>
      <c r="E1416" s="73">
        <v>0.09</v>
      </c>
      <c r="F1416" s="74"/>
      <c r="G1416" s="75">
        <v>0</v>
      </c>
      <c r="H1416" s="74">
        <v>0</v>
      </c>
      <c r="I1416" s="126">
        <v>0</v>
      </c>
    </row>
    <row r="1417" spans="1:9" x14ac:dyDescent="0.25">
      <c r="A1417" s="76" t="s">
        <v>317</v>
      </c>
      <c r="B1417" s="76" t="s">
        <v>354</v>
      </c>
      <c r="C1417" s="77">
        <v>40990</v>
      </c>
      <c r="D1417" s="78">
        <v>41305</v>
      </c>
      <c r="E1417" s="79">
        <v>8.9999999999999993E-3</v>
      </c>
      <c r="F1417" s="80"/>
      <c r="G1417" s="81">
        <v>115</v>
      </c>
      <c r="H1417" s="80">
        <v>0.11</v>
      </c>
      <c r="I1417" s="93">
        <f>H1417/G1417</f>
        <v>9.5652173913043481E-4</v>
      </c>
    </row>
    <row r="1418" spans="1:9" x14ac:dyDescent="0.25">
      <c r="A1418" s="76" t="s">
        <v>317</v>
      </c>
      <c r="B1418" s="76" t="s">
        <v>354</v>
      </c>
      <c r="C1418" s="77">
        <v>40990</v>
      </c>
      <c r="D1418" s="78">
        <v>41305</v>
      </c>
      <c r="E1418" s="79">
        <v>8.9999999999999993E-3</v>
      </c>
      <c r="F1418" s="80">
        <v>9224</v>
      </c>
      <c r="G1418" s="81"/>
      <c r="H1418" s="80">
        <v>-2484</v>
      </c>
      <c r="I1418" s="93">
        <f>H1418/F1418</f>
        <v>-0.26929748482220295</v>
      </c>
    </row>
    <row r="1419" spans="1:9" x14ac:dyDescent="0.25">
      <c r="A1419" s="124"/>
      <c r="B1419" s="124"/>
      <c r="C1419" s="125"/>
      <c r="D1419" s="125"/>
    </row>
    <row r="1420" spans="1:9" x14ac:dyDescent="0.25">
      <c r="A1420" s="124"/>
      <c r="B1420" s="124"/>
      <c r="C1420" s="125"/>
      <c r="D1420" s="125"/>
    </row>
    <row r="1421" spans="1:9" x14ac:dyDescent="0.25">
      <c r="A1421" s="124"/>
      <c r="B1421" s="124"/>
      <c r="C1421" s="125"/>
      <c r="D1421" s="125"/>
    </row>
    <row r="1422" spans="1:9" x14ac:dyDescent="0.25">
      <c r="A1422" s="124"/>
      <c r="B1422" s="124"/>
      <c r="C1422" s="125"/>
      <c r="D1422" s="125"/>
    </row>
    <row r="1423" spans="1:9" x14ac:dyDescent="0.25">
      <c r="A1423" s="124"/>
      <c r="B1423" s="124"/>
      <c r="C1423" s="125"/>
      <c r="D1423" s="125"/>
    </row>
    <row r="1424" spans="1:9" x14ac:dyDescent="0.25">
      <c r="A1424" s="124"/>
      <c r="B1424" s="124"/>
      <c r="C1424" s="125"/>
      <c r="D1424" s="125"/>
    </row>
    <row r="1425" spans="1:4" x14ac:dyDescent="0.25">
      <c r="A1425" s="125"/>
      <c r="B1425" s="125"/>
      <c r="C1425" s="125"/>
      <c r="D1425" s="125"/>
    </row>
    <row r="1426" spans="1:4" x14ac:dyDescent="0.25">
      <c r="A1426" s="125"/>
      <c r="B1426" s="125"/>
      <c r="C1426" s="125"/>
      <c r="D1426" s="125"/>
    </row>
  </sheetData>
  <autoFilter ref="A1:I1"/>
  <sortState ref="A2:XFD1427">
    <sortCondition ref="B2:B1427"/>
  </sortState>
  <pageMargins left="0.7" right="0.7" top="0.75" bottom="0.75" header="0.3" footer="0.3"/>
  <pageSetup scale="57" fitToHeight="30" orientation="landscape" r:id="rId1"/>
  <ignoredErrors>
    <ignoredError sqref="I13:I14 I15:I16 I17:I18 I19:I20 I33:I34 I35:I36 I37 I45:I46 I54:I55 I68 I72 I79 I84 I87 I91:I92 I93 I107 I110 I122 I125 I141:I142 I143:I144 I145 I150 I154:I155 I156 I159:I160 I161:I162 I163 I174 I194:I195 I196:I197 I202 I240:I241 I242 I249 I252 I265:I266 I330 I346:I347 I351:I352 I362:I363 I366:I367 I371 I375 I418:I419 I420 I432:I433 I434 I444:I445 I451 I472:I473 I480:I481 I487 I492 I529 I548 I567 I602:I603 I609:I610 I641 I653 I658:I659 I660 I667:I668 I674:I675 I676:I677 I678:I679 I693:I694 I695 I725:I726 I727 I742:I743 I751 I765 I768 I777:I778 I817:I820 I821 I858 I874:I875 I876 I886 I890:I891 I892 I917:I918 I928 I931 I936 I950 I955 I968 I972:I973 I974 I978 I986 I994:I995 I1002 I1014 I1017 I1059 I1073:I1074 I1081:I1082 I1097 I1105:I1106 I1107 I1111:I1112 I1120 I1135 I1141 I1152:I1153 I1211 I1217 I1225 I1231 I1241:I1242 I1243 I1257 I1262 I1268 I1273:I1274 I1287:I1288 I1289 I1293 I1296 I1299 I1318 I1327 I1336:I1339 I1340 I1362 I1365:I1366 I1390:I1391 I1404:I1405 I1406"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CC"/>
    <pageSetUpPr fitToPage="1"/>
  </sheetPr>
  <dimension ref="A1:I1426"/>
  <sheetViews>
    <sheetView workbookViewId="0">
      <pane xSplit="1" topLeftCell="B1" activePane="topRight" state="frozen"/>
      <selection pane="topRight" activeCell="A2" sqref="A2"/>
    </sheetView>
  </sheetViews>
  <sheetFormatPr defaultRowHeight="15" x14ac:dyDescent="0.25"/>
  <cols>
    <col min="1" max="1" width="43.140625" style="20" bestFit="1" customWidth="1"/>
    <col min="2" max="2" width="65.28515625" style="20" bestFit="1" customWidth="1"/>
    <col min="3" max="4" width="14.28515625" style="20" bestFit="1" customWidth="1"/>
    <col min="5" max="5" width="20.140625" style="20" bestFit="1" customWidth="1"/>
    <col min="6" max="6" width="31" style="20" bestFit="1" customWidth="1"/>
    <col min="7" max="7" width="15.7109375" style="20" bestFit="1" customWidth="1"/>
    <col min="8" max="8" width="16.42578125" style="20" bestFit="1" customWidth="1"/>
    <col min="9" max="9" width="14.28515625" style="20" bestFit="1" customWidth="1"/>
    <col min="10" max="16384" width="9.140625" style="20"/>
  </cols>
  <sheetData>
    <row r="1" spans="1:9" ht="64.5" customHeight="1" x14ac:dyDescent="0.25">
      <c r="A1" s="63" t="s">
        <v>1962</v>
      </c>
      <c r="B1" s="63" t="s">
        <v>0</v>
      </c>
      <c r="C1" s="64" t="s">
        <v>1</v>
      </c>
      <c r="D1" s="65" t="s">
        <v>2</v>
      </c>
      <c r="E1" s="66" t="s">
        <v>3</v>
      </c>
      <c r="F1" s="67" t="s">
        <v>4</v>
      </c>
      <c r="G1" s="68" t="s">
        <v>5</v>
      </c>
      <c r="H1" s="69" t="s">
        <v>6</v>
      </c>
      <c r="I1" s="66" t="s">
        <v>7</v>
      </c>
    </row>
    <row r="2" spans="1:9" x14ac:dyDescent="0.25">
      <c r="A2" s="76" t="s">
        <v>317</v>
      </c>
      <c r="B2" s="76" t="s">
        <v>18</v>
      </c>
      <c r="C2" s="77">
        <v>40969</v>
      </c>
      <c r="D2" s="78">
        <v>41333</v>
      </c>
      <c r="E2" s="79">
        <v>1.7999999999999999E-2</v>
      </c>
      <c r="F2" s="80">
        <v>50550916.009999998</v>
      </c>
      <c r="G2" s="81"/>
      <c r="H2" s="80">
        <v>50382212.640000001</v>
      </c>
      <c r="I2" s="79">
        <f t="shared" ref="I2:I18" si="0">H2/F2</f>
        <v>0.99666270399597456</v>
      </c>
    </row>
    <row r="3" spans="1:9" x14ac:dyDescent="0.25">
      <c r="A3" s="76" t="s">
        <v>317</v>
      </c>
      <c r="B3" s="76" t="s">
        <v>18</v>
      </c>
      <c r="C3" s="77">
        <v>40603</v>
      </c>
      <c r="D3" s="78">
        <v>40968</v>
      </c>
      <c r="E3" s="79">
        <v>1.7999999999999999E-2</v>
      </c>
      <c r="F3" s="80">
        <v>46824802.25</v>
      </c>
      <c r="G3" s="81"/>
      <c r="H3" s="80">
        <v>46666488.649999999</v>
      </c>
      <c r="I3" s="79">
        <f t="shared" si="0"/>
        <v>0.996619022560848</v>
      </c>
    </row>
    <row r="4" spans="1:9" x14ac:dyDescent="0.25">
      <c r="A4" s="76" t="s">
        <v>317</v>
      </c>
      <c r="B4" s="76" t="s">
        <v>18</v>
      </c>
      <c r="C4" s="77">
        <v>40725</v>
      </c>
      <c r="D4" s="78">
        <v>41090</v>
      </c>
      <c r="E4" s="79">
        <v>0.4</v>
      </c>
      <c r="F4" s="80">
        <v>10447779.640000001</v>
      </c>
      <c r="G4" s="81"/>
      <c r="H4" s="80">
        <v>5974516.6399999997</v>
      </c>
      <c r="I4" s="79">
        <f t="shared" si="0"/>
        <v>0.57184558306782962</v>
      </c>
    </row>
    <row r="5" spans="1:9" x14ac:dyDescent="0.25">
      <c r="A5" s="76" t="s">
        <v>315</v>
      </c>
      <c r="B5" s="76" t="s">
        <v>59</v>
      </c>
      <c r="C5" s="77">
        <v>40817</v>
      </c>
      <c r="D5" s="78">
        <v>41182</v>
      </c>
      <c r="E5" s="79">
        <v>0.29699999999999999</v>
      </c>
      <c r="F5" s="80">
        <v>11080823.9</v>
      </c>
      <c r="G5" s="81"/>
      <c r="H5" s="80">
        <v>5408284.3300000001</v>
      </c>
      <c r="I5" s="79">
        <f t="shared" si="0"/>
        <v>0.48807601120707278</v>
      </c>
    </row>
    <row r="6" spans="1:9" x14ac:dyDescent="0.25">
      <c r="A6" s="76" t="s">
        <v>317</v>
      </c>
      <c r="B6" s="76" t="s">
        <v>152</v>
      </c>
      <c r="C6" s="77">
        <v>40955</v>
      </c>
      <c r="D6" s="78">
        <v>41320</v>
      </c>
      <c r="E6" s="79">
        <v>0.09</v>
      </c>
      <c r="F6" s="80">
        <v>5410169</v>
      </c>
      <c r="G6" s="81"/>
      <c r="H6" s="80">
        <v>4853028.04</v>
      </c>
      <c r="I6" s="79">
        <f t="shared" si="0"/>
        <v>0.89701967535579763</v>
      </c>
    </row>
    <row r="7" spans="1:9" x14ac:dyDescent="0.25">
      <c r="A7" s="76" t="s">
        <v>317</v>
      </c>
      <c r="B7" s="76" t="s">
        <v>366</v>
      </c>
      <c r="C7" s="77">
        <v>41183</v>
      </c>
      <c r="D7" s="78">
        <v>41547</v>
      </c>
      <c r="E7" s="79">
        <v>0.27</v>
      </c>
      <c r="F7" s="80">
        <v>7378443.5099999998</v>
      </c>
      <c r="G7" s="81"/>
      <c r="H7" s="80">
        <v>4677357.3600000003</v>
      </c>
      <c r="I7" s="79">
        <f t="shared" si="0"/>
        <v>0.63392195842670351</v>
      </c>
    </row>
    <row r="8" spans="1:9" x14ac:dyDescent="0.25">
      <c r="A8" s="76" t="s">
        <v>317</v>
      </c>
      <c r="B8" s="76" t="s">
        <v>356</v>
      </c>
      <c r="C8" s="77">
        <v>40969</v>
      </c>
      <c r="D8" s="78">
        <v>41333</v>
      </c>
      <c r="E8" s="79">
        <v>1.7999999999999999E-2</v>
      </c>
      <c r="F8" s="80">
        <v>9118918.5899999999</v>
      </c>
      <c r="G8" s="81"/>
      <c r="H8" s="80">
        <v>4557632.7699999996</v>
      </c>
      <c r="I8" s="79">
        <f t="shared" si="0"/>
        <v>0.4997996993851877</v>
      </c>
    </row>
    <row r="9" spans="1:9" x14ac:dyDescent="0.25">
      <c r="A9" s="76" t="s">
        <v>243</v>
      </c>
      <c r="B9" s="76" t="s">
        <v>244</v>
      </c>
      <c r="C9" s="77">
        <v>40909</v>
      </c>
      <c r="D9" s="78">
        <v>41274</v>
      </c>
      <c r="E9" s="79">
        <v>1.7999999999999999E-2</v>
      </c>
      <c r="F9" s="80">
        <v>6051098</v>
      </c>
      <c r="G9" s="81"/>
      <c r="H9" s="80">
        <v>4338848.32</v>
      </c>
      <c r="I9" s="79">
        <f t="shared" si="0"/>
        <v>0.71703487862863902</v>
      </c>
    </row>
    <row r="10" spans="1:9" x14ac:dyDescent="0.25">
      <c r="A10" s="76" t="s">
        <v>674</v>
      </c>
      <c r="B10" s="76" t="s">
        <v>172</v>
      </c>
      <c r="C10" s="77">
        <v>40920</v>
      </c>
      <c r="D10" s="78">
        <v>41274</v>
      </c>
      <c r="E10" s="79">
        <v>0.29699999999999999</v>
      </c>
      <c r="F10" s="80">
        <v>4792418.3499999996</v>
      </c>
      <c r="G10" s="81"/>
      <c r="H10" s="80">
        <v>3981987.29</v>
      </c>
      <c r="I10" s="79">
        <f t="shared" si="0"/>
        <v>0.83089308970699527</v>
      </c>
    </row>
    <row r="11" spans="1:9" x14ac:dyDescent="0.25">
      <c r="A11" s="76" t="s">
        <v>317</v>
      </c>
      <c r="B11" s="76" t="s">
        <v>355</v>
      </c>
      <c r="C11" s="77">
        <v>41073</v>
      </c>
      <c r="D11" s="78">
        <v>41348</v>
      </c>
      <c r="E11" s="79">
        <v>0.315</v>
      </c>
      <c r="F11" s="80">
        <v>10632044.24</v>
      </c>
      <c r="G11" s="81"/>
      <c r="H11" s="80">
        <v>3979085.47</v>
      </c>
      <c r="I11" s="79">
        <f t="shared" si="0"/>
        <v>0.37425403621157244</v>
      </c>
    </row>
    <row r="12" spans="1:9" x14ac:dyDescent="0.25">
      <c r="A12" s="76" t="s">
        <v>317</v>
      </c>
      <c r="B12" s="76" t="s">
        <v>325</v>
      </c>
      <c r="C12" s="77">
        <v>40725</v>
      </c>
      <c r="D12" s="78">
        <v>41090</v>
      </c>
      <c r="E12" s="79">
        <v>0</v>
      </c>
      <c r="F12" s="80">
        <v>3962435.29</v>
      </c>
      <c r="G12" s="81"/>
      <c r="H12" s="80">
        <v>3832311.61</v>
      </c>
      <c r="I12" s="79">
        <f t="shared" si="0"/>
        <v>0.96716068011800893</v>
      </c>
    </row>
    <row r="13" spans="1:9" x14ac:dyDescent="0.25">
      <c r="A13" s="70" t="s">
        <v>171</v>
      </c>
      <c r="B13" s="70" t="s">
        <v>172</v>
      </c>
      <c r="C13" s="71">
        <v>40639</v>
      </c>
      <c r="D13" s="72">
        <v>40983</v>
      </c>
      <c r="E13" s="73">
        <v>1.7999999999999999E-2</v>
      </c>
      <c r="F13" s="74">
        <v>4522402.72</v>
      </c>
      <c r="G13" s="75"/>
      <c r="H13" s="74">
        <v>3622801.07</v>
      </c>
      <c r="I13" s="79">
        <f t="shared" si="0"/>
        <v>0.80107882784928097</v>
      </c>
    </row>
    <row r="14" spans="1:9" x14ac:dyDescent="0.25">
      <c r="A14" s="76" t="s">
        <v>317</v>
      </c>
      <c r="B14" s="76" t="s">
        <v>365</v>
      </c>
      <c r="C14" s="77">
        <v>41232</v>
      </c>
      <c r="D14" s="78">
        <v>41547</v>
      </c>
      <c r="E14" s="79">
        <v>8.9999999999999998E-4</v>
      </c>
      <c r="F14" s="80">
        <v>3517405.21</v>
      </c>
      <c r="G14" s="81"/>
      <c r="H14" s="80">
        <v>3186251.17</v>
      </c>
      <c r="I14" s="79">
        <f t="shared" si="0"/>
        <v>0.90585274649092817</v>
      </c>
    </row>
    <row r="15" spans="1:9" x14ac:dyDescent="0.25">
      <c r="A15" s="76" t="s">
        <v>317</v>
      </c>
      <c r="B15" s="76" t="s">
        <v>19</v>
      </c>
      <c r="C15" s="77">
        <v>40621</v>
      </c>
      <c r="D15" s="78">
        <v>40968</v>
      </c>
      <c r="E15" s="79">
        <v>1.7999999999999999E-2</v>
      </c>
      <c r="F15" s="80">
        <v>7051288.9100000001</v>
      </c>
      <c r="G15" s="81"/>
      <c r="H15" s="80">
        <v>3135863.15</v>
      </c>
      <c r="I15" s="79">
        <f t="shared" si="0"/>
        <v>0.44472197778661149</v>
      </c>
    </row>
    <row r="16" spans="1:9" x14ac:dyDescent="0.25">
      <c r="A16" s="76" t="s">
        <v>317</v>
      </c>
      <c r="B16" s="76" t="s">
        <v>18</v>
      </c>
      <c r="C16" s="77">
        <v>41091</v>
      </c>
      <c r="D16" s="78">
        <v>41455</v>
      </c>
      <c r="E16" s="79">
        <v>0.13500000000000001</v>
      </c>
      <c r="F16" s="80">
        <v>6195738.8899999997</v>
      </c>
      <c r="G16" s="81"/>
      <c r="H16" s="80">
        <v>3108371.89</v>
      </c>
      <c r="I16" s="79">
        <f t="shared" si="0"/>
        <v>0.50169510774848036</v>
      </c>
    </row>
    <row r="17" spans="1:9" x14ac:dyDescent="0.25">
      <c r="A17" s="76" t="s">
        <v>578</v>
      </c>
      <c r="B17" s="76" t="s">
        <v>1973</v>
      </c>
      <c r="C17" s="77">
        <v>40800</v>
      </c>
      <c r="D17" s="78">
        <v>41013</v>
      </c>
      <c r="E17" s="79">
        <v>0</v>
      </c>
      <c r="F17" s="80">
        <v>2851281.47</v>
      </c>
      <c r="G17" s="88"/>
      <c r="H17" s="80">
        <v>2454856.89</v>
      </c>
      <c r="I17" s="79">
        <f t="shared" si="0"/>
        <v>0.86096617111603502</v>
      </c>
    </row>
    <row r="18" spans="1:9" x14ac:dyDescent="0.25">
      <c r="A18" s="76" t="s">
        <v>317</v>
      </c>
      <c r="B18" s="76" t="s">
        <v>348</v>
      </c>
      <c r="C18" s="77">
        <v>40909</v>
      </c>
      <c r="D18" s="78">
        <v>41274</v>
      </c>
      <c r="E18" s="79">
        <v>0</v>
      </c>
      <c r="F18" s="80">
        <v>6162025.6900000004</v>
      </c>
      <c r="G18" s="81"/>
      <c r="H18" s="80">
        <v>2224238.04</v>
      </c>
      <c r="I18" s="79">
        <f t="shared" si="0"/>
        <v>0.3609589040840237</v>
      </c>
    </row>
    <row r="19" spans="1:9" x14ac:dyDescent="0.25">
      <c r="A19" s="76" t="s">
        <v>317</v>
      </c>
      <c r="B19" s="76" t="s">
        <v>18</v>
      </c>
      <c r="C19" s="77">
        <v>40969</v>
      </c>
      <c r="D19" s="78">
        <v>41333</v>
      </c>
      <c r="E19" s="79">
        <v>1.7999999999999999E-2</v>
      </c>
      <c r="F19" s="80"/>
      <c r="G19" s="81">
        <v>2034503.09</v>
      </c>
      <c r="H19" s="80">
        <v>2027713.35</v>
      </c>
      <c r="I19" s="79">
        <f>H19/G19</f>
        <v>0.99666270352039621</v>
      </c>
    </row>
    <row r="20" spans="1:9" x14ac:dyDescent="0.25">
      <c r="A20" s="76" t="s">
        <v>265</v>
      </c>
      <c r="B20" s="76" t="s">
        <v>266</v>
      </c>
      <c r="C20" s="77">
        <v>40585</v>
      </c>
      <c r="D20" s="78">
        <v>40949</v>
      </c>
      <c r="E20" s="79">
        <v>0.18</v>
      </c>
      <c r="F20" s="80">
        <v>6068503.71</v>
      </c>
      <c r="G20" s="81"/>
      <c r="H20" s="80">
        <v>2002743.8</v>
      </c>
      <c r="I20" s="79">
        <f>H20/F20</f>
        <v>0.33002267044836331</v>
      </c>
    </row>
    <row r="21" spans="1:9" x14ac:dyDescent="0.25">
      <c r="A21" s="76" t="s">
        <v>317</v>
      </c>
      <c r="B21" s="76" t="s">
        <v>18</v>
      </c>
      <c r="C21" s="77">
        <v>40603</v>
      </c>
      <c r="D21" s="78">
        <v>40968</v>
      </c>
      <c r="E21" s="79">
        <v>1.7999999999999999E-2</v>
      </c>
      <c r="F21" s="80"/>
      <c r="G21" s="81">
        <v>1911377.53</v>
      </c>
      <c r="H21" s="80">
        <v>1902000.91</v>
      </c>
      <c r="I21" s="79">
        <f>H21/G21</f>
        <v>0.99509431294821171</v>
      </c>
    </row>
    <row r="22" spans="1:9" x14ac:dyDescent="0.25">
      <c r="A22" s="76" t="s">
        <v>270</v>
      </c>
      <c r="B22" s="76" t="s">
        <v>266</v>
      </c>
      <c r="C22" s="77">
        <v>40950</v>
      </c>
      <c r="D22" s="78">
        <v>41315</v>
      </c>
      <c r="E22" s="79">
        <v>0.18</v>
      </c>
      <c r="F22" s="80">
        <v>5601609.2199999997</v>
      </c>
      <c r="G22" s="81"/>
      <c r="H22" s="80">
        <v>1896630.71</v>
      </c>
      <c r="I22" s="79">
        <f>H22/F22</f>
        <v>0.33858675882427941</v>
      </c>
    </row>
    <row r="23" spans="1:9" x14ac:dyDescent="0.25">
      <c r="A23" s="70" t="s">
        <v>171</v>
      </c>
      <c r="B23" s="70" t="s">
        <v>180</v>
      </c>
      <c r="C23" s="71">
        <v>40758</v>
      </c>
      <c r="D23" s="72">
        <v>41123</v>
      </c>
      <c r="E23" s="73">
        <v>1.7999999999999999E-2</v>
      </c>
      <c r="F23" s="74">
        <v>2723980</v>
      </c>
      <c r="G23" s="75"/>
      <c r="H23" s="74">
        <v>1847928</v>
      </c>
      <c r="I23" s="79">
        <f>H23/F23</f>
        <v>0.67839264605466998</v>
      </c>
    </row>
    <row r="24" spans="1:9" ht="28.5" x14ac:dyDescent="0.25">
      <c r="A24" s="70" t="s">
        <v>17</v>
      </c>
      <c r="B24" s="70" t="s">
        <v>19</v>
      </c>
      <c r="C24" s="71">
        <v>40603</v>
      </c>
      <c r="D24" s="72">
        <v>40968</v>
      </c>
      <c r="E24" s="73">
        <v>0.18</v>
      </c>
      <c r="F24" s="74">
        <v>2167041.71</v>
      </c>
      <c r="G24" s="75"/>
      <c r="H24" s="74">
        <v>1786322.78</v>
      </c>
      <c r="I24" s="73">
        <v>0.82431398147846446</v>
      </c>
    </row>
    <row r="25" spans="1:9" x14ac:dyDescent="0.25">
      <c r="A25" s="70" t="s">
        <v>137</v>
      </c>
      <c r="B25" s="70" t="s">
        <v>139</v>
      </c>
      <c r="C25" s="71">
        <v>40802</v>
      </c>
      <c r="D25" s="72">
        <v>41167</v>
      </c>
      <c r="E25" s="73">
        <v>0.68400000000000005</v>
      </c>
      <c r="F25" s="74">
        <v>2069803</v>
      </c>
      <c r="G25" s="75"/>
      <c r="H25" s="74">
        <v>1510149.37</v>
      </c>
      <c r="I25" s="73">
        <v>0.72961019478665368</v>
      </c>
    </row>
    <row r="26" spans="1:9" x14ac:dyDescent="0.25">
      <c r="A26" s="76" t="s">
        <v>582</v>
      </c>
      <c r="B26" s="76" t="s">
        <v>163</v>
      </c>
      <c r="C26" s="77">
        <v>40787</v>
      </c>
      <c r="D26" s="78">
        <v>41152</v>
      </c>
      <c r="E26" s="79">
        <v>0.63</v>
      </c>
      <c r="F26" s="88"/>
      <c r="G26" s="81">
        <v>2099675.6800000002</v>
      </c>
      <c r="H26" s="80">
        <v>1507456.96</v>
      </c>
      <c r="I26" s="79">
        <f>H26/G26</f>
        <v>0.71794752606745427</v>
      </c>
    </row>
    <row r="27" spans="1:9" x14ac:dyDescent="0.25">
      <c r="A27" s="76" t="s">
        <v>317</v>
      </c>
      <c r="B27" s="76" t="s">
        <v>349</v>
      </c>
      <c r="C27" s="77">
        <v>40909</v>
      </c>
      <c r="D27" s="78">
        <v>41274</v>
      </c>
      <c r="E27" s="79">
        <v>0.09</v>
      </c>
      <c r="F27" s="80">
        <v>3695270</v>
      </c>
      <c r="G27" s="81"/>
      <c r="H27" s="80">
        <v>1405971.93</v>
      </c>
      <c r="I27" s="79">
        <f>H27/F27</f>
        <v>0.38047880939687762</v>
      </c>
    </row>
    <row r="28" spans="1:9" x14ac:dyDescent="0.25">
      <c r="A28" s="76" t="s">
        <v>582</v>
      </c>
      <c r="B28" s="76" t="s">
        <v>24</v>
      </c>
      <c r="C28" s="77">
        <v>40878</v>
      </c>
      <c r="D28" s="78">
        <v>41243</v>
      </c>
      <c r="E28" s="79">
        <v>0.59399999999999997</v>
      </c>
      <c r="F28" s="88"/>
      <c r="G28" s="81">
        <v>1919080.95</v>
      </c>
      <c r="H28" s="80">
        <v>1341072.19</v>
      </c>
      <c r="I28" s="79">
        <f>H28/G28</f>
        <v>0.69880959945957466</v>
      </c>
    </row>
    <row r="29" spans="1:9" x14ac:dyDescent="0.25">
      <c r="A29" s="76" t="s">
        <v>315</v>
      </c>
      <c r="B29" s="110" t="s">
        <v>152</v>
      </c>
      <c r="C29" s="77">
        <v>40607</v>
      </c>
      <c r="D29" s="78">
        <v>40968</v>
      </c>
      <c r="E29" s="79">
        <v>0.108</v>
      </c>
      <c r="F29" s="80">
        <v>5518845.29</v>
      </c>
      <c r="G29" s="81"/>
      <c r="H29" s="80">
        <v>1306139.8700000001</v>
      </c>
      <c r="I29" s="79">
        <f t="shared" ref="I29:I35" si="1">H29/F29</f>
        <v>0.23666904965911811</v>
      </c>
    </row>
    <row r="30" spans="1:9" x14ac:dyDescent="0.25">
      <c r="A30" s="76" t="s">
        <v>685</v>
      </c>
      <c r="B30" s="76" t="s">
        <v>691</v>
      </c>
      <c r="C30" s="77">
        <v>40909</v>
      </c>
      <c r="D30" s="78">
        <v>41274</v>
      </c>
      <c r="E30" s="79">
        <v>0.11700000000000001</v>
      </c>
      <c r="F30" s="80">
        <v>9617146.0999999996</v>
      </c>
      <c r="G30" s="81"/>
      <c r="H30" s="80">
        <v>1250210.8899999999</v>
      </c>
      <c r="I30" s="79">
        <f t="shared" si="1"/>
        <v>0.12999811763283911</v>
      </c>
    </row>
    <row r="31" spans="1:9" x14ac:dyDescent="0.25">
      <c r="A31" s="76" t="s">
        <v>171</v>
      </c>
      <c r="B31" s="76" t="s">
        <v>210</v>
      </c>
      <c r="C31" s="77">
        <v>40909</v>
      </c>
      <c r="D31" s="78">
        <v>41274</v>
      </c>
      <c r="E31" s="79">
        <v>1.7999999999999999E-2</v>
      </c>
      <c r="F31" s="80">
        <v>1509038</v>
      </c>
      <c r="G31" s="81"/>
      <c r="H31" s="80">
        <v>1249943.6499999999</v>
      </c>
      <c r="I31" s="79">
        <f t="shared" si="1"/>
        <v>0.82830495322185382</v>
      </c>
    </row>
    <row r="32" spans="1:9" x14ac:dyDescent="0.25">
      <c r="A32" s="76" t="s">
        <v>265</v>
      </c>
      <c r="B32" s="76" t="s">
        <v>269</v>
      </c>
      <c r="C32" s="77">
        <v>41091</v>
      </c>
      <c r="D32" s="78">
        <v>41455</v>
      </c>
      <c r="E32" s="79">
        <v>0.27</v>
      </c>
      <c r="F32" s="80">
        <v>3119516.05</v>
      </c>
      <c r="G32" s="81"/>
      <c r="H32" s="80">
        <v>1197932.5900000001</v>
      </c>
      <c r="I32" s="79">
        <f t="shared" si="1"/>
        <v>0.38401231819275305</v>
      </c>
    </row>
    <row r="33" spans="1:9" x14ac:dyDescent="0.25">
      <c r="A33" s="76" t="s">
        <v>270</v>
      </c>
      <c r="B33" s="76" t="s">
        <v>277</v>
      </c>
      <c r="C33" s="77">
        <v>40909</v>
      </c>
      <c r="D33" s="78">
        <v>41274</v>
      </c>
      <c r="E33" s="79">
        <v>0.09</v>
      </c>
      <c r="F33" s="80">
        <v>2532457.46</v>
      </c>
      <c r="G33" s="81"/>
      <c r="H33" s="80">
        <v>1107399.33</v>
      </c>
      <c r="I33" s="79">
        <f t="shared" si="1"/>
        <v>0.43728250029518761</v>
      </c>
    </row>
    <row r="34" spans="1:9" x14ac:dyDescent="0.25">
      <c r="A34" s="76" t="s">
        <v>449</v>
      </c>
      <c r="B34" s="76" t="s">
        <v>152</v>
      </c>
      <c r="C34" s="77">
        <v>40982</v>
      </c>
      <c r="D34" s="78">
        <v>41334</v>
      </c>
      <c r="E34" s="79">
        <v>0</v>
      </c>
      <c r="F34" s="80">
        <v>1281677</v>
      </c>
      <c r="G34" s="81"/>
      <c r="H34" s="80">
        <v>1081944</v>
      </c>
      <c r="I34" s="79">
        <f t="shared" si="1"/>
        <v>0.84416276487757835</v>
      </c>
    </row>
    <row r="35" spans="1:9" x14ac:dyDescent="0.25">
      <c r="A35" s="76" t="s">
        <v>572</v>
      </c>
      <c r="B35" s="76" t="s">
        <v>575</v>
      </c>
      <c r="C35" s="77">
        <v>41000</v>
      </c>
      <c r="D35" s="78">
        <v>41364</v>
      </c>
      <c r="E35" s="79">
        <v>0.8</v>
      </c>
      <c r="F35" s="80">
        <v>1135153</v>
      </c>
      <c r="G35" s="81"/>
      <c r="H35" s="80">
        <v>1075016</v>
      </c>
      <c r="I35" s="79">
        <f t="shared" si="1"/>
        <v>0.94702300042373144</v>
      </c>
    </row>
    <row r="36" spans="1:9" x14ac:dyDescent="0.25">
      <c r="A36" s="76" t="s">
        <v>572</v>
      </c>
      <c r="B36" s="76" t="s">
        <v>575</v>
      </c>
      <c r="C36" s="77">
        <v>41000</v>
      </c>
      <c r="D36" s="78">
        <v>41364</v>
      </c>
      <c r="E36" s="79">
        <v>0.8</v>
      </c>
      <c r="F36" s="80"/>
      <c r="G36" s="81">
        <v>1135153</v>
      </c>
      <c r="H36" s="80">
        <v>1075016</v>
      </c>
      <c r="I36" s="79">
        <f>H36/G36</f>
        <v>0.94702300042373144</v>
      </c>
    </row>
    <row r="37" spans="1:9" x14ac:dyDescent="0.25">
      <c r="A37" s="76" t="s">
        <v>317</v>
      </c>
      <c r="B37" s="76" t="s">
        <v>344</v>
      </c>
      <c r="C37" s="77">
        <v>40848</v>
      </c>
      <c r="D37" s="78">
        <v>41213</v>
      </c>
      <c r="E37" s="79">
        <v>0.27</v>
      </c>
      <c r="F37" s="80">
        <v>2576949.9700000002</v>
      </c>
      <c r="G37" s="81"/>
      <c r="H37" s="80">
        <v>1041207.9</v>
      </c>
      <c r="I37" s="79">
        <f>H37/F37</f>
        <v>0.40404661018700333</v>
      </c>
    </row>
    <row r="38" spans="1:9" x14ac:dyDescent="0.25">
      <c r="A38" s="76" t="s">
        <v>317</v>
      </c>
      <c r="B38" s="76" t="s">
        <v>349</v>
      </c>
      <c r="C38" s="77">
        <v>40909</v>
      </c>
      <c r="D38" s="78">
        <v>41274</v>
      </c>
      <c r="E38" s="79">
        <v>0.09</v>
      </c>
      <c r="F38" s="80">
        <v>2458248</v>
      </c>
      <c r="G38" s="81"/>
      <c r="H38" s="80">
        <v>967357.3</v>
      </c>
      <c r="I38" s="79">
        <f>H38/F38</f>
        <v>0.39351493421330969</v>
      </c>
    </row>
    <row r="39" spans="1:9" x14ac:dyDescent="0.25">
      <c r="A39" s="76" t="s">
        <v>265</v>
      </c>
      <c r="B39" s="76" t="s">
        <v>141</v>
      </c>
      <c r="C39" s="77">
        <v>41096</v>
      </c>
      <c r="D39" s="78">
        <v>41460</v>
      </c>
      <c r="E39" s="79">
        <v>0.45</v>
      </c>
      <c r="F39" s="80">
        <v>2390447.39</v>
      </c>
      <c r="G39" s="81"/>
      <c r="H39" s="80">
        <v>962307.28</v>
      </c>
      <c r="I39" s="79">
        <f>H39/F39</f>
        <v>0.40256367240108976</v>
      </c>
    </row>
    <row r="40" spans="1:9" x14ac:dyDescent="0.25">
      <c r="A40" s="76" t="s">
        <v>317</v>
      </c>
      <c r="B40" s="76" t="s">
        <v>167</v>
      </c>
      <c r="C40" s="77">
        <v>40909</v>
      </c>
      <c r="D40" s="78">
        <v>41274</v>
      </c>
      <c r="E40" s="79">
        <v>8.9999999999999998E-4</v>
      </c>
      <c r="F40" s="80">
        <v>2192928.2599999998</v>
      </c>
      <c r="G40" s="81"/>
      <c r="H40" s="80">
        <v>958842.44</v>
      </c>
      <c r="I40" s="79">
        <f>H40/F40</f>
        <v>0.43724295841761829</v>
      </c>
    </row>
    <row r="41" spans="1:9" x14ac:dyDescent="0.25">
      <c r="A41" s="70" t="s">
        <v>171</v>
      </c>
      <c r="B41" s="70" t="s">
        <v>175</v>
      </c>
      <c r="C41" s="71">
        <v>40634</v>
      </c>
      <c r="D41" s="72">
        <v>40999</v>
      </c>
      <c r="E41" s="73">
        <v>1.7999999999999999E-2</v>
      </c>
      <c r="F41" s="74">
        <v>1724030</v>
      </c>
      <c r="G41" s="75"/>
      <c r="H41" s="74">
        <v>954116.87</v>
      </c>
      <c r="I41" s="73">
        <v>0.55342242884404569</v>
      </c>
    </row>
    <row r="42" spans="1:9" x14ac:dyDescent="0.25">
      <c r="A42" s="76" t="s">
        <v>449</v>
      </c>
      <c r="B42" s="76" t="s">
        <v>467</v>
      </c>
      <c r="C42" s="77">
        <v>41030</v>
      </c>
      <c r="D42" s="78">
        <v>41394</v>
      </c>
      <c r="E42" s="79">
        <v>0</v>
      </c>
      <c r="F42" s="80">
        <v>2149723</v>
      </c>
      <c r="G42" s="81"/>
      <c r="H42" s="80">
        <v>917573</v>
      </c>
      <c r="I42" s="79">
        <f t="shared" ref="I42:I49" si="2">H42/F42</f>
        <v>0.42683313152438712</v>
      </c>
    </row>
    <row r="43" spans="1:9" x14ac:dyDescent="0.25">
      <c r="A43" s="76" t="s">
        <v>643</v>
      </c>
      <c r="B43" s="76" t="s">
        <v>174</v>
      </c>
      <c r="C43" s="77">
        <v>40583</v>
      </c>
      <c r="D43" s="78">
        <v>40947</v>
      </c>
      <c r="E43" s="79">
        <v>0</v>
      </c>
      <c r="F43" s="80">
        <v>1495117.97</v>
      </c>
      <c r="G43" s="81"/>
      <c r="H43" s="80">
        <v>909649.32</v>
      </c>
      <c r="I43" s="79">
        <f t="shared" si="2"/>
        <v>0.60841307391951149</v>
      </c>
    </row>
    <row r="44" spans="1:9" x14ac:dyDescent="0.25">
      <c r="A44" s="76" t="s">
        <v>531</v>
      </c>
      <c r="B44" s="76" t="s">
        <v>33</v>
      </c>
      <c r="C44" s="77">
        <v>40709</v>
      </c>
      <c r="D44" s="78">
        <v>40999</v>
      </c>
      <c r="E44" s="79">
        <v>8.9999999999999993E-3</v>
      </c>
      <c r="F44" s="80">
        <v>415576</v>
      </c>
      <c r="G44" s="81"/>
      <c r="H44" s="80">
        <v>892610</v>
      </c>
      <c r="I44" s="79">
        <f t="shared" si="2"/>
        <v>2.1478863071977208</v>
      </c>
    </row>
    <row r="45" spans="1:9" x14ac:dyDescent="0.25">
      <c r="A45" s="76" t="s">
        <v>449</v>
      </c>
      <c r="B45" s="110" t="s">
        <v>152</v>
      </c>
      <c r="C45" s="77">
        <v>40611</v>
      </c>
      <c r="D45" s="78">
        <v>40967</v>
      </c>
      <c r="E45" s="79">
        <v>0</v>
      </c>
      <c r="F45" s="80">
        <v>1032722</v>
      </c>
      <c r="G45" s="81"/>
      <c r="H45" s="80">
        <v>875705</v>
      </c>
      <c r="I45" s="79">
        <f t="shared" si="2"/>
        <v>0.84795811457488079</v>
      </c>
    </row>
    <row r="46" spans="1:9" x14ac:dyDescent="0.25">
      <c r="A46" s="76" t="s">
        <v>317</v>
      </c>
      <c r="B46" s="76" t="s">
        <v>330</v>
      </c>
      <c r="C46" s="77">
        <v>40787</v>
      </c>
      <c r="D46" s="78">
        <v>41152</v>
      </c>
      <c r="E46" s="79">
        <v>1.7999999999999999E-2</v>
      </c>
      <c r="F46" s="80">
        <v>2860487.59</v>
      </c>
      <c r="G46" s="81"/>
      <c r="H46" s="80">
        <v>860041.5</v>
      </c>
      <c r="I46" s="79">
        <f t="shared" si="2"/>
        <v>0.30066255242869278</v>
      </c>
    </row>
    <row r="47" spans="1:9" x14ac:dyDescent="0.25">
      <c r="A47" s="70" t="s">
        <v>171</v>
      </c>
      <c r="B47" s="70" t="s">
        <v>94</v>
      </c>
      <c r="C47" s="71">
        <v>40690</v>
      </c>
      <c r="D47" s="72">
        <v>41055</v>
      </c>
      <c r="E47" s="73">
        <v>1.7999999999999999E-2</v>
      </c>
      <c r="F47" s="74">
        <v>2232050</v>
      </c>
      <c r="G47" s="75"/>
      <c r="H47" s="74">
        <v>845319</v>
      </c>
      <c r="I47" s="79">
        <f t="shared" si="2"/>
        <v>0.37871866669653459</v>
      </c>
    </row>
    <row r="48" spans="1:9" x14ac:dyDescent="0.25">
      <c r="A48" s="76" t="s">
        <v>270</v>
      </c>
      <c r="B48" s="76" t="s">
        <v>274</v>
      </c>
      <c r="C48" s="77">
        <v>40725</v>
      </c>
      <c r="D48" s="78">
        <v>41090</v>
      </c>
      <c r="E48" s="79">
        <v>0.45</v>
      </c>
      <c r="F48" s="80">
        <v>2315164.42</v>
      </c>
      <c r="G48" s="81"/>
      <c r="H48" s="80">
        <v>844968.27</v>
      </c>
      <c r="I48" s="79">
        <f t="shared" si="2"/>
        <v>0.36497117124839024</v>
      </c>
    </row>
    <row r="49" spans="1:9" x14ac:dyDescent="0.25">
      <c r="A49" s="76" t="s">
        <v>267</v>
      </c>
      <c r="B49" s="76" t="s">
        <v>269</v>
      </c>
      <c r="C49" s="77">
        <v>40664</v>
      </c>
      <c r="D49" s="78">
        <v>41029</v>
      </c>
      <c r="E49" s="79">
        <v>0.18</v>
      </c>
      <c r="F49" s="80">
        <v>2438297.7999999998</v>
      </c>
      <c r="G49" s="81"/>
      <c r="H49" s="80">
        <v>826243.03</v>
      </c>
      <c r="I49" s="79">
        <f t="shared" si="2"/>
        <v>0.33886058954734738</v>
      </c>
    </row>
    <row r="50" spans="1:9" x14ac:dyDescent="0.25">
      <c r="A50" s="76" t="s">
        <v>572</v>
      </c>
      <c r="B50" s="76" t="s">
        <v>575</v>
      </c>
      <c r="C50" s="77">
        <v>40634</v>
      </c>
      <c r="D50" s="78">
        <v>40999</v>
      </c>
      <c r="E50" s="79">
        <v>0.8</v>
      </c>
      <c r="F50" s="80"/>
      <c r="G50" s="81">
        <v>896749</v>
      </c>
      <c r="H50" s="80">
        <v>825945</v>
      </c>
      <c r="I50" s="79">
        <f>H50/G50</f>
        <v>0.92104368111924295</v>
      </c>
    </row>
    <row r="51" spans="1:9" x14ac:dyDescent="0.25">
      <c r="A51" s="70" t="s">
        <v>171</v>
      </c>
      <c r="B51" s="70" t="s">
        <v>90</v>
      </c>
      <c r="C51" s="71">
        <v>40763</v>
      </c>
      <c r="D51" s="72">
        <v>41090</v>
      </c>
      <c r="E51" s="73">
        <v>1.7999999999999999E-2</v>
      </c>
      <c r="F51" s="74">
        <v>1111511.07</v>
      </c>
      <c r="G51" s="75"/>
      <c r="H51" s="74">
        <v>786517.58</v>
      </c>
      <c r="I51" s="79">
        <f>H51/F51</f>
        <v>0.70761110818266515</v>
      </c>
    </row>
    <row r="52" spans="1:9" x14ac:dyDescent="0.25">
      <c r="A52" s="76" t="s">
        <v>449</v>
      </c>
      <c r="B52" s="76" t="s">
        <v>470</v>
      </c>
      <c r="C52" s="77">
        <v>41061</v>
      </c>
      <c r="D52" s="78">
        <v>41394</v>
      </c>
      <c r="E52" s="79">
        <v>8.9999999999999993E-3</v>
      </c>
      <c r="F52" s="80">
        <v>1786286</v>
      </c>
      <c r="G52" s="88"/>
      <c r="H52" s="80">
        <v>762206</v>
      </c>
      <c r="I52" s="79">
        <f>H52/F52</f>
        <v>0.4266987481287991</v>
      </c>
    </row>
    <row r="53" spans="1:9" x14ac:dyDescent="0.25">
      <c r="A53" s="76" t="s">
        <v>317</v>
      </c>
      <c r="B53" s="76" t="s">
        <v>326</v>
      </c>
      <c r="C53" s="77">
        <v>40725</v>
      </c>
      <c r="D53" s="78">
        <v>41090</v>
      </c>
      <c r="E53" s="79">
        <v>0</v>
      </c>
      <c r="F53" s="80">
        <v>2001882.7</v>
      </c>
      <c r="G53" s="81"/>
      <c r="H53" s="80">
        <v>735694.53</v>
      </c>
      <c r="I53" s="79">
        <f>H53/F53</f>
        <v>0.36750131763464466</v>
      </c>
    </row>
    <row r="54" spans="1:9" x14ac:dyDescent="0.25">
      <c r="A54" s="70" t="s">
        <v>78</v>
      </c>
      <c r="B54" s="70" t="s">
        <v>79</v>
      </c>
      <c r="C54" s="71">
        <v>40878</v>
      </c>
      <c r="D54" s="72">
        <v>41243</v>
      </c>
      <c r="E54" s="73">
        <v>0.54</v>
      </c>
      <c r="F54" s="74">
        <v>1196386.3999999999</v>
      </c>
      <c r="G54" s="75"/>
      <c r="H54" s="74">
        <v>719846.72</v>
      </c>
      <c r="I54" s="73">
        <v>0.60168413816807009</v>
      </c>
    </row>
    <row r="55" spans="1:9" x14ac:dyDescent="0.25">
      <c r="A55" s="76" t="s">
        <v>249</v>
      </c>
      <c r="B55" s="76" t="s">
        <v>251</v>
      </c>
      <c r="C55" s="77">
        <v>41014</v>
      </c>
      <c r="D55" s="78">
        <v>41090</v>
      </c>
      <c r="E55" s="79">
        <v>0</v>
      </c>
      <c r="F55" s="80">
        <v>723288</v>
      </c>
      <c r="G55" s="81"/>
      <c r="H55" s="80">
        <v>677565.2</v>
      </c>
      <c r="I55" s="79">
        <f>H55/F55</f>
        <v>0.93678479388569968</v>
      </c>
    </row>
    <row r="56" spans="1:9" x14ac:dyDescent="0.25">
      <c r="A56" s="76" t="s">
        <v>317</v>
      </c>
      <c r="B56" s="76" t="s">
        <v>117</v>
      </c>
      <c r="C56" s="77">
        <v>40681</v>
      </c>
      <c r="D56" s="78">
        <v>41029</v>
      </c>
      <c r="E56" s="79">
        <v>0</v>
      </c>
      <c r="F56" s="80">
        <v>1343923.69</v>
      </c>
      <c r="G56" s="81"/>
      <c r="H56" s="80">
        <v>672771.78</v>
      </c>
      <c r="I56" s="79">
        <f>H56/F56</f>
        <v>0.50060266442657919</v>
      </c>
    </row>
    <row r="57" spans="1:9" x14ac:dyDescent="0.25">
      <c r="A57" s="76" t="s">
        <v>171</v>
      </c>
      <c r="B57" s="76" t="s">
        <v>211</v>
      </c>
      <c r="C57" s="77">
        <v>40913</v>
      </c>
      <c r="D57" s="78">
        <v>41274</v>
      </c>
      <c r="E57" s="79">
        <v>1.7999999999999999E-2</v>
      </c>
      <c r="F57" s="80">
        <v>1286834.79</v>
      </c>
      <c r="G57" s="81"/>
      <c r="H57" s="80">
        <v>666834.01</v>
      </c>
      <c r="I57" s="79">
        <f>H57/F57</f>
        <v>0.51819706397586596</v>
      </c>
    </row>
    <row r="58" spans="1:9" x14ac:dyDescent="0.25">
      <c r="A58" s="76" t="s">
        <v>317</v>
      </c>
      <c r="B58" s="76" t="s">
        <v>331</v>
      </c>
      <c r="C58" s="77">
        <v>41179</v>
      </c>
      <c r="D58" s="78">
        <v>41517</v>
      </c>
      <c r="E58" s="79">
        <v>1.7999999999999999E-2</v>
      </c>
      <c r="F58" s="80">
        <v>1361057</v>
      </c>
      <c r="G58" s="81"/>
      <c r="H58" s="80">
        <v>653164.43999999994</v>
      </c>
      <c r="I58" s="79">
        <f>H58/F58</f>
        <v>0.47989499337647135</v>
      </c>
    </row>
    <row r="59" spans="1:9" ht="28.5" x14ac:dyDescent="0.25">
      <c r="A59" s="76" t="s">
        <v>449</v>
      </c>
      <c r="B59" s="76" t="s">
        <v>327</v>
      </c>
      <c r="C59" s="77">
        <v>41166</v>
      </c>
      <c r="D59" s="78">
        <v>41455</v>
      </c>
      <c r="E59" s="79">
        <v>4.4999999999999998E-2</v>
      </c>
      <c r="F59" s="80">
        <v>2415160</v>
      </c>
      <c r="G59" s="81"/>
      <c r="H59" s="80">
        <v>630664</v>
      </c>
      <c r="I59" s="79">
        <f>H59/F59</f>
        <v>0.26112721310389375</v>
      </c>
    </row>
    <row r="60" spans="1:9" x14ac:dyDescent="0.25">
      <c r="A60" s="76" t="s">
        <v>1718</v>
      </c>
      <c r="B60" s="76" t="s">
        <v>1719</v>
      </c>
      <c r="C60" s="77">
        <v>41175</v>
      </c>
      <c r="D60" s="78">
        <v>41455</v>
      </c>
      <c r="E60" s="79">
        <v>0.40500000000000003</v>
      </c>
      <c r="F60" s="80"/>
      <c r="G60" s="81">
        <v>906710.79</v>
      </c>
      <c r="H60" s="80">
        <v>618281.12</v>
      </c>
      <c r="I60" s="73">
        <f>H60/G60</f>
        <v>0.68189452118464366</v>
      </c>
    </row>
    <row r="61" spans="1:9" x14ac:dyDescent="0.25">
      <c r="A61" s="70" t="s">
        <v>87</v>
      </c>
      <c r="B61" s="70" t="s">
        <v>90</v>
      </c>
      <c r="C61" s="71">
        <v>40788</v>
      </c>
      <c r="D61" s="72">
        <v>41153</v>
      </c>
      <c r="E61" s="73">
        <v>0.92500000000000004</v>
      </c>
      <c r="F61" s="74">
        <v>659969.68999999994</v>
      </c>
      <c r="G61" s="75"/>
      <c r="H61" s="74">
        <v>610471.96</v>
      </c>
      <c r="I61" s="73">
        <v>0.92499999507553143</v>
      </c>
    </row>
    <row r="62" spans="1:9" x14ac:dyDescent="0.25">
      <c r="A62" s="76" t="s">
        <v>613</v>
      </c>
      <c r="B62" s="76" t="s">
        <v>33</v>
      </c>
      <c r="C62" s="77">
        <v>40696</v>
      </c>
      <c r="D62" s="78">
        <v>41060</v>
      </c>
      <c r="E62" s="79">
        <v>8.9999999999999993E-3</v>
      </c>
      <c r="F62" s="80">
        <v>810773</v>
      </c>
      <c r="G62" s="81"/>
      <c r="H62" s="80">
        <v>610337</v>
      </c>
      <c r="I62" s="79">
        <f>H62/F62</f>
        <v>0.75278407149720084</v>
      </c>
    </row>
    <row r="63" spans="1:9" x14ac:dyDescent="0.25">
      <c r="A63" s="76" t="s">
        <v>315</v>
      </c>
      <c r="B63" s="76" t="s">
        <v>331</v>
      </c>
      <c r="C63" s="77">
        <v>40794</v>
      </c>
      <c r="D63" s="78">
        <v>41152</v>
      </c>
      <c r="E63" s="79">
        <v>1.7999999999999999E-2</v>
      </c>
      <c r="F63" s="80">
        <v>1342198</v>
      </c>
      <c r="G63" s="81"/>
      <c r="H63" s="80">
        <v>607268.4</v>
      </c>
      <c r="I63" s="79">
        <f>H63/F63</f>
        <v>0.45244323117751628</v>
      </c>
    </row>
    <row r="64" spans="1:9" x14ac:dyDescent="0.25">
      <c r="A64" s="70" t="s">
        <v>14</v>
      </c>
      <c r="B64" s="70" t="s">
        <v>15</v>
      </c>
      <c r="C64" s="71">
        <v>40969</v>
      </c>
      <c r="D64" s="72">
        <v>41236</v>
      </c>
      <c r="E64" s="73">
        <v>0.5</v>
      </c>
      <c r="F64" s="74">
        <v>1023042.06</v>
      </c>
      <c r="G64" s="75"/>
      <c r="H64" s="74">
        <v>605042.96</v>
      </c>
      <c r="I64" s="73">
        <v>0.59141552792071905</v>
      </c>
    </row>
    <row r="65" spans="1:9" x14ac:dyDescent="0.25">
      <c r="A65" s="76" t="s">
        <v>685</v>
      </c>
      <c r="B65" s="76" t="s">
        <v>687</v>
      </c>
      <c r="C65" s="77">
        <v>41091</v>
      </c>
      <c r="D65" s="78">
        <v>41455</v>
      </c>
      <c r="E65" s="79">
        <v>0.108</v>
      </c>
      <c r="F65" s="80">
        <v>1961611.85</v>
      </c>
      <c r="G65" s="81"/>
      <c r="H65" s="80">
        <v>600000</v>
      </c>
      <c r="I65" s="79">
        <f t="shared" ref="I65:I73" si="3">H65/F65</f>
        <v>0.30587090917094528</v>
      </c>
    </row>
    <row r="66" spans="1:9" x14ac:dyDescent="0.25">
      <c r="A66" s="76" t="s">
        <v>685</v>
      </c>
      <c r="B66" s="76" t="s">
        <v>687</v>
      </c>
      <c r="C66" s="77">
        <v>40725</v>
      </c>
      <c r="D66" s="78">
        <v>41090</v>
      </c>
      <c r="E66" s="79">
        <v>0.108</v>
      </c>
      <c r="F66" s="80">
        <v>2688607.48</v>
      </c>
      <c r="G66" s="81"/>
      <c r="H66" s="80">
        <v>600000</v>
      </c>
      <c r="I66" s="79">
        <f t="shared" si="3"/>
        <v>0.22316385134805919</v>
      </c>
    </row>
    <row r="67" spans="1:9" x14ac:dyDescent="0.25">
      <c r="A67" s="76" t="s">
        <v>449</v>
      </c>
      <c r="B67" s="76" t="s">
        <v>461</v>
      </c>
      <c r="C67" s="77">
        <v>40767</v>
      </c>
      <c r="D67" s="78">
        <v>41029</v>
      </c>
      <c r="E67" s="79">
        <v>0</v>
      </c>
      <c r="F67" s="80">
        <v>861440</v>
      </c>
      <c r="G67" s="81"/>
      <c r="H67" s="80">
        <v>595814</v>
      </c>
      <c r="I67" s="79">
        <f t="shared" si="3"/>
        <v>0.69164886701337291</v>
      </c>
    </row>
    <row r="68" spans="1:9" x14ac:dyDescent="0.25">
      <c r="A68" s="70" t="s">
        <v>171</v>
      </c>
      <c r="B68" s="70" t="s">
        <v>22</v>
      </c>
      <c r="C68" s="71">
        <v>40740</v>
      </c>
      <c r="D68" s="72">
        <v>41090</v>
      </c>
      <c r="E68" s="73">
        <v>1.7999999999999999E-2</v>
      </c>
      <c r="F68" s="74">
        <v>1200423</v>
      </c>
      <c r="G68" s="75"/>
      <c r="H68" s="74">
        <v>590656</v>
      </c>
      <c r="I68" s="79">
        <f t="shared" si="3"/>
        <v>0.49203988927236481</v>
      </c>
    </row>
    <row r="69" spans="1:9" x14ac:dyDescent="0.25">
      <c r="A69" s="76" t="s">
        <v>171</v>
      </c>
      <c r="B69" s="76" t="s">
        <v>209</v>
      </c>
      <c r="C69" s="77">
        <v>40898</v>
      </c>
      <c r="D69" s="78">
        <v>41090</v>
      </c>
      <c r="E69" s="79">
        <v>1.7999999999999999E-2</v>
      </c>
      <c r="F69" s="80">
        <v>782168.12</v>
      </c>
      <c r="G69" s="81"/>
      <c r="H69" s="80">
        <v>584597.74</v>
      </c>
      <c r="I69" s="79">
        <f t="shared" si="3"/>
        <v>0.74740675955956881</v>
      </c>
    </row>
    <row r="70" spans="1:9" x14ac:dyDescent="0.25">
      <c r="A70" s="76" t="s">
        <v>249</v>
      </c>
      <c r="B70" s="76" t="s">
        <v>252</v>
      </c>
      <c r="C70" s="77">
        <v>40658</v>
      </c>
      <c r="D70" s="78">
        <v>41023</v>
      </c>
      <c r="E70" s="79">
        <v>0</v>
      </c>
      <c r="F70" s="80">
        <v>843544.58</v>
      </c>
      <c r="G70" s="81"/>
      <c r="H70" s="80">
        <v>577371.98</v>
      </c>
      <c r="I70" s="79">
        <f t="shared" si="3"/>
        <v>0.68445935601886032</v>
      </c>
    </row>
    <row r="71" spans="1:9" x14ac:dyDescent="0.25">
      <c r="A71" s="76" t="s">
        <v>643</v>
      </c>
      <c r="B71" s="76" t="s">
        <v>645</v>
      </c>
      <c r="C71" s="77">
        <v>40591</v>
      </c>
      <c r="D71" s="78">
        <v>40955</v>
      </c>
      <c r="E71" s="79">
        <v>4.4999999999999997E-3</v>
      </c>
      <c r="F71" s="80">
        <v>2028540.68</v>
      </c>
      <c r="G71" s="81"/>
      <c r="H71" s="80">
        <v>567377.74</v>
      </c>
      <c r="I71" s="79">
        <f t="shared" si="3"/>
        <v>0.27969749169634595</v>
      </c>
    </row>
    <row r="72" spans="1:9" x14ac:dyDescent="0.25">
      <c r="A72" s="76" t="s">
        <v>449</v>
      </c>
      <c r="B72" s="76" t="s">
        <v>209</v>
      </c>
      <c r="C72" s="77">
        <v>40749</v>
      </c>
      <c r="D72" s="78">
        <v>41029</v>
      </c>
      <c r="E72" s="79">
        <v>8.9999999999999993E-3</v>
      </c>
      <c r="F72" s="80">
        <v>1131863</v>
      </c>
      <c r="G72" s="81"/>
      <c r="H72" s="80">
        <v>563294</v>
      </c>
      <c r="I72" s="79">
        <f t="shared" si="3"/>
        <v>0.49766977098818499</v>
      </c>
    </row>
    <row r="73" spans="1:9" x14ac:dyDescent="0.25">
      <c r="A73" s="76" t="s">
        <v>643</v>
      </c>
      <c r="B73" s="76" t="s">
        <v>174</v>
      </c>
      <c r="C73" s="77">
        <v>40948</v>
      </c>
      <c r="D73" s="78">
        <v>41274</v>
      </c>
      <c r="E73" s="79">
        <v>8.9999999999999998E-4</v>
      </c>
      <c r="F73" s="80">
        <v>2330900.04</v>
      </c>
      <c r="G73" s="81"/>
      <c r="H73" s="80">
        <v>535425.38</v>
      </c>
      <c r="I73" s="79">
        <f t="shared" si="3"/>
        <v>0.22970756824046387</v>
      </c>
    </row>
    <row r="74" spans="1:9" x14ac:dyDescent="0.25">
      <c r="A74" s="70" t="s">
        <v>101</v>
      </c>
      <c r="B74" s="70" t="s">
        <v>31</v>
      </c>
      <c r="C74" s="71">
        <v>40940</v>
      </c>
      <c r="D74" s="72">
        <v>41305</v>
      </c>
      <c r="E74" s="73">
        <v>8.9999999999999993E-3</v>
      </c>
      <c r="F74" s="74">
        <v>812736.46</v>
      </c>
      <c r="G74" s="75"/>
      <c r="H74" s="74">
        <v>479180.36</v>
      </c>
      <c r="I74" s="73">
        <v>0.58958885639263681</v>
      </c>
    </row>
    <row r="75" spans="1:9" x14ac:dyDescent="0.25">
      <c r="A75" s="76" t="s">
        <v>317</v>
      </c>
      <c r="B75" s="76" t="s">
        <v>181</v>
      </c>
      <c r="C75" s="77">
        <v>40788</v>
      </c>
      <c r="D75" s="78">
        <v>41090</v>
      </c>
      <c r="E75" s="79">
        <v>1.7999999999999999E-2</v>
      </c>
      <c r="F75" s="80">
        <v>1428344.94</v>
      </c>
      <c r="G75" s="81"/>
      <c r="H75" s="80">
        <v>473850.97</v>
      </c>
      <c r="I75" s="79">
        <f>H75/F75</f>
        <v>0.33174827503502058</v>
      </c>
    </row>
    <row r="76" spans="1:9" x14ac:dyDescent="0.25">
      <c r="A76" s="70" t="s">
        <v>171</v>
      </c>
      <c r="B76" s="70" t="s">
        <v>194</v>
      </c>
      <c r="C76" s="71">
        <v>40597</v>
      </c>
      <c r="D76" s="72">
        <v>40939</v>
      </c>
      <c r="E76" s="73">
        <v>1.7999999999999999E-2</v>
      </c>
      <c r="F76" s="74">
        <v>651767</v>
      </c>
      <c r="G76" s="88"/>
      <c r="H76" s="74">
        <v>468507.81</v>
      </c>
      <c r="I76" s="73">
        <v>0.7188271422149326</v>
      </c>
    </row>
    <row r="77" spans="1:9" x14ac:dyDescent="0.25">
      <c r="A77" s="76" t="s">
        <v>674</v>
      </c>
      <c r="B77" s="76" t="s">
        <v>183</v>
      </c>
      <c r="C77" s="77">
        <v>41051</v>
      </c>
      <c r="D77" s="78">
        <v>41274</v>
      </c>
      <c r="E77" s="79">
        <v>0.16200000000000001</v>
      </c>
      <c r="F77" s="80">
        <v>677175.04</v>
      </c>
      <c r="G77" s="81"/>
      <c r="H77" s="80">
        <v>457325.12</v>
      </c>
      <c r="I77" s="79">
        <f>H77/F77</f>
        <v>0.67534255249573283</v>
      </c>
    </row>
    <row r="78" spans="1:9" x14ac:dyDescent="0.25">
      <c r="A78" s="76" t="s">
        <v>674</v>
      </c>
      <c r="B78" s="76" t="s">
        <v>31</v>
      </c>
      <c r="C78" s="77">
        <v>40940</v>
      </c>
      <c r="D78" s="78">
        <v>41274</v>
      </c>
      <c r="E78" s="79">
        <v>0.39600000000000002</v>
      </c>
      <c r="F78" s="80">
        <v>617996.31000000006</v>
      </c>
      <c r="G78" s="81"/>
      <c r="H78" s="80">
        <v>447179.96</v>
      </c>
      <c r="I78" s="79">
        <f>H78/F78</f>
        <v>0.72359648878809646</v>
      </c>
    </row>
    <row r="79" spans="1:9" x14ac:dyDescent="0.25">
      <c r="A79" s="76" t="s">
        <v>317</v>
      </c>
      <c r="B79" s="76" t="s">
        <v>332</v>
      </c>
      <c r="C79" s="77">
        <v>41153</v>
      </c>
      <c r="D79" s="78">
        <v>41517</v>
      </c>
      <c r="E79" s="79">
        <v>8.9999999999999998E-4</v>
      </c>
      <c r="F79" s="80">
        <v>1911706.91</v>
      </c>
      <c r="G79" s="81"/>
      <c r="H79" s="80">
        <v>446899.74</v>
      </c>
      <c r="I79" s="79">
        <f>H79/F79</f>
        <v>0.23377000818603519</v>
      </c>
    </row>
    <row r="80" spans="1:9" x14ac:dyDescent="0.25">
      <c r="A80" s="76" t="s">
        <v>1724</v>
      </c>
      <c r="B80" s="76" t="s">
        <v>1725</v>
      </c>
      <c r="C80" s="77">
        <v>41000</v>
      </c>
      <c r="D80" s="78">
        <v>41364</v>
      </c>
      <c r="E80" s="79">
        <v>8.9999999999999993E-3</v>
      </c>
      <c r="F80" s="80">
        <v>3459680</v>
      </c>
      <c r="G80" s="81"/>
      <c r="H80" s="80">
        <v>445667</v>
      </c>
      <c r="I80" s="73">
        <f>H80/F80</f>
        <v>0.12881740507792627</v>
      </c>
    </row>
    <row r="81" spans="1:9" x14ac:dyDescent="0.25">
      <c r="A81" s="76" t="s">
        <v>643</v>
      </c>
      <c r="B81" s="76" t="s">
        <v>645</v>
      </c>
      <c r="C81" s="77">
        <v>40956</v>
      </c>
      <c r="D81" s="78">
        <v>41274</v>
      </c>
      <c r="E81" s="79">
        <v>4.4999999999999997E-3</v>
      </c>
      <c r="F81" s="80">
        <v>2024532.84</v>
      </c>
      <c r="G81" s="81"/>
      <c r="H81" s="80">
        <v>437195.04</v>
      </c>
      <c r="I81" s="79">
        <f>H81/F81</f>
        <v>0.21594860372825564</v>
      </c>
    </row>
    <row r="82" spans="1:9" ht="28.5" x14ac:dyDescent="0.25">
      <c r="A82" s="70" t="s">
        <v>119</v>
      </c>
      <c r="B82" s="70" t="s">
        <v>96</v>
      </c>
      <c r="C82" s="71">
        <v>40848</v>
      </c>
      <c r="D82" s="72">
        <v>41213</v>
      </c>
      <c r="E82" s="73">
        <v>0.09</v>
      </c>
      <c r="F82" s="74">
        <v>2912561</v>
      </c>
      <c r="G82" s="75"/>
      <c r="H82" s="74">
        <v>436884.15</v>
      </c>
      <c r="I82" s="73">
        <v>0.15</v>
      </c>
    </row>
    <row r="83" spans="1:9" x14ac:dyDescent="0.25">
      <c r="A83" s="76" t="s">
        <v>502</v>
      </c>
      <c r="B83" s="76" t="s">
        <v>90</v>
      </c>
      <c r="C83" s="77">
        <v>41154</v>
      </c>
      <c r="D83" s="78">
        <v>41518</v>
      </c>
      <c r="E83" s="79">
        <v>0.92500000000000004</v>
      </c>
      <c r="F83" s="80">
        <v>454332.98</v>
      </c>
      <c r="G83" s="81"/>
      <c r="H83" s="80">
        <v>420258.01</v>
      </c>
      <c r="I83" s="79">
        <f>H83/F83</f>
        <v>0.92500000770360102</v>
      </c>
    </row>
    <row r="84" spans="1:9" x14ac:dyDescent="0.25">
      <c r="A84" s="76" t="s">
        <v>317</v>
      </c>
      <c r="B84" s="76" t="s">
        <v>330</v>
      </c>
      <c r="C84" s="77">
        <v>41153</v>
      </c>
      <c r="D84" s="78">
        <v>41517</v>
      </c>
      <c r="E84" s="79">
        <v>1.7999999999999999E-2</v>
      </c>
      <c r="F84" s="80">
        <v>2499522.81</v>
      </c>
      <c r="G84" s="81"/>
      <c r="H84" s="80">
        <v>414753.74</v>
      </c>
      <c r="I84" s="79">
        <f>H84/F84</f>
        <v>0.16593316865950106</v>
      </c>
    </row>
    <row r="85" spans="1:9" x14ac:dyDescent="0.25">
      <c r="A85" s="70" t="s">
        <v>119</v>
      </c>
      <c r="B85" s="70" t="s">
        <v>39</v>
      </c>
      <c r="C85" s="71">
        <v>40787</v>
      </c>
      <c r="D85" s="72">
        <v>41152</v>
      </c>
      <c r="E85" s="73">
        <v>0.09</v>
      </c>
      <c r="F85" s="74">
        <v>2673607.9</v>
      </c>
      <c r="G85" s="75"/>
      <c r="H85" s="74">
        <v>401041.18</v>
      </c>
      <c r="I85" s="73">
        <v>0.14999999812986789</v>
      </c>
    </row>
    <row r="86" spans="1:9" x14ac:dyDescent="0.25">
      <c r="A86" s="76" t="s">
        <v>390</v>
      </c>
      <c r="B86" s="76" t="s">
        <v>51</v>
      </c>
      <c r="C86" s="77">
        <v>40901</v>
      </c>
      <c r="D86" s="78">
        <v>41266</v>
      </c>
      <c r="E86" s="79">
        <v>0.12</v>
      </c>
      <c r="F86" s="80">
        <v>3325956.05</v>
      </c>
      <c r="G86" s="81"/>
      <c r="H86" s="80">
        <v>399703.73</v>
      </c>
      <c r="I86" s="79">
        <f>H86/F86</f>
        <v>0.12017709313988079</v>
      </c>
    </row>
    <row r="87" spans="1:9" x14ac:dyDescent="0.25">
      <c r="A87" s="76" t="s">
        <v>594</v>
      </c>
      <c r="B87" s="76" t="s">
        <v>600</v>
      </c>
      <c r="C87" s="77">
        <v>40843</v>
      </c>
      <c r="D87" s="78">
        <v>41090</v>
      </c>
      <c r="E87" s="79">
        <v>0.36</v>
      </c>
      <c r="F87" s="80">
        <v>939441.17</v>
      </c>
      <c r="G87" s="81"/>
      <c r="H87" s="80">
        <v>397618.55</v>
      </c>
      <c r="I87" s="79">
        <f>H87/F87</f>
        <v>0.42325007961914207</v>
      </c>
    </row>
    <row r="88" spans="1:9" x14ac:dyDescent="0.25">
      <c r="A88" s="76" t="s">
        <v>594</v>
      </c>
      <c r="B88" s="76" t="s">
        <v>599</v>
      </c>
      <c r="C88" s="77">
        <v>40823</v>
      </c>
      <c r="D88" s="78">
        <v>41188</v>
      </c>
      <c r="E88" s="79">
        <v>0.63</v>
      </c>
      <c r="F88" s="80">
        <v>752957.65</v>
      </c>
      <c r="G88" s="81"/>
      <c r="H88" s="80">
        <v>395406.75</v>
      </c>
      <c r="I88" s="79">
        <f>H88/F88</f>
        <v>0.52513810039648312</v>
      </c>
    </row>
    <row r="89" spans="1:9" x14ac:dyDescent="0.25">
      <c r="A89" s="76" t="s">
        <v>674</v>
      </c>
      <c r="B89" s="76" t="s">
        <v>23</v>
      </c>
      <c r="C89" s="77">
        <v>40920</v>
      </c>
      <c r="D89" s="78">
        <v>41274</v>
      </c>
      <c r="E89" s="79">
        <v>0.22500000000000001</v>
      </c>
      <c r="F89" s="80">
        <v>595479</v>
      </c>
      <c r="G89" s="81"/>
      <c r="H89" s="80">
        <v>377649.4</v>
      </c>
      <c r="I89" s="79">
        <f>H89/F89</f>
        <v>0.63419432087445571</v>
      </c>
    </row>
    <row r="90" spans="1:9" x14ac:dyDescent="0.25">
      <c r="A90" s="76" t="s">
        <v>317</v>
      </c>
      <c r="B90" s="76" t="s">
        <v>351</v>
      </c>
      <c r="C90" s="77">
        <v>40940</v>
      </c>
      <c r="D90" s="78">
        <v>41305</v>
      </c>
      <c r="E90" s="79">
        <v>8.9999999999999998E-4</v>
      </c>
      <c r="F90" s="80">
        <v>715170.47</v>
      </c>
      <c r="G90" s="81"/>
      <c r="H90" s="80">
        <v>376930.92</v>
      </c>
      <c r="I90" s="79">
        <f>H90/F90</f>
        <v>0.52705045274030959</v>
      </c>
    </row>
    <row r="91" spans="1:9" x14ac:dyDescent="0.25">
      <c r="A91" s="76" t="s">
        <v>317</v>
      </c>
      <c r="B91" s="76" t="s">
        <v>18</v>
      </c>
      <c r="C91" s="77">
        <v>40725</v>
      </c>
      <c r="D91" s="78">
        <v>41090</v>
      </c>
      <c r="E91" s="79">
        <v>0.4</v>
      </c>
      <c r="F91" s="80"/>
      <c r="G91" s="81">
        <v>655983.94999999995</v>
      </c>
      <c r="H91" s="80">
        <v>375121.34</v>
      </c>
      <c r="I91" s="79">
        <f>H91/G91</f>
        <v>0.57184530200777028</v>
      </c>
    </row>
    <row r="92" spans="1:9" ht="28.5" x14ac:dyDescent="0.25">
      <c r="A92" s="70" t="s">
        <v>17</v>
      </c>
      <c r="B92" s="70" t="s">
        <v>18</v>
      </c>
      <c r="C92" s="71">
        <v>40634</v>
      </c>
      <c r="D92" s="72">
        <v>40999</v>
      </c>
      <c r="E92" s="73">
        <v>0.45</v>
      </c>
      <c r="F92" s="74">
        <v>746293.85</v>
      </c>
      <c r="G92" s="75"/>
      <c r="H92" s="74">
        <v>370883.31</v>
      </c>
      <c r="I92" s="73">
        <v>0.49696685829583082</v>
      </c>
    </row>
    <row r="93" spans="1:9" x14ac:dyDescent="0.25">
      <c r="A93" s="70" t="s">
        <v>38</v>
      </c>
      <c r="B93" s="70" t="s">
        <v>45</v>
      </c>
      <c r="C93" s="71">
        <v>40787</v>
      </c>
      <c r="D93" s="72">
        <v>41152</v>
      </c>
      <c r="E93" s="73">
        <v>0.45</v>
      </c>
      <c r="F93" s="74"/>
      <c r="G93" s="75">
        <v>812907.87</v>
      </c>
      <c r="H93" s="74">
        <v>365808.52</v>
      </c>
      <c r="I93" s="73">
        <v>0.44999997355173843</v>
      </c>
    </row>
    <row r="94" spans="1:9" x14ac:dyDescent="0.25">
      <c r="A94" s="70" t="s">
        <v>146</v>
      </c>
      <c r="B94" s="70" t="s">
        <v>152</v>
      </c>
      <c r="C94" s="71">
        <v>40695</v>
      </c>
      <c r="D94" s="72">
        <v>41060</v>
      </c>
      <c r="E94" s="101">
        <v>4.4999999999999999E-4</v>
      </c>
      <c r="F94" s="74">
        <v>482053.5</v>
      </c>
      <c r="G94" s="75"/>
      <c r="H94" s="74">
        <v>355710.51</v>
      </c>
      <c r="I94" s="73">
        <v>0.73790670537606307</v>
      </c>
    </row>
    <row r="95" spans="1:9" x14ac:dyDescent="0.25">
      <c r="A95" s="76" t="s">
        <v>531</v>
      </c>
      <c r="B95" s="76" t="s">
        <v>183</v>
      </c>
      <c r="C95" s="77">
        <v>40909</v>
      </c>
      <c r="D95" s="78">
        <v>41274</v>
      </c>
      <c r="E95" s="79">
        <v>8.9999999999999993E-3</v>
      </c>
      <c r="F95" s="80">
        <v>1346509.75</v>
      </c>
      <c r="G95" s="81"/>
      <c r="H95" s="80">
        <v>355402.75</v>
      </c>
      <c r="I95" s="79">
        <f>H95/F95</f>
        <v>0.26394368848795935</v>
      </c>
    </row>
    <row r="96" spans="1:9" x14ac:dyDescent="0.25">
      <c r="A96" s="70" t="s">
        <v>140</v>
      </c>
      <c r="B96" s="70" t="s">
        <v>141</v>
      </c>
      <c r="C96" s="71">
        <v>40742</v>
      </c>
      <c r="D96" s="72">
        <v>41060</v>
      </c>
      <c r="E96" s="73">
        <v>0.125</v>
      </c>
      <c r="F96" s="74">
        <v>2721833.07</v>
      </c>
      <c r="G96" s="75"/>
      <c r="H96" s="74">
        <v>353656.78</v>
      </c>
      <c r="I96" s="73">
        <v>0.12993330998068889</v>
      </c>
    </row>
    <row r="97" spans="1:9" ht="28.5" x14ac:dyDescent="0.25">
      <c r="A97" s="76" t="s">
        <v>478</v>
      </c>
      <c r="B97" s="76" t="s">
        <v>65</v>
      </c>
      <c r="C97" s="77">
        <v>40787</v>
      </c>
      <c r="D97" s="78">
        <v>41152</v>
      </c>
      <c r="E97" s="79">
        <v>0.13500000000000001</v>
      </c>
      <c r="F97" s="80">
        <v>2329672.44</v>
      </c>
      <c r="G97" s="81"/>
      <c r="H97" s="80">
        <v>349450.87</v>
      </c>
      <c r="I97" s="79">
        <f>H97/F97</f>
        <v>0.15000000171697958</v>
      </c>
    </row>
    <row r="98" spans="1:9" x14ac:dyDescent="0.25">
      <c r="A98" s="76" t="s">
        <v>674</v>
      </c>
      <c r="B98" s="76" t="s">
        <v>675</v>
      </c>
      <c r="C98" s="77">
        <v>40911</v>
      </c>
      <c r="D98" s="78">
        <v>41274</v>
      </c>
      <c r="E98" s="79">
        <v>0.47160000000000002</v>
      </c>
      <c r="F98" s="80">
        <v>730406.35</v>
      </c>
      <c r="G98" s="81"/>
      <c r="H98" s="80">
        <v>349050.39</v>
      </c>
      <c r="I98" s="79">
        <f>H98/F98</f>
        <v>0.47788520732329343</v>
      </c>
    </row>
    <row r="99" spans="1:9" x14ac:dyDescent="0.25">
      <c r="A99" s="76" t="s">
        <v>594</v>
      </c>
      <c r="B99" s="76" t="s">
        <v>610</v>
      </c>
      <c r="C99" s="77">
        <v>41207</v>
      </c>
      <c r="D99" s="78">
        <v>41455</v>
      </c>
      <c r="E99" s="79">
        <v>0.18</v>
      </c>
      <c r="F99" s="80">
        <v>583761.03</v>
      </c>
      <c r="G99" s="81"/>
      <c r="H99" s="80">
        <v>341725.42</v>
      </c>
      <c r="I99" s="79">
        <f>H99/F99</f>
        <v>0.58538580418771691</v>
      </c>
    </row>
    <row r="100" spans="1:9" x14ac:dyDescent="0.25">
      <c r="A100" s="76" t="s">
        <v>594</v>
      </c>
      <c r="B100" s="76" t="s">
        <v>605</v>
      </c>
      <c r="C100" s="77">
        <v>40987</v>
      </c>
      <c r="D100" s="78">
        <v>41274</v>
      </c>
      <c r="E100" s="79">
        <v>0.8</v>
      </c>
      <c r="F100" s="80">
        <v>441591.95</v>
      </c>
      <c r="G100" s="81"/>
      <c r="H100" s="80">
        <v>339829.07</v>
      </c>
      <c r="I100" s="79">
        <f>H100/F100</f>
        <v>0.76955449482265248</v>
      </c>
    </row>
    <row r="101" spans="1:9" ht="28.5" x14ac:dyDescent="0.25">
      <c r="A101" s="76" t="s">
        <v>315</v>
      </c>
      <c r="B101" s="76" t="s">
        <v>327</v>
      </c>
      <c r="C101" s="77">
        <v>40725</v>
      </c>
      <c r="D101" s="78">
        <v>41090</v>
      </c>
      <c r="E101" s="79">
        <v>0</v>
      </c>
      <c r="F101" s="80">
        <v>2334193.5699999998</v>
      </c>
      <c r="G101" s="81"/>
      <c r="H101" s="80">
        <v>336007.8</v>
      </c>
      <c r="I101" s="79">
        <f>H101/F101</f>
        <v>0.1439502722989679</v>
      </c>
    </row>
    <row r="102" spans="1:9" x14ac:dyDescent="0.25">
      <c r="A102" s="76" t="s">
        <v>315</v>
      </c>
      <c r="B102" s="76" t="s">
        <v>59</v>
      </c>
      <c r="C102" s="77">
        <v>40817</v>
      </c>
      <c r="D102" s="78">
        <v>41182</v>
      </c>
      <c r="E102" s="79">
        <v>0.29699999999999999</v>
      </c>
      <c r="F102" s="80"/>
      <c r="G102" s="81">
        <v>672654.26</v>
      </c>
      <c r="H102" s="80">
        <v>328306.40999999997</v>
      </c>
      <c r="I102" s="79">
        <f>H102/G102</f>
        <v>0.48807601396889982</v>
      </c>
    </row>
    <row r="103" spans="1:9" x14ac:dyDescent="0.25">
      <c r="A103" s="70" t="s">
        <v>137</v>
      </c>
      <c r="B103" s="70" t="s">
        <v>138</v>
      </c>
      <c r="C103" s="71">
        <v>40969</v>
      </c>
      <c r="D103" s="72">
        <v>41288</v>
      </c>
      <c r="E103" s="73">
        <v>0.45</v>
      </c>
      <c r="F103" s="74">
        <v>458322.01</v>
      </c>
      <c r="G103" s="75"/>
      <c r="H103" s="74">
        <v>313188.31</v>
      </c>
      <c r="I103" s="73">
        <v>0.68333683123793243</v>
      </c>
    </row>
    <row r="104" spans="1:9" x14ac:dyDescent="0.25">
      <c r="A104" s="76" t="s">
        <v>270</v>
      </c>
      <c r="B104" s="76" t="s">
        <v>142</v>
      </c>
      <c r="C104" s="77">
        <v>40786</v>
      </c>
      <c r="D104" s="78">
        <v>41151</v>
      </c>
      <c r="E104" s="79">
        <v>0.37</v>
      </c>
      <c r="F104" s="80"/>
      <c r="G104" s="81">
        <v>789724.28</v>
      </c>
      <c r="H104" s="80">
        <v>311689.83</v>
      </c>
      <c r="I104" s="79">
        <f>H104/G104</f>
        <v>0.39468183756487774</v>
      </c>
    </row>
    <row r="105" spans="1:9" x14ac:dyDescent="0.25">
      <c r="A105" s="76" t="s">
        <v>613</v>
      </c>
      <c r="B105" s="76" t="s">
        <v>183</v>
      </c>
      <c r="C105" s="77">
        <v>41150</v>
      </c>
      <c r="D105" s="78">
        <v>41469</v>
      </c>
      <c r="E105" s="79">
        <v>1.7999999999999999E-2</v>
      </c>
      <c r="F105" s="80">
        <v>472592.07</v>
      </c>
      <c r="G105" s="81"/>
      <c r="H105" s="80">
        <v>308780.06</v>
      </c>
      <c r="I105" s="79">
        <f>H105/F105</f>
        <v>0.6533754576118892</v>
      </c>
    </row>
    <row r="106" spans="1:9" x14ac:dyDescent="0.25">
      <c r="A106" s="70" t="s">
        <v>137</v>
      </c>
      <c r="B106" s="70" t="s">
        <v>138</v>
      </c>
      <c r="C106" s="71">
        <v>40603</v>
      </c>
      <c r="D106" s="72">
        <v>40968</v>
      </c>
      <c r="E106" s="73">
        <v>0.45</v>
      </c>
      <c r="F106" s="74">
        <v>450890.83</v>
      </c>
      <c r="G106" s="75"/>
      <c r="H106" s="89">
        <v>308476.90000000002</v>
      </c>
      <c r="I106" s="73">
        <v>0.68414986394822008</v>
      </c>
    </row>
    <row r="107" spans="1:9" x14ac:dyDescent="0.25">
      <c r="A107" s="76" t="s">
        <v>390</v>
      </c>
      <c r="B107" s="76" t="s">
        <v>98</v>
      </c>
      <c r="C107" s="77">
        <v>41045</v>
      </c>
      <c r="D107" s="78">
        <v>41409</v>
      </c>
      <c r="E107" s="79">
        <v>0.1</v>
      </c>
      <c r="F107" s="80">
        <v>3082831.85</v>
      </c>
      <c r="G107" s="81"/>
      <c r="H107" s="80">
        <v>306265.67</v>
      </c>
      <c r="I107" s="79">
        <f t="shared" ref="I107:I113" si="4">H107/F107</f>
        <v>9.9345564371277659E-2</v>
      </c>
    </row>
    <row r="108" spans="1:9" x14ac:dyDescent="0.25">
      <c r="A108" s="76" t="s">
        <v>449</v>
      </c>
      <c r="B108" s="76" t="s">
        <v>476</v>
      </c>
      <c r="C108" s="77">
        <v>41221</v>
      </c>
      <c r="D108" s="78">
        <v>41547</v>
      </c>
      <c r="E108" s="79">
        <v>0</v>
      </c>
      <c r="F108" s="80">
        <v>753838</v>
      </c>
      <c r="G108" s="88"/>
      <c r="H108" s="80">
        <v>294051</v>
      </c>
      <c r="I108" s="79">
        <f t="shared" si="4"/>
        <v>0.39007187220596468</v>
      </c>
    </row>
    <row r="109" spans="1:9" x14ac:dyDescent="0.25">
      <c r="A109" s="76" t="s">
        <v>390</v>
      </c>
      <c r="B109" s="76" t="s">
        <v>98</v>
      </c>
      <c r="C109" s="77">
        <v>40679</v>
      </c>
      <c r="D109" s="78">
        <v>41044</v>
      </c>
      <c r="E109" s="79">
        <v>0.1</v>
      </c>
      <c r="F109" s="80">
        <v>2910753.69</v>
      </c>
      <c r="G109" s="81"/>
      <c r="H109" s="80">
        <v>289951.78999999998</v>
      </c>
      <c r="I109" s="79">
        <f t="shared" si="4"/>
        <v>9.961399035450505E-2</v>
      </c>
    </row>
    <row r="110" spans="1:9" x14ac:dyDescent="0.25">
      <c r="A110" s="76" t="s">
        <v>449</v>
      </c>
      <c r="B110" s="76" t="s">
        <v>464</v>
      </c>
      <c r="C110" s="77">
        <v>40848</v>
      </c>
      <c r="D110" s="78">
        <v>41213</v>
      </c>
      <c r="E110" s="79">
        <v>0</v>
      </c>
      <c r="F110" s="80">
        <v>1807681</v>
      </c>
      <c r="G110" s="81"/>
      <c r="H110" s="80">
        <v>288681</v>
      </c>
      <c r="I110" s="79">
        <f t="shared" si="4"/>
        <v>0.15969687129532256</v>
      </c>
    </row>
    <row r="111" spans="1:9" x14ac:dyDescent="0.25">
      <c r="A111" s="76" t="s">
        <v>317</v>
      </c>
      <c r="B111" s="76" t="s">
        <v>347</v>
      </c>
      <c r="C111" s="77">
        <v>40909</v>
      </c>
      <c r="D111" s="78">
        <v>41274</v>
      </c>
      <c r="E111" s="79">
        <v>8.9999999999999998E-4</v>
      </c>
      <c r="F111" s="80">
        <v>4124598</v>
      </c>
      <c r="G111" s="81"/>
      <c r="H111" s="80">
        <v>283705.7</v>
      </c>
      <c r="I111" s="79">
        <f t="shared" si="4"/>
        <v>6.8783842692063571E-2</v>
      </c>
    </row>
    <row r="112" spans="1:9" x14ac:dyDescent="0.25">
      <c r="A112" s="76" t="s">
        <v>594</v>
      </c>
      <c r="B112" s="76" t="s">
        <v>602</v>
      </c>
      <c r="C112" s="77">
        <v>40897</v>
      </c>
      <c r="D112" s="78">
        <v>41262</v>
      </c>
      <c r="E112" s="79">
        <v>0.9</v>
      </c>
      <c r="F112" s="80">
        <v>279540.99</v>
      </c>
      <c r="G112" s="81"/>
      <c r="H112" s="80">
        <v>279540.99</v>
      </c>
      <c r="I112" s="79">
        <f t="shared" si="4"/>
        <v>1</v>
      </c>
    </row>
    <row r="113" spans="1:9" x14ac:dyDescent="0.25">
      <c r="A113" s="76" t="s">
        <v>643</v>
      </c>
      <c r="B113" s="76" t="s">
        <v>458</v>
      </c>
      <c r="C113" s="77">
        <v>41090</v>
      </c>
      <c r="D113" s="78">
        <v>41274</v>
      </c>
      <c r="E113" s="79">
        <v>4.4999999999999997E-3</v>
      </c>
      <c r="F113" s="80">
        <v>1068511.01</v>
      </c>
      <c r="G113" s="81"/>
      <c r="H113" s="80">
        <v>277351</v>
      </c>
      <c r="I113" s="79">
        <f t="shared" si="4"/>
        <v>0.25956775120174008</v>
      </c>
    </row>
    <row r="114" spans="1:9" x14ac:dyDescent="0.25">
      <c r="A114" s="76" t="s">
        <v>317</v>
      </c>
      <c r="B114" s="76" t="s">
        <v>366</v>
      </c>
      <c r="C114" s="77">
        <v>41183</v>
      </c>
      <c r="D114" s="78">
        <v>41547</v>
      </c>
      <c r="E114" s="79">
        <v>0.27</v>
      </c>
      <c r="F114" s="80"/>
      <c r="G114" s="81">
        <v>433417.73</v>
      </c>
      <c r="H114" s="80">
        <v>274753.02</v>
      </c>
      <c r="I114" s="79">
        <f>H114/G114</f>
        <v>0.63392196715164384</v>
      </c>
    </row>
    <row r="115" spans="1:9" x14ac:dyDescent="0.25">
      <c r="A115" s="76" t="s">
        <v>317</v>
      </c>
      <c r="B115" s="76" t="s">
        <v>348</v>
      </c>
      <c r="C115" s="77">
        <v>40909</v>
      </c>
      <c r="D115" s="78">
        <v>41274</v>
      </c>
      <c r="E115" s="79">
        <v>0</v>
      </c>
      <c r="F115" s="80">
        <v>1011212</v>
      </c>
      <c r="G115" s="81"/>
      <c r="H115" s="80">
        <v>273417.89</v>
      </c>
      <c r="I115" s="79">
        <f t="shared" ref="I115:I120" si="5">H115/F115</f>
        <v>0.27038631859590273</v>
      </c>
    </row>
    <row r="116" spans="1:9" x14ac:dyDescent="0.25">
      <c r="A116" s="76" t="s">
        <v>249</v>
      </c>
      <c r="B116" s="76" t="s">
        <v>250</v>
      </c>
      <c r="C116" s="77">
        <v>40635</v>
      </c>
      <c r="D116" s="78">
        <v>41000</v>
      </c>
      <c r="E116" s="79">
        <v>8.9999999999999993E-3</v>
      </c>
      <c r="F116" s="80">
        <v>381934.66</v>
      </c>
      <c r="G116" s="81"/>
      <c r="H116" s="80">
        <v>272395.65999999997</v>
      </c>
      <c r="I116" s="79">
        <f t="shared" si="5"/>
        <v>0.71319963472286074</v>
      </c>
    </row>
    <row r="117" spans="1:9" x14ac:dyDescent="0.25">
      <c r="A117" s="70" t="s">
        <v>171</v>
      </c>
      <c r="B117" s="70" t="s">
        <v>182</v>
      </c>
      <c r="C117" s="71">
        <v>40725</v>
      </c>
      <c r="D117" s="72">
        <v>41090</v>
      </c>
      <c r="E117" s="73">
        <v>1.7999999999999999E-2</v>
      </c>
      <c r="F117" s="74">
        <v>585288</v>
      </c>
      <c r="G117" s="75"/>
      <c r="H117" s="74">
        <v>270184</v>
      </c>
      <c r="I117" s="79">
        <f t="shared" si="5"/>
        <v>0.46162572955536418</v>
      </c>
    </row>
    <row r="118" spans="1:9" x14ac:dyDescent="0.25">
      <c r="A118" s="76" t="s">
        <v>578</v>
      </c>
      <c r="B118" s="76" t="s">
        <v>1969</v>
      </c>
      <c r="C118" s="77">
        <v>40744</v>
      </c>
      <c r="D118" s="77">
        <v>40999</v>
      </c>
      <c r="E118" s="79">
        <v>0</v>
      </c>
      <c r="F118" s="80">
        <v>335454.25</v>
      </c>
      <c r="G118" s="88"/>
      <c r="H118" s="80">
        <v>270091.59999999998</v>
      </c>
      <c r="I118" s="79">
        <f t="shared" si="5"/>
        <v>0.80515182025566823</v>
      </c>
    </row>
    <row r="119" spans="1:9" x14ac:dyDescent="0.25">
      <c r="A119" s="76" t="s">
        <v>281</v>
      </c>
      <c r="B119" s="76" t="s">
        <v>283</v>
      </c>
      <c r="C119" s="77">
        <v>40575</v>
      </c>
      <c r="D119" s="78">
        <v>40999</v>
      </c>
      <c r="E119" s="79">
        <v>0</v>
      </c>
      <c r="F119" s="80">
        <v>326963</v>
      </c>
      <c r="G119" s="81"/>
      <c r="H119" s="80">
        <v>268731.40999999997</v>
      </c>
      <c r="I119" s="79">
        <f t="shared" si="5"/>
        <v>0.82190159131155505</v>
      </c>
    </row>
    <row r="120" spans="1:9" x14ac:dyDescent="0.25">
      <c r="A120" s="76" t="s">
        <v>572</v>
      </c>
      <c r="B120" s="76" t="s">
        <v>574</v>
      </c>
      <c r="C120" s="77">
        <v>41000</v>
      </c>
      <c r="D120" s="78">
        <v>41364</v>
      </c>
      <c r="E120" s="79">
        <v>0.8</v>
      </c>
      <c r="F120" s="80">
        <v>268430</v>
      </c>
      <c r="G120" s="81"/>
      <c r="H120" s="80">
        <v>264171</v>
      </c>
      <c r="I120" s="79">
        <f t="shared" si="5"/>
        <v>0.98413366613269748</v>
      </c>
    </row>
    <row r="121" spans="1:9" x14ac:dyDescent="0.25">
      <c r="A121" s="76" t="s">
        <v>572</v>
      </c>
      <c r="B121" s="76" t="s">
        <v>574</v>
      </c>
      <c r="C121" s="77">
        <v>41000</v>
      </c>
      <c r="D121" s="78">
        <v>41364</v>
      </c>
      <c r="E121" s="79">
        <v>0.8</v>
      </c>
      <c r="F121" s="80"/>
      <c r="G121" s="81">
        <v>268430</v>
      </c>
      <c r="H121" s="80">
        <v>264171</v>
      </c>
      <c r="I121" s="79">
        <f>H121/G121</f>
        <v>0.98413366613269748</v>
      </c>
    </row>
    <row r="122" spans="1:9" x14ac:dyDescent="0.25">
      <c r="A122" s="76" t="s">
        <v>674</v>
      </c>
      <c r="B122" s="76" t="s">
        <v>22</v>
      </c>
      <c r="C122" s="77">
        <v>40920</v>
      </c>
      <c r="D122" s="78">
        <v>41274</v>
      </c>
      <c r="E122" s="79">
        <v>0.22500000000000001</v>
      </c>
      <c r="F122" s="80">
        <v>614451.29</v>
      </c>
      <c r="G122" s="81"/>
      <c r="H122" s="80">
        <v>261134.34</v>
      </c>
      <c r="I122" s="79">
        <f t="shared" ref="I122:I127" si="6">H122/F122</f>
        <v>0.42498786193450744</v>
      </c>
    </row>
    <row r="123" spans="1:9" x14ac:dyDescent="0.25">
      <c r="A123" s="76" t="s">
        <v>531</v>
      </c>
      <c r="B123" s="76" t="s">
        <v>548</v>
      </c>
      <c r="C123" s="77">
        <v>41000</v>
      </c>
      <c r="D123" s="78">
        <v>41364</v>
      </c>
      <c r="E123" s="79">
        <v>8.9999999999999993E-3</v>
      </c>
      <c r="F123" s="80">
        <v>1016054</v>
      </c>
      <c r="G123" s="81"/>
      <c r="H123" s="80">
        <v>253768</v>
      </c>
      <c r="I123" s="79">
        <f t="shared" si="6"/>
        <v>0.24975837898379416</v>
      </c>
    </row>
    <row r="124" spans="1:9" x14ac:dyDescent="0.25">
      <c r="A124" s="76" t="s">
        <v>594</v>
      </c>
      <c r="B124" s="76" t="s">
        <v>600</v>
      </c>
      <c r="C124" s="77">
        <v>41116</v>
      </c>
      <c r="D124" s="78">
        <v>41480</v>
      </c>
      <c r="E124" s="79">
        <v>0.39600000000000002</v>
      </c>
      <c r="F124" s="80">
        <v>1053920.74</v>
      </c>
      <c r="G124" s="81"/>
      <c r="H124" s="80">
        <v>243234.11</v>
      </c>
      <c r="I124" s="79">
        <f t="shared" si="6"/>
        <v>0.23078975559395482</v>
      </c>
    </row>
    <row r="125" spans="1:9" x14ac:dyDescent="0.25">
      <c r="A125" s="76" t="s">
        <v>267</v>
      </c>
      <c r="B125" s="76" t="s">
        <v>268</v>
      </c>
      <c r="C125" s="77">
        <v>40640</v>
      </c>
      <c r="D125" s="78">
        <v>41005</v>
      </c>
      <c r="E125" s="79">
        <v>0.27</v>
      </c>
      <c r="F125" s="80">
        <v>809191.04</v>
      </c>
      <c r="G125" s="81"/>
      <c r="H125" s="80">
        <v>242757.31</v>
      </c>
      <c r="I125" s="79">
        <f t="shared" si="6"/>
        <v>0.29999999752839573</v>
      </c>
    </row>
    <row r="126" spans="1:9" x14ac:dyDescent="0.25">
      <c r="A126" s="76" t="s">
        <v>171</v>
      </c>
      <c r="B126" s="76" t="s">
        <v>190</v>
      </c>
      <c r="C126" s="77">
        <v>40848</v>
      </c>
      <c r="D126" s="78">
        <v>41213</v>
      </c>
      <c r="E126" s="79">
        <v>1.7999999999999999E-2</v>
      </c>
      <c r="F126" s="80">
        <v>394773</v>
      </c>
      <c r="G126" s="81"/>
      <c r="H126" s="80">
        <v>239069</v>
      </c>
      <c r="I126" s="79">
        <f t="shared" si="6"/>
        <v>0.60558599498952559</v>
      </c>
    </row>
    <row r="127" spans="1:9" x14ac:dyDescent="0.25">
      <c r="A127" s="76" t="s">
        <v>317</v>
      </c>
      <c r="B127" s="76" t="s">
        <v>52</v>
      </c>
      <c r="C127" s="77">
        <v>40955</v>
      </c>
      <c r="D127" s="78">
        <v>41320</v>
      </c>
      <c r="E127" s="79">
        <v>8.9999999999999993E-3</v>
      </c>
      <c r="F127" s="80">
        <v>2577396.61</v>
      </c>
      <c r="G127" s="81"/>
      <c r="H127" s="80">
        <v>235000</v>
      </c>
      <c r="I127" s="79">
        <f t="shared" si="6"/>
        <v>9.1177275196307486E-2</v>
      </c>
    </row>
    <row r="128" spans="1:9" x14ac:dyDescent="0.25">
      <c r="A128" s="76" t="s">
        <v>317</v>
      </c>
      <c r="B128" s="76" t="s">
        <v>356</v>
      </c>
      <c r="C128" s="77">
        <v>40969</v>
      </c>
      <c r="D128" s="78">
        <v>41333</v>
      </c>
      <c r="E128" s="79">
        <v>1.7999999999999999E-2</v>
      </c>
      <c r="F128" s="80"/>
      <c r="G128" s="81">
        <v>460153.19</v>
      </c>
      <c r="H128" s="80">
        <v>229984.43</v>
      </c>
      <c r="I128" s="79">
        <f>H128/G128</f>
        <v>0.49979970800593598</v>
      </c>
    </row>
    <row r="129" spans="1:9" x14ac:dyDescent="0.25">
      <c r="A129" s="70" t="s">
        <v>130</v>
      </c>
      <c r="B129" s="70" t="s">
        <v>134</v>
      </c>
      <c r="C129" s="71">
        <v>40817</v>
      </c>
      <c r="D129" s="72">
        <v>41182</v>
      </c>
      <c r="E129" s="73">
        <v>0.13500000000000001</v>
      </c>
      <c r="F129" s="74">
        <v>1527045.5</v>
      </c>
      <c r="G129" s="75"/>
      <c r="H129" s="74">
        <v>229056.82</v>
      </c>
      <c r="I129" s="73">
        <v>0.14999999672570333</v>
      </c>
    </row>
    <row r="130" spans="1:9" x14ac:dyDescent="0.25">
      <c r="A130" s="76" t="s">
        <v>263</v>
      </c>
      <c r="B130" s="76" t="s">
        <v>29</v>
      </c>
      <c r="C130" s="77">
        <v>40756</v>
      </c>
      <c r="D130" s="78">
        <v>41121</v>
      </c>
      <c r="E130" s="79">
        <v>8.9999999999999993E-3</v>
      </c>
      <c r="F130" s="80">
        <v>552453.13</v>
      </c>
      <c r="G130" s="81"/>
      <c r="H130" s="80">
        <v>227738.63</v>
      </c>
      <c r="I130" s="79">
        <f t="shared" ref="I130:I137" si="7">H130/F130</f>
        <v>0.41223158605328203</v>
      </c>
    </row>
    <row r="131" spans="1:9" x14ac:dyDescent="0.25">
      <c r="A131" s="70" t="s">
        <v>171</v>
      </c>
      <c r="B131" s="70" t="s">
        <v>33</v>
      </c>
      <c r="C131" s="71">
        <v>40729</v>
      </c>
      <c r="D131" s="72">
        <v>41060</v>
      </c>
      <c r="E131" s="73">
        <v>1.7999999999999999E-2</v>
      </c>
      <c r="F131" s="74">
        <v>479860.5</v>
      </c>
      <c r="G131" s="75"/>
      <c r="H131" s="74">
        <v>227459.92</v>
      </c>
      <c r="I131" s="79">
        <f t="shared" si="7"/>
        <v>0.47401259324324468</v>
      </c>
    </row>
    <row r="132" spans="1:9" x14ac:dyDescent="0.25">
      <c r="A132" s="76" t="s">
        <v>594</v>
      </c>
      <c r="B132" s="76" t="s">
        <v>612</v>
      </c>
      <c r="C132" s="77">
        <v>41172</v>
      </c>
      <c r="D132" s="78">
        <v>41536</v>
      </c>
      <c r="E132" s="79">
        <v>0.39600000000000002</v>
      </c>
      <c r="F132" s="80">
        <v>548401.25</v>
      </c>
      <c r="G132" s="81"/>
      <c r="H132" s="80">
        <v>225616.82</v>
      </c>
      <c r="I132" s="79">
        <f t="shared" si="7"/>
        <v>0.41140828909489174</v>
      </c>
    </row>
    <row r="133" spans="1:9" x14ac:dyDescent="0.25">
      <c r="A133" s="76" t="s">
        <v>281</v>
      </c>
      <c r="B133" s="76" t="s">
        <v>283</v>
      </c>
      <c r="C133" s="77">
        <v>40940</v>
      </c>
      <c r="D133" s="78">
        <v>41274</v>
      </c>
      <c r="E133" s="79">
        <v>0</v>
      </c>
      <c r="F133" s="80">
        <v>271148.86</v>
      </c>
      <c r="G133" s="81"/>
      <c r="H133" s="80">
        <v>223165.86</v>
      </c>
      <c r="I133" s="79">
        <f t="shared" si="7"/>
        <v>0.82303816435001786</v>
      </c>
    </row>
    <row r="134" spans="1:9" x14ac:dyDescent="0.25">
      <c r="A134" s="76" t="s">
        <v>613</v>
      </c>
      <c r="B134" s="76" t="s">
        <v>617</v>
      </c>
      <c r="C134" s="77">
        <v>41118</v>
      </c>
      <c r="D134" s="78">
        <v>41455</v>
      </c>
      <c r="E134" s="79">
        <v>8.9999999999999993E-3</v>
      </c>
      <c r="F134" s="80">
        <v>409897</v>
      </c>
      <c r="G134" s="81"/>
      <c r="H134" s="80">
        <v>222932</v>
      </c>
      <c r="I134" s="79">
        <f t="shared" si="7"/>
        <v>0.54387321693010682</v>
      </c>
    </row>
    <row r="135" spans="1:9" x14ac:dyDescent="0.25">
      <c r="A135" s="76" t="s">
        <v>265</v>
      </c>
      <c r="B135" s="76" t="s">
        <v>338</v>
      </c>
      <c r="C135" s="77">
        <v>41194</v>
      </c>
      <c r="D135" s="78">
        <v>41547</v>
      </c>
      <c r="E135" s="79">
        <v>0.09</v>
      </c>
      <c r="F135" s="80">
        <v>654864.9</v>
      </c>
      <c r="G135" s="81"/>
      <c r="H135" s="80">
        <v>221405.41</v>
      </c>
      <c r="I135" s="79">
        <f t="shared" si="7"/>
        <v>0.33809326167885922</v>
      </c>
    </row>
    <row r="136" spans="1:9" x14ac:dyDescent="0.25">
      <c r="A136" s="76" t="s">
        <v>390</v>
      </c>
      <c r="B136" s="76" t="s">
        <v>45</v>
      </c>
      <c r="C136" s="77">
        <v>40974</v>
      </c>
      <c r="D136" s="78">
        <v>41338</v>
      </c>
      <c r="E136" s="79">
        <v>0.13500000000000001</v>
      </c>
      <c r="F136" s="80">
        <v>1486210.94</v>
      </c>
      <c r="G136" s="81"/>
      <c r="H136" s="80">
        <v>220075.05</v>
      </c>
      <c r="I136" s="93">
        <f t="shared" si="7"/>
        <v>0.14807793703900471</v>
      </c>
    </row>
    <row r="137" spans="1:9" x14ac:dyDescent="0.25">
      <c r="A137" s="76" t="s">
        <v>572</v>
      </c>
      <c r="B137" s="76" t="s">
        <v>573</v>
      </c>
      <c r="C137" s="77">
        <v>41000</v>
      </c>
      <c r="D137" s="78">
        <v>41364</v>
      </c>
      <c r="E137" s="79">
        <v>0.8</v>
      </c>
      <c r="F137" s="80">
        <v>224833</v>
      </c>
      <c r="G137" s="81"/>
      <c r="H137" s="80">
        <v>218833</v>
      </c>
      <c r="I137" s="79">
        <f t="shared" si="7"/>
        <v>0.97331352603932697</v>
      </c>
    </row>
    <row r="138" spans="1:9" x14ac:dyDescent="0.25">
      <c r="A138" s="76" t="s">
        <v>572</v>
      </c>
      <c r="B138" s="76" t="s">
        <v>573</v>
      </c>
      <c r="C138" s="77">
        <v>41000</v>
      </c>
      <c r="D138" s="78">
        <v>41364</v>
      </c>
      <c r="E138" s="79">
        <v>0.8</v>
      </c>
      <c r="F138" s="80"/>
      <c r="G138" s="81">
        <v>224833</v>
      </c>
      <c r="H138" s="80">
        <v>218833</v>
      </c>
      <c r="I138" s="79">
        <f>H138/G138</f>
        <v>0.97331352603932697</v>
      </c>
    </row>
    <row r="139" spans="1:9" x14ac:dyDescent="0.25">
      <c r="A139" s="76" t="s">
        <v>531</v>
      </c>
      <c r="B139" s="76" t="s">
        <v>90</v>
      </c>
      <c r="C139" s="77">
        <v>41129</v>
      </c>
      <c r="D139" s="78">
        <v>41455</v>
      </c>
      <c r="E139" s="79">
        <v>0.18</v>
      </c>
      <c r="F139" s="80">
        <v>907362</v>
      </c>
      <c r="G139" s="81"/>
      <c r="H139" s="80">
        <v>216625</v>
      </c>
      <c r="I139" s="79">
        <f>H139/F139</f>
        <v>0.2387415386582202</v>
      </c>
    </row>
    <row r="140" spans="1:9" x14ac:dyDescent="0.25">
      <c r="A140" s="70" t="s">
        <v>146</v>
      </c>
      <c r="B140" s="70" t="s">
        <v>148</v>
      </c>
      <c r="C140" s="71">
        <v>40592</v>
      </c>
      <c r="D140" s="72">
        <v>40939</v>
      </c>
      <c r="E140" s="101">
        <v>4.4999999999999999E-4</v>
      </c>
      <c r="F140" s="74">
        <v>764720.8</v>
      </c>
      <c r="G140" s="75"/>
      <c r="H140" s="74">
        <v>215267.37</v>
      </c>
      <c r="I140" s="73">
        <v>0.28149799246993151</v>
      </c>
    </row>
    <row r="141" spans="1:9" x14ac:dyDescent="0.25">
      <c r="A141" s="70" t="s">
        <v>171</v>
      </c>
      <c r="B141" s="70" t="s">
        <v>88</v>
      </c>
      <c r="C141" s="71">
        <v>40765</v>
      </c>
      <c r="D141" s="72">
        <v>41090</v>
      </c>
      <c r="E141" s="73">
        <v>1.7999999999999999E-2</v>
      </c>
      <c r="F141" s="74">
        <v>448475</v>
      </c>
      <c r="G141" s="75"/>
      <c r="H141" s="74">
        <v>214952</v>
      </c>
      <c r="I141" s="79">
        <f>H141/F141</f>
        <v>0.47929538993254922</v>
      </c>
    </row>
    <row r="142" spans="1:9" x14ac:dyDescent="0.25">
      <c r="A142" s="76" t="s">
        <v>594</v>
      </c>
      <c r="B142" s="76" t="s">
        <v>608</v>
      </c>
      <c r="C142" s="77">
        <v>41043</v>
      </c>
      <c r="D142" s="78">
        <v>41274</v>
      </c>
      <c r="E142" s="79">
        <v>0.45900000000000002</v>
      </c>
      <c r="F142" s="80">
        <v>280377</v>
      </c>
      <c r="G142" s="81"/>
      <c r="H142" s="80">
        <v>214147.54</v>
      </c>
      <c r="I142" s="79">
        <f>H142/F142</f>
        <v>0.76378426190450721</v>
      </c>
    </row>
    <row r="143" spans="1:9" x14ac:dyDescent="0.25">
      <c r="A143" s="76" t="s">
        <v>594</v>
      </c>
      <c r="B143" s="76" t="s">
        <v>608</v>
      </c>
      <c r="C143" s="77">
        <v>41043</v>
      </c>
      <c r="D143" s="78">
        <v>41274</v>
      </c>
      <c r="E143" s="79">
        <v>0.45900000000000002</v>
      </c>
      <c r="F143" s="80"/>
      <c r="G143" s="81">
        <v>280072</v>
      </c>
      <c r="H143" s="80">
        <v>213842.54</v>
      </c>
      <c r="I143" s="79">
        <f>H143/G143</f>
        <v>0.76352702162301123</v>
      </c>
    </row>
    <row r="144" spans="1:9" x14ac:dyDescent="0.25">
      <c r="A144" s="76" t="s">
        <v>315</v>
      </c>
      <c r="B144" s="76" t="s">
        <v>332</v>
      </c>
      <c r="C144" s="77">
        <v>40801</v>
      </c>
      <c r="D144" s="78">
        <v>41152</v>
      </c>
      <c r="E144" s="79">
        <v>0</v>
      </c>
      <c r="F144" s="80">
        <v>1204870.77</v>
      </c>
      <c r="G144" s="81"/>
      <c r="H144" s="80">
        <v>213280.68</v>
      </c>
      <c r="I144" s="79">
        <f>H144/F144</f>
        <v>0.17701539892116397</v>
      </c>
    </row>
    <row r="145" spans="1:9" x14ac:dyDescent="0.25">
      <c r="A145" s="76" t="s">
        <v>613</v>
      </c>
      <c r="B145" s="76" t="s">
        <v>183</v>
      </c>
      <c r="C145" s="77">
        <v>40774</v>
      </c>
      <c r="D145" s="78">
        <v>41104</v>
      </c>
      <c r="E145" s="79">
        <v>1.7999999999999999E-2</v>
      </c>
      <c r="F145" s="80">
        <v>384826</v>
      </c>
      <c r="G145" s="81"/>
      <c r="H145" s="80">
        <v>209441</v>
      </c>
      <c r="I145" s="79">
        <f>H145/F145</f>
        <v>0.54424856948335087</v>
      </c>
    </row>
    <row r="146" spans="1:9" x14ac:dyDescent="0.25">
      <c r="A146" s="76" t="s">
        <v>317</v>
      </c>
      <c r="B146" s="76" t="s">
        <v>152</v>
      </c>
      <c r="C146" s="77">
        <v>40955</v>
      </c>
      <c r="D146" s="78">
        <v>41320</v>
      </c>
      <c r="E146" s="79">
        <v>0.09</v>
      </c>
      <c r="F146" s="80"/>
      <c r="G146" s="81">
        <v>233270</v>
      </c>
      <c r="H146" s="80">
        <v>209001.73</v>
      </c>
      <c r="I146" s="79">
        <f>H146/G146</f>
        <v>0.8959648904702705</v>
      </c>
    </row>
    <row r="147" spans="1:9" x14ac:dyDescent="0.25">
      <c r="A147" s="70" t="s">
        <v>38</v>
      </c>
      <c r="B147" s="70" t="s">
        <v>47</v>
      </c>
      <c r="C147" s="71">
        <v>40848</v>
      </c>
      <c r="D147" s="72">
        <v>41213</v>
      </c>
      <c r="E147" s="73">
        <v>0.40500000000000003</v>
      </c>
      <c r="F147" s="74"/>
      <c r="G147" s="75">
        <v>455843.72</v>
      </c>
      <c r="H147" s="74">
        <v>205129.66</v>
      </c>
      <c r="I147" s="73">
        <v>0.44999996928771996</v>
      </c>
    </row>
    <row r="148" spans="1:9" x14ac:dyDescent="0.25">
      <c r="A148" s="76" t="s">
        <v>643</v>
      </c>
      <c r="B148" s="76" t="s">
        <v>657</v>
      </c>
      <c r="C148" s="77">
        <v>40956</v>
      </c>
      <c r="D148" s="78">
        <v>41321</v>
      </c>
      <c r="E148" s="79">
        <v>4.4999999999999997E-3</v>
      </c>
      <c r="F148" s="80">
        <v>319841.53000000003</v>
      </c>
      <c r="G148" s="81"/>
      <c r="H148" s="80">
        <v>204694.33</v>
      </c>
      <c r="I148" s="79">
        <f>H148/F148</f>
        <v>0.63998671467085577</v>
      </c>
    </row>
    <row r="149" spans="1:9" x14ac:dyDescent="0.25">
      <c r="A149" s="76" t="s">
        <v>613</v>
      </c>
      <c r="B149" s="76" t="s">
        <v>617</v>
      </c>
      <c r="C149" s="77">
        <v>40752</v>
      </c>
      <c r="D149" s="78">
        <v>41117</v>
      </c>
      <c r="E149" s="79">
        <v>8.9999999999999993E-3</v>
      </c>
      <c r="F149" s="80">
        <v>360555</v>
      </c>
      <c r="G149" s="81"/>
      <c r="H149" s="80">
        <v>203963</v>
      </c>
      <c r="I149" s="79">
        <f>H149/F149</f>
        <v>0.56569178072693482</v>
      </c>
    </row>
    <row r="150" spans="1:9" x14ac:dyDescent="0.25">
      <c r="A150" s="76" t="s">
        <v>171</v>
      </c>
      <c r="B150" s="76" t="s">
        <v>180</v>
      </c>
      <c r="C150" s="77">
        <v>41124</v>
      </c>
      <c r="D150" s="78">
        <v>41274</v>
      </c>
      <c r="E150" s="79">
        <v>1.7999999999999999E-2</v>
      </c>
      <c r="F150" s="80">
        <v>374605</v>
      </c>
      <c r="G150" s="81"/>
      <c r="H150" s="80">
        <v>200864</v>
      </c>
      <c r="I150" s="79">
        <f>H150/F150</f>
        <v>0.53620213291333541</v>
      </c>
    </row>
    <row r="151" spans="1:9" x14ac:dyDescent="0.25">
      <c r="A151" s="70" t="s">
        <v>130</v>
      </c>
      <c r="B151" s="70" t="s">
        <v>135</v>
      </c>
      <c r="C151" s="71">
        <v>40603</v>
      </c>
      <c r="D151" s="72">
        <v>40968</v>
      </c>
      <c r="E151" s="73">
        <v>0.108</v>
      </c>
      <c r="F151" s="74">
        <v>1571242.21</v>
      </c>
      <c r="G151" s="75"/>
      <c r="H151" s="74">
        <v>199491.92</v>
      </c>
      <c r="I151" s="73">
        <v>0.12696446081346047</v>
      </c>
    </row>
    <row r="152" spans="1:9" x14ac:dyDescent="0.25">
      <c r="A152" s="70" t="s">
        <v>60</v>
      </c>
      <c r="B152" s="70" t="s">
        <v>61</v>
      </c>
      <c r="C152" s="71">
        <v>40725</v>
      </c>
      <c r="D152" s="72">
        <v>41090</v>
      </c>
      <c r="E152" s="73">
        <v>0.09</v>
      </c>
      <c r="F152" s="74">
        <v>1482958.17</v>
      </c>
      <c r="G152" s="75"/>
      <c r="H152" s="74">
        <v>199227.36</v>
      </c>
      <c r="I152" s="73">
        <v>0.13434455808015139</v>
      </c>
    </row>
    <row r="153" spans="1:9" x14ac:dyDescent="0.25">
      <c r="A153" s="70" t="s">
        <v>101</v>
      </c>
      <c r="B153" s="70" t="s">
        <v>102</v>
      </c>
      <c r="C153" s="71">
        <v>40725</v>
      </c>
      <c r="D153" s="72">
        <v>41090</v>
      </c>
      <c r="E153" s="73">
        <v>1.35E-2</v>
      </c>
      <c r="F153" s="74">
        <v>338748</v>
      </c>
      <c r="G153" s="75"/>
      <c r="H153" s="74">
        <v>198257.61</v>
      </c>
      <c r="I153" s="73">
        <v>0.58526577278685032</v>
      </c>
    </row>
    <row r="154" spans="1:9" x14ac:dyDescent="0.25">
      <c r="A154" s="76" t="s">
        <v>572</v>
      </c>
      <c r="B154" s="76" t="s">
        <v>576</v>
      </c>
      <c r="C154" s="77">
        <v>40634</v>
      </c>
      <c r="D154" s="78">
        <v>40999</v>
      </c>
      <c r="E154" s="79">
        <v>0.8</v>
      </c>
      <c r="F154" s="80"/>
      <c r="G154" s="81">
        <v>209772</v>
      </c>
      <c r="H154" s="80">
        <v>196572</v>
      </c>
      <c r="I154" s="79">
        <f>H154/G154</f>
        <v>0.93707453806990448</v>
      </c>
    </row>
    <row r="155" spans="1:9" x14ac:dyDescent="0.25">
      <c r="A155" s="76" t="s">
        <v>643</v>
      </c>
      <c r="B155" s="76" t="s">
        <v>458</v>
      </c>
      <c r="C155" s="77">
        <v>40724</v>
      </c>
      <c r="D155" s="78">
        <v>41089</v>
      </c>
      <c r="E155" s="79">
        <v>4.4999999999999997E-3</v>
      </c>
      <c r="F155" s="80">
        <v>1660831.65</v>
      </c>
      <c r="G155" s="81"/>
      <c r="H155" s="80">
        <v>196316.5</v>
      </c>
      <c r="I155" s="79">
        <f>H155/F155</f>
        <v>0.11820373244934249</v>
      </c>
    </row>
    <row r="156" spans="1:9" x14ac:dyDescent="0.25">
      <c r="A156" s="76" t="s">
        <v>265</v>
      </c>
      <c r="B156" s="76" t="s">
        <v>268</v>
      </c>
      <c r="C156" s="77">
        <v>41006</v>
      </c>
      <c r="D156" s="78">
        <v>41370</v>
      </c>
      <c r="E156" s="79">
        <v>0.27</v>
      </c>
      <c r="F156" s="80">
        <v>652577.6</v>
      </c>
      <c r="G156" s="81"/>
      <c r="H156" s="80">
        <v>195773.29</v>
      </c>
      <c r="I156" s="79">
        <f>H156/F156</f>
        <v>0.30000001532384812</v>
      </c>
    </row>
    <row r="157" spans="1:9" x14ac:dyDescent="0.25">
      <c r="A157" s="76" t="s">
        <v>449</v>
      </c>
      <c r="B157" s="76" t="s">
        <v>457</v>
      </c>
      <c r="C157" s="77">
        <v>40756</v>
      </c>
      <c r="D157" s="78">
        <v>41121</v>
      </c>
      <c r="E157" s="79">
        <v>0</v>
      </c>
      <c r="F157" s="80">
        <v>491460</v>
      </c>
      <c r="G157" s="81"/>
      <c r="H157" s="80">
        <v>191763</v>
      </c>
      <c r="I157" s="79">
        <f>H157/F157</f>
        <v>0.39019045293614946</v>
      </c>
    </row>
    <row r="158" spans="1:9" x14ac:dyDescent="0.25">
      <c r="A158" s="70" t="s">
        <v>119</v>
      </c>
      <c r="B158" s="70" t="s">
        <v>98</v>
      </c>
      <c r="C158" s="71">
        <v>40695</v>
      </c>
      <c r="D158" s="72">
        <v>41060</v>
      </c>
      <c r="E158" s="73">
        <v>0.09</v>
      </c>
      <c r="F158" s="74">
        <v>3817943.7</v>
      </c>
      <c r="G158" s="75"/>
      <c r="H158" s="74">
        <v>190897.18</v>
      </c>
      <c r="I158" s="73">
        <v>4.9999998690394516E-2</v>
      </c>
    </row>
    <row r="159" spans="1:9" x14ac:dyDescent="0.25">
      <c r="A159" s="76" t="s">
        <v>643</v>
      </c>
      <c r="B159" s="76" t="s">
        <v>117</v>
      </c>
      <c r="C159" s="77">
        <v>40585</v>
      </c>
      <c r="D159" s="78">
        <v>40949</v>
      </c>
      <c r="E159" s="79">
        <v>4.4999999999999997E-3</v>
      </c>
      <c r="F159" s="80">
        <v>419020.47</v>
      </c>
      <c r="G159" s="81"/>
      <c r="H159" s="80">
        <v>190859.47</v>
      </c>
      <c r="I159" s="79">
        <f t="shared" ref="I159:I164" si="8">H159/F159</f>
        <v>0.45548960889667278</v>
      </c>
    </row>
    <row r="160" spans="1:9" x14ac:dyDescent="0.25">
      <c r="A160" s="76" t="s">
        <v>235</v>
      </c>
      <c r="B160" s="76" t="s">
        <v>94</v>
      </c>
      <c r="C160" s="77">
        <v>40836</v>
      </c>
      <c r="D160" s="78">
        <v>41201</v>
      </c>
      <c r="E160" s="79">
        <v>0.33</v>
      </c>
      <c r="F160" s="80">
        <v>199522.16</v>
      </c>
      <c r="G160" s="81"/>
      <c r="H160" s="80">
        <v>188911.91</v>
      </c>
      <c r="I160" s="79">
        <f t="shared" si="8"/>
        <v>0.94682169639703184</v>
      </c>
    </row>
    <row r="161" spans="1:9" x14ac:dyDescent="0.25">
      <c r="A161" s="76" t="s">
        <v>270</v>
      </c>
      <c r="B161" s="110" t="s">
        <v>269</v>
      </c>
      <c r="C161" s="77">
        <v>41030</v>
      </c>
      <c r="D161" s="78">
        <v>41090</v>
      </c>
      <c r="E161" s="79">
        <v>0.18</v>
      </c>
      <c r="F161" s="80">
        <v>519242.34</v>
      </c>
      <c r="G161" s="81"/>
      <c r="H161" s="80">
        <v>188898.66</v>
      </c>
      <c r="I161" s="79">
        <f t="shared" si="8"/>
        <v>0.36379671965887833</v>
      </c>
    </row>
    <row r="162" spans="1:9" x14ac:dyDescent="0.25">
      <c r="A162" s="76" t="s">
        <v>692</v>
      </c>
      <c r="B162" s="76" t="s">
        <v>694</v>
      </c>
      <c r="C162" s="77">
        <v>40909</v>
      </c>
      <c r="D162" s="78">
        <v>41274</v>
      </c>
      <c r="E162" s="79">
        <v>8.9999999999999993E-3</v>
      </c>
      <c r="F162" s="80">
        <v>331488</v>
      </c>
      <c r="G162" s="81"/>
      <c r="H162" s="80">
        <v>188881</v>
      </c>
      <c r="I162" s="79">
        <f t="shared" si="8"/>
        <v>0.56979739839752874</v>
      </c>
    </row>
    <row r="163" spans="1:9" x14ac:dyDescent="0.25">
      <c r="A163" s="76" t="s">
        <v>171</v>
      </c>
      <c r="B163" s="76" t="s">
        <v>213</v>
      </c>
      <c r="C163" s="77">
        <v>40962</v>
      </c>
      <c r="D163" s="78">
        <v>41274</v>
      </c>
      <c r="E163" s="79">
        <v>1.7999999999999999E-2</v>
      </c>
      <c r="F163" s="80">
        <v>228334</v>
      </c>
      <c r="G163" s="81"/>
      <c r="H163" s="80">
        <v>188035</v>
      </c>
      <c r="I163" s="79">
        <f t="shared" si="8"/>
        <v>0.82350854450059996</v>
      </c>
    </row>
    <row r="164" spans="1:9" x14ac:dyDescent="0.25">
      <c r="A164" s="76" t="s">
        <v>478</v>
      </c>
      <c r="B164" s="76" t="s">
        <v>484</v>
      </c>
      <c r="C164" s="77">
        <v>40973</v>
      </c>
      <c r="D164" s="78">
        <v>41337</v>
      </c>
      <c r="E164" s="79">
        <v>0.13500000000000001</v>
      </c>
      <c r="F164" s="80">
        <v>1252566.01</v>
      </c>
      <c r="G164" s="81"/>
      <c r="H164" s="80">
        <v>187884.92</v>
      </c>
      <c r="I164" s="79">
        <f t="shared" si="8"/>
        <v>0.1500000147696807</v>
      </c>
    </row>
    <row r="165" spans="1:9" x14ac:dyDescent="0.25">
      <c r="A165" s="76" t="s">
        <v>413</v>
      </c>
      <c r="B165" s="76" t="s">
        <v>414</v>
      </c>
      <c r="C165" s="77">
        <v>40575</v>
      </c>
      <c r="D165" s="78">
        <v>40939</v>
      </c>
      <c r="E165" s="79">
        <v>0.29699999999999999</v>
      </c>
      <c r="F165" s="112"/>
      <c r="G165" s="81">
        <v>574208</v>
      </c>
      <c r="H165" s="80">
        <v>187222</v>
      </c>
      <c r="I165" s="79">
        <f>H165/G165</f>
        <v>0.3260525802496656</v>
      </c>
    </row>
    <row r="166" spans="1:9" x14ac:dyDescent="0.25">
      <c r="A166" s="76" t="s">
        <v>317</v>
      </c>
      <c r="B166" s="76" t="s">
        <v>18</v>
      </c>
      <c r="C166" s="77">
        <v>41091</v>
      </c>
      <c r="D166" s="78">
        <v>41455</v>
      </c>
      <c r="E166" s="79">
        <v>0.13500000000000001</v>
      </c>
      <c r="F166" s="80"/>
      <c r="G166" s="81">
        <v>372799.06</v>
      </c>
      <c r="H166" s="80">
        <v>187031.46</v>
      </c>
      <c r="I166" s="79">
        <f>H166/G166</f>
        <v>0.5016950954758308</v>
      </c>
    </row>
    <row r="167" spans="1:9" x14ac:dyDescent="0.25">
      <c r="A167" s="76" t="s">
        <v>572</v>
      </c>
      <c r="B167" s="76" t="s">
        <v>577</v>
      </c>
      <c r="C167" s="77">
        <v>40634</v>
      </c>
      <c r="D167" s="78">
        <v>40999</v>
      </c>
      <c r="E167" s="79">
        <v>0.8</v>
      </c>
      <c r="F167" s="80"/>
      <c r="G167" s="81">
        <v>191912</v>
      </c>
      <c r="H167" s="80">
        <v>186147</v>
      </c>
      <c r="I167" s="79">
        <f>H167/G167</f>
        <v>0.96996019008712331</v>
      </c>
    </row>
    <row r="168" spans="1:9" x14ac:dyDescent="0.25">
      <c r="A168" s="76" t="s">
        <v>372</v>
      </c>
      <c r="B168" s="76" t="s">
        <v>374</v>
      </c>
      <c r="C168" s="77">
        <v>41083</v>
      </c>
      <c r="D168" s="78">
        <v>41447</v>
      </c>
      <c r="E168" s="79">
        <v>8.9999999999999993E-3</v>
      </c>
      <c r="F168" s="80">
        <v>653942.18000000005</v>
      </c>
      <c r="G168" s="81"/>
      <c r="H168" s="80">
        <v>185701.92</v>
      </c>
      <c r="I168" s="79">
        <f>H168/F168</f>
        <v>0.28397299590003505</v>
      </c>
    </row>
    <row r="169" spans="1:9" x14ac:dyDescent="0.25">
      <c r="A169" s="76" t="s">
        <v>578</v>
      </c>
      <c r="B169" s="76" t="s">
        <v>115</v>
      </c>
      <c r="C169" s="77">
        <v>40923</v>
      </c>
      <c r="D169" s="78">
        <v>40939</v>
      </c>
      <c r="E169" s="79">
        <v>0</v>
      </c>
      <c r="F169" s="80">
        <v>316088.33</v>
      </c>
      <c r="G169" s="81"/>
      <c r="H169" s="80">
        <v>183481.82</v>
      </c>
      <c r="I169" s="79">
        <f>H169/F169</f>
        <v>0.58047641303302777</v>
      </c>
    </row>
    <row r="170" spans="1:9" x14ac:dyDescent="0.25">
      <c r="A170" s="76" t="s">
        <v>317</v>
      </c>
      <c r="B170" s="76" t="s">
        <v>355</v>
      </c>
      <c r="C170" s="77">
        <v>41073</v>
      </c>
      <c r="D170" s="78">
        <v>41348</v>
      </c>
      <c r="E170" s="79">
        <v>0.315</v>
      </c>
      <c r="F170" s="80"/>
      <c r="G170" s="81">
        <v>489505.95</v>
      </c>
      <c r="H170" s="80">
        <v>183199.58</v>
      </c>
      <c r="I170" s="79">
        <f>H170/G170</f>
        <v>0.37425404124301243</v>
      </c>
    </row>
    <row r="171" spans="1:9" x14ac:dyDescent="0.25">
      <c r="A171" s="70" t="s">
        <v>140</v>
      </c>
      <c r="B171" s="70" t="s">
        <v>141</v>
      </c>
      <c r="C171" s="71">
        <v>40664</v>
      </c>
      <c r="D171" s="72">
        <v>41029</v>
      </c>
      <c r="E171" s="73">
        <v>0.09</v>
      </c>
      <c r="F171" s="74">
        <v>347876.38</v>
      </c>
      <c r="G171" s="75"/>
      <c r="H171" s="74">
        <v>179411.7</v>
      </c>
      <c r="I171" s="73">
        <v>0.51573406622202977</v>
      </c>
    </row>
    <row r="172" spans="1:9" x14ac:dyDescent="0.25">
      <c r="A172" s="76" t="s">
        <v>674</v>
      </c>
      <c r="B172" s="76" t="s">
        <v>213</v>
      </c>
      <c r="C172" s="77">
        <v>40911</v>
      </c>
      <c r="D172" s="78">
        <v>41274</v>
      </c>
      <c r="E172" s="79">
        <v>9.9000000000000005E-2</v>
      </c>
      <c r="F172" s="80">
        <v>796977.67</v>
      </c>
      <c r="G172" s="81"/>
      <c r="H172" s="80">
        <v>178981.36</v>
      </c>
      <c r="I172" s="79">
        <f>H172/F172</f>
        <v>0.22457512517257852</v>
      </c>
    </row>
    <row r="173" spans="1:9" x14ac:dyDescent="0.25">
      <c r="A173" s="70" t="s">
        <v>20</v>
      </c>
      <c r="B173" s="70" t="s">
        <v>31</v>
      </c>
      <c r="C173" s="71">
        <v>40787</v>
      </c>
      <c r="D173" s="72">
        <v>41090</v>
      </c>
      <c r="E173" s="73">
        <v>0</v>
      </c>
      <c r="F173" s="74"/>
      <c r="G173" s="75">
        <v>14.5</v>
      </c>
      <c r="H173" s="74">
        <v>174228.1</v>
      </c>
      <c r="I173" s="73">
        <v>0.61982950962814953</v>
      </c>
    </row>
    <row r="174" spans="1:9" x14ac:dyDescent="0.25">
      <c r="A174" s="76" t="s">
        <v>674</v>
      </c>
      <c r="B174" s="76" t="s">
        <v>29</v>
      </c>
      <c r="C174" s="77">
        <v>40938</v>
      </c>
      <c r="D174" s="78">
        <v>41274</v>
      </c>
      <c r="E174" s="79">
        <v>0.24660000000000001</v>
      </c>
      <c r="F174" s="80">
        <v>292231.25</v>
      </c>
      <c r="G174" s="81"/>
      <c r="H174" s="80">
        <v>172747.53</v>
      </c>
      <c r="I174" s="79">
        <f>H174/F174</f>
        <v>0.59113298115790147</v>
      </c>
    </row>
    <row r="175" spans="1:9" x14ac:dyDescent="0.25">
      <c r="A175" s="76" t="s">
        <v>692</v>
      </c>
      <c r="B175" s="76" t="s">
        <v>31</v>
      </c>
      <c r="C175" s="77">
        <v>40909</v>
      </c>
      <c r="D175" s="78">
        <v>41274</v>
      </c>
      <c r="E175" s="79">
        <v>8.9999999999999993E-3</v>
      </c>
      <c r="F175" s="80">
        <v>313942</v>
      </c>
      <c r="G175" s="81"/>
      <c r="H175" s="80">
        <v>170568</v>
      </c>
      <c r="I175" s="79">
        <f>H175/F175</f>
        <v>0.54331054780819388</v>
      </c>
    </row>
    <row r="176" spans="1:9" x14ac:dyDescent="0.25">
      <c r="A176" s="76" t="s">
        <v>265</v>
      </c>
      <c r="B176" s="76" t="s">
        <v>276</v>
      </c>
      <c r="C176" s="77">
        <v>41153</v>
      </c>
      <c r="D176" s="78">
        <v>41517</v>
      </c>
      <c r="E176" s="79">
        <v>0.09</v>
      </c>
      <c r="F176" s="80">
        <v>523878.21</v>
      </c>
      <c r="G176" s="81"/>
      <c r="H176" s="80">
        <v>170383.58</v>
      </c>
      <c r="I176" s="79">
        <f>H176/F176</f>
        <v>0.32523509614954205</v>
      </c>
    </row>
    <row r="177" spans="1:9" x14ac:dyDescent="0.25">
      <c r="A177" s="76" t="s">
        <v>449</v>
      </c>
      <c r="B177" s="76" t="s">
        <v>117</v>
      </c>
      <c r="C177" s="77">
        <v>40603</v>
      </c>
      <c r="D177" s="78">
        <v>40967</v>
      </c>
      <c r="E177" s="79">
        <v>0</v>
      </c>
      <c r="F177" s="80">
        <v>370915</v>
      </c>
      <c r="G177" s="81"/>
      <c r="H177" s="80">
        <v>170289</v>
      </c>
      <c r="I177" s="79">
        <f>H177/F177</f>
        <v>0.45910518582424542</v>
      </c>
    </row>
    <row r="178" spans="1:9" x14ac:dyDescent="0.25">
      <c r="A178" s="76" t="s">
        <v>1717</v>
      </c>
      <c r="B178" s="76" t="s">
        <v>458</v>
      </c>
      <c r="C178" s="77">
        <v>41205</v>
      </c>
      <c r="D178" s="78">
        <v>41274</v>
      </c>
      <c r="E178" s="79">
        <v>8.9999999999999993E-3</v>
      </c>
      <c r="F178" s="80">
        <v>327757</v>
      </c>
      <c r="G178" s="81"/>
      <c r="H178" s="80">
        <v>169732.35</v>
      </c>
      <c r="I178" s="73">
        <f>H178/F178</f>
        <v>0.5178603355534741</v>
      </c>
    </row>
    <row r="179" spans="1:9" x14ac:dyDescent="0.25">
      <c r="A179" s="76" t="s">
        <v>594</v>
      </c>
      <c r="B179" s="76" t="s">
        <v>602</v>
      </c>
      <c r="C179" s="77">
        <v>40897</v>
      </c>
      <c r="D179" s="78">
        <v>41262</v>
      </c>
      <c r="E179" s="79">
        <v>0.9</v>
      </c>
      <c r="F179" s="80"/>
      <c r="G179" s="81">
        <v>168431.12</v>
      </c>
      <c r="H179" s="80">
        <v>168431.12</v>
      </c>
      <c r="I179" s="79">
        <f>H179/G179</f>
        <v>1</v>
      </c>
    </row>
    <row r="180" spans="1:9" x14ac:dyDescent="0.25">
      <c r="A180" s="76" t="s">
        <v>372</v>
      </c>
      <c r="B180" s="76" t="s">
        <v>115</v>
      </c>
      <c r="C180" s="77">
        <v>40717</v>
      </c>
      <c r="D180" s="78">
        <v>41082</v>
      </c>
      <c r="E180" s="79">
        <v>8.9999999999999993E-3</v>
      </c>
      <c r="F180" s="80">
        <v>392947.79</v>
      </c>
      <c r="G180" s="81"/>
      <c r="H180" s="80">
        <v>167195.03</v>
      </c>
      <c r="I180" s="79">
        <f>H180/F180</f>
        <v>0.42548917249286478</v>
      </c>
    </row>
    <row r="181" spans="1:9" x14ac:dyDescent="0.25">
      <c r="A181" s="76" t="s">
        <v>413</v>
      </c>
      <c r="B181" s="76" t="s">
        <v>414</v>
      </c>
      <c r="C181" s="77">
        <v>40940</v>
      </c>
      <c r="D181" s="78">
        <v>41305</v>
      </c>
      <c r="E181" s="79">
        <v>0.29699999999999999</v>
      </c>
      <c r="F181" s="80"/>
      <c r="G181" s="81">
        <v>517065</v>
      </c>
      <c r="H181" s="80">
        <v>167110</v>
      </c>
      <c r="I181" s="79">
        <f>H181/G181</f>
        <v>0.32318954096680302</v>
      </c>
    </row>
    <row r="182" spans="1:9" x14ac:dyDescent="0.25">
      <c r="A182" s="76" t="s">
        <v>317</v>
      </c>
      <c r="B182" s="76" t="s">
        <v>364</v>
      </c>
      <c r="C182" s="77">
        <v>41122</v>
      </c>
      <c r="D182" s="78">
        <v>41486</v>
      </c>
      <c r="E182" s="79">
        <v>8.9999999999999998E-4</v>
      </c>
      <c r="F182" s="80">
        <v>286809</v>
      </c>
      <c r="G182" s="81"/>
      <c r="H182" s="80">
        <v>165594.75</v>
      </c>
      <c r="I182" s="79">
        <f>H182/F182</f>
        <v>0.57736943401357699</v>
      </c>
    </row>
    <row r="183" spans="1:9" x14ac:dyDescent="0.25">
      <c r="A183" s="76" t="s">
        <v>171</v>
      </c>
      <c r="B183" s="76" t="s">
        <v>194</v>
      </c>
      <c r="C183" s="77">
        <v>40949</v>
      </c>
      <c r="D183" s="78">
        <v>41305</v>
      </c>
      <c r="E183" s="79">
        <v>1.7999999999999999E-2</v>
      </c>
      <c r="F183" s="80">
        <v>335429</v>
      </c>
      <c r="G183" s="81"/>
      <c r="H183" s="80">
        <v>164717.87</v>
      </c>
      <c r="I183" s="79">
        <f>H183/F183</f>
        <v>0.49106627632077132</v>
      </c>
    </row>
    <row r="184" spans="1:9" ht="28.5" x14ac:dyDescent="0.25">
      <c r="A184" s="76" t="s">
        <v>449</v>
      </c>
      <c r="B184" s="76" t="s">
        <v>327</v>
      </c>
      <c r="C184" s="77">
        <v>40695</v>
      </c>
      <c r="D184" s="78">
        <v>41060</v>
      </c>
      <c r="E184" s="79">
        <v>0</v>
      </c>
      <c r="F184" s="80">
        <v>1843415</v>
      </c>
      <c r="G184" s="81"/>
      <c r="H184" s="80">
        <v>164064</v>
      </c>
      <c r="I184" s="79">
        <f>H184/F184</f>
        <v>8.900003526064397E-2</v>
      </c>
    </row>
    <row r="185" spans="1:9" x14ac:dyDescent="0.25">
      <c r="A185" s="76" t="s">
        <v>317</v>
      </c>
      <c r="B185" s="76" t="s">
        <v>19</v>
      </c>
      <c r="C185" s="77">
        <v>40621</v>
      </c>
      <c r="D185" s="78">
        <v>40968</v>
      </c>
      <c r="E185" s="79">
        <v>1.7999999999999999E-2</v>
      </c>
      <c r="F185" s="80"/>
      <c r="G185" s="81">
        <v>364995.2</v>
      </c>
      <c r="H185" s="80">
        <v>162321.39000000001</v>
      </c>
      <c r="I185" s="79">
        <f>H185/G185</f>
        <v>0.44472198538501329</v>
      </c>
    </row>
    <row r="186" spans="1:9" x14ac:dyDescent="0.25">
      <c r="A186" s="76" t="s">
        <v>317</v>
      </c>
      <c r="B186" s="76" t="s">
        <v>328</v>
      </c>
      <c r="C186" s="77">
        <v>41095</v>
      </c>
      <c r="D186" s="78">
        <v>41459</v>
      </c>
      <c r="E186" s="79">
        <v>8.9999999999999998E-4</v>
      </c>
      <c r="F186" s="80">
        <v>1386488.63</v>
      </c>
      <c r="G186" s="81"/>
      <c r="H186" s="80">
        <v>160507.10999999999</v>
      </c>
      <c r="I186" s="79">
        <f>H186/F186</f>
        <v>0.11576518301487983</v>
      </c>
    </row>
    <row r="187" spans="1:9" x14ac:dyDescent="0.25">
      <c r="A187" s="70" t="s">
        <v>113</v>
      </c>
      <c r="B187" s="70" t="s">
        <v>31</v>
      </c>
      <c r="C187" s="71">
        <v>40612</v>
      </c>
      <c r="D187" s="72">
        <v>40939</v>
      </c>
      <c r="E187" s="73">
        <v>8.9999999999999993E-3</v>
      </c>
      <c r="F187" s="74">
        <v>266209</v>
      </c>
      <c r="G187" s="75"/>
      <c r="H187" s="74">
        <v>159111.79999999999</v>
      </c>
      <c r="I187" s="73">
        <v>0.59769504411946994</v>
      </c>
    </row>
    <row r="188" spans="1:9" x14ac:dyDescent="0.25">
      <c r="A188" s="70" t="s">
        <v>87</v>
      </c>
      <c r="B188" s="70" t="s">
        <v>91</v>
      </c>
      <c r="C188" s="71">
        <v>40899</v>
      </c>
      <c r="D188" s="72" t="s">
        <v>97</v>
      </c>
      <c r="E188" s="73">
        <v>0.92500000000000004</v>
      </c>
      <c r="F188" s="74">
        <v>171707.01</v>
      </c>
      <c r="G188" s="75"/>
      <c r="H188" s="74">
        <v>158828.98000000001</v>
      </c>
      <c r="I188" s="73">
        <v>0.92499997524853528</v>
      </c>
    </row>
    <row r="189" spans="1:9" x14ac:dyDescent="0.25">
      <c r="A189" s="76" t="s">
        <v>263</v>
      </c>
      <c r="B189" s="76" t="s">
        <v>179</v>
      </c>
      <c r="C189" s="77">
        <v>40854</v>
      </c>
      <c r="D189" s="78">
        <v>41219</v>
      </c>
      <c r="E189" s="79">
        <v>8.9999999999999993E-3</v>
      </c>
      <c r="F189" s="80">
        <v>310048.58</v>
      </c>
      <c r="G189" s="81"/>
      <c r="H189" s="80">
        <v>158275.09</v>
      </c>
      <c r="I189" s="79">
        <f>H189/F189</f>
        <v>0.51048480854193878</v>
      </c>
    </row>
    <row r="190" spans="1:9" x14ac:dyDescent="0.25">
      <c r="A190" s="70" t="s">
        <v>146</v>
      </c>
      <c r="B190" s="70" t="s">
        <v>164</v>
      </c>
      <c r="C190" s="71">
        <v>40725</v>
      </c>
      <c r="D190" s="72">
        <v>41060</v>
      </c>
      <c r="E190" s="101">
        <v>4.4999999999999999E-4</v>
      </c>
      <c r="F190" s="74">
        <v>358417.24</v>
      </c>
      <c r="G190" s="75"/>
      <c r="H190" s="74">
        <v>157412.82</v>
      </c>
      <c r="I190" s="73">
        <v>0.43918875107681765</v>
      </c>
    </row>
    <row r="191" spans="1:9" x14ac:dyDescent="0.25">
      <c r="A191" s="76" t="s">
        <v>531</v>
      </c>
      <c r="B191" s="76" t="s">
        <v>90</v>
      </c>
      <c r="C191" s="77">
        <v>40718</v>
      </c>
      <c r="D191" s="78">
        <v>41083</v>
      </c>
      <c r="E191" s="79">
        <v>0.36</v>
      </c>
      <c r="F191" s="80">
        <v>476820</v>
      </c>
      <c r="G191" s="81"/>
      <c r="H191" s="80">
        <v>156930</v>
      </c>
      <c r="I191" s="79">
        <f>H191/F191</f>
        <v>0.32911790612809866</v>
      </c>
    </row>
    <row r="192" spans="1:9" x14ac:dyDescent="0.25">
      <c r="A192" s="76" t="s">
        <v>613</v>
      </c>
      <c r="B192" s="76" t="s">
        <v>22</v>
      </c>
      <c r="C192" s="77">
        <v>40807</v>
      </c>
      <c r="D192" s="78">
        <v>41173</v>
      </c>
      <c r="E192" s="79">
        <v>1.7999999999999999E-2</v>
      </c>
      <c r="F192" s="80">
        <v>222745</v>
      </c>
      <c r="G192" s="81"/>
      <c r="H192" s="80">
        <v>152987</v>
      </c>
      <c r="I192" s="79">
        <f>H192/F192</f>
        <v>0.68682574244090777</v>
      </c>
    </row>
    <row r="193" spans="1:9" x14ac:dyDescent="0.25">
      <c r="A193" s="76" t="s">
        <v>478</v>
      </c>
      <c r="B193" s="76" t="s">
        <v>68</v>
      </c>
      <c r="C193" s="77">
        <v>40787</v>
      </c>
      <c r="D193" s="78">
        <v>41152</v>
      </c>
      <c r="E193" s="79">
        <v>0.13</v>
      </c>
      <c r="F193" s="80">
        <v>1519186.2</v>
      </c>
      <c r="G193" s="81"/>
      <c r="H193" s="80">
        <v>151918.63</v>
      </c>
      <c r="I193" s="79">
        <f>H193/F193</f>
        <v>0.1000000065824716</v>
      </c>
    </row>
    <row r="194" spans="1:9" x14ac:dyDescent="0.25">
      <c r="A194" s="76" t="s">
        <v>512</v>
      </c>
      <c r="B194" s="76" t="s">
        <v>120</v>
      </c>
      <c r="C194" s="77">
        <v>41047</v>
      </c>
      <c r="D194" s="78">
        <v>41411</v>
      </c>
      <c r="E194" s="79">
        <v>8.9999999999999998E-4</v>
      </c>
      <c r="F194" s="80">
        <v>1519018.88</v>
      </c>
      <c r="G194" s="81"/>
      <c r="H194" s="80">
        <v>151901.89000000001</v>
      </c>
      <c r="I194" s="79">
        <f>H194/F194</f>
        <v>0.10000000131663934</v>
      </c>
    </row>
    <row r="195" spans="1:9" x14ac:dyDescent="0.25">
      <c r="A195" s="76" t="s">
        <v>171</v>
      </c>
      <c r="B195" s="76" t="s">
        <v>204</v>
      </c>
      <c r="C195" s="77">
        <v>40796</v>
      </c>
      <c r="D195" s="78">
        <v>41161</v>
      </c>
      <c r="E195" s="79">
        <v>1.7999999999999999E-2</v>
      </c>
      <c r="F195" s="80">
        <v>281577</v>
      </c>
      <c r="G195" s="81"/>
      <c r="H195" s="80">
        <v>150420</v>
      </c>
      <c r="I195" s="79">
        <f>H195/F195</f>
        <v>0.53420556366464589</v>
      </c>
    </row>
    <row r="196" spans="1:9" x14ac:dyDescent="0.25">
      <c r="A196" s="76" t="s">
        <v>317</v>
      </c>
      <c r="B196" s="76" t="s">
        <v>325</v>
      </c>
      <c r="C196" s="77">
        <v>40725</v>
      </c>
      <c r="D196" s="78">
        <v>41090</v>
      </c>
      <c r="E196" s="79">
        <v>0</v>
      </c>
      <c r="F196" s="80"/>
      <c r="G196" s="81">
        <v>152803.82999999999</v>
      </c>
      <c r="H196" s="80">
        <v>147785.85999999999</v>
      </c>
      <c r="I196" s="79">
        <f>H196/G196</f>
        <v>0.96716070533048815</v>
      </c>
    </row>
    <row r="197" spans="1:9" x14ac:dyDescent="0.25">
      <c r="A197" s="76" t="s">
        <v>449</v>
      </c>
      <c r="B197" s="76" t="s">
        <v>465</v>
      </c>
      <c r="C197" s="77">
        <v>40909</v>
      </c>
      <c r="D197" s="78">
        <v>41274</v>
      </c>
      <c r="E197" s="79">
        <v>0</v>
      </c>
      <c r="F197" s="80">
        <v>259816</v>
      </c>
      <c r="G197" s="81"/>
      <c r="H197" s="80">
        <v>145854</v>
      </c>
      <c r="I197" s="79">
        <f>H197/F197</f>
        <v>0.5613742032823229</v>
      </c>
    </row>
    <row r="198" spans="1:9" x14ac:dyDescent="0.25">
      <c r="A198" s="70" t="s">
        <v>122</v>
      </c>
      <c r="B198" s="70" t="s">
        <v>124</v>
      </c>
      <c r="C198" s="71">
        <v>40725</v>
      </c>
      <c r="D198" s="72">
        <v>41090</v>
      </c>
      <c r="E198" s="73">
        <v>0.09</v>
      </c>
      <c r="F198" s="74">
        <v>802162.18</v>
      </c>
      <c r="G198" s="75"/>
      <c r="H198" s="74">
        <v>144683.47</v>
      </c>
      <c r="I198" s="73">
        <v>0.18036685549049444</v>
      </c>
    </row>
    <row r="199" spans="1:9" x14ac:dyDescent="0.25">
      <c r="A199" s="76" t="s">
        <v>665</v>
      </c>
      <c r="B199" s="76" t="s">
        <v>672</v>
      </c>
      <c r="C199" s="77">
        <v>40909</v>
      </c>
      <c r="D199" s="78">
        <v>41274</v>
      </c>
      <c r="E199" s="79">
        <v>0.19800000000000001</v>
      </c>
      <c r="F199" s="80">
        <v>551533</v>
      </c>
      <c r="G199" s="81"/>
      <c r="H199" s="80">
        <v>144305</v>
      </c>
      <c r="I199" s="79">
        <f>H199/F199</f>
        <v>0.26164345560465102</v>
      </c>
    </row>
    <row r="200" spans="1:9" x14ac:dyDescent="0.25">
      <c r="A200" s="76" t="s">
        <v>281</v>
      </c>
      <c r="B200" s="76" t="s">
        <v>282</v>
      </c>
      <c r="C200" s="77">
        <v>40940</v>
      </c>
      <c r="D200" s="78">
        <v>41274</v>
      </c>
      <c r="E200" s="79">
        <v>0</v>
      </c>
      <c r="F200" s="80">
        <v>191191.6</v>
      </c>
      <c r="G200" s="81"/>
      <c r="H200" s="80">
        <v>143312.65</v>
      </c>
      <c r="I200" s="79">
        <f>H200/F200</f>
        <v>0.74957607970224627</v>
      </c>
    </row>
    <row r="201" spans="1:9" x14ac:dyDescent="0.25">
      <c r="A201" s="76" t="s">
        <v>692</v>
      </c>
      <c r="B201" s="76" t="s">
        <v>29</v>
      </c>
      <c r="C201" s="77">
        <v>40954</v>
      </c>
      <c r="D201" s="78">
        <v>41274</v>
      </c>
      <c r="E201" s="79">
        <v>8.9999999999999993E-3</v>
      </c>
      <c r="F201" s="80">
        <v>278803</v>
      </c>
      <c r="G201" s="81"/>
      <c r="H201" s="80">
        <v>142452</v>
      </c>
      <c r="I201" s="79">
        <f>H201/F201</f>
        <v>0.51094141741659882</v>
      </c>
    </row>
    <row r="202" spans="1:9" x14ac:dyDescent="0.25">
      <c r="A202" s="76" t="s">
        <v>317</v>
      </c>
      <c r="B202" s="76" t="s">
        <v>348</v>
      </c>
      <c r="C202" s="77">
        <v>40909</v>
      </c>
      <c r="D202" s="78">
        <v>41274</v>
      </c>
      <c r="E202" s="79">
        <v>0</v>
      </c>
      <c r="F202" s="80"/>
      <c r="G202" s="81">
        <v>392619.18</v>
      </c>
      <c r="H202" s="80">
        <v>141719.39000000001</v>
      </c>
      <c r="I202" s="79">
        <f>H202/G202</f>
        <v>0.36095890679614789</v>
      </c>
    </row>
    <row r="203" spans="1:9" x14ac:dyDescent="0.25">
      <c r="A203" s="76" t="s">
        <v>674</v>
      </c>
      <c r="B203" s="76" t="s">
        <v>172</v>
      </c>
      <c r="C203" s="77">
        <v>40920</v>
      </c>
      <c r="D203" s="78">
        <v>41274</v>
      </c>
      <c r="E203" s="79">
        <v>0.29699999999999999</v>
      </c>
      <c r="F203" s="80"/>
      <c r="G203" s="81">
        <v>172897</v>
      </c>
      <c r="H203" s="80">
        <v>140463.56</v>
      </c>
      <c r="I203" s="79">
        <f>H203/G203</f>
        <v>0.81241178273769932</v>
      </c>
    </row>
    <row r="204" spans="1:9" x14ac:dyDescent="0.25">
      <c r="A204" s="76" t="s">
        <v>643</v>
      </c>
      <c r="B204" s="76" t="s">
        <v>330</v>
      </c>
      <c r="C204" s="77">
        <v>40956</v>
      </c>
      <c r="D204" s="78">
        <v>41321</v>
      </c>
      <c r="E204" s="79">
        <v>4.4999999999999997E-3</v>
      </c>
      <c r="F204" s="80">
        <v>227868.03</v>
      </c>
      <c r="G204" s="81"/>
      <c r="H204" s="80">
        <v>139193.13</v>
      </c>
      <c r="I204" s="79">
        <f>H204/F204</f>
        <v>0.61084975369295991</v>
      </c>
    </row>
    <row r="205" spans="1:9" x14ac:dyDescent="0.25">
      <c r="A205" s="76" t="s">
        <v>281</v>
      </c>
      <c r="B205" s="76" t="s">
        <v>282</v>
      </c>
      <c r="C205" s="77">
        <v>40575</v>
      </c>
      <c r="D205" s="78">
        <v>40939</v>
      </c>
      <c r="E205" s="79">
        <v>0</v>
      </c>
      <c r="F205" s="80">
        <v>187684.67</v>
      </c>
      <c r="G205" s="81"/>
      <c r="H205" s="80">
        <v>137022.14000000001</v>
      </c>
      <c r="I205" s="79">
        <f>H205/F205</f>
        <v>0.73006570009154181</v>
      </c>
    </row>
    <row r="206" spans="1:9" x14ac:dyDescent="0.25">
      <c r="A206" s="76" t="s">
        <v>487</v>
      </c>
      <c r="B206" s="76" t="s">
        <v>488</v>
      </c>
      <c r="C206" s="77">
        <v>41091</v>
      </c>
      <c r="D206" s="78">
        <v>41455</v>
      </c>
      <c r="E206" s="79">
        <v>0.09</v>
      </c>
      <c r="F206" s="80">
        <v>3300896.24</v>
      </c>
      <c r="G206" s="88"/>
      <c r="H206" s="80">
        <v>137000</v>
      </c>
      <c r="I206" s="79">
        <f>H206/F206</f>
        <v>4.150387956453911E-2</v>
      </c>
    </row>
    <row r="207" spans="1:9" x14ac:dyDescent="0.25">
      <c r="A207" s="76" t="s">
        <v>487</v>
      </c>
      <c r="B207" s="76" t="s">
        <v>142</v>
      </c>
      <c r="C207" s="77">
        <v>40725</v>
      </c>
      <c r="D207" s="78">
        <v>41090</v>
      </c>
      <c r="E207" s="79">
        <v>0.09</v>
      </c>
      <c r="F207" s="80">
        <v>2059060.4</v>
      </c>
      <c r="G207" s="88"/>
      <c r="H207" s="80">
        <v>135000</v>
      </c>
      <c r="I207" s="79">
        <f>H207/F207</f>
        <v>6.5563885352756049E-2</v>
      </c>
    </row>
    <row r="208" spans="1:9" x14ac:dyDescent="0.25">
      <c r="A208" s="76" t="s">
        <v>317</v>
      </c>
      <c r="B208" s="76" t="s">
        <v>365</v>
      </c>
      <c r="C208" s="77">
        <v>41232</v>
      </c>
      <c r="D208" s="78">
        <v>41547</v>
      </c>
      <c r="E208" s="79">
        <v>8.9999999999999998E-4</v>
      </c>
      <c r="F208" s="80"/>
      <c r="G208" s="81">
        <v>148684.45000000001</v>
      </c>
      <c r="H208" s="80">
        <v>134686.22</v>
      </c>
      <c r="I208" s="79">
        <f>H208/G208</f>
        <v>0.90585276402475168</v>
      </c>
    </row>
    <row r="209" spans="1:9" x14ac:dyDescent="0.25">
      <c r="A209" s="70" t="s">
        <v>140</v>
      </c>
      <c r="B209" s="70" t="s">
        <v>142</v>
      </c>
      <c r="C209" s="71">
        <v>40909</v>
      </c>
      <c r="D209" s="72">
        <v>41274</v>
      </c>
      <c r="E209" s="73">
        <v>0.125</v>
      </c>
      <c r="F209" s="74">
        <v>972020.15</v>
      </c>
      <c r="G209" s="75"/>
      <c r="H209" s="74">
        <v>133158.56</v>
      </c>
      <c r="I209" s="73">
        <v>0.13699156339505925</v>
      </c>
    </row>
    <row r="210" spans="1:9" x14ac:dyDescent="0.25">
      <c r="A210" s="70" t="s">
        <v>140</v>
      </c>
      <c r="B210" s="70" t="s">
        <v>142</v>
      </c>
      <c r="C210" s="71">
        <v>40909</v>
      </c>
      <c r="D210" s="72">
        <v>41274</v>
      </c>
      <c r="E210" s="73">
        <v>0.125</v>
      </c>
      <c r="F210" s="74"/>
      <c r="G210" s="75">
        <v>972020.15</v>
      </c>
      <c r="H210" s="74">
        <v>133158.56</v>
      </c>
      <c r="I210" s="73">
        <v>0.13699156339505925</v>
      </c>
    </row>
    <row r="211" spans="1:9" x14ac:dyDescent="0.25">
      <c r="A211" s="76" t="s">
        <v>681</v>
      </c>
      <c r="B211" s="76" t="s">
        <v>125</v>
      </c>
      <c r="C211" s="77">
        <v>40664</v>
      </c>
      <c r="D211" s="78">
        <v>40962</v>
      </c>
      <c r="E211" s="79">
        <v>0.13</v>
      </c>
      <c r="F211" s="80">
        <v>384218.65</v>
      </c>
      <c r="G211" s="81"/>
      <c r="H211" s="80">
        <v>131515.46</v>
      </c>
      <c r="I211" s="79">
        <f>H211/F211</f>
        <v>0.34229327493602923</v>
      </c>
    </row>
    <row r="212" spans="1:9" x14ac:dyDescent="0.25">
      <c r="A212" s="70" t="s">
        <v>171</v>
      </c>
      <c r="B212" s="70" t="s">
        <v>177</v>
      </c>
      <c r="C212" s="71">
        <v>40662</v>
      </c>
      <c r="D212" s="72">
        <v>41027</v>
      </c>
      <c r="E212" s="73">
        <v>1.7999999999999999E-2</v>
      </c>
      <c r="F212" s="74">
        <v>271231</v>
      </c>
      <c r="G212" s="75"/>
      <c r="H212" s="74">
        <v>130242.68</v>
      </c>
      <c r="I212" s="79">
        <f>H212/F212</f>
        <v>0.48019098111941477</v>
      </c>
    </row>
    <row r="213" spans="1:9" x14ac:dyDescent="0.25">
      <c r="A213" s="76" t="s">
        <v>583</v>
      </c>
      <c r="B213" s="76" t="s">
        <v>585</v>
      </c>
      <c r="C213" s="77">
        <v>40837</v>
      </c>
      <c r="D213" s="78">
        <v>41202</v>
      </c>
      <c r="E213" s="79">
        <v>0.09</v>
      </c>
      <c r="F213" s="80"/>
      <c r="G213" s="81">
        <v>131368</v>
      </c>
      <c r="H213" s="80">
        <v>128968</v>
      </c>
      <c r="I213" s="79">
        <f>H213/G213</f>
        <v>0.98173071067535478</v>
      </c>
    </row>
    <row r="214" spans="1:9" x14ac:dyDescent="0.25">
      <c r="A214" s="70" t="s">
        <v>130</v>
      </c>
      <c r="B214" s="70" t="s">
        <v>131</v>
      </c>
      <c r="C214" s="71">
        <v>40969</v>
      </c>
      <c r="D214" s="72">
        <v>41333</v>
      </c>
      <c r="E214" s="73">
        <v>0.108</v>
      </c>
      <c r="F214" s="74">
        <v>1066130.6200000001</v>
      </c>
      <c r="G214" s="75"/>
      <c r="H214" s="74">
        <v>128375.67</v>
      </c>
      <c r="I214" s="73">
        <v>0.12041270327645218</v>
      </c>
    </row>
    <row r="215" spans="1:9" ht="28.5" x14ac:dyDescent="0.25">
      <c r="A215" s="70" t="s">
        <v>122</v>
      </c>
      <c r="B215" s="70" t="s">
        <v>65</v>
      </c>
      <c r="C215" s="71">
        <v>40940</v>
      </c>
      <c r="D215" s="72">
        <v>41305</v>
      </c>
      <c r="E215" s="73">
        <v>0.15</v>
      </c>
      <c r="F215" s="74">
        <v>851914</v>
      </c>
      <c r="G215" s="75"/>
      <c r="H215" s="74">
        <v>127787.1</v>
      </c>
      <c r="I215" s="73">
        <v>0.15</v>
      </c>
    </row>
    <row r="216" spans="1:9" x14ac:dyDescent="0.25">
      <c r="A216" s="70" t="s">
        <v>171</v>
      </c>
      <c r="B216" s="70" t="s">
        <v>185</v>
      </c>
      <c r="C216" s="71">
        <v>40747</v>
      </c>
      <c r="D216" s="72">
        <v>41090</v>
      </c>
      <c r="E216" s="73">
        <v>1.7999999999999999E-2</v>
      </c>
      <c r="F216" s="74">
        <v>234012</v>
      </c>
      <c r="G216" s="75"/>
      <c r="H216" s="74">
        <v>126881.51</v>
      </c>
      <c r="I216" s="79">
        <f>H216/F216</f>
        <v>0.5422008700408526</v>
      </c>
    </row>
    <row r="217" spans="1:9" x14ac:dyDescent="0.25">
      <c r="A217" s="76" t="s">
        <v>478</v>
      </c>
      <c r="B217" s="76" t="s">
        <v>68</v>
      </c>
      <c r="C217" s="77">
        <v>41153</v>
      </c>
      <c r="D217" s="78">
        <v>41517</v>
      </c>
      <c r="E217" s="79">
        <v>0.13</v>
      </c>
      <c r="F217" s="80">
        <v>1258312.26</v>
      </c>
      <c r="G217" s="81"/>
      <c r="H217" s="80">
        <v>125831.24</v>
      </c>
      <c r="I217" s="79">
        <f>H217/F217</f>
        <v>0.10000001112601414</v>
      </c>
    </row>
    <row r="218" spans="1:9" x14ac:dyDescent="0.25">
      <c r="A218" s="76" t="s">
        <v>317</v>
      </c>
      <c r="B218" s="76" t="s">
        <v>342</v>
      </c>
      <c r="C218" s="77">
        <v>40830</v>
      </c>
      <c r="D218" s="78">
        <v>41121</v>
      </c>
      <c r="E218" s="79">
        <v>0</v>
      </c>
      <c r="F218" s="80">
        <v>198365.13</v>
      </c>
      <c r="G218" s="81"/>
      <c r="H218" s="80">
        <v>125604.68</v>
      </c>
      <c r="I218" s="79">
        <f>H218/F218</f>
        <v>0.63319939346194565</v>
      </c>
    </row>
    <row r="219" spans="1:9" x14ac:dyDescent="0.25">
      <c r="A219" s="70" t="s">
        <v>38</v>
      </c>
      <c r="B219" s="70" t="s">
        <v>40</v>
      </c>
      <c r="C219" s="71">
        <v>40633</v>
      </c>
      <c r="D219" s="72">
        <v>40998</v>
      </c>
      <c r="E219" s="73">
        <v>0.40500000000000003</v>
      </c>
      <c r="F219" s="74"/>
      <c r="G219" s="75">
        <v>278405.68</v>
      </c>
      <c r="H219" s="74">
        <v>125282.55</v>
      </c>
      <c r="I219" s="73">
        <v>0.44999997844871559</v>
      </c>
    </row>
    <row r="220" spans="1:9" x14ac:dyDescent="0.25">
      <c r="A220" s="70" t="s">
        <v>20</v>
      </c>
      <c r="B220" s="70" t="s">
        <v>33</v>
      </c>
      <c r="C220" s="71">
        <v>40861</v>
      </c>
      <c r="D220" s="72">
        <v>41207</v>
      </c>
      <c r="E220" s="73">
        <v>0</v>
      </c>
      <c r="F220" s="74">
        <v>171538.46</v>
      </c>
      <c r="G220" s="75"/>
      <c r="H220" s="74">
        <v>122303.03999999999</v>
      </c>
      <c r="I220" s="73">
        <v>0.71297736962311542</v>
      </c>
    </row>
    <row r="221" spans="1:9" ht="28.5" x14ac:dyDescent="0.25">
      <c r="A221" s="70" t="s">
        <v>122</v>
      </c>
      <c r="B221" s="70" t="s">
        <v>123</v>
      </c>
      <c r="C221" s="71">
        <v>40603</v>
      </c>
      <c r="D221" s="72">
        <v>40939</v>
      </c>
      <c r="E221" s="73">
        <v>0.15</v>
      </c>
      <c r="F221" s="74">
        <v>808864</v>
      </c>
      <c r="G221" s="75"/>
      <c r="H221" s="74">
        <v>121329.60000000001</v>
      </c>
      <c r="I221" s="73">
        <v>0.15</v>
      </c>
    </row>
    <row r="222" spans="1:9" x14ac:dyDescent="0.25">
      <c r="A222" s="70" t="s">
        <v>38</v>
      </c>
      <c r="B222" s="70" t="s">
        <v>50</v>
      </c>
      <c r="C222" s="71">
        <v>40878</v>
      </c>
      <c r="D222" s="72">
        <v>41243</v>
      </c>
      <c r="E222" s="73">
        <v>0.45</v>
      </c>
      <c r="F222" s="74"/>
      <c r="G222" s="75">
        <v>266503.34999999998</v>
      </c>
      <c r="H222" s="74">
        <v>119926.5</v>
      </c>
      <c r="I222" s="73">
        <v>0.44999997185776469</v>
      </c>
    </row>
    <row r="223" spans="1:9" x14ac:dyDescent="0.25">
      <c r="A223" s="76" t="s">
        <v>270</v>
      </c>
      <c r="B223" s="76" t="s">
        <v>271</v>
      </c>
      <c r="C223" s="77">
        <v>40597</v>
      </c>
      <c r="D223" s="78">
        <v>40961</v>
      </c>
      <c r="E223" s="79">
        <v>0.01</v>
      </c>
      <c r="F223" s="80">
        <v>585240.25</v>
      </c>
      <c r="G223" s="81"/>
      <c r="H223" s="80">
        <v>117048.05</v>
      </c>
      <c r="I223" s="79">
        <f>H223/F223</f>
        <v>0.2</v>
      </c>
    </row>
    <row r="224" spans="1:9" x14ac:dyDescent="0.25">
      <c r="A224" s="76" t="s">
        <v>270</v>
      </c>
      <c r="B224" s="76" t="s">
        <v>278</v>
      </c>
      <c r="C224" s="77">
        <v>40962</v>
      </c>
      <c r="D224" s="78">
        <v>41327</v>
      </c>
      <c r="E224" s="79">
        <v>8.9999999999999993E-3</v>
      </c>
      <c r="F224" s="80">
        <v>576972.06000000006</v>
      </c>
      <c r="G224" s="81"/>
      <c r="H224" s="80">
        <v>115394.41</v>
      </c>
      <c r="I224" s="79">
        <f>H224/F224</f>
        <v>0.19999999653362763</v>
      </c>
    </row>
    <row r="225" spans="1:9" x14ac:dyDescent="0.25">
      <c r="A225" s="76" t="s">
        <v>270</v>
      </c>
      <c r="B225" s="76" t="s">
        <v>276</v>
      </c>
      <c r="C225" s="77">
        <v>40909</v>
      </c>
      <c r="D225" s="78">
        <v>41152</v>
      </c>
      <c r="E225" s="79">
        <v>0.09</v>
      </c>
      <c r="F225" s="80">
        <v>502141.14</v>
      </c>
      <c r="G225" s="81"/>
      <c r="H225" s="80">
        <v>115190.56</v>
      </c>
      <c r="I225" s="79">
        <f>H225/F225</f>
        <v>0.22939877023420147</v>
      </c>
    </row>
    <row r="226" spans="1:9" x14ac:dyDescent="0.25">
      <c r="A226" s="76" t="s">
        <v>270</v>
      </c>
      <c r="B226" s="76" t="s">
        <v>273</v>
      </c>
      <c r="C226" s="77">
        <v>40725</v>
      </c>
      <c r="D226" s="78">
        <v>41090</v>
      </c>
      <c r="E226" s="79">
        <v>0.45</v>
      </c>
      <c r="F226" s="80">
        <v>409359.4</v>
      </c>
      <c r="G226" s="81"/>
      <c r="H226" s="80">
        <v>113962</v>
      </c>
      <c r="I226" s="79">
        <f>H226/F226</f>
        <v>0.27839106662751606</v>
      </c>
    </row>
    <row r="227" spans="1:9" x14ac:dyDescent="0.25">
      <c r="A227" s="76" t="s">
        <v>549</v>
      </c>
      <c r="B227" s="76" t="s">
        <v>551</v>
      </c>
      <c r="C227" s="77">
        <v>40647</v>
      </c>
      <c r="D227" s="78">
        <v>41012</v>
      </c>
      <c r="E227" s="79">
        <v>0.3</v>
      </c>
      <c r="F227" s="80">
        <v>290785</v>
      </c>
      <c r="G227" s="88"/>
      <c r="H227" s="80">
        <v>113865.4</v>
      </c>
      <c r="I227" s="79">
        <f>H227/F227</f>
        <v>0.3915793455645924</v>
      </c>
    </row>
    <row r="228" spans="1:9" x14ac:dyDescent="0.25">
      <c r="A228" s="70" t="s">
        <v>101</v>
      </c>
      <c r="B228" s="70" t="s">
        <v>107</v>
      </c>
      <c r="C228" s="71">
        <v>41163</v>
      </c>
      <c r="D228" s="72">
        <v>41274</v>
      </c>
      <c r="E228" s="73">
        <v>8.9999999999999993E-3</v>
      </c>
      <c r="F228" s="74">
        <v>145302</v>
      </c>
      <c r="G228" s="75"/>
      <c r="H228" s="74">
        <v>113764.89</v>
      </c>
      <c r="I228" s="73">
        <v>0.78295474253623487</v>
      </c>
    </row>
    <row r="229" spans="1:9" x14ac:dyDescent="0.25">
      <c r="A229" s="76" t="s">
        <v>635</v>
      </c>
      <c r="B229" s="76" t="s">
        <v>636</v>
      </c>
      <c r="C229" s="77">
        <v>40559</v>
      </c>
      <c r="D229" s="78">
        <v>40923</v>
      </c>
      <c r="E229" s="79">
        <v>0.5</v>
      </c>
      <c r="F229" s="80">
        <v>224830</v>
      </c>
      <c r="G229" s="81"/>
      <c r="H229" s="80">
        <v>112415</v>
      </c>
      <c r="I229" s="79">
        <f>H229/F229</f>
        <v>0.5</v>
      </c>
    </row>
    <row r="230" spans="1:9" x14ac:dyDescent="0.25">
      <c r="A230" s="76" t="s">
        <v>665</v>
      </c>
      <c r="B230" s="76" t="s">
        <v>670</v>
      </c>
      <c r="C230" s="77">
        <v>40909</v>
      </c>
      <c r="D230" s="78">
        <v>41253</v>
      </c>
      <c r="E230" s="79">
        <v>0.2</v>
      </c>
      <c r="F230" s="80">
        <v>568396</v>
      </c>
      <c r="G230" s="81"/>
      <c r="H230" s="80">
        <v>109934</v>
      </c>
      <c r="I230" s="79">
        <f>H230/F230</f>
        <v>0.19341093181514296</v>
      </c>
    </row>
    <row r="231" spans="1:9" x14ac:dyDescent="0.25">
      <c r="A231" s="70" t="s">
        <v>87</v>
      </c>
      <c r="B231" s="70" t="s">
        <v>93</v>
      </c>
      <c r="C231" s="71">
        <v>40849</v>
      </c>
      <c r="D231" s="72">
        <v>41214</v>
      </c>
      <c r="E231" s="73">
        <v>0.92500000000000004</v>
      </c>
      <c r="F231" s="74">
        <v>115302.1</v>
      </c>
      <c r="G231" s="75"/>
      <c r="H231" s="74">
        <v>106654.44</v>
      </c>
      <c r="I231" s="73">
        <v>0.92499997831782765</v>
      </c>
    </row>
    <row r="232" spans="1:9" x14ac:dyDescent="0.25">
      <c r="A232" s="76" t="s">
        <v>315</v>
      </c>
      <c r="B232" s="76" t="s">
        <v>52</v>
      </c>
      <c r="C232" s="77">
        <v>40634</v>
      </c>
      <c r="D232" s="78">
        <v>40954</v>
      </c>
      <c r="E232" s="79">
        <v>0.01</v>
      </c>
      <c r="F232" s="80">
        <v>2175997</v>
      </c>
      <c r="G232" s="81"/>
      <c r="H232" s="80">
        <v>106034.18</v>
      </c>
      <c r="I232" s="79">
        <f>H232/F232</f>
        <v>4.8729010196245669E-2</v>
      </c>
    </row>
    <row r="233" spans="1:9" x14ac:dyDescent="0.25">
      <c r="A233" s="76" t="s">
        <v>249</v>
      </c>
      <c r="B233" s="76" t="s">
        <v>256</v>
      </c>
      <c r="C233" s="77">
        <v>40812</v>
      </c>
      <c r="D233" s="78">
        <v>40939</v>
      </c>
      <c r="E233" s="79">
        <v>0</v>
      </c>
      <c r="F233" s="80">
        <v>153537</v>
      </c>
      <c r="G233" s="81"/>
      <c r="H233" s="80">
        <v>105824.66</v>
      </c>
      <c r="I233" s="79">
        <f>H233/F233</f>
        <v>0.6892453284875959</v>
      </c>
    </row>
    <row r="234" spans="1:9" x14ac:dyDescent="0.25">
      <c r="A234" s="70" t="s">
        <v>20</v>
      </c>
      <c r="B234" s="70" t="s">
        <v>22</v>
      </c>
      <c r="C234" s="71">
        <v>40634</v>
      </c>
      <c r="D234" s="72">
        <v>41090</v>
      </c>
      <c r="E234" s="73">
        <v>0</v>
      </c>
      <c r="F234" s="74"/>
      <c r="G234" s="75">
        <v>582.1</v>
      </c>
      <c r="H234" s="74">
        <v>104493.26</v>
      </c>
      <c r="I234" s="73">
        <v>0.76598134403577245</v>
      </c>
    </row>
    <row r="235" spans="1:9" x14ac:dyDescent="0.25">
      <c r="A235" s="76" t="s">
        <v>449</v>
      </c>
      <c r="B235" s="76" t="s">
        <v>458</v>
      </c>
      <c r="C235" s="77">
        <v>40756</v>
      </c>
      <c r="D235" s="78">
        <v>41121</v>
      </c>
      <c r="E235" s="79">
        <v>0</v>
      </c>
      <c r="F235" s="80">
        <v>986984</v>
      </c>
      <c r="G235" s="81"/>
      <c r="H235" s="80">
        <v>103434</v>
      </c>
      <c r="I235" s="79">
        <f>H235/F235</f>
        <v>0.10479805143751064</v>
      </c>
    </row>
    <row r="236" spans="1:9" x14ac:dyDescent="0.25">
      <c r="A236" s="76" t="s">
        <v>367</v>
      </c>
      <c r="B236" s="76" t="s">
        <v>131</v>
      </c>
      <c r="C236" s="77">
        <v>40664</v>
      </c>
      <c r="D236" s="78">
        <v>41029</v>
      </c>
      <c r="E236" s="79">
        <v>0.12</v>
      </c>
      <c r="F236" s="80">
        <v>853474.49</v>
      </c>
      <c r="G236" s="88"/>
      <c r="H236" s="80">
        <v>102416.94</v>
      </c>
      <c r="I236" s="79">
        <f>H236/F236</f>
        <v>0.12000000140601742</v>
      </c>
    </row>
    <row r="237" spans="1:9" x14ac:dyDescent="0.25">
      <c r="A237" s="70" t="s">
        <v>130</v>
      </c>
      <c r="B237" s="70" t="s">
        <v>133</v>
      </c>
      <c r="C237" s="95">
        <v>40794</v>
      </c>
      <c r="D237" s="96">
        <v>41159</v>
      </c>
      <c r="E237" s="97">
        <v>0.108</v>
      </c>
      <c r="F237" s="98">
        <v>840914.65</v>
      </c>
      <c r="G237" s="99"/>
      <c r="H237" s="98">
        <v>102005.36</v>
      </c>
      <c r="I237" s="73">
        <v>0.12130286944103066</v>
      </c>
    </row>
    <row r="238" spans="1:9" x14ac:dyDescent="0.25">
      <c r="A238" s="76" t="s">
        <v>531</v>
      </c>
      <c r="B238" s="76" t="s">
        <v>22</v>
      </c>
      <c r="C238" s="77">
        <v>40760</v>
      </c>
      <c r="D238" s="78">
        <v>41090</v>
      </c>
      <c r="E238" s="79">
        <v>8.9999999999999993E-3</v>
      </c>
      <c r="F238" s="80">
        <v>223465</v>
      </c>
      <c r="G238" s="81"/>
      <c r="H238" s="80">
        <v>101828</v>
      </c>
      <c r="I238" s="79">
        <f>H238/F238</f>
        <v>0.45567762289396552</v>
      </c>
    </row>
    <row r="239" spans="1:9" x14ac:dyDescent="0.25">
      <c r="A239" s="76" t="s">
        <v>594</v>
      </c>
      <c r="B239" s="76" t="s">
        <v>597</v>
      </c>
      <c r="C239" s="77">
        <v>40805</v>
      </c>
      <c r="D239" s="78">
        <v>41170</v>
      </c>
      <c r="E239" s="79">
        <v>0.35099999999999998</v>
      </c>
      <c r="F239" s="80">
        <v>153250.17000000001</v>
      </c>
      <c r="G239" s="81"/>
      <c r="H239" s="80">
        <v>100750.17</v>
      </c>
      <c r="I239" s="79">
        <f>H239/F239</f>
        <v>0.6574228922551929</v>
      </c>
    </row>
    <row r="240" spans="1:9" x14ac:dyDescent="0.25">
      <c r="A240" s="76" t="s">
        <v>685</v>
      </c>
      <c r="B240" s="76" t="s">
        <v>686</v>
      </c>
      <c r="C240" s="77">
        <v>40695</v>
      </c>
      <c r="D240" s="78">
        <v>41060</v>
      </c>
      <c r="E240" s="79">
        <v>0.09</v>
      </c>
      <c r="F240" s="80">
        <v>818234.65</v>
      </c>
      <c r="G240" s="81"/>
      <c r="H240" s="80">
        <v>99999.96</v>
      </c>
      <c r="I240" s="79">
        <f>H240/F240</f>
        <v>0.1222142816855776</v>
      </c>
    </row>
    <row r="241" spans="1:9" x14ac:dyDescent="0.25">
      <c r="A241" s="76" t="s">
        <v>635</v>
      </c>
      <c r="B241" s="76" t="s">
        <v>637</v>
      </c>
      <c r="C241" s="77">
        <v>40564</v>
      </c>
      <c r="D241" s="78">
        <v>40928</v>
      </c>
      <c r="E241" s="79">
        <v>0.5</v>
      </c>
      <c r="F241" s="80"/>
      <c r="G241" s="81">
        <v>198096</v>
      </c>
      <c r="H241" s="80">
        <v>99048</v>
      </c>
      <c r="I241" s="79">
        <f>H241/G241</f>
        <v>0.5</v>
      </c>
    </row>
    <row r="242" spans="1:9" ht="28.5" x14ac:dyDescent="0.25">
      <c r="A242" s="76" t="s">
        <v>478</v>
      </c>
      <c r="B242" s="76" t="s">
        <v>123</v>
      </c>
      <c r="C242" s="77">
        <v>41153</v>
      </c>
      <c r="D242" s="78">
        <v>41274</v>
      </c>
      <c r="E242" s="79">
        <v>0.15</v>
      </c>
      <c r="F242" s="80">
        <v>660198.26</v>
      </c>
      <c r="G242" s="81"/>
      <c r="H242" s="80">
        <v>99029.74</v>
      </c>
      <c r="I242" s="79">
        <f>H242/F242</f>
        <v>0.1500000015146965</v>
      </c>
    </row>
    <row r="243" spans="1:9" x14ac:dyDescent="0.25">
      <c r="A243" s="76" t="s">
        <v>674</v>
      </c>
      <c r="B243" s="76" t="s">
        <v>175</v>
      </c>
      <c r="C243" s="77">
        <v>40911</v>
      </c>
      <c r="D243" s="78">
        <v>41274</v>
      </c>
      <c r="E243" s="79">
        <v>8.9999999999999993E-3</v>
      </c>
      <c r="F243" s="80">
        <v>1020915.42</v>
      </c>
      <c r="G243" s="81"/>
      <c r="H243" s="80">
        <v>97848.79</v>
      </c>
      <c r="I243" s="79">
        <f>H243/F243</f>
        <v>9.5844168951821684E-2</v>
      </c>
    </row>
    <row r="244" spans="1:9" x14ac:dyDescent="0.25">
      <c r="A244" s="76" t="s">
        <v>630</v>
      </c>
      <c r="B244" s="76" t="s">
        <v>632</v>
      </c>
      <c r="C244" s="77">
        <v>40917</v>
      </c>
      <c r="D244" s="78">
        <v>41274</v>
      </c>
      <c r="E244" s="79">
        <v>8.9999999999999993E-3</v>
      </c>
      <c r="F244" s="80">
        <v>169671.72</v>
      </c>
      <c r="G244" s="81"/>
      <c r="H244" s="80">
        <v>97436.74</v>
      </c>
      <c r="I244" s="79">
        <f>H244/F244</f>
        <v>0.57426623599972937</v>
      </c>
    </row>
    <row r="245" spans="1:9" x14ac:dyDescent="0.25">
      <c r="A245" s="76" t="s">
        <v>549</v>
      </c>
      <c r="B245" s="76" t="s">
        <v>551</v>
      </c>
      <c r="C245" s="77">
        <v>41013</v>
      </c>
      <c r="D245" s="78">
        <v>41377</v>
      </c>
      <c r="E245" s="79">
        <v>0.27</v>
      </c>
      <c r="F245" s="80">
        <v>198815.05</v>
      </c>
      <c r="G245" s="88"/>
      <c r="H245" s="80">
        <v>97313.65</v>
      </c>
      <c r="I245" s="79">
        <f>H245/F245</f>
        <v>0.48946822687719066</v>
      </c>
    </row>
    <row r="246" spans="1:9" x14ac:dyDescent="0.25">
      <c r="A246" s="76" t="s">
        <v>643</v>
      </c>
      <c r="B246" s="76" t="s">
        <v>659</v>
      </c>
      <c r="C246" s="77">
        <v>41025</v>
      </c>
      <c r="D246" s="78">
        <v>41364</v>
      </c>
      <c r="E246" s="79">
        <v>4.4999999999999997E-3</v>
      </c>
      <c r="F246" s="80">
        <v>189524</v>
      </c>
      <c r="G246" s="81"/>
      <c r="H246" s="80">
        <v>96010.18</v>
      </c>
      <c r="I246" s="79">
        <f>H246/F246</f>
        <v>0.50658586775289671</v>
      </c>
    </row>
    <row r="247" spans="1:9" x14ac:dyDescent="0.25">
      <c r="A247" s="76" t="s">
        <v>635</v>
      </c>
      <c r="B247" s="76" t="s">
        <v>637</v>
      </c>
      <c r="C247" s="77">
        <v>40929</v>
      </c>
      <c r="D247" s="78">
        <v>41294</v>
      </c>
      <c r="E247" s="79">
        <v>0.5</v>
      </c>
      <c r="F247" s="80"/>
      <c r="G247" s="81">
        <v>191024</v>
      </c>
      <c r="H247" s="80">
        <v>95512</v>
      </c>
      <c r="I247" s="79">
        <f>H247/G247</f>
        <v>0.5</v>
      </c>
    </row>
    <row r="248" spans="1:9" x14ac:dyDescent="0.25">
      <c r="A248" s="76" t="s">
        <v>1718</v>
      </c>
      <c r="B248" s="76" t="s">
        <v>1719</v>
      </c>
      <c r="C248" s="77">
        <v>41050</v>
      </c>
      <c r="D248" s="78">
        <v>41358</v>
      </c>
      <c r="E248" s="79">
        <v>0.315</v>
      </c>
      <c r="F248" s="80"/>
      <c r="G248" s="81">
        <v>186129</v>
      </c>
      <c r="H248" s="80">
        <v>93751.95</v>
      </c>
      <c r="I248" s="73">
        <f>H248/G248</f>
        <v>0.5036934061860322</v>
      </c>
    </row>
    <row r="249" spans="1:9" x14ac:dyDescent="0.25">
      <c r="A249" s="76" t="s">
        <v>635</v>
      </c>
      <c r="B249" s="76" t="s">
        <v>639</v>
      </c>
      <c r="C249" s="77">
        <v>40875</v>
      </c>
      <c r="D249" s="78">
        <v>41241</v>
      </c>
      <c r="E249" s="79">
        <v>0.5</v>
      </c>
      <c r="F249" s="80"/>
      <c r="G249" s="81">
        <v>186542</v>
      </c>
      <c r="H249" s="80">
        <v>93271</v>
      </c>
      <c r="I249" s="79">
        <f>H249/G249</f>
        <v>0.5</v>
      </c>
    </row>
    <row r="250" spans="1:9" x14ac:dyDescent="0.25">
      <c r="A250" s="76" t="s">
        <v>246</v>
      </c>
      <c r="B250" s="76" t="s">
        <v>248</v>
      </c>
      <c r="C250" s="77">
        <v>40909</v>
      </c>
      <c r="D250" s="78">
        <v>41274</v>
      </c>
      <c r="E250" s="79">
        <v>0</v>
      </c>
      <c r="F250" s="80">
        <v>209718.28</v>
      </c>
      <c r="G250" s="81"/>
      <c r="H250" s="80">
        <v>92957.71</v>
      </c>
      <c r="I250" s="79">
        <f>H250/F250</f>
        <v>0.44325039286036488</v>
      </c>
    </row>
    <row r="251" spans="1:9" x14ac:dyDescent="0.25">
      <c r="A251" s="76" t="s">
        <v>478</v>
      </c>
      <c r="B251" s="76" t="s">
        <v>391</v>
      </c>
      <c r="C251" s="77">
        <v>40909</v>
      </c>
      <c r="D251" s="78">
        <v>41274</v>
      </c>
      <c r="E251" s="79">
        <v>0.1</v>
      </c>
      <c r="F251" s="80">
        <v>924123.82</v>
      </c>
      <c r="G251" s="81"/>
      <c r="H251" s="80">
        <v>92412.39</v>
      </c>
      <c r="I251" s="79">
        <f>H251/F251</f>
        <v>0.1000000086568486</v>
      </c>
    </row>
    <row r="252" spans="1:9" x14ac:dyDescent="0.25">
      <c r="A252" s="76" t="s">
        <v>643</v>
      </c>
      <c r="B252" s="76" t="s">
        <v>648</v>
      </c>
      <c r="C252" s="77">
        <v>40695</v>
      </c>
      <c r="D252" s="78">
        <v>41060</v>
      </c>
      <c r="E252" s="79">
        <v>4.4999999999999997E-3</v>
      </c>
      <c r="F252" s="80">
        <v>237303.03</v>
      </c>
      <c r="G252" s="81"/>
      <c r="H252" s="80">
        <v>92410.41</v>
      </c>
      <c r="I252" s="79">
        <f>H252/F252</f>
        <v>0.38941942713500122</v>
      </c>
    </row>
    <row r="253" spans="1:9" x14ac:dyDescent="0.25">
      <c r="A253" s="70" t="s">
        <v>137</v>
      </c>
      <c r="B253" s="70" t="s">
        <v>138</v>
      </c>
      <c r="C253" s="71">
        <v>40818</v>
      </c>
      <c r="D253" s="72">
        <v>41181</v>
      </c>
      <c r="E253" s="73">
        <v>0.45900000000000002</v>
      </c>
      <c r="F253" s="74">
        <v>154066</v>
      </c>
      <c r="G253" s="75"/>
      <c r="H253" s="74">
        <v>92268.5</v>
      </c>
      <c r="I253" s="73">
        <v>0.59888943699453479</v>
      </c>
    </row>
    <row r="254" spans="1:9" x14ac:dyDescent="0.25">
      <c r="A254" s="76" t="s">
        <v>449</v>
      </c>
      <c r="B254" s="76" t="s">
        <v>151</v>
      </c>
      <c r="C254" s="77">
        <v>41030</v>
      </c>
      <c r="D254" s="78">
        <v>41394</v>
      </c>
      <c r="E254" s="79">
        <v>0</v>
      </c>
      <c r="F254" s="80">
        <v>234046</v>
      </c>
      <c r="G254" s="81"/>
      <c r="H254" s="80">
        <v>92171</v>
      </c>
      <c r="I254" s="79">
        <f>H254/F254</f>
        <v>0.39381574562265537</v>
      </c>
    </row>
    <row r="255" spans="1:9" x14ac:dyDescent="0.25">
      <c r="A255" s="70" t="s">
        <v>38</v>
      </c>
      <c r="B255" s="70" t="s">
        <v>48</v>
      </c>
      <c r="C255" s="71">
        <v>40863</v>
      </c>
      <c r="D255" s="72">
        <v>41228</v>
      </c>
      <c r="E255" s="73">
        <v>0.40500000000000003</v>
      </c>
      <c r="F255" s="74"/>
      <c r="G255" s="75">
        <v>203365.8</v>
      </c>
      <c r="H255" s="74">
        <v>91514.59</v>
      </c>
      <c r="I255" s="73">
        <v>0.44999990165504722</v>
      </c>
    </row>
    <row r="256" spans="1:9" x14ac:dyDescent="0.25">
      <c r="A256" s="76" t="s">
        <v>674</v>
      </c>
      <c r="B256" s="76" t="s">
        <v>676</v>
      </c>
      <c r="C256" s="77">
        <v>40920</v>
      </c>
      <c r="D256" s="78">
        <v>41274</v>
      </c>
      <c r="E256" s="79">
        <v>0.23849999999999999</v>
      </c>
      <c r="F256" s="80">
        <v>270375.78999999998</v>
      </c>
      <c r="G256" s="81"/>
      <c r="H256" s="80">
        <v>91405.08</v>
      </c>
      <c r="I256" s="79">
        <f>H256/F256</f>
        <v>0.33806680694303293</v>
      </c>
    </row>
    <row r="257" spans="1:9" x14ac:dyDescent="0.25">
      <c r="A257" s="76" t="s">
        <v>531</v>
      </c>
      <c r="B257" s="76" t="s">
        <v>23</v>
      </c>
      <c r="C257" s="77">
        <v>41106</v>
      </c>
      <c r="D257" s="78">
        <v>41470</v>
      </c>
      <c r="E257" s="79">
        <v>8.9999999999999993E-3</v>
      </c>
      <c r="F257" s="80">
        <v>173587</v>
      </c>
      <c r="G257" s="81"/>
      <c r="H257" s="80">
        <v>90676</v>
      </c>
      <c r="I257" s="79">
        <f>H257/F257</f>
        <v>0.5223663062326096</v>
      </c>
    </row>
    <row r="258" spans="1:9" x14ac:dyDescent="0.25">
      <c r="A258" s="76" t="s">
        <v>516</v>
      </c>
      <c r="B258" s="117" t="s">
        <v>517</v>
      </c>
      <c r="C258" s="118">
        <v>40575</v>
      </c>
      <c r="D258" s="119">
        <v>40940</v>
      </c>
      <c r="E258" s="120">
        <v>0.3</v>
      </c>
      <c r="F258" s="121">
        <v>301993</v>
      </c>
      <c r="G258" s="88"/>
      <c r="H258" s="121">
        <v>90597.9</v>
      </c>
      <c r="I258" s="79">
        <f>H258/F258</f>
        <v>0.3</v>
      </c>
    </row>
    <row r="259" spans="1:9" x14ac:dyDescent="0.25">
      <c r="A259" s="70" t="s">
        <v>80</v>
      </c>
      <c r="B259" s="70" t="s">
        <v>81</v>
      </c>
      <c r="C259" s="71">
        <v>40857</v>
      </c>
      <c r="D259" s="72">
        <v>41222</v>
      </c>
      <c r="E259" s="73">
        <v>8.9999999999999993E-3</v>
      </c>
      <c r="F259" s="74">
        <v>150681</v>
      </c>
      <c r="G259" s="75"/>
      <c r="H259" s="74">
        <v>90559</v>
      </c>
      <c r="I259" s="73">
        <v>0.60099813513316214</v>
      </c>
    </row>
    <row r="260" spans="1:9" x14ac:dyDescent="0.25">
      <c r="A260" s="76" t="s">
        <v>643</v>
      </c>
      <c r="B260" s="76" t="s">
        <v>648</v>
      </c>
      <c r="C260" s="77">
        <v>41061</v>
      </c>
      <c r="D260" s="78">
        <v>41394</v>
      </c>
      <c r="E260" s="79">
        <v>4.4999999999999997E-3</v>
      </c>
      <c r="F260" s="80">
        <v>196454.05</v>
      </c>
      <c r="G260" s="81"/>
      <c r="H260" s="80">
        <v>88882.55</v>
      </c>
      <c r="I260" s="79">
        <f t="shared" ref="I260:I268" si="9">H260/F260</f>
        <v>0.45243429697682491</v>
      </c>
    </row>
    <row r="261" spans="1:9" x14ac:dyDescent="0.25">
      <c r="A261" s="76" t="s">
        <v>516</v>
      </c>
      <c r="B261" s="76" t="s">
        <v>529</v>
      </c>
      <c r="C261" s="77">
        <v>40924</v>
      </c>
      <c r="D261" s="78">
        <v>41290</v>
      </c>
      <c r="E261" s="79">
        <v>0.3</v>
      </c>
      <c r="F261" s="80">
        <v>295916</v>
      </c>
      <c r="G261" s="88"/>
      <c r="H261" s="80">
        <v>88774.8</v>
      </c>
      <c r="I261" s="79">
        <f t="shared" si="9"/>
        <v>0.3</v>
      </c>
    </row>
    <row r="262" spans="1:9" x14ac:dyDescent="0.25">
      <c r="A262" s="76" t="s">
        <v>449</v>
      </c>
      <c r="B262" s="76" t="s">
        <v>459</v>
      </c>
      <c r="C262" s="77">
        <v>40756</v>
      </c>
      <c r="D262" s="78">
        <v>41121</v>
      </c>
      <c r="E262" s="79">
        <v>0.36899999999999999</v>
      </c>
      <c r="F262" s="80">
        <v>181661</v>
      </c>
      <c r="G262" s="81"/>
      <c r="H262" s="80">
        <v>88288</v>
      </c>
      <c r="I262" s="79">
        <f t="shared" si="9"/>
        <v>0.48600415058818347</v>
      </c>
    </row>
    <row r="263" spans="1:9" x14ac:dyDescent="0.25">
      <c r="A263" s="76" t="s">
        <v>317</v>
      </c>
      <c r="B263" s="76" t="s">
        <v>181</v>
      </c>
      <c r="C263" s="77">
        <v>41123</v>
      </c>
      <c r="D263" s="78">
        <v>41455</v>
      </c>
      <c r="E263" s="79">
        <v>8.9999999999999998E-4</v>
      </c>
      <c r="F263" s="80">
        <v>1152761.21</v>
      </c>
      <c r="G263" s="81"/>
      <c r="H263" s="80">
        <v>87197.4</v>
      </c>
      <c r="I263" s="79">
        <f t="shared" si="9"/>
        <v>7.5642205205707774E-2</v>
      </c>
    </row>
    <row r="264" spans="1:9" x14ac:dyDescent="0.25">
      <c r="A264" s="76" t="s">
        <v>449</v>
      </c>
      <c r="B264" s="76" t="s">
        <v>457</v>
      </c>
      <c r="C264" s="77">
        <v>41122</v>
      </c>
      <c r="D264" s="78">
        <v>41182</v>
      </c>
      <c r="E264" s="79">
        <v>0</v>
      </c>
      <c r="F264" s="80">
        <v>253643</v>
      </c>
      <c r="G264" s="81"/>
      <c r="H264" s="80">
        <v>87168</v>
      </c>
      <c r="I264" s="79">
        <f t="shared" si="9"/>
        <v>0.34366412635081589</v>
      </c>
    </row>
    <row r="265" spans="1:9" x14ac:dyDescent="0.25">
      <c r="A265" s="76" t="s">
        <v>478</v>
      </c>
      <c r="B265" s="76" t="s">
        <v>479</v>
      </c>
      <c r="C265" s="77">
        <v>41061</v>
      </c>
      <c r="D265" s="78">
        <v>41425</v>
      </c>
      <c r="E265" s="79">
        <v>0.09</v>
      </c>
      <c r="F265" s="80">
        <v>870441.98</v>
      </c>
      <c r="G265" s="81"/>
      <c r="H265" s="80">
        <v>87044.2</v>
      </c>
      <c r="I265" s="79">
        <f t="shared" si="9"/>
        <v>0.1000000022976833</v>
      </c>
    </row>
    <row r="266" spans="1:9" x14ac:dyDescent="0.25">
      <c r="A266" s="76" t="s">
        <v>665</v>
      </c>
      <c r="B266" s="76" t="s">
        <v>666</v>
      </c>
      <c r="C266" s="77">
        <v>40569</v>
      </c>
      <c r="D266" s="78">
        <v>40933</v>
      </c>
      <c r="E266" s="79">
        <v>0.2</v>
      </c>
      <c r="F266" s="80">
        <v>429272</v>
      </c>
      <c r="G266" s="81"/>
      <c r="H266" s="80">
        <v>85855</v>
      </c>
      <c r="I266" s="79">
        <f t="shared" si="9"/>
        <v>0.20000139771520156</v>
      </c>
    </row>
    <row r="267" spans="1:9" x14ac:dyDescent="0.25">
      <c r="A267" s="76" t="s">
        <v>372</v>
      </c>
      <c r="B267" s="76" t="s">
        <v>373</v>
      </c>
      <c r="C267" s="77">
        <v>40909</v>
      </c>
      <c r="D267" s="78">
        <v>41274</v>
      </c>
      <c r="E267" s="79">
        <v>8.9999999999999993E-3</v>
      </c>
      <c r="F267" s="80">
        <v>214409.72</v>
      </c>
      <c r="G267" s="81"/>
      <c r="H267" s="80">
        <v>85724.800000000003</v>
      </c>
      <c r="I267" s="79">
        <f t="shared" si="9"/>
        <v>0.39981769483211865</v>
      </c>
    </row>
    <row r="268" spans="1:9" x14ac:dyDescent="0.25">
      <c r="A268" s="76" t="s">
        <v>643</v>
      </c>
      <c r="B268" s="76" t="s">
        <v>328</v>
      </c>
      <c r="C268" s="77">
        <v>40634</v>
      </c>
      <c r="D268" s="78">
        <v>40999</v>
      </c>
      <c r="E268" s="79">
        <v>4.4999999999999997E-3</v>
      </c>
      <c r="F268" s="80">
        <v>243450.45</v>
      </c>
      <c r="G268" s="81"/>
      <c r="H268" s="80">
        <v>85424.25</v>
      </c>
      <c r="I268" s="79">
        <f t="shared" si="9"/>
        <v>0.35088967796116211</v>
      </c>
    </row>
    <row r="269" spans="1:9" x14ac:dyDescent="0.25">
      <c r="A269" s="76" t="s">
        <v>270</v>
      </c>
      <c r="B269" s="76" t="s">
        <v>142</v>
      </c>
      <c r="C269" s="77">
        <v>41152</v>
      </c>
      <c r="D269" s="78">
        <v>41274</v>
      </c>
      <c r="E269" s="79">
        <v>0.37</v>
      </c>
      <c r="F269" s="80"/>
      <c r="G269" s="81">
        <v>212715.62</v>
      </c>
      <c r="H269" s="80">
        <v>83387.88</v>
      </c>
      <c r="I269" s="79">
        <f>H269/G269</f>
        <v>0.39201578144566912</v>
      </c>
    </row>
    <row r="270" spans="1:9" x14ac:dyDescent="0.25">
      <c r="A270" s="70" t="s">
        <v>130</v>
      </c>
      <c r="B270" s="70" t="s">
        <v>44</v>
      </c>
      <c r="C270" s="71">
        <v>40817</v>
      </c>
      <c r="D270" s="72">
        <v>41182</v>
      </c>
      <c r="E270" s="73">
        <v>0.126</v>
      </c>
      <c r="F270" s="74">
        <v>581038.1</v>
      </c>
      <c r="G270" s="75"/>
      <c r="H270" s="74">
        <v>82349.39</v>
      </c>
      <c r="I270" s="73">
        <v>0.14172803814414237</v>
      </c>
    </row>
    <row r="271" spans="1:9" x14ac:dyDescent="0.25">
      <c r="A271" s="76" t="s">
        <v>214</v>
      </c>
      <c r="B271" s="76" t="s">
        <v>215</v>
      </c>
      <c r="C271" s="77">
        <v>40603</v>
      </c>
      <c r="D271" s="78">
        <v>40968</v>
      </c>
      <c r="E271" s="79">
        <v>4.4999999999999998E-2</v>
      </c>
      <c r="F271" s="80">
        <v>123073</v>
      </c>
      <c r="G271" s="81"/>
      <c r="H271" s="80">
        <v>81750</v>
      </c>
      <c r="I271" s="79">
        <f t="shared" ref="I271:I276" si="10">H271/F271</f>
        <v>0.6642399226475344</v>
      </c>
    </row>
    <row r="272" spans="1:9" x14ac:dyDescent="0.25">
      <c r="A272" s="76" t="s">
        <v>504</v>
      </c>
      <c r="B272" s="76" t="s">
        <v>120</v>
      </c>
      <c r="C272" s="77">
        <v>40681</v>
      </c>
      <c r="D272" s="78">
        <v>41046</v>
      </c>
      <c r="E272" s="79">
        <v>0.09</v>
      </c>
      <c r="F272" s="80">
        <v>816701.21</v>
      </c>
      <c r="G272" s="81"/>
      <c r="H272" s="80">
        <v>81670.12</v>
      </c>
      <c r="I272" s="79">
        <f t="shared" si="10"/>
        <v>9.9999998775561996E-2</v>
      </c>
    </row>
    <row r="273" spans="1:9" x14ac:dyDescent="0.25">
      <c r="A273" s="76" t="s">
        <v>478</v>
      </c>
      <c r="B273" s="76" t="s">
        <v>51</v>
      </c>
      <c r="C273" s="77">
        <v>40909</v>
      </c>
      <c r="D273" s="78">
        <v>41274</v>
      </c>
      <c r="E273" s="79">
        <v>0.11700000000000001</v>
      </c>
      <c r="F273" s="80">
        <v>623554.81999999995</v>
      </c>
      <c r="G273" s="81"/>
      <c r="H273" s="80">
        <v>81062.13</v>
      </c>
      <c r="I273" s="79">
        <f t="shared" si="10"/>
        <v>0.13000000545260801</v>
      </c>
    </row>
    <row r="274" spans="1:9" x14ac:dyDescent="0.25">
      <c r="A274" s="76" t="s">
        <v>643</v>
      </c>
      <c r="B274" s="76" t="s">
        <v>459</v>
      </c>
      <c r="C274" s="77">
        <v>41092</v>
      </c>
      <c r="D274" s="78">
        <v>41456</v>
      </c>
      <c r="E274" s="79">
        <v>4.4999999999999997E-3</v>
      </c>
      <c r="F274" s="80">
        <v>100157</v>
      </c>
      <c r="G274" s="81"/>
      <c r="H274" s="80">
        <v>80831.75</v>
      </c>
      <c r="I274" s="79">
        <f t="shared" si="10"/>
        <v>0.80705043082360695</v>
      </c>
    </row>
    <row r="275" spans="1:9" x14ac:dyDescent="0.25">
      <c r="A275" s="76" t="s">
        <v>449</v>
      </c>
      <c r="B275" s="76" t="s">
        <v>459</v>
      </c>
      <c r="C275" s="77">
        <v>41122</v>
      </c>
      <c r="D275" s="78">
        <v>41486</v>
      </c>
      <c r="E275" s="79">
        <v>0.36899999999999999</v>
      </c>
      <c r="F275" s="80">
        <v>143903</v>
      </c>
      <c r="G275" s="81"/>
      <c r="H275" s="80">
        <v>79632</v>
      </c>
      <c r="I275" s="79">
        <f t="shared" si="10"/>
        <v>0.55337275803840091</v>
      </c>
    </row>
    <row r="276" spans="1:9" x14ac:dyDescent="0.25">
      <c r="A276" s="76" t="s">
        <v>643</v>
      </c>
      <c r="B276" s="76" t="s">
        <v>660</v>
      </c>
      <c r="C276" s="77">
        <v>40865</v>
      </c>
      <c r="D276" s="78">
        <v>41230</v>
      </c>
      <c r="E276" s="79">
        <v>8.9999999999999993E-3</v>
      </c>
      <c r="F276" s="80">
        <v>207654.84</v>
      </c>
      <c r="G276" s="81"/>
      <c r="H276" s="80">
        <v>78039.94</v>
      </c>
      <c r="I276" s="79">
        <f t="shared" si="10"/>
        <v>0.37581565640367448</v>
      </c>
    </row>
    <row r="277" spans="1:9" x14ac:dyDescent="0.25">
      <c r="A277" s="76" t="s">
        <v>429</v>
      </c>
      <c r="B277" s="76" t="s">
        <v>431</v>
      </c>
      <c r="C277" s="77">
        <v>40847</v>
      </c>
      <c r="D277" s="78">
        <v>41151</v>
      </c>
      <c r="E277" s="79">
        <v>0.2</v>
      </c>
      <c r="F277" s="88"/>
      <c r="G277" s="81">
        <v>97145</v>
      </c>
      <c r="H277" s="80">
        <v>77716</v>
      </c>
      <c r="I277" s="79">
        <f>H277/G277</f>
        <v>0.8</v>
      </c>
    </row>
    <row r="278" spans="1:9" x14ac:dyDescent="0.25">
      <c r="A278" s="100" t="s">
        <v>214</v>
      </c>
      <c r="B278" s="100" t="s">
        <v>215</v>
      </c>
      <c r="C278" s="77">
        <v>40603</v>
      </c>
      <c r="D278" s="78">
        <v>40968</v>
      </c>
      <c r="E278" s="79">
        <v>4.4999999999999998E-2</v>
      </c>
      <c r="F278" s="80"/>
      <c r="G278" s="81">
        <v>115614.71</v>
      </c>
      <c r="H278" s="80">
        <v>77125.86</v>
      </c>
      <c r="I278" s="79">
        <f>H278/G278</f>
        <v>0.6670938326100545</v>
      </c>
    </row>
    <row r="279" spans="1:9" x14ac:dyDescent="0.25">
      <c r="A279" s="76" t="s">
        <v>613</v>
      </c>
      <c r="B279" s="76" t="s">
        <v>22</v>
      </c>
      <c r="C279" s="77">
        <v>41173</v>
      </c>
      <c r="D279" s="78">
        <v>41455</v>
      </c>
      <c r="E279" s="79">
        <v>1.7999999999999999E-2</v>
      </c>
      <c r="F279" s="80">
        <v>165364</v>
      </c>
      <c r="G279" s="81"/>
      <c r="H279" s="80">
        <v>76635</v>
      </c>
      <c r="I279" s="79">
        <f>H279/F279</f>
        <v>0.46343218596550639</v>
      </c>
    </row>
    <row r="280" spans="1:9" x14ac:dyDescent="0.25">
      <c r="A280" s="76" t="s">
        <v>449</v>
      </c>
      <c r="B280" s="76" t="s">
        <v>458</v>
      </c>
      <c r="C280" s="77">
        <v>41122</v>
      </c>
      <c r="D280" s="78">
        <v>41486</v>
      </c>
      <c r="E280" s="79">
        <v>0</v>
      </c>
      <c r="F280" s="80">
        <v>180814</v>
      </c>
      <c r="G280" s="88"/>
      <c r="H280" s="80">
        <v>76598</v>
      </c>
      <c r="I280" s="79">
        <f>H280/F280</f>
        <v>0.42362870131737584</v>
      </c>
    </row>
    <row r="281" spans="1:9" x14ac:dyDescent="0.25">
      <c r="A281" s="70" t="s">
        <v>130</v>
      </c>
      <c r="B281" s="70" t="s">
        <v>68</v>
      </c>
      <c r="C281" s="71">
        <v>40725</v>
      </c>
      <c r="D281" s="72">
        <v>41090</v>
      </c>
      <c r="E281" s="73">
        <v>0.1</v>
      </c>
      <c r="F281" s="74">
        <v>751709.23</v>
      </c>
      <c r="G281" s="75"/>
      <c r="H281" s="74">
        <v>76363.42</v>
      </c>
      <c r="I281" s="73">
        <v>0.1015863806807321</v>
      </c>
    </row>
    <row r="282" spans="1:9" x14ac:dyDescent="0.25">
      <c r="A282" s="76" t="s">
        <v>317</v>
      </c>
      <c r="B282" s="76" t="s">
        <v>349</v>
      </c>
      <c r="C282" s="77">
        <v>40909</v>
      </c>
      <c r="D282" s="78">
        <v>41274</v>
      </c>
      <c r="E282" s="79">
        <v>0.09</v>
      </c>
      <c r="F282" s="80"/>
      <c r="G282" s="81">
        <v>197136.54</v>
      </c>
      <c r="H282" s="80">
        <v>75770</v>
      </c>
      <c r="I282" s="79">
        <f>H282/G282</f>
        <v>0.38435289571380321</v>
      </c>
    </row>
    <row r="283" spans="1:9" x14ac:dyDescent="0.25">
      <c r="A283" s="76" t="s">
        <v>665</v>
      </c>
      <c r="B283" s="76" t="s">
        <v>669</v>
      </c>
      <c r="C283" s="77">
        <v>40664</v>
      </c>
      <c r="D283" s="78">
        <v>41029</v>
      </c>
      <c r="E283" s="79">
        <v>0.17</v>
      </c>
      <c r="F283" s="80">
        <v>442297</v>
      </c>
      <c r="G283" s="81"/>
      <c r="H283" s="80">
        <v>75190</v>
      </c>
      <c r="I283" s="79">
        <f>H283/F283</f>
        <v>0.1699988921471319</v>
      </c>
    </row>
    <row r="284" spans="1:9" x14ac:dyDescent="0.25">
      <c r="A284" s="76" t="s">
        <v>635</v>
      </c>
      <c r="B284" s="76" t="s">
        <v>636</v>
      </c>
      <c r="C284" s="77">
        <v>40924</v>
      </c>
      <c r="D284" s="78">
        <v>41289</v>
      </c>
      <c r="E284" s="79">
        <v>0.5</v>
      </c>
      <c r="F284" s="80"/>
      <c r="G284" s="81">
        <v>150370</v>
      </c>
      <c r="H284" s="80">
        <v>75185</v>
      </c>
      <c r="I284" s="79">
        <f>H284/G284</f>
        <v>0.5</v>
      </c>
    </row>
    <row r="285" spans="1:9" x14ac:dyDescent="0.25">
      <c r="A285" s="76" t="s">
        <v>478</v>
      </c>
      <c r="B285" s="76" t="s">
        <v>100</v>
      </c>
      <c r="C285" s="77">
        <v>40611</v>
      </c>
      <c r="D285" s="78">
        <v>40976</v>
      </c>
      <c r="E285" s="79">
        <v>0.13500000000000001</v>
      </c>
      <c r="F285" s="80">
        <v>555296.68999999994</v>
      </c>
      <c r="G285" s="81"/>
      <c r="H285" s="80">
        <v>74965.070000000007</v>
      </c>
      <c r="I285" s="79">
        <f t="shared" ref="I285:I291" si="11">H285/F285</f>
        <v>0.13500003034413913</v>
      </c>
    </row>
    <row r="286" spans="1:9" x14ac:dyDescent="0.25">
      <c r="A286" s="76" t="s">
        <v>249</v>
      </c>
      <c r="B286" s="76" t="s">
        <v>258</v>
      </c>
      <c r="C286" s="77">
        <v>40819</v>
      </c>
      <c r="D286" s="78">
        <v>40939</v>
      </c>
      <c r="E286" s="79">
        <v>0</v>
      </c>
      <c r="F286" s="80">
        <v>98908</v>
      </c>
      <c r="G286" s="81"/>
      <c r="H286" s="80">
        <v>74339.08</v>
      </c>
      <c r="I286" s="79">
        <f t="shared" si="11"/>
        <v>0.75159825292190729</v>
      </c>
    </row>
    <row r="287" spans="1:9" x14ac:dyDescent="0.25">
      <c r="A287" s="76" t="s">
        <v>249</v>
      </c>
      <c r="B287" s="76" t="s">
        <v>257</v>
      </c>
      <c r="C287" s="77">
        <v>40938</v>
      </c>
      <c r="D287" s="78">
        <v>41304</v>
      </c>
      <c r="E287" s="79">
        <v>0</v>
      </c>
      <c r="F287" s="80">
        <v>348909.75</v>
      </c>
      <c r="G287" s="81"/>
      <c r="H287" s="80">
        <v>73909.75</v>
      </c>
      <c r="I287" s="79">
        <f t="shared" si="11"/>
        <v>0.21183056650036292</v>
      </c>
    </row>
    <row r="288" spans="1:9" x14ac:dyDescent="0.25">
      <c r="A288" s="76" t="s">
        <v>674</v>
      </c>
      <c r="B288" s="76" t="s">
        <v>535</v>
      </c>
      <c r="C288" s="77">
        <v>41086</v>
      </c>
      <c r="D288" s="78">
        <v>41274</v>
      </c>
      <c r="E288" s="79">
        <v>0.22500000000000001</v>
      </c>
      <c r="F288" s="80">
        <v>105057.98</v>
      </c>
      <c r="G288" s="81"/>
      <c r="H288" s="80">
        <v>73356.179999999993</v>
      </c>
      <c r="I288" s="79">
        <f t="shared" si="11"/>
        <v>0.6982447216289519</v>
      </c>
    </row>
    <row r="289" spans="1:9" x14ac:dyDescent="0.25">
      <c r="A289" s="76" t="s">
        <v>171</v>
      </c>
      <c r="B289" s="76" t="s">
        <v>212</v>
      </c>
      <c r="C289" s="77">
        <v>40933</v>
      </c>
      <c r="D289" s="78">
        <v>41274</v>
      </c>
      <c r="E289" s="79">
        <v>1.7999999999999999E-2</v>
      </c>
      <c r="F289" s="80">
        <v>196371</v>
      </c>
      <c r="G289" s="81"/>
      <c r="H289" s="80">
        <v>71606</v>
      </c>
      <c r="I289" s="79">
        <f t="shared" si="11"/>
        <v>0.3646465109410249</v>
      </c>
    </row>
    <row r="290" spans="1:9" x14ac:dyDescent="0.25">
      <c r="A290" s="76" t="s">
        <v>262</v>
      </c>
      <c r="B290" s="76" t="s">
        <v>179</v>
      </c>
      <c r="C290" s="77">
        <v>41220</v>
      </c>
      <c r="D290" s="78">
        <v>41455</v>
      </c>
      <c r="E290" s="79">
        <v>8.9999999999999993E-3</v>
      </c>
      <c r="F290" s="80">
        <v>161125.25</v>
      </c>
      <c r="G290" s="81"/>
      <c r="H290" s="80">
        <v>71497.95</v>
      </c>
      <c r="I290" s="79">
        <f t="shared" si="11"/>
        <v>0.4437414371738756</v>
      </c>
    </row>
    <row r="291" spans="1:9" x14ac:dyDescent="0.25">
      <c r="A291" s="76" t="s">
        <v>665</v>
      </c>
      <c r="B291" s="76" t="s">
        <v>671</v>
      </c>
      <c r="C291" s="77">
        <v>40934</v>
      </c>
      <c r="D291" s="78">
        <v>41299</v>
      </c>
      <c r="E291" s="79">
        <v>0.2</v>
      </c>
      <c r="F291" s="80">
        <v>356998</v>
      </c>
      <c r="G291" s="81"/>
      <c r="H291" s="80">
        <v>71400</v>
      </c>
      <c r="I291" s="79">
        <f t="shared" si="11"/>
        <v>0.20000112045445634</v>
      </c>
    </row>
    <row r="292" spans="1:9" x14ac:dyDescent="0.25">
      <c r="A292" s="70" t="s">
        <v>122</v>
      </c>
      <c r="B292" s="70" t="s">
        <v>125</v>
      </c>
      <c r="C292" s="71">
        <v>40817</v>
      </c>
      <c r="D292" s="72">
        <v>41182</v>
      </c>
      <c r="E292" s="73">
        <v>0.15</v>
      </c>
      <c r="F292" s="74">
        <v>445631</v>
      </c>
      <c r="G292" s="75"/>
      <c r="H292" s="74">
        <v>71088.740000000005</v>
      </c>
      <c r="I292" s="73">
        <v>0.15952377639796156</v>
      </c>
    </row>
    <row r="293" spans="1:9" x14ac:dyDescent="0.25">
      <c r="A293" s="76" t="s">
        <v>630</v>
      </c>
      <c r="B293" s="76" t="s">
        <v>633</v>
      </c>
      <c r="C293" s="77">
        <v>40983</v>
      </c>
      <c r="D293" s="78">
        <v>41274</v>
      </c>
      <c r="E293" s="79">
        <v>8.9999999999999993E-3</v>
      </c>
      <c r="F293" s="80"/>
      <c r="G293" s="81">
        <v>78667.5</v>
      </c>
      <c r="H293" s="80">
        <v>70483.5</v>
      </c>
      <c r="I293" s="79">
        <f>H293/G293</f>
        <v>0.89596720373724859</v>
      </c>
    </row>
    <row r="294" spans="1:9" x14ac:dyDescent="0.25">
      <c r="A294" s="76" t="s">
        <v>478</v>
      </c>
      <c r="B294" s="76" t="s">
        <v>100</v>
      </c>
      <c r="C294" s="77">
        <v>40977</v>
      </c>
      <c r="D294" s="78">
        <v>41341</v>
      </c>
      <c r="E294" s="79">
        <v>0.13500000000000001</v>
      </c>
      <c r="F294" s="80">
        <v>520790.8</v>
      </c>
      <c r="G294" s="81"/>
      <c r="H294" s="80">
        <v>70306.759999999995</v>
      </c>
      <c r="I294" s="79">
        <f>H294/F294</f>
        <v>0.1350000038403136</v>
      </c>
    </row>
    <row r="295" spans="1:9" x14ac:dyDescent="0.25">
      <c r="A295" s="76" t="s">
        <v>531</v>
      </c>
      <c r="B295" s="76" t="s">
        <v>543</v>
      </c>
      <c r="C295" s="77">
        <v>40848</v>
      </c>
      <c r="D295" s="78">
        <v>41213</v>
      </c>
      <c r="E295" s="79">
        <v>8.9999999999999993E-3</v>
      </c>
      <c r="F295" s="80">
        <v>143783</v>
      </c>
      <c r="G295" s="81"/>
      <c r="H295" s="80">
        <v>68207</v>
      </c>
      <c r="I295" s="79">
        <f>H295/F295</f>
        <v>0.474374578357664</v>
      </c>
    </row>
    <row r="296" spans="1:9" x14ac:dyDescent="0.25">
      <c r="A296" s="76" t="s">
        <v>265</v>
      </c>
      <c r="B296" s="76" t="s">
        <v>337</v>
      </c>
      <c r="C296" s="77">
        <v>41142</v>
      </c>
      <c r="D296" s="78">
        <v>41506</v>
      </c>
      <c r="E296" s="79">
        <v>0.18</v>
      </c>
      <c r="F296" s="80">
        <v>133499</v>
      </c>
      <c r="G296" s="81"/>
      <c r="H296" s="80">
        <v>68198.67</v>
      </c>
      <c r="I296" s="79">
        <f>H296/F296</f>
        <v>0.51085528730552288</v>
      </c>
    </row>
    <row r="297" spans="1:9" x14ac:dyDescent="0.25">
      <c r="A297" s="76" t="s">
        <v>643</v>
      </c>
      <c r="B297" s="76" t="s">
        <v>158</v>
      </c>
      <c r="C297" s="77">
        <v>40555</v>
      </c>
      <c r="D297" s="78">
        <v>40919</v>
      </c>
      <c r="E297" s="79">
        <v>4.4999999999999997E-3</v>
      </c>
      <c r="F297" s="80">
        <v>229935.18</v>
      </c>
      <c r="G297" s="81"/>
      <c r="H297" s="80">
        <v>67923.98</v>
      </c>
      <c r="I297" s="79">
        <f>H297/F297</f>
        <v>0.295404904982352</v>
      </c>
    </row>
    <row r="298" spans="1:9" x14ac:dyDescent="0.25">
      <c r="A298" s="76" t="s">
        <v>613</v>
      </c>
      <c r="B298" s="76" t="s">
        <v>548</v>
      </c>
      <c r="C298" s="77">
        <v>41082</v>
      </c>
      <c r="D298" s="78">
        <v>41425</v>
      </c>
      <c r="E298" s="79">
        <v>8.9999999999999993E-3</v>
      </c>
      <c r="F298" s="80">
        <v>253034</v>
      </c>
      <c r="G298" s="81"/>
      <c r="H298" s="80">
        <v>65309</v>
      </c>
      <c r="I298" s="79">
        <f>H298/F298</f>
        <v>0.25810365405439584</v>
      </c>
    </row>
    <row r="299" spans="1:9" x14ac:dyDescent="0.25">
      <c r="A299" s="76" t="s">
        <v>635</v>
      </c>
      <c r="B299" s="76" t="s">
        <v>640</v>
      </c>
      <c r="C299" s="77">
        <v>41169</v>
      </c>
      <c r="D299" s="78">
        <v>41533</v>
      </c>
      <c r="E299" s="79">
        <v>0.5</v>
      </c>
      <c r="F299" s="80"/>
      <c r="G299" s="81">
        <v>130562</v>
      </c>
      <c r="H299" s="80">
        <v>65281</v>
      </c>
      <c r="I299" s="79">
        <f>H299/G299</f>
        <v>0.5</v>
      </c>
    </row>
    <row r="300" spans="1:9" x14ac:dyDescent="0.25">
      <c r="A300" s="70" t="s">
        <v>171</v>
      </c>
      <c r="B300" s="70" t="s">
        <v>173</v>
      </c>
      <c r="C300" s="71">
        <v>40632</v>
      </c>
      <c r="D300" s="72">
        <v>40981</v>
      </c>
      <c r="E300" s="73">
        <v>1.7999999999999999E-2</v>
      </c>
      <c r="F300" s="74">
        <v>106710</v>
      </c>
      <c r="G300" s="75"/>
      <c r="H300" s="74">
        <v>65242.720000000001</v>
      </c>
      <c r="I300" s="73">
        <v>0.61140211788960741</v>
      </c>
    </row>
    <row r="301" spans="1:9" x14ac:dyDescent="0.25">
      <c r="A301" s="76" t="s">
        <v>281</v>
      </c>
      <c r="B301" s="76" t="s">
        <v>285</v>
      </c>
      <c r="C301" s="77">
        <v>40617</v>
      </c>
      <c r="D301" s="78">
        <v>40982</v>
      </c>
      <c r="E301" s="79">
        <v>0.54</v>
      </c>
      <c r="F301" s="80">
        <v>80409</v>
      </c>
      <c r="G301" s="81"/>
      <c r="H301" s="80">
        <v>63535.89</v>
      </c>
      <c r="I301" s="79">
        <f t="shared" ref="I301:I310" si="12">H301/F301</f>
        <v>0.79015893743237697</v>
      </c>
    </row>
    <row r="302" spans="1:9" x14ac:dyDescent="0.25">
      <c r="A302" s="76" t="s">
        <v>262</v>
      </c>
      <c r="B302" s="76" t="s">
        <v>88</v>
      </c>
      <c r="C302" s="77">
        <v>40766</v>
      </c>
      <c r="D302" s="78">
        <v>41090</v>
      </c>
      <c r="E302" s="79">
        <v>8.9999999999999993E-3</v>
      </c>
      <c r="F302" s="80">
        <v>146376.26</v>
      </c>
      <c r="G302" s="81"/>
      <c r="H302" s="80">
        <v>62369.22</v>
      </c>
      <c r="I302" s="79">
        <f t="shared" si="12"/>
        <v>0.42608835613097368</v>
      </c>
    </row>
    <row r="303" spans="1:9" x14ac:dyDescent="0.25">
      <c r="A303" s="76" t="s">
        <v>449</v>
      </c>
      <c r="B303" s="76" t="s">
        <v>475</v>
      </c>
      <c r="C303" s="77">
        <v>41153</v>
      </c>
      <c r="D303" s="78">
        <v>41517</v>
      </c>
      <c r="E303" s="79">
        <v>0</v>
      </c>
      <c r="F303" s="80">
        <v>141151</v>
      </c>
      <c r="G303" s="81"/>
      <c r="H303" s="80">
        <v>62230</v>
      </c>
      <c r="I303" s="79">
        <f t="shared" si="12"/>
        <v>0.44087537459883386</v>
      </c>
    </row>
    <row r="304" spans="1:9" x14ac:dyDescent="0.25">
      <c r="A304" s="76" t="s">
        <v>578</v>
      </c>
      <c r="B304" s="76" t="s">
        <v>176</v>
      </c>
      <c r="C304" s="77">
        <v>40717</v>
      </c>
      <c r="D304" s="78">
        <v>41020</v>
      </c>
      <c r="E304" s="79">
        <v>0</v>
      </c>
      <c r="F304" s="80">
        <v>89838</v>
      </c>
      <c r="G304" s="88"/>
      <c r="H304" s="80">
        <v>61357.62</v>
      </c>
      <c r="I304" s="79">
        <f t="shared" si="12"/>
        <v>0.6829806985907968</v>
      </c>
    </row>
    <row r="305" spans="1:9" x14ac:dyDescent="0.25">
      <c r="A305" s="76" t="s">
        <v>317</v>
      </c>
      <c r="B305" s="76" t="s">
        <v>323</v>
      </c>
      <c r="C305" s="77">
        <v>41015</v>
      </c>
      <c r="D305" s="78">
        <v>41379</v>
      </c>
      <c r="E305" s="79">
        <v>0</v>
      </c>
      <c r="F305" s="80">
        <v>311724.5</v>
      </c>
      <c r="G305" s="81"/>
      <c r="H305" s="80">
        <v>60633.43</v>
      </c>
      <c r="I305" s="79">
        <f t="shared" si="12"/>
        <v>0.19450967120005005</v>
      </c>
    </row>
    <row r="306" spans="1:9" x14ac:dyDescent="0.25">
      <c r="A306" s="76" t="s">
        <v>578</v>
      </c>
      <c r="B306" s="76" t="s">
        <v>621</v>
      </c>
      <c r="C306" s="77">
        <v>40688</v>
      </c>
      <c r="D306" s="78">
        <v>40999</v>
      </c>
      <c r="E306" s="79">
        <v>0</v>
      </c>
      <c r="F306" s="80">
        <v>151238</v>
      </c>
      <c r="G306" s="88"/>
      <c r="H306" s="80">
        <v>60318.63</v>
      </c>
      <c r="I306" s="79">
        <f t="shared" si="12"/>
        <v>0.39883250241341461</v>
      </c>
    </row>
    <row r="307" spans="1:9" x14ac:dyDescent="0.25">
      <c r="A307" s="76" t="s">
        <v>317</v>
      </c>
      <c r="B307" s="76" t="s">
        <v>178</v>
      </c>
      <c r="C307" s="77">
        <v>40943</v>
      </c>
      <c r="D307" s="78">
        <v>41274</v>
      </c>
      <c r="E307" s="79">
        <v>0</v>
      </c>
      <c r="F307" s="80">
        <v>271893.48</v>
      </c>
      <c r="G307" s="81"/>
      <c r="H307" s="80">
        <v>60318.18</v>
      </c>
      <c r="I307" s="79">
        <f t="shared" si="12"/>
        <v>0.22184489308092273</v>
      </c>
    </row>
    <row r="308" spans="1:9" x14ac:dyDescent="0.25">
      <c r="A308" s="76" t="s">
        <v>317</v>
      </c>
      <c r="B308" s="76" t="s">
        <v>174</v>
      </c>
      <c r="C308" s="77">
        <v>40953</v>
      </c>
      <c r="D308" s="78">
        <v>41274</v>
      </c>
      <c r="E308" s="79">
        <v>8.9999999999999998E-4</v>
      </c>
      <c r="F308" s="80">
        <v>453774.67</v>
      </c>
      <c r="G308" s="81"/>
      <c r="H308" s="80">
        <v>60006.1</v>
      </c>
      <c r="I308" s="79">
        <f t="shared" si="12"/>
        <v>0.13223765883626779</v>
      </c>
    </row>
    <row r="309" spans="1:9" x14ac:dyDescent="0.25">
      <c r="A309" s="76" t="s">
        <v>491</v>
      </c>
      <c r="B309" s="76" t="s">
        <v>493</v>
      </c>
      <c r="C309" s="77">
        <v>40966</v>
      </c>
      <c r="D309" s="78">
        <v>41019</v>
      </c>
      <c r="E309" s="79">
        <v>0.40500000000000003</v>
      </c>
      <c r="F309" s="80">
        <v>134741</v>
      </c>
      <c r="G309" s="88"/>
      <c r="H309" s="80">
        <v>59488.83</v>
      </c>
      <c r="I309" s="79">
        <f t="shared" si="12"/>
        <v>0.44150503558679244</v>
      </c>
    </row>
    <row r="310" spans="1:9" x14ac:dyDescent="0.25">
      <c r="A310" s="76" t="s">
        <v>491</v>
      </c>
      <c r="B310" s="76" t="s">
        <v>492</v>
      </c>
      <c r="C310" s="77">
        <v>41134</v>
      </c>
      <c r="D310" s="78">
        <v>41166</v>
      </c>
      <c r="E310" s="79">
        <v>0.5</v>
      </c>
      <c r="F310" s="80">
        <v>118324</v>
      </c>
      <c r="G310" s="88"/>
      <c r="H310" s="80">
        <v>59162</v>
      </c>
      <c r="I310" s="79">
        <f t="shared" si="12"/>
        <v>0.5</v>
      </c>
    </row>
    <row r="311" spans="1:9" x14ac:dyDescent="0.25">
      <c r="A311" s="70" t="s">
        <v>60</v>
      </c>
      <c r="B311" s="70" t="s">
        <v>58</v>
      </c>
      <c r="C311" s="71">
        <v>40725</v>
      </c>
      <c r="D311" s="72">
        <v>41090</v>
      </c>
      <c r="E311" s="73">
        <v>0.11700000000000001</v>
      </c>
      <c r="F311" s="74">
        <v>295229.78999999998</v>
      </c>
      <c r="G311" s="75"/>
      <c r="H311" s="74">
        <v>58459.38</v>
      </c>
      <c r="I311" s="73">
        <v>0.19801314765694886</v>
      </c>
    </row>
    <row r="312" spans="1:9" x14ac:dyDescent="0.25">
      <c r="A312" s="76" t="s">
        <v>491</v>
      </c>
      <c r="B312" s="76" t="s">
        <v>492</v>
      </c>
      <c r="C312" s="77">
        <v>40924</v>
      </c>
      <c r="D312" s="78">
        <v>40963</v>
      </c>
      <c r="E312" s="79">
        <v>0.5</v>
      </c>
      <c r="F312" s="80">
        <v>116240</v>
      </c>
      <c r="G312" s="88"/>
      <c r="H312" s="80">
        <v>58120</v>
      </c>
      <c r="I312" s="79">
        <f>H312/F312</f>
        <v>0.5</v>
      </c>
    </row>
    <row r="313" spans="1:9" x14ac:dyDescent="0.25">
      <c r="A313" s="70" t="s">
        <v>101</v>
      </c>
      <c r="B313" s="70" t="s">
        <v>107</v>
      </c>
      <c r="C313" s="71">
        <v>40763</v>
      </c>
      <c r="D313" s="72">
        <v>41090</v>
      </c>
      <c r="E313" s="73">
        <v>1.35E-2</v>
      </c>
      <c r="F313" s="74">
        <v>104863</v>
      </c>
      <c r="G313" s="75"/>
      <c r="H313" s="74">
        <v>57350.75</v>
      </c>
      <c r="I313" s="73">
        <v>0.54691120795704873</v>
      </c>
    </row>
    <row r="314" spans="1:9" x14ac:dyDescent="0.25">
      <c r="A314" s="76" t="s">
        <v>478</v>
      </c>
      <c r="B314" s="76" t="s">
        <v>67</v>
      </c>
      <c r="C314" s="77">
        <v>40780</v>
      </c>
      <c r="D314" s="78">
        <v>41145</v>
      </c>
      <c r="E314" s="79">
        <v>0.1</v>
      </c>
      <c r="F314" s="80">
        <v>570217.24</v>
      </c>
      <c r="G314" s="81"/>
      <c r="H314" s="80">
        <v>57021.72</v>
      </c>
      <c r="I314" s="79">
        <f>H314/F314</f>
        <v>9.9999992985129668E-2</v>
      </c>
    </row>
    <row r="315" spans="1:9" x14ac:dyDescent="0.25">
      <c r="A315" s="70" t="s">
        <v>101</v>
      </c>
      <c r="B315" s="70" t="s">
        <v>108</v>
      </c>
      <c r="C315" s="71">
        <v>40817</v>
      </c>
      <c r="D315" s="72">
        <v>41182</v>
      </c>
      <c r="E315" s="73">
        <v>1.35E-2</v>
      </c>
      <c r="F315" s="74">
        <v>172417.28</v>
      </c>
      <c r="G315" s="75"/>
      <c r="H315" s="74">
        <v>56853.78</v>
      </c>
      <c r="I315" s="73">
        <v>0.32974525523195819</v>
      </c>
    </row>
    <row r="316" spans="1:9" x14ac:dyDescent="0.25">
      <c r="A316" s="76" t="s">
        <v>531</v>
      </c>
      <c r="B316" s="76" t="s">
        <v>22</v>
      </c>
      <c r="C316" s="77">
        <v>41106</v>
      </c>
      <c r="D316" s="78">
        <v>41470</v>
      </c>
      <c r="E316" s="79">
        <v>0.01</v>
      </c>
      <c r="F316" s="80">
        <v>157375</v>
      </c>
      <c r="G316" s="81"/>
      <c r="H316" s="80">
        <v>56502</v>
      </c>
      <c r="I316" s="79">
        <f>H316/F316</f>
        <v>0.35902779984114375</v>
      </c>
    </row>
    <row r="317" spans="1:9" x14ac:dyDescent="0.25">
      <c r="A317" s="70" t="s">
        <v>95</v>
      </c>
      <c r="B317" s="70" t="s">
        <v>98</v>
      </c>
      <c r="C317" s="71">
        <v>40825</v>
      </c>
      <c r="D317" s="72">
        <v>41190</v>
      </c>
      <c r="E317" s="73">
        <v>0.09</v>
      </c>
      <c r="F317" s="74">
        <v>563484.9</v>
      </c>
      <c r="G317" s="75"/>
      <c r="H317" s="74">
        <v>56348.49</v>
      </c>
      <c r="I317" s="73">
        <v>9.9999999999999992E-2</v>
      </c>
    </row>
    <row r="318" spans="1:9" x14ac:dyDescent="0.25">
      <c r="A318" s="76" t="s">
        <v>317</v>
      </c>
      <c r="B318" s="76" t="s">
        <v>117</v>
      </c>
      <c r="C318" s="77">
        <v>40681</v>
      </c>
      <c r="D318" s="78">
        <v>41029</v>
      </c>
      <c r="E318" s="79">
        <v>0</v>
      </c>
      <c r="F318" s="80"/>
      <c r="G318" s="81">
        <v>111369.59</v>
      </c>
      <c r="H318" s="80">
        <v>55751.91</v>
      </c>
      <c r="I318" s="79">
        <f>H318/G318</f>
        <v>0.50060263308861963</v>
      </c>
    </row>
    <row r="319" spans="1:9" x14ac:dyDescent="0.25">
      <c r="A319" s="76" t="s">
        <v>643</v>
      </c>
      <c r="B319" s="76" t="s">
        <v>646</v>
      </c>
      <c r="C319" s="77">
        <v>40616</v>
      </c>
      <c r="D319" s="78">
        <v>40981</v>
      </c>
      <c r="E319" s="79">
        <v>4.4999999999999997E-3</v>
      </c>
      <c r="F319" s="80">
        <v>189737.88</v>
      </c>
      <c r="G319" s="81"/>
      <c r="H319" s="80">
        <v>55063.08</v>
      </c>
      <c r="I319" s="79">
        <f>H319/F319</f>
        <v>0.29020604636248704</v>
      </c>
    </row>
    <row r="320" spans="1:9" x14ac:dyDescent="0.25">
      <c r="A320" s="76" t="s">
        <v>449</v>
      </c>
      <c r="B320" s="76" t="s">
        <v>474</v>
      </c>
      <c r="C320" s="77">
        <v>41122</v>
      </c>
      <c r="D320" s="78">
        <v>41486</v>
      </c>
      <c r="E320" s="79">
        <v>0</v>
      </c>
      <c r="F320" s="80">
        <v>248930</v>
      </c>
      <c r="G320" s="88"/>
      <c r="H320" s="80">
        <v>55035</v>
      </c>
      <c r="I320" s="79">
        <f>H320/F320</f>
        <v>0.22108624914634636</v>
      </c>
    </row>
    <row r="321" spans="1:9" x14ac:dyDescent="0.25">
      <c r="A321" s="76" t="s">
        <v>674</v>
      </c>
      <c r="B321" s="76" t="s">
        <v>28</v>
      </c>
      <c r="C321" s="77">
        <v>40940</v>
      </c>
      <c r="D321" s="78">
        <v>41274</v>
      </c>
      <c r="E321" s="79">
        <v>0.29699999999999999</v>
      </c>
      <c r="F321" s="80">
        <v>195080</v>
      </c>
      <c r="G321" s="81"/>
      <c r="H321" s="80">
        <v>54115.199999999997</v>
      </c>
      <c r="I321" s="79">
        <f>H321/F321</f>
        <v>0.27740004100881688</v>
      </c>
    </row>
    <row r="322" spans="1:9" x14ac:dyDescent="0.25">
      <c r="A322" s="70" t="s">
        <v>146</v>
      </c>
      <c r="B322" s="70" t="s">
        <v>149</v>
      </c>
      <c r="C322" s="71">
        <v>40575</v>
      </c>
      <c r="D322" s="72">
        <v>40939</v>
      </c>
      <c r="E322" s="101">
        <v>4.4999999999999999E-4</v>
      </c>
      <c r="F322" s="74">
        <v>119726.91</v>
      </c>
      <c r="G322" s="75"/>
      <c r="H322" s="74">
        <v>54097.599999999999</v>
      </c>
      <c r="I322" s="73">
        <v>0.45184161188157279</v>
      </c>
    </row>
    <row r="323" spans="1:9" x14ac:dyDescent="0.25">
      <c r="A323" s="76" t="s">
        <v>317</v>
      </c>
      <c r="B323" s="110" t="s">
        <v>152</v>
      </c>
      <c r="C323" s="77">
        <v>40607</v>
      </c>
      <c r="D323" s="78">
        <v>40968</v>
      </c>
      <c r="E323" s="79">
        <v>0.108</v>
      </c>
      <c r="F323" s="80">
        <v>37044.5</v>
      </c>
      <c r="G323" s="81">
        <v>258609.14</v>
      </c>
      <c r="H323" s="80">
        <v>51955.62</v>
      </c>
      <c r="I323" s="79">
        <f>H323/G323</f>
        <v>0.20090403610638047</v>
      </c>
    </row>
    <row r="324" spans="1:9" x14ac:dyDescent="0.25">
      <c r="A324" s="76" t="s">
        <v>643</v>
      </c>
      <c r="B324" s="76" t="s">
        <v>247</v>
      </c>
      <c r="C324" s="77">
        <v>40954</v>
      </c>
      <c r="D324" s="78">
        <v>41274</v>
      </c>
      <c r="E324" s="79">
        <v>4.4999999999999997E-3</v>
      </c>
      <c r="F324" s="80">
        <v>192923.81</v>
      </c>
      <c r="G324" s="81"/>
      <c r="H324" s="80">
        <v>51505.21</v>
      </c>
      <c r="I324" s="79">
        <f>H324/F324</f>
        <v>0.26697176465673161</v>
      </c>
    </row>
    <row r="325" spans="1:9" x14ac:dyDescent="0.25">
      <c r="A325" s="76" t="s">
        <v>578</v>
      </c>
      <c r="B325" s="76" t="s">
        <v>178</v>
      </c>
      <c r="C325" s="77">
        <v>40707</v>
      </c>
      <c r="D325" s="78">
        <v>40939</v>
      </c>
      <c r="E325" s="79">
        <v>0</v>
      </c>
      <c r="F325" s="80">
        <v>286760.31</v>
      </c>
      <c r="G325" s="88"/>
      <c r="H325" s="80">
        <v>51142.42</v>
      </c>
      <c r="I325" s="79">
        <f>H325/F325</f>
        <v>0.1783455318485323</v>
      </c>
    </row>
    <row r="326" spans="1:9" x14ac:dyDescent="0.25">
      <c r="A326" s="76" t="s">
        <v>512</v>
      </c>
      <c r="B326" s="76" t="s">
        <v>131</v>
      </c>
      <c r="C326" s="77">
        <v>41090</v>
      </c>
      <c r="D326" s="78">
        <v>41454</v>
      </c>
      <c r="E326" s="79">
        <v>0.12</v>
      </c>
      <c r="F326" s="80">
        <v>422608.12</v>
      </c>
      <c r="G326" s="81"/>
      <c r="H326" s="80">
        <v>50712.97</v>
      </c>
      <c r="I326" s="79">
        <f>H326/F326</f>
        <v>0.11999998958846318</v>
      </c>
    </row>
    <row r="327" spans="1:9" x14ac:dyDescent="0.25">
      <c r="A327" s="76" t="s">
        <v>367</v>
      </c>
      <c r="B327" s="76" t="s">
        <v>369</v>
      </c>
      <c r="C327" s="77">
        <v>41105</v>
      </c>
      <c r="D327" s="78">
        <v>41469</v>
      </c>
      <c r="E327" s="79">
        <v>0.13500000000000001</v>
      </c>
      <c r="F327" s="80"/>
      <c r="G327" s="81">
        <v>336861</v>
      </c>
      <c r="H327" s="80">
        <v>50529.15</v>
      </c>
      <c r="I327" s="79">
        <f>H327/G327</f>
        <v>0.15</v>
      </c>
    </row>
    <row r="328" spans="1:9" x14ac:dyDescent="0.25">
      <c r="A328" s="76" t="s">
        <v>685</v>
      </c>
      <c r="B328" s="76" t="s">
        <v>686</v>
      </c>
      <c r="C328" s="77">
        <v>41061</v>
      </c>
      <c r="D328" s="78">
        <v>41274</v>
      </c>
      <c r="E328" s="79">
        <v>0.09</v>
      </c>
      <c r="F328" s="80">
        <v>273759.81</v>
      </c>
      <c r="G328" s="81"/>
      <c r="H328" s="80">
        <v>49999.98</v>
      </c>
      <c r="I328" s="79">
        <f t="shared" ref="I328:I333" si="13">H328/F328</f>
        <v>0.1826417836862175</v>
      </c>
    </row>
    <row r="329" spans="1:9" x14ac:dyDescent="0.25">
      <c r="A329" s="76" t="s">
        <v>263</v>
      </c>
      <c r="B329" s="76" t="s">
        <v>190</v>
      </c>
      <c r="C329" s="77">
        <v>40911</v>
      </c>
      <c r="D329" s="78">
        <v>41276</v>
      </c>
      <c r="E329" s="79">
        <v>8.9999999999999993E-3</v>
      </c>
      <c r="F329" s="80">
        <v>136777</v>
      </c>
      <c r="G329" s="81"/>
      <c r="H329" s="80">
        <v>49937.8</v>
      </c>
      <c r="I329" s="79">
        <f t="shared" si="13"/>
        <v>0.36510378206862265</v>
      </c>
    </row>
    <row r="330" spans="1:9" x14ac:dyDescent="0.25">
      <c r="A330" s="70" t="s">
        <v>56</v>
      </c>
      <c r="B330" s="70" t="s">
        <v>57</v>
      </c>
      <c r="C330" s="71">
        <v>40756</v>
      </c>
      <c r="D330" s="72">
        <v>41121</v>
      </c>
      <c r="E330" s="73">
        <v>8.9999999999999993E-3</v>
      </c>
      <c r="F330" s="74">
        <v>66550</v>
      </c>
      <c r="G330" s="75"/>
      <c r="H330" s="74">
        <v>49681.4</v>
      </c>
      <c r="I330" s="73">
        <f t="shared" si="13"/>
        <v>0.74652742299023289</v>
      </c>
    </row>
    <row r="331" spans="1:9" x14ac:dyDescent="0.25">
      <c r="A331" s="76" t="s">
        <v>478</v>
      </c>
      <c r="B331" s="76" t="s">
        <v>67</v>
      </c>
      <c r="C331" s="77">
        <v>41146</v>
      </c>
      <c r="D331" s="78">
        <v>41510</v>
      </c>
      <c r="E331" s="79">
        <v>0.1</v>
      </c>
      <c r="F331" s="80">
        <v>491495.73</v>
      </c>
      <c r="G331" s="81"/>
      <c r="H331" s="80">
        <v>49149.57</v>
      </c>
      <c r="I331" s="79">
        <f t="shared" si="13"/>
        <v>9.9999993896182984E-2</v>
      </c>
    </row>
    <row r="332" spans="1:9" x14ac:dyDescent="0.25">
      <c r="A332" s="76" t="s">
        <v>594</v>
      </c>
      <c r="B332" s="76" t="s">
        <v>603</v>
      </c>
      <c r="C332" s="77">
        <v>41261</v>
      </c>
      <c r="D332" s="78">
        <v>41455</v>
      </c>
      <c r="E332" s="79">
        <v>0.27</v>
      </c>
      <c r="F332" s="80">
        <v>94175</v>
      </c>
      <c r="G332" s="81"/>
      <c r="H332" s="80">
        <v>48036.93</v>
      </c>
      <c r="I332" s="79">
        <f t="shared" si="13"/>
        <v>0.51008155030528268</v>
      </c>
    </row>
    <row r="333" spans="1:9" ht="28.5" x14ac:dyDescent="0.25">
      <c r="A333" s="76" t="s">
        <v>415</v>
      </c>
      <c r="B333" s="76" t="s">
        <v>416</v>
      </c>
      <c r="C333" s="77">
        <v>40634</v>
      </c>
      <c r="D333" s="78">
        <v>40984</v>
      </c>
      <c r="E333" s="79">
        <v>0.35</v>
      </c>
      <c r="F333" s="80">
        <v>120075</v>
      </c>
      <c r="G333" s="81"/>
      <c r="H333" s="80">
        <v>48030</v>
      </c>
      <c r="I333" s="79">
        <f t="shared" si="13"/>
        <v>0.4</v>
      </c>
    </row>
    <row r="334" spans="1:9" x14ac:dyDescent="0.25">
      <c r="A334" s="76" t="s">
        <v>594</v>
      </c>
      <c r="B334" s="76" t="s">
        <v>607</v>
      </c>
      <c r="C334" s="77">
        <v>40662</v>
      </c>
      <c r="D334" s="78">
        <v>41028</v>
      </c>
      <c r="E334" s="79">
        <v>0.57599999999999996</v>
      </c>
      <c r="F334" s="91"/>
      <c r="G334" s="122">
        <v>85548.34</v>
      </c>
      <c r="H334" s="80">
        <v>47972.26</v>
      </c>
      <c r="I334" s="79">
        <f>H334/G334</f>
        <v>0.56076202063067504</v>
      </c>
    </row>
    <row r="335" spans="1:9" x14ac:dyDescent="0.25">
      <c r="A335" s="76" t="s">
        <v>372</v>
      </c>
      <c r="B335" s="76" t="s">
        <v>22</v>
      </c>
      <c r="C335" s="77">
        <v>40742</v>
      </c>
      <c r="D335" s="78">
        <v>41107</v>
      </c>
      <c r="E335" s="79">
        <v>8.9999999999999993E-3</v>
      </c>
      <c r="F335" s="80">
        <v>754364.77</v>
      </c>
      <c r="G335" s="81"/>
      <c r="H335" s="80">
        <v>47471.43</v>
      </c>
      <c r="I335" s="79">
        <f>H335/F335</f>
        <v>6.2929012445795948E-2</v>
      </c>
    </row>
    <row r="336" spans="1:9" x14ac:dyDescent="0.25">
      <c r="A336" s="76" t="s">
        <v>491</v>
      </c>
      <c r="B336" s="76" t="s">
        <v>498</v>
      </c>
      <c r="C336" s="77">
        <v>41169</v>
      </c>
      <c r="D336" s="78">
        <v>41208</v>
      </c>
      <c r="E336" s="79">
        <v>0.46</v>
      </c>
      <c r="F336" s="80">
        <v>102538</v>
      </c>
      <c r="G336" s="88"/>
      <c r="H336" s="80">
        <v>47167.48</v>
      </c>
      <c r="I336" s="79">
        <f>H336/F336</f>
        <v>0.46</v>
      </c>
    </row>
    <row r="337" spans="1:9" x14ac:dyDescent="0.25">
      <c r="A337" s="76" t="s">
        <v>317</v>
      </c>
      <c r="B337" s="76" t="s">
        <v>346</v>
      </c>
      <c r="C337" s="77">
        <v>40909</v>
      </c>
      <c r="D337" s="78">
        <v>41274</v>
      </c>
      <c r="E337" s="79">
        <v>8.9999999999999998E-4</v>
      </c>
      <c r="F337" s="80">
        <v>1020214.51</v>
      </c>
      <c r="G337" s="81"/>
      <c r="H337" s="80">
        <v>45922.05</v>
      </c>
      <c r="I337" s="79">
        <f>H337/F337</f>
        <v>4.5012151415097991E-2</v>
      </c>
    </row>
    <row r="338" spans="1:9" x14ac:dyDescent="0.25">
      <c r="A338" s="76" t="s">
        <v>531</v>
      </c>
      <c r="B338" s="76" t="s">
        <v>23</v>
      </c>
      <c r="C338" s="77">
        <v>40760</v>
      </c>
      <c r="D338" s="78">
        <v>41090</v>
      </c>
      <c r="E338" s="79">
        <v>8.9999999999999993E-3</v>
      </c>
      <c r="F338" s="80">
        <v>73705</v>
      </c>
      <c r="G338" s="81"/>
      <c r="H338" s="80">
        <v>45572</v>
      </c>
      <c r="I338" s="79">
        <f>H338/F338</f>
        <v>0.61830269316871311</v>
      </c>
    </row>
    <row r="339" spans="1:9" ht="28.5" x14ac:dyDescent="0.25">
      <c r="A339" s="76" t="s">
        <v>415</v>
      </c>
      <c r="B339" s="76" t="s">
        <v>421</v>
      </c>
      <c r="C339" s="77">
        <v>40985</v>
      </c>
      <c r="D339" s="78">
        <v>41349</v>
      </c>
      <c r="E339" s="79">
        <v>0.35</v>
      </c>
      <c r="F339" s="80">
        <v>113490</v>
      </c>
      <c r="G339" s="81"/>
      <c r="H339" s="80">
        <v>45396</v>
      </c>
      <c r="I339" s="79">
        <f>H339/F339</f>
        <v>0.4</v>
      </c>
    </row>
    <row r="340" spans="1:9" x14ac:dyDescent="0.25">
      <c r="A340" s="70" t="s">
        <v>146</v>
      </c>
      <c r="B340" s="70" t="s">
        <v>147</v>
      </c>
      <c r="C340" s="71">
        <v>40590</v>
      </c>
      <c r="D340" s="72">
        <v>40939</v>
      </c>
      <c r="E340" s="101">
        <v>4.4999999999999999E-4</v>
      </c>
      <c r="F340" s="74">
        <v>92903.18</v>
      </c>
      <c r="G340" s="75"/>
      <c r="H340" s="74">
        <v>45244.91</v>
      </c>
      <c r="I340" s="73">
        <v>0.48701142415146614</v>
      </c>
    </row>
    <row r="341" spans="1:9" ht="28.5" x14ac:dyDescent="0.25">
      <c r="A341" s="76" t="s">
        <v>422</v>
      </c>
      <c r="B341" s="76" t="s">
        <v>425</v>
      </c>
      <c r="C341" s="77">
        <v>41142</v>
      </c>
      <c r="D341" s="78">
        <v>41506</v>
      </c>
      <c r="E341" s="79">
        <v>0.35</v>
      </c>
      <c r="F341" s="80">
        <v>111870</v>
      </c>
      <c r="G341" s="88"/>
      <c r="H341" s="80">
        <v>44748</v>
      </c>
      <c r="I341" s="79">
        <f>H341/F341</f>
        <v>0.4</v>
      </c>
    </row>
    <row r="342" spans="1:9" x14ac:dyDescent="0.25">
      <c r="A342" s="76" t="s">
        <v>317</v>
      </c>
      <c r="B342" s="76" t="s">
        <v>167</v>
      </c>
      <c r="C342" s="77">
        <v>40909</v>
      </c>
      <c r="D342" s="78">
        <v>41274</v>
      </c>
      <c r="E342" s="79">
        <v>8.9999999999999998E-4</v>
      </c>
      <c r="F342" s="80"/>
      <c r="G342" s="81">
        <v>102211.3</v>
      </c>
      <c r="H342" s="80">
        <v>44691.17</v>
      </c>
      <c r="I342" s="79">
        <f>H342/G342</f>
        <v>0.43724294671919833</v>
      </c>
    </row>
    <row r="343" spans="1:9" x14ac:dyDescent="0.25">
      <c r="A343" s="76" t="s">
        <v>449</v>
      </c>
      <c r="B343" s="76" t="s">
        <v>72</v>
      </c>
      <c r="C343" s="77">
        <v>40848</v>
      </c>
      <c r="D343" s="78">
        <v>41213</v>
      </c>
      <c r="E343" s="79">
        <v>0</v>
      </c>
      <c r="F343" s="80">
        <v>85689</v>
      </c>
      <c r="G343" s="81"/>
      <c r="H343" s="80">
        <v>44284</v>
      </c>
      <c r="I343" s="79">
        <f>H343/F343</f>
        <v>0.51679912240777692</v>
      </c>
    </row>
    <row r="344" spans="1:9" x14ac:dyDescent="0.25">
      <c r="A344" s="76" t="s">
        <v>449</v>
      </c>
      <c r="B344" s="76" t="s">
        <v>72</v>
      </c>
      <c r="C344" s="77">
        <v>41214</v>
      </c>
      <c r="D344" s="78">
        <v>41257</v>
      </c>
      <c r="E344" s="79">
        <v>0</v>
      </c>
      <c r="F344" s="80">
        <v>85689</v>
      </c>
      <c r="G344" s="81"/>
      <c r="H344" s="80">
        <v>44284</v>
      </c>
      <c r="I344" s="79">
        <f>H344/F344</f>
        <v>0.51679912240777692</v>
      </c>
    </row>
    <row r="345" spans="1:9" x14ac:dyDescent="0.25">
      <c r="A345" s="76" t="s">
        <v>317</v>
      </c>
      <c r="B345" s="76" t="s">
        <v>330</v>
      </c>
      <c r="C345" s="77">
        <v>40787</v>
      </c>
      <c r="D345" s="78">
        <v>41152</v>
      </c>
      <c r="E345" s="79">
        <v>1.7999999999999999E-2</v>
      </c>
      <c r="F345" s="80"/>
      <c r="G345" s="81">
        <v>147248.62</v>
      </c>
      <c r="H345" s="80">
        <v>44272.15</v>
      </c>
      <c r="I345" s="79">
        <f>H345/G345</f>
        <v>0.30066258006356872</v>
      </c>
    </row>
    <row r="346" spans="1:9" x14ac:dyDescent="0.25">
      <c r="A346" s="76" t="s">
        <v>317</v>
      </c>
      <c r="B346" s="76" t="s">
        <v>360</v>
      </c>
      <c r="C346" s="77">
        <v>41177</v>
      </c>
      <c r="D346" s="78">
        <v>41486</v>
      </c>
      <c r="E346" s="79">
        <v>8.9999999999999998E-4</v>
      </c>
      <c r="F346" s="80">
        <v>78283.8</v>
      </c>
      <c r="G346" s="81"/>
      <c r="H346" s="80">
        <v>44171.12</v>
      </c>
      <c r="I346" s="79">
        <f>H346/F346</f>
        <v>0.56424343222991225</v>
      </c>
    </row>
    <row r="347" spans="1:9" x14ac:dyDescent="0.25">
      <c r="A347" s="76" t="s">
        <v>317</v>
      </c>
      <c r="B347" s="76" t="s">
        <v>349</v>
      </c>
      <c r="C347" s="77">
        <v>40909</v>
      </c>
      <c r="D347" s="78">
        <v>41274</v>
      </c>
      <c r="E347" s="79">
        <v>0.09</v>
      </c>
      <c r="F347" s="80"/>
      <c r="G347" s="81">
        <v>118111.55</v>
      </c>
      <c r="H347" s="80">
        <v>43366.76</v>
      </c>
      <c r="I347" s="79">
        <f>H347/G347</f>
        <v>0.36716781720331332</v>
      </c>
    </row>
    <row r="348" spans="1:9" x14ac:dyDescent="0.25">
      <c r="A348" s="70" t="s">
        <v>130</v>
      </c>
      <c r="B348" s="70" t="s">
        <v>136</v>
      </c>
      <c r="C348" s="71">
        <v>40787</v>
      </c>
      <c r="D348" s="72">
        <v>41152</v>
      </c>
      <c r="E348" s="73">
        <v>0.14000000000000001</v>
      </c>
      <c r="F348" s="74">
        <v>306672.42</v>
      </c>
      <c r="G348" s="75"/>
      <c r="H348" s="74">
        <v>43355.96</v>
      </c>
      <c r="I348" s="73">
        <v>0.14137547810787812</v>
      </c>
    </row>
    <row r="349" spans="1:9" x14ac:dyDescent="0.25">
      <c r="A349" s="76" t="s">
        <v>367</v>
      </c>
      <c r="B349" s="76" t="s">
        <v>368</v>
      </c>
      <c r="C349" s="77">
        <v>40739</v>
      </c>
      <c r="D349" s="78">
        <v>41104</v>
      </c>
      <c r="E349" s="79">
        <v>0.13500000000000001</v>
      </c>
      <c r="F349" s="80">
        <v>288916.7</v>
      </c>
      <c r="G349" s="81"/>
      <c r="H349" s="80">
        <v>43337.51</v>
      </c>
      <c r="I349" s="79">
        <f>H349/F349</f>
        <v>0.15000001730602627</v>
      </c>
    </row>
    <row r="350" spans="1:9" x14ac:dyDescent="0.25">
      <c r="A350" s="76" t="s">
        <v>549</v>
      </c>
      <c r="B350" s="76" t="s">
        <v>553</v>
      </c>
      <c r="C350" s="77">
        <v>41030</v>
      </c>
      <c r="D350" s="78">
        <v>41394</v>
      </c>
      <c r="E350" s="79">
        <v>0.36</v>
      </c>
      <c r="F350" s="80">
        <v>139030</v>
      </c>
      <c r="G350" s="88"/>
      <c r="H350" s="80">
        <v>43210.31</v>
      </c>
      <c r="I350" s="79">
        <f>H350/F350</f>
        <v>0.31079846076386392</v>
      </c>
    </row>
    <row r="351" spans="1:9" x14ac:dyDescent="0.25">
      <c r="A351" s="70" t="s">
        <v>38</v>
      </c>
      <c r="B351" s="70" t="s">
        <v>42</v>
      </c>
      <c r="C351" s="71">
        <v>40710</v>
      </c>
      <c r="D351" s="72">
        <v>41075</v>
      </c>
      <c r="E351" s="73">
        <v>0.40500000000000003</v>
      </c>
      <c r="F351" s="74"/>
      <c r="G351" s="75">
        <v>95609.42</v>
      </c>
      <c r="H351" s="74">
        <v>43024.23</v>
      </c>
      <c r="I351" s="73">
        <v>0.44999990586701605</v>
      </c>
    </row>
    <row r="352" spans="1:9" x14ac:dyDescent="0.25">
      <c r="A352" s="76" t="s">
        <v>390</v>
      </c>
      <c r="B352" s="76" t="s">
        <v>391</v>
      </c>
      <c r="C352" s="77">
        <v>40854</v>
      </c>
      <c r="D352" s="78">
        <v>41219</v>
      </c>
      <c r="E352" s="79">
        <v>0.09</v>
      </c>
      <c r="F352" s="80">
        <v>434437.17</v>
      </c>
      <c r="G352" s="81"/>
      <c r="H352" s="80">
        <v>42897.34</v>
      </c>
      <c r="I352" s="79">
        <f>H352/F352</f>
        <v>9.8742333672784025E-2</v>
      </c>
    </row>
    <row r="353" spans="1:9" x14ac:dyDescent="0.25">
      <c r="A353" s="76" t="s">
        <v>367</v>
      </c>
      <c r="B353" s="76" t="s">
        <v>54</v>
      </c>
      <c r="C353" s="77">
        <v>40695</v>
      </c>
      <c r="D353" s="78">
        <v>40966</v>
      </c>
      <c r="E353" s="79">
        <v>0.15</v>
      </c>
      <c r="F353" s="80">
        <v>285683.40000000002</v>
      </c>
      <c r="G353" s="81"/>
      <c r="H353" s="80">
        <v>42852.51</v>
      </c>
      <c r="I353" s="79">
        <f>H353/F353</f>
        <v>0.15</v>
      </c>
    </row>
    <row r="354" spans="1:9" x14ac:dyDescent="0.25">
      <c r="A354" s="70" t="s">
        <v>38</v>
      </c>
      <c r="B354" s="70" t="s">
        <v>39</v>
      </c>
      <c r="C354" s="71">
        <v>40549</v>
      </c>
      <c r="D354" s="72">
        <v>40913</v>
      </c>
      <c r="E354" s="73">
        <v>0.45</v>
      </c>
      <c r="F354" s="74"/>
      <c r="G354" s="75">
        <v>94803</v>
      </c>
      <c r="H354" s="74">
        <v>42661.35</v>
      </c>
      <c r="I354" s="73">
        <v>0.45</v>
      </c>
    </row>
    <row r="355" spans="1:9" x14ac:dyDescent="0.25">
      <c r="A355" s="76" t="s">
        <v>317</v>
      </c>
      <c r="B355" s="76" t="s">
        <v>344</v>
      </c>
      <c r="C355" s="77">
        <v>40848</v>
      </c>
      <c r="D355" s="78">
        <v>41213</v>
      </c>
      <c r="E355" s="79">
        <v>0.27</v>
      </c>
      <c r="F355" s="80"/>
      <c r="G355" s="81">
        <v>104707.63</v>
      </c>
      <c r="H355" s="80">
        <v>42306.76</v>
      </c>
      <c r="I355" s="79">
        <f>H355/G355</f>
        <v>0.40404658189665832</v>
      </c>
    </row>
    <row r="356" spans="1:9" x14ac:dyDescent="0.25">
      <c r="A356" s="70" t="s">
        <v>146</v>
      </c>
      <c r="B356" s="70" t="s">
        <v>149</v>
      </c>
      <c r="C356" s="71">
        <v>40940</v>
      </c>
      <c r="D356" s="72">
        <v>41305</v>
      </c>
      <c r="E356" s="101">
        <v>4.4999999999999999E-4</v>
      </c>
      <c r="F356" s="74">
        <v>106771.18</v>
      </c>
      <c r="G356" s="75"/>
      <c r="H356" s="74">
        <v>41769.97</v>
      </c>
      <c r="I356" s="73">
        <v>0.39121015614887844</v>
      </c>
    </row>
    <row r="357" spans="1:9" x14ac:dyDescent="0.25">
      <c r="A357" s="76" t="s">
        <v>317</v>
      </c>
      <c r="B357" s="76" t="s">
        <v>318</v>
      </c>
      <c r="C357" s="77">
        <v>40611</v>
      </c>
      <c r="D357" s="78">
        <v>40931</v>
      </c>
      <c r="E357" s="79">
        <v>0</v>
      </c>
      <c r="F357" s="80">
        <v>107314.94</v>
      </c>
      <c r="G357" s="81"/>
      <c r="H357" s="80">
        <v>41499.18</v>
      </c>
      <c r="I357" s="79">
        <f t="shared" ref="I357:I364" si="14">H357/F357</f>
        <v>0.38670459117807826</v>
      </c>
    </row>
    <row r="358" spans="1:9" x14ac:dyDescent="0.25">
      <c r="A358" s="76" t="s">
        <v>478</v>
      </c>
      <c r="B358" s="76" t="s">
        <v>479</v>
      </c>
      <c r="C358" s="77">
        <v>40909</v>
      </c>
      <c r="D358" s="78">
        <v>41060</v>
      </c>
      <c r="E358" s="79">
        <v>0.09</v>
      </c>
      <c r="F358" s="80">
        <v>411995.58</v>
      </c>
      <c r="G358" s="81"/>
      <c r="H358" s="80">
        <v>41199.56</v>
      </c>
      <c r="I358" s="79">
        <f t="shared" si="14"/>
        <v>0.100000004854421</v>
      </c>
    </row>
    <row r="359" spans="1:9" x14ac:dyDescent="0.25">
      <c r="A359" s="76" t="s">
        <v>491</v>
      </c>
      <c r="B359" s="76" t="s">
        <v>501</v>
      </c>
      <c r="C359" s="77">
        <v>41218</v>
      </c>
      <c r="D359" s="78">
        <v>41257</v>
      </c>
      <c r="E359" s="79">
        <v>0.4</v>
      </c>
      <c r="F359" s="80">
        <v>102318.25</v>
      </c>
      <c r="G359" s="88"/>
      <c r="H359" s="80">
        <v>40927.300000000003</v>
      </c>
      <c r="I359" s="93">
        <f t="shared" si="14"/>
        <v>0.4</v>
      </c>
    </row>
    <row r="360" spans="1:9" x14ac:dyDescent="0.25">
      <c r="A360" s="76" t="s">
        <v>449</v>
      </c>
      <c r="B360" s="76" t="s">
        <v>463</v>
      </c>
      <c r="C360" s="77">
        <v>40822</v>
      </c>
      <c r="D360" s="78">
        <v>41090</v>
      </c>
      <c r="E360" s="79">
        <v>0</v>
      </c>
      <c r="F360" s="80">
        <v>59996</v>
      </c>
      <c r="G360" s="81"/>
      <c r="H360" s="80">
        <v>40912</v>
      </c>
      <c r="I360" s="79">
        <f t="shared" si="14"/>
        <v>0.68191212747516505</v>
      </c>
    </row>
    <row r="361" spans="1:9" x14ac:dyDescent="0.25">
      <c r="A361" s="76" t="s">
        <v>531</v>
      </c>
      <c r="B361" s="76" t="s">
        <v>187</v>
      </c>
      <c r="C361" s="77">
        <v>41153</v>
      </c>
      <c r="D361" s="78">
        <v>41517</v>
      </c>
      <c r="E361" s="79">
        <v>8.9999999999999993E-3</v>
      </c>
      <c r="F361" s="80">
        <v>108676</v>
      </c>
      <c r="G361" s="81"/>
      <c r="H361" s="80">
        <v>40622</v>
      </c>
      <c r="I361" s="79">
        <f t="shared" si="14"/>
        <v>0.37378998122860613</v>
      </c>
    </row>
    <row r="362" spans="1:9" x14ac:dyDescent="0.25">
      <c r="A362" s="76" t="s">
        <v>317</v>
      </c>
      <c r="B362" s="76" t="s">
        <v>328</v>
      </c>
      <c r="C362" s="77">
        <v>40729</v>
      </c>
      <c r="D362" s="78">
        <v>41094</v>
      </c>
      <c r="E362" s="79">
        <v>0</v>
      </c>
      <c r="F362" s="80">
        <v>1401611.29</v>
      </c>
      <c r="G362" s="81"/>
      <c r="H362" s="80">
        <v>40352.58</v>
      </c>
      <c r="I362" s="79">
        <f t="shared" si="14"/>
        <v>2.8790136243836906E-2</v>
      </c>
    </row>
    <row r="363" spans="1:9" x14ac:dyDescent="0.25">
      <c r="A363" s="76" t="s">
        <v>491</v>
      </c>
      <c r="B363" s="76" t="s">
        <v>499</v>
      </c>
      <c r="C363" s="77">
        <v>41197</v>
      </c>
      <c r="D363" s="78">
        <v>41222</v>
      </c>
      <c r="E363" s="79">
        <v>0.4</v>
      </c>
      <c r="F363" s="80">
        <v>100841</v>
      </c>
      <c r="G363" s="88"/>
      <c r="H363" s="80">
        <v>40336.400000000001</v>
      </c>
      <c r="I363" s="79">
        <f t="shared" si="14"/>
        <v>0.4</v>
      </c>
    </row>
    <row r="364" spans="1:9" x14ac:dyDescent="0.25">
      <c r="A364" s="76" t="s">
        <v>317</v>
      </c>
      <c r="B364" s="76" t="s">
        <v>329</v>
      </c>
      <c r="C364" s="77">
        <v>40740</v>
      </c>
      <c r="D364" s="78">
        <v>41090</v>
      </c>
      <c r="E364" s="79">
        <v>0</v>
      </c>
      <c r="F364" s="80">
        <v>82553.5</v>
      </c>
      <c r="G364" s="81"/>
      <c r="H364" s="80">
        <v>40310.25</v>
      </c>
      <c r="I364" s="79">
        <f t="shared" si="14"/>
        <v>0.48829244065969341</v>
      </c>
    </row>
    <row r="365" spans="1:9" x14ac:dyDescent="0.25">
      <c r="A365" s="76" t="s">
        <v>478</v>
      </c>
      <c r="B365" s="76" t="s">
        <v>481</v>
      </c>
      <c r="C365" s="77">
        <v>40909</v>
      </c>
      <c r="D365" s="78">
        <v>41274</v>
      </c>
      <c r="E365" s="79">
        <v>0.18</v>
      </c>
      <c r="F365" s="80"/>
      <c r="G365" s="81">
        <v>223896.63</v>
      </c>
      <c r="H365" s="80">
        <v>40301.39</v>
      </c>
      <c r="I365" s="79">
        <f>H365/G365</f>
        <v>0.17999998481442084</v>
      </c>
    </row>
    <row r="366" spans="1:9" x14ac:dyDescent="0.25">
      <c r="A366" s="70" t="s">
        <v>146</v>
      </c>
      <c r="B366" s="70" t="s">
        <v>163</v>
      </c>
      <c r="C366" s="71">
        <v>41093</v>
      </c>
      <c r="D366" s="72">
        <v>41182</v>
      </c>
      <c r="E366" s="73">
        <v>0.45</v>
      </c>
      <c r="F366" s="74">
        <v>125787.3</v>
      </c>
      <c r="G366" s="75"/>
      <c r="H366" s="74">
        <v>40224.800000000003</v>
      </c>
      <c r="I366" s="73">
        <v>0.31978427074911381</v>
      </c>
    </row>
    <row r="367" spans="1:9" x14ac:dyDescent="0.25">
      <c r="A367" s="76" t="s">
        <v>317</v>
      </c>
      <c r="B367" s="76" t="s">
        <v>326</v>
      </c>
      <c r="C367" s="77">
        <v>40725</v>
      </c>
      <c r="D367" s="78">
        <v>41090</v>
      </c>
      <c r="E367" s="79">
        <v>0</v>
      </c>
      <c r="F367" s="80"/>
      <c r="G367" s="81">
        <v>107029.43</v>
      </c>
      <c r="H367" s="80">
        <v>39333.46</v>
      </c>
      <c r="I367" s="79">
        <f>H367/G367</f>
        <v>0.36750134986236965</v>
      </c>
    </row>
    <row r="368" spans="1:9" ht="28.5" x14ac:dyDescent="0.25">
      <c r="A368" s="70" t="s">
        <v>101</v>
      </c>
      <c r="B368" s="70" t="s">
        <v>111</v>
      </c>
      <c r="C368" s="71">
        <v>41243</v>
      </c>
      <c r="D368" s="72">
        <v>41274</v>
      </c>
      <c r="E368" s="73">
        <v>1.35E-2</v>
      </c>
      <c r="F368" s="74">
        <v>63304.22</v>
      </c>
      <c r="G368" s="75"/>
      <c r="H368" s="74">
        <v>39057.620000000003</v>
      </c>
      <c r="I368" s="73">
        <v>0.61698288044620098</v>
      </c>
    </row>
    <row r="369" spans="1:9" x14ac:dyDescent="0.25">
      <c r="A369" s="76" t="s">
        <v>394</v>
      </c>
      <c r="B369" s="76" t="s">
        <v>404</v>
      </c>
      <c r="C369" s="77">
        <v>41120</v>
      </c>
      <c r="D369" s="78">
        <v>41485</v>
      </c>
      <c r="E369" s="79">
        <v>0.3</v>
      </c>
      <c r="F369" s="80">
        <v>128735</v>
      </c>
      <c r="G369" s="81"/>
      <c r="H369" s="80">
        <v>38620.5</v>
      </c>
      <c r="I369" s="79">
        <f>H369/F369</f>
        <v>0.3</v>
      </c>
    </row>
    <row r="370" spans="1:9" x14ac:dyDescent="0.25">
      <c r="A370" s="76" t="s">
        <v>594</v>
      </c>
      <c r="B370" s="76" t="s">
        <v>603</v>
      </c>
      <c r="C370" s="77">
        <v>40900</v>
      </c>
      <c r="D370" s="78">
        <v>41090</v>
      </c>
      <c r="E370" s="79">
        <v>0.26100000000000001</v>
      </c>
      <c r="F370" s="80">
        <v>85377</v>
      </c>
      <c r="G370" s="81"/>
      <c r="H370" s="80">
        <v>38475.550000000003</v>
      </c>
      <c r="I370" s="79">
        <f>H370/F370</f>
        <v>0.4506547430806892</v>
      </c>
    </row>
    <row r="371" spans="1:9" x14ac:dyDescent="0.25">
      <c r="A371" s="70" t="s">
        <v>118</v>
      </c>
      <c r="B371" s="70" t="s">
        <v>43</v>
      </c>
      <c r="C371" s="71">
        <v>40736</v>
      </c>
      <c r="D371" s="72">
        <v>41101</v>
      </c>
      <c r="E371" s="73">
        <v>0.17</v>
      </c>
      <c r="F371" s="74">
        <v>432564.07</v>
      </c>
      <c r="G371" s="75"/>
      <c r="H371" s="74">
        <v>38166.51</v>
      </c>
      <c r="I371" s="73">
        <v>8.8233195142629395E-2</v>
      </c>
    </row>
    <row r="372" spans="1:9" x14ac:dyDescent="0.25">
      <c r="A372" s="76" t="s">
        <v>239</v>
      </c>
      <c r="B372" s="76" t="s">
        <v>240</v>
      </c>
      <c r="C372" s="77">
        <v>40969</v>
      </c>
      <c r="D372" s="78">
        <v>41274</v>
      </c>
      <c r="E372" s="79">
        <v>0.09</v>
      </c>
      <c r="F372" s="80"/>
      <c r="G372" s="81">
        <v>64099</v>
      </c>
      <c r="H372" s="80">
        <v>37801</v>
      </c>
      <c r="I372" s="79">
        <f>H372/G372</f>
        <v>0.58972838889842272</v>
      </c>
    </row>
    <row r="373" spans="1:9" x14ac:dyDescent="0.25">
      <c r="A373" s="76" t="s">
        <v>531</v>
      </c>
      <c r="B373" s="76" t="s">
        <v>175</v>
      </c>
      <c r="C373" s="77">
        <v>41179</v>
      </c>
      <c r="D373" s="78">
        <v>41364</v>
      </c>
      <c r="E373" s="79">
        <v>8.9999999999999993E-3</v>
      </c>
      <c r="F373" s="80">
        <v>59132</v>
      </c>
      <c r="G373" s="81"/>
      <c r="H373" s="80">
        <v>37701</v>
      </c>
      <c r="I373" s="79">
        <f>H373/F373</f>
        <v>0.63757356422918221</v>
      </c>
    </row>
    <row r="374" spans="1:9" ht="28.5" x14ac:dyDescent="0.25">
      <c r="A374" s="76" t="s">
        <v>415</v>
      </c>
      <c r="B374" s="76" t="s">
        <v>420</v>
      </c>
      <c r="C374" s="77">
        <v>40776</v>
      </c>
      <c r="D374" s="78">
        <v>41141</v>
      </c>
      <c r="E374" s="79">
        <v>0.35</v>
      </c>
      <c r="F374" s="80">
        <v>93290</v>
      </c>
      <c r="G374" s="81"/>
      <c r="H374" s="80">
        <v>37316</v>
      </c>
      <c r="I374" s="79">
        <f>H374/F374</f>
        <v>0.4</v>
      </c>
    </row>
    <row r="375" spans="1:9" x14ac:dyDescent="0.25">
      <c r="A375" s="76" t="s">
        <v>236</v>
      </c>
      <c r="B375" s="76" t="s">
        <v>51</v>
      </c>
      <c r="C375" s="77">
        <v>40893</v>
      </c>
      <c r="D375" s="78">
        <v>41258</v>
      </c>
      <c r="E375" s="79">
        <v>0.15</v>
      </c>
      <c r="F375" s="80"/>
      <c r="G375" s="81">
        <v>247343.87</v>
      </c>
      <c r="H375" s="80">
        <v>37101.58</v>
      </c>
      <c r="I375" s="79">
        <f>H375/G375</f>
        <v>0.14999999797852279</v>
      </c>
    </row>
    <row r="376" spans="1:9" x14ac:dyDescent="0.25">
      <c r="A376" s="76" t="s">
        <v>491</v>
      </c>
      <c r="B376" s="76" t="s">
        <v>497</v>
      </c>
      <c r="C376" s="77">
        <v>41113</v>
      </c>
      <c r="D376" s="78">
        <v>41131</v>
      </c>
      <c r="E376" s="79">
        <v>0.45</v>
      </c>
      <c r="F376" s="80">
        <v>82119.5</v>
      </c>
      <c r="G376" s="88"/>
      <c r="H376" s="80">
        <v>36953.78</v>
      </c>
      <c r="I376" s="79">
        <f>H376/F376</f>
        <v>0.45000006088687827</v>
      </c>
    </row>
    <row r="377" spans="1:9" x14ac:dyDescent="0.25">
      <c r="A377" s="76" t="s">
        <v>372</v>
      </c>
      <c r="B377" s="76" t="s">
        <v>23</v>
      </c>
      <c r="C377" s="77">
        <v>40742</v>
      </c>
      <c r="D377" s="78">
        <v>41107</v>
      </c>
      <c r="E377" s="79">
        <v>8.9999999999999993E-3</v>
      </c>
      <c r="F377" s="80">
        <v>379045.07</v>
      </c>
      <c r="G377" s="81"/>
      <c r="H377" s="80">
        <v>36845.1</v>
      </c>
      <c r="I377" s="79">
        <f>H377/F377</f>
        <v>9.7205063239577283E-2</v>
      </c>
    </row>
    <row r="378" spans="1:9" x14ac:dyDescent="0.25">
      <c r="A378" s="70" t="s">
        <v>87</v>
      </c>
      <c r="B378" s="70" t="s">
        <v>94</v>
      </c>
      <c r="C378" s="71">
        <v>41000</v>
      </c>
      <c r="D378" s="72">
        <v>41333</v>
      </c>
      <c r="E378" s="73">
        <v>0.92500000000000004</v>
      </c>
      <c r="F378" s="74">
        <v>39770.1</v>
      </c>
      <c r="G378" s="75"/>
      <c r="H378" s="74">
        <v>36787.339999999997</v>
      </c>
      <c r="I378" s="73">
        <v>0.92499993713870465</v>
      </c>
    </row>
    <row r="379" spans="1:9" x14ac:dyDescent="0.25">
      <c r="A379" s="76" t="s">
        <v>317</v>
      </c>
      <c r="B379" s="76" t="s">
        <v>334</v>
      </c>
      <c r="C379" s="77">
        <v>40827</v>
      </c>
      <c r="D379" s="78">
        <v>41152</v>
      </c>
      <c r="E379" s="79">
        <v>0</v>
      </c>
      <c r="F379" s="80">
        <v>176295.8</v>
      </c>
      <c r="G379" s="81"/>
      <c r="H379" s="80">
        <v>36589.800000000003</v>
      </c>
      <c r="I379" s="79">
        <f>H379/F379</f>
        <v>0.20754776914708123</v>
      </c>
    </row>
    <row r="380" spans="1:9" x14ac:dyDescent="0.25">
      <c r="A380" s="70" t="s">
        <v>119</v>
      </c>
      <c r="B380" s="70" t="s">
        <v>51</v>
      </c>
      <c r="C380" s="71">
        <v>40909</v>
      </c>
      <c r="D380" s="72">
        <v>41274</v>
      </c>
      <c r="E380" s="73">
        <v>0.15</v>
      </c>
      <c r="F380" s="74">
        <v>304465.02</v>
      </c>
      <c r="G380" s="75"/>
      <c r="H380" s="74">
        <v>36535.800000000003</v>
      </c>
      <c r="I380" s="73">
        <v>0.11999999211732107</v>
      </c>
    </row>
    <row r="381" spans="1:9" x14ac:dyDescent="0.25">
      <c r="A381" s="76" t="s">
        <v>674</v>
      </c>
      <c r="B381" s="76" t="s">
        <v>108</v>
      </c>
      <c r="C381" s="77">
        <v>41011</v>
      </c>
      <c r="D381" s="78">
        <v>41274</v>
      </c>
      <c r="E381" s="79">
        <v>0.22500000000000001</v>
      </c>
      <c r="F381" s="80">
        <v>70177.5</v>
      </c>
      <c r="G381" s="81"/>
      <c r="H381" s="80">
        <v>36533.339999999997</v>
      </c>
      <c r="I381" s="79">
        <f>H381/F381</f>
        <v>0.52058480282141706</v>
      </c>
    </row>
    <row r="382" spans="1:9" x14ac:dyDescent="0.25">
      <c r="A382" s="70" t="s">
        <v>130</v>
      </c>
      <c r="B382" s="70" t="s">
        <v>132</v>
      </c>
      <c r="C382" s="71">
        <v>40725</v>
      </c>
      <c r="D382" s="72">
        <v>41014</v>
      </c>
      <c r="E382" s="73">
        <v>0.108</v>
      </c>
      <c r="F382" s="74">
        <v>299821.55</v>
      </c>
      <c r="G382" s="75"/>
      <c r="H382" s="74">
        <v>36450.269999999997</v>
      </c>
      <c r="I382" s="73">
        <v>0.12157321580119908</v>
      </c>
    </row>
    <row r="383" spans="1:9" x14ac:dyDescent="0.25">
      <c r="A383" s="70" t="s">
        <v>60</v>
      </c>
      <c r="B383" s="70" t="s">
        <v>63</v>
      </c>
      <c r="C383" s="71">
        <v>40787</v>
      </c>
      <c r="D383" s="72">
        <v>41152</v>
      </c>
      <c r="E383" s="73">
        <v>0.09</v>
      </c>
      <c r="F383" s="74">
        <v>310738.3</v>
      </c>
      <c r="G383" s="75"/>
      <c r="H383" s="74">
        <v>35998.589999999997</v>
      </c>
      <c r="I383" s="73">
        <f>H383/F383</f>
        <v>0.11584857740420154</v>
      </c>
    </row>
    <row r="384" spans="1:9" x14ac:dyDescent="0.25">
      <c r="A384" s="70" t="s">
        <v>20</v>
      </c>
      <c r="B384" s="70" t="s">
        <v>21</v>
      </c>
      <c r="C384" s="71">
        <v>40947</v>
      </c>
      <c r="D384" s="72">
        <v>41274</v>
      </c>
      <c r="E384" s="73">
        <v>0</v>
      </c>
      <c r="F384" s="74">
        <v>51390</v>
      </c>
      <c r="G384" s="75"/>
      <c r="H384" s="74">
        <v>35771.07</v>
      </c>
      <c r="I384" s="73">
        <v>0.6960706363105662</v>
      </c>
    </row>
    <row r="385" spans="1:9" x14ac:dyDescent="0.25">
      <c r="A385" s="76" t="s">
        <v>665</v>
      </c>
      <c r="B385" s="76" t="s">
        <v>668</v>
      </c>
      <c r="C385" s="77">
        <v>40634</v>
      </c>
      <c r="D385" s="78">
        <v>40999</v>
      </c>
      <c r="E385" s="79">
        <v>0.24</v>
      </c>
      <c r="F385" s="80">
        <v>148675</v>
      </c>
      <c r="G385" s="81"/>
      <c r="H385" s="80">
        <v>35682</v>
      </c>
      <c r="I385" s="79">
        <f>H385/F385</f>
        <v>0.24</v>
      </c>
    </row>
    <row r="386" spans="1:9" x14ac:dyDescent="0.25">
      <c r="A386" s="76" t="s">
        <v>643</v>
      </c>
      <c r="B386" s="76" t="s">
        <v>174</v>
      </c>
      <c r="C386" s="77">
        <v>40583</v>
      </c>
      <c r="D386" s="78">
        <v>40947</v>
      </c>
      <c r="E386" s="79">
        <v>0</v>
      </c>
      <c r="F386" s="80"/>
      <c r="G386" s="81">
        <v>58943.1</v>
      </c>
      <c r="H386" s="80">
        <v>35318.449999999997</v>
      </c>
      <c r="I386" s="79">
        <f>H386/G386</f>
        <v>0.59919566497181176</v>
      </c>
    </row>
    <row r="387" spans="1:9" x14ac:dyDescent="0.25">
      <c r="A387" s="70" t="s">
        <v>38</v>
      </c>
      <c r="B387" s="70" t="s">
        <v>41</v>
      </c>
      <c r="C387" s="71">
        <v>40634</v>
      </c>
      <c r="D387" s="72">
        <v>40999</v>
      </c>
      <c r="E387" s="73">
        <v>0.40500000000000003</v>
      </c>
      <c r="F387" s="74"/>
      <c r="G387" s="75">
        <v>78101</v>
      </c>
      <c r="H387" s="74">
        <v>35145.449999999997</v>
      </c>
      <c r="I387" s="73">
        <v>0.44999999999999996</v>
      </c>
    </row>
    <row r="388" spans="1:9" x14ac:dyDescent="0.25">
      <c r="A388" s="76" t="s">
        <v>630</v>
      </c>
      <c r="B388" s="76" t="s">
        <v>634</v>
      </c>
      <c r="C388" s="77">
        <v>41101</v>
      </c>
      <c r="D388" s="78">
        <v>41274</v>
      </c>
      <c r="E388" s="79">
        <v>8.9999999999999993E-3</v>
      </c>
      <c r="F388" s="80">
        <v>55101</v>
      </c>
      <c r="G388" s="81"/>
      <c r="H388" s="80">
        <v>35060.959999999999</v>
      </c>
      <c r="I388" s="79">
        <f>H388/F388</f>
        <v>0.63630351536269758</v>
      </c>
    </row>
    <row r="389" spans="1:9" x14ac:dyDescent="0.25">
      <c r="A389" s="76" t="s">
        <v>317</v>
      </c>
      <c r="B389" s="76" t="s">
        <v>331</v>
      </c>
      <c r="C389" s="77">
        <v>41179</v>
      </c>
      <c r="D389" s="78">
        <v>41517</v>
      </c>
      <c r="E389" s="79">
        <v>1.7999999999999999E-2</v>
      </c>
      <c r="F389" s="80"/>
      <c r="G389" s="81">
        <v>73043</v>
      </c>
      <c r="H389" s="80">
        <v>35052.97</v>
      </c>
      <c r="I389" s="79">
        <f>H389/G389</f>
        <v>0.47989499336007557</v>
      </c>
    </row>
    <row r="390" spans="1:9" x14ac:dyDescent="0.25">
      <c r="A390" s="76" t="s">
        <v>315</v>
      </c>
      <c r="B390" s="76" t="s">
        <v>331</v>
      </c>
      <c r="C390" s="77">
        <v>40794</v>
      </c>
      <c r="D390" s="78">
        <v>41152</v>
      </c>
      <c r="E390" s="79">
        <v>1.7999999999999999E-2</v>
      </c>
      <c r="F390" s="80"/>
      <c r="G390" s="81">
        <v>74995</v>
      </c>
      <c r="H390" s="80">
        <v>33930.980000000003</v>
      </c>
      <c r="I390" s="79">
        <f>H390/G390</f>
        <v>0.45244322954863664</v>
      </c>
    </row>
    <row r="391" spans="1:9" x14ac:dyDescent="0.25">
      <c r="A391" s="70" t="s">
        <v>171</v>
      </c>
      <c r="B391" s="70" t="s">
        <v>151</v>
      </c>
      <c r="C391" s="71">
        <v>40725</v>
      </c>
      <c r="D391" s="72">
        <v>41090</v>
      </c>
      <c r="E391" s="73">
        <v>1.7999999999999999E-2</v>
      </c>
      <c r="F391" s="74">
        <v>383862</v>
      </c>
      <c r="G391" s="75"/>
      <c r="H391" s="74">
        <v>33851</v>
      </c>
      <c r="I391" s="79">
        <f>H391/F391</f>
        <v>8.818533743897547E-2</v>
      </c>
    </row>
    <row r="392" spans="1:9" x14ac:dyDescent="0.25">
      <c r="A392" s="76" t="s">
        <v>491</v>
      </c>
      <c r="B392" s="76" t="s">
        <v>494</v>
      </c>
      <c r="C392" s="77">
        <v>41029</v>
      </c>
      <c r="D392" s="78">
        <v>41054</v>
      </c>
      <c r="E392" s="79">
        <v>0.4</v>
      </c>
      <c r="F392" s="80">
        <v>84500.5</v>
      </c>
      <c r="G392" s="88"/>
      <c r="H392" s="80">
        <v>33800.199999999997</v>
      </c>
      <c r="I392" s="79">
        <f>H392/F392</f>
        <v>0.39999999999999997</v>
      </c>
    </row>
    <row r="393" spans="1:9" x14ac:dyDescent="0.25">
      <c r="A393" s="76" t="s">
        <v>590</v>
      </c>
      <c r="B393" s="76" t="s">
        <v>593</v>
      </c>
      <c r="C393" s="77">
        <v>41059</v>
      </c>
      <c r="D393" s="78">
        <v>41424</v>
      </c>
      <c r="E393" s="79">
        <v>0.5</v>
      </c>
      <c r="F393" s="80">
        <v>67093.7</v>
      </c>
      <c r="G393" s="81"/>
      <c r="H393" s="80">
        <v>33546.85</v>
      </c>
      <c r="I393" s="79">
        <f>H393/F393</f>
        <v>0.5</v>
      </c>
    </row>
    <row r="394" spans="1:9" x14ac:dyDescent="0.25">
      <c r="A394" s="70" t="s">
        <v>87</v>
      </c>
      <c r="B394" s="70" t="s">
        <v>19</v>
      </c>
      <c r="C394" s="71">
        <v>40788</v>
      </c>
      <c r="D394" s="72">
        <v>41153</v>
      </c>
      <c r="E394" s="73">
        <v>0.92500000000000004</v>
      </c>
      <c r="F394" s="74">
        <v>36250.85</v>
      </c>
      <c r="G394" s="75"/>
      <c r="H394" s="74">
        <v>33532.04</v>
      </c>
      <c r="I394" s="73">
        <v>0.92500010344585026</v>
      </c>
    </row>
    <row r="395" spans="1:9" x14ac:dyDescent="0.25">
      <c r="A395" s="70" t="s">
        <v>82</v>
      </c>
      <c r="B395" s="70" t="s">
        <v>84</v>
      </c>
      <c r="C395" s="71">
        <v>41015</v>
      </c>
      <c r="D395" s="72">
        <v>41274</v>
      </c>
      <c r="E395" s="73">
        <v>8.9999999999999993E-3</v>
      </c>
      <c r="F395" s="74">
        <v>122941</v>
      </c>
      <c r="G395" s="75"/>
      <c r="H395" s="74">
        <v>33434.15</v>
      </c>
      <c r="I395" s="73">
        <v>0.27195280663082294</v>
      </c>
    </row>
    <row r="396" spans="1:9" x14ac:dyDescent="0.25">
      <c r="A396" s="102" t="s">
        <v>146</v>
      </c>
      <c r="B396" s="102" t="s">
        <v>155</v>
      </c>
      <c r="C396" s="103">
        <v>40725</v>
      </c>
      <c r="D396" s="104">
        <v>41090</v>
      </c>
      <c r="E396" s="101">
        <v>4.4999999999999999E-4</v>
      </c>
      <c r="F396" s="105">
        <v>126358.74</v>
      </c>
      <c r="G396" s="106"/>
      <c r="H396" s="105">
        <v>33299.01</v>
      </c>
      <c r="I396" s="107">
        <v>0.26352755654258664</v>
      </c>
    </row>
    <row r="397" spans="1:9" x14ac:dyDescent="0.25">
      <c r="A397" s="76" t="s">
        <v>449</v>
      </c>
      <c r="B397" s="76" t="s">
        <v>455</v>
      </c>
      <c r="C397" s="77">
        <v>40695</v>
      </c>
      <c r="D397" s="78">
        <v>41060</v>
      </c>
      <c r="E397" s="79">
        <v>0</v>
      </c>
      <c r="F397" s="80">
        <v>65563</v>
      </c>
      <c r="G397" s="81"/>
      <c r="H397" s="80">
        <v>33230</v>
      </c>
      <c r="I397" s="79">
        <f>H397/F397</f>
        <v>0.50684074859295636</v>
      </c>
    </row>
    <row r="398" spans="1:9" x14ac:dyDescent="0.25">
      <c r="A398" s="76" t="s">
        <v>531</v>
      </c>
      <c r="B398" s="76" t="s">
        <v>29</v>
      </c>
      <c r="C398" s="77">
        <v>40955</v>
      </c>
      <c r="D398" s="78">
        <v>41274</v>
      </c>
      <c r="E398" s="79">
        <v>8.9999999999999998E-4</v>
      </c>
      <c r="F398" s="80">
        <v>47147</v>
      </c>
      <c r="G398" s="81"/>
      <c r="H398" s="80">
        <v>32827</v>
      </c>
      <c r="I398" s="79">
        <f>H398/F398</f>
        <v>0.696269115744374</v>
      </c>
    </row>
    <row r="399" spans="1:9" x14ac:dyDescent="0.25">
      <c r="A399" s="76" t="s">
        <v>531</v>
      </c>
      <c r="B399" s="76" t="s">
        <v>534</v>
      </c>
      <c r="C399" s="77">
        <v>40726</v>
      </c>
      <c r="D399" s="78">
        <v>41029</v>
      </c>
      <c r="E399" s="79">
        <v>8.9999999999999993E-3</v>
      </c>
      <c r="F399" s="80">
        <v>83867</v>
      </c>
      <c r="G399" s="81"/>
      <c r="H399" s="80">
        <v>32693</v>
      </c>
      <c r="I399" s="79">
        <f>H399/F399</f>
        <v>0.38981959531162436</v>
      </c>
    </row>
    <row r="400" spans="1:9" x14ac:dyDescent="0.25">
      <c r="A400" s="76" t="s">
        <v>504</v>
      </c>
      <c r="B400" s="76" t="s">
        <v>505</v>
      </c>
      <c r="C400" s="77">
        <v>40648</v>
      </c>
      <c r="D400" s="78">
        <v>41013</v>
      </c>
      <c r="E400" s="79">
        <v>0.09</v>
      </c>
      <c r="F400" s="80">
        <v>326746.38</v>
      </c>
      <c r="G400" s="88"/>
      <c r="H400" s="80">
        <v>32674.639999999999</v>
      </c>
      <c r="I400" s="79">
        <f>H400/F400</f>
        <v>0.10000000612095533</v>
      </c>
    </row>
    <row r="401" spans="1:9" x14ac:dyDescent="0.25">
      <c r="A401" s="70" t="s">
        <v>82</v>
      </c>
      <c r="B401" s="70" t="s">
        <v>85</v>
      </c>
      <c r="C401" s="71">
        <v>41050</v>
      </c>
      <c r="D401" s="72">
        <v>41274</v>
      </c>
      <c r="E401" s="73">
        <v>8.9999999999999993E-3</v>
      </c>
      <c r="F401" s="74">
        <v>108615</v>
      </c>
      <c r="G401" s="75"/>
      <c r="H401" s="74">
        <v>32557.84</v>
      </c>
      <c r="I401" s="73">
        <v>0.29975454587303779</v>
      </c>
    </row>
    <row r="402" spans="1:9" x14ac:dyDescent="0.25">
      <c r="A402" s="76" t="s">
        <v>549</v>
      </c>
      <c r="B402" s="76" t="s">
        <v>553</v>
      </c>
      <c r="C402" s="77">
        <v>40664</v>
      </c>
      <c r="D402" s="78">
        <v>41029</v>
      </c>
      <c r="E402" s="79">
        <v>0.36</v>
      </c>
      <c r="F402" s="80">
        <v>106009.97</v>
      </c>
      <c r="G402" s="88"/>
      <c r="H402" s="80">
        <v>32123.56</v>
      </c>
      <c r="I402" s="79">
        <f t="shared" ref="I402:I412" si="15">H402/F402</f>
        <v>0.30302395142645544</v>
      </c>
    </row>
    <row r="403" spans="1:9" x14ac:dyDescent="0.25">
      <c r="A403" s="76" t="s">
        <v>478</v>
      </c>
      <c r="B403" s="76" t="s">
        <v>480</v>
      </c>
      <c r="C403" s="77">
        <v>40909</v>
      </c>
      <c r="D403" s="78">
        <v>41274</v>
      </c>
      <c r="E403" s="79">
        <v>0.1</v>
      </c>
      <c r="F403" s="80">
        <v>318679.96999999997</v>
      </c>
      <c r="G403" s="81"/>
      <c r="H403" s="80">
        <v>31868</v>
      </c>
      <c r="I403" s="79">
        <f t="shared" si="15"/>
        <v>0.10000000941383295</v>
      </c>
    </row>
    <row r="404" spans="1:9" x14ac:dyDescent="0.25">
      <c r="A404" s="76" t="s">
        <v>270</v>
      </c>
      <c r="B404" s="76" t="s">
        <v>275</v>
      </c>
      <c r="C404" s="77">
        <v>40787</v>
      </c>
      <c r="D404" s="78">
        <v>41152</v>
      </c>
      <c r="E404" s="79">
        <v>0.18</v>
      </c>
      <c r="F404" s="80">
        <v>136027.42000000001</v>
      </c>
      <c r="G404" s="81"/>
      <c r="H404" s="80">
        <v>31730.79</v>
      </c>
      <c r="I404" s="79">
        <f t="shared" si="15"/>
        <v>0.23326760148799411</v>
      </c>
    </row>
    <row r="405" spans="1:9" x14ac:dyDescent="0.25">
      <c r="A405" s="76" t="s">
        <v>216</v>
      </c>
      <c r="B405" s="76" t="s">
        <v>219</v>
      </c>
      <c r="C405" s="77">
        <v>41085</v>
      </c>
      <c r="D405" s="78">
        <v>41271</v>
      </c>
      <c r="E405" s="79">
        <v>0.2</v>
      </c>
      <c r="F405" s="80">
        <v>90458.82</v>
      </c>
      <c r="G405" s="88"/>
      <c r="H405" s="80">
        <v>31655.79</v>
      </c>
      <c r="I405" s="79">
        <f t="shared" si="15"/>
        <v>0.34994697034518024</v>
      </c>
    </row>
    <row r="406" spans="1:9" x14ac:dyDescent="0.25">
      <c r="A406" s="76" t="s">
        <v>265</v>
      </c>
      <c r="B406" s="76" t="s">
        <v>275</v>
      </c>
      <c r="C406" s="77">
        <v>41153</v>
      </c>
      <c r="D406" s="78">
        <v>41517</v>
      </c>
      <c r="E406" s="79">
        <v>0.18</v>
      </c>
      <c r="F406" s="80">
        <v>126882</v>
      </c>
      <c r="G406" s="81"/>
      <c r="H406" s="80">
        <v>31466.39</v>
      </c>
      <c r="I406" s="79">
        <f t="shared" si="15"/>
        <v>0.24799727305685598</v>
      </c>
    </row>
    <row r="407" spans="1:9" x14ac:dyDescent="0.25">
      <c r="A407" s="76" t="s">
        <v>594</v>
      </c>
      <c r="B407" s="76" t="s">
        <v>138</v>
      </c>
      <c r="C407" s="77">
        <v>41180</v>
      </c>
      <c r="D407" s="78">
        <v>41333</v>
      </c>
      <c r="E407" s="79">
        <v>0.45</v>
      </c>
      <c r="F407" s="80">
        <v>70906</v>
      </c>
      <c r="G407" s="81"/>
      <c r="H407" s="80">
        <v>31307.75</v>
      </c>
      <c r="I407" s="79">
        <f t="shared" si="15"/>
        <v>0.44153879784503425</v>
      </c>
    </row>
    <row r="408" spans="1:9" x14ac:dyDescent="0.25">
      <c r="A408" s="76" t="s">
        <v>613</v>
      </c>
      <c r="B408" s="76" t="s">
        <v>616</v>
      </c>
      <c r="C408" s="77">
        <v>40714</v>
      </c>
      <c r="D408" s="78">
        <v>41060</v>
      </c>
      <c r="E408" s="79">
        <v>8.9999999999999993E-3</v>
      </c>
      <c r="F408" s="80">
        <v>89247</v>
      </c>
      <c r="G408" s="81"/>
      <c r="H408" s="80">
        <v>30949</v>
      </c>
      <c r="I408" s="79">
        <f t="shared" si="15"/>
        <v>0.34677916344526988</v>
      </c>
    </row>
    <row r="409" spans="1:9" x14ac:dyDescent="0.25">
      <c r="A409" s="76" t="s">
        <v>674</v>
      </c>
      <c r="B409" s="76" t="s">
        <v>342</v>
      </c>
      <c r="C409" s="77">
        <v>40911</v>
      </c>
      <c r="D409" s="78">
        <v>41274</v>
      </c>
      <c r="E409" s="79">
        <v>0.315</v>
      </c>
      <c r="F409" s="80">
        <v>76642</v>
      </c>
      <c r="G409" s="81"/>
      <c r="H409" s="80">
        <v>30812.42</v>
      </c>
      <c r="I409" s="79">
        <f t="shared" si="15"/>
        <v>0.40203047937162389</v>
      </c>
    </row>
    <row r="410" spans="1:9" x14ac:dyDescent="0.25">
      <c r="A410" s="76" t="s">
        <v>578</v>
      </c>
      <c r="B410" s="76" t="s">
        <v>31</v>
      </c>
      <c r="C410" s="77">
        <v>40707</v>
      </c>
      <c r="D410" s="78">
        <v>41029</v>
      </c>
      <c r="E410" s="79">
        <v>0</v>
      </c>
      <c r="F410" s="80">
        <v>300701</v>
      </c>
      <c r="G410" s="88"/>
      <c r="H410" s="80">
        <v>30502.93</v>
      </c>
      <c r="I410" s="79">
        <f t="shared" si="15"/>
        <v>0.10143940326104668</v>
      </c>
    </row>
    <row r="411" spans="1:9" x14ac:dyDescent="0.25">
      <c r="A411" s="70" t="s">
        <v>171</v>
      </c>
      <c r="B411" s="70" t="s">
        <v>23</v>
      </c>
      <c r="C411" s="71">
        <v>40740</v>
      </c>
      <c r="D411" s="72">
        <v>41090</v>
      </c>
      <c r="E411" s="73">
        <v>1.7999999999999999E-2</v>
      </c>
      <c r="F411" s="74">
        <v>73494</v>
      </c>
      <c r="G411" s="75"/>
      <c r="H411" s="74">
        <v>30218</v>
      </c>
      <c r="I411" s="79">
        <f t="shared" si="15"/>
        <v>0.41116281601219146</v>
      </c>
    </row>
    <row r="412" spans="1:9" x14ac:dyDescent="0.25">
      <c r="A412" s="76" t="s">
        <v>491</v>
      </c>
      <c r="B412" s="76" t="s">
        <v>495</v>
      </c>
      <c r="C412" s="77">
        <v>41058</v>
      </c>
      <c r="D412" s="78">
        <v>41089</v>
      </c>
      <c r="E412" s="79">
        <v>0.4</v>
      </c>
      <c r="F412" s="80">
        <v>75206</v>
      </c>
      <c r="G412" s="88"/>
      <c r="H412" s="80">
        <v>30082.400000000001</v>
      </c>
      <c r="I412" s="79">
        <f t="shared" si="15"/>
        <v>0.4</v>
      </c>
    </row>
    <row r="413" spans="1:9" x14ac:dyDescent="0.25">
      <c r="A413" s="76" t="s">
        <v>315</v>
      </c>
      <c r="B413" s="76" t="s">
        <v>52</v>
      </c>
      <c r="C413" s="77">
        <v>40634</v>
      </c>
      <c r="D413" s="78">
        <v>40954</v>
      </c>
      <c r="E413" s="79">
        <v>0.01</v>
      </c>
      <c r="F413" s="80"/>
      <c r="G413" s="81">
        <v>118357.74</v>
      </c>
      <c r="H413" s="80">
        <v>30065.55</v>
      </c>
      <c r="I413" s="79">
        <f>H413/G413</f>
        <v>0.25402267735088552</v>
      </c>
    </row>
    <row r="414" spans="1:9" x14ac:dyDescent="0.25">
      <c r="A414" s="70" t="s">
        <v>82</v>
      </c>
      <c r="B414" s="70" t="s">
        <v>86</v>
      </c>
      <c r="C414" s="71">
        <v>41197</v>
      </c>
      <c r="D414" s="72">
        <v>41274</v>
      </c>
      <c r="E414" s="73">
        <v>8.9999999999999993E-3</v>
      </c>
      <c r="F414" s="74">
        <v>101805</v>
      </c>
      <c r="G414" s="75"/>
      <c r="H414" s="74">
        <v>29964.32</v>
      </c>
      <c r="I414" s="73">
        <v>0.29433053386375913</v>
      </c>
    </row>
    <row r="415" spans="1:9" x14ac:dyDescent="0.25">
      <c r="A415" s="76" t="s">
        <v>744</v>
      </c>
      <c r="B415" s="76" t="s">
        <v>1720</v>
      </c>
      <c r="C415" s="77">
        <v>40909</v>
      </c>
      <c r="D415" s="78">
        <v>41274</v>
      </c>
      <c r="E415" s="79">
        <v>0.3</v>
      </c>
      <c r="F415" s="80">
        <v>99689</v>
      </c>
      <c r="G415" s="88"/>
      <c r="H415" s="80">
        <v>29906.7</v>
      </c>
      <c r="I415" s="73">
        <f t="shared" ref="I415:I423" si="16">H415/F415</f>
        <v>0.3</v>
      </c>
    </row>
    <row r="416" spans="1:9" x14ac:dyDescent="0.25">
      <c r="A416" s="76" t="s">
        <v>449</v>
      </c>
      <c r="B416" s="76" t="s">
        <v>460</v>
      </c>
      <c r="C416" s="77">
        <v>40756</v>
      </c>
      <c r="D416" s="78">
        <v>41121</v>
      </c>
      <c r="E416" s="79">
        <v>0</v>
      </c>
      <c r="F416" s="80">
        <v>196612</v>
      </c>
      <c r="G416" s="81"/>
      <c r="H416" s="80">
        <v>29787</v>
      </c>
      <c r="I416" s="79">
        <f t="shared" si="16"/>
        <v>0.15150143429699103</v>
      </c>
    </row>
    <row r="417" spans="1:9" x14ac:dyDescent="0.25">
      <c r="A417" s="76" t="s">
        <v>643</v>
      </c>
      <c r="B417" s="76" t="s">
        <v>653</v>
      </c>
      <c r="C417" s="77">
        <v>40862</v>
      </c>
      <c r="D417" s="78">
        <v>41227</v>
      </c>
      <c r="E417" s="79">
        <v>4.4999999999999997E-3</v>
      </c>
      <c r="F417" s="80">
        <v>57965</v>
      </c>
      <c r="G417" s="81"/>
      <c r="H417" s="80">
        <v>29494.6</v>
      </c>
      <c r="I417" s="79">
        <f t="shared" si="16"/>
        <v>0.50883464159406533</v>
      </c>
    </row>
    <row r="418" spans="1:9" x14ac:dyDescent="0.25">
      <c r="A418" s="76" t="s">
        <v>171</v>
      </c>
      <c r="B418" s="76" t="s">
        <v>36</v>
      </c>
      <c r="C418" s="77">
        <v>40780</v>
      </c>
      <c r="D418" s="78">
        <v>41060</v>
      </c>
      <c r="E418" s="79">
        <v>1.7999999999999999E-2</v>
      </c>
      <c r="F418" s="80">
        <v>179838</v>
      </c>
      <c r="G418" s="81"/>
      <c r="H418" s="80">
        <v>29477.439999999999</v>
      </c>
      <c r="I418" s="79">
        <f t="shared" si="16"/>
        <v>0.16391107552352671</v>
      </c>
    </row>
    <row r="419" spans="1:9" x14ac:dyDescent="0.25">
      <c r="A419" s="76" t="s">
        <v>171</v>
      </c>
      <c r="B419" s="76" t="s">
        <v>28</v>
      </c>
      <c r="C419" s="77">
        <v>40956</v>
      </c>
      <c r="D419" s="78">
        <v>41305</v>
      </c>
      <c r="E419" s="79">
        <v>1.7999999999999999E-2</v>
      </c>
      <c r="F419" s="80">
        <v>66668</v>
      </c>
      <c r="G419" s="81"/>
      <c r="H419" s="80">
        <v>29265.919999999998</v>
      </c>
      <c r="I419" s="79">
        <f t="shared" si="16"/>
        <v>0.438980020399592</v>
      </c>
    </row>
    <row r="420" spans="1:9" x14ac:dyDescent="0.25">
      <c r="A420" s="76" t="s">
        <v>643</v>
      </c>
      <c r="B420" s="76" t="s">
        <v>117</v>
      </c>
      <c r="C420" s="77">
        <v>40950</v>
      </c>
      <c r="D420" s="78">
        <v>41274</v>
      </c>
      <c r="E420" s="79">
        <v>4.4999999999999997E-3</v>
      </c>
      <c r="F420" s="80">
        <v>45626</v>
      </c>
      <c r="G420" s="81"/>
      <c r="H420" s="80">
        <v>28970</v>
      </c>
      <c r="I420" s="79">
        <f t="shared" si="16"/>
        <v>0.63494498750712314</v>
      </c>
    </row>
    <row r="421" spans="1:9" ht="28.5" x14ac:dyDescent="0.25">
      <c r="A421" s="76" t="s">
        <v>422</v>
      </c>
      <c r="B421" s="76" t="s">
        <v>419</v>
      </c>
      <c r="C421" s="77">
        <v>41122</v>
      </c>
      <c r="D421" s="78">
        <v>41487</v>
      </c>
      <c r="E421" s="79">
        <v>0.35</v>
      </c>
      <c r="F421" s="80">
        <v>82587</v>
      </c>
      <c r="G421" s="88"/>
      <c r="H421" s="80">
        <v>28905.45</v>
      </c>
      <c r="I421" s="79">
        <f t="shared" si="16"/>
        <v>0.35000000000000003</v>
      </c>
    </row>
    <row r="422" spans="1:9" x14ac:dyDescent="0.25">
      <c r="A422" s="76" t="s">
        <v>665</v>
      </c>
      <c r="B422" s="76" t="s">
        <v>669</v>
      </c>
      <c r="C422" s="77">
        <v>41030</v>
      </c>
      <c r="D422" s="78">
        <v>41213</v>
      </c>
      <c r="E422" s="79">
        <v>0.17</v>
      </c>
      <c r="F422" s="80">
        <v>168884</v>
      </c>
      <c r="G422" s="81"/>
      <c r="H422" s="80">
        <v>28710</v>
      </c>
      <c r="I422" s="79">
        <f t="shared" si="16"/>
        <v>0.16999834205727007</v>
      </c>
    </row>
    <row r="423" spans="1:9" x14ac:dyDescent="0.25">
      <c r="A423" s="76" t="s">
        <v>449</v>
      </c>
      <c r="B423" s="76" t="s">
        <v>455</v>
      </c>
      <c r="C423" s="77">
        <v>41061</v>
      </c>
      <c r="D423" s="78">
        <v>41425</v>
      </c>
      <c r="E423" s="79">
        <v>0</v>
      </c>
      <c r="F423" s="80">
        <v>53220</v>
      </c>
      <c r="G423" s="88"/>
      <c r="H423" s="80">
        <v>28592</v>
      </c>
      <c r="I423" s="79">
        <f t="shared" si="16"/>
        <v>0.53724163848177375</v>
      </c>
    </row>
    <row r="424" spans="1:9" x14ac:dyDescent="0.25">
      <c r="A424" s="70" t="s">
        <v>71</v>
      </c>
      <c r="B424" s="70" t="s">
        <v>72</v>
      </c>
      <c r="C424" s="71">
        <v>41177</v>
      </c>
      <c r="D424" s="72">
        <v>41274</v>
      </c>
      <c r="E424" s="73">
        <v>0.54</v>
      </c>
      <c r="F424" s="74">
        <v>47249</v>
      </c>
      <c r="G424" s="75"/>
      <c r="H424" s="74">
        <v>28390.05</v>
      </c>
      <c r="I424" s="73">
        <v>0.60086033566847974</v>
      </c>
    </row>
    <row r="425" spans="1:9" x14ac:dyDescent="0.25">
      <c r="A425" s="70" t="s">
        <v>71</v>
      </c>
      <c r="B425" s="70" t="s">
        <v>72</v>
      </c>
      <c r="C425" s="71">
        <v>41177</v>
      </c>
      <c r="D425" s="72">
        <v>41274</v>
      </c>
      <c r="E425" s="73">
        <v>0.54</v>
      </c>
      <c r="F425" s="74"/>
      <c r="G425" s="75">
        <v>47249</v>
      </c>
      <c r="H425" s="74">
        <v>28390.05</v>
      </c>
      <c r="I425" s="73">
        <v>0.60086033566847974</v>
      </c>
    </row>
    <row r="426" spans="1:9" x14ac:dyDescent="0.25">
      <c r="A426" s="76" t="s">
        <v>516</v>
      </c>
      <c r="B426" s="76" t="s">
        <v>523</v>
      </c>
      <c r="C426" s="77">
        <v>40862</v>
      </c>
      <c r="D426" s="78">
        <v>41228</v>
      </c>
      <c r="E426" s="79">
        <v>0.2</v>
      </c>
      <c r="F426" s="80">
        <v>103356</v>
      </c>
      <c r="G426" s="88"/>
      <c r="H426" s="80">
        <v>28355.17</v>
      </c>
      <c r="I426" s="79">
        <f>H426/F426</f>
        <v>0.27434469213204843</v>
      </c>
    </row>
    <row r="427" spans="1:9" x14ac:dyDescent="0.25">
      <c r="A427" s="76" t="s">
        <v>491</v>
      </c>
      <c r="B427" s="76" t="s">
        <v>496</v>
      </c>
      <c r="C427" s="77">
        <v>41085</v>
      </c>
      <c r="D427" s="78">
        <v>41110</v>
      </c>
      <c r="E427" s="79">
        <v>0.45</v>
      </c>
      <c r="F427" s="80">
        <v>61893</v>
      </c>
      <c r="G427" s="88"/>
      <c r="H427" s="80">
        <v>27851.85</v>
      </c>
      <c r="I427" s="79">
        <f>H427/F427</f>
        <v>0.44999999999999996</v>
      </c>
    </row>
    <row r="428" spans="1:9" x14ac:dyDescent="0.25">
      <c r="A428" s="70" t="s">
        <v>95</v>
      </c>
      <c r="B428" s="70" t="s">
        <v>39</v>
      </c>
      <c r="C428" s="71">
        <v>40825</v>
      </c>
      <c r="D428" s="72">
        <v>41190</v>
      </c>
      <c r="E428" s="73">
        <v>0.09</v>
      </c>
      <c r="F428" s="74">
        <v>276171.36</v>
      </c>
      <c r="G428" s="75"/>
      <c r="H428" s="74">
        <v>27647.14</v>
      </c>
      <c r="I428" s="73">
        <v>0.1001086426919866</v>
      </c>
    </row>
    <row r="429" spans="1:9" x14ac:dyDescent="0.25">
      <c r="A429" s="76" t="s">
        <v>563</v>
      </c>
      <c r="B429" s="76" t="s">
        <v>564</v>
      </c>
      <c r="C429" s="77">
        <v>41156</v>
      </c>
      <c r="D429" s="78">
        <v>41426</v>
      </c>
      <c r="E429" s="79">
        <v>0.17100000000000001</v>
      </c>
      <c r="F429" s="80">
        <v>99240</v>
      </c>
      <c r="G429" s="88"/>
      <c r="H429" s="80">
        <v>27500</v>
      </c>
      <c r="I429" s="79">
        <f>H429/F429</f>
        <v>0.27710600564288596</v>
      </c>
    </row>
    <row r="430" spans="1:9" x14ac:dyDescent="0.25">
      <c r="A430" s="76" t="s">
        <v>594</v>
      </c>
      <c r="B430" s="76" t="s">
        <v>138</v>
      </c>
      <c r="C430" s="77">
        <v>41180</v>
      </c>
      <c r="D430" s="78">
        <v>41333</v>
      </c>
      <c r="E430" s="79">
        <v>0.45</v>
      </c>
      <c r="F430" s="80"/>
      <c r="G430" s="81">
        <v>62314</v>
      </c>
      <c r="H430" s="80">
        <v>27467.54</v>
      </c>
      <c r="I430" s="79">
        <f>H430/G430</f>
        <v>0.44079243829636999</v>
      </c>
    </row>
    <row r="431" spans="1:9" x14ac:dyDescent="0.25">
      <c r="A431" s="76" t="s">
        <v>643</v>
      </c>
      <c r="B431" s="76" t="s">
        <v>649</v>
      </c>
      <c r="C431" s="77">
        <v>40754</v>
      </c>
      <c r="D431" s="78">
        <v>41119</v>
      </c>
      <c r="E431" s="79">
        <v>4.4999999999999997E-3</v>
      </c>
      <c r="F431" s="80">
        <v>60177.67</v>
      </c>
      <c r="G431" s="81"/>
      <c r="H431" s="80">
        <v>27348.87</v>
      </c>
      <c r="I431" s="79">
        <f>H431/F431</f>
        <v>0.45446874230923195</v>
      </c>
    </row>
    <row r="432" spans="1:9" x14ac:dyDescent="0.25">
      <c r="A432" s="70" t="s">
        <v>60</v>
      </c>
      <c r="B432" s="70" t="s">
        <v>43</v>
      </c>
      <c r="C432" s="71">
        <v>40732</v>
      </c>
      <c r="D432" s="72">
        <v>41097</v>
      </c>
      <c r="E432" s="73">
        <v>0.09</v>
      </c>
      <c r="F432" s="74">
        <v>185777.2</v>
      </c>
      <c r="G432" s="75"/>
      <c r="H432" s="74">
        <v>27115.279999999999</v>
      </c>
      <c r="I432" s="73">
        <v>0.14595590847531342</v>
      </c>
    </row>
    <row r="433" spans="1:9" x14ac:dyDescent="0.25">
      <c r="A433" s="70" t="s">
        <v>146</v>
      </c>
      <c r="B433" s="70" t="s">
        <v>156</v>
      </c>
      <c r="C433" s="71">
        <v>40815</v>
      </c>
      <c r="D433" s="72">
        <v>41180</v>
      </c>
      <c r="E433" s="101">
        <v>4.4999999999999999E-4</v>
      </c>
      <c r="F433" s="74">
        <v>128205</v>
      </c>
      <c r="G433" s="75"/>
      <c r="H433" s="74">
        <v>27064.89</v>
      </c>
      <c r="I433" s="73">
        <v>0.21110635310635309</v>
      </c>
    </row>
    <row r="434" spans="1:9" x14ac:dyDescent="0.25">
      <c r="A434" s="76" t="s">
        <v>563</v>
      </c>
      <c r="B434" s="76" t="s">
        <v>564</v>
      </c>
      <c r="C434" s="77">
        <v>40843</v>
      </c>
      <c r="D434" s="78">
        <v>41061</v>
      </c>
      <c r="E434" s="79">
        <v>0.17100000000000001</v>
      </c>
      <c r="F434" s="80">
        <v>86441</v>
      </c>
      <c r="G434" s="88"/>
      <c r="H434" s="80">
        <v>27000</v>
      </c>
      <c r="I434" s="79">
        <f>H434/F434</f>
        <v>0.31235177751298576</v>
      </c>
    </row>
    <row r="435" spans="1:9" x14ac:dyDescent="0.25">
      <c r="A435" s="76" t="s">
        <v>635</v>
      </c>
      <c r="B435" s="76" t="s">
        <v>638</v>
      </c>
      <c r="C435" s="77">
        <v>40933</v>
      </c>
      <c r="D435" s="78">
        <v>41298</v>
      </c>
      <c r="E435" s="79">
        <v>0.5</v>
      </c>
      <c r="F435" s="80"/>
      <c r="G435" s="81">
        <v>53971</v>
      </c>
      <c r="H435" s="80">
        <v>26985.5</v>
      </c>
      <c r="I435" s="79">
        <f>H435/G435</f>
        <v>0.5</v>
      </c>
    </row>
    <row r="436" spans="1:9" x14ac:dyDescent="0.25">
      <c r="A436" s="76" t="s">
        <v>549</v>
      </c>
      <c r="B436" s="76" t="s">
        <v>552</v>
      </c>
      <c r="C436" s="77">
        <v>41024</v>
      </c>
      <c r="D436" s="78">
        <v>41388</v>
      </c>
      <c r="E436" s="79">
        <v>0.36</v>
      </c>
      <c r="F436" s="80">
        <v>43492</v>
      </c>
      <c r="G436" s="88"/>
      <c r="H436" s="80">
        <v>26975.200000000001</v>
      </c>
      <c r="I436" s="79">
        <f>H436/F436</f>
        <v>0.62023360618044698</v>
      </c>
    </row>
    <row r="437" spans="1:9" x14ac:dyDescent="0.25">
      <c r="A437" s="70" t="s">
        <v>82</v>
      </c>
      <c r="B437" s="70" t="s">
        <v>83</v>
      </c>
      <c r="C437" s="71">
        <v>40911</v>
      </c>
      <c r="D437" s="72">
        <v>41274</v>
      </c>
      <c r="E437" s="73">
        <v>8.9999999999999993E-3</v>
      </c>
      <c r="F437" s="74">
        <v>98445</v>
      </c>
      <c r="G437" s="75"/>
      <c r="H437" s="74">
        <v>26786.74</v>
      </c>
      <c r="I437" s="73">
        <v>0.27209853217532631</v>
      </c>
    </row>
    <row r="438" spans="1:9" ht="28.5" x14ac:dyDescent="0.25">
      <c r="A438" s="76" t="s">
        <v>422</v>
      </c>
      <c r="B438" s="76" t="s">
        <v>418</v>
      </c>
      <c r="C438" s="77">
        <v>41104</v>
      </c>
      <c r="D438" s="78">
        <v>41467</v>
      </c>
      <c r="E438" s="79">
        <v>0.35</v>
      </c>
      <c r="F438" s="80">
        <v>75970</v>
      </c>
      <c r="G438" s="88"/>
      <c r="H438" s="80">
        <v>26589.5</v>
      </c>
      <c r="I438" s="79">
        <f>H438/F438</f>
        <v>0.35</v>
      </c>
    </row>
    <row r="439" spans="1:9" x14ac:dyDescent="0.25">
      <c r="A439" s="76" t="s">
        <v>578</v>
      </c>
      <c r="B439" s="76" t="s">
        <v>183</v>
      </c>
      <c r="C439" s="77">
        <v>40735</v>
      </c>
      <c r="D439" s="78">
        <v>40921</v>
      </c>
      <c r="E439" s="79">
        <v>0</v>
      </c>
      <c r="F439" s="80">
        <v>73864</v>
      </c>
      <c r="G439" s="81"/>
      <c r="H439" s="80">
        <v>26354</v>
      </c>
      <c r="I439" s="79">
        <f>H439/F439</f>
        <v>0.35679085887577167</v>
      </c>
    </row>
    <row r="440" spans="1:9" x14ac:dyDescent="0.25">
      <c r="A440" s="83" t="s">
        <v>38</v>
      </c>
      <c r="B440" s="83" t="s">
        <v>43</v>
      </c>
      <c r="C440" s="84">
        <v>40725</v>
      </c>
      <c r="D440" s="85">
        <v>41091</v>
      </c>
      <c r="E440" s="86">
        <v>0.18</v>
      </c>
      <c r="F440" s="74"/>
      <c r="G440" s="75">
        <v>132743.94</v>
      </c>
      <c r="H440" s="74">
        <v>26326.54</v>
      </c>
      <c r="I440" s="73">
        <v>0.19832573901302011</v>
      </c>
    </row>
    <row r="441" spans="1:9" ht="28.5" x14ac:dyDescent="0.25">
      <c r="A441" s="76" t="s">
        <v>422</v>
      </c>
      <c r="B441" s="76" t="s">
        <v>423</v>
      </c>
      <c r="C441" s="77">
        <v>40634</v>
      </c>
      <c r="D441" s="78">
        <v>40984</v>
      </c>
      <c r="E441" s="79">
        <v>0.2</v>
      </c>
      <c r="F441" s="80">
        <v>65350</v>
      </c>
      <c r="G441" s="88"/>
      <c r="H441" s="80">
        <v>26140</v>
      </c>
      <c r="I441" s="79">
        <f>H441/F441</f>
        <v>0.4</v>
      </c>
    </row>
    <row r="442" spans="1:9" x14ac:dyDescent="0.25">
      <c r="A442" s="76" t="s">
        <v>491</v>
      </c>
      <c r="B442" s="76" t="s">
        <v>500</v>
      </c>
      <c r="C442" s="77">
        <v>41218</v>
      </c>
      <c r="D442" s="78">
        <v>41257</v>
      </c>
      <c r="E442" s="79">
        <v>0.4</v>
      </c>
      <c r="F442" s="80">
        <v>64545</v>
      </c>
      <c r="G442" s="88"/>
      <c r="H442" s="80">
        <v>25818</v>
      </c>
      <c r="I442" s="79">
        <f>H442/F442</f>
        <v>0.4</v>
      </c>
    </row>
    <row r="443" spans="1:9" x14ac:dyDescent="0.25">
      <c r="A443" s="70" t="s">
        <v>38</v>
      </c>
      <c r="B443" s="70" t="s">
        <v>39</v>
      </c>
      <c r="C443" s="71">
        <v>40914</v>
      </c>
      <c r="D443" s="72">
        <v>41279</v>
      </c>
      <c r="E443" s="73">
        <v>0.45</v>
      </c>
      <c r="F443" s="74"/>
      <c r="G443" s="75">
        <v>56990</v>
      </c>
      <c r="H443" s="74">
        <v>25645.5</v>
      </c>
      <c r="I443" s="73">
        <v>0.45</v>
      </c>
    </row>
    <row r="444" spans="1:9" ht="28.5" x14ac:dyDescent="0.25">
      <c r="A444" s="76" t="s">
        <v>422</v>
      </c>
      <c r="B444" s="76" t="s">
        <v>424</v>
      </c>
      <c r="C444" s="77">
        <v>40985</v>
      </c>
      <c r="D444" s="78">
        <v>41349</v>
      </c>
      <c r="E444" s="79">
        <v>0.2</v>
      </c>
      <c r="F444" s="80">
        <v>63975.17</v>
      </c>
      <c r="G444" s="88"/>
      <c r="H444" s="80">
        <v>25590.07</v>
      </c>
      <c r="I444" s="79">
        <f>H444/F444</f>
        <v>0.40000003126212874</v>
      </c>
    </row>
    <row r="445" spans="1:9" x14ac:dyDescent="0.25">
      <c r="A445" s="76" t="s">
        <v>449</v>
      </c>
      <c r="B445" s="76" t="s">
        <v>453</v>
      </c>
      <c r="C445" s="77">
        <v>41030</v>
      </c>
      <c r="D445" s="78">
        <v>41394</v>
      </c>
      <c r="E445" s="79">
        <v>0</v>
      </c>
      <c r="F445" s="80">
        <v>43382</v>
      </c>
      <c r="G445" s="81"/>
      <c r="H445" s="80">
        <v>25455</v>
      </c>
      <c r="I445" s="79">
        <f>H445/F445</f>
        <v>0.58676409570789734</v>
      </c>
    </row>
    <row r="446" spans="1:9" x14ac:dyDescent="0.25">
      <c r="A446" s="70" t="s">
        <v>60</v>
      </c>
      <c r="B446" s="70" t="s">
        <v>64</v>
      </c>
      <c r="C446" s="71">
        <v>40817</v>
      </c>
      <c r="D446" s="72">
        <v>41182</v>
      </c>
      <c r="E446" s="73">
        <v>0.09</v>
      </c>
      <c r="F446" s="74">
        <v>232077.03</v>
      </c>
      <c r="G446" s="75"/>
      <c r="H446" s="74">
        <v>25359.06</v>
      </c>
      <c r="I446" s="73">
        <v>0.10927001263330542</v>
      </c>
    </row>
    <row r="447" spans="1:9" x14ac:dyDescent="0.25">
      <c r="A447" s="76" t="s">
        <v>220</v>
      </c>
      <c r="B447" s="76" t="s">
        <v>232</v>
      </c>
      <c r="C447" s="77">
        <v>41008</v>
      </c>
      <c r="D447" s="78">
        <v>41181</v>
      </c>
      <c r="E447" s="79">
        <v>0.25</v>
      </c>
      <c r="F447" s="80">
        <v>100241</v>
      </c>
      <c r="G447" s="81"/>
      <c r="H447" s="80">
        <v>25060.25</v>
      </c>
      <c r="I447" s="79">
        <f>H447/F447</f>
        <v>0.25</v>
      </c>
    </row>
    <row r="448" spans="1:9" x14ac:dyDescent="0.25">
      <c r="A448" s="70" t="s">
        <v>10</v>
      </c>
      <c r="B448" s="70" t="s">
        <v>13</v>
      </c>
      <c r="C448" s="71">
        <v>41030</v>
      </c>
      <c r="D448" s="72">
        <v>41333</v>
      </c>
      <c r="E448" s="73">
        <v>3.1E-2</v>
      </c>
      <c r="F448" s="74">
        <v>126317</v>
      </c>
      <c r="G448" s="75"/>
      <c r="H448" s="74">
        <v>25023.37</v>
      </c>
      <c r="I448" s="73">
        <v>0.19809978071043485</v>
      </c>
    </row>
    <row r="449" spans="1:9" x14ac:dyDescent="0.25">
      <c r="A449" s="76" t="s">
        <v>516</v>
      </c>
      <c r="B449" s="76" t="s">
        <v>520</v>
      </c>
      <c r="C449" s="77">
        <v>41000</v>
      </c>
      <c r="D449" s="78">
        <v>41365</v>
      </c>
      <c r="E449" s="79">
        <v>0.18</v>
      </c>
      <c r="F449" s="80">
        <v>87883</v>
      </c>
      <c r="G449" s="88"/>
      <c r="H449" s="80">
        <v>25000</v>
      </c>
      <c r="I449" s="79">
        <f>H449/F449</f>
        <v>0.28446912372131128</v>
      </c>
    </row>
    <row r="450" spans="1:9" x14ac:dyDescent="0.25">
      <c r="A450" s="76" t="s">
        <v>516</v>
      </c>
      <c r="B450" s="76" t="s">
        <v>520</v>
      </c>
      <c r="C450" s="77">
        <v>40634</v>
      </c>
      <c r="D450" s="78">
        <v>41000</v>
      </c>
      <c r="E450" s="79">
        <v>0.18</v>
      </c>
      <c r="F450" s="80">
        <v>89187</v>
      </c>
      <c r="G450" s="88"/>
      <c r="H450" s="80">
        <v>25000</v>
      </c>
      <c r="I450" s="79">
        <f>H450/F450</f>
        <v>0.28030991063720051</v>
      </c>
    </row>
    <row r="451" spans="1:9" ht="28.5" x14ac:dyDescent="0.25">
      <c r="A451" s="76" t="s">
        <v>415</v>
      </c>
      <c r="B451" s="76" t="s">
        <v>418</v>
      </c>
      <c r="C451" s="77">
        <v>40738</v>
      </c>
      <c r="D451" s="78">
        <v>41103</v>
      </c>
      <c r="E451" s="79">
        <v>0.35</v>
      </c>
      <c r="F451" s="80">
        <v>70988.789999999994</v>
      </c>
      <c r="G451" s="81"/>
      <c r="H451" s="80">
        <v>24846.080000000002</v>
      </c>
      <c r="I451" s="79">
        <f>H451/F451</f>
        <v>0.3500000493035591</v>
      </c>
    </row>
    <row r="452" spans="1:9" x14ac:dyDescent="0.25">
      <c r="A452" s="76" t="s">
        <v>594</v>
      </c>
      <c r="B452" s="76" t="s">
        <v>596</v>
      </c>
      <c r="C452" s="77">
        <v>40777</v>
      </c>
      <c r="D452" s="78">
        <v>41029</v>
      </c>
      <c r="E452" s="79">
        <v>0.39600000000000002</v>
      </c>
      <c r="F452" s="80"/>
      <c r="G452" s="81">
        <v>38820.400000000001</v>
      </c>
      <c r="H452" s="80">
        <v>24585.22</v>
      </c>
      <c r="I452" s="79">
        <f>H452/G452</f>
        <v>0.63330671502612035</v>
      </c>
    </row>
    <row r="453" spans="1:9" x14ac:dyDescent="0.25">
      <c r="A453" s="76" t="s">
        <v>315</v>
      </c>
      <c r="B453" s="76" t="s">
        <v>343</v>
      </c>
      <c r="C453" s="77">
        <v>40844</v>
      </c>
      <c r="D453" s="78">
        <v>41209</v>
      </c>
      <c r="E453" s="79">
        <v>0</v>
      </c>
      <c r="F453" s="80">
        <v>86432.79</v>
      </c>
      <c r="G453" s="81"/>
      <c r="H453" s="80">
        <v>24561.26</v>
      </c>
      <c r="I453" s="79">
        <f t="shared" ref="I453:I458" si="17">H453/F453</f>
        <v>0.28416599764973455</v>
      </c>
    </row>
    <row r="454" spans="1:9" x14ac:dyDescent="0.25">
      <c r="A454" s="76" t="s">
        <v>237</v>
      </c>
      <c r="B454" s="76" t="s">
        <v>238</v>
      </c>
      <c r="C454" s="77">
        <v>40793</v>
      </c>
      <c r="D454" s="78">
        <v>41159</v>
      </c>
      <c r="E454" s="79">
        <v>0.35</v>
      </c>
      <c r="F454" s="80">
        <v>69725</v>
      </c>
      <c r="G454" s="88"/>
      <c r="H454" s="80">
        <v>24403.75</v>
      </c>
      <c r="I454" s="79">
        <f t="shared" si="17"/>
        <v>0.35</v>
      </c>
    </row>
    <row r="455" spans="1:9" ht="28.5" x14ac:dyDescent="0.25">
      <c r="A455" s="76" t="s">
        <v>415</v>
      </c>
      <c r="B455" s="76" t="s">
        <v>417</v>
      </c>
      <c r="C455" s="77">
        <v>40664</v>
      </c>
      <c r="D455" s="78">
        <v>41029</v>
      </c>
      <c r="E455" s="79">
        <v>0.35</v>
      </c>
      <c r="F455" s="80">
        <v>68965</v>
      </c>
      <c r="G455" s="81"/>
      <c r="H455" s="80">
        <v>24137.75</v>
      </c>
      <c r="I455" s="79">
        <f t="shared" si="17"/>
        <v>0.35</v>
      </c>
    </row>
    <row r="456" spans="1:9" x14ac:dyDescent="0.25">
      <c r="A456" s="76" t="s">
        <v>478</v>
      </c>
      <c r="B456" s="76" t="s">
        <v>482</v>
      </c>
      <c r="C456" s="77">
        <v>40918</v>
      </c>
      <c r="D456" s="78">
        <v>41274</v>
      </c>
      <c r="E456" s="79">
        <v>0.15</v>
      </c>
      <c r="F456" s="80">
        <v>158308.39000000001</v>
      </c>
      <c r="G456" s="81"/>
      <c r="H456" s="80">
        <v>23746.25</v>
      </c>
      <c r="I456" s="79">
        <f t="shared" si="17"/>
        <v>0.14999994630733088</v>
      </c>
    </row>
    <row r="457" spans="1:9" x14ac:dyDescent="0.25">
      <c r="A457" s="76" t="s">
        <v>643</v>
      </c>
      <c r="B457" s="76" t="s">
        <v>658</v>
      </c>
      <c r="C457" s="77">
        <v>40982</v>
      </c>
      <c r="D457" s="78">
        <v>41274</v>
      </c>
      <c r="E457" s="79">
        <v>4.4999999999999997E-3</v>
      </c>
      <c r="F457" s="80">
        <v>100073.18</v>
      </c>
      <c r="G457" s="81"/>
      <c r="H457" s="80">
        <v>23632.52</v>
      </c>
      <c r="I457" s="79">
        <f t="shared" si="17"/>
        <v>0.23615238368561889</v>
      </c>
    </row>
    <row r="458" spans="1:9" x14ac:dyDescent="0.25">
      <c r="A458" s="76" t="s">
        <v>549</v>
      </c>
      <c r="B458" s="76" t="s">
        <v>552</v>
      </c>
      <c r="C458" s="77">
        <v>40658</v>
      </c>
      <c r="D458" s="78">
        <v>41023</v>
      </c>
      <c r="E458" s="79">
        <v>0.36</v>
      </c>
      <c r="F458" s="80">
        <v>39128.14</v>
      </c>
      <c r="G458" s="88"/>
      <c r="H458" s="80">
        <v>23501.94</v>
      </c>
      <c r="I458" s="79">
        <f t="shared" si="17"/>
        <v>0.60064035755341294</v>
      </c>
    </row>
    <row r="459" spans="1:9" x14ac:dyDescent="0.25">
      <c r="A459" s="76" t="s">
        <v>635</v>
      </c>
      <c r="B459" s="76" t="s">
        <v>638</v>
      </c>
      <c r="C459" s="77">
        <v>40568</v>
      </c>
      <c r="D459" s="78">
        <v>40932</v>
      </c>
      <c r="E459" s="79">
        <v>0.5</v>
      </c>
      <c r="F459" s="80"/>
      <c r="G459" s="81">
        <v>46628</v>
      </c>
      <c r="H459" s="80">
        <v>23314</v>
      </c>
      <c r="I459" s="79">
        <f>H459/G459</f>
        <v>0.5</v>
      </c>
    </row>
    <row r="460" spans="1:9" x14ac:dyDescent="0.25">
      <c r="A460" s="70" t="s">
        <v>140</v>
      </c>
      <c r="B460" s="70" t="s">
        <v>143</v>
      </c>
      <c r="C460" s="71">
        <v>40931</v>
      </c>
      <c r="D460" s="72">
        <v>41121</v>
      </c>
      <c r="E460" s="73">
        <v>0.125</v>
      </c>
      <c r="F460" s="74">
        <v>178797.94</v>
      </c>
      <c r="G460" s="75"/>
      <c r="H460" s="74">
        <v>23286.639999999999</v>
      </c>
      <c r="I460" s="73">
        <v>0.130239979274929</v>
      </c>
    </row>
    <row r="461" spans="1:9" x14ac:dyDescent="0.25">
      <c r="A461" s="70" t="s">
        <v>171</v>
      </c>
      <c r="B461" s="70" t="s">
        <v>94</v>
      </c>
      <c r="C461" s="71">
        <v>40690</v>
      </c>
      <c r="D461" s="72">
        <v>41055</v>
      </c>
      <c r="E461" s="73">
        <v>1.7999999999999999E-2</v>
      </c>
      <c r="F461" s="74"/>
      <c r="G461" s="75">
        <v>76937</v>
      </c>
      <c r="H461" s="74">
        <v>23274</v>
      </c>
      <c r="I461" s="73">
        <f>H461/G461</f>
        <v>0.30250724618843988</v>
      </c>
    </row>
    <row r="462" spans="1:9" x14ac:dyDescent="0.25">
      <c r="A462" s="76" t="s">
        <v>317</v>
      </c>
      <c r="B462" s="76" t="s">
        <v>330</v>
      </c>
      <c r="C462" s="77">
        <v>41153</v>
      </c>
      <c r="D462" s="78">
        <v>41517</v>
      </c>
      <c r="E462" s="79">
        <v>1.7999999999999999E-2</v>
      </c>
      <c r="F462" s="80"/>
      <c r="G462" s="81">
        <v>138758.82999999999</v>
      </c>
      <c r="H462" s="80">
        <v>23024.69</v>
      </c>
      <c r="I462" s="79">
        <f>H462/G462</f>
        <v>0.16593315178572782</v>
      </c>
    </row>
    <row r="463" spans="1:9" x14ac:dyDescent="0.25">
      <c r="A463" s="76" t="s">
        <v>594</v>
      </c>
      <c r="B463" s="76" t="s">
        <v>601</v>
      </c>
      <c r="C463" s="77">
        <v>40849</v>
      </c>
      <c r="D463" s="78">
        <v>41182</v>
      </c>
      <c r="E463" s="79">
        <v>0.27</v>
      </c>
      <c r="F463" s="80">
        <v>507204.85</v>
      </c>
      <c r="G463" s="81"/>
      <c r="H463" s="80">
        <v>23024.66</v>
      </c>
      <c r="I463" s="79">
        <f>H463/F463</f>
        <v>4.5395188945847029E-2</v>
      </c>
    </row>
    <row r="464" spans="1:9" x14ac:dyDescent="0.25">
      <c r="A464" s="76" t="s">
        <v>317</v>
      </c>
      <c r="B464" s="76" t="s">
        <v>361</v>
      </c>
      <c r="C464" s="77">
        <v>41144</v>
      </c>
      <c r="D464" s="78">
        <v>41469</v>
      </c>
      <c r="E464" s="79">
        <v>8.9999999999999998E-4</v>
      </c>
      <c r="F464" s="80">
        <v>125262.71</v>
      </c>
      <c r="G464" s="81"/>
      <c r="H464" s="80">
        <v>22994.51</v>
      </c>
      <c r="I464" s="79">
        <f>H464/F464</f>
        <v>0.18357027402648399</v>
      </c>
    </row>
    <row r="465" spans="1:9" x14ac:dyDescent="0.25">
      <c r="A465" s="76" t="s">
        <v>478</v>
      </c>
      <c r="B465" s="76" t="s">
        <v>483</v>
      </c>
      <c r="C465" s="77">
        <v>40918</v>
      </c>
      <c r="D465" s="78">
        <v>41274</v>
      </c>
      <c r="E465" s="79">
        <v>0.15</v>
      </c>
      <c r="F465" s="80">
        <v>152971.32999999999</v>
      </c>
      <c r="G465" s="81"/>
      <c r="H465" s="80">
        <v>22945.69</v>
      </c>
      <c r="I465" s="79">
        <f>H465/F465</f>
        <v>0.1499999378968595</v>
      </c>
    </row>
    <row r="466" spans="1:9" x14ac:dyDescent="0.25">
      <c r="A466" s="76" t="s">
        <v>516</v>
      </c>
      <c r="B466" s="76" t="s">
        <v>526</v>
      </c>
      <c r="C466" s="77">
        <v>40868</v>
      </c>
      <c r="D466" s="78">
        <v>41234</v>
      </c>
      <c r="E466" s="79">
        <v>0.15</v>
      </c>
      <c r="F466" s="80">
        <v>104146.5</v>
      </c>
      <c r="G466" s="88"/>
      <c r="H466" s="80">
        <v>22861.42</v>
      </c>
      <c r="I466" s="79">
        <f>H466/F466</f>
        <v>0.21951212954828053</v>
      </c>
    </row>
    <row r="467" spans="1:9" x14ac:dyDescent="0.25">
      <c r="A467" s="76" t="s">
        <v>516</v>
      </c>
      <c r="B467" s="76" t="s">
        <v>524</v>
      </c>
      <c r="C467" s="77">
        <v>40862</v>
      </c>
      <c r="D467" s="78">
        <v>41228</v>
      </c>
      <c r="E467" s="79">
        <v>0.3</v>
      </c>
      <c r="F467" s="80">
        <v>75771</v>
      </c>
      <c r="G467" s="88"/>
      <c r="H467" s="80">
        <v>22731.3</v>
      </c>
      <c r="I467" s="79">
        <f>H467/F467</f>
        <v>0.3</v>
      </c>
    </row>
    <row r="468" spans="1:9" x14ac:dyDescent="0.25">
      <c r="A468" s="70" t="s">
        <v>171</v>
      </c>
      <c r="B468" s="70" t="s">
        <v>197</v>
      </c>
      <c r="C468" s="71">
        <v>40639</v>
      </c>
      <c r="D468" s="72">
        <v>40982</v>
      </c>
      <c r="E468" s="73">
        <v>1.7999999999999999E-2</v>
      </c>
      <c r="F468" s="74">
        <v>96448</v>
      </c>
      <c r="G468" s="75"/>
      <c r="H468" s="74">
        <v>22639.88</v>
      </c>
      <c r="I468" s="73">
        <v>0.23473664565361646</v>
      </c>
    </row>
    <row r="469" spans="1:9" x14ac:dyDescent="0.25">
      <c r="A469" s="76" t="s">
        <v>516</v>
      </c>
      <c r="B469" s="76" t="s">
        <v>519</v>
      </c>
      <c r="C469" s="77">
        <v>40634</v>
      </c>
      <c r="D469" s="78">
        <v>41000</v>
      </c>
      <c r="E469" s="79">
        <v>0.17</v>
      </c>
      <c r="F469" s="80">
        <v>72503</v>
      </c>
      <c r="G469" s="88"/>
      <c r="H469" s="80">
        <v>22500</v>
      </c>
      <c r="I469" s="79">
        <f>H469/F469</f>
        <v>0.31033198626263742</v>
      </c>
    </row>
    <row r="470" spans="1:9" x14ac:dyDescent="0.25">
      <c r="A470" s="76" t="s">
        <v>630</v>
      </c>
      <c r="B470" s="76" t="s">
        <v>1926</v>
      </c>
      <c r="C470" s="77">
        <v>40953</v>
      </c>
      <c r="D470" s="78">
        <v>41240</v>
      </c>
      <c r="E470" s="79">
        <v>0.01</v>
      </c>
      <c r="F470" s="80">
        <v>105062.25</v>
      </c>
      <c r="G470" s="81"/>
      <c r="H470" s="80">
        <v>22496.82</v>
      </c>
      <c r="I470" s="79">
        <f>H470/F470</f>
        <v>0.21412848097199516</v>
      </c>
    </row>
    <row r="471" spans="1:9" x14ac:dyDescent="0.25">
      <c r="A471" s="76" t="s">
        <v>394</v>
      </c>
      <c r="B471" s="76" t="s">
        <v>397</v>
      </c>
      <c r="C471" s="77">
        <v>40801</v>
      </c>
      <c r="D471" s="78">
        <v>41167</v>
      </c>
      <c r="E471" s="79">
        <v>0.3</v>
      </c>
      <c r="F471" s="80">
        <v>74590</v>
      </c>
      <c r="G471" s="81"/>
      <c r="H471" s="80">
        <v>22377</v>
      </c>
      <c r="I471" s="79">
        <f>H471/F471</f>
        <v>0.3</v>
      </c>
    </row>
    <row r="472" spans="1:9" x14ac:dyDescent="0.25">
      <c r="A472" s="76" t="s">
        <v>531</v>
      </c>
      <c r="B472" s="76" t="s">
        <v>183</v>
      </c>
      <c r="C472" s="77">
        <v>40909</v>
      </c>
      <c r="D472" s="78">
        <v>41274</v>
      </c>
      <c r="E472" s="79">
        <v>8.9999999999999993E-3</v>
      </c>
      <c r="F472" s="80"/>
      <c r="G472" s="81">
        <v>61342.2</v>
      </c>
      <c r="H472" s="80">
        <v>22291.200000000001</v>
      </c>
      <c r="I472" s="79">
        <f>H472/G472</f>
        <v>0.36339094456996979</v>
      </c>
    </row>
    <row r="473" spans="1:9" x14ac:dyDescent="0.25">
      <c r="A473" s="76" t="s">
        <v>623</v>
      </c>
      <c r="B473" s="76" t="s">
        <v>404</v>
      </c>
      <c r="C473" s="77">
        <v>40661</v>
      </c>
      <c r="D473" s="78">
        <v>41026</v>
      </c>
      <c r="E473" s="79">
        <v>0.25</v>
      </c>
      <c r="F473" s="80">
        <v>81880</v>
      </c>
      <c r="G473" s="88"/>
      <c r="H473" s="80">
        <v>21683.25</v>
      </c>
      <c r="I473" s="79">
        <f>H473/F473</f>
        <v>0.26481741573033707</v>
      </c>
    </row>
    <row r="474" spans="1:9" x14ac:dyDescent="0.25">
      <c r="A474" s="70" t="s">
        <v>87</v>
      </c>
      <c r="B474" s="70" t="s">
        <v>92</v>
      </c>
      <c r="C474" s="71">
        <v>40785</v>
      </c>
      <c r="D474" s="72">
        <v>41150</v>
      </c>
      <c r="E474" s="73">
        <v>0.92500000000000004</v>
      </c>
      <c r="F474" s="74">
        <v>23297.95</v>
      </c>
      <c r="G474" s="75"/>
      <c r="H474" s="74">
        <v>21550.6</v>
      </c>
      <c r="I474" s="73">
        <v>0.9249998390416323</v>
      </c>
    </row>
    <row r="475" spans="1:9" x14ac:dyDescent="0.25">
      <c r="A475" s="76" t="s">
        <v>744</v>
      </c>
      <c r="B475" s="76" t="s">
        <v>1049</v>
      </c>
      <c r="C475" s="77">
        <v>40909</v>
      </c>
      <c r="D475" s="78">
        <v>41274</v>
      </c>
      <c r="E475" s="79">
        <v>0.3</v>
      </c>
      <c r="F475" s="80">
        <v>71413</v>
      </c>
      <c r="G475" s="88"/>
      <c r="H475" s="80">
        <v>21423.9</v>
      </c>
      <c r="I475" s="73">
        <f>H475/F475</f>
        <v>0.30000000000000004</v>
      </c>
    </row>
    <row r="476" spans="1:9" x14ac:dyDescent="0.25">
      <c r="A476" s="76" t="s">
        <v>674</v>
      </c>
      <c r="B476" s="76" t="s">
        <v>36</v>
      </c>
      <c r="C476" s="77">
        <v>40961</v>
      </c>
      <c r="D476" s="78">
        <v>41274</v>
      </c>
      <c r="E476" s="79">
        <v>0.315</v>
      </c>
      <c r="F476" s="80">
        <v>247207.08</v>
      </c>
      <c r="G476" s="81"/>
      <c r="H476" s="80">
        <v>21390.83</v>
      </c>
      <c r="I476" s="79">
        <f>H476/F476</f>
        <v>8.6530005532204024E-2</v>
      </c>
    </row>
    <row r="477" spans="1:9" x14ac:dyDescent="0.25">
      <c r="A477" s="76" t="s">
        <v>623</v>
      </c>
      <c r="B477" s="76" t="s">
        <v>628</v>
      </c>
      <c r="C477" s="77">
        <v>40862</v>
      </c>
      <c r="D477" s="78">
        <v>41227</v>
      </c>
      <c r="E477" s="79">
        <v>0.25</v>
      </c>
      <c r="F477" s="80">
        <v>83914</v>
      </c>
      <c r="G477" s="88"/>
      <c r="H477" s="80">
        <v>20978.5</v>
      </c>
      <c r="I477" s="79">
        <f>H477/F477</f>
        <v>0.25</v>
      </c>
    </row>
    <row r="478" spans="1:9" x14ac:dyDescent="0.25">
      <c r="A478" s="76" t="s">
        <v>426</v>
      </c>
      <c r="B478" s="76" t="s">
        <v>427</v>
      </c>
      <c r="C478" s="77">
        <v>40729</v>
      </c>
      <c r="D478" s="78">
        <v>41014</v>
      </c>
      <c r="E478" s="79">
        <v>0.1</v>
      </c>
      <c r="F478" s="88"/>
      <c r="G478" s="81">
        <v>209380.83</v>
      </c>
      <c r="H478" s="80">
        <v>20938.09</v>
      </c>
      <c r="I478" s="79">
        <f>H478/G478</f>
        <v>0.10000003343190493</v>
      </c>
    </row>
    <row r="479" spans="1:9" x14ac:dyDescent="0.25">
      <c r="A479" s="76" t="s">
        <v>262</v>
      </c>
      <c r="B479" s="76" t="s">
        <v>107</v>
      </c>
      <c r="C479" s="77">
        <v>40749</v>
      </c>
      <c r="D479" s="78">
        <v>41090</v>
      </c>
      <c r="E479" s="79">
        <v>8.9999999999999993E-3</v>
      </c>
      <c r="F479" s="80">
        <v>75127.600000000006</v>
      </c>
      <c r="G479" s="81"/>
      <c r="H479" s="80">
        <v>20714.919999999998</v>
      </c>
      <c r="I479" s="79">
        <f>H479/F479</f>
        <v>0.27572982499108178</v>
      </c>
    </row>
    <row r="480" spans="1:9" x14ac:dyDescent="0.25">
      <c r="A480" s="76" t="s">
        <v>692</v>
      </c>
      <c r="B480" s="76" t="s">
        <v>693</v>
      </c>
      <c r="C480" s="77">
        <v>40683</v>
      </c>
      <c r="D480" s="78">
        <v>40939</v>
      </c>
      <c r="E480" s="79">
        <v>8.9999999999999993E-3</v>
      </c>
      <c r="F480" s="80">
        <v>51055.5</v>
      </c>
      <c r="G480" s="81"/>
      <c r="H480" s="80">
        <v>20683</v>
      </c>
      <c r="I480" s="79">
        <f>H480/F480</f>
        <v>0.40510816660301047</v>
      </c>
    </row>
    <row r="481" spans="1:9" x14ac:dyDescent="0.25">
      <c r="A481" s="70" t="s">
        <v>119</v>
      </c>
      <c r="B481" s="70" t="s">
        <v>120</v>
      </c>
      <c r="C481" s="94">
        <v>40829</v>
      </c>
      <c r="D481" s="72">
        <v>41194</v>
      </c>
      <c r="E481" s="73">
        <v>0.09</v>
      </c>
      <c r="F481" s="74">
        <v>202218.1</v>
      </c>
      <c r="G481" s="75"/>
      <c r="H481" s="74">
        <v>20221.810000000001</v>
      </c>
      <c r="I481" s="73">
        <v>0.1</v>
      </c>
    </row>
    <row r="482" spans="1:9" x14ac:dyDescent="0.25">
      <c r="A482" s="76" t="s">
        <v>449</v>
      </c>
      <c r="B482" s="76" t="s">
        <v>159</v>
      </c>
      <c r="C482" s="77">
        <v>40787</v>
      </c>
      <c r="D482" s="78">
        <v>41152</v>
      </c>
      <c r="E482" s="79">
        <v>0</v>
      </c>
      <c r="F482" s="80">
        <v>77833</v>
      </c>
      <c r="G482" s="81"/>
      <c r="H482" s="80">
        <v>20202</v>
      </c>
      <c r="I482" s="79">
        <f>H482/F482</f>
        <v>0.25955571544203615</v>
      </c>
    </row>
    <row r="483" spans="1:9" ht="28.5" x14ac:dyDescent="0.25">
      <c r="A483" s="76" t="s">
        <v>415</v>
      </c>
      <c r="B483" s="76" t="s">
        <v>419</v>
      </c>
      <c r="C483" s="77">
        <v>40756</v>
      </c>
      <c r="D483" s="78">
        <v>41122</v>
      </c>
      <c r="E483" s="79">
        <v>0.35</v>
      </c>
      <c r="F483" s="80">
        <v>56528</v>
      </c>
      <c r="G483" s="81"/>
      <c r="H483" s="80">
        <v>19784.8</v>
      </c>
      <c r="I483" s="79">
        <f>H483/F483</f>
        <v>0.35</v>
      </c>
    </row>
    <row r="484" spans="1:9" x14ac:dyDescent="0.25">
      <c r="A484" s="76" t="s">
        <v>613</v>
      </c>
      <c r="B484" s="76" t="s">
        <v>107</v>
      </c>
      <c r="C484" s="77">
        <v>40610</v>
      </c>
      <c r="D484" s="78">
        <v>40939</v>
      </c>
      <c r="E484" s="79">
        <v>8.9999999999999993E-3</v>
      </c>
      <c r="F484" s="80">
        <v>29284</v>
      </c>
      <c r="G484" s="88"/>
      <c r="H484" s="80">
        <v>19780</v>
      </c>
      <c r="I484" s="79">
        <f>H484/F484</f>
        <v>0.67545417292719578</v>
      </c>
    </row>
    <row r="485" spans="1:9" x14ac:dyDescent="0.25">
      <c r="A485" s="76" t="s">
        <v>674</v>
      </c>
      <c r="B485" s="76" t="s">
        <v>109</v>
      </c>
      <c r="C485" s="77">
        <v>40920</v>
      </c>
      <c r="D485" s="78">
        <v>41274</v>
      </c>
      <c r="E485" s="79">
        <v>0.22500000000000001</v>
      </c>
      <c r="F485" s="80">
        <v>46683</v>
      </c>
      <c r="G485" s="81"/>
      <c r="H485" s="80">
        <v>19712.599999999999</v>
      </c>
      <c r="I485" s="79">
        <f>H485/F485</f>
        <v>0.42226506437032751</v>
      </c>
    </row>
    <row r="486" spans="1:9" x14ac:dyDescent="0.25">
      <c r="A486" s="70" t="s">
        <v>146</v>
      </c>
      <c r="B486" s="70" t="s">
        <v>167</v>
      </c>
      <c r="C486" s="71">
        <v>40823</v>
      </c>
      <c r="D486" s="72">
        <v>41151</v>
      </c>
      <c r="E486" s="101">
        <v>4.4999999999999999E-4</v>
      </c>
      <c r="F486" s="74">
        <v>126412.88</v>
      </c>
      <c r="G486" s="75"/>
      <c r="H486" s="74">
        <v>19586.21</v>
      </c>
      <c r="I486" s="73">
        <v>0.15493840501062864</v>
      </c>
    </row>
    <row r="487" spans="1:9" x14ac:dyDescent="0.25">
      <c r="A487" s="76" t="s">
        <v>674</v>
      </c>
      <c r="B487" s="76" t="s">
        <v>183</v>
      </c>
      <c r="C487" s="77">
        <v>41051</v>
      </c>
      <c r="D487" s="78">
        <v>41274</v>
      </c>
      <c r="E487" s="79">
        <v>0.16200000000000001</v>
      </c>
      <c r="F487" s="80"/>
      <c r="G487" s="81">
        <v>27117.9</v>
      </c>
      <c r="H487" s="80">
        <v>19583.650000000001</v>
      </c>
      <c r="I487" s="79">
        <f>H487/G487</f>
        <v>0.72216690820454388</v>
      </c>
    </row>
    <row r="488" spans="1:9" x14ac:dyDescent="0.25">
      <c r="A488" s="76" t="s">
        <v>613</v>
      </c>
      <c r="B488" s="76" t="s">
        <v>190</v>
      </c>
      <c r="C488" s="77">
        <v>41019</v>
      </c>
      <c r="D488" s="78">
        <v>41364</v>
      </c>
      <c r="E488" s="79">
        <v>8.9999999999999993E-3</v>
      </c>
      <c r="F488" s="80">
        <v>30246</v>
      </c>
      <c r="G488" s="81"/>
      <c r="H488" s="80">
        <v>19366</v>
      </c>
      <c r="I488" s="79">
        <f t="shared" ref="I488:I493" si="18">H488/F488</f>
        <v>0.64028301262976928</v>
      </c>
    </row>
    <row r="489" spans="1:9" x14ac:dyDescent="0.25">
      <c r="A489" s="76" t="s">
        <v>270</v>
      </c>
      <c r="B489" s="76" t="s">
        <v>279</v>
      </c>
      <c r="C489" s="77">
        <v>40998</v>
      </c>
      <c r="D489" s="78">
        <v>41305</v>
      </c>
      <c r="E489" s="79">
        <v>4.4999999999999997E-3</v>
      </c>
      <c r="F489" s="80">
        <v>90306.1</v>
      </c>
      <c r="G489" s="81"/>
      <c r="H489" s="80">
        <v>19341.22</v>
      </c>
      <c r="I489" s="79">
        <f t="shared" si="18"/>
        <v>0.21417401482291895</v>
      </c>
    </row>
    <row r="490" spans="1:9" x14ac:dyDescent="0.25">
      <c r="A490" s="76" t="s">
        <v>685</v>
      </c>
      <c r="B490" s="76" t="s">
        <v>689</v>
      </c>
      <c r="C490" s="77">
        <v>40848</v>
      </c>
      <c r="D490" s="78">
        <v>41213</v>
      </c>
      <c r="E490" s="79">
        <v>0.15</v>
      </c>
      <c r="F490" s="80">
        <v>128936</v>
      </c>
      <c r="G490" s="81"/>
      <c r="H490" s="80">
        <v>19340</v>
      </c>
      <c r="I490" s="79">
        <f t="shared" si="18"/>
        <v>0.14999689768567351</v>
      </c>
    </row>
    <row r="491" spans="1:9" x14ac:dyDescent="0.25">
      <c r="A491" s="76" t="s">
        <v>281</v>
      </c>
      <c r="B491" s="76" t="s">
        <v>287</v>
      </c>
      <c r="C491" s="77">
        <v>40754</v>
      </c>
      <c r="D491" s="78">
        <v>41119</v>
      </c>
      <c r="E491" s="79">
        <v>0.54</v>
      </c>
      <c r="F491" s="80">
        <v>29303</v>
      </c>
      <c r="G491" s="81"/>
      <c r="H491" s="80">
        <v>19304.13</v>
      </c>
      <c r="I491" s="79">
        <f t="shared" si="18"/>
        <v>0.65877657577722426</v>
      </c>
    </row>
    <row r="492" spans="1:9" x14ac:dyDescent="0.25">
      <c r="A492" s="76" t="s">
        <v>568</v>
      </c>
      <c r="B492" s="76" t="s">
        <v>570</v>
      </c>
      <c r="C492" s="77">
        <v>40909</v>
      </c>
      <c r="D492" s="78">
        <v>41274</v>
      </c>
      <c r="E492" s="79">
        <v>0.2</v>
      </c>
      <c r="F492" s="80">
        <v>95036.29</v>
      </c>
      <c r="G492" s="81"/>
      <c r="H492" s="80">
        <v>19008.599999999999</v>
      </c>
      <c r="I492" s="79">
        <f t="shared" si="18"/>
        <v>0.20001412092159743</v>
      </c>
    </row>
    <row r="493" spans="1:9" ht="28.5" x14ac:dyDescent="0.25">
      <c r="A493" s="76" t="s">
        <v>171</v>
      </c>
      <c r="B493" s="76" t="s">
        <v>111</v>
      </c>
      <c r="C493" s="77">
        <v>40868</v>
      </c>
      <c r="D493" s="78">
        <v>41233</v>
      </c>
      <c r="E493" s="79">
        <v>1.7999999999999999E-2</v>
      </c>
      <c r="F493" s="80">
        <v>54539</v>
      </c>
      <c r="G493" s="81"/>
      <c r="H493" s="80">
        <v>18943.849999999999</v>
      </c>
      <c r="I493" s="79">
        <f t="shared" si="18"/>
        <v>0.34734501916060062</v>
      </c>
    </row>
    <row r="494" spans="1:9" x14ac:dyDescent="0.25">
      <c r="A494" s="76" t="s">
        <v>635</v>
      </c>
      <c r="B494" s="76" t="s">
        <v>362</v>
      </c>
      <c r="C494" s="77">
        <v>41167</v>
      </c>
      <c r="D494" s="78">
        <v>41488</v>
      </c>
      <c r="E494" s="79">
        <v>0.12</v>
      </c>
      <c r="F494" s="80"/>
      <c r="G494" s="81">
        <v>155237</v>
      </c>
      <c r="H494" s="80">
        <v>18727.2</v>
      </c>
      <c r="I494" s="79">
        <f>H494/G494</f>
        <v>0.1206361885375265</v>
      </c>
    </row>
    <row r="495" spans="1:9" x14ac:dyDescent="0.25">
      <c r="A495" s="76" t="s">
        <v>578</v>
      </c>
      <c r="B495" s="76" t="s">
        <v>1970</v>
      </c>
      <c r="C495" s="77">
        <v>40848</v>
      </c>
      <c r="D495" s="77">
        <v>41213</v>
      </c>
      <c r="E495" s="79">
        <v>8.9999999999999993E-3</v>
      </c>
      <c r="F495" s="80">
        <v>39794</v>
      </c>
      <c r="G495" s="88"/>
      <c r="H495" s="80">
        <v>18708.400000000001</v>
      </c>
      <c r="I495" s="79">
        <f>H495/F495</f>
        <v>0.47013117555410366</v>
      </c>
    </row>
    <row r="496" spans="1:9" x14ac:dyDescent="0.25">
      <c r="A496" s="76" t="s">
        <v>449</v>
      </c>
      <c r="B496" s="76" t="s">
        <v>454</v>
      </c>
      <c r="C496" s="77">
        <v>40695</v>
      </c>
      <c r="D496" s="78">
        <v>41059</v>
      </c>
      <c r="E496" s="79">
        <v>0</v>
      </c>
      <c r="F496" s="80">
        <v>32071</v>
      </c>
      <c r="G496" s="81"/>
      <c r="H496" s="80">
        <v>18634</v>
      </c>
      <c r="I496" s="79">
        <f>H496/F496</f>
        <v>0.5810233544323532</v>
      </c>
    </row>
    <row r="497" spans="1:9" x14ac:dyDescent="0.25">
      <c r="A497" s="76" t="s">
        <v>394</v>
      </c>
      <c r="B497" s="76" t="s">
        <v>403</v>
      </c>
      <c r="C497" s="77">
        <v>40802</v>
      </c>
      <c r="D497" s="78">
        <v>41168</v>
      </c>
      <c r="E497" s="79">
        <v>0.25</v>
      </c>
      <c r="F497" s="80"/>
      <c r="G497" s="81">
        <v>72924</v>
      </c>
      <c r="H497" s="80">
        <v>18231</v>
      </c>
      <c r="I497" s="79">
        <f>H497/G497</f>
        <v>0.25</v>
      </c>
    </row>
    <row r="498" spans="1:9" x14ac:dyDescent="0.25">
      <c r="A498" s="70" t="s">
        <v>119</v>
      </c>
      <c r="B498" s="70" t="s">
        <v>68</v>
      </c>
      <c r="C498" s="71">
        <v>40789</v>
      </c>
      <c r="D498" s="72">
        <v>41154</v>
      </c>
      <c r="E498" s="73">
        <v>0.09</v>
      </c>
      <c r="F498" s="74">
        <v>182293.96</v>
      </c>
      <c r="G498" s="75"/>
      <c r="H498" s="74">
        <v>18229.400000000001</v>
      </c>
      <c r="I498" s="73">
        <v>0.1000000219425811</v>
      </c>
    </row>
    <row r="499" spans="1:9" x14ac:dyDescent="0.25">
      <c r="A499" s="76" t="s">
        <v>1724</v>
      </c>
      <c r="B499" s="76" t="s">
        <v>1725</v>
      </c>
      <c r="C499" s="77">
        <v>41000</v>
      </c>
      <c r="D499" s="78">
        <v>41364</v>
      </c>
      <c r="E499" s="79">
        <v>8.9999999999999993E-3</v>
      </c>
      <c r="F499" s="80"/>
      <c r="G499" s="81">
        <v>140298</v>
      </c>
      <c r="H499" s="80">
        <v>18074</v>
      </c>
      <c r="I499" s="73">
        <f>H499/G499</f>
        <v>0.1288257851145419</v>
      </c>
    </row>
    <row r="500" spans="1:9" x14ac:dyDescent="0.25">
      <c r="A500" s="76" t="s">
        <v>317</v>
      </c>
      <c r="B500" s="76" t="s">
        <v>181</v>
      </c>
      <c r="C500" s="77">
        <v>40788</v>
      </c>
      <c r="D500" s="78">
        <v>41090</v>
      </c>
      <c r="E500" s="79">
        <v>1.7999999999999999E-2</v>
      </c>
      <c r="F500" s="80"/>
      <c r="G500" s="81">
        <v>54335.05</v>
      </c>
      <c r="H500" s="80">
        <v>18025.560000000001</v>
      </c>
      <c r="I500" s="79">
        <f>H500/G500</f>
        <v>0.33174829138833956</v>
      </c>
    </row>
    <row r="501" spans="1:9" x14ac:dyDescent="0.25">
      <c r="A501" s="76" t="s">
        <v>531</v>
      </c>
      <c r="B501" s="76" t="s">
        <v>538</v>
      </c>
      <c r="C501" s="77">
        <v>40975</v>
      </c>
      <c r="D501" s="78">
        <v>41333</v>
      </c>
      <c r="E501" s="79">
        <v>8.9999999999999993E-3</v>
      </c>
      <c r="F501" s="80">
        <v>44928</v>
      </c>
      <c r="G501" s="81"/>
      <c r="H501" s="80">
        <v>17997</v>
      </c>
      <c r="I501" s="79">
        <f>H501/F501</f>
        <v>0.40057425213675213</v>
      </c>
    </row>
    <row r="502" spans="1:9" x14ac:dyDescent="0.25">
      <c r="A502" s="76" t="s">
        <v>390</v>
      </c>
      <c r="B502" s="76" t="s">
        <v>45</v>
      </c>
      <c r="C502" s="77">
        <v>40974</v>
      </c>
      <c r="D502" s="78">
        <v>41338</v>
      </c>
      <c r="E502" s="79">
        <v>0.13500000000000001</v>
      </c>
      <c r="F502" s="80"/>
      <c r="G502" s="81">
        <v>120828.95</v>
      </c>
      <c r="H502" s="80">
        <v>17892.099999999999</v>
      </c>
      <c r="I502" s="79">
        <f>H502/G502</f>
        <v>0.14807792337846185</v>
      </c>
    </row>
    <row r="503" spans="1:9" x14ac:dyDescent="0.25">
      <c r="A503" s="70" t="s">
        <v>10</v>
      </c>
      <c r="B503" s="70" t="s">
        <v>12</v>
      </c>
      <c r="C503" s="71">
        <v>40909</v>
      </c>
      <c r="D503" s="72">
        <v>41141</v>
      </c>
      <c r="E503" s="73">
        <v>3.1414999999999998E-2</v>
      </c>
      <c r="F503" s="74">
        <v>95310</v>
      </c>
      <c r="G503" s="75"/>
      <c r="H503" s="74">
        <v>17781.7</v>
      </c>
      <c r="I503" s="73">
        <v>0.18656699192109957</v>
      </c>
    </row>
    <row r="504" spans="1:9" x14ac:dyDescent="0.25">
      <c r="A504" s="76" t="s">
        <v>613</v>
      </c>
      <c r="B504" s="76" t="s">
        <v>33</v>
      </c>
      <c r="C504" s="77">
        <v>40696</v>
      </c>
      <c r="D504" s="78">
        <v>41060</v>
      </c>
      <c r="E504" s="79">
        <v>8.9999999999999993E-3</v>
      </c>
      <c r="F504" s="80"/>
      <c r="G504" s="81">
        <v>23584</v>
      </c>
      <c r="H504" s="80">
        <v>17693</v>
      </c>
      <c r="I504" s="93">
        <f>H504/G504</f>
        <v>0.75021200814111266</v>
      </c>
    </row>
    <row r="505" spans="1:9" x14ac:dyDescent="0.25">
      <c r="A505" s="76" t="s">
        <v>390</v>
      </c>
      <c r="B505" s="76" t="s">
        <v>51</v>
      </c>
      <c r="C505" s="77">
        <v>40901</v>
      </c>
      <c r="D505" s="78">
        <v>41266</v>
      </c>
      <c r="E505" s="79">
        <v>0.12</v>
      </c>
      <c r="F505" s="80"/>
      <c r="G505" s="81">
        <v>146674.66</v>
      </c>
      <c r="H505" s="80">
        <v>17626.93</v>
      </c>
      <c r="I505" s="93">
        <f>H505/G505</f>
        <v>0.12017706398637638</v>
      </c>
    </row>
    <row r="506" spans="1:9" x14ac:dyDescent="0.25">
      <c r="A506" s="76" t="s">
        <v>317</v>
      </c>
      <c r="B506" s="76" t="s">
        <v>341</v>
      </c>
      <c r="C506" s="77">
        <v>40829</v>
      </c>
      <c r="D506" s="78">
        <v>41121</v>
      </c>
      <c r="E506" s="79">
        <v>0</v>
      </c>
      <c r="F506" s="80">
        <v>233684.22</v>
      </c>
      <c r="G506" s="81"/>
      <c r="H506" s="80">
        <v>17589.55</v>
      </c>
      <c r="I506" s="93">
        <f>H506/F506</f>
        <v>7.527059379533628E-2</v>
      </c>
    </row>
    <row r="507" spans="1:9" x14ac:dyDescent="0.25">
      <c r="A507" s="76" t="s">
        <v>390</v>
      </c>
      <c r="B507" s="76" t="s">
        <v>98</v>
      </c>
      <c r="C507" s="77">
        <v>40679</v>
      </c>
      <c r="D507" s="78">
        <v>41044</v>
      </c>
      <c r="E507" s="79">
        <v>0.1</v>
      </c>
      <c r="F507" s="80"/>
      <c r="G507" s="81">
        <v>174645.22</v>
      </c>
      <c r="H507" s="80">
        <v>17397.11</v>
      </c>
      <c r="I507" s="93">
        <f>H507/G507</f>
        <v>9.9614006040359998E-2</v>
      </c>
    </row>
    <row r="508" spans="1:9" x14ac:dyDescent="0.25">
      <c r="A508" s="76" t="s">
        <v>594</v>
      </c>
      <c r="B508" s="76" t="s">
        <v>598</v>
      </c>
      <c r="C508" s="77">
        <v>40813</v>
      </c>
      <c r="D508" s="78">
        <v>41178</v>
      </c>
      <c r="E508" s="79">
        <v>0.45</v>
      </c>
      <c r="F508" s="80">
        <v>38512.93</v>
      </c>
      <c r="G508" s="81"/>
      <c r="H508" s="80">
        <v>17252.78</v>
      </c>
      <c r="I508" s="93">
        <f>H508/F508</f>
        <v>0.44797370649285834</v>
      </c>
    </row>
    <row r="509" spans="1:9" x14ac:dyDescent="0.25">
      <c r="A509" s="76" t="s">
        <v>594</v>
      </c>
      <c r="B509" s="76" t="s">
        <v>596</v>
      </c>
      <c r="C509" s="77">
        <v>40777</v>
      </c>
      <c r="D509" s="78">
        <v>41029</v>
      </c>
      <c r="E509" s="79">
        <v>0.39600000000000002</v>
      </c>
      <c r="F509" s="80">
        <v>27167.759999999998</v>
      </c>
      <c r="G509" s="81"/>
      <c r="H509" s="80">
        <v>17203.13</v>
      </c>
      <c r="I509" s="93">
        <f>H509/F509</f>
        <v>0.63321856494609796</v>
      </c>
    </row>
    <row r="510" spans="1:9" x14ac:dyDescent="0.25">
      <c r="A510" s="76" t="s">
        <v>587</v>
      </c>
      <c r="B510" s="76" t="s">
        <v>588</v>
      </c>
      <c r="C510" s="77">
        <v>41014</v>
      </c>
      <c r="D510" s="78">
        <v>41274</v>
      </c>
      <c r="E510" s="79">
        <v>0.3</v>
      </c>
      <c r="F510" s="80">
        <v>57198.66</v>
      </c>
      <c r="G510" s="88"/>
      <c r="H510" s="80">
        <v>17153.009999999998</v>
      </c>
      <c r="I510" s="93">
        <f>H510/F510</f>
        <v>0.29988482247661041</v>
      </c>
    </row>
    <row r="511" spans="1:9" x14ac:dyDescent="0.25">
      <c r="A511" s="76" t="s">
        <v>390</v>
      </c>
      <c r="B511" s="76" t="s">
        <v>98</v>
      </c>
      <c r="C511" s="77">
        <v>41045</v>
      </c>
      <c r="D511" s="78">
        <v>41409</v>
      </c>
      <c r="E511" s="79">
        <v>0.1</v>
      </c>
      <c r="F511" s="80"/>
      <c r="G511" s="81">
        <v>171713.73</v>
      </c>
      <c r="H511" s="80">
        <v>17059</v>
      </c>
      <c r="I511" s="93">
        <f>H511/G511</f>
        <v>9.9345579412898427E-2</v>
      </c>
    </row>
    <row r="512" spans="1:9" x14ac:dyDescent="0.25">
      <c r="A512" s="76" t="s">
        <v>516</v>
      </c>
      <c r="B512" s="76" t="s">
        <v>519</v>
      </c>
      <c r="C512" s="77">
        <v>41000</v>
      </c>
      <c r="D512" s="78" t="s">
        <v>530</v>
      </c>
      <c r="E512" s="79">
        <v>0.17</v>
      </c>
      <c r="F512" s="80">
        <v>65357</v>
      </c>
      <c r="G512" s="88"/>
      <c r="H512" s="80">
        <v>17000</v>
      </c>
      <c r="I512" s="93">
        <f>H512/F512</f>
        <v>0.26010985816362442</v>
      </c>
    </row>
    <row r="513" spans="1:9" x14ac:dyDescent="0.25">
      <c r="A513" s="76" t="s">
        <v>1972</v>
      </c>
      <c r="B513" s="76" t="s">
        <v>656</v>
      </c>
      <c r="C513" s="77">
        <v>41228</v>
      </c>
      <c r="D513" s="78">
        <v>41578</v>
      </c>
      <c r="E513" s="79">
        <v>8.9999999999999998E-4</v>
      </c>
      <c r="F513" s="80">
        <v>91997.27</v>
      </c>
      <c r="G513" s="81"/>
      <c r="H513" s="80">
        <v>16898.27</v>
      </c>
      <c r="I513" s="93">
        <f>H513/F513</f>
        <v>0.18368229839863726</v>
      </c>
    </row>
    <row r="514" spans="1:9" x14ac:dyDescent="0.25">
      <c r="A514" s="76" t="s">
        <v>663</v>
      </c>
      <c r="B514" s="76" t="s">
        <v>664</v>
      </c>
      <c r="C514" s="77">
        <v>41050</v>
      </c>
      <c r="D514" s="78">
        <v>41327</v>
      </c>
      <c r="E514" s="79">
        <v>0.35</v>
      </c>
      <c r="F514" s="80">
        <v>48216</v>
      </c>
      <c r="G514" s="88"/>
      <c r="H514" s="80">
        <v>16875.599999999999</v>
      </c>
      <c r="I514" s="93">
        <f>H514/F514</f>
        <v>0.35</v>
      </c>
    </row>
    <row r="515" spans="1:9" x14ac:dyDescent="0.25">
      <c r="A515" s="76" t="s">
        <v>317</v>
      </c>
      <c r="B515" s="76" t="s">
        <v>318</v>
      </c>
      <c r="C515" s="77">
        <v>40988</v>
      </c>
      <c r="D515" s="78">
        <v>41297</v>
      </c>
      <c r="E515" s="79">
        <v>8.9999999999999993E-3</v>
      </c>
      <c r="F515" s="80">
        <v>51200.6</v>
      </c>
      <c r="G515" s="81"/>
      <c r="H515" s="80">
        <v>16745.05</v>
      </c>
      <c r="I515" s="93">
        <f>H515/F515</f>
        <v>0.32704792521962633</v>
      </c>
    </row>
    <row r="516" spans="1:9" x14ac:dyDescent="0.25">
      <c r="A516" s="70" t="s">
        <v>74</v>
      </c>
      <c r="B516" s="70" t="s">
        <v>77</v>
      </c>
      <c r="C516" s="71">
        <v>40716</v>
      </c>
      <c r="D516" s="72">
        <v>41063</v>
      </c>
      <c r="E516" s="73">
        <v>0.24</v>
      </c>
      <c r="F516" s="74">
        <v>69262</v>
      </c>
      <c r="G516" s="75"/>
      <c r="H516" s="74">
        <v>16625.88</v>
      </c>
      <c r="I516" s="126">
        <v>0.24004331379399962</v>
      </c>
    </row>
    <row r="517" spans="1:9" x14ac:dyDescent="0.25">
      <c r="A517" s="76" t="s">
        <v>384</v>
      </c>
      <c r="B517" s="76" t="s">
        <v>385</v>
      </c>
      <c r="C517" s="77">
        <v>40975</v>
      </c>
      <c r="D517" s="78">
        <v>40988</v>
      </c>
      <c r="E517" s="79">
        <v>4.4999999999999998E-2</v>
      </c>
      <c r="F517" s="80"/>
      <c r="G517" s="81">
        <v>18310.52</v>
      </c>
      <c r="H517" s="80">
        <v>16560.52</v>
      </c>
      <c r="I517" s="93">
        <f>H517/G517</f>
        <v>0.90442652639029364</v>
      </c>
    </row>
    <row r="518" spans="1:9" x14ac:dyDescent="0.25">
      <c r="A518" s="76" t="s">
        <v>563</v>
      </c>
      <c r="B518" s="76" t="s">
        <v>566</v>
      </c>
      <c r="C518" s="77">
        <v>41060</v>
      </c>
      <c r="D518" s="78">
        <v>41243</v>
      </c>
      <c r="E518" s="79">
        <v>0.17100000000000001</v>
      </c>
      <c r="F518" s="80">
        <v>58285</v>
      </c>
      <c r="G518" s="88"/>
      <c r="H518" s="80">
        <v>16500.599999999999</v>
      </c>
      <c r="I518" s="93">
        <f>H518/F518</f>
        <v>0.28310199879900488</v>
      </c>
    </row>
    <row r="519" spans="1:9" x14ac:dyDescent="0.25">
      <c r="A519" s="76" t="s">
        <v>643</v>
      </c>
      <c r="B519" s="76" t="s">
        <v>459</v>
      </c>
      <c r="C519" s="77">
        <v>40740</v>
      </c>
      <c r="D519" s="78">
        <v>41060</v>
      </c>
      <c r="E519" s="79">
        <v>0.09</v>
      </c>
      <c r="F519" s="80">
        <v>83007.360000000001</v>
      </c>
      <c r="G519" s="81"/>
      <c r="H519" s="80">
        <v>16371.01</v>
      </c>
      <c r="I519" s="93">
        <f>H519/F519</f>
        <v>0.19722359559441477</v>
      </c>
    </row>
    <row r="520" spans="1:9" x14ac:dyDescent="0.25">
      <c r="A520" s="76" t="s">
        <v>590</v>
      </c>
      <c r="B520" s="76" t="s">
        <v>592</v>
      </c>
      <c r="C520" s="77">
        <v>41061</v>
      </c>
      <c r="D520" s="78">
        <v>41424</v>
      </c>
      <c r="E520" s="79">
        <v>0.5</v>
      </c>
      <c r="F520" s="80">
        <v>32535.32</v>
      </c>
      <c r="G520" s="81"/>
      <c r="H520" s="80">
        <v>16267.66</v>
      </c>
      <c r="I520" s="79">
        <f>H520/F520</f>
        <v>0.5</v>
      </c>
    </row>
    <row r="521" spans="1:9" x14ac:dyDescent="0.25">
      <c r="A521" s="76" t="s">
        <v>692</v>
      </c>
      <c r="B521" s="76" t="s">
        <v>107</v>
      </c>
      <c r="C521" s="77">
        <v>41091</v>
      </c>
      <c r="D521" s="78">
        <v>41274</v>
      </c>
      <c r="E521" s="79">
        <v>8.9999999999999993E-3</v>
      </c>
      <c r="F521" s="80">
        <v>36404</v>
      </c>
      <c r="G521" s="81"/>
      <c r="H521" s="80">
        <v>16217</v>
      </c>
      <c r="I521" s="79">
        <f>H521/F521</f>
        <v>0.44547302494231406</v>
      </c>
    </row>
    <row r="522" spans="1:9" x14ac:dyDescent="0.25">
      <c r="A522" s="76" t="s">
        <v>171</v>
      </c>
      <c r="B522" s="76" t="s">
        <v>187</v>
      </c>
      <c r="C522" s="77">
        <v>40879</v>
      </c>
      <c r="D522" s="78">
        <v>41213</v>
      </c>
      <c r="E522" s="79">
        <v>1.7999999999999999E-2</v>
      </c>
      <c r="F522" s="80">
        <v>38212</v>
      </c>
      <c r="G522" s="81"/>
      <c r="H522" s="80">
        <v>15985</v>
      </c>
      <c r="I522" s="79">
        <f>H522/F522</f>
        <v>0.41832408667434312</v>
      </c>
    </row>
    <row r="523" spans="1:9" x14ac:dyDescent="0.25">
      <c r="A523" s="76" t="s">
        <v>317</v>
      </c>
      <c r="B523" s="76" t="s">
        <v>332</v>
      </c>
      <c r="C523" s="77">
        <v>41153</v>
      </c>
      <c r="D523" s="78">
        <v>41517</v>
      </c>
      <c r="E523" s="79">
        <v>8.9999999999999998E-4</v>
      </c>
      <c r="F523" s="80"/>
      <c r="G523" s="81">
        <v>68345.460000000006</v>
      </c>
      <c r="H523" s="80">
        <v>15977.12</v>
      </c>
      <c r="I523" s="79">
        <f>H523/G523</f>
        <v>0.23377002656796808</v>
      </c>
    </row>
    <row r="524" spans="1:9" x14ac:dyDescent="0.25">
      <c r="A524" s="76" t="s">
        <v>394</v>
      </c>
      <c r="B524" s="76" t="s">
        <v>403</v>
      </c>
      <c r="C524" s="77">
        <v>41178</v>
      </c>
      <c r="D524" s="78">
        <v>41541</v>
      </c>
      <c r="E524" s="79">
        <v>0.25</v>
      </c>
      <c r="F524" s="80">
        <v>63339</v>
      </c>
      <c r="G524" s="81"/>
      <c r="H524" s="80">
        <v>15835</v>
      </c>
      <c r="I524" s="79">
        <f>H524/F524</f>
        <v>0.25000394701526707</v>
      </c>
    </row>
    <row r="525" spans="1:9" x14ac:dyDescent="0.25">
      <c r="A525" s="76" t="s">
        <v>643</v>
      </c>
      <c r="B525" s="76" t="s">
        <v>117</v>
      </c>
      <c r="C525" s="77">
        <v>40585</v>
      </c>
      <c r="D525" s="78">
        <v>40949</v>
      </c>
      <c r="E525" s="79">
        <v>4.4999999999999997E-3</v>
      </c>
      <c r="F525" s="80"/>
      <c r="G525" s="81">
        <v>34994.19</v>
      </c>
      <c r="H525" s="80">
        <v>15829.19</v>
      </c>
      <c r="I525" s="79">
        <f>H525/G525</f>
        <v>0.45233765948004512</v>
      </c>
    </row>
    <row r="526" spans="1:9" x14ac:dyDescent="0.25">
      <c r="A526" s="76" t="s">
        <v>502</v>
      </c>
      <c r="B526" s="76" t="s">
        <v>92</v>
      </c>
      <c r="C526" s="77">
        <v>41151</v>
      </c>
      <c r="D526" s="78">
        <v>41515</v>
      </c>
      <c r="E526" s="79">
        <v>0.92500000000000004</v>
      </c>
      <c r="F526" s="80">
        <v>17104.46</v>
      </c>
      <c r="G526" s="81"/>
      <c r="H526" s="80">
        <v>15821.63</v>
      </c>
      <c r="I526" s="79">
        <f>H526/F526</f>
        <v>0.92500026308927608</v>
      </c>
    </row>
    <row r="527" spans="1:9" x14ac:dyDescent="0.25">
      <c r="A527" s="76" t="s">
        <v>613</v>
      </c>
      <c r="B527" s="76" t="s">
        <v>187</v>
      </c>
      <c r="C527" s="77">
        <v>40976</v>
      </c>
      <c r="D527" s="78">
        <v>41305</v>
      </c>
      <c r="E527" s="79">
        <v>8.9999999999999993E-3</v>
      </c>
      <c r="F527" s="80">
        <v>105017</v>
      </c>
      <c r="G527" s="81"/>
      <c r="H527" s="80">
        <v>15798</v>
      </c>
      <c r="I527" s="79">
        <f>H527/F527</f>
        <v>0.15043278707256921</v>
      </c>
    </row>
    <row r="528" spans="1:9" x14ac:dyDescent="0.25">
      <c r="A528" s="70" t="s">
        <v>87</v>
      </c>
      <c r="B528" s="70" t="s">
        <v>90</v>
      </c>
      <c r="C528" s="71">
        <v>40788</v>
      </c>
      <c r="D528" s="72">
        <v>41153</v>
      </c>
      <c r="E528" s="73">
        <v>0.92500000000000004</v>
      </c>
      <c r="F528" s="74"/>
      <c r="G528" s="75">
        <v>16998.7</v>
      </c>
      <c r="H528" s="74">
        <v>15723.8</v>
      </c>
      <c r="I528" s="73">
        <v>0.92500014707006994</v>
      </c>
    </row>
    <row r="529" spans="1:9" x14ac:dyDescent="0.25">
      <c r="A529" s="76" t="s">
        <v>563</v>
      </c>
      <c r="B529" s="76" t="s">
        <v>567</v>
      </c>
      <c r="C529" s="77">
        <v>41092</v>
      </c>
      <c r="D529" s="78">
        <v>41243</v>
      </c>
      <c r="E529" s="79">
        <v>0.27</v>
      </c>
      <c r="F529" s="80">
        <v>52120</v>
      </c>
      <c r="G529" s="88"/>
      <c r="H529" s="80">
        <v>15636</v>
      </c>
      <c r="I529" s="79">
        <f>H529/F529</f>
        <v>0.3</v>
      </c>
    </row>
    <row r="530" spans="1:9" x14ac:dyDescent="0.25">
      <c r="A530" s="70" t="s">
        <v>119</v>
      </c>
      <c r="B530" s="70" t="s">
        <v>121</v>
      </c>
      <c r="C530" s="71">
        <v>40964</v>
      </c>
      <c r="D530" s="72">
        <v>41329</v>
      </c>
      <c r="E530" s="73">
        <v>0.09</v>
      </c>
      <c r="F530" s="74">
        <v>155315.12</v>
      </c>
      <c r="G530" s="75"/>
      <c r="H530" s="74">
        <v>15531.51</v>
      </c>
      <c r="I530" s="73">
        <v>9.9999987122953646E-2</v>
      </c>
    </row>
    <row r="531" spans="1:9" x14ac:dyDescent="0.25">
      <c r="A531" s="70" t="s">
        <v>95</v>
      </c>
      <c r="B531" s="70" t="s">
        <v>44</v>
      </c>
      <c r="C531" s="71">
        <v>40704</v>
      </c>
      <c r="D531" s="72">
        <v>41060</v>
      </c>
      <c r="E531" s="73">
        <v>0.09</v>
      </c>
      <c r="F531" s="74">
        <v>128942</v>
      </c>
      <c r="G531" s="75"/>
      <c r="H531" s="74">
        <v>15473.04</v>
      </c>
      <c r="I531" s="73">
        <v>0.12000000000000001</v>
      </c>
    </row>
    <row r="532" spans="1:9" x14ac:dyDescent="0.25">
      <c r="A532" s="70" t="s">
        <v>38</v>
      </c>
      <c r="B532" s="70" t="s">
        <v>54</v>
      </c>
      <c r="C532" s="71">
        <v>40909</v>
      </c>
      <c r="D532" s="72">
        <v>41274</v>
      </c>
      <c r="E532" s="73">
        <v>0.45</v>
      </c>
      <c r="F532" s="74"/>
      <c r="G532" s="75">
        <v>30839.98</v>
      </c>
      <c r="H532" s="74">
        <v>15419.99</v>
      </c>
      <c r="I532" s="73">
        <v>0.5</v>
      </c>
    </row>
    <row r="533" spans="1:9" x14ac:dyDescent="0.25">
      <c r="A533" s="70" t="s">
        <v>74</v>
      </c>
      <c r="B533" s="70" t="s">
        <v>76</v>
      </c>
      <c r="C533" s="71">
        <v>40690</v>
      </c>
      <c r="D533" s="72">
        <v>41051</v>
      </c>
      <c r="E533" s="73">
        <v>0.3</v>
      </c>
      <c r="F533" s="74">
        <v>49838</v>
      </c>
      <c r="G533" s="75"/>
      <c r="H533" s="74">
        <v>15348.16</v>
      </c>
      <c r="I533" s="73">
        <v>0.30796099361932661</v>
      </c>
    </row>
    <row r="534" spans="1:9" x14ac:dyDescent="0.25">
      <c r="A534" s="76" t="s">
        <v>426</v>
      </c>
      <c r="B534" s="76" t="s">
        <v>428</v>
      </c>
      <c r="C534" s="77">
        <v>40952</v>
      </c>
      <c r="D534" s="78">
        <v>41258</v>
      </c>
      <c r="E534" s="79">
        <v>0.1</v>
      </c>
      <c r="F534" s="88"/>
      <c r="G534" s="81">
        <v>153385</v>
      </c>
      <c r="H534" s="80">
        <v>15338.5</v>
      </c>
      <c r="I534" s="79">
        <f>H534/G534</f>
        <v>0.1</v>
      </c>
    </row>
    <row r="535" spans="1:9" x14ac:dyDescent="0.25">
      <c r="A535" s="76" t="s">
        <v>643</v>
      </c>
      <c r="B535" s="76" t="s">
        <v>653</v>
      </c>
      <c r="C535" s="77">
        <v>41228</v>
      </c>
      <c r="D535" s="78">
        <v>41502</v>
      </c>
      <c r="E535" s="79">
        <v>4.4999999999999997E-3</v>
      </c>
      <c r="F535" s="80">
        <v>40084</v>
      </c>
      <c r="G535" s="81"/>
      <c r="H535" s="80">
        <v>15315.3</v>
      </c>
      <c r="I535" s="79">
        <f>H535/F535</f>
        <v>0.3820801317233809</v>
      </c>
    </row>
    <row r="536" spans="1:9" x14ac:dyDescent="0.25">
      <c r="A536" s="70" t="s">
        <v>146</v>
      </c>
      <c r="B536" s="70" t="s">
        <v>154</v>
      </c>
      <c r="C536" s="71">
        <v>40725</v>
      </c>
      <c r="D536" s="72">
        <v>41090</v>
      </c>
      <c r="E536" s="101">
        <v>4.4999999999999999E-4</v>
      </c>
      <c r="F536" s="74">
        <v>36136.5</v>
      </c>
      <c r="G536" s="75"/>
      <c r="H536" s="74">
        <v>15311.03</v>
      </c>
      <c r="I536" s="73">
        <v>0.42369986025209971</v>
      </c>
    </row>
    <row r="537" spans="1:9" x14ac:dyDescent="0.25">
      <c r="A537" s="76" t="s">
        <v>594</v>
      </c>
      <c r="B537" s="76" t="s">
        <v>609</v>
      </c>
      <c r="C537" s="77">
        <v>41058</v>
      </c>
      <c r="D537" s="78">
        <v>41422</v>
      </c>
      <c r="E537" s="79">
        <v>0.36</v>
      </c>
      <c r="F537" s="80">
        <v>27225.43</v>
      </c>
      <c r="G537" s="81"/>
      <c r="H537" s="80">
        <v>15265.43</v>
      </c>
      <c r="I537" s="79">
        <f>H537/F537</f>
        <v>0.56070482633332142</v>
      </c>
    </row>
    <row r="538" spans="1:9" x14ac:dyDescent="0.25">
      <c r="A538" s="76" t="s">
        <v>594</v>
      </c>
      <c r="B538" s="76" t="s">
        <v>609</v>
      </c>
      <c r="C538" s="77">
        <v>41058</v>
      </c>
      <c r="D538" s="78">
        <v>41422</v>
      </c>
      <c r="E538" s="79">
        <v>0.36</v>
      </c>
      <c r="F538" s="80"/>
      <c r="G538" s="81">
        <v>26825.43</v>
      </c>
      <c r="H538" s="80">
        <v>14985.03</v>
      </c>
      <c r="I538" s="79">
        <f>H538/G538</f>
        <v>0.55861285354978463</v>
      </c>
    </row>
    <row r="539" spans="1:9" x14ac:dyDescent="0.25">
      <c r="A539" s="76" t="s">
        <v>594</v>
      </c>
      <c r="B539" s="76" t="s">
        <v>607</v>
      </c>
      <c r="C539" s="77">
        <v>41028</v>
      </c>
      <c r="D539" s="78">
        <v>41152</v>
      </c>
      <c r="E539" s="79">
        <v>0.57599999999999996</v>
      </c>
      <c r="F539" s="80">
        <v>26037.06</v>
      </c>
      <c r="G539" s="81"/>
      <c r="H539" s="80">
        <v>14872.89</v>
      </c>
      <c r="I539" s="79">
        <f>H539/F539</f>
        <v>0.57122002253710669</v>
      </c>
    </row>
    <row r="540" spans="1:9" x14ac:dyDescent="0.25">
      <c r="A540" s="76" t="s">
        <v>317</v>
      </c>
      <c r="B540" s="76" t="s">
        <v>348</v>
      </c>
      <c r="C540" s="77">
        <v>40909</v>
      </c>
      <c r="D540" s="78">
        <v>41274</v>
      </c>
      <c r="E540" s="79">
        <v>0</v>
      </c>
      <c r="F540" s="80"/>
      <c r="G540" s="81">
        <v>54213.61</v>
      </c>
      <c r="H540" s="80">
        <v>14658.62</v>
      </c>
      <c r="I540" s="79">
        <f>H540/G540</f>
        <v>0.2703863476348467</v>
      </c>
    </row>
    <row r="541" spans="1:9" x14ac:dyDescent="0.25">
      <c r="A541" s="70" t="s">
        <v>14</v>
      </c>
      <c r="B541" s="70" t="s">
        <v>15</v>
      </c>
      <c r="C541" s="71">
        <v>40969</v>
      </c>
      <c r="D541" s="72">
        <v>41236</v>
      </c>
      <c r="E541" s="73">
        <v>0.5</v>
      </c>
      <c r="F541" s="74"/>
      <c r="G541" s="75">
        <v>24474</v>
      </c>
      <c r="H541" s="74">
        <v>14255.58</v>
      </c>
      <c r="I541" s="73">
        <v>0.58247854866388815</v>
      </c>
    </row>
    <row r="542" spans="1:9" x14ac:dyDescent="0.25">
      <c r="A542" s="76" t="s">
        <v>674</v>
      </c>
      <c r="B542" s="76" t="s">
        <v>619</v>
      </c>
      <c r="C542" s="77">
        <v>40940</v>
      </c>
      <c r="D542" s="78">
        <v>41274</v>
      </c>
      <c r="E542" s="79">
        <v>0.30599999999999999</v>
      </c>
      <c r="F542" s="80">
        <v>84607</v>
      </c>
      <c r="G542" s="81"/>
      <c r="H542" s="80">
        <v>14190.4</v>
      </c>
      <c r="I542" s="79">
        <f>H542/F542</f>
        <v>0.16772134693346885</v>
      </c>
    </row>
    <row r="543" spans="1:9" x14ac:dyDescent="0.25">
      <c r="A543" s="76" t="s">
        <v>449</v>
      </c>
      <c r="B543" s="76" t="s">
        <v>456</v>
      </c>
      <c r="C543" s="77">
        <v>40725</v>
      </c>
      <c r="D543" s="78">
        <v>41090</v>
      </c>
      <c r="E543" s="79">
        <v>0</v>
      </c>
      <c r="F543" s="80">
        <v>764842</v>
      </c>
      <c r="G543" s="81"/>
      <c r="H543" s="80">
        <v>14019</v>
      </c>
      <c r="I543" s="113">
        <f>H543/F543</f>
        <v>1.8329275850437084E-2</v>
      </c>
    </row>
    <row r="544" spans="1:9" ht="28.5" x14ac:dyDescent="0.25">
      <c r="A544" s="70" t="s">
        <v>60</v>
      </c>
      <c r="B544" s="70" t="s">
        <v>62</v>
      </c>
      <c r="C544" s="71">
        <v>40690</v>
      </c>
      <c r="D544" s="72">
        <v>41055</v>
      </c>
      <c r="E544" s="73">
        <v>0.09</v>
      </c>
      <c r="F544" s="74">
        <v>94271.14</v>
      </c>
      <c r="G544" s="75"/>
      <c r="H544" s="74">
        <v>13904.01</v>
      </c>
      <c r="I544" s="73">
        <v>0.14748957103945068</v>
      </c>
    </row>
    <row r="545" spans="1:9" x14ac:dyDescent="0.25">
      <c r="A545" s="76" t="s">
        <v>317</v>
      </c>
      <c r="B545" s="76" t="s">
        <v>347</v>
      </c>
      <c r="C545" s="77">
        <v>40909</v>
      </c>
      <c r="D545" s="78">
        <v>41274</v>
      </c>
      <c r="E545" s="79">
        <v>8.9999999999999998E-4</v>
      </c>
      <c r="F545" s="80"/>
      <c r="G545" s="81">
        <v>202069</v>
      </c>
      <c r="H545" s="80">
        <v>13899.08</v>
      </c>
      <c r="I545" s="79">
        <f>H545/G545</f>
        <v>6.8783831265557802E-2</v>
      </c>
    </row>
    <row r="546" spans="1:9" x14ac:dyDescent="0.25">
      <c r="A546" s="76" t="s">
        <v>613</v>
      </c>
      <c r="B546" s="76" t="s">
        <v>620</v>
      </c>
      <c r="C546" s="77">
        <v>41019</v>
      </c>
      <c r="D546" s="78">
        <v>41274</v>
      </c>
      <c r="E546" s="79">
        <v>8.9999999999999993E-3</v>
      </c>
      <c r="F546" s="80">
        <v>54579</v>
      </c>
      <c r="G546" s="81"/>
      <c r="H546" s="80">
        <v>13840</v>
      </c>
      <c r="I546" s="79">
        <f>H546/F546</f>
        <v>0.25357738324263912</v>
      </c>
    </row>
    <row r="547" spans="1:9" x14ac:dyDescent="0.25">
      <c r="A547" s="76" t="s">
        <v>531</v>
      </c>
      <c r="B547" s="76" t="s">
        <v>539</v>
      </c>
      <c r="C547" s="77">
        <v>40796</v>
      </c>
      <c r="D547" s="78">
        <v>41152</v>
      </c>
      <c r="E547" s="79">
        <v>8.9999999999999993E-3</v>
      </c>
      <c r="F547" s="80">
        <v>18408</v>
      </c>
      <c r="G547" s="81"/>
      <c r="H547" s="80">
        <v>13818</v>
      </c>
      <c r="I547" s="79">
        <f>H547/F547</f>
        <v>0.750651890482399</v>
      </c>
    </row>
    <row r="548" spans="1:9" ht="28.5" x14ac:dyDescent="0.25">
      <c r="A548" s="76" t="s">
        <v>392</v>
      </c>
      <c r="B548" s="116" t="s">
        <v>393</v>
      </c>
      <c r="C548" s="77">
        <v>40892</v>
      </c>
      <c r="D548" s="78">
        <v>41151</v>
      </c>
      <c r="E548" s="79">
        <v>8.9999999999999993E-3</v>
      </c>
      <c r="F548" s="80">
        <v>40440</v>
      </c>
      <c r="G548" s="81"/>
      <c r="H548" s="80">
        <v>13773.81</v>
      </c>
      <c r="I548" s="79">
        <f>H548/F548</f>
        <v>0.34059866468842731</v>
      </c>
    </row>
    <row r="549" spans="1:9" ht="28.5" x14ac:dyDescent="0.25">
      <c r="A549" s="70" t="s">
        <v>10</v>
      </c>
      <c r="B549" s="70" t="s">
        <v>11</v>
      </c>
      <c r="C549" s="71">
        <v>40787</v>
      </c>
      <c r="D549" s="72">
        <v>41022</v>
      </c>
      <c r="E549" s="73">
        <v>3.1414999999999998E-2</v>
      </c>
      <c r="F549" s="74">
        <v>79075</v>
      </c>
      <c r="G549" s="75"/>
      <c r="H549" s="74">
        <v>13759.34</v>
      </c>
      <c r="I549" s="127">
        <v>0.17400366740436296</v>
      </c>
    </row>
    <row r="550" spans="1:9" ht="28.5" x14ac:dyDescent="0.25">
      <c r="A550" s="76" t="s">
        <v>315</v>
      </c>
      <c r="B550" s="76" t="s">
        <v>327</v>
      </c>
      <c r="C550" s="77">
        <v>40725</v>
      </c>
      <c r="D550" s="78">
        <v>41090</v>
      </c>
      <c r="E550" s="79">
        <v>0</v>
      </c>
      <c r="F550" s="80"/>
      <c r="G550" s="81">
        <v>95109.58</v>
      </c>
      <c r="H550" s="80">
        <v>13691.05</v>
      </c>
      <c r="I550" s="93">
        <f>H550/G550</f>
        <v>0.14395027293780499</v>
      </c>
    </row>
    <row r="551" spans="1:9" x14ac:dyDescent="0.25">
      <c r="A551" s="76" t="s">
        <v>394</v>
      </c>
      <c r="B551" s="76" t="s">
        <v>397</v>
      </c>
      <c r="C551" s="77">
        <v>41164</v>
      </c>
      <c r="D551" s="78">
        <v>41443</v>
      </c>
      <c r="E551" s="79">
        <v>0.3</v>
      </c>
      <c r="F551" s="80">
        <v>45391</v>
      </c>
      <c r="G551" s="81"/>
      <c r="H551" s="80">
        <v>13668</v>
      </c>
      <c r="I551" s="114">
        <f>H551/F551</f>
        <v>0.30111696151219403</v>
      </c>
    </row>
    <row r="552" spans="1:9" x14ac:dyDescent="0.25">
      <c r="A552" s="76" t="s">
        <v>317</v>
      </c>
      <c r="B552" s="76" t="s">
        <v>319</v>
      </c>
      <c r="C552" s="77">
        <v>40940</v>
      </c>
      <c r="D552" s="78">
        <v>41232</v>
      </c>
      <c r="E552" s="79">
        <v>0</v>
      </c>
      <c r="F552" s="80">
        <v>53599</v>
      </c>
      <c r="G552" s="81"/>
      <c r="H552" s="80">
        <v>13599.37</v>
      </c>
      <c r="I552" s="93">
        <f>H552/F552</f>
        <v>0.25372432321498539</v>
      </c>
    </row>
    <row r="553" spans="1:9" x14ac:dyDescent="0.25">
      <c r="A553" s="76" t="s">
        <v>681</v>
      </c>
      <c r="B553" s="76" t="s">
        <v>125</v>
      </c>
      <c r="C553" s="77">
        <v>40664</v>
      </c>
      <c r="D553" s="78">
        <v>40962</v>
      </c>
      <c r="E553" s="79">
        <v>8.9999999999999993E-3</v>
      </c>
      <c r="F553" s="80">
        <v>43992.55</v>
      </c>
      <c r="G553" s="81"/>
      <c r="H553" s="80">
        <v>13519.99</v>
      </c>
      <c r="I553" s="93">
        <f>H553/F553</f>
        <v>0.30732453563160123</v>
      </c>
    </row>
    <row r="554" spans="1:9" x14ac:dyDescent="0.25">
      <c r="A554" s="76" t="s">
        <v>549</v>
      </c>
      <c r="B554" s="76" t="s">
        <v>550</v>
      </c>
      <c r="C554" s="77">
        <v>40601</v>
      </c>
      <c r="D554" s="78">
        <v>40965</v>
      </c>
      <c r="E554" s="79">
        <v>0.36</v>
      </c>
      <c r="F554" s="80">
        <v>34508.36</v>
      </c>
      <c r="G554" s="88"/>
      <c r="H554" s="80">
        <v>13453.47</v>
      </c>
      <c r="I554" s="114">
        <f>H554/F554</f>
        <v>0.38986118146443349</v>
      </c>
    </row>
    <row r="555" spans="1:9" x14ac:dyDescent="0.25">
      <c r="A555" s="70" t="s">
        <v>130</v>
      </c>
      <c r="B555" s="70" t="s">
        <v>136</v>
      </c>
      <c r="C555" s="71">
        <v>41153</v>
      </c>
      <c r="D555" s="72">
        <v>41274</v>
      </c>
      <c r="E555" s="73">
        <v>0.126</v>
      </c>
      <c r="F555" s="74">
        <v>94937.38</v>
      </c>
      <c r="G555" s="75"/>
      <c r="H555" s="74">
        <v>13291.23</v>
      </c>
      <c r="I555" s="126">
        <v>0.13999996629357161</v>
      </c>
    </row>
    <row r="556" spans="1:9" x14ac:dyDescent="0.25">
      <c r="A556" s="76" t="s">
        <v>665</v>
      </c>
      <c r="B556" s="123" t="s">
        <v>667</v>
      </c>
      <c r="C556" s="77">
        <v>40569</v>
      </c>
      <c r="D556" s="78">
        <v>40933</v>
      </c>
      <c r="E556" s="79">
        <v>0.2</v>
      </c>
      <c r="F556" s="80">
        <v>65815</v>
      </c>
      <c r="G556" s="81"/>
      <c r="H556" s="80">
        <v>13163</v>
      </c>
      <c r="I556" s="79">
        <f>H556/F556</f>
        <v>0.2</v>
      </c>
    </row>
    <row r="557" spans="1:9" x14ac:dyDescent="0.25">
      <c r="A557" s="76" t="s">
        <v>317</v>
      </c>
      <c r="B557" s="76" t="s">
        <v>363</v>
      </c>
      <c r="C557" s="77">
        <v>41144</v>
      </c>
      <c r="D557" s="78">
        <v>41455</v>
      </c>
      <c r="E557" s="79">
        <v>8.9999999999999998E-4</v>
      </c>
      <c r="F557" s="80">
        <v>43873</v>
      </c>
      <c r="G557" s="81"/>
      <c r="H557" s="80">
        <v>12639.61</v>
      </c>
      <c r="I557" s="114">
        <f>H557/F557</f>
        <v>0.28809541175666131</v>
      </c>
    </row>
    <row r="558" spans="1:9" x14ac:dyDescent="0.25">
      <c r="A558" s="76" t="s">
        <v>641</v>
      </c>
      <c r="B558" s="76" t="s">
        <v>642</v>
      </c>
      <c r="C558" s="77">
        <v>40653</v>
      </c>
      <c r="D558" s="78">
        <v>40967</v>
      </c>
      <c r="E558" s="79">
        <v>8.9999999999999993E-3</v>
      </c>
      <c r="F558" s="80">
        <v>21972</v>
      </c>
      <c r="G558" s="81"/>
      <c r="H558" s="80">
        <v>12564.9</v>
      </c>
      <c r="I558" s="93">
        <f>H558/F558</f>
        <v>0.57185963954123431</v>
      </c>
    </row>
    <row r="559" spans="1:9" x14ac:dyDescent="0.25">
      <c r="A559" s="76" t="s">
        <v>674</v>
      </c>
      <c r="B559" s="76" t="s">
        <v>678</v>
      </c>
      <c r="C559" s="77">
        <v>40940</v>
      </c>
      <c r="D559" s="78">
        <v>41274</v>
      </c>
      <c r="E559" s="79">
        <v>0.28799999999999998</v>
      </c>
      <c r="F559" s="80">
        <v>36510</v>
      </c>
      <c r="G559" s="81"/>
      <c r="H559" s="80">
        <v>12489.44</v>
      </c>
      <c r="I559" s="114">
        <f>H559/F559</f>
        <v>0.34208271706381815</v>
      </c>
    </row>
    <row r="560" spans="1:9" x14ac:dyDescent="0.25">
      <c r="A560" s="76" t="s">
        <v>281</v>
      </c>
      <c r="B560" s="76" t="s">
        <v>287</v>
      </c>
      <c r="C560" s="77">
        <v>41120</v>
      </c>
      <c r="D560" s="78">
        <v>41274</v>
      </c>
      <c r="E560" s="79">
        <v>0.54</v>
      </c>
      <c r="F560" s="80">
        <v>16642</v>
      </c>
      <c r="G560" s="81"/>
      <c r="H560" s="80">
        <v>12464.31</v>
      </c>
      <c r="I560" s="93">
        <f>IF(H560="","",(IF(C560&lt;&gt;"",H560/C560,H560/D560)))</f>
        <v>0.30312037937743191</v>
      </c>
    </row>
    <row r="561" spans="1:9" x14ac:dyDescent="0.25">
      <c r="A561" s="70" t="s">
        <v>101</v>
      </c>
      <c r="B561" s="70" t="s">
        <v>31</v>
      </c>
      <c r="C561" s="71">
        <v>40940</v>
      </c>
      <c r="D561" s="72">
        <v>41305</v>
      </c>
      <c r="E561" s="73">
        <v>8.9999999999999993E-3</v>
      </c>
      <c r="F561" s="74"/>
      <c r="G561" s="75">
        <v>21131.14</v>
      </c>
      <c r="H561" s="74">
        <v>12463.89</v>
      </c>
      <c r="I561" s="127">
        <v>0.58983519109712013</v>
      </c>
    </row>
    <row r="562" spans="1:9" x14ac:dyDescent="0.25">
      <c r="A562" s="76" t="s">
        <v>682</v>
      </c>
      <c r="B562" s="76" t="s">
        <v>683</v>
      </c>
      <c r="C562" s="77">
        <v>40909</v>
      </c>
      <c r="D562" s="78">
        <v>40981</v>
      </c>
      <c r="E562" s="79">
        <v>0.315</v>
      </c>
      <c r="F562" s="80">
        <v>31055</v>
      </c>
      <c r="G562" s="88"/>
      <c r="H562" s="80">
        <v>12293.42</v>
      </c>
      <c r="I562" s="93">
        <f>H562/F562</f>
        <v>0.39585960392851394</v>
      </c>
    </row>
    <row r="563" spans="1:9" x14ac:dyDescent="0.25">
      <c r="A563" s="76" t="s">
        <v>394</v>
      </c>
      <c r="B563" s="76" t="s">
        <v>402</v>
      </c>
      <c r="C563" s="77">
        <v>40967</v>
      </c>
      <c r="D563" s="78">
        <v>41333</v>
      </c>
      <c r="E563" s="79">
        <v>0.35</v>
      </c>
      <c r="F563" s="80"/>
      <c r="G563" s="81">
        <v>32144</v>
      </c>
      <c r="H563" s="80">
        <v>12250</v>
      </c>
      <c r="I563" s="114">
        <f>H563/G563</f>
        <v>0.38109756097560976</v>
      </c>
    </row>
    <row r="564" spans="1:9" x14ac:dyDescent="0.25">
      <c r="A564" s="76" t="s">
        <v>643</v>
      </c>
      <c r="B564" s="76" t="s">
        <v>649</v>
      </c>
      <c r="C564" s="77">
        <v>41120</v>
      </c>
      <c r="D564" s="78">
        <v>41484</v>
      </c>
      <c r="E564" s="79">
        <v>4.4999999999999997E-3</v>
      </c>
      <c r="F564" s="80">
        <v>43686.59</v>
      </c>
      <c r="G564" s="81"/>
      <c r="H564" s="80">
        <v>12155.69</v>
      </c>
      <c r="I564" s="93">
        <f>H564/F564</f>
        <v>0.27824762701781031</v>
      </c>
    </row>
    <row r="565" spans="1:9" x14ac:dyDescent="0.25">
      <c r="A565" s="76" t="s">
        <v>449</v>
      </c>
      <c r="B565" s="76" t="s">
        <v>117</v>
      </c>
      <c r="C565" s="77">
        <v>40968</v>
      </c>
      <c r="D565" s="78">
        <v>41333</v>
      </c>
      <c r="E565" s="79">
        <v>0</v>
      </c>
      <c r="F565" s="80">
        <v>98495</v>
      </c>
      <c r="G565" s="81"/>
      <c r="H565" s="80">
        <v>12140</v>
      </c>
      <c r="I565" s="114">
        <f>H565/F565</f>
        <v>0.12325498756282045</v>
      </c>
    </row>
    <row r="566" spans="1:9" x14ac:dyDescent="0.25">
      <c r="A566" s="76" t="s">
        <v>623</v>
      </c>
      <c r="B566" s="76" t="s">
        <v>629</v>
      </c>
      <c r="C566" s="77">
        <v>40859</v>
      </c>
      <c r="D566" s="78">
        <v>41224</v>
      </c>
      <c r="E566" s="79">
        <v>0.25</v>
      </c>
      <c r="F566" s="80">
        <v>48440</v>
      </c>
      <c r="G566" s="88"/>
      <c r="H566" s="80">
        <v>12110</v>
      </c>
      <c r="I566" s="93">
        <f>H566/F566</f>
        <v>0.25</v>
      </c>
    </row>
    <row r="567" spans="1:9" x14ac:dyDescent="0.25">
      <c r="A567" s="76" t="s">
        <v>613</v>
      </c>
      <c r="B567" s="76" t="s">
        <v>36</v>
      </c>
      <c r="C567" s="77">
        <v>40743</v>
      </c>
      <c r="D567" s="78">
        <v>41060</v>
      </c>
      <c r="E567" s="79">
        <v>8.9999999999999993E-3</v>
      </c>
      <c r="F567" s="80">
        <v>44706</v>
      </c>
      <c r="G567" s="81"/>
      <c r="H567" s="80">
        <v>12055</v>
      </c>
      <c r="I567" s="93">
        <f>H567/F567</f>
        <v>0.26965060618261533</v>
      </c>
    </row>
    <row r="568" spans="1:9" x14ac:dyDescent="0.25">
      <c r="A568" s="76" t="s">
        <v>270</v>
      </c>
      <c r="B568" s="76" t="s">
        <v>272</v>
      </c>
      <c r="C568" s="77">
        <v>40664</v>
      </c>
      <c r="D568" s="78">
        <v>41029</v>
      </c>
      <c r="E568" s="79">
        <v>0.2</v>
      </c>
      <c r="F568" s="80"/>
      <c r="G568" s="81">
        <v>65030</v>
      </c>
      <c r="H568" s="80">
        <v>12006.45</v>
      </c>
      <c r="I568" s="93">
        <f>H568/G568</f>
        <v>0.18462940181454715</v>
      </c>
    </row>
    <row r="569" spans="1:9" x14ac:dyDescent="0.25">
      <c r="A569" s="76" t="s">
        <v>317</v>
      </c>
      <c r="B569" s="76" t="s">
        <v>52</v>
      </c>
      <c r="C569" s="77">
        <v>40955</v>
      </c>
      <c r="D569" s="78">
        <v>41320</v>
      </c>
      <c r="E569" s="79">
        <v>8.9999999999999993E-3</v>
      </c>
      <c r="F569" s="80"/>
      <c r="G569" s="81">
        <v>131447.75</v>
      </c>
      <c r="H569" s="80">
        <v>11985.05</v>
      </c>
      <c r="I569" s="114">
        <f>H569/G569</f>
        <v>9.1177292878729374E-2</v>
      </c>
    </row>
    <row r="570" spans="1:9" x14ac:dyDescent="0.25">
      <c r="A570" s="76" t="s">
        <v>478</v>
      </c>
      <c r="B570" s="76" t="s">
        <v>417</v>
      </c>
      <c r="C570" s="77">
        <v>40909</v>
      </c>
      <c r="D570" s="78">
        <v>41274</v>
      </c>
      <c r="E570" s="79">
        <v>0.18</v>
      </c>
      <c r="F570" s="80"/>
      <c r="G570" s="81">
        <v>66383</v>
      </c>
      <c r="H570" s="80">
        <v>11948.94</v>
      </c>
      <c r="I570" s="93">
        <f>H570/G570</f>
        <v>0.18000000000000002</v>
      </c>
    </row>
    <row r="571" spans="1:9" x14ac:dyDescent="0.25">
      <c r="A571" s="76" t="s">
        <v>265</v>
      </c>
      <c r="B571" s="76" t="s">
        <v>336</v>
      </c>
      <c r="C571" s="77">
        <v>41103</v>
      </c>
      <c r="D571" s="78">
        <v>41467</v>
      </c>
      <c r="E571" s="79">
        <v>0.18</v>
      </c>
      <c r="F571" s="80"/>
      <c r="G571" s="81">
        <v>59075</v>
      </c>
      <c r="H571" s="80">
        <v>11946.92</v>
      </c>
      <c r="I571" s="114">
        <f>H571/G571</f>
        <v>0.20223309352517985</v>
      </c>
    </row>
    <row r="572" spans="1:9" x14ac:dyDescent="0.25">
      <c r="A572" s="76" t="s">
        <v>555</v>
      </c>
      <c r="B572" s="76" t="s">
        <v>68</v>
      </c>
      <c r="C572" s="77">
        <v>40789</v>
      </c>
      <c r="D572" s="78">
        <v>41154</v>
      </c>
      <c r="E572" s="79">
        <v>0.09</v>
      </c>
      <c r="F572" s="80">
        <v>119240</v>
      </c>
      <c r="G572" s="81"/>
      <c r="H572" s="80">
        <v>11924</v>
      </c>
      <c r="I572" s="93">
        <f>H572/F572</f>
        <v>0.1</v>
      </c>
    </row>
    <row r="573" spans="1:9" x14ac:dyDescent="0.25">
      <c r="A573" s="76" t="s">
        <v>394</v>
      </c>
      <c r="B573" s="76" t="s">
        <v>402</v>
      </c>
      <c r="C573" s="77">
        <v>40658</v>
      </c>
      <c r="D573" s="78">
        <v>41013</v>
      </c>
      <c r="E573" s="79">
        <v>0.3</v>
      </c>
      <c r="F573" s="80"/>
      <c r="G573" s="81">
        <v>33150</v>
      </c>
      <c r="H573" s="80">
        <v>11890</v>
      </c>
      <c r="I573" s="114">
        <f>H573/G573</f>
        <v>0.35867269984917044</v>
      </c>
    </row>
    <row r="574" spans="1:9" x14ac:dyDescent="0.25">
      <c r="A574" s="70" t="s">
        <v>140</v>
      </c>
      <c r="B574" s="70" t="s">
        <v>141</v>
      </c>
      <c r="C574" s="71">
        <v>40664</v>
      </c>
      <c r="D574" s="72">
        <v>41029</v>
      </c>
      <c r="E574" s="73">
        <v>0.09</v>
      </c>
      <c r="F574" s="74"/>
      <c r="G574" s="75">
        <v>21319</v>
      </c>
      <c r="H574" s="74">
        <v>11873.76</v>
      </c>
      <c r="I574" s="126">
        <v>0.55695670528636432</v>
      </c>
    </row>
    <row r="575" spans="1:9" x14ac:dyDescent="0.25">
      <c r="A575" s="76" t="s">
        <v>375</v>
      </c>
      <c r="B575" s="76" t="s">
        <v>380</v>
      </c>
      <c r="C575" s="77">
        <v>41107</v>
      </c>
      <c r="D575" s="78">
        <v>41162</v>
      </c>
      <c r="E575" s="79">
        <v>4.4999999999999998E-2</v>
      </c>
      <c r="F575" s="80"/>
      <c r="G575" s="81">
        <v>14607</v>
      </c>
      <c r="H575" s="80">
        <v>11682</v>
      </c>
      <c r="I575" s="114">
        <f>H575/G575</f>
        <v>0.79975354282193467</v>
      </c>
    </row>
    <row r="576" spans="1:9" x14ac:dyDescent="0.25">
      <c r="A576" s="76" t="s">
        <v>623</v>
      </c>
      <c r="B576" s="76" t="s">
        <v>625</v>
      </c>
      <c r="C576" s="77">
        <v>40648</v>
      </c>
      <c r="D576" s="78">
        <v>41013</v>
      </c>
      <c r="E576" s="79">
        <v>0.27500000000000002</v>
      </c>
      <c r="F576" s="80">
        <v>40323</v>
      </c>
      <c r="G576" s="88"/>
      <c r="H576" s="80">
        <v>11662.75</v>
      </c>
      <c r="I576" s="93">
        <f>H576/F576</f>
        <v>0.28923319197480346</v>
      </c>
    </row>
    <row r="577" spans="1:9" x14ac:dyDescent="0.25">
      <c r="A577" s="76" t="s">
        <v>375</v>
      </c>
      <c r="B577" s="76" t="s">
        <v>379</v>
      </c>
      <c r="C577" s="77">
        <v>41099</v>
      </c>
      <c r="D577" s="78">
        <v>41156</v>
      </c>
      <c r="E577" s="79">
        <v>4.4999999999999998E-2</v>
      </c>
      <c r="F577" s="80"/>
      <c r="G577" s="81">
        <v>16975</v>
      </c>
      <c r="H577" s="80">
        <v>11556.5</v>
      </c>
      <c r="I577" s="79">
        <f>H577/G577</f>
        <v>0.68079528718703974</v>
      </c>
    </row>
    <row r="578" spans="1:9" x14ac:dyDescent="0.25">
      <c r="A578" s="76" t="s">
        <v>623</v>
      </c>
      <c r="B578" s="76" t="s">
        <v>625</v>
      </c>
      <c r="C578" s="77">
        <v>41024</v>
      </c>
      <c r="D578" s="78">
        <v>41388</v>
      </c>
      <c r="E578" s="79">
        <v>0.27500000000000002</v>
      </c>
      <c r="F578" s="80">
        <v>41718</v>
      </c>
      <c r="G578" s="88"/>
      <c r="H578" s="80">
        <v>11524.65</v>
      </c>
      <c r="I578" s="79">
        <f>H578/F578</f>
        <v>0.27625125844959009</v>
      </c>
    </row>
    <row r="579" spans="1:9" x14ac:dyDescent="0.25">
      <c r="A579" s="76" t="s">
        <v>243</v>
      </c>
      <c r="B579" s="76" t="s">
        <v>245</v>
      </c>
      <c r="C579" s="77">
        <v>40665</v>
      </c>
      <c r="D579" s="78">
        <v>40999</v>
      </c>
      <c r="E579" s="79">
        <v>1.7999999999999999E-2</v>
      </c>
      <c r="F579" s="80">
        <v>24631</v>
      </c>
      <c r="G579" s="88"/>
      <c r="H579" s="80">
        <v>11515.17</v>
      </c>
      <c r="I579" s="79">
        <f>H579/F579</f>
        <v>0.4675072063659616</v>
      </c>
    </row>
    <row r="580" spans="1:9" x14ac:dyDescent="0.25">
      <c r="A580" s="76" t="s">
        <v>583</v>
      </c>
      <c r="B580" s="76" t="s">
        <v>586</v>
      </c>
      <c r="C580" s="77">
        <v>40544</v>
      </c>
      <c r="D580" s="78">
        <v>40954</v>
      </c>
      <c r="E580" s="79">
        <v>0.09</v>
      </c>
      <c r="F580" s="80"/>
      <c r="G580" s="81">
        <v>18700</v>
      </c>
      <c r="H580" s="80">
        <v>11500</v>
      </c>
      <c r="I580" s="79">
        <f>H580/G580</f>
        <v>0.61497326203208558</v>
      </c>
    </row>
    <row r="581" spans="1:9" x14ac:dyDescent="0.25">
      <c r="A581" s="76" t="s">
        <v>594</v>
      </c>
      <c r="B581" s="76" t="s">
        <v>598</v>
      </c>
      <c r="C581" s="77">
        <v>41179</v>
      </c>
      <c r="D581" s="78">
        <v>41543</v>
      </c>
      <c r="E581" s="79">
        <v>0.45</v>
      </c>
      <c r="F581" s="80">
        <v>31311.59</v>
      </c>
      <c r="G581" s="81"/>
      <c r="H581" s="80">
        <v>11483.34</v>
      </c>
      <c r="I581" s="79">
        <f>H581/F581</f>
        <v>0.36674407144447152</v>
      </c>
    </row>
    <row r="582" spans="1:9" x14ac:dyDescent="0.25">
      <c r="A582" s="76" t="s">
        <v>531</v>
      </c>
      <c r="B582" s="76" t="s">
        <v>90</v>
      </c>
      <c r="C582" s="77">
        <v>41084</v>
      </c>
      <c r="D582" s="78">
        <v>41090</v>
      </c>
      <c r="E582" s="79">
        <v>0.36</v>
      </c>
      <c r="F582" s="80">
        <v>17505</v>
      </c>
      <c r="G582" s="81"/>
      <c r="H582" s="80">
        <v>11441</v>
      </c>
      <c r="I582" s="79">
        <f>H582/F582</f>
        <v>0.65358469008854614</v>
      </c>
    </row>
    <row r="583" spans="1:9" x14ac:dyDescent="0.25">
      <c r="A583" s="76" t="s">
        <v>516</v>
      </c>
      <c r="B583" s="76" t="s">
        <v>525</v>
      </c>
      <c r="C583" s="77">
        <v>40862</v>
      </c>
      <c r="D583" s="78">
        <v>41228</v>
      </c>
      <c r="E583" s="79">
        <v>0.2</v>
      </c>
      <c r="F583" s="80">
        <v>52933</v>
      </c>
      <c r="G583" s="88"/>
      <c r="H583" s="80">
        <v>11437.29</v>
      </c>
      <c r="I583" s="79">
        <f>H583/F583</f>
        <v>0.21607107097651751</v>
      </c>
    </row>
    <row r="584" spans="1:9" x14ac:dyDescent="0.25">
      <c r="A584" s="76" t="s">
        <v>623</v>
      </c>
      <c r="B584" s="76" t="s">
        <v>624</v>
      </c>
      <c r="C584" s="77">
        <v>40570</v>
      </c>
      <c r="D584" s="78">
        <v>40934</v>
      </c>
      <c r="E584" s="79">
        <v>0.25</v>
      </c>
      <c r="F584" s="80">
        <v>45400</v>
      </c>
      <c r="G584" s="88"/>
      <c r="H584" s="80">
        <v>11365</v>
      </c>
      <c r="I584" s="79">
        <f>H584/F584</f>
        <v>0.25033039647577093</v>
      </c>
    </row>
    <row r="585" spans="1:9" x14ac:dyDescent="0.25">
      <c r="A585" s="76" t="s">
        <v>317</v>
      </c>
      <c r="B585" s="76" t="s">
        <v>351</v>
      </c>
      <c r="C585" s="77">
        <v>40940</v>
      </c>
      <c r="D585" s="78">
        <v>41305</v>
      </c>
      <c r="E585" s="79">
        <v>8.9999999999999998E-4</v>
      </c>
      <c r="F585" s="80"/>
      <c r="G585" s="81">
        <v>21413.45</v>
      </c>
      <c r="H585" s="80">
        <v>11285.97</v>
      </c>
      <c r="I585" s="79">
        <f>H585/G585</f>
        <v>0.52705052198501401</v>
      </c>
    </row>
    <row r="586" spans="1:9" x14ac:dyDescent="0.25">
      <c r="A586" s="76" t="s">
        <v>394</v>
      </c>
      <c r="B586" s="76" t="s">
        <v>399</v>
      </c>
      <c r="C586" s="77">
        <v>41030</v>
      </c>
      <c r="D586" s="78">
        <v>41214</v>
      </c>
      <c r="E586" s="79">
        <v>0.3</v>
      </c>
      <c r="F586" s="80">
        <v>37160</v>
      </c>
      <c r="G586" s="81"/>
      <c r="H586" s="80">
        <v>11148</v>
      </c>
      <c r="I586" s="79">
        <f>H586/F586</f>
        <v>0.3</v>
      </c>
    </row>
    <row r="587" spans="1:9" x14ac:dyDescent="0.25">
      <c r="A587" s="76" t="s">
        <v>663</v>
      </c>
      <c r="B587" s="76" t="s">
        <v>664</v>
      </c>
      <c r="C587" s="77">
        <v>40921</v>
      </c>
      <c r="D587" s="78">
        <v>40955</v>
      </c>
      <c r="E587" s="79">
        <v>0.35</v>
      </c>
      <c r="F587" s="80">
        <v>31620</v>
      </c>
      <c r="G587" s="88"/>
      <c r="H587" s="80">
        <v>11067</v>
      </c>
      <c r="I587" s="79">
        <f>H587/F587</f>
        <v>0.35</v>
      </c>
    </row>
    <row r="588" spans="1:9" x14ac:dyDescent="0.25">
      <c r="A588" s="76" t="s">
        <v>407</v>
      </c>
      <c r="B588" s="76" t="s">
        <v>409</v>
      </c>
      <c r="C588" s="77">
        <v>40850</v>
      </c>
      <c r="D588" s="78">
        <v>41029</v>
      </c>
      <c r="E588" s="79">
        <v>0.18</v>
      </c>
      <c r="F588" s="88"/>
      <c r="G588" s="81">
        <v>61069.32</v>
      </c>
      <c r="H588" s="80">
        <v>10996.11</v>
      </c>
      <c r="I588" s="79">
        <f>H588/G588</f>
        <v>0.18005947994836033</v>
      </c>
    </row>
    <row r="589" spans="1:9" x14ac:dyDescent="0.25">
      <c r="A589" s="70" t="s">
        <v>74</v>
      </c>
      <c r="B589" s="70" t="s">
        <v>75</v>
      </c>
      <c r="C589" s="71">
        <v>40924</v>
      </c>
      <c r="D589" s="72">
        <v>41289</v>
      </c>
      <c r="E589" s="73">
        <v>0.2</v>
      </c>
      <c r="F589" s="74">
        <v>54969</v>
      </c>
      <c r="G589" s="75"/>
      <c r="H589" s="74">
        <v>10993.8</v>
      </c>
      <c r="I589" s="73">
        <v>0.19999999999999998</v>
      </c>
    </row>
    <row r="590" spans="1:9" x14ac:dyDescent="0.25">
      <c r="A590" s="76" t="s">
        <v>674</v>
      </c>
      <c r="B590" s="76" t="s">
        <v>23</v>
      </c>
      <c r="C590" s="77">
        <v>40920</v>
      </c>
      <c r="D590" s="78">
        <v>41274</v>
      </c>
      <c r="E590" s="79">
        <v>0.22500000000000001</v>
      </c>
      <c r="F590" s="80"/>
      <c r="G590" s="81">
        <v>16232</v>
      </c>
      <c r="H590" s="80">
        <v>10967.07</v>
      </c>
      <c r="I590" s="79">
        <f>H590/G590</f>
        <v>0.67564502217841305</v>
      </c>
    </row>
    <row r="591" spans="1:9" x14ac:dyDescent="0.25">
      <c r="A591" s="76" t="s">
        <v>220</v>
      </c>
      <c r="B591" s="76" t="s">
        <v>233</v>
      </c>
      <c r="C591" s="77">
        <v>41078</v>
      </c>
      <c r="D591" s="78">
        <v>41215</v>
      </c>
      <c r="E591" s="79">
        <v>0.25</v>
      </c>
      <c r="F591" s="80">
        <v>43845</v>
      </c>
      <c r="G591" s="81"/>
      <c r="H591" s="80">
        <v>10961.25</v>
      </c>
      <c r="I591" s="79">
        <f>H591/F591</f>
        <v>0.25</v>
      </c>
    </row>
    <row r="592" spans="1:9" x14ac:dyDescent="0.25">
      <c r="A592" s="76" t="s">
        <v>674</v>
      </c>
      <c r="B592" s="76" t="s">
        <v>675</v>
      </c>
      <c r="C592" s="77">
        <v>40911</v>
      </c>
      <c r="D592" s="78">
        <v>41274</v>
      </c>
      <c r="E592" s="79">
        <v>0.47160000000000002</v>
      </c>
      <c r="F592" s="80"/>
      <c r="G592" s="81">
        <v>23603.37</v>
      </c>
      <c r="H592" s="80">
        <v>10927.11</v>
      </c>
      <c r="I592" s="79">
        <f>H592/G592</f>
        <v>0.46294702832688728</v>
      </c>
    </row>
    <row r="593" spans="1:9" x14ac:dyDescent="0.25">
      <c r="A593" s="76" t="s">
        <v>429</v>
      </c>
      <c r="B593" s="76" t="s">
        <v>433</v>
      </c>
      <c r="C593" s="77">
        <v>40910</v>
      </c>
      <c r="D593" s="78">
        <v>41151</v>
      </c>
      <c r="E593" s="79">
        <v>0.2</v>
      </c>
      <c r="F593" s="88"/>
      <c r="G593" s="81">
        <v>54585</v>
      </c>
      <c r="H593" s="80">
        <v>10917</v>
      </c>
      <c r="I593" s="79">
        <f>H593/G593</f>
        <v>0.2</v>
      </c>
    </row>
    <row r="594" spans="1:9" x14ac:dyDescent="0.25">
      <c r="A594" s="76" t="s">
        <v>429</v>
      </c>
      <c r="B594" s="76" t="s">
        <v>430</v>
      </c>
      <c r="C594" s="77">
        <v>40664</v>
      </c>
      <c r="D594" s="78">
        <v>40961</v>
      </c>
      <c r="E594" s="79">
        <v>0.2</v>
      </c>
      <c r="F594" s="88"/>
      <c r="G594" s="81">
        <v>53999</v>
      </c>
      <c r="H594" s="80">
        <v>10799.8</v>
      </c>
      <c r="I594" s="79">
        <f>H594/G594</f>
        <v>0.19999999999999998</v>
      </c>
    </row>
    <row r="595" spans="1:9" x14ac:dyDescent="0.25">
      <c r="A595" s="76" t="s">
        <v>394</v>
      </c>
      <c r="B595" s="76" t="s">
        <v>398</v>
      </c>
      <c r="C595" s="77">
        <v>40969</v>
      </c>
      <c r="D595" s="78">
        <v>41275</v>
      </c>
      <c r="E595" s="79">
        <v>0.3</v>
      </c>
      <c r="F595" s="80">
        <v>35694</v>
      </c>
      <c r="G595" s="81"/>
      <c r="H595" s="80">
        <v>10708</v>
      </c>
      <c r="I595" s="79">
        <f>H595/F595</f>
        <v>0.29999439681739226</v>
      </c>
    </row>
    <row r="596" spans="1:9" x14ac:dyDescent="0.25">
      <c r="A596" s="76" t="s">
        <v>394</v>
      </c>
      <c r="B596" s="76" t="s">
        <v>401</v>
      </c>
      <c r="C596" s="77">
        <v>40842</v>
      </c>
      <c r="D596" s="78">
        <v>41208</v>
      </c>
      <c r="E596" s="79">
        <v>0.3</v>
      </c>
      <c r="F596" s="80">
        <v>35440</v>
      </c>
      <c r="G596" s="81"/>
      <c r="H596" s="80">
        <v>10653</v>
      </c>
      <c r="I596" s="79">
        <f>H596/F596</f>
        <v>0.30059255079006775</v>
      </c>
    </row>
    <row r="597" spans="1:9" x14ac:dyDescent="0.25">
      <c r="A597" s="76" t="s">
        <v>578</v>
      </c>
      <c r="B597" s="76" t="s">
        <v>1971</v>
      </c>
      <c r="C597" s="77">
        <v>40801</v>
      </c>
      <c r="D597" s="77">
        <v>41104</v>
      </c>
      <c r="E597" s="79">
        <v>0</v>
      </c>
      <c r="F597" s="80">
        <v>27843</v>
      </c>
      <c r="G597" s="88"/>
      <c r="H597" s="80">
        <v>10648.5</v>
      </c>
      <c r="I597" s="113">
        <f>H597/F597</f>
        <v>0.3824480120676651</v>
      </c>
    </row>
    <row r="598" spans="1:9" x14ac:dyDescent="0.25">
      <c r="A598" s="76" t="s">
        <v>502</v>
      </c>
      <c r="B598" s="76" t="s">
        <v>90</v>
      </c>
      <c r="C598" s="77">
        <v>41154</v>
      </c>
      <c r="D598" s="78">
        <v>41518</v>
      </c>
      <c r="E598" s="79">
        <v>0.92500000000000004</v>
      </c>
      <c r="F598" s="80"/>
      <c r="G598" s="81">
        <v>11486.03</v>
      </c>
      <c r="H598" s="80">
        <v>10624.58</v>
      </c>
      <c r="I598" s="79">
        <f>H598/G598</f>
        <v>0.92500019589013782</v>
      </c>
    </row>
    <row r="599" spans="1:9" x14ac:dyDescent="0.25">
      <c r="A599" s="70" t="s">
        <v>20</v>
      </c>
      <c r="B599" s="70" t="s">
        <v>23</v>
      </c>
      <c r="C599" s="71">
        <v>40634</v>
      </c>
      <c r="D599" s="72">
        <v>41090</v>
      </c>
      <c r="E599" s="73">
        <v>0</v>
      </c>
      <c r="F599" s="74"/>
      <c r="G599" s="75">
        <v>132</v>
      </c>
      <c r="H599" s="74">
        <v>10624.54</v>
      </c>
      <c r="I599" s="128">
        <v>0.20482667731875767</v>
      </c>
    </row>
    <row r="600" spans="1:9" x14ac:dyDescent="0.25">
      <c r="A600" s="76" t="s">
        <v>449</v>
      </c>
      <c r="B600" s="76" t="s">
        <v>471</v>
      </c>
      <c r="C600" s="77">
        <v>41061</v>
      </c>
      <c r="D600" s="78">
        <v>41425</v>
      </c>
      <c r="E600" s="79">
        <v>0</v>
      </c>
      <c r="F600" s="80">
        <v>20839</v>
      </c>
      <c r="G600" s="88"/>
      <c r="H600" s="80">
        <v>10579</v>
      </c>
      <c r="I600" s="79">
        <f>H600/F600</f>
        <v>0.50765391813426752</v>
      </c>
    </row>
    <row r="601" spans="1:9" x14ac:dyDescent="0.25">
      <c r="A601" s="76" t="s">
        <v>394</v>
      </c>
      <c r="B601" s="76" t="s">
        <v>396</v>
      </c>
      <c r="C601" s="77">
        <v>40725</v>
      </c>
      <c r="D601" s="78">
        <v>41075</v>
      </c>
      <c r="E601" s="79">
        <v>0.3</v>
      </c>
      <c r="F601" s="80"/>
      <c r="G601" s="81">
        <v>35217</v>
      </c>
      <c r="H601" s="80">
        <v>10565</v>
      </c>
      <c r="I601" s="113">
        <f>H601/G601</f>
        <v>0.29999716046227676</v>
      </c>
    </row>
    <row r="602" spans="1:9" x14ac:dyDescent="0.25">
      <c r="A602" s="76" t="s">
        <v>623</v>
      </c>
      <c r="B602" s="76" t="s">
        <v>626</v>
      </c>
      <c r="C602" s="77">
        <v>40661</v>
      </c>
      <c r="D602" s="78">
        <v>41026</v>
      </c>
      <c r="E602" s="79">
        <v>0.25</v>
      </c>
      <c r="F602" s="80">
        <v>41460</v>
      </c>
      <c r="G602" s="88"/>
      <c r="H602" s="80">
        <v>10365</v>
      </c>
      <c r="I602" s="79">
        <f>H602/F602</f>
        <v>0.25</v>
      </c>
    </row>
    <row r="603" spans="1:9" x14ac:dyDescent="0.25">
      <c r="A603" s="76" t="s">
        <v>790</v>
      </c>
      <c r="B603" s="76" t="s">
        <v>1721</v>
      </c>
      <c r="C603" s="77">
        <v>40849</v>
      </c>
      <c r="D603" s="78">
        <v>41214</v>
      </c>
      <c r="E603" s="79">
        <v>0.18</v>
      </c>
      <c r="F603" s="80">
        <v>57025.04</v>
      </c>
      <c r="G603" s="81"/>
      <c r="H603" s="80">
        <v>10264.51</v>
      </c>
      <c r="I603" s="128">
        <f>H603/F603</f>
        <v>0.18000004910123693</v>
      </c>
    </row>
    <row r="604" spans="1:9" x14ac:dyDescent="0.25">
      <c r="A604" s="76" t="s">
        <v>317</v>
      </c>
      <c r="B604" s="76" t="s">
        <v>326</v>
      </c>
      <c r="C604" s="77">
        <v>41091</v>
      </c>
      <c r="D604" s="78">
        <v>41440</v>
      </c>
      <c r="E604" s="79">
        <v>8.9999999999999998E-4</v>
      </c>
      <c r="F604" s="80">
        <v>971726</v>
      </c>
      <c r="G604" s="81"/>
      <c r="H604" s="80">
        <v>10254.459999999999</v>
      </c>
      <c r="I604" s="79">
        <f>H604/F604</f>
        <v>1.0552830736236345E-2</v>
      </c>
    </row>
    <row r="605" spans="1:9" x14ac:dyDescent="0.25">
      <c r="A605" s="76" t="s">
        <v>531</v>
      </c>
      <c r="B605" s="76" t="s">
        <v>535</v>
      </c>
      <c r="C605" s="77">
        <v>40749</v>
      </c>
      <c r="D605" s="78">
        <v>41060</v>
      </c>
      <c r="E605" s="79">
        <v>8.9999999999999993E-3</v>
      </c>
      <c r="F605" s="80">
        <v>42703</v>
      </c>
      <c r="G605" s="81"/>
      <c r="H605" s="80">
        <v>10111</v>
      </c>
      <c r="I605" s="79">
        <f>H605/F605</f>
        <v>0.23677493384539727</v>
      </c>
    </row>
    <row r="606" spans="1:9" x14ac:dyDescent="0.25">
      <c r="A606" s="76" t="s">
        <v>384</v>
      </c>
      <c r="B606" s="76" t="s">
        <v>386</v>
      </c>
      <c r="C606" s="77">
        <v>41030</v>
      </c>
      <c r="D606" s="78">
        <v>41187</v>
      </c>
      <c r="E606" s="79">
        <v>4.4999999999999998E-2</v>
      </c>
      <c r="F606" s="80"/>
      <c r="G606" s="81">
        <v>14920</v>
      </c>
      <c r="H606" s="80">
        <v>10066</v>
      </c>
      <c r="I606" s="79">
        <f>H606/G606</f>
        <v>0.67466487935656838</v>
      </c>
    </row>
    <row r="607" spans="1:9" ht="28.5" x14ac:dyDescent="0.25">
      <c r="A607" s="70" t="s">
        <v>95</v>
      </c>
      <c r="B607" s="70" t="s">
        <v>96</v>
      </c>
      <c r="C607" s="71">
        <v>40825</v>
      </c>
      <c r="D607" s="72">
        <v>41190</v>
      </c>
      <c r="E607" s="73">
        <v>0.09</v>
      </c>
      <c r="F607" s="74">
        <v>100231</v>
      </c>
      <c r="G607" s="75"/>
      <c r="H607" s="74">
        <v>10023.1</v>
      </c>
      <c r="I607" s="128">
        <v>0.1</v>
      </c>
    </row>
    <row r="608" spans="1:9" x14ac:dyDescent="0.25">
      <c r="A608" s="76" t="s">
        <v>263</v>
      </c>
      <c r="B608" s="76" t="s">
        <v>29</v>
      </c>
      <c r="C608" s="77">
        <v>40766</v>
      </c>
      <c r="D608" s="78">
        <v>41121</v>
      </c>
      <c r="E608" s="79">
        <v>8.9999999999999993E-3</v>
      </c>
      <c r="F608" s="80"/>
      <c r="G608" s="81">
        <v>16691.5</v>
      </c>
      <c r="H608" s="80">
        <v>10014.9</v>
      </c>
      <c r="I608" s="79">
        <f>H608/G608</f>
        <v>0.6</v>
      </c>
    </row>
    <row r="609" spans="1:9" x14ac:dyDescent="0.25">
      <c r="A609" s="76" t="s">
        <v>563</v>
      </c>
      <c r="B609" s="76" t="s">
        <v>565</v>
      </c>
      <c r="C609" s="77">
        <v>40969</v>
      </c>
      <c r="D609" s="78">
        <v>41060</v>
      </c>
      <c r="E609" s="79">
        <v>0.17100000000000001</v>
      </c>
      <c r="F609" s="80">
        <v>39350</v>
      </c>
      <c r="G609" s="88"/>
      <c r="H609" s="80">
        <v>10000</v>
      </c>
      <c r="I609" s="113">
        <f>H609/F609</f>
        <v>0.25412960609911056</v>
      </c>
    </row>
    <row r="610" spans="1:9" x14ac:dyDescent="0.25">
      <c r="A610" s="76" t="s">
        <v>516</v>
      </c>
      <c r="B610" s="76" t="s">
        <v>528</v>
      </c>
      <c r="C610" s="77">
        <v>40910</v>
      </c>
      <c r="D610" s="78">
        <v>41258</v>
      </c>
      <c r="E610" s="79">
        <v>0.1</v>
      </c>
      <c r="F610" s="80">
        <v>24482</v>
      </c>
      <c r="G610" s="88"/>
      <c r="H610" s="80">
        <v>10000</v>
      </c>
      <c r="I610" s="79">
        <f>H610/F610</f>
        <v>0.40846336083653295</v>
      </c>
    </row>
    <row r="611" spans="1:9" x14ac:dyDescent="0.25">
      <c r="A611" s="76" t="s">
        <v>516</v>
      </c>
      <c r="B611" s="76" t="s">
        <v>522</v>
      </c>
      <c r="C611" s="77">
        <v>40695</v>
      </c>
      <c r="D611" s="78">
        <v>40999</v>
      </c>
      <c r="E611" s="79">
        <v>0.2</v>
      </c>
      <c r="F611" s="80">
        <v>26404</v>
      </c>
      <c r="G611" s="88"/>
      <c r="H611" s="80">
        <v>10000</v>
      </c>
      <c r="I611" s="113">
        <f>H611/F611</f>
        <v>0.37873049537948794</v>
      </c>
    </row>
    <row r="612" spans="1:9" x14ac:dyDescent="0.25">
      <c r="A612" s="76" t="s">
        <v>790</v>
      </c>
      <c r="B612" s="76" t="s">
        <v>1587</v>
      </c>
      <c r="C612" s="77">
        <v>40695</v>
      </c>
      <c r="D612" s="78">
        <v>41060</v>
      </c>
      <c r="E612" s="79">
        <v>0.15</v>
      </c>
      <c r="F612" s="80">
        <v>66082.62</v>
      </c>
      <c r="G612" s="81"/>
      <c r="H612" s="80">
        <v>9912.39</v>
      </c>
      <c r="I612" s="73">
        <f>H612/F612</f>
        <v>0.14999995460228424</v>
      </c>
    </row>
    <row r="613" spans="1:9" x14ac:dyDescent="0.25">
      <c r="A613" s="70" t="s">
        <v>146</v>
      </c>
      <c r="B613" s="70" t="s">
        <v>94</v>
      </c>
      <c r="C613" s="71">
        <v>40641</v>
      </c>
      <c r="D613" s="72">
        <v>40982</v>
      </c>
      <c r="E613" s="101">
        <v>4.4999999999999999E-4</v>
      </c>
      <c r="F613" s="74">
        <v>70560</v>
      </c>
      <c r="G613" s="75">
        <v>46628</v>
      </c>
      <c r="H613" s="74">
        <v>9912.1299999999992</v>
      </c>
      <c r="I613" s="73">
        <v>0.14047803287981858</v>
      </c>
    </row>
    <row r="614" spans="1:9" x14ac:dyDescent="0.25">
      <c r="A614" s="76" t="s">
        <v>643</v>
      </c>
      <c r="B614" s="76" t="s">
        <v>645</v>
      </c>
      <c r="C614" s="77">
        <v>40956</v>
      </c>
      <c r="D614" s="78">
        <v>41274</v>
      </c>
      <c r="E614" s="79">
        <v>4.4999999999999997E-3</v>
      </c>
      <c r="F614" s="80"/>
      <c r="G614" s="81">
        <v>57344.04</v>
      </c>
      <c r="H614" s="80">
        <v>9905.5</v>
      </c>
      <c r="I614" s="79">
        <f>H614/G614</f>
        <v>0.17273809100300572</v>
      </c>
    </row>
    <row r="615" spans="1:9" x14ac:dyDescent="0.25">
      <c r="A615" s="76" t="s">
        <v>367</v>
      </c>
      <c r="B615" s="76" t="s">
        <v>54</v>
      </c>
      <c r="C615" s="77">
        <v>40967</v>
      </c>
      <c r="D615" s="78">
        <v>41117</v>
      </c>
      <c r="E615" s="79">
        <v>0.15</v>
      </c>
      <c r="F615" s="80">
        <v>65431.5</v>
      </c>
      <c r="G615" s="81"/>
      <c r="H615" s="80">
        <v>9814.73</v>
      </c>
      <c r="I615" s="79">
        <f>H615/F615</f>
        <v>0.1500000764157936</v>
      </c>
    </row>
    <row r="616" spans="1:9" x14ac:dyDescent="0.25">
      <c r="A616" s="76" t="s">
        <v>665</v>
      </c>
      <c r="B616" s="76" t="s">
        <v>673</v>
      </c>
      <c r="C616" s="77">
        <v>41061</v>
      </c>
      <c r="D616" s="78">
        <v>41425</v>
      </c>
      <c r="E616" s="79">
        <v>0.189</v>
      </c>
      <c r="F616" s="80">
        <v>46456</v>
      </c>
      <c r="G616" s="81"/>
      <c r="H616" s="80">
        <v>9756</v>
      </c>
      <c r="I616" s="79">
        <f>H616/F616</f>
        <v>0.21000516617874979</v>
      </c>
    </row>
    <row r="617" spans="1:9" x14ac:dyDescent="0.25">
      <c r="A617" s="76" t="s">
        <v>578</v>
      </c>
      <c r="B617" s="76" t="s">
        <v>581</v>
      </c>
      <c r="C617" s="77">
        <v>40651</v>
      </c>
      <c r="D617" s="78">
        <v>40909</v>
      </c>
      <c r="E617" s="79">
        <v>0</v>
      </c>
      <c r="F617" s="80">
        <v>18807</v>
      </c>
      <c r="G617" s="81"/>
      <c r="H617" s="80">
        <v>9653.76</v>
      </c>
      <c r="I617" s="79">
        <f>H617/F617</f>
        <v>0.5133067474876376</v>
      </c>
    </row>
    <row r="618" spans="1:9" x14ac:dyDescent="0.25">
      <c r="A618" s="76" t="s">
        <v>405</v>
      </c>
      <c r="B618" s="76" t="s">
        <v>406</v>
      </c>
      <c r="C618" s="77">
        <v>40756</v>
      </c>
      <c r="D618" s="78">
        <v>41122</v>
      </c>
      <c r="E618" s="79">
        <v>0.3</v>
      </c>
      <c r="F618" s="80"/>
      <c r="G618" s="81">
        <v>31545</v>
      </c>
      <c r="H618" s="80">
        <v>9463.5</v>
      </c>
      <c r="I618" s="79">
        <f>H618/G618</f>
        <v>0.3</v>
      </c>
    </row>
    <row r="619" spans="1:9" x14ac:dyDescent="0.25">
      <c r="A619" s="76" t="s">
        <v>394</v>
      </c>
      <c r="B619" s="76" t="s">
        <v>396</v>
      </c>
      <c r="C619" s="77">
        <v>41122</v>
      </c>
      <c r="D619" s="78">
        <v>41455</v>
      </c>
      <c r="E619" s="79">
        <v>0.3</v>
      </c>
      <c r="F619" s="80">
        <v>31301</v>
      </c>
      <c r="G619" s="81"/>
      <c r="H619" s="80">
        <v>9390</v>
      </c>
      <c r="I619" s="79">
        <f>H619/F619</f>
        <v>0.29999041564167278</v>
      </c>
    </row>
    <row r="620" spans="1:9" ht="28.5" x14ac:dyDescent="0.25">
      <c r="A620" s="76" t="s">
        <v>674</v>
      </c>
      <c r="B620" s="76" t="s">
        <v>677</v>
      </c>
      <c r="C620" s="77">
        <v>40938</v>
      </c>
      <c r="D620" s="78">
        <v>41274</v>
      </c>
      <c r="E620" s="79">
        <v>0.432</v>
      </c>
      <c r="F620" s="80">
        <v>59392</v>
      </c>
      <c r="G620" s="81"/>
      <c r="H620" s="80">
        <v>9385.89</v>
      </c>
      <c r="I620" s="79">
        <f>H620/F620</f>
        <v>0.15803290005387929</v>
      </c>
    </row>
    <row r="621" spans="1:9" x14ac:dyDescent="0.25">
      <c r="A621" s="76" t="s">
        <v>249</v>
      </c>
      <c r="B621" s="76" t="s">
        <v>257</v>
      </c>
      <c r="C621" s="77">
        <v>40817</v>
      </c>
      <c r="D621" s="78">
        <v>40968</v>
      </c>
      <c r="E621" s="79">
        <v>0</v>
      </c>
      <c r="F621" s="80">
        <v>159928.5</v>
      </c>
      <c r="G621" s="81"/>
      <c r="H621" s="80">
        <v>9308.81</v>
      </c>
      <c r="I621" s="79">
        <f>H621/F621</f>
        <v>5.8206073339023376E-2</v>
      </c>
    </row>
    <row r="622" spans="1:9" x14ac:dyDescent="0.25">
      <c r="A622" s="76" t="s">
        <v>239</v>
      </c>
      <c r="B622" s="76" t="s">
        <v>242</v>
      </c>
      <c r="C622" s="77">
        <v>41136</v>
      </c>
      <c r="D622" s="78">
        <v>41274</v>
      </c>
      <c r="E622" s="79">
        <v>8.9999999999999993E-3</v>
      </c>
      <c r="F622" s="80"/>
      <c r="G622" s="81">
        <v>18710</v>
      </c>
      <c r="H622" s="80">
        <v>9282</v>
      </c>
      <c r="I622" s="79">
        <f>H622/G622</f>
        <v>0.49609834313201495</v>
      </c>
    </row>
    <row r="623" spans="1:9" x14ac:dyDescent="0.25">
      <c r="A623" s="70" t="s">
        <v>60</v>
      </c>
      <c r="B623" s="70" t="s">
        <v>61</v>
      </c>
      <c r="C623" s="71">
        <v>40725</v>
      </c>
      <c r="D623" s="72">
        <v>41090</v>
      </c>
      <c r="E623" s="73">
        <v>0.09</v>
      </c>
      <c r="F623" s="74"/>
      <c r="G623" s="75">
        <v>68728.34</v>
      </c>
      <c r="H623" s="74">
        <v>9233.2800000000007</v>
      </c>
      <c r="I623" s="73">
        <v>0.13434458041617187</v>
      </c>
    </row>
    <row r="624" spans="1:9" x14ac:dyDescent="0.25">
      <c r="A624" s="76" t="s">
        <v>171</v>
      </c>
      <c r="B624" s="76" t="s">
        <v>207</v>
      </c>
      <c r="C624" s="77">
        <v>40891</v>
      </c>
      <c r="D624" s="78">
        <v>41213</v>
      </c>
      <c r="E624" s="79">
        <v>1.7999999999999999E-2</v>
      </c>
      <c r="F624" s="80">
        <v>33073</v>
      </c>
      <c r="G624" s="81"/>
      <c r="H624" s="80">
        <v>9212</v>
      </c>
      <c r="I624" s="79">
        <f>H624/F624</f>
        <v>0.27853536117074351</v>
      </c>
    </row>
    <row r="625" spans="1:9" x14ac:dyDescent="0.25">
      <c r="A625" s="70" t="s">
        <v>87</v>
      </c>
      <c r="B625" s="70" t="s">
        <v>89</v>
      </c>
      <c r="C625" s="71">
        <v>40787</v>
      </c>
      <c r="D625" s="72">
        <v>41152</v>
      </c>
      <c r="E625" s="73">
        <v>0.92500000000000004</v>
      </c>
      <c r="F625" s="74">
        <v>9855.6299999999992</v>
      </c>
      <c r="G625" s="75"/>
      <c r="H625" s="74">
        <v>9116.4599999999991</v>
      </c>
      <c r="I625" s="73">
        <v>0.925000228295908</v>
      </c>
    </row>
    <row r="626" spans="1:9" x14ac:dyDescent="0.25">
      <c r="A626" s="76" t="s">
        <v>549</v>
      </c>
      <c r="B626" s="76" t="s">
        <v>550</v>
      </c>
      <c r="C626" s="77">
        <v>40966</v>
      </c>
      <c r="D626" s="78">
        <v>41331</v>
      </c>
      <c r="E626" s="79">
        <v>0.36</v>
      </c>
      <c r="F626" s="80">
        <v>28515.41</v>
      </c>
      <c r="G626" s="88"/>
      <c r="H626" s="80">
        <v>9098.5499999999993</v>
      </c>
      <c r="I626" s="79">
        <f>H626/F626</f>
        <v>0.31907484409307107</v>
      </c>
    </row>
    <row r="627" spans="1:9" x14ac:dyDescent="0.25">
      <c r="A627" s="76" t="s">
        <v>613</v>
      </c>
      <c r="B627" s="76" t="s">
        <v>619</v>
      </c>
      <c r="C627" s="77">
        <v>40949</v>
      </c>
      <c r="D627" s="78">
        <v>41274</v>
      </c>
      <c r="E627" s="79">
        <v>8.9999999999999993E-3</v>
      </c>
      <c r="F627" s="80">
        <v>54657</v>
      </c>
      <c r="G627" s="81"/>
      <c r="H627" s="80">
        <v>9082</v>
      </c>
      <c r="I627" s="79">
        <f>H627/F627</f>
        <v>0.16616352891669869</v>
      </c>
    </row>
    <row r="628" spans="1:9" x14ac:dyDescent="0.25">
      <c r="A628" s="76" t="s">
        <v>220</v>
      </c>
      <c r="B628" s="76" t="s">
        <v>230</v>
      </c>
      <c r="C628" s="77">
        <v>40966</v>
      </c>
      <c r="D628" s="78">
        <v>41128</v>
      </c>
      <c r="E628" s="79">
        <v>0.23</v>
      </c>
      <c r="F628" s="80">
        <v>39438</v>
      </c>
      <c r="G628" s="81"/>
      <c r="H628" s="80">
        <v>9070.74</v>
      </c>
      <c r="I628" s="79">
        <f>H628/F628</f>
        <v>0.22999999999999998</v>
      </c>
    </row>
    <row r="629" spans="1:9" x14ac:dyDescent="0.25">
      <c r="A629" s="76" t="s">
        <v>594</v>
      </c>
      <c r="B629" s="76" t="s">
        <v>605</v>
      </c>
      <c r="C629" s="77">
        <v>40987</v>
      </c>
      <c r="D629" s="78">
        <v>41274</v>
      </c>
      <c r="E629" s="79">
        <v>0.8</v>
      </c>
      <c r="F629" s="80"/>
      <c r="G629" s="81">
        <v>11778</v>
      </c>
      <c r="H629" s="80">
        <v>9063.84</v>
      </c>
      <c r="I629" s="79">
        <f>H629/G629</f>
        <v>0.76955680081507893</v>
      </c>
    </row>
    <row r="630" spans="1:9" x14ac:dyDescent="0.25">
      <c r="A630" s="76" t="s">
        <v>512</v>
      </c>
      <c r="B630" s="76" t="s">
        <v>425</v>
      </c>
      <c r="C630" s="77">
        <v>40996</v>
      </c>
      <c r="D630" s="78">
        <v>41360</v>
      </c>
      <c r="E630" s="79">
        <v>0.16</v>
      </c>
      <c r="F630" s="80"/>
      <c r="G630" s="81">
        <v>59947</v>
      </c>
      <c r="H630" s="80">
        <v>8992.0499999999993</v>
      </c>
      <c r="I630" s="79">
        <f>H630/G630</f>
        <v>0.15</v>
      </c>
    </row>
    <row r="631" spans="1:9" x14ac:dyDescent="0.25">
      <c r="A631" s="76" t="s">
        <v>674</v>
      </c>
      <c r="B631" s="76" t="s">
        <v>22</v>
      </c>
      <c r="C631" s="77">
        <v>40920</v>
      </c>
      <c r="D631" s="78">
        <v>41274</v>
      </c>
      <c r="E631" s="79">
        <v>0.22500000000000001</v>
      </c>
      <c r="F631" s="80"/>
      <c r="G631" s="81">
        <v>18086</v>
      </c>
      <c r="H631" s="80">
        <v>8977.48</v>
      </c>
      <c r="I631" s="79">
        <f>H631/G631</f>
        <v>0.49637730841534888</v>
      </c>
    </row>
    <row r="632" spans="1:9" x14ac:dyDescent="0.25">
      <c r="A632" s="76" t="s">
        <v>315</v>
      </c>
      <c r="B632" s="76" t="s">
        <v>332</v>
      </c>
      <c r="C632" s="77">
        <v>40801</v>
      </c>
      <c r="D632" s="78">
        <v>41152</v>
      </c>
      <c r="E632" s="79">
        <v>0</v>
      </c>
      <c r="F632" s="80"/>
      <c r="G632" s="81">
        <v>50707</v>
      </c>
      <c r="H632" s="80">
        <v>8975.92</v>
      </c>
      <c r="I632" s="79">
        <f>H632/G632</f>
        <v>0.17701540221271225</v>
      </c>
    </row>
    <row r="633" spans="1:9" x14ac:dyDescent="0.25">
      <c r="A633" s="76" t="s">
        <v>317</v>
      </c>
      <c r="B633" s="76" t="s">
        <v>328</v>
      </c>
      <c r="C633" s="77">
        <v>41095</v>
      </c>
      <c r="D633" s="78">
        <v>41459</v>
      </c>
      <c r="E633" s="79">
        <v>8.9999999999999998E-4</v>
      </c>
      <c r="F633" s="80"/>
      <c r="G633" s="81">
        <v>77505.22</v>
      </c>
      <c r="H633" s="80">
        <v>8972.41</v>
      </c>
      <c r="I633" s="79">
        <f>H633/G633</f>
        <v>0.115765234909339</v>
      </c>
    </row>
    <row r="634" spans="1:9" x14ac:dyDescent="0.25">
      <c r="A634" s="76" t="s">
        <v>394</v>
      </c>
      <c r="B634" s="76" t="s">
        <v>400</v>
      </c>
      <c r="C634" s="77">
        <v>40801</v>
      </c>
      <c r="D634" s="78">
        <v>41167</v>
      </c>
      <c r="E634" s="79">
        <v>0.25</v>
      </c>
      <c r="F634" s="80">
        <v>34494</v>
      </c>
      <c r="G634" s="81"/>
      <c r="H634" s="80">
        <v>8625</v>
      </c>
      <c r="I634" s="79">
        <f>H634/F634</f>
        <v>0.25004348582362151</v>
      </c>
    </row>
    <row r="635" spans="1:9" x14ac:dyDescent="0.25">
      <c r="A635" s="76" t="s">
        <v>590</v>
      </c>
      <c r="B635" s="76" t="s">
        <v>591</v>
      </c>
      <c r="C635" s="77">
        <v>41030</v>
      </c>
      <c r="D635" s="78">
        <v>41394</v>
      </c>
      <c r="E635" s="79">
        <v>0.5</v>
      </c>
      <c r="F635" s="80">
        <v>17243.64</v>
      </c>
      <c r="G635" s="81"/>
      <c r="H635" s="80">
        <v>8621.82</v>
      </c>
      <c r="I635" s="79">
        <f>H635/F635</f>
        <v>0.5</v>
      </c>
    </row>
    <row r="636" spans="1:9" x14ac:dyDescent="0.25">
      <c r="A636" s="76" t="s">
        <v>590</v>
      </c>
      <c r="B636" s="76" t="s">
        <v>591</v>
      </c>
      <c r="C636" s="77">
        <v>41030</v>
      </c>
      <c r="D636" s="78">
        <v>41394</v>
      </c>
      <c r="E636" s="79">
        <v>0.5</v>
      </c>
      <c r="F636" s="80"/>
      <c r="G636" s="81">
        <v>17243.64</v>
      </c>
      <c r="H636" s="80">
        <v>8621.82</v>
      </c>
      <c r="I636" s="79">
        <f>H636/G636</f>
        <v>0.5</v>
      </c>
    </row>
    <row r="637" spans="1:9" x14ac:dyDescent="0.25">
      <c r="A637" s="76" t="s">
        <v>590</v>
      </c>
      <c r="B637" s="76" t="s">
        <v>591</v>
      </c>
      <c r="C637" s="77">
        <v>41030</v>
      </c>
      <c r="D637" s="78">
        <v>41394</v>
      </c>
      <c r="E637" s="79">
        <v>0.5</v>
      </c>
      <c r="F637" s="80">
        <v>17243.64</v>
      </c>
      <c r="G637" s="81"/>
      <c r="H637" s="80">
        <v>8621.82</v>
      </c>
      <c r="I637" s="79">
        <f>H637/F637</f>
        <v>0.5</v>
      </c>
    </row>
    <row r="638" spans="1:9" x14ac:dyDescent="0.25">
      <c r="A638" s="76" t="s">
        <v>531</v>
      </c>
      <c r="B638" s="76" t="s">
        <v>187</v>
      </c>
      <c r="C638" s="77">
        <v>40813</v>
      </c>
      <c r="D638" s="78">
        <v>41152</v>
      </c>
      <c r="E638" s="79">
        <v>8.9999999999999993E-3</v>
      </c>
      <c r="F638" s="80">
        <v>78830</v>
      </c>
      <c r="G638" s="81"/>
      <c r="H638" s="80">
        <v>8601</v>
      </c>
      <c r="I638" s="79">
        <f>H638/F638</f>
        <v>0.10910820753520234</v>
      </c>
    </row>
    <row r="639" spans="1:9" x14ac:dyDescent="0.25">
      <c r="A639" s="76" t="s">
        <v>262</v>
      </c>
      <c r="B639" s="76" t="s">
        <v>88</v>
      </c>
      <c r="C639" s="77">
        <v>40766</v>
      </c>
      <c r="D639" s="78">
        <v>41090</v>
      </c>
      <c r="E639" s="79">
        <v>8.9999999999999993E-3</v>
      </c>
      <c r="F639" s="80"/>
      <c r="G639" s="81">
        <v>13379</v>
      </c>
      <c r="H639" s="80">
        <v>8562.56</v>
      </c>
      <c r="I639" s="79">
        <f>H639/G639</f>
        <v>0.64</v>
      </c>
    </row>
    <row r="640" spans="1:9" x14ac:dyDescent="0.25">
      <c r="A640" s="76" t="s">
        <v>394</v>
      </c>
      <c r="B640" s="76" t="s">
        <v>400</v>
      </c>
      <c r="C640" s="77">
        <v>41178</v>
      </c>
      <c r="D640" s="78">
        <v>41541</v>
      </c>
      <c r="E640" s="79">
        <v>0.25</v>
      </c>
      <c r="F640" s="80">
        <v>33656</v>
      </c>
      <c r="G640" s="81"/>
      <c r="H640" s="80">
        <v>8414</v>
      </c>
      <c r="I640" s="79">
        <f>H640/F640</f>
        <v>0.25</v>
      </c>
    </row>
    <row r="641" spans="1:9" x14ac:dyDescent="0.25">
      <c r="A641" s="76" t="s">
        <v>216</v>
      </c>
      <c r="B641" s="76" t="s">
        <v>217</v>
      </c>
      <c r="C641" s="77">
        <v>40945</v>
      </c>
      <c r="D641" s="78">
        <v>41145</v>
      </c>
      <c r="E641" s="79">
        <v>0.2</v>
      </c>
      <c r="F641" s="80">
        <v>35530</v>
      </c>
      <c r="G641" s="88"/>
      <c r="H641" s="80">
        <v>8320.0499999999993</v>
      </c>
      <c r="I641" s="79">
        <f>H641/F641</f>
        <v>0.23416971573318321</v>
      </c>
    </row>
    <row r="642" spans="1:9" x14ac:dyDescent="0.25">
      <c r="A642" s="76" t="s">
        <v>249</v>
      </c>
      <c r="B642" s="76" t="s">
        <v>250</v>
      </c>
      <c r="C642" s="77">
        <v>41001</v>
      </c>
      <c r="D642" s="78">
        <v>41182</v>
      </c>
      <c r="E642" s="79">
        <v>8.9999999999999993E-3</v>
      </c>
      <c r="F642" s="80">
        <v>80930.880000000005</v>
      </c>
      <c r="G642" s="81"/>
      <c r="H642" s="80">
        <v>8230.8799999999992</v>
      </c>
      <c r="I642" s="79">
        <f>H642/F642</f>
        <v>0.10170258867814114</v>
      </c>
    </row>
    <row r="643" spans="1:9" x14ac:dyDescent="0.25">
      <c r="A643" s="76" t="s">
        <v>439</v>
      </c>
      <c r="B643" s="76" t="s">
        <v>448</v>
      </c>
      <c r="C643" s="77">
        <v>41218</v>
      </c>
      <c r="D643" s="78">
        <v>41577</v>
      </c>
      <c r="E643" s="79">
        <v>0.14000000000000001</v>
      </c>
      <c r="F643" s="88"/>
      <c r="G643" s="81">
        <v>41972</v>
      </c>
      <c r="H643" s="80">
        <v>8225.84</v>
      </c>
      <c r="I643" s="79">
        <f>H643/G643</f>
        <v>0.19598398932621749</v>
      </c>
    </row>
    <row r="644" spans="1:9" x14ac:dyDescent="0.25">
      <c r="A644" s="76" t="s">
        <v>394</v>
      </c>
      <c r="B644" s="76" t="s">
        <v>395</v>
      </c>
      <c r="C644" s="77">
        <v>41095</v>
      </c>
      <c r="D644" s="78">
        <v>41436</v>
      </c>
      <c r="E644" s="79">
        <v>0.3</v>
      </c>
      <c r="F644" s="80">
        <v>27207</v>
      </c>
      <c r="G644" s="81"/>
      <c r="H644" s="80">
        <v>8162</v>
      </c>
      <c r="I644" s="79">
        <f>H644/F644</f>
        <v>0.29999632447531888</v>
      </c>
    </row>
    <row r="645" spans="1:9" ht="28.5" x14ac:dyDescent="0.25">
      <c r="A645" s="76" t="s">
        <v>392</v>
      </c>
      <c r="B645" s="76" t="s">
        <v>31</v>
      </c>
      <c r="C645" s="77">
        <v>40892</v>
      </c>
      <c r="D645" s="78">
        <v>41257</v>
      </c>
      <c r="E645" s="79">
        <v>8.9999999999999993E-3</v>
      </c>
      <c r="F645" s="80">
        <v>41319</v>
      </c>
      <c r="G645" s="81"/>
      <c r="H645" s="80">
        <v>8156.75</v>
      </c>
      <c r="I645" s="79">
        <f>H645/F645</f>
        <v>0.19740918221641376</v>
      </c>
    </row>
    <row r="646" spans="1:9" x14ac:dyDescent="0.25">
      <c r="A646" s="76" t="s">
        <v>394</v>
      </c>
      <c r="B646" s="76" t="s">
        <v>395</v>
      </c>
      <c r="C646" s="77">
        <v>40725</v>
      </c>
      <c r="D646" s="78">
        <v>41075</v>
      </c>
      <c r="E646" s="79">
        <v>0.3</v>
      </c>
      <c r="F646" s="80"/>
      <c r="G646" s="81">
        <v>26882</v>
      </c>
      <c r="H646" s="80">
        <v>8065</v>
      </c>
      <c r="I646" s="79">
        <f>H646/G646</f>
        <v>0.3000148798452496</v>
      </c>
    </row>
    <row r="647" spans="1:9" x14ac:dyDescent="0.25">
      <c r="A647" s="70" t="s">
        <v>171</v>
      </c>
      <c r="B647" s="70" t="s">
        <v>195</v>
      </c>
      <c r="C647" s="71">
        <v>40599</v>
      </c>
      <c r="D647" s="72">
        <v>40927</v>
      </c>
      <c r="E647" s="73">
        <v>1.7999999999999999E-2</v>
      </c>
      <c r="F647" s="74">
        <v>44815</v>
      </c>
      <c r="G647" s="88"/>
      <c r="H647" s="74">
        <v>8018.73</v>
      </c>
      <c r="I647" s="73">
        <v>0.17892959946446502</v>
      </c>
    </row>
    <row r="648" spans="1:9" x14ac:dyDescent="0.25">
      <c r="A648" s="76" t="s">
        <v>665</v>
      </c>
      <c r="B648" s="76" t="s">
        <v>667</v>
      </c>
      <c r="C648" s="77">
        <v>40934</v>
      </c>
      <c r="D648" s="78">
        <v>41274</v>
      </c>
      <c r="E648" s="79">
        <v>0.18</v>
      </c>
      <c r="F648" s="80">
        <v>40047</v>
      </c>
      <c r="G648" s="81"/>
      <c r="H648" s="80">
        <v>8009</v>
      </c>
      <c r="I648" s="79">
        <f>H648/F648</f>
        <v>0.19999001173620995</v>
      </c>
    </row>
    <row r="649" spans="1:9" x14ac:dyDescent="0.25">
      <c r="A649" s="76" t="s">
        <v>220</v>
      </c>
      <c r="B649" s="76" t="s">
        <v>223</v>
      </c>
      <c r="C649" s="77">
        <v>40833</v>
      </c>
      <c r="D649" s="78">
        <v>40949</v>
      </c>
      <c r="E649" s="79">
        <v>0.24</v>
      </c>
      <c r="F649" s="80">
        <v>32888</v>
      </c>
      <c r="G649" s="81"/>
      <c r="H649" s="80">
        <v>7893.12</v>
      </c>
      <c r="I649" s="79">
        <f>H649/F649</f>
        <v>0.24</v>
      </c>
    </row>
    <row r="650" spans="1:9" x14ac:dyDescent="0.25">
      <c r="A650" s="76" t="s">
        <v>531</v>
      </c>
      <c r="B650" s="76" t="s">
        <v>538</v>
      </c>
      <c r="C650" s="77">
        <v>40770</v>
      </c>
      <c r="D650" s="78">
        <v>40968</v>
      </c>
      <c r="E650" s="79">
        <v>8.9999999999999993E-3</v>
      </c>
      <c r="F650" s="80">
        <v>16283</v>
      </c>
      <c r="G650" s="81"/>
      <c r="H650" s="80">
        <v>7838</v>
      </c>
      <c r="I650" s="79">
        <f>H650/F650</f>
        <v>0.48136092857581525</v>
      </c>
    </row>
    <row r="651" spans="1:9" x14ac:dyDescent="0.25">
      <c r="A651" s="76" t="s">
        <v>558</v>
      </c>
      <c r="B651" s="76" t="s">
        <v>560</v>
      </c>
      <c r="C651" s="77">
        <v>40714</v>
      </c>
      <c r="D651" s="78">
        <v>41151</v>
      </c>
      <c r="E651" s="79">
        <v>0.14000000000000001</v>
      </c>
      <c r="F651" s="88"/>
      <c r="G651" s="81">
        <v>46625</v>
      </c>
      <c r="H651" s="80">
        <v>7796</v>
      </c>
      <c r="I651" s="79">
        <f>H651/G651</f>
        <v>0.16720643431635387</v>
      </c>
    </row>
    <row r="652" spans="1:9" ht="28.5" x14ac:dyDescent="0.25">
      <c r="A652" s="70" t="s">
        <v>101</v>
      </c>
      <c r="B652" s="70" t="s">
        <v>111</v>
      </c>
      <c r="C652" s="71">
        <v>40973</v>
      </c>
      <c r="D652" s="72">
        <v>41182</v>
      </c>
      <c r="E652" s="73">
        <v>1.35E-2</v>
      </c>
      <c r="F652" s="74">
        <v>27314.720000000001</v>
      </c>
      <c r="G652" s="75"/>
      <c r="H652" s="74">
        <v>7751.52</v>
      </c>
      <c r="I652" s="73">
        <v>0.28999999999999998</v>
      </c>
    </row>
    <row r="653" spans="1:9" x14ac:dyDescent="0.25">
      <c r="A653" s="76" t="s">
        <v>613</v>
      </c>
      <c r="B653" s="76" t="s">
        <v>183</v>
      </c>
      <c r="C653" s="77">
        <v>41150</v>
      </c>
      <c r="D653" s="78">
        <v>41469</v>
      </c>
      <c r="E653" s="79">
        <v>1.7999999999999999E-2</v>
      </c>
      <c r="F653" s="80"/>
      <c r="G653" s="81">
        <v>13406.22</v>
      </c>
      <c r="H653" s="80">
        <v>7717.29</v>
      </c>
      <c r="I653" s="79">
        <f>H653/G653</f>
        <v>0.57564995949641284</v>
      </c>
    </row>
    <row r="654" spans="1:9" x14ac:dyDescent="0.25">
      <c r="A654" s="76" t="s">
        <v>594</v>
      </c>
      <c r="B654" s="76" t="s">
        <v>597</v>
      </c>
      <c r="C654" s="77">
        <v>40805</v>
      </c>
      <c r="D654" s="78">
        <v>41170</v>
      </c>
      <c r="E654" s="79">
        <v>0.35099999999999998</v>
      </c>
      <c r="F654" s="80"/>
      <c r="G654" s="81">
        <v>11374.05</v>
      </c>
      <c r="H654" s="80">
        <v>7699.05</v>
      </c>
      <c r="I654" s="79">
        <f>H654/G654</f>
        <v>0.67689609242090554</v>
      </c>
    </row>
    <row r="655" spans="1:9" x14ac:dyDescent="0.25">
      <c r="A655" s="76" t="s">
        <v>371</v>
      </c>
      <c r="B655" s="76" t="s">
        <v>107</v>
      </c>
      <c r="C655" s="77">
        <v>40647</v>
      </c>
      <c r="D655" s="78">
        <v>41012</v>
      </c>
      <c r="E655" s="79">
        <v>8.9999999999999993E-3</v>
      </c>
      <c r="F655" s="80">
        <v>623348.5</v>
      </c>
      <c r="G655" s="81"/>
      <c r="H655" s="80">
        <v>7578.4</v>
      </c>
      <c r="I655" s="79">
        <f>H655/F655</f>
        <v>1.2157565150152764E-2</v>
      </c>
    </row>
    <row r="656" spans="1:9" x14ac:dyDescent="0.25">
      <c r="A656" s="76" t="s">
        <v>516</v>
      </c>
      <c r="B656" s="76" t="s">
        <v>522</v>
      </c>
      <c r="C656" s="77">
        <v>41086</v>
      </c>
      <c r="D656" s="78">
        <v>41364</v>
      </c>
      <c r="E656" s="79">
        <v>0.25</v>
      </c>
      <c r="F656" s="80">
        <v>27875</v>
      </c>
      <c r="G656" s="88"/>
      <c r="H656" s="80">
        <v>7576.63</v>
      </c>
      <c r="I656" s="79">
        <f>H656/F656</f>
        <v>0.27180735426008967</v>
      </c>
    </row>
    <row r="657" spans="1:9" x14ac:dyDescent="0.25">
      <c r="A657" s="76" t="s">
        <v>263</v>
      </c>
      <c r="B657" s="76" t="s">
        <v>102</v>
      </c>
      <c r="C657" s="77">
        <v>40800</v>
      </c>
      <c r="D657" s="78">
        <v>41121</v>
      </c>
      <c r="E657" s="79">
        <v>0.36</v>
      </c>
      <c r="F657" s="80">
        <v>18821.5</v>
      </c>
      <c r="G657" s="81"/>
      <c r="H657" s="80">
        <v>7575.2</v>
      </c>
      <c r="I657" s="79">
        <f>H657/F657</f>
        <v>0.40247589193209893</v>
      </c>
    </row>
    <row r="658" spans="1:9" x14ac:dyDescent="0.25">
      <c r="A658" s="76" t="s">
        <v>171</v>
      </c>
      <c r="B658" s="76" t="s">
        <v>192</v>
      </c>
      <c r="C658" s="77">
        <v>40879</v>
      </c>
      <c r="D658" s="78">
        <v>41243</v>
      </c>
      <c r="E658" s="79">
        <v>1.7999999999999999E-2</v>
      </c>
      <c r="F658" s="80">
        <v>902813</v>
      </c>
      <c r="G658" s="81"/>
      <c r="H658" s="80">
        <v>7565.31</v>
      </c>
      <c r="I658" s="79">
        <f>H658/F658</f>
        <v>8.3797087547476615E-3</v>
      </c>
    </row>
    <row r="659" spans="1:9" x14ac:dyDescent="0.25">
      <c r="A659" s="70" t="s">
        <v>38</v>
      </c>
      <c r="B659" s="70" t="s">
        <v>49</v>
      </c>
      <c r="C659" s="71">
        <v>40878</v>
      </c>
      <c r="D659" s="72">
        <v>41243</v>
      </c>
      <c r="E659" s="73">
        <v>0.1575</v>
      </c>
      <c r="F659" s="74"/>
      <c r="G659" s="75">
        <v>43171</v>
      </c>
      <c r="H659" s="74">
        <v>7554.83</v>
      </c>
      <c r="I659" s="73">
        <v>0.174997799448704</v>
      </c>
    </row>
    <row r="660" spans="1:9" x14ac:dyDescent="0.25">
      <c r="A660" s="76" t="s">
        <v>171</v>
      </c>
      <c r="B660" s="76" t="s">
        <v>178</v>
      </c>
      <c r="C660" s="77">
        <v>40805</v>
      </c>
      <c r="D660" s="78">
        <v>41152</v>
      </c>
      <c r="E660" s="79">
        <v>1.7999999999999999E-2</v>
      </c>
      <c r="F660" s="80">
        <v>290116</v>
      </c>
      <c r="G660" s="81"/>
      <c r="H660" s="80">
        <v>7545</v>
      </c>
      <c r="I660" s="79">
        <f>H660/F660</f>
        <v>2.6006838643852805E-2</v>
      </c>
    </row>
    <row r="661" spans="1:9" x14ac:dyDescent="0.25">
      <c r="A661" s="76" t="s">
        <v>429</v>
      </c>
      <c r="B661" s="76" t="s">
        <v>432</v>
      </c>
      <c r="C661" s="77">
        <v>40910</v>
      </c>
      <c r="D661" s="78">
        <v>41151</v>
      </c>
      <c r="E661" s="79">
        <v>0.2</v>
      </c>
      <c r="F661" s="88"/>
      <c r="G661" s="81">
        <v>36958</v>
      </c>
      <c r="H661" s="80">
        <v>7490.8</v>
      </c>
      <c r="I661" s="79">
        <f>H661/G661</f>
        <v>0.20268412792900048</v>
      </c>
    </row>
    <row r="662" spans="1:9" x14ac:dyDescent="0.25">
      <c r="A662" s="76" t="s">
        <v>220</v>
      </c>
      <c r="B662" s="76" t="s">
        <v>225</v>
      </c>
      <c r="C662" s="109">
        <v>40889</v>
      </c>
      <c r="D662" s="78">
        <v>41027</v>
      </c>
      <c r="E662" s="79">
        <v>0.2</v>
      </c>
      <c r="F662" s="80">
        <v>37237</v>
      </c>
      <c r="G662" s="81"/>
      <c r="H662" s="80">
        <v>7447.4</v>
      </c>
      <c r="I662" s="79">
        <f>H662/F662</f>
        <v>0.19999999999999998</v>
      </c>
    </row>
    <row r="663" spans="1:9" x14ac:dyDescent="0.25">
      <c r="A663" s="70" t="s">
        <v>87</v>
      </c>
      <c r="B663" s="70" t="s">
        <v>91</v>
      </c>
      <c r="C663" s="71">
        <v>40899</v>
      </c>
      <c r="D663" s="72" t="s">
        <v>97</v>
      </c>
      <c r="E663" s="73">
        <v>0.92500000000000004</v>
      </c>
      <c r="F663" s="74"/>
      <c r="G663" s="75">
        <v>8034.39</v>
      </c>
      <c r="H663" s="74">
        <v>7431.81</v>
      </c>
      <c r="I663" s="73">
        <v>0.92499990665128284</v>
      </c>
    </row>
    <row r="664" spans="1:9" x14ac:dyDescent="0.25">
      <c r="A664" s="76" t="s">
        <v>171</v>
      </c>
      <c r="B664" s="76" t="s">
        <v>202</v>
      </c>
      <c r="C664" s="77">
        <v>40770</v>
      </c>
      <c r="D664" s="78">
        <v>41135</v>
      </c>
      <c r="E664" s="79">
        <v>1.7999999999999999E-2</v>
      </c>
      <c r="F664" s="80">
        <v>39200</v>
      </c>
      <c r="G664" s="81"/>
      <c r="H664" s="80">
        <v>7253</v>
      </c>
      <c r="I664" s="79">
        <f>H664/F664</f>
        <v>0.18502551020408164</v>
      </c>
    </row>
    <row r="665" spans="1:9" x14ac:dyDescent="0.25">
      <c r="A665" s="76" t="s">
        <v>531</v>
      </c>
      <c r="B665" s="76" t="s">
        <v>93</v>
      </c>
      <c r="C665" s="77">
        <v>40806</v>
      </c>
      <c r="D665" s="78">
        <v>41090</v>
      </c>
      <c r="E665" s="79">
        <v>8.9999999999999993E-3</v>
      </c>
      <c r="F665" s="80"/>
      <c r="G665" s="81">
        <v>21691</v>
      </c>
      <c r="H665" s="80">
        <v>7215</v>
      </c>
      <c r="I665" s="79">
        <f>H665/G665</f>
        <v>0.33262643492692823</v>
      </c>
    </row>
    <row r="666" spans="1:9" x14ac:dyDescent="0.25">
      <c r="A666" s="76" t="s">
        <v>449</v>
      </c>
      <c r="B666" s="76" t="s">
        <v>453</v>
      </c>
      <c r="C666" s="77">
        <v>40664</v>
      </c>
      <c r="D666" s="78">
        <v>41029</v>
      </c>
      <c r="E666" s="79">
        <v>0</v>
      </c>
      <c r="F666" s="80">
        <v>31836</v>
      </c>
      <c r="G666" s="81"/>
      <c r="H666" s="80">
        <v>7201</v>
      </c>
      <c r="I666" s="79">
        <f>H666/F666</f>
        <v>0.22619047619047619</v>
      </c>
    </row>
    <row r="667" spans="1:9" x14ac:dyDescent="0.25">
      <c r="A667" s="76" t="s">
        <v>489</v>
      </c>
      <c r="B667" s="76" t="s">
        <v>336</v>
      </c>
      <c r="C667" s="77">
        <v>41000</v>
      </c>
      <c r="D667" s="78">
        <v>41364</v>
      </c>
      <c r="E667" s="79">
        <v>0.3</v>
      </c>
      <c r="F667" s="80">
        <v>23945</v>
      </c>
      <c r="G667" s="88"/>
      <c r="H667" s="80">
        <v>7183.5</v>
      </c>
      <c r="I667" s="79">
        <f>H667/F667</f>
        <v>0.3</v>
      </c>
    </row>
    <row r="668" spans="1:9" x14ac:dyDescent="0.25">
      <c r="A668" s="76" t="s">
        <v>317</v>
      </c>
      <c r="B668" s="76" t="s">
        <v>334</v>
      </c>
      <c r="C668" s="77">
        <v>41153</v>
      </c>
      <c r="D668" s="78">
        <v>41517</v>
      </c>
      <c r="E668" s="79">
        <v>8.9999999999999998E-4</v>
      </c>
      <c r="F668" s="80">
        <v>30784</v>
      </c>
      <c r="G668" s="81"/>
      <c r="H668" s="80">
        <v>7132</v>
      </c>
      <c r="I668" s="79">
        <f>H668/F668</f>
        <v>0.23167879417879417</v>
      </c>
    </row>
    <row r="669" spans="1:9" x14ac:dyDescent="0.25">
      <c r="A669" s="70" t="s">
        <v>119</v>
      </c>
      <c r="B669" s="70" t="s">
        <v>48</v>
      </c>
      <c r="C669" s="71">
        <v>40725</v>
      </c>
      <c r="D669" s="72">
        <v>41090</v>
      </c>
      <c r="E669" s="73">
        <v>0.09</v>
      </c>
      <c r="F669" s="74">
        <v>54762.99</v>
      </c>
      <c r="G669" s="75"/>
      <c r="H669" s="74">
        <v>7119.19</v>
      </c>
      <c r="I669" s="73">
        <v>0.13000002373865999</v>
      </c>
    </row>
    <row r="670" spans="1:9" x14ac:dyDescent="0.25">
      <c r="A670" s="70" t="s">
        <v>101</v>
      </c>
      <c r="B670" s="70" t="s">
        <v>102</v>
      </c>
      <c r="C670" s="71">
        <v>40725</v>
      </c>
      <c r="D670" s="72">
        <v>41090</v>
      </c>
      <c r="E670" s="73">
        <v>1.35E-2</v>
      </c>
      <c r="F670" s="74"/>
      <c r="G670" s="75">
        <v>12093.3</v>
      </c>
      <c r="H670" s="74">
        <v>7077.8</v>
      </c>
      <c r="I670" s="73">
        <v>0.58526622179223209</v>
      </c>
    </row>
    <row r="671" spans="1:9" ht="28.5" x14ac:dyDescent="0.25">
      <c r="A671" s="70" t="s">
        <v>137</v>
      </c>
      <c r="B671" s="70" t="s">
        <v>111</v>
      </c>
      <c r="C671" s="71">
        <v>40752</v>
      </c>
      <c r="D671" s="72">
        <v>41104</v>
      </c>
      <c r="E671" s="73">
        <v>0.315</v>
      </c>
      <c r="F671" s="74">
        <v>8650</v>
      </c>
      <c r="G671" s="75"/>
      <c r="H671" s="74">
        <v>7029.55</v>
      </c>
      <c r="I671" s="73">
        <v>0.81266473988439314</v>
      </c>
    </row>
    <row r="672" spans="1:9" x14ac:dyDescent="0.25">
      <c r="A672" s="70" t="s">
        <v>20</v>
      </c>
      <c r="B672" s="70" t="s">
        <v>32</v>
      </c>
      <c r="C672" s="71">
        <v>40817</v>
      </c>
      <c r="D672" s="72">
        <v>41182</v>
      </c>
      <c r="E672" s="73">
        <v>0</v>
      </c>
      <c r="F672" s="74">
        <v>281090.36</v>
      </c>
      <c r="G672" s="75"/>
      <c r="H672" s="74">
        <v>6958.64</v>
      </c>
      <c r="I672" s="73">
        <v>0.61982951357032789</v>
      </c>
    </row>
    <row r="673" spans="1:9" x14ac:dyDescent="0.25">
      <c r="A673" s="76" t="s">
        <v>594</v>
      </c>
      <c r="B673" s="76" t="s">
        <v>598</v>
      </c>
      <c r="C673" s="77">
        <v>41179</v>
      </c>
      <c r="D673" s="78">
        <v>41543</v>
      </c>
      <c r="E673" s="79">
        <v>0.45</v>
      </c>
      <c r="F673" s="80"/>
      <c r="G673" s="81">
        <v>15074</v>
      </c>
      <c r="H673" s="80">
        <v>6917.42</v>
      </c>
      <c r="I673" s="79">
        <f>H673/G673</f>
        <v>0.45889743929945603</v>
      </c>
    </row>
    <row r="674" spans="1:9" x14ac:dyDescent="0.25">
      <c r="A674" s="70" t="s">
        <v>171</v>
      </c>
      <c r="B674" s="70" t="s">
        <v>196</v>
      </c>
      <c r="C674" s="71">
        <v>40631</v>
      </c>
      <c r="D674" s="72">
        <v>40968</v>
      </c>
      <c r="E674" s="73">
        <v>1.7999999999999999E-2</v>
      </c>
      <c r="F674" s="74">
        <v>27885</v>
      </c>
      <c r="G674" s="75"/>
      <c r="H674" s="74">
        <v>6906.54</v>
      </c>
      <c r="I674" s="73">
        <v>0.24767939752555138</v>
      </c>
    </row>
    <row r="675" spans="1:9" ht="28.5" x14ac:dyDescent="0.25">
      <c r="A675" s="76" t="s">
        <v>392</v>
      </c>
      <c r="B675" s="76" t="s">
        <v>287</v>
      </c>
      <c r="C675" s="77">
        <v>41011</v>
      </c>
      <c r="D675" s="78">
        <v>41394</v>
      </c>
      <c r="E675" s="79">
        <v>8.9999999999999993E-3</v>
      </c>
      <c r="F675" s="80">
        <v>10165</v>
      </c>
      <c r="G675" s="81"/>
      <c r="H675" s="80">
        <v>6898</v>
      </c>
      <c r="I675" s="79">
        <f>H675/F675</f>
        <v>0.67860304968027541</v>
      </c>
    </row>
    <row r="676" spans="1:9" x14ac:dyDescent="0.25">
      <c r="A676" s="76" t="s">
        <v>220</v>
      </c>
      <c r="B676" s="76" t="s">
        <v>234</v>
      </c>
      <c r="C676" s="77">
        <v>41078</v>
      </c>
      <c r="D676" s="78">
        <v>41237</v>
      </c>
      <c r="E676" s="79">
        <v>0.25</v>
      </c>
      <c r="F676" s="80">
        <v>27548</v>
      </c>
      <c r="G676" s="81"/>
      <c r="H676" s="80">
        <v>6887</v>
      </c>
      <c r="I676" s="79">
        <f>H676/F676</f>
        <v>0.25</v>
      </c>
    </row>
    <row r="677" spans="1:9" x14ac:dyDescent="0.25">
      <c r="A677" s="76" t="s">
        <v>531</v>
      </c>
      <c r="B677" s="76" t="s">
        <v>536</v>
      </c>
      <c r="C677" s="77">
        <v>40751</v>
      </c>
      <c r="D677" s="78">
        <v>41090</v>
      </c>
      <c r="E677" s="79">
        <v>8.9999999999999993E-3</v>
      </c>
      <c r="F677" s="80">
        <v>33455</v>
      </c>
      <c r="G677" s="81"/>
      <c r="H677" s="80">
        <v>6859</v>
      </c>
      <c r="I677" s="79">
        <f>H677/F677</f>
        <v>0.20502167090121057</v>
      </c>
    </row>
    <row r="678" spans="1:9" x14ac:dyDescent="0.25">
      <c r="A678" s="76" t="s">
        <v>220</v>
      </c>
      <c r="B678" s="76" t="s">
        <v>228</v>
      </c>
      <c r="C678" s="77">
        <v>40952</v>
      </c>
      <c r="D678" s="78">
        <v>41097</v>
      </c>
      <c r="E678" s="79">
        <v>0.22</v>
      </c>
      <c r="F678" s="80">
        <v>31118</v>
      </c>
      <c r="G678" s="81"/>
      <c r="H678" s="80">
        <v>6845.96</v>
      </c>
      <c r="I678" s="79">
        <f>H678/F678</f>
        <v>0.22</v>
      </c>
    </row>
    <row r="679" spans="1:9" x14ac:dyDescent="0.25">
      <c r="A679" s="76" t="s">
        <v>375</v>
      </c>
      <c r="B679" s="76" t="s">
        <v>377</v>
      </c>
      <c r="C679" s="112">
        <v>41019</v>
      </c>
      <c r="D679" s="78">
        <v>41156</v>
      </c>
      <c r="E679" s="79">
        <v>4.4999999999999998E-2</v>
      </c>
      <c r="F679" s="80"/>
      <c r="G679" s="81">
        <v>9082</v>
      </c>
      <c r="H679" s="80">
        <v>6845</v>
      </c>
      <c r="I679" s="79">
        <f>H679/G679</f>
        <v>0.75368861484254568</v>
      </c>
    </row>
    <row r="680" spans="1:9" x14ac:dyDescent="0.25">
      <c r="A680" s="70" t="s">
        <v>101</v>
      </c>
      <c r="B680" s="70" t="s">
        <v>105</v>
      </c>
      <c r="C680" s="71">
        <v>40827</v>
      </c>
      <c r="D680" s="72">
        <v>41192</v>
      </c>
      <c r="E680" s="73">
        <v>1.35E-2</v>
      </c>
      <c r="F680" s="74">
        <v>26085</v>
      </c>
      <c r="G680" s="75"/>
      <c r="H680" s="74">
        <v>6793.84</v>
      </c>
      <c r="I680" s="73">
        <v>0.26045006708836499</v>
      </c>
    </row>
    <row r="681" spans="1:9" x14ac:dyDescent="0.25">
      <c r="A681" s="70" t="s">
        <v>101</v>
      </c>
      <c r="B681" s="70" t="s">
        <v>105</v>
      </c>
      <c r="C681" s="71">
        <v>40827</v>
      </c>
      <c r="D681" s="72">
        <v>41192</v>
      </c>
      <c r="E681" s="73">
        <v>1.35E-2</v>
      </c>
      <c r="F681" s="74"/>
      <c r="G681" s="75">
        <v>26085</v>
      </c>
      <c r="H681" s="74">
        <v>6793.84</v>
      </c>
      <c r="I681" s="73">
        <v>0.26045006708836499</v>
      </c>
    </row>
    <row r="682" spans="1:9" x14ac:dyDescent="0.25">
      <c r="A682" s="76" t="s">
        <v>685</v>
      </c>
      <c r="B682" s="76" t="s">
        <v>690</v>
      </c>
      <c r="C682" s="77">
        <v>40878</v>
      </c>
      <c r="D682" s="78">
        <v>41243</v>
      </c>
      <c r="E682" s="79">
        <v>0.1</v>
      </c>
      <c r="F682" s="80"/>
      <c r="G682" s="81">
        <v>47400</v>
      </c>
      <c r="H682" s="80">
        <v>6782.36</v>
      </c>
      <c r="I682" s="79">
        <f>H682/G682</f>
        <v>0.14308776371308016</v>
      </c>
    </row>
    <row r="683" spans="1:9" x14ac:dyDescent="0.25">
      <c r="A683" s="76" t="s">
        <v>429</v>
      </c>
      <c r="B683" s="76" t="s">
        <v>434</v>
      </c>
      <c r="C683" s="77">
        <v>40980</v>
      </c>
      <c r="D683" s="78">
        <v>41151</v>
      </c>
      <c r="E683" s="79">
        <v>0.2</v>
      </c>
      <c r="F683" s="88"/>
      <c r="G683" s="81">
        <v>28712</v>
      </c>
      <c r="H683" s="80">
        <v>6742.2</v>
      </c>
      <c r="I683" s="79">
        <f>H683/G683</f>
        <v>0.23482167734745055</v>
      </c>
    </row>
    <row r="684" spans="1:9" x14ac:dyDescent="0.25">
      <c r="A684" s="76" t="s">
        <v>594</v>
      </c>
      <c r="B684" s="76" t="s">
        <v>598</v>
      </c>
      <c r="C684" s="77">
        <v>40813</v>
      </c>
      <c r="D684" s="78">
        <v>41178</v>
      </c>
      <c r="E684" s="79">
        <v>0.45</v>
      </c>
      <c r="F684" s="80"/>
      <c r="G684" s="81">
        <v>14994</v>
      </c>
      <c r="H684" s="80">
        <v>6716.92</v>
      </c>
      <c r="I684" s="79">
        <f>H684/G684</f>
        <v>0.44797385620915031</v>
      </c>
    </row>
    <row r="685" spans="1:9" x14ac:dyDescent="0.25">
      <c r="A685" s="76" t="s">
        <v>531</v>
      </c>
      <c r="B685" s="76" t="s">
        <v>90</v>
      </c>
      <c r="C685" s="77">
        <v>41129</v>
      </c>
      <c r="D685" s="78">
        <v>41455</v>
      </c>
      <c r="E685" s="79">
        <v>0.18</v>
      </c>
      <c r="F685" s="80"/>
      <c r="G685" s="81">
        <v>27373</v>
      </c>
      <c r="H685" s="80">
        <v>6685</v>
      </c>
      <c r="I685" s="79">
        <f>H685/G685</f>
        <v>0.24421875570817958</v>
      </c>
    </row>
    <row r="686" spans="1:9" x14ac:dyDescent="0.25">
      <c r="A686" s="76" t="s">
        <v>220</v>
      </c>
      <c r="B686" s="76" t="s">
        <v>226</v>
      </c>
      <c r="C686" s="77">
        <v>40924</v>
      </c>
      <c r="D686" s="78">
        <v>41026</v>
      </c>
      <c r="E686" s="79">
        <v>0.26</v>
      </c>
      <c r="F686" s="80">
        <v>25473</v>
      </c>
      <c r="G686" s="81"/>
      <c r="H686" s="80">
        <v>6622.98</v>
      </c>
      <c r="I686" s="79">
        <f>H686/F686</f>
        <v>0.26</v>
      </c>
    </row>
    <row r="687" spans="1:9" x14ac:dyDescent="0.25">
      <c r="A687" s="76" t="s">
        <v>516</v>
      </c>
      <c r="B687" s="76" t="s">
        <v>527</v>
      </c>
      <c r="C687" s="77">
        <v>40910</v>
      </c>
      <c r="D687" s="78">
        <v>41182</v>
      </c>
      <c r="E687" s="79">
        <v>0.1</v>
      </c>
      <c r="F687" s="80">
        <v>32458</v>
      </c>
      <c r="G687" s="88"/>
      <c r="H687" s="80">
        <v>6576.02</v>
      </c>
      <c r="I687" s="79">
        <f>H687/F687</f>
        <v>0.20260089962412967</v>
      </c>
    </row>
    <row r="688" spans="1:9" x14ac:dyDescent="0.25">
      <c r="A688" s="76" t="s">
        <v>375</v>
      </c>
      <c r="B688" s="76" t="s">
        <v>378</v>
      </c>
      <c r="C688" s="77">
        <v>41030</v>
      </c>
      <c r="D688" s="78">
        <v>41046</v>
      </c>
      <c r="E688" s="79">
        <v>4.4999999999999998E-2</v>
      </c>
      <c r="F688" s="80"/>
      <c r="G688" s="81">
        <v>8210</v>
      </c>
      <c r="H688" s="80">
        <v>6553</v>
      </c>
      <c r="I688" s="79">
        <f>H688/G688</f>
        <v>0.79817295980511571</v>
      </c>
    </row>
    <row r="689" spans="1:9" x14ac:dyDescent="0.25">
      <c r="A689" s="76" t="s">
        <v>220</v>
      </c>
      <c r="B689" s="76" t="s">
        <v>224</v>
      </c>
      <c r="C689" s="77">
        <v>40861</v>
      </c>
      <c r="D689" s="78">
        <v>41026</v>
      </c>
      <c r="E689" s="79">
        <v>0.1</v>
      </c>
      <c r="F689" s="80">
        <v>65526</v>
      </c>
      <c r="G689" s="81"/>
      <c r="H689" s="80">
        <v>6552.6</v>
      </c>
      <c r="I689" s="79">
        <f>H689/F689</f>
        <v>0.1</v>
      </c>
    </row>
    <row r="690" spans="1:9" x14ac:dyDescent="0.25">
      <c r="A690" s="70" t="s">
        <v>144</v>
      </c>
      <c r="B690" s="70" t="s">
        <v>145</v>
      </c>
      <c r="C690" s="71">
        <v>41000</v>
      </c>
      <c r="D690" s="72">
        <v>41065</v>
      </c>
      <c r="E690" s="73">
        <v>0.2</v>
      </c>
      <c r="F690" s="74">
        <v>102535.59</v>
      </c>
      <c r="G690" s="75"/>
      <c r="H690" s="74">
        <v>6535.59</v>
      </c>
      <c r="I690" s="73">
        <v>6.3739721983362072E-2</v>
      </c>
    </row>
    <row r="691" spans="1:9" ht="21.75" customHeight="1" x14ac:dyDescent="0.25">
      <c r="A691" s="76" t="s">
        <v>216</v>
      </c>
      <c r="B691" s="76" t="s">
        <v>218</v>
      </c>
      <c r="C691" s="77">
        <v>41057</v>
      </c>
      <c r="D691" s="78">
        <v>41271</v>
      </c>
      <c r="E691" s="79">
        <v>0.2</v>
      </c>
      <c r="F691" s="80">
        <v>25802</v>
      </c>
      <c r="G691" s="88"/>
      <c r="H691" s="80">
        <v>6520.22</v>
      </c>
      <c r="I691" s="79">
        <f>H691/F691</f>
        <v>0.25270211611502985</v>
      </c>
    </row>
    <row r="692" spans="1:9" x14ac:dyDescent="0.25">
      <c r="A692" s="76" t="s">
        <v>375</v>
      </c>
      <c r="B692" s="76" t="s">
        <v>381</v>
      </c>
      <c r="C692" s="77">
        <v>41136</v>
      </c>
      <c r="D692" s="78">
        <v>41165</v>
      </c>
      <c r="E692" s="79">
        <v>4.4999999999999998E-2</v>
      </c>
      <c r="F692" s="80"/>
      <c r="G692" s="81">
        <v>14530</v>
      </c>
      <c r="H692" s="80">
        <v>6498</v>
      </c>
      <c r="I692" s="79">
        <f>H692/G692</f>
        <v>0.44721266345492083</v>
      </c>
    </row>
    <row r="693" spans="1:9" x14ac:dyDescent="0.25">
      <c r="A693" s="76" t="s">
        <v>489</v>
      </c>
      <c r="B693" s="76" t="s">
        <v>336</v>
      </c>
      <c r="C693" s="77">
        <v>40634</v>
      </c>
      <c r="D693" s="78">
        <v>40999</v>
      </c>
      <c r="E693" s="79">
        <v>0.3</v>
      </c>
      <c r="F693" s="80">
        <v>21455</v>
      </c>
      <c r="G693" s="88"/>
      <c r="H693" s="80">
        <v>6436.5</v>
      </c>
      <c r="I693" s="79">
        <f>H693/F693</f>
        <v>0.3</v>
      </c>
    </row>
    <row r="694" spans="1:9" x14ac:dyDescent="0.25">
      <c r="A694" s="76" t="s">
        <v>685</v>
      </c>
      <c r="B694" s="76" t="s">
        <v>688</v>
      </c>
      <c r="C694" s="77">
        <v>40817</v>
      </c>
      <c r="D694" s="78">
        <v>41182</v>
      </c>
      <c r="E694" s="79">
        <v>0.13500000000000001</v>
      </c>
      <c r="F694" s="80">
        <v>40922</v>
      </c>
      <c r="G694" s="81"/>
      <c r="H694" s="80">
        <v>6138.3</v>
      </c>
      <c r="I694" s="79">
        <f>H694/F694</f>
        <v>0.15</v>
      </c>
    </row>
    <row r="695" spans="1:9" x14ac:dyDescent="0.25">
      <c r="A695" s="76" t="s">
        <v>516</v>
      </c>
      <c r="B695" s="76" t="s">
        <v>518</v>
      </c>
      <c r="C695" s="77">
        <v>41000</v>
      </c>
      <c r="D695" s="78">
        <v>41365</v>
      </c>
      <c r="E695" s="79">
        <v>0.2</v>
      </c>
      <c r="F695" s="80">
        <v>20755</v>
      </c>
      <c r="G695" s="88"/>
      <c r="H695" s="80">
        <v>6095</v>
      </c>
      <c r="I695" s="79">
        <f>H695/F695</f>
        <v>0.2936641773066731</v>
      </c>
    </row>
    <row r="696" spans="1:9" x14ac:dyDescent="0.25">
      <c r="A696" s="76" t="s">
        <v>516</v>
      </c>
      <c r="B696" s="76" t="s">
        <v>518</v>
      </c>
      <c r="C696" s="77">
        <v>40634</v>
      </c>
      <c r="D696" s="78">
        <v>41000</v>
      </c>
      <c r="E696" s="79">
        <v>0.2</v>
      </c>
      <c r="F696" s="80">
        <v>21057</v>
      </c>
      <c r="G696" s="88"/>
      <c r="H696" s="80">
        <v>6000</v>
      </c>
      <c r="I696" s="79">
        <f>H696/F696</f>
        <v>0.28494087476848556</v>
      </c>
    </row>
    <row r="697" spans="1:9" x14ac:dyDescent="0.25">
      <c r="A697" s="76" t="s">
        <v>220</v>
      </c>
      <c r="B697" s="76" t="s">
        <v>221</v>
      </c>
      <c r="C697" s="77">
        <v>40805</v>
      </c>
      <c r="D697" s="78">
        <v>40929</v>
      </c>
      <c r="E697" s="79">
        <v>0.22</v>
      </c>
      <c r="F697" s="80">
        <v>26002</v>
      </c>
      <c r="G697" s="81"/>
      <c r="H697" s="80">
        <v>6000</v>
      </c>
      <c r="I697" s="79">
        <f>H697/F697</f>
        <v>0.23075148065533421</v>
      </c>
    </row>
    <row r="698" spans="1:9" x14ac:dyDescent="0.25">
      <c r="A698" s="76" t="s">
        <v>643</v>
      </c>
      <c r="B698" s="76" t="s">
        <v>174</v>
      </c>
      <c r="C698" s="77">
        <v>40948</v>
      </c>
      <c r="D698" s="78">
        <v>41274</v>
      </c>
      <c r="E698" s="79">
        <v>8.9999999999999998E-4</v>
      </c>
      <c r="F698" s="80"/>
      <c r="G698" s="81">
        <v>29196</v>
      </c>
      <c r="H698" s="80">
        <v>5915.95</v>
      </c>
      <c r="I698" s="79">
        <f>H698/G698</f>
        <v>0.20262878476503629</v>
      </c>
    </row>
    <row r="699" spans="1:9" x14ac:dyDescent="0.25">
      <c r="A699" s="76" t="s">
        <v>220</v>
      </c>
      <c r="B699" s="76" t="s">
        <v>227</v>
      </c>
      <c r="C699" s="77">
        <v>40952</v>
      </c>
      <c r="D699" s="78">
        <v>41082</v>
      </c>
      <c r="E699" s="79">
        <v>0.23</v>
      </c>
      <c r="F699" s="80">
        <v>25695</v>
      </c>
      <c r="G699" s="81"/>
      <c r="H699" s="80">
        <v>5909.85</v>
      </c>
      <c r="I699" s="79">
        <f>H699/F699</f>
        <v>0.23</v>
      </c>
    </row>
    <row r="700" spans="1:9" x14ac:dyDescent="0.25">
      <c r="A700" s="76" t="s">
        <v>587</v>
      </c>
      <c r="B700" s="76" t="s">
        <v>589</v>
      </c>
      <c r="C700" s="77">
        <v>41050</v>
      </c>
      <c r="D700" s="78">
        <v>41274</v>
      </c>
      <c r="E700" s="79">
        <v>0.3</v>
      </c>
      <c r="F700" s="80">
        <v>19590</v>
      </c>
      <c r="G700" s="88"/>
      <c r="H700" s="80">
        <v>5877</v>
      </c>
      <c r="I700" s="79">
        <f>H700/F700</f>
        <v>0.3</v>
      </c>
    </row>
    <row r="701" spans="1:9" x14ac:dyDescent="0.25">
      <c r="A701" s="76" t="s">
        <v>449</v>
      </c>
      <c r="B701" s="76" t="s">
        <v>468</v>
      </c>
      <c r="C701" s="77">
        <v>41030</v>
      </c>
      <c r="D701" s="78">
        <v>41394</v>
      </c>
      <c r="E701" s="79">
        <v>0</v>
      </c>
      <c r="F701" s="80">
        <v>320470</v>
      </c>
      <c r="G701" s="81"/>
      <c r="H701" s="80">
        <v>5818</v>
      </c>
      <c r="I701" s="79">
        <f>H701/F701</f>
        <v>1.8154585452616469E-2</v>
      </c>
    </row>
    <row r="702" spans="1:9" x14ac:dyDescent="0.25">
      <c r="A702" s="76" t="s">
        <v>407</v>
      </c>
      <c r="B702" s="76" t="s">
        <v>408</v>
      </c>
      <c r="C702" s="77">
        <v>40830</v>
      </c>
      <c r="D702" s="78">
        <v>40939</v>
      </c>
      <c r="E702" s="79">
        <v>0.25</v>
      </c>
      <c r="F702" s="88"/>
      <c r="G702" s="81">
        <v>22915</v>
      </c>
      <c r="H702" s="80">
        <v>5728.75</v>
      </c>
      <c r="I702" s="79">
        <f>H702/G702</f>
        <v>0.25</v>
      </c>
    </row>
    <row r="703" spans="1:9" x14ac:dyDescent="0.25">
      <c r="A703" s="76" t="s">
        <v>613</v>
      </c>
      <c r="B703" s="76" t="s">
        <v>22</v>
      </c>
      <c r="C703" s="77">
        <v>40807</v>
      </c>
      <c r="D703" s="78">
        <v>41173</v>
      </c>
      <c r="E703" s="79">
        <v>1.7999999999999999E-2</v>
      </c>
      <c r="F703" s="80"/>
      <c r="G703" s="81">
        <v>8046</v>
      </c>
      <c r="H703" s="80">
        <v>5690</v>
      </c>
      <c r="I703" s="79">
        <f>H703/G703</f>
        <v>0.70718369376087498</v>
      </c>
    </row>
    <row r="704" spans="1:9" x14ac:dyDescent="0.25">
      <c r="A704" s="76" t="s">
        <v>367</v>
      </c>
      <c r="B704" s="76" t="s">
        <v>370</v>
      </c>
      <c r="C704" s="77">
        <v>41131</v>
      </c>
      <c r="D704" s="78">
        <v>41495</v>
      </c>
      <c r="E704" s="79">
        <v>0.15</v>
      </c>
      <c r="F704" s="80">
        <v>37755</v>
      </c>
      <c r="G704" s="81"/>
      <c r="H704" s="80">
        <v>5663.25</v>
      </c>
      <c r="I704" s="79">
        <f>H704/F704</f>
        <v>0.15</v>
      </c>
    </row>
    <row r="705" spans="1:9" x14ac:dyDescent="0.25">
      <c r="A705" s="70" t="s">
        <v>66</v>
      </c>
      <c r="B705" s="70" t="s">
        <v>68</v>
      </c>
      <c r="C705" s="71">
        <v>40789</v>
      </c>
      <c r="D705" s="72">
        <v>41154</v>
      </c>
      <c r="E705" s="73">
        <v>0.09</v>
      </c>
      <c r="F705" s="74">
        <v>56556.49</v>
      </c>
      <c r="G705" s="75"/>
      <c r="H705" s="74">
        <v>5655.65</v>
      </c>
      <c r="I705" s="73">
        <v>0.10000001768143674</v>
      </c>
    </row>
    <row r="706" spans="1:9" x14ac:dyDescent="0.25">
      <c r="A706" s="76" t="s">
        <v>249</v>
      </c>
      <c r="B706" s="76" t="s">
        <v>261</v>
      </c>
      <c r="C706" s="77">
        <v>41120</v>
      </c>
      <c r="D706" s="78">
        <v>41213</v>
      </c>
      <c r="E706" s="79">
        <v>0</v>
      </c>
      <c r="F706" s="80">
        <v>50530</v>
      </c>
      <c r="G706" s="81"/>
      <c r="H706" s="80">
        <v>5630.15</v>
      </c>
      <c r="I706" s="79">
        <f>H706/F706</f>
        <v>0.11142192756778151</v>
      </c>
    </row>
    <row r="707" spans="1:9" x14ac:dyDescent="0.25">
      <c r="A707" s="76" t="s">
        <v>317</v>
      </c>
      <c r="B707" s="76" t="s">
        <v>326</v>
      </c>
      <c r="C707" s="77">
        <v>41091</v>
      </c>
      <c r="D707" s="78">
        <v>41440</v>
      </c>
      <c r="E707" s="79">
        <v>8.9999999999999998E-4</v>
      </c>
      <c r="F707" s="80"/>
      <c r="G707" s="81">
        <v>72832</v>
      </c>
      <c r="H707" s="80">
        <v>5630.02</v>
      </c>
      <c r="I707" s="79">
        <f>H707/G707</f>
        <v>7.7301460896309321E-2</v>
      </c>
    </row>
    <row r="708" spans="1:9" x14ac:dyDescent="0.25">
      <c r="A708" s="76" t="s">
        <v>489</v>
      </c>
      <c r="B708" s="110" t="s">
        <v>490</v>
      </c>
      <c r="C708" s="77">
        <v>40695</v>
      </c>
      <c r="D708" s="78">
        <v>41060</v>
      </c>
      <c r="E708" s="79">
        <v>0.3</v>
      </c>
      <c r="F708" s="80">
        <v>18470</v>
      </c>
      <c r="G708" s="88"/>
      <c r="H708" s="80">
        <v>5541</v>
      </c>
      <c r="I708" s="79">
        <f>H708/F708</f>
        <v>0.3</v>
      </c>
    </row>
    <row r="709" spans="1:9" x14ac:dyDescent="0.25">
      <c r="A709" s="76" t="s">
        <v>590</v>
      </c>
      <c r="B709" s="76" t="s">
        <v>591</v>
      </c>
      <c r="C709" s="77">
        <v>40664</v>
      </c>
      <c r="D709" s="78">
        <v>41029</v>
      </c>
      <c r="E709" s="79">
        <v>0.5</v>
      </c>
      <c r="F709" s="80">
        <v>10904.72</v>
      </c>
      <c r="G709" s="81"/>
      <c r="H709" s="80">
        <v>5452.36</v>
      </c>
      <c r="I709" s="79">
        <f>H709/F709</f>
        <v>0.5</v>
      </c>
    </row>
    <row r="710" spans="1:9" x14ac:dyDescent="0.25">
      <c r="A710" s="76" t="s">
        <v>384</v>
      </c>
      <c r="B710" s="76" t="s">
        <v>388</v>
      </c>
      <c r="C710" s="77">
        <v>41157</v>
      </c>
      <c r="D710" s="78">
        <v>41211</v>
      </c>
      <c r="E710" s="79">
        <v>4.4999999999999998E-2</v>
      </c>
      <c r="F710" s="80"/>
      <c r="G710" s="81">
        <v>6855</v>
      </c>
      <c r="H710" s="80">
        <v>5424</v>
      </c>
      <c r="I710" s="79">
        <f>H710/G710</f>
        <v>0.79124726477024065</v>
      </c>
    </row>
    <row r="711" spans="1:9" x14ac:dyDescent="0.25">
      <c r="A711" s="76" t="s">
        <v>661</v>
      </c>
      <c r="B711" s="76" t="s">
        <v>662</v>
      </c>
      <c r="C711" s="77">
        <v>41106</v>
      </c>
      <c r="D711" s="78">
        <v>41203</v>
      </c>
      <c r="E711" s="79">
        <v>0</v>
      </c>
      <c r="F711" s="80">
        <v>16309</v>
      </c>
      <c r="G711" s="88"/>
      <c r="H711" s="80">
        <v>5423.78</v>
      </c>
      <c r="I711" s="79">
        <f>H711/F711</f>
        <v>0.33256361518180144</v>
      </c>
    </row>
    <row r="712" spans="1:9" x14ac:dyDescent="0.25">
      <c r="A712" s="76" t="s">
        <v>317</v>
      </c>
      <c r="B712" s="76" t="s">
        <v>364</v>
      </c>
      <c r="C712" s="77">
        <v>41122</v>
      </c>
      <c r="D712" s="78">
        <v>41486</v>
      </c>
      <c r="E712" s="79">
        <v>8.9999999999999998E-4</v>
      </c>
      <c r="F712" s="80"/>
      <c r="G712" s="81">
        <v>9321</v>
      </c>
      <c r="H712" s="80">
        <v>5381.66</v>
      </c>
      <c r="I712" s="79">
        <f>H712/G712</f>
        <v>0.57736938096770729</v>
      </c>
    </row>
    <row r="713" spans="1:9" x14ac:dyDescent="0.25">
      <c r="A713" s="76" t="s">
        <v>643</v>
      </c>
      <c r="B713" s="76" t="s">
        <v>657</v>
      </c>
      <c r="C713" s="77">
        <v>40956</v>
      </c>
      <c r="D713" s="78">
        <v>41321</v>
      </c>
      <c r="E713" s="79">
        <v>4.4999999999999997E-3</v>
      </c>
      <c r="F713" s="80"/>
      <c r="G713" s="81">
        <v>7973</v>
      </c>
      <c r="H713" s="80">
        <v>5319.7</v>
      </c>
      <c r="I713" s="79">
        <f>H713/G713</f>
        <v>0.66721434842593752</v>
      </c>
    </row>
    <row r="714" spans="1:9" x14ac:dyDescent="0.25">
      <c r="A714" s="76" t="s">
        <v>643</v>
      </c>
      <c r="B714" s="76" t="s">
        <v>328</v>
      </c>
      <c r="C714" s="77">
        <v>40634</v>
      </c>
      <c r="D714" s="78">
        <v>40999</v>
      </c>
      <c r="E714" s="79">
        <v>4.4999999999999997E-3</v>
      </c>
      <c r="F714" s="80"/>
      <c r="G714" s="81">
        <v>12866.88</v>
      </c>
      <c r="H714" s="80">
        <v>5301.18</v>
      </c>
      <c r="I714" s="79">
        <f>H714/G714</f>
        <v>0.41200197716929049</v>
      </c>
    </row>
    <row r="715" spans="1:9" x14ac:dyDescent="0.25">
      <c r="A715" s="76" t="s">
        <v>594</v>
      </c>
      <c r="B715" s="76" t="s">
        <v>599</v>
      </c>
      <c r="C715" s="77">
        <v>40823</v>
      </c>
      <c r="D715" s="78">
        <v>41188</v>
      </c>
      <c r="E715" s="79">
        <v>0.63</v>
      </c>
      <c r="F715" s="80"/>
      <c r="G715" s="81">
        <v>10015.120000000001</v>
      </c>
      <c r="H715" s="80">
        <v>5259.32</v>
      </c>
      <c r="I715" s="79">
        <f>H715/G715</f>
        <v>0.52513799135706807</v>
      </c>
    </row>
    <row r="716" spans="1:9" x14ac:dyDescent="0.25">
      <c r="A716" s="76" t="s">
        <v>674</v>
      </c>
      <c r="B716" s="76" t="s">
        <v>175</v>
      </c>
      <c r="C716" s="77">
        <v>40911</v>
      </c>
      <c r="D716" s="78">
        <v>41274</v>
      </c>
      <c r="E716" s="79">
        <v>8.9999999999999993E-3</v>
      </c>
      <c r="F716" s="80"/>
      <c r="G716" s="81">
        <v>39522</v>
      </c>
      <c r="H716" s="80">
        <v>5220.83</v>
      </c>
      <c r="I716" s="79">
        <f>H716/G716</f>
        <v>0.13209933707808308</v>
      </c>
    </row>
    <row r="717" spans="1:9" x14ac:dyDescent="0.25">
      <c r="A717" s="76" t="s">
        <v>220</v>
      </c>
      <c r="B717" s="76" t="s">
        <v>231</v>
      </c>
      <c r="C717" s="77">
        <v>40994</v>
      </c>
      <c r="D717" s="78">
        <v>41097</v>
      </c>
      <c r="E717" s="79">
        <v>0.23</v>
      </c>
      <c r="F717" s="80">
        <v>22658</v>
      </c>
      <c r="G717" s="81"/>
      <c r="H717" s="80">
        <v>5211.34</v>
      </c>
      <c r="I717" s="79">
        <f>H717/F717</f>
        <v>0.23</v>
      </c>
    </row>
    <row r="718" spans="1:9" x14ac:dyDescent="0.25">
      <c r="A718" s="76" t="s">
        <v>281</v>
      </c>
      <c r="B718" s="76" t="s">
        <v>286</v>
      </c>
      <c r="C718" s="77">
        <v>40709</v>
      </c>
      <c r="D718" s="78">
        <v>41060</v>
      </c>
      <c r="E718" s="79">
        <v>0.54</v>
      </c>
      <c r="F718" s="80">
        <v>7837</v>
      </c>
      <c r="G718" s="81"/>
      <c r="H718" s="80">
        <v>5191.6400000000003</v>
      </c>
      <c r="I718" s="79">
        <f>H718/F718</f>
        <v>0.66245246905703714</v>
      </c>
    </row>
    <row r="719" spans="1:9" x14ac:dyDescent="0.25">
      <c r="A719" s="76" t="s">
        <v>555</v>
      </c>
      <c r="B719" s="76" t="s">
        <v>67</v>
      </c>
      <c r="C719" s="77">
        <v>40780</v>
      </c>
      <c r="D719" s="78">
        <v>41145</v>
      </c>
      <c r="E719" s="79">
        <v>0.1</v>
      </c>
      <c r="F719" s="80">
        <v>51233</v>
      </c>
      <c r="G719" s="81"/>
      <c r="H719" s="80">
        <v>5123.3</v>
      </c>
      <c r="I719" s="79">
        <f>H719/F719</f>
        <v>0.1</v>
      </c>
    </row>
    <row r="720" spans="1:9" x14ac:dyDescent="0.25">
      <c r="A720" s="76" t="s">
        <v>220</v>
      </c>
      <c r="B720" s="76" t="s">
        <v>1840</v>
      </c>
      <c r="C720" s="77">
        <v>40847</v>
      </c>
      <c r="D720" s="78">
        <v>40989</v>
      </c>
      <c r="E720" s="79">
        <v>0.22</v>
      </c>
      <c r="F720" s="80">
        <v>23170</v>
      </c>
      <c r="G720" s="81"/>
      <c r="H720" s="80">
        <v>5097.3999999999996</v>
      </c>
      <c r="I720" s="79">
        <f>H720/F720</f>
        <v>0.21999999999999997</v>
      </c>
    </row>
    <row r="721" spans="1:9" x14ac:dyDescent="0.25">
      <c r="A721" s="76" t="s">
        <v>410</v>
      </c>
      <c r="B721" s="76" t="s">
        <v>411</v>
      </c>
      <c r="C721" s="77">
        <v>40729</v>
      </c>
      <c r="D721" s="78">
        <v>40939</v>
      </c>
      <c r="E721" s="79">
        <v>0.12</v>
      </c>
      <c r="F721" s="88"/>
      <c r="G721" s="81">
        <v>42404.5</v>
      </c>
      <c r="H721" s="80">
        <v>5088.54</v>
      </c>
      <c r="I721" s="79">
        <f>H721/G721</f>
        <v>0.12</v>
      </c>
    </row>
    <row r="722" spans="1:9" x14ac:dyDescent="0.25">
      <c r="A722" s="76" t="s">
        <v>485</v>
      </c>
      <c r="B722" s="76" t="s">
        <v>486</v>
      </c>
      <c r="C722" s="77">
        <v>41037</v>
      </c>
      <c r="D722" s="78">
        <v>41274</v>
      </c>
      <c r="E722" s="79">
        <v>0.45</v>
      </c>
      <c r="F722" s="80">
        <v>42270</v>
      </c>
      <c r="G722" s="81"/>
      <c r="H722" s="80">
        <v>5021</v>
      </c>
      <c r="I722" s="79">
        <f>H722/F722</f>
        <v>0.11878400757038088</v>
      </c>
    </row>
    <row r="723" spans="1:9" x14ac:dyDescent="0.25">
      <c r="A723" s="76" t="s">
        <v>429</v>
      </c>
      <c r="B723" s="76" t="s">
        <v>435</v>
      </c>
      <c r="C723" s="77">
        <v>41029</v>
      </c>
      <c r="D723" s="78">
        <v>41151</v>
      </c>
      <c r="E723" s="79">
        <v>0.2</v>
      </c>
      <c r="F723" s="88"/>
      <c r="G723" s="81">
        <v>25005</v>
      </c>
      <c r="H723" s="80">
        <v>5001</v>
      </c>
      <c r="I723" s="79">
        <f>H723/G723</f>
        <v>0.2</v>
      </c>
    </row>
    <row r="724" spans="1:9" x14ac:dyDescent="0.25">
      <c r="A724" s="70" t="s">
        <v>20</v>
      </c>
      <c r="B724" s="70" t="s">
        <v>27</v>
      </c>
      <c r="C724" s="71">
        <v>40679</v>
      </c>
      <c r="D724" s="72">
        <v>41029</v>
      </c>
      <c r="E724" s="73">
        <v>0</v>
      </c>
      <c r="F724" s="74"/>
      <c r="G724" s="75">
        <v>4491</v>
      </c>
      <c r="H724" s="74">
        <v>4941.6099999999997</v>
      </c>
      <c r="I724" s="73">
        <v>0.24456151638127288</v>
      </c>
    </row>
    <row r="725" spans="1:9" x14ac:dyDescent="0.25">
      <c r="A725" s="76" t="s">
        <v>317</v>
      </c>
      <c r="B725" s="76" t="s">
        <v>320</v>
      </c>
      <c r="C725" s="77">
        <v>40955</v>
      </c>
      <c r="D725" s="78">
        <v>41305</v>
      </c>
      <c r="E725" s="79">
        <v>8.9999999999999998E-4</v>
      </c>
      <c r="F725" s="80">
        <v>68711.45</v>
      </c>
      <c r="G725" s="81"/>
      <c r="H725" s="80">
        <v>4861.0600000000004</v>
      </c>
      <c r="I725" s="79">
        <f>H725/F725</f>
        <v>7.074599648239123E-2</v>
      </c>
    </row>
    <row r="726" spans="1:9" x14ac:dyDescent="0.25">
      <c r="A726" s="76" t="s">
        <v>555</v>
      </c>
      <c r="B726" s="76" t="s">
        <v>69</v>
      </c>
      <c r="C726" s="77">
        <v>40804</v>
      </c>
      <c r="D726" s="78">
        <v>41169</v>
      </c>
      <c r="E726" s="79">
        <v>0.09</v>
      </c>
      <c r="F726" s="80">
        <v>47735.97</v>
      </c>
      <c r="G726" s="81"/>
      <c r="H726" s="80">
        <v>4773.6000000000004</v>
      </c>
      <c r="I726" s="79">
        <f>H726/F726</f>
        <v>0.10000006284569059</v>
      </c>
    </row>
    <row r="727" spans="1:9" x14ac:dyDescent="0.25">
      <c r="A727" s="70" t="s">
        <v>38</v>
      </c>
      <c r="B727" s="70" t="s">
        <v>55</v>
      </c>
      <c r="C727" s="71">
        <v>40959</v>
      </c>
      <c r="D727" s="72">
        <v>41316</v>
      </c>
      <c r="E727" s="73">
        <v>0.40500000000000003</v>
      </c>
      <c r="F727" s="74"/>
      <c r="G727" s="75">
        <v>10579.97</v>
      </c>
      <c r="H727" s="74">
        <v>4760.99</v>
      </c>
      <c r="I727" s="73">
        <v>0.45000033081379248</v>
      </c>
    </row>
    <row r="728" spans="1:9" x14ac:dyDescent="0.25">
      <c r="A728" s="76" t="s">
        <v>790</v>
      </c>
      <c r="B728" s="76" t="s">
        <v>483</v>
      </c>
      <c r="C728" s="77">
        <v>40603</v>
      </c>
      <c r="D728" s="78">
        <v>40967</v>
      </c>
      <c r="E728" s="79">
        <v>0.16</v>
      </c>
      <c r="F728" s="80">
        <v>29501</v>
      </c>
      <c r="G728" s="81"/>
      <c r="H728" s="80">
        <v>4720.16</v>
      </c>
      <c r="I728" s="73">
        <f>H728/F728</f>
        <v>0.16</v>
      </c>
    </row>
    <row r="729" spans="1:9" x14ac:dyDescent="0.25">
      <c r="A729" s="76" t="s">
        <v>674</v>
      </c>
      <c r="B729" s="76" t="s">
        <v>29</v>
      </c>
      <c r="C729" s="77">
        <v>40938</v>
      </c>
      <c r="D729" s="78">
        <v>41274</v>
      </c>
      <c r="E729" s="79">
        <v>0.24660000000000001</v>
      </c>
      <c r="F729" s="80"/>
      <c r="G729" s="81">
        <v>8219</v>
      </c>
      <c r="H729" s="80">
        <v>4708.57</v>
      </c>
      <c r="I729" s="79">
        <f>H729/G729</f>
        <v>0.57288842924930039</v>
      </c>
    </row>
    <row r="730" spans="1:9" x14ac:dyDescent="0.25">
      <c r="A730" s="76" t="s">
        <v>516</v>
      </c>
      <c r="B730" s="76" t="s">
        <v>521</v>
      </c>
      <c r="C730" s="77">
        <v>41061</v>
      </c>
      <c r="D730" s="78">
        <v>41364</v>
      </c>
      <c r="E730" s="79">
        <v>0.2</v>
      </c>
      <c r="F730" s="80">
        <v>22055</v>
      </c>
      <c r="G730" s="88"/>
      <c r="H730" s="80">
        <v>4702.8999999999996</v>
      </c>
      <c r="I730" s="79">
        <f>H730/F730</f>
        <v>0.21323509408297436</v>
      </c>
    </row>
    <row r="731" spans="1:9" x14ac:dyDescent="0.25">
      <c r="A731" s="76" t="s">
        <v>643</v>
      </c>
      <c r="B731" s="76" t="s">
        <v>158</v>
      </c>
      <c r="C731" s="77">
        <v>40555</v>
      </c>
      <c r="D731" s="78">
        <v>40919</v>
      </c>
      <c r="E731" s="79">
        <v>4.4999999999999997E-3</v>
      </c>
      <c r="F731" s="80"/>
      <c r="G731" s="81">
        <v>12082.01</v>
      </c>
      <c r="H731" s="80">
        <v>4699.6099999999997</v>
      </c>
      <c r="I731" s="79">
        <f>H731/G731</f>
        <v>0.3889758409403733</v>
      </c>
    </row>
    <row r="732" spans="1:9" x14ac:dyDescent="0.25">
      <c r="A732" s="76" t="s">
        <v>317</v>
      </c>
      <c r="B732" s="76" t="s">
        <v>203</v>
      </c>
      <c r="C732" s="77">
        <v>40919</v>
      </c>
      <c r="D732" s="78">
        <v>41213</v>
      </c>
      <c r="E732" s="79">
        <v>1.7999999999999999E-2</v>
      </c>
      <c r="F732" s="80">
        <v>8130</v>
      </c>
      <c r="G732" s="81"/>
      <c r="H732" s="80">
        <v>4669.6499999999996</v>
      </c>
      <c r="I732" s="79">
        <f>H732/F732</f>
        <v>0.57437269372693722</v>
      </c>
    </row>
    <row r="733" spans="1:9" x14ac:dyDescent="0.25">
      <c r="A733" s="76" t="s">
        <v>220</v>
      </c>
      <c r="B733" s="76" t="s">
        <v>222</v>
      </c>
      <c r="C733" s="77">
        <v>40826</v>
      </c>
      <c r="D733" s="78">
        <v>40956</v>
      </c>
      <c r="E733" s="79">
        <v>0.2</v>
      </c>
      <c r="F733" s="80">
        <v>23322</v>
      </c>
      <c r="G733" s="81"/>
      <c r="H733" s="80">
        <v>4664.3999999999996</v>
      </c>
      <c r="I733" s="79">
        <f>H733/F733</f>
        <v>0.19999999999999998</v>
      </c>
    </row>
    <row r="734" spans="1:9" x14ac:dyDescent="0.25">
      <c r="A734" s="76" t="s">
        <v>317</v>
      </c>
      <c r="B734" s="76" t="s">
        <v>247</v>
      </c>
      <c r="C734" s="77">
        <v>40725</v>
      </c>
      <c r="D734" s="78">
        <v>41090</v>
      </c>
      <c r="E734" s="79">
        <v>0</v>
      </c>
      <c r="F734" s="80">
        <v>41352.800000000003</v>
      </c>
      <c r="G734" s="81"/>
      <c r="H734" s="80">
        <v>4648.3100000000004</v>
      </c>
      <c r="I734" s="79">
        <f>H734/F734</f>
        <v>0.11240617322164401</v>
      </c>
    </row>
    <row r="735" spans="1:9" x14ac:dyDescent="0.25">
      <c r="A735" s="70" t="s">
        <v>56</v>
      </c>
      <c r="B735" s="70" t="s">
        <v>59</v>
      </c>
      <c r="C735" s="71">
        <v>40603</v>
      </c>
      <c r="D735" s="72">
        <v>40968</v>
      </c>
      <c r="E735" s="73">
        <v>8.9999999999999993E-3</v>
      </c>
      <c r="F735" s="74">
        <v>5925</v>
      </c>
      <c r="G735" s="75"/>
      <c r="H735" s="74">
        <v>4613.1099999999997</v>
      </c>
      <c r="I735" s="73">
        <v>0.7785839662447257</v>
      </c>
    </row>
    <row r="736" spans="1:9" x14ac:dyDescent="0.25">
      <c r="A736" s="70" t="s">
        <v>66</v>
      </c>
      <c r="B736" s="70" t="s">
        <v>70</v>
      </c>
      <c r="C736" s="71">
        <v>40820</v>
      </c>
      <c r="D736" s="72">
        <v>41185</v>
      </c>
      <c r="E736" s="73">
        <v>0.09</v>
      </c>
      <c r="F736" s="74">
        <v>30623</v>
      </c>
      <c r="G736" s="75"/>
      <c r="H736" s="74">
        <v>4593.45</v>
      </c>
      <c r="I736" s="73">
        <v>0.15</v>
      </c>
    </row>
    <row r="737" spans="1:9" x14ac:dyDescent="0.25">
      <c r="A737" s="76" t="s">
        <v>790</v>
      </c>
      <c r="B737" s="100" t="s">
        <v>420</v>
      </c>
      <c r="C737" s="77">
        <v>40664</v>
      </c>
      <c r="D737" s="78">
        <v>41029</v>
      </c>
      <c r="E737" s="79">
        <v>0.18</v>
      </c>
      <c r="F737" s="80">
        <v>25463.88</v>
      </c>
      <c r="G737" s="81"/>
      <c r="H737" s="80">
        <v>4583.5</v>
      </c>
      <c r="I737" s="73">
        <f>H737/F737</f>
        <v>0.18000006283410069</v>
      </c>
    </row>
    <row r="738" spans="1:9" x14ac:dyDescent="0.25">
      <c r="A738" s="76" t="s">
        <v>512</v>
      </c>
      <c r="B738" s="76" t="s">
        <v>69</v>
      </c>
      <c r="C738" s="77">
        <v>41170</v>
      </c>
      <c r="D738" s="78">
        <v>41534</v>
      </c>
      <c r="E738" s="79">
        <v>0.09</v>
      </c>
      <c r="F738" s="80"/>
      <c r="G738" s="81">
        <v>45671</v>
      </c>
      <c r="H738" s="80">
        <v>4567.1000000000004</v>
      </c>
      <c r="I738" s="79">
        <f>H738/G738</f>
        <v>0.1</v>
      </c>
    </row>
    <row r="739" spans="1:9" x14ac:dyDescent="0.25">
      <c r="A739" s="76" t="s">
        <v>516</v>
      </c>
      <c r="B739" s="76" t="s">
        <v>521</v>
      </c>
      <c r="C739" s="77">
        <v>40695</v>
      </c>
      <c r="D739" s="78">
        <v>40999</v>
      </c>
      <c r="E739" s="79">
        <v>0.15</v>
      </c>
      <c r="F739" s="80">
        <v>20902</v>
      </c>
      <c r="G739" s="88"/>
      <c r="H739" s="80">
        <v>4515.74</v>
      </c>
      <c r="I739" s="79">
        <f>H739/F739</f>
        <v>0.21604344081906038</v>
      </c>
    </row>
    <row r="740" spans="1:9" x14ac:dyDescent="0.25">
      <c r="A740" s="76" t="s">
        <v>367</v>
      </c>
      <c r="B740" s="76" t="s">
        <v>43</v>
      </c>
      <c r="C740" s="77">
        <v>40801</v>
      </c>
      <c r="D740" s="78">
        <v>41166</v>
      </c>
      <c r="E740" s="79">
        <v>0.14000000000000001</v>
      </c>
      <c r="F740" s="80">
        <v>32162.560000000001</v>
      </c>
      <c r="G740" s="81"/>
      <c r="H740" s="80">
        <v>4502.76</v>
      </c>
      <c r="I740" s="79">
        <f>H740/F740</f>
        <v>0.14000004974728381</v>
      </c>
    </row>
    <row r="741" spans="1:9" x14ac:dyDescent="0.25">
      <c r="A741" s="70" t="s">
        <v>38</v>
      </c>
      <c r="B741" s="70" t="s">
        <v>43</v>
      </c>
      <c r="C741" s="71">
        <v>41092</v>
      </c>
      <c r="D741" s="72">
        <v>41152</v>
      </c>
      <c r="E741" s="73">
        <v>0.18</v>
      </c>
      <c r="F741" s="74"/>
      <c r="G741" s="75">
        <v>29614</v>
      </c>
      <c r="H741" s="74">
        <v>4442.1000000000004</v>
      </c>
      <c r="I741" s="73">
        <v>0.15000000000000002</v>
      </c>
    </row>
    <row r="742" spans="1:9" x14ac:dyDescent="0.25">
      <c r="A742" s="76" t="s">
        <v>220</v>
      </c>
      <c r="B742" s="76" t="s">
        <v>229</v>
      </c>
      <c r="C742" s="77">
        <v>40959</v>
      </c>
      <c r="D742" s="78">
        <v>41018</v>
      </c>
      <c r="E742" s="79">
        <v>0.3</v>
      </c>
      <c r="F742" s="80">
        <v>14725</v>
      </c>
      <c r="G742" s="81"/>
      <c r="H742" s="80">
        <v>4417.5</v>
      </c>
      <c r="I742" s="79">
        <f>H742/F742</f>
        <v>0.3</v>
      </c>
    </row>
    <row r="743" spans="1:9" x14ac:dyDescent="0.25">
      <c r="A743" s="70" t="s">
        <v>95</v>
      </c>
      <c r="B743" s="70" t="s">
        <v>51</v>
      </c>
      <c r="C743" s="71">
        <v>40694</v>
      </c>
      <c r="D743" s="72">
        <v>41012</v>
      </c>
      <c r="E743" s="73">
        <v>0.15</v>
      </c>
      <c r="F743" s="74">
        <v>44109</v>
      </c>
      <c r="G743" s="75"/>
      <c r="H743" s="74">
        <v>4410.8999999999996</v>
      </c>
      <c r="I743" s="73">
        <v>9.9999999999999992E-2</v>
      </c>
    </row>
    <row r="744" spans="1:9" x14ac:dyDescent="0.25">
      <c r="A744" s="76" t="s">
        <v>512</v>
      </c>
      <c r="B744" s="76" t="s">
        <v>420</v>
      </c>
      <c r="C744" s="77">
        <v>40575</v>
      </c>
      <c r="D744" s="78">
        <v>40939</v>
      </c>
      <c r="E744" s="79">
        <v>0.15</v>
      </c>
      <c r="F744" s="88"/>
      <c r="G744" s="81">
        <v>29347.42</v>
      </c>
      <c r="H744" s="80">
        <v>4402.1099999999997</v>
      </c>
      <c r="I744" s="79">
        <f>H744/G744</f>
        <v>0.1499998977763633</v>
      </c>
    </row>
    <row r="745" spans="1:9" x14ac:dyDescent="0.25">
      <c r="A745" s="76" t="s">
        <v>568</v>
      </c>
      <c r="B745" s="76" t="s">
        <v>569</v>
      </c>
      <c r="C745" s="77">
        <v>40739</v>
      </c>
      <c r="D745" s="78">
        <v>41075</v>
      </c>
      <c r="E745" s="79">
        <v>0.18</v>
      </c>
      <c r="F745" s="80">
        <v>23704</v>
      </c>
      <c r="G745" s="81"/>
      <c r="H745" s="80">
        <v>4312</v>
      </c>
      <c r="I745" s="79">
        <f>H745/F745</f>
        <v>0.18191022612217347</v>
      </c>
    </row>
    <row r="746" spans="1:9" x14ac:dyDescent="0.25">
      <c r="A746" s="70" t="s">
        <v>118</v>
      </c>
      <c r="B746" s="70" t="s">
        <v>43</v>
      </c>
      <c r="C746" s="71">
        <v>40736</v>
      </c>
      <c r="D746" s="72">
        <v>41101</v>
      </c>
      <c r="E746" s="73">
        <v>0.17</v>
      </c>
      <c r="F746" s="74"/>
      <c r="G746" s="75">
        <v>84648.22</v>
      </c>
      <c r="H746" s="74">
        <v>4308.91</v>
      </c>
      <c r="I746" s="73">
        <v>5.0000000000000001E-4</v>
      </c>
    </row>
    <row r="747" spans="1:9" x14ac:dyDescent="0.25">
      <c r="A747" s="70" t="s">
        <v>113</v>
      </c>
      <c r="B747" s="70" t="s">
        <v>31</v>
      </c>
      <c r="C747" s="71">
        <v>40612</v>
      </c>
      <c r="D747" s="72">
        <v>40939</v>
      </c>
      <c r="E747" s="73">
        <v>8.9999999999999993E-3</v>
      </c>
      <c r="F747" s="74"/>
      <c r="G747" s="75">
        <v>7187</v>
      </c>
      <c r="H747" s="74">
        <v>4306</v>
      </c>
      <c r="I747" s="73">
        <v>0.59913733129261171</v>
      </c>
    </row>
    <row r="748" spans="1:9" x14ac:dyDescent="0.25">
      <c r="A748" s="76" t="s">
        <v>410</v>
      </c>
      <c r="B748" s="76" t="s">
        <v>412</v>
      </c>
      <c r="C748" s="77">
        <v>40913</v>
      </c>
      <c r="D748" s="78">
        <v>41060</v>
      </c>
      <c r="E748" s="79">
        <v>0.23</v>
      </c>
      <c r="F748" s="88"/>
      <c r="G748" s="81">
        <v>18670</v>
      </c>
      <c r="H748" s="80">
        <v>4279.01</v>
      </c>
      <c r="I748" s="79">
        <f>H748/G748</f>
        <v>0.22919175147295126</v>
      </c>
    </row>
    <row r="749" spans="1:9" x14ac:dyDescent="0.25">
      <c r="A749" s="76" t="s">
        <v>246</v>
      </c>
      <c r="B749" s="76" t="s">
        <v>109</v>
      </c>
      <c r="C749" s="77">
        <v>40909</v>
      </c>
      <c r="D749" s="78">
        <v>41274</v>
      </c>
      <c r="E749" s="79">
        <v>0</v>
      </c>
      <c r="F749" s="80">
        <v>57024</v>
      </c>
      <c r="G749" s="81"/>
      <c r="H749" s="80">
        <v>4271.92</v>
      </c>
      <c r="I749" s="79">
        <f>H749/F749</f>
        <v>7.4914421997755332E-2</v>
      </c>
    </row>
    <row r="750" spans="1:9" x14ac:dyDescent="0.25">
      <c r="A750" s="70" t="s">
        <v>66</v>
      </c>
      <c r="B750" s="70" t="s">
        <v>69</v>
      </c>
      <c r="C750" s="71">
        <v>40804</v>
      </c>
      <c r="D750" s="72">
        <v>41169</v>
      </c>
      <c r="E750" s="73">
        <v>0.09</v>
      </c>
      <c r="F750" s="74">
        <v>42324.33</v>
      </c>
      <c r="G750" s="75"/>
      <c r="H750" s="74">
        <v>4232.43</v>
      </c>
      <c r="I750" s="73">
        <v>9.9999929118783457E-2</v>
      </c>
    </row>
    <row r="751" spans="1:9" x14ac:dyDescent="0.25">
      <c r="A751" s="76" t="s">
        <v>558</v>
      </c>
      <c r="B751" s="76" t="s">
        <v>561</v>
      </c>
      <c r="C751" s="77">
        <v>40812</v>
      </c>
      <c r="D751" s="78">
        <v>41152</v>
      </c>
      <c r="E751" s="79">
        <v>0.14000000000000001</v>
      </c>
      <c r="F751" s="88"/>
      <c r="G751" s="81">
        <v>22404</v>
      </c>
      <c r="H751" s="80">
        <v>4209.5600000000004</v>
      </c>
      <c r="I751" s="79">
        <f>H751/G751</f>
        <v>0.18789323335118729</v>
      </c>
    </row>
    <row r="752" spans="1:9" x14ac:dyDescent="0.25">
      <c r="A752" s="76" t="s">
        <v>531</v>
      </c>
      <c r="B752" s="76" t="s">
        <v>548</v>
      </c>
      <c r="C752" s="77">
        <v>41000</v>
      </c>
      <c r="D752" s="78">
        <v>41364</v>
      </c>
      <c r="E752" s="79">
        <v>8.9999999999999993E-3</v>
      </c>
      <c r="F752" s="80"/>
      <c r="G752" s="81">
        <v>10483</v>
      </c>
      <c r="H752" s="80">
        <v>4204</v>
      </c>
      <c r="I752" s="79">
        <f>H752/G752</f>
        <v>0.40103023943527616</v>
      </c>
    </row>
    <row r="753" spans="1:9" x14ac:dyDescent="0.25">
      <c r="A753" s="76" t="s">
        <v>643</v>
      </c>
      <c r="B753" s="76" t="s">
        <v>458</v>
      </c>
      <c r="C753" s="77">
        <v>40724</v>
      </c>
      <c r="D753" s="78">
        <v>41089</v>
      </c>
      <c r="E753" s="79">
        <v>4.4999999999999997E-3</v>
      </c>
      <c r="F753" s="80"/>
      <c r="G753" s="81">
        <v>54779</v>
      </c>
      <c r="H753" s="80">
        <v>4193</v>
      </c>
      <c r="I753" s="79">
        <f>H753/G753</f>
        <v>7.6543931068475152E-2</v>
      </c>
    </row>
    <row r="754" spans="1:9" x14ac:dyDescent="0.25">
      <c r="A754" s="76" t="s">
        <v>790</v>
      </c>
      <c r="B754" s="76" t="s">
        <v>1723</v>
      </c>
      <c r="C754" s="77">
        <v>40827</v>
      </c>
      <c r="D754" s="78">
        <v>41192</v>
      </c>
      <c r="E754" s="79">
        <v>0.16</v>
      </c>
      <c r="F754" s="80">
        <v>25819</v>
      </c>
      <c r="G754" s="81"/>
      <c r="H754" s="80">
        <v>4131.04</v>
      </c>
      <c r="I754" s="73">
        <f>H754/F754</f>
        <v>0.16</v>
      </c>
    </row>
    <row r="755" spans="1:9" x14ac:dyDescent="0.25">
      <c r="A755" s="76" t="s">
        <v>317</v>
      </c>
      <c r="B755" s="76" t="s">
        <v>342</v>
      </c>
      <c r="C755" s="77">
        <v>40830</v>
      </c>
      <c r="D755" s="78">
        <v>41121</v>
      </c>
      <c r="E755" s="79">
        <v>0</v>
      </c>
      <c r="F755" s="80"/>
      <c r="G755" s="81">
        <v>6513</v>
      </c>
      <c r="H755" s="80">
        <v>4124.03</v>
      </c>
      <c r="I755" s="79">
        <f>H755/G755</f>
        <v>0.63319975433747888</v>
      </c>
    </row>
    <row r="756" spans="1:9" x14ac:dyDescent="0.25">
      <c r="A756" s="76" t="s">
        <v>643</v>
      </c>
      <c r="B756" s="76" t="s">
        <v>648</v>
      </c>
      <c r="C756" s="77">
        <v>40695</v>
      </c>
      <c r="D756" s="78">
        <v>41060</v>
      </c>
      <c r="E756" s="79">
        <v>4.4999999999999997E-3</v>
      </c>
      <c r="F756" s="80"/>
      <c r="G756" s="81">
        <v>10725</v>
      </c>
      <c r="H756" s="80">
        <v>4031.08</v>
      </c>
      <c r="I756" s="79">
        <f>H756/G756</f>
        <v>0.37585827505827507</v>
      </c>
    </row>
    <row r="757" spans="1:9" x14ac:dyDescent="0.25">
      <c r="A757" s="76" t="s">
        <v>317</v>
      </c>
      <c r="B757" s="76" t="s">
        <v>181</v>
      </c>
      <c r="C757" s="77">
        <v>41123</v>
      </c>
      <c r="D757" s="78">
        <v>41455</v>
      </c>
      <c r="E757" s="79">
        <v>8.9999999999999998E-4</v>
      </c>
      <c r="F757" s="80"/>
      <c r="G757" s="81">
        <v>53234.36</v>
      </c>
      <c r="H757" s="80">
        <v>4026.76</v>
      </c>
      <c r="I757" s="79">
        <f>H757/G757</f>
        <v>7.5642122869515105E-2</v>
      </c>
    </row>
    <row r="758" spans="1:9" x14ac:dyDescent="0.25">
      <c r="A758" s="76" t="s">
        <v>315</v>
      </c>
      <c r="B758" s="76" t="s">
        <v>316</v>
      </c>
      <c r="C758" s="77">
        <v>40575</v>
      </c>
      <c r="D758" s="78">
        <v>40924</v>
      </c>
      <c r="E758" s="79">
        <v>1.7999999999999999E-2</v>
      </c>
      <c r="F758" s="80">
        <v>77595.710000000006</v>
      </c>
      <c r="G758" s="81"/>
      <c r="H758" s="80">
        <v>4010.53</v>
      </c>
      <c r="I758" s="79">
        <f>H758/F758</f>
        <v>5.1684944953786748E-2</v>
      </c>
    </row>
    <row r="759" spans="1:9" x14ac:dyDescent="0.25">
      <c r="A759" s="76" t="s">
        <v>384</v>
      </c>
      <c r="B759" s="76" t="s">
        <v>387</v>
      </c>
      <c r="C759" s="77">
        <v>41039</v>
      </c>
      <c r="D759" s="78">
        <v>41060</v>
      </c>
      <c r="E759" s="79">
        <v>4.4999999999999998E-2</v>
      </c>
      <c r="F759" s="80"/>
      <c r="G759" s="81">
        <v>4750</v>
      </c>
      <c r="H759" s="80">
        <v>3976.5</v>
      </c>
      <c r="I759" s="79">
        <f>H759/G759</f>
        <v>0.8371578947368421</v>
      </c>
    </row>
    <row r="760" spans="1:9" x14ac:dyDescent="0.25">
      <c r="A760" s="76" t="s">
        <v>317</v>
      </c>
      <c r="B760" s="76" t="s">
        <v>318</v>
      </c>
      <c r="C760" s="77">
        <v>40611</v>
      </c>
      <c r="D760" s="78">
        <v>40931</v>
      </c>
      <c r="E760" s="79">
        <v>0</v>
      </c>
      <c r="F760" s="80"/>
      <c r="G760" s="81">
        <v>6870.02</v>
      </c>
      <c r="H760" s="80">
        <v>3907.44</v>
      </c>
      <c r="I760" s="79">
        <f>H760/G760</f>
        <v>0.5687669031531204</v>
      </c>
    </row>
    <row r="761" spans="1:9" x14ac:dyDescent="0.25">
      <c r="A761" s="76" t="s">
        <v>235</v>
      </c>
      <c r="B761" s="76" t="s">
        <v>94</v>
      </c>
      <c r="C761" s="77">
        <v>40836</v>
      </c>
      <c r="D761" s="78">
        <v>41201</v>
      </c>
      <c r="E761" s="79">
        <v>0.33</v>
      </c>
      <c r="F761" s="80"/>
      <c r="G761" s="81">
        <v>4171.12</v>
      </c>
      <c r="H761" s="80">
        <v>3877.37</v>
      </c>
      <c r="I761" s="79">
        <f>H761/G761</f>
        <v>0.92957526995147588</v>
      </c>
    </row>
    <row r="762" spans="1:9" x14ac:dyDescent="0.25">
      <c r="A762" s="76" t="s">
        <v>674</v>
      </c>
      <c r="B762" s="76" t="s">
        <v>213</v>
      </c>
      <c r="C762" s="77">
        <v>40911</v>
      </c>
      <c r="D762" s="78">
        <v>41274</v>
      </c>
      <c r="E762" s="79">
        <v>9.9000000000000005E-2</v>
      </c>
      <c r="F762" s="80"/>
      <c r="G762" s="81">
        <v>20514</v>
      </c>
      <c r="H762" s="80">
        <v>3840.44</v>
      </c>
      <c r="I762" s="79">
        <f>H762/G762</f>
        <v>0.18721068538559033</v>
      </c>
    </row>
    <row r="763" spans="1:9" x14ac:dyDescent="0.25">
      <c r="A763" s="76" t="s">
        <v>568</v>
      </c>
      <c r="B763" s="76" t="s">
        <v>571</v>
      </c>
      <c r="C763" s="77">
        <v>41156</v>
      </c>
      <c r="D763" s="78">
        <v>41459</v>
      </c>
      <c r="E763" s="79">
        <v>0.2</v>
      </c>
      <c r="F763" s="80">
        <v>18802</v>
      </c>
      <c r="G763" s="81"/>
      <c r="H763" s="80">
        <v>3776</v>
      </c>
      <c r="I763" s="79">
        <f>H763/F763</f>
        <v>0.20082969896819489</v>
      </c>
    </row>
    <row r="764" spans="1:9" x14ac:dyDescent="0.25">
      <c r="A764" s="76" t="s">
        <v>594</v>
      </c>
      <c r="B764" s="76" t="s">
        <v>600</v>
      </c>
      <c r="C764" s="77">
        <v>40843</v>
      </c>
      <c r="D764" s="78">
        <v>41090</v>
      </c>
      <c r="E764" s="79">
        <v>0.36</v>
      </c>
      <c r="F764" s="80"/>
      <c r="G764" s="81">
        <v>8920</v>
      </c>
      <c r="H764" s="80">
        <v>3775.39</v>
      </c>
      <c r="I764" s="79">
        <f>H764/G764</f>
        <v>0.42324999999999996</v>
      </c>
    </row>
    <row r="765" spans="1:9" x14ac:dyDescent="0.25">
      <c r="A765" s="76" t="s">
        <v>317</v>
      </c>
      <c r="B765" s="76" t="s">
        <v>319</v>
      </c>
      <c r="C765" s="77">
        <v>40612</v>
      </c>
      <c r="D765" s="78">
        <v>40939</v>
      </c>
      <c r="E765" s="79">
        <v>0</v>
      </c>
      <c r="F765" s="80"/>
      <c r="G765" s="81">
        <v>63732.959999999999</v>
      </c>
      <c r="H765" s="80">
        <v>3734.72</v>
      </c>
      <c r="I765" s="79">
        <f>H765/G765</f>
        <v>5.8599506440623499E-2</v>
      </c>
    </row>
    <row r="766" spans="1:9" x14ac:dyDescent="0.25">
      <c r="A766" s="76" t="s">
        <v>439</v>
      </c>
      <c r="B766" s="76" t="s">
        <v>442</v>
      </c>
      <c r="C766" s="77">
        <v>41162</v>
      </c>
      <c r="D766" s="78">
        <v>41419</v>
      </c>
      <c r="E766" s="79">
        <v>0.14000000000000001</v>
      </c>
      <c r="F766" s="88"/>
      <c r="G766" s="81">
        <v>18774</v>
      </c>
      <c r="H766" s="80">
        <v>3648.08</v>
      </c>
      <c r="I766" s="79">
        <f>H766/G766</f>
        <v>0.19431554277191862</v>
      </c>
    </row>
    <row r="767" spans="1:9" x14ac:dyDescent="0.25">
      <c r="A767" s="76" t="s">
        <v>643</v>
      </c>
      <c r="B767" s="76" t="s">
        <v>645</v>
      </c>
      <c r="C767" s="77">
        <v>40591</v>
      </c>
      <c r="D767" s="78">
        <v>40955</v>
      </c>
      <c r="E767" s="79">
        <v>4.4999999999999997E-3</v>
      </c>
      <c r="F767" s="80"/>
      <c r="G767" s="81">
        <v>70134.039999999994</v>
      </c>
      <c r="H767" s="80">
        <v>3609.86</v>
      </c>
      <c r="I767" s="79">
        <f>H767/G767</f>
        <v>5.1470869209872989E-2</v>
      </c>
    </row>
    <row r="768" spans="1:9" x14ac:dyDescent="0.25">
      <c r="A768" s="76" t="s">
        <v>613</v>
      </c>
      <c r="B768" s="76" t="s">
        <v>614</v>
      </c>
      <c r="C768" s="77">
        <v>40679</v>
      </c>
      <c r="D768" s="78">
        <v>41029</v>
      </c>
      <c r="E768" s="79">
        <v>8.9999999999999993E-3</v>
      </c>
      <c r="F768" s="80">
        <v>73709</v>
      </c>
      <c r="G768" s="81"/>
      <c r="H768" s="80">
        <v>3603</v>
      </c>
      <c r="I768" s="79">
        <f>H768/F768</f>
        <v>4.8881412039235371E-2</v>
      </c>
    </row>
    <row r="769" spans="1:9" x14ac:dyDescent="0.25">
      <c r="A769" s="76" t="s">
        <v>317</v>
      </c>
      <c r="B769" s="76" t="s">
        <v>323</v>
      </c>
      <c r="C769" s="77">
        <v>41015</v>
      </c>
      <c r="D769" s="78">
        <v>41379</v>
      </c>
      <c r="E769" s="79">
        <v>0</v>
      </c>
      <c r="F769" s="80"/>
      <c r="G769" s="81">
        <v>18438.68</v>
      </c>
      <c r="H769" s="80">
        <v>3540.4</v>
      </c>
      <c r="I769" s="79">
        <f>H769/G769</f>
        <v>0.1920094063132502</v>
      </c>
    </row>
    <row r="770" spans="1:9" x14ac:dyDescent="0.25">
      <c r="A770" s="76" t="s">
        <v>531</v>
      </c>
      <c r="B770" s="76" t="s">
        <v>90</v>
      </c>
      <c r="C770" s="77">
        <v>40718</v>
      </c>
      <c r="D770" s="78">
        <v>41083</v>
      </c>
      <c r="E770" s="79">
        <v>0.36</v>
      </c>
      <c r="F770" s="80"/>
      <c r="G770" s="81">
        <v>10669</v>
      </c>
      <c r="H770" s="80">
        <v>3520</v>
      </c>
      <c r="I770" s="79">
        <f>H770/G770</f>
        <v>0.32992782828756212</v>
      </c>
    </row>
    <row r="771" spans="1:9" x14ac:dyDescent="0.25">
      <c r="A771" s="70" t="s">
        <v>87</v>
      </c>
      <c r="B771" s="70" t="s">
        <v>93</v>
      </c>
      <c r="C771" s="71">
        <v>40849</v>
      </c>
      <c r="D771" s="72">
        <v>41214</v>
      </c>
      <c r="E771" s="73">
        <v>0.92500000000000004</v>
      </c>
      <c r="F771" s="74"/>
      <c r="G771" s="75">
        <v>3786.8</v>
      </c>
      <c r="H771" s="74">
        <v>3502.79</v>
      </c>
      <c r="I771" s="73">
        <v>0.92499999999999993</v>
      </c>
    </row>
    <row r="772" spans="1:9" x14ac:dyDescent="0.25">
      <c r="A772" s="76" t="s">
        <v>555</v>
      </c>
      <c r="B772" s="76" t="s">
        <v>68</v>
      </c>
      <c r="C772" s="77">
        <v>41155</v>
      </c>
      <c r="D772" s="78">
        <v>41519</v>
      </c>
      <c r="E772" s="79">
        <v>0.09</v>
      </c>
      <c r="F772" s="80">
        <v>34923.67</v>
      </c>
      <c r="G772" s="88"/>
      <c r="H772" s="80">
        <v>3492.37</v>
      </c>
      <c r="I772" s="79">
        <f>H772/F772</f>
        <v>0.10000008590162489</v>
      </c>
    </row>
    <row r="773" spans="1:9" x14ac:dyDescent="0.25">
      <c r="A773" s="76" t="s">
        <v>367</v>
      </c>
      <c r="B773" s="76" t="s">
        <v>43</v>
      </c>
      <c r="C773" s="77">
        <v>41167</v>
      </c>
      <c r="D773" s="78">
        <v>41531</v>
      </c>
      <c r="E773" s="79">
        <v>0.14000000000000001</v>
      </c>
      <c r="F773" s="80">
        <v>24732</v>
      </c>
      <c r="G773" s="81"/>
      <c r="H773" s="80">
        <v>3462.48</v>
      </c>
      <c r="I773" s="79">
        <f>H773/F773</f>
        <v>0.14000000000000001</v>
      </c>
    </row>
    <row r="774" spans="1:9" x14ac:dyDescent="0.25">
      <c r="A774" s="70" t="s">
        <v>20</v>
      </c>
      <c r="B774" s="70" t="s">
        <v>27</v>
      </c>
      <c r="C774" s="71">
        <v>40679</v>
      </c>
      <c r="D774" s="72">
        <v>41029</v>
      </c>
      <c r="E774" s="73">
        <v>0</v>
      </c>
      <c r="F774" s="74">
        <v>136417.5</v>
      </c>
      <c r="G774" s="75"/>
      <c r="H774" s="74">
        <v>3440.02</v>
      </c>
      <c r="I774" s="73">
        <v>0.76598085059006904</v>
      </c>
    </row>
    <row r="775" spans="1:9" x14ac:dyDescent="0.25">
      <c r="A775" s="76" t="s">
        <v>790</v>
      </c>
      <c r="B775" s="76" t="s">
        <v>79</v>
      </c>
      <c r="C775" s="77">
        <v>40909</v>
      </c>
      <c r="D775" s="78">
        <v>41274</v>
      </c>
      <c r="E775" s="79">
        <v>0.15</v>
      </c>
      <c r="F775" s="80">
        <v>21621</v>
      </c>
      <c r="G775" s="81"/>
      <c r="H775" s="80">
        <v>3434.73</v>
      </c>
      <c r="I775" s="73">
        <f>H775/F775</f>
        <v>0.15886082974885529</v>
      </c>
    </row>
    <row r="776" spans="1:9" ht="28.5" x14ac:dyDescent="0.25">
      <c r="A776" s="76" t="s">
        <v>449</v>
      </c>
      <c r="B776" s="76" t="s">
        <v>327</v>
      </c>
      <c r="C776" s="77">
        <v>41061</v>
      </c>
      <c r="D776" s="78">
        <v>41090</v>
      </c>
      <c r="E776" s="79">
        <v>0</v>
      </c>
      <c r="F776" s="80">
        <v>40953</v>
      </c>
      <c r="G776" s="81"/>
      <c r="H776" s="80">
        <v>3414</v>
      </c>
      <c r="I776" s="79">
        <f>H776/F776</f>
        <v>8.3363856127756208E-2</v>
      </c>
    </row>
    <row r="777" spans="1:9" x14ac:dyDescent="0.25">
      <c r="A777" s="76" t="s">
        <v>594</v>
      </c>
      <c r="B777" s="76" t="s">
        <v>600</v>
      </c>
      <c r="C777" s="77">
        <v>41116</v>
      </c>
      <c r="D777" s="78">
        <v>41480</v>
      </c>
      <c r="E777" s="79">
        <v>0.39600000000000002</v>
      </c>
      <c r="F777" s="80"/>
      <c r="G777" s="81">
        <v>14680.13</v>
      </c>
      <c r="H777" s="80">
        <v>3388.02</v>
      </c>
      <c r="I777" s="79">
        <f>H777/G777</f>
        <v>0.23078950935720596</v>
      </c>
    </row>
    <row r="778" spans="1:9" x14ac:dyDescent="0.25">
      <c r="A778" s="76" t="s">
        <v>594</v>
      </c>
      <c r="B778" s="76" t="s">
        <v>612</v>
      </c>
      <c r="C778" s="77">
        <v>41172</v>
      </c>
      <c r="D778" s="78">
        <v>41536</v>
      </c>
      <c r="E778" s="79">
        <v>0.39600000000000002</v>
      </c>
      <c r="F778" s="80"/>
      <c r="G778" s="81">
        <v>7010</v>
      </c>
      <c r="H778" s="80">
        <v>3360</v>
      </c>
      <c r="I778" s="79">
        <f>H778/G778</f>
        <v>0.47931526390870183</v>
      </c>
    </row>
    <row r="779" spans="1:9" x14ac:dyDescent="0.25">
      <c r="A779" s="76" t="s">
        <v>790</v>
      </c>
      <c r="B779" s="76" t="s">
        <v>1722</v>
      </c>
      <c r="C779" s="77">
        <v>40787</v>
      </c>
      <c r="D779" s="78">
        <v>41152</v>
      </c>
      <c r="E779" s="79">
        <v>0.16</v>
      </c>
      <c r="F779" s="80">
        <v>20880.04</v>
      </c>
      <c r="G779" s="81"/>
      <c r="H779" s="80">
        <v>3340.81</v>
      </c>
      <c r="I779" s="73">
        <f>H779/F779</f>
        <v>0.16000017241346279</v>
      </c>
    </row>
    <row r="780" spans="1:9" x14ac:dyDescent="0.25">
      <c r="A780" s="76" t="s">
        <v>502</v>
      </c>
      <c r="B780" s="76" t="s">
        <v>19</v>
      </c>
      <c r="C780" s="77">
        <v>41154</v>
      </c>
      <c r="D780" s="78">
        <v>41289</v>
      </c>
      <c r="E780" s="79">
        <v>0.92500000000000004</v>
      </c>
      <c r="F780" s="80">
        <v>3586.63</v>
      </c>
      <c r="G780" s="81"/>
      <c r="H780" s="80">
        <v>3317.63</v>
      </c>
      <c r="I780" s="79">
        <f>H780/F780</f>
        <v>0.92499923326353706</v>
      </c>
    </row>
    <row r="781" spans="1:9" ht="28.5" x14ac:dyDescent="0.25">
      <c r="A781" s="70" t="s">
        <v>122</v>
      </c>
      <c r="B781" s="70" t="s">
        <v>65</v>
      </c>
      <c r="C781" s="71">
        <v>40940</v>
      </c>
      <c r="D781" s="72">
        <v>41305</v>
      </c>
      <c r="E781" s="73">
        <v>0.15</v>
      </c>
      <c r="F781" s="74"/>
      <c r="G781" s="75">
        <v>21216</v>
      </c>
      <c r="H781" s="74">
        <v>3182.4</v>
      </c>
      <c r="I781" s="73">
        <v>0.15</v>
      </c>
    </row>
    <row r="782" spans="1:9" x14ac:dyDescent="0.25">
      <c r="A782" s="76" t="s">
        <v>623</v>
      </c>
      <c r="B782" s="76" t="s">
        <v>627</v>
      </c>
      <c r="C782" s="77">
        <v>40781</v>
      </c>
      <c r="D782" s="78">
        <v>41146</v>
      </c>
      <c r="E782" s="79">
        <v>0.27</v>
      </c>
      <c r="F782" s="80">
        <v>11675</v>
      </c>
      <c r="G782" s="88"/>
      <c r="H782" s="80">
        <v>3152.25</v>
      </c>
      <c r="I782" s="79">
        <f>H782/F782</f>
        <v>0.27</v>
      </c>
    </row>
    <row r="783" spans="1:9" x14ac:dyDescent="0.25">
      <c r="A783" s="70" t="s">
        <v>20</v>
      </c>
      <c r="B783" s="70" t="s">
        <v>33</v>
      </c>
      <c r="C783" s="71">
        <v>40861</v>
      </c>
      <c r="D783" s="72">
        <v>41207</v>
      </c>
      <c r="E783" s="73">
        <v>0</v>
      </c>
      <c r="F783" s="74"/>
      <c r="G783" s="75">
        <v>4331</v>
      </c>
      <c r="H783" s="74">
        <v>3152.16</v>
      </c>
      <c r="I783" s="73">
        <v>0.72781343800507958</v>
      </c>
    </row>
    <row r="784" spans="1:9" x14ac:dyDescent="0.25">
      <c r="A784" s="76" t="s">
        <v>429</v>
      </c>
      <c r="B784" s="76" t="s">
        <v>436</v>
      </c>
      <c r="C784" s="77">
        <v>41078</v>
      </c>
      <c r="D784" s="78">
        <v>41151</v>
      </c>
      <c r="E784" s="79">
        <v>0.2</v>
      </c>
      <c r="F784" s="88"/>
      <c r="G784" s="81">
        <v>15400</v>
      </c>
      <c r="H784" s="80">
        <v>3080</v>
      </c>
      <c r="I784" s="79">
        <f>H784/G784</f>
        <v>0.2</v>
      </c>
    </row>
    <row r="785" spans="1:9" x14ac:dyDescent="0.25">
      <c r="A785" s="70" t="s">
        <v>38</v>
      </c>
      <c r="B785" s="70" t="s">
        <v>53</v>
      </c>
      <c r="C785" s="71">
        <v>40861</v>
      </c>
      <c r="D785" s="72">
        <v>41186</v>
      </c>
      <c r="E785" s="73">
        <v>0.40500000000000003</v>
      </c>
      <c r="F785" s="74"/>
      <c r="G785" s="75">
        <v>6694.2</v>
      </c>
      <c r="H785" s="74">
        <v>3012.39</v>
      </c>
      <c r="I785" s="73">
        <v>0.45</v>
      </c>
    </row>
    <row r="786" spans="1:9" s="87" customFormat="1" x14ac:dyDescent="0.25">
      <c r="A786" s="70" t="s">
        <v>38</v>
      </c>
      <c r="B786" s="70" t="s">
        <v>51</v>
      </c>
      <c r="C786" s="71">
        <v>40909</v>
      </c>
      <c r="D786" s="72" t="s">
        <v>696</v>
      </c>
      <c r="E786" s="73">
        <v>0.15</v>
      </c>
      <c r="F786" s="74"/>
      <c r="G786" s="75">
        <v>19890</v>
      </c>
      <c r="H786" s="74">
        <v>2983.5</v>
      </c>
      <c r="I786" s="73">
        <v>0.15</v>
      </c>
    </row>
    <row r="787" spans="1:9" x14ac:dyDescent="0.25">
      <c r="A787" s="76" t="s">
        <v>512</v>
      </c>
      <c r="B787" s="76" t="s">
        <v>98</v>
      </c>
      <c r="C787" s="77">
        <v>41124</v>
      </c>
      <c r="D787" s="78">
        <v>41488</v>
      </c>
      <c r="E787" s="79">
        <v>0.09</v>
      </c>
      <c r="F787" s="80"/>
      <c r="G787" s="81">
        <v>29709.5</v>
      </c>
      <c r="H787" s="80">
        <v>2970.95</v>
      </c>
      <c r="I787" s="79">
        <f>H787/G787</f>
        <v>9.9999999999999992E-2</v>
      </c>
    </row>
    <row r="788" spans="1:9" x14ac:dyDescent="0.25">
      <c r="A788" s="76" t="s">
        <v>558</v>
      </c>
      <c r="B788" s="76" t="s">
        <v>444</v>
      </c>
      <c r="C788" s="77">
        <v>40792</v>
      </c>
      <c r="D788" s="78">
        <v>41152</v>
      </c>
      <c r="E788" s="79">
        <v>0.14000000000000001</v>
      </c>
      <c r="F788" s="88"/>
      <c r="G788" s="81">
        <v>18268</v>
      </c>
      <c r="H788" s="80">
        <v>2964.96</v>
      </c>
      <c r="I788" s="79">
        <f>H788/G788</f>
        <v>0.16230348149770091</v>
      </c>
    </row>
    <row r="789" spans="1:9" x14ac:dyDescent="0.25">
      <c r="A789" s="70" t="s">
        <v>60</v>
      </c>
      <c r="B789" s="70" t="s">
        <v>58</v>
      </c>
      <c r="C789" s="71">
        <v>40725</v>
      </c>
      <c r="D789" s="72">
        <v>41090</v>
      </c>
      <c r="E789" s="73">
        <v>0.11700000000000001</v>
      </c>
      <c r="F789" s="74"/>
      <c r="G789" s="75">
        <v>14913.28</v>
      </c>
      <c r="H789" s="74">
        <v>2953.02</v>
      </c>
      <c r="I789" s="73">
        <v>0.19801277787314392</v>
      </c>
    </row>
    <row r="790" spans="1:9" x14ac:dyDescent="0.25">
      <c r="A790" s="70" t="s">
        <v>101</v>
      </c>
      <c r="B790" s="70" t="s">
        <v>104</v>
      </c>
      <c r="C790" s="71">
        <v>40867</v>
      </c>
      <c r="D790" s="72">
        <v>41232</v>
      </c>
      <c r="E790" s="73">
        <v>1.35E-2</v>
      </c>
      <c r="F790" s="74">
        <v>8514.26</v>
      </c>
      <c r="G790" s="75"/>
      <c r="H790" s="74">
        <v>2926.17</v>
      </c>
      <c r="I790" s="73">
        <v>0.34367872251963177</v>
      </c>
    </row>
    <row r="791" spans="1:9" x14ac:dyDescent="0.25">
      <c r="A791" s="76" t="s">
        <v>171</v>
      </c>
      <c r="B791" s="76" t="s">
        <v>191</v>
      </c>
      <c r="C791" s="77">
        <v>40873</v>
      </c>
      <c r="D791" s="78">
        <v>41238</v>
      </c>
      <c r="E791" s="79">
        <v>1.7999999999999999E-2</v>
      </c>
      <c r="F791" s="80">
        <v>91461</v>
      </c>
      <c r="G791" s="81"/>
      <c r="H791" s="80">
        <v>2918.31</v>
      </c>
      <c r="I791" s="79">
        <f>H791/F791</f>
        <v>3.1907698363236786E-2</v>
      </c>
    </row>
    <row r="792" spans="1:9" x14ac:dyDescent="0.25">
      <c r="A792" s="76" t="s">
        <v>643</v>
      </c>
      <c r="B792" s="76" t="s">
        <v>458</v>
      </c>
      <c r="C792" s="77">
        <v>41090</v>
      </c>
      <c r="D792" s="78">
        <v>41274</v>
      </c>
      <c r="E792" s="79">
        <v>4.4999999999999997E-3</v>
      </c>
      <c r="F792" s="80"/>
      <c r="G792" s="81">
        <v>16766</v>
      </c>
      <c r="H792" s="80">
        <v>2909</v>
      </c>
      <c r="I792" s="79">
        <f t="shared" ref="I792:I797" si="19">H792/G792</f>
        <v>0.1735059048073482</v>
      </c>
    </row>
    <row r="793" spans="1:9" x14ac:dyDescent="0.25">
      <c r="A793" s="76" t="s">
        <v>504</v>
      </c>
      <c r="B793" s="76" t="s">
        <v>69</v>
      </c>
      <c r="C793" s="77">
        <v>40804</v>
      </c>
      <c r="D793" s="78">
        <v>41169</v>
      </c>
      <c r="E793" s="79">
        <v>0.09</v>
      </c>
      <c r="F793" s="80"/>
      <c r="G793" s="81">
        <v>29008</v>
      </c>
      <c r="H793" s="80">
        <v>2900.8</v>
      </c>
      <c r="I793" s="79">
        <f t="shared" si="19"/>
        <v>0.1</v>
      </c>
    </row>
    <row r="794" spans="1:9" x14ac:dyDescent="0.25">
      <c r="A794" s="76" t="s">
        <v>504</v>
      </c>
      <c r="B794" s="76" t="s">
        <v>131</v>
      </c>
      <c r="C794" s="77">
        <v>40724</v>
      </c>
      <c r="D794" s="78">
        <v>41089</v>
      </c>
      <c r="E794" s="79">
        <v>0.12</v>
      </c>
      <c r="F794" s="80"/>
      <c r="G794" s="81">
        <v>23899.85</v>
      </c>
      <c r="H794" s="80">
        <v>2867.98</v>
      </c>
      <c r="I794" s="79">
        <f t="shared" si="19"/>
        <v>0.11999991631746644</v>
      </c>
    </row>
    <row r="795" spans="1:9" x14ac:dyDescent="0.25">
      <c r="A795" s="76" t="s">
        <v>512</v>
      </c>
      <c r="B795" s="76" t="s">
        <v>67</v>
      </c>
      <c r="C795" s="77">
        <v>41146</v>
      </c>
      <c r="D795" s="78">
        <v>41510</v>
      </c>
      <c r="E795" s="79">
        <v>0.1</v>
      </c>
      <c r="F795" s="80"/>
      <c r="G795" s="81">
        <v>28652</v>
      </c>
      <c r="H795" s="80">
        <v>2865.2</v>
      </c>
      <c r="I795" s="79">
        <f t="shared" si="19"/>
        <v>9.9999999999999992E-2</v>
      </c>
    </row>
    <row r="796" spans="1:9" x14ac:dyDescent="0.25">
      <c r="A796" s="76" t="s">
        <v>674</v>
      </c>
      <c r="B796" s="76" t="s">
        <v>676</v>
      </c>
      <c r="C796" s="77">
        <v>40920</v>
      </c>
      <c r="D796" s="78">
        <v>41274</v>
      </c>
      <c r="E796" s="79">
        <v>0.23849999999999999</v>
      </c>
      <c r="F796" s="80"/>
      <c r="G796" s="81">
        <v>8519</v>
      </c>
      <c r="H796" s="80">
        <v>2858.16</v>
      </c>
      <c r="I796" s="79">
        <f t="shared" si="19"/>
        <v>0.33550416715576942</v>
      </c>
    </row>
    <row r="797" spans="1:9" x14ac:dyDescent="0.25">
      <c r="A797" s="76" t="s">
        <v>1718</v>
      </c>
      <c r="B797" s="76" t="s">
        <v>1719</v>
      </c>
      <c r="C797" s="77">
        <v>41036</v>
      </c>
      <c r="D797" s="78">
        <v>41105</v>
      </c>
      <c r="E797" s="79">
        <v>0.315</v>
      </c>
      <c r="F797" s="80"/>
      <c r="G797" s="81">
        <v>59737.5</v>
      </c>
      <c r="H797" s="80">
        <v>2848.25</v>
      </c>
      <c r="I797" s="73">
        <f t="shared" si="19"/>
        <v>4.7679430843272648E-2</v>
      </c>
    </row>
    <row r="798" spans="1:9" x14ac:dyDescent="0.25">
      <c r="A798" s="76" t="s">
        <v>317</v>
      </c>
      <c r="B798" s="76" t="s">
        <v>358</v>
      </c>
      <c r="C798" s="77">
        <v>41107</v>
      </c>
      <c r="D798" s="78">
        <v>41425</v>
      </c>
      <c r="E798" s="79">
        <v>8.9999999999999993E-3</v>
      </c>
      <c r="F798" s="80">
        <v>5180</v>
      </c>
      <c r="G798" s="81"/>
      <c r="H798" s="80">
        <v>2846.75</v>
      </c>
      <c r="I798" s="79">
        <f>H798/F798</f>
        <v>0.5495656370656371</v>
      </c>
    </row>
    <row r="799" spans="1:9" x14ac:dyDescent="0.25">
      <c r="A799" s="76" t="s">
        <v>263</v>
      </c>
      <c r="B799" s="76" t="s">
        <v>179</v>
      </c>
      <c r="C799" s="77">
        <v>40854</v>
      </c>
      <c r="D799" s="78">
        <v>41219</v>
      </c>
      <c r="E799" s="79">
        <v>8.9999999999999993E-3</v>
      </c>
      <c r="F799" s="80"/>
      <c r="G799" s="81">
        <v>8562</v>
      </c>
      <c r="H799" s="80">
        <v>2772</v>
      </c>
      <c r="I799" s="79">
        <f>H799/G799</f>
        <v>0.32375613174491941</v>
      </c>
    </row>
    <row r="800" spans="1:9" x14ac:dyDescent="0.25">
      <c r="A800" s="76" t="s">
        <v>263</v>
      </c>
      <c r="B800" s="76" t="s">
        <v>190</v>
      </c>
      <c r="C800" s="77">
        <v>40911</v>
      </c>
      <c r="D800" s="78">
        <v>41276</v>
      </c>
      <c r="E800" s="79">
        <v>8.9999999999999993E-3</v>
      </c>
      <c r="F800" s="80"/>
      <c r="G800" s="81">
        <v>3895</v>
      </c>
      <c r="H800" s="80">
        <v>2633.02</v>
      </c>
      <c r="I800" s="79">
        <f>H800/G800</f>
        <v>0.67600000000000005</v>
      </c>
    </row>
    <row r="801" spans="1:9" x14ac:dyDescent="0.25">
      <c r="A801" s="70" t="s">
        <v>66</v>
      </c>
      <c r="B801" s="70" t="s">
        <v>67</v>
      </c>
      <c r="C801" s="71">
        <v>40780</v>
      </c>
      <c r="D801" s="72">
        <v>41145</v>
      </c>
      <c r="E801" s="73">
        <v>0.1</v>
      </c>
      <c r="F801" s="74">
        <v>26278.18</v>
      </c>
      <c r="G801" s="75"/>
      <c r="H801" s="74">
        <v>2627.82</v>
      </c>
      <c r="I801" s="73">
        <v>0.10000007610877162</v>
      </c>
    </row>
    <row r="802" spans="1:9" x14ac:dyDescent="0.25">
      <c r="A802" s="76" t="s">
        <v>289</v>
      </c>
      <c r="B802" s="76" t="s">
        <v>308</v>
      </c>
      <c r="C802" s="77">
        <v>41051</v>
      </c>
      <c r="D802" s="78">
        <v>41155</v>
      </c>
      <c r="E802" s="79">
        <v>0.13</v>
      </c>
      <c r="F802" s="88"/>
      <c r="G802" s="81">
        <v>19978</v>
      </c>
      <c r="H802" s="80">
        <v>2613.14</v>
      </c>
      <c r="I802" s="79">
        <f>H802/G802</f>
        <v>0.13080088096906597</v>
      </c>
    </row>
    <row r="803" spans="1:9" x14ac:dyDescent="0.25">
      <c r="A803" s="76" t="s">
        <v>504</v>
      </c>
      <c r="B803" s="76" t="s">
        <v>67</v>
      </c>
      <c r="C803" s="77">
        <v>40780</v>
      </c>
      <c r="D803" s="78">
        <v>41145</v>
      </c>
      <c r="E803" s="79">
        <v>0.1</v>
      </c>
      <c r="F803" s="80">
        <v>26039</v>
      </c>
      <c r="G803" s="81"/>
      <c r="H803" s="80">
        <v>2603.9</v>
      </c>
      <c r="I803" s="79">
        <f>H803/F803</f>
        <v>0.1</v>
      </c>
    </row>
    <row r="804" spans="1:9" x14ac:dyDescent="0.25">
      <c r="A804" s="76" t="s">
        <v>313</v>
      </c>
      <c r="B804" s="76" t="s">
        <v>312</v>
      </c>
      <c r="C804" s="77">
        <v>40959</v>
      </c>
      <c r="D804" s="78">
        <v>41080</v>
      </c>
      <c r="E804" s="79">
        <v>0.13</v>
      </c>
      <c r="F804" s="88"/>
      <c r="G804" s="81">
        <v>19726</v>
      </c>
      <c r="H804" s="80">
        <v>2573.38</v>
      </c>
      <c r="I804" s="79">
        <f>H804/G804</f>
        <v>0.13045625063368144</v>
      </c>
    </row>
    <row r="805" spans="1:9" x14ac:dyDescent="0.25">
      <c r="A805" s="76" t="s">
        <v>594</v>
      </c>
      <c r="B805" s="76" t="s">
        <v>607</v>
      </c>
      <c r="C805" s="77">
        <v>40662</v>
      </c>
      <c r="D805" s="78">
        <v>41028</v>
      </c>
      <c r="E805" s="79">
        <v>0.57599999999999996</v>
      </c>
      <c r="F805" s="80">
        <v>4803</v>
      </c>
      <c r="G805" s="81"/>
      <c r="H805" s="80">
        <v>2548.46</v>
      </c>
      <c r="I805" s="79">
        <f>H805/F805</f>
        <v>0.53059754320216534</v>
      </c>
    </row>
    <row r="806" spans="1:9" x14ac:dyDescent="0.25">
      <c r="A806" s="76" t="s">
        <v>289</v>
      </c>
      <c r="B806" s="76" t="s">
        <v>302</v>
      </c>
      <c r="C806" s="77">
        <v>40925</v>
      </c>
      <c r="D806" s="78">
        <v>41044</v>
      </c>
      <c r="E806" s="79">
        <v>0.13</v>
      </c>
      <c r="F806" s="79"/>
      <c r="G806" s="81">
        <v>19446</v>
      </c>
      <c r="H806" s="80">
        <v>2546.4699999999998</v>
      </c>
      <c r="I806" s="79">
        <f>H806/G806</f>
        <v>0.13095083821865677</v>
      </c>
    </row>
    <row r="807" spans="1:9" x14ac:dyDescent="0.25">
      <c r="A807" s="76" t="s">
        <v>317</v>
      </c>
      <c r="B807" s="76" t="s">
        <v>174</v>
      </c>
      <c r="C807" s="77">
        <v>40953</v>
      </c>
      <c r="D807" s="78">
        <v>41274</v>
      </c>
      <c r="E807" s="79">
        <v>8.9999999999999998E-4</v>
      </c>
      <c r="F807" s="80"/>
      <c r="G807" s="81">
        <v>19088.47</v>
      </c>
      <c r="H807" s="80">
        <v>2524.21</v>
      </c>
      <c r="I807" s="79">
        <f>H807/G807</f>
        <v>0.13223741871401951</v>
      </c>
    </row>
    <row r="808" spans="1:9" x14ac:dyDescent="0.25">
      <c r="A808" s="76" t="s">
        <v>171</v>
      </c>
      <c r="B808" s="76" t="s">
        <v>190</v>
      </c>
      <c r="C808" s="77">
        <v>40848</v>
      </c>
      <c r="D808" s="78">
        <v>41213</v>
      </c>
      <c r="E808" s="79">
        <v>1.7999999999999999E-2</v>
      </c>
      <c r="F808" s="80"/>
      <c r="G808" s="81">
        <v>6496</v>
      </c>
      <c r="H808" s="80">
        <v>2460</v>
      </c>
      <c r="I808" s="79">
        <f>H808/G808</f>
        <v>0.3786945812807882</v>
      </c>
    </row>
    <row r="809" spans="1:9" x14ac:dyDescent="0.25">
      <c r="A809" s="76" t="s">
        <v>289</v>
      </c>
      <c r="B809" s="76" t="s">
        <v>312</v>
      </c>
      <c r="C809" s="77">
        <v>41193</v>
      </c>
      <c r="D809" s="78">
        <v>41261</v>
      </c>
      <c r="E809" s="79">
        <v>0.13</v>
      </c>
      <c r="F809" s="88"/>
      <c r="G809" s="81">
        <v>18690</v>
      </c>
      <c r="H809" s="80">
        <v>2458.6999999999998</v>
      </c>
      <c r="I809" s="79">
        <f>H809/G809</f>
        <v>0.13155163188871052</v>
      </c>
    </row>
    <row r="810" spans="1:9" x14ac:dyDescent="0.25">
      <c r="A810" s="76" t="s">
        <v>489</v>
      </c>
      <c r="B810" s="76" t="s">
        <v>131</v>
      </c>
      <c r="C810" s="77">
        <v>40848</v>
      </c>
      <c r="D810" s="78">
        <v>41213</v>
      </c>
      <c r="E810" s="79">
        <v>0.19</v>
      </c>
      <c r="F810" s="80">
        <v>12875</v>
      </c>
      <c r="G810" s="88"/>
      <c r="H810" s="80">
        <v>2446.25</v>
      </c>
      <c r="I810" s="79">
        <f>H810/F810</f>
        <v>0.19</v>
      </c>
    </row>
    <row r="811" spans="1:9" x14ac:dyDescent="0.25">
      <c r="A811" s="76" t="s">
        <v>512</v>
      </c>
      <c r="B811" s="76" t="s">
        <v>132</v>
      </c>
      <c r="C811" s="77">
        <v>41138</v>
      </c>
      <c r="D811" s="78">
        <v>41502</v>
      </c>
      <c r="E811" s="79">
        <v>8.9999999999999993E-3</v>
      </c>
      <c r="F811" s="80"/>
      <c r="G811" s="81">
        <v>24388.5</v>
      </c>
      <c r="H811" s="80">
        <v>2438.85</v>
      </c>
      <c r="I811" s="79">
        <f>H811/G811</f>
        <v>9.9999999999999992E-2</v>
      </c>
    </row>
    <row r="812" spans="1:9" x14ac:dyDescent="0.25">
      <c r="A812" s="70" t="s">
        <v>38</v>
      </c>
      <c r="B812" s="70" t="s">
        <v>51</v>
      </c>
      <c r="C812" s="71">
        <v>40634</v>
      </c>
      <c r="D812" s="72">
        <v>40999</v>
      </c>
      <c r="E812" s="73">
        <v>0.18</v>
      </c>
      <c r="F812" s="74"/>
      <c r="G812" s="75">
        <v>12150.5</v>
      </c>
      <c r="H812" s="74">
        <v>2430.1</v>
      </c>
      <c r="I812" s="73">
        <v>0.19999999999999998</v>
      </c>
    </row>
    <row r="813" spans="1:9" x14ac:dyDescent="0.25">
      <c r="A813" s="76" t="s">
        <v>504</v>
      </c>
      <c r="B813" s="76" t="s">
        <v>98</v>
      </c>
      <c r="C813" s="77">
        <v>40758</v>
      </c>
      <c r="D813" s="78">
        <v>41123</v>
      </c>
      <c r="E813" s="79">
        <v>0.09</v>
      </c>
      <c r="F813" s="80"/>
      <c r="G813" s="81">
        <v>24151</v>
      </c>
      <c r="H813" s="80">
        <v>2415.1</v>
      </c>
      <c r="I813" s="79">
        <f>H813/G813</f>
        <v>9.9999999999999992E-2</v>
      </c>
    </row>
    <row r="814" spans="1:9" x14ac:dyDescent="0.25">
      <c r="A814" s="76" t="s">
        <v>317</v>
      </c>
      <c r="B814" s="76" t="s">
        <v>178</v>
      </c>
      <c r="C814" s="77">
        <v>40943</v>
      </c>
      <c r="D814" s="78">
        <v>41274</v>
      </c>
      <c r="E814" s="79">
        <v>0</v>
      </c>
      <c r="F814" s="80"/>
      <c r="G814" s="81">
        <v>10880.25</v>
      </c>
      <c r="H814" s="80">
        <v>2413.73</v>
      </c>
      <c r="I814" s="79">
        <f>H814/G814</f>
        <v>0.22184508628018657</v>
      </c>
    </row>
    <row r="815" spans="1:9" x14ac:dyDescent="0.25">
      <c r="A815" s="76" t="s">
        <v>685</v>
      </c>
      <c r="B815" s="76" t="s">
        <v>419</v>
      </c>
      <c r="C815" s="77">
        <v>40695</v>
      </c>
      <c r="D815" s="78">
        <v>41060</v>
      </c>
      <c r="E815" s="79">
        <v>0.12</v>
      </c>
      <c r="F815" s="80">
        <v>19972</v>
      </c>
      <c r="G815" s="81"/>
      <c r="H815" s="80">
        <v>2396.64</v>
      </c>
      <c r="I815" s="79">
        <f>H815/F815</f>
        <v>0.12</v>
      </c>
    </row>
    <row r="816" spans="1:9" x14ac:dyDescent="0.25">
      <c r="A816" s="76" t="s">
        <v>289</v>
      </c>
      <c r="B816" s="76" t="s">
        <v>1437</v>
      </c>
      <c r="C816" s="77">
        <v>41023</v>
      </c>
      <c r="D816" s="78">
        <v>41145</v>
      </c>
      <c r="E816" s="79">
        <v>0.13</v>
      </c>
      <c r="F816" s="88"/>
      <c r="G816" s="81">
        <v>18116</v>
      </c>
      <c r="H816" s="80">
        <v>2377.08</v>
      </c>
      <c r="I816" s="79">
        <f>H816/G816</f>
        <v>0.13121439611393243</v>
      </c>
    </row>
    <row r="817" spans="1:9" x14ac:dyDescent="0.25">
      <c r="A817" s="76" t="s">
        <v>317</v>
      </c>
      <c r="B817" s="76" t="s">
        <v>323</v>
      </c>
      <c r="C817" s="77">
        <v>40689</v>
      </c>
      <c r="D817" s="78">
        <v>40672</v>
      </c>
      <c r="E817" s="79">
        <v>0</v>
      </c>
      <c r="F817" s="80"/>
      <c r="G817" s="81">
        <v>62797.94</v>
      </c>
      <c r="H817" s="80">
        <v>2366.7800000000002</v>
      </c>
      <c r="I817" s="79">
        <f>H817/G817</f>
        <v>3.7688815907018607E-2</v>
      </c>
    </row>
    <row r="818" spans="1:9" x14ac:dyDescent="0.25">
      <c r="A818" s="76" t="s">
        <v>643</v>
      </c>
      <c r="B818" s="76" t="s">
        <v>646</v>
      </c>
      <c r="C818" s="77">
        <v>40616</v>
      </c>
      <c r="D818" s="78">
        <v>40981</v>
      </c>
      <c r="E818" s="79">
        <v>4.4999999999999997E-3</v>
      </c>
      <c r="F818" s="80"/>
      <c r="G818" s="81">
        <v>10051</v>
      </c>
      <c r="H818" s="80">
        <v>2365.4</v>
      </c>
      <c r="I818" s="79">
        <f>H818/G818</f>
        <v>0.23533976718734456</v>
      </c>
    </row>
    <row r="819" spans="1:9" x14ac:dyDescent="0.25">
      <c r="A819" s="76" t="s">
        <v>384</v>
      </c>
      <c r="B819" s="76" t="s">
        <v>389</v>
      </c>
      <c r="C819" s="77">
        <v>41214</v>
      </c>
      <c r="D819" s="78">
        <v>41455</v>
      </c>
      <c r="E819" s="79">
        <v>4.4999999999999998E-2</v>
      </c>
      <c r="F819" s="88"/>
      <c r="G819" s="81">
        <v>22790</v>
      </c>
      <c r="H819" s="80">
        <v>2358</v>
      </c>
      <c r="I819" s="79">
        <f>H819/G819</f>
        <v>0.10346643264589732</v>
      </c>
    </row>
    <row r="820" spans="1:9" x14ac:dyDescent="0.25">
      <c r="A820" s="76" t="s">
        <v>531</v>
      </c>
      <c r="B820" s="76" t="s">
        <v>22</v>
      </c>
      <c r="C820" s="77">
        <v>40760</v>
      </c>
      <c r="D820" s="78">
        <v>41090</v>
      </c>
      <c r="E820" s="79">
        <v>8.9999999999999993E-3</v>
      </c>
      <c r="F820" s="80"/>
      <c r="G820" s="81">
        <v>5096</v>
      </c>
      <c r="H820" s="80">
        <v>2344</v>
      </c>
      <c r="I820" s="79">
        <f>H820/G820</f>
        <v>0.4599686028257457</v>
      </c>
    </row>
    <row r="821" spans="1:9" x14ac:dyDescent="0.25">
      <c r="A821" s="76" t="s">
        <v>171</v>
      </c>
      <c r="B821" s="76" t="s">
        <v>176</v>
      </c>
      <c r="C821" s="77">
        <v>40771</v>
      </c>
      <c r="D821" s="78">
        <v>41121</v>
      </c>
      <c r="E821" s="79">
        <v>1.7999999999999999E-2</v>
      </c>
      <c r="F821" s="80">
        <v>11686</v>
      </c>
      <c r="G821" s="81"/>
      <c r="H821" s="80">
        <v>2319</v>
      </c>
      <c r="I821" s="79">
        <f>H821/F821</f>
        <v>0.19844258086599351</v>
      </c>
    </row>
    <row r="822" spans="1:9" x14ac:dyDescent="0.25">
      <c r="A822" s="76" t="s">
        <v>449</v>
      </c>
      <c r="B822" s="76" t="s">
        <v>451</v>
      </c>
      <c r="C822" s="77">
        <v>40603</v>
      </c>
      <c r="D822" s="78">
        <v>40967</v>
      </c>
      <c r="E822" s="79">
        <v>0</v>
      </c>
      <c r="F822" s="80">
        <v>9315</v>
      </c>
      <c r="G822" s="81"/>
      <c r="H822" s="80">
        <v>2315</v>
      </c>
      <c r="I822" s="79">
        <f>H822/F822</f>
        <v>0.24852388620504562</v>
      </c>
    </row>
    <row r="823" spans="1:9" x14ac:dyDescent="0.25">
      <c r="A823" s="76" t="s">
        <v>531</v>
      </c>
      <c r="B823" s="76" t="s">
        <v>535</v>
      </c>
      <c r="C823" s="77">
        <v>40749</v>
      </c>
      <c r="D823" s="78">
        <v>41060</v>
      </c>
      <c r="E823" s="79">
        <v>8.9999999999999993E-3</v>
      </c>
      <c r="F823" s="80"/>
      <c r="G823" s="81">
        <v>3459</v>
      </c>
      <c r="H823" s="80">
        <v>2292</v>
      </c>
      <c r="I823" s="79">
        <f t="shared" ref="I823:I829" si="20">H823/G823</f>
        <v>0.66261925411968781</v>
      </c>
    </row>
    <row r="824" spans="1:9" x14ac:dyDescent="0.25">
      <c r="A824" s="76" t="s">
        <v>289</v>
      </c>
      <c r="B824" s="76" t="s">
        <v>293</v>
      </c>
      <c r="C824" s="77">
        <v>40842</v>
      </c>
      <c r="D824" s="78">
        <v>40927</v>
      </c>
      <c r="E824" s="79">
        <v>0.13</v>
      </c>
      <c r="F824" s="79"/>
      <c r="G824" s="81">
        <v>17433</v>
      </c>
      <c r="H824" s="80">
        <v>2279.29</v>
      </c>
      <c r="I824" s="79">
        <f t="shared" si="20"/>
        <v>0.13074571215510813</v>
      </c>
    </row>
    <row r="825" spans="1:9" x14ac:dyDescent="0.25">
      <c r="A825" s="76" t="s">
        <v>289</v>
      </c>
      <c r="B825" s="111" t="s">
        <v>302</v>
      </c>
      <c r="C825" s="112">
        <v>41261</v>
      </c>
      <c r="D825" s="78">
        <v>41373</v>
      </c>
      <c r="E825" s="79">
        <v>0.13</v>
      </c>
      <c r="F825" s="88"/>
      <c r="G825" s="81">
        <v>17360</v>
      </c>
      <c r="H825" s="80">
        <v>2268.8000000000002</v>
      </c>
      <c r="I825" s="79">
        <f t="shared" si="20"/>
        <v>0.13069124423963135</v>
      </c>
    </row>
    <row r="826" spans="1:9" x14ac:dyDescent="0.25">
      <c r="A826" s="76" t="s">
        <v>317</v>
      </c>
      <c r="B826" s="76" t="s">
        <v>328</v>
      </c>
      <c r="C826" s="77">
        <v>40729</v>
      </c>
      <c r="D826" s="78">
        <v>41094</v>
      </c>
      <c r="E826" s="79">
        <v>0</v>
      </c>
      <c r="F826" s="80"/>
      <c r="G826" s="81">
        <v>78350.58</v>
      </c>
      <c r="H826" s="80">
        <v>2255.7199999999998</v>
      </c>
      <c r="I826" s="79">
        <f t="shared" si="20"/>
        <v>2.879008681237586E-2</v>
      </c>
    </row>
    <row r="827" spans="1:9" x14ac:dyDescent="0.25">
      <c r="A827" s="76" t="s">
        <v>512</v>
      </c>
      <c r="B827" s="76" t="s">
        <v>131</v>
      </c>
      <c r="C827" s="77">
        <v>41090</v>
      </c>
      <c r="D827" s="78">
        <v>41454</v>
      </c>
      <c r="E827" s="79">
        <v>0.12</v>
      </c>
      <c r="F827" s="80"/>
      <c r="G827" s="81">
        <v>18765.830000000002</v>
      </c>
      <c r="H827" s="80">
        <v>2251.9</v>
      </c>
      <c r="I827" s="79">
        <f t="shared" si="20"/>
        <v>0.1200000213153375</v>
      </c>
    </row>
    <row r="828" spans="1:9" x14ac:dyDescent="0.25">
      <c r="A828" s="76" t="s">
        <v>558</v>
      </c>
      <c r="B828" s="76" t="s">
        <v>443</v>
      </c>
      <c r="C828" s="77">
        <v>40763</v>
      </c>
      <c r="D828" s="78">
        <v>41065</v>
      </c>
      <c r="E828" s="79">
        <v>0.14000000000000001</v>
      </c>
      <c r="F828" s="88"/>
      <c r="G828" s="81">
        <v>13602</v>
      </c>
      <c r="H828" s="80">
        <v>2224.1999999999998</v>
      </c>
      <c r="I828" s="79">
        <f t="shared" si="20"/>
        <v>0.1635200705778562</v>
      </c>
    </row>
    <row r="829" spans="1:9" x14ac:dyDescent="0.25">
      <c r="A829" s="76" t="s">
        <v>531</v>
      </c>
      <c r="B829" s="76" t="s">
        <v>23</v>
      </c>
      <c r="C829" s="77">
        <v>41106</v>
      </c>
      <c r="D829" s="78">
        <v>41470</v>
      </c>
      <c r="E829" s="79">
        <v>8.9999999999999993E-3</v>
      </c>
      <c r="F829" s="80"/>
      <c r="G829" s="81">
        <v>4373</v>
      </c>
      <c r="H829" s="80">
        <v>2207</v>
      </c>
      <c r="I829" s="79">
        <f t="shared" si="20"/>
        <v>0.50468785730619714</v>
      </c>
    </row>
    <row r="830" spans="1:9" x14ac:dyDescent="0.25">
      <c r="A830" s="76" t="s">
        <v>281</v>
      </c>
      <c r="B830" s="76" t="s">
        <v>284</v>
      </c>
      <c r="C830" s="77">
        <v>40969</v>
      </c>
      <c r="D830" s="78">
        <v>41274</v>
      </c>
      <c r="E830" s="79">
        <v>0.54</v>
      </c>
      <c r="F830" s="80">
        <v>2675</v>
      </c>
      <c r="G830" s="81"/>
      <c r="H830" s="80">
        <v>2199.2800000000002</v>
      </c>
      <c r="I830" s="79">
        <f>H830/F830</f>
        <v>0.82216074766355152</v>
      </c>
    </row>
    <row r="831" spans="1:9" x14ac:dyDescent="0.25">
      <c r="A831" s="76" t="s">
        <v>439</v>
      </c>
      <c r="B831" s="76" t="s">
        <v>444</v>
      </c>
      <c r="C831" s="77">
        <v>41148</v>
      </c>
      <c r="D831" s="78">
        <v>41418</v>
      </c>
      <c r="E831" s="79">
        <v>0.14000000000000001</v>
      </c>
      <c r="F831" s="88"/>
      <c r="G831" s="81">
        <v>12404</v>
      </c>
      <c r="H831" s="80">
        <v>2198</v>
      </c>
      <c r="I831" s="79">
        <f>H831/G831</f>
        <v>0.17720090293453725</v>
      </c>
    </row>
    <row r="832" spans="1:9" x14ac:dyDescent="0.25">
      <c r="A832" s="76" t="s">
        <v>685</v>
      </c>
      <c r="B832" s="76" t="s">
        <v>419</v>
      </c>
      <c r="C832" s="77">
        <v>41061</v>
      </c>
      <c r="D832" s="78">
        <v>41425</v>
      </c>
      <c r="E832" s="79">
        <v>0.12</v>
      </c>
      <c r="F832" s="80">
        <v>18255.22</v>
      </c>
      <c r="G832" s="81"/>
      <c r="H832" s="80">
        <v>2190.5300000000002</v>
      </c>
      <c r="I832" s="79">
        <f>H832/F832</f>
        <v>0.11999471931863873</v>
      </c>
    </row>
    <row r="833" spans="1:9" x14ac:dyDescent="0.25">
      <c r="A833" s="70" t="s">
        <v>20</v>
      </c>
      <c r="B833" s="70" t="s">
        <v>28</v>
      </c>
      <c r="C833" s="71">
        <v>40686</v>
      </c>
      <c r="D833" s="72">
        <v>41029</v>
      </c>
      <c r="E833" s="73">
        <v>0</v>
      </c>
      <c r="F833" s="74"/>
      <c r="G833" s="75">
        <v>976.95</v>
      </c>
      <c r="H833" s="74">
        <v>2167.34</v>
      </c>
      <c r="I833" s="73">
        <v>0.64312759643916917</v>
      </c>
    </row>
    <row r="834" spans="1:9" x14ac:dyDescent="0.25">
      <c r="A834" s="76" t="s">
        <v>504</v>
      </c>
      <c r="B834" s="76" t="s">
        <v>132</v>
      </c>
      <c r="C834" s="77">
        <v>40772</v>
      </c>
      <c r="D834" s="78">
        <v>41137</v>
      </c>
      <c r="E834" s="79">
        <v>8.9999999999999993E-3</v>
      </c>
      <c r="F834" s="80"/>
      <c r="G834" s="81">
        <v>21615</v>
      </c>
      <c r="H834" s="80">
        <v>2161.5</v>
      </c>
      <c r="I834" s="79">
        <f>H834/G834</f>
        <v>0.1</v>
      </c>
    </row>
    <row r="835" spans="1:9" x14ac:dyDescent="0.25">
      <c r="A835" s="76" t="s">
        <v>317</v>
      </c>
      <c r="B835" s="76" t="s">
        <v>346</v>
      </c>
      <c r="C835" s="77">
        <v>40909</v>
      </c>
      <c r="D835" s="78">
        <v>41274</v>
      </c>
      <c r="E835" s="79">
        <v>8.9999999999999998E-4</v>
      </c>
      <c r="F835" s="80"/>
      <c r="G835" s="81">
        <v>47833.35</v>
      </c>
      <c r="H835" s="80">
        <v>2153.08</v>
      </c>
      <c r="I835" s="79">
        <f>H835/G835</f>
        <v>4.5012109751878138E-2</v>
      </c>
    </row>
    <row r="836" spans="1:9" x14ac:dyDescent="0.25">
      <c r="A836" s="76" t="s">
        <v>555</v>
      </c>
      <c r="B836" s="76" t="s">
        <v>67</v>
      </c>
      <c r="C836" s="77">
        <v>41146</v>
      </c>
      <c r="D836" s="78">
        <v>41510</v>
      </c>
      <c r="E836" s="79">
        <v>0.1</v>
      </c>
      <c r="F836" s="80">
        <v>21525</v>
      </c>
      <c r="G836" s="88"/>
      <c r="H836" s="80">
        <v>2152.5</v>
      </c>
      <c r="I836" s="79">
        <f>H836/F836</f>
        <v>0.1</v>
      </c>
    </row>
    <row r="837" spans="1:9" x14ac:dyDescent="0.25">
      <c r="A837" s="76" t="s">
        <v>289</v>
      </c>
      <c r="B837" s="76" t="s">
        <v>296</v>
      </c>
      <c r="C837" s="77">
        <v>40862</v>
      </c>
      <c r="D837" s="78">
        <v>40983</v>
      </c>
      <c r="E837" s="79">
        <v>0.13</v>
      </c>
      <c r="F837" s="79"/>
      <c r="G837" s="81">
        <v>16497</v>
      </c>
      <c r="H837" s="80">
        <v>2151.61</v>
      </c>
      <c r="I837" s="79">
        <f t="shared" ref="I837:I842" si="21">H837/G837</f>
        <v>0.13042431957325576</v>
      </c>
    </row>
    <row r="838" spans="1:9" x14ac:dyDescent="0.25">
      <c r="A838" s="76" t="s">
        <v>262</v>
      </c>
      <c r="B838" s="76" t="s">
        <v>31</v>
      </c>
      <c r="C838" s="77">
        <v>40747</v>
      </c>
      <c r="D838" s="78">
        <v>41060</v>
      </c>
      <c r="E838" s="79">
        <v>8.9999999999999993E-3</v>
      </c>
      <c r="F838" s="80"/>
      <c r="G838" s="81">
        <v>3360</v>
      </c>
      <c r="H838" s="80">
        <v>2150.4</v>
      </c>
      <c r="I838" s="79">
        <f t="shared" si="21"/>
        <v>0.64</v>
      </c>
    </row>
    <row r="839" spans="1:9" x14ac:dyDescent="0.25">
      <c r="A839" s="76" t="s">
        <v>674</v>
      </c>
      <c r="B839" s="76" t="s">
        <v>535</v>
      </c>
      <c r="C839" s="77">
        <v>41086</v>
      </c>
      <c r="D839" s="78">
        <v>41274</v>
      </c>
      <c r="E839" s="79">
        <v>0.22500000000000001</v>
      </c>
      <c r="F839" s="80"/>
      <c r="G839" s="81">
        <v>3006.74</v>
      </c>
      <c r="H839" s="80">
        <v>2143.5100000000002</v>
      </c>
      <c r="I839" s="79">
        <f t="shared" si="21"/>
        <v>0.71290168089026662</v>
      </c>
    </row>
    <row r="840" spans="1:9" x14ac:dyDescent="0.25">
      <c r="A840" s="76" t="s">
        <v>594</v>
      </c>
      <c r="B840" s="76" t="s">
        <v>603</v>
      </c>
      <c r="C840" s="77">
        <v>40900</v>
      </c>
      <c r="D840" s="78">
        <v>41090</v>
      </c>
      <c r="E840" s="79">
        <v>0.26100000000000001</v>
      </c>
      <c r="F840" s="80"/>
      <c r="G840" s="81">
        <v>4760</v>
      </c>
      <c r="H840" s="80">
        <v>2142.9</v>
      </c>
      <c r="I840" s="79">
        <f t="shared" si="21"/>
        <v>0.45018907563025212</v>
      </c>
    </row>
    <row r="841" spans="1:9" x14ac:dyDescent="0.25">
      <c r="A841" s="76" t="s">
        <v>531</v>
      </c>
      <c r="B841" s="76" t="s">
        <v>539</v>
      </c>
      <c r="C841" s="77">
        <v>40796</v>
      </c>
      <c r="D841" s="78">
        <v>41152</v>
      </c>
      <c r="E841" s="79">
        <v>8.9999999999999993E-3</v>
      </c>
      <c r="F841" s="80"/>
      <c r="G841" s="81">
        <v>2225</v>
      </c>
      <c r="H841" s="80">
        <v>2135</v>
      </c>
      <c r="I841" s="79">
        <f t="shared" si="21"/>
        <v>0.95955056179775278</v>
      </c>
    </row>
    <row r="842" spans="1:9" x14ac:dyDescent="0.25">
      <c r="A842" s="76" t="s">
        <v>313</v>
      </c>
      <c r="B842" s="76" t="s">
        <v>314</v>
      </c>
      <c r="C842" s="77">
        <v>41045</v>
      </c>
      <c r="D842" s="78">
        <v>41095</v>
      </c>
      <c r="E842" s="79">
        <v>0.13</v>
      </c>
      <c r="F842" s="88"/>
      <c r="G842" s="81">
        <v>16352</v>
      </c>
      <c r="H842" s="80">
        <v>2133.2600000000002</v>
      </c>
      <c r="I842" s="79">
        <f t="shared" si="21"/>
        <v>0.13045865949119376</v>
      </c>
    </row>
    <row r="843" spans="1:9" x14ac:dyDescent="0.25">
      <c r="A843" s="70" t="s">
        <v>137</v>
      </c>
      <c r="B843" s="70" t="s">
        <v>31</v>
      </c>
      <c r="C843" s="71">
        <v>40779</v>
      </c>
      <c r="D843" s="72">
        <v>41119</v>
      </c>
      <c r="E843" s="73">
        <v>0.315</v>
      </c>
      <c r="F843" s="74">
        <v>6228</v>
      </c>
      <c r="G843" s="75"/>
      <c r="H843" s="74">
        <v>2128.4</v>
      </c>
      <c r="I843" s="73">
        <v>0.34174694926140015</v>
      </c>
    </row>
    <row r="844" spans="1:9" x14ac:dyDescent="0.25">
      <c r="A844" s="76" t="s">
        <v>558</v>
      </c>
      <c r="B844" s="76" t="s">
        <v>446</v>
      </c>
      <c r="C844" s="77">
        <v>40798</v>
      </c>
      <c r="D844" s="78">
        <v>41152</v>
      </c>
      <c r="E844" s="79">
        <v>0.14000000000000001</v>
      </c>
      <c r="F844" s="88"/>
      <c r="G844" s="81">
        <v>11616</v>
      </c>
      <c r="H844" s="80">
        <v>2124.1999999999998</v>
      </c>
      <c r="I844" s="79">
        <f>H844/G844</f>
        <v>0.18286845730027546</v>
      </c>
    </row>
    <row r="845" spans="1:9" x14ac:dyDescent="0.25">
      <c r="A845" s="76" t="s">
        <v>594</v>
      </c>
      <c r="B845" s="76" t="s">
        <v>610</v>
      </c>
      <c r="C845" s="77">
        <v>41207</v>
      </c>
      <c r="D845" s="78">
        <v>41455</v>
      </c>
      <c r="E845" s="79">
        <v>0.18</v>
      </c>
      <c r="F845" s="80"/>
      <c r="G845" s="81">
        <v>3610</v>
      </c>
      <c r="H845" s="80">
        <v>2113.25</v>
      </c>
      <c r="I845" s="79">
        <f>H845/G845</f>
        <v>0.58538781163434905</v>
      </c>
    </row>
    <row r="846" spans="1:9" x14ac:dyDescent="0.25">
      <c r="A846" s="70" t="s">
        <v>140</v>
      </c>
      <c r="B846" s="70" t="s">
        <v>141</v>
      </c>
      <c r="C846" s="71">
        <v>40742</v>
      </c>
      <c r="D846" s="72">
        <v>41060</v>
      </c>
      <c r="E846" s="73">
        <v>0.125</v>
      </c>
      <c r="F846" s="74"/>
      <c r="G846" s="75">
        <v>15409.97</v>
      </c>
      <c r="H846" s="74">
        <v>2090.79</v>
      </c>
      <c r="I846" s="73">
        <v>0.13567774629022639</v>
      </c>
    </row>
    <row r="847" spans="1:9" x14ac:dyDescent="0.25">
      <c r="A847" s="70" t="s">
        <v>144</v>
      </c>
      <c r="B847" s="70" t="s">
        <v>145</v>
      </c>
      <c r="C847" s="71">
        <v>41000</v>
      </c>
      <c r="D847" s="72">
        <v>41065</v>
      </c>
      <c r="E847" s="73">
        <v>0.2</v>
      </c>
      <c r="F847" s="74"/>
      <c r="G847" s="75">
        <v>2440</v>
      </c>
      <c r="H847" s="74">
        <v>2074</v>
      </c>
      <c r="I847" s="73">
        <v>0.85</v>
      </c>
    </row>
    <row r="848" spans="1:9" x14ac:dyDescent="0.25">
      <c r="A848" s="76" t="s">
        <v>289</v>
      </c>
      <c r="B848" s="76" t="s">
        <v>296</v>
      </c>
      <c r="C848" s="77">
        <v>41247</v>
      </c>
      <c r="D848" s="78">
        <v>41306</v>
      </c>
      <c r="E848" s="79">
        <v>0.13</v>
      </c>
      <c r="F848" s="88"/>
      <c r="G848" s="81">
        <v>15736</v>
      </c>
      <c r="H848" s="80">
        <v>2062.1799999999998</v>
      </c>
      <c r="I848" s="79">
        <f>H848/G848</f>
        <v>0.13104855109303506</v>
      </c>
    </row>
    <row r="849" spans="1:9" x14ac:dyDescent="0.25">
      <c r="A849" s="76" t="s">
        <v>384</v>
      </c>
      <c r="B849" s="76" t="s">
        <v>376</v>
      </c>
      <c r="C849" s="77">
        <v>41010</v>
      </c>
      <c r="D849" s="78">
        <v>41024</v>
      </c>
      <c r="E849" s="79">
        <v>4.4999999999999998E-2</v>
      </c>
      <c r="F849" s="80"/>
      <c r="G849" s="81">
        <v>7698</v>
      </c>
      <c r="H849" s="82">
        <v>2050.5</v>
      </c>
      <c r="I849" s="79">
        <f>H849/G849</f>
        <v>0.26636788776305537</v>
      </c>
    </row>
    <row r="850" spans="1:9" x14ac:dyDescent="0.25">
      <c r="A850" s="76" t="s">
        <v>289</v>
      </c>
      <c r="B850" s="76" t="s">
        <v>293</v>
      </c>
      <c r="C850" s="77">
        <v>41230</v>
      </c>
      <c r="D850" s="78">
        <v>41335</v>
      </c>
      <c r="E850" s="79">
        <v>0.13</v>
      </c>
      <c r="F850" s="88"/>
      <c r="G850" s="81">
        <v>15596</v>
      </c>
      <c r="H850" s="80">
        <v>2031.48</v>
      </c>
      <c r="I850" s="79">
        <f>H850/G850</f>
        <v>0.13025647601949217</v>
      </c>
    </row>
    <row r="851" spans="1:9" x14ac:dyDescent="0.25">
      <c r="A851" s="76" t="s">
        <v>439</v>
      </c>
      <c r="B851" s="76" t="s">
        <v>445</v>
      </c>
      <c r="C851" s="77">
        <v>40973</v>
      </c>
      <c r="D851" s="78">
        <v>41502</v>
      </c>
      <c r="E851" s="79">
        <v>0.14000000000000001</v>
      </c>
      <c r="F851" s="88"/>
      <c r="G851" s="81">
        <v>11970</v>
      </c>
      <c r="H851" s="80">
        <v>2000.88</v>
      </c>
      <c r="I851" s="79">
        <f>H851/G851</f>
        <v>0.16715789473684212</v>
      </c>
    </row>
    <row r="852" spans="1:9" x14ac:dyDescent="0.25">
      <c r="A852" s="70" t="s">
        <v>8</v>
      </c>
      <c r="B852" s="70" t="s">
        <v>9</v>
      </c>
      <c r="C852" s="71">
        <v>41021</v>
      </c>
      <c r="D852" s="72">
        <v>41213</v>
      </c>
      <c r="E852" s="73">
        <v>8.9999999999999993E-3</v>
      </c>
      <c r="F852" s="74">
        <v>1982</v>
      </c>
      <c r="G852" s="75"/>
      <c r="H852" s="74">
        <v>1982</v>
      </c>
      <c r="I852" s="73">
        <v>1</v>
      </c>
    </row>
    <row r="853" spans="1:9" x14ac:dyDescent="0.25">
      <c r="A853" s="76" t="s">
        <v>289</v>
      </c>
      <c r="B853" s="76" t="s">
        <v>305</v>
      </c>
      <c r="C853" s="77">
        <v>41158</v>
      </c>
      <c r="D853" s="78">
        <v>41222</v>
      </c>
      <c r="E853" s="79">
        <v>0.13</v>
      </c>
      <c r="F853" s="88"/>
      <c r="G853" s="81">
        <v>15120</v>
      </c>
      <c r="H853" s="80">
        <v>1969.6</v>
      </c>
      <c r="I853" s="79">
        <f>H853/G853</f>
        <v>0.13026455026455025</v>
      </c>
    </row>
    <row r="854" spans="1:9" x14ac:dyDescent="0.25">
      <c r="A854" s="76" t="s">
        <v>549</v>
      </c>
      <c r="B854" s="76" t="s">
        <v>554</v>
      </c>
      <c r="C854" s="77">
        <v>40891</v>
      </c>
      <c r="D854" s="78">
        <v>41090</v>
      </c>
      <c r="E854" s="79">
        <v>0.32400000000000001</v>
      </c>
      <c r="F854" s="80">
        <v>13650</v>
      </c>
      <c r="G854" s="88"/>
      <c r="H854" s="80">
        <v>1957.95</v>
      </c>
      <c r="I854" s="79">
        <f>H854/F854</f>
        <v>0.14343956043956044</v>
      </c>
    </row>
    <row r="855" spans="1:9" x14ac:dyDescent="0.25">
      <c r="A855" s="70" t="s">
        <v>71</v>
      </c>
      <c r="B855" s="70" t="s">
        <v>73</v>
      </c>
      <c r="C855" s="71">
        <v>41200</v>
      </c>
      <c r="D855" s="72">
        <v>41274</v>
      </c>
      <c r="E855" s="73">
        <v>8.9999999999999993E-3</v>
      </c>
      <c r="F855" s="74">
        <v>4478.5</v>
      </c>
      <c r="G855" s="75"/>
      <c r="H855" s="74">
        <v>1956.24</v>
      </c>
      <c r="I855" s="73">
        <v>0.43680696661828738</v>
      </c>
    </row>
    <row r="856" spans="1:9" x14ac:dyDescent="0.25">
      <c r="A856" s="76" t="s">
        <v>613</v>
      </c>
      <c r="B856" s="76" t="s">
        <v>22</v>
      </c>
      <c r="C856" s="77">
        <v>41173</v>
      </c>
      <c r="D856" s="78">
        <v>41455</v>
      </c>
      <c r="E856" s="79">
        <v>1.7999999999999999E-2</v>
      </c>
      <c r="F856" s="80"/>
      <c r="G856" s="81">
        <v>5213</v>
      </c>
      <c r="H856" s="80">
        <v>1954</v>
      </c>
      <c r="I856" s="79">
        <f>H856/G856</f>
        <v>0.37483215039324763</v>
      </c>
    </row>
    <row r="857" spans="1:9" x14ac:dyDescent="0.25">
      <c r="A857" s="76" t="s">
        <v>531</v>
      </c>
      <c r="B857" s="76" t="s">
        <v>543</v>
      </c>
      <c r="C857" s="77">
        <v>40848</v>
      </c>
      <c r="D857" s="78">
        <v>41213</v>
      </c>
      <c r="E857" s="79">
        <v>8.9999999999999993E-3</v>
      </c>
      <c r="F857" s="80"/>
      <c r="G857" s="81">
        <v>4150</v>
      </c>
      <c r="H857" s="80">
        <v>1950</v>
      </c>
      <c r="I857" s="79">
        <f>H857/G857</f>
        <v>0.46987951807228917</v>
      </c>
    </row>
    <row r="858" spans="1:9" x14ac:dyDescent="0.25">
      <c r="A858" s="76" t="s">
        <v>594</v>
      </c>
      <c r="B858" s="76" t="s">
        <v>603</v>
      </c>
      <c r="C858" s="77">
        <v>41261</v>
      </c>
      <c r="D858" s="78">
        <v>41455</v>
      </c>
      <c r="E858" s="79">
        <v>0.27</v>
      </c>
      <c r="F858" s="80"/>
      <c r="G858" s="81">
        <v>3785</v>
      </c>
      <c r="H858" s="80">
        <v>1939.48</v>
      </c>
      <c r="I858" s="79">
        <f>H858/G858</f>
        <v>0.51241215323645972</v>
      </c>
    </row>
    <row r="859" spans="1:9" x14ac:dyDescent="0.25">
      <c r="A859" s="70" t="s">
        <v>20</v>
      </c>
      <c r="B859" s="70" t="s">
        <v>34</v>
      </c>
      <c r="C859" s="71">
        <v>40973</v>
      </c>
      <c r="D859" s="72">
        <v>41319</v>
      </c>
      <c r="E859" s="73">
        <v>0</v>
      </c>
      <c r="F859" s="74">
        <v>13327</v>
      </c>
      <c r="G859" s="75"/>
      <c r="H859" s="74">
        <v>1933.53</v>
      </c>
      <c r="I859" s="73">
        <v>0.14508366474075185</v>
      </c>
    </row>
    <row r="860" spans="1:9" x14ac:dyDescent="0.25">
      <c r="A860" s="76" t="s">
        <v>512</v>
      </c>
      <c r="B860" s="76" t="s">
        <v>120</v>
      </c>
      <c r="C860" s="77">
        <v>41047</v>
      </c>
      <c r="D860" s="78">
        <v>41411</v>
      </c>
      <c r="E860" s="79">
        <v>8.9999999999999998E-4</v>
      </c>
      <c r="F860" s="80"/>
      <c r="G860" s="81">
        <v>19255.66</v>
      </c>
      <c r="H860" s="80">
        <v>1925.57</v>
      </c>
      <c r="I860" s="79">
        <f>H860/G860</f>
        <v>0.10000020773112944</v>
      </c>
    </row>
    <row r="861" spans="1:9" x14ac:dyDescent="0.25">
      <c r="A861" s="76" t="s">
        <v>289</v>
      </c>
      <c r="B861" s="76" t="s">
        <v>310</v>
      </c>
      <c r="C861" s="77">
        <v>41145</v>
      </c>
      <c r="D861" s="78">
        <v>41202</v>
      </c>
      <c r="E861" s="79">
        <v>0.13</v>
      </c>
      <c r="F861" s="88"/>
      <c r="G861" s="81">
        <v>14644</v>
      </c>
      <c r="H861" s="80">
        <v>1907.11</v>
      </c>
      <c r="I861" s="79">
        <f>H861/G861</f>
        <v>0.13023149412728763</v>
      </c>
    </row>
    <row r="862" spans="1:9" x14ac:dyDescent="0.25">
      <c r="A862" s="70" t="s">
        <v>171</v>
      </c>
      <c r="B862" s="70" t="s">
        <v>201</v>
      </c>
      <c r="C862" s="94">
        <v>40711</v>
      </c>
      <c r="D862" s="72">
        <v>41085</v>
      </c>
      <c r="E862" s="73">
        <v>1.7999999999999999E-2</v>
      </c>
      <c r="F862" s="74">
        <v>29238</v>
      </c>
      <c r="G862" s="75"/>
      <c r="H862" s="74">
        <v>1904</v>
      </c>
      <c r="I862" s="79">
        <f>H862/F862</f>
        <v>6.5120733292290858E-2</v>
      </c>
    </row>
    <row r="863" spans="1:9" x14ac:dyDescent="0.25">
      <c r="A863" s="76" t="s">
        <v>20</v>
      </c>
      <c r="B863" s="76" t="s">
        <v>25</v>
      </c>
      <c r="C863" s="77">
        <v>41187</v>
      </c>
      <c r="D863" s="78">
        <v>41547</v>
      </c>
      <c r="E863" s="79">
        <v>0</v>
      </c>
      <c r="F863" s="80">
        <v>16398</v>
      </c>
      <c r="G863" s="81"/>
      <c r="H863" s="80">
        <v>1901.92</v>
      </c>
      <c r="I863" s="73">
        <f>H863/F863</f>
        <v>0.11598487620441518</v>
      </c>
    </row>
    <row r="864" spans="1:9" x14ac:dyDescent="0.25">
      <c r="A864" s="76" t="s">
        <v>613</v>
      </c>
      <c r="B864" s="76" t="s">
        <v>183</v>
      </c>
      <c r="C864" s="77">
        <v>40774</v>
      </c>
      <c r="D864" s="78">
        <v>41104</v>
      </c>
      <c r="E864" s="79">
        <v>1.7999999999999999E-2</v>
      </c>
      <c r="F864" s="80"/>
      <c r="G864" s="81">
        <v>6185</v>
      </c>
      <c r="H864" s="80">
        <v>1889</v>
      </c>
      <c r="I864" s="79">
        <f t="shared" ref="I864:I870" si="22">H864/G864</f>
        <v>0.30541632983023442</v>
      </c>
    </row>
    <row r="865" spans="1:9" x14ac:dyDescent="0.25">
      <c r="A865" s="76" t="s">
        <v>289</v>
      </c>
      <c r="B865" s="76" t="s">
        <v>305</v>
      </c>
      <c r="C865" s="77">
        <v>40983</v>
      </c>
      <c r="D865" s="78">
        <v>41038</v>
      </c>
      <c r="E865" s="79">
        <v>0.13</v>
      </c>
      <c r="F865" s="79"/>
      <c r="G865" s="81">
        <v>14350</v>
      </c>
      <c r="H865" s="80">
        <v>1880.5</v>
      </c>
      <c r="I865" s="79">
        <f t="shared" si="22"/>
        <v>0.13104529616724739</v>
      </c>
    </row>
    <row r="866" spans="1:9" x14ac:dyDescent="0.25">
      <c r="A866" s="76" t="s">
        <v>289</v>
      </c>
      <c r="B866" s="76" t="s">
        <v>301</v>
      </c>
      <c r="C866" s="77">
        <v>40923</v>
      </c>
      <c r="D866" s="78">
        <v>41014</v>
      </c>
      <c r="E866" s="79">
        <v>0.13</v>
      </c>
      <c r="F866" s="79"/>
      <c r="G866" s="81">
        <v>14336</v>
      </c>
      <c r="H866" s="80">
        <v>1872.18</v>
      </c>
      <c r="I866" s="79">
        <f t="shared" si="22"/>
        <v>0.13059291294642858</v>
      </c>
    </row>
    <row r="867" spans="1:9" x14ac:dyDescent="0.25">
      <c r="A867" s="76" t="s">
        <v>512</v>
      </c>
      <c r="B867" s="76" t="s">
        <v>505</v>
      </c>
      <c r="C867" s="77">
        <v>41014</v>
      </c>
      <c r="D867" s="78">
        <v>41378</v>
      </c>
      <c r="E867" s="79">
        <v>0.09</v>
      </c>
      <c r="F867" s="80"/>
      <c r="G867" s="81">
        <v>18662</v>
      </c>
      <c r="H867" s="80">
        <v>1866.2</v>
      </c>
      <c r="I867" s="79">
        <f t="shared" si="22"/>
        <v>0.1</v>
      </c>
    </row>
    <row r="868" spans="1:9" x14ac:dyDescent="0.25">
      <c r="A868" s="76" t="s">
        <v>317</v>
      </c>
      <c r="B868" s="76" t="s">
        <v>360</v>
      </c>
      <c r="C868" s="77">
        <v>41177</v>
      </c>
      <c r="D868" s="78">
        <v>41486</v>
      </c>
      <c r="E868" s="79">
        <v>8.9999999999999998E-4</v>
      </c>
      <c r="F868" s="80"/>
      <c r="G868" s="81">
        <v>3273</v>
      </c>
      <c r="H868" s="80">
        <v>1846.77</v>
      </c>
      <c r="I868" s="79">
        <f t="shared" si="22"/>
        <v>0.56424381301558202</v>
      </c>
    </row>
    <row r="869" spans="1:9" x14ac:dyDescent="0.25">
      <c r="A869" s="76" t="s">
        <v>1717</v>
      </c>
      <c r="B869" s="76" t="s">
        <v>458</v>
      </c>
      <c r="C869" s="77">
        <v>41205</v>
      </c>
      <c r="D869" s="78">
        <v>41274</v>
      </c>
      <c r="E869" s="79">
        <v>8.9999999999999993E-3</v>
      </c>
      <c r="F869" s="80"/>
      <c r="G869" s="81">
        <v>5723</v>
      </c>
      <c r="H869" s="80">
        <v>1841.35</v>
      </c>
      <c r="I869" s="73">
        <f t="shared" si="22"/>
        <v>0.32174558797833303</v>
      </c>
    </row>
    <row r="870" spans="1:9" x14ac:dyDescent="0.25">
      <c r="A870" s="76" t="s">
        <v>558</v>
      </c>
      <c r="B870" s="76" t="s">
        <v>445</v>
      </c>
      <c r="C870" s="77">
        <v>40609</v>
      </c>
      <c r="D870" s="78">
        <v>40967</v>
      </c>
      <c r="E870" s="79">
        <v>0.14000000000000001</v>
      </c>
      <c r="F870" s="88"/>
      <c r="G870" s="81">
        <v>10972.2</v>
      </c>
      <c r="H870" s="80">
        <v>1833.34</v>
      </c>
      <c r="I870" s="79">
        <f t="shared" si="22"/>
        <v>0.16708955359909589</v>
      </c>
    </row>
    <row r="871" spans="1:9" x14ac:dyDescent="0.25">
      <c r="A871" s="76" t="s">
        <v>281</v>
      </c>
      <c r="B871" s="76" t="s">
        <v>288</v>
      </c>
      <c r="C871" s="77">
        <v>41061</v>
      </c>
      <c r="D871" s="78">
        <v>41274</v>
      </c>
      <c r="E871" s="79">
        <v>0.54</v>
      </c>
      <c r="F871" s="80">
        <v>2395</v>
      </c>
      <c r="G871" s="81"/>
      <c r="H871" s="80">
        <v>1828.42</v>
      </c>
      <c r="I871" s="79">
        <f>IF(H871="","",(IF(C871&lt;&gt;"",H871/C871,H871/D871)))</f>
        <v>4.4529358758919661E-2</v>
      </c>
    </row>
    <row r="872" spans="1:9" x14ac:dyDescent="0.25">
      <c r="A872" s="76" t="s">
        <v>313</v>
      </c>
      <c r="B872" s="76" t="s">
        <v>310</v>
      </c>
      <c r="C872" s="77">
        <v>40968</v>
      </c>
      <c r="D872" s="78">
        <v>41088</v>
      </c>
      <c r="E872" s="79">
        <v>0.13</v>
      </c>
      <c r="F872" s="88"/>
      <c r="G872" s="81">
        <v>14014</v>
      </c>
      <c r="H872" s="80">
        <v>1827.82</v>
      </c>
      <c r="I872" s="79">
        <f>H872/G872</f>
        <v>0.13042814328528612</v>
      </c>
    </row>
    <row r="873" spans="1:9" x14ac:dyDescent="0.25">
      <c r="A873" s="76" t="s">
        <v>439</v>
      </c>
      <c r="B873" s="76" t="s">
        <v>443</v>
      </c>
      <c r="C873" s="77">
        <v>41127</v>
      </c>
      <c r="D873" s="78">
        <v>41417</v>
      </c>
      <c r="E873" s="79">
        <v>0.14000000000000001</v>
      </c>
      <c r="F873" s="88"/>
      <c r="G873" s="81">
        <v>11587</v>
      </c>
      <c r="H873" s="80">
        <v>1810.52</v>
      </c>
      <c r="I873" s="79">
        <f>H873/G873</f>
        <v>0.15625442306032622</v>
      </c>
    </row>
    <row r="874" spans="1:9" x14ac:dyDescent="0.25">
      <c r="A874" s="76" t="s">
        <v>171</v>
      </c>
      <c r="B874" s="76" t="s">
        <v>208</v>
      </c>
      <c r="C874" s="77">
        <v>40891</v>
      </c>
      <c r="D874" s="78">
        <v>41206</v>
      </c>
      <c r="E874" s="79">
        <v>1.7999999999999999E-2</v>
      </c>
      <c r="F874" s="80">
        <v>27179</v>
      </c>
      <c r="G874" s="81"/>
      <c r="H874" s="80">
        <v>1776</v>
      </c>
      <c r="I874" s="79">
        <f>H874/F874</f>
        <v>6.5344567496964573E-2</v>
      </c>
    </row>
    <row r="875" spans="1:9" x14ac:dyDescent="0.25">
      <c r="A875" s="76" t="s">
        <v>790</v>
      </c>
      <c r="B875" s="76" t="s">
        <v>1721</v>
      </c>
      <c r="C875" s="77">
        <v>40849</v>
      </c>
      <c r="D875" s="78">
        <v>41214</v>
      </c>
      <c r="E875" s="79">
        <v>0.18</v>
      </c>
      <c r="F875" s="80"/>
      <c r="G875" s="81">
        <v>9837</v>
      </c>
      <c r="H875" s="80">
        <v>1770.66</v>
      </c>
      <c r="I875" s="73">
        <f>H875/G875</f>
        <v>0.18000000000000002</v>
      </c>
    </row>
    <row r="876" spans="1:9" x14ac:dyDescent="0.25">
      <c r="A876" s="76" t="s">
        <v>512</v>
      </c>
      <c r="B876" s="76" t="s">
        <v>506</v>
      </c>
      <c r="C876" s="77">
        <v>41126</v>
      </c>
      <c r="D876" s="78">
        <v>41490</v>
      </c>
      <c r="E876" s="79">
        <v>0.09</v>
      </c>
      <c r="F876" s="80"/>
      <c r="G876" s="81">
        <v>17326</v>
      </c>
      <c r="H876" s="80">
        <v>1732.6</v>
      </c>
      <c r="I876" s="79">
        <f>H876/G876</f>
        <v>9.9999999999999992E-2</v>
      </c>
    </row>
    <row r="877" spans="1:9" x14ac:dyDescent="0.25">
      <c r="A877" s="76" t="s">
        <v>558</v>
      </c>
      <c r="B877" s="76" t="s">
        <v>447</v>
      </c>
      <c r="C877" s="77">
        <v>40840</v>
      </c>
      <c r="D877" s="78">
        <v>41152</v>
      </c>
      <c r="E877" s="79">
        <v>0.14000000000000001</v>
      </c>
      <c r="F877" s="88"/>
      <c r="G877" s="81">
        <v>8903</v>
      </c>
      <c r="H877" s="80">
        <v>1727.18</v>
      </c>
      <c r="I877" s="79">
        <f>H877/G877</f>
        <v>0.19399977535662138</v>
      </c>
    </row>
    <row r="878" spans="1:9" x14ac:dyDescent="0.25">
      <c r="A878" s="76" t="s">
        <v>313</v>
      </c>
      <c r="B878" s="76" t="s">
        <v>292</v>
      </c>
      <c r="C878" s="77">
        <v>41062</v>
      </c>
      <c r="D878" s="78">
        <v>41156</v>
      </c>
      <c r="E878" s="79">
        <v>0.13</v>
      </c>
      <c r="F878" s="88"/>
      <c r="G878" s="81">
        <v>12922</v>
      </c>
      <c r="H878" s="80">
        <v>1698.86</v>
      </c>
      <c r="I878" s="79">
        <f>H878/G878</f>
        <v>0.13147036062529019</v>
      </c>
    </row>
    <row r="879" spans="1:9" x14ac:dyDescent="0.25">
      <c r="A879" s="70" t="s">
        <v>87</v>
      </c>
      <c r="B879" s="70" t="s">
        <v>19</v>
      </c>
      <c r="C879" s="71">
        <v>40788</v>
      </c>
      <c r="D879" s="72">
        <v>41153</v>
      </c>
      <c r="E879" s="73">
        <v>0.92500000000000004</v>
      </c>
      <c r="F879" s="90"/>
      <c r="G879" s="75">
        <v>1828.18</v>
      </c>
      <c r="H879" s="74">
        <v>1691.07</v>
      </c>
      <c r="I879" s="73">
        <v>0.92500191447231661</v>
      </c>
    </row>
    <row r="880" spans="1:9" x14ac:dyDescent="0.25">
      <c r="A880" s="76" t="s">
        <v>504</v>
      </c>
      <c r="B880" s="76" t="s">
        <v>507</v>
      </c>
      <c r="C880" s="77">
        <v>40763</v>
      </c>
      <c r="D880" s="78">
        <v>41128</v>
      </c>
      <c r="E880" s="79">
        <v>0.09</v>
      </c>
      <c r="F880" s="80"/>
      <c r="G880" s="81">
        <v>16742.57</v>
      </c>
      <c r="H880" s="80">
        <v>1674.26</v>
      </c>
      <c r="I880" s="79">
        <f>H880/G880</f>
        <v>0.10000017918396041</v>
      </c>
    </row>
    <row r="881" spans="1:9" x14ac:dyDescent="0.25">
      <c r="A881" s="70" t="s">
        <v>101</v>
      </c>
      <c r="B881" s="70" t="s">
        <v>109</v>
      </c>
      <c r="C881" s="71">
        <v>40934</v>
      </c>
      <c r="D881" s="72">
        <v>41274</v>
      </c>
      <c r="E881" s="73">
        <v>8.9999999999999993E-3</v>
      </c>
      <c r="F881" s="74">
        <v>8958.5</v>
      </c>
      <c r="G881" s="75"/>
      <c r="H881" s="74">
        <v>1662.35</v>
      </c>
      <c r="I881" s="73">
        <v>0.18556119886141653</v>
      </c>
    </row>
    <row r="882" spans="1:9" x14ac:dyDescent="0.25">
      <c r="A882" s="76" t="s">
        <v>289</v>
      </c>
      <c r="B882" s="76" t="s">
        <v>290</v>
      </c>
      <c r="C882" s="77">
        <v>40820</v>
      </c>
      <c r="D882" s="78">
        <v>40943</v>
      </c>
      <c r="E882" s="79">
        <v>0.13</v>
      </c>
      <c r="F882" s="88"/>
      <c r="G882" s="81">
        <v>12623</v>
      </c>
      <c r="H882" s="80">
        <v>1646.99</v>
      </c>
      <c r="I882" s="79">
        <f t="shared" ref="I882:I887" si="23">H882/G882</f>
        <v>0.13047532282341756</v>
      </c>
    </row>
    <row r="883" spans="1:9" x14ac:dyDescent="0.25">
      <c r="A883" s="76" t="s">
        <v>289</v>
      </c>
      <c r="B883" s="76" t="s">
        <v>292</v>
      </c>
      <c r="C883" s="77">
        <v>40831</v>
      </c>
      <c r="D883" s="78">
        <v>40983</v>
      </c>
      <c r="E883" s="79">
        <v>0.13</v>
      </c>
      <c r="F883" s="79"/>
      <c r="G883" s="81">
        <v>12597</v>
      </c>
      <c r="H883" s="80">
        <v>1646.61</v>
      </c>
      <c r="I883" s="79">
        <f t="shared" si="23"/>
        <v>0.13071445582281493</v>
      </c>
    </row>
    <row r="884" spans="1:9" x14ac:dyDescent="0.25">
      <c r="A884" s="76" t="s">
        <v>643</v>
      </c>
      <c r="B884" s="76" t="s">
        <v>117</v>
      </c>
      <c r="C884" s="77">
        <v>40950</v>
      </c>
      <c r="D884" s="78">
        <v>41274</v>
      </c>
      <c r="E884" s="79">
        <v>4.4999999999999997E-3</v>
      </c>
      <c r="F884" s="80"/>
      <c r="G884" s="81">
        <v>2970</v>
      </c>
      <c r="H884" s="80">
        <v>1635</v>
      </c>
      <c r="I884" s="79">
        <f t="shared" si="23"/>
        <v>0.5505050505050505</v>
      </c>
    </row>
    <row r="885" spans="1:9" x14ac:dyDescent="0.25">
      <c r="A885" s="76" t="s">
        <v>439</v>
      </c>
      <c r="B885" s="76" t="s">
        <v>440</v>
      </c>
      <c r="C885" s="77">
        <v>41176</v>
      </c>
      <c r="D885" s="78">
        <v>41417</v>
      </c>
      <c r="E885" s="79">
        <v>0.14000000000000001</v>
      </c>
      <c r="F885" s="88"/>
      <c r="G885" s="81">
        <v>9677</v>
      </c>
      <c r="H885" s="80">
        <v>1614.12</v>
      </c>
      <c r="I885" s="79">
        <f t="shared" si="23"/>
        <v>0.16679962798387929</v>
      </c>
    </row>
    <row r="886" spans="1:9" x14ac:dyDescent="0.25">
      <c r="A886" s="76" t="s">
        <v>504</v>
      </c>
      <c r="B886" s="76" t="s">
        <v>68</v>
      </c>
      <c r="C886" s="77">
        <v>40789</v>
      </c>
      <c r="D886" s="78">
        <v>41154</v>
      </c>
      <c r="E886" s="79">
        <v>0.09</v>
      </c>
      <c r="F886" s="80"/>
      <c r="G886" s="81">
        <v>16123</v>
      </c>
      <c r="H886" s="80">
        <v>1612.3</v>
      </c>
      <c r="I886" s="79">
        <f t="shared" si="23"/>
        <v>9.9999999999999992E-2</v>
      </c>
    </row>
    <row r="887" spans="1:9" x14ac:dyDescent="0.25">
      <c r="A887" s="76" t="s">
        <v>289</v>
      </c>
      <c r="B887" s="76" t="s">
        <v>311</v>
      </c>
      <c r="C887" s="77">
        <v>41177</v>
      </c>
      <c r="D887" s="78">
        <v>41221</v>
      </c>
      <c r="E887" s="79">
        <v>0.13</v>
      </c>
      <c r="F887" s="88"/>
      <c r="G887" s="81">
        <v>12264</v>
      </c>
      <c r="H887" s="80">
        <v>1604.42</v>
      </c>
      <c r="I887" s="79">
        <f t="shared" si="23"/>
        <v>0.13082354859752121</v>
      </c>
    </row>
    <row r="888" spans="1:9" x14ac:dyDescent="0.25">
      <c r="A888" s="70" t="s">
        <v>101</v>
      </c>
      <c r="B888" s="70" t="s">
        <v>108</v>
      </c>
      <c r="C888" s="71">
        <v>40817</v>
      </c>
      <c r="D888" s="72">
        <v>41182</v>
      </c>
      <c r="E888" s="73">
        <v>1.35E-2</v>
      </c>
      <c r="F888" s="74"/>
      <c r="G888" s="75">
        <v>4862.16</v>
      </c>
      <c r="H888" s="74">
        <v>1603.27</v>
      </c>
      <c r="I888" s="73">
        <v>0.32974439343830725</v>
      </c>
    </row>
    <row r="889" spans="1:9" x14ac:dyDescent="0.25">
      <c r="A889" s="70" t="s">
        <v>101</v>
      </c>
      <c r="B889" s="70" t="s">
        <v>107</v>
      </c>
      <c r="C889" s="71">
        <v>40763</v>
      </c>
      <c r="D889" s="72">
        <v>41090</v>
      </c>
      <c r="E889" s="73">
        <v>1.35E-2</v>
      </c>
      <c r="F889" s="74"/>
      <c r="G889" s="75">
        <v>2930.29</v>
      </c>
      <c r="H889" s="74">
        <v>1602.6</v>
      </c>
      <c r="I889" s="73">
        <v>0.54690832647963172</v>
      </c>
    </row>
    <row r="890" spans="1:9" x14ac:dyDescent="0.25">
      <c r="A890" s="76" t="s">
        <v>512</v>
      </c>
      <c r="B890" s="76" t="s">
        <v>68</v>
      </c>
      <c r="C890" s="77">
        <v>41155</v>
      </c>
      <c r="D890" s="78">
        <v>41519</v>
      </c>
      <c r="E890" s="79">
        <v>0.09</v>
      </c>
      <c r="F890" s="80"/>
      <c r="G890" s="81">
        <v>15925.35</v>
      </c>
      <c r="H890" s="80">
        <v>1592.54</v>
      </c>
      <c r="I890" s="79">
        <f>H890/G890</f>
        <v>0.10000031396484221</v>
      </c>
    </row>
    <row r="891" spans="1:9" x14ac:dyDescent="0.25">
      <c r="A891" s="76" t="s">
        <v>289</v>
      </c>
      <c r="B891" s="76" t="s">
        <v>299</v>
      </c>
      <c r="C891" s="77">
        <v>40892</v>
      </c>
      <c r="D891" s="78">
        <v>41014</v>
      </c>
      <c r="E891" s="79">
        <v>0.13</v>
      </c>
      <c r="F891" s="79"/>
      <c r="G891" s="81">
        <v>12090</v>
      </c>
      <c r="H891" s="80">
        <v>1590.7</v>
      </c>
      <c r="I891" s="79">
        <f>H891/G891</f>
        <v>0.13157154673283705</v>
      </c>
    </row>
    <row r="892" spans="1:9" x14ac:dyDescent="0.25">
      <c r="A892" s="76" t="s">
        <v>235</v>
      </c>
      <c r="B892" s="76" t="s">
        <v>168</v>
      </c>
      <c r="C892" s="77">
        <v>40616</v>
      </c>
      <c r="D892" s="78">
        <v>40981</v>
      </c>
      <c r="E892" s="79">
        <v>4.4999999999999998E-2</v>
      </c>
      <c r="F892" s="80">
        <v>1763</v>
      </c>
      <c r="G892" s="81"/>
      <c r="H892" s="80">
        <v>1583.69</v>
      </c>
      <c r="I892" s="79">
        <f>H892/F892</f>
        <v>0.89829268292682929</v>
      </c>
    </row>
    <row r="893" spans="1:9" x14ac:dyDescent="0.25">
      <c r="A893" s="76" t="s">
        <v>289</v>
      </c>
      <c r="B893" s="76" t="s">
        <v>292</v>
      </c>
      <c r="C893" s="77">
        <v>41230</v>
      </c>
      <c r="D893" s="78">
        <v>41335</v>
      </c>
      <c r="E893" s="79">
        <v>0.13</v>
      </c>
      <c r="F893" s="88"/>
      <c r="G893" s="81">
        <v>11956</v>
      </c>
      <c r="H893" s="80">
        <v>1569.58</v>
      </c>
      <c r="I893" s="79">
        <f>H893/G893</f>
        <v>0.13127969220475075</v>
      </c>
    </row>
    <row r="894" spans="1:9" x14ac:dyDescent="0.25">
      <c r="A894" s="70" t="s">
        <v>60</v>
      </c>
      <c r="B894" s="70" t="s">
        <v>43</v>
      </c>
      <c r="C894" s="71">
        <v>40732</v>
      </c>
      <c r="D894" s="72">
        <v>41097</v>
      </c>
      <c r="E894" s="73">
        <v>0.09</v>
      </c>
      <c r="F894" s="74"/>
      <c r="G894" s="75">
        <v>10736</v>
      </c>
      <c r="H894" s="74">
        <v>1566.93</v>
      </c>
      <c r="I894" s="73">
        <v>0.14595100596125188</v>
      </c>
    </row>
    <row r="895" spans="1:9" x14ac:dyDescent="0.25">
      <c r="A895" s="76" t="s">
        <v>504</v>
      </c>
      <c r="B895" s="76" t="s">
        <v>54</v>
      </c>
      <c r="C895" s="77">
        <v>40899</v>
      </c>
      <c r="D895" s="78">
        <v>41197</v>
      </c>
      <c r="E895" s="79">
        <v>0.15</v>
      </c>
      <c r="F895" s="80"/>
      <c r="G895" s="81">
        <v>10262</v>
      </c>
      <c r="H895" s="80">
        <v>1529.3</v>
      </c>
      <c r="I895" s="79">
        <f>H895/G895</f>
        <v>0.14902553108555835</v>
      </c>
    </row>
    <row r="896" spans="1:9" x14ac:dyDescent="0.25">
      <c r="A896" s="76" t="s">
        <v>504</v>
      </c>
      <c r="B896" s="76" t="s">
        <v>506</v>
      </c>
      <c r="C896" s="77">
        <v>40760</v>
      </c>
      <c r="D896" s="78">
        <v>41125</v>
      </c>
      <c r="E896" s="79">
        <v>0.1</v>
      </c>
      <c r="F896" s="80"/>
      <c r="G896" s="81">
        <v>15292.94</v>
      </c>
      <c r="H896" s="80">
        <v>1529.29</v>
      </c>
      <c r="I896" s="79">
        <f>H896/G896</f>
        <v>9.999973844139845E-2</v>
      </c>
    </row>
    <row r="897" spans="1:9" x14ac:dyDescent="0.25">
      <c r="A897" s="76" t="s">
        <v>289</v>
      </c>
      <c r="B897" s="76" t="s">
        <v>299</v>
      </c>
      <c r="C897" s="77">
        <v>41080</v>
      </c>
      <c r="D897" s="78">
        <v>41190</v>
      </c>
      <c r="E897" s="79">
        <v>0.13</v>
      </c>
      <c r="F897" s="88"/>
      <c r="G897" s="81">
        <v>11186</v>
      </c>
      <c r="H897" s="80">
        <v>1497.18</v>
      </c>
      <c r="I897" s="79">
        <f>H897/G897</f>
        <v>0.13384409082782051</v>
      </c>
    </row>
    <row r="898" spans="1:9" x14ac:dyDescent="0.25">
      <c r="A898" s="76" t="s">
        <v>289</v>
      </c>
      <c r="B898" s="76" t="s">
        <v>307</v>
      </c>
      <c r="C898" s="77">
        <v>41165</v>
      </c>
      <c r="D898" s="78">
        <v>41255</v>
      </c>
      <c r="E898" s="79">
        <v>0.13</v>
      </c>
      <c r="F898" s="88"/>
      <c r="G898" s="81">
        <v>11340</v>
      </c>
      <c r="H898" s="80">
        <v>1491.2</v>
      </c>
      <c r="I898" s="79">
        <f>H898/G898</f>
        <v>0.13149911816578483</v>
      </c>
    </row>
    <row r="899" spans="1:9" x14ac:dyDescent="0.25">
      <c r="A899" s="76" t="s">
        <v>555</v>
      </c>
      <c r="B899" s="76" t="s">
        <v>69</v>
      </c>
      <c r="C899" s="77">
        <v>41170</v>
      </c>
      <c r="D899" s="78">
        <v>41534</v>
      </c>
      <c r="E899" s="79">
        <v>0.09</v>
      </c>
      <c r="F899" s="80">
        <v>14907</v>
      </c>
      <c r="G899" s="88"/>
      <c r="H899" s="80">
        <v>1490.7</v>
      </c>
      <c r="I899" s="79">
        <f>H899/F899</f>
        <v>0.1</v>
      </c>
    </row>
    <row r="900" spans="1:9" x14ac:dyDescent="0.25">
      <c r="A900" s="70" t="s">
        <v>122</v>
      </c>
      <c r="B900" s="70" t="s">
        <v>125</v>
      </c>
      <c r="C900" s="71">
        <v>40817</v>
      </c>
      <c r="D900" s="72">
        <v>41182</v>
      </c>
      <c r="E900" s="73">
        <v>0.15</v>
      </c>
      <c r="F900" s="74"/>
      <c r="G900" s="75">
        <v>9878</v>
      </c>
      <c r="H900" s="74">
        <v>1481.7</v>
      </c>
      <c r="I900" s="73">
        <v>0.15</v>
      </c>
    </row>
    <row r="901" spans="1:9" x14ac:dyDescent="0.25">
      <c r="A901" s="76" t="s">
        <v>531</v>
      </c>
      <c r="B901" s="76" t="s">
        <v>534</v>
      </c>
      <c r="C901" s="77">
        <v>40726</v>
      </c>
      <c r="D901" s="78">
        <v>41029</v>
      </c>
      <c r="E901" s="79">
        <v>8.9999999999999993E-3</v>
      </c>
      <c r="F901" s="80"/>
      <c r="G901" s="81">
        <v>3341</v>
      </c>
      <c r="H901" s="80">
        <v>1479</v>
      </c>
      <c r="I901" s="79">
        <f>H901/G901</f>
        <v>0.44268183178689013</v>
      </c>
    </row>
    <row r="902" spans="1:9" x14ac:dyDescent="0.25">
      <c r="A902" s="76" t="s">
        <v>317</v>
      </c>
      <c r="B902" s="76" t="s">
        <v>329</v>
      </c>
      <c r="C902" s="77">
        <v>40740</v>
      </c>
      <c r="D902" s="78">
        <v>41090</v>
      </c>
      <c r="E902" s="79">
        <v>0</v>
      </c>
      <c r="F902" s="80"/>
      <c r="G902" s="81">
        <v>3025</v>
      </c>
      <c r="H902" s="80">
        <v>1477.08</v>
      </c>
      <c r="I902" s="79">
        <f>H902/G902</f>
        <v>0.48829090909090905</v>
      </c>
    </row>
    <row r="903" spans="1:9" x14ac:dyDescent="0.25">
      <c r="A903" s="70" t="s">
        <v>80</v>
      </c>
      <c r="B903" s="70" t="s">
        <v>81</v>
      </c>
      <c r="C903" s="71">
        <v>40857</v>
      </c>
      <c r="D903" s="72">
        <v>41222</v>
      </c>
      <c r="E903" s="73">
        <v>8.9999999999999993E-3</v>
      </c>
      <c r="F903" s="74"/>
      <c r="G903" s="75">
        <v>2750</v>
      </c>
      <c r="H903" s="74">
        <v>1477</v>
      </c>
      <c r="I903" s="73">
        <v>0.53709090909090906</v>
      </c>
    </row>
    <row r="904" spans="1:9" x14ac:dyDescent="0.25">
      <c r="A904" s="76" t="s">
        <v>289</v>
      </c>
      <c r="B904" s="76" t="s">
        <v>307</v>
      </c>
      <c r="C904" s="77">
        <v>41000</v>
      </c>
      <c r="D904" s="78">
        <v>41088</v>
      </c>
      <c r="E904" s="79">
        <v>0.13</v>
      </c>
      <c r="F904" s="88"/>
      <c r="G904" s="81">
        <v>11298</v>
      </c>
      <c r="H904" s="80">
        <v>1473.74</v>
      </c>
      <c r="I904" s="79">
        <f t="shared" ref="I904:I911" si="24">H904/G904</f>
        <v>0.13044255620463799</v>
      </c>
    </row>
    <row r="905" spans="1:9" x14ac:dyDescent="0.25">
      <c r="A905" s="76" t="s">
        <v>531</v>
      </c>
      <c r="B905" s="76" t="s">
        <v>33</v>
      </c>
      <c r="C905" s="77">
        <v>40709</v>
      </c>
      <c r="D905" s="78">
        <v>40999</v>
      </c>
      <c r="E905" s="79">
        <v>8.9999999999999993E-3</v>
      </c>
      <c r="F905" s="80"/>
      <c r="G905" s="81">
        <v>6980</v>
      </c>
      <c r="H905" s="80">
        <v>1470</v>
      </c>
      <c r="I905" s="79">
        <f t="shared" si="24"/>
        <v>0.21060171919770773</v>
      </c>
    </row>
    <row r="906" spans="1:9" x14ac:dyDescent="0.25">
      <c r="A906" s="76" t="s">
        <v>439</v>
      </c>
      <c r="B906" s="76" t="s">
        <v>441</v>
      </c>
      <c r="C906" s="77">
        <v>41239</v>
      </c>
      <c r="D906" s="78">
        <v>41333</v>
      </c>
      <c r="E906" s="79">
        <v>0.14000000000000001</v>
      </c>
      <c r="F906" s="88"/>
      <c r="G906" s="81">
        <v>7753</v>
      </c>
      <c r="H906" s="80">
        <v>1468.12</v>
      </c>
      <c r="I906" s="79">
        <f t="shared" si="24"/>
        <v>0.18936153746936668</v>
      </c>
    </row>
    <row r="907" spans="1:9" x14ac:dyDescent="0.25">
      <c r="A907" s="76" t="s">
        <v>439</v>
      </c>
      <c r="B907" s="76" t="s">
        <v>447</v>
      </c>
      <c r="C907" s="77">
        <v>41183</v>
      </c>
      <c r="D907" s="78">
        <v>41419</v>
      </c>
      <c r="E907" s="79">
        <v>0.14000000000000001</v>
      </c>
      <c r="F907" s="88"/>
      <c r="G907" s="81">
        <v>7532</v>
      </c>
      <c r="H907" s="80">
        <v>1467</v>
      </c>
      <c r="I907" s="79">
        <f t="shared" si="24"/>
        <v>0.19476898566117898</v>
      </c>
    </row>
    <row r="908" spans="1:9" x14ac:dyDescent="0.25">
      <c r="A908" s="76" t="s">
        <v>512</v>
      </c>
      <c r="B908" s="76" t="s">
        <v>514</v>
      </c>
      <c r="C908" s="77">
        <v>40865</v>
      </c>
      <c r="D908" s="78">
        <v>41230</v>
      </c>
      <c r="E908" s="79">
        <v>0.13500000000000001</v>
      </c>
      <c r="F908" s="80"/>
      <c r="G908" s="81">
        <v>9772</v>
      </c>
      <c r="H908" s="80">
        <v>1465.8</v>
      </c>
      <c r="I908" s="79">
        <f t="shared" si="24"/>
        <v>0.15</v>
      </c>
    </row>
    <row r="909" spans="1:9" x14ac:dyDescent="0.25">
      <c r="A909" s="76" t="s">
        <v>439</v>
      </c>
      <c r="B909" s="76" t="s">
        <v>446</v>
      </c>
      <c r="C909" s="77">
        <v>41156</v>
      </c>
      <c r="D909" s="78">
        <v>41419</v>
      </c>
      <c r="E909" s="79">
        <v>0.14000000000000001</v>
      </c>
      <c r="F909" s="88"/>
      <c r="G909" s="81">
        <v>8977</v>
      </c>
      <c r="H909" s="80">
        <v>1464</v>
      </c>
      <c r="I909" s="79">
        <f t="shared" si="24"/>
        <v>0.16308343544614012</v>
      </c>
    </row>
    <row r="910" spans="1:9" x14ac:dyDescent="0.25">
      <c r="A910" s="76" t="s">
        <v>263</v>
      </c>
      <c r="B910" s="76" t="s">
        <v>22</v>
      </c>
      <c r="C910" s="77">
        <v>40772</v>
      </c>
      <c r="D910" s="78">
        <v>41137</v>
      </c>
      <c r="E910" s="79">
        <v>8.9999999999999993E-3</v>
      </c>
      <c r="F910" s="80"/>
      <c r="G910" s="81">
        <v>2439</v>
      </c>
      <c r="H910" s="80">
        <v>1463.4</v>
      </c>
      <c r="I910" s="79">
        <f t="shared" si="24"/>
        <v>0.60000000000000009</v>
      </c>
    </row>
    <row r="911" spans="1:9" x14ac:dyDescent="0.25">
      <c r="A911" s="76" t="s">
        <v>790</v>
      </c>
      <c r="B911" s="76" t="s">
        <v>1587</v>
      </c>
      <c r="C911" s="77">
        <v>40695</v>
      </c>
      <c r="D911" s="78">
        <v>41060</v>
      </c>
      <c r="E911" s="79">
        <v>0.15</v>
      </c>
      <c r="F911" s="80"/>
      <c r="G911" s="81">
        <v>9672</v>
      </c>
      <c r="H911" s="80">
        <v>1450.8</v>
      </c>
      <c r="I911" s="73">
        <f t="shared" si="24"/>
        <v>0.15</v>
      </c>
    </row>
    <row r="912" spans="1:9" x14ac:dyDescent="0.25">
      <c r="A912" s="70" t="s">
        <v>20</v>
      </c>
      <c r="B912" s="70" t="s">
        <v>21</v>
      </c>
      <c r="C912" s="71">
        <v>40947</v>
      </c>
      <c r="D912" s="72">
        <v>41274</v>
      </c>
      <c r="E912" s="73">
        <v>0</v>
      </c>
      <c r="F912" s="74"/>
      <c r="G912" s="75">
        <v>2075</v>
      </c>
      <c r="H912" s="74">
        <v>1444.35</v>
      </c>
      <c r="I912" s="73">
        <v>0.69607228915662644</v>
      </c>
    </row>
    <row r="913" spans="1:9" x14ac:dyDescent="0.25">
      <c r="A913" s="76" t="s">
        <v>674</v>
      </c>
      <c r="B913" s="76" t="s">
        <v>108</v>
      </c>
      <c r="C913" s="77">
        <v>41011</v>
      </c>
      <c r="D913" s="78">
        <v>41274</v>
      </c>
      <c r="E913" s="79">
        <v>0.22500000000000001</v>
      </c>
      <c r="F913" s="80"/>
      <c r="G913" s="81">
        <v>2625</v>
      </c>
      <c r="H913" s="80">
        <v>1439.03</v>
      </c>
      <c r="I913" s="79">
        <f>H913/G913</f>
        <v>0.54820190476190478</v>
      </c>
    </row>
    <row r="914" spans="1:9" x14ac:dyDescent="0.25">
      <c r="A914" s="76" t="s">
        <v>317</v>
      </c>
      <c r="B914" s="76" t="s">
        <v>322</v>
      </c>
      <c r="C914" s="77">
        <v>40663</v>
      </c>
      <c r="D914" s="78">
        <v>41021</v>
      </c>
      <c r="E914" s="79">
        <v>0</v>
      </c>
      <c r="F914" s="80">
        <v>219085</v>
      </c>
      <c r="G914" s="81"/>
      <c r="H914" s="80">
        <v>1419.24</v>
      </c>
      <c r="I914" s="79">
        <f>H914/F914</f>
        <v>6.4780336399114496E-3</v>
      </c>
    </row>
    <row r="915" spans="1:9" x14ac:dyDescent="0.25">
      <c r="A915" s="76" t="s">
        <v>262</v>
      </c>
      <c r="B915" s="76" t="s">
        <v>107</v>
      </c>
      <c r="C915" s="77">
        <v>40749</v>
      </c>
      <c r="D915" s="78">
        <v>41090</v>
      </c>
      <c r="E915" s="79">
        <v>8.9999999999999993E-3</v>
      </c>
      <c r="F915" s="80"/>
      <c r="G915" s="81">
        <v>2215</v>
      </c>
      <c r="H915" s="80">
        <v>1417.6</v>
      </c>
      <c r="I915" s="79">
        <f>H915/G915</f>
        <v>0.64</v>
      </c>
    </row>
    <row r="916" spans="1:9" ht="28.5" x14ac:dyDescent="0.25">
      <c r="A916" s="76" t="s">
        <v>692</v>
      </c>
      <c r="B916" s="76" t="s">
        <v>111</v>
      </c>
      <c r="C916" s="77">
        <v>40909</v>
      </c>
      <c r="D916" s="78">
        <v>41274</v>
      </c>
      <c r="E916" s="79">
        <v>8.9999999999999993E-3</v>
      </c>
      <c r="F916" s="80">
        <v>5842</v>
      </c>
      <c r="G916" s="81"/>
      <c r="H916" s="80">
        <v>1415</v>
      </c>
      <c r="I916" s="79">
        <f>H916/F916</f>
        <v>0.24221157137966451</v>
      </c>
    </row>
    <row r="917" spans="1:9" x14ac:dyDescent="0.25">
      <c r="A917" s="76" t="s">
        <v>317</v>
      </c>
      <c r="B917" s="76" t="s">
        <v>361</v>
      </c>
      <c r="C917" s="77">
        <v>41144</v>
      </c>
      <c r="D917" s="78">
        <v>41469</v>
      </c>
      <c r="E917" s="79">
        <v>8.9999999999999998E-4</v>
      </c>
      <c r="F917" s="80"/>
      <c r="G917" s="81">
        <v>7649</v>
      </c>
      <c r="H917" s="80">
        <v>1404.13</v>
      </c>
      <c r="I917" s="79">
        <f t="shared" ref="I917:I928" si="25">H917/G917</f>
        <v>0.18357040135965488</v>
      </c>
    </row>
    <row r="918" spans="1:9" x14ac:dyDescent="0.25">
      <c r="A918" s="76" t="s">
        <v>613</v>
      </c>
      <c r="B918" s="76" t="s">
        <v>548</v>
      </c>
      <c r="C918" s="77">
        <v>41082</v>
      </c>
      <c r="D918" s="78">
        <v>41425</v>
      </c>
      <c r="E918" s="79">
        <v>8.9999999999999993E-3</v>
      </c>
      <c r="F918" s="80"/>
      <c r="G918" s="81">
        <v>7476</v>
      </c>
      <c r="H918" s="80">
        <v>1403</v>
      </c>
      <c r="I918" s="79">
        <f t="shared" si="25"/>
        <v>0.18766720171214554</v>
      </c>
    </row>
    <row r="919" spans="1:9" x14ac:dyDescent="0.25">
      <c r="A919" s="76" t="s">
        <v>289</v>
      </c>
      <c r="B919" s="76" t="s">
        <v>299</v>
      </c>
      <c r="C919" s="77">
        <v>41214</v>
      </c>
      <c r="D919" s="78">
        <v>41341</v>
      </c>
      <c r="E919" s="79">
        <v>0.13</v>
      </c>
      <c r="F919" s="88"/>
      <c r="G919" s="81">
        <v>10654</v>
      </c>
      <c r="H919" s="80">
        <v>1393.52</v>
      </c>
      <c r="I919" s="79">
        <f t="shared" si="25"/>
        <v>0.13079782241411675</v>
      </c>
    </row>
    <row r="920" spans="1:9" x14ac:dyDescent="0.25">
      <c r="A920" s="76" t="s">
        <v>289</v>
      </c>
      <c r="B920" s="76" t="s">
        <v>303</v>
      </c>
      <c r="C920" s="77">
        <v>40927</v>
      </c>
      <c r="D920" s="78">
        <v>41048</v>
      </c>
      <c r="E920" s="79">
        <v>0.13</v>
      </c>
      <c r="F920" s="79"/>
      <c r="G920" s="81">
        <v>10570</v>
      </c>
      <c r="H920" s="80">
        <v>1387.4</v>
      </c>
      <c r="I920" s="79">
        <f t="shared" si="25"/>
        <v>0.13125827814569538</v>
      </c>
    </row>
    <row r="921" spans="1:9" x14ac:dyDescent="0.25">
      <c r="A921" s="76" t="s">
        <v>289</v>
      </c>
      <c r="B921" s="76" t="s">
        <v>297</v>
      </c>
      <c r="C921" s="77">
        <v>40862</v>
      </c>
      <c r="D921" s="78">
        <v>40983</v>
      </c>
      <c r="E921" s="79">
        <v>0.13</v>
      </c>
      <c r="F921" s="79"/>
      <c r="G921" s="81">
        <v>10413</v>
      </c>
      <c r="H921" s="80">
        <v>1369.69</v>
      </c>
      <c r="I921" s="79">
        <f t="shared" si="25"/>
        <v>0.13153654086238356</v>
      </c>
    </row>
    <row r="922" spans="1:9" x14ac:dyDescent="0.25">
      <c r="A922" s="76" t="s">
        <v>674</v>
      </c>
      <c r="B922" s="76" t="s">
        <v>28</v>
      </c>
      <c r="C922" s="77">
        <v>40940</v>
      </c>
      <c r="D922" s="78">
        <v>41274</v>
      </c>
      <c r="E922" s="79">
        <v>0.29699999999999999</v>
      </c>
      <c r="F922" s="80"/>
      <c r="G922" s="81">
        <v>6763</v>
      </c>
      <c r="H922" s="80">
        <v>1362.66</v>
      </c>
      <c r="I922" s="79">
        <f t="shared" si="25"/>
        <v>0.20148750554487654</v>
      </c>
    </row>
    <row r="923" spans="1:9" x14ac:dyDescent="0.25">
      <c r="A923" s="76" t="s">
        <v>313</v>
      </c>
      <c r="B923" s="76" t="s">
        <v>297</v>
      </c>
      <c r="C923" s="77">
        <v>41043</v>
      </c>
      <c r="D923" s="78">
        <v>41153</v>
      </c>
      <c r="E923" s="79">
        <v>0.13</v>
      </c>
      <c r="F923" s="88"/>
      <c r="G923" s="81">
        <v>10364</v>
      </c>
      <c r="H923" s="80">
        <v>1350.8</v>
      </c>
      <c r="I923" s="79">
        <f t="shared" si="25"/>
        <v>0.1303357776920108</v>
      </c>
    </row>
    <row r="924" spans="1:9" x14ac:dyDescent="0.25">
      <c r="A924" s="76" t="s">
        <v>512</v>
      </c>
      <c r="B924" s="76" t="s">
        <v>70</v>
      </c>
      <c r="C924" s="77">
        <v>41186</v>
      </c>
      <c r="D924" s="78">
        <v>41550</v>
      </c>
      <c r="E924" s="79">
        <v>0.09</v>
      </c>
      <c r="F924" s="80"/>
      <c r="G924" s="81">
        <v>13414</v>
      </c>
      <c r="H924" s="80">
        <v>1341.4</v>
      </c>
      <c r="I924" s="79">
        <f t="shared" si="25"/>
        <v>0.1</v>
      </c>
    </row>
    <row r="925" spans="1:9" x14ac:dyDescent="0.25">
      <c r="A925" s="76" t="s">
        <v>289</v>
      </c>
      <c r="B925" s="76" t="s">
        <v>309</v>
      </c>
      <c r="C925" s="77">
        <v>41138</v>
      </c>
      <c r="D925" s="78">
        <v>41202</v>
      </c>
      <c r="E925" s="79">
        <v>0.13</v>
      </c>
      <c r="F925" s="88"/>
      <c r="G925" s="81">
        <v>10262</v>
      </c>
      <c r="H925" s="80">
        <v>1338.06</v>
      </c>
      <c r="I925" s="79">
        <f t="shared" si="25"/>
        <v>0.13038978756577665</v>
      </c>
    </row>
    <row r="926" spans="1:9" x14ac:dyDescent="0.25">
      <c r="A926" s="76" t="s">
        <v>289</v>
      </c>
      <c r="B926" s="76" t="s">
        <v>303</v>
      </c>
      <c r="C926" s="77">
        <v>41158</v>
      </c>
      <c r="D926" s="78">
        <v>41222</v>
      </c>
      <c r="E926" s="79">
        <v>0.13</v>
      </c>
      <c r="F926" s="88"/>
      <c r="G926" s="81">
        <v>10024</v>
      </c>
      <c r="H926" s="80">
        <v>1330.12</v>
      </c>
      <c r="I926" s="79">
        <f t="shared" si="25"/>
        <v>0.13269353551476457</v>
      </c>
    </row>
    <row r="927" spans="1:9" x14ac:dyDescent="0.25">
      <c r="A927" s="76" t="s">
        <v>512</v>
      </c>
      <c r="B927" s="76" t="s">
        <v>507</v>
      </c>
      <c r="C927" s="77">
        <v>41129</v>
      </c>
      <c r="D927" s="78">
        <v>41493</v>
      </c>
      <c r="E927" s="79">
        <v>0.09</v>
      </c>
      <c r="F927" s="80"/>
      <c r="G927" s="81">
        <v>13249</v>
      </c>
      <c r="H927" s="80">
        <v>1324.9</v>
      </c>
      <c r="I927" s="79">
        <f t="shared" si="25"/>
        <v>0.1</v>
      </c>
    </row>
    <row r="928" spans="1:9" x14ac:dyDescent="0.25">
      <c r="A928" s="76" t="s">
        <v>289</v>
      </c>
      <c r="B928" s="76" t="s">
        <v>306</v>
      </c>
      <c r="C928" s="77">
        <v>40992</v>
      </c>
      <c r="D928" s="78">
        <v>41039</v>
      </c>
      <c r="E928" s="79">
        <v>0.13</v>
      </c>
      <c r="F928" s="88"/>
      <c r="G928" s="81">
        <v>10010</v>
      </c>
      <c r="H928" s="80">
        <v>1314.3</v>
      </c>
      <c r="I928" s="79">
        <f t="shared" si="25"/>
        <v>0.1312987012987013</v>
      </c>
    </row>
    <row r="929" spans="1:9" x14ac:dyDescent="0.25">
      <c r="A929" s="70" t="s">
        <v>113</v>
      </c>
      <c r="B929" s="70" t="s">
        <v>115</v>
      </c>
      <c r="C929" s="71">
        <v>40650</v>
      </c>
      <c r="D929" s="72">
        <v>41015</v>
      </c>
      <c r="E929" s="73">
        <v>1.35E-2</v>
      </c>
      <c r="F929" s="74">
        <v>113723.13</v>
      </c>
      <c r="G929" s="75"/>
      <c r="H929" s="74">
        <v>1312.93</v>
      </c>
      <c r="I929" s="73">
        <v>1.1544968908259911E-2</v>
      </c>
    </row>
    <row r="930" spans="1:9" x14ac:dyDescent="0.25">
      <c r="A930" s="76" t="s">
        <v>643</v>
      </c>
      <c r="B930" s="76" t="s">
        <v>247</v>
      </c>
      <c r="C930" s="77">
        <v>40954</v>
      </c>
      <c r="D930" s="78">
        <v>41274</v>
      </c>
      <c r="E930" s="79">
        <v>4.4999999999999997E-3</v>
      </c>
      <c r="F930" s="80"/>
      <c r="G930" s="81">
        <v>2810</v>
      </c>
      <c r="H930" s="80">
        <v>1304</v>
      </c>
      <c r="I930" s="79">
        <f>H930/G930</f>
        <v>0.46405693950177934</v>
      </c>
    </row>
    <row r="931" spans="1:9" ht="14.25" customHeight="1" x14ac:dyDescent="0.25">
      <c r="A931" s="76" t="s">
        <v>289</v>
      </c>
      <c r="B931" s="76" t="s">
        <v>300</v>
      </c>
      <c r="C931" s="77">
        <v>40919</v>
      </c>
      <c r="D931" s="78">
        <v>41010</v>
      </c>
      <c r="E931" s="79">
        <v>0.13</v>
      </c>
      <c r="F931" s="79"/>
      <c r="G931" s="81">
        <v>9912</v>
      </c>
      <c r="H931" s="80">
        <v>1295.56</v>
      </c>
      <c r="I931" s="79">
        <f>H931/G931</f>
        <v>0.13070621468926552</v>
      </c>
    </row>
    <row r="932" spans="1:9" x14ac:dyDescent="0.25">
      <c r="A932" s="76" t="s">
        <v>512</v>
      </c>
      <c r="B932" s="76" t="s">
        <v>43</v>
      </c>
      <c r="C932" s="77">
        <v>40743</v>
      </c>
      <c r="D932" s="78">
        <v>41108</v>
      </c>
      <c r="E932" s="79">
        <v>0.09</v>
      </c>
      <c r="F932" s="80"/>
      <c r="G932" s="81">
        <v>11768</v>
      </c>
      <c r="H932" s="80">
        <v>1294.48</v>
      </c>
      <c r="I932" s="79">
        <f>H932/G932</f>
        <v>0.11</v>
      </c>
    </row>
    <row r="933" spans="1:9" x14ac:dyDescent="0.25">
      <c r="A933" s="76" t="s">
        <v>289</v>
      </c>
      <c r="B933" s="76" t="s">
        <v>295</v>
      </c>
      <c r="C933" s="77">
        <v>40862</v>
      </c>
      <c r="D933" s="78">
        <v>40996</v>
      </c>
      <c r="E933" s="79">
        <v>0.13</v>
      </c>
      <c r="F933" s="88"/>
      <c r="G933" s="81">
        <v>9698</v>
      </c>
      <c r="H933" s="80">
        <v>1277.19</v>
      </c>
      <c r="I933" s="79">
        <f>H933/G933</f>
        <v>0.13169622602598474</v>
      </c>
    </row>
    <row r="934" spans="1:9" x14ac:dyDescent="0.25">
      <c r="A934" s="70" t="s">
        <v>87</v>
      </c>
      <c r="B934" s="70" t="s">
        <v>94</v>
      </c>
      <c r="C934" s="71">
        <v>41000</v>
      </c>
      <c r="D934" s="72">
        <v>41333</v>
      </c>
      <c r="E934" s="73">
        <v>0.92500000000000004</v>
      </c>
      <c r="F934" s="74"/>
      <c r="G934" s="75">
        <v>1379.3</v>
      </c>
      <c r="H934" s="74">
        <v>1275.8499999999999</v>
      </c>
      <c r="I934" s="73">
        <v>0.92499818748640616</v>
      </c>
    </row>
    <row r="935" spans="1:9" x14ac:dyDescent="0.25">
      <c r="A935" s="76" t="s">
        <v>289</v>
      </c>
      <c r="B935" s="76" t="s">
        <v>297</v>
      </c>
      <c r="C935" s="77">
        <v>41239</v>
      </c>
      <c r="D935" s="78">
        <v>41331</v>
      </c>
      <c r="E935" s="79">
        <v>0.13</v>
      </c>
      <c r="F935" s="88"/>
      <c r="G935" s="81">
        <v>9282</v>
      </c>
      <c r="H935" s="80">
        <v>1261.6600000000001</v>
      </c>
      <c r="I935" s="79">
        <f>H935/G935</f>
        <v>0.1359254471019177</v>
      </c>
    </row>
    <row r="936" spans="1:9" x14ac:dyDescent="0.25">
      <c r="A936" s="76" t="s">
        <v>289</v>
      </c>
      <c r="B936" s="76" t="s">
        <v>297</v>
      </c>
      <c r="C936" s="77">
        <v>41239</v>
      </c>
      <c r="D936" s="78">
        <v>41331</v>
      </c>
      <c r="E936" s="79">
        <v>0.13</v>
      </c>
      <c r="F936" s="88"/>
      <c r="G936" s="81">
        <v>9282</v>
      </c>
      <c r="H936" s="80">
        <v>1261.6600000000001</v>
      </c>
      <c r="I936" s="79">
        <f>H936/G936</f>
        <v>0.1359254471019177</v>
      </c>
    </row>
    <row r="937" spans="1:9" x14ac:dyDescent="0.25">
      <c r="A937" s="76" t="s">
        <v>263</v>
      </c>
      <c r="B937" s="76" t="s">
        <v>108</v>
      </c>
      <c r="C937" s="77">
        <v>40952</v>
      </c>
      <c r="D937" s="78">
        <v>41274</v>
      </c>
      <c r="E937" s="79">
        <v>8.9999999999999993E-3</v>
      </c>
      <c r="F937" s="80">
        <v>20031</v>
      </c>
      <c r="G937" s="81"/>
      <c r="H937" s="80">
        <v>1258.75</v>
      </c>
      <c r="I937" s="79">
        <f>H937/F937</f>
        <v>6.284009784833508E-2</v>
      </c>
    </row>
    <row r="938" spans="1:9" x14ac:dyDescent="0.25">
      <c r="A938" s="76" t="s">
        <v>289</v>
      </c>
      <c r="B938" s="76" t="s">
        <v>295</v>
      </c>
      <c r="C938" s="77">
        <v>41211</v>
      </c>
      <c r="D938" s="78">
        <v>41338</v>
      </c>
      <c r="E938" s="79">
        <v>0.13</v>
      </c>
      <c r="F938" s="88"/>
      <c r="G938" s="81">
        <v>9562</v>
      </c>
      <c r="H938" s="80">
        <v>1258.06</v>
      </c>
      <c r="I938" s="79">
        <f>H938/G938</f>
        <v>0.13156870947500524</v>
      </c>
    </row>
    <row r="939" spans="1:9" x14ac:dyDescent="0.25">
      <c r="A939" s="76" t="s">
        <v>317</v>
      </c>
      <c r="B939" s="76" t="s">
        <v>334</v>
      </c>
      <c r="C939" s="77">
        <v>40827</v>
      </c>
      <c r="D939" s="78">
        <v>41152</v>
      </c>
      <c r="E939" s="79">
        <v>0</v>
      </c>
      <c r="F939" s="80"/>
      <c r="G939" s="81">
        <v>6034</v>
      </c>
      <c r="H939" s="80">
        <v>1252.3399999999999</v>
      </c>
      <c r="I939" s="79">
        <f>H939/G939</f>
        <v>0.20754723235001657</v>
      </c>
    </row>
    <row r="940" spans="1:9" ht="28.5" x14ac:dyDescent="0.25">
      <c r="A940" s="70" t="s">
        <v>101</v>
      </c>
      <c r="B940" s="70" t="s">
        <v>111</v>
      </c>
      <c r="C940" s="71">
        <v>41243</v>
      </c>
      <c r="D940" s="72">
        <v>41274</v>
      </c>
      <c r="E940" s="73">
        <v>1.35E-2</v>
      </c>
      <c r="F940" s="74"/>
      <c r="G940" s="75">
        <v>1962.43</v>
      </c>
      <c r="H940" s="74">
        <v>1210.78</v>
      </c>
      <c r="I940" s="73">
        <v>0.6169799687122598</v>
      </c>
    </row>
    <row r="941" spans="1:9" x14ac:dyDescent="0.25">
      <c r="A941" s="76" t="s">
        <v>289</v>
      </c>
      <c r="B941" s="76" t="s">
        <v>294</v>
      </c>
      <c r="C941" s="77">
        <v>40848</v>
      </c>
      <c r="D941" s="78">
        <v>41000</v>
      </c>
      <c r="E941" s="79">
        <v>0.13</v>
      </c>
      <c r="F941" s="88"/>
      <c r="G941" s="81">
        <v>9087</v>
      </c>
      <c r="H941" s="80">
        <v>1206.31</v>
      </c>
      <c r="I941" s="79">
        <f>H941/G941</f>
        <v>0.13275118300869373</v>
      </c>
    </row>
    <row r="942" spans="1:9" x14ac:dyDescent="0.25">
      <c r="A942" s="76" t="s">
        <v>289</v>
      </c>
      <c r="B942" s="76" t="s">
        <v>294</v>
      </c>
      <c r="C942" s="77">
        <v>41000</v>
      </c>
      <c r="D942" s="78">
        <v>41142</v>
      </c>
      <c r="E942" s="79">
        <v>0.13</v>
      </c>
      <c r="F942" s="88"/>
      <c r="G942" s="81">
        <v>9030</v>
      </c>
      <c r="H942" s="80">
        <v>1197.9000000000001</v>
      </c>
      <c r="I942" s="79">
        <f>H942/G942</f>
        <v>0.13265780730897012</v>
      </c>
    </row>
    <row r="943" spans="1:9" x14ac:dyDescent="0.25">
      <c r="A943" s="70" t="s">
        <v>122</v>
      </c>
      <c r="B943" s="70" t="s">
        <v>126</v>
      </c>
      <c r="C943" s="71">
        <v>41137</v>
      </c>
      <c r="D943" s="72">
        <v>41305</v>
      </c>
      <c r="E943" s="73">
        <v>0.09</v>
      </c>
      <c r="F943" s="74">
        <v>11784</v>
      </c>
      <c r="G943" s="75"/>
      <c r="H943" s="74">
        <v>1178.4000000000001</v>
      </c>
      <c r="I943" s="73">
        <v>0.1</v>
      </c>
    </row>
    <row r="944" spans="1:9" x14ac:dyDescent="0.25">
      <c r="A944" s="76" t="s">
        <v>531</v>
      </c>
      <c r="B944" s="76" t="s">
        <v>175</v>
      </c>
      <c r="C944" s="77">
        <v>41179</v>
      </c>
      <c r="D944" s="78">
        <v>41364</v>
      </c>
      <c r="E944" s="79">
        <v>8.9999999999999993E-3</v>
      </c>
      <c r="F944" s="80"/>
      <c r="G944" s="81">
        <v>1830</v>
      </c>
      <c r="H944" s="80">
        <v>1176</v>
      </c>
      <c r="I944" s="79">
        <f t="shared" ref="I944:I951" si="26">H944/G944</f>
        <v>0.64262295081967213</v>
      </c>
    </row>
    <row r="945" spans="1:9" x14ac:dyDescent="0.25">
      <c r="A945" s="76" t="s">
        <v>313</v>
      </c>
      <c r="B945" s="76" t="s">
        <v>295</v>
      </c>
      <c r="C945" s="77">
        <v>41019</v>
      </c>
      <c r="D945" s="78">
        <v>41141</v>
      </c>
      <c r="E945" s="79">
        <v>0.13</v>
      </c>
      <c r="F945" s="88"/>
      <c r="G945" s="81">
        <v>8932</v>
      </c>
      <c r="H945" s="80">
        <v>1162.1600000000001</v>
      </c>
      <c r="I945" s="79">
        <f t="shared" si="26"/>
        <v>0.13011195700850875</v>
      </c>
    </row>
    <row r="946" spans="1:9" x14ac:dyDescent="0.25">
      <c r="A946" s="76" t="s">
        <v>674</v>
      </c>
      <c r="B946" s="76" t="s">
        <v>619</v>
      </c>
      <c r="C946" s="77">
        <v>40940</v>
      </c>
      <c r="D946" s="78">
        <v>41274</v>
      </c>
      <c r="E946" s="79">
        <v>0.30599999999999999</v>
      </c>
      <c r="F946" s="80"/>
      <c r="G946" s="81">
        <v>3023</v>
      </c>
      <c r="H946" s="80">
        <v>1154.83</v>
      </c>
      <c r="I946" s="79">
        <f t="shared" si="26"/>
        <v>0.38201455507773735</v>
      </c>
    </row>
    <row r="947" spans="1:9" x14ac:dyDescent="0.25">
      <c r="A947" s="76" t="s">
        <v>531</v>
      </c>
      <c r="B947" s="76" t="s">
        <v>23</v>
      </c>
      <c r="C947" s="77">
        <v>40760</v>
      </c>
      <c r="D947" s="78">
        <v>41090</v>
      </c>
      <c r="E947" s="79">
        <v>8.9999999999999993E-3</v>
      </c>
      <c r="F947" s="80"/>
      <c r="G947" s="81">
        <v>2340</v>
      </c>
      <c r="H947" s="80">
        <v>1146</v>
      </c>
      <c r="I947" s="79">
        <f t="shared" si="26"/>
        <v>0.48974358974358972</v>
      </c>
    </row>
    <row r="948" spans="1:9" x14ac:dyDescent="0.25">
      <c r="A948" s="76" t="s">
        <v>674</v>
      </c>
      <c r="B948" s="76" t="s">
        <v>342</v>
      </c>
      <c r="C948" s="77">
        <v>40911</v>
      </c>
      <c r="D948" s="78">
        <v>41274</v>
      </c>
      <c r="E948" s="79">
        <v>0.315</v>
      </c>
      <c r="F948" s="80"/>
      <c r="G948" s="81">
        <v>2160</v>
      </c>
      <c r="H948" s="80">
        <v>1139.82</v>
      </c>
      <c r="I948" s="79">
        <f t="shared" si="26"/>
        <v>0.52769444444444447</v>
      </c>
    </row>
    <row r="949" spans="1:9" x14ac:dyDescent="0.25">
      <c r="A949" s="76" t="s">
        <v>289</v>
      </c>
      <c r="B949" s="76" t="s">
        <v>294</v>
      </c>
      <c r="C949" s="77">
        <v>41206</v>
      </c>
      <c r="D949" s="78">
        <v>41325</v>
      </c>
      <c r="E949" s="79">
        <v>0.13</v>
      </c>
      <c r="F949" s="88"/>
      <c r="G949" s="81">
        <v>8526</v>
      </c>
      <c r="H949" s="80">
        <v>1135.3800000000001</v>
      </c>
      <c r="I949" s="79">
        <f t="shared" si="26"/>
        <v>0.13316678395496132</v>
      </c>
    </row>
    <row r="950" spans="1:9" x14ac:dyDescent="0.25">
      <c r="A950" s="76" t="s">
        <v>262</v>
      </c>
      <c r="B950" s="76" t="s">
        <v>179</v>
      </c>
      <c r="C950" s="77">
        <v>41220</v>
      </c>
      <c r="D950" s="78">
        <v>41455</v>
      </c>
      <c r="E950" s="79">
        <v>8.9999999999999993E-3</v>
      </c>
      <c r="F950" s="80"/>
      <c r="G950" s="81">
        <v>4292.12</v>
      </c>
      <c r="H950" s="80">
        <v>1131.6199999999999</v>
      </c>
      <c r="I950" s="79">
        <f t="shared" si="26"/>
        <v>0.26365059690782178</v>
      </c>
    </row>
    <row r="951" spans="1:9" x14ac:dyDescent="0.25">
      <c r="A951" s="76" t="s">
        <v>643</v>
      </c>
      <c r="B951" s="76" t="s">
        <v>649</v>
      </c>
      <c r="C951" s="77">
        <v>40754</v>
      </c>
      <c r="D951" s="78">
        <v>41119</v>
      </c>
      <c r="E951" s="79">
        <v>4.4999999999999997E-3</v>
      </c>
      <c r="F951" s="80"/>
      <c r="G951" s="81">
        <v>2484</v>
      </c>
      <c r="H951" s="80">
        <v>1124</v>
      </c>
      <c r="I951" s="79">
        <f t="shared" si="26"/>
        <v>0.45249597423510468</v>
      </c>
    </row>
    <row r="952" spans="1:9" x14ac:dyDescent="0.25">
      <c r="A952" s="76" t="s">
        <v>594</v>
      </c>
      <c r="B952" s="76" t="s">
        <v>611</v>
      </c>
      <c r="C952" s="77">
        <v>41152</v>
      </c>
      <c r="D952" s="78">
        <v>41455</v>
      </c>
      <c r="E952" s="79">
        <v>8.9999999999999998E-4</v>
      </c>
      <c r="F952" s="80">
        <v>19461.59</v>
      </c>
      <c r="G952" s="81"/>
      <c r="H952" s="80">
        <v>1106.56</v>
      </c>
      <c r="I952" s="79">
        <f>H952/F952</f>
        <v>5.6858663654922335E-2</v>
      </c>
    </row>
    <row r="953" spans="1:9" x14ac:dyDescent="0.25">
      <c r="A953" s="76" t="s">
        <v>313</v>
      </c>
      <c r="B953" s="76" t="s">
        <v>291</v>
      </c>
      <c r="C953" s="77">
        <v>41009</v>
      </c>
      <c r="D953" s="78">
        <v>41149</v>
      </c>
      <c r="E953" s="79">
        <v>0.13</v>
      </c>
      <c r="F953" s="88"/>
      <c r="G953" s="81">
        <v>8330</v>
      </c>
      <c r="H953" s="80">
        <v>1087.9000000000001</v>
      </c>
      <c r="I953" s="79">
        <f>H953/G953</f>
        <v>0.13060024009603843</v>
      </c>
    </row>
    <row r="954" spans="1:9" x14ac:dyDescent="0.25">
      <c r="A954" s="76" t="s">
        <v>317</v>
      </c>
      <c r="B954" s="76" t="s">
        <v>341</v>
      </c>
      <c r="C954" s="77">
        <v>40829</v>
      </c>
      <c r="D954" s="78">
        <v>41121</v>
      </c>
      <c r="E954" s="79">
        <v>0</v>
      </c>
      <c r="F954" s="80"/>
      <c r="G954" s="81">
        <v>14285.44</v>
      </c>
      <c r="H954" s="80">
        <v>1075.27</v>
      </c>
      <c r="I954" s="79">
        <f>H954/G954</f>
        <v>7.5270345190627655E-2</v>
      </c>
    </row>
    <row r="955" spans="1:9" x14ac:dyDescent="0.25">
      <c r="A955" s="76" t="s">
        <v>504</v>
      </c>
      <c r="B955" s="76" t="s">
        <v>510</v>
      </c>
      <c r="C955" s="77">
        <v>40940</v>
      </c>
      <c r="D955" s="78">
        <v>41305</v>
      </c>
      <c r="E955" s="79">
        <v>0.09</v>
      </c>
      <c r="F955" s="80"/>
      <c r="G955" s="81">
        <v>10707</v>
      </c>
      <c r="H955" s="80">
        <v>1070.7</v>
      </c>
      <c r="I955" s="79">
        <f>H955/G955</f>
        <v>0.1</v>
      </c>
    </row>
    <row r="956" spans="1:9" x14ac:dyDescent="0.25">
      <c r="A956" s="70" t="s">
        <v>38</v>
      </c>
      <c r="B956" s="70" t="s">
        <v>46</v>
      </c>
      <c r="C956" s="71">
        <v>40787</v>
      </c>
      <c r="D956" s="72">
        <v>41152</v>
      </c>
      <c r="E956" s="73">
        <v>0.40500000000000003</v>
      </c>
      <c r="F956" s="74"/>
      <c r="G956" s="75">
        <v>2360</v>
      </c>
      <c r="H956" s="74">
        <v>1062</v>
      </c>
      <c r="I956" s="73">
        <v>0.45</v>
      </c>
    </row>
    <row r="957" spans="1:9" x14ac:dyDescent="0.25">
      <c r="A957" s="70" t="s">
        <v>60</v>
      </c>
      <c r="B957" s="70" t="s">
        <v>64</v>
      </c>
      <c r="C957" s="71">
        <v>40817</v>
      </c>
      <c r="D957" s="72">
        <v>41182</v>
      </c>
      <c r="E957" s="73">
        <v>0.09</v>
      </c>
      <c r="F957" s="74"/>
      <c r="G957" s="75">
        <v>9604.15</v>
      </c>
      <c r="H957" s="74">
        <v>1049.45</v>
      </c>
      <c r="I957" s="73">
        <v>0.10927047161903969</v>
      </c>
    </row>
    <row r="958" spans="1:9" x14ac:dyDescent="0.25">
      <c r="A958" s="70" t="s">
        <v>80</v>
      </c>
      <c r="B958" s="70" t="s">
        <v>55</v>
      </c>
      <c r="C958" s="71">
        <v>40912</v>
      </c>
      <c r="D958" s="72">
        <v>41277</v>
      </c>
      <c r="E958" s="73">
        <v>8.9999999999999993E-3</v>
      </c>
      <c r="F958" s="74">
        <v>1630</v>
      </c>
      <c r="G958" s="75"/>
      <c r="H958" s="74">
        <v>1042</v>
      </c>
      <c r="I958" s="73">
        <v>0.63926380368098157</v>
      </c>
    </row>
    <row r="959" spans="1:9" x14ac:dyDescent="0.25">
      <c r="A959" s="76" t="s">
        <v>504</v>
      </c>
      <c r="B959" s="76" t="s">
        <v>70</v>
      </c>
      <c r="C959" s="77">
        <v>40820</v>
      </c>
      <c r="D959" s="78">
        <v>41185</v>
      </c>
      <c r="E959" s="79">
        <v>0.09</v>
      </c>
      <c r="F959" s="80"/>
      <c r="G959" s="81">
        <v>6933</v>
      </c>
      <c r="H959" s="80">
        <v>1039.95</v>
      </c>
      <c r="I959" s="79">
        <f t="shared" ref="I959:I969" si="27">H959/G959</f>
        <v>0.15</v>
      </c>
    </row>
    <row r="960" spans="1:9" x14ac:dyDescent="0.25">
      <c r="A960" s="76" t="s">
        <v>555</v>
      </c>
      <c r="B960" s="76" t="s">
        <v>44</v>
      </c>
      <c r="C960" s="77">
        <v>40588</v>
      </c>
      <c r="D960" s="78">
        <v>40952</v>
      </c>
      <c r="E960" s="79">
        <v>0.15</v>
      </c>
      <c r="F960" s="80"/>
      <c r="G960" s="81">
        <v>6854</v>
      </c>
      <c r="H960" s="80">
        <v>1028.0999999999999</v>
      </c>
      <c r="I960" s="79">
        <f t="shared" si="27"/>
        <v>0.15</v>
      </c>
    </row>
    <row r="961" spans="1:9" x14ac:dyDescent="0.25">
      <c r="A961" s="76" t="s">
        <v>289</v>
      </c>
      <c r="B961" s="76" t="s">
        <v>291</v>
      </c>
      <c r="C961" s="77">
        <v>40830</v>
      </c>
      <c r="D961" s="78">
        <v>40953</v>
      </c>
      <c r="E961" s="79">
        <v>0.13</v>
      </c>
      <c r="F961" s="88"/>
      <c r="G961" s="81">
        <v>7878</v>
      </c>
      <c r="H961" s="80">
        <v>1026.1400000000001</v>
      </c>
      <c r="I961" s="79">
        <f t="shared" si="27"/>
        <v>0.13025387154100027</v>
      </c>
    </row>
    <row r="962" spans="1:9" x14ac:dyDescent="0.25">
      <c r="A962" s="76" t="s">
        <v>390</v>
      </c>
      <c r="B962" s="76" t="s">
        <v>391</v>
      </c>
      <c r="C962" s="77">
        <v>40854</v>
      </c>
      <c r="D962" s="78">
        <v>41219</v>
      </c>
      <c r="E962" s="79">
        <v>0.09</v>
      </c>
      <c r="F962" s="80"/>
      <c r="G962" s="81">
        <v>10296.16</v>
      </c>
      <c r="H962" s="80">
        <v>1016.67</v>
      </c>
      <c r="I962" s="79">
        <f t="shared" si="27"/>
        <v>9.8742638032043015E-2</v>
      </c>
    </row>
    <row r="963" spans="1:9" x14ac:dyDescent="0.25">
      <c r="A963" s="76" t="s">
        <v>289</v>
      </c>
      <c r="B963" s="76" t="s">
        <v>291</v>
      </c>
      <c r="C963" s="77">
        <v>41230</v>
      </c>
      <c r="D963" s="78">
        <v>41333</v>
      </c>
      <c r="E963" s="79">
        <v>0.13</v>
      </c>
      <c r="F963" s="88"/>
      <c r="G963" s="81">
        <v>7700</v>
      </c>
      <c r="H963" s="80">
        <v>1012</v>
      </c>
      <c r="I963" s="79">
        <f t="shared" si="27"/>
        <v>0.13142857142857142</v>
      </c>
    </row>
    <row r="964" spans="1:9" x14ac:dyDescent="0.25">
      <c r="A964" s="76" t="s">
        <v>594</v>
      </c>
      <c r="B964" s="76" t="s">
        <v>601</v>
      </c>
      <c r="C964" s="77">
        <v>40849</v>
      </c>
      <c r="D964" s="78">
        <v>41182</v>
      </c>
      <c r="E964" s="79">
        <v>0.27</v>
      </c>
      <c r="F964" s="80"/>
      <c r="G964" s="81">
        <v>3710</v>
      </c>
      <c r="H964" s="80">
        <v>988.52</v>
      </c>
      <c r="I964" s="79">
        <f t="shared" si="27"/>
        <v>0.26644743935309972</v>
      </c>
    </row>
    <row r="965" spans="1:9" x14ac:dyDescent="0.25">
      <c r="A965" s="76" t="s">
        <v>613</v>
      </c>
      <c r="B965" s="76" t="s">
        <v>619</v>
      </c>
      <c r="C965" s="77">
        <v>40949</v>
      </c>
      <c r="D965" s="78">
        <v>41274</v>
      </c>
      <c r="E965" s="79">
        <v>8.9999999999999993E-3</v>
      </c>
      <c r="F965" s="80"/>
      <c r="G965" s="81">
        <v>1866</v>
      </c>
      <c r="H965" s="80">
        <v>960</v>
      </c>
      <c r="I965" s="79">
        <f t="shared" si="27"/>
        <v>0.51446945337620575</v>
      </c>
    </row>
    <row r="966" spans="1:9" x14ac:dyDescent="0.25">
      <c r="A966" s="76" t="s">
        <v>315</v>
      </c>
      <c r="B966" s="76" t="s">
        <v>343</v>
      </c>
      <c r="C966" s="77">
        <v>40844</v>
      </c>
      <c r="D966" s="78">
        <v>41209</v>
      </c>
      <c r="E966" s="79">
        <v>0</v>
      </c>
      <c r="F966" s="80"/>
      <c r="G966" s="81">
        <v>3365</v>
      </c>
      <c r="H966" s="80">
        <v>956.22</v>
      </c>
      <c r="I966" s="79">
        <f t="shared" si="27"/>
        <v>0.2841664190193165</v>
      </c>
    </row>
    <row r="967" spans="1:9" x14ac:dyDescent="0.25">
      <c r="A967" s="76" t="s">
        <v>317</v>
      </c>
      <c r="B967" s="76" t="s">
        <v>318</v>
      </c>
      <c r="C967" s="77">
        <v>40988</v>
      </c>
      <c r="D967" s="78">
        <v>41297</v>
      </c>
      <c r="E967" s="79">
        <v>8.9999999999999993E-3</v>
      </c>
      <c r="F967" s="80"/>
      <c r="G967" s="81">
        <v>2918</v>
      </c>
      <c r="H967" s="80">
        <v>954.33</v>
      </c>
      <c r="I967" s="79">
        <f t="shared" si="27"/>
        <v>0.32704934886908843</v>
      </c>
    </row>
    <row r="968" spans="1:9" x14ac:dyDescent="0.25">
      <c r="A968" s="76" t="s">
        <v>790</v>
      </c>
      <c r="B968" s="76" t="s">
        <v>483</v>
      </c>
      <c r="C968" s="77">
        <v>40603</v>
      </c>
      <c r="D968" s="78">
        <v>40967</v>
      </c>
      <c r="E968" s="79">
        <v>0.16</v>
      </c>
      <c r="F968" s="80"/>
      <c r="G968" s="81">
        <v>5949</v>
      </c>
      <c r="H968" s="80">
        <v>951.84</v>
      </c>
      <c r="I968" s="73">
        <f t="shared" si="27"/>
        <v>0.16</v>
      </c>
    </row>
    <row r="969" spans="1:9" x14ac:dyDescent="0.25">
      <c r="A969" s="76" t="s">
        <v>613</v>
      </c>
      <c r="B969" s="76" t="s">
        <v>616</v>
      </c>
      <c r="C969" s="77">
        <v>40714</v>
      </c>
      <c r="D969" s="78">
        <v>41060</v>
      </c>
      <c r="E969" s="79">
        <v>8.9999999999999993E-3</v>
      </c>
      <c r="F969" s="80"/>
      <c r="G969" s="81">
        <v>2207</v>
      </c>
      <c r="H969" s="80">
        <v>947</v>
      </c>
      <c r="I969" s="79">
        <f t="shared" si="27"/>
        <v>0.42908926144086995</v>
      </c>
    </row>
    <row r="970" spans="1:9" x14ac:dyDescent="0.25">
      <c r="A970" s="76" t="s">
        <v>263</v>
      </c>
      <c r="B970" s="76" t="s">
        <v>22</v>
      </c>
      <c r="C970" s="77">
        <v>40772</v>
      </c>
      <c r="D970" s="78">
        <v>41137</v>
      </c>
      <c r="E970" s="79">
        <v>8.9999999999999993E-3</v>
      </c>
      <c r="F970" s="80">
        <v>93147.62</v>
      </c>
      <c r="G970" s="81"/>
      <c r="H970" s="80">
        <v>945.93</v>
      </c>
      <c r="I970" s="79">
        <f>H970/F970</f>
        <v>1.0155170899696631E-2</v>
      </c>
    </row>
    <row r="971" spans="1:9" x14ac:dyDescent="0.25">
      <c r="A971" s="76" t="s">
        <v>289</v>
      </c>
      <c r="B971" s="76" t="s">
        <v>298</v>
      </c>
      <c r="C971" s="77">
        <v>40892</v>
      </c>
      <c r="D971" s="78">
        <v>41014</v>
      </c>
      <c r="E971" s="79">
        <v>0.13</v>
      </c>
      <c r="F971" s="79"/>
      <c r="G971" s="81">
        <v>7189</v>
      </c>
      <c r="H971" s="80">
        <v>944.57</v>
      </c>
      <c r="I971" s="79">
        <f t="shared" ref="I971:I976" si="28">H971/G971</f>
        <v>0.13139101404924192</v>
      </c>
    </row>
    <row r="972" spans="1:9" x14ac:dyDescent="0.25">
      <c r="A972" s="76" t="s">
        <v>171</v>
      </c>
      <c r="B972" s="76" t="s">
        <v>187</v>
      </c>
      <c r="C972" s="77">
        <v>40879</v>
      </c>
      <c r="D972" s="78">
        <v>41213</v>
      </c>
      <c r="E972" s="79">
        <v>1.7999999999999999E-2</v>
      </c>
      <c r="F972" s="80"/>
      <c r="G972" s="81">
        <v>1742</v>
      </c>
      <c r="H972" s="80">
        <v>930</v>
      </c>
      <c r="I972" s="79">
        <f t="shared" si="28"/>
        <v>0.53386911595866815</v>
      </c>
    </row>
    <row r="973" spans="1:9" x14ac:dyDescent="0.25">
      <c r="A973" s="76" t="s">
        <v>263</v>
      </c>
      <c r="B973" s="76" t="s">
        <v>102</v>
      </c>
      <c r="C973" s="77">
        <v>40800</v>
      </c>
      <c r="D973" s="78">
        <v>41121</v>
      </c>
      <c r="E973" s="79">
        <v>0.36</v>
      </c>
      <c r="F973" s="80"/>
      <c r="G973" s="81">
        <v>960</v>
      </c>
      <c r="H973" s="80">
        <v>914.9</v>
      </c>
      <c r="I973" s="79">
        <f t="shared" si="28"/>
        <v>0.95302083333333332</v>
      </c>
    </row>
    <row r="974" spans="1:9" x14ac:dyDescent="0.25">
      <c r="A974" s="76" t="s">
        <v>630</v>
      </c>
      <c r="B974" s="76" t="s">
        <v>1926</v>
      </c>
      <c r="C974" s="77">
        <v>40953</v>
      </c>
      <c r="D974" s="78">
        <v>41240</v>
      </c>
      <c r="E974" s="79">
        <v>0.01</v>
      </c>
      <c r="F974" s="80"/>
      <c r="G974" s="81">
        <v>3174</v>
      </c>
      <c r="H974" s="80">
        <v>913.4</v>
      </c>
      <c r="I974" s="79">
        <f t="shared" si="28"/>
        <v>0.28777567737870197</v>
      </c>
    </row>
    <row r="975" spans="1:9" x14ac:dyDescent="0.25">
      <c r="A975" s="76" t="s">
        <v>504</v>
      </c>
      <c r="B975" s="76" t="s">
        <v>511</v>
      </c>
      <c r="C975" s="77">
        <v>40969</v>
      </c>
      <c r="D975" s="78">
        <v>41333</v>
      </c>
      <c r="E975" s="79">
        <v>0.13500000000000001</v>
      </c>
      <c r="F975" s="80"/>
      <c r="G975" s="81">
        <v>5917</v>
      </c>
      <c r="H975" s="80">
        <v>887.55</v>
      </c>
      <c r="I975" s="79">
        <f t="shared" si="28"/>
        <v>0.15</v>
      </c>
    </row>
    <row r="976" spans="1:9" x14ac:dyDescent="0.25">
      <c r="A976" s="76" t="s">
        <v>613</v>
      </c>
      <c r="B976" s="76" t="s">
        <v>617</v>
      </c>
      <c r="C976" s="77">
        <v>40752</v>
      </c>
      <c r="D976" s="78">
        <v>41117</v>
      </c>
      <c r="E976" s="79">
        <v>8.9999999999999993E-3</v>
      </c>
      <c r="F976" s="80"/>
      <c r="G976" s="81">
        <v>2190</v>
      </c>
      <c r="H976" s="80">
        <v>882</v>
      </c>
      <c r="I976" s="79">
        <f t="shared" si="28"/>
        <v>0.40273972602739727</v>
      </c>
    </row>
    <row r="977" spans="1:9" x14ac:dyDescent="0.25">
      <c r="A977" s="76" t="s">
        <v>239</v>
      </c>
      <c r="B977" s="76" t="s">
        <v>241</v>
      </c>
      <c r="C977" s="77">
        <v>41003</v>
      </c>
      <c r="D977" s="78">
        <v>41364</v>
      </c>
      <c r="E977" s="79">
        <v>0</v>
      </c>
      <c r="F977" s="80">
        <v>6748</v>
      </c>
      <c r="G977" s="81"/>
      <c r="H977" s="80">
        <v>867</v>
      </c>
      <c r="I977" s="79">
        <f>H977/F977</f>
        <v>0.12848251333728511</v>
      </c>
    </row>
    <row r="978" spans="1:9" x14ac:dyDescent="0.25">
      <c r="A978" s="76" t="s">
        <v>558</v>
      </c>
      <c r="B978" s="76" t="s">
        <v>438</v>
      </c>
      <c r="C978" s="77">
        <v>40581</v>
      </c>
      <c r="D978" s="78">
        <v>40939</v>
      </c>
      <c r="E978" s="79">
        <v>0.14000000000000001</v>
      </c>
      <c r="F978" s="88"/>
      <c r="G978" s="81">
        <v>5102</v>
      </c>
      <c r="H978" s="80">
        <v>863.92</v>
      </c>
      <c r="I978" s="79">
        <f>H978/G978</f>
        <v>0.16932967463739709</v>
      </c>
    </row>
    <row r="979" spans="1:9" x14ac:dyDescent="0.25">
      <c r="A979" s="70" t="s">
        <v>101</v>
      </c>
      <c r="B979" s="70" t="s">
        <v>106</v>
      </c>
      <c r="C979" s="71">
        <v>40618</v>
      </c>
      <c r="D979" s="72">
        <v>40939</v>
      </c>
      <c r="E979" s="73">
        <v>0.09</v>
      </c>
      <c r="F979" s="74">
        <v>886</v>
      </c>
      <c r="G979" s="75"/>
      <c r="H979" s="74">
        <v>856</v>
      </c>
      <c r="I979" s="73">
        <v>0.96613995485327309</v>
      </c>
    </row>
    <row r="980" spans="1:9" ht="28.5" x14ac:dyDescent="0.25">
      <c r="A980" s="76" t="s">
        <v>643</v>
      </c>
      <c r="B980" s="76" t="s">
        <v>654</v>
      </c>
      <c r="C980" s="77">
        <v>40863</v>
      </c>
      <c r="D980" s="78">
        <v>41231</v>
      </c>
      <c r="E980" s="79">
        <v>4.4999999999999997E-3</v>
      </c>
      <c r="F980" s="80"/>
      <c r="G980" s="81">
        <v>2966.03</v>
      </c>
      <c r="H980" s="80">
        <v>849.33</v>
      </c>
      <c r="I980" s="79">
        <f t="shared" ref="I980:I989" si="29">H980/G980</f>
        <v>0.2863524644052825</v>
      </c>
    </row>
    <row r="981" spans="1:9" x14ac:dyDescent="0.25">
      <c r="A981" s="76" t="s">
        <v>439</v>
      </c>
      <c r="B981" s="76" t="s">
        <v>440</v>
      </c>
      <c r="C981" s="77">
        <v>41015</v>
      </c>
      <c r="D981" s="78">
        <v>41348</v>
      </c>
      <c r="E981" s="79">
        <v>0.14000000000000001</v>
      </c>
      <c r="F981" s="88"/>
      <c r="G981" s="81">
        <v>5147</v>
      </c>
      <c r="H981" s="80">
        <v>836.68</v>
      </c>
      <c r="I981" s="79">
        <f t="shared" si="29"/>
        <v>0.16255682922090536</v>
      </c>
    </row>
    <row r="982" spans="1:9" x14ac:dyDescent="0.25">
      <c r="A982" s="76" t="s">
        <v>558</v>
      </c>
      <c r="B982" s="76" t="s">
        <v>562</v>
      </c>
      <c r="C982" s="77">
        <v>41099</v>
      </c>
      <c r="D982" s="78">
        <v>41152</v>
      </c>
      <c r="E982" s="79">
        <v>0.14000000000000001</v>
      </c>
      <c r="F982" s="88"/>
      <c r="G982" s="81">
        <v>5080</v>
      </c>
      <c r="H982" s="80">
        <v>830</v>
      </c>
      <c r="I982" s="79">
        <f t="shared" si="29"/>
        <v>0.16338582677165353</v>
      </c>
    </row>
    <row r="983" spans="1:9" x14ac:dyDescent="0.25">
      <c r="A983" s="76" t="s">
        <v>289</v>
      </c>
      <c r="B983" s="76" t="s">
        <v>298</v>
      </c>
      <c r="C983" s="77">
        <v>41261</v>
      </c>
      <c r="D983" s="78">
        <v>41373</v>
      </c>
      <c r="E983" s="79">
        <v>0.13</v>
      </c>
      <c r="F983" s="88"/>
      <c r="G983" s="81">
        <v>6300</v>
      </c>
      <c r="H983" s="80">
        <v>826</v>
      </c>
      <c r="I983" s="79">
        <f t="shared" si="29"/>
        <v>0.13111111111111112</v>
      </c>
    </row>
    <row r="984" spans="1:9" x14ac:dyDescent="0.25">
      <c r="A984" s="76" t="s">
        <v>1972</v>
      </c>
      <c r="B984" s="76" t="s">
        <v>656</v>
      </c>
      <c r="C984" s="77">
        <v>41228</v>
      </c>
      <c r="D984" s="78">
        <v>41578</v>
      </c>
      <c r="E984" s="79">
        <v>8.9999999999999998E-4</v>
      </c>
      <c r="F984" s="115"/>
      <c r="G984" s="81">
        <v>4349</v>
      </c>
      <c r="H984" s="80">
        <v>798.83</v>
      </c>
      <c r="I984" s="79">
        <f t="shared" si="29"/>
        <v>0.18368130604736721</v>
      </c>
    </row>
    <row r="985" spans="1:9" x14ac:dyDescent="0.25">
      <c r="A985" s="76" t="s">
        <v>790</v>
      </c>
      <c r="B985" s="76" t="s">
        <v>1723</v>
      </c>
      <c r="C985" s="77">
        <v>40827</v>
      </c>
      <c r="D985" s="78">
        <v>41192</v>
      </c>
      <c r="E985" s="79">
        <v>0.16</v>
      </c>
      <c r="F985" s="80"/>
      <c r="G985" s="81">
        <v>4968</v>
      </c>
      <c r="H985" s="80">
        <v>794.88</v>
      </c>
      <c r="I985" s="73">
        <f t="shared" si="29"/>
        <v>0.16</v>
      </c>
    </row>
    <row r="986" spans="1:9" x14ac:dyDescent="0.25">
      <c r="A986" s="76" t="s">
        <v>558</v>
      </c>
      <c r="B986" s="76" t="s">
        <v>440</v>
      </c>
      <c r="C986" s="77">
        <v>40826</v>
      </c>
      <c r="D986" s="78">
        <v>41151</v>
      </c>
      <c r="E986" s="79">
        <v>0.14000000000000001</v>
      </c>
      <c r="F986" s="88"/>
      <c r="G986" s="81">
        <v>4859</v>
      </c>
      <c r="H986" s="80">
        <v>789.48</v>
      </c>
      <c r="I986" s="79">
        <f t="shared" si="29"/>
        <v>0.16247787610619469</v>
      </c>
    </row>
    <row r="987" spans="1:9" x14ac:dyDescent="0.25">
      <c r="A987" s="76" t="s">
        <v>289</v>
      </c>
      <c r="B987" s="76" t="s">
        <v>298</v>
      </c>
      <c r="C987" s="77">
        <v>41087</v>
      </c>
      <c r="D987" s="78">
        <v>41162</v>
      </c>
      <c r="E987" s="79">
        <v>0.13</v>
      </c>
      <c r="F987" s="88"/>
      <c r="G987" s="81">
        <v>6034</v>
      </c>
      <c r="H987" s="80">
        <v>786.42</v>
      </c>
      <c r="I987" s="79">
        <f t="shared" si="29"/>
        <v>0.13033145508783558</v>
      </c>
    </row>
    <row r="988" spans="1:9" x14ac:dyDescent="0.25">
      <c r="A988" s="76" t="s">
        <v>531</v>
      </c>
      <c r="B988" s="76" t="s">
        <v>190</v>
      </c>
      <c r="C988" s="77">
        <v>41179</v>
      </c>
      <c r="D988" s="78">
        <v>41364</v>
      </c>
      <c r="E988" s="79">
        <v>8.9999999999999993E-3</v>
      </c>
      <c r="F988" s="80"/>
      <c r="G988" s="81">
        <v>2268</v>
      </c>
      <c r="H988" s="80">
        <v>783</v>
      </c>
      <c r="I988" s="79">
        <f t="shared" si="29"/>
        <v>0.34523809523809523</v>
      </c>
    </row>
    <row r="989" spans="1:9" x14ac:dyDescent="0.25">
      <c r="A989" s="70" t="s">
        <v>20</v>
      </c>
      <c r="B989" s="70" t="s">
        <v>26</v>
      </c>
      <c r="C989" s="71">
        <v>40848</v>
      </c>
      <c r="D989" s="72">
        <v>41213</v>
      </c>
      <c r="E989" s="73">
        <v>0</v>
      </c>
      <c r="F989" s="74"/>
      <c r="G989" s="75">
        <v>892.26</v>
      </c>
      <c r="H989" s="82">
        <v>779.12</v>
      </c>
      <c r="I989" s="79">
        <f t="shared" si="29"/>
        <v>0.87319839508663399</v>
      </c>
    </row>
    <row r="990" spans="1:9" x14ac:dyDescent="0.25">
      <c r="A990" s="76" t="s">
        <v>270</v>
      </c>
      <c r="B990" s="76" t="s">
        <v>280</v>
      </c>
      <c r="C990" s="77">
        <v>41066</v>
      </c>
      <c r="D990" s="78">
        <v>41274</v>
      </c>
      <c r="E990" s="79">
        <v>4.4999999999999997E-3</v>
      </c>
      <c r="F990" s="80">
        <v>10776.5</v>
      </c>
      <c r="G990" s="81"/>
      <c r="H990" s="80">
        <v>776.5</v>
      </c>
      <c r="I990" s="79">
        <f>H990/F990</f>
        <v>7.2054934347886609E-2</v>
      </c>
    </row>
    <row r="991" spans="1:9" x14ac:dyDescent="0.25">
      <c r="A991" s="76" t="s">
        <v>558</v>
      </c>
      <c r="B991" s="76" t="s">
        <v>559</v>
      </c>
      <c r="C991" s="77">
        <v>40651</v>
      </c>
      <c r="D991" s="78">
        <v>40998</v>
      </c>
      <c r="E991" s="79">
        <v>0.14000000000000001</v>
      </c>
      <c r="F991" s="88"/>
      <c r="G991" s="81">
        <v>4671</v>
      </c>
      <c r="H991" s="80">
        <v>751.96</v>
      </c>
      <c r="I991" s="79">
        <f>H991/G991</f>
        <v>0.16098479982873048</v>
      </c>
    </row>
    <row r="992" spans="1:9" x14ac:dyDescent="0.25">
      <c r="A992" s="76" t="s">
        <v>437</v>
      </c>
      <c r="B992" s="76" t="s">
        <v>438</v>
      </c>
      <c r="C992" s="77">
        <v>40945</v>
      </c>
      <c r="D992" s="78">
        <v>41305</v>
      </c>
      <c r="E992" s="79">
        <v>0.14000000000000001</v>
      </c>
      <c r="F992" s="88"/>
      <c r="G992" s="81">
        <v>4436.25</v>
      </c>
      <c r="H992" s="80">
        <v>739.97</v>
      </c>
      <c r="I992" s="79">
        <f>H992/G992</f>
        <v>0.16680078895463513</v>
      </c>
    </row>
    <row r="993" spans="1:9" x14ac:dyDescent="0.25">
      <c r="A993" s="76" t="s">
        <v>555</v>
      </c>
      <c r="B993" s="76" t="s">
        <v>70</v>
      </c>
      <c r="C993" s="77">
        <v>40820</v>
      </c>
      <c r="D993" s="78">
        <v>41185</v>
      </c>
      <c r="E993" s="79">
        <v>0.09</v>
      </c>
      <c r="F993" s="80">
        <v>4836</v>
      </c>
      <c r="G993" s="81"/>
      <c r="H993" s="80">
        <v>725.4</v>
      </c>
      <c r="I993" s="79">
        <f>H993/F993</f>
        <v>0.15</v>
      </c>
    </row>
    <row r="994" spans="1:9" x14ac:dyDescent="0.25">
      <c r="A994" s="76" t="s">
        <v>289</v>
      </c>
      <c r="B994" s="76" t="s">
        <v>304</v>
      </c>
      <c r="C994" s="77">
        <v>40981</v>
      </c>
      <c r="D994" s="78">
        <v>41086</v>
      </c>
      <c r="E994" s="79">
        <v>0.13</v>
      </c>
      <c r="F994" s="88"/>
      <c r="G994" s="81">
        <v>5404</v>
      </c>
      <c r="H994" s="80">
        <v>707.52</v>
      </c>
      <c r="I994" s="79">
        <f>H994/G994</f>
        <v>0.13092524056254626</v>
      </c>
    </row>
    <row r="995" spans="1:9" x14ac:dyDescent="0.25">
      <c r="A995" s="76" t="s">
        <v>555</v>
      </c>
      <c r="B995" s="76" t="s">
        <v>44</v>
      </c>
      <c r="C995" s="77">
        <v>40953</v>
      </c>
      <c r="D995" s="78">
        <v>41318</v>
      </c>
      <c r="E995" s="79">
        <v>0.15</v>
      </c>
      <c r="F995" s="80"/>
      <c r="G995" s="81">
        <v>4655</v>
      </c>
      <c r="H995" s="80">
        <v>698.25</v>
      </c>
      <c r="I995" s="79">
        <f>H995/G995</f>
        <v>0.15</v>
      </c>
    </row>
    <row r="996" spans="1:9" x14ac:dyDescent="0.25">
      <c r="A996" s="76" t="s">
        <v>531</v>
      </c>
      <c r="B996" s="76" t="s">
        <v>532</v>
      </c>
      <c r="C996" s="77">
        <v>40948</v>
      </c>
      <c r="D996" s="78">
        <v>41305</v>
      </c>
      <c r="E996" s="79">
        <v>8.9999999999999993E-3</v>
      </c>
      <c r="F996" s="80"/>
      <c r="G996" s="81">
        <v>5001</v>
      </c>
      <c r="H996" s="80">
        <v>682</v>
      </c>
      <c r="I996" s="79">
        <f>H996/G996</f>
        <v>0.13637272545490903</v>
      </c>
    </row>
    <row r="997" spans="1:9" x14ac:dyDescent="0.25">
      <c r="A997" s="76" t="s">
        <v>502</v>
      </c>
      <c r="B997" s="76" t="s">
        <v>503</v>
      </c>
      <c r="C997" s="77">
        <v>41153</v>
      </c>
      <c r="D997" s="78">
        <v>41289</v>
      </c>
      <c r="E997" s="79">
        <v>0.92500000000000004</v>
      </c>
      <c r="F997" s="80">
        <v>692.59</v>
      </c>
      <c r="G997" s="81"/>
      <c r="H997" s="80">
        <v>645.37</v>
      </c>
      <c r="I997" s="79">
        <f>H997/F997</f>
        <v>0.93182113515932941</v>
      </c>
    </row>
    <row r="998" spans="1:9" x14ac:dyDescent="0.25">
      <c r="A998" s="76" t="s">
        <v>531</v>
      </c>
      <c r="B998" s="76" t="s">
        <v>533</v>
      </c>
      <c r="C998" s="77">
        <v>40726</v>
      </c>
      <c r="D998" s="78">
        <v>40755</v>
      </c>
      <c r="E998" s="79">
        <v>8.9999999999999993E-3</v>
      </c>
      <c r="F998" s="80">
        <v>13960</v>
      </c>
      <c r="G998" s="81"/>
      <c r="H998" s="80">
        <v>642</v>
      </c>
      <c r="I998" s="79">
        <f>H998/F998</f>
        <v>4.5988538681948424E-2</v>
      </c>
    </row>
    <row r="999" spans="1:9" x14ac:dyDescent="0.25">
      <c r="A999" s="76" t="s">
        <v>641</v>
      </c>
      <c r="B999" s="76" t="s">
        <v>642</v>
      </c>
      <c r="C999" s="77">
        <v>40653</v>
      </c>
      <c r="D999" s="78">
        <v>40967</v>
      </c>
      <c r="E999" s="79">
        <v>8.9999999999999993E-3</v>
      </c>
      <c r="F999" s="80"/>
      <c r="G999" s="81">
        <v>1099</v>
      </c>
      <c r="H999" s="80">
        <v>628.47</v>
      </c>
      <c r="I999" s="79">
        <f>H999/G999</f>
        <v>0.57185623293903554</v>
      </c>
    </row>
    <row r="1000" spans="1:9" ht="28.5" x14ac:dyDescent="0.25">
      <c r="A1000" s="70" t="s">
        <v>60</v>
      </c>
      <c r="B1000" s="70" t="s">
        <v>62</v>
      </c>
      <c r="C1000" s="71">
        <v>40690</v>
      </c>
      <c r="D1000" s="72">
        <v>41055</v>
      </c>
      <c r="E1000" s="73">
        <v>0.09</v>
      </c>
      <c r="F1000" s="74"/>
      <c r="G1000" s="75">
        <v>4198</v>
      </c>
      <c r="H1000" s="74">
        <v>619.15</v>
      </c>
      <c r="I1000" s="73">
        <v>0.14748689852310623</v>
      </c>
    </row>
    <row r="1001" spans="1:9" x14ac:dyDescent="0.25">
      <c r="A1001" s="76" t="s">
        <v>613</v>
      </c>
      <c r="B1001" s="76" t="s">
        <v>190</v>
      </c>
      <c r="C1001" s="77">
        <v>41019</v>
      </c>
      <c r="D1001" s="78">
        <v>41364</v>
      </c>
      <c r="E1001" s="79">
        <v>8.9999999999999993E-3</v>
      </c>
      <c r="F1001" s="80"/>
      <c r="G1001" s="81">
        <v>875</v>
      </c>
      <c r="H1001" s="80">
        <v>608</v>
      </c>
      <c r="I1001" s="79">
        <f t="shared" ref="I1001:I1008" si="30">H1001/G1001</f>
        <v>0.69485714285714284</v>
      </c>
    </row>
    <row r="1002" spans="1:9" x14ac:dyDescent="0.25">
      <c r="A1002" s="76" t="s">
        <v>531</v>
      </c>
      <c r="B1002" s="76" t="s">
        <v>187</v>
      </c>
      <c r="C1002" s="77">
        <v>41153</v>
      </c>
      <c r="D1002" s="78">
        <v>41517</v>
      </c>
      <c r="E1002" s="79">
        <v>8.9999999999999993E-3</v>
      </c>
      <c r="F1002" s="80"/>
      <c r="G1002" s="81">
        <v>3525</v>
      </c>
      <c r="H1002" s="80">
        <v>578</v>
      </c>
      <c r="I1002" s="79">
        <f t="shared" si="30"/>
        <v>0.16397163120567376</v>
      </c>
    </row>
    <row r="1003" spans="1:9" x14ac:dyDescent="0.25">
      <c r="A1003" s="76" t="s">
        <v>594</v>
      </c>
      <c r="B1003" s="76" t="s">
        <v>607</v>
      </c>
      <c r="C1003" s="77">
        <v>41028</v>
      </c>
      <c r="D1003" s="78">
        <v>41152</v>
      </c>
      <c r="E1003" s="79">
        <v>0.57599999999999996</v>
      </c>
      <c r="F1003" s="80"/>
      <c r="G1003" s="81">
        <v>1020.1</v>
      </c>
      <c r="H1003" s="80">
        <v>573.53</v>
      </c>
      <c r="I1003" s="79">
        <f t="shared" si="30"/>
        <v>0.56222919321635134</v>
      </c>
    </row>
    <row r="1004" spans="1:9" x14ac:dyDescent="0.25">
      <c r="A1004" s="76" t="s">
        <v>317</v>
      </c>
      <c r="B1004" s="76" t="s">
        <v>363</v>
      </c>
      <c r="C1004" s="77">
        <v>41144</v>
      </c>
      <c r="D1004" s="78">
        <v>41455</v>
      </c>
      <c r="E1004" s="79">
        <v>8.9999999999999998E-4</v>
      </c>
      <c r="F1004" s="80"/>
      <c r="G1004" s="81">
        <v>1910</v>
      </c>
      <c r="H1004" s="80">
        <v>550.26</v>
      </c>
      <c r="I1004" s="79">
        <f t="shared" si="30"/>
        <v>0.2880942408376963</v>
      </c>
    </row>
    <row r="1005" spans="1:9" x14ac:dyDescent="0.25">
      <c r="A1005" s="76" t="s">
        <v>594</v>
      </c>
      <c r="B1005" s="76" t="s">
        <v>611</v>
      </c>
      <c r="C1005" s="77">
        <v>41152</v>
      </c>
      <c r="D1005" s="78">
        <v>41455</v>
      </c>
      <c r="E1005" s="79">
        <v>8.9999999999999998E-4</v>
      </c>
      <c r="F1005" s="80"/>
      <c r="G1005" s="81">
        <v>6421.11</v>
      </c>
      <c r="H1005" s="80">
        <v>547.5</v>
      </c>
      <c r="I1005" s="79">
        <f t="shared" si="30"/>
        <v>8.5265631643127129E-2</v>
      </c>
    </row>
    <row r="1006" spans="1:9" x14ac:dyDescent="0.25">
      <c r="A1006" s="76" t="s">
        <v>674</v>
      </c>
      <c r="B1006" s="76" t="s">
        <v>31</v>
      </c>
      <c r="C1006" s="77">
        <v>40940</v>
      </c>
      <c r="D1006" s="78">
        <v>41274</v>
      </c>
      <c r="E1006" s="79">
        <v>0.39600000000000002</v>
      </c>
      <c r="F1006" s="80"/>
      <c r="G1006" s="81">
        <v>4641</v>
      </c>
      <c r="H1006" s="80">
        <v>538</v>
      </c>
      <c r="I1006" s="79">
        <f t="shared" si="30"/>
        <v>0.11592329239388063</v>
      </c>
    </row>
    <row r="1007" spans="1:9" x14ac:dyDescent="0.25">
      <c r="A1007" s="76" t="s">
        <v>790</v>
      </c>
      <c r="B1007" s="76" t="s">
        <v>1722</v>
      </c>
      <c r="C1007" s="77">
        <v>40787</v>
      </c>
      <c r="D1007" s="78">
        <v>41152</v>
      </c>
      <c r="E1007" s="79">
        <v>0.16</v>
      </c>
      <c r="F1007" s="80"/>
      <c r="G1007" s="81">
        <v>3344</v>
      </c>
      <c r="H1007" s="80">
        <v>535.04</v>
      </c>
      <c r="I1007" s="73">
        <f t="shared" si="30"/>
        <v>0.15999999999999998</v>
      </c>
    </row>
    <row r="1008" spans="1:9" x14ac:dyDescent="0.25">
      <c r="A1008" s="76" t="s">
        <v>531</v>
      </c>
      <c r="B1008" s="76" t="s">
        <v>22</v>
      </c>
      <c r="C1008" s="77">
        <v>41106</v>
      </c>
      <c r="D1008" s="78">
        <v>41470</v>
      </c>
      <c r="E1008" s="79">
        <v>0.01</v>
      </c>
      <c r="F1008" s="80"/>
      <c r="G1008" s="81">
        <v>3310</v>
      </c>
      <c r="H1008" s="80">
        <v>512</v>
      </c>
      <c r="I1008" s="79">
        <f t="shared" si="30"/>
        <v>0.15468277945619335</v>
      </c>
    </row>
    <row r="1009" spans="1:9" x14ac:dyDescent="0.25">
      <c r="A1009" s="70" t="s">
        <v>14</v>
      </c>
      <c r="B1009" s="70" t="s">
        <v>16</v>
      </c>
      <c r="C1009" s="71">
        <v>41001</v>
      </c>
      <c r="D1009" s="72">
        <v>41262</v>
      </c>
      <c r="E1009" s="73">
        <v>0.45</v>
      </c>
      <c r="F1009" s="74"/>
      <c r="G1009" s="75">
        <v>500</v>
      </c>
      <c r="H1009" s="74">
        <v>500</v>
      </c>
      <c r="I1009" s="73">
        <v>1</v>
      </c>
    </row>
    <row r="1010" spans="1:9" x14ac:dyDescent="0.25">
      <c r="A1010" s="76" t="s">
        <v>375</v>
      </c>
      <c r="B1010" s="76" t="s">
        <v>382</v>
      </c>
      <c r="C1010" s="77">
        <v>41163</v>
      </c>
      <c r="D1010" s="78">
        <v>41186</v>
      </c>
      <c r="E1010" s="79">
        <v>4.4999999999999998E-2</v>
      </c>
      <c r="F1010" s="80"/>
      <c r="G1010" s="81">
        <v>3780</v>
      </c>
      <c r="H1010" s="80">
        <v>462</v>
      </c>
      <c r="I1010" s="79">
        <f>H1010/G1010</f>
        <v>0.12222222222222222</v>
      </c>
    </row>
    <row r="1011" spans="1:9" x14ac:dyDescent="0.25">
      <c r="A1011" s="76" t="s">
        <v>485</v>
      </c>
      <c r="B1011" s="76" t="s">
        <v>486</v>
      </c>
      <c r="C1011" s="77">
        <v>41037</v>
      </c>
      <c r="D1011" s="78">
        <v>41274</v>
      </c>
      <c r="E1011" s="79">
        <v>0.45</v>
      </c>
      <c r="F1011" s="88"/>
      <c r="G1011" s="81">
        <v>5515</v>
      </c>
      <c r="H1011" s="80">
        <v>448</v>
      </c>
      <c r="I1011" s="79">
        <f>H1011/G1011</f>
        <v>8.1233000906618308E-2</v>
      </c>
    </row>
    <row r="1012" spans="1:9" x14ac:dyDescent="0.25">
      <c r="A1012" s="76" t="s">
        <v>289</v>
      </c>
      <c r="B1012" s="76" t="s">
        <v>339</v>
      </c>
      <c r="C1012" s="77">
        <v>41275</v>
      </c>
      <c r="D1012" s="78">
        <v>41327</v>
      </c>
      <c r="E1012" s="79">
        <v>0.13</v>
      </c>
      <c r="F1012" s="88"/>
      <c r="G1012" s="81">
        <v>3374</v>
      </c>
      <c r="H1012" s="80">
        <v>447.12</v>
      </c>
      <c r="I1012" s="79">
        <f>H1012/G1012</f>
        <v>0.13251926496739774</v>
      </c>
    </row>
    <row r="1013" spans="1:9" x14ac:dyDescent="0.25">
      <c r="A1013" s="76" t="s">
        <v>613</v>
      </c>
      <c r="B1013" s="76" t="s">
        <v>187</v>
      </c>
      <c r="C1013" s="77">
        <v>40976</v>
      </c>
      <c r="D1013" s="78">
        <v>41305</v>
      </c>
      <c r="E1013" s="79">
        <v>8.9999999999999993E-3</v>
      </c>
      <c r="F1013" s="80"/>
      <c r="G1013" s="81">
        <v>4844</v>
      </c>
      <c r="H1013" s="80">
        <v>421</v>
      </c>
      <c r="I1013" s="79">
        <f>H1013/G1013</f>
        <v>8.6911643270024777E-2</v>
      </c>
    </row>
    <row r="1014" spans="1:9" x14ac:dyDescent="0.25">
      <c r="A1014" s="76" t="s">
        <v>555</v>
      </c>
      <c r="B1014" s="76" t="s">
        <v>70</v>
      </c>
      <c r="C1014" s="77">
        <v>41186</v>
      </c>
      <c r="D1014" s="78">
        <v>41550</v>
      </c>
      <c r="E1014" s="79">
        <v>0.09</v>
      </c>
      <c r="F1014" s="80">
        <v>4185</v>
      </c>
      <c r="G1014" s="88"/>
      <c r="H1014" s="80">
        <v>418.5</v>
      </c>
      <c r="I1014" s="79">
        <f>H1014/F1014</f>
        <v>0.1</v>
      </c>
    </row>
    <row r="1015" spans="1:9" x14ac:dyDescent="0.25">
      <c r="A1015" s="76" t="s">
        <v>630</v>
      </c>
      <c r="B1015" s="76" t="s">
        <v>634</v>
      </c>
      <c r="C1015" s="77">
        <v>41101</v>
      </c>
      <c r="D1015" s="78">
        <v>41274</v>
      </c>
      <c r="E1015" s="79">
        <v>8.9999999999999993E-3</v>
      </c>
      <c r="F1015" s="80"/>
      <c r="G1015" s="81">
        <v>729</v>
      </c>
      <c r="H1015" s="80">
        <v>410.18</v>
      </c>
      <c r="I1015" s="79">
        <f t="shared" ref="I1015:I1023" si="31">H1015/G1015</f>
        <v>0.56266117969821672</v>
      </c>
    </row>
    <row r="1016" spans="1:9" x14ac:dyDescent="0.25">
      <c r="A1016" s="76" t="s">
        <v>643</v>
      </c>
      <c r="B1016" s="76" t="s">
        <v>659</v>
      </c>
      <c r="C1016" s="77">
        <v>41025</v>
      </c>
      <c r="D1016" s="78">
        <v>41364</v>
      </c>
      <c r="E1016" s="79">
        <v>4.4999999999999997E-3</v>
      </c>
      <c r="F1016" s="80"/>
      <c r="G1016" s="81">
        <v>2455</v>
      </c>
      <c r="H1016" s="80">
        <v>392.32</v>
      </c>
      <c r="I1016" s="79">
        <f t="shared" si="31"/>
        <v>0.15980448065173117</v>
      </c>
    </row>
    <row r="1017" spans="1:9" x14ac:dyDescent="0.25">
      <c r="A1017" s="76" t="s">
        <v>613</v>
      </c>
      <c r="B1017" s="76" t="s">
        <v>36</v>
      </c>
      <c r="C1017" s="77">
        <v>40743</v>
      </c>
      <c r="D1017" s="78">
        <v>41060</v>
      </c>
      <c r="E1017" s="79">
        <v>8.9999999999999993E-3</v>
      </c>
      <c r="F1017" s="80"/>
      <c r="G1017" s="81">
        <v>2005</v>
      </c>
      <c r="H1017" s="80">
        <v>387</v>
      </c>
      <c r="I1017" s="79">
        <f t="shared" si="31"/>
        <v>0.19301745635910225</v>
      </c>
    </row>
    <row r="1018" spans="1:9" x14ac:dyDescent="0.25">
      <c r="A1018" s="76" t="s">
        <v>263</v>
      </c>
      <c r="B1018" s="76" t="s">
        <v>264</v>
      </c>
      <c r="C1018" s="77">
        <v>40948</v>
      </c>
      <c r="D1018" s="78">
        <v>41313</v>
      </c>
      <c r="E1018" s="79">
        <v>8.9999999999999993E-3</v>
      </c>
      <c r="F1018" s="80"/>
      <c r="G1018" s="81">
        <v>1087</v>
      </c>
      <c r="H1018" s="80">
        <v>380.45</v>
      </c>
      <c r="I1018" s="79">
        <f t="shared" si="31"/>
        <v>0.35</v>
      </c>
    </row>
    <row r="1019" spans="1:9" x14ac:dyDescent="0.25">
      <c r="A1019" s="76" t="s">
        <v>315</v>
      </c>
      <c r="B1019" s="76" t="s">
        <v>316</v>
      </c>
      <c r="C1019" s="77">
        <v>40575</v>
      </c>
      <c r="D1019" s="78">
        <v>40924</v>
      </c>
      <c r="E1019" s="79">
        <v>1.7999999999999999E-2</v>
      </c>
      <c r="F1019" s="80"/>
      <c r="G1019" s="81">
        <v>2853</v>
      </c>
      <c r="H1019" s="80">
        <v>380</v>
      </c>
      <c r="I1019" s="79">
        <f t="shared" si="31"/>
        <v>0.1331931300385559</v>
      </c>
    </row>
    <row r="1020" spans="1:9" x14ac:dyDescent="0.25">
      <c r="A1020" s="76" t="s">
        <v>263</v>
      </c>
      <c r="B1020" s="76" t="s">
        <v>108</v>
      </c>
      <c r="C1020" s="77">
        <v>40952</v>
      </c>
      <c r="D1020" s="78">
        <v>41274</v>
      </c>
      <c r="E1020" s="79">
        <v>8.9999999999999993E-3</v>
      </c>
      <c r="F1020" s="80"/>
      <c r="G1020" s="81">
        <v>445</v>
      </c>
      <c r="H1020" s="80">
        <v>360.45</v>
      </c>
      <c r="I1020" s="79">
        <f t="shared" si="31"/>
        <v>0.80999999999999994</v>
      </c>
    </row>
    <row r="1021" spans="1:9" x14ac:dyDescent="0.25">
      <c r="A1021" s="76" t="s">
        <v>531</v>
      </c>
      <c r="B1021" s="76" t="s">
        <v>374</v>
      </c>
      <c r="C1021" s="77">
        <v>41000</v>
      </c>
      <c r="D1021" s="78">
        <v>41364</v>
      </c>
      <c r="E1021" s="79">
        <v>8.9999999999999993E-3</v>
      </c>
      <c r="F1021" s="80"/>
      <c r="G1021" s="81">
        <v>1530</v>
      </c>
      <c r="H1021" s="80">
        <v>348</v>
      </c>
      <c r="I1021" s="79">
        <f t="shared" si="31"/>
        <v>0.22745098039215686</v>
      </c>
    </row>
    <row r="1022" spans="1:9" x14ac:dyDescent="0.25">
      <c r="A1022" s="76" t="s">
        <v>270</v>
      </c>
      <c r="B1022" s="76" t="s">
        <v>272</v>
      </c>
      <c r="C1022" s="77">
        <v>41030</v>
      </c>
      <c r="D1022" s="78">
        <v>41060</v>
      </c>
      <c r="E1022" s="79">
        <v>0.2</v>
      </c>
      <c r="F1022" s="80"/>
      <c r="G1022" s="81">
        <v>55</v>
      </c>
      <c r="H1022" s="80">
        <v>330.6</v>
      </c>
      <c r="I1022" s="79">
        <f t="shared" si="31"/>
        <v>6.0109090909090916</v>
      </c>
    </row>
    <row r="1023" spans="1:9" x14ac:dyDescent="0.25">
      <c r="A1023" s="76" t="s">
        <v>531</v>
      </c>
      <c r="B1023" s="76" t="s">
        <v>538</v>
      </c>
      <c r="C1023" s="77">
        <v>40975</v>
      </c>
      <c r="D1023" s="78">
        <v>41333</v>
      </c>
      <c r="E1023" s="79">
        <v>8.9999999999999993E-3</v>
      </c>
      <c r="F1023" s="80"/>
      <c r="G1023" s="81">
        <v>1305</v>
      </c>
      <c r="H1023" s="80">
        <v>326</v>
      </c>
      <c r="I1023" s="79">
        <f t="shared" si="31"/>
        <v>0.24980842911877393</v>
      </c>
    </row>
    <row r="1024" spans="1:9" x14ac:dyDescent="0.25">
      <c r="A1024" s="76" t="s">
        <v>622</v>
      </c>
      <c r="B1024" s="76" t="s">
        <v>107</v>
      </c>
      <c r="C1024" s="77">
        <v>40610</v>
      </c>
      <c r="D1024" s="78">
        <v>40939</v>
      </c>
      <c r="E1024" s="79">
        <v>8.9999999999999993E-3</v>
      </c>
      <c r="F1024" s="80">
        <v>633</v>
      </c>
      <c r="G1024" s="81"/>
      <c r="H1024" s="80">
        <v>322</v>
      </c>
      <c r="I1024" s="79">
        <f>H1024/F1024</f>
        <v>0.50868878357030012</v>
      </c>
    </row>
    <row r="1025" spans="1:9" x14ac:dyDescent="0.25">
      <c r="A1025" s="76" t="s">
        <v>20</v>
      </c>
      <c r="B1025" s="76" t="s">
        <v>25</v>
      </c>
      <c r="C1025" s="77">
        <v>41187</v>
      </c>
      <c r="D1025" s="78">
        <v>41547</v>
      </c>
      <c r="E1025" s="79">
        <v>0</v>
      </c>
      <c r="F1025" s="80"/>
      <c r="G1025" s="81">
        <v>2656.78</v>
      </c>
      <c r="H1025" s="80">
        <v>308.14999999999998</v>
      </c>
      <c r="I1025" s="73">
        <f>H1025/G1025</f>
        <v>0.11598626909266102</v>
      </c>
    </row>
    <row r="1026" spans="1:9" x14ac:dyDescent="0.25">
      <c r="A1026" s="76" t="s">
        <v>531</v>
      </c>
      <c r="B1026" s="76" t="s">
        <v>187</v>
      </c>
      <c r="C1026" s="77">
        <v>40813</v>
      </c>
      <c r="D1026" s="78">
        <v>41152</v>
      </c>
      <c r="E1026" s="79">
        <v>8.9999999999999993E-3</v>
      </c>
      <c r="F1026" s="80"/>
      <c r="G1026" s="81">
        <v>2689</v>
      </c>
      <c r="H1026" s="80">
        <v>295</v>
      </c>
      <c r="I1026" s="79">
        <f>H1026/G1026</f>
        <v>0.10970621048716996</v>
      </c>
    </row>
    <row r="1027" spans="1:9" x14ac:dyDescent="0.25">
      <c r="A1027" s="76" t="s">
        <v>674</v>
      </c>
      <c r="B1027" s="76" t="s">
        <v>680</v>
      </c>
      <c r="C1027" s="77">
        <v>41086</v>
      </c>
      <c r="D1027" s="78">
        <v>41274</v>
      </c>
      <c r="E1027" s="79">
        <v>0.32219999999999999</v>
      </c>
      <c r="F1027" s="80"/>
      <c r="G1027" s="81">
        <v>330</v>
      </c>
      <c r="H1027" s="80">
        <v>292.75</v>
      </c>
      <c r="I1027" s="79">
        <f>H1027/G1027</f>
        <v>0.88712121212121209</v>
      </c>
    </row>
    <row r="1028" spans="1:9" x14ac:dyDescent="0.25">
      <c r="A1028" s="76" t="s">
        <v>531</v>
      </c>
      <c r="B1028" s="76" t="s">
        <v>173</v>
      </c>
      <c r="C1028" s="77">
        <v>40796</v>
      </c>
      <c r="D1028" s="78">
        <v>41152</v>
      </c>
      <c r="E1028" s="79">
        <v>8.9999999999999993E-3</v>
      </c>
      <c r="F1028" s="80"/>
      <c r="G1028" s="81">
        <v>870</v>
      </c>
      <c r="H1028" s="80">
        <v>285</v>
      </c>
      <c r="I1028" s="79">
        <f>H1028/G1028</f>
        <v>0.32758620689655171</v>
      </c>
    </row>
    <row r="1029" spans="1:9" x14ac:dyDescent="0.25">
      <c r="A1029" s="76" t="s">
        <v>555</v>
      </c>
      <c r="B1029" s="76" t="s">
        <v>100</v>
      </c>
      <c r="C1029" s="77">
        <v>40592</v>
      </c>
      <c r="D1029" s="78">
        <v>40956</v>
      </c>
      <c r="E1029" s="79">
        <v>0.13</v>
      </c>
      <c r="F1029" s="80"/>
      <c r="G1029" s="81">
        <v>2140</v>
      </c>
      <c r="H1029" s="80">
        <v>278.2</v>
      </c>
      <c r="I1029" s="79">
        <f>H1029/G1029</f>
        <v>0.13</v>
      </c>
    </row>
    <row r="1030" spans="1:9" x14ac:dyDescent="0.25">
      <c r="A1030" s="70" t="s">
        <v>137</v>
      </c>
      <c r="B1030" s="70" t="s">
        <v>102</v>
      </c>
      <c r="C1030" s="71">
        <v>40722</v>
      </c>
      <c r="D1030" s="72">
        <v>41002</v>
      </c>
      <c r="E1030" s="73">
        <v>0.315</v>
      </c>
      <c r="F1030" s="74">
        <v>1150</v>
      </c>
      <c r="G1030" s="75"/>
      <c r="H1030" s="74">
        <v>255.4</v>
      </c>
      <c r="I1030" s="73">
        <v>0.22208695652173913</v>
      </c>
    </row>
    <row r="1031" spans="1:9" x14ac:dyDescent="0.25">
      <c r="A1031" s="76" t="s">
        <v>502</v>
      </c>
      <c r="B1031" s="76" t="s">
        <v>92</v>
      </c>
      <c r="C1031" s="77">
        <v>41151</v>
      </c>
      <c r="D1031" s="78">
        <v>41515</v>
      </c>
      <c r="E1031" s="79">
        <v>0.92500000000000004</v>
      </c>
      <c r="F1031" s="80"/>
      <c r="G1031" s="81">
        <v>275.56</v>
      </c>
      <c r="H1031" s="80">
        <v>254.89</v>
      </c>
      <c r="I1031" s="79">
        <f>H1031/G1031</f>
        <v>0.92498911307882126</v>
      </c>
    </row>
    <row r="1032" spans="1:9" x14ac:dyDescent="0.25">
      <c r="A1032" s="76" t="s">
        <v>317</v>
      </c>
      <c r="B1032" s="76" t="s">
        <v>328</v>
      </c>
      <c r="C1032" s="77">
        <v>40955</v>
      </c>
      <c r="D1032" s="78">
        <v>41274</v>
      </c>
      <c r="E1032" s="79">
        <v>8.9999999999999998E-4</v>
      </c>
      <c r="F1032" s="80">
        <v>95852.15</v>
      </c>
      <c r="G1032" s="81"/>
      <c r="H1032" s="80">
        <v>250</v>
      </c>
      <c r="I1032" s="79">
        <f>H1032/F1032</f>
        <v>2.608183541005601E-3</v>
      </c>
    </row>
    <row r="1033" spans="1:9" x14ac:dyDescent="0.25">
      <c r="A1033" s="76" t="s">
        <v>317</v>
      </c>
      <c r="B1033" s="76" t="s">
        <v>172</v>
      </c>
      <c r="C1033" s="77">
        <v>40589</v>
      </c>
      <c r="D1033" s="78">
        <v>40953</v>
      </c>
      <c r="E1033" s="79">
        <v>1.7999999999999999E-2</v>
      </c>
      <c r="F1033" s="80"/>
      <c r="G1033" s="81">
        <v>13835</v>
      </c>
      <c r="H1033" s="80">
        <v>249.03</v>
      </c>
      <c r="I1033" s="79">
        <f>H1033/G1033</f>
        <v>1.7999999999999999E-2</v>
      </c>
    </row>
    <row r="1034" spans="1:9" x14ac:dyDescent="0.25">
      <c r="A1034" s="76" t="s">
        <v>555</v>
      </c>
      <c r="B1034" s="76" t="s">
        <v>556</v>
      </c>
      <c r="C1034" s="77">
        <v>40732</v>
      </c>
      <c r="D1034" s="78">
        <v>41097</v>
      </c>
      <c r="E1034" s="79">
        <v>0.18</v>
      </c>
      <c r="F1034" s="80"/>
      <c r="G1034" s="81">
        <v>1245</v>
      </c>
      <c r="H1034" s="80">
        <v>249</v>
      </c>
      <c r="I1034" s="79">
        <f>H1034/G1034</f>
        <v>0.2</v>
      </c>
    </row>
    <row r="1035" spans="1:9" x14ac:dyDescent="0.25">
      <c r="A1035" s="70" t="s">
        <v>20</v>
      </c>
      <c r="B1035" s="70" t="s">
        <v>28</v>
      </c>
      <c r="C1035" s="71">
        <v>40686</v>
      </c>
      <c r="D1035" s="72">
        <v>41029</v>
      </c>
      <c r="E1035" s="73">
        <v>0</v>
      </c>
      <c r="F1035" s="74">
        <v>20206</v>
      </c>
      <c r="G1035" s="75"/>
      <c r="H1035" s="74">
        <v>238.92</v>
      </c>
      <c r="I1035" s="73">
        <v>0.24455703976662058</v>
      </c>
    </row>
    <row r="1036" spans="1:9" x14ac:dyDescent="0.25">
      <c r="A1036" s="76" t="s">
        <v>674</v>
      </c>
      <c r="B1036" s="76" t="s">
        <v>103</v>
      </c>
      <c r="C1036" s="77">
        <v>40961</v>
      </c>
      <c r="D1036" s="78">
        <v>41274</v>
      </c>
      <c r="E1036" s="79">
        <v>0.22500000000000001</v>
      </c>
      <c r="F1036" s="80"/>
      <c r="G1036" s="81">
        <v>1712</v>
      </c>
      <c r="H1036" s="80">
        <v>224.79</v>
      </c>
      <c r="I1036" s="79">
        <f>H1036/G1036</f>
        <v>0.13130257009345794</v>
      </c>
    </row>
    <row r="1037" spans="1:9" x14ac:dyDescent="0.25">
      <c r="A1037" s="70" t="s">
        <v>113</v>
      </c>
      <c r="B1037" s="70" t="s">
        <v>115</v>
      </c>
      <c r="C1037" s="71">
        <v>40650</v>
      </c>
      <c r="D1037" s="72">
        <v>41015</v>
      </c>
      <c r="E1037" s="73">
        <v>1.35E-2</v>
      </c>
      <c r="F1037" s="74"/>
      <c r="G1037" s="75">
        <v>3548.16</v>
      </c>
      <c r="H1037" s="74">
        <v>219.41</v>
      </c>
      <c r="I1037" s="73">
        <v>6.1837684884559888E-2</v>
      </c>
    </row>
    <row r="1038" spans="1:9" x14ac:dyDescent="0.25">
      <c r="A1038" s="76" t="s">
        <v>643</v>
      </c>
      <c r="B1038" s="76" t="s">
        <v>648</v>
      </c>
      <c r="C1038" s="77">
        <v>41061</v>
      </c>
      <c r="D1038" s="78">
        <v>41394</v>
      </c>
      <c r="E1038" s="79">
        <v>4.4999999999999997E-3</v>
      </c>
      <c r="F1038" s="80"/>
      <c r="G1038" s="81">
        <v>5180</v>
      </c>
      <c r="H1038" s="80">
        <v>212.8</v>
      </c>
      <c r="I1038" s="79">
        <f>H1038/G1038</f>
        <v>4.1081081081081085E-2</v>
      </c>
    </row>
    <row r="1039" spans="1:9" ht="28.5" x14ac:dyDescent="0.25">
      <c r="A1039" s="76" t="s">
        <v>674</v>
      </c>
      <c r="B1039" s="76" t="s">
        <v>677</v>
      </c>
      <c r="C1039" s="77">
        <v>40938</v>
      </c>
      <c r="D1039" s="78">
        <v>41274</v>
      </c>
      <c r="E1039" s="79">
        <v>0.432</v>
      </c>
      <c r="F1039" s="80"/>
      <c r="G1039" s="81">
        <v>1705</v>
      </c>
      <c r="H1039" s="80">
        <v>204.81</v>
      </c>
      <c r="I1039" s="79">
        <f>H1039/G1039</f>
        <v>0.12012316715542522</v>
      </c>
    </row>
    <row r="1040" spans="1:9" x14ac:dyDescent="0.25">
      <c r="A1040" s="76" t="s">
        <v>531</v>
      </c>
      <c r="B1040" s="76" t="s">
        <v>536</v>
      </c>
      <c r="C1040" s="77">
        <v>40751</v>
      </c>
      <c r="D1040" s="78">
        <v>41090</v>
      </c>
      <c r="E1040" s="79">
        <v>8.9999999999999993E-3</v>
      </c>
      <c r="F1040" s="80"/>
      <c r="G1040" s="81">
        <v>635</v>
      </c>
      <c r="H1040" s="80">
        <v>204</v>
      </c>
      <c r="I1040" s="79">
        <f>H1040/G1040</f>
        <v>0.32125984251968503</v>
      </c>
    </row>
    <row r="1041" spans="1:9" x14ac:dyDescent="0.25">
      <c r="A1041" s="70" t="s">
        <v>37</v>
      </c>
      <c r="B1041" s="70" t="s">
        <v>34</v>
      </c>
      <c r="C1041" s="71">
        <v>40609</v>
      </c>
      <c r="D1041" s="72">
        <v>40953</v>
      </c>
      <c r="E1041" s="73">
        <v>0</v>
      </c>
      <c r="F1041" s="74"/>
      <c r="G1041" s="75">
        <v>1151</v>
      </c>
      <c r="H1041" s="74">
        <v>202.56</v>
      </c>
      <c r="I1041" s="73">
        <f>H1041/G1041</f>
        <v>0.17598609904430929</v>
      </c>
    </row>
    <row r="1042" spans="1:9" x14ac:dyDescent="0.25">
      <c r="A1042" s="70" t="s">
        <v>87</v>
      </c>
      <c r="B1042" s="70" t="s">
        <v>92</v>
      </c>
      <c r="C1042" s="71">
        <v>40785</v>
      </c>
      <c r="D1042" s="72">
        <v>41150</v>
      </c>
      <c r="E1042" s="73">
        <v>0.92500000000000004</v>
      </c>
      <c r="F1042" s="74"/>
      <c r="G1042" s="75">
        <v>214.56</v>
      </c>
      <c r="H1042" s="74">
        <v>198.47</v>
      </c>
      <c r="I1042" s="73">
        <v>0.92500932140193881</v>
      </c>
    </row>
    <row r="1043" spans="1:9" x14ac:dyDescent="0.25">
      <c r="A1043" s="76" t="s">
        <v>613</v>
      </c>
      <c r="B1043" s="76" t="s">
        <v>193</v>
      </c>
      <c r="C1043" s="77">
        <v>41101</v>
      </c>
      <c r="D1043" s="78">
        <v>41455</v>
      </c>
      <c r="E1043" s="79">
        <v>8.9999999999999993E-3</v>
      </c>
      <c r="F1043" s="80"/>
      <c r="G1043" s="81">
        <v>9700</v>
      </c>
      <c r="H1043" s="80">
        <v>194</v>
      </c>
      <c r="I1043" s="79">
        <f>H1043/G1043</f>
        <v>0.02</v>
      </c>
    </row>
    <row r="1044" spans="1:9" ht="28.5" x14ac:dyDescent="0.25">
      <c r="A1044" s="70" t="s">
        <v>101</v>
      </c>
      <c r="B1044" s="70" t="s">
        <v>111</v>
      </c>
      <c r="C1044" s="71">
        <v>40973</v>
      </c>
      <c r="D1044" s="72">
        <v>41182</v>
      </c>
      <c r="E1044" s="73">
        <v>1.35E-2</v>
      </c>
      <c r="F1044" s="74"/>
      <c r="G1044" s="75">
        <v>682.87</v>
      </c>
      <c r="H1044" s="74">
        <v>193.79</v>
      </c>
      <c r="I1044" s="73">
        <v>0.28999999999999998</v>
      </c>
    </row>
    <row r="1045" spans="1:9" x14ac:dyDescent="0.25">
      <c r="A1045" s="76" t="s">
        <v>531</v>
      </c>
      <c r="B1045" s="76" t="s">
        <v>544</v>
      </c>
      <c r="C1045" s="77">
        <v>40862</v>
      </c>
      <c r="D1045" s="78">
        <v>41213</v>
      </c>
      <c r="E1045" s="79">
        <v>8.9999999999999993E-3</v>
      </c>
      <c r="F1045" s="80"/>
      <c r="G1045" s="81">
        <v>395</v>
      </c>
      <c r="H1045" s="80">
        <v>191</v>
      </c>
      <c r="I1045" s="79">
        <f>H1045/G1045</f>
        <v>0.48354430379746838</v>
      </c>
    </row>
    <row r="1046" spans="1:9" x14ac:dyDescent="0.25">
      <c r="A1046" s="70" t="s">
        <v>71</v>
      </c>
      <c r="B1046" s="70" t="s">
        <v>73</v>
      </c>
      <c r="C1046" s="71">
        <v>41200</v>
      </c>
      <c r="D1046" s="72">
        <v>41274</v>
      </c>
      <c r="E1046" s="73">
        <v>8.9999999999999993E-3</v>
      </c>
      <c r="F1046" s="74"/>
      <c r="G1046" s="75">
        <v>235</v>
      </c>
      <c r="H1046" s="74">
        <v>184.43</v>
      </c>
      <c r="I1046" s="73">
        <v>0.78480851063829793</v>
      </c>
    </row>
    <row r="1047" spans="1:9" x14ac:dyDescent="0.25">
      <c r="A1047" s="76" t="s">
        <v>317</v>
      </c>
      <c r="B1047" s="76" t="s">
        <v>358</v>
      </c>
      <c r="C1047" s="77">
        <v>41107</v>
      </c>
      <c r="D1047" s="78">
        <v>41425</v>
      </c>
      <c r="E1047" s="79">
        <v>8.9999999999999993E-3</v>
      </c>
      <c r="F1047" s="80"/>
      <c r="G1047" s="81">
        <v>320</v>
      </c>
      <c r="H1047" s="80">
        <v>175.86</v>
      </c>
      <c r="I1047" s="79">
        <f>H1047/G1047</f>
        <v>0.54956250000000006</v>
      </c>
    </row>
    <row r="1048" spans="1:9" x14ac:dyDescent="0.25">
      <c r="A1048" s="70" t="s">
        <v>87</v>
      </c>
      <c r="B1048" s="70" t="s">
        <v>89</v>
      </c>
      <c r="C1048" s="71">
        <v>40787</v>
      </c>
      <c r="D1048" s="72">
        <v>41152</v>
      </c>
      <c r="E1048" s="73">
        <v>0.92500000000000004</v>
      </c>
      <c r="F1048" s="74"/>
      <c r="G1048" s="75">
        <v>189.56</v>
      </c>
      <c r="H1048" s="74">
        <v>175.34</v>
      </c>
      <c r="I1048" s="73">
        <v>0.92498417387634524</v>
      </c>
    </row>
    <row r="1049" spans="1:9" x14ac:dyDescent="0.25">
      <c r="A1049" s="76" t="s">
        <v>317</v>
      </c>
      <c r="B1049" s="76" t="s">
        <v>320</v>
      </c>
      <c r="C1049" s="77">
        <v>40955</v>
      </c>
      <c r="D1049" s="78">
        <v>41305</v>
      </c>
      <c r="E1049" s="79">
        <v>8.9999999999999998E-4</v>
      </c>
      <c r="F1049" s="80"/>
      <c r="G1049" s="81">
        <v>2414</v>
      </c>
      <c r="H1049" s="80">
        <v>170.78</v>
      </c>
      <c r="I1049" s="79">
        <f>H1049/G1049</f>
        <v>7.0745650372825181E-2</v>
      </c>
    </row>
    <row r="1050" spans="1:9" x14ac:dyDescent="0.25">
      <c r="A1050" s="76" t="s">
        <v>531</v>
      </c>
      <c r="B1050" s="76" t="s">
        <v>90</v>
      </c>
      <c r="C1050" s="77">
        <v>41084</v>
      </c>
      <c r="D1050" s="78">
        <v>41090</v>
      </c>
      <c r="E1050" s="79">
        <v>0.36</v>
      </c>
      <c r="F1050" s="80"/>
      <c r="G1050" s="81">
        <v>260</v>
      </c>
      <c r="H1050" s="80">
        <v>169</v>
      </c>
      <c r="I1050" s="79">
        <f>H1050/G1050</f>
        <v>0.65</v>
      </c>
    </row>
    <row r="1051" spans="1:9" x14ac:dyDescent="0.25">
      <c r="A1051" s="76" t="s">
        <v>674</v>
      </c>
      <c r="B1051" s="76" t="s">
        <v>580</v>
      </c>
      <c r="C1051" s="77">
        <v>41152</v>
      </c>
      <c r="D1051" s="78">
        <v>41274</v>
      </c>
      <c r="E1051" s="79">
        <v>0.33300000000000002</v>
      </c>
      <c r="F1051" s="80"/>
      <c r="G1051" s="81">
        <v>430</v>
      </c>
      <c r="H1051" s="80">
        <v>164.97</v>
      </c>
      <c r="I1051" s="79">
        <f>H1051/G1051</f>
        <v>0.38365116279069766</v>
      </c>
    </row>
    <row r="1052" spans="1:9" x14ac:dyDescent="0.25">
      <c r="A1052" s="76" t="s">
        <v>531</v>
      </c>
      <c r="B1052" s="76" t="s">
        <v>29</v>
      </c>
      <c r="C1052" s="77">
        <v>40955</v>
      </c>
      <c r="D1052" s="78">
        <v>41274</v>
      </c>
      <c r="E1052" s="79">
        <v>8.9999999999999998E-4</v>
      </c>
      <c r="F1052" s="80"/>
      <c r="G1052" s="81">
        <v>245</v>
      </c>
      <c r="H1052" s="80">
        <v>158</v>
      </c>
      <c r="I1052" s="79">
        <f>H1052/G1052</f>
        <v>0.64489795918367343</v>
      </c>
    </row>
    <row r="1053" spans="1:9" x14ac:dyDescent="0.25">
      <c r="A1053" s="70" t="s">
        <v>146</v>
      </c>
      <c r="B1053" s="70" t="s">
        <v>157</v>
      </c>
      <c r="C1053" s="71">
        <v>40841</v>
      </c>
      <c r="D1053" s="72">
        <v>41206</v>
      </c>
      <c r="E1053" s="101">
        <v>4.4999999999999999E-4</v>
      </c>
      <c r="F1053" s="74">
        <v>91631.64</v>
      </c>
      <c r="G1053" s="75"/>
      <c r="H1053" s="74">
        <v>149.4</v>
      </c>
      <c r="I1053" s="73">
        <v>1.6304411882183927E-3</v>
      </c>
    </row>
    <row r="1054" spans="1:9" x14ac:dyDescent="0.25">
      <c r="A1054" s="76" t="s">
        <v>502</v>
      </c>
      <c r="B1054" s="76" t="s">
        <v>19</v>
      </c>
      <c r="C1054" s="77">
        <v>41154</v>
      </c>
      <c r="D1054" s="78">
        <v>41289</v>
      </c>
      <c r="E1054" s="79">
        <v>0.92500000000000004</v>
      </c>
      <c r="F1054" s="80"/>
      <c r="G1054" s="81">
        <v>157.62</v>
      </c>
      <c r="H1054" s="80">
        <v>145.80000000000001</v>
      </c>
      <c r="I1054" s="79">
        <f>H1054/G1054</f>
        <v>0.92500951655881236</v>
      </c>
    </row>
    <row r="1055" spans="1:9" x14ac:dyDescent="0.25">
      <c r="A1055" s="76" t="s">
        <v>317</v>
      </c>
      <c r="B1055" s="76" t="s">
        <v>320</v>
      </c>
      <c r="C1055" s="77">
        <v>40648</v>
      </c>
      <c r="D1055" s="78">
        <v>40939</v>
      </c>
      <c r="E1055" s="79">
        <v>0</v>
      </c>
      <c r="F1055" s="80">
        <v>90117.33</v>
      </c>
      <c r="G1055" s="81"/>
      <c r="H1055" s="80">
        <v>131.25</v>
      </c>
      <c r="I1055" s="79">
        <f>H1055/F1055</f>
        <v>1.456434628056557E-3</v>
      </c>
    </row>
    <row r="1056" spans="1:9" x14ac:dyDescent="0.25">
      <c r="A1056" s="70" t="s">
        <v>20</v>
      </c>
      <c r="B1056" s="70" t="s">
        <v>32</v>
      </c>
      <c r="C1056" s="71">
        <v>40817</v>
      </c>
      <c r="D1056" s="72">
        <v>41182</v>
      </c>
      <c r="E1056" s="73">
        <v>0</v>
      </c>
      <c r="F1056" s="74"/>
      <c r="G1056" s="75">
        <v>11226.7</v>
      </c>
      <c r="H1056" s="74">
        <v>128.75</v>
      </c>
      <c r="I1056" s="73">
        <v>5.3022269353128317E-3</v>
      </c>
    </row>
    <row r="1057" spans="1:9" x14ac:dyDescent="0.25">
      <c r="A1057" s="70" t="s">
        <v>20</v>
      </c>
      <c r="B1057" s="70" t="s">
        <v>25</v>
      </c>
      <c r="C1057" s="71">
        <v>40817</v>
      </c>
      <c r="D1057" s="72">
        <v>41182</v>
      </c>
      <c r="E1057" s="73">
        <v>0</v>
      </c>
      <c r="F1057" s="74">
        <v>24282.25</v>
      </c>
      <c r="G1057" s="75"/>
      <c r="H1057" s="80">
        <v>128.75</v>
      </c>
      <c r="I1057" s="73">
        <f>H1057/F1057</f>
        <v>5.3022269353128317E-3</v>
      </c>
    </row>
    <row r="1058" spans="1:9" x14ac:dyDescent="0.25">
      <c r="A1058" s="76" t="s">
        <v>317</v>
      </c>
      <c r="B1058" s="76" t="s">
        <v>247</v>
      </c>
      <c r="C1058" s="77">
        <v>40725</v>
      </c>
      <c r="D1058" s="78">
        <v>41090</v>
      </c>
      <c r="E1058" s="79">
        <v>0</v>
      </c>
      <c r="F1058" s="80"/>
      <c r="G1058" s="81">
        <v>1124</v>
      </c>
      <c r="H1058" s="80">
        <v>126.34</v>
      </c>
      <c r="I1058" s="79">
        <f>H1058/G1058</f>
        <v>0.11240213523131673</v>
      </c>
    </row>
    <row r="1059" spans="1:9" x14ac:dyDescent="0.25">
      <c r="A1059" s="70" t="s">
        <v>101</v>
      </c>
      <c r="B1059" s="70" t="s">
        <v>104</v>
      </c>
      <c r="C1059" s="71">
        <v>40867</v>
      </c>
      <c r="D1059" s="72">
        <v>41232</v>
      </c>
      <c r="E1059" s="73">
        <v>1.35E-2</v>
      </c>
      <c r="F1059" s="74"/>
      <c r="G1059" s="75">
        <v>364.41</v>
      </c>
      <c r="H1059" s="74">
        <v>125.24</v>
      </c>
      <c r="I1059" s="73">
        <v>0.34367882330342192</v>
      </c>
    </row>
    <row r="1060" spans="1:9" x14ac:dyDescent="0.25">
      <c r="A1060" s="76" t="s">
        <v>531</v>
      </c>
      <c r="B1060" s="76" t="s">
        <v>545</v>
      </c>
      <c r="C1060" s="77">
        <v>40889</v>
      </c>
      <c r="D1060" s="78">
        <v>41243</v>
      </c>
      <c r="E1060" s="79">
        <v>8.9999999999999993E-3</v>
      </c>
      <c r="F1060" s="80"/>
      <c r="G1060" s="81">
        <v>2654</v>
      </c>
      <c r="H1060" s="80">
        <v>120</v>
      </c>
      <c r="I1060" s="79">
        <f>H1060/G1060</f>
        <v>4.5214770158251698E-2</v>
      </c>
    </row>
    <row r="1061" spans="1:9" x14ac:dyDescent="0.25">
      <c r="A1061" s="70" t="s">
        <v>20</v>
      </c>
      <c r="B1061" s="70" t="s">
        <v>26</v>
      </c>
      <c r="C1061" s="71">
        <v>40848</v>
      </c>
      <c r="D1061" s="72">
        <v>41213</v>
      </c>
      <c r="E1061" s="73">
        <v>0</v>
      </c>
      <c r="F1061" s="74">
        <v>10973</v>
      </c>
      <c r="G1061" s="75"/>
      <c r="H1061" s="74">
        <v>113.14</v>
      </c>
      <c r="I1061" s="73">
        <v>0.12680160491336606</v>
      </c>
    </row>
    <row r="1062" spans="1:9" x14ac:dyDescent="0.25">
      <c r="A1062" s="76" t="s">
        <v>317</v>
      </c>
      <c r="B1062" s="76" t="s">
        <v>334</v>
      </c>
      <c r="C1062" s="77">
        <v>41153</v>
      </c>
      <c r="D1062" s="78">
        <v>41517</v>
      </c>
      <c r="E1062" s="79">
        <v>8.9999999999999998E-4</v>
      </c>
      <c r="F1062" s="80"/>
      <c r="G1062" s="81">
        <v>484</v>
      </c>
      <c r="H1062" s="80">
        <v>112.13</v>
      </c>
      <c r="I1062" s="79">
        <f>H1062/G1062</f>
        <v>0.23167355371900825</v>
      </c>
    </row>
    <row r="1063" spans="1:9" x14ac:dyDescent="0.25">
      <c r="A1063" s="76" t="s">
        <v>317</v>
      </c>
      <c r="B1063" s="76" t="s">
        <v>322</v>
      </c>
      <c r="C1063" s="77">
        <v>41039</v>
      </c>
      <c r="D1063" s="78">
        <v>41386</v>
      </c>
      <c r="E1063" s="79">
        <v>8.9999999999999998E-4</v>
      </c>
      <c r="F1063" s="80">
        <v>108358.02</v>
      </c>
      <c r="G1063" s="81"/>
      <c r="H1063" s="80">
        <v>108.25</v>
      </c>
      <c r="I1063" s="79">
        <f>H1063/F1063</f>
        <v>9.9900311947375927E-4</v>
      </c>
    </row>
    <row r="1064" spans="1:9" x14ac:dyDescent="0.25">
      <c r="A1064" s="70" t="s">
        <v>113</v>
      </c>
      <c r="B1064" s="70" t="s">
        <v>106</v>
      </c>
      <c r="C1064" s="71">
        <v>40618</v>
      </c>
      <c r="D1064" s="72">
        <v>40939</v>
      </c>
      <c r="E1064" s="73">
        <v>0.09</v>
      </c>
      <c r="F1064" s="74"/>
      <c r="G1064" s="75">
        <v>106</v>
      </c>
      <c r="H1064" s="74">
        <v>103</v>
      </c>
      <c r="I1064" s="73">
        <v>0.97169811320754718</v>
      </c>
    </row>
    <row r="1065" spans="1:9" x14ac:dyDescent="0.25">
      <c r="A1065" s="70" t="s">
        <v>95</v>
      </c>
      <c r="B1065" s="70" t="s">
        <v>48</v>
      </c>
      <c r="C1065" s="71">
        <v>40725</v>
      </c>
      <c r="D1065" s="72">
        <v>41090</v>
      </c>
      <c r="E1065" s="73">
        <v>0.09</v>
      </c>
      <c r="F1065" s="74">
        <v>784</v>
      </c>
      <c r="G1065" s="75"/>
      <c r="H1065" s="74">
        <v>101.92</v>
      </c>
      <c r="I1065" s="73">
        <v>0.13</v>
      </c>
    </row>
    <row r="1066" spans="1:9" x14ac:dyDescent="0.25">
      <c r="A1066" s="76" t="s">
        <v>239</v>
      </c>
      <c r="B1066" s="76" t="s">
        <v>241</v>
      </c>
      <c r="C1066" s="77">
        <v>41003</v>
      </c>
      <c r="D1066" s="78">
        <v>41364</v>
      </c>
      <c r="E1066" s="79">
        <v>0</v>
      </c>
      <c r="F1066" s="80"/>
      <c r="G1066" s="81">
        <v>170</v>
      </c>
      <c r="H1066" s="80">
        <v>100.7</v>
      </c>
      <c r="I1066" s="79">
        <f>H1066/G1066</f>
        <v>0.59235294117647064</v>
      </c>
    </row>
    <row r="1067" spans="1:9" x14ac:dyDescent="0.25">
      <c r="A1067" s="76" t="s">
        <v>317</v>
      </c>
      <c r="B1067" s="76" t="s">
        <v>94</v>
      </c>
      <c r="C1067" s="77">
        <v>40955</v>
      </c>
      <c r="D1067" s="78">
        <v>41243</v>
      </c>
      <c r="E1067" s="79">
        <v>8.9999999999999998E-4</v>
      </c>
      <c r="F1067" s="80">
        <v>109718.19</v>
      </c>
      <c r="G1067" s="81"/>
      <c r="H1067" s="80">
        <v>100.69</v>
      </c>
      <c r="I1067" s="79">
        <f>H1067/F1067</f>
        <v>9.1771473809402061E-4</v>
      </c>
    </row>
    <row r="1068" spans="1:9" ht="28.5" x14ac:dyDescent="0.25">
      <c r="A1068" s="76" t="s">
        <v>392</v>
      </c>
      <c r="B1068" s="116" t="s">
        <v>393</v>
      </c>
      <c r="C1068" s="77">
        <v>40892</v>
      </c>
      <c r="D1068" s="78">
        <v>41151</v>
      </c>
      <c r="E1068" s="79">
        <v>8.9999999999999993E-3</v>
      </c>
      <c r="F1068" s="80"/>
      <c r="G1068" s="81">
        <v>135</v>
      </c>
      <c r="H1068" s="80">
        <v>97.65</v>
      </c>
      <c r="I1068" s="79">
        <f>H1068/G1068</f>
        <v>0.72333333333333338</v>
      </c>
    </row>
    <row r="1069" spans="1:9" x14ac:dyDescent="0.25">
      <c r="A1069" s="76" t="s">
        <v>594</v>
      </c>
      <c r="B1069" s="76" t="s">
        <v>604</v>
      </c>
      <c r="C1069" s="77">
        <v>40954</v>
      </c>
      <c r="D1069" s="78">
        <v>41274</v>
      </c>
      <c r="E1069" s="79">
        <v>1.7999999999999999E-2</v>
      </c>
      <c r="F1069" s="80"/>
      <c r="G1069" s="81">
        <v>3295</v>
      </c>
      <c r="H1069" s="80">
        <v>94.46</v>
      </c>
      <c r="I1069" s="79">
        <f>H1069/G1069</f>
        <v>2.8667678300455232E-2</v>
      </c>
    </row>
    <row r="1070" spans="1:9" x14ac:dyDescent="0.25">
      <c r="A1070" s="76" t="s">
        <v>555</v>
      </c>
      <c r="B1070" s="76" t="s">
        <v>557</v>
      </c>
      <c r="C1070" s="77">
        <v>41098</v>
      </c>
      <c r="D1070" s="78">
        <v>41456</v>
      </c>
      <c r="E1070" s="79">
        <v>0.18</v>
      </c>
      <c r="F1070" s="88"/>
      <c r="G1070" s="81">
        <v>445</v>
      </c>
      <c r="H1070" s="80">
        <v>89</v>
      </c>
      <c r="I1070" s="79">
        <f>H1070/G1070</f>
        <v>0.2</v>
      </c>
    </row>
    <row r="1071" spans="1:9" x14ac:dyDescent="0.25">
      <c r="A1071" s="76" t="s">
        <v>531</v>
      </c>
      <c r="B1071" s="76" t="s">
        <v>537</v>
      </c>
      <c r="C1071" s="77">
        <v>40756</v>
      </c>
      <c r="D1071" s="78">
        <v>41121</v>
      </c>
      <c r="E1071" s="79">
        <v>8.9999999999999993E-3</v>
      </c>
      <c r="F1071" s="80"/>
      <c r="G1071" s="81">
        <v>437</v>
      </c>
      <c r="H1071" s="80">
        <v>77</v>
      </c>
      <c r="I1071" s="79">
        <f>H1071/G1071</f>
        <v>0.17620137299771166</v>
      </c>
    </row>
    <row r="1072" spans="1:9" x14ac:dyDescent="0.25">
      <c r="A1072" s="76" t="s">
        <v>317</v>
      </c>
      <c r="B1072" s="76" t="s">
        <v>322</v>
      </c>
      <c r="C1072" s="77">
        <v>40663</v>
      </c>
      <c r="D1072" s="78">
        <v>41021</v>
      </c>
      <c r="E1072" s="79">
        <v>0</v>
      </c>
      <c r="F1072" s="80"/>
      <c r="G1072" s="81">
        <v>10741.05</v>
      </c>
      <c r="H1072" s="80">
        <v>69.58</v>
      </c>
      <c r="I1072" s="79">
        <f>H1072/G1072</f>
        <v>6.4779514107093815E-3</v>
      </c>
    </row>
    <row r="1073" spans="1:9" x14ac:dyDescent="0.25">
      <c r="A1073" s="70" t="s">
        <v>99</v>
      </c>
      <c r="B1073" s="70" t="s">
        <v>100</v>
      </c>
      <c r="C1073" s="71">
        <v>40725</v>
      </c>
      <c r="D1073" s="72">
        <v>40999</v>
      </c>
      <c r="E1073" s="73">
        <v>0.18</v>
      </c>
      <c r="F1073" s="74">
        <v>340</v>
      </c>
      <c r="G1073" s="75"/>
      <c r="H1073" s="74">
        <v>68</v>
      </c>
      <c r="I1073" s="73">
        <v>0.2</v>
      </c>
    </row>
    <row r="1074" spans="1:9" x14ac:dyDescent="0.25">
      <c r="A1074" s="76" t="s">
        <v>171</v>
      </c>
      <c r="B1074" s="76" t="s">
        <v>179</v>
      </c>
      <c r="C1074" s="77">
        <v>40988</v>
      </c>
      <c r="D1074" s="78">
        <v>41213</v>
      </c>
      <c r="E1074" s="79">
        <v>1.7999999999999999E-2</v>
      </c>
      <c r="F1074" s="80"/>
      <c r="G1074" s="81">
        <v>1685</v>
      </c>
      <c r="H1074" s="80">
        <v>68</v>
      </c>
      <c r="I1074" s="79">
        <f>H1074/G1074</f>
        <v>4.0356083086053415E-2</v>
      </c>
    </row>
    <row r="1075" spans="1:9" x14ac:dyDescent="0.25">
      <c r="A1075" s="76" t="s">
        <v>613</v>
      </c>
      <c r="B1075" s="76" t="s">
        <v>193</v>
      </c>
      <c r="C1075" s="77">
        <v>40793</v>
      </c>
      <c r="D1075" s="78">
        <v>41090</v>
      </c>
      <c r="E1075" s="79">
        <v>8.9999999999999993E-3</v>
      </c>
      <c r="F1075" s="80"/>
      <c r="G1075" s="81">
        <v>6690</v>
      </c>
      <c r="H1075" s="80">
        <v>67</v>
      </c>
      <c r="I1075" s="79">
        <f>H1075/G1075</f>
        <v>1.0014947683109118E-2</v>
      </c>
    </row>
    <row r="1076" spans="1:9" x14ac:dyDescent="0.25">
      <c r="A1076" s="76" t="s">
        <v>171</v>
      </c>
      <c r="B1076" s="76" t="s">
        <v>207</v>
      </c>
      <c r="C1076" s="77">
        <v>40891</v>
      </c>
      <c r="D1076" s="78">
        <v>41213</v>
      </c>
      <c r="E1076" s="79">
        <v>1.7999999999999999E-2</v>
      </c>
      <c r="F1076" s="80"/>
      <c r="G1076" s="81">
        <v>477</v>
      </c>
      <c r="H1076" s="80">
        <v>52</v>
      </c>
      <c r="I1076" s="79">
        <f>H1076/G1076</f>
        <v>0.1090146750524109</v>
      </c>
    </row>
    <row r="1077" spans="1:9" x14ac:dyDescent="0.25">
      <c r="A1077" s="76" t="s">
        <v>531</v>
      </c>
      <c r="B1077" s="76" t="s">
        <v>173</v>
      </c>
      <c r="C1077" s="77">
        <v>40796</v>
      </c>
      <c r="D1077" s="78">
        <v>41152</v>
      </c>
      <c r="E1077" s="79">
        <v>8.9999999999999993E-3</v>
      </c>
      <c r="F1077" s="80">
        <v>24682</v>
      </c>
      <c r="G1077" s="81"/>
      <c r="H1077" s="80">
        <v>49</v>
      </c>
      <c r="I1077" s="79">
        <f>H1077/F1077</f>
        <v>1.9852524106636414E-3</v>
      </c>
    </row>
    <row r="1078" spans="1:9" x14ac:dyDescent="0.25">
      <c r="A1078" s="76" t="s">
        <v>512</v>
      </c>
      <c r="B1078" s="76" t="s">
        <v>513</v>
      </c>
      <c r="C1078" s="77">
        <v>40968</v>
      </c>
      <c r="D1078" s="78">
        <v>41333</v>
      </c>
      <c r="E1078" s="79">
        <v>0.09</v>
      </c>
      <c r="F1078" s="80"/>
      <c r="G1078" s="81">
        <v>477</v>
      </c>
      <c r="H1078" s="80">
        <v>47.7</v>
      </c>
      <c r="I1078" s="79">
        <f>H1078/G1078</f>
        <v>0.1</v>
      </c>
    </row>
    <row r="1079" spans="1:9" ht="28.5" x14ac:dyDescent="0.25">
      <c r="A1079" s="76" t="s">
        <v>392</v>
      </c>
      <c r="B1079" s="76" t="s">
        <v>31</v>
      </c>
      <c r="C1079" s="77">
        <v>40892</v>
      </c>
      <c r="D1079" s="78">
        <v>41257</v>
      </c>
      <c r="E1079" s="79">
        <v>8.9999999999999993E-3</v>
      </c>
      <c r="F1079" s="80"/>
      <c r="G1079" s="81">
        <v>270</v>
      </c>
      <c r="H1079" s="80">
        <v>35</v>
      </c>
      <c r="I1079" s="79">
        <f>H1079/G1079</f>
        <v>0.12962962962962962</v>
      </c>
    </row>
    <row r="1080" spans="1:9" x14ac:dyDescent="0.25">
      <c r="A1080" s="70" t="s">
        <v>140</v>
      </c>
      <c r="B1080" s="70" t="s">
        <v>143</v>
      </c>
      <c r="C1080" s="71">
        <v>40931</v>
      </c>
      <c r="D1080" s="72">
        <v>41121</v>
      </c>
      <c r="E1080" s="73">
        <v>0.125</v>
      </c>
      <c r="F1080" s="74"/>
      <c r="G1080" s="75">
        <v>254.56</v>
      </c>
      <c r="H1080" s="74">
        <v>31.82</v>
      </c>
      <c r="I1080" s="73">
        <v>0.125</v>
      </c>
    </row>
    <row r="1081" spans="1:9" x14ac:dyDescent="0.25">
      <c r="A1081" s="76" t="s">
        <v>531</v>
      </c>
      <c r="B1081" s="76" t="s">
        <v>538</v>
      </c>
      <c r="C1081" s="77">
        <v>40770</v>
      </c>
      <c r="D1081" s="78">
        <v>40968</v>
      </c>
      <c r="E1081" s="79">
        <v>8.9999999999999993E-3</v>
      </c>
      <c r="F1081" s="80"/>
      <c r="G1081" s="81">
        <v>470</v>
      </c>
      <c r="H1081" s="80">
        <v>30</v>
      </c>
      <c r="I1081" s="79">
        <f t="shared" ref="I1081:I1086" si="32">H1081/G1081</f>
        <v>6.3829787234042548E-2</v>
      </c>
    </row>
    <row r="1082" spans="1:9" ht="28.5" x14ac:dyDescent="0.25">
      <c r="A1082" s="76" t="s">
        <v>392</v>
      </c>
      <c r="B1082" s="76" t="s">
        <v>287</v>
      </c>
      <c r="C1082" s="77">
        <v>41011</v>
      </c>
      <c r="D1082" s="78">
        <v>41394</v>
      </c>
      <c r="E1082" s="79">
        <v>8.9999999999999993E-3</v>
      </c>
      <c r="F1082" s="80"/>
      <c r="G1082" s="81">
        <v>190</v>
      </c>
      <c r="H1082" s="80">
        <v>27.86</v>
      </c>
      <c r="I1082" s="79">
        <f t="shared" si="32"/>
        <v>0.14663157894736842</v>
      </c>
    </row>
    <row r="1083" spans="1:9" x14ac:dyDescent="0.25">
      <c r="A1083" s="76" t="s">
        <v>613</v>
      </c>
      <c r="B1083" s="76" t="s">
        <v>532</v>
      </c>
      <c r="C1083" s="77">
        <v>40956</v>
      </c>
      <c r="D1083" s="78">
        <v>41305</v>
      </c>
      <c r="E1083" s="79">
        <v>8.9999999999999993E-3</v>
      </c>
      <c r="F1083" s="80"/>
      <c r="G1083" s="81">
        <v>2004</v>
      </c>
      <c r="H1083" s="80">
        <v>26</v>
      </c>
      <c r="I1083" s="79">
        <f t="shared" si="32"/>
        <v>1.2974051896207584E-2</v>
      </c>
    </row>
    <row r="1084" spans="1:9" x14ac:dyDescent="0.25">
      <c r="A1084" s="76" t="s">
        <v>317</v>
      </c>
      <c r="B1084" s="76" t="s">
        <v>203</v>
      </c>
      <c r="C1084" s="77">
        <v>40919</v>
      </c>
      <c r="D1084" s="78">
        <v>41213</v>
      </c>
      <c r="E1084" s="79">
        <v>1.7999999999999999E-2</v>
      </c>
      <c r="F1084" s="80"/>
      <c r="G1084" s="81">
        <v>45</v>
      </c>
      <c r="H1084" s="80">
        <v>25.85</v>
      </c>
      <c r="I1084" s="79">
        <f t="shared" si="32"/>
        <v>0.57444444444444442</v>
      </c>
    </row>
    <row r="1085" spans="1:9" x14ac:dyDescent="0.25">
      <c r="A1085" s="76" t="s">
        <v>555</v>
      </c>
      <c r="B1085" s="76" t="s">
        <v>100</v>
      </c>
      <c r="C1085" s="77">
        <v>40957</v>
      </c>
      <c r="D1085" s="78">
        <v>41322</v>
      </c>
      <c r="E1085" s="79">
        <v>0.13</v>
      </c>
      <c r="F1085" s="80"/>
      <c r="G1085" s="81">
        <v>195</v>
      </c>
      <c r="H1085" s="80">
        <v>25.35</v>
      </c>
      <c r="I1085" s="79">
        <f t="shared" si="32"/>
        <v>0.13</v>
      </c>
    </row>
    <row r="1086" spans="1:9" x14ac:dyDescent="0.25">
      <c r="A1086" s="76" t="s">
        <v>613</v>
      </c>
      <c r="B1086" s="110" t="s">
        <v>190</v>
      </c>
      <c r="C1086" s="77">
        <v>40738</v>
      </c>
      <c r="D1086" s="78">
        <v>40999</v>
      </c>
      <c r="E1086" s="79">
        <v>8.9999999999999993E-3</v>
      </c>
      <c r="F1086" s="80"/>
      <c r="G1086" s="81">
        <v>2485</v>
      </c>
      <c r="H1086" s="80">
        <v>25</v>
      </c>
      <c r="I1086" s="79">
        <f t="shared" si="32"/>
        <v>1.0060362173038229E-2</v>
      </c>
    </row>
    <row r="1087" spans="1:9" x14ac:dyDescent="0.25">
      <c r="A1087" s="70" t="s">
        <v>101</v>
      </c>
      <c r="B1087" s="70" t="s">
        <v>109</v>
      </c>
      <c r="C1087" s="71">
        <v>40934</v>
      </c>
      <c r="D1087" s="72">
        <v>41274</v>
      </c>
      <c r="E1087" s="73">
        <v>8.9999999999999993E-3</v>
      </c>
      <c r="F1087" s="74"/>
      <c r="G1087" s="75">
        <v>115.56</v>
      </c>
      <c r="H1087" s="74">
        <v>21.44</v>
      </c>
      <c r="I1087" s="73">
        <v>0.1855313257182416</v>
      </c>
    </row>
    <row r="1088" spans="1:9" x14ac:dyDescent="0.25">
      <c r="A1088" s="70" t="s">
        <v>8</v>
      </c>
      <c r="B1088" s="70" t="s">
        <v>9</v>
      </c>
      <c r="C1088" s="71">
        <v>41021</v>
      </c>
      <c r="D1088" s="72">
        <v>41213</v>
      </c>
      <c r="E1088" s="73">
        <v>8.9999999999999993E-3</v>
      </c>
      <c r="F1088" s="74"/>
      <c r="G1088" s="75">
        <v>20</v>
      </c>
      <c r="H1088" s="74">
        <v>20</v>
      </c>
      <c r="I1088" s="73">
        <v>1</v>
      </c>
    </row>
    <row r="1089" spans="1:9" x14ac:dyDescent="0.25">
      <c r="A1089" s="76" t="s">
        <v>622</v>
      </c>
      <c r="B1089" s="76" t="s">
        <v>31</v>
      </c>
      <c r="C1089" s="77">
        <v>41170</v>
      </c>
      <c r="D1089" s="78">
        <v>41517</v>
      </c>
      <c r="E1089" s="79">
        <v>8.9999999999999993E-3</v>
      </c>
      <c r="F1089" s="80"/>
      <c r="G1089" s="81">
        <v>1610</v>
      </c>
      <c r="H1089" s="80">
        <v>17</v>
      </c>
      <c r="I1089" s="79">
        <f>H1089/G1089</f>
        <v>1.0559006211180125E-2</v>
      </c>
    </row>
    <row r="1090" spans="1:9" x14ac:dyDescent="0.25">
      <c r="A1090" s="76" t="s">
        <v>555</v>
      </c>
      <c r="B1090" s="76" t="s">
        <v>514</v>
      </c>
      <c r="C1090" s="77">
        <v>40878</v>
      </c>
      <c r="D1090" s="78">
        <v>40983</v>
      </c>
      <c r="E1090" s="79">
        <v>0.2</v>
      </c>
      <c r="F1090" s="80"/>
      <c r="G1090" s="81">
        <v>85</v>
      </c>
      <c r="H1090" s="80">
        <v>17</v>
      </c>
      <c r="I1090" s="79">
        <f>H1090/G1090</f>
        <v>0.2</v>
      </c>
    </row>
    <row r="1091" spans="1:9" x14ac:dyDescent="0.25">
      <c r="A1091" s="76" t="s">
        <v>262</v>
      </c>
      <c r="B1091" s="76" t="s">
        <v>335</v>
      </c>
      <c r="C1091" s="77">
        <v>41337</v>
      </c>
      <c r="D1091" s="78">
        <v>41455</v>
      </c>
      <c r="E1091" s="79">
        <v>8.9999999999999993E-3</v>
      </c>
      <c r="F1091" s="80"/>
      <c r="G1091" s="81">
        <v>120</v>
      </c>
      <c r="H1091" s="80">
        <v>15</v>
      </c>
      <c r="I1091" s="79">
        <f>H1091/G1091</f>
        <v>0.125</v>
      </c>
    </row>
    <row r="1092" spans="1:9" x14ac:dyDescent="0.25">
      <c r="A1092" s="76" t="s">
        <v>613</v>
      </c>
      <c r="B1092" s="76" t="s">
        <v>617</v>
      </c>
      <c r="C1092" s="77">
        <v>41118</v>
      </c>
      <c r="D1092" s="78">
        <v>41455</v>
      </c>
      <c r="E1092" s="79">
        <v>8.9999999999999993E-3</v>
      </c>
      <c r="F1092" s="80"/>
      <c r="G1092" s="81">
        <v>1109</v>
      </c>
      <c r="H1092" s="80">
        <v>12</v>
      </c>
      <c r="I1092" s="79">
        <f>H1092/G1092</f>
        <v>1.0820559062218215E-2</v>
      </c>
    </row>
    <row r="1093" spans="1:9" x14ac:dyDescent="0.25">
      <c r="A1093" s="76" t="s">
        <v>317</v>
      </c>
      <c r="B1093" s="76" t="s">
        <v>155</v>
      </c>
      <c r="C1093" s="77">
        <v>41091</v>
      </c>
      <c r="D1093" s="78">
        <v>41440</v>
      </c>
      <c r="E1093" s="79">
        <v>8.9999999999999998E-4</v>
      </c>
      <c r="F1093" s="80"/>
      <c r="G1093" s="81">
        <v>11960</v>
      </c>
      <c r="H1093" s="80">
        <v>12</v>
      </c>
      <c r="I1093" s="79">
        <f>H1093/G1093</f>
        <v>1.0033444816053511E-3</v>
      </c>
    </row>
    <row r="1094" spans="1:9" x14ac:dyDescent="0.25">
      <c r="A1094" s="76" t="s">
        <v>317</v>
      </c>
      <c r="B1094" s="76" t="s">
        <v>31</v>
      </c>
      <c r="C1094" s="77">
        <v>41061</v>
      </c>
      <c r="D1094" s="78">
        <v>41394</v>
      </c>
      <c r="E1094" s="79">
        <v>8.9999999999999993E-3</v>
      </c>
      <c r="F1094" s="80">
        <v>16152.68</v>
      </c>
      <c r="G1094" s="81"/>
      <c r="H1094" s="80">
        <v>10.8</v>
      </c>
      <c r="I1094" s="79">
        <f>H1094/F1094</f>
        <v>6.6861969654571256E-4</v>
      </c>
    </row>
    <row r="1095" spans="1:9" x14ac:dyDescent="0.25">
      <c r="A1095" s="76" t="s">
        <v>643</v>
      </c>
      <c r="B1095" s="76" t="s">
        <v>653</v>
      </c>
      <c r="C1095" s="77">
        <v>41228</v>
      </c>
      <c r="D1095" s="78">
        <v>41502</v>
      </c>
      <c r="E1095" s="79">
        <v>4.4999999999999997E-3</v>
      </c>
      <c r="F1095" s="80"/>
      <c r="G1095" s="81">
        <v>85</v>
      </c>
      <c r="H1095" s="80">
        <v>10.6</v>
      </c>
      <c r="I1095" s="79">
        <f t="shared" ref="I1095:I1100" si="33">H1095/G1095</f>
        <v>0.12470588235294117</v>
      </c>
    </row>
    <row r="1096" spans="1:9" x14ac:dyDescent="0.25">
      <c r="A1096" s="76" t="s">
        <v>317</v>
      </c>
      <c r="B1096" s="76" t="s">
        <v>362</v>
      </c>
      <c r="C1096" s="77">
        <v>41173</v>
      </c>
      <c r="D1096" s="78">
        <v>41455</v>
      </c>
      <c r="E1096" s="79">
        <v>8.9999999999999998E-4</v>
      </c>
      <c r="F1096" s="80"/>
      <c r="G1096" s="81">
        <v>10404</v>
      </c>
      <c r="H1096" s="80">
        <v>10.4</v>
      </c>
      <c r="I1096" s="79">
        <f t="shared" si="33"/>
        <v>9.9961553248750475E-4</v>
      </c>
    </row>
    <row r="1097" spans="1:9" x14ac:dyDescent="0.25">
      <c r="A1097" s="76" t="s">
        <v>613</v>
      </c>
      <c r="B1097" s="76" t="s">
        <v>614</v>
      </c>
      <c r="C1097" s="77">
        <v>40679</v>
      </c>
      <c r="D1097" s="78">
        <v>41029</v>
      </c>
      <c r="E1097" s="79">
        <v>8.9999999999999993E-3</v>
      </c>
      <c r="F1097" s="80"/>
      <c r="G1097" s="81">
        <v>600</v>
      </c>
      <c r="H1097" s="80">
        <v>8</v>
      </c>
      <c r="I1097" s="79">
        <f t="shared" si="33"/>
        <v>1.3333333333333334E-2</v>
      </c>
    </row>
    <row r="1098" spans="1:9" x14ac:dyDescent="0.25">
      <c r="A1098" s="76" t="s">
        <v>317</v>
      </c>
      <c r="B1098" s="76" t="s">
        <v>328</v>
      </c>
      <c r="C1098" s="77">
        <v>40955</v>
      </c>
      <c r="D1098" s="78">
        <v>41274</v>
      </c>
      <c r="E1098" s="79">
        <v>8.9999999999999998E-4</v>
      </c>
      <c r="F1098" s="80"/>
      <c r="G1098" s="81">
        <v>2743</v>
      </c>
      <c r="H1098" s="80">
        <v>7.15</v>
      </c>
      <c r="I1098" s="79">
        <f t="shared" si="33"/>
        <v>2.6066350710900474E-3</v>
      </c>
    </row>
    <row r="1099" spans="1:9" x14ac:dyDescent="0.25">
      <c r="A1099" s="76" t="s">
        <v>171</v>
      </c>
      <c r="B1099" s="76" t="s">
        <v>208</v>
      </c>
      <c r="C1099" s="77">
        <v>40891</v>
      </c>
      <c r="D1099" s="78">
        <v>41206</v>
      </c>
      <c r="E1099" s="79">
        <v>1.7999999999999999E-2</v>
      </c>
      <c r="F1099" s="80"/>
      <c r="G1099" s="81">
        <v>635</v>
      </c>
      <c r="H1099" s="80">
        <v>6</v>
      </c>
      <c r="I1099" s="79">
        <f t="shared" si="33"/>
        <v>9.4488188976377951E-3</v>
      </c>
    </row>
    <row r="1100" spans="1:9" x14ac:dyDescent="0.25">
      <c r="A1100" s="76" t="s">
        <v>613</v>
      </c>
      <c r="B1100" s="76" t="s">
        <v>107</v>
      </c>
      <c r="C1100" s="77">
        <v>41017</v>
      </c>
      <c r="D1100" s="78">
        <v>41305</v>
      </c>
      <c r="E1100" s="79">
        <v>8.9999999999999993E-3</v>
      </c>
      <c r="F1100" s="80"/>
      <c r="G1100" s="81">
        <v>502</v>
      </c>
      <c r="H1100" s="80">
        <v>6</v>
      </c>
      <c r="I1100" s="79">
        <f t="shared" si="33"/>
        <v>1.1952191235059761E-2</v>
      </c>
    </row>
    <row r="1101" spans="1:9" ht="28.5" x14ac:dyDescent="0.25">
      <c r="A1101" s="76" t="s">
        <v>317</v>
      </c>
      <c r="B1101" s="76" t="s">
        <v>357</v>
      </c>
      <c r="C1101" s="77">
        <v>41201</v>
      </c>
      <c r="D1101" s="78">
        <v>41378</v>
      </c>
      <c r="E1101" s="79">
        <v>8.9999999999999998E-4</v>
      </c>
      <c r="F1101" s="80">
        <v>4871.46</v>
      </c>
      <c r="G1101" s="81"/>
      <c r="H1101" s="80">
        <v>5.8</v>
      </c>
      <c r="I1101" s="79">
        <f>H1101/F1101</f>
        <v>1.1906081544341943E-3</v>
      </c>
    </row>
    <row r="1102" spans="1:9" x14ac:dyDescent="0.25">
      <c r="A1102" s="70" t="s">
        <v>20</v>
      </c>
      <c r="B1102" s="70" t="s">
        <v>25</v>
      </c>
      <c r="C1102" s="71">
        <v>40817</v>
      </c>
      <c r="D1102" s="72">
        <v>41182</v>
      </c>
      <c r="E1102" s="73">
        <v>0</v>
      </c>
      <c r="F1102" s="74"/>
      <c r="G1102" s="75">
        <v>959.24</v>
      </c>
      <c r="H1102" s="80">
        <v>5.08</v>
      </c>
      <c r="I1102" s="73">
        <f>H1102/G1102</f>
        <v>5.2958592218839912E-3</v>
      </c>
    </row>
    <row r="1103" spans="1:9" x14ac:dyDescent="0.25">
      <c r="A1103" s="76" t="s">
        <v>613</v>
      </c>
      <c r="B1103" s="76" t="s">
        <v>620</v>
      </c>
      <c r="C1103" s="77">
        <v>41019</v>
      </c>
      <c r="D1103" s="78">
        <v>41274</v>
      </c>
      <c r="E1103" s="79">
        <v>8.9999999999999993E-3</v>
      </c>
      <c r="F1103" s="80"/>
      <c r="G1103" s="81">
        <v>185</v>
      </c>
      <c r="H1103" s="80">
        <v>5</v>
      </c>
      <c r="I1103" s="79">
        <f>H1103/G1103</f>
        <v>2.7027027027027029E-2</v>
      </c>
    </row>
    <row r="1104" spans="1:9" x14ac:dyDescent="0.25">
      <c r="A1104" s="76" t="s">
        <v>317</v>
      </c>
      <c r="B1104" s="76" t="s">
        <v>322</v>
      </c>
      <c r="C1104" s="77">
        <v>41039</v>
      </c>
      <c r="D1104" s="78">
        <v>41386</v>
      </c>
      <c r="E1104" s="79">
        <v>8.9999999999999998E-4</v>
      </c>
      <c r="F1104" s="80"/>
      <c r="G1104" s="81">
        <v>4977.05</v>
      </c>
      <c r="H1104" s="80">
        <v>4.97</v>
      </c>
      <c r="I1104" s="79">
        <f>H1104/G1104</f>
        <v>9.9858349825699961E-4</v>
      </c>
    </row>
    <row r="1105" spans="1:9" x14ac:dyDescent="0.25">
      <c r="A1105" s="76" t="s">
        <v>317</v>
      </c>
      <c r="B1105" s="76" t="s">
        <v>345</v>
      </c>
      <c r="C1105" s="77">
        <v>40849</v>
      </c>
      <c r="D1105" s="78">
        <v>41121</v>
      </c>
      <c r="E1105" s="79">
        <v>1.7999999999999999E-2</v>
      </c>
      <c r="F1105" s="80">
        <v>23215.45</v>
      </c>
      <c r="G1105" s="81"/>
      <c r="H1105" s="80">
        <v>4.8</v>
      </c>
      <c r="I1105" s="79">
        <f>H1105/F1105</f>
        <v>2.0675886101712435E-4</v>
      </c>
    </row>
    <row r="1106" spans="1:9" x14ac:dyDescent="0.25">
      <c r="A1106" s="76" t="s">
        <v>317</v>
      </c>
      <c r="B1106" s="76" t="s">
        <v>94</v>
      </c>
      <c r="C1106" s="77">
        <v>40955</v>
      </c>
      <c r="D1106" s="78">
        <v>41243</v>
      </c>
      <c r="E1106" s="79">
        <v>8.9999999999999998E-4</v>
      </c>
      <c r="F1106" s="80"/>
      <c r="G1106" s="81">
        <v>4424</v>
      </c>
      <c r="H1106" s="80">
        <v>4.0599999999999996</v>
      </c>
      <c r="I1106" s="79">
        <f>H1106/G1106</f>
        <v>9.1772151898734163E-4</v>
      </c>
    </row>
    <row r="1107" spans="1:9" x14ac:dyDescent="0.25">
      <c r="A1107" s="76" t="s">
        <v>613</v>
      </c>
      <c r="B1107" s="76" t="s">
        <v>615</v>
      </c>
      <c r="C1107" s="77">
        <v>40710</v>
      </c>
      <c r="D1107" s="78">
        <v>41045</v>
      </c>
      <c r="E1107" s="79">
        <v>8.9999999999999993E-3</v>
      </c>
      <c r="F1107" s="80"/>
      <c r="G1107" s="81">
        <v>400</v>
      </c>
      <c r="H1107" s="80">
        <v>4</v>
      </c>
      <c r="I1107" s="79">
        <f>H1107/G1107</f>
        <v>0.01</v>
      </c>
    </row>
    <row r="1108" spans="1:9" x14ac:dyDescent="0.25">
      <c r="A1108" s="76" t="s">
        <v>317</v>
      </c>
      <c r="B1108" s="76" t="s">
        <v>320</v>
      </c>
      <c r="C1108" s="77">
        <v>40648</v>
      </c>
      <c r="D1108" s="78">
        <v>40939</v>
      </c>
      <c r="E1108" s="79">
        <v>0</v>
      </c>
      <c r="F1108" s="80"/>
      <c r="G1108" s="81">
        <v>2568</v>
      </c>
      <c r="H1108" s="80">
        <v>3.85</v>
      </c>
      <c r="I1108" s="79">
        <f>H1108/G1108</f>
        <v>1.4992211838006232E-3</v>
      </c>
    </row>
    <row r="1109" spans="1:9" x14ac:dyDescent="0.25">
      <c r="A1109" s="70" t="s">
        <v>20</v>
      </c>
      <c r="B1109" s="70" t="s">
        <v>34</v>
      </c>
      <c r="C1109" s="71">
        <v>40973</v>
      </c>
      <c r="D1109" s="72">
        <v>41319</v>
      </c>
      <c r="E1109" s="73">
        <v>0</v>
      </c>
      <c r="F1109" s="74"/>
      <c r="G1109" s="75">
        <v>200.1</v>
      </c>
      <c r="H1109" s="74">
        <v>3.76</v>
      </c>
      <c r="I1109" s="73">
        <v>1.8790604697651175E-2</v>
      </c>
    </row>
    <row r="1110" spans="1:9" x14ac:dyDescent="0.25">
      <c r="A1110" s="76" t="s">
        <v>613</v>
      </c>
      <c r="B1110" s="76" t="s">
        <v>186</v>
      </c>
      <c r="C1110" s="77">
        <v>41038</v>
      </c>
      <c r="D1110" s="78">
        <v>41305</v>
      </c>
      <c r="E1110" s="79">
        <v>8.9999999999999993E-3</v>
      </c>
      <c r="F1110" s="80"/>
      <c r="G1110" s="81">
        <v>120</v>
      </c>
      <c r="H1110" s="80">
        <v>2</v>
      </c>
      <c r="I1110" s="79">
        <f>H1110/G1110</f>
        <v>1.6666666666666666E-2</v>
      </c>
    </row>
    <row r="1111" spans="1:9" x14ac:dyDescent="0.25">
      <c r="A1111" s="76" t="s">
        <v>317</v>
      </c>
      <c r="B1111" s="76" t="s">
        <v>359</v>
      </c>
      <c r="C1111" s="77">
        <v>41183</v>
      </c>
      <c r="D1111" s="78">
        <v>41425</v>
      </c>
      <c r="E1111" s="79">
        <v>8.9999999999999993E-3</v>
      </c>
      <c r="F1111" s="80">
        <v>2014</v>
      </c>
      <c r="G1111" s="81"/>
      <c r="H1111" s="80">
        <v>2</v>
      </c>
      <c r="I1111" s="79">
        <f>H1111/F1111</f>
        <v>9.930486593843098E-4</v>
      </c>
    </row>
    <row r="1112" spans="1:9" x14ac:dyDescent="0.25">
      <c r="A1112" s="76" t="s">
        <v>317</v>
      </c>
      <c r="B1112" s="76" t="s">
        <v>352</v>
      </c>
      <c r="C1112" s="77">
        <v>40962</v>
      </c>
      <c r="D1112" s="78">
        <v>41029</v>
      </c>
      <c r="E1112" s="79">
        <v>8.9999999999999998E-4</v>
      </c>
      <c r="F1112" s="80">
        <v>1840.84</v>
      </c>
      <c r="G1112" s="81"/>
      <c r="H1112" s="80">
        <v>1.84</v>
      </c>
      <c r="I1112" s="79">
        <f>H1112/F1112</f>
        <v>9.995436865778667E-4</v>
      </c>
    </row>
    <row r="1113" spans="1:9" x14ac:dyDescent="0.25">
      <c r="A1113" s="76" t="s">
        <v>317</v>
      </c>
      <c r="B1113" s="76" t="s">
        <v>31</v>
      </c>
      <c r="C1113" s="77">
        <v>41061</v>
      </c>
      <c r="D1113" s="78">
        <v>41394</v>
      </c>
      <c r="E1113" s="79">
        <v>8.9999999999999993E-3</v>
      </c>
      <c r="F1113" s="80"/>
      <c r="G1113" s="81">
        <v>316</v>
      </c>
      <c r="H1113" s="80">
        <v>0.21</v>
      </c>
      <c r="I1113" s="79">
        <f t="shared" ref="I1113:I1118" si="34">H1113/G1113</f>
        <v>6.6455696202531646E-4</v>
      </c>
    </row>
    <row r="1114" spans="1:9" ht="28.5" x14ac:dyDescent="0.25">
      <c r="A1114" s="76" t="s">
        <v>317</v>
      </c>
      <c r="B1114" s="76" t="s">
        <v>357</v>
      </c>
      <c r="C1114" s="77">
        <v>41201</v>
      </c>
      <c r="D1114" s="78">
        <v>41378</v>
      </c>
      <c r="E1114" s="79">
        <v>8.9999999999999998E-4</v>
      </c>
      <c r="F1114" s="80"/>
      <c r="G1114" s="81">
        <v>160</v>
      </c>
      <c r="H1114" s="80">
        <v>0.19</v>
      </c>
      <c r="I1114" s="79">
        <f t="shared" si="34"/>
        <v>1.1875E-3</v>
      </c>
    </row>
    <row r="1115" spans="1:9" x14ac:dyDescent="0.25">
      <c r="A1115" s="76" t="s">
        <v>502</v>
      </c>
      <c r="B1115" s="76" t="s">
        <v>503</v>
      </c>
      <c r="C1115" s="77">
        <v>41153</v>
      </c>
      <c r="D1115" s="78">
        <v>41289</v>
      </c>
      <c r="E1115" s="79">
        <v>0.92500000000000004</v>
      </c>
      <c r="F1115" s="80"/>
      <c r="G1115" s="81">
        <v>0.14000000000000001</v>
      </c>
      <c r="H1115" s="80">
        <v>0.13</v>
      </c>
      <c r="I1115" s="79">
        <f t="shared" si="34"/>
        <v>0.92857142857142849</v>
      </c>
    </row>
    <row r="1116" spans="1:9" x14ac:dyDescent="0.25">
      <c r="A1116" s="76" t="s">
        <v>317</v>
      </c>
      <c r="B1116" s="76" t="s">
        <v>354</v>
      </c>
      <c r="C1116" s="77">
        <v>40990</v>
      </c>
      <c r="D1116" s="78">
        <v>41305</v>
      </c>
      <c r="E1116" s="79">
        <v>8.9999999999999993E-3</v>
      </c>
      <c r="F1116" s="80"/>
      <c r="G1116" s="81">
        <v>115</v>
      </c>
      <c r="H1116" s="80">
        <v>0.11</v>
      </c>
      <c r="I1116" s="79">
        <f t="shared" si="34"/>
        <v>9.5652173913043481E-4</v>
      </c>
    </row>
    <row r="1117" spans="1:9" x14ac:dyDescent="0.25">
      <c r="A1117" s="76" t="s">
        <v>317</v>
      </c>
      <c r="B1117" s="76" t="s">
        <v>352</v>
      </c>
      <c r="C1117" s="77">
        <v>40962</v>
      </c>
      <c r="D1117" s="78">
        <v>41029</v>
      </c>
      <c r="E1117" s="79">
        <v>8.9999999999999998E-4</v>
      </c>
      <c r="F1117" s="80"/>
      <c r="G1117" s="81">
        <v>75</v>
      </c>
      <c r="H1117" s="80">
        <v>0.08</v>
      </c>
      <c r="I1117" s="79">
        <f t="shared" si="34"/>
        <v>1.0666666666666667E-3</v>
      </c>
    </row>
    <row r="1118" spans="1:9" x14ac:dyDescent="0.25">
      <c r="A1118" s="76" t="s">
        <v>317</v>
      </c>
      <c r="B1118" s="76" t="s">
        <v>359</v>
      </c>
      <c r="C1118" s="77">
        <v>41183</v>
      </c>
      <c r="D1118" s="78">
        <v>41425</v>
      </c>
      <c r="E1118" s="79">
        <v>8.9999999999999993E-3</v>
      </c>
      <c r="F1118" s="80"/>
      <c r="G1118" s="81">
        <v>265</v>
      </c>
      <c r="H1118" s="80">
        <v>2.5999999999999999E-2</v>
      </c>
      <c r="I1118" s="79">
        <f t="shared" si="34"/>
        <v>9.8113207547169813E-5</v>
      </c>
    </row>
    <row r="1119" spans="1:9" x14ac:dyDescent="0.25">
      <c r="A1119" s="70" t="s">
        <v>20</v>
      </c>
      <c r="B1119" s="70" t="s">
        <v>30</v>
      </c>
      <c r="C1119" s="71">
        <v>40770</v>
      </c>
      <c r="D1119" s="72">
        <v>41060</v>
      </c>
      <c r="E1119" s="73">
        <v>0</v>
      </c>
      <c r="F1119" s="74"/>
      <c r="G1119" s="75">
        <v>71.61</v>
      </c>
      <c r="H1119" s="74">
        <v>0</v>
      </c>
      <c r="I1119" s="73">
        <v>0</v>
      </c>
    </row>
    <row r="1120" spans="1:9" x14ac:dyDescent="0.25">
      <c r="A1120" s="76" t="s">
        <v>449</v>
      </c>
      <c r="B1120" s="76" t="s">
        <v>450</v>
      </c>
      <c r="C1120" s="77">
        <v>40909</v>
      </c>
      <c r="D1120" s="78">
        <v>41274</v>
      </c>
      <c r="E1120" s="79">
        <v>0</v>
      </c>
      <c r="F1120" s="80">
        <v>0</v>
      </c>
      <c r="G1120" s="88"/>
      <c r="H1120" s="80">
        <v>0</v>
      </c>
      <c r="I1120" s="79">
        <v>0</v>
      </c>
    </row>
    <row r="1121" spans="1:9" x14ac:dyDescent="0.25">
      <c r="A1121" s="70" t="s">
        <v>80</v>
      </c>
      <c r="B1121" s="70" t="s">
        <v>55</v>
      </c>
      <c r="C1121" s="71">
        <v>40912</v>
      </c>
      <c r="D1121" s="72">
        <v>41277</v>
      </c>
      <c r="E1121" s="73">
        <v>8.9999999999999993E-3</v>
      </c>
      <c r="F1121" s="74"/>
      <c r="G1121" s="75">
        <v>0</v>
      </c>
      <c r="H1121" s="74">
        <v>0</v>
      </c>
      <c r="I1121" s="73">
        <v>0</v>
      </c>
    </row>
    <row r="1122" spans="1:9" x14ac:dyDescent="0.25">
      <c r="A1122" s="76" t="s">
        <v>643</v>
      </c>
      <c r="B1122" s="76" t="s">
        <v>650</v>
      </c>
      <c r="C1122" s="77">
        <v>40766</v>
      </c>
      <c r="D1122" s="78">
        <v>41117</v>
      </c>
      <c r="E1122" s="79">
        <v>4.4999999999999997E-3</v>
      </c>
      <c r="F1122" s="80">
        <v>0</v>
      </c>
      <c r="G1122" s="81"/>
      <c r="H1122" s="80">
        <v>0</v>
      </c>
      <c r="I1122" s="79">
        <v>0</v>
      </c>
    </row>
    <row r="1123" spans="1:9" x14ac:dyDescent="0.25">
      <c r="A1123" s="76" t="s">
        <v>643</v>
      </c>
      <c r="B1123" s="76" t="s">
        <v>650</v>
      </c>
      <c r="C1123" s="77">
        <v>40766</v>
      </c>
      <c r="D1123" s="78">
        <v>41117</v>
      </c>
      <c r="E1123" s="79">
        <v>4.4999999999999997E-3</v>
      </c>
      <c r="F1123" s="80">
        <v>0</v>
      </c>
      <c r="G1123" s="81"/>
      <c r="H1123" s="80">
        <v>0</v>
      </c>
      <c r="I1123" s="79">
        <v>0</v>
      </c>
    </row>
    <row r="1124" spans="1:9" x14ac:dyDescent="0.25">
      <c r="A1124" s="76" t="s">
        <v>317</v>
      </c>
      <c r="B1124" s="76" t="s">
        <v>324</v>
      </c>
      <c r="C1124" s="77">
        <v>40701</v>
      </c>
      <c r="D1124" s="78">
        <v>41029</v>
      </c>
      <c r="E1124" s="79">
        <v>2.7E-2</v>
      </c>
      <c r="F1124" s="80">
        <v>15375</v>
      </c>
      <c r="G1124" s="81"/>
      <c r="H1124" s="80">
        <v>0</v>
      </c>
      <c r="I1124" s="79">
        <v>0</v>
      </c>
    </row>
    <row r="1125" spans="1:9" x14ac:dyDescent="0.25">
      <c r="A1125" s="76" t="s">
        <v>317</v>
      </c>
      <c r="B1125" s="76" t="s">
        <v>324</v>
      </c>
      <c r="C1125" s="77">
        <v>40701</v>
      </c>
      <c r="D1125" s="78">
        <v>41029</v>
      </c>
      <c r="E1125" s="79">
        <v>2.7E-2</v>
      </c>
      <c r="F1125" s="80"/>
      <c r="G1125" s="81">
        <v>580</v>
      </c>
      <c r="H1125" s="80">
        <v>0</v>
      </c>
      <c r="I1125" s="79">
        <f>H1125/G1125</f>
        <v>0</v>
      </c>
    </row>
    <row r="1126" spans="1:9" x14ac:dyDescent="0.25">
      <c r="A1126" s="76" t="s">
        <v>317</v>
      </c>
      <c r="B1126" s="76" t="s">
        <v>324</v>
      </c>
      <c r="C1126" s="77">
        <v>40701</v>
      </c>
      <c r="D1126" s="78">
        <v>41029</v>
      </c>
      <c r="E1126" s="79">
        <v>2.7E-2</v>
      </c>
      <c r="F1126" s="80">
        <v>15375</v>
      </c>
      <c r="G1126" s="81"/>
      <c r="H1126" s="80">
        <v>0</v>
      </c>
      <c r="I1126" s="79">
        <f>H1126/F1126</f>
        <v>0</v>
      </c>
    </row>
    <row r="1127" spans="1:9" x14ac:dyDescent="0.25">
      <c r="A1127" s="76" t="s">
        <v>317</v>
      </c>
      <c r="B1127" s="76" t="s">
        <v>324</v>
      </c>
      <c r="C1127" s="77">
        <v>40701</v>
      </c>
      <c r="D1127" s="78">
        <v>41029</v>
      </c>
      <c r="E1127" s="79">
        <v>2.7E-2</v>
      </c>
      <c r="F1127" s="80"/>
      <c r="G1127" s="81">
        <v>580</v>
      </c>
      <c r="H1127" s="80">
        <v>0</v>
      </c>
      <c r="I1127" s="79">
        <f>H1127/G1127</f>
        <v>0</v>
      </c>
    </row>
    <row r="1128" spans="1:9" x14ac:dyDescent="0.25">
      <c r="A1128" s="76" t="s">
        <v>171</v>
      </c>
      <c r="B1128" s="76" t="s">
        <v>196</v>
      </c>
      <c r="C1128" s="77">
        <v>40981</v>
      </c>
      <c r="D1128" s="78">
        <v>41333</v>
      </c>
      <c r="E1128" s="79">
        <v>1.7999999999999999E-2</v>
      </c>
      <c r="F1128" s="80">
        <v>0</v>
      </c>
      <c r="G1128" s="81"/>
      <c r="H1128" s="80">
        <v>0</v>
      </c>
      <c r="I1128" s="79">
        <v>0</v>
      </c>
    </row>
    <row r="1129" spans="1:9" x14ac:dyDescent="0.25">
      <c r="A1129" s="76" t="s">
        <v>449</v>
      </c>
      <c r="B1129" s="76" t="s">
        <v>330</v>
      </c>
      <c r="C1129" s="77">
        <v>40756</v>
      </c>
      <c r="D1129" s="78">
        <v>41121</v>
      </c>
      <c r="E1129" s="79">
        <v>0</v>
      </c>
      <c r="F1129" s="80">
        <v>0</v>
      </c>
      <c r="G1129" s="81"/>
      <c r="H1129" s="80">
        <v>0</v>
      </c>
      <c r="I1129" s="79">
        <v>0</v>
      </c>
    </row>
    <row r="1130" spans="1:9" x14ac:dyDescent="0.25">
      <c r="A1130" s="76" t="s">
        <v>449</v>
      </c>
      <c r="B1130" s="76" t="s">
        <v>330</v>
      </c>
      <c r="C1130" s="77">
        <v>41122</v>
      </c>
      <c r="D1130" s="78">
        <v>41486</v>
      </c>
      <c r="E1130" s="79">
        <v>0</v>
      </c>
      <c r="F1130" s="80">
        <v>0</v>
      </c>
      <c r="G1130" s="88"/>
      <c r="H1130" s="80">
        <v>0</v>
      </c>
      <c r="I1130" s="79">
        <v>0</v>
      </c>
    </row>
    <row r="1131" spans="1:9" x14ac:dyDescent="0.25">
      <c r="A1131" s="76" t="s">
        <v>643</v>
      </c>
      <c r="B1131" s="76" t="s">
        <v>330</v>
      </c>
      <c r="C1131" s="77">
        <v>40591</v>
      </c>
      <c r="D1131" s="78">
        <v>40955</v>
      </c>
      <c r="E1131" s="79">
        <v>4.4999999999999997E-3</v>
      </c>
      <c r="F1131" s="80">
        <v>172853.14</v>
      </c>
      <c r="G1131" s="81"/>
      <c r="H1131" s="80">
        <v>0</v>
      </c>
      <c r="I1131" s="79">
        <f>H1131/F1131</f>
        <v>0</v>
      </c>
    </row>
    <row r="1132" spans="1:9" x14ac:dyDescent="0.25">
      <c r="A1132" s="76" t="s">
        <v>643</v>
      </c>
      <c r="B1132" s="76" t="s">
        <v>330</v>
      </c>
      <c r="C1132" s="77">
        <v>40591</v>
      </c>
      <c r="D1132" s="78">
        <v>40955</v>
      </c>
      <c r="E1132" s="79">
        <v>4.4999999999999997E-3</v>
      </c>
      <c r="F1132" s="80"/>
      <c r="G1132" s="81">
        <v>10354</v>
      </c>
      <c r="H1132" s="80">
        <v>0</v>
      </c>
      <c r="I1132" s="79">
        <f>H1132/G1132</f>
        <v>0</v>
      </c>
    </row>
    <row r="1133" spans="1:9" x14ac:dyDescent="0.25">
      <c r="A1133" s="70" t="s">
        <v>20</v>
      </c>
      <c r="B1133" s="70" t="s">
        <v>31</v>
      </c>
      <c r="C1133" s="71">
        <v>40787</v>
      </c>
      <c r="D1133" s="72">
        <v>41090</v>
      </c>
      <c r="E1133" s="73">
        <v>0</v>
      </c>
      <c r="F1133" s="74">
        <v>1412</v>
      </c>
      <c r="G1133" s="75"/>
      <c r="H1133" s="74">
        <v>0</v>
      </c>
      <c r="I1133" s="73">
        <v>0</v>
      </c>
    </row>
    <row r="1134" spans="1:9" x14ac:dyDescent="0.25">
      <c r="A1134" s="76" t="s">
        <v>171</v>
      </c>
      <c r="B1134" s="76" t="s">
        <v>31</v>
      </c>
      <c r="C1134" s="77">
        <v>40800</v>
      </c>
      <c r="D1134" s="78">
        <v>41152</v>
      </c>
      <c r="E1134" s="79">
        <v>1.7999999999999999E-2</v>
      </c>
      <c r="F1134" s="80">
        <v>0</v>
      </c>
      <c r="G1134" s="81"/>
      <c r="H1134" s="80">
        <v>0</v>
      </c>
      <c r="I1134" s="79">
        <v>0</v>
      </c>
    </row>
    <row r="1135" spans="1:9" x14ac:dyDescent="0.25">
      <c r="A1135" s="76" t="s">
        <v>372</v>
      </c>
      <c r="B1135" s="76" t="s">
        <v>31</v>
      </c>
      <c r="C1135" s="77">
        <v>40847</v>
      </c>
      <c r="D1135" s="78">
        <v>41152</v>
      </c>
      <c r="E1135" s="79">
        <v>8.9999999999999993E-3</v>
      </c>
      <c r="F1135" s="80">
        <v>33539</v>
      </c>
      <c r="G1135" s="81"/>
      <c r="H1135" s="80">
        <v>0</v>
      </c>
      <c r="I1135" s="79">
        <f>H1135/F1135</f>
        <v>0</v>
      </c>
    </row>
    <row r="1136" spans="1:9" x14ac:dyDescent="0.25">
      <c r="A1136" s="76" t="s">
        <v>372</v>
      </c>
      <c r="B1136" s="76" t="s">
        <v>31</v>
      </c>
      <c r="C1136" s="77">
        <v>41153</v>
      </c>
      <c r="D1136" s="78">
        <v>41262</v>
      </c>
      <c r="E1136" s="79">
        <v>8.9999999999999993E-3</v>
      </c>
      <c r="F1136" s="80">
        <v>0</v>
      </c>
      <c r="G1136" s="81"/>
      <c r="H1136" s="80">
        <v>0</v>
      </c>
      <c r="I1136" s="79">
        <v>0</v>
      </c>
    </row>
    <row r="1137" spans="1:9" x14ac:dyDescent="0.25">
      <c r="A1137" s="76" t="s">
        <v>372</v>
      </c>
      <c r="B1137" s="76" t="s">
        <v>31</v>
      </c>
      <c r="C1137" s="77">
        <v>41153</v>
      </c>
      <c r="D1137" s="78">
        <v>41262</v>
      </c>
      <c r="E1137" s="79">
        <v>8.9999999999999993E-3</v>
      </c>
      <c r="F1137" s="80"/>
      <c r="G1137" s="81">
        <v>0</v>
      </c>
      <c r="H1137" s="80">
        <v>0</v>
      </c>
      <c r="I1137" s="79">
        <v>0</v>
      </c>
    </row>
    <row r="1138" spans="1:9" ht="28.5" x14ac:dyDescent="0.25">
      <c r="A1138" s="76" t="s">
        <v>392</v>
      </c>
      <c r="B1138" s="76" t="s">
        <v>31</v>
      </c>
      <c r="C1138" s="77">
        <v>41258</v>
      </c>
      <c r="D1138" s="78">
        <v>41455</v>
      </c>
      <c r="E1138" s="79">
        <v>8.9999999999999993E-3</v>
      </c>
      <c r="F1138" s="80">
        <v>0</v>
      </c>
      <c r="G1138" s="81"/>
      <c r="H1138" s="80">
        <v>0</v>
      </c>
      <c r="I1138" s="79">
        <v>0</v>
      </c>
    </row>
    <row r="1139" spans="1:9" ht="28.5" x14ac:dyDescent="0.25">
      <c r="A1139" s="76" t="s">
        <v>392</v>
      </c>
      <c r="B1139" s="76" t="s">
        <v>31</v>
      </c>
      <c r="C1139" s="77">
        <v>41258</v>
      </c>
      <c r="D1139" s="78">
        <v>41455</v>
      </c>
      <c r="E1139" s="79">
        <v>8.9999999999999993E-3</v>
      </c>
      <c r="F1139" s="80"/>
      <c r="G1139" s="81">
        <v>0</v>
      </c>
      <c r="H1139" s="80">
        <v>0</v>
      </c>
      <c r="I1139" s="79">
        <v>0</v>
      </c>
    </row>
    <row r="1140" spans="1:9" x14ac:dyDescent="0.25">
      <c r="A1140" s="76" t="s">
        <v>477</v>
      </c>
      <c r="B1140" s="76" t="s">
        <v>31</v>
      </c>
      <c r="C1140" s="77">
        <v>40792</v>
      </c>
      <c r="D1140" s="78">
        <v>41121</v>
      </c>
      <c r="E1140" s="79">
        <v>8.9999999999999993E-3</v>
      </c>
      <c r="F1140" s="80">
        <v>0</v>
      </c>
      <c r="G1140" s="81"/>
      <c r="H1140" s="80">
        <v>0</v>
      </c>
      <c r="I1140" s="79">
        <v>0</v>
      </c>
    </row>
    <row r="1141" spans="1:9" x14ac:dyDescent="0.25">
      <c r="A1141" s="76" t="s">
        <v>477</v>
      </c>
      <c r="B1141" s="76" t="s">
        <v>31</v>
      </c>
      <c r="C1141" s="77">
        <v>40792</v>
      </c>
      <c r="D1141" s="78">
        <v>41121</v>
      </c>
      <c r="E1141" s="79">
        <v>8.9999999999999993E-3</v>
      </c>
      <c r="F1141" s="80"/>
      <c r="G1141" s="81">
        <v>0</v>
      </c>
      <c r="H1141" s="80">
        <v>0</v>
      </c>
      <c r="I1141" s="79">
        <v>0</v>
      </c>
    </row>
    <row r="1142" spans="1:9" x14ac:dyDescent="0.25">
      <c r="A1142" s="76" t="s">
        <v>531</v>
      </c>
      <c r="B1142" s="76" t="s">
        <v>31</v>
      </c>
      <c r="C1142" s="77">
        <v>41153</v>
      </c>
      <c r="D1142" s="78">
        <v>41517</v>
      </c>
      <c r="E1142" s="79">
        <v>8.9999999999999993E-3</v>
      </c>
      <c r="F1142" s="80">
        <v>0</v>
      </c>
      <c r="G1142" s="81"/>
      <c r="H1142" s="80">
        <v>0</v>
      </c>
      <c r="I1142" s="79">
        <v>0</v>
      </c>
    </row>
    <row r="1143" spans="1:9" x14ac:dyDescent="0.25">
      <c r="A1143" s="76" t="s">
        <v>531</v>
      </c>
      <c r="B1143" s="76" t="s">
        <v>31</v>
      </c>
      <c r="C1143" s="77">
        <v>41153</v>
      </c>
      <c r="D1143" s="78">
        <v>41517</v>
      </c>
      <c r="E1143" s="79">
        <v>8.9999999999999993E-3</v>
      </c>
      <c r="F1143" s="80"/>
      <c r="G1143" s="81">
        <v>0</v>
      </c>
      <c r="H1143" s="80">
        <v>0</v>
      </c>
      <c r="I1143" s="79">
        <v>0</v>
      </c>
    </row>
    <row r="1144" spans="1:9" x14ac:dyDescent="0.25">
      <c r="A1144" s="76" t="s">
        <v>449</v>
      </c>
      <c r="B1144" s="76" t="s">
        <v>73</v>
      </c>
      <c r="C1144" s="77">
        <v>40913</v>
      </c>
      <c r="D1144" s="78">
        <v>41274</v>
      </c>
      <c r="E1144" s="79">
        <v>0</v>
      </c>
      <c r="F1144" s="80">
        <v>123515</v>
      </c>
      <c r="G1144" s="81"/>
      <c r="H1144" s="80">
        <v>0</v>
      </c>
      <c r="I1144" s="79">
        <f>H1144/F1144</f>
        <v>0</v>
      </c>
    </row>
    <row r="1145" spans="1:9" x14ac:dyDescent="0.25">
      <c r="A1145" s="70" t="s">
        <v>38</v>
      </c>
      <c r="B1145" s="70" t="s">
        <v>52</v>
      </c>
      <c r="C1145" s="71">
        <v>40814</v>
      </c>
      <c r="D1145" s="72">
        <v>41179</v>
      </c>
      <c r="E1145" s="73">
        <v>0.432</v>
      </c>
      <c r="F1145" s="74"/>
      <c r="G1145" s="75">
        <v>0</v>
      </c>
      <c r="H1145" s="74">
        <v>0</v>
      </c>
      <c r="I1145" s="73">
        <v>0</v>
      </c>
    </row>
    <row r="1146" spans="1:9" x14ac:dyDescent="0.25">
      <c r="A1146" s="76" t="s">
        <v>643</v>
      </c>
      <c r="B1146" s="76" t="s">
        <v>653</v>
      </c>
      <c r="C1146" s="77">
        <v>40862</v>
      </c>
      <c r="D1146" s="78">
        <v>41227</v>
      </c>
      <c r="E1146" s="79">
        <v>4.4999999999999997E-3</v>
      </c>
      <c r="F1146" s="80"/>
      <c r="G1146" s="81">
        <v>0</v>
      </c>
      <c r="H1146" s="80">
        <v>0</v>
      </c>
      <c r="I1146" s="79">
        <v>0</v>
      </c>
    </row>
    <row r="1147" spans="1:9" x14ac:dyDescent="0.25">
      <c r="A1147" s="70" t="s">
        <v>146</v>
      </c>
      <c r="B1147" s="70" t="s">
        <v>170</v>
      </c>
      <c r="C1147" s="71">
        <v>41026</v>
      </c>
      <c r="D1147" s="72">
        <v>41333</v>
      </c>
      <c r="E1147" s="101">
        <v>4.4999999999999999E-4</v>
      </c>
      <c r="F1147" s="74">
        <v>0</v>
      </c>
      <c r="G1147" s="75"/>
      <c r="H1147" s="74">
        <v>0</v>
      </c>
      <c r="I1147" s="73">
        <v>0</v>
      </c>
    </row>
    <row r="1148" spans="1:9" x14ac:dyDescent="0.25">
      <c r="A1148" s="76" t="s">
        <v>555</v>
      </c>
      <c r="B1148" s="76" t="s">
        <v>120</v>
      </c>
      <c r="C1148" s="112">
        <v>40681</v>
      </c>
      <c r="D1148" s="78">
        <v>41046</v>
      </c>
      <c r="E1148" s="79">
        <v>0.09</v>
      </c>
      <c r="F1148" s="80">
        <v>0</v>
      </c>
      <c r="G1148" s="81"/>
      <c r="H1148" s="80">
        <v>0</v>
      </c>
      <c r="I1148" s="79">
        <v>0</v>
      </c>
    </row>
    <row r="1149" spans="1:9" x14ac:dyDescent="0.25">
      <c r="A1149" s="70" t="s">
        <v>95</v>
      </c>
      <c r="B1149" s="70" t="s">
        <v>44</v>
      </c>
      <c r="C1149" s="71">
        <v>40704</v>
      </c>
      <c r="D1149" s="72">
        <v>41060</v>
      </c>
      <c r="E1149" s="73">
        <v>0.09</v>
      </c>
      <c r="F1149" s="74"/>
      <c r="G1149" s="75">
        <v>0</v>
      </c>
      <c r="H1149" s="74">
        <v>0</v>
      </c>
      <c r="I1149" s="73">
        <v>0</v>
      </c>
    </row>
    <row r="1150" spans="1:9" x14ac:dyDescent="0.25">
      <c r="A1150" s="70" t="s">
        <v>119</v>
      </c>
      <c r="B1150" s="70" t="s">
        <v>44</v>
      </c>
      <c r="C1150" s="71">
        <v>40704</v>
      </c>
      <c r="D1150" s="72">
        <v>41060</v>
      </c>
      <c r="E1150" s="73">
        <v>0.09</v>
      </c>
      <c r="F1150" s="74"/>
      <c r="G1150" s="75">
        <v>0</v>
      </c>
      <c r="H1150" s="74">
        <v>0</v>
      </c>
      <c r="I1150" s="73">
        <v>0</v>
      </c>
    </row>
    <row r="1151" spans="1:9" x14ac:dyDescent="0.25">
      <c r="A1151" s="76" t="s">
        <v>643</v>
      </c>
      <c r="B1151" s="76" t="s">
        <v>652</v>
      </c>
      <c r="C1151" s="77">
        <v>40807</v>
      </c>
      <c r="D1151" s="78">
        <v>41148</v>
      </c>
      <c r="E1151" s="79">
        <v>8.9999999999999998E-4</v>
      </c>
      <c r="F1151" s="80">
        <v>0</v>
      </c>
      <c r="G1151" s="81"/>
      <c r="H1151" s="80">
        <v>0</v>
      </c>
      <c r="I1151" s="79">
        <v>0</v>
      </c>
    </row>
    <row r="1152" spans="1:9" x14ac:dyDescent="0.25">
      <c r="A1152" s="76" t="s">
        <v>643</v>
      </c>
      <c r="B1152" s="76" t="s">
        <v>652</v>
      </c>
      <c r="C1152" s="77">
        <v>40807</v>
      </c>
      <c r="D1152" s="78">
        <v>41148</v>
      </c>
      <c r="E1152" s="79">
        <v>8.9999999999999998E-4</v>
      </c>
      <c r="F1152" s="80">
        <v>0</v>
      </c>
      <c r="G1152" s="81"/>
      <c r="H1152" s="80">
        <v>0</v>
      </c>
      <c r="I1152" s="79">
        <v>0</v>
      </c>
    </row>
    <row r="1153" spans="1:9" x14ac:dyDescent="0.25">
      <c r="A1153" s="76" t="s">
        <v>643</v>
      </c>
      <c r="B1153" s="76" t="s">
        <v>651</v>
      </c>
      <c r="C1153" s="77">
        <v>40787</v>
      </c>
      <c r="D1153" s="78">
        <v>41152</v>
      </c>
      <c r="E1153" s="79">
        <v>1E-4</v>
      </c>
      <c r="F1153" s="80">
        <v>3390</v>
      </c>
      <c r="G1153" s="81"/>
      <c r="H1153" s="80">
        <v>0</v>
      </c>
      <c r="I1153" s="79">
        <f>H1153/F1153</f>
        <v>0</v>
      </c>
    </row>
    <row r="1154" spans="1:9" x14ac:dyDescent="0.25">
      <c r="A1154" s="76" t="s">
        <v>643</v>
      </c>
      <c r="B1154" s="76" t="s">
        <v>651</v>
      </c>
      <c r="C1154" s="77">
        <v>40787</v>
      </c>
      <c r="D1154" s="78">
        <v>41152</v>
      </c>
      <c r="E1154" s="79">
        <v>1E-4</v>
      </c>
      <c r="F1154" s="80"/>
      <c r="G1154" s="81">
        <v>255</v>
      </c>
      <c r="H1154" s="80">
        <v>0</v>
      </c>
      <c r="I1154" s="79">
        <f>H1154/G1154</f>
        <v>0</v>
      </c>
    </row>
    <row r="1155" spans="1:9" x14ac:dyDescent="0.25">
      <c r="A1155" s="76" t="s">
        <v>643</v>
      </c>
      <c r="B1155" s="76" t="s">
        <v>651</v>
      </c>
      <c r="C1155" s="77">
        <v>41153</v>
      </c>
      <c r="D1155" s="78">
        <v>41517</v>
      </c>
      <c r="E1155" s="79">
        <v>4.4999999999999997E-3</v>
      </c>
      <c r="F1155" s="80">
        <v>0</v>
      </c>
      <c r="G1155" s="81"/>
      <c r="H1155" s="80">
        <v>0</v>
      </c>
      <c r="I1155" s="79">
        <v>0</v>
      </c>
    </row>
    <row r="1156" spans="1:9" x14ac:dyDescent="0.25">
      <c r="A1156" s="76" t="s">
        <v>643</v>
      </c>
      <c r="B1156" s="76" t="s">
        <v>651</v>
      </c>
      <c r="C1156" s="77">
        <v>41153</v>
      </c>
      <c r="D1156" s="78">
        <v>41517</v>
      </c>
      <c r="E1156" s="79">
        <v>4.4999999999999997E-3</v>
      </c>
      <c r="F1156" s="80"/>
      <c r="G1156" s="81">
        <v>0</v>
      </c>
      <c r="H1156" s="80">
        <v>0</v>
      </c>
      <c r="I1156" s="79">
        <v>0</v>
      </c>
    </row>
    <row r="1157" spans="1:9" x14ac:dyDescent="0.25">
      <c r="A1157" s="70" t="s">
        <v>20</v>
      </c>
      <c r="B1157" s="70" t="s">
        <v>24</v>
      </c>
      <c r="C1157" s="71">
        <v>40756</v>
      </c>
      <c r="D1157" s="72">
        <v>41121</v>
      </c>
      <c r="E1157" s="73">
        <v>0</v>
      </c>
      <c r="F1157" s="74"/>
      <c r="G1157" s="75">
        <v>3370</v>
      </c>
      <c r="H1157" s="74">
        <v>0</v>
      </c>
      <c r="I1157" s="73">
        <v>0</v>
      </c>
    </row>
    <row r="1158" spans="1:9" x14ac:dyDescent="0.25">
      <c r="A1158" s="76" t="s">
        <v>101</v>
      </c>
      <c r="B1158" s="76" t="s">
        <v>105</v>
      </c>
      <c r="C1158" s="77">
        <v>41193</v>
      </c>
      <c r="D1158" s="78">
        <v>41557</v>
      </c>
      <c r="E1158" s="79">
        <v>1.35E-2</v>
      </c>
      <c r="F1158" s="91"/>
      <c r="G1158" s="92">
        <v>0</v>
      </c>
      <c r="H1158" s="91">
        <v>0</v>
      </c>
      <c r="I1158" s="79">
        <v>0</v>
      </c>
    </row>
    <row r="1159" spans="1:9" ht="28.5" x14ac:dyDescent="0.25">
      <c r="A1159" s="70" t="s">
        <v>119</v>
      </c>
      <c r="B1159" s="70" t="s">
        <v>96</v>
      </c>
      <c r="C1159" s="71">
        <v>40848</v>
      </c>
      <c r="D1159" s="72">
        <v>41213</v>
      </c>
      <c r="E1159" s="73">
        <v>0.09</v>
      </c>
      <c r="F1159" s="74"/>
      <c r="G1159" s="75">
        <v>0</v>
      </c>
      <c r="H1159" s="74">
        <v>0</v>
      </c>
      <c r="I1159" s="73">
        <v>0</v>
      </c>
    </row>
    <row r="1160" spans="1:9" x14ac:dyDescent="0.25">
      <c r="A1160" s="76" t="s">
        <v>317</v>
      </c>
      <c r="B1160" s="76" t="s">
        <v>155</v>
      </c>
      <c r="C1160" s="77">
        <v>40725</v>
      </c>
      <c r="D1160" s="78">
        <v>41090</v>
      </c>
      <c r="E1160" s="79">
        <v>0</v>
      </c>
      <c r="F1160" s="80">
        <v>176638.05</v>
      </c>
      <c r="G1160" s="81"/>
      <c r="H1160" s="80">
        <v>0</v>
      </c>
      <c r="I1160" s="79">
        <f>H1160/F1160</f>
        <v>0</v>
      </c>
    </row>
    <row r="1161" spans="1:9" x14ac:dyDescent="0.25">
      <c r="A1161" s="76" t="s">
        <v>317</v>
      </c>
      <c r="B1161" s="76" t="s">
        <v>155</v>
      </c>
      <c r="C1161" s="77">
        <v>40725</v>
      </c>
      <c r="D1161" s="78">
        <v>41090</v>
      </c>
      <c r="E1161" s="79">
        <v>0</v>
      </c>
      <c r="F1161" s="80"/>
      <c r="G1161" s="81">
        <v>9889.5</v>
      </c>
      <c r="H1161" s="80">
        <v>0</v>
      </c>
      <c r="I1161" s="79">
        <f>H1161/G1161</f>
        <v>0</v>
      </c>
    </row>
    <row r="1162" spans="1:9" x14ac:dyDescent="0.25">
      <c r="A1162" s="76" t="s">
        <v>317</v>
      </c>
      <c r="B1162" s="76" t="s">
        <v>155</v>
      </c>
      <c r="C1162" s="77">
        <v>41091</v>
      </c>
      <c r="D1162" s="78">
        <v>41440</v>
      </c>
      <c r="E1162" s="79">
        <v>8.9999999999999998E-4</v>
      </c>
      <c r="F1162" s="80">
        <v>211722</v>
      </c>
      <c r="G1162" s="81"/>
      <c r="H1162" s="80">
        <v>0</v>
      </c>
      <c r="I1162" s="79">
        <f>H1162/F1162</f>
        <v>0</v>
      </c>
    </row>
    <row r="1163" spans="1:9" x14ac:dyDescent="0.25">
      <c r="A1163" s="76" t="s">
        <v>317</v>
      </c>
      <c r="B1163" s="76" t="s">
        <v>323</v>
      </c>
      <c r="C1163" s="77">
        <v>40673</v>
      </c>
      <c r="D1163" s="78">
        <v>41014</v>
      </c>
      <c r="E1163" s="79">
        <v>0</v>
      </c>
      <c r="F1163" s="80">
        <v>285059.36</v>
      </c>
      <c r="G1163" s="81"/>
      <c r="H1163" s="80">
        <v>0</v>
      </c>
      <c r="I1163" s="79">
        <f>H1163/F1163</f>
        <v>0</v>
      </c>
    </row>
    <row r="1164" spans="1:9" x14ac:dyDescent="0.25">
      <c r="A1164" s="76" t="s">
        <v>317</v>
      </c>
      <c r="B1164" s="76" t="s">
        <v>323</v>
      </c>
      <c r="C1164" s="77">
        <v>40673</v>
      </c>
      <c r="D1164" s="78">
        <v>41014</v>
      </c>
      <c r="E1164" s="79">
        <v>0</v>
      </c>
      <c r="F1164" s="80"/>
      <c r="G1164" s="81">
        <v>13055</v>
      </c>
      <c r="H1164" s="80">
        <v>0</v>
      </c>
      <c r="I1164" s="79">
        <f>H1164/G1164</f>
        <v>0</v>
      </c>
    </row>
    <row r="1165" spans="1:9" x14ac:dyDescent="0.25">
      <c r="A1165" s="76" t="s">
        <v>317</v>
      </c>
      <c r="B1165" s="76" t="s">
        <v>323</v>
      </c>
      <c r="C1165" s="77">
        <v>40689</v>
      </c>
      <c r="D1165" s="78">
        <v>40672</v>
      </c>
      <c r="E1165" s="79">
        <v>0</v>
      </c>
      <c r="F1165" s="80">
        <v>1077545.45</v>
      </c>
      <c r="G1165" s="81"/>
      <c r="H1165" s="80">
        <v>0</v>
      </c>
      <c r="I1165" s="79">
        <f>H1165/F1165</f>
        <v>0</v>
      </c>
    </row>
    <row r="1166" spans="1:9" x14ac:dyDescent="0.25">
      <c r="A1166" s="76" t="s">
        <v>317</v>
      </c>
      <c r="B1166" s="76" t="s">
        <v>161</v>
      </c>
      <c r="C1166" s="77">
        <v>40708</v>
      </c>
      <c r="D1166" s="78">
        <v>41029</v>
      </c>
      <c r="E1166" s="79">
        <v>0</v>
      </c>
      <c r="F1166" s="80">
        <v>200721.12</v>
      </c>
      <c r="G1166" s="81"/>
      <c r="H1166" s="80">
        <v>0</v>
      </c>
      <c r="I1166" s="79">
        <f>H1166/F1166</f>
        <v>0</v>
      </c>
    </row>
    <row r="1167" spans="1:9" x14ac:dyDescent="0.25">
      <c r="A1167" s="76" t="s">
        <v>317</v>
      </c>
      <c r="B1167" s="76" t="s">
        <v>161</v>
      </c>
      <c r="C1167" s="77">
        <v>40708</v>
      </c>
      <c r="D1167" s="78">
        <v>41029</v>
      </c>
      <c r="E1167" s="79">
        <v>0</v>
      </c>
      <c r="F1167" s="80"/>
      <c r="G1167" s="81">
        <v>2533</v>
      </c>
      <c r="H1167" s="80">
        <v>0</v>
      </c>
      <c r="I1167" s="79">
        <f>H1167/G1167</f>
        <v>0</v>
      </c>
    </row>
    <row r="1168" spans="1:9" x14ac:dyDescent="0.25">
      <c r="A1168" s="70" t="s">
        <v>146</v>
      </c>
      <c r="B1168" s="70" t="s">
        <v>159</v>
      </c>
      <c r="C1168" s="71">
        <v>40852</v>
      </c>
      <c r="D1168" s="72">
        <v>41217</v>
      </c>
      <c r="E1168" s="73">
        <v>0</v>
      </c>
      <c r="F1168" s="74">
        <v>0</v>
      </c>
      <c r="G1168" s="75"/>
      <c r="H1168" s="74">
        <v>0</v>
      </c>
      <c r="I1168" s="73">
        <v>0</v>
      </c>
    </row>
    <row r="1169" spans="1:9" x14ac:dyDescent="0.25">
      <c r="A1169" s="76" t="s">
        <v>674</v>
      </c>
      <c r="B1169" s="76" t="s">
        <v>540</v>
      </c>
      <c r="C1169" s="77">
        <v>40911</v>
      </c>
      <c r="D1169" s="78">
        <v>41182</v>
      </c>
      <c r="E1169" s="79">
        <v>0.25</v>
      </c>
      <c r="F1169" s="80">
        <v>0</v>
      </c>
      <c r="G1169" s="81"/>
      <c r="H1169" s="80">
        <v>0</v>
      </c>
      <c r="I1169" s="79">
        <v>0</v>
      </c>
    </row>
    <row r="1170" spans="1:9" x14ac:dyDescent="0.25">
      <c r="A1170" s="76" t="s">
        <v>674</v>
      </c>
      <c r="B1170" s="76" t="s">
        <v>540</v>
      </c>
      <c r="C1170" s="77">
        <v>40911</v>
      </c>
      <c r="D1170" s="78">
        <v>41182</v>
      </c>
      <c r="E1170" s="79">
        <v>0.25</v>
      </c>
      <c r="F1170" s="80"/>
      <c r="G1170" s="81">
        <v>0</v>
      </c>
      <c r="H1170" s="80">
        <v>0</v>
      </c>
      <c r="I1170" s="79">
        <v>0</v>
      </c>
    </row>
    <row r="1171" spans="1:9" x14ac:dyDescent="0.25">
      <c r="A1171" s="76" t="s">
        <v>531</v>
      </c>
      <c r="B1171" s="76" t="s">
        <v>541</v>
      </c>
      <c r="C1171" s="77">
        <v>40828</v>
      </c>
      <c r="D1171" s="78">
        <v>41182</v>
      </c>
      <c r="E1171" s="79">
        <v>8.9999999999999993E-3</v>
      </c>
      <c r="F1171" s="80">
        <v>0</v>
      </c>
      <c r="G1171" s="81"/>
      <c r="H1171" s="80">
        <v>0</v>
      </c>
      <c r="I1171" s="79">
        <v>0</v>
      </c>
    </row>
    <row r="1172" spans="1:9" x14ac:dyDescent="0.25">
      <c r="A1172" s="76" t="s">
        <v>531</v>
      </c>
      <c r="B1172" s="76" t="s">
        <v>541</v>
      </c>
      <c r="C1172" s="77">
        <v>40828</v>
      </c>
      <c r="D1172" s="78">
        <v>41182</v>
      </c>
      <c r="E1172" s="79">
        <v>8.9999999999999993E-3</v>
      </c>
      <c r="F1172" s="80"/>
      <c r="G1172" s="81">
        <v>0</v>
      </c>
      <c r="H1172" s="80">
        <v>0</v>
      </c>
      <c r="I1172" s="79">
        <v>0</v>
      </c>
    </row>
    <row r="1173" spans="1:9" x14ac:dyDescent="0.25">
      <c r="A1173" s="76" t="s">
        <v>504</v>
      </c>
      <c r="B1173" s="76" t="s">
        <v>509</v>
      </c>
      <c r="C1173" s="77">
        <v>40815</v>
      </c>
      <c r="D1173" s="78">
        <v>41180</v>
      </c>
      <c r="E1173" s="79">
        <v>0.09</v>
      </c>
      <c r="F1173" s="80">
        <v>0</v>
      </c>
      <c r="G1173" s="81"/>
      <c r="H1173" s="80">
        <v>0</v>
      </c>
      <c r="I1173" s="79">
        <v>0</v>
      </c>
    </row>
    <row r="1174" spans="1:9" x14ac:dyDescent="0.25">
      <c r="A1174" s="76" t="s">
        <v>504</v>
      </c>
      <c r="B1174" s="76" t="s">
        <v>509</v>
      </c>
      <c r="C1174" s="77">
        <v>40815</v>
      </c>
      <c r="D1174" s="78">
        <v>41180</v>
      </c>
      <c r="E1174" s="79">
        <v>0.09</v>
      </c>
      <c r="F1174" s="80"/>
      <c r="G1174" s="81">
        <v>0</v>
      </c>
      <c r="H1174" s="80">
        <v>0</v>
      </c>
      <c r="I1174" s="79">
        <v>0</v>
      </c>
    </row>
    <row r="1175" spans="1:9" x14ac:dyDescent="0.25">
      <c r="A1175" s="76" t="s">
        <v>512</v>
      </c>
      <c r="B1175" s="76" t="s">
        <v>509</v>
      </c>
      <c r="C1175" s="77">
        <v>41181</v>
      </c>
      <c r="D1175" s="78">
        <v>41545</v>
      </c>
      <c r="E1175" s="79">
        <v>0.09</v>
      </c>
      <c r="F1175" s="80">
        <v>0</v>
      </c>
      <c r="G1175" s="81"/>
      <c r="H1175" s="80">
        <v>0</v>
      </c>
      <c r="I1175" s="79">
        <v>0</v>
      </c>
    </row>
    <row r="1176" spans="1:9" x14ac:dyDescent="0.25">
      <c r="A1176" s="76" t="s">
        <v>512</v>
      </c>
      <c r="B1176" s="76" t="s">
        <v>509</v>
      </c>
      <c r="C1176" s="77">
        <v>41181</v>
      </c>
      <c r="D1176" s="78">
        <v>41545</v>
      </c>
      <c r="E1176" s="79">
        <v>0.09</v>
      </c>
      <c r="F1176" s="80"/>
      <c r="G1176" s="81">
        <v>0</v>
      </c>
      <c r="H1176" s="80">
        <v>0</v>
      </c>
      <c r="I1176" s="79">
        <v>0</v>
      </c>
    </row>
    <row r="1177" spans="1:9" x14ac:dyDescent="0.25">
      <c r="A1177" s="76" t="s">
        <v>512</v>
      </c>
      <c r="B1177" s="76" t="s">
        <v>515</v>
      </c>
      <c r="C1177" s="77">
        <v>41174</v>
      </c>
      <c r="D1177" s="78">
        <v>41538</v>
      </c>
      <c r="E1177" s="79">
        <v>0.09</v>
      </c>
      <c r="F1177" s="80">
        <v>0</v>
      </c>
      <c r="G1177" s="81"/>
      <c r="H1177" s="80">
        <v>0</v>
      </c>
      <c r="I1177" s="79">
        <v>0</v>
      </c>
    </row>
    <row r="1178" spans="1:9" x14ac:dyDescent="0.25">
      <c r="A1178" s="76" t="s">
        <v>512</v>
      </c>
      <c r="B1178" s="76" t="s">
        <v>515</v>
      </c>
      <c r="C1178" s="77">
        <v>41174</v>
      </c>
      <c r="D1178" s="78">
        <v>41538</v>
      </c>
      <c r="E1178" s="79">
        <v>0.09</v>
      </c>
      <c r="F1178" s="80"/>
      <c r="G1178" s="81">
        <v>0</v>
      </c>
      <c r="H1178" s="80">
        <v>0</v>
      </c>
      <c r="I1178" s="79">
        <v>0</v>
      </c>
    </row>
    <row r="1179" spans="1:9" x14ac:dyDescent="0.25">
      <c r="A1179" s="76" t="s">
        <v>504</v>
      </c>
      <c r="B1179" s="76" t="s">
        <v>508</v>
      </c>
      <c r="C1179" s="77">
        <v>40808</v>
      </c>
      <c r="D1179" s="78">
        <v>41173</v>
      </c>
      <c r="E1179" s="79">
        <v>0.09</v>
      </c>
      <c r="F1179" s="80">
        <v>0</v>
      </c>
      <c r="G1179" s="81"/>
      <c r="H1179" s="80">
        <v>0</v>
      </c>
      <c r="I1179" s="79">
        <v>0</v>
      </c>
    </row>
    <row r="1180" spans="1:9" x14ac:dyDescent="0.25">
      <c r="A1180" s="76" t="s">
        <v>504</v>
      </c>
      <c r="B1180" s="76" t="s">
        <v>508</v>
      </c>
      <c r="C1180" s="77">
        <v>40808</v>
      </c>
      <c r="D1180" s="78">
        <v>41173</v>
      </c>
      <c r="E1180" s="79">
        <v>0.09</v>
      </c>
      <c r="F1180" s="80"/>
      <c r="G1180" s="81">
        <v>0</v>
      </c>
      <c r="H1180" s="80">
        <v>0</v>
      </c>
      <c r="I1180" s="79">
        <v>0</v>
      </c>
    </row>
    <row r="1181" spans="1:9" x14ac:dyDescent="0.25">
      <c r="A1181" s="76" t="s">
        <v>583</v>
      </c>
      <c r="B1181" s="76" t="s">
        <v>586</v>
      </c>
      <c r="C1181" s="77">
        <v>40955</v>
      </c>
      <c r="D1181" s="78">
        <v>41320</v>
      </c>
      <c r="E1181" s="79">
        <v>0.09</v>
      </c>
      <c r="F1181" s="80"/>
      <c r="G1181" s="81">
        <v>0</v>
      </c>
      <c r="H1181" s="80">
        <v>0</v>
      </c>
      <c r="I1181" s="79">
        <v>0</v>
      </c>
    </row>
    <row r="1182" spans="1:9" x14ac:dyDescent="0.25">
      <c r="A1182" s="76" t="s">
        <v>281</v>
      </c>
      <c r="B1182" s="76" t="s">
        <v>284</v>
      </c>
      <c r="C1182" s="77">
        <v>40603</v>
      </c>
      <c r="D1182" s="78">
        <v>40967</v>
      </c>
      <c r="E1182" s="79">
        <v>0.54</v>
      </c>
      <c r="F1182" s="80">
        <v>5405</v>
      </c>
      <c r="G1182" s="81"/>
      <c r="H1182" s="80">
        <v>0</v>
      </c>
      <c r="I1182" s="79">
        <f>H1182/F1182</f>
        <v>0</v>
      </c>
    </row>
    <row r="1183" spans="1:9" x14ac:dyDescent="0.25">
      <c r="A1183" s="76" t="s">
        <v>281</v>
      </c>
      <c r="B1183" s="76" t="s">
        <v>284</v>
      </c>
      <c r="C1183" s="77">
        <v>40603</v>
      </c>
      <c r="D1183" s="78">
        <v>40967</v>
      </c>
      <c r="E1183" s="79">
        <v>0.54</v>
      </c>
      <c r="F1183" s="80"/>
      <c r="G1183" s="81">
        <v>0</v>
      </c>
      <c r="H1183" s="80">
        <v>0</v>
      </c>
      <c r="I1183" s="79">
        <v>0</v>
      </c>
    </row>
    <row r="1184" spans="1:9" x14ac:dyDescent="0.25">
      <c r="A1184" s="76" t="s">
        <v>449</v>
      </c>
      <c r="B1184" s="76" t="s">
        <v>473</v>
      </c>
      <c r="C1184" s="77">
        <v>41091</v>
      </c>
      <c r="D1184" s="78">
        <v>41455</v>
      </c>
      <c r="E1184" s="79">
        <v>0</v>
      </c>
      <c r="F1184" s="80">
        <v>286718</v>
      </c>
      <c r="G1184" s="88"/>
      <c r="H1184" s="80">
        <v>0</v>
      </c>
      <c r="I1184" s="79">
        <v>0</v>
      </c>
    </row>
    <row r="1185" spans="1:9" x14ac:dyDescent="0.25">
      <c r="A1185" s="70" t="s">
        <v>8</v>
      </c>
      <c r="B1185" s="70" t="s">
        <v>9</v>
      </c>
      <c r="C1185" s="71">
        <v>40655</v>
      </c>
      <c r="D1185" s="72">
        <v>41020</v>
      </c>
      <c r="E1185" s="73">
        <v>8.9999999999999993E-3</v>
      </c>
      <c r="F1185" s="74">
        <v>0</v>
      </c>
      <c r="G1185" s="75"/>
      <c r="H1185" s="74">
        <v>0</v>
      </c>
      <c r="I1185" s="73">
        <v>0</v>
      </c>
    </row>
    <row r="1186" spans="1:9" x14ac:dyDescent="0.25">
      <c r="A1186" s="70" t="s">
        <v>146</v>
      </c>
      <c r="B1186" s="70" t="s">
        <v>9</v>
      </c>
      <c r="C1186" s="71">
        <v>40655</v>
      </c>
      <c r="D1186" s="72">
        <v>41020</v>
      </c>
      <c r="E1186" s="73">
        <v>8.9999999999999993E-3</v>
      </c>
      <c r="F1186" s="74">
        <v>135108.45000000001</v>
      </c>
      <c r="G1186" s="75"/>
      <c r="H1186" s="74">
        <v>0</v>
      </c>
      <c r="I1186" s="73">
        <v>0</v>
      </c>
    </row>
    <row r="1187" spans="1:9" x14ac:dyDescent="0.25">
      <c r="A1187" s="70" t="s">
        <v>146</v>
      </c>
      <c r="B1187" s="70" t="s">
        <v>9</v>
      </c>
      <c r="C1187" s="71">
        <v>40655</v>
      </c>
      <c r="D1187" s="72">
        <v>41020</v>
      </c>
      <c r="E1187" s="73">
        <v>8.9999999999999993E-3</v>
      </c>
      <c r="F1187" s="74"/>
      <c r="G1187" s="75">
        <v>7156</v>
      </c>
      <c r="H1187" s="74">
        <v>0</v>
      </c>
      <c r="I1187" s="73">
        <v>0</v>
      </c>
    </row>
    <row r="1188" spans="1:9" x14ac:dyDescent="0.25">
      <c r="A1188" s="76" t="s">
        <v>449</v>
      </c>
      <c r="B1188" s="76" t="s">
        <v>9</v>
      </c>
      <c r="C1188" s="77">
        <v>40655</v>
      </c>
      <c r="D1188" s="78">
        <v>41020</v>
      </c>
      <c r="E1188" s="79">
        <v>8.9999999999999993E-3</v>
      </c>
      <c r="F1188" s="80">
        <v>306201.09000000003</v>
      </c>
      <c r="G1188" s="81"/>
      <c r="H1188" s="80">
        <v>0</v>
      </c>
      <c r="I1188" s="79">
        <f>H1188/F1188</f>
        <v>0</v>
      </c>
    </row>
    <row r="1189" spans="1:9" x14ac:dyDescent="0.25">
      <c r="A1189" s="76" t="s">
        <v>449</v>
      </c>
      <c r="B1189" s="76" t="s">
        <v>9</v>
      </c>
      <c r="C1189" s="77">
        <v>40655</v>
      </c>
      <c r="D1189" s="78">
        <v>41020</v>
      </c>
      <c r="E1189" s="79">
        <v>8.9999999999999993E-3</v>
      </c>
      <c r="F1189" s="80"/>
      <c r="G1189" s="81">
        <v>17383.47</v>
      </c>
      <c r="H1189" s="80">
        <v>0</v>
      </c>
      <c r="I1189" s="79">
        <f>H1189/G1189</f>
        <v>0</v>
      </c>
    </row>
    <row r="1190" spans="1:9" x14ac:dyDescent="0.25">
      <c r="A1190" s="76" t="s">
        <v>684</v>
      </c>
      <c r="B1190" s="76" t="s">
        <v>9</v>
      </c>
      <c r="C1190" s="77">
        <v>40655</v>
      </c>
      <c r="D1190" s="78">
        <v>41020</v>
      </c>
      <c r="E1190" s="79">
        <v>8.9999999999999993E-3</v>
      </c>
      <c r="F1190" s="80">
        <v>7680.85</v>
      </c>
      <c r="G1190" s="81"/>
      <c r="H1190" s="80">
        <v>0</v>
      </c>
      <c r="I1190" s="79">
        <v>0</v>
      </c>
    </row>
    <row r="1191" spans="1:9" x14ac:dyDescent="0.25">
      <c r="A1191" s="76" t="s">
        <v>684</v>
      </c>
      <c r="B1191" s="76" t="s">
        <v>9</v>
      </c>
      <c r="C1191" s="77">
        <v>40655</v>
      </c>
      <c r="D1191" s="78">
        <v>41020</v>
      </c>
      <c r="E1191" s="79">
        <v>8.9999999999999993E-3</v>
      </c>
      <c r="F1191" s="80"/>
      <c r="G1191" s="81">
        <v>122</v>
      </c>
      <c r="H1191" s="80">
        <v>0</v>
      </c>
      <c r="I1191" s="79">
        <v>0</v>
      </c>
    </row>
    <row r="1192" spans="1:9" x14ac:dyDescent="0.25">
      <c r="A1192" s="76" t="s">
        <v>643</v>
      </c>
      <c r="B1192" s="76" t="s">
        <v>660</v>
      </c>
      <c r="C1192" s="77">
        <v>40865</v>
      </c>
      <c r="D1192" s="78">
        <v>41230</v>
      </c>
      <c r="E1192" s="79">
        <v>8.9999999999999993E-3</v>
      </c>
      <c r="F1192" s="80"/>
      <c r="G1192" s="81">
        <v>3329</v>
      </c>
      <c r="H1192" s="80">
        <v>0</v>
      </c>
      <c r="I1192" s="79">
        <f>H1192/G1192</f>
        <v>0</v>
      </c>
    </row>
    <row r="1193" spans="1:9" x14ac:dyDescent="0.25">
      <c r="A1193" s="76" t="s">
        <v>449</v>
      </c>
      <c r="B1193" s="76" t="s">
        <v>93</v>
      </c>
      <c r="C1193" s="77">
        <v>40603</v>
      </c>
      <c r="D1193" s="78">
        <v>40967</v>
      </c>
      <c r="E1193" s="79">
        <v>0</v>
      </c>
      <c r="F1193" s="80">
        <v>0</v>
      </c>
      <c r="G1193" s="81"/>
      <c r="H1193" s="80">
        <v>0</v>
      </c>
      <c r="I1193" s="79">
        <v>0</v>
      </c>
    </row>
    <row r="1194" spans="1:9" x14ac:dyDescent="0.25">
      <c r="A1194" s="76" t="s">
        <v>449</v>
      </c>
      <c r="B1194" s="76" t="s">
        <v>93</v>
      </c>
      <c r="C1194" s="77">
        <v>40968</v>
      </c>
      <c r="D1194" s="78">
        <v>41333</v>
      </c>
      <c r="E1194" s="79">
        <v>0</v>
      </c>
      <c r="F1194" s="80">
        <v>0</v>
      </c>
      <c r="G1194" s="81"/>
      <c r="H1194" s="80">
        <v>0</v>
      </c>
      <c r="I1194" s="79">
        <v>0</v>
      </c>
    </row>
    <row r="1195" spans="1:9" x14ac:dyDescent="0.25">
      <c r="A1195" s="76" t="s">
        <v>449</v>
      </c>
      <c r="B1195" s="76" t="s">
        <v>93</v>
      </c>
      <c r="C1195" s="77">
        <v>40968</v>
      </c>
      <c r="D1195" s="78">
        <v>41333</v>
      </c>
      <c r="E1195" s="79">
        <v>0</v>
      </c>
      <c r="F1195" s="80"/>
      <c r="G1195" s="81">
        <v>0</v>
      </c>
      <c r="H1195" s="80">
        <v>0</v>
      </c>
      <c r="I1195" s="79">
        <v>0</v>
      </c>
    </row>
    <row r="1196" spans="1:9" x14ac:dyDescent="0.25">
      <c r="A1196" s="76" t="s">
        <v>281</v>
      </c>
      <c r="B1196" s="76" t="s">
        <v>287</v>
      </c>
      <c r="C1196" s="77">
        <v>40754</v>
      </c>
      <c r="D1196" s="78">
        <v>41119</v>
      </c>
      <c r="E1196" s="79">
        <v>0.54</v>
      </c>
      <c r="F1196" s="80"/>
      <c r="G1196" s="81">
        <v>0</v>
      </c>
      <c r="H1196" s="80">
        <v>0</v>
      </c>
      <c r="I1196" s="79">
        <v>0</v>
      </c>
    </row>
    <row r="1197" spans="1:9" x14ac:dyDescent="0.25">
      <c r="A1197" s="70" t="s">
        <v>146</v>
      </c>
      <c r="B1197" s="70" t="s">
        <v>158</v>
      </c>
      <c r="C1197" s="71">
        <v>40841</v>
      </c>
      <c r="D1197" s="72">
        <v>41207</v>
      </c>
      <c r="E1197" s="101">
        <v>4.4999999999999999E-4</v>
      </c>
      <c r="F1197" s="74">
        <v>0</v>
      </c>
      <c r="G1197" s="75"/>
      <c r="H1197" s="74">
        <v>0</v>
      </c>
      <c r="I1197" s="73">
        <v>0</v>
      </c>
    </row>
    <row r="1198" spans="1:9" x14ac:dyDescent="0.25">
      <c r="A1198" s="76" t="s">
        <v>643</v>
      </c>
      <c r="B1198" s="76" t="s">
        <v>158</v>
      </c>
      <c r="C1198" s="77">
        <v>40920</v>
      </c>
      <c r="D1198" s="78">
        <v>41274</v>
      </c>
      <c r="E1198" s="79">
        <v>4.4999999999999997E-3</v>
      </c>
      <c r="F1198" s="80">
        <v>0</v>
      </c>
      <c r="G1198" s="81"/>
      <c r="H1198" s="80">
        <v>0</v>
      </c>
      <c r="I1198" s="79">
        <v>0</v>
      </c>
    </row>
    <row r="1199" spans="1:9" x14ac:dyDescent="0.25">
      <c r="A1199" s="76" t="s">
        <v>643</v>
      </c>
      <c r="B1199" s="76" t="s">
        <v>158</v>
      </c>
      <c r="C1199" s="77">
        <v>40920</v>
      </c>
      <c r="D1199" s="78">
        <v>41274</v>
      </c>
      <c r="E1199" s="79">
        <v>4.4999999999999997E-3</v>
      </c>
      <c r="F1199" s="80"/>
      <c r="G1199" s="81">
        <v>0</v>
      </c>
      <c r="H1199" s="80">
        <v>0</v>
      </c>
      <c r="I1199" s="79">
        <v>0</v>
      </c>
    </row>
    <row r="1200" spans="1:9" x14ac:dyDescent="0.25">
      <c r="A1200" s="76" t="s">
        <v>643</v>
      </c>
      <c r="B1200" s="76" t="s">
        <v>644</v>
      </c>
      <c r="C1200" s="77">
        <v>40549</v>
      </c>
      <c r="D1200" s="78">
        <v>40913</v>
      </c>
      <c r="E1200" s="79">
        <v>4.4999999999999997E-3</v>
      </c>
      <c r="F1200" s="80">
        <v>58924.5</v>
      </c>
      <c r="G1200" s="81"/>
      <c r="H1200" s="80">
        <v>0</v>
      </c>
      <c r="I1200" s="79">
        <f>H1200/F1200</f>
        <v>0</v>
      </c>
    </row>
    <row r="1201" spans="1:9" x14ac:dyDescent="0.25">
      <c r="A1201" s="76" t="s">
        <v>643</v>
      </c>
      <c r="B1201" s="76" t="s">
        <v>644</v>
      </c>
      <c r="C1201" s="77">
        <v>40549</v>
      </c>
      <c r="D1201" s="78">
        <v>40913</v>
      </c>
      <c r="E1201" s="79">
        <v>4.4999999999999997E-3</v>
      </c>
      <c r="F1201" s="80"/>
      <c r="G1201" s="81">
        <v>3021</v>
      </c>
      <c r="H1201" s="80">
        <v>0</v>
      </c>
      <c r="I1201" s="79">
        <f>H1201/G1201</f>
        <v>0</v>
      </c>
    </row>
    <row r="1202" spans="1:9" x14ac:dyDescent="0.25">
      <c r="A1202" s="76" t="s">
        <v>643</v>
      </c>
      <c r="B1202" s="76" t="s">
        <v>644</v>
      </c>
      <c r="C1202" s="77">
        <v>40914</v>
      </c>
      <c r="D1202" s="78">
        <v>41252</v>
      </c>
      <c r="E1202" s="79">
        <v>4.4999999999999997E-3</v>
      </c>
      <c r="F1202" s="80">
        <v>0</v>
      </c>
      <c r="G1202" s="81"/>
      <c r="H1202" s="80">
        <v>0</v>
      </c>
      <c r="I1202" s="79">
        <v>0</v>
      </c>
    </row>
    <row r="1203" spans="1:9" x14ac:dyDescent="0.25">
      <c r="A1203" s="76" t="s">
        <v>643</v>
      </c>
      <c r="B1203" s="76" t="s">
        <v>644</v>
      </c>
      <c r="C1203" s="77">
        <v>40914</v>
      </c>
      <c r="D1203" s="78">
        <v>41252</v>
      </c>
      <c r="E1203" s="79">
        <v>4.4999999999999997E-3</v>
      </c>
      <c r="F1203" s="80"/>
      <c r="G1203" s="81">
        <v>0</v>
      </c>
      <c r="H1203" s="80">
        <v>0</v>
      </c>
      <c r="I1203" s="79">
        <v>0</v>
      </c>
    </row>
    <row r="1204" spans="1:9" x14ac:dyDescent="0.25">
      <c r="A1204" s="76" t="s">
        <v>449</v>
      </c>
      <c r="B1204" s="76" t="s">
        <v>472</v>
      </c>
      <c r="C1204" s="77">
        <v>41091</v>
      </c>
      <c r="D1204" s="78">
        <v>41455</v>
      </c>
      <c r="E1204" s="79">
        <v>0</v>
      </c>
      <c r="F1204" s="80">
        <v>0</v>
      </c>
      <c r="G1204" s="88"/>
      <c r="H1204" s="80">
        <v>0</v>
      </c>
      <c r="I1204" s="79">
        <v>0</v>
      </c>
    </row>
    <row r="1205" spans="1:9" x14ac:dyDescent="0.25">
      <c r="A1205" s="76" t="s">
        <v>583</v>
      </c>
      <c r="B1205" s="76" t="s">
        <v>584</v>
      </c>
      <c r="C1205" s="77">
        <v>40544</v>
      </c>
      <c r="D1205" s="78">
        <v>40939</v>
      </c>
      <c r="E1205" s="79">
        <v>0.09</v>
      </c>
      <c r="F1205" s="80">
        <v>0</v>
      </c>
      <c r="G1205" s="81"/>
      <c r="H1205" s="80">
        <v>0</v>
      </c>
      <c r="I1205" s="79">
        <v>0</v>
      </c>
    </row>
    <row r="1206" spans="1:9" x14ac:dyDescent="0.25">
      <c r="A1206" s="76" t="s">
        <v>583</v>
      </c>
      <c r="B1206" s="76" t="s">
        <v>584</v>
      </c>
      <c r="C1206" s="77">
        <v>40940</v>
      </c>
      <c r="D1206" s="78">
        <v>41305</v>
      </c>
      <c r="E1206" s="79">
        <v>0.09</v>
      </c>
      <c r="F1206" s="80">
        <v>0</v>
      </c>
      <c r="G1206" s="81"/>
      <c r="H1206" s="80">
        <v>0</v>
      </c>
      <c r="I1206" s="79">
        <v>0</v>
      </c>
    </row>
    <row r="1207" spans="1:9" x14ac:dyDescent="0.25">
      <c r="A1207" s="76" t="s">
        <v>171</v>
      </c>
      <c r="B1207" s="76" t="s">
        <v>203</v>
      </c>
      <c r="C1207" s="77">
        <v>40771</v>
      </c>
      <c r="D1207" s="78">
        <v>41121</v>
      </c>
      <c r="E1207" s="79">
        <v>1.7999999999999999E-2</v>
      </c>
      <c r="F1207" s="80">
        <v>0</v>
      </c>
      <c r="G1207" s="81"/>
      <c r="H1207" s="80">
        <v>0</v>
      </c>
      <c r="I1207" s="79">
        <v>0</v>
      </c>
    </row>
    <row r="1208" spans="1:9" x14ac:dyDescent="0.25">
      <c r="A1208" s="76" t="s">
        <v>643</v>
      </c>
      <c r="B1208" s="76" t="s">
        <v>181</v>
      </c>
      <c r="C1208" s="77">
        <v>40847</v>
      </c>
      <c r="D1208" s="78">
        <v>41212</v>
      </c>
      <c r="E1208" s="79">
        <v>4.4999999999999997E-3</v>
      </c>
      <c r="F1208" s="80">
        <v>172677.05</v>
      </c>
      <c r="G1208" s="81"/>
      <c r="H1208" s="80">
        <v>0</v>
      </c>
      <c r="I1208" s="79">
        <f>H1208/F1208</f>
        <v>0</v>
      </c>
    </row>
    <row r="1209" spans="1:9" x14ac:dyDescent="0.25">
      <c r="A1209" s="76" t="s">
        <v>643</v>
      </c>
      <c r="B1209" s="76" t="s">
        <v>181</v>
      </c>
      <c r="C1209" s="77">
        <v>40847</v>
      </c>
      <c r="D1209" s="78">
        <v>41212</v>
      </c>
      <c r="E1209" s="79">
        <v>4.4999999999999997E-3</v>
      </c>
      <c r="F1209" s="80"/>
      <c r="G1209" s="81">
        <v>4040</v>
      </c>
      <c r="H1209" s="80">
        <v>0</v>
      </c>
      <c r="I1209" s="79">
        <f>H1209/G1209</f>
        <v>0</v>
      </c>
    </row>
    <row r="1210" spans="1:9" x14ac:dyDescent="0.25">
      <c r="A1210" s="76" t="s">
        <v>246</v>
      </c>
      <c r="B1210" s="76" t="s">
        <v>247</v>
      </c>
      <c r="C1210" s="77">
        <v>40909</v>
      </c>
      <c r="D1210" s="78">
        <v>41274</v>
      </c>
      <c r="E1210" s="79">
        <v>0</v>
      </c>
      <c r="F1210" s="80">
        <v>0</v>
      </c>
      <c r="G1210" s="81"/>
      <c r="H1210" s="80">
        <v>0</v>
      </c>
      <c r="I1210" s="79">
        <v>0</v>
      </c>
    </row>
    <row r="1211" spans="1:9" x14ac:dyDescent="0.25">
      <c r="A1211" s="76" t="s">
        <v>317</v>
      </c>
      <c r="B1211" s="76" t="s">
        <v>160</v>
      </c>
      <c r="C1211" s="77">
        <v>40774</v>
      </c>
      <c r="D1211" s="78">
        <v>41090</v>
      </c>
      <c r="E1211" s="79">
        <v>0</v>
      </c>
      <c r="F1211" s="80">
        <v>0</v>
      </c>
      <c r="G1211" s="81"/>
      <c r="H1211" s="80">
        <v>0</v>
      </c>
      <c r="I1211" s="79">
        <v>0</v>
      </c>
    </row>
    <row r="1212" spans="1:9" x14ac:dyDescent="0.25">
      <c r="A1212" s="76" t="s">
        <v>317</v>
      </c>
      <c r="B1212" s="76" t="s">
        <v>160</v>
      </c>
      <c r="C1212" s="77">
        <v>40774</v>
      </c>
      <c r="D1212" s="78">
        <v>41090</v>
      </c>
      <c r="E1212" s="79">
        <v>0</v>
      </c>
      <c r="F1212" s="80"/>
      <c r="G1212" s="81">
        <v>0</v>
      </c>
      <c r="H1212" s="80">
        <v>0</v>
      </c>
      <c r="I1212" s="79">
        <v>0</v>
      </c>
    </row>
    <row r="1213" spans="1:9" x14ac:dyDescent="0.25">
      <c r="A1213" s="76" t="s">
        <v>674</v>
      </c>
      <c r="B1213" s="76" t="s">
        <v>184</v>
      </c>
      <c r="C1213" s="77">
        <v>40961</v>
      </c>
      <c r="D1213" s="78">
        <v>41274</v>
      </c>
      <c r="E1213" s="79">
        <v>0.22500000000000001</v>
      </c>
      <c r="F1213" s="80">
        <v>0</v>
      </c>
      <c r="G1213" s="81"/>
      <c r="H1213" s="80">
        <v>0</v>
      </c>
      <c r="I1213" s="79">
        <v>0</v>
      </c>
    </row>
    <row r="1214" spans="1:9" x14ac:dyDescent="0.25">
      <c r="A1214" s="76" t="s">
        <v>674</v>
      </c>
      <c r="B1214" s="76" t="s">
        <v>184</v>
      </c>
      <c r="C1214" s="77">
        <v>40961</v>
      </c>
      <c r="D1214" s="78">
        <v>41274</v>
      </c>
      <c r="E1214" s="79">
        <v>0.22500000000000001</v>
      </c>
      <c r="F1214" s="80"/>
      <c r="G1214" s="81">
        <v>0</v>
      </c>
      <c r="H1214" s="80">
        <v>0</v>
      </c>
      <c r="I1214" s="79">
        <v>0</v>
      </c>
    </row>
    <row r="1215" spans="1:9" x14ac:dyDescent="0.25">
      <c r="A1215" s="76" t="s">
        <v>555</v>
      </c>
      <c r="B1215" s="76" t="s">
        <v>98</v>
      </c>
      <c r="C1215" s="77">
        <v>40758</v>
      </c>
      <c r="D1215" s="78">
        <v>41123</v>
      </c>
      <c r="E1215" s="79">
        <v>0.09</v>
      </c>
      <c r="F1215" s="80">
        <v>0</v>
      </c>
      <c r="G1215" s="81"/>
      <c r="H1215" s="80">
        <v>0</v>
      </c>
      <c r="I1215" s="79">
        <v>0</v>
      </c>
    </row>
    <row r="1216" spans="1:9" x14ac:dyDescent="0.25">
      <c r="A1216" s="76" t="s">
        <v>555</v>
      </c>
      <c r="B1216" s="76" t="s">
        <v>98</v>
      </c>
      <c r="C1216" s="77">
        <v>41124</v>
      </c>
      <c r="D1216" s="78">
        <v>41488</v>
      </c>
      <c r="E1216" s="79">
        <v>0.09</v>
      </c>
      <c r="F1216" s="80">
        <v>0</v>
      </c>
      <c r="G1216" s="88"/>
      <c r="H1216" s="80">
        <v>0</v>
      </c>
      <c r="I1216" s="79">
        <v>0</v>
      </c>
    </row>
    <row r="1217" spans="1:9" x14ac:dyDescent="0.25">
      <c r="A1217" s="76" t="s">
        <v>262</v>
      </c>
      <c r="B1217" s="76" t="s">
        <v>107</v>
      </c>
      <c r="C1217" s="77">
        <v>41208</v>
      </c>
      <c r="D1217" s="78">
        <v>41274</v>
      </c>
      <c r="E1217" s="79">
        <v>8.9999999999999993E-3</v>
      </c>
      <c r="F1217" s="80">
        <v>0</v>
      </c>
      <c r="G1217" s="81"/>
      <c r="H1217" s="80">
        <v>0</v>
      </c>
      <c r="I1217" s="79">
        <v>0</v>
      </c>
    </row>
    <row r="1218" spans="1:9" x14ac:dyDescent="0.25">
      <c r="A1218" s="76" t="s">
        <v>262</v>
      </c>
      <c r="B1218" s="76" t="s">
        <v>107</v>
      </c>
      <c r="C1218" s="77">
        <v>41208</v>
      </c>
      <c r="D1218" s="78">
        <v>41274</v>
      </c>
      <c r="E1218" s="79">
        <v>8.9999999999999993E-3</v>
      </c>
      <c r="F1218" s="80"/>
      <c r="G1218" s="81">
        <v>0</v>
      </c>
      <c r="H1218" s="80">
        <v>0</v>
      </c>
      <c r="I1218" s="79">
        <v>0</v>
      </c>
    </row>
    <row r="1219" spans="1:9" x14ac:dyDescent="0.25">
      <c r="A1219" s="76" t="s">
        <v>246</v>
      </c>
      <c r="B1219" s="76" t="s">
        <v>173</v>
      </c>
      <c r="C1219" s="77">
        <v>40909</v>
      </c>
      <c r="D1219" s="78">
        <v>41274</v>
      </c>
      <c r="E1219" s="79">
        <v>0</v>
      </c>
      <c r="F1219" s="80">
        <v>0</v>
      </c>
      <c r="G1219" s="81"/>
      <c r="H1219" s="80">
        <v>0</v>
      </c>
      <c r="I1219" s="79">
        <v>0</v>
      </c>
    </row>
    <row r="1220" spans="1:9" x14ac:dyDescent="0.25">
      <c r="A1220" s="76" t="s">
        <v>317</v>
      </c>
      <c r="B1220" s="76" t="s">
        <v>333</v>
      </c>
      <c r="C1220" s="77">
        <v>40821</v>
      </c>
      <c r="D1220" s="78">
        <v>41090</v>
      </c>
      <c r="E1220" s="79">
        <v>0</v>
      </c>
      <c r="F1220" s="80">
        <v>959</v>
      </c>
      <c r="G1220" s="81"/>
      <c r="H1220" s="80">
        <v>0</v>
      </c>
      <c r="I1220" s="79">
        <f>H1220/F1220</f>
        <v>0</v>
      </c>
    </row>
    <row r="1221" spans="1:9" x14ac:dyDescent="0.25">
      <c r="A1221" s="76" t="s">
        <v>317</v>
      </c>
      <c r="B1221" s="76" t="s">
        <v>333</v>
      </c>
      <c r="C1221" s="77">
        <v>40821</v>
      </c>
      <c r="D1221" s="78">
        <v>41090</v>
      </c>
      <c r="E1221" s="79">
        <v>0</v>
      </c>
      <c r="F1221" s="80"/>
      <c r="G1221" s="81">
        <v>0</v>
      </c>
      <c r="H1221" s="80">
        <v>0</v>
      </c>
      <c r="I1221" s="79">
        <v>0</v>
      </c>
    </row>
    <row r="1222" spans="1:9" x14ac:dyDescent="0.25">
      <c r="A1222" s="76" t="s">
        <v>317</v>
      </c>
      <c r="B1222" s="76" t="s">
        <v>333</v>
      </c>
      <c r="C1222" s="77">
        <v>40821</v>
      </c>
      <c r="D1222" s="78">
        <v>41090</v>
      </c>
      <c r="E1222" s="79">
        <v>0</v>
      </c>
      <c r="F1222" s="80">
        <v>959</v>
      </c>
      <c r="G1222" s="81"/>
      <c r="H1222" s="80">
        <v>0</v>
      </c>
      <c r="I1222" s="79">
        <f>H1222/F1222</f>
        <v>0</v>
      </c>
    </row>
    <row r="1223" spans="1:9" x14ac:dyDescent="0.25">
      <c r="A1223" s="76" t="s">
        <v>317</v>
      </c>
      <c r="B1223" s="76" t="s">
        <v>333</v>
      </c>
      <c r="C1223" s="77">
        <v>40821</v>
      </c>
      <c r="D1223" s="78">
        <v>41090</v>
      </c>
      <c r="E1223" s="79">
        <v>0</v>
      </c>
      <c r="F1223" s="80"/>
      <c r="G1223" s="81">
        <v>0</v>
      </c>
      <c r="H1223" s="80">
        <v>0</v>
      </c>
      <c r="I1223" s="79">
        <v>0</v>
      </c>
    </row>
    <row r="1224" spans="1:9" x14ac:dyDescent="0.25">
      <c r="A1224" s="76" t="s">
        <v>449</v>
      </c>
      <c r="B1224" s="76" t="s">
        <v>466</v>
      </c>
      <c r="C1224" s="77">
        <v>41030</v>
      </c>
      <c r="D1224" s="78">
        <v>41394</v>
      </c>
      <c r="E1224" s="79">
        <v>0</v>
      </c>
      <c r="F1224" s="80">
        <v>0</v>
      </c>
      <c r="G1224" s="81"/>
      <c r="H1224" s="80">
        <v>0</v>
      </c>
      <c r="I1224" s="79">
        <v>0</v>
      </c>
    </row>
    <row r="1225" spans="1:9" x14ac:dyDescent="0.25">
      <c r="A1225" s="76" t="s">
        <v>449</v>
      </c>
      <c r="B1225" s="76" t="s">
        <v>466</v>
      </c>
      <c r="C1225" s="77">
        <v>41030</v>
      </c>
      <c r="D1225" s="78">
        <v>41394</v>
      </c>
      <c r="E1225" s="79">
        <v>0</v>
      </c>
      <c r="F1225" s="80"/>
      <c r="G1225" s="81">
        <v>0</v>
      </c>
      <c r="H1225" s="80">
        <v>0</v>
      </c>
      <c r="I1225" s="79">
        <v>0</v>
      </c>
    </row>
    <row r="1226" spans="1:9" x14ac:dyDescent="0.25">
      <c r="A1226" s="76" t="s">
        <v>449</v>
      </c>
      <c r="B1226" s="76" t="s">
        <v>27</v>
      </c>
      <c r="C1226" s="77">
        <v>40664</v>
      </c>
      <c r="D1226" s="78">
        <v>41029</v>
      </c>
      <c r="E1226" s="79">
        <v>0</v>
      </c>
      <c r="F1226" s="80"/>
      <c r="G1226" s="81">
        <v>0</v>
      </c>
      <c r="H1226" s="80">
        <v>0</v>
      </c>
      <c r="I1226" s="79">
        <v>0</v>
      </c>
    </row>
    <row r="1227" spans="1:9" x14ac:dyDescent="0.25">
      <c r="A1227" s="76" t="s">
        <v>449</v>
      </c>
      <c r="B1227" s="76" t="s">
        <v>151</v>
      </c>
      <c r="C1227" s="77">
        <v>40664</v>
      </c>
      <c r="D1227" s="78">
        <v>41029</v>
      </c>
      <c r="E1227" s="79">
        <v>0</v>
      </c>
      <c r="F1227" s="80">
        <v>0</v>
      </c>
      <c r="G1227" s="81"/>
      <c r="H1227" s="80">
        <v>0</v>
      </c>
      <c r="I1227" s="79">
        <v>0</v>
      </c>
    </row>
    <row r="1228" spans="1:9" x14ac:dyDescent="0.25">
      <c r="A1228" s="76" t="s">
        <v>531</v>
      </c>
      <c r="B1228" s="76" t="s">
        <v>141</v>
      </c>
      <c r="C1228" s="77">
        <v>40922</v>
      </c>
      <c r="D1228" s="78">
        <v>41182</v>
      </c>
      <c r="E1228" s="79">
        <v>8.9999999999999993E-3</v>
      </c>
      <c r="F1228" s="80">
        <v>0</v>
      </c>
      <c r="G1228" s="81"/>
      <c r="H1228" s="80">
        <v>0</v>
      </c>
      <c r="I1228" s="79">
        <v>0</v>
      </c>
    </row>
    <row r="1229" spans="1:9" x14ac:dyDescent="0.25">
      <c r="A1229" s="76" t="s">
        <v>531</v>
      </c>
      <c r="B1229" s="76" t="s">
        <v>141</v>
      </c>
      <c r="C1229" s="77">
        <v>40922</v>
      </c>
      <c r="D1229" s="78">
        <v>41182</v>
      </c>
      <c r="E1229" s="79">
        <v>8.9999999999999993E-3</v>
      </c>
      <c r="F1229" s="80"/>
      <c r="G1229" s="81">
        <v>0</v>
      </c>
      <c r="H1229" s="80">
        <v>0</v>
      </c>
      <c r="I1229" s="79">
        <v>0</v>
      </c>
    </row>
    <row r="1230" spans="1:9" x14ac:dyDescent="0.25">
      <c r="A1230" s="76" t="s">
        <v>477</v>
      </c>
      <c r="B1230" s="76" t="s">
        <v>29</v>
      </c>
      <c r="C1230" s="77">
        <v>40792</v>
      </c>
      <c r="D1230" s="78">
        <v>41121</v>
      </c>
      <c r="E1230" s="79">
        <v>8.9999999999999993E-3</v>
      </c>
      <c r="F1230" s="80">
        <v>0</v>
      </c>
      <c r="G1230" s="81"/>
      <c r="H1230" s="80">
        <v>0</v>
      </c>
      <c r="I1230" s="79">
        <v>0</v>
      </c>
    </row>
    <row r="1231" spans="1:9" x14ac:dyDescent="0.25">
      <c r="A1231" s="76" t="s">
        <v>477</v>
      </c>
      <c r="B1231" s="76" t="s">
        <v>29</v>
      </c>
      <c r="C1231" s="77">
        <v>40792</v>
      </c>
      <c r="D1231" s="78">
        <v>41121</v>
      </c>
      <c r="E1231" s="79">
        <v>8.9999999999999993E-3</v>
      </c>
      <c r="F1231" s="80"/>
      <c r="G1231" s="81">
        <v>0</v>
      </c>
      <c r="H1231" s="80">
        <v>0</v>
      </c>
      <c r="I1231" s="79">
        <v>0</v>
      </c>
    </row>
    <row r="1232" spans="1:9" x14ac:dyDescent="0.25">
      <c r="A1232" s="70" t="s">
        <v>20</v>
      </c>
      <c r="B1232" s="70" t="s">
        <v>36</v>
      </c>
      <c r="C1232" s="71">
        <v>41029</v>
      </c>
      <c r="D1232" s="72">
        <v>41274</v>
      </c>
      <c r="E1232" s="73">
        <v>0</v>
      </c>
      <c r="F1232" s="74"/>
      <c r="G1232" s="75">
        <v>15.11</v>
      </c>
      <c r="H1232" s="74">
        <v>0</v>
      </c>
      <c r="I1232" s="73">
        <v>0</v>
      </c>
    </row>
    <row r="1233" spans="1:9" x14ac:dyDescent="0.25">
      <c r="A1233" s="70" t="s">
        <v>113</v>
      </c>
      <c r="B1233" s="70" t="s">
        <v>114</v>
      </c>
      <c r="C1233" s="71">
        <v>40566</v>
      </c>
      <c r="D1233" s="72">
        <v>40930</v>
      </c>
      <c r="E1233" s="73">
        <v>1.35E-2</v>
      </c>
      <c r="F1233" s="74">
        <v>0</v>
      </c>
      <c r="G1233" s="75"/>
      <c r="H1233" s="74">
        <v>0</v>
      </c>
      <c r="I1233" s="73">
        <v>0</v>
      </c>
    </row>
    <row r="1234" spans="1:9" x14ac:dyDescent="0.25">
      <c r="A1234" s="70" t="s">
        <v>113</v>
      </c>
      <c r="B1234" s="70" t="s">
        <v>114</v>
      </c>
      <c r="C1234" s="71">
        <v>40566</v>
      </c>
      <c r="D1234" s="72">
        <v>40930</v>
      </c>
      <c r="E1234" s="73">
        <v>1.35E-2</v>
      </c>
      <c r="F1234" s="74"/>
      <c r="G1234" s="75">
        <v>0</v>
      </c>
      <c r="H1234" s="74">
        <v>0</v>
      </c>
      <c r="I1234" s="73">
        <v>0</v>
      </c>
    </row>
    <row r="1235" spans="1:9" x14ac:dyDescent="0.25">
      <c r="A1235" s="70" t="s">
        <v>116</v>
      </c>
      <c r="B1235" s="70" t="s">
        <v>117</v>
      </c>
      <c r="C1235" s="71">
        <v>40952</v>
      </c>
      <c r="D1235" s="72">
        <v>41317</v>
      </c>
      <c r="E1235" s="73">
        <v>8.9999999999999993E-3</v>
      </c>
      <c r="F1235" s="74">
        <v>0</v>
      </c>
      <c r="G1235" s="75"/>
      <c r="H1235" s="74">
        <v>0</v>
      </c>
      <c r="I1235" s="73">
        <v>0</v>
      </c>
    </row>
    <row r="1236" spans="1:9" x14ac:dyDescent="0.25">
      <c r="A1236" s="76" t="s">
        <v>643</v>
      </c>
      <c r="B1236" s="76" t="s">
        <v>168</v>
      </c>
      <c r="C1236" s="77">
        <v>40969</v>
      </c>
      <c r="D1236" s="78">
        <v>41274</v>
      </c>
      <c r="E1236" s="79">
        <v>1.7999999999999999E-2</v>
      </c>
      <c r="F1236" s="80">
        <v>90364.34</v>
      </c>
      <c r="G1236" s="81"/>
      <c r="H1236" s="80">
        <v>0</v>
      </c>
      <c r="I1236" s="79">
        <f>H1236/F1236</f>
        <v>0</v>
      </c>
    </row>
    <row r="1237" spans="1:9" x14ac:dyDescent="0.25">
      <c r="A1237" s="76" t="s">
        <v>643</v>
      </c>
      <c r="B1237" s="76" t="s">
        <v>168</v>
      </c>
      <c r="C1237" s="77">
        <v>40969</v>
      </c>
      <c r="D1237" s="78">
        <v>41274</v>
      </c>
      <c r="E1237" s="79">
        <v>1.7999999999999999E-2</v>
      </c>
      <c r="F1237" s="80"/>
      <c r="G1237" s="81">
        <v>3305</v>
      </c>
      <c r="H1237" s="80">
        <v>0</v>
      </c>
      <c r="I1237" s="79">
        <f>H1237/G1237</f>
        <v>0</v>
      </c>
    </row>
    <row r="1238" spans="1:9" x14ac:dyDescent="0.25">
      <c r="A1238" s="76" t="s">
        <v>317</v>
      </c>
      <c r="B1238" s="76" t="s">
        <v>321</v>
      </c>
      <c r="C1238" s="77">
        <v>40648</v>
      </c>
      <c r="D1238" s="78">
        <v>41013</v>
      </c>
      <c r="E1238" s="79">
        <v>0</v>
      </c>
      <c r="F1238" s="80">
        <v>0</v>
      </c>
      <c r="G1238" s="81"/>
      <c r="H1238" s="80">
        <v>0</v>
      </c>
      <c r="I1238" s="79">
        <v>0</v>
      </c>
    </row>
    <row r="1239" spans="1:9" x14ac:dyDescent="0.25">
      <c r="A1239" s="76" t="s">
        <v>317</v>
      </c>
      <c r="B1239" s="76" t="s">
        <v>321</v>
      </c>
      <c r="C1239" s="77">
        <v>40648</v>
      </c>
      <c r="D1239" s="78">
        <v>41013</v>
      </c>
      <c r="E1239" s="79">
        <v>0</v>
      </c>
      <c r="F1239" s="80"/>
      <c r="G1239" s="81">
        <v>0</v>
      </c>
      <c r="H1239" s="80">
        <v>0</v>
      </c>
      <c r="I1239" s="79">
        <v>0</v>
      </c>
    </row>
    <row r="1240" spans="1:9" x14ac:dyDescent="0.25">
      <c r="A1240" s="76" t="s">
        <v>317</v>
      </c>
      <c r="B1240" s="76" t="s">
        <v>321</v>
      </c>
      <c r="C1240" s="77">
        <v>40648</v>
      </c>
      <c r="D1240" s="78">
        <v>41013</v>
      </c>
      <c r="E1240" s="79">
        <v>0</v>
      </c>
      <c r="F1240" s="80">
        <v>0</v>
      </c>
      <c r="G1240" s="81"/>
      <c r="H1240" s="80">
        <v>0</v>
      </c>
      <c r="I1240" s="79">
        <v>0</v>
      </c>
    </row>
    <row r="1241" spans="1:9" x14ac:dyDescent="0.25">
      <c r="A1241" s="76" t="s">
        <v>317</v>
      </c>
      <c r="B1241" s="76" t="s">
        <v>321</v>
      </c>
      <c r="C1241" s="77">
        <v>40648</v>
      </c>
      <c r="D1241" s="78">
        <v>41013</v>
      </c>
      <c r="E1241" s="79">
        <v>0</v>
      </c>
      <c r="F1241" s="80"/>
      <c r="G1241" s="81">
        <v>0</v>
      </c>
      <c r="H1241" s="80">
        <v>0</v>
      </c>
      <c r="I1241" s="79">
        <v>0</v>
      </c>
    </row>
    <row r="1242" spans="1:9" x14ac:dyDescent="0.25">
      <c r="A1242" s="76" t="s">
        <v>281</v>
      </c>
      <c r="B1242" s="76" t="s">
        <v>283</v>
      </c>
      <c r="C1242" s="77">
        <v>40575</v>
      </c>
      <c r="D1242" s="78">
        <v>40999</v>
      </c>
      <c r="E1242" s="79">
        <v>0</v>
      </c>
      <c r="F1242" s="80"/>
      <c r="G1242" s="81">
        <v>0</v>
      </c>
      <c r="H1242" s="80">
        <v>0</v>
      </c>
      <c r="I1242" s="79">
        <v>0</v>
      </c>
    </row>
    <row r="1243" spans="1:9" x14ac:dyDescent="0.25">
      <c r="A1243" s="76" t="s">
        <v>281</v>
      </c>
      <c r="B1243" s="76" t="s">
        <v>282</v>
      </c>
      <c r="C1243" s="77">
        <v>40575</v>
      </c>
      <c r="D1243" s="78">
        <v>40939</v>
      </c>
      <c r="E1243" s="79">
        <v>0</v>
      </c>
      <c r="F1243" s="80"/>
      <c r="G1243" s="81">
        <v>0</v>
      </c>
      <c r="H1243" s="80">
        <v>0</v>
      </c>
      <c r="I1243" s="79">
        <v>0</v>
      </c>
    </row>
    <row r="1244" spans="1:9" x14ac:dyDescent="0.25">
      <c r="A1244" s="70" t="s">
        <v>20</v>
      </c>
      <c r="B1244" s="70" t="s">
        <v>23</v>
      </c>
      <c r="C1244" s="71">
        <v>40634</v>
      </c>
      <c r="D1244" s="72">
        <v>41090</v>
      </c>
      <c r="E1244" s="73">
        <v>0</v>
      </c>
      <c r="F1244" s="74">
        <v>16551.150000000001</v>
      </c>
      <c r="G1244" s="75"/>
      <c r="H1244" s="74">
        <v>0</v>
      </c>
      <c r="I1244" s="73">
        <v>0</v>
      </c>
    </row>
    <row r="1245" spans="1:9" x14ac:dyDescent="0.25">
      <c r="A1245" s="76" t="s">
        <v>262</v>
      </c>
      <c r="B1245" s="76" t="s">
        <v>23</v>
      </c>
      <c r="C1245" s="77">
        <v>41138</v>
      </c>
      <c r="D1245" s="78">
        <v>41455</v>
      </c>
      <c r="E1245" s="79">
        <v>8.9999999999999993E-3</v>
      </c>
      <c r="F1245" s="80"/>
      <c r="G1245" s="81">
        <v>0</v>
      </c>
      <c r="H1245" s="80">
        <v>0</v>
      </c>
      <c r="I1245" s="79">
        <v>0</v>
      </c>
    </row>
    <row r="1246" spans="1:9" x14ac:dyDescent="0.25">
      <c r="A1246" s="76" t="s">
        <v>263</v>
      </c>
      <c r="B1246" s="76" t="s">
        <v>23</v>
      </c>
      <c r="C1246" s="77">
        <v>40772</v>
      </c>
      <c r="D1246" s="78">
        <v>41137</v>
      </c>
      <c r="E1246" s="79">
        <v>8.9999999999999993E-3</v>
      </c>
      <c r="F1246" s="80">
        <v>0</v>
      </c>
      <c r="G1246" s="81"/>
      <c r="H1246" s="80">
        <v>0</v>
      </c>
      <c r="I1246" s="79">
        <v>0</v>
      </c>
    </row>
    <row r="1247" spans="1:9" x14ac:dyDescent="0.25">
      <c r="A1247" s="76" t="s">
        <v>263</v>
      </c>
      <c r="B1247" s="76" t="s">
        <v>23</v>
      </c>
      <c r="C1247" s="77">
        <v>40772</v>
      </c>
      <c r="D1247" s="78">
        <v>41137</v>
      </c>
      <c r="E1247" s="79">
        <v>8.9999999999999993E-3</v>
      </c>
      <c r="F1247" s="80"/>
      <c r="G1247" s="81">
        <v>0</v>
      </c>
      <c r="H1247" s="80">
        <v>0</v>
      </c>
      <c r="I1247" s="79">
        <v>0</v>
      </c>
    </row>
    <row r="1248" spans="1:9" x14ac:dyDescent="0.25">
      <c r="A1248" s="76" t="s">
        <v>263</v>
      </c>
      <c r="B1248" s="76" t="s">
        <v>23</v>
      </c>
      <c r="C1248" s="77">
        <v>40772</v>
      </c>
      <c r="D1248" s="78">
        <v>41137</v>
      </c>
      <c r="E1248" s="79">
        <v>8.9999999999999993E-3</v>
      </c>
      <c r="F1248" s="80">
        <v>0</v>
      </c>
      <c r="G1248" s="81"/>
      <c r="H1248" s="80">
        <v>0</v>
      </c>
      <c r="I1248" s="79">
        <v>0</v>
      </c>
    </row>
    <row r="1249" spans="1:9" x14ac:dyDescent="0.25">
      <c r="A1249" s="76" t="s">
        <v>263</v>
      </c>
      <c r="B1249" s="76" t="s">
        <v>23</v>
      </c>
      <c r="C1249" s="77">
        <v>40772</v>
      </c>
      <c r="D1249" s="78">
        <v>41137</v>
      </c>
      <c r="E1249" s="79">
        <v>8.9999999999999993E-3</v>
      </c>
      <c r="F1249" s="80"/>
      <c r="G1249" s="81">
        <v>0</v>
      </c>
      <c r="H1249" s="80">
        <v>0</v>
      </c>
      <c r="I1249" s="93">
        <v>0</v>
      </c>
    </row>
    <row r="1250" spans="1:9" x14ac:dyDescent="0.25">
      <c r="A1250" s="70" t="s">
        <v>20</v>
      </c>
      <c r="B1250" s="70" t="s">
        <v>22</v>
      </c>
      <c r="C1250" s="71">
        <v>40634</v>
      </c>
      <c r="D1250" s="72">
        <v>41090</v>
      </c>
      <c r="E1250" s="73">
        <v>0</v>
      </c>
      <c r="F1250" s="74">
        <v>51870.879999999997</v>
      </c>
      <c r="G1250" s="75"/>
      <c r="H1250" s="74">
        <v>0</v>
      </c>
      <c r="I1250" s="126">
        <v>0</v>
      </c>
    </row>
    <row r="1251" spans="1:9" x14ac:dyDescent="0.25">
      <c r="A1251" s="76" t="s">
        <v>531</v>
      </c>
      <c r="B1251" s="76" t="s">
        <v>533</v>
      </c>
      <c r="C1251" s="77">
        <v>40786</v>
      </c>
      <c r="D1251" s="78">
        <v>41121</v>
      </c>
      <c r="E1251" s="79">
        <v>8.9999999999999993E-3</v>
      </c>
      <c r="F1251" s="80">
        <v>0</v>
      </c>
      <c r="G1251" s="81"/>
      <c r="H1251" s="80">
        <v>0</v>
      </c>
      <c r="I1251" s="93">
        <v>0</v>
      </c>
    </row>
    <row r="1252" spans="1:9" x14ac:dyDescent="0.25">
      <c r="A1252" s="76" t="s">
        <v>531</v>
      </c>
      <c r="B1252" s="76" t="s">
        <v>533</v>
      </c>
      <c r="C1252" s="77">
        <v>40786</v>
      </c>
      <c r="D1252" s="78">
        <v>41121</v>
      </c>
      <c r="E1252" s="79">
        <v>8.9999999999999993E-3</v>
      </c>
      <c r="F1252" s="80"/>
      <c r="G1252" s="81">
        <v>0</v>
      </c>
      <c r="H1252" s="80">
        <v>0</v>
      </c>
      <c r="I1252" s="93">
        <v>0</v>
      </c>
    </row>
    <row r="1253" spans="1:9" x14ac:dyDescent="0.25">
      <c r="A1253" s="76" t="s">
        <v>249</v>
      </c>
      <c r="B1253" s="76" t="s">
        <v>255</v>
      </c>
      <c r="C1253" s="77">
        <v>40805</v>
      </c>
      <c r="D1253" s="78">
        <v>41053</v>
      </c>
      <c r="E1253" s="79">
        <v>0</v>
      </c>
      <c r="F1253" s="80">
        <v>38009.5</v>
      </c>
      <c r="G1253" s="81"/>
      <c r="H1253" s="80">
        <v>0</v>
      </c>
      <c r="I1253" s="93">
        <f>H1253/F1253</f>
        <v>0</v>
      </c>
    </row>
    <row r="1254" spans="1:9" x14ac:dyDescent="0.25">
      <c r="A1254" s="76" t="s">
        <v>643</v>
      </c>
      <c r="B1254" s="76" t="s">
        <v>656</v>
      </c>
      <c r="C1254" s="77">
        <v>40942</v>
      </c>
      <c r="D1254" s="78">
        <v>41274</v>
      </c>
      <c r="E1254" s="79">
        <v>4.4999999999999997E-3</v>
      </c>
      <c r="F1254" s="80">
        <v>118869.32</v>
      </c>
      <c r="G1254" s="81"/>
      <c r="H1254" s="80">
        <v>0</v>
      </c>
      <c r="I1254" s="93">
        <v>0</v>
      </c>
    </row>
    <row r="1255" spans="1:9" x14ac:dyDescent="0.25">
      <c r="A1255" s="76" t="s">
        <v>643</v>
      </c>
      <c r="B1255" s="76" t="s">
        <v>656</v>
      </c>
      <c r="C1255" s="77">
        <v>40942</v>
      </c>
      <c r="D1255" s="78">
        <v>41274</v>
      </c>
      <c r="E1255" s="79">
        <v>4.4999999999999997E-3</v>
      </c>
      <c r="F1255" s="80"/>
      <c r="G1255" s="81">
        <v>4251.5</v>
      </c>
      <c r="H1255" s="80">
        <v>0</v>
      </c>
      <c r="I1255" s="93">
        <v>0</v>
      </c>
    </row>
    <row r="1256" spans="1:9" x14ac:dyDescent="0.25">
      <c r="A1256" s="76" t="s">
        <v>171</v>
      </c>
      <c r="B1256" s="76" t="s">
        <v>103</v>
      </c>
      <c r="C1256" s="77">
        <v>40787</v>
      </c>
      <c r="D1256" s="78">
        <v>41152</v>
      </c>
      <c r="E1256" s="79">
        <v>1.7999999999999999E-2</v>
      </c>
      <c r="F1256" s="80">
        <v>0</v>
      </c>
      <c r="G1256" s="81"/>
      <c r="H1256" s="80">
        <v>0</v>
      </c>
      <c r="I1256" s="93">
        <v>0</v>
      </c>
    </row>
    <row r="1257" spans="1:9" x14ac:dyDescent="0.25">
      <c r="A1257" s="70" t="s">
        <v>119</v>
      </c>
      <c r="B1257" s="70" t="s">
        <v>70</v>
      </c>
      <c r="C1257" s="71">
        <v>40820</v>
      </c>
      <c r="D1257" s="72">
        <v>41185</v>
      </c>
      <c r="E1257" s="73">
        <v>0.09</v>
      </c>
      <c r="F1257" s="74">
        <v>0</v>
      </c>
      <c r="G1257" s="75">
        <v>0</v>
      </c>
      <c r="H1257" s="74">
        <v>0</v>
      </c>
      <c r="I1257" s="126">
        <v>0</v>
      </c>
    </row>
    <row r="1258" spans="1:9" x14ac:dyDescent="0.25">
      <c r="A1258" s="76" t="s">
        <v>643</v>
      </c>
      <c r="B1258" s="76" t="s">
        <v>649</v>
      </c>
      <c r="C1258" s="77">
        <v>41120</v>
      </c>
      <c r="D1258" s="78">
        <v>41484</v>
      </c>
      <c r="E1258" s="79">
        <v>4.4999999999999997E-3</v>
      </c>
      <c r="F1258" s="80"/>
      <c r="G1258" s="81">
        <v>0</v>
      </c>
      <c r="H1258" s="80">
        <v>0</v>
      </c>
      <c r="I1258" s="93">
        <v>0</v>
      </c>
    </row>
    <row r="1259" spans="1:9" x14ac:dyDescent="0.25">
      <c r="A1259" s="76" t="s">
        <v>449</v>
      </c>
      <c r="B1259" s="76" t="s">
        <v>451</v>
      </c>
      <c r="C1259" s="77">
        <v>40968</v>
      </c>
      <c r="D1259" s="78">
        <v>41333</v>
      </c>
      <c r="E1259" s="79">
        <v>0</v>
      </c>
      <c r="F1259" s="80">
        <v>0</v>
      </c>
      <c r="G1259" s="81" t="s">
        <v>469</v>
      </c>
      <c r="H1259" s="80">
        <v>0</v>
      </c>
      <c r="I1259" s="93">
        <v>0</v>
      </c>
    </row>
    <row r="1260" spans="1:9" x14ac:dyDescent="0.25">
      <c r="A1260" s="76" t="s">
        <v>449</v>
      </c>
      <c r="B1260" s="76" t="s">
        <v>451</v>
      </c>
      <c r="C1260" s="77">
        <v>40968</v>
      </c>
      <c r="D1260" s="78">
        <v>41333</v>
      </c>
      <c r="E1260" s="79">
        <v>0</v>
      </c>
      <c r="F1260" s="80"/>
      <c r="G1260" s="81">
        <v>0</v>
      </c>
      <c r="H1260" s="80">
        <v>0</v>
      </c>
      <c r="I1260" s="93">
        <v>0</v>
      </c>
    </row>
    <row r="1261" spans="1:9" x14ac:dyDescent="0.25">
      <c r="A1261" s="76" t="s">
        <v>317</v>
      </c>
      <c r="B1261" s="76" t="s">
        <v>350</v>
      </c>
      <c r="C1261" s="77">
        <v>40928</v>
      </c>
      <c r="D1261" s="78">
        <v>41293</v>
      </c>
      <c r="E1261" s="79">
        <v>8.9999999999999998E-4</v>
      </c>
      <c r="F1261" s="80">
        <v>0</v>
      </c>
      <c r="G1261" s="81"/>
      <c r="H1261" s="80">
        <v>0</v>
      </c>
      <c r="I1261" s="93">
        <v>0</v>
      </c>
    </row>
    <row r="1262" spans="1:9" x14ac:dyDescent="0.25">
      <c r="A1262" s="76" t="s">
        <v>613</v>
      </c>
      <c r="B1262" s="76" t="s">
        <v>618</v>
      </c>
      <c r="C1262" s="77">
        <v>40793</v>
      </c>
      <c r="D1262" s="78">
        <v>41121</v>
      </c>
      <c r="E1262" s="79">
        <v>8.9999999999999993E-3</v>
      </c>
      <c r="F1262" s="80"/>
      <c r="G1262" s="81">
        <v>0</v>
      </c>
      <c r="H1262" s="80">
        <v>0</v>
      </c>
      <c r="I1262" s="93">
        <v>0</v>
      </c>
    </row>
    <row r="1263" spans="1:9" x14ac:dyDescent="0.25">
      <c r="A1263" s="76" t="s">
        <v>531</v>
      </c>
      <c r="B1263" s="76" t="s">
        <v>547</v>
      </c>
      <c r="C1263" s="77">
        <v>41107</v>
      </c>
      <c r="D1263" s="78">
        <v>41364</v>
      </c>
      <c r="E1263" s="79">
        <v>8.9999999999999993E-3</v>
      </c>
      <c r="F1263" s="80">
        <v>0</v>
      </c>
      <c r="G1263" s="81"/>
      <c r="H1263" s="80">
        <v>0</v>
      </c>
      <c r="I1263" s="93">
        <v>0</v>
      </c>
    </row>
    <row r="1264" spans="1:9" x14ac:dyDescent="0.25">
      <c r="A1264" s="76" t="s">
        <v>317</v>
      </c>
      <c r="B1264" s="76" t="s">
        <v>90</v>
      </c>
      <c r="C1264" s="77">
        <v>40830</v>
      </c>
      <c r="D1264" s="78">
        <v>41090</v>
      </c>
      <c r="E1264" s="79">
        <v>0.18</v>
      </c>
      <c r="F1264" s="80">
        <v>0</v>
      </c>
      <c r="G1264" s="81"/>
      <c r="H1264" s="80">
        <v>0</v>
      </c>
      <c r="I1264" s="93">
        <v>0</v>
      </c>
    </row>
    <row r="1265" spans="1:9" x14ac:dyDescent="0.25">
      <c r="A1265" s="76" t="s">
        <v>317</v>
      </c>
      <c r="B1265" s="76" t="s">
        <v>90</v>
      </c>
      <c r="C1265" s="77">
        <v>40830</v>
      </c>
      <c r="D1265" s="78">
        <v>41090</v>
      </c>
      <c r="E1265" s="79">
        <v>0.18</v>
      </c>
      <c r="F1265" s="80"/>
      <c r="G1265" s="81">
        <v>0</v>
      </c>
      <c r="H1265" s="80">
        <v>0</v>
      </c>
      <c r="I1265" s="93">
        <v>0</v>
      </c>
    </row>
    <row r="1266" spans="1:9" x14ac:dyDescent="0.25">
      <c r="A1266" s="76" t="s">
        <v>317</v>
      </c>
      <c r="B1266" s="76" t="s">
        <v>90</v>
      </c>
      <c r="C1266" s="77">
        <v>41104</v>
      </c>
      <c r="D1266" s="78">
        <v>41455</v>
      </c>
      <c r="E1266" s="79">
        <v>0.18</v>
      </c>
      <c r="F1266" s="80">
        <v>0</v>
      </c>
      <c r="G1266" s="81"/>
      <c r="H1266" s="80">
        <v>0</v>
      </c>
      <c r="I1266" s="93">
        <v>0</v>
      </c>
    </row>
    <row r="1267" spans="1:9" x14ac:dyDescent="0.25">
      <c r="A1267" s="76" t="s">
        <v>317</v>
      </c>
      <c r="B1267" s="76" t="s">
        <v>90</v>
      </c>
      <c r="C1267" s="77">
        <v>41104</v>
      </c>
      <c r="D1267" s="78">
        <v>41455</v>
      </c>
      <c r="E1267" s="79">
        <v>0.18</v>
      </c>
      <c r="F1267" s="80"/>
      <c r="G1267" s="81">
        <v>0</v>
      </c>
      <c r="H1267" s="80">
        <v>0</v>
      </c>
      <c r="I1267" s="93">
        <v>0</v>
      </c>
    </row>
    <row r="1268" spans="1:9" x14ac:dyDescent="0.25">
      <c r="A1268" s="76" t="s">
        <v>171</v>
      </c>
      <c r="B1268" s="76" t="s">
        <v>102</v>
      </c>
      <c r="C1268" s="77">
        <v>40800</v>
      </c>
      <c r="D1268" s="78">
        <v>41152</v>
      </c>
      <c r="E1268" s="79">
        <v>1.7999999999999999E-2</v>
      </c>
      <c r="F1268" s="80">
        <v>0</v>
      </c>
      <c r="G1268" s="81"/>
      <c r="H1268" s="80">
        <v>0</v>
      </c>
      <c r="I1268" s="93">
        <v>0</v>
      </c>
    </row>
    <row r="1269" spans="1:9" x14ac:dyDescent="0.25">
      <c r="A1269" s="76" t="s">
        <v>674</v>
      </c>
      <c r="B1269" s="76" t="s">
        <v>102</v>
      </c>
      <c r="C1269" s="77">
        <v>40961</v>
      </c>
      <c r="D1269" s="78">
        <v>41274</v>
      </c>
      <c r="E1269" s="79">
        <v>0.22500000000000001</v>
      </c>
      <c r="F1269" s="80">
        <v>0</v>
      </c>
      <c r="G1269" s="81"/>
      <c r="H1269" s="80">
        <v>0</v>
      </c>
      <c r="I1269" s="93">
        <v>0</v>
      </c>
    </row>
    <row r="1270" spans="1:9" x14ac:dyDescent="0.25">
      <c r="A1270" s="76" t="s">
        <v>449</v>
      </c>
      <c r="B1270" s="76" t="s">
        <v>462</v>
      </c>
      <c r="C1270" s="77">
        <v>40787</v>
      </c>
      <c r="D1270" s="78">
        <v>41152</v>
      </c>
      <c r="E1270" s="79">
        <v>0</v>
      </c>
      <c r="F1270" s="80">
        <v>0</v>
      </c>
      <c r="G1270" s="81"/>
      <c r="H1270" s="80">
        <v>0</v>
      </c>
      <c r="I1270" s="93">
        <v>0</v>
      </c>
    </row>
    <row r="1271" spans="1:9" x14ac:dyDescent="0.25">
      <c r="A1271" s="76" t="s">
        <v>449</v>
      </c>
      <c r="B1271" s="76" t="s">
        <v>462</v>
      </c>
      <c r="C1271" s="77">
        <v>41153</v>
      </c>
      <c r="D1271" s="78">
        <v>41194</v>
      </c>
      <c r="E1271" s="79">
        <v>0</v>
      </c>
      <c r="F1271" s="80">
        <v>0</v>
      </c>
      <c r="G1271" s="81"/>
      <c r="H1271" s="80">
        <v>0</v>
      </c>
      <c r="I1271" s="93">
        <v>0</v>
      </c>
    </row>
    <row r="1272" spans="1:9" x14ac:dyDescent="0.25">
      <c r="A1272" s="76" t="s">
        <v>449</v>
      </c>
      <c r="B1272" s="76" t="s">
        <v>462</v>
      </c>
      <c r="C1272" s="77">
        <v>41153</v>
      </c>
      <c r="D1272" s="78">
        <v>41194</v>
      </c>
      <c r="E1272" s="79">
        <v>0</v>
      </c>
      <c r="F1272" s="80"/>
      <c r="G1272" s="81">
        <v>0</v>
      </c>
      <c r="H1272" s="80">
        <v>0</v>
      </c>
      <c r="I1272" s="93">
        <v>0</v>
      </c>
    </row>
    <row r="1273" spans="1:9" x14ac:dyDescent="0.25">
      <c r="A1273" s="70" t="s">
        <v>127</v>
      </c>
      <c r="B1273" s="70" t="s">
        <v>88</v>
      </c>
      <c r="C1273" s="71">
        <v>41172</v>
      </c>
      <c r="D1273" s="72">
        <v>41182</v>
      </c>
      <c r="E1273" s="73">
        <v>0</v>
      </c>
      <c r="F1273" s="74">
        <v>0</v>
      </c>
      <c r="G1273" s="75"/>
      <c r="H1273" s="74">
        <v>0</v>
      </c>
      <c r="I1273" s="126">
        <v>0</v>
      </c>
    </row>
    <row r="1274" spans="1:9" x14ac:dyDescent="0.25">
      <c r="A1274" s="70" t="s">
        <v>95</v>
      </c>
      <c r="B1274" s="70" t="s">
        <v>48</v>
      </c>
      <c r="C1274" s="71">
        <v>40725</v>
      </c>
      <c r="D1274" s="72">
        <v>41090</v>
      </c>
      <c r="E1274" s="73">
        <v>0.09</v>
      </c>
      <c r="F1274" s="74"/>
      <c r="G1274" s="75">
        <v>0</v>
      </c>
      <c r="H1274" s="74">
        <v>0</v>
      </c>
      <c r="I1274" s="126">
        <v>0</v>
      </c>
    </row>
    <row r="1275" spans="1:9" x14ac:dyDescent="0.25">
      <c r="A1275" s="70" t="s">
        <v>119</v>
      </c>
      <c r="B1275" s="70" t="s">
        <v>48</v>
      </c>
      <c r="C1275" s="71">
        <v>40725</v>
      </c>
      <c r="D1275" s="72">
        <v>41090</v>
      </c>
      <c r="E1275" s="73">
        <v>0.09</v>
      </c>
      <c r="F1275" s="74"/>
      <c r="G1275" s="75">
        <v>0</v>
      </c>
      <c r="H1275" s="74">
        <v>0</v>
      </c>
      <c r="I1275" s="126">
        <v>0</v>
      </c>
    </row>
    <row r="1276" spans="1:9" x14ac:dyDescent="0.25">
      <c r="A1276" s="76" t="s">
        <v>531</v>
      </c>
      <c r="B1276" s="76" t="s">
        <v>542</v>
      </c>
      <c r="C1276" s="77">
        <v>40848</v>
      </c>
      <c r="D1276" s="78">
        <v>41213</v>
      </c>
      <c r="E1276" s="79">
        <v>8.9999999999999993E-3</v>
      </c>
      <c r="F1276" s="80"/>
      <c r="G1276" s="81">
        <v>105</v>
      </c>
      <c r="H1276" s="80">
        <v>-14</v>
      </c>
      <c r="I1276" s="93">
        <f t="shared" ref="I1276:I1281" si="35">H1276/G1276</f>
        <v>-0.13333333333333333</v>
      </c>
    </row>
    <row r="1277" spans="1:9" x14ac:dyDescent="0.25">
      <c r="A1277" s="76" t="s">
        <v>643</v>
      </c>
      <c r="B1277" s="76" t="s">
        <v>328</v>
      </c>
      <c r="C1277" s="77">
        <v>41000</v>
      </c>
      <c r="D1277" s="78">
        <v>41274</v>
      </c>
      <c r="E1277" s="79">
        <v>4.4999999999999997E-3</v>
      </c>
      <c r="F1277" s="80"/>
      <c r="G1277" s="81">
        <v>265</v>
      </c>
      <c r="H1277" s="80">
        <v>-30</v>
      </c>
      <c r="I1277" s="93">
        <f t="shared" si="35"/>
        <v>-0.11320754716981132</v>
      </c>
    </row>
    <row r="1278" spans="1:9" x14ac:dyDescent="0.25">
      <c r="A1278" s="76" t="s">
        <v>613</v>
      </c>
      <c r="B1278" s="76" t="s">
        <v>621</v>
      </c>
      <c r="C1278" s="77">
        <v>41074</v>
      </c>
      <c r="D1278" s="78">
        <v>41394</v>
      </c>
      <c r="E1278" s="79">
        <v>8.9999999999999993E-3</v>
      </c>
      <c r="F1278" s="80"/>
      <c r="G1278" s="81">
        <v>1717</v>
      </c>
      <c r="H1278" s="80">
        <v>-34</v>
      </c>
      <c r="I1278" s="93">
        <f t="shared" si="35"/>
        <v>-1.9801980198019802E-2</v>
      </c>
    </row>
    <row r="1279" spans="1:9" x14ac:dyDescent="0.25">
      <c r="A1279" s="76" t="s">
        <v>531</v>
      </c>
      <c r="B1279" s="76" t="s">
        <v>31</v>
      </c>
      <c r="C1279" s="77">
        <v>40796</v>
      </c>
      <c r="D1279" s="78">
        <v>41152</v>
      </c>
      <c r="E1279" s="79">
        <v>8.9999999999999993E-3</v>
      </c>
      <c r="F1279" s="80"/>
      <c r="G1279" s="81">
        <v>505</v>
      </c>
      <c r="H1279" s="80">
        <v>-52</v>
      </c>
      <c r="I1279" s="93">
        <f t="shared" si="35"/>
        <v>-0.10297029702970296</v>
      </c>
    </row>
    <row r="1280" spans="1:9" x14ac:dyDescent="0.25">
      <c r="A1280" s="76" t="s">
        <v>531</v>
      </c>
      <c r="B1280" s="76" t="s">
        <v>193</v>
      </c>
      <c r="C1280" s="77">
        <v>41114</v>
      </c>
      <c r="D1280" s="78">
        <v>41455</v>
      </c>
      <c r="E1280" s="79">
        <v>8.9999999999999993E-3</v>
      </c>
      <c r="F1280" s="80"/>
      <c r="G1280" s="81">
        <v>193</v>
      </c>
      <c r="H1280" s="80">
        <v>-53</v>
      </c>
      <c r="I1280" s="93">
        <f t="shared" si="35"/>
        <v>-0.27461139896373055</v>
      </c>
    </row>
    <row r="1281" spans="1:9" x14ac:dyDescent="0.25">
      <c r="A1281" s="76" t="s">
        <v>235</v>
      </c>
      <c r="B1281" s="76" t="s">
        <v>168</v>
      </c>
      <c r="C1281" s="77">
        <v>40982</v>
      </c>
      <c r="D1281" s="78">
        <v>41121</v>
      </c>
      <c r="E1281" s="79">
        <v>4.4999999999999998E-2</v>
      </c>
      <c r="F1281" s="80"/>
      <c r="G1281" s="81">
        <v>18</v>
      </c>
      <c r="H1281" s="80">
        <v>-55.32</v>
      </c>
      <c r="I1281" s="93">
        <f t="shared" si="35"/>
        <v>-3.0733333333333333</v>
      </c>
    </row>
    <row r="1282" spans="1:9" x14ac:dyDescent="0.25">
      <c r="A1282" s="76" t="s">
        <v>674</v>
      </c>
      <c r="B1282" s="76" t="s">
        <v>580</v>
      </c>
      <c r="C1282" s="77">
        <v>41152</v>
      </c>
      <c r="D1282" s="78">
        <v>41274</v>
      </c>
      <c r="E1282" s="79">
        <v>0.33300000000000002</v>
      </c>
      <c r="F1282" s="80">
        <v>12795</v>
      </c>
      <c r="G1282" s="81"/>
      <c r="H1282" s="80">
        <v>-65</v>
      </c>
      <c r="I1282" s="93">
        <f>H1282/F1282</f>
        <v>-5.0801094177413053E-3</v>
      </c>
    </row>
    <row r="1283" spans="1:9" x14ac:dyDescent="0.25">
      <c r="A1283" s="76" t="s">
        <v>674</v>
      </c>
      <c r="B1283" s="76" t="s">
        <v>679</v>
      </c>
      <c r="C1283" s="77">
        <v>41023</v>
      </c>
      <c r="D1283" s="78">
        <v>41274</v>
      </c>
      <c r="E1283" s="79">
        <v>0.32219999999999999</v>
      </c>
      <c r="F1283" s="80"/>
      <c r="G1283" s="81">
        <v>0</v>
      </c>
      <c r="H1283" s="80">
        <v>-66.930000000000007</v>
      </c>
      <c r="I1283" s="93">
        <v>0</v>
      </c>
    </row>
    <row r="1284" spans="1:9" x14ac:dyDescent="0.25">
      <c r="A1284" s="70" t="s">
        <v>146</v>
      </c>
      <c r="B1284" s="70" t="s">
        <v>166</v>
      </c>
      <c r="C1284" s="71">
        <v>40817</v>
      </c>
      <c r="D1284" s="72">
        <v>41182</v>
      </c>
      <c r="E1284" s="101">
        <v>4.4999999999999999E-4</v>
      </c>
      <c r="F1284" s="74">
        <v>3305.66</v>
      </c>
      <c r="G1284" s="75"/>
      <c r="H1284" s="74">
        <v>-72</v>
      </c>
      <c r="I1284" s="126">
        <v>-2.1780824404203699E-2</v>
      </c>
    </row>
    <row r="1285" spans="1:9" x14ac:dyDescent="0.25">
      <c r="A1285" s="76" t="s">
        <v>531</v>
      </c>
      <c r="B1285" s="76" t="s">
        <v>540</v>
      </c>
      <c r="C1285" s="77">
        <v>40828</v>
      </c>
      <c r="D1285" s="78">
        <v>41182</v>
      </c>
      <c r="E1285" s="79">
        <v>8.9999999999999993E-3</v>
      </c>
      <c r="F1285" s="80"/>
      <c r="G1285" s="81">
        <v>186</v>
      </c>
      <c r="H1285" s="80">
        <v>-89</v>
      </c>
      <c r="I1285" s="93">
        <f>H1285/G1285</f>
        <v>-0.478494623655914</v>
      </c>
    </row>
    <row r="1286" spans="1:9" x14ac:dyDescent="0.25">
      <c r="A1286" s="76" t="s">
        <v>578</v>
      </c>
      <c r="B1286" s="76" t="s">
        <v>615</v>
      </c>
      <c r="C1286" s="77">
        <v>40707</v>
      </c>
      <c r="D1286" s="78">
        <v>40999</v>
      </c>
      <c r="E1286" s="79">
        <v>0</v>
      </c>
      <c r="F1286" s="80"/>
      <c r="G1286" s="81">
        <v>728.81</v>
      </c>
      <c r="H1286" s="80">
        <v>-93.93</v>
      </c>
      <c r="I1286" s="93">
        <f>H1286/G1286</f>
        <v>-0.12888132709485328</v>
      </c>
    </row>
    <row r="1287" spans="1:9" x14ac:dyDescent="0.25">
      <c r="A1287" s="70" t="s">
        <v>20</v>
      </c>
      <c r="B1287" s="70" t="s">
        <v>30</v>
      </c>
      <c r="C1287" s="71">
        <v>40770</v>
      </c>
      <c r="D1287" s="72">
        <v>41060</v>
      </c>
      <c r="E1287" s="73">
        <v>0</v>
      </c>
      <c r="F1287" s="74">
        <v>3985</v>
      </c>
      <c r="G1287" s="75"/>
      <c r="H1287" s="74">
        <v>-121.85</v>
      </c>
      <c r="I1287" s="126">
        <v>-1.7015779919005725</v>
      </c>
    </row>
    <row r="1288" spans="1:9" x14ac:dyDescent="0.25">
      <c r="A1288" s="76" t="s">
        <v>613</v>
      </c>
      <c r="B1288" s="76" t="s">
        <v>107</v>
      </c>
      <c r="C1288" s="77">
        <v>41017</v>
      </c>
      <c r="D1288" s="78">
        <v>41305</v>
      </c>
      <c r="E1288" s="79">
        <v>8.9999999999999993E-3</v>
      </c>
      <c r="F1288" s="80">
        <v>12614</v>
      </c>
      <c r="G1288" s="81"/>
      <c r="H1288" s="80">
        <v>-157</v>
      </c>
      <c r="I1288" s="93">
        <f>H1288/F1288</f>
        <v>-1.2446488029173934E-2</v>
      </c>
    </row>
    <row r="1289" spans="1:9" x14ac:dyDescent="0.25">
      <c r="A1289" s="70" t="s">
        <v>20</v>
      </c>
      <c r="B1289" s="70" t="s">
        <v>35</v>
      </c>
      <c r="C1289" s="71">
        <v>41015</v>
      </c>
      <c r="D1289" s="72">
        <v>41364</v>
      </c>
      <c r="E1289" s="73">
        <v>0</v>
      </c>
      <c r="F1289" s="74"/>
      <c r="G1289" s="75">
        <v>19.95</v>
      </c>
      <c r="H1289" s="74">
        <v>-159.5</v>
      </c>
      <c r="I1289" s="126">
        <f t="shared" ref="I1289:I1296" si="36">H1289/G1289</f>
        <v>-7.9949874686716793</v>
      </c>
    </row>
    <row r="1290" spans="1:9" x14ac:dyDescent="0.25">
      <c r="A1290" s="76" t="s">
        <v>674</v>
      </c>
      <c r="B1290" s="76" t="s">
        <v>190</v>
      </c>
      <c r="C1290" s="77">
        <v>41086</v>
      </c>
      <c r="D1290" s="78">
        <v>41274</v>
      </c>
      <c r="E1290" s="79">
        <v>0.1719</v>
      </c>
      <c r="F1290" s="80"/>
      <c r="G1290" s="81">
        <v>1806</v>
      </c>
      <c r="H1290" s="80">
        <v>-159.53</v>
      </c>
      <c r="I1290" s="93">
        <f t="shared" si="36"/>
        <v>-8.8333333333333333E-2</v>
      </c>
    </row>
    <row r="1291" spans="1:9" x14ac:dyDescent="0.25">
      <c r="A1291" s="76" t="s">
        <v>594</v>
      </c>
      <c r="B1291" s="76" t="s">
        <v>606</v>
      </c>
      <c r="C1291" s="77">
        <v>40991</v>
      </c>
      <c r="D1291" s="78">
        <v>41060</v>
      </c>
      <c r="E1291" s="79">
        <v>0.53100000000000003</v>
      </c>
      <c r="F1291" s="80"/>
      <c r="G1291" s="81">
        <v>354.08</v>
      </c>
      <c r="H1291" s="80">
        <v>-167.48</v>
      </c>
      <c r="I1291" s="93">
        <f t="shared" si="36"/>
        <v>-0.47300045187528239</v>
      </c>
    </row>
    <row r="1292" spans="1:9" x14ac:dyDescent="0.25">
      <c r="A1292" s="76" t="s">
        <v>643</v>
      </c>
      <c r="B1292" s="76" t="s">
        <v>647</v>
      </c>
      <c r="C1292" s="77">
        <v>40659</v>
      </c>
      <c r="D1292" s="78">
        <v>41024</v>
      </c>
      <c r="E1292" s="79">
        <v>4.4999999999999997E-3</v>
      </c>
      <c r="F1292" s="80"/>
      <c r="G1292" s="81">
        <v>5255</v>
      </c>
      <c r="H1292" s="80">
        <v>-181.34</v>
      </c>
      <c r="I1292" s="93">
        <f t="shared" si="36"/>
        <v>-3.4508087535680305E-2</v>
      </c>
    </row>
    <row r="1293" spans="1:9" x14ac:dyDescent="0.25">
      <c r="A1293" s="76" t="s">
        <v>643</v>
      </c>
      <c r="B1293" s="76" t="s">
        <v>655</v>
      </c>
      <c r="C1293" s="77">
        <v>40890</v>
      </c>
      <c r="D1293" s="78">
        <v>41255</v>
      </c>
      <c r="E1293" s="79">
        <v>4.4999999999999997E-3</v>
      </c>
      <c r="F1293" s="80"/>
      <c r="G1293" s="81">
        <v>1070</v>
      </c>
      <c r="H1293" s="80">
        <v>-182.8</v>
      </c>
      <c r="I1293" s="93">
        <f t="shared" si="36"/>
        <v>-0.17084112149532713</v>
      </c>
    </row>
    <row r="1294" spans="1:9" x14ac:dyDescent="0.25">
      <c r="A1294" s="76" t="s">
        <v>375</v>
      </c>
      <c r="B1294" s="76" t="s">
        <v>383</v>
      </c>
      <c r="C1294" s="77">
        <v>41212</v>
      </c>
      <c r="D1294" s="78">
        <v>41224</v>
      </c>
      <c r="E1294" s="79">
        <v>4.4999999999999998E-2</v>
      </c>
      <c r="F1294" s="80"/>
      <c r="G1294" s="81">
        <v>3225</v>
      </c>
      <c r="H1294" s="80">
        <v>-184</v>
      </c>
      <c r="I1294" s="93">
        <f t="shared" si="36"/>
        <v>-5.7054263565891473E-2</v>
      </c>
    </row>
    <row r="1295" spans="1:9" x14ac:dyDescent="0.25">
      <c r="A1295" s="76" t="s">
        <v>531</v>
      </c>
      <c r="B1295" s="76" t="s">
        <v>193</v>
      </c>
      <c r="C1295" s="77">
        <v>40829</v>
      </c>
      <c r="D1295" s="78">
        <v>41090</v>
      </c>
      <c r="E1295" s="79">
        <v>8.9999999999999993E-3</v>
      </c>
      <c r="F1295" s="80"/>
      <c r="G1295" s="81">
        <v>2075</v>
      </c>
      <c r="H1295" s="80">
        <v>-232</v>
      </c>
      <c r="I1295" s="93">
        <f t="shared" si="36"/>
        <v>-0.11180722891566265</v>
      </c>
    </row>
    <row r="1296" spans="1:9" x14ac:dyDescent="0.25">
      <c r="A1296" s="76" t="s">
        <v>643</v>
      </c>
      <c r="B1296" s="76" t="s">
        <v>658</v>
      </c>
      <c r="C1296" s="77">
        <v>40982</v>
      </c>
      <c r="D1296" s="78">
        <v>41274</v>
      </c>
      <c r="E1296" s="79">
        <v>4.4999999999999997E-3</v>
      </c>
      <c r="F1296" s="80"/>
      <c r="G1296" s="81">
        <v>2117</v>
      </c>
      <c r="H1296" s="80">
        <v>-247.4</v>
      </c>
      <c r="I1296" s="93">
        <f t="shared" si="36"/>
        <v>-0.11686348606518658</v>
      </c>
    </row>
    <row r="1297" spans="1:9" x14ac:dyDescent="0.25">
      <c r="A1297" s="70" t="s">
        <v>20</v>
      </c>
      <c r="B1297" s="70" t="s">
        <v>36</v>
      </c>
      <c r="C1297" s="71">
        <v>41029</v>
      </c>
      <c r="D1297" s="72">
        <v>41274</v>
      </c>
      <c r="E1297" s="73">
        <v>0</v>
      </c>
      <c r="F1297" s="74">
        <v>1364</v>
      </c>
      <c r="G1297" s="75"/>
      <c r="H1297" s="74">
        <v>-272.05</v>
      </c>
      <c r="I1297" s="126">
        <v>-0.19945014662756599</v>
      </c>
    </row>
    <row r="1298" spans="1:9" x14ac:dyDescent="0.25">
      <c r="A1298" s="76" t="s">
        <v>578</v>
      </c>
      <c r="B1298" s="76" t="s">
        <v>579</v>
      </c>
      <c r="C1298" s="112">
        <v>40589</v>
      </c>
      <c r="D1298" s="78">
        <v>40954</v>
      </c>
      <c r="E1298" s="79">
        <v>0</v>
      </c>
      <c r="F1298" s="80"/>
      <c r="G1298" s="81">
        <v>1096.27</v>
      </c>
      <c r="H1298" s="80">
        <v>-336.8</v>
      </c>
      <c r="I1298" s="93">
        <f>H1298/G1298</f>
        <v>-0.30722358543059647</v>
      </c>
    </row>
    <row r="1299" spans="1:9" x14ac:dyDescent="0.25">
      <c r="A1299" s="70" t="s">
        <v>171</v>
      </c>
      <c r="B1299" s="70" t="s">
        <v>200</v>
      </c>
      <c r="C1299" s="71">
        <v>40710</v>
      </c>
      <c r="D1299" s="72">
        <v>41075</v>
      </c>
      <c r="E1299" s="73">
        <v>1.7999999999999999E-2</v>
      </c>
      <c r="F1299" s="74"/>
      <c r="G1299" s="75">
        <v>520</v>
      </c>
      <c r="H1299" s="74">
        <v>-351</v>
      </c>
      <c r="I1299" s="126">
        <v>-0.67500000000000004</v>
      </c>
    </row>
    <row r="1300" spans="1:9" x14ac:dyDescent="0.25">
      <c r="A1300" s="76" t="s">
        <v>578</v>
      </c>
      <c r="B1300" s="76" t="s">
        <v>580</v>
      </c>
      <c r="C1300" s="77">
        <v>40829</v>
      </c>
      <c r="D1300" s="78">
        <v>40939</v>
      </c>
      <c r="E1300" s="79">
        <v>0</v>
      </c>
      <c r="F1300" s="80"/>
      <c r="G1300" s="81">
        <v>324.91000000000003</v>
      </c>
      <c r="H1300" s="80">
        <v>-408.16</v>
      </c>
      <c r="I1300" s="93">
        <f>H1300/G1300</f>
        <v>-1.256224800714044</v>
      </c>
    </row>
    <row r="1301" spans="1:9" x14ac:dyDescent="0.25">
      <c r="A1301" s="70" t="s">
        <v>171</v>
      </c>
      <c r="B1301" s="70" t="s">
        <v>201</v>
      </c>
      <c r="C1301" s="94">
        <v>40711</v>
      </c>
      <c r="D1301" s="72">
        <v>41085</v>
      </c>
      <c r="E1301" s="73">
        <v>1.7999999999999999E-2</v>
      </c>
      <c r="F1301" s="74"/>
      <c r="G1301" s="75">
        <v>341</v>
      </c>
      <c r="H1301" s="74">
        <v>-436</v>
      </c>
      <c r="I1301" s="126">
        <f>H1301/G1301</f>
        <v>-1.2785923753665689</v>
      </c>
    </row>
    <row r="1302" spans="1:9" x14ac:dyDescent="0.25">
      <c r="A1302" s="76" t="s">
        <v>531</v>
      </c>
      <c r="B1302" s="76" t="s">
        <v>190</v>
      </c>
      <c r="C1302" s="77">
        <v>41179</v>
      </c>
      <c r="D1302" s="78">
        <v>41364</v>
      </c>
      <c r="E1302" s="79">
        <v>8.9999999999999993E-3</v>
      </c>
      <c r="F1302" s="80">
        <v>34447</v>
      </c>
      <c r="G1302" s="81"/>
      <c r="H1302" s="80">
        <v>-485</v>
      </c>
      <c r="I1302" s="93">
        <f>H1302/F1302</f>
        <v>-1.407960054576596E-2</v>
      </c>
    </row>
    <row r="1303" spans="1:9" x14ac:dyDescent="0.25">
      <c r="A1303" s="76" t="s">
        <v>643</v>
      </c>
      <c r="B1303" s="76" t="s">
        <v>459</v>
      </c>
      <c r="C1303" s="77">
        <v>40740</v>
      </c>
      <c r="D1303" s="78">
        <v>41060</v>
      </c>
      <c r="E1303" s="79">
        <v>0.09</v>
      </c>
      <c r="F1303" s="80"/>
      <c r="G1303" s="81">
        <v>2885</v>
      </c>
      <c r="H1303" s="80">
        <v>-557.85</v>
      </c>
      <c r="I1303" s="93">
        <f>H1303/G1303</f>
        <v>-0.19336221837088388</v>
      </c>
    </row>
    <row r="1304" spans="1:9" x14ac:dyDescent="0.25">
      <c r="A1304" s="76" t="s">
        <v>531</v>
      </c>
      <c r="B1304" s="76" t="s">
        <v>540</v>
      </c>
      <c r="C1304" s="77">
        <v>40828</v>
      </c>
      <c r="D1304" s="78">
        <v>41182</v>
      </c>
      <c r="E1304" s="79">
        <v>8.9999999999999993E-3</v>
      </c>
      <c r="F1304" s="80">
        <v>5668</v>
      </c>
      <c r="G1304" s="81"/>
      <c r="H1304" s="80">
        <v>-668</v>
      </c>
      <c r="I1304" s="93">
        <f>H1304/F1304</f>
        <v>-0.11785462244177841</v>
      </c>
    </row>
    <row r="1305" spans="1:9" x14ac:dyDescent="0.25">
      <c r="A1305" s="70" t="s">
        <v>171</v>
      </c>
      <c r="B1305" s="70" t="s">
        <v>199</v>
      </c>
      <c r="C1305" s="71">
        <v>40710</v>
      </c>
      <c r="D1305" s="72">
        <v>41076</v>
      </c>
      <c r="E1305" s="73">
        <v>1.7999999999999999E-2</v>
      </c>
      <c r="F1305" s="74"/>
      <c r="G1305" s="75">
        <v>2401</v>
      </c>
      <c r="H1305" s="74">
        <v>-705</v>
      </c>
      <c r="I1305" s="126">
        <v>-0.2936276551436901</v>
      </c>
    </row>
    <row r="1306" spans="1:9" x14ac:dyDescent="0.25">
      <c r="A1306" s="76" t="s">
        <v>674</v>
      </c>
      <c r="B1306" s="76" t="s">
        <v>107</v>
      </c>
      <c r="C1306" s="77">
        <v>41011</v>
      </c>
      <c r="D1306" s="78">
        <v>41274</v>
      </c>
      <c r="E1306" s="79">
        <v>0.18</v>
      </c>
      <c r="F1306" s="80"/>
      <c r="G1306" s="81">
        <v>2257</v>
      </c>
      <c r="H1306" s="80">
        <v>-729.49</v>
      </c>
      <c r="I1306" s="93">
        <f>H1306/G1306</f>
        <v>-0.32321222862206467</v>
      </c>
    </row>
    <row r="1307" spans="1:9" x14ac:dyDescent="0.25">
      <c r="A1307" s="76" t="s">
        <v>449</v>
      </c>
      <c r="B1307" s="76" t="s">
        <v>452</v>
      </c>
      <c r="C1307" s="77">
        <v>40664</v>
      </c>
      <c r="D1307" s="78">
        <v>41029</v>
      </c>
      <c r="E1307" s="79">
        <v>0</v>
      </c>
      <c r="F1307" s="80">
        <v>259840</v>
      </c>
      <c r="G1307" s="81"/>
      <c r="H1307" s="80">
        <v>-759</v>
      </c>
      <c r="I1307" s="93">
        <f>H1307/F1307</f>
        <v>-2.9210283251231528E-3</v>
      </c>
    </row>
    <row r="1308" spans="1:9" x14ac:dyDescent="0.25">
      <c r="A1308" s="76" t="s">
        <v>594</v>
      </c>
      <c r="B1308" s="76" t="s">
        <v>604</v>
      </c>
      <c r="C1308" s="77">
        <v>40954</v>
      </c>
      <c r="D1308" s="78">
        <v>41274</v>
      </c>
      <c r="E1308" s="79">
        <v>1.7999999999999999E-2</v>
      </c>
      <c r="F1308" s="80">
        <v>52579.98</v>
      </c>
      <c r="G1308" s="81"/>
      <c r="H1308" s="80">
        <v>-762.37</v>
      </c>
      <c r="I1308" s="93">
        <f>H1308/F1308</f>
        <v>-1.4499244769587208E-2</v>
      </c>
    </row>
    <row r="1309" spans="1:9" x14ac:dyDescent="0.25">
      <c r="A1309" s="76" t="s">
        <v>674</v>
      </c>
      <c r="B1309" s="76" t="s">
        <v>679</v>
      </c>
      <c r="C1309" s="77">
        <v>41023</v>
      </c>
      <c r="D1309" s="78">
        <v>41274</v>
      </c>
      <c r="E1309" s="79">
        <v>0.32219999999999999</v>
      </c>
      <c r="F1309" s="80">
        <v>0</v>
      </c>
      <c r="G1309" s="81"/>
      <c r="H1309" s="80">
        <v>-789.8</v>
      </c>
      <c r="I1309" s="93">
        <v>0</v>
      </c>
    </row>
    <row r="1310" spans="1:9" x14ac:dyDescent="0.25">
      <c r="A1310" s="76" t="s">
        <v>317</v>
      </c>
      <c r="B1310" s="76" t="s">
        <v>340</v>
      </c>
      <c r="C1310" s="77">
        <v>40702</v>
      </c>
      <c r="D1310" s="78">
        <v>40756</v>
      </c>
      <c r="E1310" s="79">
        <v>0</v>
      </c>
      <c r="F1310" s="80"/>
      <c r="G1310" s="81">
        <v>0</v>
      </c>
      <c r="H1310" s="80">
        <v>-866.05</v>
      </c>
      <c r="I1310" s="93">
        <v>0</v>
      </c>
    </row>
    <row r="1311" spans="1:9" x14ac:dyDescent="0.25">
      <c r="A1311" s="76" t="s">
        <v>643</v>
      </c>
      <c r="B1311" s="76" t="s">
        <v>655</v>
      </c>
      <c r="C1311" s="77">
        <v>40890</v>
      </c>
      <c r="D1311" s="78">
        <v>41255</v>
      </c>
      <c r="E1311" s="79">
        <v>4.4999999999999997E-3</v>
      </c>
      <c r="F1311" s="80">
        <v>29872</v>
      </c>
      <c r="G1311" s="81"/>
      <c r="H1311" s="80">
        <v>-883.7</v>
      </c>
      <c r="I1311" s="93">
        <f>H1311/F1311</f>
        <v>-2.9582886984467063E-2</v>
      </c>
    </row>
    <row r="1312" spans="1:9" x14ac:dyDescent="0.25">
      <c r="A1312" s="76" t="s">
        <v>643</v>
      </c>
      <c r="B1312" s="76" t="s">
        <v>374</v>
      </c>
      <c r="C1312" s="77">
        <v>41137</v>
      </c>
      <c r="D1312" s="78">
        <v>41425</v>
      </c>
      <c r="E1312" s="79">
        <v>4.4999999999999997E-3</v>
      </c>
      <c r="F1312" s="80"/>
      <c r="G1312" s="81">
        <v>255</v>
      </c>
      <c r="H1312" s="80">
        <v>-998.75</v>
      </c>
      <c r="I1312" s="93">
        <f>H1312/G1312</f>
        <v>-3.9166666666666665</v>
      </c>
    </row>
    <row r="1313" spans="1:9" x14ac:dyDescent="0.25">
      <c r="A1313" s="76" t="s">
        <v>531</v>
      </c>
      <c r="B1313" s="76" t="s">
        <v>546</v>
      </c>
      <c r="C1313" s="77">
        <v>40909</v>
      </c>
      <c r="D1313" s="78">
        <v>41274</v>
      </c>
      <c r="E1313" s="79">
        <v>8.9999999999999993E-3</v>
      </c>
      <c r="F1313" s="80"/>
      <c r="G1313" s="81">
        <v>7015</v>
      </c>
      <c r="H1313" s="80">
        <v>-1039</v>
      </c>
      <c r="I1313" s="93">
        <f>H1313/G1313</f>
        <v>-0.14811119030648609</v>
      </c>
    </row>
    <row r="1314" spans="1:9" x14ac:dyDescent="0.25">
      <c r="A1314" s="70" t="s">
        <v>146</v>
      </c>
      <c r="B1314" s="70" t="s">
        <v>168</v>
      </c>
      <c r="C1314" s="71">
        <v>40849</v>
      </c>
      <c r="D1314" s="72">
        <v>41182</v>
      </c>
      <c r="E1314" s="101">
        <v>4.4999999999999999E-4</v>
      </c>
      <c r="F1314" s="74">
        <v>939</v>
      </c>
      <c r="G1314" s="75"/>
      <c r="H1314" s="74">
        <v>-1057.7</v>
      </c>
      <c r="I1314" s="126">
        <v>-1.1264110756123535</v>
      </c>
    </row>
    <row r="1315" spans="1:9" x14ac:dyDescent="0.25">
      <c r="A1315" s="70" t="s">
        <v>101</v>
      </c>
      <c r="B1315" s="70" t="s">
        <v>110</v>
      </c>
      <c r="C1315" s="71">
        <v>40972</v>
      </c>
      <c r="D1315" s="72">
        <v>41315</v>
      </c>
      <c r="E1315" s="73">
        <v>1.35E-2</v>
      </c>
      <c r="F1315" s="74"/>
      <c r="G1315" s="75">
        <v>3663.97</v>
      </c>
      <c r="H1315" s="74">
        <v>-1483.52</v>
      </c>
      <c r="I1315" s="126">
        <v>-0.40489414487564035</v>
      </c>
    </row>
    <row r="1316" spans="1:9" x14ac:dyDescent="0.25">
      <c r="A1316" s="70" t="s">
        <v>101</v>
      </c>
      <c r="B1316" s="70" t="s">
        <v>112</v>
      </c>
      <c r="C1316" s="71">
        <v>41007</v>
      </c>
      <c r="D1316" s="72">
        <v>41371</v>
      </c>
      <c r="E1316" s="73">
        <v>1.35E-2</v>
      </c>
      <c r="F1316" s="74"/>
      <c r="G1316" s="75">
        <v>1472.2</v>
      </c>
      <c r="H1316" s="74">
        <v>-1489.34</v>
      </c>
      <c r="I1316" s="126">
        <v>-1.011642439885885</v>
      </c>
    </row>
    <row r="1317" spans="1:9" x14ac:dyDescent="0.25">
      <c r="A1317" s="76" t="s">
        <v>613</v>
      </c>
      <c r="B1317" s="76" t="s">
        <v>193</v>
      </c>
      <c r="C1317" s="77">
        <v>40793</v>
      </c>
      <c r="D1317" s="78">
        <v>41090</v>
      </c>
      <c r="E1317" s="79">
        <v>8.9999999999999993E-3</v>
      </c>
      <c r="F1317" s="80">
        <v>199876</v>
      </c>
      <c r="G1317" s="81"/>
      <c r="H1317" s="80">
        <v>-1524</v>
      </c>
      <c r="I1317" s="93">
        <f>H1317/F1317</f>
        <v>-7.6247273309451857E-3</v>
      </c>
    </row>
    <row r="1318" spans="1:9" x14ac:dyDescent="0.25">
      <c r="A1318" s="70" t="s">
        <v>101</v>
      </c>
      <c r="B1318" s="70" t="s">
        <v>110</v>
      </c>
      <c r="C1318" s="71">
        <v>40972</v>
      </c>
      <c r="D1318" s="72">
        <v>41315</v>
      </c>
      <c r="E1318" s="73">
        <v>1.35E-2</v>
      </c>
      <c r="F1318" s="74">
        <v>3944</v>
      </c>
      <c r="G1318" s="75"/>
      <c r="H1318" s="74">
        <v>-1596.9</v>
      </c>
      <c r="I1318" s="126">
        <v>-0.4048935091277891</v>
      </c>
    </row>
    <row r="1319" spans="1:9" x14ac:dyDescent="0.25">
      <c r="A1319" s="76" t="s">
        <v>531</v>
      </c>
      <c r="B1319" s="76" t="s">
        <v>532</v>
      </c>
      <c r="C1319" s="77">
        <v>40708</v>
      </c>
      <c r="D1319" s="78">
        <v>40939</v>
      </c>
      <c r="E1319" s="79">
        <v>8.9999999999999993E-3</v>
      </c>
      <c r="F1319" s="80"/>
      <c r="G1319" s="81">
        <v>4618</v>
      </c>
      <c r="H1319" s="80">
        <v>-1611</v>
      </c>
      <c r="I1319" s="93">
        <f>H1319/G1319</f>
        <v>-0.34885231702035513</v>
      </c>
    </row>
    <row r="1320" spans="1:9" x14ac:dyDescent="0.25">
      <c r="A1320" s="76" t="s">
        <v>643</v>
      </c>
      <c r="B1320" s="76" t="s">
        <v>647</v>
      </c>
      <c r="C1320" s="77">
        <v>40659</v>
      </c>
      <c r="D1320" s="78">
        <v>41024</v>
      </c>
      <c r="E1320" s="79">
        <v>4.4999999999999997E-3</v>
      </c>
      <c r="F1320" s="80">
        <v>120919</v>
      </c>
      <c r="G1320" s="81"/>
      <c r="H1320" s="80">
        <v>-1616.08</v>
      </c>
      <c r="I1320" s="93">
        <f>H1320/F1320</f>
        <v>-1.3364979862552617E-2</v>
      </c>
    </row>
    <row r="1321" spans="1:9" ht="28.5" x14ac:dyDescent="0.25">
      <c r="A1321" s="76" t="s">
        <v>643</v>
      </c>
      <c r="B1321" s="76" t="s">
        <v>654</v>
      </c>
      <c r="C1321" s="77">
        <v>40863</v>
      </c>
      <c r="D1321" s="78">
        <v>41231</v>
      </c>
      <c r="E1321" s="79">
        <v>4.4999999999999997E-3</v>
      </c>
      <c r="F1321" s="80">
        <v>63206.04</v>
      </c>
      <c r="G1321" s="81"/>
      <c r="H1321" s="80">
        <v>-1641.06</v>
      </c>
      <c r="I1321" s="93">
        <f>H1321/F1321</f>
        <v>-2.5963657903580101E-2</v>
      </c>
    </row>
    <row r="1322" spans="1:9" x14ac:dyDescent="0.25">
      <c r="A1322" s="76" t="s">
        <v>531</v>
      </c>
      <c r="B1322" s="76" t="s">
        <v>193</v>
      </c>
      <c r="C1322" s="77">
        <v>40829</v>
      </c>
      <c r="D1322" s="78">
        <v>41090</v>
      </c>
      <c r="E1322" s="79">
        <v>8.9999999999999993E-3</v>
      </c>
      <c r="F1322" s="80">
        <v>76897</v>
      </c>
      <c r="G1322" s="81"/>
      <c r="H1322" s="80">
        <v>-1754</v>
      </c>
      <c r="I1322" s="93">
        <f>H1322/F1322</f>
        <v>-2.2809732499317267E-2</v>
      </c>
    </row>
    <row r="1323" spans="1:9" x14ac:dyDescent="0.25">
      <c r="A1323" s="76" t="s">
        <v>146</v>
      </c>
      <c r="B1323" s="76" t="s">
        <v>206</v>
      </c>
      <c r="C1323" s="77">
        <v>40876</v>
      </c>
      <c r="D1323" s="78">
        <v>41241</v>
      </c>
      <c r="E1323" s="108">
        <v>4.4999999999999999E-4</v>
      </c>
      <c r="F1323" s="80">
        <v>4339.84</v>
      </c>
      <c r="G1323" s="81"/>
      <c r="H1323" s="80">
        <v>-1800.38</v>
      </c>
      <c r="I1323" s="93">
        <f>H1323/F1323</f>
        <v>-0.41484939536941456</v>
      </c>
    </row>
    <row r="1324" spans="1:9" x14ac:dyDescent="0.25">
      <c r="A1324" s="70" t="s">
        <v>37</v>
      </c>
      <c r="B1324" s="70" t="s">
        <v>34</v>
      </c>
      <c r="C1324" s="71">
        <v>40609</v>
      </c>
      <c r="D1324" s="72">
        <v>40953</v>
      </c>
      <c r="E1324" s="73">
        <v>0</v>
      </c>
      <c r="F1324" s="74">
        <v>27661</v>
      </c>
      <c r="G1324" s="75"/>
      <c r="H1324" s="74">
        <v>-1896.56</v>
      </c>
      <c r="I1324" s="126">
        <v>-6.856440475760095E-2</v>
      </c>
    </row>
    <row r="1325" spans="1:9" x14ac:dyDescent="0.25">
      <c r="A1325" s="76" t="s">
        <v>674</v>
      </c>
      <c r="B1325" s="76" t="s">
        <v>103</v>
      </c>
      <c r="C1325" s="77">
        <v>40961</v>
      </c>
      <c r="D1325" s="78">
        <v>41274</v>
      </c>
      <c r="E1325" s="79">
        <v>0.22500000000000001</v>
      </c>
      <c r="F1325" s="80">
        <v>29464</v>
      </c>
      <c r="G1325" s="81"/>
      <c r="H1325" s="80">
        <v>-1918.05</v>
      </c>
      <c r="I1325" s="93">
        <f>H1325/F1325</f>
        <v>-6.509808579961987E-2</v>
      </c>
    </row>
    <row r="1326" spans="1:9" x14ac:dyDescent="0.25">
      <c r="A1326" s="76" t="s">
        <v>674</v>
      </c>
      <c r="B1326" s="76" t="s">
        <v>680</v>
      </c>
      <c r="C1326" s="77">
        <v>41086</v>
      </c>
      <c r="D1326" s="78">
        <v>41274</v>
      </c>
      <c r="E1326" s="79">
        <v>0.32219999999999999</v>
      </c>
      <c r="F1326" s="80">
        <v>7921</v>
      </c>
      <c r="G1326" s="81"/>
      <c r="H1326" s="80">
        <v>-1986.48</v>
      </c>
      <c r="I1326" s="93">
        <f>H1326/F1326</f>
        <v>-0.25078651685393261</v>
      </c>
    </row>
    <row r="1327" spans="1:9" x14ac:dyDescent="0.25">
      <c r="A1327" s="70" t="s">
        <v>146</v>
      </c>
      <c r="B1327" s="70" t="s">
        <v>153</v>
      </c>
      <c r="C1327" s="71">
        <v>40725</v>
      </c>
      <c r="D1327" s="72">
        <v>41090</v>
      </c>
      <c r="E1327" s="101">
        <v>4.4999999999999999E-4</v>
      </c>
      <c r="F1327" s="74">
        <v>4742</v>
      </c>
      <c r="G1327" s="75"/>
      <c r="H1327" s="74">
        <v>-2083.09</v>
      </c>
      <c r="I1327" s="126">
        <v>-0.43928511176718688</v>
      </c>
    </row>
    <row r="1328" spans="1:9" x14ac:dyDescent="0.25">
      <c r="A1328" s="76" t="s">
        <v>531</v>
      </c>
      <c r="B1328" s="76" t="s">
        <v>532</v>
      </c>
      <c r="C1328" s="77">
        <v>40708</v>
      </c>
      <c r="D1328" s="78">
        <v>40939</v>
      </c>
      <c r="E1328" s="79">
        <v>8.9999999999999993E-3</v>
      </c>
      <c r="F1328" s="80">
        <v>119002</v>
      </c>
      <c r="G1328" s="81"/>
      <c r="H1328" s="80">
        <v>-2135</v>
      </c>
      <c r="I1328" s="93">
        <f>H1328/F1328</f>
        <v>-1.7940874943278264E-2</v>
      </c>
    </row>
    <row r="1329" spans="1:9" x14ac:dyDescent="0.25">
      <c r="A1329" s="76" t="s">
        <v>171</v>
      </c>
      <c r="B1329" s="76" t="s">
        <v>189</v>
      </c>
      <c r="C1329" s="77">
        <v>40821</v>
      </c>
      <c r="D1329" s="78">
        <v>41186</v>
      </c>
      <c r="E1329" s="79">
        <v>1.7999999999999999E-2</v>
      </c>
      <c r="F1329" s="80"/>
      <c r="G1329" s="81">
        <v>1330</v>
      </c>
      <c r="H1329" s="80">
        <v>-2143</v>
      </c>
      <c r="I1329" s="93">
        <f>H1329/G1329</f>
        <v>-1.6112781954887219</v>
      </c>
    </row>
    <row r="1330" spans="1:9" x14ac:dyDescent="0.25">
      <c r="A1330" s="70" t="s">
        <v>171</v>
      </c>
      <c r="B1330" s="70" t="s">
        <v>199</v>
      </c>
      <c r="C1330" s="71">
        <v>40710</v>
      </c>
      <c r="D1330" s="72">
        <v>41076</v>
      </c>
      <c r="E1330" s="73">
        <v>1.7999999999999999E-2</v>
      </c>
      <c r="F1330" s="74">
        <v>64593</v>
      </c>
      <c r="G1330" s="75"/>
      <c r="H1330" s="74">
        <v>-2442</v>
      </c>
      <c r="I1330" s="93">
        <f>H1330/F1330</f>
        <v>-3.7805954205564068E-2</v>
      </c>
    </row>
    <row r="1331" spans="1:9" x14ac:dyDescent="0.25">
      <c r="A1331" s="76" t="s">
        <v>531</v>
      </c>
      <c r="B1331" s="76" t="s">
        <v>544</v>
      </c>
      <c r="C1331" s="77">
        <v>40862</v>
      </c>
      <c r="D1331" s="78">
        <v>41213</v>
      </c>
      <c r="E1331" s="79">
        <v>8.9999999999999993E-3</v>
      </c>
      <c r="F1331" s="80">
        <v>13668</v>
      </c>
      <c r="G1331" s="81"/>
      <c r="H1331" s="80">
        <v>-2453</v>
      </c>
      <c r="I1331" s="93">
        <f>H1331/F1331</f>
        <v>-0.17947029558091893</v>
      </c>
    </row>
    <row r="1332" spans="1:9" x14ac:dyDescent="0.25">
      <c r="A1332" s="76" t="s">
        <v>317</v>
      </c>
      <c r="B1332" s="76" t="s">
        <v>354</v>
      </c>
      <c r="C1332" s="77">
        <v>40990</v>
      </c>
      <c r="D1332" s="78">
        <v>41305</v>
      </c>
      <c r="E1332" s="79">
        <v>8.9999999999999993E-3</v>
      </c>
      <c r="F1332" s="80">
        <v>9224</v>
      </c>
      <c r="G1332" s="81"/>
      <c r="H1332" s="80">
        <v>-2484</v>
      </c>
      <c r="I1332" s="93">
        <f>H1332/F1332</f>
        <v>-0.26929748482220295</v>
      </c>
    </row>
    <row r="1333" spans="1:9" x14ac:dyDescent="0.25">
      <c r="A1333" s="76" t="s">
        <v>613</v>
      </c>
      <c r="B1333" s="76" t="s">
        <v>532</v>
      </c>
      <c r="C1333" s="77">
        <v>40956</v>
      </c>
      <c r="D1333" s="78">
        <v>41305</v>
      </c>
      <c r="E1333" s="79">
        <v>8.9999999999999993E-3</v>
      </c>
      <c r="F1333" s="80">
        <v>30489</v>
      </c>
      <c r="G1333" s="81"/>
      <c r="H1333" s="80">
        <v>-2502</v>
      </c>
      <c r="I1333" s="93">
        <f>H1333/F1333</f>
        <v>-8.2062383154580337E-2</v>
      </c>
    </row>
    <row r="1334" spans="1:9" x14ac:dyDescent="0.25">
      <c r="A1334" s="76" t="s">
        <v>613</v>
      </c>
      <c r="B1334" s="76" t="s">
        <v>618</v>
      </c>
      <c r="C1334" s="77">
        <v>40793</v>
      </c>
      <c r="D1334" s="78">
        <v>41121</v>
      </c>
      <c r="E1334" s="79">
        <v>8.9999999999999993E-3</v>
      </c>
      <c r="F1334" s="80">
        <v>2068</v>
      </c>
      <c r="G1334" s="81"/>
      <c r="H1334" s="80">
        <v>-2508</v>
      </c>
      <c r="I1334" s="93">
        <f>H1334/F1334</f>
        <v>-1.2127659574468086</v>
      </c>
    </row>
    <row r="1335" spans="1:9" x14ac:dyDescent="0.25">
      <c r="A1335" s="70" t="s">
        <v>20</v>
      </c>
      <c r="B1335" s="70" t="s">
        <v>29</v>
      </c>
      <c r="C1335" s="71">
        <v>40763</v>
      </c>
      <c r="D1335" s="72">
        <v>41090</v>
      </c>
      <c r="E1335" s="73">
        <v>0</v>
      </c>
      <c r="F1335" s="74">
        <v>0</v>
      </c>
      <c r="G1335" s="75"/>
      <c r="H1335" s="74">
        <v>-2574.5</v>
      </c>
      <c r="I1335" s="126">
        <v>-0.64604767879548308</v>
      </c>
    </row>
    <row r="1336" spans="1:9" x14ac:dyDescent="0.25">
      <c r="A1336" s="76" t="s">
        <v>578</v>
      </c>
      <c r="B1336" s="76" t="s">
        <v>615</v>
      </c>
      <c r="C1336" s="77">
        <v>40707</v>
      </c>
      <c r="D1336" s="78">
        <v>40999</v>
      </c>
      <c r="E1336" s="79">
        <v>0</v>
      </c>
      <c r="F1336" s="80">
        <v>20823</v>
      </c>
      <c r="G1336" s="81"/>
      <c r="H1336" s="80">
        <v>-2683.77</v>
      </c>
      <c r="I1336" s="93">
        <f>H1336/F1336</f>
        <v>-0.12888488690390434</v>
      </c>
    </row>
    <row r="1337" spans="1:9" x14ac:dyDescent="0.25">
      <c r="A1337" s="76" t="s">
        <v>531</v>
      </c>
      <c r="B1337" s="76" t="s">
        <v>537</v>
      </c>
      <c r="C1337" s="77">
        <v>40756</v>
      </c>
      <c r="D1337" s="78">
        <v>41121</v>
      </c>
      <c r="E1337" s="79">
        <v>8.9999999999999993E-3</v>
      </c>
      <c r="F1337" s="80">
        <v>14289</v>
      </c>
      <c r="G1337" s="81"/>
      <c r="H1337" s="80">
        <v>-2822</v>
      </c>
      <c r="I1337" s="93">
        <f>H1337/F1337</f>
        <v>-0.19749457624746308</v>
      </c>
    </row>
    <row r="1338" spans="1:9" x14ac:dyDescent="0.25">
      <c r="A1338" s="70" t="s">
        <v>127</v>
      </c>
      <c r="B1338" s="70" t="s">
        <v>129</v>
      </c>
      <c r="C1338" s="71">
        <v>40812</v>
      </c>
      <c r="D1338" s="72">
        <v>41121</v>
      </c>
      <c r="E1338" s="73">
        <v>0</v>
      </c>
      <c r="F1338" s="74">
        <v>0</v>
      </c>
      <c r="G1338" s="75"/>
      <c r="H1338" s="74">
        <v>-3000</v>
      </c>
      <c r="I1338" s="126">
        <v>0</v>
      </c>
    </row>
    <row r="1339" spans="1:9" x14ac:dyDescent="0.25">
      <c r="A1339" s="76" t="s">
        <v>594</v>
      </c>
      <c r="B1339" s="76" t="s">
        <v>606</v>
      </c>
      <c r="C1339" s="77">
        <v>40991</v>
      </c>
      <c r="D1339" s="78">
        <v>41060</v>
      </c>
      <c r="E1339" s="79">
        <v>0.53100000000000003</v>
      </c>
      <c r="F1339" s="80">
        <v>9807.7900000000009</v>
      </c>
      <c r="G1339" s="81"/>
      <c r="H1339" s="80">
        <v>-3231.24</v>
      </c>
      <c r="I1339" s="93">
        <f>H1339/F1339</f>
        <v>-0.3294564830609138</v>
      </c>
    </row>
    <row r="1340" spans="1:9" x14ac:dyDescent="0.25">
      <c r="A1340" s="70" t="s">
        <v>146</v>
      </c>
      <c r="B1340" s="70" t="s">
        <v>162</v>
      </c>
      <c r="C1340" s="71">
        <v>40676</v>
      </c>
      <c r="D1340" s="72">
        <v>41029</v>
      </c>
      <c r="E1340" s="101">
        <v>4.4999999999999999E-4</v>
      </c>
      <c r="F1340" s="74">
        <v>8815</v>
      </c>
      <c r="G1340" s="75"/>
      <c r="H1340" s="74">
        <v>-3294.46</v>
      </c>
      <c r="I1340" s="126">
        <v>-0.37373340896199658</v>
      </c>
    </row>
    <row r="1341" spans="1:9" x14ac:dyDescent="0.25">
      <c r="A1341" s="76" t="s">
        <v>531</v>
      </c>
      <c r="B1341" s="76" t="s">
        <v>193</v>
      </c>
      <c r="C1341" s="77">
        <v>41114</v>
      </c>
      <c r="D1341" s="78">
        <v>41455</v>
      </c>
      <c r="E1341" s="79">
        <v>8.9999999999999993E-3</v>
      </c>
      <c r="F1341" s="80">
        <v>4753</v>
      </c>
      <c r="G1341" s="81"/>
      <c r="H1341" s="80">
        <v>-3455</v>
      </c>
      <c r="I1341" s="93">
        <f>H1341/F1341</f>
        <v>-0.72690932042920264</v>
      </c>
    </row>
    <row r="1342" spans="1:9" x14ac:dyDescent="0.25">
      <c r="A1342" s="76" t="s">
        <v>531</v>
      </c>
      <c r="B1342" s="76" t="s">
        <v>542</v>
      </c>
      <c r="C1342" s="77">
        <v>40848</v>
      </c>
      <c r="D1342" s="78">
        <v>41213</v>
      </c>
      <c r="E1342" s="79">
        <v>8.9999999999999993E-3</v>
      </c>
      <c r="F1342" s="80">
        <v>4266</v>
      </c>
      <c r="G1342" s="81"/>
      <c r="H1342" s="80">
        <v>-3748</v>
      </c>
      <c r="I1342" s="93">
        <f>H1342/F1342</f>
        <v>-0.8785747773089545</v>
      </c>
    </row>
    <row r="1343" spans="1:9" x14ac:dyDescent="0.25">
      <c r="A1343" s="70" t="s">
        <v>14</v>
      </c>
      <c r="B1343" s="70" t="s">
        <v>16</v>
      </c>
      <c r="C1343" s="71">
        <v>41001</v>
      </c>
      <c r="D1343" s="72">
        <v>41262</v>
      </c>
      <c r="E1343" s="73">
        <v>0.45</v>
      </c>
      <c r="F1343" s="74">
        <v>37367.5</v>
      </c>
      <c r="G1343" s="75"/>
      <c r="H1343" s="74">
        <v>-4032.5</v>
      </c>
      <c r="I1343" s="126">
        <v>-0.10791463169866863</v>
      </c>
    </row>
    <row r="1344" spans="1:9" x14ac:dyDescent="0.25">
      <c r="A1344" s="70" t="s">
        <v>20</v>
      </c>
      <c r="B1344" s="70" t="s">
        <v>35</v>
      </c>
      <c r="C1344" s="71">
        <v>41015</v>
      </c>
      <c r="D1344" s="72">
        <v>41364</v>
      </c>
      <c r="E1344" s="73">
        <v>0</v>
      </c>
      <c r="F1344" s="74">
        <v>1875</v>
      </c>
      <c r="G1344" s="75"/>
      <c r="H1344" s="74">
        <v>-4220.3500000000004</v>
      </c>
      <c r="I1344" s="126">
        <f>H1344/F1344</f>
        <v>-2.2508533333333336</v>
      </c>
    </row>
    <row r="1345" spans="1:9" x14ac:dyDescent="0.25">
      <c r="A1345" s="70" t="s">
        <v>146</v>
      </c>
      <c r="B1345" s="70" t="s">
        <v>165</v>
      </c>
      <c r="C1345" s="71">
        <v>40773</v>
      </c>
      <c r="D1345" s="72">
        <v>41090</v>
      </c>
      <c r="E1345" s="101">
        <v>4.4999999999999999E-4</v>
      </c>
      <c r="F1345" s="74">
        <v>20991</v>
      </c>
      <c r="G1345" s="75"/>
      <c r="H1345" s="74">
        <v>-4378.3900000000003</v>
      </c>
      <c r="I1345" s="126">
        <v>-0.20858415511409653</v>
      </c>
    </row>
    <row r="1346" spans="1:9" x14ac:dyDescent="0.25">
      <c r="A1346" s="76" t="s">
        <v>246</v>
      </c>
      <c r="B1346" s="76" t="s">
        <v>102</v>
      </c>
      <c r="C1346" s="77">
        <v>41085</v>
      </c>
      <c r="D1346" s="78">
        <v>41274</v>
      </c>
      <c r="E1346" s="79">
        <v>0</v>
      </c>
      <c r="F1346" s="80">
        <v>14360</v>
      </c>
      <c r="G1346" s="81"/>
      <c r="H1346" s="80">
        <v>-4476.59</v>
      </c>
      <c r="I1346" s="93">
        <f>H1346/F1346</f>
        <v>-0.31174025069637884</v>
      </c>
    </row>
    <row r="1347" spans="1:9" x14ac:dyDescent="0.25">
      <c r="A1347" s="70" t="s">
        <v>171</v>
      </c>
      <c r="B1347" s="70" t="s">
        <v>200</v>
      </c>
      <c r="C1347" s="71">
        <v>40710</v>
      </c>
      <c r="D1347" s="72">
        <v>41075</v>
      </c>
      <c r="E1347" s="73">
        <v>1.7999999999999999E-2</v>
      </c>
      <c r="F1347" s="74">
        <v>22694</v>
      </c>
      <c r="G1347" s="75"/>
      <c r="H1347" s="74">
        <v>-4504</v>
      </c>
      <c r="I1347" s="93">
        <f>H1347/F1347</f>
        <v>-0.19846655503657354</v>
      </c>
    </row>
    <row r="1348" spans="1:9" x14ac:dyDescent="0.25">
      <c r="A1348" s="76" t="s">
        <v>630</v>
      </c>
      <c r="B1348" s="76" t="s">
        <v>631</v>
      </c>
      <c r="C1348" s="77">
        <v>40889</v>
      </c>
      <c r="D1348" s="78">
        <v>41178</v>
      </c>
      <c r="E1348" s="79">
        <v>8.9999999999999993E-3</v>
      </c>
      <c r="F1348" s="80">
        <v>2870</v>
      </c>
      <c r="G1348" s="81"/>
      <c r="H1348" s="80">
        <v>-4630</v>
      </c>
      <c r="I1348" s="93">
        <f>H1348/F1348</f>
        <v>-1.613240418118467</v>
      </c>
    </row>
    <row r="1349" spans="1:9" x14ac:dyDescent="0.25">
      <c r="A1349" s="76" t="s">
        <v>171</v>
      </c>
      <c r="B1349" s="76" t="s">
        <v>179</v>
      </c>
      <c r="C1349" s="77">
        <v>40988</v>
      </c>
      <c r="D1349" s="78">
        <v>41213</v>
      </c>
      <c r="E1349" s="79">
        <v>1.7999999999999999E-2</v>
      </c>
      <c r="F1349" s="80">
        <v>49890</v>
      </c>
      <c r="G1349" s="81"/>
      <c r="H1349" s="80">
        <v>-4771</v>
      </c>
      <c r="I1349" s="93">
        <f>H1349/F1349</f>
        <v>-9.5630386851072363E-2</v>
      </c>
    </row>
    <row r="1350" spans="1:9" x14ac:dyDescent="0.25">
      <c r="A1350" s="76" t="s">
        <v>317</v>
      </c>
      <c r="B1350" s="76" t="s">
        <v>340</v>
      </c>
      <c r="C1350" s="77">
        <v>40702</v>
      </c>
      <c r="D1350" s="78">
        <v>40756</v>
      </c>
      <c r="E1350" s="79">
        <v>0</v>
      </c>
      <c r="F1350" s="80">
        <v>0</v>
      </c>
      <c r="G1350" s="81"/>
      <c r="H1350" s="80">
        <v>-4997.99</v>
      </c>
      <c r="I1350" s="93">
        <v>0</v>
      </c>
    </row>
    <row r="1351" spans="1:9" x14ac:dyDescent="0.25">
      <c r="A1351" s="76" t="s">
        <v>643</v>
      </c>
      <c r="B1351" s="76" t="s">
        <v>328</v>
      </c>
      <c r="C1351" s="77">
        <v>41000</v>
      </c>
      <c r="D1351" s="78">
        <v>41274</v>
      </c>
      <c r="E1351" s="79">
        <v>4.4999999999999997E-3</v>
      </c>
      <c r="F1351" s="80">
        <v>16869</v>
      </c>
      <c r="G1351" s="81"/>
      <c r="H1351" s="80">
        <v>-5416.55</v>
      </c>
      <c r="I1351" s="93">
        <f>H1351/F1351</f>
        <v>-0.3210949078190764</v>
      </c>
    </row>
    <row r="1352" spans="1:9" x14ac:dyDescent="0.25">
      <c r="A1352" s="76" t="s">
        <v>674</v>
      </c>
      <c r="B1352" s="76" t="s">
        <v>190</v>
      </c>
      <c r="C1352" s="77">
        <v>41086</v>
      </c>
      <c r="D1352" s="78">
        <v>41274</v>
      </c>
      <c r="E1352" s="79">
        <v>0.1719</v>
      </c>
      <c r="F1352" s="80">
        <v>57093</v>
      </c>
      <c r="G1352" s="81"/>
      <c r="H1352" s="80">
        <v>-5563</v>
      </c>
      <c r="I1352" s="93">
        <f>H1352/F1352</f>
        <v>-9.74375142311667E-2</v>
      </c>
    </row>
    <row r="1353" spans="1:9" x14ac:dyDescent="0.25">
      <c r="A1353" s="76" t="s">
        <v>674</v>
      </c>
      <c r="B1353" s="76" t="s">
        <v>193</v>
      </c>
      <c r="C1353" s="77">
        <v>40938</v>
      </c>
      <c r="D1353" s="78">
        <v>41274</v>
      </c>
      <c r="E1353" s="79">
        <v>0.22500000000000001</v>
      </c>
      <c r="F1353" s="80"/>
      <c r="G1353" s="81">
        <v>7744.14</v>
      </c>
      <c r="H1353" s="80">
        <v>-5611.8</v>
      </c>
      <c r="I1353" s="93">
        <f>H1353/G1353</f>
        <v>-0.72465115558344761</v>
      </c>
    </row>
    <row r="1354" spans="1:9" x14ac:dyDescent="0.25">
      <c r="A1354" s="76" t="s">
        <v>531</v>
      </c>
      <c r="B1354" s="76" t="s">
        <v>532</v>
      </c>
      <c r="C1354" s="77">
        <v>40948</v>
      </c>
      <c r="D1354" s="78">
        <v>41305</v>
      </c>
      <c r="E1354" s="79">
        <v>8.9999999999999993E-3</v>
      </c>
      <c r="F1354" s="80">
        <v>97362</v>
      </c>
      <c r="G1354" s="81"/>
      <c r="H1354" s="80">
        <v>-5668</v>
      </c>
      <c r="I1354" s="93">
        <f>H1354/F1354</f>
        <v>-5.821573098334052E-2</v>
      </c>
    </row>
    <row r="1355" spans="1:9" x14ac:dyDescent="0.25">
      <c r="A1355" s="76" t="s">
        <v>171</v>
      </c>
      <c r="B1355" s="76" t="s">
        <v>186</v>
      </c>
      <c r="C1355" s="77">
        <v>40766</v>
      </c>
      <c r="D1355" s="78">
        <v>41090</v>
      </c>
      <c r="E1355" s="79">
        <v>1.7999999999999999E-2</v>
      </c>
      <c r="F1355" s="80">
        <v>39525</v>
      </c>
      <c r="G1355" s="81"/>
      <c r="H1355" s="80">
        <v>-5710</v>
      </c>
      <c r="I1355" s="93">
        <f>H1355/F1355</f>
        <v>-0.14446552814674257</v>
      </c>
    </row>
    <row r="1356" spans="1:9" x14ac:dyDescent="0.25">
      <c r="A1356" s="76" t="s">
        <v>643</v>
      </c>
      <c r="B1356" s="76" t="s">
        <v>181</v>
      </c>
      <c r="C1356" s="77">
        <v>41213</v>
      </c>
      <c r="D1356" s="78">
        <v>41577</v>
      </c>
      <c r="E1356" s="79">
        <v>4.4999999999999997E-3</v>
      </c>
      <c r="F1356" s="80"/>
      <c r="G1356" s="81">
        <v>20160.18</v>
      </c>
      <c r="H1356" s="80">
        <v>-5888.22</v>
      </c>
      <c r="I1356" s="93">
        <f>H1356/G1356</f>
        <v>-0.29207179697800317</v>
      </c>
    </row>
    <row r="1357" spans="1:9" x14ac:dyDescent="0.25">
      <c r="A1357" s="76" t="s">
        <v>643</v>
      </c>
      <c r="B1357" s="76" t="s">
        <v>459</v>
      </c>
      <c r="C1357" s="77">
        <v>41092</v>
      </c>
      <c r="D1357" s="78">
        <v>41456</v>
      </c>
      <c r="E1357" s="79">
        <v>4.4999999999999997E-3</v>
      </c>
      <c r="F1357" s="80"/>
      <c r="G1357" s="81">
        <v>5049</v>
      </c>
      <c r="H1357" s="80">
        <v>-6060.55</v>
      </c>
      <c r="I1357" s="93">
        <f>H1357/G1357</f>
        <v>-1.2003466032877799</v>
      </c>
    </row>
    <row r="1358" spans="1:9" x14ac:dyDescent="0.25">
      <c r="A1358" s="76" t="s">
        <v>643</v>
      </c>
      <c r="B1358" s="76" t="s">
        <v>330</v>
      </c>
      <c r="C1358" s="77">
        <v>40956</v>
      </c>
      <c r="D1358" s="78">
        <v>41321</v>
      </c>
      <c r="E1358" s="79">
        <v>4.4999999999999997E-3</v>
      </c>
      <c r="F1358" s="80"/>
      <c r="G1358" s="81">
        <v>10101</v>
      </c>
      <c r="H1358" s="80">
        <v>-6262.8</v>
      </c>
      <c r="I1358" s="93">
        <f>H1358/G1358</f>
        <v>-0.62001782001782002</v>
      </c>
    </row>
    <row r="1359" spans="1:9" x14ac:dyDescent="0.25">
      <c r="A1359" s="70" t="s">
        <v>171</v>
      </c>
      <c r="B1359" s="70" t="s">
        <v>198</v>
      </c>
      <c r="C1359" s="71">
        <v>40639</v>
      </c>
      <c r="D1359" s="72">
        <v>40982</v>
      </c>
      <c r="E1359" s="73">
        <v>1.7999999999999999E-2</v>
      </c>
      <c r="F1359" s="74">
        <v>7510</v>
      </c>
      <c r="G1359" s="75"/>
      <c r="H1359" s="74">
        <v>-7101.69</v>
      </c>
      <c r="I1359" s="93">
        <f>H1359/F1359</f>
        <v>-0.94563115845539281</v>
      </c>
    </row>
    <row r="1360" spans="1:9" x14ac:dyDescent="0.25">
      <c r="A1360" s="70" t="s">
        <v>146</v>
      </c>
      <c r="B1360" s="70" t="s">
        <v>169</v>
      </c>
      <c r="C1360" s="71">
        <v>40991</v>
      </c>
      <c r="D1360" s="72">
        <v>41333</v>
      </c>
      <c r="E1360" s="101">
        <v>4.4999999999999999E-4</v>
      </c>
      <c r="F1360" s="74">
        <v>3172.44</v>
      </c>
      <c r="G1360" s="75"/>
      <c r="H1360" s="74">
        <v>-8283.7099999999991</v>
      </c>
      <c r="I1360" s="126">
        <v>-2.6111478861696358</v>
      </c>
    </row>
    <row r="1361" spans="1:9" x14ac:dyDescent="0.25">
      <c r="A1361" s="76" t="s">
        <v>246</v>
      </c>
      <c r="B1361" s="76" t="s">
        <v>29</v>
      </c>
      <c r="C1361" s="77">
        <v>40909</v>
      </c>
      <c r="D1361" s="78">
        <v>41274</v>
      </c>
      <c r="E1361" s="79">
        <v>0</v>
      </c>
      <c r="F1361" s="80">
        <v>105804</v>
      </c>
      <c r="G1361" s="81"/>
      <c r="H1361" s="80">
        <v>-9197.4699999999993</v>
      </c>
      <c r="I1361" s="93">
        <f t="shared" ref="I1361:I1369" si="37">H1361/F1361</f>
        <v>-8.6929322142830126E-2</v>
      </c>
    </row>
    <row r="1362" spans="1:9" x14ac:dyDescent="0.25">
      <c r="A1362" s="76" t="s">
        <v>578</v>
      </c>
      <c r="B1362" s="76" t="s">
        <v>579</v>
      </c>
      <c r="C1362" s="112">
        <v>40589</v>
      </c>
      <c r="D1362" s="78">
        <v>40954</v>
      </c>
      <c r="E1362" s="79">
        <v>0</v>
      </c>
      <c r="F1362" s="80">
        <v>31322</v>
      </c>
      <c r="G1362" s="81"/>
      <c r="H1362" s="80">
        <v>-9622.7999999999993</v>
      </c>
      <c r="I1362" s="93">
        <f t="shared" si="37"/>
        <v>-0.30722176106251192</v>
      </c>
    </row>
    <row r="1363" spans="1:9" x14ac:dyDescent="0.25">
      <c r="A1363" s="76" t="s">
        <v>246</v>
      </c>
      <c r="B1363" s="76" t="s">
        <v>107</v>
      </c>
      <c r="C1363" s="77">
        <v>40909</v>
      </c>
      <c r="D1363" s="78">
        <v>41274</v>
      </c>
      <c r="E1363" s="79">
        <v>0</v>
      </c>
      <c r="F1363" s="80">
        <v>75992.679999999993</v>
      </c>
      <c r="G1363" s="81"/>
      <c r="H1363" s="80">
        <v>-10166.58</v>
      </c>
      <c r="I1363" s="93">
        <f t="shared" si="37"/>
        <v>-0.1337836749539561</v>
      </c>
    </row>
    <row r="1364" spans="1:9" x14ac:dyDescent="0.25">
      <c r="A1364" s="76" t="s">
        <v>263</v>
      </c>
      <c r="B1364" s="76" t="s">
        <v>264</v>
      </c>
      <c r="C1364" s="77">
        <v>40948</v>
      </c>
      <c r="D1364" s="78">
        <v>41313</v>
      </c>
      <c r="E1364" s="79">
        <v>8.9999999999999993E-3</v>
      </c>
      <c r="F1364" s="80">
        <v>37535.75</v>
      </c>
      <c r="G1364" s="81"/>
      <c r="H1364" s="80">
        <v>-10459.51</v>
      </c>
      <c r="I1364" s="93">
        <f t="shared" si="37"/>
        <v>-0.27865461593281071</v>
      </c>
    </row>
    <row r="1365" spans="1:9" x14ac:dyDescent="0.25">
      <c r="A1365" s="76" t="s">
        <v>531</v>
      </c>
      <c r="B1365" s="76" t="s">
        <v>31</v>
      </c>
      <c r="C1365" s="77">
        <v>40796</v>
      </c>
      <c r="D1365" s="78">
        <v>41152</v>
      </c>
      <c r="E1365" s="79">
        <v>8.9999999999999993E-3</v>
      </c>
      <c r="F1365" s="80">
        <v>13333</v>
      </c>
      <c r="G1365" s="81"/>
      <c r="H1365" s="80">
        <v>-10993</v>
      </c>
      <c r="I1365" s="93">
        <f t="shared" si="37"/>
        <v>-0.82449561239030977</v>
      </c>
    </row>
    <row r="1366" spans="1:9" x14ac:dyDescent="0.25">
      <c r="A1366" s="70" t="s">
        <v>171</v>
      </c>
      <c r="B1366" s="70" t="s">
        <v>184</v>
      </c>
      <c r="C1366" s="71">
        <v>40725</v>
      </c>
      <c r="D1366" s="72">
        <v>41076</v>
      </c>
      <c r="E1366" s="73">
        <v>1.7999999999999999E-2</v>
      </c>
      <c r="F1366" s="74">
        <v>102245</v>
      </c>
      <c r="G1366" s="75"/>
      <c r="H1366" s="74">
        <v>-11104.18</v>
      </c>
      <c r="I1366" s="93">
        <f t="shared" si="37"/>
        <v>-0.10860364810015161</v>
      </c>
    </row>
    <row r="1367" spans="1:9" x14ac:dyDescent="0.25">
      <c r="A1367" s="76" t="s">
        <v>171</v>
      </c>
      <c r="B1367" s="76" t="s">
        <v>205</v>
      </c>
      <c r="C1367" s="77">
        <v>40826</v>
      </c>
      <c r="D1367" s="78">
        <v>41153</v>
      </c>
      <c r="E1367" s="79">
        <v>1.7999999999999999E-2</v>
      </c>
      <c r="F1367" s="80">
        <v>5363</v>
      </c>
      <c r="G1367" s="81"/>
      <c r="H1367" s="80">
        <v>-11448</v>
      </c>
      <c r="I1367" s="93">
        <f t="shared" si="37"/>
        <v>-2.1346261420846542</v>
      </c>
    </row>
    <row r="1368" spans="1:9" x14ac:dyDescent="0.25">
      <c r="A1368" s="76" t="s">
        <v>578</v>
      </c>
      <c r="B1368" s="76" t="s">
        <v>580</v>
      </c>
      <c r="C1368" s="77">
        <v>40829</v>
      </c>
      <c r="D1368" s="78">
        <v>40939</v>
      </c>
      <c r="E1368" s="79">
        <v>0</v>
      </c>
      <c r="F1368" s="80">
        <v>9283</v>
      </c>
      <c r="G1368" s="81"/>
      <c r="H1368" s="80">
        <v>-11661.65</v>
      </c>
      <c r="I1368" s="93">
        <f t="shared" si="37"/>
        <v>-1.2562372077992028</v>
      </c>
    </row>
    <row r="1369" spans="1:9" x14ac:dyDescent="0.25">
      <c r="A1369" s="76" t="s">
        <v>317</v>
      </c>
      <c r="B1369" s="76" t="s">
        <v>353</v>
      </c>
      <c r="C1369" s="77">
        <v>40968</v>
      </c>
      <c r="D1369" s="78">
        <v>41274</v>
      </c>
      <c r="E1369" s="79">
        <v>8.9999999999999998E-4</v>
      </c>
      <c r="F1369" s="80">
        <v>12887</v>
      </c>
      <c r="G1369" s="81"/>
      <c r="H1369" s="80">
        <v>-11736.55</v>
      </c>
      <c r="I1369" s="93">
        <f t="shared" si="37"/>
        <v>-0.9107278652906029</v>
      </c>
    </row>
    <row r="1370" spans="1:9" x14ac:dyDescent="0.25">
      <c r="A1370" s="70" t="s">
        <v>146</v>
      </c>
      <c r="B1370" s="70" t="s">
        <v>150</v>
      </c>
      <c r="C1370" s="71">
        <v>40646</v>
      </c>
      <c r="D1370" s="72">
        <v>40999</v>
      </c>
      <c r="E1370" s="101">
        <v>4.4999999999999999E-4</v>
      </c>
      <c r="F1370" s="74">
        <v>11590</v>
      </c>
      <c r="G1370" s="75"/>
      <c r="H1370" s="74">
        <v>-12016.92</v>
      </c>
      <c r="I1370" s="126">
        <v>-1.0368352027610008</v>
      </c>
    </row>
    <row r="1371" spans="1:9" x14ac:dyDescent="0.25">
      <c r="A1371" s="76" t="s">
        <v>246</v>
      </c>
      <c r="B1371" s="76" t="s">
        <v>22</v>
      </c>
      <c r="C1371" s="77">
        <v>40909</v>
      </c>
      <c r="D1371" s="78">
        <v>41274</v>
      </c>
      <c r="E1371" s="79">
        <v>1.7999999999999999E-2</v>
      </c>
      <c r="F1371" s="80">
        <v>445376.45</v>
      </c>
      <c r="G1371" s="81"/>
      <c r="H1371" s="80">
        <v>-12490.32</v>
      </c>
      <c r="I1371" s="93">
        <f>H1371/F1371</f>
        <v>-2.8044410520583204E-2</v>
      </c>
    </row>
    <row r="1372" spans="1:9" x14ac:dyDescent="0.25">
      <c r="A1372" s="76" t="s">
        <v>127</v>
      </c>
      <c r="B1372" s="76" t="s">
        <v>539</v>
      </c>
      <c r="C1372" s="77">
        <v>40664</v>
      </c>
      <c r="D1372" s="78">
        <v>41029</v>
      </c>
      <c r="E1372" s="79">
        <v>0</v>
      </c>
      <c r="F1372" s="80">
        <v>0</v>
      </c>
      <c r="G1372" s="88"/>
      <c r="H1372" s="80">
        <v>-14224</v>
      </c>
      <c r="I1372" s="93">
        <v>0</v>
      </c>
    </row>
    <row r="1373" spans="1:9" x14ac:dyDescent="0.25">
      <c r="A1373" s="76" t="s">
        <v>531</v>
      </c>
      <c r="B1373" s="76" t="s">
        <v>374</v>
      </c>
      <c r="C1373" s="77">
        <v>41000</v>
      </c>
      <c r="D1373" s="78">
        <v>41364</v>
      </c>
      <c r="E1373" s="79">
        <v>8.9999999999999993E-3</v>
      </c>
      <c r="F1373" s="80">
        <v>22525</v>
      </c>
      <c r="G1373" s="81"/>
      <c r="H1373" s="80">
        <v>-14408</v>
      </c>
      <c r="I1373" s="93">
        <f t="shared" ref="I1373:I1380" si="38">H1373/F1373</f>
        <v>-0.63964483906770253</v>
      </c>
    </row>
    <row r="1374" spans="1:9" x14ac:dyDescent="0.25">
      <c r="A1374" s="76" t="s">
        <v>613</v>
      </c>
      <c r="B1374" s="76" t="s">
        <v>621</v>
      </c>
      <c r="C1374" s="77">
        <v>41074</v>
      </c>
      <c r="D1374" s="78">
        <v>41394</v>
      </c>
      <c r="E1374" s="79">
        <v>8.9999999999999993E-3</v>
      </c>
      <c r="F1374" s="80">
        <v>50054</v>
      </c>
      <c r="G1374" s="81"/>
      <c r="H1374" s="80">
        <v>-14506</v>
      </c>
      <c r="I1374" s="93">
        <f t="shared" si="38"/>
        <v>-0.28980700843089463</v>
      </c>
    </row>
    <row r="1375" spans="1:9" x14ac:dyDescent="0.25">
      <c r="A1375" s="70" t="s">
        <v>146</v>
      </c>
      <c r="B1375" s="70" t="s">
        <v>81</v>
      </c>
      <c r="C1375" s="71">
        <v>40913</v>
      </c>
      <c r="D1375" s="72">
        <v>41263</v>
      </c>
      <c r="E1375" s="101">
        <v>4.4999999999999999E-4</v>
      </c>
      <c r="F1375" s="74">
        <v>395</v>
      </c>
      <c r="G1375" s="75"/>
      <c r="H1375" s="74">
        <v>-15353</v>
      </c>
      <c r="I1375" s="126">
        <f t="shared" si="38"/>
        <v>-38.868354430379746</v>
      </c>
    </row>
    <row r="1376" spans="1:9" x14ac:dyDescent="0.25">
      <c r="A1376" s="76" t="s">
        <v>262</v>
      </c>
      <c r="B1376" s="76" t="s">
        <v>335</v>
      </c>
      <c r="C1376" s="77">
        <v>41337</v>
      </c>
      <c r="D1376" s="78">
        <v>41455</v>
      </c>
      <c r="E1376" s="79">
        <v>8.9999999999999993E-3</v>
      </c>
      <c r="F1376" s="80">
        <v>8353</v>
      </c>
      <c r="G1376" s="81"/>
      <c r="H1376" s="80">
        <v>-15819</v>
      </c>
      <c r="I1376" s="93">
        <f t="shared" si="38"/>
        <v>-1.8938106069675567</v>
      </c>
    </row>
    <row r="1377" spans="1:9" x14ac:dyDescent="0.25">
      <c r="A1377" s="76" t="s">
        <v>249</v>
      </c>
      <c r="B1377" s="76" t="s">
        <v>695</v>
      </c>
      <c r="C1377" s="77">
        <v>41220</v>
      </c>
      <c r="D1377" s="78">
        <v>41510</v>
      </c>
      <c r="E1377" s="79">
        <v>0</v>
      </c>
      <c r="F1377" s="80">
        <v>87418.75</v>
      </c>
      <c r="G1377" s="81"/>
      <c r="H1377" s="80">
        <v>-16507.18</v>
      </c>
      <c r="I1377" s="93">
        <f t="shared" si="38"/>
        <v>-0.18882882676771287</v>
      </c>
    </row>
    <row r="1378" spans="1:9" x14ac:dyDescent="0.25">
      <c r="A1378" s="76" t="s">
        <v>613</v>
      </c>
      <c r="B1378" s="76" t="s">
        <v>186</v>
      </c>
      <c r="C1378" s="77">
        <v>41038</v>
      </c>
      <c r="D1378" s="78">
        <v>41305</v>
      </c>
      <c r="E1378" s="79">
        <v>8.9999999999999993E-3</v>
      </c>
      <c r="F1378" s="80">
        <v>4012</v>
      </c>
      <c r="G1378" s="81"/>
      <c r="H1378" s="80">
        <v>-17130</v>
      </c>
      <c r="I1378" s="93">
        <f t="shared" si="38"/>
        <v>-4.2696909272183445</v>
      </c>
    </row>
    <row r="1379" spans="1:9" x14ac:dyDescent="0.25">
      <c r="A1379" s="76" t="s">
        <v>171</v>
      </c>
      <c r="B1379" s="76" t="s">
        <v>189</v>
      </c>
      <c r="C1379" s="77">
        <v>40821</v>
      </c>
      <c r="D1379" s="78">
        <v>41186</v>
      </c>
      <c r="E1379" s="79">
        <v>1.7999999999999999E-2</v>
      </c>
      <c r="F1379" s="80">
        <v>29696</v>
      </c>
      <c r="G1379" s="81"/>
      <c r="H1379" s="80">
        <v>-17698</v>
      </c>
      <c r="I1379" s="93">
        <f t="shared" si="38"/>
        <v>-0.59597252155172409</v>
      </c>
    </row>
    <row r="1380" spans="1:9" x14ac:dyDescent="0.25">
      <c r="A1380" s="76" t="s">
        <v>613</v>
      </c>
      <c r="B1380" s="76" t="s">
        <v>615</v>
      </c>
      <c r="C1380" s="77">
        <v>40710</v>
      </c>
      <c r="D1380" s="78">
        <v>41045</v>
      </c>
      <c r="E1380" s="79">
        <v>8.9999999999999993E-3</v>
      </c>
      <c r="F1380" s="80">
        <v>13121</v>
      </c>
      <c r="G1380" s="81"/>
      <c r="H1380" s="80">
        <v>-17846</v>
      </c>
      <c r="I1380" s="93">
        <f t="shared" si="38"/>
        <v>-1.3601097477326423</v>
      </c>
    </row>
    <row r="1381" spans="1:9" x14ac:dyDescent="0.25">
      <c r="A1381" s="70" t="s">
        <v>146</v>
      </c>
      <c r="B1381" s="70" t="s">
        <v>148</v>
      </c>
      <c r="C1381" s="71">
        <v>40940</v>
      </c>
      <c r="D1381" s="72">
        <v>41305</v>
      </c>
      <c r="E1381" s="101">
        <v>4.4999999999999999E-4</v>
      </c>
      <c r="F1381" s="74">
        <v>135352.95999999999</v>
      </c>
      <c r="G1381" s="75"/>
      <c r="H1381" s="74">
        <v>-19751.830000000002</v>
      </c>
      <c r="I1381" s="126">
        <v>-0.14592831955799121</v>
      </c>
    </row>
    <row r="1382" spans="1:9" x14ac:dyDescent="0.25">
      <c r="A1382" s="76" t="s">
        <v>246</v>
      </c>
      <c r="B1382" s="76" t="s">
        <v>188</v>
      </c>
      <c r="C1382" s="77">
        <v>40731</v>
      </c>
      <c r="D1382" s="78">
        <v>41090</v>
      </c>
      <c r="E1382" s="79">
        <v>0</v>
      </c>
      <c r="F1382" s="80">
        <v>47197.39</v>
      </c>
      <c r="G1382" s="88"/>
      <c r="H1382" s="80">
        <v>-20050.04</v>
      </c>
      <c r="I1382" s="93">
        <f>H1382/F1382</f>
        <v>-0.42481247374060305</v>
      </c>
    </row>
    <row r="1383" spans="1:9" x14ac:dyDescent="0.25">
      <c r="A1383" s="76" t="s">
        <v>594</v>
      </c>
      <c r="B1383" s="76" t="s">
        <v>595</v>
      </c>
      <c r="C1383" s="77">
        <v>40774</v>
      </c>
      <c r="D1383" s="78">
        <v>41090</v>
      </c>
      <c r="E1383" s="79">
        <v>3.5999999999999997E-2</v>
      </c>
      <c r="F1383" s="80"/>
      <c r="G1383" s="81">
        <v>13574.75</v>
      </c>
      <c r="H1383" s="80">
        <v>-20710.849999999999</v>
      </c>
      <c r="I1383" s="93">
        <f>H1383/G1383</f>
        <v>-1.5256892392125083</v>
      </c>
    </row>
    <row r="1384" spans="1:9" x14ac:dyDescent="0.25">
      <c r="A1384" s="76" t="s">
        <v>127</v>
      </c>
      <c r="B1384" s="76" t="s">
        <v>1967</v>
      </c>
      <c r="C1384" s="77">
        <v>40664</v>
      </c>
      <c r="D1384" s="78">
        <v>41029</v>
      </c>
      <c r="E1384" s="79">
        <v>0</v>
      </c>
      <c r="F1384" s="80">
        <v>270</v>
      </c>
      <c r="G1384" s="88"/>
      <c r="H1384" s="80">
        <v>-21179</v>
      </c>
      <c r="I1384" s="93">
        <v>0</v>
      </c>
    </row>
    <row r="1385" spans="1:9" x14ac:dyDescent="0.25">
      <c r="A1385" s="76" t="s">
        <v>171</v>
      </c>
      <c r="B1385" s="76" t="s">
        <v>34</v>
      </c>
      <c r="C1385" s="77">
        <v>40981</v>
      </c>
      <c r="D1385" s="78">
        <v>41333</v>
      </c>
      <c r="E1385" s="79">
        <v>1.7999999999999999E-2</v>
      </c>
      <c r="F1385" s="80">
        <v>23744</v>
      </c>
      <c r="G1385" s="81"/>
      <c r="H1385" s="80">
        <v>-22790.28</v>
      </c>
      <c r="I1385" s="93">
        <f>H1385/F1385</f>
        <v>-0.95983322102425872</v>
      </c>
    </row>
    <row r="1386" spans="1:9" x14ac:dyDescent="0.25">
      <c r="A1386" s="76" t="s">
        <v>594</v>
      </c>
      <c r="B1386" s="76" t="s">
        <v>595</v>
      </c>
      <c r="C1386" s="77">
        <v>40774</v>
      </c>
      <c r="D1386" s="78">
        <v>41090</v>
      </c>
      <c r="E1386" s="79">
        <v>3.5999999999999997E-2</v>
      </c>
      <c r="F1386" s="80">
        <v>16895.28</v>
      </c>
      <c r="G1386" s="81"/>
      <c r="H1386" s="80">
        <v>-25961.72</v>
      </c>
      <c r="I1386" s="93">
        <f>H1386/F1386</f>
        <v>-1.5366256137808905</v>
      </c>
    </row>
    <row r="1387" spans="1:9" x14ac:dyDescent="0.25">
      <c r="A1387" s="76" t="s">
        <v>246</v>
      </c>
      <c r="B1387" s="76" t="s">
        <v>31</v>
      </c>
      <c r="C1387" s="77">
        <v>40909</v>
      </c>
      <c r="D1387" s="78">
        <v>41274</v>
      </c>
      <c r="E1387" s="79">
        <v>0</v>
      </c>
      <c r="F1387" s="80">
        <v>115035.47</v>
      </c>
      <c r="G1387" s="81"/>
      <c r="H1387" s="80">
        <v>-27407.57</v>
      </c>
      <c r="I1387" s="93">
        <f>H1387/F1387</f>
        <v>-0.23825321007511857</v>
      </c>
    </row>
    <row r="1388" spans="1:9" x14ac:dyDescent="0.25">
      <c r="A1388" s="76" t="s">
        <v>317</v>
      </c>
      <c r="B1388" s="76" t="s">
        <v>362</v>
      </c>
      <c r="C1388" s="77">
        <v>41173</v>
      </c>
      <c r="D1388" s="78">
        <v>41455</v>
      </c>
      <c r="E1388" s="79">
        <v>8.9999999999999998E-4</v>
      </c>
      <c r="F1388" s="80">
        <v>0</v>
      </c>
      <c r="G1388" s="81"/>
      <c r="H1388" s="80">
        <v>-29929.11</v>
      </c>
      <c r="I1388" s="93">
        <v>0</v>
      </c>
    </row>
    <row r="1389" spans="1:9" x14ac:dyDescent="0.25">
      <c r="A1389" s="76" t="s">
        <v>622</v>
      </c>
      <c r="B1389" s="110" t="s">
        <v>190</v>
      </c>
      <c r="C1389" s="77">
        <v>40738</v>
      </c>
      <c r="D1389" s="78">
        <v>40999</v>
      </c>
      <c r="E1389" s="79">
        <v>8.9999999999999993E-3</v>
      </c>
      <c r="F1389" s="80">
        <v>95116</v>
      </c>
      <c r="G1389" s="81"/>
      <c r="H1389" s="80">
        <v>-31223</v>
      </c>
      <c r="I1389" s="93">
        <f t="shared" ref="I1389:I1394" si="39">H1389/F1389</f>
        <v>-0.32826233231002144</v>
      </c>
    </row>
    <row r="1390" spans="1:9" x14ac:dyDescent="0.25">
      <c r="A1390" s="76" t="s">
        <v>246</v>
      </c>
      <c r="B1390" s="76" t="s">
        <v>108</v>
      </c>
      <c r="C1390" s="77">
        <v>40946</v>
      </c>
      <c r="D1390" s="78">
        <v>41274</v>
      </c>
      <c r="E1390" s="79">
        <v>0</v>
      </c>
      <c r="F1390" s="80">
        <v>33534.120000000003</v>
      </c>
      <c r="G1390" s="81"/>
      <c r="H1390" s="80">
        <v>-31671.8</v>
      </c>
      <c r="I1390" s="93">
        <f t="shared" si="39"/>
        <v>-0.94446492110125435</v>
      </c>
    </row>
    <row r="1391" spans="1:9" x14ac:dyDescent="0.25">
      <c r="A1391" s="76" t="s">
        <v>643</v>
      </c>
      <c r="B1391" s="76" t="s">
        <v>374</v>
      </c>
      <c r="C1391" s="77">
        <v>41137</v>
      </c>
      <c r="D1391" s="78">
        <v>41425</v>
      </c>
      <c r="E1391" s="79">
        <v>4.4999999999999997E-3</v>
      </c>
      <c r="F1391" s="80">
        <v>14206</v>
      </c>
      <c r="G1391" s="81"/>
      <c r="H1391" s="80">
        <v>-31837.599999999999</v>
      </c>
      <c r="I1391" s="93">
        <f t="shared" si="39"/>
        <v>-2.2411375475151343</v>
      </c>
    </row>
    <row r="1392" spans="1:9" x14ac:dyDescent="0.25">
      <c r="A1392" s="76" t="s">
        <v>674</v>
      </c>
      <c r="B1392" s="76" t="s">
        <v>107</v>
      </c>
      <c r="C1392" s="77">
        <v>41011</v>
      </c>
      <c r="D1392" s="78">
        <v>41274</v>
      </c>
      <c r="E1392" s="79">
        <v>0.18</v>
      </c>
      <c r="F1392" s="80">
        <v>48791.34</v>
      </c>
      <c r="G1392" s="81"/>
      <c r="H1392" s="80">
        <v>-34397.75</v>
      </c>
      <c r="I1392" s="93">
        <f t="shared" si="39"/>
        <v>-0.70499703430977712</v>
      </c>
    </row>
    <row r="1393" spans="1:9" x14ac:dyDescent="0.25">
      <c r="A1393" s="76" t="s">
        <v>643</v>
      </c>
      <c r="B1393" s="76" t="s">
        <v>181</v>
      </c>
      <c r="C1393" s="77">
        <v>41213</v>
      </c>
      <c r="D1393" s="78">
        <v>41577</v>
      </c>
      <c r="E1393" s="79">
        <v>4.4999999999999997E-3</v>
      </c>
      <c r="F1393" s="80">
        <v>505210.2</v>
      </c>
      <c r="G1393" s="81"/>
      <c r="H1393" s="80">
        <v>-35782.120000000003</v>
      </c>
      <c r="I1393" s="93">
        <f t="shared" si="39"/>
        <v>-7.0826202638030675E-2</v>
      </c>
    </row>
    <row r="1394" spans="1:9" x14ac:dyDescent="0.25">
      <c r="A1394" s="76" t="s">
        <v>531</v>
      </c>
      <c r="B1394" s="76" t="s">
        <v>545</v>
      </c>
      <c r="C1394" s="77">
        <v>40889</v>
      </c>
      <c r="D1394" s="78">
        <v>41243</v>
      </c>
      <c r="E1394" s="79">
        <v>8.9999999999999993E-3</v>
      </c>
      <c r="F1394" s="80">
        <v>42776</v>
      </c>
      <c r="G1394" s="81"/>
      <c r="H1394" s="80">
        <v>-36018</v>
      </c>
      <c r="I1394" s="93">
        <f t="shared" si="39"/>
        <v>-0.84201421357770712</v>
      </c>
    </row>
    <row r="1395" spans="1:9" x14ac:dyDescent="0.25">
      <c r="A1395" s="70" t="s">
        <v>146</v>
      </c>
      <c r="B1395" s="70" t="s">
        <v>161</v>
      </c>
      <c r="C1395" s="71">
        <v>40990</v>
      </c>
      <c r="D1395" s="72">
        <v>41274</v>
      </c>
      <c r="E1395" s="101">
        <v>4.4999999999999999E-4</v>
      </c>
      <c r="F1395" s="74">
        <v>224345.67</v>
      </c>
      <c r="G1395" s="75"/>
      <c r="H1395" s="74">
        <v>-39718.720000000001</v>
      </c>
      <c r="I1395" s="126">
        <v>-0.17704250766239438</v>
      </c>
    </row>
    <row r="1396" spans="1:9" x14ac:dyDescent="0.25">
      <c r="A1396" s="76" t="s">
        <v>372</v>
      </c>
      <c r="B1396" s="76" t="s">
        <v>107</v>
      </c>
      <c r="C1396" s="77">
        <v>41013</v>
      </c>
      <c r="D1396" s="78">
        <v>41274</v>
      </c>
      <c r="E1396" s="79">
        <v>8.9999999999999993E-3</v>
      </c>
      <c r="F1396" s="80">
        <v>340334.5</v>
      </c>
      <c r="G1396" s="81"/>
      <c r="H1396" s="80">
        <v>-40208.6</v>
      </c>
      <c r="I1396" s="93">
        <f>H1396/F1396</f>
        <v>-0.11814435503893962</v>
      </c>
    </row>
    <row r="1397" spans="1:9" x14ac:dyDescent="0.25">
      <c r="A1397" s="76" t="s">
        <v>317</v>
      </c>
      <c r="B1397" s="76" t="s">
        <v>172</v>
      </c>
      <c r="C1397" s="77">
        <v>40589</v>
      </c>
      <c r="D1397" s="78">
        <v>40953</v>
      </c>
      <c r="E1397" s="79">
        <v>1.7999999999999999E-2</v>
      </c>
      <c r="F1397" s="80">
        <v>313909</v>
      </c>
      <c r="G1397" s="81"/>
      <c r="H1397" s="80">
        <v>-41761.08</v>
      </c>
      <c r="I1397" s="93">
        <f>H1397/F1397</f>
        <v>-0.1330356249741167</v>
      </c>
    </row>
    <row r="1398" spans="1:9" x14ac:dyDescent="0.25">
      <c r="A1398" s="76" t="s">
        <v>613</v>
      </c>
      <c r="B1398" s="76" t="s">
        <v>193</v>
      </c>
      <c r="C1398" s="77">
        <v>41101</v>
      </c>
      <c r="D1398" s="78">
        <v>41455</v>
      </c>
      <c r="E1398" s="79">
        <v>8.9999999999999993E-3</v>
      </c>
      <c r="F1398" s="80">
        <v>294175</v>
      </c>
      <c r="G1398" s="81"/>
      <c r="H1398" s="80">
        <v>-43475</v>
      </c>
      <c r="I1398" s="93">
        <f>H1398/F1398</f>
        <v>-0.14778618169456956</v>
      </c>
    </row>
    <row r="1399" spans="1:9" x14ac:dyDescent="0.25">
      <c r="A1399" s="76" t="s">
        <v>531</v>
      </c>
      <c r="B1399" s="76" t="s">
        <v>546</v>
      </c>
      <c r="C1399" s="77">
        <v>40909</v>
      </c>
      <c r="D1399" s="78">
        <v>41274</v>
      </c>
      <c r="E1399" s="79">
        <v>8.9999999999999993E-3</v>
      </c>
      <c r="F1399" s="80">
        <v>151291</v>
      </c>
      <c r="G1399" s="81"/>
      <c r="H1399" s="80">
        <v>-48584</v>
      </c>
      <c r="I1399" s="93">
        <f>H1399/F1399</f>
        <v>-0.32112947895116034</v>
      </c>
    </row>
    <row r="1400" spans="1:9" x14ac:dyDescent="0.25">
      <c r="A1400" s="70" t="s">
        <v>171</v>
      </c>
      <c r="B1400" s="70" t="s">
        <v>34</v>
      </c>
      <c r="C1400" s="71">
        <v>40617</v>
      </c>
      <c r="D1400" s="72">
        <v>40968</v>
      </c>
      <c r="E1400" s="73">
        <v>1.7999999999999999E-2</v>
      </c>
      <c r="F1400" s="74">
        <v>98843</v>
      </c>
      <c r="G1400" s="75"/>
      <c r="H1400" s="74">
        <v>-49489.63</v>
      </c>
      <c r="I1400" s="126">
        <v>-0.50068927491071702</v>
      </c>
    </row>
    <row r="1401" spans="1:9" x14ac:dyDescent="0.25">
      <c r="A1401" s="76" t="s">
        <v>249</v>
      </c>
      <c r="B1401" s="76" t="s">
        <v>260</v>
      </c>
      <c r="C1401" s="77">
        <v>41022</v>
      </c>
      <c r="D1401" s="78">
        <v>41243</v>
      </c>
      <c r="E1401" s="79">
        <v>0</v>
      </c>
      <c r="F1401" s="80">
        <v>30631</v>
      </c>
      <c r="G1401" s="81"/>
      <c r="H1401" s="80">
        <v>-56333.85</v>
      </c>
      <c r="I1401" s="93">
        <f>H1401/F1401</f>
        <v>-1.8391123371747575</v>
      </c>
    </row>
    <row r="1402" spans="1:9" x14ac:dyDescent="0.25">
      <c r="A1402" s="70" t="s">
        <v>127</v>
      </c>
      <c r="B1402" s="70" t="s">
        <v>129</v>
      </c>
      <c r="C1402" s="71">
        <v>40786</v>
      </c>
      <c r="D1402" s="72">
        <v>41121</v>
      </c>
      <c r="E1402" s="73">
        <v>0</v>
      </c>
      <c r="F1402" s="74">
        <v>0</v>
      </c>
      <c r="G1402" s="75"/>
      <c r="H1402" s="74">
        <v>-58402</v>
      </c>
      <c r="I1402" s="126">
        <v>0</v>
      </c>
    </row>
    <row r="1403" spans="1:9" x14ac:dyDescent="0.25">
      <c r="A1403" s="76" t="s">
        <v>171</v>
      </c>
      <c r="B1403" s="76" t="s">
        <v>193</v>
      </c>
      <c r="C1403" s="77">
        <v>40918</v>
      </c>
      <c r="D1403" s="78">
        <v>41274</v>
      </c>
      <c r="E1403" s="79">
        <v>1.7999999999999999E-2</v>
      </c>
      <c r="F1403" s="80">
        <v>348708</v>
      </c>
      <c r="G1403" s="81"/>
      <c r="H1403" s="80">
        <v>-60162</v>
      </c>
      <c r="I1403" s="93">
        <f>H1403/F1403</f>
        <v>-0.17252830448398088</v>
      </c>
    </row>
    <row r="1404" spans="1:9" x14ac:dyDescent="0.25">
      <c r="A1404" s="76" t="s">
        <v>262</v>
      </c>
      <c r="B1404" s="76" t="s">
        <v>31</v>
      </c>
      <c r="C1404" s="77">
        <v>40747</v>
      </c>
      <c r="D1404" s="78">
        <v>41060</v>
      </c>
      <c r="E1404" s="79">
        <v>8.9999999999999993E-3</v>
      </c>
      <c r="F1404" s="80">
        <v>124795</v>
      </c>
      <c r="G1404" s="81"/>
      <c r="H1404" s="80">
        <v>-60357.4</v>
      </c>
      <c r="I1404" s="79">
        <f>H1404/F1404</f>
        <v>-0.48365238991946796</v>
      </c>
    </row>
    <row r="1405" spans="1:9" x14ac:dyDescent="0.25">
      <c r="A1405" s="70" t="s">
        <v>146</v>
      </c>
      <c r="B1405" s="70" t="s">
        <v>147</v>
      </c>
      <c r="C1405" s="71">
        <v>40940</v>
      </c>
      <c r="D1405" s="72">
        <v>41305</v>
      </c>
      <c r="E1405" s="101">
        <v>4.4999999999999999E-4</v>
      </c>
      <c r="F1405" s="74">
        <v>52766</v>
      </c>
      <c r="G1405" s="75"/>
      <c r="H1405" s="74">
        <v>-61439.46</v>
      </c>
      <c r="I1405" s="73">
        <v>-1.1643759238903839</v>
      </c>
    </row>
    <row r="1406" spans="1:9" x14ac:dyDescent="0.25">
      <c r="A1406" s="76" t="s">
        <v>249</v>
      </c>
      <c r="B1406" s="76" t="s">
        <v>259</v>
      </c>
      <c r="C1406" s="77">
        <v>40969</v>
      </c>
      <c r="D1406" s="78">
        <v>41152</v>
      </c>
      <c r="E1406" s="79">
        <v>0</v>
      </c>
      <c r="F1406" s="80">
        <v>0</v>
      </c>
      <c r="G1406" s="81"/>
      <c r="H1406" s="80">
        <v>-62748.95</v>
      </c>
      <c r="I1406" s="79">
        <v>0</v>
      </c>
    </row>
    <row r="1407" spans="1:9" x14ac:dyDescent="0.25">
      <c r="A1407" s="70" t="s">
        <v>171</v>
      </c>
      <c r="B1407" s="70" t="s">
        <v>183</v>
      </c>
      <c r="C1407" s="71">
        <v>40749</v>
      </c>
      <c r="D1407" s="72">
        <v>41104</v>
      </c>
      <c r="E1407" s="73">
        <v>1.7999999999999999E-2</v>
      </c>
      <c r="F1407" s="74">
        <v>204875</v>
      </c>
      <c r="G1407" s="75"/>
      <c r="H1407" s="74">
        <v>-70011</v>
      </c>
      <c r="I1407" s="79">
        <f>H1407/F1407</f>
        <v>-0.34172544234289198</v>
      </c>
    </row>
    <row r="1408" spans="1:9" x14ac:dyDescent="0.25">
      <c r="A1408" s="76" t="s">
        <v>249</v>
      </c>
      <c r="B1408" s="76" t="s">
        <v>254</v>
      </c>
      <c r="C1408" s="77">
        <v>40700</v>
      </c>
      <c r="D1408" s="78">
        <v>40939</v>
      </c>
      <c r="E1408" s="79">
        <v>0</v>
      </c>
      <c r="F1408" s="80">
        <v>350803.5</v>
      </c>
      <c r="G1408" s="81"/>
      <c r="H1408" s="80">
        <v>-71013.69</v>
      </c>
      <c r="I1408" s="79">
        <f>H1408/F1408</f>
        <v>-0.20243153218254664</v>
      </c>
    </row>
    <row r="1409" spans="1:9" x14ac:dyDescent="0.25">
      <c r="A1409" s="76" t="s">
        <v>249</v>
      </c>
      <c r="B1409" s="76" t="s">
        <v>254</v>
      </c>
      <c r="C1409" s="77">
        <v>40700</v>
      </c>
      <c r="D1409" s="77">
        <v>40939</v>
      </c>
      <c r="E1409" s="79">
        <v>0</v>
      </c>
      <c r="F1409" s="80">
        <v>350803.5</v>
      </c>
      <c r="G1409" s="88"/>
      <c r="H1409" s="80">
        <v>-71013.69</v>
      </c>
      <c r="I1409" s="79">
        <v>0</v>
      </c>
    </row>
    <row r="1410" spans="1:9" x14ac:dyDescent="0.25">
      <c r="A1410" s="76" t="s">
        <v>531</v>
      </c>
      <c r="B1410" s="76" t="s">
        <v>93</v>
      </c>
      <c r="C1410" s="77">
        <v>40806</v>
      </c>
      <c r="D1410" s="78">
        <v>41090</v>
      </c>
      <c r="E1410" s="79">
        <v>8.9999999999999993E-3</v>
      </c>
      <c r="F1410" s="80">
        <v>249962</v>
      </c>
      <c r="G1410" s="81"/>
      <c r="H1410" s="80">
        <v>-79026</v>
      </c>
      <c r="I1410" s="79">
        <f>H1410/F1410</f>
        <v>-0.3161520551123771</v>
      </c>
    </row>
    <row r="1411" spans="1:9" x14ac:dyDescent="0.25">
      <c r="A1411" s="76" t="s">
        <v>613</v>
      </c>
      <c r="B1411" s="76" t="s">
        <v>31</v>
      </c>
      <c r="C1411" s="77">
        <v>41170</v>
      </c>
      <c r="D1411" s="78">
        <v>41517</v>
      </c>
      <c r="E1411" s="79">
        <v>8.9999999999999993E-3</v>
      </c>
      <c r="F1411" s="80">
        <v>44962</v>
      </c>
      <c r="G1411" s="81"/>
      <c r="H1411" s="80">
        <v>-87687</v>
      </c>
      <c r="I1411" s="79">
        <f>H1411/F1411</f>
        <v>-1.9502468751390063</v>
      </c>
    </row>
    <row r="1412" spans="1:9" x14ac:dyDescent="0.25">
      <c r="A1412" s="70" t="s">
        <v>171</v>
      </c>
      <c r="B1412" s="70" t="s">
        <v>174</v>
      </c>
      <c r="C1412" s="71">
        <v>40634</v>
      </c>
      <c r="D1412" s="72">
        <v>40999</v>
      </c>
      <c r="E1412" s="73">
        <v>1.7999999999999999E-2</v>
      </c>
      <c r="F1412" s="74">
        <v>179838</v>
      </c>
      <c r="G1412" s="75"/>
      <c r="H1412" s="74">
        <v>-88028</v>
      </c>
      <c r="I1412" s="126">
        <v>-0.48948498092727899</v>
      </c>
    </row>
    <row r="1413" spans="1:9" x14ac:dyDescent="0.25">
      <c r="A1413" s="76" t="s">
        <v>249</v>
      </c>
      <c r="B1413" s="76" t="s">
        <v>1968</v>
      </c>
      <c r="C1413" s="77">
        <v>40686</v>
      </c>
      <c r="D1413" s="77">
        <v>40908</v>
      </c>
      <c r="E1413" s="79">
        <v>0</v>
      </c>
      <c r="F1413" s="80">
        <v>54564.07</v>
      </c>
      <c r="G1413" s="88"/>
      <c r="H1413" s="80">
        <v>-91397.67</v>
      </c>
      <c r="I1413" s="93">
        <v>0</v>
      </c>
    </row>
    <row r="1414" spans="1:9" x14ac:dyDescent="0.25">
      <c r="A1414" s="76" t="s">
        <v>674</v>
      </c>
      <c r="B1414" s="76" t="s">
        <v>193</v>
      </c>
      <c r="C1414" s="77">
        <v>40938</v>
      </c>
      <c r="D1414" s="78">
        <v>41274</v>
      </c>
      <c r="E1414" s="79">
        <v>0.22500000000000001</v>
      </c>
      <c r="F1414" s="80">
        <v>237778.37</v>
      </c>
      <c r="G1414" s="81"/>
      <c r="H1414" s="80">
        <v>-167807.48</v>
      </c>
      <c r="I1414" s="79">
        <f>H1414/F1414</f>
        <v>-0.70573063479239095</v>
      </c>
    </row>
    <row r="1415" spans="1:9" x14ac:dyDescent="0.25">
      <c r="A1415" s="76" t="s">
        <v>249</v>
      </c>
      <c r="B1415" s="76" t="s">
        <v>253</v>
      </c>
      <c r="C1415" s="77">
        <v>40686</v>
      </c>
      <c r="D1415" s="78">
        <v>41121</v>
      </c>
      <c r="E1415" s="79">
        <v>0</v>
      </c>
      <c r="F1415" s="80">
        <v>94425.279999999999</v>
      </c>
      <c r="G1415" s="81"/>
      <c r="H1415" s="80">
        <v>-273458.40000000002</v>
      </c>
      <c r="I1415" s="93">
        <f>H1415/F1415</f>
        <v>-2.8960295378525753</v>
      </c>
    </row>
    <row r="1416" spans="1:9" x14ac:dyDescent="0.25">
      <c r="A1416" s="70" t="s">
        <v>127</v>
      </c>
      <c r="B1416" s="70" t="s">
        <v>88</v>
      </c>
      <c r="C1416" s="71">
        <v>40806</v>
      </c>
      <c r="D1416" s="72">
        <v>41171</v>
      </c>
      <c r="E1416" s="73">
        <v>0</v>
      </c>
      <c r="F1416" s="74">
        <v>0</v>
      </c>
      <c r="G1416" s="75"/>
      <c r="H1416" s="74">
        <v>-318215</v>
      </c>
      <c r="I1416" s="126">
        <v>0</v>
      </c>
    </row>
    <row r="1417" spans="1:9" x14ac:dyDescent="0.25">
      <c r="A1417" s="70" t="s">
        <v>127</v>
      </c>
      <c r="B1417" s="70" t="s">
        <v>128</v>
      </c>
      <c r="C1417" s="71">
        <v>40742</v>
      </c>
      <c r="D1417" s="72">
        <v>41065</v>
      </c>
      <c r="E1417" s="73">
        <v>0</v>
      </c>
      <c r="F1417" s="74">
        <v>0</v>
      </c>
      <c r="G1417" s="75"/>
      <c r="H1417" s="74">
        <v>-371325</v>
      </c>
      <c r="I1417" s="126">
        <v>0</v>
      </c>
    </row>
    <row r="1418" spans="1:9" x14ac:dyDescent="0.25">
      <c r="A1418" s="76" t="s">
        <v>249</v>
      </c>
      <c r="B1418" s="76" t="s">
        <v>251</v>
      </c>
      <c r="C1418" s="77">
        <v>40648</v>
      </c>
      <c r="D1418" s="78">
        <v>41014</v>
      </c>
      <c r="E1418" s="79">
        <v>0</v>
      </c>
      <c r="F1418" s="80">
        <v>625521.44999999995</v>
      </c>
      <c r="G1418" s="81"/>
      <c r="H1418" s="80">
        <v>-834958.74</v>
      </c>
      <c r="I1418" s="93">
        <f>H1418/F1418</f>
        <v>-1.3348203167133599</v>
      </c>
    </row>
    <row r="1419" spans="1:9" x14ac:dyDescent="0.25">
      <c r="A1419" s="124"/>
      <c r="B1419" s="124"/>
      <c r="C1419" s="125"/>
      <c r="D1419" s="125"/>
    </row>
    <row r="1420" spans="1:9" x14ac:dyDescent="0.25">
      <c r="A1420" s="124"/>
      <c r="B1420" s="124"/>
      <c r="C1420" s="125"/>
      <c r="D1420" s="125"/>
    </row>
    <row r="1421" spans="1:9" x14ac:dyDescent="0.25">
      <c r="A1421" s="124"/>
      <c r="B1421" s="124"/>
      <c r="C1421" s="125"/>
      <c r="D1421" s="125"/>
    </row>
    <row r="1422" spans="1:9" x14ac:dyDescent="0.25">
      <c r="A1422" s="124"/>
      <c r="B1422" s="124"/>
      <c r="C1422" s="125"/>
      <c r="D1422" s="125"/>
    </row>
    <row r="1423" spans="1:9" x14ac:dyDescent="0.25">
      <c r="A1423" s="124"/>
      <c r="B1423" s="124"/>
      <c r="C1423" s="125"/>
      <c r="D1423" s="125"/>
    </row>
    <row r="1424" spans="1:9" x14ac:dyDescent="0.25">
      <c r="A1424" s="124"/>
      <c r="B1424" s="124"/>
      <c r="C1424" s="125"/>
      <c r="D1424" s="125"/>
    </row>
    <row r="1425" spans="1:4" x14ac:dyDescent="0.25">
      <c r="A1425" s="125"/>
      <c r="B1425" s="125"/>
      <c r="C1425" s="125"/>
      <c r="D1425" s="125"/>
    </row>
    <row r="1426" spans="1:4" x14ac:dyDescent="0.25">
      <c r="A1426" s="125"/>
      <c r="B1426" s="125"/>
      <c r="C1426" s="125"/>
      <c r="D1426" s="125"/>
    </row>
  </sheetData>
  <autoFilter ref="A1:I1"/>
  <sortState ref="A2:XFD1427">
    <sortCondition descending="1" ref="H2:H1427"/>
  </sortState>
  <pageMargins left="0.7" right="0.7" top="0.75" bottom="0.75" header="0.3" footer="0.3"/>
  <pageSetup scale="57" fitToHeight="30" orientation="landscape" r:id="rId1"/>
  <ignoredErrors>
    <ignoredError sqref="I19:I20 I21 I27:I28 I36 I50 I114 I121 I138 I143 I179:I180 I181 I185 I196 I241 I283:I284 I327 I334 I342 I345:I346 I375 I430 I435 I452 I472 I478 I494 I501 I506:I507 I511 I523:I524 I525 I538:I539 I563 I572 I576:I577 I580 I585 I591 I601 I618 I636 I639 I643 I661 I665 I688 I692 I698 I707 I710:I711 I721:I722 I729:I730 I731 I738 I754 I758 I763 I768 I798 I803:I804 I805 I810 I815 I830:I831 I836 I871 I874 I892 I914:I915 I916 I937 I952 I970 I977 I990 I993 I1014 I1024 I1032 I1067 I1077 I1094 I1101 I1105 I1126 I1161 I1164 I1302:I1303 I1329 I135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CC33"/>
    <pageSetUpPr fitToPage="1"/>
  </sheetPr>
  <dimension ref="A1:I1426"/>
  <sheetViews>
    <sheetView workbookViewId="0">
      <pane xSplit="2" ySplit="1" topLeftCell="D2" activePane="bottomRight" state="frozen"/>
      <selection pane="topRight" activeCell="C1" sqref="C1"/>
      <selection pane="bottomLeft" activeCell="A2" sqref="A2"/>
      <selection pane="bottomRight" activeCell="H985" sqref="H985"/>
    </sheetView>
  </sheetViews>
  <sheetFormatPr defaultRowHeight="15" x14ac:dyDescent="0.25"/>
  <cols>
    <col min="1" max="1" width="43.140625" style="20" bestFit="1" customWidth="1"/>
    <col min="2" max="2" width="65.28515625" style="20" bestFit="1" customWidth="1"/>
    <col min="3" max="4" width="14.28515625" style="20" bestFit="1" customWidth="1"/>
    <col min="5" max="5" width="20.140625" style="20" bestFit="1" customWidth="1"/>
    <col min="6" max="6" width="31" style="20" bestFit="1" customWidth="1"/>
    <col min="7" max="7" width="15.7109375" style="20" bestFit="1" customWidth="1"/>
    <col min="8" max="8" width="16.42578125" style="20" bestFit="1" customWidth="1"/>
    <col min="9" max="9" width="14.28515625" style="20" bestFit="1" customWidth="1"/>
    <col min="10" max="16384" width="9.140625" style="20"/>
  </cols>
  <sheetData>
    <row r="1" spans="1:9" ht="64.5" customHeight="1" x14ac:dyDescent="0.25">
      <c r="A1" s="63" t="s">
        <v>1962</v>
      </c>
      <c r="B1" s="63" t="s">
        <v>0</v>
      </c>
      <c r="C1" s="64" t="s">
        <v>1</v>
      </c>
      <c r="D1" s="65" t="s">
        <v>2</v>
      </c>
      <c r="E1" s="66" t="s">
        <v>3</v>
      </c>
      <c r="F1" s="67" t="s">
        <v>4</v>
      </c>
      <c r="G1" s="68" t="s">
        <v>5</v>
      </c>
      <c r="H1" s="69" t="s">
        <v>6</v>
      </c>
      <c r="I1" s="66" t="s">
        <v>7</v>
      </c>
    </row>
    <row r="2" spans="1:9" x14ac:dyDescent="0.25">
      <c r="A2" s="76" t="s">
        <v>270</v>
      </c>
      <c r="B2" s="76" t="s">
        <v>272</v>
      </c>
      <c r="C2" s="77">
        <v>41030</v>
      </c>
      <c r="D2" s="78">
        <v>41060</v>
      </c>
      <c r="E2" s="79">
        <v>0.2</v>
      </c>
      <c r="F2" s="80"/>
      <c r="G2" s="81">
        <v>55</v>
      </c>
      <c r="H2" s="80">
        <v>330.6</v>
      </c>
      <c r="I2" s="79">
        <f>H2/G2</f>
        <v>6.0109090909090916</v>
      </c>
    </row>
    <row r="3" spans="1:9" x14ac:dyDescent="0.25">
      <c r="A3" s="76" t="s">
        <v>531</v>
      </c>
      <c r="B3" s="76" t="s">
        <v>33</v>
      </c>
      <c r="C3" s="77">
        <v>40709</v>
      </c>
      <c r="D3" s="78">
        <v>40999</v>
      </c>
      <c r="E3" s="79">
        <v>8.9999999999999993E-3</v>
      </c>
      <c r="F3" s="80">
        <v>415576</v>
      </c>
      <c r="G3" s="81"/>
      <c r="H3" s="80">
        <v>892610</v>
      </c>
      <c r="I3" s="79">
        <f>H3/F3</f>
        <v>2.1478863071977208</v>
      </c>
    </row>
    <row r="4" spans="1:9" x14ac:dyDescent="0.25">
      <c r="A4" s="76" t="s">
        <v>594</v>
      </c>
      <c r="B4" s="76" t="s">
        <v>602</v>
      </c>
      <c r="C4" s="77">
        <v>40897</v>
      </c>
      <c r="D4" s="78">
        <v>41262</v>
      </c>
      <c r="E4" s="79">
        <v>0.9</v>
      </c>
      <c r="F4" s="80">
        <v>279540.99</v>
      </c>
      <c r="G4" s="81"/>
      <c r="H4" s="80">
        <v>279540.99</v>
      </c>
      <c r="I4" s="79">
        <f>H4/F4</f>
        <v>1</v>
      </c>
    </row>
    <row r="5" spans="1:9" x14ac:dyDescent="0.25">
      <c r="A5" s="76" t="s">
        <v>594</v>
      </c>
      <c r="B5" s="76" t="s">
        <v>602</v>
      </c>
      <c r="C5" s="77">
        <v>40897</v>
      </c>
      <c r="D5" s="78">
        <v>41262</v>
      </c>
      <c r="E5" s="79">
        <v>0.9</v>
      </c>
      <c r="F5" s="80"/>
      <c r="G5" s="81">
        <v>168431.12</v>
      </c>
      <c r="H5" s="80">
        <v>168431.12</v>
      </c>
      <c r="I5" s="79">
        <f>H5/G5</f>
        <v>1</v>
      </c>
    </row>
    <row r="6" spans="1:9" x14ac:dyDescent="0.25">
      <c r="A6" s="70" t="s">
        <v>8</v>
      </c>
      <c r="B6" s="70" t="s">
        <v>9</v>
      </c>
      <c r="C6" s="71">
        <v>41021</v>
      </c>
      <c r="D6" s="72">
        <v>41213</v>
      </c>
      <c r="E6" s="73">
        <v>8.9999999999999993E-3</v>
      </c>
      <c r="F6" s="74">
        <v>1982</v>
      </c>
      <c r="G6" s="75"/>
      <c r="H6" s="74">
        <v>1982</v>
      </c>
      <c r="I6" s="73">
        <v>1</v>
      </c>
    </row>
    <row r="7" spans="1:9" x14ac:dyDescent="0.25">
      <c r="A7" s="70" t="s">
        <v>14</v>
      </c>
      <c r="B7" s="70" t="s">
        <v>16</v>
      </c>
      <c r="C7" s="71">
        <v>41001</v>
      </c>
      <c r="D7" s="72">
        <v>41262</v>
      </c>
      <c r="E7" s="73">
        <v>0.45</v>
      </c>
      <c r="F7" s="74"/>
      <c r="G7" s="75">
        <v>500</v>
      </c>
      <c r="H7" s="74">
        <v>500</v>
      </c>
      <c r="I7" s="73">
        <v>1</v>
      </c>
    </row>
    <row r="8" spans="1:9" x14ac:dyDescent="0.25">
      <c r="A8" s="70" t="s">
        <v>8</v>
      </c>
      <c r="B8" s="70" t="s">
        <v>9</v>
      </c>
      <c r="C8" s="71">
        <v>41021</v>
      </c>
      <c r="D8" s="72">
        <v>41213</v>
      </c>
      <c r="E8" s="73">
        <v>8.9999999999999993E-3</v>
      </c>
      <c r="F8" s="74"/>
      <c r="G8" s="75">
        <v>20</v>
      </c>
      <c r="H8" s="74">
        <v>20</v>
      </c>
      <c r="I8" s="73">
        <v>1</v>
      </c>
    </row>
    <row r="9" spans="1:9" x14ac:dyDescent="0.25">
      <c r="A9" s="76" t="s">
        <v>317</v>
      </c>
      <c r="B9" s="76" t="s">
        <v>18</v>
      </c>
      <c r="C9" s="77">
        <v>40969</v>
      </c>
      <c r="D9" s="78">
        <v>41333</v>
      </c>
      <c r="E9" s="79">
        <v>1.7999999999999999E-2</v>
      </c>
      <c r="F9" s="80">
        <v>50550916.009999998</v>
      </c>
      <c r="G9" s="81"/>
      <c r="H9" s="80">
        <v>50382212.640000001</v>
      </c>
      <c r="I9" s="79">
        <f>H9/F9</f>
        <v>0.99666270399597456</v>
      </c>
    </row>
    <row r="10" spans="1:9" x14ac:dyDescent="0.25">
      <c r="A10" s="76" t="s">
        <v>317</v>
      </c>
      <c r="B10" s="76" t="s">
        <v>18</v>
      </c>
      <c r="C10" s="77">
        <v>40969</v>
      </c>
      <c r="D10" s="78">
        <v>41333</v>
      </c>
      <c r="E10" s="79">
        <v>1.7999999999999999E-2</v>
      </c>
      <c r="F10" s="80"/>
      <c r="G10" s="81">
        <v>2034503.09</v>
      </c>
      <c r="H10" s="80">
        <v>2027713.35</v>
      </c>
      <c r="I10" s="79">
        <f>H10/G10</f>
        <v>0.99666270352039621</v>
      </c>
    </row>
    <row r="11" spans="1:9" x14ac:dyDescent="0.25">
      <c r="A11" s="76" t="s">
        <v>317</v>
      </c>
      <c r="B11" s="76" t="s">
        <v>18</v>
      </c>
      <c r="C11" s="77">
        <v>40603</v>
      </c>
      <c r="D11" s="78">
        <v>40968</v>
      </c>
      <c r="E11" s="79">
        <v>1.7999999999999999E-2</v>
      </c>
      <c r="F11" s="80">
        <v>46824802.25</v>
      </c>
      <c r="G11" s="81"/>
      <c r="H11" s="80">
        <v>46666488.649999999</v>
      </c>
      <c r="I11" s="79">
        <f>H11/F11</f>
        <v>0.996619022560848</v>
      </c>
    </row>
    <row r="12" spans="1:9" x14ac:dyDescent="0.25">
      <c r="A12" s="76" t="s">
        <v>317</v>
      </c>
      <c r="B12" s="76" t="s">
        <v>18</v>
      </c>
      <c r="C12" s="77">
        <v>40603</v>
      </c>
      <c r="D12" s="78">
        <v>40968</v>
      </c>
      <c r="E12" s="79">
        <v>1.7999999999999999E-2</v>
      </c>
      <c r="F12" s="80"/>
      <c r="G12" s="81">
        <v>1911377.53</v>
      </c>
      <c r="H12" s="80">
        <v>1902000.91</v>
      </c>
      <c r="I12" s="79">
        <f>H12/G12</f>
        <v>0.99509431294821171</v>
      </c>
    </row>
    <row r="13" spans="1:9" x14ac:dyDescent="0.25">
      <c r="A13" s="76" t="s">
        <v>572</v>
      </c>
      <c r="B13" s="76" t="s">
        <v>574</v>
      </c>
      <c r="C13" s="77">
        <v>41000</v>
      </c>
      <c r="D13" s="78">
        <v>41364</v>
      </c>
      <c r="E13" s="79">
        <v>0.8</v>
      </c>
      <c r="F13" s="80">
        <v>268430</v>
      </c>
      <c r="G13" s="81"/>
      <c r="H13" s="80">
        <v>264171</v>
      </c>
      <c r="I13" s="79">
        <f>H13/F13</f>
        <v>0.98413366613269748</v>
      </c>
    </row>
    <row r="14" spans="1:9" x14ac:dyDescent="0.25">
      <c r="A14" s="76" t="s">
        <v>572</v>
      </c>
      <c r="B14" s="76" t="s">
        <v>574</v>
      </c>
      <c r="C14" s="77">
        <v>41000</v>
      </c>
      <c r="D14" s="78">
        <v>41364</v>
      </c>
      <c r="E14" s="79">
        <v>0.8</v>
      </c>
      <c r="F14" s="80"/>
      <c r="G14" s="81">
        <v>268430</v>
      </c>
      <c r="H14" s="80">
        <v>264171</v>
      </c>
      <c r="I14" s="79">
        <f>H14/G14</f>
        <v>0.98413366613269748</v>
      </c>
    </row>
    <row r="15" spans="1:9" x14ac:dyDescent="0.25">
      <c r="A15" s="76" t="s">
        <v>583</v>
      </c>
      <c r="B15" s="76" t="s">
        <v>585</v>
      </c>
      <c r="C15" s="77">
        <v>40837</v>
      </c>
      <c r="D15" s="78">
        <v>41202</v>
      </c>
      <c r="E15" s="79">
        <v>0.09</v>
      </c>
      <c r="F15" s="80"/>
      <c r="G15" s="81">
        <v>131368</v>
      </c>
      <c r="H15" s="80">
        <v>128968</v>
      </c>
      <c r="I15" s="79">
        <f>H15/G15</f>
        <v>0.98173071067535478</v>
      </c>
    </row>
    <row r="16" spans="1:9" x14ac:dyDescent="0.25">
      <c r="A16" s="76" t="s">
        <v>572</v>
      </c>
      <c r="B16" s="76" t="s">
        <v>573</v>
      </c>
      <c r="C16" s="77">
        <v>41000</v>
      </c>
      <c r="D16" s="78">
        <v>41364</v>
      </c>
      <c r="E16" s="79">
        <v>0.8</v>
      </c>
      <c r="F16" s="80">
        <v>224833</v>
      </c>
      <c r="G16" s="81"/>
      <c r="H16" s="80">
        <v>218833</v>
      </c>
      <c r="I16" s="79">
        <f>H16/F16</f>
        <v>0.97331352603932697</v>
      </c>
    </row>
    <row r="17" spans="1:9" x14ac:dyDescent="0.25">
      <c r="A17" s="76" t="s">
        <v>572</v>
      </c>
      <c r="B17" s="76" t="s">
        <v>573</v>
      </c>
      <c r="C17" s="77">
        <v>41000</v>
      </c>
      <c r="D17" s="78">
        <v>41364</v>
      </c>
      <c r="E17" s="79">
        <v>0.8</v>
      </c>
      <c r="F17" s="80"/>
      <c r="G17" s="81">
        <v>224833</v>
      </c>
      <c r="H17" s="80">
        <v>218833</v>
      </c>
      <c r="I17" s="79">
        <f>H17/G17</f>
        <v>0.97331352603932697</v>
      </c>
    </row>
    <row r="18" spans="1:9" x14ac:dyDescent="0.25">
      <c r="A18" s="70" t="s">
        <v>113</v>
      </c>
      <c r="B18" s="70" t="s">
        <v>106</v>
      </c>
      <c r="C18" s="71">
        <v>40618</v>
      </c>
      <c r="D18" s="72">
        <v>40939</v>
      </c>
      <c r="E18" s="73">
        <v>0.09</v>
      </c>
      <c r="F18" s="74"/>
      <c r="G18" s="75">
        <v>106</v>
      </c>
      <c r="H18" s="74">
        <v>103</v>
      </c>
      <c r="I18" s="73">
        <v>0.97169811320754718</v>
      </c>
    </row>
    <row r="19" spans="1:9" x14ac:dyDescent="0.25">
      <c r="A19" s="76" t="s">
        <v>572</v>
      </c>
      <c r="B19" s="76" t="s">
        <v>577</v>
      </c>
      <c r="C19" s="77">
        <v>40634</v>
      </c>
      <c r="D19" s="78">
        <v>40999</v>
      </c>
      <c r="E19" s="79">
        <v>0.8</v>
      </c>
      <c r="F19" s="80"/>
      <c r="G19" s="81">
        <v>191912</v>
      </c>
      <c r="H19" s="80">
        <v>186147</v>
      </c>
      <c r="I19" s="79">
        <f>H19/G19</f>
        <v>0.96996019008712331</v>
      </c>
    </row>
    <row r="20" spans="1:9" x14ac:dyDescent="0.25">
      <c r="A20" s="76" t="s">
        <v>317</v>
      </c>
      <c r="B20" s="76" t="s">
        <v>325</v>
      </c>
      <c r="C20" s="77">
        <v>40725</v>
      </c>
      <c r="D20" s="78">
        <v>41090</v>
      </c>
      <c r="E20" s="79">
        <v>0</v>
      </c>
      <c r="F20" s="80"/>
      <c r="G20" s="81">
        <v>152803.82999999999</v>
      </c>
      <c r="H20" s="80">
        <v>147785.85999999999</v>
      </c>
      <c r="I20" s="79">
        <f>H20/G20</f>
        <v>0.96716070533048815</v>
      </c>
    </row>
    <row r="21" spans="1:9" x14ac:dyDescent="0.25">
      <c r="A21" s="76" t="s">
        <v>317</v>
      </c>
      <c r="B21" s="76" t="s">
        <v>325</v>
      </c>
      <c r="C21" s="77">
        <v>40725</v>
      </c>
      <c r="D21" s="78">
        <v>41090</v>
      </c>
      <c r="E21" s="79">
        <v>0</v>
      </c>
      <c r="F21" s="80">
        <v>3962435.29</v>
      </c>
      <c r="G21" s="81"/>
      <c r="H21" s="80">
        <v>3832311.61</v>
      </c>
      <c r="I21" s="79">
        <f>H21/F21</f>
        <v>0.96716068011800893</v>
      </c>
    </row>
    <row r="22" spans="1:9" x14ac:dyDescent="0.25">
      <c r="A22" s="70" t="s">
        <v>101</v>
      </c>
      <c r="B22" s="70" t="s">
        <v>106</v>
      </c>
      <c r="C22" s="71">
        <v>40618</v>
      </c>
      <c r="D22" s="72">
        <v>40939</v>
      </c>
      <c r="E22" s="73">
        <v>0.09</v>
      </c>
      <c r="F22" s="74">
        <v>886</v>
      </c>
      <c r="G22" s="75"/>
      <c r="H22" s="74">
        <v>856</v>
      </c>
      <c r="I22" s="73">
        <v>0.96613995485327309</v>
      </c>
    </row>
    <row r="23" spans="1:9" x14ac:dyDescent="0.25">
      <c r="A23" s="76" t="s">
        <v>531</v>
      </c>
      <c r="B23" s="76" t="s">
        <v>539</v>
      </c>
      <c r="C23" s="77">
        <v>40796</v>
      </c>
      <c r="D23" s="78">
        <v>41152</v>
      </c>
      <c r="E23" s="79">
        <v>8.9999999999999993E-3</v>
      </c>
      <c r="F23" s="80"/>
      <c r="G23" s="81">
        <v>2225</v>
      </c>
      <c r="H23" s="80">
        <v>2135</v>
      </c>
      <c r="I23" s="79">
        <f>H23/G23</f>
        <v>0.95955056179775278</v>
      </c>
    </row>
    <row r="24" spans="1:9" x14ac:dyDescent="0.25">
      <c r="A24" s="76" t="s">
        <v>263</v>
      </c>
      <c r="B24" s="76" t="s">
        <v>102</v>
      </c>
      <c r="C24" s="77">
        <v>40800</v>
      </c>
      <c r="D24" s="78">
        <v>41121</v>
      </c>
      <c r="E24" s="79">
        <v>0.36</v>
      </c>
      <c r="F24" s="80"/>
      <c r="G24" s="81">
        <v>960</v>
      </c>
      <c r="H24" s="80">
        <v>914.9</v>
      </c>
      <c r="I24" s="79">
        <f>H24/G24</f>
        <v>0.95302083333333332</v>
      </c>
    </row>
    <row r="25" spans="1:9" x14ac:dyDescent="0.25">
      <c r="A25" s="76" t="s">
        <v>572</v>
      </c>
      <c r="B25" s="76" t="s">
        <v>575</v>
      </c>
      <c r="C25" s="77">
        <v>41000</v>
      </c>
      <c r="D25" s="78">
        <v>41364</v>
      </c>
      <c r="E25" s="79">
        <v>0.8</v>
      </c>
      <c r="F25" s="80">
        <v>1135153</v>
      </c>
      <c r="G25" s="81"/>
      <c r="H25" s="80">
        <v>1075016</v>
      </c>
      <c r="I25" s="79">
        <f>H25/F25</f>
        <v>0.94702300042373144</v>
      </c>
    </row>
    <row r="26" spans="1:9" x14ac:dyDescent="0.25">
      <c r="A26" s="76" t="s">
        <v>572</v>
      </c>
      <c r="B26" s="76" t="s">
        <v>575</v>
      </c>
      <c r="C26" s="77">
        <v>41000</v>
      </c>
      <c r="D26" s="78">
        <v>41364</v>
      </c>
      <c r="E26" s="79">
        <v>0.8</v>
      </c>
      <c r="F26" s="80"/>
      <c r="G26" s="81">
        <v>1135153</v>
      </c>
      <c r="H26" s="80">
        <v>1075016</v>
      </c>
      <c r="I26" s="79">
        <f>H26/G26</f>
        <v>0.94702300042373144</v>
      </c>
    </row>
    <row r="27" spans="1:9" x14ac:dyDescent="0.25">
      <c r="A27" s="76" t="s">
        <v>235</v>
      </c>
      <c r="B27" s="76" t="s">
        <v>94</v>
      </c>
      <c r="C27" s="77">
        <v>40836</v>
      </c>
      <c r="D27" s="78">
        <v>41201</v>
      </c>
      <c r="E27" s="79">
        <v>0.33</v>
      </c>
      <c r="F27" s="80">
        <v>199522.16</v>
      </c>
      <c r="G27" s="81"/>
      <c r="H27" s="80">
        <v>188911.91</v>
      </c>
      <c r="I27" s="79">
        <f>H27/F27</f>
        <v>0.94682169639703184</v>
      </c>
    </row>
    <row r="28" spans="1:9" x14ac:dyDescent="0.25">
      <c r="A28" s="76" t="s">
        <v>572</v>
      </c>
      <c r="B28" s="76" t="s">
        <v>576</v>
      </c>
      <c r="C28" s="77">
        <v>40634</v>
      </c>
      <c r="D28" s="78">
        <v>40999</v>
      </c>
      <c r="E28" s="79">
        <v>0.8</v>
      </c>
      <c r="F28" s="80"/>
      <c r="G28" s="81">
        <v>209772</v>
      </c>
      <c r="H28" s="80">
        <v>196572</v>
      </c>
      <c r="I28" s="79">
        <f>H28/G28</f>
        <v>0.93707453806990448</v>
      </c>
    </row>
    <row r="29" spans="1:9" x14ac:dyDescent="0.25">
      <c r="A29" s="76" t="s">
        <v>249</v>
      </c>
      <c r="B29" s="76" t="s">
        <v>251</v>
      </c>
      <c r="C29" s="77">
        <v>41014</v>
      </c>
      <c r="D29" s="78">
        <v>41090</v>
      </c>
      <c r="E29" s="79">
        <v>0</v>
      </c>
      <c r="F29" s="80">
        <v>723288</v>
      </c>
      <c r="G29" s="81"/>
      <c r="H29" s="80">
        <v>677565.2</v>
      </c>
      <c r="I29" s="79">
        <f>H29/F29</f>
        <v>0.93678479388569968</v>
      </c>
    </row>
    <row r="30" spans="1:9" x14ac:dyDescent="0.25">
      <c r="A30" s="76" t="s">
        <v>502</v>
      </c>
      <c r="B30" s="76" t="s">
        <v>503</v>
      </c>
      <c r="C30" s="77">
        <v>41153</v>
      </c>
      <c r="D30" s="78">
        <v>41289</v>
      </c>
      <c r="E30" s="79">
        <v>0.92500000000000004</v>
      </c>
      <c r="F30" s="80">
        <v>692.59</v>
      </c>
      <c r="G30" s="81"/>
      <c r="H30" s="80">
        <v>645.37</v>
      </c>
      <c r="I30" s="79">
        <f>H30/F30</f>
        <v>0.93182113515932941</v>
      </c>
    </row>
    <row r="31" spans="1:9" x14ac:dyDescent="0.25">
      <c r="A31" s="76" t="s">
        <v>235</v>
      </c>
      <c r="B31" s="76" t="s">
        <v>94</v>
      </c>
      <c r="C31" s="77">
        <v>40836</v>
      </c>
      <c r="D31" s="78">
        <v>41201</v>
      </c>
      <c r="E31" s="79">
        <v>0.33</v>
      </c>
      <c r="F31" s="80"/>
      <c r="G31" s="81">
        <v>4171.12</v>
      </c>
      <c r="H31" s="80">
        <v>3877.37</v>
      </c>
      <c r="I31" s="79">
        <f>H31/G31</f>
        <v>0.92957526995147588</v>
      </c>
    </row>
    <row r="32" spans="1:9" x14ac:dyDescent="0.25">
      <c r="A32" s="76" t="s">
        <v>502</v>
      </c>
      <c r="B32" s="76" t="s">
        <v>503</v>
      </c>
      <c r="C32" s="77">
        <v>41153</v>
      </c>
      <c r="D32" s="78">
        <v>41289</v>
      </c>
      <c r="E32" s="79">
        <v>0.92500000000000004</v>
      </c>
      <c r="F32" s="80"/>
      <c r="G32" s="81">
        <v>0.14000000000000001</v>
      </c>
      <c r="H32" s="80">
        <v>0.13</v>
      </c>
      <c r="I32" s="79">
        <f>H32/G32</f>
        <v>0.92857142857142849</v>
      </c>
    </row>
    <row r="33" spans="1:9" x14ac:dyDescent="0.25">
      <c r="A33" s="76" t="s">
        <v>502</v>
      </c>
      <c r="B33" s="76" t="s">
        <v>19</v>
      </c>
      <c r="C33" s="77">
        <v>41154</v>
      </c>
      <c r="D33" s="78">
        <v>41289</v>
      </c>
      <c r="E33" s="79">
        <v>0.92500000000000004</v>
      </c>
      <c r="F33" s="80"/>
      <c r="G33" s="81">
        <v>157.62</v>
      </c>
      <c r="H33" s="80">
        <v>145.80000000000001</v>
      </c>
      <c r="I33" s="79">
        <f>H33/G33</f>
        <v>0.92500951655881236</v>
      </c>
    </row>
    <row r="34" spans="1:9" x14ac:dyDescent="0.25">
      <c r="A34" s="70" t="s">
        <v>87</v>
      </c>
      <c r="B34" s="70" t="s">
        <v>92</v>
      </c>
      <c r="C34" s="71">
        <v>40785</v>
      </c>
      <c r="D34" s="72">
        <v>41150</v>
      </c>
      <c r="E34" s="73">
        <v>0.92500000000000004</v>
      </c>
      <c r="F34" s="74"/>
      <c r="G34" s="75">
        <v>214.56</v>
      </c>
      <c r="H34" s="74">
        <v>198.47</v>
      </c>
      <c r="I34" s="73">
        <v>0.92500932140193881</v>
      </c>
    </row>
    <row r="35" spans="1:9" x14ac:dyDescent="0.25">
      <c r="A35" s="70" t="s">
        <v>87</v>
      </c>
      <c r="B35" s="70" t="s">
        <v>19</v>
      </c>
      <c r="C35" s="71">
        <v>40788</v>
      </c>
      <c r="D35" s="72">
        <v>41153</v>
      </c>
      <c r="E35" s="73">
        <v>0.92500000000000004</v>
      </c>
      <c r="F35" s="90"/>
      <c r="G35" s="75">
        <v>1828.18</v>
      </c>
      <c r="H35" s="74">
        <v>1691.07</v>
      </c>
      <c r="I35" s="73">
        <v>0.92500191447231661</v>
      </c>
    </row>
    <row r="36" spans="1:9" x14ac:dyDescent="0.25">
      <c r="A36" s="76" t="s">
        <v>502</v>
      </c>
      <c r="B36" s="76" t="s">
        <v>92</v>
      </c>
      <c r="C36" s="77">
        <v>41151</v>
      </c>
      <c r="D36" s="78">
        <v>41515</v>
      </c>
      <c r="E36" s="79">
        <v>0.92500000000000004</v>
      </c>
      <c r="F36" s="80">
        <v>17104.46</v>
      </c>
      <c r="G36" s="81"/>
      <c r="H36" s="80">
        <v>15821.63</v>
      </c>
      <c r="I36" s="79">
        <f>H36/F36</f>
        <v>0.92500026308927608</v>
      </c>
    </row>
    <row r="37" spans="1:9" x14ac:dyDescent="0.25">
      <c r="A37" s="70" t="s">
        <v>87</v>
      </c>
      <c r="B37" s="70" t="s">
        <v>89</v>
      </c>
      <c r="C37" s="71">
        <v>40787</v>
      </c>
      <c r="D37" s="72">
        <v>41152</v>
      </c>
      <c r="E37" s="73">
        <v>0.92500000000000004</v>
      </c>
      <c r="F37" s="74">
        <v>9855.6299999999992</v>
      </c>
      <c r="G37" s="75"/>
      <c r="H37" s="74">
        <v>9116.4599999999991</v>
      </c>
      <c r="I37" s="73">
        <v>0.925000228295908</v>
      </c>
    </row>
    <row r="38" spans="1:9" x14ac:dyDescent="0.25">
      <c r="A38" s="76" t="s">
        <v>502</v>
      </c>
      <c r="B38" s="76" t="s">
        <v>90</v>
      </c>
      <c r="C38" s="77">
        <v>41154</v>
      </c>
      <c r="D38" s="78">
        <v>41518</v>
      </c>
      <c r="E38" s="79">
        <v>0.92500000000000004</v>
      </c>
      <c r="F38" s="80"/>
      <c r="G38" s="81">
        <v>11486.03</v>
      </c>
      <c r="H38" s="80">
        <v>10624.58</v>
      </c>
      <c r="I38" s="79">
        <f>H38/G38</f>
        <v>0.92500019589013782</v>
      </c>
    </row>
    <row r="39" spans="1:9" x14ac:dyDescent="0.25">
      <c r="A39" s="70" t="s">
        <v>87</v>
      </c>
      <c r="B39" s="70" t="s">
        <v>90</v>
      </c>
      <c r="C39" s="71">
        <v>40788</v>
      </c>
      <c r="D39" s="72">
        <v>41153</v>
      </c>
      <c r="E39" s="73">
        <v>0.92500000000000004</v>
      </c>
      <c r="F39" s="74"/>
      <c r="G39" s="75">
        <v>16998.7</v>
      </c>
      <c r="H39" s="74">
        <v>15723.8</v>
      </c>
      <c r="I39" s="73">
        <v>0.92500014707006994</v>
      </c>
    </row>
    <row r="40" spans="1:9" x14ac:dyDescent="0.25">
      <c r="A40" s="70" t="s">
        <v>87</v>
      </c>
      <c r="B40" s="70" t="s">
        <v>19</v>
      </c>
      <c r="C40" s="71">
        <v>40788</v>
      </c>
      <c r="D40" s="72">
        <v>41153</v>
      </c>
      <c r="E40" s="73">
        <v>0.92500000000000004</v>
      </c>
      <c r="F40" s="74">
        <v>36250.85</v>
      </c>
      <c r="G40" s="75"/>
      <c r="H40" s="74">
        <v>33532.04</v>
      </c>
      <c r="I40" s="73">
        <v>0.92500010344585026</v>
      </c>
    </row>
    <row r="41" spans="1:9" x14ac:dyDescent="0.25">
      <c r="A41" s="76" t="s">
        <v>502</v>
      </c>
      <c r="B41" s="76" t="s">
        <v>90</v>
      </c>
      <c r="C41" s="77">
        <v>41154</v>
      </c>
      <c r="D41" s="78">
        <v>41518</v>
      </c>
      <c r="E41" s="79">
        <v>0.92500000000000004</v>
      </c>
      <c r="F41" s="80">
        <v>454332.98</v>
      </c>
      <c r="G41" s="81"/>
      <c r="H41" s="80">
        <v>420258.01</v>
      </c>
      <c r="I41" s="79">
        <f>H41/F41</f>
        <v>0.92500000770360102</v>
      </c>
    </row>
    <row r="42" spans="1:9" x14ac:dyDescent="0.25">
      <c r="A42" s="70" t="s">
        <v>87</v>
      </c>
      <c r="B42" s="70" t="s">
        <v>93</v>
      </c>
      <c r="C42" s="71">
        <v>40849</v>
      </c>
      <c r="D42" s="72">
        <v>41214</v>
      </c>
      <c r="E42" s="73">
        <v>0.92500000000000004</v>
      </c>
      <c r="F42" s="74"/>
      <c r="G42" s="75">
        <v>3786.8</v>
      </c>
      <c r="H42" s="74">
        <v>3502.79</v>
      </c>
      <c r="I42" s="73">
        <v>0.92499999999999993</v>
      </c>
    </row>
    <row r="43" spans="1:9" x14ac:dyDescent="0.25">
      <c r="A43" s="70" t="s">
        <v>87</v>
      </c>
      <c r="B43" s="70" t="s">
        <v>90</v>
      </c>
      <c r="C43" s="71">
        <v>40788</v>
      </c>
      <c r="D43" s="72">
        <v>41153</v>
      </c>
      <c r="E43" s="73">
        <v>0.92500000000000004</v>
      </c>
      <c r="F43" s="74">
        <v>659969.68999999994</v>
      </c>
      <c r="G43" s="75"/>
      <c r="H43" s="74">
        <v>610471.96</v>
      </c>
      <c r="I43" s="73">
        <v>0.92499999507553143</v>
      </c>
    </row>
    <row r="44" spans="1:9" x14ac:dyDescent="0.25">
      <c r="A44" s="70" t="s">
        <v>87</v>
      </c>
      <c r="B44" s="70" t="s">
        <v>93</v>
      </c>
      <c r="C44" s="71">
        <v>40849</v>
      </c>
      <c r="D44" s="72">
        <v>41214</v>
      </c>
      <c r="E44" s="73">
        <v>0.92500000000000004</v>
      </c>
      <c r="F44" s="74">
        <v>115302.1</v>
      </c>
      <c r="G44" s="75"/>
      <c r="H44" s="74">
        <v>106654.44</v>
      </c>
      <c r="I44" s="73">
        <v>0.92499997831782765</v>
      </c>
    </row>
    <row r="45" spans="1:9" x14ac:dyDescent="0.25">
      <c r="A45" s="70" t="s">
        <v>87</v>
      </c>
      <c r="B45" s="70" t="s">
        <v>91</v>
      </c>
      <c r="C45" s="71">
        <v>40899</v>
      </c>
      <c r="D45" s="72" t="s">
        <v>97</v>
      </c>
      <c r="E45" s="73">
        <v>0.92500000000000004</v>
      </c>
      <c r="F45" s="74">
        <v>171707.01</v>
      </c>
      <c r="G45" s="75"/>
      <c r="H45" s="74">
        <v>158828.98000000001</v>
      </c>
      <c r="I45" s="73">
        <v>0.92499997524853528</v>
      </c>
    </row>
    <row r="46" spans="1:9" x14ac:dyDescent="0.25">
      <c r="A46" s="70" t="s">
        <v>87</v>
      </c>
      <c r="B46" s="70" t="s">
        <v>94</v>
      </c>
      <c r="C46" s="71">
        <v>41000</v>
      </c>
      <c r="D46" s="72">
        <v>41333</v>
      </c>
      <c r="E46" s="73">
        <v>0.92500000000000004</v>
      </c>
      <c r="F46" s="74">
        <v>39770.1</v>
      </c>
      <c r="G46" s="75"/>
      <c r="H46" s="74">
        <v>36787.339999999997</v>
      </c>
      <c r="I46" s="73">
        <v>0.92499993713870465</v>
      </c>
    </row>
    <row r="47" spans="1:9" x14ac:dyDescent="0.25">
      <c r="A47" s="70" t="s">
        <v>87</v>
      </c>
      <c r="B47" s="70" t="s">
        <v>91</v>
      </c>
      <c r="C47" s="71">
        <v>40899</v>
      </c>
      <c r="D47" s="72" t="s">
        <v>97</v>
      </c>
      <c r="E47" s="73">
        <v>0.92500000000000004</v>
      </c>
      <c r="F47" s="74"/>
      <c r="G47" s="75">
        <v>8034.39</v>
      </c>
      <c r="H47" s="74">
        <v>7431.81</v>
      </c>
      <c r="I47" s="73">
        <v>0.92499990665128284</v>
      </c>
    </row>
    <row r="48" spans="1:9" x14ac:dyDescent="0.25">
      <c r="A48" s="70" t="s">
        <v>87</v>
      </c>
      <c r="B48" s="70" t="s">
        <v>92</v>
      </c>
      <c r="C48" s="71">
        <v>40785</v>
      </c>
      <c r="D48" s="72">
        <v>41150</v>
      </c>
      <c r="E48" s="73">
        <v>0.92500000000000004</v>
      </c>
      <c r="F48" s="74">
        <v>23297.95</v>
      </c>
      <c r="G48" s="75"/>
      <c r="H48" s="74">
        <v>21550.6</v>
      </c>
      <c r="I48" s="73">
        <v>0.9249998390416323</v>
      </c>
    </row>
    <row r="49" spans="1:9" x14ac:dyDescent="0.25">
      <c r="A49" s="76" t="s">
        <v>502</v>
      </c>
      <c r="B49" s="76" t="s">
        <v>19</v>
      </c>
      <c r="C49" s="77">
        <v>41154</v>
      </c>
      <c r="D49" s="78">
        <v>41289</v>
      </c>
      <c r="E49" s="79">
        <v>0.92500000000000004</v>
      </c>
      <c r="F49" s="80">
        <v>3586.63</v>
      </c>
      <c r="G49" s="81"/>
      <c r="H49" s="80">
        <v>3317.63</v>
      </c>
      <c r="I49" s="79">
        <f>H49/F49</f>
        <v>0.92499923326353706</v>
      </c>
    </row>
    <row r="50" spans="1:9" x14ac:dyDescent="0.25">
      <c r="A50" s="70" t="s">
        <v>87</v>
      </c>
      <c r="B50" s="70" t="s">
        <v>94</v>
      </c>
      <c r="C50" s="71">
        <v>41000</v>
      </c>
      <c r="D50" s="72">
        <v>41333</v>
      </c>
      <c r="E50" s="73">
        <v>0.92500000000000004</v>
      </c>
      <c r="F50" s="74"/>
      <c r="G50" s="75">
        <v>1379.3</v>
      </c>
      <c r="H50" s="74">
        <v>1275.8499999999999</v>
      </c>
      <c r="I50" s="73">
        <v>0.92499818748640616</v>
      </c>
    </row>
    <row r="51" spans="1:9" x14ac:dyDescent="0.25">
      <c r="A51" s="76" t="s">
        <v>502</v>
      </c>
      <c r="B51" s="76" t="s">
        <v>92</v>
      </c>
      <c r="C51" s="77">
        <v>41151</v>
      </c>
      <c r="D51" s="78">
        <v>41515</v>
      </c>
      <c r="E51" s="79">
        <v>0.92500000000000004</v>
      </c>
      <c r="F51" s="80"/>
      <c r="G51" s="81">
        <v>275.56</v>
      </c>
      <c r="H51" s="80">
        <v>254.89</v>
      </c>
      <c r="I51" s="79">
        <f>H51/G51</f>
        <v>0.92498911307882126</v>
      </c>
    </row>
    <row r="52" spans="1:9" x14ac:dyDescent="0.25">
      <c r="A52" s="70" t="s">
        <v>87</v>
      </c>
      <c r="B52" s="70" t="s">
        <v>89</v>
      </c>
      <c r="C52" s="71">
        <v>40787</v>
      </c>
      <c r="D52" s="72">
        <v>41152</v>
      </c>
      <c r="E52" s="73">
        <v>0.92500000000000004</v>
      </c>
      <c r="F52" s="74"/>
      <c r="G52" s="75">
        <v>189.56</v>
      </c>
      <c r="H52" s="74">
        <v>175.34</v>
      </c>
      <c r="I52" s="73">
        <v>0.92498417387634524</v>
      </c>
    </row>
    <row r="53" spans="1:9" x14ac:dyDescent="0.25">
      <c r="A53" s="76" t="s">
        <v>572</v>
      </c>
      <c r="B53" s="76" t="s">
        <v>575</v>
      </c>
      <c r="C53" s="77">
        <v>40634</v>
      </c>
      <c r="D53" s="78">
        <v>40999</v>
      </c>
      <c r="E53" s="79">
        <v>0.8</v>
      </c>
      <c r="F53" s="80"/>
      <c r="G53" s="81">
        <v>896749</v>
      </c>
      <c r="H53" s="80">
        <v>825945</v>
      </c>
      <c r="I53" s="79">
        <f>H53/G53</f>
        <v>0.92104368111924295</v>
      </c>
    </row>
    <row r="54" spans="1:9" x14ac:dyDescent="0.25">
      <c r="A54" s="76" t="s">
        <v>317</v>
      </c>
      <c r="B54" s="76" t="s">
        <v>365</v>
      </c>
      <c r="C54" s="77">
        <v>41232</v>
      </c>
      <c r="D54" s="78">
        <v>41547</v>
      </c>
      <c r="E54" s="79">
        <v>8.9999999999999998E-4</v>
      </c>
      <c r="F54" s="80"/>
      <c r="G54" s="81">
        <v>148684.45000000001</v>
      </c>
      <c r="H54" s="80">
        <v>134686.22</v>
      </c>
      <c r="I54" s="79">
        <f>H54/G54</f>
        <v>0.90585276402475168</v>
      </c>
    </row>
    <row r="55" spans="1:9" x14ac:dyDescent="0.25">
      <c r="A55" s="76" t="s">
        <v>317</v>
      </c>
      <c r="B55" s="76" t="s">
        <v>365</v>
      </c>
      <c r="C55" s="77">
        <v>41232</v>
      </c>
      <c r="D55" s="78">
        <v>41547</v>
      </c>
      <c r="E55" s="79">
        <v>8.9999999999999998E-4</v>
      </c>
      <c r="F55" s="80">
        <v>3517405.21</v>
      </c>
      <c r="G55" s="81"/>
      <c r="H55" s="80">
        <v>3186251.17</v>
      </c>
      <c r="I55" s="79">
        <f>H55/F55</f>
        <v>0.90585274649092817</v>
      </c>
    </row>
    <row r="56" spans="1:9" x14ac:dyDescent="0.25">
      <c r="A56" s="76" t="s">
        <v>384</v>
      </c>
      <c r="B56" s="76" t="s">
        <v>385</v>
      </c>
      <c r="C56" s="77">
        <v>40975</v>
      </c>
      <c r="D56" s="78">
        <v>40988</v>
      </c>
      <c r="E56" s="79">
        <v>4.4999999999999998E-2</v>
      </c>
      <c r="F56" s="80"/>
      <c r="G56" s="81">
        <v>18310.52</v>
      </c>
      <c r="H56" s="80">
        <v>16560.52</v>
      </c>
      <c r="I56" s="79">
        <f>H56/G56</f>
        <v>0.90442652639029364</v>
      </c>
    </row>
    <row r="57" spans="1:9" x14ac:dyDescent="0.25">
      <c r="A57" s="76" t="s">
        <v>235</v>
      </c>
      <c r="B57" s="76" t="s">
        <v>168</v>
      </c>
      <c r="C57" s="77">
        <v>40616</v>
      </c>
      <c r="D57" s="78">
        <v>40981</v>
      </c>
      <c r="E57" s="79">
        <v>4.4999999999999998E-2</v>
      </c>
      <c r="F57" s="80">
        <v>1763</v>
      </c>
      <c r="G57" s="81"/>
      <c r="H57" s="80">
        <v>1583.69</v>
      </c>
      <c r="I57" s="79">
        <f>H57/F57</f>
        <v>0.89829268292682929</v>
      </c>
    </row>
    <row r="58" spans="1:9" x14ac:dyDescent="0.25">
      <c r="A58" s="76" t="s">
        <v>317</v>
      </c>
      <c r="B58" s="76" t="s">
        <v>152</v>
      </c>
      <c r="C58" s="77">
        <v>40955</v>
      </c>
      <c r="D58" s="78">
        <v>41320</v>
      </c>
      <c r="E58" s="79">
        <v>0.09</v>
      </c>
      <c r="F58" s="80">
        <v>5410169</v>
      </c>
      <c r="G58" s="81"/>
      <c r="H58" s="80">
        <v>4853028.04</v>
      </c>
      <c r="I58" s="79">
        <f>H58/F58</f>
        <v>0.89701967535579763</v>
      </c>
    </row>
    <row r="59" spans="1:9" x14ac:dyDescent="0.25">
      <c r="A59" s="76" t="s">
        <v>630</v>
      </c>
      <c r="B59" s="76" t="s">
        <v>633</v>
      </c>
      <c r="C59" s="77">
        <v>40983</v>
      </c>
      <c r="D59" s="78">
        <v>41274</v>
      </c>
      <c r="E59" s="79">
        <v>8.9999999999999993E-3</v>
      </c>
      <c r="F59" s="80"/>
      <c r="G59" s="81">
        <v>78667.5</v>
      </c>
      <c r="H59" s="80">
        <v>70483.5</v>
      </c>
      <c r="I59" s="79">
        <f>H59/G59</f>
        <v>0.89596720373724859</v>
      </c>
    </row>
    <row r="60" spans="1:9" x14ac:dyDescent="0.25">
      <c r="A60" s="76" t="s">
        <v>317</v>
      </c>
      <c r="B60" s="76" t="s">
        <v>152</v>
      </c>
      <c r="C60" s="77">
        <v>40955</v>
      </c>
      <c r="D60" s="78">
        <v>41320</v>
      </c>
      <c r="E60" s="79">
        <v>0.09</v>
      </c>
      <c r="F60" s="80"/>
      <c r="G60" s="81">
        <v>233270</v>
      </c>
      <c r="H60" s="80">
        <v>209001.73</v>
      </c>
      <c r="I60" s="79">
        <f>H60/G60</f>
        <v>0.8959648904702705</v>
      </c>
    </row>
    <row r="61" spans="1:9" x14ac:dyDescent="0.25">
      <c r="A61" s="76" t="s">
        <v>674</v>
      </c>
      <c r="B61" s="76" t="s">
        <v>680</v>
      </c>
      <c r="C61" s="77">
        <v>41086</v>
      </c>
      <c r="D61" s="78">
        <v>41274</v>
      </c>
      <c r="E61" s="79">
        <v>0.32219999999999999</v>
      </c>
      <c r="F61" s="80"/>
      <c r="G61" s="81">
        <v>330</v>
      </c>
      <c r="H61" s="80">
        <v>292.75</v>
      </c>
      <c r="I61" s="79">
        <f>H61/G61</f>
        <v>0.88712121212121209</v>
      </c>
    </row>
    <row r="62" spans="1:9" x14ac:dyDescent="0.25">
      <c r="A62" s="70" t="s">
        <v>20</v>
      </c>
      <c r="B62" s="70" t="s">
        <v>26</v>
      </c>
      <c r="C62" s="71">
        <v>40848</v>
      </c>
      <c r="D62" s="72">
        <v>41213</v>
      </c>
      <c r="E62" s="73">
        <v>0</v>
      </c>
      <c r="F62" s="74"/>
      <c r="G62" s="75">
        <v>892.26</v>
      </c>
      <c r="H62" s="82">
        <v>779.12</v>
      </c>
      <c r="I62" s="79">
        <f>H62/G62</f>
        <v>0.87319839508663399</v>
      </c>
    </row>
    <row r="63" spans="1:9" x14ac:dyDescent="0.25">
      <c r="A63" s="76" t="s">
        <v>578</v>
      </c>
      <c r="B63" s="76" t="s">
        <v>1973</v>
      </c>
      <c r="C63" s="77">
        <v>40800</v>
      </c>
      <c r="D63" s="78">
        <v>41013</v>
      </c>
      <c r="E63" s="79">
        <v>0</v>
      </c>
      <c r="F63" s="80">
        <v>2851281.47</v>
      </c>
      <c r="G63" s="88"/>
      <c r="H63" s="80">
        <v>2454856.89</v>
      </c>
      <c r="I63" s="79">
        <f>H63/F63</f>
        <v>0.86096617111603502</v>
      </c>
    </row>
    <row r="64" spans="1:9" x14ac:dyDescent="0.25">
      <c r="A64" s="70" t="s">
        <v>144</v>
      </c>
      <c r="B64" s="70" t="s">
        <v>145</v>
      </c>
      <c r="C64" s="71">
        <v>41000</v>
      </c>
      <c r="D64" s="72">
        <v>41065</v>
      </c>
      <c r="E64" s="73">
        <v>0.2</v>
      </c>
      <c r="F64" s="74"/>
      <c r="G64" s="75">
        <v>2440</v>
      </c>
      <c r="H64" s="74">
        <v>2074</v>
      </c>
      <c r="I64" s="73">
        <v>0.85</v>
      </c>
    </row>
    <row r="65" spans="1:9" x14ac:dyDescent="0.25">
      <c r="A65" s="76" t="s">
        <v>449</v>
      </c>
      <c r="B65" s="110" t="s">
        <v>152</v>
      </c>
      <c r="C65" s="77">
        <v>40611</v>
      </c>
      <c r="D65" s="78">
        <v>40967</v>
      </c>
      <c r="E65" s="79">
        <v>0</v>
      </c>
      <c r="F65" s="80">
        <v>1032722</v>
      </c>
      <c r="G65" s="81"/>
      <c r="H65" s="80">
        <v>875705</v>
      </c>
      <c r="I65" s="79">
        <f>H65/F65</f>
        <v>0.84795811457488079</v>
      </c>
    </row>
    <row r="66" spans="1:9" x14ac:dyDescent="0.25">
      <c r="A66" s="76" t="s">
        <v>449</v>
      </c>
      <c r="B66" s="76" t="s">
        <v>152</v>
      </c>
      <c r="C66" s="77">
        <v>40982</v>
      </c>
      <c r="D66" s="78">
        <v>41334</v>
      </c>
      <c r="E66" s="79">
        <v>0</v>
      </c>
      <c r="F66" s="80">
        <v>1281677</v>
      </c>
      <c r="G66" s="81"/>
      <c r="H66" s="80">
        <v>1081944</v>
      </c>
      <c r="I66" s="79">
        <f>H66/F66</f>
        <v>0.84416276487757835</v>
      </c>
    </row>
    <row r="67" spans="1:9" x14ac:dyDescent="0.25">
      <c r="A67" s="76" t="s">
        <v>384</v>
      </c>
      <c r="B67" s="76" t="s">
        <v>387</v>
      </c>
      <c r="C67" s="77">
        <v>41039</v>
      </c>
      <c r="D67" s="78">
        <v>41060</v>
      </c>
      <c r="E67" s="79">
        <v>4.4999999999999998E-2</v>
      </c>
      <c r="F67" s="80"/>
      <c r="G67" s="81">
        <v>4750</v>
      </c>
      <c r="H67" s="80">
        <v>3976.5</v>
      </c>
      <c r="I67" s="79">
        <f>H67/G67</f>
        <v>0.8371578947368421</v>
      </c>
    </row>
    <row r="68" spans="1:9" x14ac:dyDescent="0.25">
      <c r="A68" s="76" t="s">
        <v>674</v>
      </c>
      <c r="B68" s="76" t="s">
        <v>172</v>
      </c>
      <c r="C68" s="77">
        <v>40920</v>
      </c>
      <c r="D68" s="78">
        <v>41274</v>
      </c>
      <c r="E68" s="79">
        <v>0.29699999999999999</v>
      </c>
      <c r="F68" s="80">
        <v>4792418.3499999996</v>
      </c>
      <c r="G68" s="81"/>
      <c r="H68" s="80">
        <v>3981987.29</v>
      </c>
      <c r="I68" s="79">
        <f>H68/F68</f>
        <v>0.83089308970699527</v>
      </c>
    </row>
    <row r="69" spans="1:9" x14ac:dyDescent="0.25">
      <c r="A69" s="76" t="s">
        <v>171</v>
      </c>
      <c r="B69" s="76" t="s">
        <v>210</v>
      </c>
      <c r="C69" s="77">
        <v>40909</v>
      </c>
      <c r="D69" s="78">
        <v>41274</v>
      </c>
      <c r="E69" s="79">
        <v>1.7999999999999999E-2</v>
      </c>
      <c r="F69" s="80">
        <v>1509038</v>
      </c>
      <c r="G69" s="81"/>
      <c r="H69" s="80">
        <v>1249943.6499999999</v>
      </c>
      <c r="I69" s="79">
        <f>H69/F69</f>
        <v>0.82830495322185382</v>
      </c>
    </row>
    <row r="70" spans="1:9" ht="28.5" x14ac:dyDescent="0.25">
      <c r="A70" s="70" t="s">
        <v>17</v>
      </c>
      <c r="B70" s="70" t="s">
        <v>19</v>
      </c>
      <c r="C70" s="71">
        <v>40603</v>
      </c>
      <c r="D70" s="72">
        <v>40968</v>
      </c>
      <c r="E70" s="73">
        <v>0.18</v>
      </c>
      <c r="F70" s="74">
        <v>2167041.71</v>
      </c>
      <c r="G70" s="75"/>
      <c r="H70" s="74">
        <v>1786322.78</v>
      </c>
      <c r="I70" s="73">
        <v>0.82431398147846446</v>
      </c>
    </row>
    <row r="71" spans="1:9" x14ac:dyDescent="0.25">
      <c r="A71" s="76" t="s">
        <v>171</v>
      </c>
      <c r="B71" s="76" t="s">
        <v>213</v>
      </c>
      <c r="C71" s="77">
        <v>40962</v>
      </c>
      <c r="D71" s="78">
        <v>41274</v>
      </c>
      <c r="E71" s="79">
        <v>1.7999999999999999E-2</v>
      </c>
      <c r="F71" s="80">
        <v>228334</v>
      </c>
      <c r="G71" s="81"/>
      <c r="H71" s="80">
        <v>188035</v>
      </c>
      <c r="I71" s="79">
        <f>H71/F71</f>
        <v>0.82350854450059996</v>
      </c>
    </row>
    <row r="72" spans="1:9" x14ac:dyDescent="0.25">
      <c r="A72" s="76" t="s">
        <v>281</v>
      </c>
      <c r="B72" s="76" t="s">
        <v>283</v>
      </c>
      <c r="C72" s="77">
        <v>40940</v>
      </c>
      <c r="D72" s="78">
        <v>41274</v>
      </c>
      <c r="E72" s="79">
        <v>0</v>
      </c>
      <c r="F72" s="80">
        <v>271148.86</v>
      </c>
      <c r="G72" s="81"/>
      <c r="H72" s="80">
        <v>223165.86</v>
      </c>
      <c r="I72" s="79">
        <f>H72/F72</f>
        <v>0.82303816435001786</v>
      </c>
    </row>
    <row r="73" spans="1:9" x14ac:dyDescent="0.25">
      <c r="A73" s="76" t="s">
        <v>281</v>
      </c>
      <c r="B73" s="76" t="s">
        <v>284</v>
      </c>
      <c r="C73" s="77">
        <v>40969</v>
      </c>
      <c r="D73" s="78">
        <v>41274</v>
      </c>
      <c r="E73" s="79">
        <v>0.54</v>
      </c>
      <c r="F73" s="80">
        <v>2675</v>
      </c>
      <c r="G73" s="81"/>
      <c r="H73" s="80">
        <v>2199.2800000000002</v>
      </c>
      <c r="I73" s="79">
        <f>H73/F73</f>
        <v>0.82216074766355152</v>
      </c>
    </row>
    <row r="74" spans="1:9" x14ac:dyDescent="0.25">
      <c r="A74" s="76" t="s">
        <v>281</v>
      </c>
      <c r="B74" s="76" t="s">
        <v>283</v>
      </c>
      <c r="C74" s="77">
        <v>40575</v>
      </c>
      <c r="D74" s="78">
        <v>40999</v>
      </c>
      <c r="E74" s="79">
        <v>0</v>
      </c>
      <c r="F74" s="80">
        <v>326963</v>
      </c>
      <c r="G74" s="81"/>
      <c r="H74" s="80">
        <v>268731.40999999997</v>
      </c>
      <c r="I74" s="79">
        <f>H74/F74</f>
        <v>0.82190159131155505</v>
      </c>
    </row>
    <row r="75" spans="1:9" ht="28.5" x14ac:dyDescent="0.25">
      <c r="A75" s="70" t="s">
        <v>137</v>
      </c>
      <c r="B75" s="70" t="s">
        <v>111</v>
      </c>
      <c r="C75" s="71">
        <v>40752</v>
      </c>
      <c r="D75" s="72">
        <v>41104</v>
      </c>
      <c r="E75" s="73">
        <v>0.315</v>
      </c>
      <c r="F75" s="74">
        <v>8650</v>
      </c>
      <c r="G75" s="75"/>
      <c r="H75" s="74">
        <v>7029.55</v>
      </c>
      <c r="I75" s="73">
        <v>0.81266473988439314</v>
      </c>
    </row>
    <row r="76" spans="1:9" x14ac:dyDescent="0.25">
      <c r="A76" s="76" t="s">
        <v>674</v>
      </c>
      <c r="B76" s="76" t="s">
        <v>172</v>
      </c>
      <c r="C76" s="77">
        <v>40920</v>
      </c>
      <c r="D76" s="78">
        <v>41274</v>
      </c>
      <c r="E76" s="79">
        <v>0.29699999999999999</v>
      </c>
      <c r="F76" s="80"/>
      <c r="G76" s="81">
        <v>172897</v>
      </c>
      <c r="H76" s="80">
        <v>140463.56</v>
      </c>
      <c r="I76" s="79">
        <f>H76/G76</f>
        <v>0.81241178273769932</v>
      </c>
    </row>
    <row r="77" spans="1:9" x14ac:dyDescent="0.25">
      <c r="A77" s="76" t="s">
        <v>263</v>
      </c>
      <c r="B77" s="76" t="s">
        <v>108</v>
      </c>
      <c r="C77" s="77">
        <v>40952</v>
      </c>
      <c r="D77" s="78">
        <v>41274</v>
      </c>
      <c r="E77" s="79">
        <v>8.9999999999999993E-3</v>
      </c>
      <c r="F77" s="80"/>
      <c r="G77" s="81">
        <v>445</v>
      </c>
      <c r="H77" s="80">
        <v>360.45</v>
      </c>
      <c r="I77" s="79">
        <f>H77/G77</f>
        <v>0.80999999999999994</v>
      </c>
    </row>
    <row r="78" spans="1:9" x14ac:dyDescent="0.25">
      <c r="A78" s="76" t="s">
        <v>643</v>
      </c>
      <c r="B78" s="76" t="s">
        <v>459</v>
      </c>
      <c r="C78" s="77">
        <v>41092</v>
      </c>
      <c r="D78" s="78">
        <v>41456</v>
      </c>
      <c r="E78" s="79">
        <v>4.4999999999999997E-3</v>
      </c>
      <c r="F78" s="80">
        <v>100157</v>
      </c>
      <c r="G78" s="81"/>
      <c r="H78" s="80">
        <v>80831.75</v>
      </c>
      <c r="I78" s="79">
        <f>H78/F78</f>
        <v>0.80705043082360695</v>
      </c>
    </row>
    <row r="79" spans="1:9" x14ac:dyDescent="0.25">
      <c r="A79" s="76" t="s">
        <v>578</v>
      </c>
      <c r="B79" s="76" t="s">
        <v>1969</v>
      </c>
      <c r="C79" s="77">
        <v>40744</v>
      </c>
      <c r="D79" s="77">
        <v>40999</v>
      </c>
      <c r="E79" s="79">
        <v>0</v>
      </c>
      <c r="F79" s="80">
        <v>335454.25</v>
      </c>
      <c r="G79" s="88"/>
      <c r="H79" s="80">
        <v>270091.59999999998</v>
      </c>
      <c r="I79" s="79">
        <f>H79/F79</f>
        <v>0.80515182025566823</v>
      </c>
    </row>
    <row r="80" spans="1:9" x14ac:dyDescent="0.25">
      <c r="A80" s="70" t="s">
        <v>171</v>
      </c>
      <c r="B80" s="70" t="s">
        <v>172</v>
      </c>
      <c r="C80" s="71">
        <v>40639</v>
      </c>
      <c r="D80" s="72">
        <v>40983</v>
      </c>
      <c r="E80" s="73">
        <v>1.7999999999999999E-2</v>
      </c>
      <c r="F80" s="74">
        <v>4522402.72</v>
      </c>
      <c r="G80" s="75"/>
      <c r="H80" s="74">
        <v>3622801.07</v>
      </c>
      <c r="I80" s="79">
        <f>H80/F80</f>
        <v>0.80107882784928097</v>
      </c>
    </row>
    <row r="81" spans="1:9" x14ac:dyDescent="0.25">
      <c r="A81" s="76" t="s">
        <v>429</v>
      </c>
      <c r="B81" s="76" t="s">
        <v>431</v>
      </c>
      <c r="C81" s="77">
        <v>40847</v>
      </c>
      <c r="D81" s="78">
        <v>41151</v>
      </c>
      <c r="E81" s="79">
        <v>0.2</v>
      </c>
      <c r="F81" s="88"/>
      <c r="G81" s="81">
        <v>97145</v>
      </c>
      <c r="H81" s="80">
        <v>77716</v>
      </c>
      <c r="I81" s="79">
        <f>H81/G81</f>
        <v>0.8</v>
      </c>
    </row>
    <row r="82" spans="1:9" x14ac:dyDescent="0.25">
      <c r="A82" s="76" t="s">
        <v>375</v>
      </c>
      <c r="B82" s="76" t="s">
        <v>380</v>
      </c>
      <c r="C82" s="77">
        <v>41107</v>
      </c>
      <c r="D82" s="78">
        <v>41162</v>
      </c>
      <c r="E82" s="79">
        <v>4.4999999999999998E-2</v>
      </c>
      <c r="F82" s="80"/>
      <c r="G82" s="81">
        <v>14607</v>
      </c>
      <c r="H82" s="80">
        <v>11682</v>
      </c>
      <c r="I82" s="79">
        <f>H82/G82</f>
        <v>0.79975354282193467</v>
      </c>
    </row>
    <row r="83" spans="1:9" x14ac:dyDescent="0.25">
      <c r="A83" s="76" t="s">
        <v>375</v>
      </c>
      <c r="B83" s="76" t="s">
        <v>378</v>
      </c>
      <c r="C83" s="77">
        <v>41030</v>
      </c>
      <c r="D83" s="78">
        <v>41046</v>
      </c>
      <c r="E83" s="79">
        <v>4.4999999999999998E-2</v>
      </c>
      <c r="F83" s="80"/>
      <c r="G83" s="81">
        <v>8210</v>
      </c>
      <c r="H83" s="80">
        <v>6553</v>
      </c>
      <c r="I83" s="79">
        <f>H83/G83</f>
        <v>0.79817295980511571</v>
      </c>
    </row>
    <row r="84" spans="1:9" x14ac:dyDescent="0.25">
      <c r="A84" s="76" t="s">
        <v>384</v>
      </c>
      <c r="B84" s="76" t="s">
        <v>388</v>
      </c>
      <c r="C84" s="77">
        <v>41157</v>
      </c>
      <c r="D84" s="78">
        <v>41211</v>
      </c>
      <c r="E84" s="79">
        <v>4.4999999999999998E-2</v>
      </c>
      <c r="F84" s="80"/>
      <c r="G84" s="81">
        <v>6855</v>
      </c>
      <c r="H84" s="80">
        <v>5424</v>
      </c>
      <c r="I84" s="79">
        <f>H84/G84</f>
        <v>0.79124726477024065</v>
      </c>
    </row>
    <row r="85" spans="1:9" x14ac:dyDescent="0.25">
      <c r="A85" s="76" t="s">
        <v>281</v>
      </c>
      <c r="B85" s="76" t="s">
        <v>285</v>
      </c>
      <c r="C85" s="77">
        <v>40617</v>
      </c>
      <c r="D85" s="78">
        <v>40982</v>
      </c>
      <c r="E85" s="79">
        <v>0.54</v>
      </c>
      <c r="F85" s="80">
        <v>80409</v>
      </c>
      <c r="G85" s="81"/>
      <c r="H85" s="80">
        <v>63535.89</v>
      </c>
      <c r="I85" s="79">
        <f>H85/F85</f>
        <v>0.79015893743237697</v>
      </c>
    </row>
    <row r="86" spans="1:9" x14ac:dyDescent="0.25">
      <c r="A86" s="70" t="s">
        <v>71</v>
      </c>
      <c r="B86" s="70" t="s">
        <v>73</v>
      </c>
      <c r="C86" s="71">
        <v>41200</v>
      </c>
      <c r="D86" s="72">
        <v>41274</v>
      </c>
      <c r="E86" s="73">
        <v>8.9999999999999993E-3</v>
      </c>
      <c r="F86" s="74"/>
      <c r="G86" s="75">
        <v>235</v>
      </c>
      <c r="H86" s="74">
        <v>184.43</v>
      </c>
      <c r="I86" s="73">
        <v>0.78480851063829793</v>
      </c>
    </row>
    <row r="87" spans="1:9" x14ac:dyDescent="0.25">
      <c r="A87" s="70" t="s">
        <v>101</v>
      </c>
      <c r="B87" s="70" t="s">
        <v>107</v>
      </c>
      <c r="C87" s="71">
        <v>41163</v>
      </c>
      <c r="D87" s="72">
        <v>41274</v>
      </c>
      <c r="E87" s="73">
        <v>8.9999999999999993E-3</v>
      </c>
      <c r="F87" s="74">
        <v>145302</v>
      </c>
      <c r="G87" s="75"/>
      <c r="H87" s="74">
        <v>113764.89</v>
      </c>
      <c r="I87" s="73">
        <v>0.78295474253623487</v>
      </c>
    </row>
    <row r="88" spans="1:9" x14ac:dyDescent="0.25">
      <c r="A88" s="70" t="s">
        <v>56</v>
      </c>
      <c r="B88" s="70" t="s">
        <v>59</v>
      </c>
      <c r="C88" s="71">
        <v>40603</v>
      </c>
      <c r="D88" s="72">
        <v>40968</v>
      </c>
      <c r="E88" s="73">
        <v>8.9999999999999993E-3</v>
      </c>
      <c r="F88" s="74">
        <v>5925</v>
      </c>
      <c r="G88" s="75"/>
      <c r="H88" s="74">
        <v>4613.1099999999997</v>
      </c>
      <c r="I88" s="73">
        <v>0.7785839662447257</v>
      </c>
    </row>
    <row r="89" spans="1:9" x14ac:dyDescent="0.25">
      <c r="A89" s="76" t="s">
        <v>594</v>
      </c>
      <c r="B89" s="76" t="s">
        <v>605</v>
      </c>
      <c r="C89" s="77">
        <v>40987</v>
      </c>
      <c r="D89" s="78">
        <v>41274</v>
      </c>
      <c r="E89" s="79">
        <v>0.8</v>
      </c>
      <c r="F89" s="80"/>
      <c r="G89" s="81">
        <v>11778</v>
      </c>
      <c r="H89" s="80">
        <v>9063.84</v>
      </c>
      <c r="I89" s="79">
        <f>H89/G89</f>
        <v>0.76955680081507893</v>
      </c>
    </row>
    <row r="90" spans="1:9" x14ac:dyDescent="0.25">
      <c r="A90" s="76" t="s">
        <v>594</v>
      </c>
      <c r="B90" s="76" t="s">
        <v>605</v>
      </c>
      <c r="C90" s="77">
        <v>40987</v>
      </c>
      <c r="D90" s="78">
        <v>41274</v>
      </c>
      <c r="E90" s="79">
        <v>0.8</v>
      </c>
      <c r="F90" s="80">
        <v>441591.95</v>
      </c>
      <c r="G90" s="81"/>
      <c r="H90" s="80">
        <v>339829.07</v>
      </c>
      <c r="I90" s="79">
        <f>H90/F90</f>
        <v>0.76955449482265248</v>
      </c>
    </row>
    <row r="91" spans="1:9" x14ac:dyDescent="0.25">
      <c r="A91" s="70" t="s">
        <v>20</v>
      </c>
      <c r="B91" s="70" t="s">
        <v>22</v>
      </c>
      <c r="C91" s="71">
        <v>40634</v>
      </c>
      <c r="D91" s="72">
        <v>41090</v>
      </c>
      <c r="E91" s="73">
        <v>0</v>
      </c>
      <c r="F91" s="74"/>
      <c r="G91" s="75">
        <v>582.1</v>
      </c>
      <c r="H91" s="74">
        <v>104493.26</v>
      </c>
      <c r="I91" s="73">
        <v>0.76598134403577245</v>
      </c>
    </row>
    <row r="92" spans="1:9" x14ac:dyDescent="0.25">
      <c r="A92" s="70" t="s">
        <v>20</v>
      </c>
      <c r="B92" s="70" t="s">
        <v>27</v>
      </c>
      <c r="C92" s="71">
        <v>40679</v>
      </c>
      <c r="D92" s="72">
        <v>41029</v>
      </c>
      <c r="E92" s="73">
        <v>0</v>
      </c>
      <c r="F92" s="74">
        <v>136417.5</v>
      </c>
      <c r="G92" s="75"/>
      <c r="H92" s="74">
        <v>3440.02</v>
      </c>
      <c r="I92" s="73">
        <v>0.76598085059006904</v>
      </c>
    </row>
    <row r="93" spans="1:9" x14ac:dyDescent="0.25">
      <c r="A93" s="76" t="s">
        <v>594</v>
      </c>
      <c r="B93" s="76" t="s">
        <v>608</v>
      </c>
      <c r="C93" s="77">
        <v>41043</v>
      </c>
      <c r="D93" s="78">
        <v>41274</v>
      </c>
      <c r="E93" s="79">
        <v>0.45900000000000002</v>
      </c>
      <c r="F93" s="80">
        <v>280377</v>
      </c>
      <c r="G93" s="81"/>
      <c r="H93" s="80">
        <v>214147.54</v>
      </c>
      <c r="I93" s="79">
        <f>H93/F93</f>
        <v>0.76378426190450721</v>
      </c>
    </row>
    <row r="94" spans="1:9" x14ac:dyDescent="0.25">
      <c r="A94" s="76" t="s">
        <v>594</v>
      </c>
      <c r="B94" s="76" t="s">
        <v>608</v>
      </c>
      <c r="C94" s="77">
        <v>41043</v>
      </c>
      <c r="D94" s="78">
        <v>41274</v>
      </c>
      <c r="E94" s="79">
        <v>0.45900000000000002</v>
      </c>
      <c r="F94" s="80"/>
      <c r="G94" s="81">
        <v>280072</v>
      </c>
      <c r="H94" s="80">
        <v>213842.54</v>
      </c>
      <c r="I94" s="79">
        <f>H94/G94</f>
        <v>0.76352702162301123</v>
      </c>
    </row>
    <row r="95" spans="1:9" x14ac:dyDescent="0.25">
      <c r="A95" s="76" t="s">
        <v>375</v>
      </c>
      <c r="B95" s="76" t="s">
        <v>377</v>
      </c>
      <c r="C95" s="112">
        <v>41019</v>
      </c>
      <c r="D95" s="78">
        <v>41156</v>
      </c>
      <c r="E95" s="79">
        <v>4.4999999999999998E-2</v>
      </c>
      <c r="F95" s="80"/>
      <c r="G95" s="81">
        <v>9082</v>
      </c>
      <c r="H95" s="80">
        <v>6845</v>
      </c>
      <c r="I95" s="79">
        <f>H95/G95</f>
        <v>0.75368861484254568</v>
      </c>
    </row>
    <row r="96" spans="1:9" x14ac:dyDescent="0.25">
      <c r="A96" s="76" t="s">
        <v>613</v>
      </c>
      <c r="B96" s="76" t="s">
        <v>33</v>
      </c>
      <c r="C96" s="77">
        <v>40696</v>
      </c>
      <c r="D96" s="78">
        <v>41060</v>
      </c>
      <c r="E96" s="79">
        <v>8.9999999999999993E-3</v>
      </c>
      <c r="F96" s="80">
        <v>810773</v>
      </c>
      <c r="G96" s="81"/>
      <c r="H96" s="80">
        <v>610337</v>
      </c>
      <c r="I96" s="79">
        <f>H96/F96</f>
        <v>0.75278407149720084</v>
      </c>
    </row>
    <row r="97" spans="1:9" x14ac:dyDescent="0.25">
      <c r="A97" s="76" t="s">
        <v>249</v>
      </c>
      <c r="B97" s="76" t="s">
        <v>258</v>
      </c>
      <c r="C97" s="77">
        <v>40819</v>
      </c>
      <c r="D97" s="78">
        <v>40939</v>
      </c>
      <c r="E97" s="79">
        <v>0</v>
      </c>
      <c r="F97" s="80">
        <v>98908</v>
      </c>
      <c r="G97" s="81"/>
      <c r="H97" s="80">
        <v>74339.08</v>
      </c>
      <c r="I97" s="79">
        <f>H97/F97</f>
        <v>0.75159825292190729</v>
      </c>
    </row>
    <row r="98" spans="1:9" x14ac:dyDescent="0.25">
      <c r="A98" s="76" t="s">
        <v>531</v>
      </c>
      <c r="B98" s="76" t="s">
        <v>539</v>
      </c>
      <c r="C98" s="77">
        <v>40796</v>
      </c>
      <c r="D98" s="78">
        <v>41152</v>
      </c>
      <c r="E98" s="79">
        <v>8.9999999999999993E-3</v>
      </c>
      <c r="F98" s="80">
        <v>18408</v>
      </c>
      <c r="G98" s="81"/>
      <c r="H98" s="80">
        <v>13818</v>
      </c>
      <c r="I98" s="79">
        <f>H98/F98</f>
        <v>0.750651890482399</v>
      </c>
    </row>
    <row r="99" spans="1:9" x14ac:dyDescent="0.25">
      <c r="A99" s="76" t="s">
        <v>613</v>
      </c>
      <c r="B99" s="76" t="s">
        <v>33</v>
      </c>
      <c r="C99" s="77">
        <v>40696</v>
      </c>
      <c r="D99" s="78">
        <v>41060</v>
      </c>
      <c r="E99" s="79">
        <v>8.9999999999999993E-3</v>
      </c>
      <c r="F99" s="80"/>
      <c r="G99" s="81">
        <v>23584</v>
      </c>
      <c r="H99" s="80">
        <v>17693</v>
      </c>
      <c r="I99" s="79">
        <f>H99/G99</f>
        <v>0.75021200814111266</v>
      </c>
    </row>
    <row r="100" spans="1:9" x14ac:dyDescent="0.25">
      <c r="A100" s="76" t="s">
        <v>281</v>
      </c>
      <c r="B100" s="76" t="s">
        <v>282</v>
      </c>
      <c r="C100" s="77">
        <v>40940</v>
      </c>
      <c r="D100" s="78">
        <v>41274</v>
      </c>
      <c r="E100" s="79">
        <v>0</v>
      </c>
      <c r="F100" s="80">
        <v>191191.6</v>
      </c>
      <c r="G100" s="81"/>
      <c r="H100" s="80">
        <v>143312.65</v>
      </c>
      <c r="I100" s="79">
        <f>H100/F100</f>
        <v>0.74957607970224627</v>
      </c>
    </row>
    <row r="101" spans="1:9" x14ac:dyDescent="0.25">
      <c r="A101" s="76" t="s">
        <v>171</v>
      </c>
      <c r="B101" s="76" t="s">
        <v>209</v>
      </c>
      <c r="C101" s="77">
        <v>40898</v>
      </c>
      <c r="D101" s="78">
        <v>41090</v>
      </c>
      <c r="E101" s="79">
        <v>1.7999999999999999E-2</v>
      </c>
      <c r="F101" s="80">
        <v>782168.12</v>
      </c>
      <c r="G101" s="81"/>
      <c r="H101" s="80">
        <v>584597.74</v>
      </c>
      <c r="I101" s="79">
        <f>H101/F101</f>
        <v>0.74740675955956881</v>
      </c>
    </row>
    <row r="102" spans="1:9" x14ac:dyDescent="0.25">
      <c r="A102" s="70" t="s">
        <v>56</v>
      </c>
      <c r="B102" s="70" t="s">
        <v>57</v>
      </c>
      <c r="C102" s="71">
        <v>40756</v>
      </c>
      <c r="D102" s="72">
        <v>41121</v>
      </c>
      <c r="E102" s="73">
        <v>8.9999999999999993E-3</v>
      </c>
      <c r="F102" s="74">
        <v>66550</v>
      </c>
      <c r="G102" s="75"/>
      <c r="H102" s="74">
        <v>49681.4</v>
      </c>
      <c r="I102" s="73">
        <f>H102/F102</f>
        <v>0.74652742299023289</v>
      </c>
    </row>
    <row r="103" spans="1:9" x14ac:dyDescent="0.25">
      <c r="A103" s="70" t="s">
        <v>146</v>
      </c>
      <c r="B103" s="70" t="s">
        <v>152</v>
      </c>
      <c r="C103" s="71">
        <v>40695</v>
      </c>
      <c r="D103" s="72">
        <v>41060</v>
      </c>
      <c r="E103" s="101">
        <v>4.4999999999999999E-4</v>
      </c>
      <c r="F103" s="74">
        <v>482053.5</v>
      </c>
      <c r="G103" s="75"/>
      <c r="H103" s="74">
        <v>355710.51</v>
      </c>
      <c r="I103" s="73">
        <v>0.73790670537606307</v>
      </c>
    </row>
    <row r="104" spans="1:9" x14ac:dyDescent="0.25">
      <c r="A104" s="76" t="s">
        <v>281</v>
      </c>
      <c r="B104" s="76" t="s">
        <v>282</v>
      </c>
      <c r="C104" s="77">
        <v>40575</v>
      </c>
      <c r="D104" s="78">
        <v>40939</v>
      </c>
      <c r="E104" s="79">
        <v>0</v>
      </c>
      <c r="F104" s="80">
        <v>187684.67</v>
      </c>
      <c r="G104" s="81"/>
      <c r="H104" s="80">
        <v>137022.14000000001</v>
      </c>
      <c r="I104" s="79">
        <f>H104/F104</f>
        <v>0.73006570009154181</v>
      </c>
    </row>
    <row r="105" spans="1:9" x14ac:dyDescent="0.25">
      <c r="A105" s="70" t="s">
        <v>137</v>
      </c>
      <c r="B105" s="70" t="s">
        <v>139</v>
      </c>
      <c r="C105" s="71">
        <v>40802</v>
      </c>
      <c r="D105" s="72">
        <v>41167</v>
      </c>
      <c r="E105" s="73">
        <v>0.68400000000000005</v>
      </c>
      <c r="F105" s="74">
        <v>2069803</v>
      </c>
      <c r="G105" s="75"/>
      <c r="H105" s="74">
        <v>1510149.37</v>
      </c>
      <c r="I105" s="73">
        <v>0.72961019478665368</v>
      </c>
    </row>
    <row r="106" spans="1:9" x14ac:dyDescent="0.25">
      <c r="A106" s="70" t="s">
        <v>20</v>
      </c>
      <c r="B106" s="70" t="s">
        <v>33</v>
      </c>
      <c r="C106" s="71">
        <v>40861</v>
      </c>
      <c r="D106" s="72">
        <v>41207</v>
      </c>
      <c r="E106" s="73">
        <v>0</v>
      </c>
      <c r="F106" s="74"/>
      <c r="G106" s="75">
        <v>4331</v>
      </c>
      <c r="H106" s="89">
        <v>3152.16</v>
      </c>
      <c r="I106" s="73">
        <v>0.72781343800507958</v>
      </c>
    </row>
    <row r="107" spans="1:9" x14ac:dyDescent="0.25">
      <c r="A107" s="76" t="s">
        <v>674</v>
      </c>
      <c r="B107" s="76" t="s">
        <v>31</v>
      </c>
      <c r="C107" s="77">
        <v>40940</v>
      </c>
      <c r="D107" s="78">
        <v>41274</v>
      </c>
      <c r="E107" s="79">
        <v>0.39600000000000002</v>
      </c>
      <c r="F107" s="80">
        <v>617996.31000000006</v>
      </c>
      <c r="G107" s="81"/>
      <c r="H107" s="80">
        <v>447179.96</v>
      </c>
      <c r="I107" s="79">
        <f>H107/F107</f>
        <v>0.72359648878809646</v>
      </c>
    </row>
    <row r="108" spans="1:9" ht="28.5" x14ac:dyDescent="0.25">
      <c r="A108" s="76" t="s">
        <v>392</v>
      </c>
      <c r="B108" s="116" t="s">
        <v>393</v>
      </c>
      <c r="C108" s="77">
        <v>40892</v>
      </c>
      <c r="D108" s="78">
        <v>41151</v>
      </c>
      <c r="E108" s="79">
        <v>8.9999999999999993E-3</v>
      </c>
      <c r="F108" s="80"/>
      <c r="G108" s="81">
        <v>135</v>
      </c>
      <c r="H108" s="80">
        <v>97.65</v>
      </c>
      <c r="I108" s="79">
        <f>H108/G108</f>
        <v>0.72333333333333338</v>
      </c>
    </row>
    <row r="109" spans="1:9" x14ac:dyDescent="0.25">
      <c r="A109" s="76" t="s">
        <v>674</v>
      </c>
      <c r="B109" s="76" t="s">
        <v>183</v>
      </c>
      <c r="C109" s="77">
        <v>41051</v>
      </c>
      <c r="D109" s="78">
        <v>41274</v>
      </c>
      <c r="E109" s="79">
        <v>0.16200000000000001</v>
      </c>
      <c r="F109" s="80"/>
      <c r="G109" s="81">
        <v>27117.9</v>
      </c>
      <c r="H109" s="80">
        <v>19583.650000000001</v>
      </c>
      <c r="I109" s="79">
        <f>H109/G109</f>
        <v>0.72216690820454388</v>
      </c>
    </row>
    <row r="110" spans="1:9" x14ac:dyDescent="0.25">
      <c r="A110" s="70" t="s">
        <v>171</v>
      </c>
      <c r="B110" s="70" t="s">
        <v>194</v>
      </c>
      <c r="C110" s="71">
        <v>40597</v>
      </c>
      <c r="D110" s="72">
        <v>40939</v>
      </c>
      <c r="E110" s="73">
        <v>1.7999999999999999E-2</v>
      </c>
      <c r="F110" s="74">
        <v>651767</v>
      </c>
      <c r="G110" s="88"/>
      <c r="H110" s="74">
        <v>468507.81</v>
      </c>
      <c r="I110" s="73">
        <v>0.7188271422149326</v>
      </c>
    </row>
    <row r="111" spans="1:9" x14ac:dyDescent="0.25">
      <c r="A111" s="76" t="s">
        <v>582</v>
      </c>
      <c r="B111" s="76" t="s">
        <v>163</v>
      </c>
      <c r="C111" s="77">
        <v>40787</v>
      </c>
      <c r="D111" s="78">
        <v>41152</v>
      </c>
      <c r="E111" s="79">
        <v>0.63</v>
      </c>
      <c r="F111" s="88"/>
      <c r="G111" s="81">
        <v>2099675.6800000002</v>
      </c>
      <c r="H111" s="80">
        <v>1507456.96</v>
      </c>
      <c r="I111" s="79">
        <f>H111/G111</f>
        <v>0.71794752606745427</v>
      </c>
    </row>
    <row r="112" spans="1:9" x14ac:dyDescent="0.25">
      <c r="A112" s="76" t="s">
        <v>243</v>
      </c>
      <c r="B112" s="76" t="s">
        <v>244</v>
      </c>
      <c r="C112" s="77">
        <v>40909</v>
      </c>
      <c r="D112" s="78">
        <v>41274</v>
      </c>
      <c r="E112" s="79">
        <v>1.7999999999999999E-2</v>
      </c>
      <c r="F112" s="80">
        <v>6051098</v>
      </c>
      <c r="G112" s="81"/>
      <c r="H112" s="80">
        <v>4338848.32</v>
      </c>
      <c r="I112" s="79">
        <f>H112/F112</f>
        <v>0.71703487862863902</v>
      </c>
    </row>
    <row r="113" spans="1:9" x14ac:dyDescent="0.25">
      <c r="A113" s="76" t="s">
        <v>249</v>
      </c>
      <c r="B113" s="76" t="s">
        <v>250</v>
      </c>
      <c r="C113" s="77">
        <v>40635</v>
      </c>
      <c r="D113" s="78">
        <v>41000</v>
      </c>
      <c r="E113" s="79">
        <v>8.9999999999999993E-3</v>
      </c>
      <c r="F113" s="80">
        <v>381934.66</v>
      </c>
      <c r="G113" s="81"/>
      <c r="H113" s="80">
        <v>272395.65999999997</v>
      </c>
      <c r="I113" s="79">
        <f>H113/F113</f>
        <v>0.71319963472286074</v>
      </c>
    </row>
    <row r="114" spans="1:9" x14ac:dyDescent="0.25">
      <c r="A114" s="70" t="s">
        <v>20</v>
      </c>
      <c r="B114" s="70" t="s">
        <v>33</v>
      </c>
      <c r="C114" s="71">
        <v>40861</v>
      </c>
      <c r="D114" s="72">
        <v>41207</v>
      </c>
      <c r="E114" s="73">
        <v>0</v>
      </c>
      <c r="F114" s="74">
        <v>171538.46</v>
      </c>
      <c r="G114" s="75"/>
      <c r="H114" s="74">
        <v>122303.03999999999</v>
      </c>
      <c r="I114" s="73">
        <v>0.71297736962311542</v>
      </c>
    </row>
    <row r="115" spans="1:9" x14ac:dyDescent="0.25">
      <c r="A115" s="76" t="s">
        <v>674</v>
      </c>
      <c r="B115" s="76" t="s">
        <v>535</v>
      </c>
      <c r="C115" s="77">
        <v>41086</v>
      </c>
      <c r="D115" s="78">
        <v>41274</v>
      </c>
      <c r="E115" s="79">
        <v>0.22500000000000001</v>
      </c>
      <c r="F115" s="80"/>
      <c r="G115" s="81">
        <v>3006.74</v>
      </c>
      <c r="H115" s="80">
        <v>2143.5100000000002</v>
      </c>
      <c r="I115" s="79">
        <f>H115/G115</f>
        <v>0.71290168089026662</v>
      </c>
    </row>
    <row r="116" spans="1:9" x14ac:dyDescent="0.25">
      <c r="A116" s="70" t="s">
        <v>171</v>
      </c>
      <c r="B116" s="70" t="s">
        <v>90</v>
      </c>
      <c r="C116" s="71">
        <v>40763</v>
      </c>
      <c r="D116" s="72">
        <v>41090</v>
      </c>
      <c r="E116" s="73">
        <v>1.7999999999999999E-2</v>
      </c>
      <c r="F116" s="74">
        <v>1111511.07</v>
      </c>
      <c r="G116" s="75"/>
      <c r="H116" s="74">
        <v>786517.58</v>
      </c>
      <c r="I116" s="79">
        <f>H116/F116</f>
        <v>0.70761110818266515</v>
      </c>
    </row>
    <row r="117" spans="1:9" x14ac:dyDescent="0.25">
      <c r="A117" s="76" t="s">
        <v>613</v>
      </c>
      <c r="B117" s="76" t="s">
        <v>22</v>
      </c>
      <c r="C117" s="77">
        <v>40807</v>
      </c>
      <c r="D117" s="78">
        <v>41173</v>
      </c>
      <c r="E117" s="79">
        <v>1.7999999999999999E-2</v>
      </c>
      <c r="F117" s="80"/>
      <c r="G117" s="81">
        <v>8046</v>
      </c>
      <c r="H117" s="80">
        <v>5690</v>
      </c>
      <c r="I117" s="79">
        <f>H117/G117</f>
        <v>0.70718369376087498</v>
      </c>
    </row>
    <row r="118" spans="1:9" x14ac:dyDescent="0.25">
      <c r="A118" s="76" t="s">
        <v>582</v>
      </c>
      <c r="B118" s="76" t="s">
        <v>24</v>
      </c>
      <c r="C118" s="77">
        <v>40878</v>
      </c>
      <c r="D118" s="78">
        <v>41243</v>
      </c>
      <c r="E118" s="79">
        <v>0.59399999999999997</v>
      </c>
      <c r="F118" s="88"/>
      <c r="G118" s="81">
        <v>1919080.95</v>
      </c>
      <c r="H118" s="80">
        <v>1341072.19</v>
      </c>
      <c r="I118" s="79">
        <f>H118/G118</f>
        <v>0.69880959945957466</v>
      </c>
    </row>
    <row r="119" spans="1:9" x14ac:dyDescent="0.25">
      <c r="A119" s="76" t="s">
        <v>674</v>
      </c>
      <c r="B119" s="76" t="s">
        <v>535</v>
      </c>
      <c r="C119" s="77">
        <v>41086</v>
      </c>
      <c r="D119" s="78">
        <v>41274</v>
      </c>
      <c r="E119" s="79">
        <v>0.22500000000000001</v>
      </c>
      <c r="F119" s="80">
        <v>105057.98</v>
      </c>
      <c r="G119" s="81"/>
      <c r="H119" s="80">
        <v>73356.179999999993</v>
      </c>
      <c r="I119" s="79">
        <f>H119/F119</f>
        <v>0.6982447216289519</v>
      </c>
    </row>
    <row r="120" spans="1:9" x14ac:dyDescent="0.25">
      <c r="A120" s="76" t="s">
        <v>531</v>
      </c>
      <c r="B120" s="76" t="s">
        <v>29</v>
      </c>
      <c r="C120" s="77">
        <v>40955</v>
      </c>
      <c r="D120" s="78">
        <v>41274</v>
      </c>
      <c r="E120" s="79">
        <v>8.9999999999999998E-4</v>
      </c>
      <c r="F120" s="80">
        <v>47147</v>
      </c>
      <c r="G120" s="81"/>
      <c r="H120" s="80">
        <v>32827</v>
      </c>
      <c r="I120" s="79">
        <f>H120/F120</f>
        <v>0.696269115744374</v>
      </c>
    </row>
    <row r="121" spans="1:9" x14ac:dyDescent="0.25">
      <c r="A121" s="70" t="s">
        <v>20</v>
      </c>
      <c r="B121" s="70" t="s">
        <v>21</v>
      </c>
      <c r="C121" s="71">
        <v>40947</v>
      </c>
      <c r="D121" s="72">
        <v>41274</v>
      </c>
      <c r="E121" s="73">
        <v>0</v>
      </c>
      <c r="F121" s="74"/>
      <c r="G121" s="75">
        <v>2075</v>
      </c>
      <c r="H121" s="74">
        <v>1444.35</v>
      </c>
      <c r="I121" s="73">
        <v>0.69607228915662644</v>
      </c>
    </row>
    <row r="122" spans="1:9" x14ac:dyDescent="0.25">
      <c r="A122" s="70" t="s">
        <v>20</v>
      </c>
      <c r="B122" s="70" t="s">
        <v>21</v>
      </c>
      <c r="C122" s="71">
        <v>40947</v>
      </c>
      <c r="D122" s="72">
        <v>41274</v>
      </c>
      <c r="E122" s="73">
        <v>0</v>
      </c>
      <c r="F122" s="74">
        <v>51390</v>
      </c>
      <c r="G122" s="75"/>
      <c r="H122" s="74">
        <v>35771.07</v>
      </c>
      <c r="I122" s="73">
        <v>0.6960706363105662</v>
      </c>
    </row>
    <row r="123" spans="1:9" x14ac:dyDescent="0.25">
      <c r="A123" s="76" t="s">
        <v>613</v>
      </c>
      <c r="B123" s="76" t="s">
        <v>190</v>
      </c>
      <c r="C123" s="77">
        <v>41019</v>
      </c>
      <c r="D123" s="78">
        <v>41364</v>
      </c>
      <c r="E123" s="79">
        <v>8.9999999999999993E-3</v>
      </c>
      <c r="F123" s="80"/>
      <c r="G123" s="81">
        <v>875</v>
      </c>
      <c r="H123" s="80">
        <v>608</v>
      </c>
      <c r="I123" s="79">
        <f>H123/G123</f>
        <v>0.69485714285714284</v>
      </c>
    </row>
    <row r="124" spans="1:9" x14ac:dyDescent="0.25">
      <c r="A124" s="76" t="s">
        <v>449</v>
      </c>
      <c r="B124" s="76" t="s">
        <v>461</v>
      </c>
      <c r="C124" s="77">
        <v>40767</v>
      </c>
      <c r="D124" s="78">
        <v>41029</v>
      </c>
      <c r="E124" s="79">
        <v>0</v>
      </c>
      <c r="F124" s="80">
        <v>861440</v>
      </c>
      <c r="G124" s="81"/>
      <c r="H124" s="80">
        <v>595814</v>
      </c>
      <c r="I124" s="79">
        <f>H124/F124</f>
        <v>0.69164886701337291</v>
      </c>
    </row>
    <row r="125" spans="1:9" x14ac:dyDescent="0.25">
      <c r="A125" s="76" t="s">
        <v>249</v>
      </c>
      <c r="B125" s="76" t="s">
        <v>256</v>
      </c>
      <c r="C125" s="77">
        <v>40812</v>
      </c>
      <c r="D125" s="78">
        <v>40939</v>
      </c>
      <c r="E125" s="79">
        <v>0</v>
      </c>
      <c r="F125" s="80">
        <v>153537</v>
      </c>
      <c r="G125" s="81"/>
      <c r="H125" s="80">
        <v>105824.66</v>
      </c>
      <c r="I125" s="79">
        <f>H125/F125</f>
        <v>0.6892453284875959</v>
      </c>
    </row>
    <row r="126" spans="1:9" x14ac:dyDescent="0.25">
      <c r="A126" s="76" t="s">
        <v>613</v>
      </c>
      <c r="B126" s="76" t="s">
        <v>22</v>
      </c>
      <c r="C126" s="77">
        <v>40807</v>
      </c>
      <c r="D126" s="78">
        <v>41173</v>
      </c>
      <c r="E126" s="79">
        <v>1.7999999999999999E-2</v>
      </c>
      <c r="F126" s="80">
        <v>222745</v>
      </c>
      <c r="G126" s="81"/>
      <c r="H126" s="80">
        <v>152987</v>
      </c>
      <c r="I126" s="79">
        <f>H126/F126</f>
        <v>0.68682574244090777</v>
      </c>
    </row>
    <row r="127" spans="1:9" x14ac:dyDescent="0.25">
      <c r="A127" s="76" t="s">
        <v>249</v>
      </c>
      <c r="B127" s="76" t="s">
        <v>252</v>
      </c>
      <c r="C127" s="77">
        <v>40658</v>
      </c>
      <c r="D127" s="78">
        <v>41023</v>
      </c>
      <c r="E127" s="79">
        <v>0</v>
      </c>
      <c r="F127" s="80">
        <v>843544.58</v>
      </c>
      <c r="G127" s="81"/>
      <c r="H127" s="80">
        <v>577371.98</v>
      </c>
      <c r="I127" s="79">
        <f>H127/F127</f>
        <v>0.68445935601886032</v>
      </c>
    </row>
    <row r="128" spans="1:9" x14ac:dyDescent="0.25">
      <c r="A128" s="70" t="s">
        <v>137</v>
      </c>
      <c r="B128" s="70" t="s">
        <v>138</v>
      </c>
      <c r="C128" s="71">
        <v>40603</v>
      </c>
      <c r="D128" s="72">
        <v>40968</v>
      </c>
      <c r="E128" s="73">
        <v>0.45</v>
      </c>
      <c r="F128" s="74">
        <v>450890.83</v>
      </c>
      <c r="G128" s="75"/>
      <c r="H128" s="74">
        <v>308476.90000000002</v>
      </c>
      <c r="I128" s="73">
        <v>0.68414986394822008</v>
      </c>
    </row>
    <row r="129" spans="1:9" x14ac:dyDescent="0.25">
      <c r="A129" s="70" t="s">
        <v>137</v>
      </c>
      <c r="B129" s="70" t="s">
        <v>138</v>
      </c>
      <c r="C129" s="71">
        <v>40969</v>
      </c>
      <c r="D129" s="72">
        <v>41288</v>
      </c>
      <c r="E129" s="73">
        <v>0.45</v>
      </c>
      <c r="F129" s="74">
        <v>458322.01</v>
      </c>
      <c r="G129" s="75"/>
      <c r="H129" s="74">
        <v>313188.31</v>
      </c>
      <c r="I129" s="73">
        <v>0.68333683123793243</v>
      </c>
    </row>
    <row r="130" spans="1:9" x14ac:dyDescent="0.25">
      <c r="A130" s="76" t="s">
        <v>578</v>
      </c>
      <c r="B130" s="76" t="s">
        <v>176</v>
      </c>
      <c r="C130" s="77">
        <v>40717</v>
      </c>
      <c r="D130" s="78">
        <v>41020</v>
      </c>
      <c r="E130" s="79">
        <v>0</v>
      </c>
      <c r="F130" s="80">
        <v>89838</v>
      </c>
      <c r="G130" s="88"/>
      <c r="H130" s="80">
        <v>61357.62</v>
      </c>
      <c r="I130" s="79">
        <f>H130/F130</f>
        <v>0.6829806985907968</v>
      </c>
    </row>
    <row r="131" spans="1:9" x14ac:dyDescent="0.25">
      <c r="A131" s="76" t="s">
        <v>449</v>
      </c>
      <c r="B131" s="76" t="s">
        <v>463</v>
      </c>
      <c r="C131" s="77">
        <v>40822</v>
      </c>
      <c r="D131" s="78">
        <v>41090</v>
      </c>
      <c r="E131" s="79">
        <v>0</v>
      </c>
      <c r="F131" s="80">
        <v>59996</v>
      </c>
      <c r="G131" s="81"/>
      <c r="H131" s="80">
        <v>40912</v>
      </c>
      <c r="I131" s="79">
        <f>H131/F131</f>
        <v>0.68191212747516505</v>
      </c>
    </row>
    <row r="132" spans="1:9" x14ac:dyDescent="0.25">
      <c r="A132" s="76" t="s">
        <v>1718</v>
      </c>
      <c r="B132" s="76" t="s">
        <v>1719</v>
      </c>
      <c r="C132" s="77">
        <v>41175</v>
      </c>
      <c r="D132" s="78">
        <v>41455</v>
      </c>
      <c r="E132" s="79">
        <v>0.40500000000000003</v>
      </c>
      <c r="F132" s="80"/>
      <c r="G132" s="81">
        <v>906710.79</v>
      </c>
      <c r="H132" s="80">
        <v>618281.12</v>
      </c>
      <c r="I132" s="73">
        <f>H132/G132</f>
        <v>0.68189452118464366</v>
      </c>
    </row>
    <row r="133" spans="1:9" x14ac:dyDescent="0.25">
      <c r="A133" s="76" t="s">
        <v>375</v>
      </c>
      <c r="B133" s="76" t="s">
        <v>379</v>
      </c>
      <c r="C133" s="77">
        <v>41099</v>
      </c>
      <c r="D133" s="78">
        <v>41156</v>
      </c>
      <c r="E133" s="79">
        <v>4.4999999999999998E-2</v>
      </c>
      <c r="F133" s="80"/>
      <c r="G133" s="81">
        <v>16975</v>
      </c>
      <c r="H133" s="80">
        <v>11556.5</v>
      </c>
      <c r="I133" s="79">
        <f>H133/G133</f>
        <v>0.68079528718703974</v>
      </c>
    </row>
    <row r="134" spans="1:9" ht="28.5" x14ac:dyDescent="0.25">
      <c r="A134" s="76" t="s">
        <v>392</v>
      </c>
      <c r="B134" s="76" t="s">
        <v>287</v>
      </c>
      <c r="C134" s="77">
        <v>41011</v>
      </c>
      <c r="D134" s="78">
        <v>41394</v>
      </c>
      <c r="E134" s="79">
        <v>8.9999999999999993E-3</v>
      </c>
      <c r="F134" s="80">
        <v>10165</v>
      </c>
      <c r="G134" s="81"/>
      <c r="H134" s="80">
        <v>6898</v>
      </c>
      <c r="I134" s="79">
        <f>H134/F134</f>
        <v>0.67860304968027541</v>
      </c>
    </row>
    <row r="135" spans="1:9" x14ac:dyDescent="0.25">
      <c r="A135" s="70" t="s">
        <v>171</v>
      </c>
      <c r="B135" s="70" t="s">
        <v>180</v>
      </c>
      <c r="C135" s="71">
        <v>40758</v>
      </c>
      <c r="D135" s="72">
        <v>41123</v>
      </c>
      <c r="E135" s="73">
        <v>1.7999999999999999E-2</v>
      </c>
      <c r="F135" s="74">
        <v>2723980</v>
      </c>
      <c r="G135" s="75"/>
      <c r="H135" s="74">
        <v>1847928</v>
      </c>
      <c r="I135" s="79">
        <f>H135/F135</f>
        <v>0.67839264605466998</v>
      </c>
    </row>
    <row r="136" spans="1:9" x14ac:dyDescent="0.25">
      <c r="A136" s="76" t="s">
        <v>594</v>
      </c>
      <c r="B136" s="76" t="s">
        <v>597</v>
      </c>
      <c r="C136" s="77">
        <v>40805</v>
      </c>
      <c r="D136" s="78">
        <v>41170</v>
      </c>
      <c r="E136" s="79">
        <v>0.35099999999999998</v>
      </c>
      <c r="F136" s="80"/>
      <c r="G136" s="81">
        <v>11374.05</v>
      </c>
      <c r="H136" s="80">
        <v>7699.05</v>
      </c>
      <c r="I136" s="93">
        <f>H136/G136</f>
        <v>0.67689609242090554</v>
      </c>
    </row>
    <row r="137" spans="1:9" x14ac:dyDescent="0.25">
      <c r="A137" s="76" t="s">
        <v>263</v>
      </c>
      <c r="B137" s="76" t="s">
        <v>190</v>
      </c>
      <c r="C137" s="77">
        <v>40911</v>
      </c>
      <c r="D137" s="78">
        <v>41276</v>
      </c>
      <c r="E137" s="79">
        <v>8.9999999999999993E-3</v>
      </c>
      <c r="F137" s="80"/>
      <c r="G137" s="81">
        <v>3895</v>
      </c>
      <c r="H137" s="80">
        <v>2633.02</v>
      </c>
      <c r="I137" s="79">
        <f>H137/G137</f>
        <v>0.67600000000000005</v>
      </c>
    </row>
    <row r="138" spans="1:9" x14ac:dyDescent="0.25">
      <c r="A138" s="76" t="s">
        <v>674</v>
      </c>
      <c r="B138" s="76" t="s">
        <v>23</v>
      </c>
      <c r="C138" s="77">
        <v>40920</v>
      </c>
      <c r="D138" s="78">
        <v>41274</v>
      </c>
      <c r="E138" s="79">
        <v>0.22500000000000001</v>
      </c>
      <c r="F138" s="80"/>
      <c r="G138" s="81">
        <v>16232</v>
      </c>
      <c r="H138" s="80">
        <v>10967.07</v>
      </c>
      <c r="I138" s="79">
        <f>H138/G138</f>
        <v>0.67564502217841305</v>
      </c>
    </row>
    <row r="139" spans="1:9" x14ac:dyDescent="0.25">
      <c r="A139" s="76" t="s">
        <v>613</v>
      </c>
      <c r="B139" s="76" t="s">
        <v>107</v>
      </c>
      <c r="C139" s="77">
        <v>40610</v>
      </c>
      <c r="D139" s="78">
        <v>40939</v>
      </c>
      <c r="E139" s="79">
        <v>8.9999999999999993E-3</v>
      </c>
      <c r="F139" s="80">
        <v>29284</v>
      </c>
      <c r="G139" s="88"/>
      <c r="H139" s="80">
        <v>19780</v>
      </c>
      <c r="I139" s="79">
        <f>H139/F139</f>
        <v>0.67545417292719578</v>
      </c>
    </row>
    <row r="140" spans="1:9" x14ac:dyDescent="0.25">
      <c r="A140" s="76" t="s">
        <v>674</v>
      </c>
      <c r="B140" s="76" t="s">
        <v>183</v>
      </c>
      <c r="C140" s="77">
        <v>41051</v>
      </c>
      <c r="D140" s="78">
        <v>41274</v>
      </c>
      <c r="E140" s="79">
        <v>0.16200000000000001</v>
      </c>
      <c r="F140" s="80">
        <v>677175.04</v>
      </c>
      <c r="G140" s="81"/>
      <c r="H140" s="80">
        <v>457325.12</v>
      </c>
      <c r="I140" s="79">
        <f>H140/F140</f>
        <v>0.67534255249573283</v>
      </c>
    </row>
    <row r="141" spans="1:9" x14ac:dyDescent="0.25">
      <c r="A141" s="76" t="s">
        <v>384</v>
      </c>
      <c r="B141" s="76" t="s">
        <v>386</v>
      </c>
      <c r="C141" s="77">
        <v>41030</v>
      </c>
      <c r="D141" s="78">
        <v>41187</v>
      </c>
      <c r="E141" s="79">
        <v>4.4999999999999998E-2</v>
      </c>
      <c r="F141" s="80"/>
      <c r="G141" s="81">
        <v>14920</v>
      </c>
      <c r="H141" s="80">
        <v>10066</v>
      </c>
      <c r="I141" s="79">
        <f>H141/G141</f>
        <v>0.67466487935656838</v>
      </c>
    </row>
    <row r="142" spans="1:9" x14ac:dyDescent="0.25">
      <c r="A142" s="76" t="s">
        <v>643</v>
      </c>
      <c r="B142" s="76" t="s">
        <v>657</v>
      </c>
      <c r="C142" s="77">
        <v>40956</v>
      </c>
      <c r="D142" s="78">
        <v>41321</v>
      </c>
      <c r="E142" s="79">
        <v>4.4999999999999997E-3</v>
      </c>
      <c r="F142" s="80"/>
      <c r="G142" s="81">
        <v>7973</v>
      </c>
      <c r="H142" s="80">
        <v>5319.7</v>
      </c>
      <c r="I142" s="79">
        <f>H142/G142</f>
        <v>0.66721434842593752</v>
      </c>
    </row>
    <row r="143" spans="1:9" x14ac:dyDescent="0.25">
      <c r="A143" s="100" t="s">
        <v>214</v>
      </c>
      <c r="B143" s="100" t="s">
        <v>215</v>
      </c>
      <c r="C143" s="77">
        <v>40603</v>
      </c>
      <c r="D143" s="78">
        <v>40968</v>
      </c>
      <c r="E143" s="79">
        <v>4.4999999999999998E-2</v>
      </c>
      <c r="F143" s="80"/>
      <c r="G143" s="81">
        <v>115614.71</v>
      </c>
      <c r="H143" s="80">
        <v>77125.86</v>
      </c>
      <c r="I143" s="79">
        <f>H143/G143</f>
        <v>0.6670938326100545</v>
      </c>
    </row>
    <row r="144" spans="1:9" x14ac:dyDescent="0.25">
      <c r="A144" s="76" t="s">
        <v>214</v>
      </c>
      <c r="B144" s="76" t="s">
        <v>215</v>
      </c>
      <c r="C144" s="77">
        <v>40603</v>
      </c>
      <c r="D144" s="78">
        <v>40968</v>
      </c>
      <c r="E144" s="79">
        <v>4.4999999999999998E-2</v>
      </c>
      <c r="F144" s="80">
        <v>123073</v>
      </c>
      <c r="G144" s="81"/>
      <c r="H144" s="80">
        <v>81750</v>
      </c>
      <c r="I144" s="79">
        <f>H144/F144</f>
        <v>0.6642399226475344</v>
      </c>
    </row>
    <row r="145" spans="1:9" x14ac:dyDescent="0.25">
      <c r="A145" s="76" t="s">
        <v>531</v>
      </c>
      <c r="B145" s="76" t="s">
        <v>535</v>
      </c>
      <c r="C145" s="77">
        <v>40749</v>
      </c>
      <c r="D145" s="78">
        <v>41060</v>
      </c>
      <c r="E145" s="79">
        <v>8.9999999999999993E-3</v>
      </c>
      <c r="F145" s="80"/>
      <c r="G145" s="81">
        <v>3459</v>
      </c>
      <c r="H145" s="80">
        <v>2292</v>
      </c>
      <c r="I145" s="79">
        <f>H145/G145</f>
        <v>0.66261925411968781</v>
      </c>
    </row>
    <row r="146" spans="1:9" x14ac:dyDescent="0.25">
      <c r="A146" s="76" t="s">
        <v>281</v>
      </c>
      <c r="B146" s="76" t="s">
        <v>286</v>
      </c>
      <c r="C146" s="77">
        <v>40709</v>
      </c>
      <c r="D146" s="78">
        <v>41060</v>
      </c>
      <c r="E146" s="79">
        <v>0.54</v>
      </c>
      <c r="F146" s="80">
        <v>7837</v>
      </c>
      <c r="G146" s="81"/>
      <c r="H146" s="80">
        <v>5191.6400000000003</v>
      </c>
      <c r="I146" s="79">
        <f>H146/F146</f>
        <v>0.66245246905703714</v>
      </c>
    </row>
    <row r="147" spans="1:9" x14ac:dyDescent="0.25">
      <c r="A147" s="76" t="s">
        <v>281</v>
      </c>
      <c r="B147" s="76" t="s">
        <v>287</v>
      </c>
      <c r="C147" s="77">
        <v>40754</v>
      </c>
      <c r="D147" s="78">
        <v>41119</v>
      </c>
      <c r="E147" s="79">
        <v>0.54</v>
      </c>
      <c r="F147" s="80">
        <v>29303</v>
      </c>
      <c r="G147" s="81"/>
      <c r="H147" s="80">
        <v>19304.13</v>
      </c>
      <c r="I147" s="79">
        <f>H147/F147</f>
        <v>0.65877657577722426</v>
      </c>
    </row>
    <row r="148" spans="1:9" x14ac:dyDescent="0.25">
      <c r="A148" s="76" t="s">
        <v>594</v>
      </c>
      <c r="B148" s="76" t="s">
        <v>597</v>
      </c>
      <c r="C148" s="77">
        <v>40805</v>
      </c>
      <c r="D148" s="78">
        <v>41170</v>
      </c>
      <c r="E148" s="79">
        <v>0.35099999999999998</v>
      </c>
      <c r="F148" s="80">
        <v>153250.17000000001</v>
      </c>
      <c r="G148" s="81"/>
      <c r="H148" s="80">
        <v>100750.17</v>
      </c>
      <c r="I148" s="79">
        <f>H148/F148</f>
        <v>0.6574228922551929</v>
      </c>
    </row>
    <row r="149" spans="1:9" x14ac:dyDescent="0.25">
      <c r="A149" s="76" t="s">
        <v>531</v>
      </c>
      <c r="B149" s="76" t="s">
        <v>90</v>
      </c>
      <c r="C149" s="77">
        <v>41084</v>
      </c>
      <c r="D149" s="78">
        <v>41090</v>
      </c>
      <c r="E149" s="79">
        <v>0.36</v>
      </c>
      <c r="F149" s="80">
        <v>17505</v>
      </c>
      <c r="G149" s="81"/>
      <c r="H149" s="80">
        <v>11441</v>
      </c>
      <c r="I149" s="79">
        <f>H149/F149</f>
        <v>0.65358469008854614</v>
      </c>
    </row>
    <row r="150" spans="1:9" x14ac:dyDescent="0.25">
      <c r="A150" s="76" t="s">
        <v>613</v>
      </c>
      <c r="B150" s="76" t="s">
        <v>183</v>
      </c>
      <c r="C150" s="77">
        <v>41150</v>
      </c>
      <c r="D150" s="78">
        <v>41469</v>
      </c>
      <c r="E150" s="79">
        <v>1.7999999999999999E-2</v>
      </c>
      <c r="F150" s="80">
        <v>472592.07</v>
      </c>
      <c r="G150" s="81"/>
      <c r="H150" s="80">
        <v>308780.06</v>
      </c>
      <c r="I150" s="79">
        <f>H150/F150</f>
        <v>0.6533754576118892</v>
      </c>
    </row>
    <row r="151" spans="1:9" x14ac:dyDescent="0.25">
      <c r="A151" s="76" t="s">
        <v>531</v>
      </c>
      <c r="B151" s="76" t="s">
        <v>90</v>
      </c>
      <c r="C151" s="77">
        <v>41084</v>
      </c>
      <c r="D151" s="78">
        <v>41090</v>
      </c>
      <c r="E151" s="79">
        <v>0.36</v>
      </c>
      <c r="F151" s="80"/>
      <c r="G151" s="81">
        <v>260</v>
      </c>
      <c r="H151" s="80">
        <v>169</v>
      </c>
      <c r="I151" s="79">
        <f>H151/G151</f>
        <v>0.65</v>
      </c>
    </row>
    <row r="152" spans="1:9" x14ac:dyDescent="0.25">
      <c r="A152" s="76" t="s">
        <v>531</v>
      </c>
      <c r="B152" s="76" t="s">
        <v>29</v>
      </c>
      <c r="C152" s="77">
        <v>40955</v>
      </c>
      <c r="D152" s="78">
        <v>41274</v>
      </c>
      <c r="E152" s="79">
        <v>8.9999999999999998E-4</v>
      </c>
      <c r="F152" s="80"/>
      <c r="G152" s="81">
        <v>245</v>
      </c>
      <c r="H152" s="80">
        <v>158</v>
      </c>
      <c r="I152" s="79">
        <f>H152/G152</f>
        <v>0.64489795918367343</v>
      </c>
    </row>
    <row r="153" spans="1:9" x14ac:dyDescent="0.25">
      <c r="A153" s="70" t="s">
        <v>20</v>
      </c>
      <c r="B153" s="70" t="s">
        <v>28</v>
      </c>
      <c r="C153" s="71">
        <v>40686</v>
      </c>
      <c r="D153" s="72">
        <v>41029</v>
      </c>
      <c r="E153" s="73">
        <v>0</v>
      </c>
      <c r="F153" s="74"/>
      <c r="G153" s="75">
        <v>976.95</v>
      </c>
      <c r="H153" s="74">
        <v>2167.34</v>
      </c>
      <c r="I153" s="73">
        <v>0.64312759643916917</v>
      </c>
    </row>
    <row r="154" spans="1:9" x14ac:dyDescent="0.25">
      <c r="A154" s="76" t="s">
        <v>531</v>
      </c>
      <c r="B154" s="76" t="s">
        <v>175</v>
      </c>
      <c r="C154" s="77">
        <v>41179</v>
      </c>
      <c r="D154" s="78">
        <v>41364</v>
      </c>
      <c r="E154" s="79">
        <v>8.9999999999999993E-3</v>
      </c>
      <c r="F154" s="80"/>
      <c r="G154" s="81">
        <v>1830</v>
      </c>
      <c r="H154" s="80">
        <v>1176</v>
      </c>
      <c r="I154" s="79">
        <f>H154/G154</f>
        <v>0.64262295081967213</v>
      </c>
    </row>
    <row r="155" spans="1:9" x14ac:dyDescent="0.25">
      <c r="A155" s="76" t="s">
        <v>613</v>
      </c>
      <c r="B155" s="76" t="s">
        <v>190</v>
      </c>
      <c r="C155" s="77">
        <v>41019</v>
      </c>
      <c r="D155" s="78">
        <v>41364</v>
      </c>
      <c r="E155" s="79">
        <v>8.9999999999999993E-3</v>
      </c>
      <c r="F155" s="80">
        <v>30246</v>
      </c>
      <c r="G155" s="81"/>
      <c r="H155" s="80">
        <v>19366</v>
      </c>
      <c r="I155" s="79">
        <f>H155/F155</f>
        <v>0.64028301262976928</v>
      </c>
    </row>
    <row r="156" spans="1:9" x14ac:dyDescent="0.25">
      <c r="A156" s="76" t="s">
        <v>262</v>
      </c>
      <c r="B156" s="76" t="s">
        <v>88</v>
      </c>
      <c r="C156" s="77">
        <v>40766</v>
      </c>
      <c r="D156" s="78">
        <v>41090</v>
      </c>
      <c r="E156" s="79">
        <v>8.9999999999999993E-3</v>
      </c>
      <c r="F156" s="80"/>
      <c r="G156" s="81">
        <v>13379</v>
      </c>
      <c r="H156" s="80">
        <v>8562.56</v>
      </c>
      <c r="I156" s="79">
        <f>H156/G156</f>
        <v>0.64</v>
      </c>
    </row>
    <row r="157" spans="1:9" x14ac:dyDescent="0.25">
      <c r="A157" s="76" t="s">
        <v>262</v>
      </c>
      <c r="B157" s="76" t="s">
        <v>31</v>
      </c>
      <c r="C157" s="77">
        <v>40747</v>
      </c>
      <c r="D157" s="78">
        <v>41060</v>
      </c>
      <c r="E157" s="79">
        <v>8.9999999999999993E-3</v>
      </c>
      <c r="F157" s="80"/>
      <c r="G157" s="81">
        <v>3360</v>
      </c>
      <c r="H157" s="80">
        <v>2150.4</v>
      </c>
      <c r="I157" s="79">
        <f>H157/G157</f>
        <v>0.64</v>
      </c>
    </row>
    <row r="158" spans="1:9" x14ac:dyDescent="0.25">
      <c r="A158" s="76" t="s">
        <v>262</v>
      </c>
      <c r="B158" s="76" t="s">
        <v>107</v>
      </c>
      <c r="C158" s="77">
        <v>40749</v>
      </c>
      <c r="D158" s="78">
        <v>41090</v>
      </c>
      <c r="E158" s="79">
        <v>8.9999999999999993E-3</v>
      </c>
      <c r="F158" s="80"/>
      <c r="G158" s="81">
        <v>2215</v>
      </c>
      <c r="H158" s="80">
        <v>1417.6</v>
      </c>
      <c r="I158" s="79">
        <f>H158/G158</f>
        <v>0.64</v>
      </c>
    </row>
    <row r="159" spans="1:9" x14ac:dyDescent="0.25">
      <c r="A159" s="76" t="s">
        <v>643</v>
      </c>
      <c r="B159" s="76" t="s">
        <v>657</v>
      </c>
      <c r="C159" s="77">
        <v>40956</v>
      </c>
      <c r="D159" s="78">
        <v>41321</v>
      </c>
      <c r="E159" s="79">
        <v>4.4999999999999997E-3</v>
      </c>
      <c r="F159" s="80">
        <v>319841.53000000003</v>
      </c>
      <c r="G159" s="81"/>
      <c r="H159" s="80">
        <v>204694.33</v>
      </c>
      <c r="I159" s="79">
        <f>H159/F159</f>
        <v>0.63998671467085577</v>
      </c>
    </row>
    <row r="160" spans="1:9" x14ac:dyDescent="0.25">
      <c r="A160" s="70" t="s">
        <v>80</v>
      </c>
      <c r="B160" s="70" t="s">
        <v>55</v>
      </c>
      <c r="C160" s="71">
        <v>40912</v>
      </c>
      <c r="D160" s="72">
        <v>41277</v>
      </c>
      <c r="E160" s="73">
        <v>8.9999999999999993E-3</v>
      </c>
      <c r="F160" s="74">
        <v>1630</v>
      </c>
      <c r="G160" s="75"/>
      <c r="H160" s="74">
        <v>1042</v>
      </c>
      <c r="I160" s="73">
        <v>0.63926380368098157</v>
      </c>
    </row>
    <row r="161" spans="1:9" x14ac:dyDescent="0.25">
      <c r="A161" s="76" t="s">
        <v>531</v>
      </c>
      <c r="B161" s="76" t="s">
        <v>175</v>
      </c>
      <c r="C161" s="77">
        <v>41179</v>
      </c>
      <c r="D161" s="78">
        <v>41364</v>
      </c>
      <c r="E161" s="79">
        <v>8.9999999999999993E-3</v>
      </c>
      <c r="F161" s="80">
        <v>59132</v>
      </c>
      <c r="G161" s="81"/>
      <c r="H161" s="80">
        <v>37701</v>
      </c>
      <c r="I161" s="79">
        <f>H161/F161</f>
        <v>0.63757356422918221</v>
      </c>
    </row>
    <row r="162" spans="1:9" x14ac:dyDescent="0.25">
      <c r="A162" s="76" t="s">
        <v>630</v>
      </c>
      <c r="B162" s="76" t="s">
        <v>634</v>
      </c>
      <c r="C162" s="77">
        <v>41101</v>
      </c>
      <c r="D162" s="78">
        <v>41274</v>
      </c>
      <c r="E162" s="79">
        <v>8.9999999999999993E-3</v>
      </c>
      <c r="F162" s="80">
        <v>55101</v>
      </c>
      <c r="G162" s="81"/>
      <c r="H162" s="80">
        <v>35060.959999999999</v>
      </c>
      <c r="I162" s="79">
        <f>H162/F162</f>
        <v>0.63630351536269758</v>
      </c>
    </row>
    <row r="163" spans="1:9" x14ac:dyDescent="0.25">
      <c r="A163" s="76" t="s">
        <v>643</v>
      </c>
      <c r="B163" s="76" t="s">
        <v>117</v>
      </c>
      <c r="C163" s="77">
        <v>40950</v>
      </c>
      <c r="D163" s="78">
        <v>41274</v>
      </c>
      <c r="E163" s="79">
        <v>4.4999999999999997E-3</v>
      </c>
      <c r="F163" s="80">
        <v>45626</v>
      </c>
      <c r="G163" s="81"/>
      <c r="H163" s="80">
        <v>28970</v>
      </c>
      <c r="I163" s="79">
        <f>H163/F163</f>
        <v>0.63494498750712314</v>
      </c>
    </row>
    <row r="164" spans="1:9" x14ac:dyDescent="0.25">
      <c r="A164" s="76" t="s">
        <v>674</v>
      </c>
      <c r="B164" s="76" t="s">
        <v>23</v>
      </c>
      <c r="C164" s="77">
        <v>40920</v>
      </c>
      <c r="D164" s="78">
        <v>41274</v>
      </c>
      <c r="E164" s="79">
        <v>0.22500000000000001</v>
      </c>
      <c r="F164" s="80">
        <v>595479</v>
      </c>
      <c r="G164" s="81"/>
      <c r="H164" s="80">
        <v>377649.4</v>
      </c>
      <c r="I164" s="79">
        <f>H164/F164</f>
        <v>0.63419432087445571</v>
      </c>
    </row>
    <row r="165" spans="1:9" x14ac:dyDescent="0.25">
      <c r="A165" s="76" t="s">
        <v>317</v>
      </c>
      <c r="B165" s="76" t="s">
        <v>366</v>
      </c>
      <c r="C165" s="77">
        <v>41183</v>
      </c>
      <c r="D165" s="78">
        <v>41547</v>
      </c>
      <c r="E165" s="79">
        <v>0.27</v>
      </c>
      <c r="F165" s="80"/>
      <c r="G165" s="81">
        <v>433417.73</v>
      </c>
      <c r="H165" s="80">
        <v>274753.02</v>
      </c>
      <c r="I165" s="79">
        <f>H165/G165</f>
        <v>0.63392196715164384</v>
      </c>
    </row>
    <row r="166" spans="1:9" x14ac:dyDescent="0.25">
      <c r="A166" s="76" t="s">
        <v>317</v>
      </c>
      <c r="B166" s="76" t="s">
        <v>366</v>
      </c>
      <c r="C166" s="77">
        <v>41183</v>
      </c>
      <c r="D166" s="78">
        <v>41547</v>
      </c>
      <c r="E166" s="79">
        <v>0.27</v>
      </c>
      <c r="F166" s="80">
        <v>7378443.5099999998</v>
      </c>
      <c r="G166" s="81"/>
      <c r="H166" s="80">
        <v>4677357.3600000003</v>
      </c>
      <c r="I166" s="79">
        <f>H166/F166</f>
        <v>0.63392195842670351</v>
      </c>
    </row>
    <row r="167" spans="1:9" x14ac:dyDescent="0.25">
      <c r="A167" s="76" t="s">
        <v>594</v>
      </c>
      <c r="B167" s="76" t="s">
        <v>596</v>
      </c>
      <c r="C167" s="77">
        <v>40777</v>
      </c>
      <c r="D167" s="78">
        <v>41029</v>
      </c>
      <c r="E167" s="79">
        <v>0.39600000000000002</v>
      </c>
      <c r="F167" s="80"/>
      <c r="G167" s="81">
        <v>38820.400000000001</v>
      </c>
      <c r="H167" s="80">
        <v>24585.22</v>
      </c>
      <c r="I167" s="79">
        <f>H167/G167</f>
        <v>0.63330671502612035</v>
      </c>
    </row>
    <row r="168" spans="1:9" x14ac:dyDescent="0.25">
      <c r="A168" s="76" t="s">
        <v>594</v>
      </c>
      <c r="B168" s="76" t="s">
        <v>596</v>
      </c>
      <c r="C168" s="77">
        <v>40777</v>
      </c>
      <c r="D168" s="78">
        <v>41029</v>
      </c>
      <c r="E168" s="79">
        <v>0.39600000000000002</v>
      </c>
      <c r="F168" s="80">
        <v>27167.759999999998</v>
      </c>
      <c r="G168" s="81"/>
      <c r="H168" s="80">
        <v>17203.13</v>
      </c>
      <c r="I168" s="79">
        <f>H168/F168</f>
        <v>0.63321856494609796</v>
      </c>
    </row>
    <row r="169" spans="1:9" x14ac:dyDescent="0.25">
      <c r="A169" s="76" t="s">
        <v>317</v>
      </c>
      <c r="B169" s="76" t="s">
        <v>342</v>
      </c>
      <c r="C169" s="77">
        <v>40830</v>
      </c>
      <c r="D169" s="78">
        <v>41121</v>
      </c>
      <c r="E169" s="79">
        <v>0</v>
      </c>
      <c r="F169" s="80"/>
      <c r="G169" s="81">
        <v>6513</v>
      </c>
      <c r="H169" s="80">
        <v>4124.03</v>
      </c>
      <c r="I169" s="79">
        <f>H169/G169</f>
        <v>0.63319975433747888</v>
      </c>
    </row>
    <row r="170" spans="1:9" x14ac:dyDescent="0.25">
      <c r="A170" s="76" t="s">
        <v>317</v>
      </c>
      <c r="B170" s="76" t="s">
        <v>342</v>
      </c>
      <c r="C170" s="77">
        <v>40830</v>
      </c>
      <c r="D170" s="78">
        <v>41121</v>
      </c>
      <c r="E170" s="79">
        <v>0</v>
      </c>
      <c r="F170" s="80">
        <v>198365.13</v>
      </c>
      <c r="G170" s="81"/>
      <c r="H170" s="80">
        <v>125604.68</v>
      </c>
      <c r="I170" s="79">
        <f>H170/F170</f>
        <v>0.63319939346194565</v>
      </c>
    </row>
    <row r="171" spans="1:9" x14ac:dyDescent="0.25">
      <c r="A171" s="76" t="s">
        <v>549</v>
      </c>
      <c r="B171" s="76" t="s">
        <v>552</v>
      </c>
      <c r="C171" s="77">
        <v>41024</v>
      </c>
      <c r="D171" s="78">
        <v>41388</v>
      </c>
      <c r="E171" s="79">
        <v>0.36</v>
      </c>
      <c r="F171" s="80">
        <v>43492</v>
      </c>
      <c r="G171" s="88"/>
      <c r="H171" s="80">
        <v>26975.200000000001</v>
      </c>
      <c r="I171" s="79">
        <f>H171/F171</f>
        <v>0.62023360618044698</v>
      </c>
    </row>
    <row r="172" spans="1:9" x14ac:dyDescent="0.25">
      <c r="A172" s="70" t="s">
        <v>20</v>
      </c>
      <c r="B172" s="70" t="s">
        <v>32</v>
      </c>
      <c r="C172" s="71">
        <v>40817</v>
      </c>
      <c r="D172" s="72">
        <v>41182</v>
      </c>
      <c r="E172" s="73">
        <v>0</v>
      </c>
      <c r="F172" s="74">
        <v>281090.36</v>
      </c>
      <c r="G172" s="75"/>
      <c r="H172" s="74">
        <v>6958.64</v>
      </c>
      <c r="I172" s="73">
        <v>0.61982951357032789</v>
      </c>
    </row>
    <row r="173" spans="1:9" x14ac:dyDescent="0.25">
      <c r="A173" s="70" t="s">
        <v>20</v>
      </c>
      <c r="B173" s="70" t="s">
        <v>31</v>
      </c>
      <c r="C173" s="71">
        <v>40787</v>
      </c>
      <c r="D173" s="72">
        <v>41090</v>
      </c>
      <c r="E173" s="73">
        <v>0</v>
      </c>
      <c r="F173" s="74"/>
      <c r="G173" s="75">
        <v>14.5</v>
      </c>
      <c r="H173" s="74">
        <v>174228.1</v>
      </c>
      <c r="I173" s="73">
        <v>0.61982950962814953</v>
      </c>
    </row>
    <row r="174" spans="1:9" x14ac:dyDescent="0.25">
      <c r="A174" s="76" t="s">
        <v>531</v>
      </c>
      <c r="B174" s="76" t="s">
        <v>23</v>
      </c>
      <c r="C174" s="77">
        <v>40760</v>
      </c>
      <c r="D174" s="78">
        <v>41090</v>
      </c>
      <c r="E174" s="79">
        <v>8.9999999999999993E-3</v>
      </c>
      <c r="F174" s="80">
        <v>73705</v>
      </c>
      <c r="G174" s="81"/>
      <c r="H174" s="80">
        <v>45572</v>
      </c>
      <c r="I174" s="79">
        <f>H174/F174</f>
        <v>0.61830269316871311</v>
      </c>
    </row>
    <row r="175" spans="1:9" ht="28.5" x14ac:dyDescent="0.25">
      <c r="A175" s="70" t="s">
        <v>101</v>
      </c>
      <c r="B175" s="70" t="s">
        <v>111</v>
      </c>
      <c r="C175" s="71">
        <v>41243</v>
      </c>
      <c r="D175" s="72">
        <v>41274</v>
      </c>
      <c r="E175" s="73">
        <v>1.35E-2</v>
      </c>
      <c r="F175" s="74">
        <v>63304.22</v>
      </c>
      <c r="G175" s="75"/>
      <c r="H175" s="74">
        <v>39057.620000000003</v>
      </c>
      <c r="I175" s="73">
        <v>0.61698288044620098</v>
      </c>
    </row>
    <row r="176" spans="1:9" ht="28.5" x14ac:dyDescent="0.25">
      <c r="A176" s="70" t="s">
        <v>101</v>
      </c>
      <c r="B176" s="70" t="s">
        <v>111</v>
      </c>
      <c r="C176" s="71">
        <v>41243</v>
      </c>
      <c r="D176" s="72">
        <v>41274</v>
      </c>
      <c r="E176" s="73">
        <v>1.35E-2</v>
      </c>
      <c r="F176" s="74"/>
      <c r="G176" s="75">
        <v>1962.43</v>
      </c>
      <c r="H176" s="74">
        <v>1210.78</v>
      </c>
      <c r="I176" s="73">
        <v>0.6169799687122598</v>
      </c>
    </row>
    <row r="177" spans="1:9" x14ac:dyDescent="0.25">
      <c r="A177" s="76" t="s">
        <v>583</v>
      </c>
      <c r="B177" s="76" t="s">
        <v>586</v>
      </c>
      <c r="C177" s="77">
        <v>40544</v>
      </c>
      <c r="D177" s="78">
        <v>40954</v>
      </c>
      <c r="E177" s="79">
        <v>0.09</v>
      </c>
      <c r="F177" s="80"/>
      <c r="G177" s="81">
        <v>18700</v>
      </c>
      <c r="H177" s="80">
        <v>11500</v>
      </c>
      <c r="I177" s="79">
        <f>H177/G177</f>
        <v>0.61497326203208558</v>
      </c>
    </row>
    <row r="178" spans="1:9" x14ac:dyDescent="0.25">
      <c r="A178" s="70" t="s">
        <v>171</v>
      </c>
      <c r="B178" s="70" t="s">
        <v>173</v>
      </c>
      <c r="C178" s="71">
        <v>40632</v>
      </c>
      <c r="D178" s="72">
        <v>40981</v>
      </c>
      <c r="E178" s="73">
        <v>1.7999999999999999E-2</v>
      </c>
      <c r="F178" s="74">
        <v>106710</v>
      </c>
      <c r="G178" s="75"/>
      <c r="H178" s="74">
        <v>65242.720000000001</v>
      </c>
      <c r="I178" s="73">
        <v>0.61140211788960741</v>
      </c>
    </row>
    <row r="179" spans="1:9" x14ac:dyDescent="0.25">
      <c r="A179" s="76" t="s">
        <v>643</v>
      </c>
      <c r="B179" s="76" t="s">
        <v>330</v>
      </c>
      <c r="C179" s="77">
        <v>40956</v>
      </c>
      <c r="D179" s="78">
        <v>41321</v>
      </c>
      <c r="E179" s="79">
        <v>4.4999999999999997E-3</v>
      </c>
      <c r="F179" s="80">
        <v>227868.03</v>
      </c>
      <c r="G179" s="81"/>
      <c r="H179" s="80">
        <v>139193.13</v>
      </c>
      <c r="I179" s="79">
        <f>H179/F179</f>
        <v>0.61084975369295991</v>
      </c>
    </row>
    <row r="180" spans="1:9" x14ac:dyDescent="0.25">
      <c r="A180" s="76" t="s">
        <v>643</v>
      </c>
      <c r="B180" s="76" t="s">
        <v>174</v>
      </c>
      <c r="C180" s="77">
        <v>40583</v>
      </c>
      <c r="D180" s="78">
        <v>40947</v>
      </c>
      <c r="E180" s="79">
        <v>0</v>
      </c>
      <c r="F180" s="80">
        <v>1495117.97</v>
      </c>
      <c r="G180" s="81"/>
      <c r="H180" s="80">
        <v>909649.32</v>
      </c>
      <c r="I180" s="79">
        <f>H180/F180</f>
        <v>0.60841307391951149</v>
      </c>
    </row>
    <row r="181" spans="1:9" x14ac:dyDescent="0.25">
      <c r="A181" s="76" t="s">
        <v>171</v>
      </c>
      <c r="B181" s="76" t="s">
        <v>190</v>
      </c>
      <c r="C181" s="77">
        <v>40848</v>
      </c>
      <c r="D181" s="78">
        <v>41213</v>
      </c>
      <c r="E181" s="79">
        <v>1.7999999999999999E-2</v>
      </c>
      <c r="F181" s="80">
        <v>394773</v>
      </c>
      <c r="G181" s="81"/>
      <c r="H181" s="80">
        <v>239069</v>
      </c>
      <c r="I181" s="79">
        <f>H181/F181</f>
        <v>0.60558599498952559</v>
      </c>
    </row>
    <row r="182" spans="1:9" x14ac:dyDescent="0.25">
      <c r="A182" s="70" t="s">
        <v>78</v>
      </c>
      <c r="B182" s="70" t="s">
        <v>79</v>
      </c>
      <c r="C182" s="71">
        <v>40878</v>
      </c>
      <c r="D182" s="72">
        <v>41243</v>
      </c>
      <c r="E182" s="73">
        <v>0.54</v>
      </c>
      <c r="F182" s="74">
        <v>1196386.3999999999</v>
      </c>
      <c r="G182" s="75"/>
      <c r="H182" s="74">
        <v>719846.72</v>
      </c>
      <c r="I182" s="73">
        <v>0.60168413816807009</v>
      </c>
    </row>
    <row r="183" spans="1:9" x14ac:dyDescent="0.25">
      <c r="A183" s="70" t="s">
        <v>80</v>
      </c>
      <c r="B183" s="70" t="s">
        <v>81</v>
      </c>
      <c r="C183" s="71">
        <v>40857</v>
      </c>
      <c r="D183" s="72">
        <v>41222</v>
      </c>
      <c r="E183" s="73">
        <v>8.9999999999999993E-3</v>
      </c>
      <c r="F183" s="74">
        <v>150681</v>
      </c>
      <c r="G183" s="75"/>
      <c r="H183" s="74">
        <v>90559</v>
      </c>
      <c r="I183" s="73">
        <v>0.60099813513316214</v>
      </c>
    </row>
    <row r="184" spans="1:9" x14ac:dyDescent="0.25">
      <c r="A184" s="70" t="s">
        <v>71</v>
      </c>
      <c r="B184" s="70" t="s">
        <v>72</v>
      </c>
      <c r="C184" s="71">
        <v>41177</v>
      </c>
      <c r="D184" s="72">
        <v>41274</v>
      </c>
      <c r="E184" s="73">
        <v>0.54</v>
      </c>
      <c r="F184" s="74">
        <v>47249</v>
      </c>
      <c r="G184" s="75"/>
      <c r="H184" s="74">
        <v>28390.05</v>
      </c>
      <c r="I184" s="73">
        <v>0.60086033566847974</v>
      </c>
    </row>
    <row r="185" spans="1:9" x14ac:dyDescent="0.25">
      <c r="A185" s="70" t="s">
        <v>71</v>
      </c>
      <c r="B185" s="70" t="s">
        <v>72</v>
      </c>
      <c r="C185" s="71">
        <v>41177</v>
      </c>
      <c r="D185" s="72">
        <v>41274</v>
      </c>
      <c r="E185" s="73">
        <v>0.54</v>
      </c>
      <c r="F185" s="74"/>
      <c r="G185" s="75">
        <v>47249</v>
      </c>
      <c r="H185" s="74">
        <v>28390.05</v>
      </c>
      <c r="I185" s="73">
        <v>0.60086033566847974</v>
      </c>
    </row>
    <row r="186" spans="1:9" x14ac:dyDescent="0.25">
      <c r="A186" s="76" t="s">
        <v>549</v>
      </c>
      <c r="B186" s="76" t="s">
        <v>552</v>
      </c>
      <c r="C186" s="77">
        <v>40658</v>
      </c>
      <c r="D186" s="78">
        <v>41023</v>
      </c>
      <c r="E186" s="79">
        <v>0.36</v>
      </c>
      <c r="F186" s="80">
        <v>39128.14</v>
      </c>
      <c r="G186" s="88"/>
      <c r="H186" s="80">
        <v>23501.94</v>
      </c>
      <c r="I186" s="79">
        <f>H186/F186</f>
        <v>0.60064035755341294</v>
      </c>
    </row>
    <row r="187" spans="1:9" x14ac:dyDescent="0.25">
      <c r="A187" s="76" t="s">
        <v>263</v>
      </c>
      <c r="B187" s="76" t="s">
        <v>22</v>
      </c>
      <c r="C187" s="77">
        <v>40772</v>
      </c>
      <c r="D187" s="78">
        <v>41137</v>
      </c>
      <c r="E187" s="79">
        <v>8.9999999999999993E-3</v>
      </c>
      <c r="F187" s="80"/>
      <c r="G187" s="81">
        <v>2439</v>
      </c>
      <c r="H187" s="80">
        <v>1463.4</v>
      </c>
      <c r="I187" s="79">
        <f>H187/G187</f>
        <v>0.60000000000000009</v>
      </c>
    </row>
    <row r="188" spans="1:9" x14ac:dyDescent="0.25">
      <c r="A188" s="76" t="s">
        <v>263</v>
      </c>
      <c r="B188" s="76" t="s">
        <v>29</v>
      </c>
      <c r="C188" s="77">
        <v>40766</v>
      </c>
      <c r="D188" s="78">
        <v>41121</v>
      </c>
      <c r="E188" s="79">
        <v>8.9999999999999993E-3</v>
      </c>
      <c r="F188" s="80"/>
      <c r="G188" s="81">
        <v>16691.5</v>
      </c>
      <c r="H188" s="80">
        <v>10014.9</v>
      </c>
      <c r="I188" s="79">
        <f>H188/G188</f>
        <v>0.6</v>
      </c>
    </row>
    <row r="189" spans="1:9" x14ac:dyDescent="0.25">
      <c r="A189" s="76" t="s">
        <v>643</v>
      </c>
      <c r="B189" s="76" t="s">
        <v>174</v>
      </c>
      <c r="C189" s="77">
        <v>40583</v>
      </c>
      <c r="D189" s="78">
        <v>40947</v>
      </c>
      <c r="E189" s="79">
        <v>0</v>
      </c>
      <c r="F189" s="80"/>
      <c r="G189" s="81">
        <v>58943.1</v>
      </c>
      <c r="H189" s="80">
        <v>35318.449999999997</v>
      </c>
      <c r="I189" s="79">
        <f>H189/G189</f>
        <v>0.59919566497181176</v>
      </c>
    </row>
    <row r="190" spans="1:9" x14ac:dyDescent="0.25">
      <c r="A190" s="70" t="s">
        <v>113</v>
      </c>
      <c r="B190" s="70" t="s">
        <v>31</v>
      </c>
      <c r="C190" s="71">
        <v>40612</v>
      </c>
      <c r="D190" s="72">
        <v>40939</v>
      </c>
      <c r="E190" s="73">
        <v>8.9999999999999993E-3</v>
      </c>
      <c r="F190" s="74"/>
      <c r="G190" s="75">
        <v>7187</v>
      </c>
      <c r="H190" s="74">
        <v>4306</v>
      </c>
      <c r="I190" s="73">
        <v>0.59913733129261171</v>
      </c>
    </row>
    <row r="191" spans="1:9" x14ac:dyDescent="0.25">
      <c r="A191" s="70" t="s">
        <v>137</v>
      </c>
      <c r="B191" s="70" t="s">
        <v>138</v>
      </c>
      <c r="C191" s="71">
        <v>40818</v>
      </c>
      <c r="D191" s="72">
        <v>41181</v>
      </c>
      <c r="E191" s="73">
        <v>0.45900000000000002</v>
      </c>
      <c r="F191" s="74">
        <v>154066</v>
      </c>
      <c r="G191" s="75"/>
      <c r="H191" s="74">
        <v>92268.5</v>
      </c>
      <c r="I191" s="73">
        <v>0.59888943699453479</v>
      </c>
    </row>
    <row r="192" spans="1:9" x14ac:dyDescent="0.25">
      <c r="A192" s="70" t="s">
        <v>113</v>
      </c>
      <c r="B192" s="70" t="s">
        <v>31</v>
      </c>
      <c r="C192" s="71">
        <v>40612</v>
      </c>
      <c r="D192" s="72">
        <v>40939</v>
      </c>
      <c r="E192" s="73">
        <v>8.9999999999999993E-3</v>
      </c>
      <c r="F192" s="74">
        <v>266209</v>
      </c>
      <c r="G192" s="75"/>
      <c r="H192" s="74">
        <v>159111.79999999999</v>
      </c>
      <c r="I192" s="73">
        <v>0.59769504411946994</v>
      </c>
    </row>
    <row r="193" spans="1:9" x14ac:dyDescent="0.25">
      <c r="A193" s="76" t="s">
        <v>239</v>
      </c>
      <c r="B193" s="76" t="s">
        <v>241</v>
      </c>
      <c r="C193" s="77">
        <v>41003</v>
      </c>
      <c r="D193" s="78">
        <v>41364</v>
      </c>
      <c r="E193" s="79">
        <v>0</v>
      </c>
      <c r="F193" s="80"/>
      <c r="G193" s="81">
        <v>170</v>
      </c>
      <c r="H193" s="80">
        <v>100.7</v>
      </c>
      <c r="I193" s="79">
        <f>H193/G193</f>
        <v>0.59235294117647064</v>
      </c>
    </row>
    <row r="194" spans="1:9" x14ac:dyDescent="0.25">
      <c r="A194" s="70" t="s">
        <v>14</v>
      </c>
      <c r="B194" s="70" t="s">
        <v>15</v>
      </c>
      <c r="C194" s="71">
        <v>40969</v>
      </c>
      <c r="D194" s="72">
        <v>41236</v>
      </c>
      <c r="E194" s="73">
        <v>0.5</v>
      </c>
      <c r="F194" s="74">
        <v>1023042.06</v>
      </c>
      <c r="G194" s="75"/>
      <c r="H194" s="74">
        <v>605042.96</v>
      </c>
      <c r="I194" s="73">
        <v>0.59141552792071905</v>
      </c>
    </row>
    <row r="195" spans="1:9" x14ac:dyDescent="0.25">
      <c r="A195" s="76" t="s">
        <v>674</v>
      </c>
      <c r="B195" s="76" t="s">
        <v>29</v>
      </c>
      <c r="C195" s="77">
        <v>40938</v>
      </c>
      <c r="D195" s="78">
        <v>41274</v>
      </c>
      <c r="E195" s="79">
        <v>0.24660000000000001</v>
      </c>
      <c r="F195" s="80">
        <v>292231.25</v>
      </c>
      <c r="G195" s="81"/>
      <c r="H195" s="80">
        <v>172747.53</v>
      </c>
      <c r="I195" s="79">
        <f>H195/F195</f>
        <v>0.59113298115790147</v>
      </c>
    </row>
    <row r="196" spans="1:9" x14ac:dyDescent="0.25">
      <c r="A196" s="70" t="s">
        <v>101</v>
      </c>
      <c r="B196" s="70" t="s">
        <v>31</v>
      </c>
      <c r="C196" s="71">
        <v>40940</v>
      </c>
      <c r="D196" s="72">
        <v>41305</v>
      </c>
      <c r="E196" s="73">
        <v>8.9999999999999993E-3</v>
      </c>
      <c r="F196" s="74"/>
      <c r="G196" s="75">
        <v>21131.14</v>
      </c>
      <c r="H196" s="74">
        <v>12463.89</v>
      </c>
      <c r="I196" s="73">
        <v>0.58983519109712013</v>
      </c>
    </row>
    <row r="197" spans="1:9" x14ac:dyDescent="0.25">
      <c r="A197" s="76" t="s">
        <v>239</v>
      </c>
      <c r="B197" s="76" t="s">
        <v>240</v>
      </c>
      <c r="C197" s="77">
        <v>40969</v>
      </c>
      <c r="D197" s="78">
        <v>41274</v>
      </c>
      <c r="E197" s="79">
        <v>0.09</v>
      </c>
      <c r="F197" s="80"/>
      <c r="G197" s="81">
        <v>64099</v>
      </c>
      <c r="H197" s="80">
        <v>37801</v>
      </c>
      <c r="I197" s="79">
        <f>H197/G197</f>
        <v>0.58972838889842272</v>
      </c>
    </row>
    <row r="198" spans="1:9" x14ac:dyDescent="0.25">
      <c r="A198" s="70" t="s">
        <v>101</v>
      </c>
      <c r="B198" s="70" t="s">
        <v>31</v>
      </c>
      <c r="C198" s="71">
        <v>40940</v>
      </c>
      <c r="D198" s="72">
        <v>41305</v>
      </c>
      <c r="E198" s="73">
        <v>8.9999999999999993E-3</v>
      </c>
      <c r="F198" s="74">
        <v>812736.46</v>
      </c>
      <c r="G198" s="75"/>
      <c r="H198" s="74">
        <v>479180.36</v>
      </c>
      <c r="I198" s="73">
        <v>0.58958885639263681</v>
      </c>
    </row>
    <row r="199" spans="1:9" x14ac:dyDescent="0.25">
      <c r="A199" s="76" t="s">
        <v>449</v>
      </c>
      <c r="B199" s="76" t="s">
        <v>453</v>
      </c>
      <c r="C199" s="77">
        <v>41030</v>
      </c>
      <c r="D199" s="78">
        <v>41394</v>
      </c>
      <c r="E199" s="79">
        <v>0</v>
      </c>
      <c r="F199" s="80">
        <v>43382</v>
      </c>
      <c r="G199" s="81"/>
      <c r="H199" s="80">
        <v>25455</v>
      </c>
      <c r="I199" s="79">
        <f>H199/F199</f>
        <v>0.58676409570789734</v>
      </c>
    </row>
    <row r="200" spans="1:9" x14ac:dyDescent="0.25">
      <c r="A200" s="76" t="s">
        <v>594</v>
      </c>
      <c r="B200" s="76" t="s">
        <v>610</v>
      </c>
      <c r="C200" s="77">
        <v>41207</v>
      </c>
      <c r="D200" s="78">
        <v>41455</v>
      </c>
      <c r="E200" s="79">
        <v>0.18</v>
      </c>
      <c r="F200" s="80"/>
      <c r="G200" s="81">
        <v>3610</v>
      </c>
      <c r="H200" s="80">
        <v>2113.25</v>
      </c>
      <c r="I200" s="79">
        <f>H200/G200</f>
        <v>0.58538781163434905</v>
      </c>
    </row>
    <row r="201" spans="1:9" x14ac:dyDescent="0.25">
      <c r="A201" s="76" t="s">
        <v>594</v>
      </c>
      <c r="B201" s="76" t="s">
        <v>610</v>
      </c>
      <c r="C201" s="77">
        <v>41207</v>
      </c>
      <c r="D201" s="78">
        <v>41455</v>
      </c>
      <c r="E201" s="79">
        <v>0.18</v>
      </c>
      <c r="F201" s="80">
        <v>583761.03</v>
      </c>
      <c r="G201" s="81"/>
      <c r="H201" s="80">
        <v>341725.42</v>
      </c>
      <c r="I201" s="79">
        <f>H201/F201</f>
        <v>0.58538580418771691</v>
      </c>
    </row>
    <row r="202" spans="1:9" x14ac:dyDescent="0.25">
      <c r="A202" s="70" t="s">
        <v>101</v>
      </c>
      <c r="B202" s="70" t="s">
        <v>102</v>
      </c>
      <c r="C202" s="71">
        <v>40725</v>
      </c>
      <c r="D202" s="72">
        <v>41090</v>
      </c>
      <c r="E202" s="73">
        <v>1.35E-2</v>
      </c>
      <c r="F202" s="74"/>
      <c r="G202" s="75">
        <v>12093.3</v>
      </c>
      <c r="H202" s="74">
        <v>7077.8</v>
      </c>
      <c r="I202" s="73">
        <v>0.58526622179223209</v>
      </c>
    </row>
    <row r="203" spans="1:9" x14ac:dyDescent="0.25">
      <c r="A203" s="70" t="s">
        <v>101</v>
      </c>
      <c r="B203" s="70" t="s">
        <v>102</v>
      </c>
      <c r="C203" s="71">
        <v>40725</v>
      </c>
      <c r="D203" s="72">
        <v>41090</v>
      </c>
      <c r="E203" s="73">
        <v>1.35E-2</v>
      </c>
      <c r="F203" s="74">
        <v>338748</v>
      </c>
      <c r="G203" s="75"/>
      <c r="H203" s="74">
        <v>198257.61</v>
      </c>
      <c r="I203" s="73">
        <v>0.58526577278685032</v>
      </c>
    </row>
    <row r="204" spans="1:9" x14ac:dyDescent="0.25">
      <c r="A204" s="70" t="s">
        <v>14</v>
      </c>
      <c r="B204" s="70" t="s">
        <v>15</v>
      </c>
      <c r="C204" s="71">
        <v>40969</v>
      </c>
      <c r="D204" s="72">
        <v>41236</v>
      </c>
      <c r="E204" s="73">
        <v>0.5</v>
      </c>
      <c r="F204" s="74"/>
      <c r="G204" s="75">
        <v>24474</v>
      </c>
      <c r="H204" s="74">
        <v>14255.58</v>
      </c>
      <c r="I204" s="73">
        <v>0.58247854866388815</v>
      </c>
    </row>
    <row r="205" spans="1:9" x14ac:dyDescent="0.25">
      <c r="A205" s="76" t="s">
        <v>449</v>
      </c>
      <c r="B205" s="76" t="s">
        <v>454</v>
      </c>
      <c r="C205" s="77">
        <v>40695</v>
      </c>
      <c r="D205" s="78">
        <v>41059</v>
      </c>
      <c r="E205" s="79">
        <v>0</v>
      </c>
      <c r="F205" s="80">
        <v>32071</v>
      </c>
      <c r="G205" s="81"/>
      <c r="H205" s="80">
        <v>18634</v>
      </c>
      <c r="I205" s="79">
        <f>H205/F205</f>
        <v>0.5810233544323532</v>
      </c>
    </row>
    <row r="206" spans="1:9" x14ac:dyDescent="0.25">
      <c r="A206" s="76" t="s">
        <v>578</v>
      </c>
      <c r="B206" s="76" t="s">
        <v>115</v>
      </c>
      <c r="C206" s="77">
        <v>40923</v>
      </c>
      <c r="D206" s="78">
        <v>40939</v>
      </c>
      <c r="E206" s="79">
        <v>0</v>
      </c>
      <c r="F206" s="80">
        <v>316088.33</v>
      </c>
      <c r="G206" s="81"/>
      <c r="H206" s="80">
        <v>183481.82</v>
      </c>
      <c r="I206" s="79">
        <f>H206/F206</f>
        <v>0.58047641303302777</v>
      </c>
    </row>
    <row r="207" spans="1:9" x14ac:dyDescent="0.25">
      <c r="A207" s="76" t="s">
        <v>317</v>
      </c>
      <c r="B207" s="76" t="s">
        <v>364</v>
      </c>
      <c r="C207" s="77">
        <v>41122</v>
      </c>
      <c r="D207" s="78">
        <v>41486</v>
      </c>
      <c r="E207" s="79">
        <v>8.9999999999999998E-4</v>
      </c>
      <c r="F207" s="80">
        <v>286809</v>
      </c>
      <c r="G207" s="81"/>
      <c r="H207" s="80">
        <v>165594.75</v>
      </c>
      <c r="I207" s="79">
        <f>H207/F207</f>
        <v>0.57736943401357699</v>
      </c>
    </row>
    <row r="208" spans="1:9" x14ac:dyDescent="0.25">
      <c r="A208" s="76" t="s">
        <v>317</v>
      </c>
      <c r="B208" s="76" t="s">
        <v>364</v>
      </c>
      <c r="C208" s="77">
        <v>41122</v>
      </c>
      <c r="D208" s="78">
        <v>41486</v>
      </c>
      <c r="E208" s="79">
        <v>8.9999999999999998E-4</v>
      </c>
      <c r="F208" s="80"/>
      <c r="G208" s="81">
        <v>9321</v>
      </c>
      <c r="H208" s="80">
        <v>5381.66</v>
      </c>
      <c r="I208" s="79">
        <f>H208/G208</f>
        <v>0.57736938096770729</v>
      </c>
    </row>
    <row r="209" spans="1:9" x14ac:dyDescent="0.25">
      <c r="A209" s="76" t="s">
        <v>613</v>
      </c>
      <c r="B209" s="76" t="s">
        <v>183</v>
      </c>
      <c r="C209" s="77">
        <v>41150</v>
      </c>
      <c r="D209" s="78">
        <v>41469</v>
      </c>
      <c r="E209" s="79">
        <v>1.7999999999999999E-2</v>
      </c>
      <c r="F209" s="80"/>
      <c r="G209" s="81">
        <v>13406.22</v>
      </c>
      <c r="H209" s="80">
        <v>7717.29</v>
      </c>
      <c r="I209" s="79">
        <f>H209/G209</f>
        <v>0.57564995949641284</v>
      </c>
    </row>
    <row r="210" spans="1:9" x14ac:dyDescent="0.25">
      <c r="A210" s="76" t="s">
        <v>317</v>
      </c>
      <c r="B210" s="76" t="s">
        <v>203</v>
      </c>
      <c r="C210" s="77">
        <v>40919</v>
      </c>
      <c r="D210" s="78">
        <v>41213</v>
      </c>
      <c r="E210" s="79">
        <v>1.7999999999999999E-2</v>
      </c>
      <c r="F210" s="80"/>
      <c r="G210" s="81">
        <v>45</v>
      </c>
      <c r="H210" s="80">
        <v>25.85</v>
      </c>
      <c r="I210" s="79">
        <f>H210/G210</f>
        <v>0.57444444444444442</v>
      </c>
    </row>
    <row r="211" spans="1:9" x14ac:dyDescent="0.25">
      <c r="A211" s="76" t="s">
        <v>317</v>
      </c>
      <c r="B211" s="76" t="s">
        <v>203</v>
      </c>
      <c r="C211" s="77">
        <v>40919</v>
      </c>
      <c r="D211" s="78">
        <v>41213</v>
      </c>
      <c r="E211" s="79">
        <v>1.7999999999999999E-2</v>
      </c>
      <c r="F211" s="80">
        <v>8130</v>
      </c>
      <c r="G211" s="81"/>
      <c r="H211" s="80">
        <v>4669.6499999999996</v>
      </c>
      <c r="I211" s="79">
        <f>H211/F211</f>
        <v>0.57437269372693722</v>
      </c>
    </row>
    <row r="212" spans="1:9" x14ac:dyDescent="0.25">
      <c r="A212" s="76" t="s">
        <v>630</v>
      </c>
      <c r="B212" s="76" t="s">
        <v>632</v>
      </c>
      <c r="C212" s="77">
        <v>40917</v>
      </c>
      <c r="D212" s="78">
        <v>41274</v>
      </c>
      <c r="E212" s="79">
        <v>8.9999999999999993E-3</v>
      </c>
      <c r="F212" s="80">
        <v>169671.72</v>
      </c>
      <c r="G212" s="81"/>
      <c r="H212" s="80">
        <v>97436.74</v>
      </c>
      <c r="I212" s="79">
        <f>H212/F212</f>
        <v>0.57426623599972937</v>
      </c>
    </row>
    <row r="213" spans="1:9" x14ac:dyDescent="0.25">
      <c r="A213" s="76" t="s">
        <v>674</v>
      </c>
      <c r="B213" s="76" t="s">
        <v>29</v>
      </c>
      <c r="C213" s="77">
        <v>40938</v>
      </c>
      <c r="D213" s="78">
        <v>41274</v>
      </c>
      <c r="E213" s="79">
        <v>0.24660000000000001</v>
      </c>
      <c r="F213" s="80"/>
      <c r="G213" s="81">
        <v>8219</v>
      </c>
      <c r="H213" s="80">
        <v>4708.57</v>
      </c>
      <c r="I213" s="79">
        <f>H213/G213</f>
        <v>0.57288842924930039</v>
      </c>
    </row>
    <row r="214" spans="1:9" x14ac:dyDescent="0.25">
      <c r="A214" s="76" t="s">
        <v>641</v>
      </c>
      <c r="B214" s="76" t="s">
        <v>642</v>
      </c>
      <c r="C214" s="77">
        <v>40653</v>
      </c>
      <c r="D214" s="78">
        <v>40967</v>
      </c>
      <c r="E214" s="79">
        <v>8.9999999999999993E-3</v>
      </c>
      <c r="F214" s="80">
        <v>21972</v>
      </c>
      <c r="G214" s="81"/>
      <c r="H214" s="80">
        <v>12564.9</v>
      </c>
      <c r="I214" s="79">
        <f>H214/F214</f>
        <v>0.57185963954123431</v>
      </c>
    </row>
    <row r="215" spans="1:9" x14ac:dyDescent="0.25">
      <c r="A215" s="76" t="s">
        <v>641</v>
      </c>
      <c r="B215" s="76" t="s">
        <v>642</v>
      </c>
      <c r="C215" s="77">
        <v>40653</v>
      </c>
      <c r="D215" s="78">
        <v>40967</v>
      </c>
      <c r="E215" s="79">
        <v>8.9999999999999993E-3</v>
      </c>
      <c r="F215" s="80"/>
      <c r="G215" s="81">
        <v>1099</v>
      </c>
      <c r="H215" s="80">
        <v>628.47</v>
      </c>
      <c r="I215" s="79">
        <f>H215/G215</f>
        <v>0.57185623293903554</v>
      </c>
    </row>
    <row r="216" spans="1:9" x14ac:dyDescent="0.25">
      <c r="A216" s="76" t="s">
        <v>317</v>
      </c>
      <c r="B216" s="76" t="s">
        <v>18</v>
      </c>
      <c r="C216" s="77">
        <v>40725</v>
      </c>
      <c r="D216" s="78">
        <v>41090</v>
      </c>
      <c r="E216" s="79">
        <v>0.4</v>
      </c>
      <c r="F216" s="80">
        <v>10447779.640000001</v>
      </c>
      <c r="G216" s="81"/>
      <c r="H216" s="80">
        <v>5974516.6399999997</v>
      </c>
      <c r="I216" s="79">
        <f>H216/F216</f>
        <v>0.57184558306782962</v>
      </c>
    </row>
    <row r="217" spans="1:9" x14ac:dyDescent="0.25">
      <c r="A217" s="76" t="s">
        <v>317</v>
      </c>
      <c r="B217" s="76" t="s">
        <v>18</v>
      </c>
      <c r="C217" s="77">
        <v>40725</v>
      </c>
      <c r="D217" s="78">
        <v>41090</v>
      </c>
      <c r="E217" s="79">
        <v>0.4</v>
      </c>
      <c r="F217" s="80"/>
      <c r="G217" s="81">
        <v>655983.94999999995</v>
      </c>
      <c r="H217" s="80">
        <v>375121.34</v>
      </c>
      <c r="I217" s="79">
        <f>H217/G217</f>
        <v>0.57184530200777028</v>
      </c>
    </row>
    <row r="218" spans="1:9" x14ac:dyDescent="0.25">
      <c r="A218" s="76" t="s">
        <v>594</v>
      </c>
      <c r="B218" s="76" t="s">
        <v>607</v>
      </c>
      <c r="C218" s="77">
        <v>41028</v>
      </c>
      <c r="D218" s="78">
        <v>41152</v>
      </c>
      <c r="E218" s="79">
        <v>0.57599999999999996</v>
      </c>
      <c r="F218" s="80">
        <v>26037.06</v>
      </c>
      <c r="G218" s="81"/>
      <c r="H218" s="80">
        <v>14872.89</v>
      </c>
      <c r="I218" s="79">
        <f>H218/F218</f>
        <v>0.57122002253710669</v>
      </c>
    </row>
    <row r="219" spans="1:9" x14ac:dyDescent="0.25">
      <c r="A219" s="76" t="s">
        <v>692</v>
      </c>
      <c r="B219" s="76" t="s">
        <v>694</v>
      </c>
      <c r="C219" s="77">
        <v>40909</v>
      </c>
      <c r="D219" s="78">
        <v>41274</v>
      </c>
      <c r="E219" s="79">
        <v>8.9999999999999993E-3</v>
      </c>
      <c r="F219" s="80">
        <v>331488</v>
      </c>
      <c r="G219" s="81"/>
      <c r="H219" s="80">
        <v>188881</v>
      </c>
      <c r="I219" s="79">
        <f>H219/F219</f>
        <v>0.56979739839752874</v>
      </c>
    </row>
    <row r="220" spans="1:9" x14ac:dyDescent="0.25">
      <c r="A220" s="76" t="s">
        <v>317</v>
      </c>
      <c r="B220" s="76" t="s">
        <v>318</v>
      </c>
      <c r="C220" s="77">
        <v>40611</v>
      </c>
      <c r="D220" s="78">
        <v>40931</v>
      </c>
      <c r="E220" s="79">
        <v>0</v>
      </c>
      <c r="F220" s="80"/>
      <c r="G220" s="81">
        <v>6870.02</v>
      </c>
      <c r="H220" s="80">
        <v>3907.44</v>
      </c>
      <c r="I220" s="79">
        <f>H220/G220</f>
        <v>0.5687669031531204</v>
      </c>
    </row>
    <row r="221" spans="1:9" x14ac:dyDescent="0.25">
      <c r="A221" s="76" t="s">
        <v>613</v>
      </c>
      <c r="B221" s="76" t="s">
        <v>617</v>
      </c>
      <c r="C221" s="77">
        <v>40752</v>
      </c>
      <c r="D221" s="78">
        <v>41117</v>
      </c>
      <c r="E221" s="79">
        <v>8.9999999999999993E-3</v>
      </c>
      <c r="F221" s="80">
        <v>360555</v>
      </c>
      <c r="G221" s="81"/>
      <c r="H221" s="80">
        <v>203963</v>
      </c>
      <c r="I221" s="79">
        <f>H221/F221</f>
        <v>0.56569178072693482</v>
      </c>
    </row>
    <row r="222" spans="1:9" x14ac:dyDescent="0.25">
      <c r="A222" s="76" t="s">
        <v>317</v>
      </c>
      <c r="B222" s="76" t="s">
        <v>360</v>
      </c>
      <c r="C222" s="77">
        <v>41177</v>
      </c>
      <c r="D222" s="78">
        <v>41486</v>
      </c>
      <c r="E222" s="79">
        <v>8.9999999999999998E-4</v>
      </c>
      <c r="F222" s="80"/>
      <c r="G222" s="81">
        <v>3273</v>
      </c>
      <c r="H222" s="80">
        <v>1846.77</v>
      </c>
      <c r="I222" s="79">
        <f>H222/G222</f>
        <v>0.56424381301558202</v>
      </c>
    </row>
    <row r="223" spans="1:9" x14ac:dyDescent="0.25">
      <c r="A223" s="76" t="s">
        <v>317</v>
      </c>
      <c r="B223" s="76" t="s">
        <v>360</v>
      </c>
      <c r="C223" s="77">
        <v>41177</v>
      </c>
      <c r="D223" s="78">
        <v>41486</v>
      </c>
      <c r="E223" s="79">
        <v>8.9999999999999998E-4</v>
      </c>
      <c r="F223" s="80">
        <v>78283.8</v>
      </c>
      <c r="G223" s="81"/>
      <c r="H223" s="80">
        <v>44171.12</v>
      </c>
      <c r="I223" s="79">
        <f>H223/F223</f>
        <v>0.56424343222991225</v>
      </c>
    </row>
    <row r="224" spans="1:9" x14ac:dyDescent="0.25">
      <c r="A224" s="76" t="s">
        <v>630</v>
      </c>
      <c r="B224" s="76" t="s">
        <v>634</v>
      </c>
      <c r="C224" s="77">
        <v>41101</v>
      </c>
      <c r="D224" s="78">
        <v>41274</v>
      </c>
      <c r="E224" s="79">
        <v>8.9999999999999993E-3</v>
      </c>
      <c r="F224" s="80"/>
      <c r="G224" s="81">
        <v>729</v>
      </c>
      <c r="H224" s="80">
        <v>410.18</v>
      </c>
      <c r="I224" s="79">
        <f>H224/G224</f>
        <v>0.56266117969821672</v>
      </c>
    </row>
    <row r="225" spans="1:9" x14ac:dyDescent="0.25">
      <c r="A225" s="76" t="s">
        <v>594</v>
      </c>
      <c r="B225" s="76" t="s">
        <v>607</v>
      </c>
      <c r="C225" s="77">
        <v>41028</v>
      </c>
      <c r="D225" s="78">
        <v>41152</v>
      </c>
      <c r="E225" s="79">
        <v>0.57599999999999996</v>
      </c>
      <c r="F225" s="80"/>
      <c r="G225" s="81">
        <v>1020.1</v>
      </c>
      <c r="H225" s="80">
        <v>573.53</v>
      </c>
      <c r="I225" s="79">
        <f>H225/G225</f>
        <v>0.56222919321635134</v>
      </c>
    </row>
    <row r="226" spans="1:9" x14ac:dyDescent="0.25">
      <c r="A226" s="76" t="s">
        <v>449</v>
      </c>
      <c r="B226" s="76" t="s">
        <v>465</v>
      </c>
      <c r="C226" s="77">
        <v>40909</v>
      </c>
      <c r="D226" s="78">
        <v>41274</v>
      </c>
      <c r="E226" s="79">
        <v>0</v>
      </c>
      <c r="F226" s="80">
        <v>259816</v>
      </c>
      <c r="G226" s="81"/>
      <c r="H226" s="80">
        <v>145854</v>
      </c>
      <c r="I226" s="79">
        <f>H226/F226</f>
        <v>0.5613742032823229</v>
      </c>
    </row>
    <row r="227" spans="1:9" x14ac:dyDescent="0.25">
      <c r="A227" s="76" t="s">
        <v>594</v>
      </c>
      <c r="B227" s="76" t="s">
        <v>607</v>
      </c>
      <c r="C227" s="77">
        <v>40662</v>
      </c>
      <c r="D227" s="78">
        <v>41028</v>
      </c>
      <c r="E227" s="79">
        <v>0.57599999999999996</v>
      </c>
      <c r="F227" s="91"/>
      <c r="G227" s="122">
        <v>85548.34</v>
      </c>
      <c r="H227" s="80">
        <v>47972.26</v>
      </c>
      <c r="I227" s="79">
        <f>H227/G227</f>
        <v>0.56076202063067504</v>
      </c>
    </row>
    <row r="228" spans="1:9" x14ac:dyDescent="0.25">
      <c r="A228" s="76" t="s">
        <v>594</v>
      </c>
      <c r="B228" s="76" t="s">
        <v>609</v>
      </c>
      <c r="C228" s="77">
        <v>41058</v>
      </c>
      <c r="D228" s="78">
        <v>41422</v>
      </c>
      <c r="E228" s="79">
        <v>0.36</v>
      </c>
      <c r="F228" s="80">
        <v>27225.43</v>
      </c>
      <c r="G228" s="81"/>
      <c r="H228" s="80">
        <v>15265.43</v>
      </c>
      <c r="I228" s="79">
        <f>H228/F228</f>
        <v>0.56070482633332142</v>
      </c>
    </row>
    <row r="229" spans="1:9" x14ac:dyDescent="0.25">
      <c r="A229" s="76" t="s">
        <v>594</v>
      </c>
      <c r="B229" s="76" t="s">
        <v>609</v>
      </c>
      <c r="C229" s="77">
        <v>41058</v>
      </c>
      <c r="D229" s="78">
        <v>41422</v>
      </c>
      <c r="E229" s="79">
        <v>0.36</v>
      </c>
      <c r="F229" s="80"/>
      <c r="G229" s="81">
        <v>26825.43</v>
      </c>
      <c r="H229" s="80">
        <v>14985.03</v>
      </c>
      <c r="I229" s="79">
        <f>H229/G229</f>
        <v>0.55861285354978463</v>
      </c>
    </row>
    <row r="230" spans="1:9" x14ac:dyDescent="0.25">
      <c r="A230" s="70" t="s">
        <v>140</v>
      </c>
      <c r="B230" s="70" t="s">
        <v>141</v>
      </c>
      <c r="C230" s="71">
        <v>40664</v>
      </c>
      <c r="D230" s="72">
        <v>41029</v>
      </c>
      <c r="E230" s="73">
        <v>0.09</v>
      </c>
      <c r="F230" s="74"/>
      <c r="G230" s="75">
        <v>21319</v>
      </c>
      <c r="H230" s="74">
        <v>11873.76</v>
      </c>
      <c r="I230" s="73">
        <v>0.55695670528636432</v>
      </c>
    </row>
    <row r="231" spans="1:9" x14ac:dyDescent="0.25">
      <c r="A231" s="70" t="s">
        <v>171</v>
      </c>
      <c r="B231" s="70" t="s">
        <v>175</v>
      </c>
      <c r="C231" s="71">
        <v>40634</v>
      </c>
      <c r="D231" s="72">
        <v>40999</v>
      </c>
      <c r="E231" s="73">
        <v>1.7999999999999999E-2</v>
      </c>
      <c r="F231" s="74">
        <v>1724030</v>
      </c>
      <c r="G231" s="75"/>
      <c r="H231" s="74">
        <v>954116.87</v>
      </c>
      <c r="I231" s="73">
        <v>0.55342242884404569</v>
      </c>
    </row>
    <row r="232" spans="1:9" x14ac:dyDescent="0.25">
      <c r="A232" s="76" t="s">
        <v>449</v>
      </c>
      <c r="B232" s="76" t="s">
        <v>459</v>
      </c>
      <c r="C232" s="77">
        <v>41122</v>
      </c>
      <c r="D232" s="78">
        <v>41486</v>
      </c>
      <c r="E232" s="79">
        <v>0.36899999999999999</v>
      </c>
      <c r="F232" s="80">
        <v>143903</v>
      </c>
      <c r="G232" s="81"/>
      <c r="H232" s="80">
        <v>79632</v>
      </c>
      <c r="I232" s="79">
        <f>H232/F232</f>
        <v>0.55337275803840091</v>
      </c>
    </row>
    <row r="233" spans="1:9" x14ac:dyDescent="0.25">
      <c r="A233" s="76" t="s">
        <v>643</v>
      </c>
      <c r="B233" s="76" t="s">
        <v>117</v>
      </c>
      <c r="C233" s="77">
        <v>40950</v>
      </c>
      <c r="D233" s="78">
        <v>41274</v>
      </c>
      <c r="E233" s="79">
        <v>4.4999999999999997E-3</v>
      </c>
      <c r="F233" s="80"/>
      <c r="G233" s="81">
        <v>2970</v>
      </c>
      <c r="H233" s="80">
        <v>1635</v>
      </c>
      <c r="I233" s="79">
        <f>H233/G233</f>
        <v>0.5505050505050505</v>
      </c>
    </row>
    <row r="234" spans="1:9" x14ac:dyDescent="0.25">
      <c r="A234" s="76" t="s">
        <v>317</v>
      </c>
      <c r="B234" s="76" t="s">
        <v>358</v>
      </c>
      <c r="C234" s="77">
        <v>41107</v>
      </c>
      <c r="D234" s="78">
        <v>41425</v>
      </c>
      <c r="E234" s="79">
        <v>8.9999999999999993E-3</v>
      </c>
      <c r="F234" s="80">
        <v>5180</v>
      </c>
      <c r="G234" s="81"/>
      <c r="H234" s="80">
        <v>2846.75</v>
      </c>
      <c r="I234" s="79">
        <f>H234/F234</f>
        <v>0.5495656370656371</v>
      </c>
    </row>
    <row r="235" spans="1:9" x14ac:dyDescent="0.25">
      <c r="A235" s="76" t="s">
        <v>317</v>
      </c>
      <c r="B235" s="76" t="s">
        <v>358</v>
      </c>
      <c r="C235" s="77">
        <v>41107</v>
      </c>
      <c r="D235" s="78">
        <v>41425</v>
      </c>
      <c r="E235" s="79">
        <v>8.9999999999999993E-3</v>
      </c>
      <c r="F235" s="80"/>
      <c r="G235" s="81">
        <v>320</v>
      </c>
      <c r="H235" s="80">
        <v>175.86</v>
      </c>
      <c r="I235" s="79">
        <f>H235/G235</f>
        <v>0.54956250000000006</v>
      </c>
    </row>
    <row r="236" spans="1:9" x14ac:dyDescent="0.25">
      <c r="A236" s="76" t="s">
        <v>674</v>
      </c>
      <c r="B236" s="76" t="s">
        <v>108</v>
      </c>
      <c r="C236" s="77">
        <v>41011</v>
      </c>
      <c r="D236" s="78">
        <v>41274</v>
      </c>
      <c r="E236" s="79">
        <v>0.22500000000000001</v>
      </c>
      <c r="F236" s="80"/>
      <c r="G236" s="81">
        <v>2625</v>
      </c>
      <c r="H236" s="80">
        <v>1439.03</v>
      </c>
      <c r="I236" s="79">
        <f>H236/G236</f>
        <v>0.54820190476190478</v>
      </c>
    </row>
    <row r="237" spans="1:9" x14ac:dyDescent="0.25">
      <c r="A237" s="70" t="s">
        <v>101</v>
      </c>
      <c r="B237" s="70" t="s">
        <v>107</v>
      </c>
      <c r="C237" s="71">
        <v>40763</v>
      </c>
      <c r="D237" s="72">
        <v>41090</v>
      </c>
      <c r="E237" s="73">
        <v>1.35E-2</v>
      </c>
      <c r="F237" s="74">
        <v>104863</v>
      </c>
      <c r="G237" s="75"/>
      <c r="H237" s="74">
        <v>57350.75</v>
      </c>
      <c r="I237" s="73">
        <v>0.54691120795704873</v>
      </c>
    </row>
    <row r="238" spans="1:9" x14ac:dyDescent="0.25">
      <c r="A238" s="70" t="s">
        <v>101</v>
      </c>
      <c r="B238" s="70" t="s">
        <v>107</v>
      </c>
      <c r="C238" s="71">
        <v>40763</v>
      </c>
      <c r="D238" s="72">
        <v>41090</v>
      </c>
      <c r="E238" s="73">
        <v>1.35E-2</v>
      </c>
      <c r="F238" s="74"/>
      <c r="G238" s="75">
        <v>2930.29</v>
      </c>
      <c r="H238" s="74">
        <v>1602.6</v>
      </c>
      <c r="I238" s="73">
        <v>0.54690832647963172</v>
      </c>
    </row>
    <row r="239" spans="1:9" x14ac:dyDescent="0.25">
      <c r="A239" s="76" t="s">
        <v>613</v>
      </c>
      <c r="B239" s="76" t="s">
        <v>183</v>
      </c>
      <c r="C239" s="77">
        <v>40774</v>
      </c>
      <c r="D239" s="78">
        <v>41104</v>
      </c>
      <c r="E239" s="79">
        <v>1.7999999999999999E-2</v>
      </c>
      <c r="F239" s="80">
        <v>384826</v>
      </c>
      <c r="G239" s="81"/>
      <c r="H239" s="80">
        <v>209441</v>
      </c>
      <c r="I239" s="79">
        <f>H239/F239</f>
        <v>0.54424856948335087</v>
      </c>
    </row>
    <row r="240" spans="1:9" x14ac:dyDescent="0.25">
      <c r="A240" s="76" t="s">
        <v>613</v>
      </c>
      <c r="B240" s="76" t="s">
        <v>617</v>
      </c>
      <c r="C240" s="77">
        <v>41118</v>
      </c>
      <c r="D240" s="78">
        <v>41455</v>
      </c>
      <c r="E240" s="79">
        <v>8.9999999999999993E-3</v>
      </c>
      <c r="F240" s="80">
        <v>409897</v>
      </c>
      <c r="G240" s="81"/>
      <c r="H240" s="80">
        <v>222932</v>
      </c>
      <c r="I240" s="79">
        <f>H240/F240</f>
        <v>0.54387321693010682</v>
      </c>
    </row>
    <row r="241" spans="1:9" x14ac:dyDescent="0.25">
      <c r="A241" s="76" t="s">
        <v>692</v>
      </c>
      <c r="B241" s="76" t="s">
        <v>31</v>
      </c>
      <c r="C241" s="77">
        <v>40909</v>
      </c>
      <c r="D241" s="78">
        <v>41274</v>
      </c>
      <c r="E241" s="79">
        <v>8.9999999999999993E-3</v>
      </c>
      <c r="F241" s="80">
        <v>313942</v>
      </c>
      <c r="G241" s="81"/>
      <c r="H241" s="80">
        <v>170568</v>
      </c>
      <c r="I241" s="79">
        <f>H241/F241</f>
        <v>0.54331054780819388</v>
      </c>
    </row>
    <row r="242" spans="1:9" x14ac:dyDescent="0.25">
      <c r="A242" s="70" t="s">
        <v>171</v>
      </c>
      <c r="B242" s="70" t="s">
        <v>185</v>
      </c>
      <c r="C242" s="71">
        <v>40747</v>
      </c>
      <c r="D242" s="72">
        <v>41090</v>
      </c>
      <c r="E242" s="73">
        <v>1.7999999999999999E-2</v>
      </c>
      <c r="F242" s="74">
        <v>234012</v>
      </c>
      <c r="G242" s="75"/>
      <c r="H242" s="74">
        <v>126881.51</v>
      </c>
      <c r="I242" s="79">
        <f>H242/F242</f>
        <v>0.5422008700408526</v>
      </c>
    </row>
    <row r="243" spans="1:9" x14ac:dyDescent="0.25">
      <c r="A243" s="76" t="s">
        <v>449</v>
      </c>
      <c r="B243" s="76" t="s">
        <v>455</v>
      </c>
      <c r="C243" s="77">
        <v>41061</v>
      </c>
      <c r="D243" s="78">
        <v>41425</v>
      </c>
      <c r="E243" s="79">
        <v>0</v>
      </c>
      <c r="F243" s="80">
        <v>53220</v>
      </c>
      <c r="G243" s="88"/>
      <c r="H243" s="80">
        <v>28592</v>
      </c>
      <c r="I243" s="79">
        <f>H243/F243</f>
        <v>0.53724163848177375</v>
      </c>
    </row>
    <row r="244" spans="1:9" x14ac:dyDescent="0.25">
      <c r="A244" s="70" t="s">
        <v>80</v>
      </c>
      <c r="B244" s="70" t="s">
        <v>81</v>
      </c>
      <c r="C244" s="71">
        <v>40857</v>
      </c>
      <c r="D244" s="72">
        <v>41222</v>
      </c>
      <c r="E244" s="73">
        <v>8.9999999999999993E-3</v>
      </c>
      <c r="F244" s="74"/>
      <c r="G244" s="75">
        <v>2750</v>
      </c>
      <c r="H244" s="74">
        <v>1477</v>
      </c>
      <c r="I244" s="73">
        <v>0.53709090909090906</v>
      </c>
    </row>
    <row r="245" spans="1:9" x14ac:dyDescent="0.25">
      <c r="A245" s="76" t="s">
        <v>171</v>
      </c>
      <c r="B245" s="76" t="s">
        <v>180</v>
      </c>
      <c r="C245" s="77">
        <v>41124</v>
      </c>
      <c r="D245" s="78">
        <v>41274</v>
      </c>
      <c r="E245" s="79">
        <v>1.7999999999999999E-2</v>
      </c>
      <c r="F245" s="80">
        <v>374605</v>
      </c>
      <c r="G245" s="81"/>
      <c r="H245" s="80">
        <v>200864</v>
      </c>
      <c r="I245" s="79">
        <f>H245/F245</f>
        <v>0.53620213291333541</v>
      </c>
    </row>
    <row r="246" spans="1:9" x14ac:dyDescent="0.25">
      <c r="A246" s="76" t="s">
        <v>171</v>
      </c>
      <c r="B246" s="76" t="s">
        <v>204</v>
      </c>
      <c r="C246" s="77">
        <v>40796</v>
      </c>
      <c r="D246" s="78">
        <v>41161</v>
      </c>
      <c r="E246" s="79">
        <v>1.7999999999999999E-2</v>
      </c>
      <c r="F246" s="80">
        <v>281577</v>
      </c>
      <c r="G246" s="81"/>
      <c r="H246" s="80">
        <v>150420</v>
      </c>
      <c r="I246" s="79">
        <f>H246/F246</f>
        <v>0.53420556366464589</v>
      </c>
    </row>
    <row r="247" spans="1:9" x14ac:dyDescent="0.25">
      <c r="A247" s="76" t="s">
        <v>171</v>
      </c>
      <c r="B247" s="76" t="s">
        <v>187</v>
      </c>
      <c r="C247" s="77">
        <v>40879</v>
      </c>
      <c r="D247" s="78">
        <v>41213</v>
      </c>
      <c r="E247" s="79">
        <v>1.7999999999999999E-2</v>
      </c>
      <c r="F247" s="80"/>
      <c r="G247" s="81">
        <v>1742</v>
      </c>
      <c r="H247" s="80">
        <v>930</v>
      </c>
      <c r="I247" s="79">
        <f>H247/G247</f>
        <v>0.53386911595866815</v>
      </c>
    </row>
    <row r="248" spans="1:9" x14ac:dyDescent="0.25">
      <c r="A248" s="76" t="s">
        <v>594</v>
      </c>
      <c r="B248" s="76" t="s">
        <v>607</v>
      </c>
      <c r="C248" s="77">
        <v>40662</v>
      </c>
      <c r="D248" s="78">
        <v>41028</v>
      </c>
      <c r="E248" s="79">
        <v>0.57599999999999996</v>
      </c>
      <c r="F248" s="80">
        <v>4803</v>
      </c>
      <c r="G248" s="81"/>
      <c r="H248" s="80">
        <v>2548.46</v>
      </c>
      <c r="I248" s="79">
        <f>H248/F248</f>
        <v>0.53059754320216534</v>
      </c>
    </row>
    <row r="249" spans="1:9" x14ac:dyDescent="0.25">
      <c r="A249" s="76" t="s">
        <v>674</v>
      </c>
      <c r="B249" s="76" t="s">
        <v>342</v>
      </c>
      <c r="C249" s="77">
        <v>40911</v>
      </c>
      <c r="D249" s="78">
        <v>41274</v>
      </c>
      <c r="E249" s="79">
        <v>0.315</v>
      </c>
      <c r="F249" s="80"/>
      <c r="G249" s="81">
        <v>2160</v>
      </c>
      <c r="H249" s="80">
        <v>1139.82</v>
      </c>
      <c r="I249" s="79">
        <f>H249/G249</f>
        <v>0.52769444444444447</v>
      </c>
    </row>
    <row r="250" spans="1:9" x14ac:dyDescent="0.25">
      <c r="A250" s="76" t="s">
        <v>317</v>
      </c>
      <c r="B250" s="76" t="s">
        <v>351</v>
      </c>
      <c r="C250" s="77">
        <v>40940</v>
      </c>
      <c r="D250" s="78">
        <v>41305</v>
      </c>
      <c r="E250" s="79">
        <v>8.9999999999999998E-4</v>
      </c>
      <c r="F250" s="80"/>
      <c r="G250" s="81">
        <v>21413.45</v>
      </c>
      <c r="H250" s="80">
        <v>11285.97</v>
      </c>
      <c r="I250" s="79">
        <f>H250/G250</f>
        <v>0.52705052198501401</v>
      </c>
    </row>
    <row r="251" spans="1:9" x14ac:dyDescent="0.25">
      <c r="A251" s="76" t="s">
        <v>317</v>
      </c>
      <c r="B251" s="76" t="s">
        <v>351</v>
      </c>
      <c r="C251" s="77">
        <v>40940</v>
      </c>
      <c r="D251" s="78">
        <v>41305</v>
      </c>
      <c r="E251" s="79">
        <v>8.9999999999999998E-4</v>
      </c>
      <c r="F251" s="80">
        <v>715170.47</v>
      </c>
      <c r="G251" s="81"/>
      <c r="H251" s="80">
        <v>376930.92</v>
      </c>
      <c r="I251" s="79">
        <f>H251/F251</f>
        <v>0.52705045274030959</v>
      </c>
    </row>
    <row r="252" spans="1:9" x14ac:dyDescent="0.25">
      <c r="A252" s="76" t="s">
        <v>594</v>
      </c>
      <c r="B252" s="76" t="s">
        <v>599</v>
      </c>
      <c r="C252" s="77">
        <v>40823</v>
      </c>
      <c r="D252" s="78">
        <v>41188</v>
      </c>
      <c r="E252" s="79">
        <v>0.63</v>
      </c>
      <c r="F252" s="80">
        <v>752957.65</v>
      </c>
      <c r="G252" s="81"/>
      <c r="H252" s="80">
        <v>395406.75</v>
      </c>
      <c r="I252" s="79">
        <f>H252/F252</f>
        <v>0.52513810039648312</v>
      </c>
    </row>
    <row r="253" spans="1:9" x14ac:dyDescent="0.25">
      <c r="A253" s="76" t="s">
        <v>594</v>
      </c>
      <c r="B253" s="76" t="s">
        <v>599</v>
      </c>
      <c r="C253" s="77">
        <v>40823</v>
      </c>
      <c r="D253" s="78">
        <v>41188</v>
      </c>
      <c r="E253" s="79">
        <v>0.63</v>
      </c>
      <c r="F253" s="80"/>
      <c r="G253" s="81">
        <v>10015.120000000001</v>
      </c>
      <c r="H253" s="80">
        <v>5259.32</v>
      </c>
      <c r="I253" s="79">
        <f>H253/G253</f>
        <v>0.52513799135706807</v>
      </c>
    </row>
    <row r="254" spans="1:9" x14ac:dyDescent="0.25">
      <c r="A254" s="76" t="s">
        <v>531</v>
      </c>
      <c r="B254" s="76" t="s">
        <v>23</v>
      </c>
      <c r="C254" s="77">
        <v>41106</v>
      </c>
      <c r="D254" s="78">
        <v>41470</v>
      </c>
      <c r="E254" s="79">
        <v>8.9999999999999993E-3</v>
      </c>
      <c r="F254" s="80">
        <v>173587</v>
      </c>
      <c r="G254" s="81"/>
      <c r="H254" s="80">
        <v>90676</v>
      </c>
      <c r="I254" s="79">
        <f t="shared" ref="I254:I259" si="0">H254/F254</f>
        <v>0.5223663062326096</v>
      </c>
    </row>
    <row r="255" spans="1:9" x14ac:dyDescent="0.25">
      <c r="A255" s="76" t="s">
        <v>674</v>
      </c>
      <c r="B255" s="76" t="s">
        <v>108</v>
      </c>
      <c r="C255" s="77">
        <v>41011</v>
      </c>
      <c r="D255" s="78">
        <v>41274</v>
      </c>
      <c r="E255" s="79">
        <v>0.22500000000000001</v>
      </c>
      <c r="F255" s="80">
        <v>70177.5</v>
      </c>
      <c r="G255" s="81"/>
      <c r="H255" s="80">
        <v>36533.339999999997</v>
      </c>
      <c r="I255" s="79">
        <f t="shared" si="0"/>
        <v>0.52058480282141706</v>
      </c>
    </row>
    <row r="256" spans="1:9" x14ac:dyDescent="0.25">
      <c r="A256" s="76" t="s">
        <v>171</v>
      </c>
      <c r="B256" s="76" t="s">
        <v>211</v>
      </c>
      <c r="C256" s="77">
        <v>40913</v>
      </c>
      <c r="D256" s="78">
        <v>41274</v>
      </c>
      <c r="E256" s="79">
        <v>1.7999999999999999E-2</v>
      </c>
      <c r="F256" s="80">
        <v>1286834.79</v>
      </c>
      <c r="G256" s="81"/>
      <c r="H256" s="80">
        <v>666834.01</v>
      </c>
      <c r="I256" s="79">
        <f t="shared" si="0"/>
        <v>0.51819706397586596</v>
      </c>
    </row>
    <row r="257" spans="1:9" x14ac:dyDescent="0.25">
      <c r="A257" s="76" t="s">
        <v>1717</v>
      </c>
      <c r="B257" s="76" t="s">
        <v>458</v>
      </c>
      <c r="C257" s="77">
        <v>41205</v>
      </c>
      <c r="D257" s="78">
        <v>41274</v>
      </c>
      <c r="E257" s="79">
        <v>8.9999999999999993E-3</v>
      </c>
      <c r="F257" s="80">
        <v>327757</v>
      </c>
      <c r="G257" s="81"/>
      <c r="H257" s="80">
        <v>169732.35</v>
      </c>
      <c r="I257" s="73">
        <f t="shared" si="0"/>
        <v>0.5178603355534741</v>
      </c>
    </row>
    <row r="258" spans="1:9" x14ac:dyDescent="0.25">
      <c r="A258" s="76" t="s">
        <v>449</v>
      </c>
      <c r="B258" s="76" t="s">
        <v>72</v>
      </c>
      <c r="C258" s="77">
        <v>40848</v>
      </c>
      <c r="D258" s="78">
        <v>41213</v>
      </c>
      <c r="E258" s="79">
        <v>0</v>
      </c>
      <c r="F258" s="80">
        <v>85689</v>
      </c>
      <c r="G258" s="81"/>
      <c r="H258" s="80">
        <v>44284</v>
      </c>
      <c r="I258" s="79">
        <f t="shared" si="0"/>
        <v>0.51679912240777692</v>
      </c>
    </row>
    <row r="259" spans="1:9" x14ac:dyDescent="0.25">
      <c r="A259" s="76" t="s">
        <v>449</v>
      </c>
      <c r="B259" s="76" t="s">
        <v>72</v>
      </c>
      <c r="C259" s="77">
        <v>41214</v>
      </c>
      <c r="D259" s="78">
        <v>41257</v>
      </c>
      <c r="E259" s="79">
        <v>0</v>
      </c>
      <c r="F259" s="80">
        <v>85689</v>
      </c>
      <c r="G259" s="81"/>
      <c r="H259" s="80">
        <v>44284</v>
      </c>
      <c r="I259" s="79">
        <f t="shared" si="0"/>
        <v>0.51679912240777692</v>
      </c>
    </row>
    <row r="260" spans="1:9" x14ac:dyDescent="0.25">
      <c r="A260" s="70" t="s">
        <v>140</v>
      </c>
      <c r="B260" s="70" t="s">
        <v>141</v>
      </c>
      <c r="C260" s="71">
        <v>40664</v>
      </c>
      <c r="D260" s="72">
        <v>41029</v>
      </c>
      <c r="E260" s="73">
        <v>0.09</v>
      </c>
      <c r="F260" s="74">
        <v>347876.38</v>
      </c>
      <c r="G260" s="75"/>
      <c r="H260" s="74">
        <v>179411.7</v>
      </c>
      <c r="I260" s="73">
        <v>0.51573406622202977</v>
      </c>
    </row>
    <row r="261" spans="1:9" x14ac:dyDescent="0.25">
      <c r="A261" s="76" t="s">
        <v>613</v>
      </c>
      <c r="B261" s="76" t="s">
        <v>619</v>
      </c>
      <c r="C261" s="77">
        <v>40949</v>
      </c>
      <c r="D261" s="78">
        <v>41274</v>
      </c>
      <c r="E261" s="79">
        <v>8.9999999999999993E-3</v>
      </c>
      <c r="F261" s="80"/>
      <c r="G261" s="81">
        <v>1866</v>
      </c>
      <c r="H261" s="80">
        <v>960</v>
      </c>
      <c r="I261" s="79">
        <f>H261/G261</f>
        <v>0.51446945337620575</v>
      </c>
    </row>
    <row r="262" spans="1:9" x14ac:dyDescent="0.25">
      <c r="A262" s="76" t="s">
        <v>578</v>
      </c>
      <c r="B262" s="76" t="s">
        <v>581</v>
      </c>
      <c r="C262" s="77">
        <v>40651</v>
      </c>
      <c r="D262" s="78">
        <v>40909</v>
      </c>
      <c r="E262" s="79">
        <v>0</v>
      </c>
      <c r="F262" s="80">
        <v>18807</v>
      </c>
      <c r="G262" s="81"/>
      <c r="H262" s="80">
        <v>9653.76</v>
      </c>
      <c r="I262" s="79">
        <f>H262/F262</f>
        <v>0.5133067474876376</v>
      </c>
    </row>
    <row r="263" spans="1:9" x14ac:dyDescent="0.25">
      <c r="A263" s="76" t="s">
        <v>594</v>
      </c>
      <c r="B263" s="76" t="s">
        <v>603</v>
      </c>
      <c r="C263" s="77">
        <v>41261</v>
      </c>
      <c r="D263" s="78">
        <v>41455</v>
      </c>
      <c r="E263" s="79">
        <v>0.27</v>
      </c>
      <c r="F263" s="80"/>
      <c r="G263" s="81">
        <v>3785</v>
      </c>
      <c r="H263" s="80">
        <v>1939.48</v>
      </c>
      <c r="I263" s="79">
        <f>H263/G263</f>
        <v>0.51241215323645972</v>
      </c>
    </row>
    <row r="264" spans="1:9" x14ac:dyDescent="0.25">
      <c r="A264" s="76" t="s">
        <v>692</v>
      </c>
      <c r="B264" s="76" t="s">
        <v>29</v>
      </c>
      <c r="C264" s="77">
        <v>40954</v>
      </c>
      <c r="D264" s="78">
        <v>41274</v>
      </c>
      <c r="E264" s="79">
        <v>8.9999999999999993E-3</v>
      </c>
      <c r="F264" s="80">
        <v>278803</v>
      </c>
      <c r="G264" s="81"/>
      <c r="H264" s="80">
        <v>142452</v>
      </c>
      <c r="I264" s="79">
        <f t="shared" ref="I264:I272" si="1">H264/F264</f>
        <v>0.51094141741659882</v>
      </c>
    </row>
    <row r="265" spans="1:9" x14ac:dyDescent="0.25">
      <c r="A265" s="76" t="s">
        <v>265</v>
      </c>
      <c r="B265" s="76" t="s">
        <v>337</v>
      </c>
      <c r="C265" s="77">
        <v>41142</v>
      </c>
      <c r="D265" s="78">
        <v>41506</v>
      </c>
      <c r="E265" s="79">
        <v>0.18</v>
      </c>
      <c r="F265" s="80">
        <v>133499</v>
      </c>
      <c r="G265" s="81"/>
      <c r="H265" s="80">
        <v>68198.67</v>
      </c>
      <c r="I265" s="79">
        <f t="shared" si="1"/>
        <v>0.51085528730552288</v>
      </c>
    </row>
    <row r="266" spans="1:9" x14ac:dyDescent="0.25">
      <c r="A266" s="76" t="s">
        <v>263</v>
      </c>
      <c r="B266" s="76" t="s">
        <v>179</v>
      </c>
      <c r="C266" s="77">
        <v>40854</v>
      </c>
      <c r="D266" s="78">
        <v>41219</v>
      </c>
      <c r="E266" s="79">
        <v>8.9999999999999993E-3</v>
      </c>
      <c r="F266" s="80">
        <v>310048.58</v>
      </c>
      <c r="G266" s="81"/>
      <c r="H266" s="80">
        <v>158275.09</v>
      </c>
      <c r="I266" s="79">
        <f t="shared" si="1"/>
        <v>0.51048480854193878</v>
      </c>
    </row>
    <row r="267" spans="1:9" x14ac:dyDescent="0.25">
      <c r="A267" s="76" t="s">
        <v>594</v>
      </c>
      <c r="B267" s="76" t="s">
        <v>603</v>
      </c>
      <c r="C267" s="77">
        <v>41261</v>
      </c>
      <c r="D267" s="78">
        <v>41455</v>
      </c>
      <c r="E267" s="79">
        <v>0.27</v>
      </c>
      <c r="F267" s="80">
        <v>94175</v>
      </c>
      <c r="G267" s="81"/>
      <c r="H267" s="80">
        <v>48036.93</v>
      </c>
      <c r="I267" s="79">
        <f t="shared" si="1"/>
        <v>0.51008155030528268</v>
      </c>
    </row>
    <row r="268" spans="1:9" x14ac:dyDescent="0.25">
      <c r="A268" s="76" t="s">
        <v>643</v>
      </c>
      <c r="B268" s="76" t="s">
        <v>653</v>
      </c>
      <c r="C268" s="77">
        <v>40862</v>
      </c>
      <c r="D268" s="78">
        <v>41227</v>
      </c>
      <c r="E268" s="79">
        <v>4.4999999999999997E-3</v>
      </c>
      <c r="F268" s="80">
        <v>57965</v>
      </c>
      <c r="G268" s="81"/>
      <c r="H268" s="80">
        <v>29494.6</v>
      </c>
      <c r="I268" s="79">
        <f t="shared" si="1"/>
        <v>0.50883464159406533</v>
      </c>
    </row>
    <row r="269" spans="1:9" x14ac:dyDescent="0.25">
      <c r="A269" s="76" t="s">
        <v>622</v>
      </c>
      <c r="B269" s="76" t="s">
        <v>107</v>
      </c>
      <c r="C269" s="77">
        <v>40610</v>
      </c>
      <c r="D269" s="78">
        <v>40939</v>
      </c>
      <c r="E269" s="79">
        <v>8.9999999999999993E-3</v>
      </c>
      <c r="F269" s="80">
        <v>633</v>
      </c>
      <c r="G269" s="81"/>
      <c r="H269" s="80">
        <v>322</v>
      </c>
      <c r="I269" s="79">
        <f t="shared" si="1"/>
        <v>0.50868878357030012</v>
      </c>
    </row>
    <row r="270" spans="1:9" x14ac:dyDescent="0.25">
      <c r="A270" s="76" t="s">
        <v>449</v>
      </c>
      <c r="B270" s="76" t="s">
        <v>471</v>
      </c>
      <c r="C270" s="77">
        <v>41061</v>
      </c>
      <c r="D270" s="78">
        <v>41425</v>
      </c>
      <c r="E270" s="79">
        <v>0</v>
      </c>
      <c r="F270" s="80">
        <v>20839</v>
      </c>
      <c r="G270" s="88"/>
      <c r="H270" s="80">
        <v>10579</v>
      </c>
      <c r="I270" s="79">
        <f t="shared" si="1"/>
        <v>0.50765391813426752</v>
      </c>
    </row>
    <row r="271" spans="1:9" x14ac:dyDescent="0.25">
      <c r="A271" s="76" t="s">
        <v>449</v>
      </c>
      <c r="B271" s="76" t="s">
        <v>455</v>
      </c>
      <c r="C271" s="77">
        <v>40695</v>
      </c>
      <c r="D271" s="78">
        <v>41060</v>
      </c>
      <c r="E271" s="79">
        <v>0</v>
      </c>
      <c r="F271" s="80">
        <v>65563</v>
      </c>
      <c r="G271" s="81"/>
      <c r="H271" s="80">
        <v>33230</v>
      </c>
      <c r="I271" s="79">
        <f t="shared" si="1"/>
        <v>0.50684074859295636</v>
      </c>
    </row>
    <row r="272" spans="1:9" x14ac:dyDescent="0.25">
      <c r="A272" s="76" t="s">
        <v>643</v>
      </c>
      <c r="B272" s="76" t="s">
        <v>659</v>
      </c>
      <c r="C272" s="77">
        <v>41025</v>
      </c>
      <c r="D272" s="78">
        <v>41364</v>
      </c>
      <c r="E272" s="79">
        <v>4.4999999999999997E-3</v>
      </c>
      <c r="F272" s="80">
        <v>189524</v>
      </c>
      <c r="G272" s="81"/>
      <c r="H272" s="80">
        <v>96010.18</v>
      </c>
      <c r="I272" s="79">
        <f t="shared" si="1"/>
        <v>0.50658586775289671</v>
      </c>
    </row>
    <row r="273" spans="1:9" x14ac:dyDescent="0.25">
      <c r="A273" s="76" t="s">
        <v>531</v>
      </c>
      <c r="B273" s="76" t="s">
        <v>23</v>
      </c>
      <c r="C273" s="77">
        <v>41106</v>
      </c>
      <c r="D273" s="78">
        <v>41470</v>
      </c>
      <c r="E273" s="79">
        <v>8.9999999999999993E-3</v>
      </c>
      <c r="F273" s="80"/>
      <c r="G273" s="81">
        <v>4373</v>
      </c>
      <c r="H273" s="80">
        <v>2207</v>
      </c>
      <c r="I273" s="79">
        <f>H273/G273</f>
        <v>0.50468785730619714</v>
      </c>
    </row>
    <row r="274" spans="1:9" x14ac:dyDescent="0.25">
      <c r="A274" s="76" t="s">
        <v>1718</v>
      </c>
      <c r="B274" s="76" t="s">
        <v>1719</v>
      </c>
      <c r="C274" s="77">
        <v>41050</v>
      </c>
      <c r="D274" s="78">
        <v>41358</v>
      </c>
      <c r="E274" s="79">
        <v>0.315</v>
      </c>
      <c r="F274" s="80"/>
      <c r="G274" s="81">
        <v>186129</v>
      </c>
      <c r="H274" s="80">
        <v>93751.95</v>
      </c>
      <c r="I274" s="73">
        <f>H274/G274</f>
        <v>0.5036934061860322</v>
      </c>
    </row>
    <row r="275" spans="1:9" x14ac:dyDescent="0.25">
      <c r="A275" s="76" t="s">
        <v>317</v>
      </c>
      <c r="B275" s="76" t="s">
        <v>18</v>
      </c>
      <c r="C275" s="77">
        <v>41091</v>
      </c>
      <c r="D275" s="78">
        <v>41455</v>
      </c>
      <c r="E275" s="79">
        <v>0.13500000000000001</v>
      </c>
      <c r="F275" s="80">
        <v>6195738.8899999997</v>
      </c>
      <c r="G275" s="81"/>
      <c r="H275" s="80">
        <v>3108371.89</v>
      </c>
      <c r="I275" s="79">
        <f>H275/F275</f>
        <v>0.50169510774848036</v>
      </c>
    </row>
    <row r="276" spans="1:9" x14ac:dyDescent="0.25">
      <c r="A276" s="76" t="s">
        <v>317</v>
      </c>
      <c r="B276" s="76" t="s">
        <v>18</v>
      </c>
      <c r="C276" s="77">
        <v>41091</v>
      </c>
      <c r="D276" s="78">
        <v>41455</v>
      </c>
      <c r="E276" s="79">
        <v>0.13500000000000001</v>
      </c>
      <c r="F276" s="80"/>
      <c r="G276" s="81">
        <v>372799.06</v>
      </c>
      <c r="H276" s="80">
        <v>187031.46</v>
      </c>
      <c r="I276" s="79">
        <f>H276/G276</f>
        <v>0.5016950954758308</v>
      </c>
    </row>
    <row r="277" spans="1:9" x14ac:dyDescent="0.25">
      <c r="A277" s="76" t="s">
        <v>317</v>
      </c>
      <c r="B277" s="76" t="s">
        <v>117</v>
      </c>
      <c r="C277" s="77">
        <v>40681</v>
      </c>
      <c r="D277" s="78">
        <v>41029</v>
      </c>
      <c r="E277" s="79">
        <v>0</v>
      </c>
      <c r="F277" s="80">
        <v>1343923.69</v>
      </c>
      <c r="G277" s="81"/>
      <c r="H277" s="80">
        <v>672771.78</v>
      </c>
      <c r="I277" s="79">
        <f>H277/F277</f>
        <v>0.50060266442657919</v>
      </c>
    </row>
    <row r="278" spans="1:9" x14ac:dyDescent="0.25">
      <c r="A278" s="76" t="s">
        <v>317</v>
      </c>
      <c r="B278" s="76" t="s">
        <v>117</v>
      </c>
      <c r="C278" s="77">
        <v>40681</v>
      </c>
      <c r="D278" s="78">
        <v>41029</v>
      </c>
      <c r="E278" s="79">
        <v>0</v>
      </c>
      <c r="F278" s="80"/>
      <c r="G278" s="81">
        <v>111369.59</v>
      </c>
      <c r="H278" s="80">
        <v>55751.91</v>
      </c>
      <c r="I278" s="79">
        <f>H278/G278</f>
        <v>0.50060263308861963</v>
      </c>
    </row>
    <row r="279" spans="1:9" x14ac:dyDescent="0.25">
      <c r="A279" s="76" t="s">
        <v>635</v>
      </c>
      <c r="B279" s="76" t="s">
        <v>636</v>
      </c>
      <c r="C279" s="77">
        <v>40559</v>
      </c>
      <c r="D279" s="78">
        <v>40923</v>
      </c>
      <c r="E279" s="79">
        <v>0.5</v>
      </c>
      <c r="F279" s="80">
        <v>224830</v>
      </c>
      <c r="G279" s="81"/>
      <c r="H279" s="80">
        <v>112415</v>
      </c>
      <c r="I279" s="79">
        <f>H279/F279</f>
        <v>0.5</v>
      </c>
    </row>
    <row r="280" spans="1:9" x14ac:dyDescent="0.25">
      <c r="A280" s="76" t="s">
        <v>635</v>
      </c>
      <c r="B280" s="76" t="s">
        <v>637</v>
      </c>
      <c r="C280" s="77">
        <v>40564</v>
      </c>
      <c r="D280" s="78">
        <v>40928</v>
      </c>
      <c r="E280" s="79">
        <v>0.5</v>
      </c>
      <c r="F280" s="80"/>
      <c r="G280" s="81">
        <v>198096</v>
      </c>
      <c r="H280" s="80">
        <v>99048</v>
      </c>
      <c r="I280" s="79">
        <f>H280/G280</f>
        <v>0.5</v>
      </c>
    </row>
    <row r="281" spans="1:9" x14ac:dyDescent="0.25">
      <c r="A281" s="76" t="s">
        <v>635</v>
      </c>
      <c r="B281" s="76" t="s">
        <v>637</v>
      </c>
      <c r="C281" s="77">
        <v>40929</v>
      </c>
      <c r="D281" s="78">
        <v>41294</v>
      </c>
      <c r="E281" s="79">
        <v>0.5</v>
      </c>
      <c r="F281" s="80"/>
      <c r="G281" s="81">
        <v>191024</v>
      </c>
      <c r="H281" s="80">
        <v>95512</v>
      </c>
      <c r="I281" s="79">
        <f>H281/G281</f>
        <v>0.5</v>
      </c>
    </row>
    <row r="282" spans="1:9" x14ac:dyDescent="0.25">
      <c r="A282" s="76" t="s">
        <v>635</v>
      </c>
      <c r="B282" s="76" t="s">
        <v>639</v>
      </c>
      <c r="C282" s="77">
        <v>40875</v>
      </c>
      <c r="D282" s="78">
        <v>41241</v>
      </c>
      <c r="E282" s="79">
        <v>0.5</v>
      </c>
      <c r="F282" s="80"/>
      <c r="G282" s="81">
        <v>186542</v>
      </c>
      <c r="H282" s="80">
        <v>93271</v>
      </c>
      <c r="I282" s="79">
        <f>H282/G282</f>
        <v>0.5</v>
      </c>
    </row>
    <row r="283" spans="1:9" x14ac:dyDescent="0.25">
      <c r="A283" s="76" t="s">
        <v>635</v>
      </c>
      <c r="B283" s="76" t="s">
        <v>636</v>
      </c>
      <c r="C283" s="77">
        <v>40924</v>
      </c>
      <c r="D283" s="78">
        <v>41289</v>
      </c>
      <c r="E283" s="79">
        <v>0.5</v>
      </c>
      <c r="F283" s="80"/>
      <c r="G283" s="81">
        <v>150370</v>
      </c>
      <c r="H283" s="80">
        <v>75185</v>
      </c>
      <c r="I283" s="79">
        <f>H283/G283</f>
        <v>0.5</v>
      </c>
    </row>
    <row r="284" spans="1:9" x14ac:dyDescent="0.25">
      <c r="A284" s="76" t="s">
        <v>635</v>
      </c>
      <c r="B284" s="76" t="s">
        <v>640</v>
      </c>
      <c r="C284" s="77">
        <v>41169</v>
      </c>
      <c r="D284" s="78">
        <v>41533</v>
      </c>
      <c r="E284" s="79">
        <v>0.5</v>
      </c>
      <c r="F284" s="80"/>
      <c r="G284" s="81">
        <v>130562</v>
      </c>
      <c r="H284" s="80">
        <v>65281</v>
      </c>
      <c r="I284" s="79">
        <f>H284/G284</f>
        <v>0.5</v>
      </c>
    </row>
    <row r="285" spans="1:9" x14ac:dyDescent="0.25">
      <c r="A285" s="76" t="s">
        <v>491</v>
      </c>
      <c r="B285" s="76" t="s">
        <v>492</v>
      </c>
      <c r="C285" s="77">
        <v>41134</v>
      </c>
      <c r="D285" s="78">
        <v>41166</v>
      </c>
      <c r="E285" s="79">
        <v>0.5</v>
      </c>
      <c r="F285" s="80">
        <v>118324</v>
      </c>
      <c r="G285" s="88"/>
      <c r="H285" s="80">
        <v>59162</v>
      </c>
      <c r="I285" s="79">
        <f>H285/F285</f>
        <v>0.5</v>
      </c>
    </row>
    <row r="286" spans="1:9" x14ac:dyDescent="0.25">
      <c r="A286" s="76" t="s">
        <v>491</v>
      </c>
      <c r="B286" s="76" t="s">
        <v>492</v>
      </c>
      <c r="C286" s="77">
        <v>40924</v>
      </c>
      <c r="D286" s="78">
        <v>40963</v>
      </c>
      <c r="E286" s="79">
        <v>0.5</v>
      </c>
      <c r="F286" s="80">
        <v>116240</v>
      </c>
      <c r="G286" s="88"/>
      <c r="H286" s="80">
        <v>58120</v>
      </c>
      <c r="I286" s="79">
        <f>H286/F286</f>
        <v>0.5</v>
      </c>
    </row>
    <row r="287" spans="1:9" x14ac:dyDescent="0.25">
      <c r="A287" s="76" t="s">
        <v>590</v>
      </c>
      <c r="B287" s="76" t="s">
        <v>593</v>
      </c>
      <c r="C287" s="77">
        <v>41059</v>
      </c>
      <c r="D287" s="78">
        <v>41424</v>
      </c>
      <c r="E287" s="79">
        <v>0.5</v>
      </c>
      <c r="F287" s="80">
        <v>67093.7</v>
      </c>
      <c r="G287" s="81"/>
      <c r="H287" s="80">
        <v>33546.85</v>
      </c>
      <c r="I287" s="79">
        <f>H287/F287</f>
        <v>0.5</v>
      </c>
    </row>
    <row r="288" spans="1:9" x14ac:dyDescent="0.25">
      <c r="A288" s="76" t="s">
        <v>635</v>
      </c>
      <c r="B288" s="76" t="s">
        <v>638</v>
      </c>
      <c r="C288" s="77">
        <v>40933</v>
      </c>
      <c r="D288" s="78">
        <v>41298</v>
      </c>
      <c r="E288" s="79">
        <v>0.5</v>
      </c>
      <c r="F288" s="80"/>
      <c r="G288" s="81">
        <v>53971</v>
      </c>
      <c r="H288" s="80">
        <v>26985.5</v>
      </c>
      <c r="I288" s="79">
        <f>H288/G288</f>
        <v>0.5</v>
      </c>
    </row>
    <row r="289" spans="1:9" x14ac:dyDescent="0.25">
      <c r="A289" s="76" t="s">
        <v>635</v>
      </c>
      <c r="B289" s="76" t="s">
        <v>638</v>
      </c>
      <c r="C289" s="77">
        <v>40568</v>
      </c>
      <c r="D289" s="78">
        <v>40932</v>
      </c>
      <c r="E289" s="79">
        <v>0.5</v>
      </c>
      <c r="F289" s="80"/>
      <c r="G289" s="81">
        <v>46628</v>
      </c>
      <c r="H289" s="80">
        <v>23314</v>
      </c>
      <c r="I289" s="79">
        <f>H289/G289</f>
        <v>0.5</v>
      </c>
    </row>
    <row r="290" spans="1:9" x14ac:dyDescent="0.25">
      <c r="A290" s="76" t="s">
        <v>590</v>
      </c>
      <c r="B290" s="76" t="s">
        <v>592</v>
      </c>
      <c r="C290" s="77">
        <v>41061</v>
      </c>
      <c r="D290" s="78">
        <v>41424</v>
      </c>
      <c r="E290" s="79">
        <v>0.5</v>
      </c>
      <c r="F290" s="80">
        <v>32535.32</v>
      </c>
      <c r="G290" s="81"/>
      <c r="H290" s="80">
        <v>16267.66</v>
      </c>
      <c r="I290" s="79">
        <f>H290/F290</f>
        <v>0.5</v>
      </c>
    </row>
    <row r="291" spans="1:9" x14ac:dyDescent="0.25">
      <c r="A291" s="70" t="s">
        <v>38</v>
      </c>
      <c r="B291" s="70" t="s">
        <v>54</v>
      </c>
      <c r="C291" s="71">
        <v>40909</v>
      </c>
      <c r="D291" s="72">
        <v>41274</v>
      </c>
      <c r="E291" s="73">
        <v>0.45</v>
      </c>
      <c r="F291" s="74"/>
      <c r="G291" s="75">
        <v>30839.98</v>
      </c>
      <c r="H291" s="74">
        <v>15419.99</v>
      </c>
      <c r="I291" s="73">
        <v>0.5</v>
      </c>
    </row>
    <row r="292" spans="1:9" x14ac:dyDescent="0.25">
      <c r="A292" s="76" t="s">
        <v>590</v>
      </c>
      <c r="B292" s="76" t="s">
        <v>591</v>
      </c>
      <c r="C292" s="77">
        <v>41030</v>
      </c>
      <c r="D292" s="78">
        <v>41394</v>
      </c>
      <c r="E292" s="79">
        <v>0.5</v>
      </c>
      <c r="F292" s="80">
        <v>17243.64</v>
      </c>
      <c r="G292" s="81"/>
      <c r="H292" s="80">
        <v>8621.82</v>
      </c>
      <c r="I292" s="79">
        <f>H292/F292</f>
        <v>0.5</v>
      </c>
    </row>
    <row r="293" spans="1:9" x14ac:dyDescent="0.25">
      <c r="A293" s="76" t="s">
        <v>590</v>
      </c>
      <c r="B293" s="76" t="s">
        <v>591</v>
      </c>
      <c r="C293" s="77">
        <v>41030</v>
      </c>
      <c r="D293" s="78">
        <v>41394</v>
      </c>
      <c r="E293" s="79">
        <v>0.5</v>
      </c>
      <c r="F293" s="80"/>
      <c r="G293" s="81">
        <v>17243.64</v>
      </c>
      <c r="H293" s="80">
        <v>8621.82</v>
      </c>
      <c r="I293" s="79">
        <f>H293/G293</f>
        <v>0.5</v>
      </c>
    </row>
    <row r="294" spans="1:9" x14ac:dyDescent="0.25">
      <c r="A294" s="76" t="s">
        <v>590</v>
      </c>
      <c r="B294" s="76" t="s">
        <v>591</v>
      </c>
      <c r="C294" s="77">
        <v>41030</v>
      </c>
      <c r="D294" s="78">
        <v>41394</v>
      </c>
      <c r="E294" s="79">
        <v>0.5</v>
      </c>
      <c r="F294" s="80">
        <v>17243.64</v>
      </c>
      <c r="G294" s="81"/>
      <c r="H294" s="80">
        <v>8621.82</v>
      </c>
      <c r="I294" s="79">
        <f>H294/F294</f>
        <v>0.5</v>
      </c>
    </row>
    <row r="295" spans="1:9" x14ac:dyDescent="0.25">
      <c r="A295" s="76" t="s">
        <v>590</v>
      </c>
      <c r="B295" s="76" t="s">
        <v>591</v>
      </c>
      <c r="C295" s="77">
        <v>40664</v>
      </c>
      <c r="D295" s="78">
        <v>41029</v>
      </c>
      <c r="E295" s="79">
        <v>0.5</v>
      </c>
      <c r="F295" s="80">
        <v>10904.72</v>
      </c>
      <c r="G295" s="81"/>
      <c r="H295" s="80">
        <v>5452.36</v>
      </c>
      <c r="I295" s="79">
        <f>H295/F295</f>
        <v>0.5</v>
      </c>
    </row>
    <row r="296" spans="1:9" x14ac:dyDescent="0.25">
      <c r="A296" s="76" t="s">
        <v>317</v>
      </c>
      <c r="B296" s="76" t="s">
        <v>356</v>
      </c>
      <c r="C296" s="77">
        <v>40969</v>
      </c>
      <c r="D296" s="78">
        <v>41333</v>
      </c>
      <c r="E296" s="79">
        <v>1.7999999999999999E-2</v>
      </c>
      <c r="F296" s="80"/>
      <c r="G296" s="81">
        <v>460153.19</v>
      </c>
      <c r="H296" s="80">
        <v>229984.43</v>
      </c>
      <c r="I296" s="79">
        <f>H296/G296</f>
        <v>0.49979970800593598</v>
      </c>
    </row>
    <row r="297" spans="1:9" x14ac:dyDescent="0.25">
      <c r="A297" s="76" t="s">
        <v>317</v>
      </c>
      <c r="B297" s="76" t="s">
        <v>356</v>
      </c>
      <c r="C297" s="77">
        <v>40969</v>
      </c>
      <c r="D297" s="78">
        <v>41333</v>
      </c>
      <c r="E297" s="79">
        <v>1.7999999999999999E-2</v>
      </c>
      <c r="F297" s="80">
        <v>9118918.5899999999</v>
      </c>
      <c r="G297" s="81"/>
      <c r="H297" s="80">
        <v>4557632.7699999996</v>
      </c>
      <c r="I297" s="79">
        <f>H297/F297</f>
        <v>0.4997996993851877</v>
      </c>
    </row>
    <row r="298" spans="1:9" x14ac:dyDescent="0.25">
      <c r="A298" s="76" t="s">
        <v>449</v>
      </c>
      <c r="B298" s="76" t="s">
        <v>209</v>
      </c>
      <c r="C298" s="77">
        <v>40749</v>
      </c>
      <c r="D298" s="78">
        <v>41029</v>
      </c>
      <c r="E298" s="79">
        <v>8.9999999999999993E-3</v>
      </c>
      <c r="F298" s="80">
        <v>1131863</v>
      </c>
      <c r="G298" s="81"/>
      <c r="H298" s="80">
        <v>563294</v>
      </c>
      <c r="I298" s="79">
        <f>H298/F298</f>
        <v>0.49766977098818499</v>
      </c>
    </row>
    <row r="299" spans="1:9" ht="28.5" x14ac:dyDescent="0.25">
      <c r="A299" s="70" t="s">
        <v>17</v>
      </c>
      <c r="B299" s="70" t="s">
        <v>18</v>
      </c>
      <c r="C299" s="71">
        <v>40634</v>
      </c>
      <c r="D299" s="72">
        <v>40999</v>
      </c>
      <c r="E299" s="73">
        <v>0.45</v>
      </c>
      <c r="F299" s="74">
        <v>746293.85</v>
      </c>
      <c r="G299" s="75"/>
      <c r="H299" s="74">
        <v>370883.31</v>
      </c>
      <c r="I299" s="73">
        <v>0.49696685829583082</v>
      </c>
    </row>
    <row r="300" spans="1:9" x14ac:dyDescent="0.25">
      <c r="A300" s="76" t="s">
        <v>674</v>
      </c>
      <c r="B300" s="76" t="s">
        <v>22</v>
      </c>
      <c r="C300" s="77">
        <v>40920</v>
      </c>
      <c r="D300" s="78">
        <v>41274</v>
      </c>
      <c r="E300" s="79">
        <v>0.22500000000000001</v>
      </c>
      <c r="F300" s="80"/>
      <c r="G300" s="81">
        <v>18086</v>
      </c>
      <c r="H300" s="80">
        <v>8977.48</v>
      </c>
      <c r="I300" s="79">
        <f>H300/G300</f>
        <v>0.49637730841534888</v>
      </c>
    </row>
    <row r="301" spans="1:9" x14ac:dyDescent="0.25">
      <c r="A301" s="76" t="s">
        <v>239</v>
      </c>
      <c r="B301" s="76" t="s">
        <v>242</v>
      </c>
      <c r="C301" s="77">
        <v>41136</v>
      </c>
      <c r="D301" s="78">
        <v>41274</v>
      </c>
      <c r="E301" s="79">
        <v>8.9999999999999993E-3</v>
      </c>
      <c r="F301" s="80"/>
      <c r="G301" s="81">
        <v>18710</v>
      </c>
      <c r="H301" s="80">
        <v>9282</v>
      </c>
      <c r="I301" s="79">
        <f>H301/G301</f>
        <v>0.49609834313201495</v>
      </c>
    </row>
    <row r="302" spans="1:9" x14ac:dyDescent="0.25">
      <c r="A302" s="70" t="s">
        <v>171</v>
      </c>
      <c r="B302" s="70" t="s">
        <v>22</v>
      </c>
      <c r="C302" s="71">
        <v>40740</v>
      </c>
      <c r="D302" s="72">
        <v>41090</v>
      </c>
      <c r="E302" s="73">
        <v>1.7999999999999999E-2</v>
      </c>
      <c r="F302" s="74">
        <v>1200423</v>
      </c>
      <c r="G302" s="75"/>
      <c r="H302" s="74">
        <v>590656</v>
      </c>
      <c r="I302" s="79">
        <f>H302/F302</f>
        <v>0.49203988927236481</v>
      </c>
    </row>
    <row r="303" spans="1:9" x14ac:dyDescent="0.25">
      <c r="A303" s="76" t="s">
        <v>171</v>
      </c>
      <c r="B303" s="76" t="s">
        <v>194</v>
      </c>
      <c r="C303" s="77">
        <v>40949</v>
      </c>
      <c r="D303" s="78">
        <v>41305</v>
      </c>
      <c r="E303" s="79">
        <v>1.7999999999999999E-2</v>
      </c>
      <c r="F303" s="80">
        <v>335429</v>
      </c>
      <c r="G303" s="81"/>
      <c r="H303" s="80">
        <v>164717.87</v>
      </c>
      <c r="I303" s="79">
        <f>H303/F303</f>
        <v>0.49106627632077132</v>
      </c>
    </row>
    <row r="304" spans="1:9" x14ac:dyDescent="0.25">
      <c r="A304" s="76" t="s">
        <v>531</v>
      </c>
      <c r="B304" s="76" t="s">
        <v>23</v>
      </c>
      <c r="C304" s="77">
        <v>40760</v>
      </c>
      <c r="D304" s="78">
        <v>41090</v>
      </c>
      <c r="E304" s="79">
        <v>8.9999999999999993E-3</v>
      </c>
      <c r="F304" s="80"/>
      <c r="G304" s="81">
        <v>2340</v>
      </c>
      <c r="H304" s="80">
        <v>1146</v>
      </c>
      <c r="I304" s="79">
        <f>H304/G304</f>
        <v>0.48974358974358972</v>
      </c>
    </row>
    <row r="305" spans="1:9" x14ac:dyDescent="0.25">
      <c r="A305" s="76" t="s">
        <v>549</v>
      </c>
      <c r="B305" s="76" t="s">
        <v>551</v>
      </c>
      <c r="C305" s="77">
        <v>41013</v>
      </c>
      <c r="D305" s="78">
        <v>41377</v>
      </c>
      <c r="E305" s="79">
        <v>0.27</v>
      </c>
      <c r="F305" s="80">
        <v>198815.05</v>
      </c>
      <c r="G305" s="88"/>
      <c r="H305" s="80">
        <v>97313.65</v>
      </c>
      <c r="I305" s="79">
        <f>H305/F305</f>
        <v>0.48946822687719066</v>
      </c>
    </row>
    <row r="306" spans="1:9" x14ac:dyDescent="0.25">
      <c r="A306" s="76" t="s">
        <v>317</v>
      </c>
      <c r="B306" s="76" t="s">
        <v>329</v>
      </c>
      <c r="C306" s="77">
        <v>40740</v>
      </c>
      <c r="D306" s="78">
        <v>41090</v>
      </c>
      <c r="E306" s="79">
        <v>0</v>
      </c>
      <c r="F306" s="80">
        <v>82553.5</v>
      </c>
      <c r="G306" s="81"/>
      <c r="H306" s="80">
        <v>40310.25</v>
      </c>
      <c r="I306" s="79">
        <f>H306/F306</f>
        <v>0.48829244065969341</v>
      </c>
    </row>
    <row r="307" spans="1:9" x14ac:dyDescent="0.25">
      <c r="A307" s="76" t="s">
        <v>317</v>
      </c>
      <c r="B307" s="76" t="s">
        <v>329</v>
      </c>
      <c r="C307" s="77">
        <v>40740</v>
      </c>
      <c r="D307" s="78">
        <v>41090</v>
      </c>
      <c r="E307" s="79">
        <v>0</v>
      </c>
      <c r="F307" s="80"/>
      <c r="G307" s="81">
        <v>3025</v>
      </c>
      <c r="H307" s="80">
        <v>1477.08</v>
      </c>
      <c r="I307" s="79">
        <f>H307/G307</f>
        <v>0.48829090909090905</v>
      </c>
    </row>
    <row r="308" spans="1:9" x14ac:dyDescent="0.25">
      <c r="A308" s="76" t="s">
        <v>315</v>
      </c>
      <c r="B308" s="76" t="s">
        <v>59</v>
      </c>
      <c r="C308" s="77">
        <v>40817</v>
      </c>
      <c r="D308" s="78">
        <v>41182</v>
      </c>
      <c r="E308" s="79">
        <v>0.29699999999999999</v>
      </c>
      <c r="F308" s="80"/>
      <c r="G308" s="81">
        <v>672654.26</v>
      </c>
      <c r="H308" s="80">
        <v>328306.40999999997</v>
      </c>
      <c r="I308" s="79">
        <f>H308/G308</f>
        <v>0.48807601396889982</v>
      </c>
    </row>
    <row r="309" spans="1:9" x14ac:dyDescent="0.25">
      <c r="A309" s="76" t="s">
        <v>315</v>
      </c>
      <c r="B309" s="76" t="s">
        <v>59</v>
      </c>
      <c r="C309" s="77">
        <v>40817</v>
      </c>
      <c r="D309" s="78">
        <v>41182</v>
      </c>
      <c r="E309" s="79">
        <v>0.29699999999999999</v>
      </c>
      <c r="F309" s="80">
        <v>11080823.9</v>
      </c>
      <c r="G309" s="81"/>
      <c r="H309" s="80">
        <v>5408284.3300000001</v>
      </c>
      <c r="I309" s="79">
        <f>H309/F309</f>
        <v>0.48807601120707278</v>
      </c>
    </row>
    <row r="310" spans="1:9" x14ac:dyDescent="0.25">
      <c r="A310" s="70" t="s">
        <v>146</v>
      </c>
      <c r="B310" s="70" t="s">
        <v>147</v>
      </c>
      <c r="C310" s="71">
        <v>40590</v>
      </c>
      <c r="D310" s="72">
        <v>40939</v>
      </c>
      <c r="E310" s="101">
        <v>4.4999999999999999E-4</v>
      </c>
      <c r="F310" s="74">
        <v>92903.18</v>
      </c>
      <c r="G310" s="75"/>
      <c r="H310" s="74">
        <v>45244.91</v>
      </c>
      <c r="I310" s="73">
        <v>0.48701142415146614</v>
      </c>
    </row>
    <row r="311" spans="1:9" x14ac:dyDescent="0.25">
      <c r="A311" s="76" t="s">
        <v>449</v>
      </c>
      <c r="B311" s="76" t="s">
        <v>459</v>
      </c>
      <c r="C311" s="77">
        <v>40756</v>
      </c>
      <c r="D311" s="78">
        <v>41121</v>
      </c>
      <c r="E311" s="79">
        <v>0.36899999999999999</v>
      </c>
      <c r="F311" s="80">
        <v>181661</v>
      </c>
      <c r="G311" s="81"/>
      <c r="H311" s="80">
        <v>88288</v>
      </c>
      <c r="I311" s="79">
        <f>H311/F311</f>
        <v>0.48600415058818347</v>
      </c>
    </row>
    <row r="312" spans="1:9" x14ac:dyDescent="0.25">
      <c r="A312" s="76" t="s">
        <v>531</v>
      </c>
      <c r="B312" s="76" t="s">
        <v>544</v>
      </c>
      <c r="C312" s="77">
        <v>40862</v>
      </c>
      <c r="D312" s="78">
        <v>41213</v>
      </c>
      <c r="E312" s="79">
        <v>8.9999999999999993E-3</v>
      </c>
      <c r="F312" s="80"/>
      <c r="G312" s="81">
        <v>395</v>
      </c>
      <c r="H312" s="80">
        <v>191</v>
      </c>
      <c r="I312" s="79">
        <f>H312/G312</f>
        <v>0.48354430379746838</v>
      </c>
    </row>
    <row r="313" spans="1:9" x14ac:dyDescent="0.25">
      <c r="A313" s="76" t="s">
        <v>531</v>
      </c>
      <c r="B313" s="76" t="s">
        <v>538</v>
      </c>
      <c r="C313" s="77">
        <v>40770</v>
      </c>
      <c r="D313" s="78">
        <v>40968</v>
      </c>
      <c r="E313" s="79">
        <v>8.9999999999999993E-3</v>
      </c>
      <c r="F313" s="80">
        <v>16283</v>
      </c>
      <c r="G313" s="81"/>
      <c r="H313" s="80">
        <v>7838</v>
      </c>
      <c r="I313" s="79">
        <f>H313/F313</f>
        <v>0.48136092857581525</v>
      </c>
    </row>
    <row r="314" spans="1:9" x14ac:dyDescent="0.25">
      <c r="A314" s="70" t="s">
        <v>171</v>
      </c>
      <c r="B314" s="70" t="s">
        <v>177</v>
      </c>
      <c r="C314" s="71">
        <v>40662</v>
      </c>
      <c r="D314" s="72">
        <v>41027</v>
      </c>
      <c r="E314" s="73">
        <v>1.7999999999999999E-2</v>
      </c>
      <c r="F314" s="74">
        <v>271231</v>
      </c>
      <c r="G314" s="75"/>
      <c r="H314" s="74">
        <v>130242.68</v>
      </c>
      <c r="I314" s="79">
        <f>H314/F314</f>
        <v>0.48019098111941477</v>
      </c>
    </row>
    <row r="315" spans="1:9" x14ac:dyDescent="0.25">
      <c r="A315" s="76" t="s">
        <v>317</v>
      </c>
      <c r="B315" s="76" t="s">
        <v>331</v>
      </c>
      <c r="C315" s="77">
        <v>41179</v>
      </c>
      <c r="D315" s="78">
        <v>41517</v>
      </c>
      <c r="E315" s="79">
        <v>1.7999999999999999E-2</v>
      </c>
      <c r="F315" s="80">
        <v>1361057</v>
      </c>
      <c r="G315" s="81"/>
      <c r="H315" s="80">
        <v>653164.43999999994</v>
      </c>
      <c r="I315" s="79">
        <f>H315/F315</f>
        <v>0.47989499337647135</v>
      </c>
    </row>
    <row r="316" spans="1:9" x14ac:dyDescent="0.25">
      <c r="A316" s="76" t="s">
        <v>317</v>
      </c>
      <c r="B316" s="76" t="s">
        <v>331</v>
      </c>
      <c r="C316" s="77">
        <v>41179</v>
      </c>
      <c r="D316" s="78">
        <v>41517</v>
      </c>
      <c r="E316" s="79">
        <v>1.7999999999999999E-2</v>
      </c>
      <c r="F316" s="80"/>
      <c r="G316" s="81">
        <v>73043</v>
      </c>
      <c r="H316" s="80">
        <v>35052.97</v>
      </c>
      <c r="I316" s="79">
        <f>H316/G316</f>
        <v>0.47989499336007557</v>
      </c>
    </row>
    <row r="317" spans="1:9" x14ac:dyDescent="0.25">
      <c r="A317" s="76" t="s">
        <v>594</v>
      </c>
      <c r="B317" s="76" t="s">
        <v>612</v>
      </c>
      <c r="C317" s="77">
        <v>41172</v>
      </c>
      <c r="D317" s="78">
        <v>41536</v>
      </c>
      <c r="E317" s="79">
        <v>0.39600000000000002</v>
      </c>
      <c r="F317" s="80"/>
      <c r="G317" s="81">
        <v>7010</v>
      </c>
      <c r="H317" s="80">
        <v>3360</v>
      </c>
      <c r="I317" s="79">
        <f>H317/G317</f>
        <v>0.47931526390870183</v>
      </c>
    </row>
    <row r="318" spans="1:9" x14ac:dyDescent="0.25">
      <c r="A318" s="70" t="s">
        <v>171</v>
      </c>
      <c r="B318" s="70" t="s">
        <v>88</v>
      </c>
      <c r="C318" s="71">
        <v>40765</v>
      </c>
      <c r="D318" s="72">
        <v>41090</v>
      </c>
      <c r="E318" s="73">
        <v>1.7999999999999999E-2</v>
      </c>
      <c r="F318" s="74">
        <v>448475</v>
      </c>
      <c r="G318" s="75"/>
      <c r="H318" s="74">
        <v>214952</v>
      </c>
      <c r="I318" s="79">
        <f>H318/F318</f>
        <v>0.47929538993254922</v>
      </c>
    </row>
    <row r="319" spans="1:9" x14ac:dyDescent="0.25">
      <c r="A319" s="76" t="s">
        <v>674</v>
      </c>
      <c r="B319" s="76" t="s">
        <v>675</v>
      </c>
      <c r="C319" s="77">
        <v>40911</v>
      </c>
      <c r="D319" s="78">
        <v>41274</v>
      </c>
      <c r="E319" s="79">
        <v>0.47160000000000002</v>
      </c>
      <c r="F319" s="80">
        <v>730406.35</v>
      </c>
      <c r="G319" s="81"/>
      <c r="H319" s="80">
        <v>349050.39</v>
      </c>
      <c r="I319" s="79">
        <f>H319/F319</f>
        <v>0.47788520732329343</v>
      </c>
    </row>
    <row r="320" spans="1:9" x14ac:dyDescent="0.25">
      <c r="A320" s="76" t="s">
        <v>531</v>
      </c>
      <c r="B320" s="76" t="s">
        <v>543</v>
      </c>
      <c r="C320" s="77">
        <v>40848</v>
      </c>
      <c r="D320" s="78">
        <v>41213</v>
      </c>
      <c r="E320" s="79">
        <v>8.9999999999999993E-3</v>
      </c>
      <c r="F320" s="80">
        <v>143783</v>
      </c>
      <c r="G320" s="81"/>
      <c r="H320" s="80">
        <v>68207</v>
      </c>
      <c r="I320" s="79">
        <f>H320/F320</f>
        <v>0.474374578357664</v>
      </c>
    </row>
    <row r="321" spans="1:9" x14ac:dyDescent="0.25">
      <c r="A321" s="70" t="s">
        <v>171</v>
      </c>
      <c r="B321" s="70" t="s">
        <v>33</v>
      </c>
      <c r="C321" s="71">
        <v>40729</v>
      </c>
      <c r="D321" s="72">
        <v>41060</v>
      </c>
      <c r="E321" s="73">
        <v>1.7999999999999999E-2</v>
      </c>
      <c r="F321" s="74">
        <v>479860.5</v>
      </c>
      <c r="G321" s="75"/>
      <c r="H321" s="74">
        <v>227459.92</v>
      </c>
      <c r="I321" s="79">
        <f>H321/F321</f>
        <v>0.47401259324324468</v>
      </c>
    </row>
    <row r="322" spans="1:9" x14ac:dyDescent="0.25">
      <c r="A322" s="76" t="s">
        <v>578</v>
      </c>
      <c r="B322" s="76" t="s">
        <v>1970</v>
      </c>
      <c r="C322" s="77">
        <v>40848</v>
      </c>
      <c r="D322" s="77">
        <v>41213</v>
      </c>
      <c r="E322" s="79">
        <v>8.9999999999999993E-3</v>
      </c>
      <c r="F322" s="80">
        <v>39794</v>
      </c>
      <c r="G322" s="88"/>
      <c r="H322" s="80">
        <v>18708.400000000001</v>
      </c>
      <c r="I322" s="79">
        <f>H322/F322</f>
        <v>0.47013117555410366</v>
      </c>
    </row>
    <row r="323" spans="1:9" x14ac:dyDescent="0.25">
      <c r="A323" s="76" t="s">
        <v>531</v>
      </c>
      <c r="B323" s="76" t="s">
        <v>543</v>
      </c>
      <c r="C323" s="77">
        <v>40848</v>
      </c>
      <c r="D323" s="78">
        <v>41213</v>
      </c>
      <c r="E323" s="79">
        <v>8.9999999999999993E-3</v>
      </c>
      <c r="F323" s="80"/>
      <c r="G323" s="81">
        <v>4150</v>
      </c>
      <c r="H323" s="80">
        <v>1950</v>
      </c>
      <c r="I323" s="79">
        <f>H323/G323</f>
        <v>0.46987951807228917</v>
      </c>
    </row>
    <row r="324" spans="1:9" x14ac:dyDescent="0.25">
      <c r="A324" s="76" t="s">
        <v>243</v>
      </c>
      <c r="B324" s="76" t="s">
        <v>245</v>
      </c>
      <c r="C324" s="77">
        <v>40665</v>
      </c>
      <c r="D324" s="78">
        <v>40999</v>
      </c>
      <c r="E324" s="79">
        <v>1.7999999999999999E-2</v>
      </c>
      <c r="F324" s="80">
        <v>24631</v>
      </c>
      <c r="G324" s="88"/>
      <c r="H324" s="80">
        <v>11515.17</v>
      </c>
      <c r="I324" s="79">
        <f>H324/F324</f>
        <v>0.4675072063659616</v>
      </c>
    </row>
    <row r="325" spans="1:9" x14ac:dyDescent="0.25">
      <c r="A325" s="76" t="s">
        <v>643</v>
      </c>
      <c r="B325" s="76" t="s">
        <v>247</v>
      </c>
      <c r="C325" s="77">
        <v>40954</v>
      </c>
      <c r="D325" s="78">
        <v>41274</v>
      </c>
      <c r="E325" s="79">
        <v>4.4999999999999997E-3</v>
      </c>
      <c r="F325" s="80"/>
      <c r="G325" s="81">
        <v>2810</v>
      </c>
      <c r="H325" s="80">
        <v>1304</v>
      </c>
      <c r="I325" s="79">
        <f>H325/G325</f>
        <v>0.46405693950177934</v>
      </c>
    </row>
    <row r="326" spans="1:9" x14ac:dyDescent="0.25">
      <c r="A326" s="76" t="s">
        <v>613</v>
      </c>
      <c r="B326" s="76" t="s">
        <v>22</v>
      </c>
      <c r="C326" s="77">
        <v>41173</v>
      </c>
      <c r="D326" s="78">
        <v>41455</v>
      </c>
      <c r="E326" s="79">
        <v>1.7999999999999999E-2</v>
      </c>
      <c r="F326" s="80">
        <v>165364</v>
      </c>
      <c r="G326" s="81"/>
      <c r="H326" s="80">
        <v>76635</v>
      </c>
      <c r="I326" s="79">
        <f>H326/F326</f>
        <v>0.46343218596550639</v>
      </c>
    </row>
    <row r="327" spans="1:9" x14ac:dyDescent="0.25">
      <c r="A327" s="76" t="s">
        <v>674</v>
      </c>
      <c r="B327" s="76" t="s">
        <v>675</v>
      </c>
      <c r="C327" s="77">
        <v>40911</v>
      </c>
      <c r="D327" s="78">
        <v>41274</v>
      </c>
      <c r="E327" s="79">
        <v>0.47160000000000002</v>
      </c>
      <c r="F327" s="80"/>
      <c r="G327" s="81">
        <v>23603.37</v>
      </c>
      <c r="H327" s="80">
        <v>10927.11</v>
      </c>
      <c r="I327" s="79">
        <f>H327/G327</f>
        <v>0.46294702832688728</v>
      </c>
    </row>
    <row r="328" spans="1:9" x14ac:dyDescent="0.25">
      <c r="A328" s="70" t="s">
        <v>171</v>
      </c>
      <c r="B328" s="70" t="s">
        <v>182</v>
      </c>
      <c r="C328" s="71">
        <v>40725</v>
      </c>
      <c r="D328" s="72">
        <v>41090</v>
      </c>
      <c r="E328" s="73">
        <v>1.7999999999999999E-2</v>
      </c>
      <c r="F328" s="74">
        <v>585288</v>
      </c>
      <c r="G328" s="75"/>
      <c r="H328" s="74">
        <v>270184</v>
      </c>
      <c r="I328" s="79">
        <f>H328/F328</f>
        <v>0.46162572955536418</v>
      </c>
    </row>
    <row r="329" spans="1:9" x14ac:dyDescent="0.25">
      <c r="A329" s="76" t="s">
        <v>491</v>
      </c>
      <c r="B329" s="76" t="s">
        <v>498</v>
      </c>
      <c r="C329" s="77">
        <v>41169</v>
      </c>
      <c r="D329" s="78">
        <v>41208</v>
      </c>
      <c r="E329" s="79">
        <v>0.46</v>
      </c>
      <c r="F329" s="80">
        <v>102538</v>
      </c>
      <c r="G329" s="88"/>
      <c r="H329" s="80">
        <v>47167.48</v>
      </c>
      <c r="I329" s="79">
        <f>H329/F329</f>
        <v>0.46</v>
      </c>
    </row>
    <row r="330" spans="1:9" x14ac:dyDescent="0.25">
      <c r="A330" s="76" t="s">
        <v>531</v>
      </c>
      <c r="B330" s="76" t="s">
        <v>22</v>
      </c>
      <c r="C330" s="77">
        <v>40760</v>
      </c>
      <c r="D330" s="78">
        <v>41090</v>
      </c>
      <c r="E330" s="79">
        <v>8.9999999999999993E-3</v>
      </c>
      <c r="F330" s="80"/>
      <c r="G330" s="81">
        <v>5096</v>
      </c>
      <c r="H330" s="80">
        <v>2344</v>
      </c>
      <c r="I330" s="79">
        <f>H330/G330</f>
        <v>0.4599686028257457</v>
      </c>
    </row>
    <row r="331" spans="1:9" x14ac:dyDescent="0.25">
      <c r="A331" s="76" t="s">
        <v>449</v>
      </c>
      <c r="B331" s="76" t="s">
        <v>117</v>
      </c>
      <c r="C331" s="77">
        <v>40603</v>
      </c>
      <c r="D331" s="78">
        <v>40967</v>
      </c>
      <c r="E331" s="79">
        <v>0</v>
      </c>
      <c r="F331" s="80">
        <v>370915</v>
      </c>
      <c r="G331" s="81"/>
      <c r="H331" s="80">
        <v>170289</v>
      </c>
      <c r="I331" s="79">
        <f>H331/F331</f>
        <v>0.45910518582424542</v>
      </c>
    </row>
    <row r="332" spans="1:9" x14ac:dyDescent="0.25">
      <c r="A332" s="76" t="s">
        <v>594</v>
      </c>
      <c r="B332" s="76" t="s">
        <v>598</v>
      </c>
      <c r="C332" s="77">
        <v>41179</v>
      </c>
      <c r="D332" s="78">
        <v>41543</v>
      </c>
      <c r="E332" s="79">
        <v>0.45</v>
      </c>
      <c r="F332" s="80"/>
      <c r="G332" s="81">
        <v>15074</v>
      </c>
      <c r="H332" s="80">
        <v>6917.42</v>
      </c>
      <c r="I332" s="79">
        <f>H332/G332</f>
        <v>0.45889743929945603</v>
      </c>
    </row>
    <row r="333" spans="1:9" x14ac:dyDescent="0.25">
      <c r="A333" s="76" t="s">
        <v>531</v>
      </c>
      <c r="B333" s="76" t="s">
        <v>22</v>
      </c>
      <c r="C333" s="77">
        <v>40760</v>
      </c>
      <c r="D333" s="78">
        <v>41090</v>
      </c>
      <c r="E333" s="79">
        <v>8.9999999999999993E-3</v>
      </c>
      <c r="F333" s="80">
        <v>223465</v>
      </c>
      <c r="G333" s="81"/>
      <c r="H333" s="80">
        <v>101828</v>
      </c>
      <c r="I333" s="79">
        <f>H333/F333</f>
        <v>0.45567762289396552</v>
      </c>
    </row>
    <row r="334" spans="1:9" x14ac:dyDescent="0.25">
      <c r="A334" s="76" t="s">
        <v>643</v>
      </c>
      <c r="B334" s="76" t="s">
        <v>117</v>
      </c>
      <c r="C334" s="77">
        <v>40585</v>
      </c>
      <c r="D334" s="78">
        <v>40949</v>
      </c>
      <c r="E334" s="79">
        <v>4.4999999999999997E-3</v>
      </c>
      <c r="F334" s="80">
        <v>419020.47</v>
      </c>
      <c r="G334" s="81"/>
      <c r="H334" s="80">
        <v>190859.47</v>
      </c>
      <c r="I334" s="79">
        <f>H334/F334</f>
        <v>0.45548960889667278</v>
      </c>
    </row>
    <row r="335" spans="1:9" x14ac:dyDescent="0.25">
      <c r="A335" s="76" t="s">
        <v>643</v>
      </c>
      <c r="B335" s="76" t="s">
        <v>649</v>
      </c>
      <c r="C335" s="77">
        <v>40754</v>
      </c>
      <c r="D335" s="78">
        <v>41119</v>
      </c>
      <c r="E335" s="79">
        <v>4.4999999999999997E-3</v>
      </c>
      <c r="F335" s="80">
        <v>60177.67</v>
      </c>
      <c r="G335" s="81"/>
      <c r="H335" s="80">
        <v>27348.87</v>
      </c>
      <c r="I335" s="79">
        <f>H335/F335</f>
        <v>0.45446874230923195</v>
      </c>
    </row>
    <row r="336" spans="1:9" x14ac:dyDescent="0.25">
      <c r="A336" s="76" t="s">
        <v>643</v>
      </c>
      <c r="B336" s="76" t="s">
        <v>649</v>
      </c>
      <c r="C336" s="77">
        <v>40754</v>
      </c>
      <c r="D336" s="78">
        <v>41119</v>
      </c>
      <c r="E336" s="79">
        <v>4.4999999999999997E-3</v>
      </c>
      <c r="F336" s="80"/>
      <c r="G336" s="81">
        <v>2484</v>
      </c>
      <c r="H336" s="80">
        <v>1124</v>
      </c>
      <c r="I336" s="79">
        <f>H336/G336</f>
        <v>0.45249597423510468</v>
      </c>
    </row>
    <row r="337" spans="1:9" x14ac:dyDescent="0.25">
      <c r="A337" s="76" t="s">
        <v>315</v>
      </c>
      <c r="B337" s="76" t="s">
        <v>331</v>
      </c>
      <c r="C337" s="77">
        <v>40794</v>
      </c>
      <c r="D337" s="78">
        <v>41152</v>
      </c>
      <c r="E337" s="79">
        <v>1.7999999999999999E-2</v>
      </c>
      <c r="F337" s="80">
        <v>1342198</v>
      </c>
      <c r="G337" s="81"/>
      <c r="H337" s="80">
        <v>607268.4</v>
      </c>
      <c r="I337" s="79">
        <f>H337/F337</f>
        <v>0.45244323117751628</v>
      </c>
    </row>
    <row r="338" spans="1:9" x14ac:dyDescent="0.25">
      <c r="A338" s="76" t="s">
        <v>315</v>
      </c>
      <c r="B338" s="76" t="s">
        <v>331</v>
      </c>
      <c r="C338" s="77">
        <v>40794</v>
      </c>
      <c r="D338" s="78">
        <v>41152</v>
      </c>
      <c r="E338" s="79">
        <v>1.7999999999999999E-2</v>
      </c>
      <c r="F338" s="80"/>
      <c r="G338" s="81">
        <v>74995</v>
      </c>
      <c r="H338" s="80">
        <v>33930.980000000003</v>
      </c>
      <c r="I338" s="79">
        <f>H338/G338</f>
        <v>0.45244322954863664</v>
      </c>
    </row>
    <row r="339" spans="1:9" x14ac:dyDescent="0.25">
      <c r="A339" s="76" t="s">
        <v>643</v>
      </c>
      <c r="B339" s="76" t="s">
        <v>648</v>
      </c>
      <c r="C339" s="77">
        <v>41061</v>
      </c>
      <c r="D339" s="78">
        <v>41394</v>
      </c>
      <c r="E339" s="79">
        <v>4.4999999999999997E-3</v>
      </c>
      <c r="F339" s="80">
        <v>196454.05</v>
      </c>
      <c r="G339" s="81"/>
      <c r="H339" s="80">
        <v>88882.55</v>
      </c>
      <c r="I339" s="79">
        <f>H339/F339</f>
        <v>0.45243429697682491</v>
      </c>
    </row>
    <row r="340" spans="1:9" x14ac:dyDescent="0.25">
      <c r="A340" s="76" t="s">
        <v>643</v>
      </c>
      <c r="B340" s="76" t="s">
        <v>117</v>
      </c>
      <c r="C340" s="77">
        <v>40585</v>
      </c>
      <c r="D340" s="78">
        <v>40949</v>
      </c>
      <c r="E340" s="79">
        <v>4.4999999999999997E-3</v>
      </c>
      <c r="F340" s="80"/>
      <c r="G340" s="81">
        <v>34994.19</v>
      </c>
      <c r="H340" s="80">
        <v>15829.19</v>
      </c>
      <c r="I340" s="79">
        <f>H340/G340</f>
        <v>0.45233765948004512</v>
      </c>
    </row>
    <row r="341" spans="1:9" x14ac:dyDescent="0.25">
      <c r="A341" s="70" t="s">
        <v>146</v>
      </c>
      <c r="B341" s="70" t="s">
        <v>149</v>
      </c>
      <c r="C341" s="71">
        <v>40575</v>
      </c>
      <c r="D341" s="72">
        <v>40939</v>
      </c>
      <c r="E341" s="101">
        <v>4.4999999999999999E-4</v>
      </c>
      <c r="F341" s="74">
        <v>119726.91</v>
      </c>
      <c r="G341" s="75"/>
      <c r="H341" s="74">
        <v>54097.599999999999</v>
      </c>
      <c r="I341" s="73">
        <v>0.45184161188157279</v>
      </c>
    </row>
    <row r="342" spans="1:9" x14ac:dyDescent="0.25">
      <c r="A342" s="76" t="s">
        <v>594</v>
      </c>
      <c r="B342" s="76" t="s">
        <v>603</v>
      </c>
      <c r="C342" s="77">
        <v>40900</v>
      </c>
      <c r="D342" s="78">
        <v>41090</v>
      </c>
      <c r="E342" s="79">
        <v>0.26100000000000001</v>
      </c>
      <c r="F342" s="80">
        <v>85377</v>
      </c>
      <c r="G342" s="81"/>
      <c r="H342" s="80">
        <v>38475.550000000003</v>
      </c>
      <c r="I342" s="79">
        <f>H342/F342</f>
        <v>0.4506547430806892</v>
      </c>
    </row>
    <row r="343" spans="1:9" x14ac:dyDescent="0.25">
      <c r="A343" s="76" t="s">
        <v>594</v>
      </c>
      <c r="B343" s="76" t="s">
        <v>603</v>
      </c>
      <c r="C343" s="77">
        <v>40900</v>
      </c>
      <c r="D343" s="78">
        <v>41090</v>
      </c>
      <c r="E343" s="79">
        <v>0.26100000000000001</v>
      </c>
      <c r="F343" s="80"/>
      <c r="G343" s="81">
        <v>4760</v>
      </c>
      <c r="H343" s="80">
        <v>2142.9</v>
      </c>
      <c r="I343" s="79">
        <f>H343/G343</f>
        <v>0.45018907563025212</v>
      </c>
    </row>
    <row r="344" spans="1:9" x14ac:dyDescent="0.25">
      <c r="A344" s="70" t="s">
        <v>38</v>
      </c>
      <c r="B344" s="70" t="s">
        <v>55</v>
      </c>
      <c r="C344" s="71">
        <v>40959</v>
      </c>
      <c r="D344" s="72">
        <v>41316</v>
      </c>
      <c r="E344" s="73">
        <v>0.40500000000000003</v>
      </c>
      <c r="F344" s="74"/>
      <c r="G344" s="75">
        <v>10579.97</v>
      </c>
      <c r="H344" s="74">
        <v>4760.99</v>
      </c>
      <c r="I344" s="73">
        <v>0.45000033081379248</v>
      </c>
    </row>
    <row r="345" spans="1:9" x14ac:dyDescent="0.25">
      <c r="A345" s="76" t="s">
        <v>491</v>
      </c>
      <c r="B345" s="76" t="s">
        <v>497</v>
      </c>
      <c r="C345" s="77">
        <v>41113</v>
      </c>
      <c r="D345" s="78">
        <v>41131</v>
      </c>
      <c r="E345" s="79">
        <v>0.45</v>
      </c>
      <c r="F345" s="80">
        <v>82119.5</v>
      </c>
      <c r="G345" s="88"/>
      <c r="H345" s="80">
        <v>36953.78</v>
      </c>
      <c r="I345" s="79">
        <f>H345/F345</f>
        <v>0.45000006088687827</v>
      </c>
    </row>
    <row r="346" spans="1:9" x14ac:dyDescent="0.25">
      <c r="A346" s="70" t="s">
        <v>38</v>
      </c>
      <c r="B346" s="70" t="s">
        <v>39</v>
      </c>
      <c r="C346" s="71">
        <v>40549</v>
      </c>
      <c r="D346" s="72">
        <v>40913</v>
      </c>
      <c r="E346" s="73">
        <v>0.45</v>
      </c>
      <c r="F346" s="74"/>
      <c r="G346" s="75">
        <v>94803</v>
      </c>
      <c r="H346" s="74">
        <v>42661.35</v>
      </c>
      <c r="I346" s="73">
        <v>0.45</v>
      </c>
    </row>
    <row r="347" spans="1:9" x14ac:dyDescent="0.25">
      <c r="A347" s="70" t="s">
        <v>38</v>
      </c>
      <c r="B347" s="70" t="s">
        <v>39</v>
      </c>
      <c r="C347" s="71">
        <v>40914</v>
      </c>
      <c r="D347" s="72">
        <v>41279</v>
      </c>
      <c r="E347" s="73">
        <v>0.45</v>
      </c>
      <c r="F347" s="74"/>
      <c r="G347" s="75">
        <v>56990</v>
      </c>
      <c r="H347" s="74">
        <v>25645.5</v>
      </c>
      <c r="I347" s="73">
        <v>0.45</v>
      </c>
    </row>
    <row r="348" spans="1:9" x14ac:dyDescent="0.25">
      <c r="A348" s="70" t="s">
        <v>38</v>
      </c>
      <c r="B348" s="70" t="s">
        <v>53</v>
      </c>
      <c r="C348" s="71">
        <v>40861</v>
      </c>
      <c r="D348" s="72">
        <v>41186</v>
      </c>
      <c r="E348" s="73">
        <v>0.40500000000000003</v>
      </c>
      <c r="F348" s="74"/>
      <c r="G348" s="75">
        <v>6694.2</v>
      </c>
      <c r="H348" s="74">
        <v>3012.39</v>
      </c>
      <c r="I348" s="73">
        <v>0.45</v>
      </c>
    </row>
    <row r="349" spans="1:9" x14ac:dyDescent="0.25">
      <c r="A349" s="70" t="s">
        <v>38</v>
      </c>
      <c r="B349" s="70" t="s">
        <v>46</v>
      </c>
      <c r="C349" s="71">
        <v>40787</v>
      </c>
      <c r="D349" s="72">
        <v>41152</v>
      </c>
      <c r="E349" s="73">
        <v>0.40500000000000003</v>
      </c>
      <c r="F349" s="74"/>
      <c r="G349" s="75">
        <v>2360</v>
      </c>
      <c r="H349" s="74">
        <v>1062</v>
      </c>
      <c r="I349" s="73">
        <v>0.45</v>
      </c>
    </row>
    <row r="350" spans="1:9" x14ac:dyDescent="0.25">
      <c r="A350" s="70" t="s">
        <v>38</v>
      </c>
      <c r="B350" s="70" t="s">
        <v>41</v>
      </c>
      <c r="C350" s="71">
        <v>40634</v>
      </c>
      <c r="D350" s="72">
        <v>40999</v>
      </c>
      <c r="E350" s="73">
        <v>0.40500000000000003</v>
      </c>
      <c r="F350" s="74"/>
      <c r="G350" s="75">
        <v>78101</v>
      </c>
      <c r="H350" s="74">
        <v>35145.449999999997</v>
      </c>
      <c r="I350" s="73">
        <v>0.44999999999999996</v>
      </c>
    </row>
    <row r="351" spans="1:9" x14ac:dyDescent="0.25">
      <c r="A351" s="76" t="s">
        <v>491</v>
      </c>
      <c r="B351" s="76" t="s">
        <v>496</v>
      </c>
      <c r="C351" s="77">
        <v>41085</v>
      </c>
      <c r="D351" s="78">
        <v>41110</v>
      </c>
      <c r="E351" s="79">
        <v>0.45</v>
      </c>
      <c r="F351" s="80">
        <v>61893</v>
      </c>
      <c r="G351" s="88"/>
      <c r="H351" s="80">
        <v>27851.85</v>
      </c>
      <c r="I351" s="79">
        <f>H351/F351</f>
        <v>0.44999999999999996</v>
      </c>
    </row>
    <row r="352" spans="1:9" x14ac:dyDescent="0.25">
      <c r="A352" s="70" t="s">
        <v>38</v>
      </c>
      <c r="B352" s="70" t="s">
        <v>40</v>
      </c>
      <c r="C352" s="71">
        <v>40633</v>
      </c>
      <c r="D352" s="72">
        <v>40998</v>
      </c>
      <c r="E352" s="73">
        <v>0.40500000000000003</v>
      </c>
      <c r="F352" s="74"/>
      <c r="G352" s="75">
        <v>278405.68</v>
      </c>
      <c r="H352" s="74">
        <v>125282.55</v>
      </c>
      <c r="I352" s="73">
        <v>0.44999997844871559</v>
      </c>
    </row>
    <row r="353" spans="1:9" x14ac:dyDescent="0.25">
      <c r="A353" s="70" t="s">
        <v>38</v>
      </c>
      <c r="B353" s="70" t="s">
        <v>45</v>
      </c>
      <c r="C353" s="71">
        <v>40787</v>
      </c>
      <c r="D353" s="72">
        <v>41152</v>
      </c>
      <c r="E353" s="73">
        <v>0.45</v>
      </c>
      <c r="F353" s="74"/>
      <c r="G353" s="75">
        <v>812907.87</v>
      </c>
      <c r="H353" s="74">
        <v>365808.52</v>
      </c>
      <c r="I353" s="73">
        <v>0.44999997355173843</v>
      </c>
    </row>
    <row r="354" spans="1:9" x14ac:dyDescent="0.25">
      <c r="A354" s="70" t="s">
        <v>38</v>
      </c>
      <c r="B354" s="70" t="s">
        <v>50</v>
      </c>
      <c r="C354" s="71">
        <v>40878</v>
      </c>
      <c r="D354" s="72">
        <v>41243</v>
      </c>
      <c r="E354" s="73">
        <v>0.45</v>
      </c>
      <c r="F354" s="74"/>
      <c r="G354" s="75">
        <v>266503.34999999998</v>
      </c>
      <c r="H354" s="74">
        <v>119926.5</v>
      </c>
      <c r="I354" s="73">
        <v>0.44999997185776469</v>
      </c>
    </row>
    <row r="355" spans="1:9" x14ac:dyDescent="0.25">
      <c r="A355" s="70" t="s">
        <v>38</v>
      </c>
      <c r="B355" s="70" t="s">
        <v>47</v>
      </c>
      <c r="C355" s="71">
        <v>40848</v>
      </c>
      <c r="D355" s="72">
        <v>41213</v>
      </c>
      <c r="E355" s="73">
        <v>0.40500000000000003</v>
      </c>
      <c r="F355" s="74"/>
      <c r="G355" s="75">
        <v>455843.72</v>
      </c>
      <c r="H355" s="74">
        <v>205129.66</v>
      </c>
      <c r="I355" s="73">
        <v>0.44999996928771996</v>
      </c>
    </row>
    <row r="356" spans="1:9" x14ac:dyDescent="0.25">
      <c r="A356" s="70" t="s">
        <v>38</v>
      </c>
      <c r="B356" s="70" t="s">
        <v>42</v>
      </c>
      <c r="C356" s="71">
        <v>40710</v>
      </c>
      <c r="D356" s="72">
        <v>41075</v>
      </c>
      <c r="E356" s="73">
        <v>0.40500000000000003</v>
      </c>
      <c r="F356" s="74"/>
      <c r="G356" s="75">
        <v>95609.42</v>
      </c>
      <c r="H356" s="74">
        <v>43024.23</v>
      </c>
      <c r="I356" s="73">
        <v>0.44999990586701605</v>
      </c>
    </row>
    <row r="357" spans="1:9" x14ac:dyDescent="0.25">
      <c r="A357" s="70" t="s">
        <v>38</v>
      </c>
      <c r="B357" s="70" t="s">
        <v>48</v>
      </c>
      <c r="C357" s="71">
        <v>40863</v>
      </c>
      <c r="D357" s="72">
        <v>41228</v>
      </c>
      <c r="E357" s="73">
        <v>0.40500000000000003</v>
      </c>
      <c r="F357" s="74"/>
      <c r="G357" s="75">
        <v>203365.8</v>
      </c>
      <c r="H357" s="74">
        <v>91514.59</v>
      </c>
      <c r="I357" s="73">
        <v>0.44999990165504722</v>
      </c>
    </row>
    <row r="358" spans="1:9" x14ac:dyDescent="0.25">
      <c r="A358" s="76" t="s">
        <v>594</v>
      </c>
      <c r="B358" s="76" t="s">
        <v>598</v>
      </c>
      <c r="C358" s="77">
        <v>40813</v>
      </c>
      <c r="D358" s="78">
        <v>41178</v>
      </c>
      <c r="E358" s="79">
        <v>0.45</v>
      </c>
      <c r="F358" s="80"/>
      <c r="G358" s="81">
        <v>14994</v>
      </c>
      <c r="H358" s="80">
        <v>6716.92</v>
      </c>
      <c r="I358" s="79">
        <f>H358/G358</f>
        <v>0.44797385620915031</v>
      </c>
    </row>
    <row r="359" spans="1:9" x14ac:dyDescent="0.25">
      <c r="A359" s="76" t="s">
        <v>594</v>
      </c>
      <c r="B359" s="76" t="s">
        <v>598</v>
      </c>
      <c r="C359" s="77">
        <v>40813</v>
      </c>
      <c r="D359" s="78">
        <v>41178</v>
      </c>
      <c r="E359" s="79">
        <v>0.45</v>
      </c>
      <c r="F359" s="80">
        <v>38512.93</v>
      </c>
      <c r="G359" s="81"/>
      <c r="H359" s="80">
        <v>17252.78</v>
      </c>
      <c r="I359" s="93">
        <f>H359/F359</f>
        <v>0.44797370649285834</v>
      </c>
    </row>
    <row r="360" spans="1:9" x14ac:dyDescent="0.25">
      <c r="A360" s="76" t="s">
        <v>375</v>
      </c>
      <c r="B360" s="76" t="s">
        <v>381</v>
      </c>
      <c r="C360" s="77">
        <v>41136</v>
      </c>
      <c r="D360" s="78">
        <v>41165</v>
      </c>
      <c r="E360" s="79">
        <v>4.4999999999999998E-2</v>
      </c>
      <c r="F360" s="80"/>
      <c r="G360" s="81">
        <v>14530</v>
      </c>
      <c r="H360" s="80">
        <v>6498</v>
      </c>
      <c r="I360" s="79">
        <f>H360/G360</f>
        <v>0.44721266345492083</v>
      </c>
    </row>
    <row r="361" spans="1:9" x14ac:dyDescent="0.25">
      <c r="A361" s="76" t="s">
        <v>692</v>
      </c>
      <c r="B361" s="76" t="s">
        <v>107</v>
      </c>
      <c r="C361" s="77">
        <v>41091</v>
      </c>
      <c r="D361" s="78">
        <v>41274</v>
      </c>
      <c r="E361" s="79">
        <v>8.9999999999999993E-3</v>
      </c>
      <c r="F361" s="80">
        <v>36404</v>
      </c>
      <c r="G361" s="81"/>
      <c r="H361" s="80">
        <v>16217</v>
      </c>
      <c r="I361" s="79">
        <f>H361/F361</f>
        <v>0.44547302494231406</v>
      </c>
    </row>
    <row r="362" spans="1:9" x14ac:dyDescent="0.25">
      <c r="A362" s="76" t="s">
        <v>317</v>
      </c>
      <c r="B362" s="76" t="s">
        <v>19</v>
      </c>
      <c r="C362" s="77">
        <v>40621</v>
      </c>
      <c r="D362" s="78">
        <v>40968</v>
      </c>
      <c r="E362" s="79">
        <v>1.7999999999999999E-2</v>
      </c>
      <c r="F362" s="80"/>
      <c r="G362" s="81">
        <v>364995.2</v>
      </c>
      <c r="H362" s="80">
        <v>162321.39000000001</v>
      </c>
      <c r="I362" s="79">
        <f>H362/G362</f>
        <v>0.44472198538501329</v>
      </c>
    </row>
    <row r="363" spans="1:9" x14ac:dyDescent="0.25">
      <c r="A363" s="76" t="s">
        <v>317</v>
      </c>
      <c r="B363" s="76" t="s">
        <v>19</v>
      </c>
      <c r="C363" s="77">
        <v>40621</v>
      </c>
      <c r="D363" s="78">
        <v>40968</v>
      </c>
      <c r="E363" s="79">
        <v>1.7999999999999999E-2</v>
      </c>
      <c r="F363" s="80">
        <v>7051288.9100000001</v>
      </c>
      <c r="G363" s="81"/>
      <c r="H363" s="80">
        <v>3135863.15</v>
      </c>
      <c r="I363" s="79">
        <f>H363/F363</f>
        <v>0.44472197778661149</v>
      </c>
    </row>
    <row r="364" spans="1:9" x14ac:dyDescent="0.25">
      <c r="A364" s="76" t="s">
        <v>262</v>
      </c>
      <c r="B364" s="76" t="s">
        <v>179</v>
      </c>
      <c r="C364" s="77">
        <v>41220</v>
      </c>
      <c r="D364" s="78">
        <v>41455</v>
      </c>
      <c r="E364" s="79">
        <v>8.9999999999999993E-3</v>
      </c>
      <c r="F364" s="80">
        <v>161125.25</v>
      </c>
      <c r="G364" s="81"/>
      <c r="H364" s="80">
        <v>71497.95</v>
      </c>
      <c r="I364" s="79">
        <f>H364/F364</f>
        <v>0.4437414371738756</v>
      </c>
    </row>
    <row r="365" spans="1:9" x14ac:dyDescent="0.25">
      <c r="A365" s="76" t="s">
        <v>246</v>
      </c>
      <c r="B365" s="76" t="s">
        <v>248</v>
      </c>
      <c r="C365" s="77">
        <v>40909</v>
      </c>
      <c r="D365" s="78">
        <v>41274</v>
      </c>
      <c r="E365" s="79">
        <v>0</v>
      </c>
      <c r="F365" s="80">
        <v>209718.28</v>
      </c>
      <c r="G365" s="81"/>
      <c r="H365" s="80">
        <v>92957.71</v>
      </c>
      <c r="I365" s="79">
        <f>H365/F365</f>
        <v>0.44325039286036488</v>
      </c>
    </row>
    <row r="366" spans="1:9" x14ac:dyDescent="0.25">
      <c r="A366" s="76" t="s">
        <v>531</v>
      </c>
      <c r="B366" s="76" t="s">
        <v>534</v>
      </c>
      <c r="C366" s="77">
        <v>40726</v>
      </c>
      <c r="D366" s="78">
        <v>41029</v>
      </c>
      <c r="E366" s="79">
        <v>8.9999999999999993E-3</v>
      </c>
      <c r="F366" s="80"/>
      <c r="G366" s="81">
        <v>3341</v>
      </c>
      <c r="H366" s="80">
        <v>1479</v>
      </c>
      <c r="I366" s="79">
        <f>H366/G366</f>
        <v>0.44268183178689013</v>
      </c>
    </row>
    <row r="367" spans="1:9" x14ac:dyDescent="0.25">
      <c r="A367" s="76" t="s">
        <v>594</v>
      </c>
      <c r="B367" s="76" t="s">
        <v>138</v>
      </c>
      <c r="C367" s="77">
        <v>41180</v>
      </c>
      <c r="D367" s="78">
        <v>41333</v>
      </c>
      <c r="E367" s="79">
        <v>0.45</v>
      </c>
      <c r="F367" s="80">
        <v>70906</v>
      </c>
      <c r="G367" s="81"/>
      <c r="H367" s="80">
        <v>31307.75</v>
      </c>
      <c r="I367" s="79">
        <f>H367/F367</f>
        <v>0.44153879784503425</v>
      </c>
    </row>
    <row r="368" spans="1:9" x14ac:dyDescent="0.25">
      <c r="A368" s="76" t="s">
        <v>491</v>
      </c>
      <c r="B368" s="76" t="s">
        <v>493</v>
      </c>
      <c r="C368" s="77">
        <v>40966</v>
      </c>
      <c r="D368" s="78">
        <v>41019</v>
      </c>
      <c r="E368" s="79">
        <v>0.40500000000000003</v>
      </c>
      <c r="F368" s="80">
        <v>134741</v>
      </c>
      <c r="G368" s="88"/>
      <c r="H368" s="80">
        <v>59488.83</v>
      </c>
      <c r="I368" s="79">
        <f>H368/F368</f>
        <v>0.44150503558679244</v>
      </c>
    </row>
    <row r="369" spans="1:9" x14ac:dyDescent="0.25">
      <c r="A369" s="76" t="s">
        <v>449</v>
      </c>
      <c r="B369" s="76" t="s">
        <v>475</v>
      </c>
      <c r="C369" s="77">
        <v>41153</v>
      </c>
      <c r="D369" s="78">
        <v>41517</v>
      </c>
      <c r="E369" s="79">
        <v>0</v>
      </c>
      <c r="F369" s="80">
        <v>141151</v>
      </c>
      <c r="G369" s="81"/>
      <c r="H369" s="80">
        <v>62230</v>
      </c>
      <c r="I369" s="79">
        <f>H369/F369</f>
        <v>0.44087537459883386</v>
      </c>
    </row>
    <row r="370" spans="1:9" x14ac:dyDescent="0.25">
      <c r="A370" s="76" t="s">
        <v>594</v>
      </c>
      <c r="B370" s="76" t="s">
        <v>138</v>
      </c>
      <c r="C370" s="77">
        <v>41180</v>
      </c>
      <c r="D370" s="78">
        <v>41333</v>
      </c>
      <c r="E370" s="79">
        <v>0.45</v>
      </c>
      <c r="F370" s="80"/>
      <c r="G370" s="81">
        <v>62314</v>
      </c>
      <c r="H370" s="80">
        <v>27467.54</v>
      </c>
      <c r="I370" s="79">
        <f>H370/G370</f>
        <v>0.44079243829636999</v>
      </c>
    </row>
    <row r="371" spans="1:9" x14ac:dyDescent="0.25">
      <c r="A371" s="70" t="s">
        <v>146</v>
      </c>
      <c r="B371" s="70" t="s">
        <v>164</v>
      </c>
      <c r="C371" s="71">
        <v>40725</v>
      </c>
      <c r="D371" s="72">
        <v>41060</v>
      </c>
      <c r="E371" s="101">
        <v>4.4999999999999999E-4</v>
      </c>
      <c r="F371" s="74">
        <v>358417.24</v>
      </c>
      <c r="G371" s="75"/>
      <c r="H371" s="74">
        <v>157412.82</v>
      </c>
      <c r="I371" s="73">
        <v>0.43918875107681765</v>
      </c>
    </row>
    <row r="372" spans="1:9" x14ac:dyDescent="0.25">
      <c r="A372" s="76" t="s">
        <v>171</v>
      </c>
      <c r="B372" s="76" t="s">
        <v>28</v>
      </c>
      <c r="C372" s="77">
        <v>40956</v>
      </c>
      <c r="D372" s="78">
        <v>41305</v>
      </c>
      <c r="E372" s="79">
        <v>1.7999999999999999E-2</v>
      </c>
      <c r="F372" s="80">
        <v>66668</v>
      </c>
      <c r="G372" s="81"/>
      <c r="H372" s="80">
        <v>29265.919999999998</v>
      </c>
      <c r="I372" s="79">
        <f>H372/F372</f>
        <v>0.438980020399592</v>
      </c>
    </row>
    <row r="373" spans="1:9" x14ac:dyDescent="0.25">
      <c r="A373" s="76" t="s">
        <v>270</v>
      </c>
      <c r="B373" s="76" t="s">
        <v>277</v>
      </c>
      <c r="C373" s="77">
        <v>40909</v>
      </c>
      <c r="D373" s="78">
        <v>41274</v>
      </c>
      <c r="E373" s="79">
        <v>0.09</v>
      </c>
      <c r="F373" s="80">
        <v>2532457.46</v>
      </c>
      <c r="G373" s="81"/>
      <c r="H373" s="80">
        <v>1107399.33</v>
      </c>
      <c r="I373" s="79">
        <f>H373/F373</f>
        <v>0.43728250029518761</v>
      </c>
    </row>
    <row r="374" spans="1:9" x14ac:dyDescent="0.25">
      <c r="A374" s="76" t="s">
        <v>317</v>
      </c>
      <c r="B374" s="76" t="s">
        <v>167</v>
      </c>
      <c r="C374" s="77">
        <v>40909</v>
      </c>
      <c r="D374" s="78">
        <v>41274</v>
      </c>
      <c r="E374" s="79">
        <v>8.9999999999999998E-4</v>
      </c>
      <c r="F374" s="80">
        <v>2192928.2599999998</v>
      </c>
      <c r="G374" s="81"/>
      <c r="H374" s="80">
        <v>958842.44</v>
      </c>
      <c r="I374" s="79">
        <f>H374/F374</f>
        <v>0.43724295841761829</v>
      </c>
    </row>
    <row r="375" spans="1:9" x14ac:dyDescent="0.25">
      <c r="A375" s="76" t="s">
        <v>317</v>
      </c>
      <c r="B375" s="76" t="s">
        <v>167</v>
      </c>
      <c r="C375" s="77">
        <v>40909</v>
      </c>
      <c r="D375" s="78">
        <v>41274</v>
      </c>
      <c r="E375" s="79">
        <v>8.9999999999999998E-4</v>
      </c>
      <c r="F375" s="80"/>
      <c r="G375" s="81">
        <v>102211.3</v>
      </c>
      <c r="H375" s="80">
        <v>44691.17</v>
      </c>
      <c r="I375" s="79">
        <f>H375/G375</f>
        <v>0.43724294671919833</v>
      </c>
    </row>
    <row r="376" spans="1:9" x14ac:dyDescent="0.25">
      <c r="A376" s="70" t="s">
        <v>71</v>
      </c>
      <c r="B376" s="70" t="s">
        <v>73</v>
      </c>
      <c r="C376" s="71">
        <v>41200</v>
      </c>
      <c r="D376" s="72">
        <v>41274</v>
      </c>
      <c r="E376" s="73">
        <v>8.9999999999999993E-3</v>
      </c>
      <c r="F376" s="74">
        <v>4478.5</v>
      </c>
      <c r="G376" s="75"/>
      <c r="H376" s="74">
        <v>1956.24</v>
      </c>
      <c r="I376" s="73">
        <v>0.43680696661828738</v>
      </c>
    </row>
    <row r="377" spans="1:9" x14ac:dyDescent="0.25">
      <c r="A377" s="76" t="s">
        <v>613</v>
      </c>
      <c r="B377" s="76" t="s">
        <v>616</v>
      </c>
      <c r="C377" s="77">
        <v>40714</v>
      </c>
      <c r="D377" s="78">
        <v>41060</v>
      </c>
      <c r="E377" s="79">
        <v>8.9999999999999993E-3</v>
      </c>
      <c r="F377" s="80"/>
      <c r="G377" s="81">
        <v>2207</v>
      </c>
      <c r="H377" s="80">
        <v>947</v>
      </c>
      <c r="I377" s="79">
        <f>H377/G377</f>
        <v>0.42908926144086995</v>
      </c>
    </row>
    <row r="378" spans="1:9" x14ac:dyDescent="0.25">
      <c r="A378" s="76" t="s">
        <v>449</v>
      </c>
      <c r="B378" s="76" t="s">
        <v>467</v>
      </c>
      <c r="C378" s="77">
        <v>41030</v>
      </c>
      <c r="D378" s="78">
        <v>41394</v>
      </c>
      <c r="E378" s="79">
        <v>0</v>
      </c>
      <c r="F378" s="80">
        <v>2149723</v>
      </c>
      <c r="G378" s="81"/>
      <c r="H378" s="80">
        <v>917573</v>
      </c>
      <c r="I378" s="79">
        <f>H378/F378</f>
        <v>0.42683313152438712</v>
      </c>
    </row>
    <row r="379" spans="1:9" x14ac:dyDescent="0.25">
      <c r="A379" s="76" t="s">
        <v>449</v>
      </c>
      <c r="B379" s="76" t="s">
        <v>470</v>
      </c>
      <c r="C379" s="77">
        <v>41061</v>
      </c>
      <c r="D379" s="78">
        <v>41394</v>
      </c>
      <c r="E379" s="79">
        <v>8.9999999999999993E-3</v>
      </c>
      <c r="F379" s="80">
        <v>1786286</v>
      </c>
      <c r="G379" s="88"/>
      <c r="H379" s="80">
        <v>762206</v>
      </c>
      <c r="I379" s="79">
        <f>H379/F379</f>
        <v>0.4266987481287991</v>
      </c>
    </row>
    <row r="380" spans="1:9" x14ac:dyDescent="0.25">
      <c r="A380" s="76" t="s">
        <v>262</v>
      </c>
      <c r="B380" s="76" t="s">
        <v>88</v>
      </c>
      <c r="C380" s="77">
        <v>40766</v>
      </c>
      <c r="D380" s="78">
        <v>41090</v>
      </c>
      <c r="E380" s="79">
        <v>8.9999999999999993E-3</v>
      </c>
      <c r="F380" s="80">
        <v>146376.26</v>
      </c>
      <c r="G380" s="81"/>
      <c r="H380" s="80">
        <v>62369.22</v>
      </c>
      <c r="I380" s="79">
        <f>H380/F380</f>
        <v>0.42608835613097368</v>
      </c>
    </row>
    <row r="381" spans="1:9" x14ac:dyDescent="0.25">
      <c r="A381" s="76" t="s">
        <v>372</v>
      </c>
      <c r="B381" s="76" t="s">
        <v>115</v>
      </c>
      <c r="C381" s="77">
        <v>40717</v>
      </c>
      <c r="D381" s="78">
        <v>41082</v>
      </c>
      <c r="E381" s="79">
        <v>8.9999999999999993E-3</v>
      </c>
      <c r="F381" s="80">
        <v>392947.79</v>
      </c>
      <c r="G381" s="81"/>
      <c r="H381" s="80">
        <v>167195.03</v>
      </c>
      <c r="I381" s="79">
        <f>H381/F381</f>
        <v>0.42548917249286478</v>
      </c>
    </row>
    <row r="382" spans="1:9" x14ac:dyDescent="0.25">
      <c r="A382" s="76" t="s">
        <v>674</v>
      </c>
      <c r="B382" s="76" t="s">
        <v>22</v>
      </c>
      <c r="C382" s="77">
        <v>40920</v>
      </c>
      <c r="D382" s="78">
        <v>41274</v>
      </c>
      <c r="E382" s="79">
        <v>0.22500000000000001</v>
      </c>
      <c r="F382" s="80">
        <v>614451.29</v>
      </c>
      <c r="G382" s="81"/>
      <c r="H382" s="80">
        <v>261134.34</v>
      </c>
      <c r="I382" s="79">
        <f>H382/F382</f>
        <v>0.42498786193450744</v>
      </c>
    </row>
    <row r="383" spans="1:9" x14ac:dyDescent="0.25">
      <c r="A383" s="70" t="s">
        <v>146</v>
      </c>
      <c r="B383" s="70" t="s">
        <v>154</v>
      </c>
      <c r="C383" s="71">
        <v>40725</v>
      </c>
      <c r="D383" s="72">
        <v>41090</v>
      </c>
      <c r="E383" s="101">
        <v>4.4999999999999999E-4</v>
      </c>
      <c r="F383" s="74">
        <v>36136.5</v>
      </c>
      <c r="G383" s="75"/>
      <c r="H383" s="74">
        <v>15311.03</v>
      </c>
      <c r="I383" s="73">
        <v>0.42369986025209971</v>
      </c>
    </row>
    <row r="384" spans="1:9" x14ac:dyDescent="0.25">
      <c r="A384" s="76" t="s">
        <v>449</v>
      </c>
      <c r="B384" s="76" t="s">
        <v>458</v>
      </c>
      <c r="C384" s="77">
        <v>41122</v>
      </c>
      <c r="D384" s="78">
        <v>41486</v>
      </c>
      <c r="E384" s="79">
        <v>0</v>
      </c>
      <c r="F384" s="80">
        <v>180814</v>
      </c>
      <c r="G384" s="88"/>
      <c r="H384" s="80">
        <v>76598</v>
      </c>
      <c r="I384" s="79">
        <f>H384/F384</f>
        <v>0.42362870131737584</v>
      </c>
    </row>
    <row r="385" spans="1:9" x14ac:dyDescent="0.25">
      <c r="A385" s="76" t="s">
        <v>594</v>
      </c>
      <c r="B385" s="76" t="s">
        <v>600</v>
      </c>
      <c r="C385" s="77">
        <v>40843</v>
      </c>
      <c r="D385" s="78">
        <v>41090</v>
      </c>
      <c r="E385" s="79">
        <v>0.36</v>
      </c>
      <c r="F385" s="80">
        <v>939441.17</v>
      </c>
      <c r="G385" s="81"/>
      <c r="H385" s="80">
        <v>397618.55</v>
      </c>
      <c r="I385" s="79">
        <f>H385/F385</f>
        <v>0.42325007961914207</v>
      </c>
    </row>
    <row r="386" spans="1:9" x14ac:dyDescent="0.25">
      <c r="A386" s="76" t="s">
        <v>594</v>
      </c>
      <c r="B386" s="76" t="s">
        <v>600</v>
      </c>
      <c r="C386" s="77">
        <v>40843</v>
      </c>
      <c r="D386" s="78">
        <v>41090</v>
      </c>
      <c r="E386" s="79">
        <v>0.36</v>
      </c>
      <c r="F386" s="80"/>
      <c r="G386" s="81">
        <v>8920</v>
      </c>
      <c r="H386" s="80">
        <v>3775.39</v>
      </c>
      <c r="I386" s="79">
        <f>H386/G386</f>
        <v>0.42324999999999996</v>
      </c>
    </row>
    <row r="387" spans="1:9" x14ac:dyDescent="0.25">
      <c r="A387" s="76" t="s">
        <v>674</v>
      </c>
      <c r="B387" s="76" t="s">
        <v>109</v>
      </c>
      <c r="C387" s="77">
        <v>40920</v>
      </c>
      <c r="D387" s="78">
        <v>41274</v>
      </c>
      <c r="E387" s="79">
        <v>0.22500000000000001</v>
      </c>
      <c r="F387" s="80">
        <v>46683</v>
      </c>
      <c r="G387" s="81"/>
      <c r="H387" s="80">
        <v>19712.599999999999</v>
      </c>
      <c r="I387" s="79">
        <f>H387/F387</f>
        <v>0.42226506437032751</v>
      </c>
    </row>
    <row r="388" spans="1:9" x14ac:dyDescent="0.25">
      <c r="A388" s="76" t="s">
        <v>171</v>
      </c>
      <c r="B388" s="76" t="s">
        <v>187</v>
      </c>
      <c r="C388" s="77">
        <v>40879</v>
      </c>
      <c r="D388" s="78">
        <v>41213</v>
      </c>
      <c r="E388" s="79">
        <v>1.7999999999999999E-2</v>
      </c>
      <c r="F388" s="80">
        <v>38212</v>
      </c>
      <c r="G388" s="81"/>
      <c r="H388" s="80">
        <v>15985</v>
      </c>
      <c r="I388" s="79">
        <f>H388/F388</f>
        <v>0.41832408667434312</v>
      </c>
    </row>
    <row r="389" spans="1:9" x14ac:dyDescent="0.25">
      <c r="A389" s="76" t="s">
        <v>263</v>
      </c>
      <c r="B389" s="76" t="s">
        <v>29</v>
      </c>
      <c r="C389" s="77">
        <v>40756</v>
      </c>
      <c r="D389" s="78">
        <v>41121</v>
      </c>
      <c r="E389" s="79">
        <v>8.9999999999999993E-3</v>
      </c>
      <c r="F389" s="80">
        <v>552453.13</v>
      </c>
      <c r="G389" s="81"/>
      <c r="H389" s="80">
        <v>227738.63</v>
      </c>
      <c r="I389" s="79">
        <f>H389/F389</f>
        <v>0.41223158605328203</v>
      </c>
    </row>
    <row r="390" spans="1:9" x14ac:dyDescent="0.25">
      <c r="A390" s="76" t="s">
        <v>643</v>
      </c>
      <c r="B390" s="76" t="s">
        <v>328</v>
      </c>
      <c r="C390" s="77">
        <v>40634</v>
      </c>
      <c r="D390" s="78">
        <v>40999</v>
      </c>
      <c r="E390" s="79">
        <v>4.4999999999999997E-3</v>
      </c>
      <c r="F390" s="80"/>
      <c r="G390" s="81">
        <v>12866.88</v>
      </c>
      <c r="H390" s="80">
        <v>5301.18</v>
      </c>
      <c r="I390" s="79">
        <f>H390/G390</f>
        <v>0.41200197716929049</v>
      </c>
    </row>
    <row r="391" spans="1:9" x14ac:dyDescent="0.25">
      <c r="A391" s="76" t="s">
        <v>594</v>
      </c>
      <c r="B391" s="76" t="s">
        <v>612</v>
      </c>
      <c r="C391" s="77">
        <v>41172</v>
      </c>
      <c r="D391" s="78">
        <v>41536</v>
      </c>
      <c r="E391" s="79">
        <v>0.39600000000000002</v>
      </c>
      <c r="F391" s="80">
        <v>548401.25</v>
      </c>
      <c r="G391" s="81"/>
      <c r="H391" s="80">
        <v>225616.82</v>
      </c>
      <c r="I391" s="79">
        <f>H391/F391</f>
        <v>0.41140828909489174</v>
      </c>
    </row>
    <row r="392" spans="1:9" x14ac:dyDescent="0.25">
      <c r="A392" s="70" t="s">
        <v>171</v>
      </c>
      <c r="B392" s="70" t="s">
        <v>23</v>
      </c>
      <c r="C392" s="71">
        <v>40740</v>
      </c>
      <c r="D392" s="72">
        <v>41090</v>
      </c>
      <c r="E392" s="73">
        <v>1.7999999999999999E-2</v>
      </c>
      <c r="F392" s="74">
        <v>73494</v>
      </c>
      <c r="G392" s="75"/>
      <c r="H392" s="74">
        <v>30218</v>
      </c>
      <c r="I392" s="79">
        <f>H392/F392</f>
        <v>0.41116281601219146</v>
      </c>
    </row>
    <row r="393" spans="1:9" x14ac:dyDescent="0.25">
      <c r="A393" s="76" t="s">
        <v>516</v>
      </c>
      <c r="B393" s="76" t="s">
        <v>528</v>
      </c>
      <c r="C393" s="77">
        <v>40910</v>
      </c>
      <c r="D393" s="78">
        <v>41258</v>
      </c>
      <c r="E393" s="79">
        <v>0.1</v>
      </c>
      <c r="F393" s="80">
        <v>24482</v>
      </c>
      <c r="G393" s="88"/>
      <c r="H393" s="80">
        <v>10000</v>
      </c>
      <c r="I393" s="79">
        <f>H393/F393</f>
        <v>0.40846336083653295</v>
      </c>
    </row>
    <row r="394" spans="1:9" x14ac:dyDescent="0.25">
      <c r="A394" s="76" t="s">
        <v>692</v>
      </c>
      <c r="B394" s="76" t="s">
        <v>693</v>
      </c>
      <c r="C394" s="77">
        <v>40683</v>
      </c>
      <c r="D394" s="78">
        <v>40939</v>
      </c>
      <c r="E394" s="79">
        <v>8.9999999999999993E-3</v>
      </c>
      <c r="F394" s="80">
        <v>51055.5</v>
      </c>
      <c r="G394" s="81"/>
      <c r="H394" s="80">
        <v>20683</v>
      </c>
      <c r="I394" s="79">
        <f>H394/F394</f>
        <v>0.40510816660301047</v>
      </c>
    </row>
    <row r="395" spans="1:9" x14ac:dyDescent="0.25">
      <c r="A395" s="76" t="s">
        <v>317</v>
      </c>
      <c r="B395" s="76" t="s">
        <v>344</v>
      </c>
      <c r="C395" s="77">
        <v>40848</v>
      </c>
      <c r="D395" s="78">
        <v>41213</v>
      </c>
      <c r="E395" s="79">
        <v>0.27</v>
      </c>
      <c r="F395" s="80">
        <v>2576949.9700000002</v>
      </c>
      <c r="G395" s="81"/>
      <c r="H395" s="80">
        <v>1041207.9</v>
      </c>
      <c r="I395" s="79">
        <f>H395/F395</f>
        <v>0.40404661018700333</v>
      </c>
    </row>
    <row r="396" spans="1:9" x14ac:dyDescent="0.25">
      <c r="A396" s="76" t="s">
        <v>317</v>
      </c>
      <c r="B396" s="76" t="s">
        <v>344</v>
      </c>
      <c r="C396" s="77">
        <v>40848</v>
      </c>
      <c r="D396" s="78">
        <v>41213</v>
      </c>
      <c r="E396" s="79">
        <v>0.27</v>
      </c>
      <c r="F396" s="80"/>
      <c r="G396" s="81">
        <v>104707.63</v>
      </c>
      <c r="H396" s="80">
        <v>42306.76</v>
      </c>
      <c r="I396" s="79">
        <f>H396/G396</f>
        <v>0.40404658189665832</v>
      </c>
    </row>
    <row r="397" spans="1:9" x14ac:dyDescent="0.25">
      <c r="A397" s="76" t="s">
        <v>613</v>
      </c>
      <c r="B397" s="76" t="s">
        <v>617</v>
      </c>
      <c r="C397" s="77">
        <v>40752</v>
      </c>
      <c r="D397" s="78">
        <v>41117</v>
      </c>
      <c r="E397" s="79">
        <v>8.9999999999999993E-3</v>
      </c>
      <c r="F397" s="80"/>
      <c r="G397" s="81">
        <v>2190</v>
      </c>
      <c r="H397" s="80">
        <v>882</v>
      </c>
      <c r="I397" s="79">
        <f>H397/G397</f>
        <v>0.40273972602739727</v>
      </c>
    </row>
    <row r="398" spans="1:9" x14ac:dyDescent="0.25">
      <c r="A398" s="76" t="s">
        <v>265</v>
      </c>
      <c r="B398" s="76" t="s">
        <v>141</v>
      </c>
      <c r="C398" s="77">
        <v>41096</v>
      </c>
      <c r="D398" s="78">
        <v>41460</v>
      </c>
      <c r="E398" s="79">
        <v>0.45</v>
      </c>
      <c r="F398" s="80">
        <v>2390447.39</v>
      </c>
      <c r="G398" s="81"/>
      <c r="H398" s="80">
        <v>962307.28</v>
      </c>
      <c r="I398" s="79">
        <f>H398/F398</f>
        <v>0.40256367240108976</v>
      </c>
    </row>
    <row r="399" spans="1:9" x14ac:dyDescent="0.25">
      <c r="A399" s="76" t="s">
        <v>263</v>
      </c>
      <c r="B399" s="76" t="s">
        <v>102</v>
      </c>
      <c r="C399" s="77">
        <v>40800</v>
      </c>
      <c r="D399" s="78">
        <v>41121</v>
      </c>
      <c r="E399" s="79">
        <v>0.36</v>
      </c>
      <c r="F399" s="80">
        <v>18821.5</v>
      </c>
      <c r="G399" s="81"/>
      <c r="H399" s="80">
        <v>7575.2</v>
      </c>
      <c r="I399" s="79">
        <f>H399/F399</f>
        <v>0.40247589193209893</v>
      </c>
    </row>
    <row r="400" spans="1:9" x14ac:dyDescent="0.25">
      <c r="A400" s="76" t="s">
        <v>674</v>
      </c>
      <c r="B400" s="76" t="s">
        <v>342</v>
      </c>
      <c r="C400" s="77">
        <v>40911</v>
      </c>
      <c r="D400" s="78">
        <v>41274</v>
      </c>
      <c r="E400" s="79">
        <v>0.315</v>
      </c>
      <c r="F400" s="80">
        <v>76642</v>
      </c>
      <c r="G400" s="81"/>
      <c r="H400" s="80">
        <v>30812.42</v>
      </c>
      <c r="I400" s="79">
        <f>H400/F400</f>
        <v>0.40203047937162389</v>
      </c>
    </row>
    <row r="401" spans="1:9" x14ac:dyDescent="0.25">
      <c r="A401" s="76" t="s">
        <v>531</v>
      </c>
      <c r="B401" s="76" t="s">
        <v>548</v>
      </c>
      <c r="C401" s="77">
        <v>41000</v>
      </c>
      <c r="D401" s="78">
        <v>41364</v>
      </c>
      <c r="E401" s="79">
        <v>8.9999999999999993E-3</v>
      </c>
      <c r="F401" s="80"/>
      <c r="G401" s="81">
        <v>10483</v>
      </c>
      <c r="H401" s="80">
        <v>4204</v>
      </c>
      <c r="I401" s="79">
        <f>H401/G401</f>
        <v>0.40103023943527616</v>
      </c>
    </row>
    <row r="402" spans="1:9" x14ac:dyDescent="0.25">
      <c r="A402" s="76" t="s">
        <v>531</v>
      </c>
      <c r="B402" s="76" t="s">
        <v>538</v>
      </c>
      <c r="C402" s="77">
        <v>40975</v>
      </c>
      <c r="D402" s="78">
        <v>41333</v>
      </c>
      <c r="E402" s="79">
        <v>8.9999999999999993E-3</v>
      </c>
      <c r="F402" s="80">
        <v>44928</v>
      </c>
      <c r="G402" s="81"/>
      <c r="H402" s="80">
        <v>17997</v>
      </c>
      <c r="I402" s="79">
        <f t="shared" ref="I402:I416" si="2">H402/F402</f>
        <v>0.40057425213675213</v>
      </c>
    </row>
    <row r="403" spans="1:9" ht="28.5" x14ac:dyDescent="0.25">
      <c r="A403" s="76" t="s">
        <v>422</v>
      </c>
      <c r="B403" s="76" t="s">
        <v>424</v>
      </c>
      <c r="C403" s="77">
        <v>40985</v>
      </c>
      <c r="D403" s="78">
        <v>41349</v>
      </c>
      <c r="E403" s="79">
        <v>0.2</v>
      </c>
      <c r="F403" s="80">
        <v>63975.17</v>
      </c>
      <c r="G403" s="88"/>
      <c r="H403" s="80">
        <v>25590.07</v>
      </c>
      <c r="I403" s="79">
        <f t="shared" si="2"/>
        <v>0.40000003126212874</v>
      </c>
    </row>
    <row r="404" spans="1:9" ht="28.5" x14ac:dyDescent="0.25">
      <c r="A404" s="76" t="s">
        <v>415</v>
      </c>
      <c r="B404" s="76" t="s">
        <v>416</v>
      </c>
      <c r="C404" s="77">
        <v>40634</v>
      </c>
      <c r="D404" s="78">
        <v>40984</v>
      </c>
      <c r="E404" s="79">
        <v>0.35</v>
      </c>
      <c r="F404" s="80">
        <v>120075</v>
      </c>
      <c r="G404" s="81"/>
      <c r="H404" s="80">
        <v>48030</v>
      </c>
      <c r="I404" s="79">
        <f t="shared" si="2"/>
        <v>0.4</v>
      </c>
    </row>
    <row r="405" spans="1:9" ht="28.5" x14ac:dyDescent="0.25">
      <c r="A405" s="76" t="s">
        <v>415</v>
      </c>
      <c r="B405" s="76" t="s">
        <v>421</v>
      </c>
      <c r="C405" s="77">
        <v>40985</v>
      </c>
      <c r="D405" s="78">
        <v>41349</v>
      </c>
      <c r="E405" s="79">
        <v>0.35</v>
      </c>
      <c r="F405" s="80">
        <v>113490</v>
      </c>
      <c r="G405" s="81"/>
      <c r="H405" s="80">
        <v>45396</v>
      </c>
      <c r="I405" s="79">
        <f t="shared" si="2"/>
        <v>0.4</v>
      </c>
    </row>
    <row r="406" spans="1:9" ht="28.5" x14ac:dyDescent="0.25">
      <c r="A406" s="76" t="s">
        <v>422</v>
      </c>
      <c r="B406" s="76" t="s">
        <v>425</v>
      </c>
      <c r="C406" s="77">
        <v>41142</v>
      </c>
      <c r="D406" s="78">
        <v>41506</v>
      </c>
      <c r="E406" s="79">
        <v>0.35</v>
      </c>
      <c r="F406" s="80">
        <v>111870</v>
      </c>
      <c r="G406" s="88"/>
      <c r="H406" s="80">
        <v>44748</v>
      </c>
      <c r="I406" s="79">
        <f t="shared" si="2"/>
        <v>0.4</v>
      </c>
    </row>
    <row r="407" spans="1:9" x14ac:dyDescent="0.25">
      <c r="A407" s="76" t="s">
        <v>491</v>
      </c>
      <c r="B407" s="76" t="s">
        <v>501</v>
      </c>
      <c r="C407" s="77">
        <v>41218</v>
      </c>
      <c r="D407" s="78">
        <v>41257</v>
      </c>
      <c r="E407" s="79">
        <v>0.4</v>
      </c>
      <c r="F407" s="80">
        <v>102318.25</v>
      </c>
      <c r="G407" s="88"/>
      <c r="H407" s="80">
        <v>40927.300000000003</v>
      </c>
      <c r="I407" s="79">
        <f t="shared" si="2"/>
        <v>0.4</v>
      </c>
    </row>
    <row r="408" spans="1:9" x14ac:dyDescent="0.25">
      <c r="A408" s="76" t="s">
        <v>491</v>
      </c>
      <c r="B408" s="76" t="s">
        <v>499</v>
      </c>
      <c r="C408" s="77">
        <v>41197</v>
      </c>
      <c r="D408" s="78">
        <v>41222</v>
      </c>
      <c r="E408" s="79">
        <v>0.4</v>
      </c>
      <c r="F408" s="80">
        <v>100841</v>
      </c>
      <c r="G408" s="88"/>
      <c r="H408" s="80">
        <v>40336.400000000001</v>
      </c>
      <c r="I408" s="79">
        <f t="shared" si="2"/>
        <v>0.4</v>
      </c>
    </row>
    <row r="409" spans="1:9" ht="28.5" x14ac:dyDescent="0.25">
      <c r="A409" s="76" t="s">
        <v>415</v>
      </c>
      <c r="B409" s="76" t="s">
        <v>420</v>
      </c>
      <c r="C409" s="77">
        <v>40776</v>
      </c>
      <c r="D409" s="78">
        <v>41141</v>
      </c>
      <c r="E409" s="79">
        <v>0.35</v>
      </c>
      <c r="F409" s="80">
        <v>93290</v>
      </c>
      <c r="G409" s="81"/>
      <c r="H409" s="80">
        <v>37316</v>
      </c>
      <c r="I409" s="79">
        <f t="shared" si="2"/>
        <v>0.4</v>
      </c>
    </row>
    <row r="410" spans="1:9" x14ac:dyDescent="0.25">
      <c r="A410" s="76" t="s">
        <v>491</v>
      </c>
      <c r="B410" s="76" t="s">
        <v>495</v>
      </c>
      <c r="C410" s="77">
        <v>41058</v>
      </c>
      <c r="D410" s="78">
        <v>41089</v>
      </c>
      <c r="E410" s="79">
        <v>0.4</v>
      </c>
      <c r="F410" s="80">
        <v>75206</v>
      </c>
      <c r="G410" s="88"/>
      <c r="H410" s="80">
        <v>30082.400000000001</v>
      </c>
      <c r="I410" s="79">
        <f t="shared" si="2"/>
        <v>0.4</v>
      </c>
    </row>
    <row r="411" spans="1:9" ht="28.5" x14ac:dyDescent="0.25">
      <c r="A411" s="76" t="s">
        <v>422</v>
      </c>
      <c r="B411" s="76" t="s">
        <v>423</v>
      </c>
      <c r="C411" s="77">
        <v>40634</v>
      </c>
      <c r="D411" s="78">
        <v>40984</v>
      </c>
      <c r="E411" s="79">
        <v>0.2</v>
      </c>
      <c r="F411" s="80">
        <v>65350</v>
      </c>
      <c r="G411" s="88"/>
      <c r="H411" s="80">
        <v>26140</v>
      </c>
      <c r="I411" s="79">
        <f t="shared" si="2"/>
        <v>0.4</v>
      </c>
    </row>
    <row r="412" spans="1:9" x14ac:dyDescent="0.25">
      <c r="A412" s="76" t="s">
        <v>491</v>
      </c>
      <c r="B412" s="76" t="s">
        <v>500</v>
      </c>
      <c r="C412" s="77">
        <v>41218</v>
      </c>
      <c r="D412" s="78">
        <v>41257</v>
      </c>
      <c r="E412" s="79">
        <v>0.4</v>
      </c>
      <c r="F412" s="80">
        <v>64545</v>
      </c>
      <c r="G412" s="88"/>
      <c r="H412" s="80">
        <v>25818</v>
      </c>
      <c r="I412" s="79">
        <f t="shared" si="2"/>
        <v>0.4</v>
      </c>
    </row>
    <row r="413" spans="1:9" x14ac:dyDescent="0.25">
      <c r="A413" s="76" t="s">
        <v>491</v>
      </c>
      <c r="B413" s="76" t="s">
        <v>494</v>
      </c>
      <c r="C413" s="77">
        <v>41029</v>
      </c>
      <c r="D413" s="78">
        <v>41054</v>
      </c>
      <c r="E413" s="79">
        <v>0.4</v>
      </c>
      <c r="F413" s="80">
        <v>84500.5</v>
      </c>
      <c r="G413" s="88"/>
      <c r="H413" s="80">
        <v>33800.199999999997</v>
      </c>
      <c r="I413" s="79">
        <f t="shared" si="2"/>
        <v>0.39999999999999997</v>
      </c>
    </row>
    <row r="414" spans="1:9" x14ac:dyDescent="0.25">
      <c r="A414" s="76" t="s">
        <v>372</v>
      </c>
      <c r="B414" s="76" t="s">
        <v>373</v>
      </c>
      <c r="C414" s="77">
        <v>40909</v>
      </c>
      <c r="D414" s="78">
        <v>41274</v>
      </c>
      <c r="E414" s="79">
        <v>8.9999999999999993E-3</v>
      </c>
      <c r="F414" s="80">
        <v>214409.72</v>
      </c>
      <c r="G414" s="81"/>
      <c r="H414" s="80">
        <v>85724.800000000003</v>
      </c>
      <c r="I414" s="79">
        <f t="shared" si="2"/>
        <v>0.39981769483211865</v>
      </c>
    </row>
    <row r="415" spans="1:9" x14ac:dyDescent="0.25">
      <c r="A415" s="76" t="s">
        <v>578</v>
      </c>
      <c r="B415" s="76" t="s">
        <v>621</v>
      </c>
      <c r="C415" s="77">
        <v>40688</v>
      </c>
      <c r="D415" s="78">
        <v>40999</v>
      </c>
      <c r="E415" s="79">
        <v>0</v>
      </c>
      <c r="F415" s="80">
        <v>151238</v>
      </c>
      <c r="G415" s="88"/>
      <c r="H415" s="80">
        <v>60318.63</v>
      </c>
      <c r="I415" s="79">
        <f t="shared" si="2"/>
        <v>0.39883250241341461</v>
      </c>
    </row>
    <row r="416" spans="1:9" x14ac:dyDescent="0.25">
      <c r="A416" s="76" t="s">
        <v>682</v>
      </c>
      <c r="B416" s="76" t="s">
        <v>683</v>
      </c>
      <c r="C416" s="77">
        <v>40909</v>
      </c>
      <c r="D416" s="78">
        <v>40981</v>
      </c>
      <c r="E416" s="79">
        <v>0.315</v>
      </c>
      <c r="F416" s="80">
        <v>31055</v>
      </c>
      <c r="G416" s="88"/>
      <c r="H416" s="80">
        <v>12293.42</v>
      </c>
      <c r="I416" s="79">
        <f t="shared" si="2"/>
        <v>0.39585960392851394</v>
      </c>
    </row>
    <row r="417" spans="1:9" x14ac:dyDescent="0.25">
      <c r="A417" s="76" t="s">
        <v>270</v>
      </c>
      <c r="B417" s="76" t="s">
        <v>142</v>
      </c>
      <c r="C417" s="77">
        <v>40786</v>
      </c>
      <c r="D417" s="78">
        <v>41151</v>
      </c>
      <c r="E417" s="79">
        <v>0.37</v>
      </c>
      <c r="F417" s="80"/>
      <c r="G417" s="81">
        <v>789724.28</v>
      </c>
      <c r="H417" s="80">
        <v>311689.83</v>
      </c>
      <c r="I417" s="79">
        <f>H417/G417</f>
        <v>0.39468183756487774</v>
      </c>
    </row>
    <row r="418" spans="1:9" x14ac:dyDescent="0.25">
      <c r="A418" s="76" t="s">
        <v>449</v>
      </c>
      <c r="B418" s="76" t="s">
        <v>151</v>
      </c>
      <c r="C418" s="77">
        <v>41030</v>
      </c>
      <c r="D418" s="78">
        <v>41394</v>
      </c>
      <c r="E418" s="79">
        <v>0</v>
      </c>
      <c r="F418" s="80">
        <v>234046</v>
      </c>
      <c r="G418" s="81"/>
      <c r="H418" s="80">
        <v>92171</v>
      </c>
      <c r="I418" s="79">
        <f>H418/F418</f>
        <v>0.39381574562265537</v>
      </c>
    </row>
    <row r="419" spans="1:9" x14ac:dyDescent="0.25">
      <c r="A419" s="76" t="s">
        <v>317</v>
      </c>
      <c r="B419" s="76" t="s">
        <v>349</v>
      </c>
      <c r="C419" s="77">
        <v>40909</v>
      </c>
      <c r="D419" s="78">
        <v>41274</v>
      </c>
      <c r="E419" s="79">
        <v>0.09</v>
      </c>
      <c r="F419" s="80">
        <v>2458248</v>
      </c>
      <c r="G419" s="81"/>
      <c r="H419" s="80">
        <v>967357.3</v>
      </c>
      <c r="I419" s="79">
        <f>H419/F419</f>
        <v>0.39351493421330969</v>
      </c>
    </row>
    <row r="420" spans="1:9" x14ac:dyDescent="0.25">
      <c r="A420" s="76" t="s">
        <v>270</v>
      </c>
      <c r="B420" s="76" t="s">
        <v>142</v>
      </c>
      <c r="C420" s="77">
        <v>41152</v>
      </c>
      <c r="D420" s="78">
        <v>41274</v>
      </c>
      <c r="E420" s="79">
        <v>0.37</v>
      </c>
      <c r="F420" s="80"/>
      <c r="G420" s="81">
        <v>212715.62</v>
      </c>
      <c r="H420" s="80">
        <v>83387.88</v>
      </c>
      <c r="I420" s="79">
        <f>H420/G420</f>
        <v>0.39201578144566912</v>
      </c>
    </row>
    <row r="421" spans="1:9" x14ac:dyDescent="0.25">
      <c r="A421" s="76" t="s">
        <v>549</v>
      </c>
      <c r="B421" s="76" t="s">
        <v>551</v>
      </c>
      <c r="C421" s="77">
        <v>40647</v>
      </c>
      <c r="D421" s="78">
        <v>41012</v>
      </c>
      <c r="E421" s="79">
        <v>0.3</v>
      </c>
      <c r="F421" s="80">
        <v>290785</v>
      </c>
      <c r="G421" s="88"/>
      <c r="H421" s="80">
        <v>113865.4</v>
      </c>
      <c r="I421" s="79">
        <f>H421/F421</f>
        <v>0.3915793455645924</v>
      </c>
    </row>
    <row r="422" spans="1:9" x14ac:dyDescent="0.25">
      <c r="A422" s="70" t="s">
        <v>146</v>
      </c>
      <c r="B422" s="70" t="s">
        <v>149</v>
      </c>
      <c r="C422" s="71">
        <v>40940</v>
      </c>
      <c r="D422" s="72">
        <v>41305</v>
      </c>
      <c r="E422" s="101">
        <v>4.4999999999999999E-4</v>
      </c>
      <c r="F422" s="74">
        <v>106771.18</v>
      </c>
      <c r="G422" s="75"/>
      <c r="H422" s="74">
        <v>41769.97</v>
      </c>
      <c r="I422" s="73">
        <v>0.39121015614887844</v>
      </c>
    </row>
    <row r="423" spans="1:9" x14ac:dyDescent="0.25">
      <c r="A423" s="76" t="s">
        <v>449</v>
      </c>
      <c r="B423" s="76" t="s">
        <v>457</v>
      </c>
      <c r="C423" s="77">
        <v>40756</v>
      </c>
      <c r="D423" s="78">
        <v>41121</v>
      </c>
      <c r="E423" s="79">
        <v>0</v>
      </c>
      <c r="F423" s="80">
        <v>491460</v>
      </c>
      <c r="G423" s="81"/>
      <c r="H423" s="80">
        <v>191763</v>
      </c>
      <c r="I423" s="79">
        <f>H423/F423</f>
        <v>0.39019045293614946</v>
      </c>
    </row>
    <row r="424" spans="1:9" x14ac:dyDescent="0.25">
      <c r="A424" s="76" t="s">
        <v>449</v>
      </c>
      <c r="B424" s="76" t="s">
        <v>476</v>
      </c>
      <c r="C424" s="77">
        <v>41221</v>
      </c>
      <c r="D424" s="78">
        <v>41547</v>
      </c>
      <c r="E424" s="79">
        <v>0</v>
      </c>
      <c r="F424" s="80">
        <v>753838</v>
      </c>
      <c r="G424" s="88"/>
      <c r="H424" s="80">
        <v>294051</v>
      </c>
      <c r="I424" s="79">
        <f>H424/F424</f>
        <v>0.39007187220596468</v>
      </c>
    </row>
    <row r="425" spans="1:9" x14ac:dyDescent="0.25">
      <c r="A425" s="76" t="s">
        <v>549</v>
      </c>
      <c r="B425" s="76" t="s">
        <v>550</v>
      </c>
      <c r="C425" s="77">
        <v>40601</v>
      </c>
      <c r="D425" s="78">
        <v>40965</v>
      </c>
      <c r="E425" s="79">
        <v>0.36</v>
      </c>
      <c r="F425" s="80">
        <v>34508.36</v>
      </c>
      <c r="G425" s="88"/>
      <c r="H425" s="80">
        <v>13453.47</v>
      </c>
      <c r="I425" s="79">
        <f>H425/F425</f>
        <v>0.38986118146443349</v>
      </c>
    </row>
    <row r="426" spans="1:9" x14ac:dyDescent="0.25">
      <c r="A426" s="76" t="s">
        <v>531</v>
      </c>
      <c r="B426" s="76" t="s">
        <v>534</v>
      </c>
      <c r="C426" s="77">
        <v>40726</v>
      </c>
      <c r="D426" s="78">
        <v>41029</v>
      </c>
      <c r="E426" s="79">
        <v>8.9999999999999993E-3</v>
      </c>
      <c r="F426" s="80">
        <v>83867</v>
      </c>
      <c r="G426" s="81"/>
      <c r="H426" s="80">
        <v>32693</v>
      </c>
      <c r="I426" s="79">
        <f>H426/F426</f>
        <v>0.38981959531162436</v>
      </c>
    </row>
    <row r="427" spans="1:9" x14ac:dyDescent="0.25">
      <c r="A427" s="76" t="s">
        <v>643</v>
      </c>
      <c r="B427" s="76" t="s">
        <v>648</v>
      </c>
      <c r="C427" s="77">
        <v>40695</v>
      </c>
      <c r="D427" s="78">
        <v>41060</v>
      </c>
      <c r="E427" s="79">
        <v>4.4999999999999997E-3</v>
      </c>
      <c r="F427" s="80">
        <v>237303.03</v>
      </c>
      <c r="G427" s="81"/>
      <c r="H427" s="80">
        <v>92410.41</v>
      </c>
      <c r="I427" s="79">
        <f>H427/F427</f>
        <v>0.38941942713500122</v>
      </c>
    </row>
    <row r="428" spans="1:9" x14ac:dyDescent="0.25">
      <c r="A428" s="76" t="s">
        <v>643</v>
      </c>
      <c r="B428" s="76" t="s">
        <v>158</v>
      </c>
      <c r="C428" s="77">
        <v>40555</v>
      </c>
      <c r="D428" s="78">
        <v>40919</v>
      </c>
      <c r="E428" s="79">
        <v>4.4999999999999997E-3</v>
      </c>
      <c r="F428" s="80"/>
      <c r="G428" s="81">
        <v>12082.01</v>
      </c>
      <c r="H428" s="80">
        <v>4699.6099999999997</v>
      </c>
      <c r="I428" s="79">
        <f>H428/G428</f>
        <v>0.3889758409403733</v>
      </c>
    </row>
    <row r="429" spans="1:9" x14ac:dyDescent="0.25">
      <c r="A429" s="76" t="s">
        <v>317</v>
      </c>
      <c r="B429" s="76" t="s">
        <v>318</v>
      </c>
      <c r="C429" s="77">
        <v>40611</v>
      </c>
      <c r="D429" s="78">
        <v>40931</v>
      </c>
      <c r="E429" s="79">
        <v>0</v>
      </c>
      <c r="F429" s="80">
        <v>107314.94</v>
      </c>
      <c r="G429" s="81"/>
      <c r="H429" s="80">
        <v>41499.18</v>
      </c>
      <c r="I429" s="79">
        <f>H429/F429</f>
        <v>0.38670459117807826</v>
      </c>
    </row>
    <row r="430" spans="1:9" x14ac:dyDescent="0.25">
      <c r="A430" s="76" t="s">
        <v>317</v>
      </c>
      <c r="B430" s="76" t="s">
        <v>349</v>
      </c>
      <c r="C430" s="77">
        <v>40909</v>
      </c>
      <c r="D430" s="78">
        <v>41274</v>
      </c>
      <c r="E430" s="79">
        <v>0.09</v>
      </c>
      <c r="F430" s="80"/>
      <c r="G430" s="81">
        <v>197136.54</v>
      </c>
      <c r="H430" s="80">
        <v>75770</v>
      </c>
      <c r="I430" s="79">
        <f>H430/G430</f>
        <v>0.38435289571380321</v>
      </c>
    </row>
    <row r="431" spans="1:9" x14ac:dyDescent="0.25">
      <c r="A431" s="76" t="s">
        <v>265</v>
      </c>
      <c r="B431" s="76" t="s">
        <v>269</v>
      </c>
      <c r="C431" s="77">
        <v>41091</v>
      </c>
      <c r="D431" s="78">
        <v>41455</v>
      </c>
      <c r="E431" s="79">
        <v>0.27</v>
      </c>
      <c r="F431" s="80">
        <v>3119516.05</v>
      </c>
      <c r="G431" s="81"/>
      <c r="H431" s="80">
        <v>1197932.5900000001</v>
      </c>
      <c r="I431" s="79">
        <f>H431/F431</f>
        <v>0.38401231819275305</v>
      </c>
    </row>
    <row r="432" spans="1:9" x14ac:dyDescent="0.25">
      <c r="A432" s="76" t="s">
        <v>674</v>
      </c>
      <c r="B432" s="76" t="s">
        <v>580</v>
      </c>
      <c r="C432" s="77">
        <v>41152</v>
      </c>
      <c r="D432" s="78">
        <v>41274</v>
      </c>
      <c r="E432" s="79">
        <v>0.33300000000000002</v>
      </c>
      <c r="F432" s="80"/>
      <c r="G432" s="81">
        <v>430</v>
      </c>
      <c r="H432" s="80">
        <v>164.97</v>
      </c>
      <c r="I432" s="79">
        <f>H432/G432</f>
        <v>0.38365116279069766</v>
      </c>
    </row>
    <row r="433" spans="1:9" x14ac:dyDescent="0.25">
      <c r="A433" s="76" t="s">
        <v>578</v>
      </c>
      <c r="B433" s="76" t="s">
        <v>1971</v>
      </c>
      <c r="C433" s="77">
        <v>40801</v>
      </c>
      <c r="D433" s="77">
        <v>41104</v>
      </c>
      <c r="E433" s="79">
        <v>0</v>
      </c>
      <c r="F433" s="80">
        <v>27843</v>
      </c>
      <c r="G433" s="88"/>
      <c r="H433" s="80">
        <v>10648.5</v>
      </c>
      <c r="I433" s="79">
        <f>H433/F433</f>
        <v>0.3824480120676651</v>
      </c>
    </row>
    <row r="434" spans="1:9" x14ac:dyDescent="0.25">
      <c r="A434" s="76" t="s">
        <v>643</v>
      </c>
      <c r="B434" s="76" t="s">
        <v>653</v>
      </c>
      <c r="C434" s="77">
        <v>41228</v>
      </c>
      <c r="D434" s="78">
        <v>41502</v>
      </c>
      <c r="E434" s="79">
        <v>4.4999999999999997E-3</v>
      </c>
      <c r="F434" s="80">
        <v>40084</v>
      </c>
      <c r="G434" s="81"/>
      <c r="H434" s="80">
        <v>15315.3</v>
      </c>
      <c r="I434" s="79">
        <f>H434/F434</f>
        <v>0.3820801317233809</v>
      </c>
    </row>
    <row r="435" spans="1:9" x14ac:dyDescent="0.25">
      <c r="A435" s="76" t="s">
        <v>674</v>
      </c>
      <c r="B435" s="76" t="s">
        <v>619</v>
      </c>
      <c r="C435" s="77">
        <v>40940</v>
      </c>
      <c r="D435" s="78">
        <v>41274</v>
      </c>
      <c r="E435" s="79">
        <v>0.30599999999999999</v>
      </c>
      <c r="F435" s="80"/>
      <c r="G435" s="81">
        <v>3023</v>
      </c>
      <c r="H435" s="80">
        <v>1154.83</v>
      </c>
      <c r="I435" s="79">
        <f>H435/G435</f>
        <v>0.38201455507773735</v>
      </c>
    </row>
    <row r="436" spans="1:9" x14ac:dyDescent="0.25">
      <c r="A436" s="76" t="s">
        <v>394</v>
      </c>
      <c r="B436" s="76" t="s">
        <v>402</v>
      </c>
      <c r="C436" s="77">
        <v>40967</v>
      </c>
      <c r="D436" s="78">
        <v>41333</v>
      </c>
      <c r="E436" s="79">
        <v>0.35</v>
      </c>
      <c r="F436" s="80"/>
      <c r="G436" s="81">
        <v>32144</v>
      </c>
      <c r="H436" s="80">
        <v>12250</v>
      </c>
      <c r="I436" s="79">
        <f>H436/G436</f>
        <v>0.38109756097560976</v>
      </c>
    </row>
    <row r="437" spans="1:9" x14ac:dyDescent="0.25">
      <c r="A437" s="76" t="s">
        <v>317</v>
      </c>
      <c r="B437" s="76" t="s">
        <v>349</v>
      </c>
      <c r="C437" s="77">
        <v>40909</v>
      </c>
      <c r="D437" s="78">
        <v>41274</v>
      </c>
      <c r="E437" s="79">
        <v>0.09</v>
      </c>
      <c r="F437" s="80">
        <v>3695270</v>
      </c>
      <c r="G437" s="81"/>
      <c r="H437" s="80">
        <v>1405971.93</v>
      </c>
      <c r="I437" s="79">
        <f>H437/F437</f>
        <v>0.38047880939687762</v>
      </c>
    </row>
    <row r="438" spans="1:9" x14ac:dyDescent="0.25">
      <c r="A438" s="76" t="s">
        <v>516</v>
      </c>
      <c r="B438" s="76" t="s">
        <v>522</v>
      </c>
      <c r="C438" s="77">
        <v>40695</v>
      </c>
      <c r="D438" s="78">
        <v>40999</v>
      </c>
      <c r="E438" s="79">
        <v>0.2</v>
      </c>
      <c r="F438" s="80">
        <v>26404</v>
      </c>
      <c r="G438" s="88"/>
      <c r="H438" s="80">
        <v>10000</v>
      </c>
      <c r="I438" s="79">
        <f>H438/F438</f>
        <v>0.37873049537948794</v>
      </c>
    </row>
    <row r="439" spans="1:9" x14ac:dyDescent="0.25">
      <c r="A439" s="70" t="s">
        <v>171</v>
      </c>
      <c r="B439" s="70" t="s">
        <v>94</v>
      </c>
      <c r="C439" s="71">
        <v>40690</v>
      </c>
      <c r="D439" s="72">
        <v>41055</v>
      </c>
      <c r="E439" s="73">
        <v>1.7999999999999999E-2</v>
      </c>
      <c r="F439" s="74">
        <v>2232050</v>
      </c>
      <c r="G439" s="75"/>
      <c r="H439" s="74">
        <v>845319</v>
      </c>
      <c r="I439" s="79">
        <f>H439/F439</f>
        <v>0.37871866669653459</v>
      </c>
    </row>
    <row r="440" spans="1:9" x14ac:dyDescent="0.25">
      <c r="A440" s="76" t="s">
        <v>171</v>
      </c>
      <c r="B440" s="76" t="s">
        <v>190</v>
      </c>
      <c r="C440" s="77">
        <v>40848</v>
      </c>
      <c r="D440" s="78">
        <v>41213</v>
      </c>
      <c r="E440" s="79">
        <v>1.7999999999999999E-2</v>
      </c>
      <c r="F440" s="80"/>
      <c r="G440" s="81">
        <v>6496</v>
      </c>
      <c r="H440" s="80">
        <v>2460</v>
      </c>
      <c r="I440" s="79">
        <f>H440/G440</f>
        <v>0.3786945812807882</v>
      </c>
    </row>
    <row r="441" spans="1:9" x14ac:dyDescent="0.25">
      <c r="A441" s="76" t="s">
        <v>643</v>
      </c>
      <c r="B441" s="76" t="s">
        <v>648</v>
      </c>
      <c r="C441" s="77">
        <v>40695</v>
      </c>
      <c r="D441" s="78">
        <v>41060</v>
      </c>
      <c r="E441" s="79">
        <v>4.4999999999999997E-3</v>
      </c>
      <c r="F441" s="80"/>
      <c r="G441" s="81">
        <v>10725</v>
      </c>
      <c r="H441" s="80">
        <v>4031.08</v>
      </c>
      <c r="I441" s="79">
        <f>H441/G441</f>
        <v>0.37585827505827507</v>
      </c>
    </row>
    <row r="442" spans="1:9" x14ac:dyDescent="0.25">
      <c r="A442" s="76" t="s">
        <v>643</v>
      </c>
      <c r="B442" s="76" t="s">
        <v>660</v>
      </c>
      <c r="C442" s="77">
        <v>40865</v>
      </c>
      <c r="D442" s="78">
        <v>41230</v>
      </c>
      <c r="E442" s="79">
        <v>8.9999999999999993E-3</v>
      </c>
      <c r="F442" s="80">
        <v>207654.84</v>
      </c>
      <c r="G442" s="81"/>
      <c r="H442" s="80">
        <v>78039.94</v>
      </c>
      <c r="I442" s="79">
        <f>H442/F442</f>
        <v>0.37581565640367448</v>
      </c>
    </row>
    <row r="443" spans="1:9" x14ac:dyDescent="0.25">
      <c r="A443" s="76" t="s">
        <v>613</v>
      </c>
      <c r="B443" s="76" t="s">
        <v>22</v>
      </c>
      <c r="C443" s="77">
        <v>41173</v>
      </c>
      <c r="D443" s="78">
        <v>41455</v>
      </c>
      <c r="E443" s="79">
        <v>1.7999999999999999E-2</v>
      </c>
      <c r="F443" s="80"/>
      <c r="G443" s="81">
        <v>5213</v>
      </c>
      <c r="H443" s="80">
        <v>1954</v>
      </c>
      <c r="I443" s="79">
        <f>H443/G443</f>
        <v>0.37483215039324763</v>
      </c>
    </row>
    <row r="444" spans="1:9" x14ac:dyDescent="0.25">
      <c r="A444" s="76" t="s">
        <v>317</v>
      </c>
      <c r="B444" s="76" t="s">
        <v>355</v>
      </c>
      <c r="C444" s="77">
        <v>41073</v>
      </c>
      <c r="D444" s="78">
        <v>41348</v>
      </c>
      <c r="E444" s="79">
        <v>0.315</v>
      </c>
      <c r="F444" s="80"/>
      <c r="G444" s="81">
        <v>489505.95</v>
      </c>
      <c r="H444" s="80">
        <v>183199.58</v>
      </c>
      <c r="I444" s="79">
        <f>H444/G444</f>
        <v>0.37425404124301243</v>
      </c>
    </row>
    <row r="445" spans="1:9" x14ac:dyDescent="0.25">
      <c r="A445" s="76" t="s">
        <v>317</v>
      </c>
      <c r="B445" s="76" t="s">
        <v>355</v>
      </c>
      <c r="C445" s="77">
        <v>41073</v>
      </c>
      <c r="D445" s="78">
        <v>41348</v>
      </c>
      <c r="E445" s="79">
        <v>0.315</v>
      </c>
      <c r="F445" s="80">
        <v>10632044.24</v>
      </c>
      <c r="G445" s="81"/>
      <c r="H445" s="80">
        <v>3979085.47</v>
      </c>
      <c r="I445" s="79">
        <f>H445/F445</f>
        <v>0.37425403621157244</v>
      </c>
    </row>
    <row r="446" spans="1:9" x14ac:dyDescent="0.25">
      <c r="A446" s="76" t="s">
        <v>531</v>
      </c>
      <c r="B446" s="76" t="s">
        <v>187</v>
      </c>
      <c r="C446" s="77">
        <v>41153</v>
      </c>
      <c r="D446" s="78">
        <v>41517</v>
      </c>
      <c r="E446" s="79">
        <v>8.9999999999999993E-3</v>
      </c>
      <c r="F446" s="80">
        <v>108676</v>
      </c>
      <c r="G446" s="81"/>
      <c r="H446" s="80">
        <v>40622</v>
      </c>
      <c r="I446" s="79">
        <f>H446/F446</f>
        <v>0.37378998122860613</v>
      </c>
    </row>
    <row r="447" spans="1:9" x14ac:dyDescent="0.25">
      <c r="A447" s="76" t="s">
        <v>317</v>
      </c>
      <c r="B447" s="76" t="s">
        <v>326</v>
      </c>
      <c r="C447" s="77">
        <v>40725</v>
      </c>
      <c r="D447" s="78">
        <v>41090</v>
      </c>
      <c r="E447" s="79">
        <v>0</v>
      </c>
      <c r="F447" s="80"/>
      <c r="G447" s="81">
        <v>107029.43</v>
      </c>
      <c r="H447" s="80">
        <v>39333.46</v>
      </c>
      <c r="I447" s="79">
        <f>H447/G447</f>
        <v>0.36750134986236965</v>
      </c>
    </row>
    <row r="448" spans="1:9" x14ac:dyDescent="0.25">
      <c r="A448" s="76" t="s">
        <v>317</v>
      </c>
      <c r="B448" s="76" t="s">
        <v>326</v>
      </c>
      <c r="C448" s="77">
        <v>40725</v>
      </c>
      <c r="D448" s="78">
        <v>41090</v>
      </c>
      <c r="E448" s="79">
        <v>0</v>
      </c>
      <c r="F448" s="80">
        <v>2001882.7</v>
      </c>
      <c r="G448" s="81"/>
      <c r="H448" s="80">
        <v>735694.53</v>
      </c>
      <c r="I448" s="79">
        <f>H448/F448</f>
        <v>0.36750131763464466</v>
      </c>
    </row>
    <row r="449" spans="1:9" x14ac:dyDescent="0.25">
      <c r="A449" s="76" t="s">
        <v>317</v>
      </c>
      <c r="B449" s="76" t="s">
        <v>349</v>
      </c>
      <c r="C449" s="77">
        <v>40909</v>
      </c>
      <c r="D449" s="78">
        <v>41274</v>
      </c>
      <c r="E449" s="79">
        <v>0.09</v>
      </c>
      <c r="F449" s="80"/>
      <c r="G449" s="81">
        <v>118111.55</v>
      </c>
      <c r="H449" s="80">
        <v>43366.76</v>
      </c>
      <c r="I449" s="79">
        <f>H449/G449</f>
        <v>0.36716781720331332</v>
      </c>
    </row>
    <row r="450" spans="1:9" x14ac:dyDescent="0.25">
      <c r="A450" s="76" t="s">
        <v>594</v>
      </c>
      <c r="B450" s="76" t="s">
        <v>598</v>
      </c>
      <c r="C450" s="77">
        <v>41179</v>
      </c>
      <c r="D450" s="78">
        <v>41543</v>
      </c>
      <c r="E450" s="79">
        <v>0.45</v>
      </c>
      <c r="F450" s="80">
        <v>31311.59</v>
      </c>
      <c r="G450" s="81"/>
      <c r="H450" s="80">
        <v>11483.34</v>
      </c>
      <c r="I450" s="79">
        <f>H450/F450</f>
        <v>0.36674407144447152</v>
      </c>
    </row>
    <row r="451" spans="1:9" x14ac:dyDescent="0.25">
      <c r="A451" s="76" t="s">
        <v>263</v>
      </c>
      <c r="B451" s="76" t="s">
        <v>190</v>
      </c>
      <c r="C451" s="77">
        <v>40911</v>
      </c>
      <c r="D451" s="78">
        <v>41276</v>
      </c>
      <c r="E451" s="79">
        <v>8.9999999999999993E-3</v>
      </c>
      <c r="F451" s="80">
        <v>136777</v>
      </c>
      <c r="G451" s="81"/>
      <c r="H451" s="80">
        <v>49937.8</v>
      </c>
      <c r="I451" s="79">
        <f>H451/F451</f>
        <v>0.36510378206862265</v>
      </c>
    </row>
    <row r="452" spans="1:9" x14ac:dyDescent="0.25">
      <c r="A452" s="76" t="s">
        <v>270</v>
      </c>
      <c r="B452" s="76" t="s">
        <v>274</v>
      </c>
      <c r="C452" s="77">
        <v>40725</v>
      </c>
      <c r="D452" s="78">
        <v>41090</v>
      </c>
      <c r="E452" s="79">
        <v>0.45</v>
      </c>
      <c r="F452" s="80">
        <v>2315164.42</v>
      </c>
      <c r="G452" s="81"/>
      <c r="H452" s="80">
        <v>844968.27</v>
      </c>
      <c r="I452" s="79">
        <f>H452/F452</f>
        <v>0.36497117124839024</v>
      </c>
    </row>
    <row r="453" spans="1:9" x14ac:dyDescent="0.25">
      <c r="A453" s="76" t="s">
        <v>171</v>
      </c>
      <c r="B453" s="76" t="s">
        <v>212</v>
      </c>
      <c r="C453" s="77">
        <v>40933</v>
      </c>
      <c r="D453" s="78">
        <v>41274</v>
      </c>
      <c r="E453" s="79">
        <v>1.7999999999999999E-2</v>
      </c>
      <c r="F453" s="80">
        <v>196371</v>
      </c>
      <c r="G453" s="81"/>
      <c r="H453" s="80">
        <v>71606</v>
      </c>
      <c r="I453" s="79">
        <f>H453/F453</f>
        <v>0.3646465109410249</v>
      </c>
    </row>
    <row r="454" spans="1:9" x14ac:dyDescent="0.25">
      <c r="A454" s="76" t="s">
        <v>270</v>
      </c>
      <c r="B454" s="110" t="s">
        <v>269</v>
      </c>
      <c r="C454" s="77">
        <v>41030</v>
      </c>
      <c r="D454" s="78">
        <v>41090</v>
      </c>
      <c r="E454" s="79">
        <v>0.18</v>
      </c>
      <c r="F454" s="80">
        <v>519242.34</v>
      </c>
      <c r="G454" s="81"/>
      <c r="H454" s="80">
        <v>188898.66</v>
      </c>
      <c r="I454" s="79">
        <f>H454/F454</f>
        <v>0.36379671965887833</v>
      </c>
    </row>
    <row r="455" spans="1:9" x14ac:dyDescent="0.25">
      <c r="A455" s="76" t="s">
        <v>531</v>
      </c>
      <c r="B455" s="76" t="s">
        <v>183</v>
      </c>
      <c r="C455" s="77">
        <v>40909</v>
      </c>
      <c r="D455" s="78">
        <v>41274</v>
      </c>
      <c r="E455" s="79">
        <v>8.9999999999999993E-3</v>
      </c>
      <c r="F455" s="80"/>
      <c r="G455" s="81">
        <v>61342.2</v>
      </c>
      <c r="H455" s="80">
        <v>22291.200000000001</v>
      </c>
      <c r="I455" s="79">
        <f>H455/G455</f>
        <v>0.36339094456996979</v>
      </c>
    </row>
    <row r="456" spans="1:9" x14ac:dyDescent="0.25">
      <c r="A456" s="76" t="s">
        <v>317</v>
      </c>
      <c r="B456" s="76" t="s">
        <v>348</v>
      </c>
      <c r="C456" s="77">
        <v>40909</v>
      </c>
      <c r="D456" s="78">
        <v>41274</v>
      </c>
      <c r="E456" s="79">
        <v>0</v>
      </c>
      <c r="F456" s="80"/>
      <c r="G456" s="81">
        <v>392619.18</v>
      </c>
      <c r="H456" s="80">
        <v>141719.39000000001</v>
      </c>
      <c r="I456" s="79">
        <f>H456/G456</f>
        <v>0.36095890679614789</v>
      </c>
    </row>
    <row r="457" spans="1:9" x14ac:dyDescent="0.25">
      <c r="A457" s="76" t="s">
        <v>317</v>
      </c>
      <c r="B457" s="76" t="s">
        <v>348</v>
      </c>
      <c r="C457" s="77">
        <v>40909</v>
      </c>
      <c r="D457" s="78">
        <v>41274</v>
      </c>
      <c r="E457" s="79">
        <v>0</v>
      </c>
      <c r="F457" s="80">
        <v>6162025.6900000004</v>
      </c>
      <c r="G457" s="81"/>
      <c r="H457" s="80">
        <v>2224238.04</v>
      </c>
      <c r="I457" s="79">
        <f>H457/F457</f>
        <v>0.3609589040840237</v>
      </c>
    </row>
    <row r="458" spans="1:9" x14ac:dyDescent="0.25">
      <c r="A458" s="76" t="s">
        <v>531</v>
      </c>
      <c r="B458" s="76" t="s">
        <v>22</v>
      </c>
      <c r="C458" s="77">
        <v>41106</v>
      </c>
      <c r="D458" s="78">
        <v>41470</v>
      </c>
      <c r="E458" s="79">
        <v>0.01</v>
      </c>
      <c r="F458" s="80">
        <v>157375</v>
      </c>
      <c r="G458" s="81"/>
      <c r="H458" s="80">
        <v>56502</v>
      </c>
      <c r="I458" s="79">
        <f>H458/F458</f>
        <v>0.35902779984114375</v>
      </c>
    </row>
    <row r="459" spans="1:9" x14ac:dyDescent="0.25">
      <c r="A459" s="76" t="s">
        <v>394</v>
      </c>
      <c r="B459" s="76" t="s">
        <v>402</v>
      </c>
      <c r="C459" s="77">
        <v>40658</v>
      </c>
      <c r="D459" s="78">
        <v>41013</v>
      </c>
      <c r="E459" s="79">
        <v>0.3</v>
      </c>
      <c r="F459" s="80"/>
      <c r="G459" s="81">
        <v>33150</v>
      </c>
      <c r="H459" s="80">
        <v>11890</v>
      </c>
      <c r="I459" s="79">
        <f>H459/G459</f>
        <v>0.35867269984917044</v>
      </c>
    </row>
    <row r="460" spans="1:9" x14ac:dyDescent="0.25">
      <c r="A460" s="76" t="s">
        <v>578</v>
      </c>
      <c r="B460" s="76" t="s">
        <v>183</v>
      </c>
      <c r="C460" s="77">
        <v>40735</v>
      </c>
      <c r="D460" s="78">
        <v>40921</v>
      </c>
      <c r="E460" s="79">
        <v>0</v>
      </c>
      <c r="F460" s="80">
        <v>73864</v>
      </c>
      <c r="G460" s="81"/>
      <c r="H460" s="80">
        <v>26354</v>
      </c>
      <c r="I460" s="79">
        <f t="shared" ref="I460:I469" si="3">H460/F460</f>
        <v>0.35679085887577167</v>
      </c>
    </row>
    <row r="461" spans="1:9" x14ac:dyDescent="0.25">
      <c r="A461" s="76" t="s">
        <v>643</v>
      </c>
      <c r="B461" s="76" t="s">
        <v>328</v>
      </c>
      <c r="C461" s="77">
        <v>40634</v>
      </c>
      <c r="D461" s="78">
        <v>40999</v>
      </c>
      <c r="E461" s="79">
        <v>4.4999999999999997E-3</v>
      </c>
      <c r="F461" s="80">
        <v>243450.45</v>
      </c>
      <c r="G461" s="81"/>
      <c r="H461" s="80">
        <v>85424.25</v>
      </c>
      <c r="I461" s="79">
        <f t="shared" si="3"/>
        <v>0.35088967796116211</v>
      </c>
    </row>
    <row r="462" spans="1:9" ht="28.5" x14ac:dyDescent="0.25">
      <c r="A462" s="76" t="s">
        <v>415</v>
      </c>
      <c r="B462" s="76" t="s">
        <v>418</v>
      </c>
      <c r="C462" s="77">
        <v>40738</v>
      </c>
      <c r="D462" s="78">
        <v>41103</v>
      </c>
      <c r="E462" s="79">
        <v>0.35</v>
      </c>
      <c r="F462" s="80">
        <v>70988.789999999994</v>
      </c>
      <c r="G462" s="81"/>
      <c r="H462" s="80">
        <v>24846.080000000002</v>
      </c>
      <c r="I462" s="79">
        <f t="shared" si="3"/>
        <v>0.3500000493035591</v>
      </c>
    </row>
    <row r="463" spans="1:9" ht="28.5" x14ac:dyDescent="0.25">
      <c r="A463" s="76" t="s">
        <v>422</v>
      </c>
      <c r="B463" s="76" t="s">
        <v>419</v>
      </c>
      <c r="C463" s="77">
        <v>41122</v>
      </c>
      <c r="D463" s="78">
        <v>41487</v>
      </c>
      <c r="E463" s="79">
        <v>0.35</v>
      </c>
      <c r="F463" s="80">
        <v>82587</v>
      </c>
      <c r="G463" s="88"/>
      <c r="H463" s="80">
        <v>28905.45</v>
      </c>
      <c r="I463" s="79">
        <f t="shared" si="3"/>
        <v>0.35000000000000003</v>
      </c>
    </row>
    <row r="464" spans="1:9" ht="28.5" x14ac:dyDescent="0.25">
      <c r="A464" s="76" t="s">
        <v>422</v>
      </c>
      <c r="B464" s="76" t="s">
        <v>418</v>
      </c>
      <c r="C464" s="77">
        <v>41104</v>
      </c>
      <c r="D464" s="78">
        <v>41467</v>
      </c>
      <c r="E464" s="79">
        <v>0.35</v>
      </c>
      <c r="F464" s="80">
        <v>75970</v>
      </c>
      <c r="G464" s="88"/>
      <c r="H464" s="80">
        <v>26589.5</v>
      </c>
      <c r="I464" s="79">
        <f t="shared" si="3"/>
        <v>0.35</v>
      </c>
    </row>
    <row r="465" spans="1:9" x14ac:dyDescent="0.25">
      <c r="A465" s="76" t="s">
        <v>237</v>
      </c>
      <c r="B465" s="76" t="s">
        <v>238</v>
      </c>
      <c r="C465" s="77">
        <v>40793</v>
      </c>
      <c r="D465" s="78">
        <v>41159</v>
      </c>
      <c r="E465" s="79">
        <v>0.35</v>
      </c>
      <c r="F465" s="80">
        <v>69725</v>
      </c>
      <c r="G465" s="88"/>
      <c r="H465" s="80">
        <v>24403.75</v>
      </c>
      <c r="I465" s="79">
        <f t="shared" si="3"/>
        <v>0.35</v>
      </c>
    </row>
    <row r="466" spans="1:9" ht="28.5" x14ac:dyDescent="0.25">
      <c r="A466" s="76" t="s">
        <v>415</v>
      </c>
      <c r="B466" s="76" t="s">
        <v>417</v>
      </c>
      <c r="C466" s="77">
        <v>40664</v>
      </c>
      <c r="D466" s="78">
        <v>41029</v>
      </c>
      <c r="E466" s="79">
        <v>0.35</v>
      </c>
      <c r="F466" s="80">
        <v>68965</v>
      </c>
      <c r="G466" s="81"/>
      <c r="H466" s="80">
        <v>24137.75</v>
      </c>
      <c r="I466" s="79">
        <f t="shared" si="3"/>
        <v>0.35</v>
      </c>
    </row>
    <row r="467" spans="1:9" ht="28.5" x14ac:dyDescent="0.25">
      <c r="A467" s="76" t="s">
        <v>415</v>
      </c>
      <c r="B467" s="76" t="s">
        <v>419</v>
      </c>
      <c r="C467" s="77">
        <v>40756</v>
      </c>
      <c r="D467" s="78">
        <v>41122</v>
      </c>
      <c r="E467" s="79">
        <v>0.35</v>
      </c>
      <c r="F467" s="80">
        <v>56528</v>
      </c>
      <c r="G467" s="81"/>
      <c r="H467" s="80">
        <v>19784.8</v>
      </c>
      <c r="I467" s="79">
        <f t="shared" si="3"/>
        <v>0.35</v>
      </c>
    </row>
    <row r="468" spans="1:9" x14ac:dyDescent="0.25">
      <c r="A468" s="76" t="s">
        <v>663</v>
      </c>
      <c r="B468" s="76" t="s">
        <v>664</v>
      </c>
      <c r="C468" s="77">
        <v>41050</v>
      </c>
      <c r="D468" s="78">
        <v>41327</v>
      </c>
      <c r="E468" s="79">
        <v>0.35</v>
      </c>
      <c r="F468" s="80">
        <v>48216</v>
      </c>
      <c r="G468" s="88"/>
      <c r="H468" s="80">
        <v>16875.599999999999</v>
      </c>
      <c r="I468" s="79">
        <f t="shared" si="3"/>
        <v>0.35</v>
      </c>
    </row>
    <row r="469" spans="1:9" x14ac:dyDescent="0.25">
      <c r="A469" s="76" t="s">
        <v>663</v>
      </c>
      <c r="B469" s="76" t="s">
        <v>664</v>
      </c>
      <c r="C469" s="77">
        <v>40921</v>
      </c>
      <c r="D469" s="78">
        <v>40955</v>
      </c>
      <c r="E469" s="79">
        <v>0.35</v>
      </c>
      <c r="F469" s="80">
        <v>31620</v>
      </c>
      <c r="G469" s="88"/>
      <c r="H469" s="80">
        <v>11067</v>
      </c>
      <c r="I469" s="79">
        <f t="shared" si="3"/>
        <v>0.35</v>
      </c>
    </row>
    <row r="470" spans="1:9" x14ac:dyDescent="0.25">
      <c r="A470" s="76" t="s">
        <v>263</v>
      </c>
      <c r="B470" s="76" t="s">
        <v>264</v>
      </c>
      <c r="C470" s="77">
        <v>40948</v>
      </c>
      <c r="D470" s="78">
        <v>41313</v>
      </c>
      <c r="E470" s="79">
        <v>8.9999999999999993E-3</v>
      </c>
      <c r="F470" s="80"/>
      <c r="G470" s="81">
        <v>1087</v>
      </c>
      <c r="H470" s="80">
        <v>380.45</v>
      </c>
      <c r="I470" s="79">
        <f>H470/G470</f>
        <v>0.35</v>
      </c>
    </row>
    <row r="471" spans="1:9" x14ac:dyDescent="0.25">
      <c r="A471" s="76" t="s">
        <v>216</v>
      </c>
      <c r="B471" s="76" t="s">
        <v>219</v>
      </c>
      <c r="C471" s="77">
        <v>41085</v>
      </c>
      <c r="D471" s="78">
        <v>41271</v>
      </c>
      <c r="E471" s="79">
        <v>0.2</v>
      </c>
      <c r="F471" s="80">
        <v>90458.82</v>
      </c>
      <c r="G471" s="88"/>
      <c r="H471" s="80">
        <v>31655.79</v>
      </c>
      <c r="I471" s="79">
        <f>H471/F471</f>
        <v>0.34994697034518024</v>
      </c>
    </row>
    <row r="472" spans="1:9" ht="28.5" x14ac:dyDescent="0.25">
      <c r="A472" s="76" t="s">
        <v>171</v>
      </c>
      <c r="B472" s="76" t="s">
        <v>111</v>
      </c>
      <c r="C472" s="77">
        <v>40868</v>
      </c>
      <c r="D472" s="78">
        <v>41233</v>
      </c>
      <c r="E472" s="79">
        <v>1.7999999999999999E-2</v>
      </c>
      <c r="F472" s="80">
        <v>54539</v>
      </c>
      <c r="G472" s="81"/>
      <c r="H472" s="80">
        <v>18943.849999999999</v>
      </c>
      <c r="I472" s="79">
        <f>H472/F472</f>
        <v>0.34734501916060062</v>
      </c>
    </row>
    <row r="473" spans="1:9" x14ac:dyDescent="0.25">
      <c r="A473" s="76" t="s">
        <v>613</v>
      </c>
      <c r="B473" s="76" t="s">
        <v>616</v>
      </c>
      <c r="C473" s="77">
        <v>40714</v>
      </c>
      <c r="D473" s="78">
        <v>41060</v>
      </c>
      <c r="E473" s="79">
        <v>8.9999999999999993E-3</v>
      </c>
      <c r="F473" s="80">
        <v>89247</v>
      </c>
      <c r="G473" s="81"/>
      <c r="H473" s="80">
        <v>30949</v>
      </c>
      <c r="I473" s="79">
        <f>H473/F473</f>
        <v>0.34677916344526988</v>
      </c>
    </row>
    <row r="474" spans="1:9" x14ac:dyDescent="0.25">
      <c r="A474" s="76" t="s">
        <v>531</v>
      </c>
      <c r="B474" s="76" t="s">
        <v>190</v>
      </c>
      <c r="C474" s="77">
        <v>41179</v>
      </c>
      <c r="D474" s="78">
        <v>41364</v>
      </c>
      <c r="E474" s="79">
        <v>8.9999999999999993E-3</v>
      </c>
      <c r="F474" s="80"/>
      <c r="G474" s="81">
        <v>2268</v>
      </c>
      <c r="H474" s="80">
        <v>783</v>
      </c>
      <c r="I474" s="79">
        <f>H474/G474</f>
        <v>0.34523809523809523</v>
      </c>
    </row>
    <row r="475" spans="1:9" x14ac:dyDescent="0.25">
      <c r="A475" s="70" t="s">
        <v>101</v>
      </c>
      <c r="B475" s="70" t="s">
        <v>104</v>
      </c>
      <c r="C475" s="71">
        <v>40867</v>
      </c>
      <c r="D475" s="72">
        <v>41232</v>
      </c>
      <c r="E475" s="73">
        <v>1.35E-2</v>
      </c>
      <c r="F475" s="74"/>
      <c r="G475" s="75">
        <v>364.41</v>
      </c>
      <c r="H475" s="74">
        <v>125.24</v>
      </c>
      <c r="I475" s="73">
        <v>0.34367882330342192</v>
      </c>
    </row>
    <row r="476" spans="1:9" x14ac:dyDescent="0.25">
      <c r="A476" s="70" t="s">
        <v>101</v>
      </c>
      <c r="B476" s="70" t="s">
        <v>104</v>
      </c>
      <c r="C476" s="71">
        <v>40867</v>
      </c>
      <c r="D476" s="72">
        <v>41232</v>
      </c>
      <c r="E476" s="73">
        <v>1.35E-2</v>
      </c>
      <c r="F476" s="74">
        <v>8514.26</v>
      </c>
      <c r="G476" s="75"/>
      <c r="H476" s="74">
        <v>2926.17</v>
      </c>
      <c r="I476" s="73">
        <v>0.34367872251963177</v>
      </c>
    </row>
    <row r="477" spans="1:9" x14ac:dyDescent="0.25">
      <c r="A477" s="76" t="s">
        <v>449</v>
      </c>
      <c r="B477" s="76" t="s">
        <v>457</v>
      </c>
      <c r="C477" s="77">
        <v>41122</v>
      </c>
      <c r="D477" s="78">
        <v>41182</v>
      </c>
      <c r="E477" s="79">
        <v>0</v>
      </c>
      <c r="F477" s="80">
        <v>253643</v>
      </c>
      <c r="G477" s="81"/>
      <c r="H477" s="80">
        <v>87168</v>
      </c>
      <c r="I477" s="79">
        <f>H477/F477</f>
        <v>0.34366412635081589</v>
      </c>
    </row>
    <row r="478" spans="1:9" x14ac:dyDescent="0.25">
      <c r="A478" s="76" t="s">
        <v>681</v>
      </c>
      <c r="B478" s="76" t="s">
        <v>125</v>
      </c>
      <c r="C478" s="77">
        <v>40664</v>
      </c>
      <c r="D478" s="78">
        <v>40962</v>
      </c>
      <c r="E478" s="79">
        <v>0.13</v>
      </c>
      <c r="F478" s="80">
        <v>384218.65</v>
      </c>
      <c r="G478" s="81"/>
      <c r="H478" s="80">
        <v>131515.46</v>
      </c>
      <c r="I478" s="79">
        <f>H478/F478</f>
        <v>0.34229327493602923</v>
      </c>
    </row>
    <row r="479" spans="1:9" x14ac:dyDescent="0.25">
      <c r="A479" s="76" t="s">
        <v>674</v>
      </c>
      <c r="B479" s="76" t="s">
        <v>678</v>
      </c>
      <c r="C479" s="77">
        <v>40940</v>
      </c>
      <c r="D479" s="78">
        <v>41274</v>
      </c>
      <c r="E479" s="79">
        <v>0.28799999999999998</v>
      </c>
      <c r="F479" s="80">
        <v>36510</v>
      </c>
      <c r="G479" s="81"/>
      <c r="H479" s="80">
        <v>12489.44</v>
      </c>
      <c r="I479" s="79">
        <f>H479/F479</f>
        <v>0.34208271706381815</v>
      </c>
    </row>
    <row r="480" spans="1:9" x14ac:dyDescent="0.25">
      <c r="A480" s="70" t="s">
        <v>137</v>
      </c>
      <c r="B480" s="70" t="s">
        <v>31</v>
      </c>
      <c r="C480" s="71">
        <v>40779</v>
      </c>
      <c r="D480" s="72">
        <v>41119</v>
      </c>
      <c r="E480" s="73">
        <v>0.315</v>
      </c>
      <c r="F480" s="74">
        <v>6228</v>
      </c>
      <c r="G480" s="75"/>
      <c r="H480" s="74">
        <v>2128.4</v>
      </c>
      <c r="I480" s="73">
        <v>0.34174694926140015</v>
      </c>
    </row>
    <row r="481" spans="1:9" ht="28.5" x14ac:dyDescent="0.25">
      <c r="A481" s="76" t="s">
        <v>392</v>
      </c>
      <c r="B481" s="116" t="s">
        <v>393</v>
      </c>
      <c r="C481" s="77">
        <v>40892</v>
      </c>
      <c r="D481" s="78">
        <v>41151</v>
      </c>
      <c r="E481" s="79">
        <v>8.9999999999999993E-3</v>
      </c>
      <c r="F481" s="80">
        <v>40440</v>
      </c>
      <c r="G481" s="81"/>
      <c r="H481" s="80">
        <v>13773.81</v>
      </c>
      <c r="I481" s="79">
        <f>H481/F481</f>
        <v>0.34059866468842731</v>
      </c>
    </row>
    <row r="482" spans="1:9" x14ac:dyDescent="0.25">
      <c r="A482" s="76" t="s">
        <v>267</v>
      </c>
      <c r="B482" s="76" t="s">
        <v>269</v>
      </c>
      <c r="C482" s="77">
        <v>40664</v>
      </c>
      <c r="D482" s="78">
        <v>41029</v>
      </c>
      <c r="E482" s="79">
        <v>0.18</v>
      </c>
      <c r="F482" s="80">
        <v>2438297.7999999998</v>
      </c>
      <c r="G482" s="81"/>
      <c r="H482" s="80">
        <v>826243.03</v>
      </c>
      <c r="I482" s="79">
        <f>H482/F482</f>
        <v>0.33886058954734738</v>
      </c>
    </row>
    <row r="483" spans="1:9" x14ac:dyDescent="0.25">
      <c r="A483" s="76" t="s">
        <v>270</v>
      </c>
      <c r="B483" s="76" t="s">
        <v>266</v>
      </c>
      <c r="C483" s="77">
        <v>40950</v>
      </c>
      <c r="D483" s="78">
        <v>41315</v>
      </c>
      <c r="E483" s="79">
        <v>0.18</v>
      </c>
      <c r="F483" s="80">
        <v>5601609.2199999997</v>
      </c>
      <c r="G483" s="81"/>
      <c r="H483" s="80">
        <v>1896630.71</v>
      </c>
      <c r="I483" s="79">
        <f>H483/F483</f>
        <v>0.33858675882427941</v>
      </c>
    </row>
    <row r="484" spans="1:9" x14ac:dyDescent="0.25">
      <c r="A484" s="76" t="s">
        <v>265</v>
      </c>
      <c r="B484" s="76" t="s">
        <v>338</v>
      </c>
      <c r="C484" s="77">
        <v>41194</v>
      </c>
      <c r="D484" s="78">
        <v>41547</v>
      </c>
      <c r="E484" s="79">
        <v>0.09</v>
      </c>
      <c r="F484" s="80">
        <v>654864.9</v>
      </c>
      <c r="G484" s="81"/>
      <c r="H484" s="80">
        <v>221405.41</v>
      </c>
      <c r="I484" s="79">
        <f>H484/F484</f>
        <v>0.33809326167885922</v>
      </c>
    </row>
    <row r="485" spans="1:9" x14ac:dyDescent="0.25">
      <c r="A485" s="76" t="s">
        <v>674</v>
      </c>
      <c r="B485" s="76" t="s">
        <v>676</v>
      </c>
      <c r="C485" s="77">
        <v>40920</v>
      </c>
      <c r="D485" s="78">
        <v>41274</v>
      </c>
      <c r="E485" s="79">
        <v>0.23849999999999999</v>
      </c>
      <c r="F485" s="80">
        <v>270375.78999999998</v>
      </c>
      <c r="G485" s="81"/>
      <c r="H485" s="80">
        <v>91405.08</v>
      </c>
      <c r="I485" s="79">
        <f>H485/F485</f>
        <v>0.33806680694303293</v>
      </c>
    </row>
    <row r="486" spans="1:9" x14ac:dyDescent="0.25">
      <c r="A486" s="76" t="s">
        <v>674</v>
      </c>
      <c r="B486" s="76" t="s">
        <v>676</v>
      </c>
      <c r="C486" s="77">
        <v>40920</v>
      </c>
      <c r="D486" s="78">
        <v>41274</v>
      </c>
      <c r="E486" s="79">
        <v>0.23849999999999999</v>
      </c>
      <c r="F486" s="80"/>
      <c r="G486" s="81">
        <v>8519</v>
      </c>
      <c r="H486" s="80">
        <v>2858.16</v>
      </c>
      <c r="I486" s="79">
        <f>H486/G486</f>
        <v>0.33550416715576942</v>
      </c>
    </row>
    <row r="487" spans="1:9" x14ac:dyDescent="0.25">
      <c r="A487" s="76" t="s">
        <v>531</v>
      </c>
      <c r="B487" s="76" t="s">
        <v>93</v>
      </c>
      <c r="C487" s="77">
        <v>40806</v>
      </c>
      <c r="D487" s="78">
        <v>41090</v>
      </c>
      <c r="E487" s="79">
        <v>8.9999999999999993E-3</v>
      </c>
      <c r="F487" s="80"/>
      <c r="G487" s="81">
        <v>21691</v>
      </c>
      <c r="H487" s="80">
        <v>7215</v>
      </c>
      <c r="I487" s="79">
        <f>H487/G487</f>
        <v>0.33262643492692823</v>
      </c>
    </row>
    <row r="488" spans="1:9" x14ac:dyDescent="0.25">
      <c r="A488" s="76" t="s">
        <v>661</v>
      </c>
      <c r="B488" s="76" t="s">
        <v>662</v>
      </c>
      <c r="C488" s="77">
        <v>41106</v>
      </c>
      <c r="D488" s="78">
        <v>41203</v>
      </c>
      <c r="E488" s="79">
        <v>0</v>
      </c>
      <c r="F488" s="80">
        <v>16309</v>
      </c>
      <c r="G488" s="88"/>
      <c r="H488" s="80">
        <v>5423.78</v>
      </c>
      <c r="I488" s="79">
        <f>H488/F488</f>
        <v>0.33256361518180144</v>
      </c>
    </row>
    <row r="489" spans="1:9" x14ac:dyDescent="0.25">
      <c r="A489" s="76" t="s">
        <v>317</v>
      </c>
      <c r="B489" s="76" t="s">
        <v>181</v>
      </c>
      <c r="C489" s="77">
        <v>40788</v>
      </c>
      <c r="D489" s="78">
        <v>41090</v>
      </c>
      <c r="E489" s="79">
        <v>1.7999999999999999E-2</v>
      </c>
      <c r="F489" s="80"/>
      <c r="G489" s="81">
        <v>54335.05</v>
      </c>
      <c r="H489" s="80">
        <v>18025.560000000001</v>
      </c>
      <c r="I489" s="79">
        <f>H489/G489</f>
        <v>0.33174829138833956</v>
      </c>
    </row>
    <row r="490" spans="1:9" x14ac:dyDescent="0.25">
      <c r="A490" s="76" t="s">
        <v>317</v>
      </c>
      <c r="B490" s="76" t="s">
        <v>181</v>
      </c>
      <c r="C490" s="77">
        <v>40788</v>
      </c>
      <c r="D490" s="78">
        <v>41090</v>
      </c>
      <c r="E490" s="79">
        <v>1.7999999999999999E-2</v>
      </c>
      <c r="F490" s="80">
        <v>1428344.94</v>
      </c>
      <c r="G490" s="81"/>
      <c r="H490" s="80">
        <v>473850.97</v>
      </c>
      <c r="I490" s="79">
        <f>H490/F490</f>
        <v>0.33174827503502058</v>
      </c>
    </row>
    <row r="491" spans="1:9" x14ac:dyDescent="0.25">
      <c r="A491" s="76" t="s">
        <v>265</v>
      </c>
      <c r="B491" s="76" t="s">
        <v>266</v>
      </c>
      <c r="C491" s="77">
        <v>40585</v>
      </c>
      <c r="D491" s="78">
        <v>40949</v>
      </c>
      <c r="E491" s="79">
        <v>0.18</v>
      </c>
      <c r="F491" s="80">
        <v>6068503.71</v>
      </c>
      <c r="G491" s="81"/>
      <c r="H491" s="80">
        <v>2002743.8</v>
      </c>
      <c r="I491" s="79">
        <f>H491/F491</f>
        <v>0.33002267044836331</v>
      </c>
    </row>
    <row r="492" spans="1:9" x14ac:dyDescent="0.25">
      <c r="A492" s="76" t="s">
        <v>531</v>
      </c>
      <c r="B492" s="76" t="s">
        <v>90</v>
      </c>
      <c r="C492" s="77">
        <v>40718</v>
      </c>
      <c r="D492" s="78">
        <v>41083</v>
      </c>
      <c r="E492" s="79">
        <v>0.36</v>
      </c>
      <c r="F492" s="80"/>
      <c r="G492" s="81">
        <v>10669</v>
      </c>
      <c r="H492" s="80">
        <v>3520</v>
      </c>
      <c r="I492" s="79">
        <f>H492/G492</f>
        <v>0.32992782828756212</v>
      </c>
    </row>
    <row r="493" spans="1:9" x14ac:dyDescent="0.25">
      <c r="A493" s="70" t="s">
        <v>101</v>
      </c>
      <c r="B493" s="70" t="s">
        <v>108</v>
      </c>
      <c r="C493" s="71">
        <v>40817</v>
      </c>
      <c r="D493" s="72">
        <v>41182</v>
      </c>
      <c r="E493" s="73">
        <v>1.35E-2</v>
      </c>
      <c r="F493" s="74">
        <v>172417.28</v>
      </c>
      <c r="G493" s="75"/>
      <c r="H493" s="74">
        <v>56853.78</v>
      </c>
      <c r="I493" s="73">
        <v>0.32974525523195819</v>
      </c>
    </row>
    <row r="494" spans="1:9" x14ac:dyDescent="0.25">
      <c r="A494" s="70" t="s">
        <v>101</v>
      </c>
      <c r="B494" s="70" t="s">
        <v>108</v>
      </c>
      <c r="C494" s="71">
        <v>40817</v>
      </c>
      <c r="D494" s="72">
        <v>41182</v>
      </c>
      <c r="E494" s="73">
        <v>1.35E-2</v>
      </c>
      <c r="F494" s="74"/>
      <c r="G494" s="75">
        <v>4862.16</v>
      </c>
      <c r="H494" s="74">
        <v>1603.27</v>
      </c>
      <c r="I494" s="73">
        <v>0.32974439343830725</v>
      </c>
    </row>
    <row r="495" spans="1:9" x14ac:dyDescent="0.25">
      <c r="A495" s="76" t="s">
        <v>531</v>
      </c>
      <c r="B495" s="76" t="s">
        <v>90</v>
      </c>
      <c r="C495" s="77">
        <v>40718</v>
      </c>
      <c r="D495" s="78">
        <v>41083</v>
      </c>
      <c r="E495" s="79">
        <v>0.36</v>
      </c>
      <c r="F495" s="80">
        <v>476820</v>
      </c>
      <c r="G495" s="81"/>
      <c r="H495" s="80">
        <v>156930</v>
      </c>
      <c r="I495" s="79">
        <f>H495/F495</f>
        <v>0.32911790612809866</v>
      </c>
    </row>
    <row r="496" spans="1:9" x14ac:dyDescent="0.25">
      <c r="A496" s="76" t="s">
        <v>531</v>
      </c>
      <c r="B496" s="76" t="s">
        <v>173</v>
      </c>
      <c r="C496" s="77">
        <v>40796</v>
      </c>
      <c r="D496" s="78">
        <v>41152</v>
      </c>
      <c r="E496" s="79">
        <v>8.9999999999999993E-3</v>
      </c>
      <c r="F496" s="80"/>
      <c r="G496" s="81">
        <v>870</v>
      </c>
      <c r="H496" s="80">
        <v>285</v>
      </c>
      <c r="I496" s="79">
        <f>H496/G496</f>
        <v>0.32758620689655171</v>
      </c>
    </row>
    <row r="497" spans="1:9" x14ac:dyDescent="0.25">
      <c r="A497" s="76" t="s">
        <v>317</v>
      </c>
      <c r="B497" s="76" t="s">
        <v>318</v>
      </c>
      <c r="C497" s="77">
        <v>40988</v>
      </c>
      <c r="D497" s="78">
        <v>41297</v>
      </c>
      <c r="E497" s="79">
        <v>8.9999999999999993E-3</v>
      </c>
      <c r="F497" s="80"/>
      <c r="G497" s="81">
        <v>2918</v>
      </c>
      <c r="H497" s="80">
        <v>954.33</v>
      </c>
      <c r="I497" s="79">
        <f>H497/G497</f>
        <v>0.32704934886908843</v>
      </c>
    </row>
    <row r="498" spans="1:9" x14ac:dyDescent="0.25">
      <c r="A498" s="76" t="s">
        <v>317</v>
      </c>
      <c r="B498" s="76" t="s">
        <v>318</v>
      </c>
      <c r="C498" s="77">
        <v>40988</v>
      </c>
      <c r="D498" s="78">
        <v>41297</v>
      </c>
      <c r="E498" s="79">
        <v>8.9999999999999993E-3</v>
      </c>
      <c r="F498" s="80">
        <v>51200.6</v>
      </c>
      <c r="G498" s="81"/>
      <c r="H498" s="80">
        <v>16745.05</v>
      </c>
      <c r="I498" s="79">
        <f>H498/F498</f>
        <v>0.32704792521962633</v>
      </c>
    </row>
    <row r="499" spans="1:9" x14ac:dyDescent="0.25">
      <c r="A499" s="76" t="s">
        <v>413</v>
      </c>
      <c r="B499" s="76" t="s">
        <v>414</v>
      </c>
      <c r="C499" s="77">
        <v>40575</v>
      </c>
      <c r="D499" s="78">
        <v>40939</v>
      </c>
      <c r="E499" s="79">
        <v>0.29699999999999999</v>
      </c>
      <c r="F499" s="112"/>
      <c r="G499" s="81">
        <v>574208</v>
      </c>
      <c r="H499" s="80">
        <v>187222</v>
      </c>
      <c r="I499" s="79">
        <f>H499/G499</f>
        <v>0.3260525802496656</v>
      </c>
    </row>
    <row r="500" spans="1:9" x14ac:dyDescent="0.25">
      <c r="A500" s="76" t="s">
        <v>265</v>
      </c>
      <c r="B500" s="76" t="s">
        <v>276</v>
      </c>
      <c r="C500" s="77">
        <v>41153</v>
      </c>
      <c r="D500" s="78">
        <v>41517</v>
      </c>
      <c r="E500" s="79">
        <v>0.09</v>
      </c>
      <c r="F500" s="80">
        <v>523878.21</v>
      </c>
      <c r="G500" s="81"/>
      <c r="H500" s="80">
        <v>170383.58</v>
      </c>
      <c r="I500" s="79">
        <f>H500/F500</f>
        <v>0.32523509614954205</v>
      </c>
    </row>
    <row r="501" spans="1:9" x14ac:dyDescent="0.25">
      <c r="A501" s="76" t="s">
        <v>263</v>
      </c>
      <c r="B501" s="76" t="s">
        <v>179</v>
      </c>
      <c r="C501" s="77">
        <v>40854</v>
      </c>
      <c r="D501" s="78">
        <v>41219</v>
      </c>
      <c r="E501" s="79">
        <v>8.9999999999999993E-3</v>
      </c>
      <c r="F501" s="80"/>
      <c r="G501" s="81">
        <v>8562</v>
      </c>
      <c r="H501" s="80">
        <v>2772</v>
      </c>
      <c r="I501" s="79">
        <f>H501/G501</f>
        <v>0.32375613174491941</v>
      </c>
    </row>
    <row r="502" spans="1:9" x14ac:dyDescent="0.25">
      <c r="A502" s="76" t="s">
        <v>413</v>
      </c>
      <c r="B502" s="76" t="s">
        <v>414</v>
      </c>
      <c r="C502" s="77">
        <v>40940</v>
      </c>
      <c r="D502" s="78">
        <v>41305</v>
      </c>
      <c r="E502" s="79">
        <v>0.29699999999999999</v>
      </c>
      <c r="F502" s="80"/>
      <c r="G502" s="81">
        <v>517065</v>
      </c>
      <c r="H502" s="80">
        <v>167110</v>
      </c>
      <c r="I502" s="79">
        <f>H502/G502</f>
        <v>0.32318954096680302</v>
      </c>
    </row>
    <row r="503" spans="1:9" x14ac:dyDescent="0.25">
      <c r="A503" s="76" t="s">
        <v>1717</v>
      </c>
      <c r="B503" s="76" t="s">
        <v>458</v>
      </c>
      <c r="C503" s="77">
        <v>41205</v>
      </c>
      <c r="D503" s="78">
        <v>41274</v>
      </c>
      <c r="E503" s="79">
        <v>8.9999999999999993E-3</v>
      </c>
      <c r="F503" s="80"/>
      <c r="G503" s="81">
        <v>5723</v>
      </c>
      <c r="H503" s="80">
        <v>1841.35</v>
      </c>
      <c r="I503" s="73">
        <f>H503/G503</f>
        <v>0.32174558797833303</v>
      </c>
    </row>
    <row r="504" spans="1:9" x14ac:dyDescent="0.25">
      <c r="A504" s="76" t="s">
        <v>531</v>
      </c>
      <c r="B504" s="76" t="s">
        <v>536</v>
      </c>
      <c r="C504" s="77">
        <v>40751</v>
      </c>
      <c r="D504" s="78">
        <v>41090</v>
      </c>
      <c r="E504" s="79">
        <v>8.9999999999999993E-3</v>
      </c>
      <c r="F504" s="80"/>
      <c r="G504" s="81">
        <v>635</v>
      </c>
      <c r="H504" s="80">
        <v>204</v>
      </c>
      <c r="I504" s="93">
        <f>H504/G504</f>
        <v>0.32125984251968503</v>
      </c>
    </row>
    <row r="505" spans="1:9" x14ac:dyDescent="0.25">
      <c r="A505" s="70" t="s">
        <v>146</v>
      </c>
      <c r="B505" s="70" t="s">
        <v>163</v>
      </c>
      <c r="C505" s="71">
        <v>41093</v>
      </c>
      <c r="D505" s="72">
        <v>41182</v>
      </c>
      <c r="E505" s="73">
        <v>0.45</v>
      </c>
      <c r="F505" s="74">
        <v>125787.3</v>
      </c>
      <c r="G505" s="75"/>
      <c r="H505" s="74">
        <v>40224.800000000003</v>
      </c>
      <c r="I505" s="126">
        <v>0.31978427074911381</v>
      </c>
    </row>
    <row r="506" spans="1:9" x14ac:dyDescent="0.25">
      <c r="A506" s="76" t="s">
        <v>549</v>
      </c>
      <c r="B506" s="76" t="s">
        <v>550</v>
      </c>
      <c r="C506" s="77">
        <v>40966</v>
      </c>
      <c r="D506" s="78">
        <v>41331</v>
      </c>
      <c r="E506" s="79">
        <v>0.36</v>
      </c>
      <c r="F506" s="80">
        <v>28515.41</v>
      </c>
      <c r="G506" s="88"/>
      <c r="H506" s="80">
        <v>9098.5499999999993</v>
      </c>
      <c r="I506" s="93">
        <f>H506/F506</f>
        <v>0.31907484409307107</v>
      </c>
    </row>
    <row r="507" spans="1:9" x14ac:dyDescent="0.25">
      <c r="A507" s="76" t="s">
        <v>563</v>
      </c>
      <c r="B507" s="76" t="s">
        <v>564</v>
      </c>
      <c r="C507" s="77">
        <v>40843</v>
      </c>
      <c r="D507" s="78">
        <v>41061</v>
      </c>
      <c r="E507" s="79">
        <v>0.17100000000000001</v>
      </c>
      <c r="F507" s="80">
        <v>86441</v>
      </c>
      <c r="G507" s="88"/>
      <c r="H507" s="80">
        <v>27000</v>
      </c>
      <c r="I507" s="93">
        <f>H507/F507</f>
        <v>0.31235177751298576</v>
      </c>
    </row>
    <row r="508" spans="1:9" x14ac:dyDescent="0.25">
      <c r="A508" s="76" t="s">
        <v>549</v>
      </c>
      <c r="B508" s="76" t="s">
        <v>553</v>
      </c>
      <c r="C508" s="77">
        <v>41030</v>
      </c>
      <c r="D508" s="78">
        <v>41394</v>
      </c>
      <c r="E508" s="79">
        <v>0.36</v>
      </c>
      <c r="F508" s="80">
        <v>139030</v>
      </c>
      <c r="G508" s="88"/>
      <c r="H508" s="80">
        <v>43210.31</v>
      </c>
      <c r="I508" s="93">
        <f>H508/F508</f>
        <v>0.31079846076386392</v>
      </c>
    </row>
    <row r="509" spans="1:9" x14ac:dyDescent="0.25">
      <c r="A509" s="76" t="s">
        <v>516</v>
      </c>
      <c r="B509" s="76" t="s">
        <v>519</v>
      </c>
      <c r="C509" s="77">
        <v>40634</v>
      </c>
      <c r="D509" s="78">
        <v>41000</v>
      </c>
      <c r="E509" s="79">
        <v>0.17</v>
      </c>
      <c r="F509" s="80">
        <v>72503</v>
      </c>
      <c r="G509" s="88"/>
      <c r="H509" s="80">
        <v>22500</v>
      </c>
      <c r="I509" s="93">
        <f>H509/F509</f>
        <v>0.31033198626263742</v>
      </c>
    </row>
    <row r="510" spans="1:9" x14ac:dyDescent="0.25">
      <c r="A510" s="70" t="s">
        <v>74</v>
      </c>
      <c r="B510" s="70" t="s">
        <v>76</v>
      </c>
      <c r="C510" s="71">
        <v>40690</v>
      </c>
      <c r="D510" s="72">
        <v>41051</v>
      </c>
      <c r="E510" s="73">
        <v>0.3</v>
      </c>
      <c r="F510" s="74">
        <v>49838</v>
      </c>
      <c r="G510" s="75"/>
      <c r="H510" s="74">
        <v>15348.16</v>
      </c>
      <c r="I510" s="126">
        <v>0.30796099361932661</v>
      </c>
    </row>
    <row r="511" spans="1:9" x14ac:dyDescent="0.25">
      <c r="A511" s="76" t="s">
        <v>681</v>
      </c>
      <c r="B511" s="76" t="s">
        <v>125</v>
      </c>
      <c r="C511" s="77">
        <v>40664</v>
      </c>
      <c r="D511" s="78">
        <v>40962</v>
      </c>
      <c r="E511" s="79">
        <v>8.9999999999999993E-3</v>
      </c>
      <c r="F511" s="80">
        <v>43992.55</v>
      </c>
      <c r="G511" s="81"/>
      <c r="H511" s="80">
        <v>13519.99</v>
      </c>
      <c r="I511" s="93">
        <f>H511/F511</f>
        <v>0.30732453563160123</v>
      </c>
    </row>
    <row r="512" spans="1:9" x14ac:dyDescent="0.25">
      <c r="A512" s="76" t="s">
        <v>685</v>
      </c>
      <c r="B512" s="76" t="s">
        <v>687</v>
      </c>
      <c r="C512" s="77">
        <v>41091</v>
      </c>
      <c r="D512" s="78">
        <v>41455</v>
      </c>
      <c r="E512" s="79">
        <v>0.108</v>
      </c>
      <c r="F512" s="80">
        <v>1961611.85</v>
      </c>
      <c r="G512" s="81"/>
      <c r="H512" s="80">
        <v>600000</v>
      </c>
      <c r="I512" s="93">
        <f>H512/F512</f>
        <v>0.30587090917094528</v>
      </c>
    </row>
    <row r="513" spans="1:9" x14ac:dyDescent="0.25">
      <c r="A513" s="76" t="s">
        <v>613</v>
      </c>
      <c r="B513" s="76" t="s">
        <v>183</v>
      </c>
      <c r="C513" s="77">
        <v>40774</v>
      </c>
      <c r="D513" s="78">
        <v>41104</v>
      </c>
      <c r="E513" s="79">
        <v>1.7999999999999999E-2</v>
      </c>
      <c r="F513" s="80"/>
      <c r="G513" s="81">
        <v>6185</v>
      </c>
      <c r="H513" s="80">
        <v>1889</v>
      </c>
      <c r="I513" s="93">
        <f>H513/G513</f>
        <v>0.30541632983023442</v>
      </c>
    </row>
    <row r="514" spans="1:9" x14ac:dyDescent="0.25">
      <c r="A514" s="76" t="s">
        <v>281</v>
      </c>
      <c r="B514" s="76" t="s">
        <v>287</v>
      </c>
      <c r="C514" s="77">
        <v>41120</v>
      </c>
      <c r="D514" s="78">
        <v>41274</v>
      </c>
      <c r="E514" s="79">
        <v>0.54</v>
      </c>
      <c r="F514" s="80">
        <v>16642</v>
      </c>
      <c r="G514" s="81"/>
      <c r="H514" s="80">
        <v>12464.31</v>
      </c>
      <c r="I514" s="93">
        <f>IF(H514="","",(IF(C514&lt;&gt;"",H514/C514,H514/D514)))</f>
        <v>0.30312037937743191</v>
      </c>
    </row>
    <row r="515" spans="1:9" x14ac:dyDescent="0.25">
      <c r="A515" s="76" t="s">
        <v>549</v>
      </c>
      <c r="B515" s="76" t="s">
        <v>553</v>
      </c>
      <c r="C515" s="77">
        <v>40664</v>
      </c>
      <c r="D515" s="78">
        <v>41029</v>
      </c>
      <c r="E515" s="79">
        <v>0.36</v>
      </c>
      <c r="F515" s="80">
        <v>106009.97</v>
      </c>
      <c r="G515" s="88"/>
      <c r="H515" s="80">
        <v>32123.56</v>
      </c>
      <c r="I515" s="93">
        <f>H515/F515</f>
        <v>0.30302395142645544</v>
      </c>
    </row>
    <row r="516" spans="1:9" x14ac:dyDescent="0.25">
      <c r="A516" s="70" t="s">
        <v>171</v>
      </c>
      <c r="B516" s="70" t="s">
        <v>94</v>
      </c>
      <c r="C516" s="71">
        <v>40690</v>
      </c>
      <c r="D516" s="72">
        <v>41055</v>
      </c>
      <c r="E516" s="73">
        <v>1.7999999999999999E-2</v>
      </c>
      <c r="F516" s="74"/>
      <c r="G516" s="75">
        <v>76937</v>
      </c>
      <c r="H516" s="74">
        <v>23274</v>
      </c>
      <c r="I516" s="126">
        <f>H516/G516</f>
        <v>0.30250724618843988</v>
      </c>
    </row>
    <row r="517" spans="1:9" x14ac:dyDescent="0.25">
      <c r="A517" s="76" t="s">
        <v>394</v>
      </c>
      <c r="B517" s="76" t="s">
        <v>397</v>
      </c>
      <c r="C517" s="77">
        <v>41164</v>
      </c>
      <c r="D517" s="78">
        <v>41443</v>
      </c>
      <c r="E517" s="79">
        <v>0.3</v>
      </c>
      <c r="F517" s="80">
        <v>45391</v>
      </c>
      <c r="G517" s="81"/>
      <c r="H517" s="80">
        <v>13668</v>
      </c>
      <c r="I517" s="93">
        <f>H517/F517</f>
        <v>0.30111696151219403</v>
      </c>
    </row>
    <row r="518" spans="1:9" x14ac:dyDescent="0.25">
      <c r="A518" s="76" t="s">
        <v>317</v>
      </c>
      <c r="B518" s="76" t="s">
        <v>330</v>
      </c>
      <c r="C518" s="77">
        <v>40787</v>
      </c>
      <c r="D518" s="78">
        <v>41152</v>
      </c>
      <c r="E518" s="79">
        <v>1.7999999999999999E-2</v>
      </c>
      <c r="F518" s="80"/>
      <c r="G518" s="81">
        <v>147248.62</v>
      </c>
      <c r="H518" s="80">
        <v>44272.15</v>
      </c>
      <c r="I518" s="93">
        <f>H518/G518</f>
        <v>0.30066258006356872</v>
      </c>
    </row>
    <row r="519" spans="1:9" x14ac:dyDescent="0.25">
      <c r="A519" s="76" t="s">
        <v>317</v>
      </c>
      <c r="B519" s="76" t="s">
        <v>330</v>
      </c>
      <c r="C519" s="77">
        <v>40787</v>
      </c>
      <c r="D519" s="78">
        <v>41152</v>
      </c>
      <c r="E519" s="79">
        <v>1.7999999999999999E-2</v>
      </c>
      <c r="F519" s="80">
        <v>2860487.59</v>
      </c>
      <c r="G519" s="81"/>
      <c r="H519" s="80">
        <v>860041.5</v>
      </c>
      <c r="I519" s="93">
        <f>H519/F519</f>
        <v>0.30066255242869278</v>
      </c>
    </row>
    <row r="520" spans="1:9" x14ac:dyDescent="0.25">
      <c r="A520" s="76" t="s">
        <v>394</v>
      </c>
      <c r="B520" s="76" t="s">
        <v>401</v>
      </c>
      <c r="C520" s="77">
        <v>40842</v>
      </c>
      <c r="D520" s="78">
        <v>41208</v>
      </c>
      <c r="E520" s="79">
        <v>0.3</v>
      </c>
      <c r="F520" s="80">
        <v>35440</v>
      </c>
      <c r="G520" s="81"/>
      <c r="H520" s="80">
        <v>10653</v>
      </c>
      <c r="I520" s="79">
        <f>H520/F520</f>
        <v>0.30059255079006775</v>
      </c>
    </row>
    <row r="521" spans="1:9" x14ac:dyDescent="0.25">
      <c r="A521" s="76" t="s">
        <v>394</v>
      </c>
      <c r="B521" s="76" t="s">
        <v>395</v>
      </c>
      <c r="C521" s="77">
        <v>40725</v>
      </c>
      <c r="D521" s="78">
        <v>41075</v>
      </c>
      <c r="E521" s="79">
        <v>0.3</v>
      </c>
      <c r="F521" s="80"/>
      <c r="G521" s="81">
        <v>26882</v>
      </c>
      <c r="H521" s="80">
        <v>8065</v>
      </c>
      <c r="I521" s="79">
        <f>H521/G521</f>
        <v>0.3000148798452496</v>
      </c>
    </row>
    <row r="522" spans="1:9" x14ac:dyDescent="0.25">
      <c r="A522" s="76" t="s">
        <v>265</v>
      </c>
      <c r="B522" s="76" t="s">
        <v>268</v>
      </c>
      <c r="C522" s="77">
        <v>41006</v>
      </c>
      <c r="D522" s="78">
        <v>41370</v>
      </c>
      <c r="E522" s="79">
        <v>0.27</v>
      </c>
      <c r="F522" s="80">
        <v>652577.6</v>
      </c>
      <c r="G522" s="81"/>
      <c r="H522" s="80">
        <v>195773.29</v>
      </c>
      <c r="I522" s="79">
        <f t="shared" ref="I522:I531" si="4">H522/F522</f>
        <v>0.30000001532384812</v>
      </c>
    </row>
    <row r="523" spans="1:9" x14ac:dyDescent="0.25">
      <c r="A523" s="76" t="s">
        <v>744</v>
      </c>
      <c r="B523" s="76" t="s">
        <v>1049</v>
      </c>
      <c r="C523" s="77">
        <v>40909</v>
      </c>
      <c r="D523" s="78">
        <v>41274</v>
      </c>
      <c r="E523" s="79">
        <v>0.3</v>
      </c>
      <c r="F523" s="80">
        <v>71413</v>
      </c>
      <c r="G523" s="88"/>
      <c r="H523" s="80">
        <v>21423.9</v>
      </c>
      <c r="I523" s="73">
        <f t="shared" si="4"/>
        <v>0.30000000000000004</v>
      </c>
    </row>
    <row r="524" spans="1:9" x14ac:dyDescent="0.25">
      <c r="A524" s="76" t="s">
        <v>516</v>
      </c>
      <c r="B524" s="117" t="s">
        <v>517</v>
      </c>
      <c r="C524" s="118">
        <v>40575</v>
      </c>
      <c r="D524" s="119">
        <v>40940</v>
      </c>
      <c r="E524" s="120">
        <v>0.3</v>
      </c>
      <c r="F524" s="121">
        <v>301993</v>
      </c>
      <c r="G524" s="88"/>
      <c r="H524" s="121">
        <v>90597.9</v>
      </c>
      <c r="I524" s="79">
        <f t="shared" si="4"/>
        <v>0.3</v>
      </c>
    </row>
    <row r="525" spans="1:9" x14ac:dyDescent="0.25">
      <c r="A525" s="76" t="s">
        <v>516</v>
      </c>
      <c r="B525" s="76" t="s">
        <v>529</v>
      </c>
      <c r="C525" s="77">
        <v>40924</v>
      </c>
      <c r="D525" s="78">
        <v>41290</v>
      </c>
      <c r="E525" s="79">
        <v>0.3</v>
      </c>
      <c r="F525" s="80">
        <v>295916</v>
      </c>
      <c r="G525" s="88"/>
      <c r="H525" s="80">
        <v>88774.8</v>
      </c>
      <c r="I525" s="79">
        <f t="shared" si="4"/>
        <v>0.3</v>
      </c>
    </row>
    <row r="526" spans="1:9" x14ac:dyDescent="0.25">
      <c r="A526" s="76" t="s">
        <v>394</v>
      </c>
      <c r="B526" s="76" t="s">
        <v>404</v>
      </c>
      <c r="C526" s="77">
        <v>41120</v>
      </c>
      <c r="D526" s="78">
        <v>41485</v>
      </c>
      <c r="E526" s="79">
        <v>0.3</v>
      </c>
      <c r="F526" s="80">
        <v>128735</v>
      </c>
      <c r="G526" s="81"/>
      <c r="H526" s="80">
        <v>38620.5</v>
      </c>
      <c r="I526" s="79">
        <f t="shared" si="4"/>
        <v>0.3</v>
      </c>
    </row>
    <row r="527" spans="1:9" x14ac:dyDescent="0.25">
      <c r="A527" s="76" t="s">
        <v>744</v>
      </c>
      <c r="B527" s="76" t="s">
        <v>1720</v>
      </c>
      <c r="C527" s="77">
        <v>40909</v>
      </c>
      <c r="D527" s="78">
        <v>41274</v>
      </c>
      <c r="E527" s="79">
        <v>0.3</v>
      </c>
      <c r="F527" s="80">
        <v>99689</v>
      </c>
      <c r="G527" s="88"/>
      <c r="H527" s="80">
        <v>29906.7</v>
      </c>
      <c r="I527" s="73">
        <f t="shared" si="4"/>
        <v>0.3</v>
      </c>
    </row>
    <row r="528" spans="1:9" x14ac:dyDescent="0.25">
      <c r="A528" s="76" t="s">
        <v>516</v>
      </c>
      <c r="B528" s="76" t="s">
        <v>524</v>
      </c>
      <c r="C528" s="77">
        <v>40862</v>
      </c>
      <c r="D528" s="78">
        <v>41228</v>
      </c>
      <c r="E528" s="79">
        <v>0.3</v>
      </c>
      <c r="F528" s="80">
        <v>75771</v>
      </c>
      <c r="G528" s="88"/>
      <c r="H528" s="80">
        <v>22731.3</v>
      </c>
      <c r="I528" s="79">
        <f t="shared" si="4"/>
        <v>0.3</v>
      </c>
    </row>
    <row r="529" spans="1:9" x14ac:dyDescent="0.25">
      <c r="A529" s="76" t="s">
        <v>394</v>
      </c>
      <c r="B529" s="76" t="s">
        <v>397</v>
      </c>
      <c r="C529" s="77">
        <v>40801</v>
      </c>
      <c r="D529" s="78">
        <v>41167</v>
      </c>
      <c r="E529" s="79">
        <v>0.3</v>
      </c>
      <c r="F529" s="80">
        <v>74590</v>
      </c>
      <c r="G529" s="81"/>
      <c r="H529" s="80">
        <v>22377</v>
      </c>
      <c r="I529" s="79">
        <f t="shared" si="4"/>
        <v>0.3</v>
      </c>
    </row>
    <row r="530" spans="1:9" x14ac:dyDescent="0.25">
      <c r="A530" s="76" t="s">
        <v>563</v>
      </c>
      <c r="B530" s="76" t="s">
        <v>567</v>
      </c>
      <c r="C530" s="77">
        <v>41092</v>
      </c>
      <c r="D530" s="78">
        <v>41243</v>
      </c>
      <c r="E530" s="79">
        <v>0.27</v>
      </c>
      <c r="F530" s="80">
        <v>52120</v>
      </c>
      <c r="G530" s="88"/>
      <c r="H530" s="80">
        <v>15636</v>
      </c>
      <c r="I530" s="79">
        <f t="shared" si="4"/>
        <v>0.3</v>
      </c>
    </row>
    <row r="531" spans="1:9" x14ac:dyDescent="0.25">
      <c r="A531" s="76" t="s">
        <v>394</v>
      </c>
      <c r="B531" s="76" t="s">
        <v>399</v>
      </c>
      <c r="C531" s="77">
        <v>41030</v>
      </c>
      <c r="D531" s="78">
        <v>41214</v>
      </c>
      <c r="E531" s="79">
        <v>0.3</v>
      </c>
      <c r="F531" s="80">
        <v>37160</v>
      </c>
      <c r="G531" s="81"/>
      <c r="H531" s="80">
        <v>11148</v>
      </c>
      <c r="I531" s="79">
        <f t="shared" si="4"/>
        <v>0.3</v>
      </c>
    </row>
    <row r="532" spans="1:9" x14ac:dyDescent="0.25">
      <c r="A532" s="76" t="s">
        <v>405</v>
      </c>
      <c r="B532" s="76" t="s">
        <v>406</v>
      </c>
      <c r="C532" s="77">
        <v>40756</v>
      </c>
      <c r="D532" s="78">
        <v>41122</v>
      </c>
      <c r="E532" s="79">
        <v>0.3</v>
      </c>
      <c r="F532" s="80"/>
      <c r="G532" s="81">
        <v>31545</v>
      </c>
      <c r="H532" s="80">
        <v>9463.5</v>
      </c>
      <c r="I532" s="79">
        <f>H532/G532</f>
        <v>0.3</v>
      </c>
    </row>
    <row r="533" spans="1:9" x14ac:dyDescent="0.25">
      <c r="A533" s="76" t="s">
        <v>489</v>
      </c>
      <c r="B533" s="76" t="s">
        <v>336</v>
      </c>
      <c r="C533" s="77">
        <v>41000</v>
      </c>
      <c r="D533" s="78">
        <v>41364</v>
      </c>
      <c r="E533" s="79">
        <v>0.3</v>
      </c>
      <c r="F533" s="80">
        <v>23945</v>
      </c>
      <c r="G533" s="88"/>
      <c r="H533" s="80">
        <v>7183.5</v>
      </c>
      <c r="I533" s="79">
        <f t="shared" ref="I533:I538" si="5">H533/F533</f>
        <v>0.3</v>
      </c>
    </row>
    <row r="534" spans="1:9" x14ac:dyDescent="0.25">
      <c r="A534" s="76" t="s">
        <v>489</v>
      </c>
      <c r="B534" s="76" t="s">
        <v>336</v>
      </c>
      <c r="C534" s="77">
        <v>40634</v>
      </c>
      <c r="D534" s="78">
        <v>40999</v>
      </c>
      <c r="E534" s="79">
        <v>0.3</v>
      </c>
      <c r="F534" s="80">
        <v>21455</v>
      </c>
      <c r="G534" s="88"/>
      <c r="H534" s="80">
        <v>6436.5</v>
      </c>
      <c r="I534" s="79">
        <f t="shared" si="5"/>
        <v>0.3</v>
      </c>
    </row>
    <row r="535" spans="1:9" x14ac:dyDescent="0.25">
      <c r="A535" s="76" t="s">
        <v>587</v>
      </c>
      <c r="B535" s="76" t="s">
        <v>589</v>
      </c>
      <c r="C535" s="77">
        <v>41050</v>
      </c>
      <c r="D535" s="78">
        <v>41274</v>
      </c>
      <c r="E535" s="79">
        <v>0.3</v>
      </c>
      <c r="F535" s="80">
        <v>19590</v>
      </c>
      <c r="G535" s="88"/>
      <c r="H535" s="80">
        <v>5877</v>
      </c>
      <c r="I535" s="79">
        <f t="shared" si="5"/>
        <v>0.3</v>
      </c>
    </row>
    <row r="536" spans="1:9" x14ac:dyDescent="0.25">
      <c r="A536" s="76" t="s">
        <v>489</v>
      </c>
      <c r="B536" s="110" t="s">
        <v>490</v>
      </c>
      <c r="C536" s="77">
        <v>40695</v>
      </c>
      <c r="D536" s="78">
        <v>41060</v>
      </c>
      <c r="E536" s="79">
        <v>0.3</v>
      </c>
      <c r="F536" s="80">
        <v>18470</v>
      </c>
      <c r="G536" s="88"/>
      <c r="H536" s="80">
        <v>5541</v>
      </c>
      <c r="I536" s="79">
        <f t="shared" si="5"/>
        <v>0.3</v>
      </c>
    </row>
    <row r="537" spans="1:9" x14ac:dyDescent="0.25">
      <c r="A537" s="76" t="s">
        <v>220</v>
      </c>
      <c r="B537" s="76" t="s">
        <v>229</v>
      </c>
      <c r="C537" s="77">
        <v>40959</v>
      </c>
      <c r="D537" s="78">
        <v>41018</v>
      </c>
      <c r="E537" s="79">
        <v>0.3</v>
      </c>
      <c r="F537" s="80">
        <v>14725</v>
      </c>
      <c r="G537" s="81"/>
      <c r="H537" s="80">
        <v>4417.5</v>
      </c>
      <c r="I537" s="79">
        <f t="shared" si="5"/>
        <v>0.3</v>
      </c>
    </row>
    <row r="538" spans="1:9" x14ac:dyDescent="0.25">
      <c r="A538" s="76" t="s">
        <v>267</v>
      </c>
      <c r="B538" s="76" t="s">
        <v>268</v>
      </c>
      <c r="C538" s="77">
        <v>40640</v>
      </c>
      <c r="D538" s="78">
        <v>41005</v>
      </c>
      <c r="E538" s="79">
        <v>0.27</v>
      </c>
      <c r="F538" s="80">
        <v>809191.04</v>
      </c>
      <c r="G538" s="81"/>
      <c r="H538" s="80">
        <v>242757.31</v>
      </c>
      <c r="I538" s="79">
        <f t="shared" si="5"/>
        <v>0.29999999752839573</v>
      </c>
    </row>
    <row r="539" spans="1:9" x14ac:dyDescent="0.25">
      <c r="A539" s="76" t="s">
        <v>394</v>
      </c>
      <c r="B539" s="76" t="s">
        <v>396</v>
      </c>
      <c r="C539" s="77">
        <v>40725</v>
      </c>
      <c r="D539" s="78">
        <v>41075</v>
      </c>
      <c r="E539" s="79">
        <v>0.3</v>
      </c>
      <c r="F539" s="80"/>
      <c r="G539" s="81">
        <v>35217</v>
      </c>
      <c r="H539" s="80">
        <v>10565</v>
      </c>
      <c r="I539" s="79">
        <f>H539/G539</f>
        <v>0.29999716046227676</v>
      </c>
    </row>
    <row r="540" spans="1:9" x14ac:dyDescent="0.25">
      <c r="A540" s="76" t="s">
        <v>394</v>
      </c>
      <c r="B540" s="76" t="s">
        <v>395</v>
      </c>
      <c r="C540" s="77">
        <v>41095</v>
      </c>
      <c r="D540" s="78">
        <v>41436</v>
      </c>
      <c r="E540" s="79">
        <v>0.3</v>
      </c>
      <c r="F540" s="80">
        <v>27207</v>
      </c>
      <c r="G540" s="81"/>
      <c r="H540" s="80">
        <v>8162</v>
      </c>
      <c r="I540" s="79">
        <f>H540/F540</f>
        <v>0.29999632447531888</v>
      </c>
    </row>
    <row r="541" spans="1:9" x14ac:dyDescent="0.25">
      <c r="A541" s="76" t="s">
        <v>394</v>
      </c>
      <c r="B541" s="76" t="s">
        <v>398</v>
      </c>
      <c r="C541" s="77">
        <v>40969</v>
      </c>
      <c r="D541" s="78">
        <v>41275</v>
      </c>
      <c r="E541" s="79">
        <v>0.3</v>
      </c>
      <c r="F541" s="80">
        <v>35694</v>
      </c>
      <c r="G541" s="81"/>
      <c r="H541" s="80">
        <v>10708</v>
      </c>
      <c r="I541" s="79">
        <f>H541/F541</f>
        <v>0.29999439681739226</v>
      </c>
    </row>
    <row r="542" spans="1:9" x14ac:dyDescent="0.25">
      <c r="A542" s="76" t="s">
        <v>394</v>
      </c>
      <c r="B542" s="76" t="s">
        <v>396</v>
      </c>
      <c r="C542" s="77">
        <v>41122</v>
      </c>
      <c r="D542" s="78">
        <v>41455</v>
      </c>
      <c r="E542" s="79">
        <v>0.3</v>
      </c>
      <c r="F542" s="80">
        <v>31301</v>
      </c>
      <c r="G542" s="81"/>
      <c r="H542" s="80">
        <v>9390</v>
      </c>
      <c r="I542" s="79">
        <f>H542/F542</f>
        <v>0.29999041564167278</v>
      </c>
    </row>
    <row r="543" spans="1:9" x14ac:dyDescent="0.25">
      <c r="A543" s="76" t="s">
        <v>587</v>
      </c>
      <c r="B543" s="76" t="s">
        <v>588</v>
      </c>
      <c r="C543" s="77">
        <v>41014</v>
      </c>
      <c r="D543" s="78">
        <v>41274</v>
      </c>
      <c r="E543" s="79">
        <v>0.3</v>
      </c>
      <c r="F543" s="80">
        <v>57198.66</v>
      </c>
      <c r="G543" s="88"/>
      <c r="H543" s="80">
        <v>17153.009999999998</v>
      </c>
      <c r="I543" s="113">
        <f>H543/F543</f>
        <v>0.29988482247661041</v>
      </c>
    </row>
    <row r="544" spans="1:9" x14ac:dyDescent="0.25">
      <c r="A544" s="70" t="s">
        <v>82</v>
      </c>
      <c r="B544" s="70" t="s">
        <v>85</v>
      </c>
      <c r="C544" s="71">
        <v>41050</v>
      </c>
      <c r="D544" s="72">
        <v>41274</v>
      </c>
      <c r="E544" s="73">
        <v>8.9999999999999993E-3</v>
      </c>
      <c r="F544" s="74">
        <v>108615</v>
      </c>
      <c r="G544" s="75"/>
      <c r="H544" s="74">
        <v>32557.84</v>
      </c>
      <c r="I544" s="73">
        <v>0.29975454587303779</v>
      </c>
    </row>
    <row r="545" spans="1:9" x14ac:dyDescent="0.25">
      <c r="A545" s="76" t="s">
        <v>643</v>
      </c>
      <c r="B545" s="76" t="s">
        <v>158</v>
      </c>
      <c r="C545" s="77">
        <v>40555</v>
      </c>
      <c r="D545" s="78">
        <v>40919</v>
      </c>
      <c r="E545" s="79">
        <v>4.4999999999999997E-3</v>
      </c>
      <c r="F545" s="80">
        <v>229935.18</v>
      </c>
      <c r="G545" s="81"/>
      <c r="H545" s="80">
        <v>67923.98</v>
      </c>
      <c r="I545" s="79">
        <f>H545/F545</f>
        <v>0.295404904982352</v>
      </c>
    </row>
    <row r="546" spans="1:9" x14ac:dyDescent="0.25">
      <c r="A546" s="70" t="s">
        <v>82</v>
      </c>
      <c r="B546" s="70" t="s">
        <v>86</v>
      </c>
      <c r="C546" s="71">
        <v>41197</v>
      </c>
      <c r="D546" s="72">
        <v>41274</v>
      </c>
      <c r="E546" s="73">
        <v>8.9999999999999993E-3</v>
      </c>
      <c r="F546" s="74">
        <v>101805</v>
      </c>
      <c r="G546" s="75"/>
      <c r="H546" s="74">
        <v>29964.32</v>
      </c>
      <c r="I546" s="73">
        <v>0.29433053386375913</v>
      </c>
    </row>
    <row r="547" spans="1:9" x14ac:dyDescent="0.25">
      <c r="A547" s="76" t="s">
        <v>516</v>
      </c>
      <c r="B547" s="76" t="s">
        <v>518</v>
      </c>
      <c r="C547" s="77">
        <v>41000</v>
      </c>
      <c r="D547" s="78">
        <v>41365</v>
      </c>
      <c r="E547" s="79">
        <v>0.2</v>
      </c>
      <c r="F547" s="80">
        <v>20755</v>
      </c>
      <c r="G547" s="88"/>
      <c r="H547" s="80">
        <v>6095</v>
      </c>
      <c r="I547" s="79">
        <f>H547/F547</f>
        <v>0.2936641773066731</v>
      </c>
    </row>
    <row r="548" spans="1:9" x14ac:dyDescent="0.25">
      <c r="A548" s="76" t="s">
        <v>643</v>
      </c>
      <c r="B548" s="76" t="s">
        <v>646</v>
      </c>
      <c r="C548" s="77">
        <v>40616</v>
      </c>
      <c r="D548" s="78">
        <v>40981</v>
      </c>
      <c r="E548" s="79">
        <v>4.4999999999999997E-3</v>
      </c>
      <c r="F548" s="80">
        <v>189737.88</v>
      </c>
      <c r="G548" s="81"/>
      <c r="H548" s="80">
        <v>55063.08</v>
      </c>
      <c r="I548" s="79">
        <f>H548/F548</f>
        <v>0.29020604636248704</v>
      </c>
    </row>
    <row r="549" spans="1:9" ht="28.5" x14ac:dyDescent="0.25">
      <c r="A549" s="70" t="s">
        <v>101</v>
      </c>
      <c r="B549" s="70" t="s">
        <v>111</v>
      </c>
      <c r="C549" s="71">
        <v>40973</v>
      </c>
      <c r="D549" s="72">
        <v>41182</v>
      </c>
      <c r="E549" s="73">
        <v>1.35E-2</v>
      </c>
      <c r="F549" s="74">
        <v>27314.720000000001</v>
      </c>
      <c r="G549" s="75"/>
      <c r="H549" s="74">
        <v>7751.52</v>
      </c>
      <c r="I549" s="127">
        <v>0.28999999999999998</v>
      </c>
    </row>
    <row r="550" spans="1:9" ht="28.5" x14ac:dyDescent="0.25">
      <c r="A550" s="70" t="s">
        <v>101</v>
      </c>
      <c r="B550" s="70" t="s">
        <v>111</v>
      </c>
      <c r="C550" s="71">
        <v>40973</v>
      </c>
      <c r="D550" s="72">
        <v>41182</v>
      </c>
      <c r="E550" s="73">
        <v>1.35E-2</v>
      </c>
      <c r="F550" s="74"/>
      <c r="G550" s="75">
        <v>682.87</v>
      </c>
      <c r="H550" s="74">
        <v>193.79</v>
      </c>
      <c r="I550" s="126">
        <v>0.28999999999999998</v>
      </c>
    </row>
    <row r="551" spans="1:9" x14ac:dyDescent="0.25">
      <c r="A551" s="76" t="s">
        <v>623</v>
      </c>
      <c r="B551" s="76" t="s">
        <v>625</v>
      </c>
      <c r="C551" s="77">
        <v>40648</v>
      </c>
      <c r="D551" s="78">
        <v>41013</v>
      </c>
      <c r="E551" s="79">
        <v>0.27500000000000002</v>
      </c>
      <c r="F551" s="80">
        <v>40323</v>
      </c>
      <c r="G551" s="88"/>
      <c r="H551" s="80">
        <v>11662.75</v>
      </c>
      <c r="I551" s="114">
        <f>H551/F551</f>
        <v>0.28923319197480346</v>
      </c>
    </row>
    <row r="552" spans="1:9" x14ac:dyDescent="0.25">
      <c r="A552" s="76" t="s">
        <v>317</v>
      </c>
      <c r="B552" s="76" t="s">
        <v>363</v>
      </c>
      <c r="C552" s="77">
        <v>41144</v>
      </c>
      <c r="D552" s="78">
        <v>41455</v>
      </c>
      <c r="E552" s="79">
        <v>8.9999999999999998E-4</v>
      </c>
      <c r="F552" s="80">
        <v>43873</v>
      </c>
      <c r="G552" s="81"/>
      <c r="H552" s="80">
        <v>12639.61</v>
      </c>
      <c r="I552" s="93">
        <f>H552/F552</f>
        <v>0.28809541175666131</v>
      </c>
    </row>
    <row r="553" spans="1:9" x14ac:dyDescent="0.25">
      <c r="A553" s="76" t="s">
        <v>317</v>
      </c>
      <c r="B553" s="76" t="s">
        <v>363</v>
      </c>
      <c r="C553" s="77">
        <v>41144</v>
      </c>
      <c r="D553" s="78">
        <v>41455</v>
      </c>
      <c r="E553" s="79">
        <v>8.9999999999999998E-4</v>
      </c>
      <c r="F553" s="80"/>
      <c r="G553" s="81">
        <v>1910</v>
      </c>
      <c r="H553" s="80">
        <v>550.26</v>
      </c>
      <c r="I553" s="93">
        <f>H553/G553</f>
        <v>0.2880942408376963</v>
      </c>
    </row>
    <row r="554" spans="1:9" x14ac:dyDescent="0.25">
      <c r="A554" s="76" t="s">
        <v>630</v>
      </c>
      <c r="B554" s="76" t="s">
        <v>1926</v>
      </c>
      <c r="C554" s="77">
        <v>40953</v>
      </c>
      <c r="D554" s="78">
        <v>41240</v>
      </c>
      <c r="E554" s="79">
        <v>0.01</v>
      </c>
      <c r="F554" s="80"/>
      <c r="G554" s="81">
        <v>3174</v>
      </c>
      <c r="H554" s="80">
        <v>913.4</v>
      </c>
      <c r="I554" s="114">
        <f>H554/G554</f>
        <v>0.28777567737870197</v>
      </c>
    </row>
    <row r="555" spans="1:9" ht="28.5" x14ac:dyDescent="0.25">
      <c r="A555" s="76" t="s">
        <v>643</v>
      </c>
      <c r="B555" s="76" t="s">
        <v>654</v>
      </c>
      <c r="C555" s="77">
        <v>40863</v>
      </c>
      <c r="D555" s="78">
        <v>41231</v>
      </c>
      <c r="E555" s="79">
        <v>4.4999999999999997E-3</v>
      </c>
      <c r="F555" s="80"/>
      <c r="G555" s="81">
        <v>2966.03</v>
      </c>
      <c r="H555" s="80">
        <v>849.33</v>
      </c>
      <c r="I555" s="93">
        <f>H555/G555</f>
        <v>0.2863524644052825</v>
      </c>
    </row>
    <row r="556" spans="1:9" x14ac:dyDescent="0.25">
      <c r="A556" s="76" t="s">
        <v>516</v>
      </c>
      <c r="B556" s="76" t="s">
        <v>518</v>
      </c>
      <c r="C556" s="77">
        <v>40634</v>
      </c>
      <c r="D556" s="78">
        <v>41000</v>
      </c>
      <c r="E556" s="79">
        <v>0.2</v>
      </c>
      <c r="F556" s="80">
        <v>21057</v>
      </c>
      <c r="G556" s="88"/>
      <c r="H556" s="80">
        <v>6000</v>
      </c>
      <c r="I556" s="79">
        <f>H556/F556</f>
        <v>0.28494087476848556</v>
      </c>
    </row>
    <row r="557" spans="1:9" x14ac:dyDescent="0.25">
      <c r="A557" s="76" t="s">
        <v>516</v>
      </c>
      <c r="B557" s="76" t="s">
        <v>520</v>
      </c>
      <c r="C557" s="77">
        <v>41000</v>
      </c>
      <c r="D557" s="78">
        <v>41365</v>
      </c>
      <c r="E557" s="79">
        <v>0.18</v>
      </c>
      <c r="F557" s="80">
        <v>87883</v>
      </c>
      <c r="G557" s="88"/>
      <c r="H557" s="80">
        <v>25000</v>
      </c>
      <c r="I557" s="114">
        <f>H557/F557</f>
        <v>0.28446912372131128</v>
      </c>
    </row>
    <row r="558" spans="1:9" x14ac:dyDescent="0.25">
      <c r="A558" s="76" t="s">
        <v>315</v>
      </c>
      <c r="B558" s="76" t="s">
        <v>343</v>
      </c>
      <c r="C558" s="77">
        <v>40844</v>
      </c>
      <c r="D558" s="78">
        <v>41209</v>
      </c>
      <c r="E558" s="79">
        <v>0</v>
      </c>
      <c r="F558" s="80"/>
      <c r="G558" s="81">
        <v>3365</v>
      </c>
      <c r="H558" s="80">
        <v>956.22</v>
      </c>
      <c r="I558" s="93">
        <f>H558/G558</f>
        <v>0.2841664190193165</v>
      </c>
    </row>
    <row r="559" spans="1:9" x14ac:dyDescent="0.25">
      <c r="A559" s="76" t="s">
        <v>315</v>
      </c>
      <c r="B559" s="76" t="s">
        <v>343</v>
      </c>
      <c r="C559" s="77">
        <v>40844</v>
      </c>
      <c r="D559" s="78">
        <v>41209</v>
      </c>
      <c r="E559" s="79">
        <v>0</v>
      </c>
      <c r="F559" s="80">
        <v>86432.79</v>
      </c>
      <c r="G559" s="81"/>
      <c r="H559" s="80">
        <v>24561.26</v>
      </c>
      <c r="I559" s="114">
        <f>H559/F559</f>
        <v>0.28416599764973455</v>
      </c>
    </row>
    <row r="560" spans="1:9" x14ac:dyDescent="0.25">
      <c r="A560" s="76" t="s">
        <v>372</v>
      </c>
      <c r="B560" s="76" t="s">
        <v>374</v>
      </c>
      <c r="C560" s="77">
        <v>41083</v>
      </c>
      <c r="D560" s="78">
        <v>41447</v>
      </c>
      <c r="E560" s="79">
        <v>8.9999999999999993E-3</v>
      </c>
      <c r="F560" s="80">
        <v>653942.18000000005</v>
      </c>
      <c r="G560" s="81"/>
      <c r="H560" s="80">
        <v>185701.92</v>
      </c>
      <c r="I560" s="93">
        <f>H560/F560</f>
        <v>0.28397299590003505</v>
      </c>
    </row>
    <row r="561" spans="1:9" x14ac:dyDescent="0.25">
      <c r="A561" s="76" t="s">
        <v>563</v>
      </c>
      <c r="B561" s="76" t="s">
        <v>566</v>
      </c>
      <c r="C561" s="77">
        <v>41060</v>
      </c>
      <c r="D561" s="78">
        <v>41243</v>
      </c>
      <c r="E561" s="79">
        <v>0.17100000000000001</v>
      </c>
      <c r="F561" s="80">
        <v>58285</v>
      </c>
      <c r="G561" s="88"/>
      <c r="H561" s="80">
        <v>16500.599999999999</v>
      </c>
      <c r="I561" s="114">
        <f>H561/F561</f>
        <v>0.28310199879900488</v>
      </c>
    </row>
    <row r="562" spans="1:9" x14ac:dyDescent="0.25">
      <c r="A562" s="70" t="s">
        <v>146</v>
      </c>
      <c r="B562" s="70" t="s">
        <v>148</v>
      </c>
      <c r="C562" s="71">
        <v>40592</v>
      </c>
      <c r="D562" s="72">
        <v>40939</v>
      </c>
      <c r="E562" s="101">
        <v>4.4999999999999999E-4</v>
      </c>
      <c r="F562" s="74">
        <v>764720.8</v>
      </c>
      <c r="G562" s="75"/>
      <c r="H562" s="74">
        <v>215267.37</v>
      </c>
      <c r="I562" s="126">
        <v>0.28149799246993151</v>
      </c>
    </row>
    <row r="563" spans="1:9" x14ac:dyDescent="0.25">
      <c r="A563" s="76" t="s">
        <v>516</v>
      </c>
      <c r="B563" s="76" t="s">
        <v>520</v>
      </c>
      <c r="C563" s="77">
        <v>40634</v>
      </c>
      <c r="D563" s="78">
        <v>41000</v>
      </c>
      <c r="E563" s="79">
        <v>0.18</v>
      </c>
      <c r="F563" s="80">
        <v>89187</v>
      </c>
      <c r="G563" s="88"/>
      <c r="H563" s="80">
        <v>25000</v>
      </c>
      <c r="I563" s="114">
        <f t="shared" ref="I563:I572" si="6">H563/F563</f>
        <v>0.28030991063720051</v>
      </c>
    </row>
    <row r="564" spans="1:9" x14ac:dyDescent="0.25">
      <c r="A564" s="76" t="s">
        <v>643</v>
      </c>
      <c r="B564" s="76" t="s">
        <v>645</v>
      </c>
      <c r="C564" s="77">
        <v>40591</v>
      </c>
      <c r="D564" s="78">
        <v>40955</v>
      </c>
      <c r="E564" s="79">
        <v>4.4999999999999997E-3</v>
      </c>
      <c r="F564" s="80">
        <v>2028540.68</v>
      </c>
      <c r="G564" s="81"/>
      <c r="H564" s="80">
        <v>567377.74</v>
      </c>
      <c r="I564" s="93">
        <f t="shared" si="6"/>
        <v>0.27969749169634595</v>
      </c>
    </row>
    <row r="565" spans="1:9" x14ac:dyDescent="0.25">
      <c r="A565" s="76" t="s">
        <v>171</v>
      </c>
      <c r="B565" s="76" t="s">
        <v>207</v>
      </c>
      <c r="C565" s="77">
        <v>40891</v>
      </c>
      <c r="D565" s="78">
        <v>41213</v>
      </c>
      <c r="E565" s="79">
        <v>1.7999999999999999E-2</v>
      </c>
      <c r="F565" s="80">
        <v>33073</v>
      </c>
      <c r="G565" s="81"/>
      <c r="H565" s="80">
        <v>9212</v>
      </c>
      <c r="I565" s="114">
        <f t="shared" si="6"/>
        <v>0.27853536117074351</v>
      </c>
    </row>
    <row r="566" spans="1:9" x14ac:dyDescent="0.25">
      <c r="A566" s="76" t="s">
        <v>270</v>
      </c>
      <c r="B566" s="76" t="s">
        <v>273</v>
      </c>
      <c r="C566" s="77">
        <v>40725</v>
      </c>
      <c r="D566" s="78">
        <v>41090</v>
      </c>
      <c r="E566" s="79">
        <v>0.45</v>
      </c>
      <c r="F566" s="80">
        <v>409359.4</v>
      </c>
      <c r="G566" s="81"/>
      <c r="H566" s="80">
        <v>113962</v>
      </c>
      <c r="I566" s="93">
        <f t="shared" si="6"/>
        <v>0.27839106662751606</v>
      </c>
    </row>
    <row r="567" spans="1:9" x14ac:dyDescent="0.25">
      <c r="A567" s="76" t="s">
        <v>643</v>
      </c>
      <c r="B567" s="76" t="s">
        <v>649</v>
      </c>
      <c r="C567" s="77">
        <v>41120</v>
      </c>
      <c r="D567" s="78">
        <v>41484</v>
      </c>
      <c r="E567" s="79">
        <v>4.4999999999999997E-3</v>
      </c>
      <c r="F567" s="80">
        <v>43686.59</v>
      </c>
      <c r="G567" s="81"/>
      <c r="H567" s="80">
        <v>12155.69</v>
      </c>
      <c r="I567" s="93">
        <f t="shared" si="6"/>
        <v>0.27824762701781031</v>
      </c>
    </row>
    <row r="568" spans="1:9" x14ac:dyDescent="0.25">
      <c r="A568" s="76" t="s">
        <v>674</v>
      </c>
      <c r="B568" s="76" t="s">
        <v>28</v>
      </c>
      <c r="C568" s="77">
        <v>40940</v>
      </c>
      <c r="D568" s="78">
        <v>41274</v>
      </c>
      <c r="E568" s="79">
        <v>0.29699999999999999</v>
      </c>
      <c r="F568" s="80">
        <v>195080</v>
      </c>
      <c r="G568" s="81"/>
      <c r="H568" s="80">
        <v>54115.199999999997</v>
      </c>
      <c r="I568" s="93">
        <f t="shared" si="6"/>
        <v>0.27740004100881688</v>
      </c>
    </row>
    <row r="569" spans="1:9" x14ac:dyDescent="0.25">
      <c r="A569" s="76" t="s">
        <v>563</v>
      </c>
      <c r="B569" s="76" t="s">
        <v>564</v>
      </c>
      <c r="C569" s="77">
        <v>41156</v>
      </c>
      <c r="D569" s="78">
        <v>41426</v>
      </c>
      <c r="E569" s="79">
        <v>0.17100000000000001</v>
      </c>
      <c r="F569" s="80">
        <v>99240</v>
      </c>
      <c r="G569" s="88"/>
      <c r="H569" s="80">
        <v>27500</v>
      </c>
      <c r="I569" s="114">
        <f t="shared" si="6"/>
        <v>0.27710600564288596</v>
      </c>
    </row>
    <row r="570" spans="1:9" x14ac:dyDescent="0.25">
      <c r="A570" s="76" t="s">
        <v>623</v>
      </c>
      <c r="B570" s="76" t="s">
        <v>625</v>
      </c>
      <c r="C570" s="77">
        <v>41024</v>
      </c>
      <c r="D570" s="78">
        <v>41388</v>
      </c>
      <c r="E570" s="79">
        <v>0.27500000000000002</v>
      </c>
      <c r="F570" s="80">
        <v>41718</v>
      </c>
      <c r="G570" s="88"/>
      <c r="H570" s="80">
        <v>11524.65</v>
      </c>
      <c r="I570" s="93">
        <f t="shared" si="6"/>
        <v>0.27625125844959009</v>
      </c>
    </row>
    <row r="571" spans="1:9" x14ac:dyDescent="0.25">
      <c r="A571" s="76" t="s">
        <v>262</v>
      </c>
      <c r="B571" s="76" t="s">
        <v>107</v>
      </c>
      <c r="C571" s="77">
        <v>40749</v>
      </c>
      <c r="D571" s="78">
        <v>41090</v>
      </c>
      <c r="E571" s="79">
        <v>8.9999999999999993E-3</v>
      </c>
      <c r="F571" s="80">
        <v>75127.600000000006</v>
      </c>
      <c r="G571" s="81"/>
      <c r="H571" s="80">
        <v>20714.919999999998</v>
      </c>
      <c r="I571" s="114">
        <f t="shared" si="6"/>
        <v>0.27572982499108178</v>
      </c>
    </row>
    <row r="572" spans="1:9" x14ac:dyDescent="0.25">
      <c r="A572" s="76" t="s">
        <v>516</v>
      </c>
      <c r="B572" s="76" t="s">
        <v>523</v>
      </c>
      <c r="C572" s="77">
        <v>40862</v>
      </c>
      <c r="D572" s="78">
        <v>41228</v>
      </c>
      <c r="E572" s="79">
        <v>0.2</v>
      </c>
      <c r="F572" s="80">
        <v>103356</v>
      </c>
      <c r="G572" s="88"/>
      <c r="H572" s="80">
        <v>28355.17</v>
      </c>
      <c r="I572" s="93">
        <f t="shared" si="6"/>
        <v>0.27434469213204843</v>
      </c>
    </row>
    <row r="573" spans="1:9" x14ac:dyDescent="0.25">
      <c r="A573" s="70" t="s">
        <v>82</v>
      </c>
      <c r="B573" s="70" t="s">
        <v>83</v>
      </c>
      <c r="C573" s="71">
        <v>40911</v>
      </c>
      <c r="D573" s="72">
        <v>41274</v>
      </c>
      <c r="E573" s="73">
        <v>8.9999999999999993E-3</v>
      </c>
      <c r="F573" s="74">
        <v>98445</v>
      </c>
      <c r="G573" s="75"/>
      <c r="H573" s="74">
        <v>26786.74</v>
      </c>
      <c r="I573" s="127">
        <v>0.27209853217532631</v>
      </c>
    </row>
    <row r="574" spans="1:9" x14ac:dyDescent="0.25">
      <c r="A574" s="70" t="s">
        <v>82</v>
      </c>
      <c r="B574" s="70" t="s">
        <v>84</v>
      </c>
      <c r="C574" s="71">
        <v>41015</v>
      </c>
      <c r="D574" s="72">
        <v>41274</v>
      </c>
      <c r="E574" s="73">
        <v>8.9999999999999993E-3</v>
      </c>
      <c r="F574" s="74">
        <v>122941</v>
      </c>
      <c r="G574" s="75"/>
      <c r="H574" s="74">
        <v>33434.15</v>
      </c>
      <c r="I574" s="126">
        <v>0.27195280663082294</v>
      </c>
    </row>
    <row r="575" spans="1:9" x14ac:dyDescent="0.25">
      <c r="A575" s="76" t="s">
        <v>516</v>
      </c>
      <c r="B575" s="76" t="s">
        <v>522</v>
      </c>
      <c r="C575" s="77">
        <v>41086</v>
      </c>
      <c r="D575" s="78">
        <v>41364</v>
      </c>
      <c r="E575" s="79">
        <v>0.25</v>
      </c>
      <c r="F575" s="80">
        <v>27875</v>
      </c>
      <c r="G575" s="88"/>
      <c r="H575" s="80">
        <v>7576.63</v>
      </c>
      <c r="I575" s="114">
        <f>H575/F575</f>
        <v>0.27180735426008967</v>
      </c>
    </row>
    <row r="576" spans="1:9" x14ac:dyDescent="0.25">
      <c r="A576" s="76" t="s">
        <v>317</v>
      </c>
      <c r="B576" s="76" t="s">
        <v>348</v>
      </c>
      <c r="C576" s="77">
        <v>40909</v>
      </c>
      <c r="D576" s="78">
        <v>41274</v>
      </c>
      <c r="E576" s="79">
        <v>0</v>
      </c>
      <c r="F576" s="80"/>
      <c r="G576" s="81">
        <v>54213.61</v>
      </c>
      <c r="H576" s="80">
        <v>14658.62</v>
      </c>
      <c r="I576" s="93">
        <f>H576/G576</f>
        <v>0.2703863476348467</v>
      </c>
    </row>
    <row r="577" spans="1:9" x14ac:dyDescent="0.25">
      <c r="A577" s="76" t="s">
        <v>317</v>
      </c>
      <c r="B577" s="76" t="s">
        <v>348</v>
      </c>
      <c r="C577" s="77">
        <v>40909</v>
      </c>
      <c r="D577" s="78">
        <v>41274</v>
      </c>
      <c r="E577" s="79">
        <v>0</v>
      </c>
      <c r="F577" s="80">
        <v>1011212</v>
      </c>
      <c r="G577" s="81"/>
      <c r="H577" s="80">
        <v>273417.89</v>
      </c>
      <c r="I577" s="79">
        <f>H577/F577</f>
        <v>0.27038631859590273</v>
      </c>
    </row>
    <row r="578" spans="1:9" x14ac:dyDescent="0.25">
      <c r="A578" s="76" t="s">
        <v>623</v>
      </c>
      <c r="B578" s="76" t="s">
        <v>627</v>
      </c>
      <c r="C578" s="77">
        <v>40781</v>
      </c>
      <c r="D578" s="78">
        <v>41146</v>
      </c>
      <c r="E578" s="79">
        <v>0.27</v>
      </c>
      <c r="F578" s="80">
        <v>11675</v>
      </c>
      <c r="G578" s="88"/>
      <c r="H578" s="80">
        <v>3152.25</v>
      </c>
      <c r="I578" s="79">
        <f>H578/F578</f>
        <v>0.27</v>
      </c>
    </row>
    <row r="579" spans="1:9" x14ac:dyDescent="0.25">
      <c r="A579" s="76" t="s">
        <v>613</v>
      </c>
      <c r="B579" s="76" t="s">
        <v>36</v>
      </c>
      <c r="C579" s="77">
        <v>40743</v>
      </c>
      <c r="D579" s="78">
        <v>41060</v>
      </c>
      <c r="E579" s="79">
        <v>8.9999999999999993E-3</v>
      </c>
      <c r="F579" s="80">
        <v>44706</v>
      </c>
      <c r="G579" s="81"/>
      <c r="H579" s="80">
        <v>12055</v>
      </c>
      <c r="I579" s="79">
        <f>H579/F579</f>
        <v>0.26965060618261533</v>
      </c>
    </row>
    <row r="580" spans="1:9" x14ac:dyDescent="0.25">
      <c r="A580" s="76" t="s">
        <v>643</v>
      </c>
      <c r="B580" s="76" t="s">
        <v>247</v>
      </c>
      <c r="C580" s="77">
        <v>40954</v>
      </c>
      <c r="D580" s="78">
        <v>41274</v>
      </c>
      <c r="E580" s="79">
        <v>4.4999999999999997E-3</v>
      </c>
      <c r="F580" s="80">
        <v>192923.81</v>
      </c>
      <c r="G580" s="81"/>
      <c r="H580" s="80">
        <v>51505.21</v>
      </c>
      <c r="I580" s="79">
        <f>H580/F580</f>
        <v>0.26697176465673161</v>
      </c>
    </row>
    <row r="581" spans="1:9" x14ac:dyDescent="0.25">
      <c r="A581" s="76" t="s">
        <v>594</v>
      </c>
      <c r="B581" s="76" t="s">
        <v>601</v>
      </c>
      <c r="C581" s="77">
        <v>40849</v>
      </c>
      <c r="D581" s="78">
        <v>41182</v>
      </c>
      <c r="E581" s="79">
        <v>0.27</v>
      </c>
      <c r="F581" s="80"/>
      <c r="G581" s="81">
        <v>3710</v>
      </c>
      <c r="H581" s="80">
        <v>988.52</v>
      </c>
      <c r="I581" s="79">
        <f>H581/G581</f>
        <v>0.26644743935309972</v>
      </c>
    </row>
    <row r="582" spans="1:9" x14ac:dyDescent="0.25">
      <c r="A582" s="76" t="s">
        <v>384</v>
      </c>
      <c r="B582" s="76" t="s">
        <v>376</v>
      </c>
      <c r="C582" s="77">
        <v>41010</v>
      </c>
      <c r="D582" s="78">
        <v>41024</v>
      </c>
      <c r="E582" s="79">
        <v>4.4999999999999998E-2</v>
      </c>
      <c r="F582" s="80"/>
      <c r="G582" s="81">
        <v>7698</v>
      </c>
      <c r="H582" s="82">
        <v>2050.5</v>
      </c>
      <c r="I582" s="79">
        <f>H582/G582</f>
        <v>0.26636788776305537</v>
      </c>
    </row>
    <row r="583" spans="1:9" x14ac:dyDescent="0.25">
      <c r="A583" s="76" t="s">
        <v>623</v>
      </c>
      <c r="B583" s="76" t="s">
        <v>404</v>
      </c>
      <c r="C583" s="77">
        <v>40661</v>
      </c>
      <c r="D583" s="78">
        <v>41026</v>
      </c>
      <c r="E583" s="79">
        <v>0.25</v>
      </c>
      <c r="F583" s="80">
        <v>81880</v>
      </c>
      <c r="G583" s="88"/>
      <c r="H583" s="80">
        <v>21683.25</v>
      </c>
      <c r="I583" s="79">
        <f>H583/F583</f>
        <v>0.26481741573033707</v>
      </c>
    </row>
    <row r="584" spans="1:9" x14ac:dyDescent="0.25">
      <c r="A584" s="76" t="s">
        <v>531</v>
      </c>
      <c r="B584" s="76" t="s">
        <v>183</v>
      </c>
      <c r="C584" s="77">
        <v>40909</v>
      </c>
      <c r="D584" s="78">
        <v>41274</v>
      </c>
      <c r="E584" s="79">
        <v>8.9999999999999993E-3</v>
      </c>
      <c r="F584" s="80">
        <v>1346509.75</v>
      </c>
      <c r="G584" s="81"/>
      <c r="H584" s="80">
        <v>355402.75</v>
      </c>
      <c r="I584" s="79">
        <f>H584/F584</f>
        <v>0.26394368848795935</v>
      </c>
    </row>
    <row r="585" spans="1:9" x14ac:dyDescent="0.25">
      <c r="A585" s="76" t="s">
        <v>262</v>
      </c>
      <c r="B585" s="76" t="s">
        <v>179</v>
      </c>
      <c r="C585" s="77">
        <v>41220</v>
      </c>
      <c r="D585" s="78">
        <v>41455</v>
      </c>
      <c r="E585" s="79">
        <v>8.9999999999999993E-3</v>
      </c>
      <c r="F585" s="80"/>
      <c r="G585" s="81">
        <v>4292.12</v>
      </c>
      <c r="H585" s="80">
        <v>1131.6199999999999</v>
      </c>
      <c r="I585" s="79">
        <f>H585/G585</f>
        <v>0.26365059690782178</v>
      </c>
    </row>
    <row r="586" spans="1:9" x14ac:dyDescent="0.25">
      <c r="A586" s="102" t="s">
        <v>146</v>
      </c>
      <c r="B586" s="102" t="s">
        <v>155</v>
      </c>
      <c r="C586" s="103">
        <v>40725</v>
      </c>
      <c r="D586" s="104">
        <v>41090</v>
      </c>
      <c r="E586" s="101">
        <v>4.4999999999999999E-4</v>
      </c>
      <c r="F586" s="105">
        <v>126358.74</v>
      </c>
      <c r="G586" s="106"/>
      <c r="H586" s="105">
        <v>33299.01</v>
      </c>
      <c r="I586" s="107">
        <v>0.26352755654258664</v>
      </c>
    </row>
    <row r="587" spans="1:9" x14ac:dyDescent="0.25">
      <c r="A587" s="76" t="s">
        <v>665</v>
      </c>
      <c r="B587" s="76" t="s">
        <v>672</v>
      </c>
      <c r="C587" s="77">
        <v>40909</v>
      </c>
      <c r="D587" s="78">
        <v>41274</v>
      </c>
      <c r="E587" s="79">
        <v>0.19800000000000001</v>
      </c>
      <c r="F587" s="80">
        <v>551533</v>
      </c>
      <c r="G587" s="81"/>
      <c r="H587" s="80">
        <v>144305</v>
      </c>
      <c r="I587" s="79">
        <f>H587/F587</f>
        <v>0.26164345560465102</v>
      </c>
    </row>
    <row r="588" spans="1:9" ht="28.5" x14ac:dyDescent="0.25">
      <c r="A588" s="76" t="s">
        <v>449</v>
      </c>
      <c r="B588" s="76" t="s">
        <v>327</v>
      </c>
      <c r="C588" s="77">
        <v>41166</v>
      </c>
      <c r="D588" s="78">
        <v>41455</v>
      </c>
      <c r="E588" s="79">
        <v>4.4999999999999998E-2</v>
      </c>
      <c r="F588" s="80">
        <v>2415160</v>
      </c>
      <c r="G588" s="81"/>
      <c r="H588" s="80">
        <v>630664</v>
      </c>
      <c r="I588" s="79">
        <f>H588/F588</f>
        <v>0.26112721310389375</v>
      </c>
    </row>
    <row r="589" spans="1:9" x14ac:dyDescent="0.25">
      <c r="A589" s="70" t="s">
        <v>101</v>
      </c>
      <c r="B589" s="70" t="s">
        <v>105</v>
      </c>
      <c r="C589" s="71">
        <v>40827</v>
      </c>
      <c r="D589" s="72">
        <v>41192</v>
      </c>
      <c r="E589" s="73">
        <v>1.35E-2</v>
      </c>
      <c r="F589" s="74">
        <v>26085</v>
      </c>
      <c r="G589" s="75"/>
      <c r="H589" s="74">
        <v>6793.84</v>
      </c>
      <c r="I589" s="73">
        <v>0.26045006708836499</v>
      </c>
    </row>
    <row r="590" spans="1:9" x14ac:dyDescent="0.25">
      <c r="A590" s="70" t="s">
        <v>101</v>
      </c>
      <c r="B590" s="70" t="s">
        <v>105</v>
      </c>
      <c r="C590" s="71">
        <v>40827</v>
      </c>
      <c r="D590" s="72">
        <v>41192</v>
      </c>
      <c r="E590" s="73">
        <v>1.35E-2</v>
      </c>
      <c r="F590" s="74"/>
      <c r="G590" s="75">
        <v>26085</v>
      </c>
      <c r="H590" s="74">
        <v>6793.84</v>
      </c>
      <c r="I590" s="73">
        <v>0.26045006708836499</v>
      </c>
    </row>
    <row r="591" spans="1:9" x14ac:dyDescent="0.25">
      <c r="A591" s="76" t="s">
        <v>516</v>
      </c>
      <c r="B591" s="76" t="s">
        <v>519</v>
      </c>
      <c r="C591" s="77">
        <v>41000</v>
      </c>
      <c r="D591" s="78" t="s">
        <v>530</v>
      </c>
      <c r="E591" s="79">
        <v>0.17</v>
      </c>
      <c r="F591" s="80">
        <v>65357</v>
      </c>
      <c r="G591" s="88"/>
      <c r="H591" s="80">
        <v>17000</v>
      </c>
      <c r="I591" s="79">
        <f t="shared" ref="I591:I596" si="7">H591/F591</f>
        <v>0.26010985816362442</v>
      </c>
    </row>
    <row r="592" spans="1:9" x14ac:dyDescent="0.25">
      <c r="A592" s="76" t="s">
        <v>220</v>
      </c>
      <c r="B592" s="76" t="s">
        <v>226</v>
      </c>
      <c r="C592" s="77">
        <v>40924</v>
      </c>
      <c r="D592" s="78">
        <v>41026</v>
      </c>
      <c r="E592" s="79">
        <v>0.26</v>
      </c>
      <c r="F592" s="80">
        <v>25473</v>
      </c>
      <c r="G592" s="81"/>
      <c r="H592" s="80">
        <v>6622.98</v>
      </c>
      <c r="I592" s="79">
        <f t="shared" si="7"/>
        <v>0.26</v>
      </c>
    </row>
    <row r="593" spans="1:9" x14ac:dyDescent="0.25">
      <c r="A593" s="76" t="s">
        <v>643</v>
      </c>
      <c r="B593" s="76" t="s">
        <v>458</v>
      </c>
      <c r="C593" s="77">
        <v>41090</v>
      </c>
      <c r="D593" s="78">
        <v>41274</v>
      </c>
      <c r="E593" s="79">
        <v>4.4999999999999997E-3</v>
      </c>
      <c r="F593" s="80">
        <v>1068511.01</v>
      </c>
      <c r="G593" s="81"/>
      <c r="H593" s="80">
        <v>277351</v>
      </c>
      <c r="I593" s="79">
        <f t="shared" si="7"/>
        <v>0.25956775120174008</v>
      </c>
    </row>
    <row r="594" spans="1:9" x14ac:dyDescent="0.25">
      <c r="A594" s="76" t="s">
        <v>449</v>
      </c>
      <c r="B594" s="76" t="s">
        <v>159</v>
      </c>
      <c r="C594" s="77">
        <v>40787</v>
      </c>
      <c r="D594" s="78">
        <v>41152</v>
      </c>
      <c r="E594" s="79">
        <v>0</v>
      </c>
      <c r="F594" s="80">
        <v>77833</v>
      </c>
      <c r="G594" s="81"/>
      <c r="H594" s="80">
        <v>20202</v>
      </c>
      <c r="I594" s="79">
        <f t="shared" si="7"/>
        <v>0.25955571544203615</v>
      </c>
    </row>
    <row r="595" spans="1:9" x14ac:dyDescent="0.25">
      <c r="A595" s="76" t="s">
        <v>613</v>
      </c>
      <c r="B595" s="76" t="s">
        <v>548</v>
      </c>
      <c r="C595" s="77">
        <v>41082</v>
      </c>
      <c r="D595" s="78">
        <v>41425</v>
      </c>
      <c r="E595" s="79">
        <v>8.9999999999999993E-3</v>
      </c>
      <c r="F595" s="80">
        <v>253034</v>
      </c>
      <c r="G595" s="81"/>
      <c r="H595" s="80">
        <v>65309</v>
      </c>
      <c r="I595" s="79">
        <f t="shared" si="7"/>
        <v>0.25810365405439584</v>
      </c>
    </row>
    <row r="596" spans="1:9" x14ac:dyDescent="0.25">
      <c r="A596" s="76" t="s">
        <v>563</v>
      </c>
      <c r="B596" s="76" t="s">
        <v>565</v>
      </c>
      <c r="C596" s="77">
        <v>40969</v>
      </c>
      <c r="D596" s="78">
        <v>41060</v>
      </c>
      <c r="E596" s="79">
        <v>0.17100000000000001</v>
      </c>
      <c r="F596" s="80">
        <v>39350</v>
      </c>
      <c r="G596" s="88"/>
      <c r="H596" s="80">
        <v>10000</v>
      </c>
      <c r="I596" s="79">
        <f t="shared" si="7"/>
        <v>0.25412960609911056</v>
      </c>
    </row>
    <row r="597" spans="1:9" x14ac:dyDescent="0.25">
      <c r="A597" s="76" t="s">
        <v>315</v>
      </c>
      <c r="B597" s="76" t="s">
        <v>52</v>
      </c>
      <c r="C597" s="77">
        <v>40634</v>
      </c>
      <c r="D597" s="78">
        <v>40954</v>
      </c>
      <c r="E597" s="79">
        <v>0.01</v>
      </c>
      <c r="F597" s="80"/>
      <c r="G597" s="81">
        <v>118357.74</v>
      </c>
      <c r="H597" s="80">
        <v>30065.55</v>
      </c>
      <c r="I597" s="113">
        <f>H597/G597</f>
        <v>0.25402267735088552</v>
      </c>
    </row>
    <row r="598" spans="1:9" x14ac:dyDescent="0.25">
      <c r="A598" s="76" t="s">
        <v>317</v>
      </c>
      <c r="B598" s="76" t="s">
        <v>319</v>
      </c>
      <c r="C598" s="77">
        <v>40940</v>
      </c>
      <c r="D598" s="78">
        <v>41232</v>
      </c>
      <c r="E598" s="79">
        <v>0</v>
      </c>
      <c r="F598" s="80">
        <v>53599</v>
      </c>
      <c r="G598" s="81"/>
      <c r="H598" s="80">
        <v>13599.37</v>
      </c>
      <c r="I598" s="79">
        <f t="shared" ref="I598:I605" si="8">H598/F598</f>
        <v>0.25372432321498539</v>
      </c>
    </row>
    <row r="599" spans="1:9" x14ac:dyDescent="0.25">
      <c r="A599" s="76" t="s">
        <v>613</v>
      </c>
      <c r="B599" s="76" t="s">
        <v>620</v>
      </c>
      <c r="C599" s="77">
        <v>41019</v>
      </c>
      <c r="D599" s="78">
        <v>41274</v>
      </c>
      <c r="E599" s="79">
        <v>8.9999999999999993E-3</v>
      </c>
      <c r="F599" s="80">
        <v>54579</v>
      </c>
      <c r="G599" s="81"/>
      <c r="H599" s="80">
        <v>13840</v>
      </c>
      <c r="I599" s="113">
        <f t="shared" si="8"/>
        <v>0.25357738324263912</v>
      </c>
    </row>
    <row r="600" spans="1:9" ht="21.75" customHeight="1" x14ac:dyDescent="0.25">
      <c r="A600" s="76" t="s">
        <v>216</v>
      </c>
      <c r="B600" s="76" t="s">
        <v>218</v>
      </c>
      <c r="C600" s="77">
        <v>41057</v>
      </c>
      <c r="D600" s="78">
        <v>41271</v>
      </c>
      <c r="E600" s="79">
        <v>0.2</v>
      </c>
      <c r="F600" s="80">
        <v>25802</v>
      </c>
      <c r="G600" s="88"/>
      <c r="H600" s="80">
        <v>6520.22</v>
      </c>
      <c r="I600" s="79">
        <f t="shared" si="8"/>
        <v>0.25270211611502985</v>
      </c>
    </row>
    <row r="601" spans="1:9" x14ac:dyDescent="0.25">
      <c r="A601" s="76" t="s">
        <v>623</v>
      </c>
      <c r="B601" s="76" t="s">
        <v>624</v>
      </c>
      <c r="C601" s="77">
        <v>40570</v>
      </c>
      <c r="D601" s="78">
        <v>40934</v>
      </c>
      <c r="E601" s="79">
        <v>0.25</v>
      </c>
      <c r="F601" s="80">
        <v>45400</v>
      </c>
      <c r="G601" s="88"/>
      <c r="H601" s="80">
        <v>11365</v>
      </c>
      <c r="I601" s="113">
        <f t="shared" si="8"/>
        <v>0.25033039647577093</v>
      </c>
    </row>
    <row r="602" spans="1:9" x14ac:dyDescent="0.25">
      <c r="A602" s="76" t="s">
        <v>394</v>
      </c>
      <c r="B602" s="76" t="s">
        <v>400</v>
      </c>
      <c r="C602" s="77">
        <v>40801</v>
      </c>
      <c r="D602" s="78">
        <v>41167</v>
      </c>
      <c r="E602" s="79">
        <v>0.25</v>
      </c>
      <c r="F602" s="80">
        <v>34494</v>
      </c>
      <c r="G602" s="81"/>
      <c r="H602" s="80">
        <v>8625</v>
      </c>
      <c r="I602" s="79">
        <f t="shared" si="8"/>
        <v>0.25004348582362151</v>
      </c>
    </row>
    <row r="603" spans="1:9" x14ac:dyDescent="0.25">
      <c r="A603" s="76" t="s">
        <v>394</v>
      </c>
      <c r="B603" s="76" t="s">
        <v>403</v>
      </c>
      <c r="C603" s="77">
        <v>41178</v>
      </c>
      <c r="D603" s="78">
        <v>41541</v>
      </c>
      <c r="E603" s="79">
        <v>0.25</v>
      </c>
      <c r="F603" s="80">
        <v>63339</v>
      </c>
      <c r="G603" s="81"/>
      <c r="H603" s="80">
        <v>15835</v>
      </c>
      <c r="I603" s="113">
        <f t="shared" si="8"/>
        <v>0.25000394701526707</v>
      </c>
    </row>
    <row r="604" spans="1:9" x14ac:dyDescent="0.25">
      <c r="A604" s="76" t="s">
        <v>220</v>
      </c>
      <c r="B604" s="76" t="s">
        <v>232</v>
      </c>
      <c r="C604" s="77">
        <v>41008</v>
      </c>
      <c r="D604" s="78">
        <v>41181</v>
      </c>
      <c r="E604" s="79">
        <v>0.25</v>
      </c>
      <c r="F604" s="80">
        <v>100241</v>
      </c>
      <c r="G604" s="81"/>
      <c r="H604" s="80">
        <v>25060.25</v>
      </c>
      <c r="I604" s="79">
        <f t="shared" si="8"/>
        <v>0.25</v>
      </c>
    </row>
    <row r="605" spans="1:9" x14ac:dyDescent="0.25">
      <c r="A605" s="76" t="s">
        <v>623</v>
      </c>
      <c r="B605" s="76" t="s">
        <v>628</v>
      </c>
      <c r="C605" s="77">
        <v>40862</v>
      </c>
      <c r="D605" s="78">
        <v>41227</v>
      </c>
      <c r="E605" s="79">
        <v>0.25</v>
      </c>
      <c r="F605" s="80">
        <v>83914</v>
      </c>
      <c r="G605" s="88"/>
      <c r="H605" s="80">
        <v>20978.5</v>
      </c>
      <c r="I605" s="79">
        <f t="shared" si="8"/>
        <v>0.25</v>
      </c>
    </row>
    <row r="606" spans="1:9" x14ac:dyDescent="0.25">
      <c r="A606" s="76" t="s">
        <v>394</v>
      </c>
      <c r="B606" s="76" t="s">
        <v>403</v>
      </c>
      <c r="C606" s="77">
        <v>40802</v>
      </c>
      <c r="D606" s="78">
        <v>41168</v>
      </c>
      <c r="E606" s="79">
        <v>0.25</v>
      </c>
      <c r="F606" s="80"/>
      <c r="G606" s="81">
        <v>72924</v>
      </c>
      <c r="H606" s="80">
        <v>18231</v>
      </c>
      <c r="I606" s="79">
        <f>H606/G606</f>
        <v>0.25</v>
      </c>
    </row>
    <row r="607" spans="1:9" x14ac:dyDescent="0.25">
      <c r="A607" s="76" t="s">
        <v>623</v>
      </c>
      <c r="B607" s="76" t="s">
        <v>629</v>
      </c>
      <c r="C607" s="77">
        <v>40859</v>
      </c>
      <c r="D607" s="78">
        <v>41224</v>
      </c>
      <c r="E607" s="79">
        <v>0.25</v>
      </c>
      <c r="F607" s="80">
        <v>48440</v>
      </c>
      <c r="G607" s="88"/>
      <c r="H607" s="80">
        <v>12110</v>
      </c>
      <c r="I607" s="113">
        <f>H607/F607</f>
        <v>0.25</v>
      </c>
    </row>
    <row r="608" spans="1:9" x14ac:dyDescent="0.25">
      <c r="A608" s="76" t="s">
        <v>220</v>
      </c>
      <c r="B608" s="76" t="s">
        <v>233</v>
      </c>
      <c r="C608" s="77">
        <v>41078</v>
      </c>
      <c r="D608" s="78">
        <v>41215</v>
      </c>
      <c r="E608" s="79">
        <v>0.25</v>
      </c>
      <c r="F608" s="80">
        <v>43845</v>
      </c>
      <c r="G608" s="81"/>
      <c r="H608" s="80">
        <v>10961.25</v>
      </c>
      <c r="I608" s="79">
        <f>H608/F608</f>
        <v>0.25</v>
      </c>
    </row>
    <row r="609" spans="1:9" x14ac:dyDescent="0.25">
      <c r="A609" s="76" t="s">
        <v>623</v>
      </c>
      <c r="B609" s="76" t="s">
        <v>626</v>
      </c>
      <c r="C609" s="77">
        <v>40661</v>
      </c>
      <c r="D609" s="78">
        <v>41026</v>
      </c>
      <c r="E609" s="79">
        <v>0.25</v>
      </c>
      <c r="F609" s="80">
        <v>41460</v>
      </c>
      <c r="G609" s="88"/>
      <c r="H609" s="80">
        <v>10365</v>
      </c>
      <c r="I609" s="113">
        <f>H609/F609</f>
        <v>0.25</v>
      </c>
    </row>
    <row r="610" spans="1:9" x14ac:dyDescent="0.25">
      <c r="A610" s="76" t="s">
        <v>394</v>
      </c>
      <c r="B610" s="76" t="s">
        <v>400</v>
      </c>
      <c r="C610" s="77">
        <v>41178</v>
      </c>
      <c r="D610" s="78">
        <v>41541</v>
      </c>
      <c r="E610" s="79">
        <v>0.25</v>
      </c>
      <c r="F610" s="80">
        <v>33656</v>
      </c>
      <c r="G610" s="81"/>
      <c r="H610" s="80">
        <v>8414</v>
      </c>
      <c r="I610" s="79">
        <f>H610/F610</f>
        <v>0.25</v>
      </c>
    </row>
    <row r="611" spans="1:9" x14ac:dyDescent="0.25">
      <c r="A611" s="76" t="s">
        <v>220</v>
      </c>
      <c r="B611" s="76" t="s">
        <v>234</v>
      </c>
      <c r="C611" s="77">
        <v>41078</v>
      </c>
      <c r="D611" s="78">
        <v>41237</v>
      </c>
      <c r="E611" s="79">
        <v>0.25</v>
      </c>
      <c r="F611" s="80">
        <v>27548</v>
      </c>
      <c r="G611" s="81"/>
      <c r="H611" s="80">
        <v>6887</v>
      </c>
      <c r="I611" s="113">
        <f>H611/F611</f>
        <v>0.25</v>
      </c>
    </row>
    <row r="612" spans="1:9" x14ac:dyDescent="0.25">
      <c r="A612" s="76" t="s">
        <v>407</v>
      </c>
      <c r="B612" s="76" t="s">
        <v>408</v>
      </c>
      <c r="C612" s="77">
        <v>40830</v>
      </c>
      <c r="D612" s="78">
        <v>40939</v>
      </c>
      <c r="E612" s="79">
        <v>0.25</v>
      </c>
      <c r="F612" s="88"/>
      <c r="G612" s="81">
        <v>22915</v>
      </c>
      <c r="H612" s="80">
        <v>5728.75</v>
      </c>
      <c r="I612" s="79">
        <f>H612/G612</f>
        <v>0.25</v>
      </c>
    </row>
    <row r="613" spans="1:9" x14ac:dyDescent="0.25">
      <c r="A613" s="76" t="s">
        <v>531</v>
      </c>
      <c r="B613" s="76" t="s">
        <v>538</v>
      </c>
      <c r="C613" s="77">
        <v>40975</v>
      </c>
      <c r="D613" s="78">
        <v>41333</v>
      </c>
      <c r="E613" s="79">
        <v>8.9999999999999993E-3</v>
      </c>
      <c r="F613" s="80"/>
      <c r="G613" s="81">
        <v>1305</v>
      </c>
      <c r="H613" s="80">
        <v>326</v>
      </c>
      <c r="I613" s="79">
        <f>H613/G613</f>
        <v>0.24980842911877393</v>
      </c>
    </row>
    <row r="614" spans="1:9" x14ac:dyDescent="0.25">
      <c r="A614" s="76" t="s">
        <v>531</v>
      </c>
      <c r="B614" s="76" t="s">
        <v>548</v>
      </c>
      <c r="C614" s="77">
        <v>41000</v>
      </c>
      <c r="D614" s="78">
        <v>41364</v>
      </c>
      <c r="E614" s="79">
        <v>8.9999999999999993E-3</v>
      </c>
      <c r="F614" s="80">
        <v>1016054</v>
      </c>
      <c r="G614" s="81"/>
      <c r="H614" s="80">
        <v>253768</v>
      </c>
      <c r="I614" s="79">
        <f>H614/F614</f>
        <v>0.24975837898379416</v>
      </c>
    </row>
    <row r="615" spans="1:9" x14ac:dyDescent="0.25">
      <c r="A615" s="76" t="s">
        <v>449</v>
      </c>
      <c r="B615" s="76" t="s">
        <v>451</v>
      </c>
      <c r="C615" s="77">
        <v>40603</v>
      </c>
      <c r="D615" s="78">
        <v>40967</v>
      </c>
      <c r="E615" s="79">
        <v>0</v>
      </c>
      <c r="F615" s="80">
        <v>9315</v>
      </c>
      <c r="G615" s="81"/>
      <c r="H615" s="80">
        <v>2315</v>
      </c>
      <c r="I615" s="79">
        <f>H615/F615</f>
        <v>0.24852388620504562</v>
      </c>
    </row>
    <row r="616" spans="1:9" x14ac:dyDescent="0.25">
      <c r="A616" s="76" t="s">
        <v>265</v>
      </c>
      <c r="B616" s="76" t="s">
        <v>275</v>
      </c>
      <c r="C616" s="77">
        <v>41153</v>
      </c>
      <c r="D616" s="78">
        <v>41517</v>
      </c>
      <c r="E616" s="79">
        <v>0.18</v>
      </c>
      <c r="F616" s="80">
        <v>126882</v>
      </c>
      <c r="G616" s="81"/>
      <c r="H616" s="80">
        <v>31466.39</v>
      </c>
      <c r="I616" s="79">
        <f>H616/F616</f>
        <v>0.24799727305685598</v>
      </c>
    </row>
    <row r="617" spans="1:9" x14ac:dyDescent="0.25">
      <c r="A617" s="70" t="s">
        <v>171</v>
      </c>
      <c r="B617" s="70" t="s">
        <v>196</v>
      </c>
      <c r="C617" s="71">
        <v>40631</v>
      </c>
      <c r="D617" s="72">
        <v>40968</v>
      </c>
      <c r="E617" s="73">
        <v>1.7999999999999999E-2</v>
      </c>
      <c r="F617" s="74">
        <v>27885</v>
      </c>
      <c r="G617" s="75"/>
      <c r="H617" s="74">
        <v>6906.54</v>
      </c>
      <c r="I617" s="73">
        <v>0.24767939752555138</v>
      </c>
    </row>
    <row r="618" spans="1:9" x14ac:dyDescent="0.25">
      <c r="A618" s="70" t="s">
        <v>20</v>
      </c>
      <c r="B618" s="70" t="s">
        <v>27</v>
      </c>
      <c r="C618" s="71">
        <v>40679</v>
      </c>
      <c r="D618" s="72">
        <v>41029</v>
      </c>
      <c r="E618" s="73">
        <v>0</v>
      </c>
      <c r="F618" s="74"/>
      <c r="G618" s="75">
        <v>4491</v>
      </c>
      <c r="H618" s="74">
        <v>4941.6099999999997</v>
      </c>
      <c r="I618" s="73">
        <v>0.24456151638127288</v>
      </c>
    </row>
    <row r="619" spans="1:9" x14ac:dyDescent="0.25">
      <c r="A619" s="70" t="s">
        <v>20</v>
      </c>
      <c r="B619" s="70" t="s">
        <v>28</v>
      </c>
      <c r="C619" s="71">
        <v>40686</v>
      </c>
      <c r="D619" s="72">
        <v>41029</v>
      </c>
      <c r="E619" s="73">
        <v>0</v>
      </c>
      <c r="F619" s="74">
        <v>20206</v>
      </c>
      <c r="G619" s="75"/>
      <c r="H619" s="74">
        <v>238.92</v>
      </c>
      <c r="I619" s="73">
        <v>0.24455703976662058</v>
      </c>
    </row>
    <row r="620" spans="1:9" x14ac:dyDescent="0.25">
      <c r="A620" s="76" t="s">
        <v>531</v>
      </c>
      <c r="B620" s="76" t="s">
        <v>90</v>
      </c>
      <c r="C620" s="77">
        <v>41129</v>
      </c>
      <c r="D620" s="78">
        <v>41455</v>
      </c>
      <c r="E620" s="79">
        <v>0.18</v>
      </c>
      <c r="F620" s="80"/>
      <c r="G620" s="81">
        <v>27373</v>
      </c>
      <c r="H620" s="80">
        <v>6685</v>
      </c>
      <c r="I620" s="79">
        <f>H620/G620</f>
        <v>0.24421875570817958</v>
      </c>
    </row>
    <row r="621" spans="1:9" ht="28.5" x14ac:dyDescent="0.25">
      <c r="A621" s="76" t="s">
        <v>692</v>
      </c>
      <c r="B621" s="76" t="s">
        <v>111</v>
      </c>
      <c r="C621" s="77">
        <v>40909</v>
      </c>
      <c r="D621" s="78">
        <v>41274</v>
      </c>
      <c r="E621" s="79">
        <v>8.9999999999999993E-3</v>
      </c>
      <c r="F621" s="80">
        <v>5842</v>
      </c>
      <c r="G621" s="81"/>
      <c r="H621" s="80">
        <v>1415</v>
      </c>
      <c r="I621" s="79">
        <f>H621/F621</f>
        <v>0.24221157137966451</v>
      </c>
    </row>
    <row r="622" spans="1:9" x14ac:dyDescent="0.25">
      <c r="A622" s="70" t="s">
        <v>74</v>
      </c>
      <c r="B622" s="70" t="s">
        <v>77</v>
      </c>
      <c r="C622" s="71">
        <v>40716</v>
      </c>
      <c r="D622" s="72">
        <v>41063</v>
      </c>
      <c r="E622" s="73">
        <v>0.24</v>
      </c>
      <c r="F622" s="74">
        <v>69262</v>
      </c>
      <c r="G622" s="75"/>
      <c r="H622" s="74">
        <v>16625.88</v>
      </c>
      <c r="I622" s="73">
        <v>0.24004331379399962</v>
      </c>
    </row>
    <row r="623" spans="1:9" x14ac:dyDescent="0.25">
      <c r="A623" s="76" t="s">
        <v>665</v>
      </c>
      <c r="B623" s="76" t="s">
        <v>668</v>
      </c>
      <c r="C623" s="77">
        <v>40634</v>
      </c>
      <c r="D623" s="78">
        <v>40999</v>
      </c>
      <c r="E623" s="79">
        <v>0.24</v>
      </c>
      <c r="F623" s="80">
        <v>148675</v>
      </c>
      <c r="G623" s="81"/>
      <c r="H623" s="80">
        <v>35682</v>
      </c>
      <c r="I623" s="79">
        <f t="shared" ref="I623:I628" si="9">H623/F623</f>
        <v>0.24</v>
      </c>
    </row>
    <row r="624" spans="1:9" x14ac:dyDescent="0.25">
      <c r="A624" s="76" t="s">
        <v>220</v>
      </c>
      <c r="B624" s="76" t="s">
        <v>223</v>
      </c>
      <c r="C624" s="77">
        <v>40833</v>
      </c>
      <c r="D624" s="78">
        <v>40949</v>
      </c>
      <c r="E624" s="79">
        <v>0.24</v>
      </c>
      <c r="F624" s="80">
        <v>32888</v>
      </c>
      <c r="G624" s="81"/>
      <c r="H624" s="80">
        <v>7893.12</v>
      </c>
      <c r="I624" s="79">
        <f t="shared" si="9"/>
        <v>0.24</v>
      </c>
    </row>
    <row r="625" spans="1:9" x14ac:dyDescent="0.25">
      <c r="A625" s="76" t="s">
        <v>531</v>
      </c>
      <c r="B625" s="76" t="s">
        <v>90</v>
      </c>
      <c r="C625" s="77">
        <v>41129</v>
      </c>
      <c r="D625" s="78">
        <v>41455</v>
      </c>
      <c r="E625" s="79">
        <v>0.18</v>
      </c>
      <c r="F625" s="80">
        <v>907362</v>
      </c>
      <c r="G625" s="81"/>
      <c r="H625" s="80">
        <v>216625</v>
      </c>
      <c r="I625" s="79">
        <f t="shared" si="9"/>
        <v>0.2387415386582202</v>
      </c>
    </row>
    <row r="626" spans="1:9" x14ac:dyDescent="0.25">
      <c r="A626" s="76" t="s">
        <v>531</v>
      </c>
      <c r="B626" s="76" t="s">
        <v>535</v>
      </c>
      <c r="C626" s="77">
        <v>40749</v>
      </c>
      <c r="D626" s="78">
        <v>41060</v>
      </c>
      <c r="E626" s="79">
        <v>8.9999999999999993E-3</v>
      </c>
      <c r="F626" s="80">
        <v>42703</v>
      </c>
      <c r="G626" s="81"/>
      <c r="H626" s="80">
        <v>10111</v>
      </c>
      <c r="I626" s="79">
        <f t="shared" si="9"/>
        <v>0.23677493384539727</v>
      </c>
    </row>
    <row r="627" spans="1:9" x14ac:dyDescent="0.25">
      <c r="A627" s="76" t="s">
        <v>315</v>
      </c>
      <c r="B627" s="110" t="s">
        <v>152</v>
      </c>
      <c r="C627" s="77">
        <v>40607</v>
      </c>
      <c r="D627" s="78">
        <v>40968</v>
      </c>
      <c r="E627" s="79">
        <v>0.108</v>
      </c>
      <c r="F627" s="80">
        <v>5518845.29</v>
      </c>
      <c r="G627" s="81"/>
      <c r="H627" s="80">
        <v>1306139.8700000001</v>
      </c>
      <c r="I627" s="79">
        <f t="shared" si="9"/>
        <v>0.23666904965911811</v>
      </c>
    </row>
    <row r="628" spans="1:9" x14ac:dyDescent="0.25">
      <c r="A628" s="76" t="s">
        <v>643</v>
      </c>
      <c r="B628" s="76" t="s">
        <v>658</v>
      </c>
      <c r="C628" s="77">
        <v>40982</v>
      </c>
      <c r="D628" s="78">
        <v>41274</v>
      </c>
      <c r="E628" s="79">
        <v>4.4999999999999997E-3</v>
      </c>
      <c r="F628" s="80">
        <v>100073.18</v>
      </c>
      <c r="G628" s="81"/>
      <c r="H628" s="80">
        <v>23632.52</v>
      </c>
      <c r="I628" s="79">
        <f t="shared" si="9"/>
        <v>0.23615238368561889</v>
      </c>
    </row>
    <row r="629" spans="1:9" x14ac:dyDescent="0.25">
      <c r="A629" s="76" t="s">
        <v>643</v>
      </c>
      <c r="B629" s="76" t="s">
        <v>646</v>
      </c>
      <c r="C629" s="77">
        <v>40616</v>
      </c>
      <c r="D629" s="78">
        <v>40981</v>
      </c>
      <c r="E629" s="79">
        <v>4.4999999999999997E-3</v>
      </c>
      <c r="F629" s="80"/>
      <c r="G629" s="81">
        <v>10051</v>
      </c>
      <c r="H629" s="80">
        <v>2365.4</v>
      </c>
      <c r="I629" s="79">
        <f>H629/G629</f>
        <v>0.23533976718734456</v>
      </c>
    </row>
    <row r="630" spans="1:9" x14ac:dyDescent="0.25">
      <c r="A630" s="76" t="s">
        <v>429</v>
      </c>
      <c r="B630" s="76" t="s">
        <v>434</v>
      </c>
      <c r="C630" s="77">
        <v>40980</v>
      </c>
      <c r="D630" s="78">
        <v>41151</v>
      </c>
      <c r="E630" s="79">
        <v>0.2</v>
      </c>
      <c r="F630" s="88"/>
      <c r="G630" s="81">
        <v>28712</v>
      </c>
      <c r="H630" s="80">
        <v>6742.2</v>
      </c>
      <c r="I630" s="79">
        <f>H630/G630</f>
        <v>0.23482167734745055</v>
      </c>
    </row>
    <row r="631" spans="1:9" x14ac:dyDescent="0.25">
      <c r="A631" s="70" t="s">
        <v>171</v>
      </c>
      <c r="B631" s="70" t="s">
        <v>197</v>
      </c>
      <c r="C631" s="71">
        <v>40639</v>
      </c>
      <c r="D631" s="72">
        <v>40982</v>
      </c>
      <c r="E631" s="73">
        <v>1.7999999999999999E-2</v>
      </c>
      <c r="F631" s="74">
        <v>96448</v>
      </c>
      <c r="G631" s="75"/>
      <c r="H631" s="74">
        <v>22639.88</v>
      </c>
      <c r="I631" s="73">
        <v>0.23473664565361646</v>
      </c>
    </row>
    <row r="632" spans="1:9" x14ac:dyDescent="0.25">
      <c r="A632" s="76" t="s">
        <v>216</v>
      </c>
      <c r="B632" s="76" t="s">
        <v>217</v>
      </c>
      <c r="C632" s="77">
        <v>40945</v>
      </c>
      <c r="D632" s="78">
        <v>41145</v>
      </c>
      <c r="E632" s="79">
        <v>0.2</v>
      </c>
      <c r="F632" s="80">
        <v>35530</v>
      </c>
      <c r="G632" s="88"/>
      <c r="H632" s="80">
        <v>8320.0499999999993</v>
      </c>
      <c r="I632" s="79">
        <f>H632/F632</f>
        <v>0.23416971573318321</v>
      </c>
    </row>
    <row r="633" spans="1:9" x14ac:dyDescent="0.25">
      <c r="A633" s="76" t="s">
        <v>317</v>
      </c>
      <c r="B633" s="76" t="s">
        <v>332</v>
      </c>
      <c r="C633" s="77">
        <v>41153</v>
      </c>
      <c r="D633" s="78">
        <v>41517</v>
      </c>
      <c r="E633" s="79">
        <v>8.9999999999999998E-4</v>
      </c>
      <c r="F633" s="80"/>
      <c r="G633" s="81">
        <v>68345.460000000006</v>
      </c>
      <c r="H633" s="80">
        <v>15977.12</v>
      </c>
      <c r="I633" s="79">
        <f>H633/G633</f>
        <v>0.23377002656796808</v>
      </c>
    </row>
    <row r="634" spans="1:9" x14ac:dyDescent="0.25">
      <c r="A634" s="76" t="s">
        <v>317</v>
      </c>
      <c r="B634" s="76" t="s">
        <v>332</v>
      </c>
      <c r="C634" s="77">
        <v>41153</v>
      </c>
      <c r="D634" s="78">
        <v>41517</v>
      </c>
      <c r="E634" s="79">
        <v>8.9999999999999998E-4</v>
      </c>
      <c r="F634" s="80">
        <v>1911706.91</v>
      </c>
      <c r="G634" s="81"/>
      <c r="H634" s="80">
        <v>446899.74</v>
      </c>
      <c r="I634" s="79">
        <f>H634/F634</f>
        <v>0.23377000818603519</v>
      </c>
    </row>
    <row r="635" spans="1:9" x14ac:dyDescent="0.25">
      <c r="A635" s="76" t="s">
        <v>270</v>
      </c>
      <c r="B635" s="76" t="s">
        <v>275</v>
      </c>
      <c r="C635" s="77">
        <v>40787</v>
      </c>
      <c r="D635" s="78">
        <v>41152</v>
      </c>
      <c r="E635" s="79">
        <v>0.18</v>
      </c>
      <c r="F635" s="80">
        <v>136027.42000000001</v>
      </c>
      <c r="G635" s="81"/>
      <c r="H635" s="80">
        <v>31730.79</v>
      </c>
      <c r="I635" s="79">
        <f>H635/F635</f>
        <v>0.23326760148799411</v>
      </c>
    </row>
    <row r="636" spans="1:9" x14ac:dyDescent="0.25">
      <c r="A636" s="76" t="s">
        <v>317</v>
      </c>
      <c r="B636" s="76" t="s">
        <v>334</v>
      </c>
      <c r="C636" s="77">
        <v>41153</v>
      </c>
      <c r="D636" s="78">
        <v>41517</v>
      </c>
      <c r="E636" s="79">
        <v>8.9999999999999998E-4</v>
      </c>
      <c r="F636" s="80">
        <v>30784</v>
      </c>
      <c r="G636" s="81"/>
      <c r="H636" s="80">
        <v>7132</v>
      </c>
      <c r="I636" s="79">
        <f>H636/F636</f>
        <v>0.23167879417879417</v>
      </c>
    </row>
    <row r="637" spans="1:9" x14ac:dyDescent="0.25">
      <c r="A637" s="76" t="s">
        <v>317</v>
      </c>
      <c r="B637" s="76" t="s">
        <v>334</v>
      </c>
      <c r="C637" s="77">
        <v>41153</v>
      </c>
      <c r="D637" s="78">
        <v>41517</v>
      </c>
      <c r="E637" s="79">
        <v>8.9999999999999998E-4</v>
      </c>
      <c r="F637" s="80"/>
      <c r="G637" s="81">
        <v>484</v>
      </c>
      <c r="H637" s="80">
        <v>112.13</v>
      </c>
      <c r="I637" s="79">
        <f>H637/G637</f>
        <v>0.23167355371900825</v>
      </c>
    </row>
    <row r="638" spans="1:9" x14ac:dyDescent="0.25">
      <c r="A638" s="76" t="s">
        <v>594</v>
      </c>
      <c r="B638" s="76" t="s">
        <v>600</v>
      </c>
      <c r="C638" s="77">
        <v>41116</v>
      </c>
      <c r="D638" s="78">
        <v>41480</v>
      </c>
      <c r="E638" s="79">
        <v>0.39600000000000002</v>
      </c>
      <c r="F638" s="80">
        <v>1053920.74</v>
      </c>
      <c r="G638" s="81"/>
      <c r="H638" s="80">
        <v>243234.11</v>
      </c>
      <c r="I638" s="79">
        <f>H638/F638</f>
        <v>0.23078975559395482</v>
      </c>
    </row>
    <row r="639" spans="1:9" x14ac:dyDescent="0.25">
      <c r="A639" s="76" t="s">
        <v>594</v>
      </c>
      <c r="B639" s="76" t="s">
        <v>600</v>
      </c>
      <c r="C639" s="77">
        <v>41116</v>
      </c>
      <c r="D639" s="78">
        <v>41480</v>
      </c>
      <c r="E639" s="79">
        <v>0.39600000000000002</v>
      </c>
      <c r="F639" s="80"/>
      <c r="G639" s="81">
        <v>14680.13</v>
      </c>
      <c r="H639" s="80">
        <v>3388.02</v>
      </c>
      <c r="I639" s="79">
        <f>H639/G639</f>
        <v>0.23078950935720596</v>
      </c>
    </row>
    <row r="640" spans="1:9" x14ac:dyDescent="0.25">
      <c r="A640" s="76" t="s">
        <v>220</v>
      </c>
      <c r="B640" s="76" t="s">
        <v>221</v>
      </c>
      <c r="C640" s="77">
        <v>40805</v>
      </c>
      <c r="D640" s="78">
        <v>40929</v>
      </c>
      <c r="E640" s="79">
        <v>0.22</v>
      </c>
      <c r="F640" s="80">
        <v>26002</v>
      </c>
      <c r="G640" s="81"/>
      <c r="H640" s="80">
        <v>6000</v>
      </c>
      <c r="I640" s="79">
        <f t="shared" ref="I640:I645" si="10">H640/F640</f>
        <v>0.23075148065533421</v>
      </c>
    </row>
    <row r="641" spans="1:9" x14ac:dyDescent="0.25">
      <c r="A641" s="76" t="s">
        <v>220</v>
      </c>
      <c r="B641" s="76" t="s">
        <v>227</v>
      </c>
      <c r="C641" s="77">
        <v>40952</v>
      </c>
      <c r="D641" s="78">
        <v>41082</v>
      </c>
      <c r="E641" s="79">
        <v>0.23</v>
      </c>
      <c r="F641" s="80">
        <v>25695</v>
      </c>
      <c r="G641" s="81"/>
      <c r="H641" s="80">
        <v>5909.85</v>
      </c>
      <c r="I641" s="79">
        <f t="shared" si="10"/>
        <v>0.23</v>
      </c>
    </row>
    <row r="642" spans="1:9" x14ac:dyDescent="0.25">
      <c r="A642" s="76" t="s">
        <v>220</v>
      </c>
      <c r="B642" s="76" t="s">
        <v>231</v>
      </c>
      <c r="C642" s="77">
        <v>40994</v>
      </c>
      <c r="D642" s="78">
        <v>41097</v>
      </c>
      <c r="E642" s="79">
        <v>0.23</v>
      </c>
      <c r="F642" s="80">
        <v>22658</v>
      </c>
      <c r="G642" s="81"/>
      <c r="H642" s="80">
        <v>5211.34</v>
      </c>
      <c r="I642" s="79">
        <f t="shared" si="10"/>
        <v>0.23</v>
      </c>
    </row>
    <row r="643" spans="1:9" x14ac:dyDescent="0.25">
      <c r="A643" s="76" t="s">
        <v>220</v>
      </c>
      <c r="B643" s="76" t="s">
        <v>230</v>
      </c>
      <c r="C643" s="77">
        <v>40966</v>
      </c>
      <c r="D643" s="78">
        <v>41128</v>
      </c>
      <c r="E643" s="79">
        <v>0.23</v>
      </c>
      <c r="F643" s="80">
        <v>39438</v>
      </c>
      <c r="G643" s="81"/>
      <c r="H643" s="80">
        <v>9070.74</v>
      </c>
      <c r="I643" s="79">
        <f t="shared" si="10"/>
        <v>0.22999999999999998</v>
      </c>
    </row>
    <row r="644" spans="1:9" x14ac:dyDescent="0.25">
      <c r="A644" s="76" t="s">
        <v>643</v>
      </c>
      <c r="B644" s="76" t="s">
        <v>174</v>
      </c>
      <c r="C644" s="77">
        <v>40948</v>
      </c>
      <c r="D644" s="78">
        <v>41274</v>
      </c>
      <c r="E644" s="79">
        <v>8.9999999999999998E-4</v>
      </c>
      <c r="F644" s="80">
        <v>2330900.04</v>
      </c>
      <c r="G644" s="81"/>
      <c r="H644" s="80">
        <v>535425.38</v>
      </c>
      <c r="I644" s="79">
        <f t="shared" si="10"/>
        <v>0.22970756824046387</v>
      </c>
    </row>
    <row r="645" spans="1:9" x14ac:dyDescent="0.25">
      <c r="A645" s="76" t="s">
        <v>270</v>
      </c>
      <c r="B645" s="76" t="s">
        <v>276</v>
      </c>
      <c r="C645" s="77">
        <v>40909</v>
      </c>
      <c r="D645" s="78">
        <v>41152</v>
      </c>
      <c r="E645" s="79">
        <v>0.09</v>
      </c>
      <c r="F645" s="80">
        <v>502141.14</v>
      </c>
      <c r="G645" s="81"/>
      <c r="H645" s="80">
        <v>115190.56</v>
      </c>
      <c r="I645" s="79">
        <f t="shared" si="10"/>
        <v>0.22939877023420147</v>
      </c>
    </row>
    <row r="646" spans="1:9" x14ac:dyDescent="0.25">
      <c r="A646" s="76" t="s">
        <v>410</v>
      </c>
      <c r="B646" s="76" t="s">
        <v>412</v>
      </c>
      <c r="C646" s="77">
        <v>40913</v>
      </c>
      <c r="D646" s="78">
        <v>41060</v>
      </c>
      <c r="E646" s="79">
        <v>0.23</v>
      </c>
      <c r="F646" s="88"/>
      <c r="G646" s="81">
        <v>18670</v>
      </c>
      <c r="H646" s="80">
        <v>4279.01</v>
      </c>
      <c r="I646" s="79">
        <f>H646/G646</f>
        <v>0.22919175147295126</v>
      </c>
    </row>
    <row r="647" spans="1:9" x14ac:dyDescent="0.25">
      <c r="A647" s="76" t="s">
        <v>531</v>
      </c>
      <c r="B647" s="76" t="s">
        <v>374</v>
      </c>
      <c r="C647" s="77">
        <v>41000</v>
      </c>
      <c r="D647" s="78">
        <v>41364</v>
      </c>
      <c r="E647" s="79">
        <v>8.9999999999999993E-3</v>
      </c>
      <c r="F647" s="80"/>
      <c r="G647" s="81">
        <v>1530</v>
      </c>
      <c r="H647" s="80">
        <v>348</v>
      </c>
      <c r="I647" s="79">
        <f>H647/G647</f>
        <v>0.22745098039215686</v>
      </c>
    </row>
    <row r="648" spans="1:9" x14ac:dyDescent="0.25">
      <c r="A648" s="76" t="s">
        <v>449</v>
      </c>
      <c r="B648" s="76" t="s">
        <v>453</v>
      </c>
      <c r="C648" s="77">
        <v>40664</v>
      </c>
      <c r="D648" s="78">
        <v>41029</v>
      </c>
      <c r="E648" s="79">
        <v>0</v>
      </c>
      <c r="F648" s="80">
        <v>31836</v>
      </c>
      <c r="G648" s="81"/>
      <c r="H648" s="80">
        <v>7201</v>
      </c>
      <c r="I648" s="79">
        <f>H648/F648</f>
        <v>0.22619047619047619</v>
      </c>
    </row>
    <row r="649" spans="1:9" x14ac:dyDescent="0.25">
      <c r="A649" s="76" t="s">
        <v>674</v>
      </c>
      <c r="B649" s="76" t="s">
        <v>213</v>
      </c>
      <c r="C649" s="77">
        <v>40911</v>
      </c>
      <c r="D649" s="78">
        <v>41274</v>
      </c>
      <c r="E649" s="79">
        <v>9.9000000000000005E-2</v>
      </c>
      <c r="F649" s="80">
        <v>796977.67</v>
      </c>
      <c r="G649" s="81"/>
      <c r="H649" s="80">
        <v>178981.36</v>
      </c>
      <c r="I649" s="79">
        <f>H649/F649</f>
        <v>0.22457512517257852</v>
      </c>
    </row>
    <row r="650" spans="1:9" x14ac:dyDescent="0.25">
      <c r="A650" s="76" t="s">
        <v>685</v>
      </c>
      <c r="B650" s="76" t="s">
        <v>687</v>
      </c>
      <c r="C650" s="77">
        <v>40725</v>
      </c>
      <c r="D650" s="78">
        <v>41090</v>
      </c>
      <c r="E650" s="79">
        <v>0.108</v>
      </c>
      <c r="F650" s="80">
        <v>2688607.48</v>
      </c>
      <c r="G650" s="81"/>
      <c r="H650" s="80">
        <v>600000</v>
      </c>
      <c r="I650" s="79">
        <f>H650/F650</f>
        <v>0.22316385134805919</v>
      </c>
    </row>
    <row r="651" spans="1:9" x14ac:dyDescent="0.25">
      <c r="A651" s="70" t="s">
        <v>137</v>
      </c>
      <c r="B651" s="70" t="s">
        <v>102</v>
      </c>
      <c r="C651" s="71">
        <v>40722</v>
      </c>
      <c r="D651" s="72">
        <v>41002</v>
      </c>
      <c r="E651" s="73">
        <v>0.315</v>
      </c>
      <c r="F651" s="74">
        <v>1150</v>
      </c>
      <c r="G651" s="75"/>
      <c r="H651" s="74">
        <v>255.4</v>
      </c>
      <c r="I651" s="73">
        <v>0.22208695652173913</v>
      </c>
    </row>
    <row r="652" spans="1:9" x14ac:dyDescent="0.25">
      <c r="A652" s="76" t="s">
        <v>317</v>
      </c>
      <c r="B652" s="76" t="s">
        <v>178</v>
      </c>
      <c r="C652" s="77">
        <v>40943</v>
      </c>
      <c r="D652" s="78">
        <v>41274</v>
      </c>
      <c r="E652" s="79">
        <v>0</v>
      </c>
      <c r="F652" s="80"/>
      <c r="G652" s="81">
        <v>10880.25</v>
      </c>
      <c r="H652" s="80">
        <v>2413.73</v>
      </c>
      <c r="I652" s="79">
        <f>H652/G652</f>
        <v>0.22184508628018657</v>
      </c>
    </row>
    <row r="653" spans="1:9" x14ac:dyDescent="0.25">
      <c r="A653" s="76" t="s">
        <v>317</v>
      </c>
      <c r="B653" s="76" t="s">
        <v>178</v>
      </c>
      <c r="C653" s="77">
        <v>40943</v>
      </c>
      <c r="D653" s="78">
        <v>41274</v>
      </c>
      <c r="E653" s="79">
        <v>0</v>
      </c>
      <c r="F653" s="80">
        <v>271893.48</v>
      </c>
      <c r="G653" s="81"/>
      <c r="H653" s="80">
        <v>60318.18</v>
      </c>
      <c r="I653" s="79">
        <f t="shared" ref="I653:I664" si="11">H653/F653</f>
        <v>0.22184489308092273</v>
      </c>
    </row>
    <row r="654" spans="1:9" x14ac:dyDescent="0.25">
      <c r="A654" s="76" t="s">
        <v>449</v>
      </c>
      <c r="B654" s="76" t="s">
        <v>474</v>
      </c>
      <c r="C654" s="77">
        <v>41122</v>
      </c>
      <c r="D654" s="78">
        <v>41486</v>
      </c>
      <c r="E654" s="79">
        <v>0</v>
      </c>
      <c r="F654" s="80">
        <v>248930</v>
      </c>
      <c r="G654" s="88"/>
      <c r="H654" s="80">
        <v>55035</v>
      </c>
      <c r="I654" s="79">
        <f t="shared" si="11"/>
        <v>0.22108624914634636</v>
      </c>
    </row>
    <row r="655" spans="1:9" x14ac:dyDescent="0.25">
      <c r="A655" s="76" t="s">
        <v>220</v>
      </c>
      <c r="B655" s="76" t="s">
        <v>228</v>
      </c>
      <c r="C655" s="77">
        <v>40952</v>
      </c>
      <c r="D655" s="78">
        <v>41097</v>
      </c>
      <c r="E655" s="79">
        <v>0.22</v>
      </c>
      <c r="F655" s="80">
        <v>31118</v>
      </c>
      <c r="G655" s="81"/>
      <c r="H655" s="80">
        <v>6845.96</v>
      </c>
      <c r="I655" s="79">
        <f t="shared" si="11"/>
        <v>0.22</v>
      </c>
    </row>
    <row r="656" spans="1:9" x14ac:dyDescent="0.25">
      <c r="A656" s="76" t="s">
        <v>220</v>
      </c>
      <c r="B656" s="76" t="s">
        <v>1840</v>
      </c>
      <c r="C656" s="77">
        <v>40847</v>
      </c>
      <c r="D656" s="78">
        <v>40989</v>
      </c>
      <c r="E656" s="79">
        <v>0.22</v>
      </c>
      <c r="F656" s="80">
        <v>23170</v>
      </c>
      <c r="G656" s="81"/>
      <c r="H656" s="80">
        <v>5097.3999999999996</v>
      </c>
      <c r="I656" s="79">
        <f t="shared" si="11"/>
        <v>0.21999999999999997</v>
      </c>
    </row>
    <row r="657" spans="1:9" x14ac:dyDescent="0.25">
      <c r="A657" s="76" t="s">
        <v>516</v>
      </c>
      <c r="B657" s="76" t="s">
        <v>526</v>
      </c>
      <c r="C657" s="77">
        <v>40868</v>
      </c>
      <c r="D657" s="78">
        <v>41234</v>
      </c>
      <c r="E657" s="79">
        <v>0.15</v>
      </c>
      <c r="F657" s="80">
        <v>104146.5</v>
      </c>
      <c r="G657" s="88"/>
      <c r="H657" s="80">
        <v>22861.42</v>
      </c>
      <c r="I657" s="79">
        <f t="shared" si="11"/>
        <v>0.21951212954828053</v>
      </c>
    </row>
    <row r="658" spans="1:9" x14ac:dyDescent="0.25">
      <c r="A658" s="76" t="s">
        <v>516</v>
      </c>
      <c r="B658" s="76" t="s">
        <v>525</v>
      </c>
      <c r="C658" s="77">
        <v>40862</v>
      </c>
      <c r="D658" s="78">
        <v>41228</v>
      </c>
      <c r="E658" s="79">
        <v>0.2</v>
      </c>
      <c r="F658" s="80">
        <v>52933</v>
      </c>
      <c r="G658" s="88"/>
      <c r="H658" s="80">
        <v>11437.29</v>
      </c>
      <c r="I658" s="79">
        <f t="shared" si="11"/>
        <v>0.21607107097651751</v>
      </c>
    </row>
    <row r="659" spans="1:9" x14ac:dyDescent="0.25">
      <c r="A659" s="76" t="s">
        <v>516</v>
      </c>
      <c r="B659" s="76" t="s">
        <v>521</v>
      </c>
      <c r="C659" s="77">
        <v>40695</v>
      </c>
      <c r="D659" s="78">
        <v>40999</v>
      </c>
      <c r="E659" s="79">
        <v>0.15</v>
      </c>
      <c r="F659" s="80">
        <v>20902</v>
      </c>
      <c r="G659" s="88"/>
      <c r="H659" s="80">
        <v>4515.74</v>
      </c>
      <c r="I659" s="79">
        <f t="shared" si="11"/>
        <v>0.21604344081906038</v>
      </c>
    </row>
    <row r="660" spans="1:9" x14ac:dyDescent="0.25">
      <c r="A660" s="76" t="s">
        <v>643</v>
      </c>
      <c r="B660" s="76" t="s">
        <v>645</v>
      </c>
      <c r="C660" s="77">
        <v>40956</v>
      </c>
      <c r="D660" s="78">
        <v>41274</v>
      </c>
      <c r="E660" s="79">
        <v>4.4999999999999997E-3</v>
      </c>
      <c r="F660" s="80">
        <v>2024532.84</v>
      </c>
      <c r="G660" s="81"/>
      <c r="H660" s="80">
        <v>437195.04</v>
      </c>
      <c r="I660" s="79">
        <f t="shared" si="11"/>
        <v>0.21594860372825564</v>
      </c>
    </row>
    <row r="661" spans="1:9" x14ac:dyDescent="0.25">
      <c r="A661" s="76" t="s">
        <v>270</v>
      </c>
      <c r="B661" s="76" t="s">
        <v>279</v>
      </c>
      <c r="C661" s="77">
        <v>40998</v>
      </c>
      <c r="D661" s="78">
        <v>41305</v>
      </c>
      <c r="E661" s="79">
        <v>4.4999999999999997E-3</v>
      </c>
      <c r="F661" s="80">
        <v>90306.1</v>
      </c>
      <c r="G661" s="81"/>
      <c r="H661" s="80">
        <v>19341.22</v>
      </c>
      <c r="I661" s="79">
        <f t="shared" si="11"/>
        <v>0.21417401482291895</v>
      </c>
    </row>
    <row r="662" spans="1:9" x14ac:dyDescent="0.25">
      <c r="A662" s="76" t="s">
        <v>630</v>
      </c>
      <c r="B662" s="76" t="s">
        <v>1926</v>
      </c>
      <c r="C662" s="77">
        <v>40953</v>
      </c>
      <c r="D662" s="78">
        <v>41240</v>
      </c>
      <c r="E662" s="79">
        <v>0.01</v>
      </c>
      <c r="F662" s="80">
        <v>105062.25</v>
      </c>
      <c r="G662" s="81"/>
      <c r="H662" s="80">
        <v>22496.82</v>
      </c>
      <c r="I662" s="79">
        <f t="shared" si="11"/>
        <v>0.21412848097199516</v>
      </c>
    </row>
    <row r="663" spans="1:9" x14ac:dyDescent="0.25">
      <c r="A663" s="76" t="s">
        <v>516</v>
      </c>
      <c r="B663" s="76" t="s">
        <v>521</v>
      </c>
      <c r="C663" s="77">
        <v>41061</v>
      </c>
      <c r="D663" s="78">
        <v>41364</v>
      </c>
      <c r="E663" s="79">
        <v>0.2</v>
      </c>
      <c r="F663" s="80">
        <v>22055</v>
      </c>
      <c r="G663" s="88"/>
      <c r="H663" s="80">
        <v>4702.8999999999996</v>
      </c>
      <c r="I663" s="79">
        <f t="shared" si="11"/>
        <v>0.21323509408297436</v>
      </c>
    </row>
    <row r="664" spans="1:9" x14ac:dyDescent="0.25">
      <c r="A664" s="76" t="s">
        <v>249</v>
      </c>
      <c r="B664" s="76" t="s">
        <v>257</v>
      </c>
      <c r="C664" s="77">
        <v>40938</v>
      </c>
      <c r="D664" s="78">
        <v>41304</v>
      </c>
      <c r="E664" s="79">
        <v>0</v>
      </c>
      <c r="F664" s="80">
        <v>348909.75</v>
      </c>
      <c r="G664" s="81"/>
      <c r="H664" s="80">
        <v>73909.75</v>
      </c>
      <c r="I664" s="79">
        <f t="shared" si="11"/>
        <v>0.21183056650036292</v>
      </c>
    </row>
    <row r="665" spans="1:9" x14ac:dyDescent="0.25">
      <c r="A665" s="70" t="s">
        <v>146</v>
      </c>
      <c r="B665" s="70" t="s">
        <v>156</v>
      </c>
      <c r="C665" s="71">
        <v>40815</v>
      </c>
      <c r="D665" s="72">
        <v>41180</v>
      </c>
      <c r="E665" s="101">
        <v>4.4999999999999999E-4</v>
      </c>
      <c r="F665" s="74">
        <v>128205</v>
      </c>
      <c r="G665" s="75"/>
      <c r="H665" s="74">
        <v>27064.89</v>
      </c>
      <c r="I665" s="73">
        <v>0.21110635310635309</v>
      </c>
    </row>
    <row r="666" spans="1:9" x14ac:dyDescent="0.25">
      <c r="A666" s="76" t="s">
        <v>531</v>
      </c>
      <c r="B666" s="76" t="s">
        <v>33</v>
      </c>
      <c r="C666" s="77">
        <v>40709</v>
      </c>
      <c r="D666" s="78">
        <v>40999</v>
      </c>
      <c r="E666" s="79">
        <v>8.9999999999999993E-3</v>
      </c>
      <c r="F666" s="80"/>
      <c r="G666" s="81">
        <v>6980</v>
      </c>
      <c r="H666" s="80">
        <v>1470</v>
      </c>
      <c r="I666" s="79">
        <f>H666/G666</f>
        <v>0.21060171919770773</v>
      </c>
    </row>
    <row r="667" spans="1:9" x14ac:dyDescent="0.25">
      <c r="A667" s="76" t="s">
        <v>665</v>
      </c>
      <c r="B667" s="76" t="s">
        <v>673</v>
      </c>
      <c r="C667" s="77">
        <v>41061</v>
      </c>
      <c r="D667" s="78">
        <v>41425</v>
      </c>
      <c r="E667" s="79">
        <v>0.189</v>
      </c>
      <c r="F667" s="80">
        <v>46456</v>
      </c>
      <c r="G667" s="81"/>
      <c r="H667" s="80">
        <v>9756</v>
      </c>
      <c r="I667" s="79">
        <f>H667/F667</f>
        <v>0.21000516617874979</v>
      </c>
    </row>
    <row r="668" spans="1:9" x14ac:dyDescent="0.25">
      <c r="A668" s="76" t="s">
        <v>317</v>
      </c>
      <c r="B668" s="76" t="s">
        <v>334</v>
      </c>
      <c r="C668" s="77">
        <v>40827</v>
      </c>
      <c r="D668" s="78">
        <v>41152</v>
      </c>
      <c r="E668" s="79">
        <v>0</v>
      </c>
      <c r="F668" s="80">
        <v>176295.8</v>
      </c>
      <c r="G668" s="81"/>
      <c r="H668" s="80">
        <v>36589.800000000003</v>
      </c>
      <c r="I668" s="79">
        <f>H668/F668</f>
        <v>0.20754776914708123</v>
      </c>
    </row>
    <row r="669" spans="1:9" x14ac:dyDescent="0.25">
      <c r="A669" s="76" t="s">
        <v>317</v>
      </c>
      <c r="B669" s="76" t="s">
        <v>334</v>
      </c>
      <c r="C669" s="77">
        <v>40827</v>
      </c>
      <c r="D669" s="78">
        <v>41152</v>
      </c>
      <c r="E669" s="79">
        <v>0</v>
      </c>
      <c r="F669" s="80"/>
      <c r="G669" s="81">
        <v>6034</v>
      </c>
      <c r="H669" s="80">
        <v>1252.3399999999999</v>
      </c>
      <c r="I669" s="79">
        <f>H669/G669</f>
        <v>0.20754723235001657</v>
      </c>
    </row>
    <row r="670" spans="1:9" x14ac:dyDescent="0.25">
      <c r="A670" s="76" t="s">
        <v>531</v>
      </c>
      <c r="B670" s="76" t="s">
        <v>536</v>
      </c>
      <c r="C670" s="77">
        <v>40751</v>
      </c>
      <c r="D670" s="78">
        <v>41090</v>
      </c>
      <c r="E670" s="79">
        <v>8.9999999999999993E-3</v>
      </c>
      <c r="F670" s="80">
        <v>33455</v>
      </c>
      <c r="G670" s="81"/>
      <c r="H670" s="80">
        <v>6859</v>
      </c>
      <c r="I670" s="79">
        <f>H670/F670</f>
        <v>0.20502167090121057</v>
      </c>
    </row>
    <row r="671" spans="1:9" x14ac:dyDescent="0.25">
      <c r="A671" s="70" t="s">
        <v>20</v>
      </c>
      <c r="B671" s="70" t="s">
        <v>23</v>
      </c>
      <c r="C671" s="71">
        <v>40634</v>
      </c>
      <c r="D671" s="72">
        <v>41090</v>
      </c>
      <c r="E671" s="73">
        <v>0</v>
      </c>
      <c r="F671" s="74"/>
      <c r="G671" s="75">
        <v>132</v>
      </c>
      <c r="H671" s="74">
        <v>10624.54</v>
      </c>
      <c r="I671" s="73">
        <v>0.20482667731875767</v>
      </c>
    </row>
    <row r="672" spans="1:9" x14ac:dyDescent="0.25">
      <c r="A672" s="76" t="s">
        <v>429</v>
      </c>
      <c r="B672" s="76" t="s">
        <v>432</v>
      </c>
      <c r="C672" s="77">
        <v>40910</v>
      </c>
      <c r="D672" s="78">
        <v>41151</v>
      </c>
      <c r="E672" s="79">
        <v>0.2</v>
      </c>
      <c r="F672" s="88"/>
      <c r="G672" s="81">
        <v>36958</v>
      </c>
      <c r="H672" s="80">
        <v>7490.8</v>
      </c>
      <c r="I672" s="79">
        <f>H672/G672</f>
        <v>0.20268412792900048</v>
      </c>
    </row>
    <row r="673" spans="1:9" x14ac:dyDescent="0.25">
      <c r="A673" s="76" t="s">
        <v>643</v>
      </c>
      <c r="B673" s="76" t="s">
        <v>174</v>
      </c>
      <c r="C673" s="77">
        <v>40948</v>
      </c>
      <c r="D673" s="78">
        <v>41274</v>
      </c>
      <c r="E673" s="79">
        <v>8.9999999999999998E-4</v>
      </c>
      <c r="F673" s="80"/>
      <c r="G673" s="81">
        <v>29196</v>
      </c>
      <c r="H673" s="80">
        <v>5915.95</v>
      </c>
      <c r="I673" s="79">
        <f>H673/G673</f>
        <v>0.20262878476503629</v>
      </c>
    </row>
    <row r="674" spans="1:9" x14ac:dyDescent="0.25">
      <c r="A674" s="76" t="s">
        <v>516</v>
      </c>
      <c r="B674" s="76" t="s">
        <v>527</v>
      </c>
      <c r="C674" s="77">
        <v>40910</v>
      </c>
      <c r="D674" s="78">
        <v>41182</v>
      </c>
      <c r="E674" s="79">
        <v>0.1</v>
      </c>
      <c r="F674" s="80">
        <v>32458</v>
      </c>
      <c r="G674" s="88"/>
      <c r="H674" s="80">
        <v>6576.02</v>
      </c>
      <c r="I674" s="79">
        <f>H674/F674</f>
        <v>0.20260089962412967</v>
      </c>
    </row>
    <row r="675" spans="1:9" x14ac:dyDescent="0.25">
      <c r="A675" s="76" t="s">
        <v>265</v>
      </c>
      <c r="B675" s="76" t="s">
        <v>336</v>
      </c>
      <c r="C675" s="77">
        <v>41103</v>
      </c>
      <c r="D675" s="78">
        <v>41467</v>
      </c>
      <c r="E675" s="79">
        <v>0.18</v>
      </c>
      <c r="F675" s="80"/>
      <c r="G675" s="81">
        <v>59075</v>
      </c>
      <c r="H675" s="80">
        <v>11946.92</v>
      </c>
      <c r="I675" s="79">
        <f>H675/G675</f>
        <v>0.20223309352517985</v>
      </c>
    </row>
    <row r="676" spans="1:9" x14ac:dyDescent="0.25">
      <c r="A676" s="76" t="s">
        <v>674</v>
      </c>
      <c r="B676" s="76" t="s">
        <v>28</v>
      </c>
      <c r="C676" s="77">
        <v>40940</v>
      </c>
      <c r="D676" s="78">
        <v>41274</v>
      </c>
      <c r="E676" s="79">
        <v>0.29699999999999999</v>
      </c>
      <c r="F676" s="80"/>
      <c r="G676" s="81">
        <v>6763</v>
      </c>
      <c r="H676" s="80">
        <v>1362.66</v>
      </c>
      <c r="I676" s="79">
        <f>H676/G676</f>
        <v>0.20148750554487654</v>
      </c>
    </row>
    <row r="677" spans="1:9" x14ac:dyDescent="0.25">
      <c r="A677" s="76" t="s">
        <v>317</v>
      </c>
      <c r="B677" s="110" t="s">
        <v>152</v>
      </c>
      <c r="C677" s="77">
        <v>40607</v>
      </c>
      <c r="D677" s="78">
        <v>40968</v>
      </c>
      <c r="E677" s="79">
        <v>0.108</v>
      </c>
      <c r="F677" s="80">
        <v>37044.5</v>
      </c>
      <c r="G677" s="81">
        <v>258609.14</v>
      </c>
      <c r="H677" s="80">
        <v>51955.62</v>
      </c>
      <c r="I677" s="79">
        <f>H677/G677</f>
        <v>0.20090403610638047</v>
      </c>
    </row>
    <row r="678" spans="1:9" x14ac:dyDescent="0.25">
      <c r="A678" s="76" t="s">
        <v>568</v>
      </c>
      <c r="B678" s="76" t="s">
        <v>571</v>
      </c>
      <c r="C678" s="77">
        <v>41156</v>
      </c>
      <c r="D678" s="78">
        <v>41459</v>
      </c>
      <c r="E678" s="79">
        <v>0.2</v>
      </c>
      <c r="F678" s="80">
        <v>18802</v>
      </c>
      <c r="G678" s="81"/>
      <c r="H678" s="80">
        <v>3776</v>
      </c>
      <c r="I678" s="79">
        <f t="shared" ref="I678:I683" si="12">H678/F678</f>
        <v>0.20082969896819489</v>
      </c>
    </row>
    <row r="679" spans="1:9" x14ac:dyDescent="0.25">
      <c r="A679" s="76" t="s">
        <v>568</v>
      </c>
      <c r="B679" s="76" t="s">
        <v>570</v>
      </c>
      <c r="C679" s="77">
        <v>40909</v>
      </c>
      <c r="D679" s="78">
        <v>41274</v>
      </c>
      <c r="E679" s="79">
        <v>0.2</v>
      </c>
      <c r="F679" s="80">
        <v>95036.29</v>
      </c>
      <c r="G679" s="81"/>
      <c r="H679" s="80">
        <v>19008.599999999999</v>
      </c>
      <c r="I679" s="79">
        <f t="shared" si="12"/>
        <v>0.20001412092159743</v>
      </c>
    </row>
    <row r="680" spans="1:9" x14ac:dyDescent="0.25">
      <c r="A680" s="76" t="s">
        <v>665</v>
      </c>
      <c r="B680" s="76" t="s">
        <v>666</v>
      </c>
      <c r="C680" s="77">
        <v>40569</v>
      </c>
      <c r="D680" s="78">
        <v>40933</v>
      </c>
      <c r="E680" s="79">
        <v>0.2</v>
      </c>
      <c r="F680" s="80">
        <v>429272</v>
      </c>
      <c r="G680" s="81"/>
      <c r="H680" s="80">
        <v>85855</v>
      </c>
      <c r="I680" s="79">
        <f t="shared" si="12"/>
        <v>0.20000139771520156</v>
      </c>
    </row>
    <row r="681" spans="1:9" x14ac:dyDescent="0.25">
      <c r="A681" s="76" t="s">
        <v>665</v>
      </c>
      <c r="B681" s="76" t="s">
        <v>671</v>
      </c>
      <c r="C681" s="77">
        <v>40934</v>
      </c>
      <c r="D681" s="78">
        <v>41299</v>
      </c>
      <c r="E681" s="79">
        <v>0.2</v>
      </c>
      <c r="F681" s="80">
        <v>356998</v>
      </c>
      <c r="G681" s="81"/>
      <c r="H681" s="80">
        <v>71400</v>
      </c>
      <c r="I681" s="79">
        <f t="shared" si="12"/>
        <v>0.20000112045445634</v>
      </c>
    </row>
    <row r="682" spans="1:9" x14ac:dyDescent="0.25">
      <c r="A682" s="76" t="s">
        <v>270</v>
      </c>
      <c r="B682" s="76" t="s">
        <v>271</v>
      </c>
      <c r="C682" s="77">
        <v>40597</v>
      </c>
      <c r="D682" s="78">
        <v>40961</v>
      </c>
      <c r="E682" s="79">
        <v>0.01</v>
      </c>
      <c r="F682" s="80">
        <v>585240.25</v>
      </c>
      <c r="G682" s="81"/>
      <c r="H682" s="80">
        <v>117048.05</v>
      </c>
      <c r="I682" s="79">
        <f t="shared" si="12"/>
        <v>0.2</v>
      </c>
    </row>
    <row r="683" spans="1:9" x14ac:dyDescent="0.25">
      <c r="A683" s="76" t="s">
        <v>665</v>
      </c>
      <c r="B683" s="123" t="s">
        <v>667</v>
      </c>
      <c r="C683" s="77">
        <v>40569</v>
      </c>
      <c r="D683" s="78">
        <v>40933</v>
      </c>
      <c r="E683" s="79">
        <v>0.2</v>
      </c>
      <c r="F683" s="80">
        <v>65815</v>
      </c>
      <c r="G683" s="81"/>
      <c r="H683" s="80">
        <v>13163</v>
      </c>
      <c r="I683" s="79">
        <f t="shared" si="12"/>
        <v>0.2</v>
      </c>
    </row>
    <row r="684" spans="1:9" x14ac:dyDescent="0.25">
      <c r="A684" s="76" t="s">
        <v>429</v>
      </c>
      <c r="B684" s="76" t="s">
        <v>433</v>
      </c>
      <c r="C684" s="77">
        <v>40910</v>
      </c>
      <c r="D684" s="78">
        <v>41151</v>
      </c>
      <c r="E684" s="79">
        <v>0.2</v>
      </c>
      <c r="F684" s="88"/>
      <c r="G684" s="81">
        <v>54585</v>
      </c>
      <c r="H684" s="80">
        <v>10917</v>
      </c>
      <c r="I684" s="79">
        <f>H684/G684</f>
        <v>0.2</v>
      </c>
    </row>
    <row r="685" spans="1:9" x14ac:dyDescent="0.25">
      <c r="A685" s="76" t="s">
        <v>429</v>
      </c>
      <c r="B685" s="76" t="s">
        <v>435</v>
      </c>
      <c r="C685" s="77">
        <v>41029</v>
      </c>
      <c r="D685" s="78">
        <v>41151</v>
      </c>
      <c r="E685" s="79">
        <v>0.2</v>
      </c>
      <c r="F685" s="88"/>
      <c r="G685" s="81">
        <v>25005</v>
      </c>
      <c r="H685" s="80">
        <v>5001</v>
      </c>
      <c r="I685" s="79">
        <f>H685/G685</f>
        <v>0.2</v>
      </c>
    </row>
    <row r="686" spans="1:9" x14ac:dyDescent="0.25">
      <c r="A686" s="76" t="s">
        <v>429</v>
      </c>
      <c r="B686" s="76" t="s">
        <v>436</v>
      </c>
      <c r="C686" s="77">
        <v>41078</v>
      </c>
      <c r="D686" s="78">
        <v>41151</v>
      </c>
      <c r="E686" s="79">
        <v>0.2</v>
      </c>
      <c r="F686" s="88"/>
      <c r="G686" s="81">
        <v>15400</v>
      </c>
      <c r="H686" s="80">
        <v>3080</v>
      </c>
      <c r="I686" s="79">
        <f>H686/G686</f>
        <v>0.2</v>
      </c>
    </row>
    <row r="687" spans="1:9" x14ac:dyDescent="0.25">
      <c r="A687" s="76" t="s">
        <v>555</v>
      </c>
      <c r="B687" s="76" t="s">
        <v>556</v>
      </c>
      <c r="C687" s="77">
        <v>40732</v>
      </c>
      <c r="D687" s="78">
        <v>41097</v>
      </c>
      <c r="E687" s="79">
        <v>0.18</v>
      </c>
      <c r="F687" s="80"/>
      <c r="G687" s="81">
        <v>1245</v>
      </c>
      <c r="H687" s="80">
        <v>249</v>
      </c>
      <c r="I687" s="79">
        <f>H687/G687</f>
        <v>0.2</v>
      </c>
    </row>
    <row r="688" spans="1:9" x14ac:dyDescent="0.25">
      <c r="A688" s="76" t="s">
        <v>555</v>
      </c>
      <c r="B688" s="76" t="s">
        <v>557</v>
      </c>
      <c r="C688" s="77">
        <v>41098</v>
      </c>
      <c r="D688" s="78">
        <v>41456</v>
      </c>
      <c r="E688" s="79">
        <v>0.18</v>
      </c>
      <c r="F688" s="88"/>
      <c r="G688" s="81">
        <v>445</v>
      </c>
      <c r="H688" s="80">
        <v>89</v>
      </c>
      <c r="I688" s="79">
        <f>H688/G688</f>
        <v>0.2</v>
      </c>
    </row>
    <row r="689" spans="1:9" x14ac:dyDescent="0.25">
      <c r="A689" s="70" t="s">
        <v>99</v>
      </c>
      <c r="B689" s="70" t="s">
        <v>100</v>
      </c>
      <c r="C689" s="71">
        <v>40725</v>
      </c>
      <c r="D689" s="72">
        <v>40999</v>
      </c>
      <c r="E689" s="73">
        <v>0.18</v>
      </c>
      <c r="F689" s="74">
        <v>340</v>
      </c>
      <c r="G689" s="75"/>
      <c r="H689" s="74">
        <v>68</v>
      </c>
      <c r="I689" s="73">
        <v>0.2</v>
      </c>
    </row>
    <row r="690" spans="1:9" x14ac:dyDescent="0.25">
      <c r="A690" s="76" t="s">
        <v>555</v>
      </c>
      <c r="B690" s="76" t="s">
        <v>514</v>
      </c>
      <c r="C690" s="77">
        <v>40878</v>
      </c>
      <c r="D690" s="78">
        <v>40983</v>
      </c>
      <c r="E690" s="79">
        <v>0.2</v>
      </c>
      <c r="F690" s="80"/>
      <c r="G690" s="81">
        <v>85</v>
      </c>
      <c r="H690" s="80">
        <v>17</v>
      </c>
      <c r="I690" s="79">
        <f>H690/G690</f>
        <v>0.2</v>
      </c>
    </row>
    <row r="691" spans="1:9" x14ac:dyDescent="0.25">
      <c r="A691" s="70" t="s">
        <v>74</v>
      </c>
      <c r="B691" s="70" t="s">
        <v>75</v>
      </c>
      <c r="C691" s="71">
        <v>40924</v>
      </c>
      <c r="D691" s="72">
        <v>41289</v>
      </c>
      <c r="E691" s="73">
        <v>0.2</v>
      </c>
      <c r="F691" s="74">
        <v>54969</v>
      </c>
      <c r="G691" s="75"/>
      <c r="H691" s="74">
        <v>10993.8</v>
      </c>
      <c r="I691" s="73">
        <v>0.19999999999999998</v>
      </c>
    </row>
    <row r="692" spans="1:9" x14ac:dyDescent="0.25">
      <c r="A692" s="76" t="s">
        <v>429</v>
      </c>
      <c r="B692" s="76" t="s">
        <v>430</v>
      </c>
      <c r="C692" s="77">
        <v>40664</v>
      </c>
      <c r="D692" s="78">
        <v>40961</v>
      </c>
      <c r="E692" s="79">
        <v>0.2</v>
      </c>
      <c r="F692" s="88"/>
      <c r="G692" s="81">
        <v>53999</v>
      </c>
      <c r="H692" s="80">
        <v>10799.8</v>
      </c>
      <c r="I692" s="79">
        <f>H692/G692</f>
        <v>0.19999999999999998</v>
      </c>
    </row>
    <row r="693" spans="1:9" x14ac:dyDescent="0.25">
      <c r="A693" s="76" t="s">
        <v>220</v>
      </c>
      <c r="B693" s="76" t="s">
        <v>225</v>
      </c>
      <c r="C693" s="109">
        <v>40889</v>
      </c>
      <c r="D693" s="78">
        <v>41027</v>
      </c>
      <c r="E693" s="79">
        <v>0.2</v>
      </c>
      <c r="F693" s="80">
        <v>37237</v>
      </c>
      <c r="G693" s="81"/>
      <c r="H693" s="80">
        <v>7447.4</v>
      </c>
      <c r="I693" s="79">
        <f>H693/F693</f>
        <v>0.19999999999999998</v>
      </c>
    </row>
    <row r="694" spans="1:9" x14ac:dyDescent="0.25">
      <c r="A694" s="76" t="s">
        <v>220</v>
      </c>
      <c r="B694" s="76" t="s">
        <v>222</v>
      </c>
      <c r="C694" s="77">
        <v>40826</v>
      </c>
      <c r="D694" s="78">
        <v>40956</v>
      </c>
      <c r="E694" s="79">
        <v>0.2</v>
      </c>
      <c r="F694" s="80">
        <v>23322</v>
      </c>
      <c r="G694" s="81"/>
      <c r="H694" s="80">
        <v>4664.3999999999996</v>
      </c>
      <c r="I694" s="79">
        <f>H694/F694</f>
        <v>0.19999999999999998</v>
      </c>
    </row>
    <row r="695" spans="1:9" x14ac:dyDescent="0.25">
      <c r="A695" s="70" t="s">
        <v>38</v>
      </c>
      <c r="B695" s="70" t="s">
        <v>51</v>
      </c>
      <c r="C695" s="71">
        <v>40634</v>
      </c>
      <c r="D695" s="72">
        <v>40999</v>
      </c>
      <c r="E695" s="73">
        <v>0.18</v>
      </c>
      <c r="F695" s="74"/>
      <c r="G695" s="75">
        <v>12150.5</v>
      </c>
      <c r="H695" s="74">
        <v>2430.1</v>
      </c>
      <c r="I695" s="73">
        <v>0.19999999999999998</v>
      </c>
    </row>
    <row r="696" spans="1:9" x14ac:dyDescent="0.25">
      <c r="A696" s="76" t="s">
        <v>270</v>
      </c>
      <c r="B696" s="76" t="s">
        <v>278</v>
      </c>
      <c r="C696" s="77">
        <v>40962</v>
      </c>
      <c r="D696" s="78">
        <v>41327</v>
      </c>
      <c r="E696" s="79">
        <v>8.9999999999999993E-3</v>
      </c>
      <c r="F696" s="80">
        <v>576972.06000000006</v>
      </c>
      <c r="G696" s="81"/>
      <c r="H696" s="80">
        <v>115394.41</v>
      </c>
      <c r="I696" s="79">
        <f>H696/F696</f>
        <v>0.19999999653362763</v>
      </c>
    </row>
    <row r="697" spans="1:9" x14ac:dyDescent="0.25">
      <c r="A697" s="76" t="s">
        <v>665</v>
      </c>
      <c r="B697" s="76" t="s">
        <v>667</v>
      </c>
      <c r="C697" s="77">
        <v>40934</v>
      </c>
      <c r="D697" s="78">
        <v>41274</v>
      </c>
      <c r="E697" s="79">
        <v>0.18</v>
      </c>
      <c r="F697" s="80">
        <v>40047</v>
      </c>
      <c r="G697" s="81"/>
      <c r="H697" s="80">
        <v>8009</v>
      </c>
      <c r="I697" s="79">
        <f>H697/F697</f>
        <v>0.19999001173620995</v>
      </c>
    </row>
    <row r="698" spans="1:9" x14ac:dyDescent="0.25">
      <c r="A698" s="76" t="s">
        <v>171</v>
      </c>
      <c r="B698" s="76" t="s">
        <v>176</v>
      </c>
      <c r="C698" s="77">
        <v>40771</v>
      </c>
      <c r="D698" s="78">
        <v>41121</v>
      </c>
      <c r="E698" s="79">
        <v>1.7999999999999999E-2</v>
      </c>
      <c r="F698" s="80">
        <v>11686</v>
      </c>
      <c r="G698" s="81"/>
      <c r="H698" s="80">
        <v>2319</v>
      </c>
      <c r="I698" s="79">
        <f>H698/F698</f>
        <v>0.19844258086599351</v>
      </c>
    </row>
    <row r="699" spans="1:9" x14ac:dyDescent="0.25">
      <c r="A699" s="83" t="s">
        <v>38</v>
      </c>
      <c r="B699" s="83" t="s">
        <v>43</v>
      </c>
      <c r="C699" s="84">
        <v>40725</v>
      </c>
      <c r="D699" s="85">
        <v>41091</v>
      </c>
      <c r="E699" s="86">
        <v>0.18</v>
      </c>
      <c r="F699" s="74"/>
      <c r="G699" s="75">
        <v>132743.94</v>
      </c>
      <c r="H699" s="74">
        <v>26326.54</v>
      </c>
      <c r="I699" s="73">
        <v>0.19832573901302011</v>
      </c>
    </row>
    <row r="700" spans="1:9" x14ac:dyDescent="0.25">
      <c r="A700" s="70" t="s">
        <v>10</v>
      </c>
      <c r="B700" s="70" t="s">
        <v>13</v>
      </c>
      <c r="C700" s="71">
        <v>41030</v>
      </c>
      <c r="D700" s="72">
        <v>41333</v>
      </c>
      <c r="E700" s="73">
        <v>3.1E-2</v>
      </c>
      <c r="F700" s="74">
        <v>126317</v>
      </c>
      <c r="G700" s="75"/>
      <c r="H700" s="74">
        <v>25023.37</v>
      </c>
      <c r="I700" s="73">
        <v>0.19809978071043485</v>
      </c>
    </row>
    <row r="701" spans="1:9" x14ac:dyDescent="0.25">
      <c r="A701" s="70" t="s">
        <v>60</v>
      </c>
      <c r="B701" s="70" t="s">
        <v>58</v>
      </c>
      <c r="C701" s="71">
        <v>40725</v>
      </c>
      <c r="D701" s="72">
        <v>41090</v>
      </c>
      <c r="E701" s="73">
        <v>0.11700000000000001</v>
      </c>
      <c r="F701" s="74">
        <v>295229.78999999998</v>
      </c>
      <c r="G701" s="75"/>
      <c r="H701" s="74">
        <v>58459.38</v>
      </c>
      <c r="I701" s="73">
        <v>0.19801314765694886</v>
      </c>
    </row>
    <row r="702" spans="1:9" x14ac:dyDescent="0.25">
      <c r="A702" s="70" t="s">
        <v>60</v>
      </c>
      <c r="B702" s="70" t="s">
        <v>58</v>
      </c>
      <c r="C702" s="71">
        <v>40725</v>
      </c>
      <c r="D702" s="72">
        <v>41090</v>
      </c>
      <c r="E702" s="73">
        <v>0.11700000000000001</v>
      </c>
      <c r="F702" s="74"/>
      <c r="G702" s="75">
        <v>14913.28</v>
      </c>
      <c r="H702" s="74">
        <v>2953.02</v>
      </c>
      <c r="I702" s="73">
        <v>0.19801277787314392</v>
      </c>
    </row>
    <row r="703" spans="1:9" ht="28.5" x14ac:dyDescent="0.25">
      <c r="A703" s="76" t="s">
        <v>392</v>
      </c>
      <c r="B703" s="76" t="s">
        <v>31</v>
      </c>
      <c r="C703" s="77">
        <v>40892</v>
      </c>
      <c r="D703" s="78">
        <v>41257</v>
      </c>
      <c r="E703" s="79">
        <v>8.9999999999999993E-3</v>
      </c>
      <c r="F703" s="80">
        <v>41319</v>
      </c>
      <c r="G703" s="81"/>
      <c r="H703" s="80">
        <v>8156.75</v>
      </c>
      <c r="I703" s="79">
        <f>H703/F703</f>
        <v>0.19740918221641376</v>
      </c>
    </row>
    <row r="704" spans="1:9" x14ac:dyDescent="0.25">
      <c r="A704" s="76" t="s">
        <v>643</v>
      </c>
      <c r="B704" s="76" t="s">
        <v>459</v>
      </c>
      <c r="C704" s="77">
        <v>40740</v>
      </c>
      <c r="D704" s="78">
        <v>41060</v>
      </c>
      <c r="E704" s="79">
        <v>0.09</v>
      </c>
      <c r="F704" s="80">
        <v>83007.360000000001</v>
      </c>
      <c r="G704" s="81"/>
      <c r="H704" s="80">
        <v>16371.01</v>
      </c>
      <c r="I704" s="79">
        <f>H704/F704</f>
        <v>0.19722359559441477</v>
      </c>
    </row>
    <row r="705" spans="1:9" x14ac:dyDescent="0.25">
      <c r="A705" s="76" t="s">
        <v>439</v>
      </c>
      <c r="B705" s="76" t="s">
        <v>448</v>
      </c>
      <c r="C705" s="77">
        <v>41218</v>
      </c>
      <c r="D705" s="78">
        <v>41577</v>
      </c>
      <c r="E705" s="79">
        <v>0.14000000000000001</v>
      </c>
      <c r="F705" s="88"/>
      <c r="G705" s="81">
        <v>41972</v>
      </c>
      <c r="H705" s="80">
        <v>8225.84</v>
      </c>
      <c r="I705" s="79">
        <f>H705/G705</f>
        <v>0.19598398932621749</v>
      </c>
    </row>
    <row r="706" spans="1:9" x14ac:dyDescent="0.25">
      <c r="A706" s="76" t="s">
        <v>439</v>
      </c>
      <c r="B706" s="76" t="s">
        <v>447</v>
      </c>
      <c r="C706" s="77">
        <v>41183</v>
      </c>
      <c r="D706" s="78">
        <v>41419</v>
      </c>
      <c r="E706" s="79">
        <v>0.14000000000000001</v>
      </c>
      <c r="F706" s="88"/>
      <c r="G706" s="81">
        <v>7532</v>
      </c>
      <c r="H706" s="80">
        <v>1467</v>
      </c>
      <c r="I706" s="79">
        <f>H706/G706</f>
        <v>0.19476898566117898</v>
      </c>
    </row>
    <row r="707" spans="1:9" x14ac:dyDescent="0.25">
      <c r="A707" s="76" t="s">
        <v>317</v>
      </c>
      <c r="B707" s="76" t="s">
        <v>323</v>
      </c>
      <c r="C707" s="77">
        <v>41015</v>
      </c>
      <c r="D707" s="78">
        <v>41379</v>
      </c>
      <c r="E707" s="79">
        <v>0</v>
      </c>
      <c r="F707" s="80">
        <v>311724.5</v>
      </c>
      <c r="G707" s="81"/>
      <c r="H707" s="80">
        <v>60633.43</v>
      </c>
      <c r="I707" s="79">
        <f>H707/F707</f>
        <v>0.19450967120005005</v>
      </c>
    </row>
    <row r="708" spans="1:9" x14ac:dyDescent="0.25">
      <c r="A708" s="76" t="s">
        <v>439</v>
      </c>
      <c r="B708" s="76" t="s">
        <v>442</v>
      </c>
      <c r="C708" s="77">
        <v>41162</v>
      </c>
      <c r="D708" s="78">
        <v>41419</v>
      </c>
      <c r="E708" s="79">
        <v>0.14000000000000001</v>
      </c>
      <c r="F708" s="88"/>
      <c r="G708" s="81">
        <v>18774</v>
      </c>
      <c r="H708" s="80">
        <v>3648.08</v>
      </c>
      <c r="I708" s="79">
        <f>H708/G708</f>
        <v>0.19431554277191862</v>
      </c>
    </row>
    <row r="709" spans="1:9" x14ac:dyDescent="0.25">
      <c r="A709" s="76" t="s">
        <v>558</v>
      </c>
      <c r="B709" s="76" t="s">
        <v>447</v>
      </c>
      <c r="C709" s="77">
        <v>40840</v>
      </c>
      <c r="D709" s="78">
        <v>41152</v>
      </c>
      <c r="E709" s="79">
        <v>0.14000000000000001</v>
      </c>
      <c r="F709" s="88"/>
      <c r="G709" s="81">
        <v>8903</v>
      </c>
      <c r="H709" s="80">
        <v>1727.18</v>
      </c>
      <c r="I709" s="79">
        <f>H709/G709</f>
        <v>0.19399977535662138</v>
      </c>
    </row>
    <row r="710" spans="1:9" x14ac:dyDescent="0.25">
      <c r="A710" s="76" t="s">
        <v>665</v>
      </c>
      <c r="B710" s="76" t="s">
        <v>670</v>
      </c>
      <c r="C710" s="77">
        <v>40909</v>
      </c>
      <c r="D710" s="78">
        <v>41253</v>
      </c>
      <c r="E710" s="79">
        <v>0.2</v>
      </c>
      <c r="F710" s="80">
        <v>568396</v>
      </c>
      <c r="G710" s="81"/>
      <c r="H710" s="80">
        <v>109934</v>
      </c>
      <c r="I710" s="79">
        <f>H710/F710</f>
        <v>0.19341093181514296</v>
      </c>
    </row>
    <row r="711" spans="1:9" x14ac:dyDescent="0.25">
      <c r="A711" s="76" t="s">
        <v>613</v>
      </c>
      <c r="B711" s="76" t="s">
        <v>36</v>
      </c>
      <c r="C711" s="77">
        <v>40743</v>
      </c>
      <c r="D711" s="78">
        <v>41060</v>
      </c>
      <c r="E711" s="79">
        <v>8.9999999999999993E-3</v>
      </c>
      <c r="F711" s="80"/>
      <c r="G711" s="81">
        <v>2005</v>
      </c>
      <c r="H711" s="80">
        <v>387</v>
      </c>
      <c r="I711" s="79">
        <f>H711/G711</f>
        <v>0.19301745635910225</v>
      </c>
    </row>
    <row r="712" spans="1:9" x14ac:dyDescent="0.25">
      <c r="A712" s="76" t="s">
        <v>317</v>
      </c>
      <c r="B712" s="76" t="s">
        <v>323</v>
      </c>
      <c r="C712" s="77">
        <v>41015</v>
      </c>
      <c r="D712" s="78">
        <v>41379</v>
      </c>
      <c r="E712" s="79">
        <v>0</v>
      </c>
      <c r="F712" s="80"/>
      <c r="G712" s="81">
        <v>18438.68</v>
      </c>
      <c r="H712" s="80">
        <v>3540.4</v>
      </c>
      <c r="I712" s="79">
        <f>H712/G712</f>
        <v>0.1920094063132502</v>
      </c>
    </row>
    <row r="713" spans="1:9" x14ac:dyDescent="0.25">
      <c r="A713" s="76" t="s">
        <v>489</v>
      </c>
      <c r="B713" s="76" t="s">
        <v>131</v>
      </c>
      <c r="C713" s="77">
        <v>40848</v>
      </c>
      <c r="D713" s="78">
        <v>41213</v>
      </c>
      <c r="E713" s="79">
        <v>0.19</v>
      </c>
      <c r="F713" s="80">
        <v>12875</v>
      </c>
      <c r="G713" s="88"/>
      <c r="H713" s="80">
        <v>2446.25</v>
      </c>
      <c r="I713" s="79">
        <f>H713/F713</f>
        <v>0.19</v>
      </c>
    </row>
    <row r="714" spans="1:9" x14ac:dyDescent="0.25">
      <c r="A714" s="76" t="s">
        <v>439</v>
      </c>
      <c r="B714" s="76" t="s">
        <v>441</v>
      </c>
      <c r="C714" s="77">
        <v>41239</v>
      </c>
      <c r="D714" s="78">
        <v>41333</v>
      </c>
      <c r="E714" s="79">
        <v>0.14000000000000001</v>
      </c>
      <c r="F714" s="88"/>
      <c r="G714" s="81">
        <v>7753</v>
      </c>
      <c r="H714" s="80">
        <v>1468.12</v>
      </c>
      <c r="I714" s="79">
        <f>H714/G714</f>
        <v>0.18936153746936668</v>
      </c>
    </row>
    <row r="715" spans="1:9" x14ac:dyDescent="0.25">
      <c r="A715" s="76" t="s">
        <v>558</v>
      </c>
      <c r="B715" s="76" t="s">
        <v>561</v>
      </c>
      <c r="C715" s="77">
        <v>40812</v>
      </c>
      <c r="D715" s="78">
        <v>41152</v>
      </c>
      <c r="E715" s="79">
        <v>0.14000000000000001</v>
      </c>
      <c r="F715" s="88"/>
      <c r="G715" s="81">
        <v>22404</v>
      </c>
      <c r="H715" s="80">
        <v>4209.5600000000004</v>
      </c>
      <c r="I715" s="79">
        <f>H715/G715</f>
        <v>0.18789323335118729</v>
      </c>
    </row>
    <row r="716" spans="1:9" x14ac:dyDescent="0.25">
      <c r="A716" s="76" t="s">
        <v>613</v>
      </c>
      <c r="B716" s="76" t="s">
        <v>548</v>
      </c>
      <c r="C716" s="77">
        <v>41082</v>
      </c>
      <c r="D716" s="78">
        <v>41425</v>
      </c>
      <c r="E716" s="79">
        <v>8.9999999999999993E-3</v>
      </c>
      <c r="F716" s="80"/>
      <c r="G716" s="81">
        <v>7476</v>
      </c>
      <c r="H716" s="80">
        <v>1403</v>
      </c>
      <c r="I716" s="79">
        <f>H716/G716</f>
        <v>0.18766720171214554</v>
      </c>
    </row>
    <row r="717" spans="1:9" x14ac:dyDescent="0.25">
      <c r="A717" s="76" t="s">
        <v>674</v>
      </c>
      <c r="B717" s="76" t="s">
        <v>213</v>
      </c>
      <c r="C717" s="77">
        <v>40911</v>
      </c>
      <c r="D717" s="78">
        <v>41274</v>
      </c>
      <c r="E717" s="79">
        <v>9.9000000000000005E-2</v>
      </c>
      <c r="F717" s="80"/>
      <c r="G717" s="81">
        <v>20514</v>
      </c>
      <c r="H717" s="80">
        <v>3840.44</v>
      </c>
      <c r="I717" s="79">
        <f>H717/G717</f>
        <v>0.18721068538559033</v>
      </c>
    </row>
    <row r="718" spans="1:9" x14ac:dyDescent="0.25">
      <c r="A718" s="70" t="s">
        <v>10</v>
      </c>
      <c r="B718" s="70" t="s">
        <v>12</v>
      </c>
      <c r="C718" s="71">
        <v>40909</v>
      </c>
      <c r="D718" s="72">
        <v>41141</v>
      </c>
      <c r="E718" s="73">
        <v>3.1414999999999998E-2</v>
      </c>
      <c r="F718" s="74">
        <v>95310</v>
      </c>
      <c r="G718" s="75"/>
      <c r="H718" s="74">
        <v>17781.7</v>
      </c>
      <c r="I718" s="73">
        <v>0.18656699192109957</v>
      </c>
    </row>
    <row r="719" spans="1:9" x14ac:dyDescent="0.25">
      <c r="A719" s="70" t="s">
        <v>101</v>
      </c>
      <c r="B719" s="70" t="s">
        <v>109</v>
      </c>
      <c r="C719" s="71">
        <v>40934</v>
      </c>
      <c r="D719" s="72">
        <v>41274</v>
      </c>
      <c r="E719" s="73">
        <v>8.9999999999999993E-3</v>
      </c>
      <c r="F719" s="74">
        <v>8958.5</v>
      </c>
      <c r="G719" s="75"/>
      <c r="H719" s="74">
        <v>1662.35</v>
      </c>
      <c r="I719" s="73">
        <v>0.18556119886141653</v>
      </c>
    </row>
    <row r="720" spans="1:9" x14ac:dyDescent="0.25">
      <c r="A720" s="70" t="s">
        <v>101</v>
      </c>
      <c r="B720" s="70" t="s">
        <v>109</v>
      </c>
      <c r="C720" s="71">
        <v>40934</v>
      </c>
      <c r="D720" s="72">
        <v>41274</v>
      </c>
      <c r="E720" s="73">
        <v>8.9999999999999993E-3</v>
      </c>
      <c r="F720" s="74"/>
      <c r="G720" s="75">
        <v>115.56</v>
      </c>
      <c r="H720" s="74">
        <v>21.44</v>
      </c>
      <c r="I720" s="73">
        <v>0.1855313257182416</v>
      </c>
    </row>
    <row r="721" spans="1:9" x14ac:dyDescent="0.25">
      <c r="A721" s="76" t="s">
        <v>171</v>
      </c>
      <c r="B721" s="76" t="s">
        <v>202</v>
      </c>
      <c r="C721" s="77">
        <v>40770</v>
      </c>
      <c r="D721" s="78">
        <v>41135</v>
      </c>
      <c r="E721" s="79">
        <v>1.7999999999999999E-2</v>
      </c>
      <c r="F721" s="80">
        <v>39200</v>
      </c>
      <c r="G721" s="81"/>
      <c r="H721" s="80">
        <v>7253</v>
      </c>
      <c r="I721" s="79">
        <f>H721/F721</f>
        <v>0.18502551020408164</v>
      </c>
    </row>
    <row r="722" spans="1:9" x14ac:dyDescent="0.25">
      <c r="A722" s="76" t="s">
        <v>270</v>
      </c>
      <c r="B722" s="76" t="s">
        <v>272</v>
      </c>
      <c r="C722" s="77">
        <v>40664</v>
      </c>
      <c r="D722" s="78">
        <v>41029</v>
      </c>
      <c r="E722" s="79">
        <v>0.2</v>
      </c>
      <c r="F722" s="80"/>
      <c r="G722" s="81">
        <v>65030</v>
      </c>
      <c r="H722" s="80">
        <v>12006.45</v>
      </c>
      <c r="I722" s="79">
        <f>H722/G722</f>
        <v>0.18462940181454715</v>
      </c>
    </row>
    <row r="723" spans="1:9" x14ac:dyDescent="0.25">
      <c r="A723" s="76" t="s">
        <v>1972</v>
      </c>
      <c r="B723" s="76" t="s">
        <v>656</v>
      </c>
      <c r="C723" s="77">
        <v>41228</v>
      </c>
      <c r="D723" s="78">
        <v>41578</v>
      </c>
      <c r="E723" s="79">
        <v>8.9999999999999998E-4</v>
      </c>
      <c r="F723" s="80">
        <v>91997.27</v>
      </c>
      <c r="G723" s="81"/>
      <c r="H723" s="80">
        <v>16898.27</v>
      </c>
      <c r="I723" s="79">
        <f>H723/F723</f>
        <v>0.18368229839863726</v>
      </c>
    </row>
    <row r="724" spans="1:9" x14ac:dyDescent="0.25">
      <c r="A724" s="76" t="s">
        <v>1972</v>
      </c>
      <c r="B724" s="76" t="s">
        <v>656</v>
      </c>
      <c r="C724" s="77">
        <v>41228</v>
      </c>
      <c r="D724" s="78">
        <v>41578</v>
      </c>
      <c r="E724" s="79">
        <v>8.9999999999999998E-4</v>
      </c>
      <c r="F724" s="115"/>
      <c r="G724" s="81">
        <v>4349</v>
      </c>
      <c r="H724" s="80">
        <v>798.83</v>
      </c>
      <c r="I724" s="79">
        <f>H724/G724</f>
        <v>0.18368130604736721</v>
      </c>
    </row>
    <row r="725" spans="1:9" x14ac:dyDescent="0.25">
      <c r="A725" s="76" t="s">
        <v>317</v>
      </c>
      <c r="B725" s="76" t="s">
        <v>361</v>
      </c>
      <c r="C725" s="77">
        <v>41144</v>
      </c>
      <c r="D725" s="78">
        <v>41469</v>
      </c>
      <c r="E725" s="79">
        <v>8.9999999999999998E-4</v>
      </c>
      <c r="F725" s="80"/>
      <c r="G725" s="81">
        <v>7649</v>
      </c>
      <c r="H725" s="80">
        <v>1404.13</v>
      </c>
      <c r="I725" s="79">
        <f>H725/G725</f>
        <v>0.18357040135965488</v>
      </c>
    </row>
    <row r="726" spans="1:9" x14ac:dyDescent="0.25">
      <c r="A726" s="76" t="s">
        <v>317</v>
      </c>
      <c r="B726" s="76" t="s">
        <v>361</v>
      </c>
      <c r="C726" s="77">
        <v>41144</v>
      </c>
      <c r="D726" s="78">
        <v>41469</v>
      </c>
      <c r="E726" s="79">
        <v>8.9999999999999998E-4</v>
      </c>
      <c r="F726" s="80">
        <v>125262.71</v>
      </c>
      <c r="G726" s="81"/>
      <c r="H726" s="80">
        <v>22994.51</v>
      </c>
      <c r="I726" s="79">
        <f>H726/F726</f>
        <v>0.18357027402648399</v>
      </c>
    </row>
    <row r="727" spans="1:9" x14ac:dyDescent="0.25">
      <c r="A727" s="76" t="s">
        <v>558</v>
      </c>
      <c r="B727" s="76" t="s">
        <v>446</v>
      </c>
      <c r="C727" s="77">
        <v>40798</v>
      </c>
      <c r="D727" s="78">
        <v>41152</v>
      </c>
      <c r="E727" s="79">
        <v>0.14000000000000001</v>
      </c>
      <c r="F727" s="88"/>
      <c r="G727" s="81">
        <v>11616</v>
      </c>
      <c r="H727" s="80">
        <v>2124.1999999999998</v>
      </c>
      <c r="I727" s="79">
        <f>H727/G727</f>
        <v>0.18286845730027546</v>
      </c>
    </row>
    <row r="728" spans="1:9" x14ac:dyDescent="0.25">
      <c r="A728" s="76" t="s">
        <v>685</v>
      </c>
      <c r="B728" s="76" t="s">
        <v>686</v>
      </c>
      <c r="C728" s="77">
        <v>41061</v>
      </c>
      <c r="D728" s="78">
        <v>41274</v>
      </c>
      <c r="E728" s="79">
        <v>0.09</v>
      </c>
      <c r="F728" s="80">
        <v>273759.81</v>
      </c>
      <c r="G728" s="81"/>
      <c r="H728" s="80">
        <v>49999.98</v>
      </c>
      <c r="I728" s="79">
        <f>H728/F728</f>
        <v>0.1826417836862175</v>
      </c>
    </row>
    <row r="729" spans="1:9" x14ac:dyDescent="0.25">
      <c r="A729" s="76" t="s">
        <v>568</v>
      </c>
      <c r="B729" s="76" t="s">
        <v>569</v>
      </c>
      <c r="C729" s="77">
        <v>40739</v>
      </c>
      <c r="D729" s="78">
        <v>41075</v>
      </c>
      <c r="E729" s="79">
        <v>0.18</v>
      </c>
      <c r="F729" s="80">
        <v>23704</v>
      </c>
      <c r="G729" s="81"/>
      <c r="H729" s="80">
        <v>4312</v>
      </c>
      <c r="I729" s="79">
        <f>H729/F729</f>
        <v>0.18191022612217347</v>
      </c>
    </row>
    <row r="730" spans="1:9" x14ac:dyDescent="0.25">
      <c r="A730" s="70" t="s">
        <v>122</v>
      </c>
      <c r="B730" s="70" t="s">
        <v>124</v>
      </c>
      <c r="C730" s="71">
        <v>40725</v>
      </c>
      <c r="D730" s="72">
        <v>41090</v>
      </c>
      <c r="E730" s="73">
        <v>0.09</v>
      </c>
      <c r="F730" s="74">
        <v>802162.18</v>
      </c>
      <c r="G730" s="75"/>
      <c r="H730" s="74">
        <v>144683.47</v>
      </c>
      <c r="I730" s="73">
        <v>0.18036685549049444</v>
      </c>
    </row>
    <row r="731" spans="1:9" x14ac:dyDescent="0.25">
      <c r="A731" s="76" t="s">
        <v>407</v>
      </c>
      <c r="B731" s="76" t="s">
        <v>409</v>
      </c>
      <c r="C731" s="77">
        <v>40850</v>
      </c>
      <c r="D731" s="78">
        <v>41029</v>
      </c>
      <c r="E731" s="79">
        <v>0.18</v>
      </c>
      <c r="F731" s="88"/>
      <c r="G731" s="81">
        <v>61069.32</v>
      </c>
      <c r="H731" s="80">
        <v>10996.11</v>
      </c>
      <c r="I731" s="79">
        <f>H731/G731</f>
        <v>0.18005947994836033</v>
      </c>
    </row>
    <row r="732" spans="1:9" x14ac:dyDescent="0.25">
      <c r="A732" s="76" t="s">
        <v>790</v>
      </c>
      <c r="B732" s="100" t="s">
        <v>420</v>
      </c>
      <c r="C732" s="77">
        <v>40664</v>
      </c>
      <c r="D732" s="78">
        <v>41029</v>
      </c>
      <c r="E732" s="79">
        <v>0.18</v>
      </c>
      <c r="F732" s="80">
        <v>25463.88</v>
      </c>
      <c r="G732" s="81"/>
      <c r="H732" s="80">
        <v>4583.5</v>
      </c>
      <c r="I732" s="73">
        <f>H732/F732</f>
        <v>0.18000006283410069</v>
      </c>
    </row>
    <row r="733" spans="1:9" x14ac:dyDescent="0.25">
      <c r="A733" s="76" t="s">
        <v>790</v>
      </c>
      <c r="B733" s="76" t="s">
        <v>1721</v>
      </c>
      <c r="C733" s="77">
        <v>40849</v>
      </c>
      <c r="D733" s="78">
        <v>41214</v>
      </c>
      <c r="E733" s="79">
        <v>0.18</v>
      </c>
      <c r="F733" s="80">
        <v>57025.04</v>
      </c>
      <c r="G733" s="81"/>
      <c r="H733" s="80">
        <v>10264.51</v>
      </c>
      <c r="I733" s="73">
        <f>H733/F733</f>
        <v>0.18000004910123693</v>
      </c>
    </row>
    <row r="734" spans="1:9" x14ac:dyDescent="0.25">
      <c r="A734" s="76" t="s">
        <v>478</v>
      </c>
      <c r="B734" s="76" t="s">
        <v>417</v>
      </c>
      <c r="C734" s="77">
        <v>40909</v>
      </c>
      <c r="D734" s="78">
        <v>41274</v>
      </c>
      <c r="E734" s="79">
        <v>0.18</v>
      </c>
      <c r="F734" s="80"/>
      <c r="G734" s="81">
        <v>66383</v>
      </c>
      <c r="H734" s="80">
        <v>11948.94</v>
      </c>
      <c r="I734" s="79">
        <f>H734/G734</f>
        <v>0.18000000000000002</v>
      </c>
    </row>
    <row r="735" spans="1:9" x14ac:dyDescent="0.25">
      <c r="A735" s="76" t="s">
        <v>790</v>
      </c>
      <c r="B735" s="76" t="s">
        <v>1721</v>
      </c>
      <c r="C735" s="77">
        <v>40849</v>
      </c>
      <c r="D735" s="78">
        <v>41214</v>
      </c>
      <c r="E735" s="79">
        <v>0.18</v>
      </c>
      <c r="F735" s="80"/>
      <c r="G735" s="81">
        <v>9837</v>
      </c>
      <c r="H735" s="80">
        <v>1770.66</v>
      </c>
      <c r="I735" s="73">
        <f>H735/G735</f>
        <v>0.18000000000000002</v>
      </c>
    </row>
    <row r="736" spans="1:9" x14ac:dyDescent="0.25">
      <c r="A736" s="76" t="s">
        <v>478</v>
      </c>
      <c r="B736" s="76" t="s">
        <v>481</v>
      </c>
      <c r="C736" s="77">
        <v>40909</v>
      </c>
      <c r="D736" s="78">
        <v>41274</v>
      </c>
      <c r="E736" s="79">
        <v>0.18</v>
      </c>
      <c r="F736" s="80"/>
      <c r="G736" s="81">
        <v>223896.63</v>
      </c>
      <c r="H736" s="80">
        <v>40301.39</v>
      </c>
      <c r="I736" s="79">
        <f>H736/G736</f>
        <v>0.17999998481442084</v>
      </c>
    </row>
    <row r="737" spans="1:9" x14ac:dyDescent="0.25">
      <c r="A737" s="70" t="s">
        <v>171</v>
      </c>
      <c r="B737" s="70" t="s">
        <v>195</v>
      </c>
      <c r="C737" s="71">
        <v>40599</v>
      </c>
      <c r="D737" s="72">
        <v>40927</v>
      </c>
      <c r="E737" s="73">
        <v>1.7999999999999999E-2</v>
      </c>
      <c r="F737" s="74">
        <v>44815</v>
      </c>
      <c r="G737" s="88"/>
      <c r="H737" s="74">
        <v>8018.73</v>
      </c>
      <c r="I737" s="73">
        <v>0.17892959946446502</v>
      </c>
    </row>
    <row r="738" spans="1:9" x14ac:dyDescent="0.25">
      <c r="A738" s="76" t="s">
        <v>578</v>
      </c>
      <c r="B738" s="76" t="s">
        <v>178</v>
      </c>
      <c r="C738" s="77">
        <v>40707</v>
      </c>
      <c r="D738" s="78">
        <v>40939</v>
      </c>
      <c r="E738" s="79">
        <v>0</v>
      </c>
      <c r="F738" s="80">
        <v>286760.31</v>
      </c>
      <c r="G738" s="88"/>
      <c r="H738" s="80">
        <v>51142.42</v>
      </c>
      <c r="I738" s="79">
        <f>H738/F738</f>
        <v>0.1783455318485323</v>
      </c>
    </row>
    <row r="739" spans="1:9" x14ac:dyDescent="0.25">
      <c r="A739" s="76" t="s">
        <v>439</v>
      </c>
      <c r="B739" s="76" t="s">
        <v>444</v>
      </c>
      <c r="C739" s="77">
        <v>41148</v>
      </c>
      <c r="D739" s="78">
        <v>41418</v>
      </c>
      <c r="E739" s="79">
        <v>0.14000000000000001</v>
      </c>
      <c r="F739" s="88"/>
      <c r="G739" s="81">
        <v>12404</v>
      </c>
      <c r="H739" s="80">
        <v>2198</v>
      </c>
      <c r="I739" s="79">
        <f>H739/G739</f>
        <v>0.17720090293453725</v>
      </c>
    </row>
    <row r="740" spans="1:9" x14ac:dyDescent="0.25">
      <c r="A740" s="76" t="s">
        <v>315</v>
      </c>
      <c r="B740" s="76" t="s">
        <v>332</v>
      </c>
      <c r="C740" s="77">
        <v>40801</v>
      </c>
      <c r="D740" s="78">
        <v>41152</v>
      </c>
      <c r="E740" s="79">
        <v>0</v>
      </c>
      <c r="F740" s="80"/>
      <c r="G740" s="81">
        <v>50707</v>
      </c>
      <c r="H740" s="80">
        <v>8975.92</v>
      </c>
      <c r="I740" s="79">
        <f>H740/G740</f>
        <v>0.17701540221271225</v>
      </c>
    </row>
    <row r="741" spans="1:9" x14ac:dyDescent="0.25">
      <c r="A741" s="76" t="s">
        <v>315</v>
      </c>
      <c r="B741" s="76" t="s">
        <v>332</v>
      </c>
      <c r="C741" s="77">
        <v>40801</v>
      </c>
      <c r="D741" s="78">
        <v>41152</v>
      </c>
      <c r="E741" s="79">
        <v>0</v>
      </c>
      <c r="F741" s="80">
        <v>1204870.77</v>
      </c>
      <c r="G741" s="81"/>
      <c r="H741" s="80">
        <v>213280.68</v>
      </c>
      <c r="I741" s="79">
        <f>H741/F741</f>
        <v>0.17701539892116397</v>
      </c>
    </row>
    <row r="742" spans="1:9" x14ac:dyDescent="0.25">
      <c r="A742" s="76" t="s">
        <v>531</v>
      </c>
      <c r="B742" s="76" t="s">
        <v>537</v>
      </c>
      <c r="C742" s="77">
        <v>40756</v>
      </c>
      <c r="D742" s="78">
        <v>41121</v>
      </c>
      <c r="E742" s="79">
        <v>8.9999999999999993E-3</v>
      </c>
      <c r="F742" s="80"/>
      <c r="G742" s="81">
        <v>437</v>
      </c>
      <c r="H742" s="80">
        <v>77</v>
      </c>
      <c r="I742" s="79">
        <f>H742/G742</f>
        <v>0.17620137299771166</v>
      </c>
    </row>
    <row r="743" spans="1:9" x14ac:dyDescent="0.25">
      <c r="A743" s="70" t="s">
        <v>37</v>
      </c>
      <c r="B743" s="70" t="s">
        <v>34</v>
      </c>
      <c r="C743" s="71">
        <v>40609</v>
      </c>
      <c r="D743" s="72">
        <v>40953</v>
      </c>
      <c r="E743" s="73">
        <v>0</v>
      </c>
      <c r="F743" s="74"/>
      <c r="G743" s="75">
        <v>1151</v>
      </c>
      <c r="H743" s="74">
        <v>202.56</v>
      </c>
      <c r="I743" s="73">
        <f>H743/G743</f>
        <v>0.17598609904430929</v>
      </c>
    </row>
    <row r="744" spans="1:9" x14ac:dyDescent="0.25">
      <c r="A744" s="70" t="s">
        <v>38</v>
      </c>
      <c r="B744" s="70" t="s">
        <v>49</v>
      </c>
      <c r="C744" s="71">
        <v>40878</v>
      </c>
      <c r="D744" s="72">
        <v>41243</v>
      </c>
      <c r="E744" s="73">
        <v>0.1575</v>
      </c>
      <c r="F744" s="74"/>
      <c r="G744" s="75">
        <v>43171</v>
      </c>
      <c r="H744" s="74">
        <v>7554.83</v>
      </c>
      <c r="I744" s="73">
        <v>0.174997799448704</v>
      </c>
    </row>
    <row r="745" spans="1:9" ht="28.5" x14ac:dyDescent="0.25">
      <c r="A745" s="70" t="s">
        <v>10</v>
      </c>
      <c r="B745" s="70" t="s">
        <v>11</v>
      </c>
      <c r="C745" s="71">
        <v>40787</v>
      </c>
      <c r="D745" s="72">
        <v>41022</v>
      </c>
      <c r="E745" s="73">
        <v>3.1414999999999998E-2</v>
      </c>
      <c r="F745" s="74">
        <v>79075</v>
      </c>
      <c r="G745" s="75"/>
      <c r="H745" s="74">
        <v>13759.34</v>
      </c>
      <c r="I745" s="73">
        <v>0.17400366740436296</v>
      </c>
    </row>
    <row r="746" spans="1:9" x14ac:dyDescent="0.25">
      <c r="A746" s="76" t="s">
        <v>643</v>
      </c>
      <c r="B746" s="76" t="s">
        <v>458</v>
      </c>
      <c r="C746" s="77">
        <v>41090</v>
      </c>
      <c r="D746" s="78">
        <v>41274</v>
      </c>
      <c r="E746" s="79">
        <v>4.4999999999999997E-3</v>
      </c>
      <c r="F746" s="80"/>
      <c r="G746" s="81">
        <v>16766</v>
      </c>
      <c r="H746" s="80">
        <v>2909</v>
      </c>
      <c r="I746" s="79">
        <f>H746/G746</f>
        <v>0.1735059048073482</v>
      </c>
    </row>
    <row r="747" spans="1:9" x14ac:dyDescent="0.25">
      <c r="A747" s="76" t="s">
        <v>643</v>
      </c>
      <c r="B747" s="76" t="s">
        <v>645</v>
      </c>
      <c r="C747" s="77">
        <v>40956</v>
      </c>
      <c r="D747" s="78">
        <v>41274</v>
      </c>
      <c r="E747" s="79">
        <v>4.4999999999999997E-3</v>
      </c>
      <c r="F747" s="80"/>
      <c r="G747" s="81">
        <v>57344.04</v>
      </c>
      <c r="H747" s="80">
        <v>9905.5</v>
      </c>
      <c r="I747" s="79">
        <f>H747/G747</f>
        <v>0.17273809100300572</v>
      </c>
    </row>
    <row r="748" spans="1:9" x14ac:dyDescent="0.25">
      <c r="A748" s="76" t="s">
        <v>665</v>
      </c>
      <c r="B748" s="76" t="s">
        <v>669</v>
      </c>
      <c r="C748" s="77">
        <v>40664</v>
      </c>
      <c r="D748" s="78">
        <v>41029</v>
      </c>
      <c r="E748" s="79">
        <v>0.17</v>
      </c>
      <c r="F748" s="80">
        <v>442297</v>
      </c>
      <c r="G748" s="81"/>
      <c r="H748" s="80">
        <v>75190</v>
      </c>
      <c r="I748" s="79">
        <f>H748/F748</f>
        <v>0.1699988921471319</v>
      </c>
    </row>
    <row r="749" spans="1:9" x14ac:dyDescent="0.25">
      <c r="A749" s="76" t="s">
        <v>665</v>
      </c>
      <c r="B749" s="76" t="s">
        <v>669</v>
      </c>
      <c r="C749" s="77">
        <v>41030</v>
      </c>
      <c r="D749" s="78">
        <v>41213</v>
      </c>
      <c r="E749" s="79">
        <v>0.17</v>
      </c>
      <c r="F749" s="80">
        <v>168884</v>
      </c>
      <c r="G749" s="81"/>
      <c r="H749" s="80">
        <v>28710</v>
      </c>
      <c r="I749" s="79">
        <f>H749/F749</f>
        <v>0.16999834205727007</v>
      </c>
    </row>
    <row r="750" spans="1:9" x14ac:dyDescent="0.25">
      <c r="A750" s="76" t="s">
        <v>558</v>
      </c>
      <c r="B750" s="76" t="s">
        <v>438</v>
      </c>
      <c r="C750" s="77">
        <v>40581</v>
      </c>
      <c r="D750" s="78">
        <v>40939</v>
      </c>
      <c r="E750" s="79">
        <v>0.14000000000000001</v>
      </c>
      <c r="F750" s="88"/>
      <c r="G750" s="81">
        <v>5102</v>
      </c>
      <c r="H750" s="80">
        <v>863.92</v>
      </c>
      <c r="I750" s="79">
        <f>H750/G750</f>
        <v>0.16932967463739709</v>
      </c>
    </row>
    <row r="751" spans="1:9" x14ac:dyDescent="0.25">
      <c r="A751" s="76" t="s">
        <v>674</v>
      </c>
      <c r="B751" s="76" t="s">
        <v>619</v>
      </c>
      <c r="C751" s="77">
        <v>40940</v>
      </c>
      <c r="D751" s="78">
        <v>41274</v>
      </c>
      <c r="E751" s="79">
        <v>0.30599999999999999</v>
      </c>
      <c r="F751" s="80">
        <v>84607</v>
      </c>
      <c r="G751" s="81"/>
      <c r="H751" s="80">
        <v>14190.4</v>
      </c>
      <c r="I751" s="79">
        <f>H751/F751</f>
        <v>0.16772134693346885</v>
      </c>
    </row>
    <row r="752" spans="1:9" x14ac:dyDescent="0.25">
      <c r="A752" s="76" t="s">
        <v>558</v>
      </c>
      <c r="B752" s="76" t="s">
        <v>560</v>
      </c>
      <c r="C752" s="77">
        <v>40714</v>
      </c>
      <c r="D752" s="78">
        <v>41151</v>
      </c>
      <c r="E752" s="79">
        <v>0.14000000000000001</v>
      </c>
      <c r="F752" s="88"/>
      <c r="G752" s="81">
        <v>46625</v>
      </c>
      <c r="H752" s="80">
        <v>7796</v>
      </c>
      <c r="I752" s="79">
        <f>H752/G752</f>
        <v>0.16720643431635387</v>
      </c>
    </row>
    <row r="753" spans="1:9" x14ac:dyDescent="0.25">
      <c r="A753" s="76" t="s">
        <v>439</v>
      </c>
      <c r="B753" s="76" t="s">
        <v>445</v>
      </c>
      <c r="C753" s="77">
        <v>40973</v>
      </c>
      <c r="D753" s="78">
        <v>41502</v>
      </c>
      <c r="E753" s="79">
        <v>0.14000000000000001</v>
      </c>
      <c r="F753" s="88"/>
      <c r="G753" s="81">
        <v>11970</v>
      </c>
      <c r="H753" s="80">
        <v>2000.88</v>
      </c>
      <c r="I753" s="79">
        <f>H753/G753</f>
        <v>0.16715789473684212</v>
      </c>
    </row>
    <row r="754" spans="1:9" x14ac:dyDescent="0.25">
      <c r="A754" s="76" t="s">
        <v>558</v>
      </c>
      <c r="B754" s="76" t="s">
        <v>445</v>
      </c>
      <c r="C754" s="77">
        <v>40609</v>
      </c>
      <c r="D754" s="78">
        <v>40967</v>
      </c>
      <c r="E754" s="79">
        <v>0.14000000000000001</v>
      </c>
      <c r="F754" s="88"/>
      <c r="G754" s="81">
        <v>10972.2</v>
      </c>
      <c r="H754" s="80">
        <v>1833.34</v>
      </c>
      <c r="I754" s="79">
        <f>H754/G754</f>
        <v>0.16708955359909589</v>
      </c>
    </row>
    <row r="755" spans="1:9" x14ac:dyDescent="0.25">
      <c r="A755" s="76" t="s">
        <v>437</v>
      </c>
      <c r="B755" s="76" t="s">
        <v>438</v>
      </c>
      <c r="C755" s="77">
        <v>40945</v>
      </c>
      <c r="D755" s="78">
        <v>41305</v>
      </c>
      <c r="E755" s="79">
        <v>0.14000000000000001</v>
      </c>
      <c r="F755" s="88"/>
      <c r="G755" s="81">
        <v>4436.25</v>
      </c>
      <c r="H755" s="80">
        <v>739.97</v>
      </c>
      <c r="I755" s="79">
        <f>H755/G755</f>
        <v>0.16680078895463513</v>
      </c>
    </row>
    <row r="756" spans="1:9" x14ac:dyDescent="0.25">
      <c r="A756" s="76" t="s">
        <v>439</v>
      </c>
      <c r="B756" s="76" t="s">
        <v>440</v>
      </c>
      <c r="C756" s="77">
        <v>41176</v>
      </c>
      <c r="D756" s="78">
        <v>41417</v>
      </c>
      <c r="E756" s="79">
        <v>0.14000000000000001</v>
      </c>
      <c r="F756" s="88"/>
      <c r="G756" s="81">
        <v>9677</v>
      </c>
      <c r="H756" s="80">
        <v>1614.12</v>
      </c>
      <c r="I756" s="79">
        <f>H756/G756</f>
        <v>0.16679962798387929</v>
      </c>
    </row>
    <row r="757" spans="1:9" x14ac:dyDescent="0.25">
      <c r="A757" s="76" t="s">
        <v>613</v>
      </c>
      <c r="B757" s="76" t="s">
        <v>619</v>
      </c>
      <c r="C757" s="77">
        <v>40949</v>
      </c>
      <c r="D757" s="78">
        <v>41274</v>
      </c>
      <c r="E757" s="79">
        <v>8.9999999999999993E-3</v>
      </c>
      <c r="F757" s="80">
        <v>54657</v>
      </c>
      <c r="G757" s="81"/>
      <c r="H757" s="80">
        <v>9082</v>
      </c>
      <c r="I757" s="79">
        <f>H757/F757</f>
        <v>0.16616352891669869</v>
      </c>
    </row>
    <row r="758" spans="1:9" x14ac:dyDescent="0.25">
      <c r="A758" s="76" t="s">
        <v>317</v>
      </c>
      <c r="B758" s="76" t="s">
        <v>330</v>
      </c>
      <c r="C758" s="77">
        <v>41153</v>
      </c>
      <c r="D758" s="78">
        <v>41517</v>
      </c>
      <c r="E758" s="79">
        <v>1.7999999999999999E-2</v>
      </c>
      <c r="F758" s="80">
        <v>2499522.81</v>
      </c>
      <c r="G758" s="81"/>
      <c r="H758" s="80">
        <v>414753.74</v>
      </c>
      <c r="I758" s="79">
        <f>H758/F758</f>
        <v>0.16593316865950106</v>
      </c>
    </row>
    <row r="759" spans="1:9" x14ac:dyDescent="0.25">
      <c r="A759" s="76" t="s">
        <v>317</v>
      </c>
      <c r="B759" s="76" t="s">
        <v>330</v>
      </c>
      <c r="C759" s="77">
        <v>41153</v>
      </c>
      <c r="D759" s="78">
        <v>41517</v>
      </c>
      <c r="E759" s="79">
        <v>1.7999999999999999E-2</v>
      </c>
      <c r="F759" s="80"/>
      <c r="G759" s="81">
        <v>138758.82999999999</v>
      </c>
      <c r="H759" s="80">
        <v>23024.69</v>
      </c>
      <c r="I759" s="79">
        <f>H759/G759</f>
        <v>0.16593315178572782</v>
      </c>
    </row>
    <row r="760" spans="1:9" x14ac:dyDescent="0.25">
      <c r="A760" s="76" t="s">
        <v>531</v>
      </c>
      <c r="B760" s="76" t="s">
        <v>187</v>
      </c>
      <c r="C760" s="77">
        <v>41153</v>
      </c>
      <c r="D760" s="78">
        <v>41517</v>
      </c>
      <c r="E760" s="79">
        <v>8.9999999999999993E-3</v>
      </c>
      <c r="F760" s="80"/>
      <c r="G760" s="81">
        <v>3525</v>
      </c>
      <c r="H760" s="80">
        <v>578</v>
      </c>
      <c r="I760" s="79">
        <f>H760/G760</f>
        <v>0.16397163120567376</v>
      </c>
    </row>
    <row r="761" spans="1:9" x14ac:dyDescent="0.25">
      <c r="A761" s="76" t="s">
        <v>171</v>
      </c>
      <c r="B761" s="76" t="s">
        <v>36</v>
      </c>
      <c r="C761" s="77">
        <v>40780</v>
      </c>
      <c r="D761" s="78">
        <v>41060</v>
      </c>
      <c r="E761" s="79">
        <v>1.7999999999999999E-2</v>
      </c>
      <c r="F761" s="80">
        <v>179838</v>
      </c>
      <c r="G761" s="81"/>
      <c r="H761" s="80">
        <v>29477.439999999999</v>
      </c>
      <c r="I761" s="79">
        <f>H761/F761</f>
        <v>0.16391107552352671</v>
      </c>
    </row>
    <row r="762" spans="1:9" x14ac:dyDescent="0.25">
      <c r="A762" s="76" t="s">
        <v>558</v>
      </c>
      <c r="B762" s="76" t="s">
        <v>443</v>
      </c>
      <c r="C762" s="77">
        <v>40763</v>
      </c>
      <c r="D762" s="78">
        <v>41065</v>
      </c>
      <c r="E762" s="79">
        <v>0.14000000000000001</v>
      </c>
      <c r="F762" s="88"/>
      <c r="G762" s="81">
        <v>13602</v>
      </c>
      <c r="H762" s="80">
        <v>2224.1999999999998</v>
      </c>
      <c r="I762" s="79">
        <f t="shared" ref="I762:I768" si="13">H762/G762</f>
        <v>0.1635200705778562</v>
      </c>
    </row>
    <row r="763" spans="1:9" x14ac:dyDescent="0.25">
      <c r="A763" s="76" t="s">
        <v>558</v>
      </c>
      <c r="B763" s="76" t="s">
        <v>562</v>
      </c>
      <c r="C763" s="77">
        <v>41099</v>
      </c>
      <c r="D763" s="78">
        <v>41152</v>
      </c>
      <c r="E763" s="79">
        <v>0.14000000000000001</v>
      </c>
      <c r="F763" s="88"/>
      <c r="G763" s="81">
        <v>5080</v>
      </c>
      <c r="H763" s="80">
        <v>830</v>
      </c>
      <c r="I763" s="79">
        <f t="shared" si="13"/>
        <v>0.16338582677165353</v>
      </c>
    </row>
    <row r="764" spans="1:9" x14ac:dyDescent="0.25">
      <c r="A764" s="76" t="s">
        <v>439</v>
      </c>
      <c r="B764" s="76" t="s">
        <v>446</v>
      </c>
      <c r="C764" s="77">
        <v>41156</v>
      </c>
      <c r="D764" s="78">
        <v>41419</v>
      </c>
      <c r="E764" s="79">
        <v>0.14000000000000001</v>
      </c>
      <c r="F764" s="88"/>
      <c r="G764" s="81">
        <v>8977</v>
      </c>
      <c r="H764" s="80">
        <v>1464</v>
      </c>
      <c r="I764" s="79">
        <f t="shared" si="13"/>
        <v>0.16308343544614012</v>
      </c>
    </row>
    <row r="765" spans="1:9" x14ac:dyDescent="0.25">
      <c r="A765" s="76" t="s">
        <v>439</v>
      </c>
      <c r="B765" s="76" t="s">
        <v>440</v>
      </c>
      <c r="C765" s="77">
        <v>41015</v>
      </c>
      <c r="D765" s="78">
        <v>41348</v>
      </c>
      <c r="E765" s="79">
        <v>0.14000000000000001</v>
      </c>
      <c r="F765" s="88"/>
      <c r="G765" s="81">
        <v>5147</v>
      </c>
      <c r="H765" s="80">
        <v>836.68</v>
      </c>
      <c r="I765" s="79">
        <f t="shared" si="13"/>
        <v>0.16255682922090536</v>
      </c>
    </row>
    <row r="766" spans="1:9" x14ac:dyDescent="0.25">
      <c r="A766" s="76" t="s">
        <v>558</v>
      </c>
      <c r="B766" s="76" t="s">
        <v>440</v>
      </c>
      <c r="C766" s="77">
        <v>40826</v>
      </c>
      <c r="D766" s="78">
        <v>41151</v>
      </c>
      <c r="E766" s="79">
        <v>0.14000000000000001</v>
      </c>
      <c r="F766" s="88"/>
      <c r="G766" s="81">
        <v>4859</v>
      </c>
      <c r="H766" s="80">
        <v>789.48</v>
      </c>
      <c r="I766" s="79">
        <f t="shared" si="13"/>
        <v>0.16247787610619469</v>
      </c>
    </row>
    <row r="767" spans="1:9" x14ac:dyDescent="0.25">
      <c r="A767" s="76" t="s">
        <v>558</v>
      </c>
      <c r="B767" s="76" t="s">
        <v>444</v>
      </c>
      <c r="C767" s="77">
        <v>40792</v>
      </c>
      <c r="D767" s="78">
        <v>41152</v>
      </c>
      <c r="E767" s="79">
        <v>0.14000000000000001</v>
      </c>
      <c r="F767" s="88"/>
      <c r="G767" s="81">
        <v>18268</v>
      </c>
      <c r="H767" s="80">
        <v>2964.96</v>
      </c>
      <c r="I767" s="79">
        <f t="shared" si="13"/>
        <v>0.16230348149770091</v>
      </c>
    </row>
    <row r="768" spans="1:9" x14ac:dyDescent="0.25">
      <c r="A768" s="76" t="s">
        <v>558</v>
      </c>
      <c r="B768" s="76" t="s">
        <v>559</v>
      </c>
      <c r="C768" s="77">
        <v>40651</v>
      </c>
      <c r="D768" s="78">
        <v>40998</v>
      </c>
      <c r="E768" s="79">
        <v>0.14000000000000001</v>
      </c>
      <c r="F768" s="88"/>
      <c r="G768" s="81">
        <v>4671</v>
      </c>
      <c r="H768" s="80">
        <v>751.96</v>
      </c>
      <c r="I768" s="79">
        <f t="shared" si="13"/>
        <v>0.16098479982873048</v>
      </c>
    </row>
    <row r="769" spans="1:9" x14ac:dyDescent="0.25">
      <c r="A769" s="76" t="s">
        <v>790</v>
      </c>
      <c r="B769" s="76" t="s">
        <v>1722</v>
      </c>
      <c r="C769" s="77">
        <v>40787</v>
      </c>
      <c r="D769" s="78">
        <v>41152</v>
      </c>
      <c r="E769" s="79">
        <v>0.16</v>
      </c>
      <c r="F769" s="80">
        <v>20880.04</v>
      </c>
      <c r="G769" s="81"/>
      <c r="H769" s="80">
        <v>3340.81</v>
      </c>
      <c r="I769" s="73">
        <f>H769/F769</f>
        <v>0.16000017241346279</v>
      </c>
    </row>
    <row r="770" spans="1:9" x14ac:dyDescent="0.25">
      <c r="A770" s="76" t="s">
        <v>790</v>
      </c>
      <c r="B770" s="76" t="s">
        <v>483</v>
      </c>
      <c r="C770" s="77">
        <v>40603</v>
      </c>
      <c r="D770" s="78">
        <v>40967</v>
      </c>
      <c r="E770" s="79">
        <v>0.16</v>
      </c>
      <c r="F770" s="80">
        <v>29501</v>
      </c>
      <c r="G770" s="81"/>
      <c r="H770" s="80">
        <v>4720.16</v>
      </c>
      <c r="I770" s="73">
        <f>H770/F770</f>
        <v>0.16</v>
      </c>
    </row>
    <row r="771" spans="1:9" x14ac:dyDescent="0.25">
      <c r="A771" s="76" t="s">
        <v>790</v>
      </c>
      <c r="B771" s="76" t="s">
        <v>1723</v>
      </c>
      <c r="C771" s="77">
        <v>40827</v>
      </c>
      <c r="D771" s="78">
        <v>41192</v>
      </c>
      <c r="E771" s="79">
        <v>0.16</v>
      </c>
      <c r="F771" s="80">
        <v>25819</v>
      </c>
      <c r="G771" s="81"/>
      <c r="H771" s="80">
        <v>4131.04</v>
      </c>
      <c r="I771" s="73">
        <f>H771/F771</f>
        <v>0.16</v>
      </c>
    </row>
    <row r="772" spans="1:9" x14ac:dyDescent="0.25">
      <c r="A772" s="76" t="s">
        <v>790</v>
      </c>
      <c r="B772" s="76" t="s">
        <v>483</v>
      </c>
      <c r="C772" s="77">
        <v>40603</v>
      </c>
      <c r="D772" s="78">
        <v>40967</v>
      </c>
      <c r="E772" s="79">
        <v>0.16</v>
      </c>
      <c r="F772" s="80"/>
      <c r="G772" s="81">
        <v>5949</v>
      </c>
      <c r="H772" s="80">
        <v>951.84</v>
      </c>
      <c r="I772" s="73">
        <f>H772/G772</f>
        <v>0.16</v>
      </c>
    </row>
    <row r="773" spans="1:9" x14ac:dyDescent="0.25">
      <c r="A773" s="76" t="s">
        <v>790</v>
      </c>
      <c r="B773" s="76" t="s">
        <v>1723</v>
      </c>
      <c r="C773" s="77">
        <v>40827</v>
      </c>
      <c r="D773" s="78">
        <v>41192</v>
      </c>
      <c r="E773" s="79">
        <v>0.16</v>
      </c>
      <c r="F773" s="80"/>
      <c r="G773" s="81">
        <v>4968</v>
      </c>
      <c r="H773" s="80">
        <v>794.88</v>
      </c>
      <c r="I773" s="73">
        <f>H773/G773</f>
        <v>0.16</v>
      </c>
    </row>
    <row r="774" spans="1:9" x14ac:dyDescent="0.25">
      <c r="A774" s="76" t="s">
        <v>790</v>
      </c>
      <c r="B774" s="76" t="s">
        <v>1722</v>
      </c>
      <c r="C774" s="77">
        <v>40787</v>
      </c>
      <c r="D774" s="78">
        <v>41152</v>
      </c>
      <c r="E774" s="79">
        <v>0.16</v>
      </c>
      <c r="F774" s="80"/>
      <c r="G774" s="81">
        <v>3344</v>
      </c>
      <c r="H774" s="80">
        <v>535.04</v>
      </c>
      <c r="I774" s="73">
        <f>H774/G774</f>
        <v>0.15999999999999998</v>
      </c>
    </row>
    <row r="775" spans="1:9" x14ac:dyDescent="0.25">
      <c r="A775" s="76" t="s">
        <v>643</v>
      </c>
      <c r="B775" s="76" t="s">
        <v>659</v>
      </c>
      <c r="C775" s="77">
        <v>41025</v>
      </c>
      <c r="D775" s="78">
        <v>41364</v>
      </c>
      <c r="E775" s="79">
        <v>4.4999999999999997E-3</v>
      </c>
      <c r="F775" s="80"/>
      <c r="G775" s="81">
        <v>2455</v>
      </c>
      <c r="H775" s="80">
        <v>392.32</v>
      </c>
      <c r="I775" s="79">
        <f>H775/G775</f>
        <v>0.15980448065173117</v>
      </c>
    </row>
    <row r="776" spans="1:9" x14ac:dyDescent="0.25">
      <c r="A776" s="76" t="s">
        <v>449</v>
      </c>
      <c r="B776" s="76" t="s">
        <v>464</v>
      </c>
      <c r="C776" s="77">
        <v>40848</v>
      </c>
      <c r="D776" s="78">
        <v>41213</v>
      </c>
      <c r="E776" s="79">
        <v>0</v>
      </c>
      <c r="F776" s="80">
        <v>1807681</v>
      </c>
      <c r="G776" s="81"/>
      <c r="H776" s="80">
        <v>288681</v>
      </c>
      <c r="I776" s="79">
        <f>H776/F776</f>
        <v>0.15969687129532256</v>
      </c>
    </row>
    <row r="777" spans="1:9" x14ac:dyDescent="0.25">
      <c r="A777" s="70" t="s">
        <v>122</v>
      </c>
      <c r="B777" s="70" t="s">
        <v>125</v>
      </c>
      <c r="C777" s="71">
        <v>40817</v>
      </c>
      <c r="D777" s="72">
        <v>41182</v>
      </c>
      <c r="E777" s="73">
        <v>0.15</v>
      </c>
      <c r="F777" s="74">
        <v>445631</v>
      </c>
      <c r="G777" s="75"/>
      <c r="H777" s="74">
        <v>71088.740000000005</v>
      </c>
      <c r="I777" s="73">
        <v>0.15952377639796156</v>
      </c>
    </row>
    <row r="778" spans="1:9" x14ac:dyDescent="0.25">
      <c r="A778" s="76" t="s">
        <v>790</v>
      </c>
      <c r="B778" s="76" t="s">
        <v>79</v>
      </c>
      <c r="C778" s="77">
        <v>40909</v>
      </c>
      <c r="D778" s="78">
        <v>41274</v>
      </c>
      <c r="E778" s="79">
        <v>0.15</v>
      </c>
      <c r="F778" s="80">
        <v>21621</v>
      </c>
      <c r="G778" s="81"/>
      <c r="H778" s="80">
        <v>3434.73</v>
      </c>
      <c r="I778" s="73">
        <f>H778/F778</f>
        <v>0.15886082974885529</v>
      </c>
    </row>
    <row r="779" spans="1:9" ht="28.5" x14ac:dyDescent="0.25">
      <c r="A779" s="76" t="s">
        <v>674</v>
      </c>
      <c r="B779" s="76" t="s">
        <v>677</v>
      </c>
      <c r="C779" s="77">
        <v>40938</v>
      </c>
      <c r="D779" s="78">
        <v>41274</v>
      </c>
      <c r="E779" s="79">
        <v>0.432</v>
      </c>
      <c r="F779" s="80">
        <v>59392</v>
      </c>
      <c r="G779" s="81"/>
      <c r="H779" s="80">
        <v>9385.89</v>
      </c>
      <c r="I779" s="79">
        <f>H779/F779</f>
        <v>0.15803290005387929</v>
      </c>
    </row>
    <row r="780" spans="1:9" x14ac:dyDescent="0.25">
      <c r="A780" s="76" t="s">
        <v>439</v>
      </c>
      <c r="B780" s="76" t="s">
        <v>443</v>
      </c>
      <c r="C780" s="77">
        <v>41127</v>
      </c>
      <c r="D780" s="78">
        <v>41417</v>
      </c>
      <c r="E780" s="79">
        <v>0.14000000000000001</v>
      </c>
      <c r="F780" s="88"/>
      <c r="G780" s="81">
        <v>11587</v>
      </c>
      <c r="H780" s="80">
        <v>1810.52</v>
      </c>
      <c r="I780" s="79">
        <f>H780/G780</f>
        <v>0.15625442306032622</v>
      </c>
    </row>
    <row r="781" spans="1:9" x14ac:dyDescent="0.25">
      <c r="A781" s="70" t="s">
        <v>146</v>
      </c>
      <c r="B781" s="70" t="s">
        <v>167</v>
      </c>
      <c r="C781" s="71">
        <v>40823</v>
      </c>
      <c r="D781" s="72">
        <v>41151</v>
      </c>
      <c r="E781" s="101">
        <v>4.4999999999999999E-4</v>
      </c>
      <c r="F781" s="74">
        <v>126412.88</v>
      </c>
      <c r="G781" s="75"/>
      <c r="H781" s="74">
        <v>19586.21</v>
      </c>
      <c r="I781" s="73">
        <v>0.15493840501062864</v>
      </c>
    </row>
    <row r="782" spans="1:9" x14ac:dyDescent="0.25">
      <c r="A782" s="76" t="s">
        <v>531</v>
      </c>
      <c r="B782" s="76" t="s">
        <v>22</v>
      </c>
      <c r="C782" s="77">
        <v>41106</v>
      </c>
      <c r="D782" s="78">
        <v>41470</v>
      </c>
      <c r="E782" s="79">
        <v>0.01</v>
      </c>
      <c r="F782" s="80"/>
      <c r="G782" s="81">
        <v>3310</v>
      </c>
      <c r="H782" s="80">
        <v>512</v>
      </c>
      <c r="I782" s="79">
        <f>H782/G782</f>
        <v>0.15468277945619335</v>
      </c>
    </row>
    <row r="783" spans="1:9" x14ac:dyDescent="0.25">
      <c r="A783" s="76" t="s">
        <v>449</v>
      </c>
      <c r="B783" s="76" t="s">
        <v>460</v>
      </c>
      <c r="C783" s="77">
        <v>40756</v>
      </c>
      <c r="D783" s="78">
        <v>41121</v>
      </c>
      <c r="E783" s="79">
        <v>0</v>
      </c>
      <c r="F783" s="80">
        <v>196612</v>
      </c>
      <c r="G783" s="81"/>
      <c r="H783" s="80">
        <v>29787</v>
      </c>
      <c r="I783" s="79">
        <f t="shared" ref="I783:I789" si="14">H783/F783</f>
        <v>0.15150143429699103</v>
      </c>
    </row>
    <row r="784" spans="1:9" x14ac:dyDescent="0.25">
      <c r="A784" s="76" t="s">
        <v>613</v>
      </c>
      <c r="B784" s="76" t="s">
        <v>187</v>
      </c>
      <c r="C784" s="77">
        <v>40976</v>
      </c>
      <c r="D784" s="78">
        <v>41305</v>
      </c>
      <c r="E784" s="79">
        <v>8.9999999999999993E-3</v>
      </c>
      <c r="F784" s="80">
        <v>105017</v>
      </c>
      <c r="G784" s="81"/>
      <c r="H784" s="80">
        <v>15798</v>
      </c>
      <c r="I784" s="79">
        <f t="shared" si="14"/>
        <v>0.15043278707256921</v>
      </c>
    </row>
    <row r="785" spans="1:9" x14ac:dyDescent="0.25">
      <c r="A785" s="76" t="s">
        <v>367</v>
      </c>
      <c r="B785" s="76" t="s">
        <v>54</v>
      </c>
      <c r="C785" s="77">
        <v>40967</v>
      </c>
      <c r="D785" s="78">
        <v>41117</v>
      </c>
      <c r="E785" s="79">
        <v>0.15</v>
      </c>
      <c r="F785" s="80">
        <v>65431.5</v>
      </c>
      <c r="G785" s="81"/>
      <c r="H785" s="80">
        <v>9814.73</v>
      </c>
      <c r="I785" s="79">
        <f t="shared" si="14"/>
        <v>0.1500000764157936</v>
      </c>
    </row>
    <row r="786" spans="1:9" x14ac:dyDescent="0.25">
      <c r="A786" s="76" t="s">
        <v>367</v>
      </c>
      <c r="B786" s="76" t="s">
        <v>368</v>
      </c>
      <c r="C786" s="77">
        <v>40739</v>
      </c>
      <c r="D786" s="78">
        <v>41104</v>
      </c>
      <c r="E786" s="79">
        <v>0.13500000000000001</v>
      </c>
      <c r="F786" s="80">
        <v>288916.7</v>
      </c>
      <c r="G786" s="81"/>
      <c r="H786" s="80">
        <v>43337.51</v>
      </c>
      <c r="I786" s="79">
        <f t="shared" si="14"/>
        <v>0.15000001730602627</v>
      </c>
    </row>
    <row r="787" spans="1:9" x14ac:dyDescent="0.25">
      <c r="A787" s="76" t="s">
        <v>478</v>
      </c>
      <c r="B787" s="76" t="s">
        <v>484</v>
      </c>
      <c r="C787" s="77">
        <v>40973</v>
      </c>
      <c r="D787" s="78">
        <v>41337</v>
      </c>
      <c r="E787" s="79">
        <v>0.13500000000000001</v>
      </c>
      <c r="F787" s="80">
        <v>1252566.01</v>
      </c>
      <c r="G787" s="81"/>
      <c r="H787" s="80">
        <v>187884.92</v>
      </c>
      <c r="I787" s="79">
        <f t="shared" si="14"/>
        <v>0.1500000147696807</v>
      </c>
    </row>
    <row r="788" spans="1:9" ht="28.5" x14ac:dyDescent="0.25">
      <c r="A788" s="76" t="s">
        <v>478</v>
      </c>
      <c r="B788" s="76" t="s">
        <v>65</v>
      </c>
      <c r="C788" s="77">
        <v>40787</v>
      </c>
      <c r="D788" s="78">
        <v>41152</v>
      </c>
      <c r="E788" s="79">
        <v>0.13500000000000001</v>
      </c>
      <c r="F788" s="80">
        <v>2329672.44</v>
      </c>
      <c r="G788" s="81"/>
      <c r="H788" s="80">
        <v>349450.87</v>
      </c>
      <c r="I788" s="79">
        <f t="shared" si="14"/>
        <v>0.15000000171697958</v>
      </c>
    </row>
    <row r="789" spans="1:9" ht="28.5" x14ac:dyDescent="0.25">
      <c r="A789" s="76" t="s">
        <v>478</v>
      </c>
      <c r="B789" s="76" t="s">
        <v>123</v>
      </c>
      <c r="C789" s="77">
        <v>41153</v>
      </c>
      <c r="D789" s="78">
        <v>41274</v>
      </c>
      <c r="E789" s="79">
        <v>0.15</v>
      </c>
      <c r="F789" s="80">
        <v>660198.26</v>
      </c>
      <c r="G789" s="81"/>
      <c r="H789" s="80">
        <v>99029.74</v>
      </c>
      <c r="I789" s="79">
        <f t="shared" si="14"/>
        <v>0.1500000015146965</v>
      </c>
    </row>
    <row r="790" spans="1:9" x14ac:dyDescent="0.25">
      <c r="A790" s="70" t="s">
        <v>38</v>
      </c>
      <c r="B790" s="70" t="s">
        <v>43</v>
      </c>
      <c r="C790" s="71">
        <v>41092</v>
      </c>
      <c r="D790" s="72">
        <v>41152</v>
      </c>
      <c r="E790" s="73">
        <v>0.18</v>
      </c>
      <c r="F790" s="74"/>
      <c r="G790" s="75">
        <v>29614</v>
      </c>
      <c r="H790" s="74">
        <v>4442.1000000000004</v>
      </c>
      <c r="I790" s="73">
        <v>0.15000000000000002</v>
      </c>
    </row>
    <row r="791" spans="1:9" ht="28.5" x14ac:dyDescent="0.25">
      <c r="A791" s="70" t="s">
        <v>119</v>
      </c>
      <c r="B791" s="70" t="s">
        <v>96</v>
      </c>
      <c r="C791" s="71">
        <v>40848</v>
      </c>
      <c r="D791" s="72">
        <v>41213</v>
      </c>
      <c r="E791" s="73">
        <v>0.09</v>
      </c>
      <c r="F791" s="74">
        <v>2912561</v>
      </c>
      <c r="G791" s="75"/>
      <c r="H791" s="74">
        <v>436884.15</v>
      </c>
      <c r="I791" s="73">
        <v>0.15</v>
      </c>
    </row>
    <row r="792" spans="1:9" ht="28.5" x14ac:dyDescent="0.25">
      <c r="A792" s="70" t="s">
        <v>122</v>
      </c>
      <c r="B792" s="70" t="s">
        <v>65</v>
      </c>
      <c r="C792" s="71">
        <v>40940</v>
      </c>
      <c r="D792" s="72">
        <v>41305</v>
      </c>
      <c r="E792" s="73">
        <v>0.15</v>
      </c>
      <c r="F792" s="74">
        <v>851914</v>
      </c>
      <c r="G792" s="75"/>
      <c r="H792" s="74">
        <v>127787.1</v>
      </c>
      <c r="I792" s="73">
        <v>0.15</v>
      </c>
    </row>
    <row r="793" spans="1:9" ht="28.5" x14ac:dyDescent="0.25">
      <c r="A793" s="70" t="s">
        <v>122</v>
      </c>
      <c r="B793" s="70" t="s">
        <v>123</v>
      </c>
      <c r="C793" s="71">
        <v>40603</v>
      </c>
      <c r="D793" s="72">
        <v>40939</v>
      </c>
      <c r="E793" s="73">
        <v>0.15</v>
      </c>
      <c r="F793" s="74">
        <v>808864</v>
      </c>
      <c r="G793" s="75"/>
      <c r="H793" s="74">
        <v>121329.60000000001</v>
      </c>
      <c r="I793" s="73">
        <v>0.15</v>
      </c>
    </row>
    <row r="794" spans="1:9" x14ac:dyDescent="0.25">
      <c r="A794" s="76" t="s">
        <v>367</v>
      </c>
      <c r="B794" s="76" t="s">
        <v>369</v>
      </c>
      <c r="C794" s="77">
        <v>41105</v>
      </c>
      <c r="D794" s="78">
        <v>41469</v>
      </c>
      <c r="E794" s="79">
        <v>0.13500000000000001</v>
      </c>
      <c r="F794" s="80"/>
      <c r="G794" s="81">
        <v>336861</v>
      </c>
      <c r="H794" s="80">
        <v>50529.15</v>
      </c>
      <c r="I794" s="79">
        <f>H794/G794</f>
        <v>0.15</v>
      </c>
    </row>
    <row r="795" spans="1:9" x14ac:dyDescent="0.25">
      <c r="A795" s="76" t="s">
        <v>367</v>
      </c>
      <c r="B795" s="76" t="s">
        <v>54</v>
      </c>
      <c r="C795" s="77">
        <v>40695</v>
      </c>
      <c r="D795" s="78">
        <v>40966</v>
      </c>
      <c r="E795" s="79">
        <v>0.15</v>
      </c>
      <c r="F795" s="80">
        <v>285683.40000000002</v>
      </c>
      <c r="G795" s="81"/>
      <c r="H795" s="80">
        <v>42852.51</v>
      </c>
      <c r="I795" s="79">
        <f>H795/F795</f>
        <v>0.15</v>
      </c>
    </row>
    <row r="796" spans="1:9" x14ac:dyDescent="0.25">
      <c r="A796" s="76" t="s">
        <v>512</v>
      </c>
      <c r="B796" s="76" t="s">
        <v>425</v>
      </c>
      <c r="C796" s="77">
        <v>40996</v>
      </c>
      <c r="D796" s="78">
        <v>41360</v>
      </c>
      <c r="E796" s="79">
        <v>0.16</v>
      </c>
      <c r="F796" s="80"/>
      <c r="G796" s="81">
        <v>59947</v>
      </c>
      <c r="H796" s="80">
        <v>8992.0499999999993</v>
      </c>
      <c r="I796" s="79">
        <f>H796/G796</f>
        <v>0.15</v>
      </c>
    </row>
    <row r="797" spans="1:9" x14ac:dyDescent="0.25">
      <c r="A797" s="76" t="s">
        <v>685</v>
      </c>
      <c r="B797" s="76" t="s">
        <v>688</v>
      </c>
      <c r="C797" s="77">
        <v>40817</v>
      </c>
      <c r="D797" s="78">
        <v>41182</v>
      </c>
      <c r="E797" s="79">
        <v>0.13500000000000001</v>
      </c>
      <c r="F797" s="80">
        <v>40922</v>
      </c>
      <c r="G797" s="81"/>
      <c r="H797" s="80">
        <v>6138.3</v>
      </c>
      <c r="I797" s="79">
        <f>H797/F797</f>
        <v>0.15</v>
      </c>
    </row>
    <row r="798" spans="1:9" x14ac:dyDescent="0.25">
      <c r="A798" s="76" t="s">
        <v>367</v>
      </c>
      <c r="B798" s="76" t="s">
        <v>370</v>
      </c>
      <c r="C798" s="77">
        <v>41131</v>
      </c>
      <c r="D798" s="78">
        <v>41495</v>
      </c>
      <c r="E798" s="79">
        <v>0.15</v>
      </c>
      <c r="F798" s="80">
        <v>37755</v>
      </c>
      <c r="G798" s="81"/>
      <c r="H798" s="80">
        <v>5663.25</v>
      </c>
      <c r="I798" s="79">
        <f>H798/F798</f>
        <v>0.15</v>
      </c>
    </row>
    <row r="799" spans="1:9" x14ac:dyDescent="0.25">
      <c r="A799" s="70" t="s">
        <v>66</v>
      </c>
      <c r="B799" s="70" t="s">
        <v>70</v>
      </c>
      <c r="C799" s="71">
        <v>40820</v>
      </c>
      <c r="D799" s="72">
        <v>41185</v>
      </c>
      <c r="E799" s="73">
        <v>0.09</v>
      </c>
      <c r="F799" s="74">
        <v>30623</v>
      </c>
      <c r="G799" s="75"/>
      <c r="H799" s="74">
        <v>4593.45</v>
      </c>
      <c r="I799" s="73">
        <v>0.15</v>
      </c>
    </row>
    <row r="800" spans="1:9" ht="28.5" x14ac:dyDescent="0.25">
      <c r="A800" s="70" t="s">
        <v>122</v>
      </c>
      <c r="B800" s="70" t="s">
        <v>65</v>
      </c>
      <c r="C800" s="71">
        <v>40940</v>
      </c>
      <c r="D800" s="72">
        <v>41305</v>
      </c>
      <c r="E800" s="73">
        <v>0.15</v>
      </c>
      <c r="F800" s="74"/>
      <c r="G800" s="75">
        <v>21216</v>
      </c>
      <c r="H800" s="74">
        <v>3182.4</v>
      </c>
      <c r="I800" s="73">
        <v>0.15</v>
      </c>
    </row>
    <row r="801" spans="1:9" s="87" customFormat="1" x14ac:dyDescent="0.25">
      <c r="A801" s="70" t="s">
        <v>38</v>
      </c>
      <c r="B801" s="70" t="s">
        <v>51</v>
      </c>
      <c r="C801" s="71">
        <v>40909</v>
      </c>
      <c r="D801" s="72" t="s">
        <v>696</v>
      </c>
      <c r="E801" s="73">
        <v>0.15</v>
      </c>
      <c r="F801" s="74"/>
      <c r="G801" s="75">
        <v>19890</v>
      </c>
      <c r="H801" s="74">
        <v>2983.5</v>
      </c>
      <c r="I801" s="73">
        <v>0.15</v>
      </c>
    </row>
    <row r="802" spans="1:9" x14ac:dyDescent="0.25">
      <c r="A802" s="70" t="s">
        <v>122</v>
      </c>
      <c r="B802" s="70" t="s">
        <v>125</v>
      </c>
      <c r="C802" s="71">
        <v>40817</v>
      </c>
      <c r="D802" s="72">
        <v>41182</v>
      </c>
      <c r="E802" s="73">
        <v>0.15</v>
      </c>
      <c r="F802" s="74"/>
      <c r="G802" s="75">
        <v>9878</v>
      </c>
      <c r="H802" s="74">
        <v>1481.7</v>
      </c>
      <c r="I802" s="73">
        <v>0.15</v>
      </c>
    </row>
    <row r="803" spans="1:9" x14ac:dyDescent="0.25">
      <c r="A803" s="76" t="s">
        <v>512</v>
      </c>
      <c r="B803" s="76" t="s">
        <v>514</v>
      </c>
      <c r="C803" s="77">
        <v>40865</v>
      </c>
      <c r="D803" s="78">
        <v>41230</v>
      </c>
      <c r="E803" s="79">
        <v>0.13500000000000001</v>
      </c>
      <c r="F803" s="80"/>
      <c r="G803" s="81">
        <v>9772</v>
      </c>
      <c r="H803" s="80">
        <v>1465.8</v>
      </c>
      <c r="I803" s="79">
        <f>H803/G803</f>
        <v>0.15</v>
      </c>
    </row>
    <row r="804" spans="1:9" x14ac:dyDescent="0.25">
      <c r="A804" s="76" t="s">
        <v>790</v>
      </c>
      <c r="B804" s="76" t="s">
        <v>1587</v>
      </c>
      <c r="C804" s="77">
        <v>40695</v>
      </c>
      <c r="D804" s="78">
        <v>41060</v>
      </c>
      <c r="E804" s="79">
        <v>0.15</v>
      </c>
      <c r="F804" s="80"/>
      <c r="G804" s="81">
        <v>9672</v>
      </c>
      <c r="H804" s="80">
        <v>1450.8</v>
      </c>
      <c r="I804" s="73">
        <f>H804/G804</f>
        <v>0.15</v>
      </c>
    </row>
    <row r="805" spans="1:9" x14ac:dyDescent="0.25">
      <c r="A805" s="76" t="s">
        <v>504</v>
      </c>
      <c r="B805" s="76" t="s">
        <v>70</v>
      </c>
      <c r="C805" s="77">
        <v>40820</v>
      </c>
      <c r="D805" s="78">
        <v>41185</v>
      </c>
      <c r="E805" s="79">
        <v>0.09</v>
      </c>
      <c r="F805" s="80"/>
      <c r="G805" s="81">
        <v>6933</v>
      </c>
      <c r="H805" s="80">
        <v>1039.95</v>
      </c>
      <c r="I805" s="79">
        <f>H805/G805</f>
        <v>0.15</v>
      </c>
    </row>
    <row r="806" spans="1:9" x14ac:dyDescent="0.25">
      <c r="A806" s="76" t="s">
        <v>555</v>
      </c>
      <c r="B806" s="76" t="s">
        <v>44</v>
      </c>
      <c r="C806" s="77">
        <v>40588</v>
      </c>
      <c r="D806" s="78">
        <v>40952</v>
      </c>
      <c r="E806" s="79">
        <v>0.15</v>
      </c>
      <c r="F806" s="80"/>
      <c r="G806" s="81">
        <v>6854</v>
      </c>
      <c r="H806" s="80">
        <v>1028.0999999999999</v>
      </c>
      <c r="I806" s="79">
        <f>H806/G806</f>
        <v>0.15</v>
      </c>
    </row>
    <row r="807" spans="1:9" x14ac:dyDescent="0.25">
      <c r="A807" s="76" t="s">
        <v>504</v>
      </c>
      <c r="B807" s="76" t="s">
        <v>511</v>
      </c>
      <c r="C807" s="77">
        <v>40969</v>
      </c>
      <c r="D807" s="78">
        <v>41333</v>
      </c>
      <c r="E807" s="79">
        <v>0.13500000000000001</v>
      </c>
      <c r="F807" s="80"/>
      <c r="G807" s="81">
        <v>5917</v>
      </c>
      <c r="H807" s="80">
        <v>887.55</v>
      </c>
      <c r="I807" s="79">
        <f>H807/G807</f>
        <v>0.15</v>
      </c>
    </row>
    <row r="808" spans="1:9" x14ac:dyDescent="0.25">
      <c r="A808" s="76" t="s">
        <v>555</v>
      </c>
      <c r="B808" s="76" t="s">
        <v>70</v>
      </c>
      <c r="C808" s="77">
        <v>40820</v>
      </c>
      <c r="D808" s="78">
        <v>41185</v>
      </c>
      <c r="E808" s="79">
        <v>0.09</v>
      </c>
      <c r="F808" s="80">
        <v>4836</v>
      </c>
      <c r="G808" s="81"/>
      <c r="H808" s="80">
        <v>725.4</v>
      </c>
      <c r="I808" s="79">
        <f>H808/F808</f>
        <v>0.15</v>
      </c>
    </row>
    <row r="809" spans="1:9" x14ac:dyDescent="0.25">
      <c r="A809" s="76" t="s">
        <v>555</v>
      </c>
      <c r="B809" s="76" t="s">
        <v>44</v>
      </c>
      <c r="C809" s="77">
        <v>40953</v>
      </c>
      <c r="D809" s="78">
        <v>41318</v>
      </c>
      <c r="E809" s="79">
        <v>0.15</v>
      </c>
      <c r="F809" s="80"/>
      <c r="G809" s="81">
        <v>4655</v>
      </c>
      <c r="H809" s="80">
        <v>698.25</v>
      </c>
      <c r="I809" s="79">
        <f>H809/G809</f>
        <v>0.15</v>
      </c>
    </row>
    <row r="810" spans="1:9" x14ac:dyDescent="0.25">
      <c r="A810" s="70" t="s">
        <v>119</v>
      </c>
      <c r="B810" s="70" t="s">
        <v>39</v>
      </c>
      <c r="C810" s="71">
        <v>40787</v>
      </c>
      <c r="D810" s="72">
        <v>41152</v>
      </c>
      <c r="E810" s="73">
        <v>0.09</v>
      </c>
      <c r="F810" s="74">
        <v>2673607.9</v>
      </c>
      <c r="G810" s="75"/>
      <c r="H810" s="74">
        <v>401041.18</v>
      </c>
      <c r="I810" s="73">
        <v>0.14999999812986789</v>
      </c>
    </row>
    <row r="811" spans="1:9" x14ac:dyDescent="0.25">
      <c r="A811" s="76" t="s">
        <v>236</v>
      </c>
      <c r="B811" s="76" t="s">
        <v>51</v>
      </c>
      <c r="C811" s="77">
        <v>40893</v>
      </c>
      <c r="D811" s="78">
        <v>41258</v>
      </c>
      <c r="E811" s="79">
        <v>0.15</v>
      </c>
      <c r="F811" s="80"/>
      <c r="G811" s="81">
        <v>247343.87</v>
      </c>
      <c r="H811" s="80">
        <v>37101.58</v>
      </c>
      <c r="I811" s="79">
        <f>H811/G811</f>
        <v>0.14999999797852279</v>
      </c>
    </row>
    <row r="812" spans="1:9" x14ac:dyDescent="0.25">
      <c r="A812" s="70" t="s">
        <v>130</v>
      </c>
      <c r="B812" s="70" t="s">
        <v>134</v>
      </c>
      <c r="C812" s="71">
        <v>40817</v>
      </c>
      <c r="D812" s="72">
        <v>41182</v>
      </c>
      <c r="E812" s="73">
        <v>0.13500000000000001</v>
      </c>
      <c r="F812" s="74">
        <v>1527045.5</v>
      </c>
      <c r="G812" s="75"/>
      <c r="H812" s="74">
        <v>229056.82</v>
      </c>
      <c r="I812" s="73">
        <v>0.14999999672570333</v>
      </c>
    </row>
    <row r="813" spans="1:9" x14ac:dyDescent="0.25">
      <c r="A813" s="76" t="s">
        <v>790</v>
      </c>
      <c r="B813" s="76" t="s">
        <v>1587</v>
      </c>
      <c r="C813" s="77">
        <v>40695</v>
      </c>
      <c r="D813" s="78">
        <v>41060</v>
      </c>
      <c r="E813" s="79">
        <v>0.15</v>
      </c>
      <c r="F813" s="80">
        <v>66082.62</v>
      </c>
      <c r="G813" s="81"/>
      <c r="H813" s="80">
        <v>9912.39</v>
      </c>
      <c r="I813" s="73">
        <f>H813/F813</f>
        <v>0.14999995460228424</v>
      </c>
    </row>
    <row r="814" spans="1:9" x14ac:dyDescent="0.25">
      <c r="A814" s="76" t="s">
        <v>478</v>
      </c>
      <c r="B814" s="76" t="s">
        <v>482</v>
      </c>
      <c r="C814" s="77">
        <v>40918</v>
      </c>
      <c r="D814" s="78">
        <v>41274</v>
      </c>
      <c r="E814" s="79">
        <v>0.15</v>
      </c>
      <c r="F814" s="80">
        <v>158308.39000000001</v>
      </c>
      <c r="G814" s="81"/>
      <c r="H814" s="80">
        <v>23746.25</v>
      </c>
      <c r="I814" s="79">
        <f>H814/F814</f>
        <v>0.14999994630733088</v>
      </c>
    </row>
    <row r="815" spans="1:9" x14ac:dyDescent="0.25">
      <c r="A815" s="76" t="s">
        <v>478</v>
      </c>
      <c r="B815" s="76" t="s">
        <v>483</v>
      </c>
      <c r="C815" s="77">
        <v>40918</v>
      </c>
      <c r="D815" s="78">
        <v>41274</v>
      </c>
      <c r="E815" s="79">
        <v>0.15</v>
      </c>
      <c r="F815" s="80">
        <v>152971.32999999999</v>
      </c>
      <c r="G815" s="81"/>
      <c r="H815" s="80">
        <v>22945.69</v>
      </c>
      <c r="I815" s="79">
        <f>H815/F815</f>
        <v>0.1499999378968595</v>
      </c>
    </row>
    <row r="816" spans="1:9" x14ac:dyDescent="0.25">
      <c r="A816" s="76" t="s">
        <v>512</v>
      </c>
      <c r="B816" s="76" t="s">
        <v>420</v>
      </c>
      <c r="C816" s="77">
        <v>40575</v>
      </c>
      <c r="D816" s="78">
        <v>40939</v>
      </c>
      <c r="E816" s="79">
        <v>0.15</v>
      </c>
      <c r="F816" s="88"/>
      <c r="G816" s="81">
        <v>29347.42</v>
      </c>
      <c r="H816" s="80">
        <v>4402.1099999999997</v>
      </c>
      <c r="I816" s="79">
        <f>H816/G816</f>
        <v>0.1499998977763633</v>
      </c>
    </row>
    <row r="817" spans="1:9" x14ac:dyDescent="0.25">
      <c r="A817" s="76" t="s">
        <v>685</v>
      </c>
      <c r="B817" s="76" t="s">
        <v>689</v>
      </c>
      <c r="C817" s="77">
        <v>40848</v>
      </c>
      <c r="D817" s="78">
        <v>41213</v>
      </c>
      <c r="E817" s="79">
        <v>0.15</v>
      </c>
      <c r="F817" s="80">
        <v>128936</v>
      </c>
      <c r="G817" s="81"/>
      <c r="H817" s="80">
        <v>19340</v>
      </c>
      <c r="I817" s="79">
        <f>H817/F817</f>
        <v>0.14999689768567351</v>
      </c>
    </row>
    <row r="818" spans="1:9" x14ac:dyDescent="0.25">
      <c r="A818" s="76" t="s">
        <v>504</v>
      </c>
      <c r="B818" s="76" t="s">
        <v>54</v>
      </c>
      <c r="C818" s="77">
        <v>40899</v>
      </c>
      <c r="D818" s="78">
        <v>41197</v>
      </c>
      <c r="E818" s="79">
        <v>0.15</v>
      </c>
      <c r="F818" s="80"/>
      <c r="G818" s="81">
        <v>10262</v>
      </c>
      <c r="H818" s="80">
        <v>1529.3</v>
      </c>
      <c r="I818" s="79">
        <f>H818/G818</f>
        <v>0.14902553108555835</v>
      </c>
    </row>
    <row r="819" spans="1:9" x14ac:dyDescent="0.25">
      <c r="A819" s="76" t="s">
        <v>390</v>
      </c>
      <c r="B819" s="76" t="s">
        <v>45</v>
      </c>
      <c r="C819" s="77">
        <v>40974</v>
      </c>
      <c r="D819" s="78">
        <v>41338</v>
      </c>
      <c r="E819" s="79">
        <v>0.13500000000000001</v>
      </c>
      <c r="F819" s="80">
        <v>1486210.94</v>
      </c>
      <c r="G819" s="81"/>
      <c r="H819" s="80">
        <v>220075.05</v>
      </c>
      <c r="I819" s="79">
        <f>H819/F819</f>
        <v>0.14807793703900471</v>
      </c>
    </row>
    <row r="820" spans="1:9" x14ac:dyDescent="0.25">
      <c r="A820" s="76" t="s">
        <v>390</v>
      </c>
      <c r="B820" s="76" t="s">
        <v>45</v>
      </c>
      <c r="C820" s="77">
        <v>40974</v>
      </c>
      <c r="D820" s="78">
        <v>41338</v>
      </c>
      <c r="E820" s="79">
        <v>0.13500000000000001</v>
      </c>
      <c r="F820" s="80"/>
      <c r="G820" s="81">
        <v>120828.95</v>
      </c>
      <c r="H820" s="80">
        <v>17892.099999999999</v>
      </c>
      <c r="I820" s="79">
        <f>H820/G820</f>
        <v>0.14807792337846185</v>
      </c>
    </row>
    <row r="821" spans="1:9" ht="28.5" x14ac:dyDescent="0.25">
      <c r="A821" s="70" t="s">
        <v>60</v>
      </c>
      <c r="B821" s="70" t="s">
        <v>62</v>
      </c>
      <c r="C821" s="71">
        <v>40690</v>
      </c>
      <c r="D821" s="72">
        <v>41055</v>
      </c>
      <c r="E821" s="73">
        <v>0.09</v>
      </c>
      <c r="F821" s="74">
        <v>94271.14</v>
      </c>
      <c r="G821" s="75"/>
      <c r="H821" s="74">
        <v>13904.01</v>
      </c>
      <c r="I821" s="73">
        <v>0.14748957103945068</v>
      </c>
    </row>
    <row r="822" spans="1:9" ht="28.5" x14ac:dyDescent="0.25">
      <c r="A822" s="70" t="s">
        <v>60</v>
      </c>
      <c r="B822" s="70" t="s">
        <v>62</v>
      </c>
      <c r="C822" s="71">
        <v>40690</v>
      </c>
      <c r="D822" s="72">
        <v>41055</v>
      </c>
      <c r="E822" s="73">
        <v>0.09</v>
      </c>
      <c r="F822" s="74"/>
      <c r="G822" s="75">
        <v>4198</v>
      </c>
      <c r="H822" s="74">
        <v>619.15</v>
      </c>
      <c r="I822" s="73">
        <v>0.14748689852310623</v>
      </c>
    </row>
    <row r="823" spans="1:9" ht="28.5" x14ac:dyDescent="0.25">
      <c r="A823" s="76" t="s">
        <v>392</v>
      </c>
      <c r="B823" s="76" t="s">
        <v>287</v>
      </c>
      <c r="C823" s="77">
        <v>41011</v>
      </c>
      <c r="D823" s="78">
        <v>41394</v>
      </c>
      <c r="E823" s="79">
        <v>8.9999999999999993E-3</v>
      </c>
      <c r="F823" s="80"/>
      <c r="G823" s="81">
        <v>190</v>
      </c>
      <c r="H823" s="80">
        <v>27.86</v>
      </c>
      <c r="I823" s="79">
        <f>H823/G823</f>
        <v>0.14663157894736842</v>
      </c>
    </row>
    <row r="824" spans="1:9" x14ac:dyDescent="0.25">
      <c r="A824" s="70" t="s">
        <v>60</v>
      </c>
      <c r="B824" s="70" t="s">
        <v>43</v>
      </c>
      <c r="C824" s="71">
        <v>40732</v>
      </c>
      <c r="D824" s="72">
        <v>41097</v>
      </c>
      <c r="E824" s="73">
        <v>0.09</v>
      </c>
      <c r="F824" s="74">
        <v>185777.2</v>
      </c>
      <c r="G824" s="75"/>
      <c r="H824" s="74">
        <v>27115.279999999999</v>
      </c>
      <c r="I824" s="73">
        <v>0.14595590847531342</v>
      </c>
    </row>
    <row r="825" spans="1:9" x14ac:dyDescent="0.25">
      <c r="A825" s="70" t="s">
        <v>60</v>
      </c>
      <c r="B825" s="70" t="s">
        <v>43</v>
      </c>
      <c r="C825" s="71">
        <v>40732</v>
      </c>
      <c r="D825" s="72">
        <v>41097</v>
      </c>
      <c r="E825" s="73">
        <v>0.09</v>
      </c>
      <c r="F825" s="74"/>
      <c r="G825" s="75">
        <v>10736</v>
      </c>
      <c r="H825" s="74">
        <v>1566.93</v>
      </c>
      <c r="I825" s="73">
        <v>0.14595100596125188</v>
      </c>
    </row>
    <row r="826" spans="1:9" x14ac:dyDescent="0.25">
      <c r="A826" s="70" t="s">
        <v>20</v>
      </c>
      <c r="B826" s="70" t="s">
        <v>34</v>
      </c>
      <c r="C826" s="71">
        <v>40973</v>
      </c>
      <c r="D826" s="72">
        <v>41319</v>
      </c>
      <c r="E826" s="73">
        <v>0</v>
      </c>
      <c r="F826" s="74">
        <v>13327</v>
      </c>
      <c r="G826" s="75"/>
      <c r="H826" s="74">
        <v>1933.53</v>
      </c>
      <c r="I826" s="73">
        <v>0.14508366474075185</v>
      </c>
    </row>
    <row r="827" spans="1:9" ht="28.5" x14ac:dyDescent="0.25">
      <c r="A827" s="76" t="s">
        <v>315</v>
      </c>
      <c r="B827" s="76" t="s">
        <v>327</v>
      </c>
      <c r="C827" s="77">
        <v>40725</v>
      </c>
      <c r="D827" s="78">
        <v>41090</v>
      </c>
      <c r="E827" s="79">
        <v>0</v>
      </c>
      <c r="F827" s="80"/>
      <c r="G827" s="81">
        <v>95109.58</v>
      </c>
      <c r="H827" s="80">
        <v>13691.05</v>
      </c>
      <c r="I827" s="79">
        <f>H827/G827</f>
        <v>0.14395027293780499</v>
      </c>
    </row>
    <row r="828" spans="1:9" ht="28.5" x14ac:dyDescent="0.25">
      <c r="A828" s="76" t="s">
        <v>315</v>
      </c>
      <c r="B828" s="76" t="s">
        <v>327</v>
      </c>
      <c r="C828" s="77">
        <v>40725</v>
      </c>
      <c r="D828" s="78">
        <v>41090</v>
      </c>
      <c r="E828" s="79">
        <v>0</v>
      </c>
      <c r="F828" s="80">
        <v>2334193.5699999998</v>
      </c>
      <c r="G828" s="81"/>
      <c r="H828" s="80">
        <v>336007.8</v>
      </c>
      <c r="I828" s="79">
        <f>H828/F828</f>
        <v>0.1439502722989679</v>
      </c>
    </row>
    <row r="829" spans="1:9" x14ac:dyDescent="0.25">
      <c r="A829" s="76" t="s">
        <v>549</v>
      </c>
      <c r="B829" s="76" t="s">
        <v>554</v>
      </c>
      <c r="C829" s="77">
        <v>40891</v>
      </c>
      <c r="D829" s="78">
        <v>41090</v>
      </c>
      <c r="E829" s="79">
        <v>0.32400000000000001</v>
      </c>
      <c r="F829" s="80">
        <v>13650</v>
      </c>
      <c r="G829" s="88"/>
      <c r="H829" s="80">
        <v>1957.95</v>
      </c>
      <c r="I829" s="79">
        <f>H829/F829</f>
        <v>0.14343956043956044</v>
      </c>
    </row>
    <row r="830" spans="1:9" x14ac:dyDescent="0.25">
      <c r="A830" s="76" t="s">
        <v>685</v>
      </c>
      <c r="B830" s="76" t="s">
        <v>690</v>
      </c>
      <c r="C830" s="77">
        <v>40878</v>
      </c>
      <c r="D830" s="78">
        <v>41243</v>
      </c>
      <c r="E830" s="79">
        <v>0.1</v>
      </c>
      <c r="F830" s="80"/>
      <c r="G830" s="81">
        <v>47400</v>
      </c>
      <c r="H830" s="80">
        <v>6782.36</v>
      </c>
      <c r="I830" s="79">
        <f>H830/G830</f>
        <v>0.14308776371308016</v>
      </c>
    </row>
    <row r="831" spans="1:9" x14ac:dyDescent="0.25">
      <c r="A831" s="70" t="s">
        <v>130</v>
      </c>
      <c r="B831" s="70" t="s">
        <v>44</v>
      </c>
      <c r="C831" s="71">
        <v>40817</v>
      </c>
      <c r="D831" s="72">
        <v>41182</v>
      </c>
      <c r="E831" s="73">
        <v>0.126</v>
      </c>
      <c r="F831" s="74">
        <v>581038.1</v>
      </c>
      <c r="G831" s="75"/>
      <c r="H831" s="74">
        <v>82349.39</v>
      </c>
      <c r="I831" s="73">
        <v>0.14172803814414237</v>
      </c>
    </row>
    <row r="832" spans="1:9" x14ac:dyDescent="0.25">
      <c r="A832" s="70" t="s">
        <v>130</v>
      </c>
      <c r="B832" s="70" t="s">
        <v>136</v>
      </c>
      <c r="C832" s="71">
        <v>40787</v>
      </c>
      <c r="D832" s="72">
        <v>41152</v>
      </c>
      <c r="E832" s="73">
        <v>0.14000000000000001</v>
      </c>
      <c r="F832" s="74">
        <v>306672.42</v>
      </c>
      <c r="G832" s="75"/>
      <c r="H832" s="74">
        <v>43355.96</v>
      </c>
      <c r="I832" s="73">
        <v>0.14137547810787812</v>
      </c>
    </row>
    <row r="833" spans="1:9" x14ac:dyDescent="0.25">
      <c r="A833" s="70" t="s">
        <v>146</v>
      </c>
      <c r="B833" s="70" t="s">
        <v>94</v>
      </c>
      <c r="C833" s="71">
        <v>40641</v>
      </c>
      <c r="D833" s="72">
        <v>40982</v>
      </c>
      <c r="E833" s="101">
        <v>4.4999999999999999E-4</v>
      </c>
      <c r="F833" s="74">
        <v>70560</v>
      </c>
      <c r="G833" s="75">
        <v>46628</v>
      </c>
      <c r="H833" s="74">
        <v>9912.1299999999992</v>
      </c>
      <c r="I833" s="73">
        <v>0.14047803287981858</v>
      </c>
    </row>
    <row r="834" spans="1:9" x14ac:dyDescent="0.25">
      <c r="A834" s="76" t="s">
        <v>367</v>
      </c>
      <c r="B834" s="76" t="s">
        <v>43</v>
      </c>
      <c r="C834" s="77">
        <v>40801</v>
      </c>
      <c r="D834" s="78">
        <v>41166</v>
      </c>
      <c r="E834" s="79">
        <v>0.14000000000000001</v>
      </c>
      <c r="F834" s="80">
        <v>32162.560000000001</v>
      </c>
      <c r="G834" s="81"/>
      <c r="H834" s="80">
        <v>4502.76</v>
      </c>
      <c r="I834" s="79">
        <f>H834/F834</f>
        <v>0.14000004974728381</v>
      </c>
    </row>
    <row r="835" spans="1:9" x14ac:dyDescent="0.25">
      <c r="A835" s="76" t="s">
        <v>367</v>
      </c>
      <c r="B835" s="76" t="s">
        <v>43</v>
      </c>
      <c r="C835" s="77">
        <v>41167</v>
      </c>
      <c r="D835" s="78">
        <v>41531</v>
      </c>
      <c r="E835" s="79">
        <v>0.14000000000000001</v>
      </c>
      <c r="F835" s="80">
        <v>24732</v>
      </c>
      <c r="G835" s="81"/>
      <c r="H835" s="80">
        <v>3462.48</v>
      </c>
      <c r="I835" s="79">
        <f>H835/F835</f>
        <v>0.14000000000000001</v>
      </c>
    </row>
    <row r="836" spans="1:9" x14ac:dyDescent="0.25">
      <c r="A836" s="70" t="s">
        <v>130</v>
      </c>
      <c r="B836" s="70" t="s">
        <v>136</v>
      </c>
      <c r="C836" s="71">
        <v>41153</v>
      </c>
      <c r="D836" s="72">
        <v>41274</v>
      </c>
      <c r="E836" s="73">
        <v>0.126</v>
      </c>
      <c r="F836" s="74">
        <v>94937.38</v>
      </c>
      <c r="G836" s="75"/>
      <c r="H836" s="74">
        <v>13291.23</v>
      </c>
      <c r="I836" s="73">
        <v>0.13999996629357161</v>
      </c>
    </row>
    <row r="837" spans="1:9" x14ac:dyDescent="0.25">
      <c r="A837" s="70" t="s">
        <v>140</v>
      </c>
      <c r="B837" s="70" t="s">
        <v>142</v>
      </c>
      <c r="C837" s="71">
        <v>40909</v>
      </c>
      <c r="D837" s="72">
        <v>41274</v>
      </c>
      <c r="E837" s="73">
        <v>0.125</v>
      </c>
      <c r="F837" s="74">
        <v>972020.15</v>
      </c>
      <c r="G837" s="75"/>
      <c r="H837" s="74">
        <v>133158.56</v>
      </c>
      <c r="I837" s="73">
        <v>0.13699156339505925</v>
      </c>
    </row>
    <row r="838" spans="1:9" x14ac:dyDescent="0.25">
      <c r="A838" s="70" t="s">
        <v>140</v>
      </c>
      <c r="B838" s="70" t="s">
        <v>142</v>
      </c>
      <c r="C838" s="71">
        <v>40909</v>
      </c>
      <c r="D838" s="72">
        <v>41274</v>
      </c>
      <c r="E838" s="73">
        <v>0.125</v>
      </c>
      <c r="F838" s="74"/>
      <c r="G838" s="75">
        <v>972020.15</v>
      </c>
      <c r="H838" s="74">
        <v>133158.56</v>
      </c>
      <c r="I838" s="73">
        <v>0.13699156339505925</v>
      </c>
    </row>
    <row r="839" spans="1:9" x14ac:dyDescent="0.25">
      <c r="A839" s="76" t="s">
        <v>531</v>
      </c>
      <c r="B839" s="76" t="s">
        <v>532</v>
      </c>
      <c r="C839" s="77">
        <v>40948</v>
      </c>
      <c r="D839" s="78">
        <v>41305</v>
      </c>
      <c r="E839" s="79">
        <v>8.9999999999999993E-3</v>
      </c>
      <c r="F839" s="80"/>
      <c r="G839" s="81">
        <v>5001</v>
      </c>
      <c r="H839" s="80">
        <v>682</v>
      </c>
      <c r="I839" s="79">
        <f>H839/G839</f>
        <v>0.13637272545490903</v>
      </c>
    </row>
    <row r="840" spans="1:9" x14ac:dyDescent="0.25">
      <c r="A840" s="76" t="s">
        <v>289</v>
      </c>
      <c r="B840" s="76" t="s">
        <v>297</v>
      </c>
      <c r="C840" s="77">
        <v>41239</v>
      </c>
      <c r="D840" s="78">
        <v>41331</v>
      </c>
      <c r="E840" s="79">
        <v>0.13</v>
      </c>
      <c r="F840" s="88"/>
      <c r="G840" s="81">
        <v>9282</v>
      </c>
      <c r="H840" s="80">
        <v>1261.6600000000001</v>
      </c>
      <c r="I840" s="79">
        <f>H840/G840</f>
        <v>0.1359254471019177</v>
      </c>
    </row>
    <row r="841" spans="1:9" x14ac:dyDescent="0.25">
      <c r="A841" s="76" t="s">
        <v>289</v>
      </c>
      <c r="B841" s="76" t="s">
        <v>297</v>
      </c>
      <c r="C841" s="77">
        <v>41239</v>
      </c>
      <c r="D841" s="78">
        <v>41331</v>
      </c>
      <c r="E841" s="79">
        <v>0.13</v>
      </c>
      <c r="F841" s="88"/>
      <c r="G841" s="81">
        <v>9282</v>
      </c>
      <c r="H841" s="80">
        <v>1261.6600000000001</v>
      </c>
      <c r="I841" s="79">
        <f>H841/G841</f>
        <v>0.1359254471019177</v>
      </c>
    </row>
    <row r="842" spans="1:9" x14ac:dyDescent="0.25">
      <c r="A842" s="70" t="s">
        <v>140</v>
      </c>
      <c r="B842" s="70" t="s">
        <v>141</v>
      </c>
      <c r="C842" s="71">
        <v>40742</v>
      </c>
      <c r="D842" s="72">
        <v>41060</v>
      </c>
      <c r="E842" s="73">
        <v>0.125</v>
      </c>
      <c r="F842" s="74"/>
      <c r="G842" s="75">
        <v>15409.97</v>
      </c>
      <c r="H842" s="74">
        <v>2090.79</v>
      </c>
      <c r="I842" s="73">
        <v>0.13567774629022639</v>
      </c>
    </row>
    <row r="843" spans="1:9" x14ac:dyDescent="0.25">
      <c r="A843" s="76" t="s">
        <v>478</v>
      </c>
      <c r="B843" s="76" t="s">
        <v>100</v>
      </c>
      <c r="C843" s="77">
        <v>40611</v>
      </c>
      <c r="D843" s="78">
        <v>40976</v>
      </c>
      <c r="E843" s="79">
        <v>0.13500000000000001</v>
      </c>
      <c r="F843" s="80">
        <v>555296.68999999994</v>
      </c>
      <c r="G843" s="81"/>
      <c r="H843" s="80">
        <v>74965.070000000007</v>
      </c>
      <c r="I843" s="79">
        <f>H843/F843</f>
        <v>0.13500003034413913</v>
      </c>
    </row>
    <row r="844" spans="1:9" x14ac:dyDescent="0.25">
      <c r="A844" s="76" t="s">
        <v>478</v>
      </c>
      <c r="B844" s="76" t="s">
        <v>100</v>
      </c>
      <c r="C844" s="77">
        <v>40977</v>
      </c>
      <c r="D844" s="78">
        <v>41341</v>
      </c>
      <c r="E844" s="79">
        <v>0.13500000000000001</v>
      </c>
      <c r="F844" s="80">
        <v>520790.8</v>
      </c>
      <c r="G844" s="81"/>
      <c r="H844" s="80">
        <v>70306.759999999995</v>
      </c>
      <c r="I844" s="79">
        <f>H844/F844</f>
        <v>0.1350000038403136</v>
      </c>
    </row>
    <row r="845" spans="1:9" x14ac:dyDescent="0.25">
      <c r="A845" s="70" t="s">
        <v>60</v>
      </c>
      <c r="B845" s="70" t="s">
        <v>61</v>
      </c>
      <c r="C845" s="71">
        <v>40725</v>
      </c>
      <c r="D845" s="72">
        <v>41090</v>
      </c>
      <c r="E845" s="73">
        <v>0.09</v>
      </c>
      <c r="F845" s="74"/>
      <c r="G845" s="75">
        <v>68728.34</v>
      </c>
      <c r="H845" s="74">
        <v>9233.2800000000007</v>
      </c>
      <c r="I845" s="73">
        <v>0.13434458041617187</v>
      </c>
    </row>
    <row r="846" spans="1:9" x14ac:dyDescent="0.25">
      <c r="A846" s="70" t="s">
        <v>60</v>
      </c>
      <c r="B846" s="70" t="s">
        <v>61</v>
      </c>
      <c r="C846" s="71">
        <v>40725</v>
      </c>
      <c r="D846" s="72">
        <v>41090</v>
      </c>
      <c r="E846" s="73">
        <v>0.09</v>
      </c>
      <c r="F846" s="74">
        <v>1482958.17</v>
      </c>
      <c r="G846" s="75"/>
      <c r="H846" s="74">
        <v>199227.36</v>
      </c>
      <c r="I846" s="73">
        <v>0.13434455808015139</v>
      </c>
    </row>
    <row r="847" spans="1:9" x14ac:dyDescent="0.25">
      <c r="A847" s="76" t="s">
        <v>289</v>
      </c>
      <c r="B847" s="76" t="s">
        <v>299</v>
      </c>
      <c r="C847" s="77">
        <v>41080</v>
      </c>
      <c r="D847" s="78">
        <v>41190</v>
      </c>
      <c r="E847" s="79">
        <v>0.13</v>
      </c>
      <c r="F847" s="88"/>
      <c r="G847" s="81">
        <v>11186</v>
      </c>
      <c r="H847" s="80">
        <v>1497.18</v>
      </c>
      <c r="I847" s="79">
        <f t="shared" ref="I847:I853" si="15">H847/G847</f>
        <v>0.13384409082782051</v>
      </c>
    </row>
    <row r="848" spans="1:9" x14ac:dyDescent="0.25">
      <c r="A848" s="76" t="s">
        <v>315</v>
      </c>
      <c r="B848" s="76" t="s">
        <v>316</v>
      </c>
      <c r="C848" s="77">
        <v>40575</v>
      </c>
      <c r="D848" s="78">
        <v>40924</v>
      </c>
      <c r="E848" s="79">
        <v>1.7999999999999999E-2</v>
      </c>
      <c r="F848" s="80"/>
      <c r="G848" s="81">
        <v>2853</v>
      </c>
      <c r="H848" s="80">
        <v>380</v>
      </c>
      <c r="I848" s="79">
        <f t="shared" si="15"/>
        <v>0.1331931300385559</v>
      </c>
    </row>
    <row r="849" spans="1:9" x14ac:dyDescent="0.25">
      <c r="A849" s="76" t="s">
        <v>289</v>
      </c>
      <c r="B849" s="76" t="s">
        <v>294</v>
      </c>
      <c r="C849" s="77">
        <v>41206</v>
      </c>
      <c r="D849" s="78">
        <v>41325</v>
      </c>
      <c r="E849" s="79">
        <v>0.13</v>
      </c>
      <c r="F849" s="88"/>
      <c r="G849" s="81">
        <v>8526</v>
      </c>
      <c r="H849" s="80">
        <v>1135.3800000000001</v>
      </c>
      <c r="I849" s="79">
        <f t="shared" si="15"/>
        <v>0.13316678395496132</v>
      </c>
    </row>
    <row r="850" spans="1:9" x14ac:dyDescent="0.25">
      <c r="A850" s="76" t="s">
        <v>289</v>
      </c>
      <c r="B850" s="76" t="s">
        <v>294</v>
      </c>
      <c r="C850" s="77">
        <v>40848</v>
      </c>
      <c r="D850" s="78">
        <v>41000</v>
      </c>
      <c r="E850" s="79">
        <v>0.13</v>
      </c>
      <c r="F850" s="88"/>
      <c r="G850" s="81">
        <v>9087</v>
      </c>
      <c r="H850" s="80">
        <v>1206.31</v>
      </c>
      <c r="I850" s="79">
        <f t="shared" si="15"/>
        <v>0.13275118300869373</v>
      </c>
    </row>
    <row r="851" spans="1:9" x14ac:dyDescent="0.25">
      <c r="A851" s="76" t="s">
        <v>289</v>
      </c>
      <c r="B851" s="76" t="s">
        <v>303</v>
      </c>
      <c r="C851" s="77">
        <v>41158</v>
      </c>
      <c r="D851" s="78">
        <v>41222</v>
      </c>
      <c r="E851" s="79">
        <v>0.13</v>
      </c>
      <c r="F851" s="88"/>
      <c r="G851" s="81">
        <v>10024</v>
      </c>
      <c r="H851" s="80">
        <v>1330.12</v>
      </c>
      <c r="I851" s="79">
        <f t="shared" si="15"/>
        <v>0.13269353551476457</v>
      </c>
    </row>
    <row r="852" spans="1:9" x14ac:dyDescent="0.25">
      <c r="A852" s="76" t="s">
        <v>289</v>
      </c>
      <c r="B852" s="76" t="s">
        <v>294</v>
      </c>
      <c r="C852" s="77">
        <v>41000</v>
      </c>
      <c r="D852" s="78">
        <v>41142</v>
      </c>
      <c r="E852" s="79">
        <v>0.13</v>
      </c>
      <c r="F852" s="88"/>
      <c r="G852" s="81">
        <v>9030</v>
      </c>
      <c r="H852" s="80">
        <v>1197.9000000000001</v>
      </c>
      <c r="I852" s="79">
        <f t="shared" si="15"/>
        <v>0.13265780730897012</v>
      </c>
    </row>
    <row r="853" spans="1:9" x14ac:dyDescent="0.25">
      <c r="A853" s="76" t="s">
        <v>289</v>
      </c>
      <c r="B853" s="76" t="s">
        <v>339</v>
      </c>
      <c r="C853" s="77">
        <v>41275</v>
      </c>
      <c r="D853" s="78">
        <v>41327</v>
      </c>
      <c r="E853" s="79">
        <v>0.13</v>
      </c>
      <c r="F853" s="88"/>
      <c r="G853" s="81">
        <v>3374</v>
      </c>
      <c r="H853" s="80">
        <v>447.12</v>
      </c>
      <c r="I853" s="79">
        <f t="shared" si="15"/>
        <v>0.13251926496739774</v>
      </c>
    </row>
    <row r="854" spans="1:9" x14ac:dyDescent="0.25">
      <c r="A854" s="76" t="s">
        <v>317</v>
      </c>
      <c r="B854" s="76" t="s">
        <v>174</v>
      </c>
      <c r="C854" s="77">
        <v>40953</v>
      </c>
      <c r="D854" s="78">
        <v>41274</v>
      </c>
      <c r="E854" s="79">
        <v>8.9999999999999998E-4</v>
      </c>
      <c r="F854" s="80">
        <v>453774.67</v>
      </c>
      <c r="G854" s="81"/>
      <c r="H854" s="80">
        <v>60006.1</v>
      </c>
      <c r="I854" s="79">
        <f>H854/F854</f>
        <v>0.13223765883626779</v>
      </c>
    </row>
    <row r="855" spans="1:9" x14ac:dyDescent="0.25">
      <c r="A855" s="76" t="s">
        <v>317</v>
      </c>
      <c r="B855" s="76" t="s">
        <v>174</v>
      </c>
      <c r="C855" s="77">
        <v>40953</v>
      </c>
      <c r="D855" s="78">
        <v>41274</v>
      </c>
      <c r="E855" s="79">
        <v>8.9999999999999998E-4</v>
      </c>
      <c r="F855" s="80"/>
      <c r="G855" s="81">
        <v>19088.47</v>
      </c>
      <c r="H855" s="80">
        <v>2524.21</v>
      </c>
      <c r="I855" s="79">
        <f t="shared" ref="I855:I896" si="16">H855/G855</f>
        <v>0.13223741871401951</v>
      </c>
    </row>
    <row r="856" spans="1:9" x14ac:dyDescent="0.25">
      <c r="A856" s="76" t="s">
        <v>674</v>
      </c>
      <c r="B856" s="76" t="s">
        <v>175</v>
      </c>
      <c r="C856" s="77">
        <v>40911</v>
      </c>
      <c r="D856" s="78">
        <v>41274</v>
      </c>
      <c r="E856" s="79">
        <v>8.9999999999999993E-3</v>
      </c>
      <c r="F856" s="80"/>
      <c r="G856" s="81">
        <v>39522</v>
      </c>
      <c r="H856" s="80">
        <v>5220.83</v>
      </c>
      <c r="I856" s="79">
        <f t="shared" si="16"/>
        <v>0.13209933707808308</v>
      </c>
    </row>
    <row r="857" spans="1:9" x14ac:dyDescent="0.25">
      <c r="A857" s="76" t="s">
        <v>289</v>
      </c>
      <c r="B857" s="76" t="s">
        <v>295</v>
      </c>
      <c r="C857" s="77">
        <v>40862</v>
      </c>
      <c r="D857" s="78">
        <v>40996</v>
      </c>
      <c r="E857" s="79">
        <v>0.13</v>
      </c>
      <c r="F857" s="88"/>
      <c r="G857" s="81">
        <v>9698</v>
      </c>
      <c r="H857" s="80">
        <v>1277.19</v>
      </c>
      <c r="I857" s="79">
        <f t="shared" si="16"/>
        <v>0.13169622602598474</v>
      </c>
    </row>
    <row r="858" spans="1:9" x14ac:dyDescent="0.25">
      <c r="A858" s="76" t="s">
        <v>289</v>
      </c>
      <c r="B858" s="76" t="s">
        <v>299</v>
      </c>
      <c r="C858" s="77">
        <v>40892</v>
      </c>
      <c r="D858" s="78">
        <v>41014</v>
      </c>
      <c r="E858" s="79">
        <v>0.13</v>
      </c>
      <c r="F858" s="79"/>
      <c r="G858" s="81">
        <v>12090</v>
      </c>
      <c r="H858" s="80">
        <v>1590.7</v>
      </c>
      <c r="I858" s="79">
        <f t="shared" si="16"/>
        <v>0.13157154673283705</v>
      </c>
    </row>
    <row r="859" spans="1:9" x14ac:dyDescent="0.25">
      <c r="A859" s="76" t="s">
        <v>289</v>
      </c>
      <c r="B859" s="76" t="s">
        <v>295</v>
      </c>
      <c r="C859" s="77">
        <v>41211</v>
      </c>
      <c r="D859" s="78">
        <v>41338</v>
      </c>
      <c r="E859" s="79">
        <v>0.13</v>
      </c>
      <c r="F859" s="88"/>
      <c r="G859" s="81">
        <v>9562</v>
      </c>
      <c r="H859" s="80">
        <v>1258.06</v>
      </c>
      <c r="I859" s="79">
        <f t="shared" si="16"/>
        <v>0.13156870947500524</v>
      </c>
    </row>
    <row r="860" spans="1:9" x14ac:dyDescent="0.25">
      <c r="A860" s="76" t="s">
        <v>289</v>
      </c>
      <c r="B860" s="76" t="s">
        <v>312</v>
      </c>
      <c r="C860" s="77">
        <v>41193</v>
      </c>
      <c r="D860" s="78">
        <v>41261</v>
      </c>
      <c r="E860" s="79">
        <v>0.13</v>
      </c>
      <c r="F860" s="88"/>
      <c r="G860" s="81">
        <v>18690</v>
      </c>
      <c r="H860" s="80">
        <v>2458.6999999999998</v>
      </c>
      <c r="I860" s="79">
        <f t="shared" si="16"/>
        <v>0.13155163188871052</v>
      </c>
    </row>
    <row r="861" spans="1:9" x14ac:dyDescent="0.25">
      <c r="A861" s="76" t="s">
        <v>289</v>
      </c>
      <c r="B861" s="76" t="s">
        <v>297</v>
      </c>
      <c r="C861" s="77">
        <v>40862</v>
      </c>
      <c r="D861" s="78">
        <v>40983</v>
      </c>
      <c r="E861" s="79">
        <v>0.13</v>
      </c>
      <c r="F861" s="79"/>
      <c r="G861" s="81">
        <v>10413</v>
      </c>
      <c r="H861" s="80">
        <v>1369.69</v>
      </c>
      <c r="I861" s="79">
        <f t="shared" si="16"/>
        <v>0.13153654086238356</v>
      </c>
    </row>
    <row r="862" spans="1:9" x14ac:dyDescent="0.25">
      <c r="A862" s="76" t="s">
        <v>289</v>
      </c>
      <c r="B862" s="76" t="s">
        <v>307</v>
      </c>
      <c r="C862" s="77">
        <v>41165</v>
      </c>
      <c r="D862" s="78">
        <v>41255</v>
      </c>
      <c r="E862" s="79">
        <v>0.13</v>
      </c>
      <c r="F862" s="88"/>
      <c r="G862" s="81">
        <v>11340</v>
      </c>
      <c r="H862" s="80">
        <v>1491.2</v>
      </c>
      <c r="I862" s="79">
        <f t="shared" si="16"/>
        <v>0.13149911816578483</v>
      </c>
    </row>
    <row r="863" spans="1:9" x14ac:dyDescent="0.25">
      <c r="A863" s="76" t="s">
        <v>313</v>
      </c>
      <c r="B863" s="76" t="s">
        <v>292</v>
      </c>
      <c r="C863" s="77">
        <v>41062</v>
      </c>
      <c r="D863" s="78">
        <v>41156</v>
      </c>
      <c r="E863" s="79">
        <v>0.13</v>
      </c>
      <c r="F863" s="88"/>
      <c r="G863" s="81">
        <v>12922</v>
      </c>
      <c r="H863" s="80">
        <v>1698.86</v>
      </c>
      <c r="I863" s="79">
        <f t="shared" si="16"/>
        <v>0.13147036062529019</v>
      </c>
    </row>
    <row r="864" spans="1:9" x14ac:dyDescent="0.25">
      <c r="A864" s="76" t="s">
        <v>289</v>
      </c>
      <c r="B864" s="76" t="s">
        <v>291</v>
      </c>
      <c r="C864" s="77">
        <v>41230</v>
      </c>
      <c r="D864" s="78">
        <v>41333</v>
      </c>
      <c r="E864" s="79">
        <v>0.13</v>
      </c>
      <c r="F864" s="88"/>
      <c r="G864" s="81">
        <v>7700</v>
      </c>
      <c r="H864" s="80">
        <v>1012</v>
      </c>
      <c r="I864" s="79">
        <f t="shared" si="16"/>
        <v>0.13142857142857142</v>
      </c>
    </row>
    <row r="865" spans="1:9" x14ac:dyDescent="0.25">
      <c r="A865" s="76" t="s">
        <v>289</v>
      </c>
      <c r="B865" s="76" t="s">
        <v>298</v>
      </c>
      <c r="C865" s="77">
        <v>40892</v>
      </c>
      <c r="D865" s="78">
        <v>41014</v>
      </c>
      <c r="E865" s="79">
        <v>0.13</v>
      </c>
      <c r="F865" s="79"/>
      <c r="G865" s="81">
        <v>7189</v>
      </c>
      <c r="H865" s="80">
        <v>944.57</v>
      </c>
      <c r="I865" s="79">
        <f t="shared" si="16"/>
        <v>0.13139101404924192</v>
      </c>
    </row>
    <row r="866" spans="1:9" x14ac:dyDescent="0.25">
      <c r="A866" s="76" t="s">
        <v>674</v>
      </c>
      <c r="B866" s="76" t="s">
        <v>103</v>
      </c>
      <c r="C866" s="77">
        <v>40961</v>
      </c>
      <c r="D866" s="78">
        <v>41274</v>
      </c>
      <c r="E866" s="79">
        <v>0.22500000000000001</v>
      </c>
      <c r="F866" s="80"/>
      <c r="G866" s="81">
        <v>1712</v>
      </c>
      <c r="H866" s="80">
        <v>224.79</v>
      </c>
      <c r="I866" s="79">
        <f t="shared" si="16"/>
        <v>0.13130257009345794</v>
      </c>
    </row>
    <row r="867" spans="1:9" x14ac:dyDescent="0.25">
      <c r="A867" s="76" t="s">
        <v>289</v>
      </c>
      <c r="B867" s="76" t="s">
        <v>306</v>
      </c>
      <c r="C867" s="77">
        <v>40992</v>
      </c>
      <c r="D867" s="78">
        <v>41039</v>
      </c>
      <c r="E867" s="79">
        <v>0.13</v>
      </c>
      <c r="F867" s="88"/>
      <c r="G867" s="81">
        <v>10010</v>
      </c>
      <c r="H867" s="80">
        <v>1314.3</v>
      </c>
      <c r="I867" s="79">
        <f t="shared" si="16"/>
        <v>0.1312987012987013</v>
      </c>
    </row>
    <row r="868" spans="1:9" x14ac:dyDescent="0.25">
      <c r="A868" s="76" t="s">
        <v>289</v>
      </c>
      <c r="B868" s="76" t="s">
        <v>292</v>
      </c>
      <c r="C868" s="77">
        <v>41230</v>
      </c>
      <c r="D868" s="78">
        <v>41335</v>
      </c>
      <c r="E868" s="79">
        <v>0.13</v>
      </c>
      <c r="F868" s="88"/>
      <c r="G868" s="81">
        <v>11956</v>
      </c>
      <c r="H868" s="80">
        <v>1569.58</v>
      </c>
      <c r="I868" s="79">
        <f t="shared" si="16"/>
        <v>0.13127969220475075</v>
      </c>
    </row>
    <row r="869" spans="1:9" x14ac:dyDescent="0.25">
      <c r="A869" s="76" t="s">
        <v>289</v>
      </c>
      <c r="B869" s="76" t="s">
        <v>303</v>
      </c>
      <c r="C869" s="77">
        <v>40927</v>
      </c>
      <c r="D869" s="78">
        <v>41048</v>
      </c>
      <c r="E869" s="79">
        <v>0.13</v>
      </c>
      <c r="F869" s="79"/>
      <c r="G869" s="81">
        <v>10570</v>
      </c>
      <c r="H869" s="80">
        <v>1387.4</v>
      </c>
      <c r="I869" s="79">
        <f t="shared" si="16"/>
        <v>0.13125827814569538</v>
      </c>
    </row>
    <row r="870" spans="1:9" x14ac:dyDescent="0.25">
      <c r="A870" s="76" t="s">
        <v>289</v>
      </c>
      <c r="B870" s="76" t="s">
        <v>1437</v>
      </c>
      <c r="C870" s="77">
        <v>41023</v>
      </c>
      <c r="D870" s="78">
        <v>41145</v>
      </c>
      <c r="E870" s="79">
        <v>0.13</v>
      </c>
      <c r="F870" s="88"/>
      <c r="G870" s="81">
        <v>18116</v>
      </c>
      <c r="H870" s="80">
        <v>2377.08</v>
      </c>
      <c r="I870" s="79">
        <f t="shared" si="16"/>
        <v>0.13121439611393243</v>
      </c>
    </row>
    <row r="871" spans="1:9" x14ac:dyDescent="0.25">
      <c r="A871" s="76" t="s">
        <v>289</v>
      </c>
      <c r="B871" s="76" t="s">
        <v>298</v>
      </c>
      <c r="C871" s="77">
        <v>41261</v>
      </c>
      <c r="D871" s="78">
        <v>41373</v>
      </c>
      <c r="E871" s="79">
        <v>0.13</v>
      </c>
      <c r="F871" s="88"/>
      <c r="G871" s="81">
        <v>6300</v>
      </c>
      <c r="H871" s="80">
        <v>826</v>
      </c>
      <c r="I871" s="79">
        <f t="shared" si="16"/>
        <v>0.13111111111111112</v>
      </c>
    </row>
    <row r="872" spans="1:9" x14ac:dyDescent="0.25">
      <c r="A872" s="76" t="s">
        <v>289</v>
      </c>
      <c r="B872" s="76" t="s">
        <v>296</v>
      </c>
      <c r="C872" s="77">
        <v>41247</v>
      </c>
      <c r="D872" s="78">
        <v>41306</v>
      </c>
      <c r="E872" s="79">
        <v>0.13</v>
      </c>
      <c r="F872" s="88"/>
      <c r="G872" s="81">
        <v>15736</v>
      </c>
      <c r="H872" s="80">
        <v>2062.1799999999998</v>
      </c>
      <c r="I872" s="79">
        <f t="shared" si="16"/>
        <v>0.13104855109303506</v>
      </c>
    </row>
    <row r="873" spans="1:9" x14ac:dyDescent="0.25">
      <c r="A873" s="76" t="s">
        <v>289</v>
      </c>
      <c r="B873" s="76" t="s">
        <v>305</v>
      </c>
      <c r="C873" s="77">
        <v>40983</v>
      </c>
      <c r="D873" s="78">
        <v>41038</v>
      </c>
      <c r="E873" s="79">
        <v>0.13</v>
      </c>
      <c r="F873" s="79"/>
      <c r="G873" s="81">
        <v>14350</v>
      </c>
      <c r="H873" s="80">
        <v>1880.5</v>
      </c>
      <c r="I873" s="79">
        <f t="shared" si="16"/>
        <v>0.13104529616724739</v>
      </c>
    </row>
    <row r="874" spans="1:9" x14ac:dyDescent="0.25">
      <c r="A874" s="76" t="s">
        <v>289</v>
      </c>
      <c r="B874" s="76" t="s">
        <v>302</v>
      </c>
      <c r="C874" s="77">
        <v>40925</v>
      </c>
      <c r="D874" s="78">
        <v>41044</v>
      </c>
      <c r="E874" s="79">
        <v>0.13</v>
      </c>
      <c r="F874" s="79"/>
      <c r="G874" s="81">
        <v>19446</v>
      </c>
      <c r="H874" s="80">
        <v>2546.4699999999998</v>
      </c>
      <c r="I874" s="79">
        <f t="shared" si="16"/>
        <v>0.13095083821865677</v>
      </c>
    </row>
    <row r="875" spans="1:9" x14ac:dyDescent="0.25">
      <c r="A875" s="76" t="s">
        <v>289</v>
      </c>
      <c r="B875" s="76" t="s">
        <v>304</v>
      </c>
      <c r="C875" s="77">
        <v>40981</v>
      </c>
      <c r="D875" s="78">
        <v>41086</v>
      </c>
      <c r="E875" s="79">
        <v>0.13</v>
      </c>
      <c r="F875" s="88"/>
      <c r="G875" s="81">
        <v>5404</v>
      </c>
      <c r="H875" s="80">
        <v>707.52</v>
      </c>
      <c r="I875" s="79">
        <f t="shared" si="16"/>
        <v>0.13092524056254626</v>
      </c>
    </row>
    <row r="876" spans="1:9" x14ac:dyDescent="0.25">
      <c r="A876" s="76" t="s">
        <v>289</v>
      </c>
      <c r="B876" s="76" t="s">
        <v>311</v>
      </c>
      <c r="C876" s="77">
        <v>41177</v>
      </c>
      <c r="D876" s="78">
        <v>41221</v>
      </c>
      <c r="E876" s="79">
        <v>0.13</v>
      </c>
      <c r="F876" s="88"/>
      <c r="G876" s="81">
        <v>12264</v>
      </c>
      <c r="H876" s="80">
        <v>1604.42</v>
      </c>
      <c r="I876" s="79">
        <f t="shared" si="16"/>
        <v>0.13082354859752121</v>
      </c>
    </row>
    <row r="877" spans="1:9" x14ac:dyDescent="0.25">
      <c r="A877" s="76" t="s">
        <v>289</v>
      </c>
      <c r="B877" s="76" t="s">
        <v>308</v>
      </c>
      <c r="C877" s="77">
        <v>41051</v>
      </c>
      <c r="D877" s="78">
        <v>41155</v>
      </c>
      <c r="E877" s="79">
        <v>0.13</v>
      </c>
      <c r="F877" s="88"/>
      <c r="G877" s="81">
        <v>19978</v>
      </c>
      <c r="H877" s="80">
        <v>2613.14</v>
      </c>
      <c r="I877" s="79">
        <f t="shared" si="16"/>
        <v>0.13080088096906597</v>
      </c>
    </row>
    <row r="878" spans="1:9" x14ac:dyDescent="0.25">
      <c r="A878" s="76" t="s">
        <v>289</v>
      </c>
      <c r="B878" s="76" t="s">
        <v>299</v>
      </c>
      <c r="C878" s="77">
        <v>41214</v>
      </c>
      <c r="D878" s="78">
        <v>41341</v>
      </c>
      <c r="E878" s="79">
        <v>0.13</v>
      </c>
      <c r="F878" s="88"/>
      <c r="G878" s="81">
        <v>10654</v>
      </c>
      <c r="H878" s="80">
        <v>1393.52</v>
      </c>
      <c r="I878" s="79">
        <f t="shared" si="16"/>
        <v>0.13079782241411675</v>
      </c>
    </row>
    <row r="879" spans="1:9" x14ac:dyDescent="0.25">
      <c r="A879" s="76" t="s">
        <v>289</v>
      </c>
      <c r="B879" s="76" t="s">
        <v>293</v>
      </c>
      <c r="C879" s="77">
        <v>40842</v>
      </c>
      <c r="D879" s="78">
        <v>40927</v>
      </c>
      <c r="E879" s="79">
        <v>0.13</v>
      </c>
      <c r="F879" s="79"/>
      <c r="G879" s="81">
        <v>17433</v>
      </c>
      <c r="H879" s="80">
        <v>2279.29</v>
      </c>
      <c r="I879" s="79">
        <f t="shared" si="16"/>
        <v>0.13074571215510813</v>
      </c>
    </row>
    <row r="880" spans="1:9" x14ac:dyDescent="0.25">
      <c r="A880" s="76" t="s">
        <v>289</v>
      </c>
      <c r="B880" s="76" t="s">
        <v>292</v>
      </c>
      <c r="C880" s="77">
        <v>40831</v>
      </c>
      <c r="D880" s="78">
        <v>40983</v>
      </c>
      <c r="E880" s="79">
        <v>0.13</v>
      </c>
      <c r="F880" s="79"/>
      <c r="G880" s="81">
        <v>12597</v>
      </c>
      <c r="H880" s="80">
        <v>1646.61</v>
      </c>
      <c r="I880" s="79">
        <f t="shared" si="16"/>
        <v>0.13071445582281493</v>
      </c>
    </row>
    <row r="881" spans="1:9" ht="14.25" customHeight="1" x14ac:dyDescent="0.25">
      <c r="A881" s="76" t="s">
        <v>289</v>
      </c>
      <c r="B881" s="76" t="s">
        <v>300</v>
      </c>
      <c r="C881" s="77">
        <v>40919</v>
      </c>
      <c r="D881" s="78">
        <v>41010</v>
      </c>
      <c r="E881" s="79">
        <v>0.13</v>
      </c>
      <c r="F881" s="79"/>
      <c r="G881" s="81">
        <v>9912</v>
      </c>
      <c r="H881" s="80">
        <v>1295.56</v>
      </c>
      <c r="I881" s="79">
        <f t="shared" si="16"/>
        <v>0.13070621468926552</v>
      </c>
    </row>
    <row r="882" spans="1:9" x14ac:dyDescent="0.25">
      <c r="A882" s="76" t="s">
        <v>289</v>
      </c>
      <c r="B882" s="111" t="s">
        <v>302</v>
      </c>
      <c r="C882" s="112">
        <v>41261</v>
      </c>
      <c r="D882" s="78">
        <v>41373</v>
      </c>
      <c r="E882" s="79">
        <v>0.13</v>
      </c>
      <c r="F882" s="88"/>
      <c r="G882" s="81">
        <v>17360</v>
      </c>
      <c r="H882" s="80">
        <v>2268.8000000000002</v>
      </c>
      <c r="I882" s="79">
        <f t="shared" si="16"/>
        <v>0.13069124423963135</v>
      </c>
    </row>
    <row r="883" spans="1:9" x14ac:dyDescent="0.25">
      <c r="A883" s="76" t="s">
        <v>313</v>
      </c>
      <c r="B883" s="76" t="s">
        <v>291</v>
      </c>
      <c r="C883" s="77">
        <v>41009</v>
      </c>
      <c r="D883" s="78">
        <v>41149</v>
      </c>
      <c r="E883" s="79">
        <v>0.13</v>
      </c>
      <c r="F883" s="88"/>
      <c r="G883" s="81">
        <v>8330</v>
      </c>
      <c r="H883" s="80">
        <v>1087.9000000000001</v>
      </c>
      <c r="I883" s="79">
        <f t="shared" si="16"/>
        <v>0.13060024009603843</v>
      </c>
    </row>
    <row r="884" spans="1:9" x14ac:dyDescent="0.25">
      <c r="A884" s="76" t="s">
        <v>289</v>
      </c>
      <c r="B884" s="76" t="s">
        <v>301</v>
      </c>
      <c r="C884" s="77">
        <v>40923</v>
      </c>
      <c r="D884" s="78">
        <v>41014</v>
      </c>
      <c r="E884" s="79">
        <v>0.13</v>
      </c>
      <c r="F884" s="79"/>
      <c r="G884" s="81">
        <v>14336</v>
      </c>
      <c r="H884" s="80">
        <v>1872.18</v>
      </c>
      <c r="I884" s="79">
        <f t="shared" si="16"/>
        <v>0.13059291294642858</v>
      </c>
    </row>
    <row r="885" spans="1:9" x14ac:dyDescent="0.25">
      <c r="A885" s="76" t="s">
        <v>289</v>
      </c>
      <c r="B885" s="76" t="s">
        <v>290</v>
      </c>
      <c r="C885" s="77">
        <v>40820</v>
      </c>
      <c r="D885" s="78">
        <v>40943</v>
      </c>
      <c r="E885" s="79">
        <v>0.13</v>
      </c>
      <c r="F885" s="88"/>
      <c r="G885" s="81">
        <v>12623</v>
      </c>
      <c r="H885" s="80">
        <v>1646.99</v>
      </c>
      <c r="I885" s="79">
        <f t="shared" si="16"/>
        <v>0.13047532282341756</v>
      </c>
    </row>
    <row r="886" spans="1:9" x14ac:dyDescent="0.25">
      <c r="A886" s="76" t="s">
        <v>313</v>
      </c>
      <c r="B886" s="76" t="s">
        <v>314</v>
      </c>
      <c r="C886" s="77">
        <v>41045</v>
      </c>
      <c r="D886" s="78">
        <v>41095</v>
      </c>
      <c r="E886" s="79">
        <v>0.13</v>
      </c>
      <c r="F886" s="88"/>
      <c r="G886" s="81">
        <v>16352</v>
      </c>
      <c r="H886" s="80">
        <v>2133.2600000000002</v>
      </c>
      <c r="I886" s="79">
        <f t="shared" si="16"/>
        <v>0.13045865949119376</v>
      </c>
    </row>
    <row r="887" spans="1:9" x14ac:dyDescent="0.25">
      <c r="A887" s="76" t="s">
        <v>313</v>
      </c>
      <c r="B887" s="76" t="s">
        <v>312</v>
      </c>
      <c r="C887" s="77">
        <v>40959</v>
      </c>
      <c r="D887" s="78">
        <v>41080</v>
      </c>
      <c r="E887" s="79">
        <v>0.13</v>
      </c>
      <c r="F887" s="88"/>
      <c r="G887" s="81">
        <v>19726</v>
      </c>
      <c r="H887" s="80">
        <v>2573.38</v>
      </c>
      <c r="I887" s="79">
        <f t="shared" si="16"/>
        <v>0.13045625063368144</v>
      </c>
    </row>
    <row r="888" spans="1:9" x14ac:dyDescent="0.25">
      <c r="A888" s="76" t="s">
        <v>289</v>
      </c>
      <c r="B888" s="76" t="s">
        <v>307</v>
      </c>
      <c r="C888" s="77">
        <v>41000</v>
      </c>
      <c r="D888" s="78">
        <v>41088</v>
      </c>
      <c r="E888" s="79">
        <v>0.13</v>
      </c>
      <c r="F888" s="88"/>
      <c r="G888" s="81">
        <v>11298</v>
      </c>
      <c r="H888" s="80">
        <v>1473.74</v>
      </c>
      <c r="I888" s="79">
        <f t="shared" si="16"/>
        <v>0.13044255620463799</v>
      </c>
    </row>
    <row r="889" spans="1:9" x14ac:dyDescent="0.25">
      <c r="A889" s="76" t="s">
        <v>313</v>
      </c>
      <c r="B889" s="76" t="s">
        <v>310</v>
      </c>
      <c r="C889" s="77">
        <v>40968</v>
      </c>
      <c r="D889" s="78">
        <v>41088</v>
      </c>
      <c r="E889" s="79">
        <v>0.13</v>
      </c>
      <c r="F889" s="88"/>
      <c r="G889" s="81">
        <v>14014</v>
      </c>
      <c r="H889" s="80">
        <v>1827.82</v>
      </c>
      <c r="I889" s="79">
        <f t="shared" si="16"/>
        <v>0.13042814328528612</v>
      </c>
    </row>
    <row r="890" spans="1:9" x14ac:dyDescent="0.25">
      <c r="A890" s="76" t="s">
        <v>289</v>
      </c>
      <c r="B890" s="76" t="s">
        <v>296</v>
      </c>
      <c r="C890" s="77">
        <v>40862</v>
      </c>
      <c r="D890" s="78">
        <v>40983</v>
      </c>
      <c r="E890" s="79">
        <v>0.13</v>
      </c>
      <c r="F890" s="79"/>
      <c r="G890" s="81">
        <v>16497</v>
      </c>
      <c r="H890" s="80">
        <v>2151.61</v>
      </c>
      <c r="I890" s="79">
        <f t="shared" si="16"/>
        <v>0.13042431957325576</v>
      </c>
    </row>
    <row r="891" spans="1:9" x14ac:dyDescent="0.25">
      <c r="A891" s="76" t="s">
        <v>289</v>
      </c>
      <c r="B891" s="76" t="s">
        <v>309</v>
      </c>
      <c r="C891" s="77">
        <v>41138</v>
      </c>
      <c r="D891" s="78">
        <v>41202</v>
      </c>
      <c r="E891" s="79">
        <v>0.13</v>
      </c>
      <c r="F891" s="88"/>
      <c r="G891" s="81">
        <v>10262</v>
      </c>
      <c r="H891" s="80">
        <v>1338.06</v>
      </c>
      <c r="I891" s="79">
        <f t="shared" si="16"/>
        <v>0.13038978756577665</v>
      </c>
    </row>
    <row r="892" spans="1:9" x14ac:dyDescent="0.25">
      <c r="A892" s="76" t="s">
        <v>313</v>
      </c>
      <c r="B892" s="76" t="s">
        <v>297</v>
      </c>
      <c r="C892" s="77">
        <v>41043</v>
      </c>
      <c r="D892" s="78">
        <v>41153</v>
      </c>
      <c r="E892" s="79">
        <v>0.13</v>
      </c>
      <c r="F892" s="88"/>
      <c r="G892" s="81">
        <v>10364</v>
      </c>
      <c r="H892" s="80">
        <v>1350.8</v>
      </c>
      <c r="I892" s="79">
        <f t="shared" si="16"/>
        <v>0.1303357776920108</v>
      </c>
    </row>
    <row r="893" spans="1:9" x14ac:dyDescent="0.25">
      <c r="A893" s="76" t="s">
        <v>289</v>
      </c>
      <c r="B893" s="76" t="s">
        <v>298</v>
      </c>
      <c r="C893" s="77">
        <v>41087</v>
      </c>
      <c r="D893" s="78">
        <v>41162</v>
      </c>
      <c r="E893" s="79">
        <v>0.13</v>
      </c>
      <c r="F893" s="88"/>
      <c r="G893" s="81">
        <v>6034</v>
      </c>
      <c r="H893" s="80">
        <v>786.42</v>
      </c>
      <c r="I893" s="79">
        <f t="shared" si="16"/>
        <v>0.13033145508783558</v>
      </c>
    </row>
    <row r="894" spans="1:9" x14ac:dyDescent="0.25">
      <c r="A894" s="76" t="s">
        <v>289</v>
      </c>
      <c r="B894" s="76" t="s">
        <v>305</v>
      </c>
      <c r="C894" s="77">
        <v>41158</v>
      </c>
      <c r="D894" s="78">
        <v>41222</v>
      </c>
      <c r="E894" s="79">
        <v>0.13</v>
      </c>
      <c r="F894" s="88"/>
      <c r="G894" s="81">
        <v>15120</v>
      </c>
      <c r="H894" s="80">
        <v>1969.6</v>
      </c>
      <c r="I894" s="79">
        <f t="shared" si="16"/>
        <v>0.13026455026455025</v>
      </c>
    </row>
    <row r="895" spans="1:9" x14ac:dyDescent="0.25">
      <c r="A895" s="76" t="s">
        <v>289</v>
      </c>
      <c r="B895" s="76" t="s">
        <v>293</v>
      </c>
      <c r="C895" s="77">
        <v>41230</v>
      </c>
      <c r="D895" s="78">
        <v>41335</v>
      </c>
      <c r="E895" s="79">
        <v>0.13</v>
      </c>
      <c r="F895" s="88"/>
      <c r="G895" s="81">
        <v>15596</v>
      </c>
      <c r="H895" s="80">
        <v>2031.48</v>
      </c>
      <c r="I895" s="79">
        <f t="shared" si="16"/>
        <v>0.13025647601949217</v>
      </c>
    </row>
    <row r="896" spans="1:9" x14ac:dyDescent="0.25">
      <c r="A896" s="76" t="s">
        <v>289</v>
      </c>
      <c r="B896" s="76" t="s">
        <v>291</v>
      </c>
      <c r="C896" s="77">
        <v>40830</v>
      </c>
      <c r="D896" s="78">
        <v>40953</v>
      </c>
      <c r="E896" s="79">
        <v>0.13</v>
      </c>
      <c r="F896" s="88"/>
      <c r="G896" s="81">
        <v>7878</v>
      </c>
      <c r="H896" s="80">
        <v>1026.1400000000001</v>
      </c>
      <c r="I896" s="79">
        <f t="shared" si="16"/>
        <v>0.13025387154100027</v>
      </c>
    </row>
    <row r="897" spans="1:9" x14ac:dyDescent="0.25">
      <c r="A897" s="70" t="s">
        <v>140</v>
      </c>
      <c r="B897" s="70" t="s">
        <v>143</v>
      </c>
      <c r="C897" s="71">
        <v>40931</v>
      </c>
      <c r="D897" s="72">
        <v>41121</v>
      </c>
      <c r="E897" s="73">
        <v>0.125</v>
      </c>
      <c r="F897" s="74">
        <v>178797.94</v>
      </c>
      <c r="G897" s="75"/>
      <c r="H897" s="74">
        <v>23286.639999999999</v>
      </c>
      <c r="I897" s="73">
        <v>0.130239979274929</v>
      </c>
    </row>
    <row r="898" spans="1:9" x14ac:dyDescent="0.25">
      <c r="A898" s="76" t="s">
        <v>289</v>
      </c>
      <c r="B898" s="76" t="s">
        <v>310</v>
      </c>
      <c r="C898" s="77">
        <v>41145</v>
      </c>
      <c r="D898" s="78">
        <v>41202</v>
      </c>
      <c r="E898" s="79">
        <v>0.13</v>
      </c>
      <c r="F898" s="88"/>
      <c r="G898" s="81">
        <v>14644</v>
      </c>
      <c r="H898" s="80">
        <v>1907.11</v>
      </c>
      <c r="I898" s="79">
        <f>H898/G898</f>
        <v>0.13023149412728763</v>
      </c>
    </row>
    <row r="899" spans="1:9" x14ac:dyDescent="0.25">
      <c r="A899" s="76" t="s">
        <v>313</v>
      </c>
      <c r="B899" s="76" t="s">
        <v>295</v>
      </c>
      <c r="C899" s="77">
        <v>41019</v>
      </c>
      <c r="D899" s="78">
        <v>41141</v>
      </c>
      <c r="E899" s="79">
        <v>0.13</v>
      </c>
      <c r="F899" s="88"/>
      <c r="G899" s="81">
        <v>8932</v>
      </c>
      <c r="H899" s="80">
        <v>1162.1600000000001</v>
      </c>
      <c r="I899" s="79">
        <f>H899/G899</f>
        <v>0.13011195700850875</v>
      </c>
    </row>
    <row r="900" spans="1:9" x14ac:dyDescent="0.25">
      <c r="A900" s="70" t="s">
        <v>119</v>
      </c>
      <c r="B900" s="70" t="s">
        <v>48</v>
      </c>
      <c r="C900" s="71">
        <v>40725</v>
      </c>
      <c r="D900" s="72">
        <v>41090</v>
      </c>
      <c r="E900" s="73">
        <v>0.09</v>
      </c>
      <c r="F900" s="74">
        <v>54762.99</v>
      </c>
      <c r="G900" s="75"/>
      <c r="H900" s="74">
        <v>7119.19</v>
      </c>
      <c r="I900" s="73">
        <v>0.13000002373865999</v>
      </c>
    </row>
    <row r="901" spans="1:9" x14ac:dyDescent="0.25">
      <c r="A901" s="76" t="s">
        <v>478</v>
      </c>
      <c r="B901" s="76" t="s">
        <v>51</v>
      </c>
      <c r="C901" s="77">
        <v>40909</v>
      </c>
      <c r="D901" s="78">
        <v>41274</v>
      </c>
      <c r="E901" s="79">
        <v>0.11700000000000001</v>
      </c>
      <c r="F901" s="80">
        <v>623554.81999999995</v>
      </c>
      <c r="G901" s="81"/>
      <c r="H901" s="80">
        <v>81062.13</v>
      </c>
      <c r="I901" s="79">
        <f>H901/F901</f>
        <v>0.13000000545260801</v>
      </c>
    </row>
    <row r="902" spans="1:9" x14ac:dyDescent="0.25">
      <c r="A902" s="76" t="s">
        <v>555</v>
      </c>
      <c r="B902" s="76" t="s">
        <v>100</v>
      </c>
      <c r="C902" s="77">
        <v>40592</v>
      </c>
      <c r="D902" s="78">
        <v>40956</v>
      </c>
      <c r="E902" s="79">
        <v>0.13</v>
      </c>
      <c r="F902" s="80"/>
      <c r="G902" s="81">
        <v>2140</v>
      </c>
      <c r="H902" s="80">
        <v>278.2</v>
      </c>
      <c r="I902" s="79">
        <f>H902/G902</f>
        <v>0.13</v>
      </c>
    </row>
    <row r="903" spans="1:9" x14ac:dyDescent="0.25">
      <c r="A903" s="70" t="s">
        <v>95</v>
      </c>
      <c r="B903" s="70" t="s">
        <v>48</v>
      </c>
      <c r="C903" s="71">
        <v>40725</v>
      </c>
      <c r="D903" s="72">
        <v>41090</v>
      </c>
      <c r="E903" s="73">
        <v>0.09</v>
      </c>
      <c r="F903" s="74">
        <v>784</v>
      </c>
      <c r="G903" s="75"/>
      <c r="H903" s="74">
        <v>101.92</v>
      </c>
      <c r="I903" s="73">
        <v>0.13</v>
      </c>
    </row>
    <row r="904" spans="1:9" x14ac:dyDescent="0.25">
      <c r="A904" s="76" t="s">
        <v>555</v>
      </c>
      <c r="B904" s="76" t="s">
        <v>100</v>
      </c>
      <c r="C904" s="77">
        <v>40957</v>
      </c>
      <c r="D904" s="78">
        <v>41322</v>
      </c>
      <c r="E904" s="79">
        <v>0.13</v>
      </c>
      <c r="F904" s="80"/>
      <c r="G904" s="81">
        <v>195</v>
      </c>
      <c r="H904" s="80">
        <v>25.35</v>
      </c>
      <c r="I904" s="79">
        <f>H904/G904</f>
        <v>0.13</v>
      </c>
    </row>
    <row r="905" spans="1:9" x14ac:dyDescent="0.25">
      <c r="A905" s="76" t="s">
        <v>685</v>
      </c>
      <c r="B905" s="76" t="s">
        <v>691</v>
      </c>
      <c r="C905" s="77">
        <v>40909</v>
      </c>
      <c r="D905" s="78">
        <v>41274</v>
      </c>
      <c r="E905" s="79">
        <v>0.11700000000000001</v>
      </c>
      <c r="F905" s="80">
        <v>9617146.0999999996</v>
      </c>
      <c r="G905" s="81"/>
      <c r="H905" s="80">
        <v>1250210.8899999999</v>
      </c>
      <c r="I905" s="79">
        <f>H905/F905</f>
        <v>0.12999811763283911</v>
      </c>
    </row>
    <row r="906" spans="1:9" x14ac:dyDescent="0.25">
      <c r="A906" s="70" t="s">
        <v>140</v>
      </c>
      <c r="B906" s="70" t="s">
        <v>141</v>
      </c>
      <c r="C906" s="71">
        <v>40742</v>
      </c>
      <c r="D906" s="72">
        <v>41060</v>
      </c>
      <c r="E906" s="73">
        <v>0.125</v>
      </c>
      <c r="F906" s="74">
        <v>2721833.07</v>
      </c>
      <c r="G906" s="75"/>
      <c r="H906" s="74">
        <v>353656.78</v>
      </c>
      <c r="I906" s="73">
        <v>0.12993330998068889</v>
      </c>
    </row>
    <row r="907" spans="1:9" ht="28.5" x14ac:dyDescent="0.25">
      <c r="A907" s="76" t="s">
        <v>392</v>
      </c>
      <c r="B907" s="76" t="s">
        <v>31</v>
      </c>
      <c r="C907" s="77">
        <v>40892</v>
      </c>
      <c r="D907" s="78">
        <v>41257</v>
      </c>
      <c r="E907" s="79">
        <v>8.9999999999999993E-3</v>
      </c>
      <c r="F907" s="80"/>
      <c r="G907" s="81">
        <v>270</v>
      </c>
      <c r="H907" s="80">
        <v>35</v>
      </c>
      <c r="I907" s="79">
        <f>H907/G907</f>
        <v>0.12962962962962962</v>
      </c>
    </row>
    <row r="908" spans="1:9" x14ac:dyDescent="0.25">
      <c r="A908" s="76" t="s">
        <v>1724</v>
      </c>
      <c r="B908" s="76" t="s">
        <v>1725</v>
      </c>
      <c r="C908" s="77">
        <v>41000</v>
      </c>
      <c r="D908" s="78">
        <v>41364</v>
      </c>
      <c r="E908" s="79">
        <v>8.9999999999999993E-3</v>
      </c>
      <c r="F908" s="80"/>
      <c r="G908" s="81">
        <v>140298</v>
      </c>
      <c r="H908" s="80">
        <v>18074</v>
      </c>
      <c r="I908" s="73">
        <f>H908/G908</f>
        <v>0.1288257851145419</v>
      </c>
    </row>
    <row r="909" spans="1:9" x14ac:dyDescent="0.25">
      <c r="A909" s="76" t="s">
        <v>1724</v>
      </c>
      <c r="B909" s="76" t="s">
        <v>1725</v>
      </c>
      <c r="C909" s="77">
        <v>41000</v>
      </c>
      <c r="D909" s="78">
        <v>41364</v>
      </c>
      <c r="E909" s="79">
        <v>8.9999999999999993E-3</v>
      </c>
      <c r="F909" s="80">
        <v>3459680</v>
      </c>
      <c r="G909" s="81"/>
      <c r="H909" s="80">
        <v>445667</v>
      </c>
      <c r="I909" s="73">
        <f>H909/F909</f>
        <v>0.12881740507792627</v>
      </c>
    </row>
    <row r="910" spans="1:9" x14ac:dyDescent="0.25">
      <c r="A910" s="76" t="s">
        <v>239</v>
      </c>
      <c r="B910" s="76" t="s">
        <v>241</v>
      </c>
      <c r="C910" s="77">
        <v>41003</v>
      </c>
      <c r="D910" s="78">
        <v>41364</v>
      </c>
      <c r="E910" s="79">
        <v>0</v>
      </c>
      <c r="F910" s="80">
        <v>6748</v>
      </c>
      <c r="G910" s="81"/>
      <c r="H910" s="80">
        <v>867</v>
      </c>
      <c r="I910" s="79">
        <f>H910/F910</f>
        <v>0.12848251333728511</v>
      </c>
    </row>
    <row r="911" spans="1:9" x14ac:dyDescent="0.25">
      <c r="A911" s="70" t="s">
        <v>130</v>
      </c>
      <c r="B911" s="70" t="s">
        <v>135</v>
      </c>
      <c r="C911" s="71">
        <v>40603</v>
      </c>
      <c r="D911" s="72">
        <v>40968</v>
      </c>
      <c r="E911" s="73">
        <v>0.108</v>
      </c>
      <c r="F911" s="74">
        <v>1571242.21</v>
      </c>
      <c r="G911" s="75"/>
      <c r="H911" s="74">
        <v>199491.92</v>
      </c>
      <c r="I911" s="73">
        <v>0.12696446081346047</v>
      </c>
    </row>
    <row r="912" spans="1:9" x14ac:dyDescent="0.25">
      <c r="A912" s="70" t="s">
        <v>20</v>
      </c>
      <c r="B912" s="70" t="s">
        <v>26</v>
      </c>
      <c r="C912" s="71">
        <v>40848</v>
      </c>
      <c r="D912" s="72">
        <v>41213</v>
      </c>
      <c r="E912" s="73">
        <v>0</v>
      </c>
      <c r="F912" s="74">
        <v>10973</v>
      </c>
      <c r="G912" s="75"/>
      <c r="H912" s="74">
        <v>113.14</v>
      </c>
      <c r="I912" s="73">
        <v>0.12680160491336606</v>
      </c>
    </row>
    <row r="913" spans="1:9" x14ac:dyDescent="0.25">
      <c r="A913" s="70" t="s">
        <v>140</v>
      </c>
      <c r="B913" s="70" t="s">
        <v>143</v>
      </c>
      <c r="C913" s="71">
        <v>40931</v>
      </c>
      <c r="D913" s="72">
        <v>41121</v>
      </c>
      <c r="E913" s="73">
        <v>0.125</v>
      </c>
      <c r="F913" s="74"/>
      <c r="G913" s="75">
        <v>254.56</v>
      </c>
      <c r="H913" s="74">
        <v>31.82</v>
      </c>
      <c r="I913" s="73">
        <v>0.125</v>
      </c>
    </row>
    <row r="914" spans="1:9" x14ac:dyDescent="0.25">
      <c r="A914" s="76" t="s">
        <v>262</v>
      </c>
      <c r="B914" s="76" t="s">
        <v>335</v>
      </c>
      <c r="C914" s="77">
        <v>41337</v>
      </c>
      <c r="D914" s="78">
        <v>41455</v>
      </c>
      <c r="E914" s="79">
        <v>8.9999999999999993E-3</v>
      </c>
      <c r="F914" s="80"/>
      <c r="G914" s="81">
        <v>120</v>
      </c>
      <c r="H914" s="80">
        <v>15</v>
      </c>
      <c r="I914" s="79">
        <f>H914/G914</f>
        <v>0.125</v>
      </c>
    </row>
    <row r="915" spans="1:9" x14ac:dyDescent="0.25">
      <c r="A915" s="76" t="s">
        <v>643</v>
      </c>
      <c r="B915" s="76" t="s">
        <v>653</v>
      </c>
      <c r="C915" s="77">
        <v>41228</v>
      </c>
      <c r="D915" s="78">
        <v>41502</v>
      </c>
      <c r="E915" s="79">
        <v>4.4999999999999997E-3</v>
      </c>
      <c r="F915" s="80"/>
      <c r="G915" s="81">
        <v>85</v>
      </c>
      <c r="H915" s="80">
        <v>10.6</v>
      </c>
      <c r="I915" s="79">
        <f>H915/G915</f>
        <v>0.12470588235294117</v>
      </c>
    </row>
    <row r="916" spans="1:9" x14ac:dyDescent="0.25">
      <c r="A916" s="76" t="s">
        <v>449</v>
      </c>
      <c r="B916" s="76" t="s">
        <v>117</v>
      </c>
      <c r="C916" s="77">
        <v>40968</v>
      </c>
      <c r="D916" s="78">
        <v>41333</v>
      </c>
      <c r="E916" s="79">
        <v>0</v>
      </c>
      <c r="F916" s="80">
        <v>98495</v>
      </c>
      <c r="G916" s="81"/>
      <c r="H916" s="80">
        <v>12140</v>
      </c>
      <c r="I916" s="79">
        <f>H916/F916</f>
        <v>0.12325498756282045</v>
      </c>
    </row>
    <row r="917" spans="1:9" x14ac:dyDescent="0.25">
      <c r="A917" s="76" t="s">
        <v>375</v>
      </c>
      <c r="B917" s="76" t="s">
        <v>382</v>
      </c>
      <c r="C917" s="77">
        <v>41163</v>
      </c>
      <c r="D917" s="78">
        <v>41186</v>
      </c>
      <c r="E917" s="79">
        <v>4.4999999999999998E-2</v>
      </c>
      <c r="F917" s="80"/>
      <c r="G917" s="81">
        <v>3780</v>
      </c>
      <c r="H917" s="80">
        <v>462</v>
      </c>
      <c r="I917" s="79">
        <f>H917/G917</f>
        <v>0.12222222222222222</v>
      </c>
    </row>
    <row r="918" spans="1:9" x14ac:dyDescent="0.25">
      <c r="A918" s="76" t="s">
        <v>685</v>
      </c>
      <c r="B918" s="76" t="s">
        <v>686</v>
      </c>
      <c r="C918" s="77">
        <v>40695</v>
      </c>
      <c r="D918" s="78">
        <v>41060</v>
      </c>
      <c r="E918" s="79">
        <v>0.09</v>
      </c>
      <c r="F918" s="80">
        <v>818234.65</v>
      </c>
      <c r="G918" s="81"/>
      <c r="H918" s="80">
        <v>99999.96</v>
      </c>
      <c r="I918" s="79">
        <f>H918/F918</f>
        <v>0.1222142816855776</v>
      </c>
    </row>
    <row r="919" spans="1:9" x14ac:dyDescent="0.25">
      <c r="A919" s="70" t="s">
        <v>130</v>
      </c>
      <c r="B919" s="70" t="s">
        <v>132</v>
      </c>
      <c r="C919" s="71">
        <v>40725</v>
      </c>
      <c r="D919" s="72">
        <v>41014</v>
      </c>
      <c r="E919" s="73">
        <v>0.108</v>
      </c>
      <c r="F919" s="74">
        <v>299821.55</v>
      </c>
      <c r="G919" s="75"/>
      <c r="H919" s="74">
        <v>36450.269999999997</v>
      </c>
      <c r="I919" s="73">
        <v>0.12157321580119908</v>
      </c>
    </row>
    <row r="920" spans="1:9" x14ac:dyDescent="0.25">
      <c r="A920" s="70" t="s">
        <v>130</v>
      </c>
      <c r="B920" s="70" t="s">
        <v>133</v>
      </c>
      <c r="C920" s="95">
        <v>40794</v>
      </c>
      <c r="D920" s="96">
        <v>41159</v>
      </c>
      <c r="E920" s="97">
        <v>0.108</v>
      </c>
      <c r="F920" s="98">
        <v>840914.65</v>
      </c>
      <c r="G920" s="99"/>
      <c r="H920" s="98">
        <v>102005.36</v>
      </c>
      <c r="I920" s="73">
        <v>0.12130286944103066</v>
      </c>
    </row>
    <row r="921" spans="1:9" x14ac:dyDescent="0.25">
      <c r="A921" s="76" t="s">
        <v>635</v>
      </c>
      <c r="B921" s="76" t="s">
        <v>362</v>
      </c>
      <c r="C921" s="77">
        <v>41167</v>
      </c>
      <c r="D921" s="78">
        <v>41488</v>
      </c>
      <c r="E921" s="79">
        <v>0.12</v>
      </c>
      <c r="F921" s="80"/>
      <c r="G921" s="81">
        <v>155237</v>
      </c>
      <c r="H921" s="80">
        <v>18727.2</v>
      </c>
      <c r="I921" s="79">
        <f>H921/G921</f>
        <v>0.1206361885375265</v>
      </c>
    </row>
    <row r="922" spans="1:9" x14ac:dyDescent="0.25">
      <c r="A922" s="70" t="s">
        <v>130</v>
      </c>
      <c r="B922" s="70" t="s">
        <v>131</v>
      </c>
      <c r="C922" s="71">
        <v>40969</v>
      </c>
      <c r="D922" s="72">
        <v>41333</v>
      </c>
      <c r="E922" s="73">
        <v>0.108</v>
      </c>
      <c r="F922" s="74">
        <v>1066130.6200000001</v>
      </c>
      <c r="G922" s="75"/>
      <c r="H922" s="74">
        <v>128375.67</v>
      </c>
      <c r="I922" s="73">
        <v>0.12041270327645218</v>
      </c>
    </row>
    <row r="923" spans="1:9" x14ac:dyDescent="0.25">
      <c r="A923" s="76" t="s">
        <v>390</v>
      </c>
      <c r="B923" s="76" t="s">
        <v>51</v>
      </c>
      <c r="C923" s="77">
        <v>40901</v>
      </c>
      <c r="D923" s="78">
        <v>41266</v>
      </c>
      <c r="E923" s="79">
        <v>0.12</v>
      </c>
      <c r="F923" s="80">
        <v>3325956.05</v>
      </c>
      <c r="G923" s="81"/>
      <c r="H923" s="80">
        <v>399703.73</v>
      </c>
      <c r="I923" s="79">
        <f>H923/F923</f>
        <v>0.12017709313988079</v>
      </c>
    </row>
    <row r="924" spans="1:9" x14ac:dyDescent="0.25">
      <c r="A924" s="76" t="s">
        <v>390</v>
      </c>
      <c r="B924" s="76" t="s">
        <v>51</v>
      </c>
      <c r="C924" s="77">
        <v>40901</v>
      </c>
      <c r="D924" s="78">
        <v>41266</v>
      </c>
      <c r="E924" s="79">
        <v>0.12</v>
      </c>
      <c r="F924" s="80"/>
      <c r="G924" s="81">
        <v>146674.66</v>
      </c>
      <c r="H924" s="80">
        <v>17626.93</v>
      </c>
      <c r="I924" s="79">
        <f>H924/G924</f>
        <v>0.12017706398637638</v>
      </c>
    </row>
    <row r="925" spans="1:9" ht="28.5" x14ac:dyDescent="0.25">
      <c r="A925" s="76" t="s">
        <v>674</v>
      </c>
      <c r="B925" s="76" t="s">
        <v>677</v>
      </c>
      <c r="C925" s="77">
        <v>40938</v>
      </c>
      <c r="D925" s="78">
        <v>41274</v>
      </c>
      <c r="E925" s="79">
        <v>0.432</v>
      </c>
      <c r="F925" s="80"/>
      <c r="G925" s="81">
        <v>1705</v>
      </c>
      <c r="H925" s="80">
        <v>204.81</v>
      </c>
      <c r="I925" s="79">
        <f>H925/G925</f>
        <v>0.12012316715542522</v>
      </c>
    </row>
    <row r="926" spans="1:9" x14ac:dyDescent="0.25">
      <c r="A926" s="76" t="s">
        <v>512</v>
      </c>
      <c r="B926" s="76" t="s">
        <v>131</v>
      </c>
      <c r="C926" s="77">
        <v>41090</v>
      </c>
      <c r="D926" s="78">
        <v>41454</v>
      </c>
      <c r="E926" s="79">
        <v>0.12</v>
      </c>
      <c r="F926" s="80"/>
      <c r="G926" s="81">
        <v>18765.830000000002</v>
      </c>
      <c r="H926" s="80">
        <v>2251.9</v>
      </c>
      <c r="I926" s="79">
        <f>H926/G926</f>
        <v>0.1200000213153375</v>
      </c>
    </row>
    <row r="927" spans="1:9" x14ac:dyDescent="0.25">
      <c r="A927" s="76" t="s">
        <v>367</v>
      </c>
      <c r="B927" s="76" t="s">
        <v>131</v>
      </c>
      <c r="C927" s="77">
        <v>40664</v>
      </c>
      <c r="D927" s="78">
        <v>41029</v>
      </c>
      <c r="E927" s="79">
        <v>0.12</v>
      </c>
      <c r="F927" s="80">
        <v>853474.49</v>
      </c>
      <c r="G927" s="88"/>
      <c r="H927" s="80">
        <v>102416.94</v>
      </c>
      <c r="I927" s="79">
        <f>H927/F927</f>
        <v>0.12000000140601742</v>
      </c>
    </row>
    <row r="928" spans="1:9" x14ac:dyDescent="0.25">
      <c r="A928" s="70" t="s">
        <v>95</v>
      </c>
      <c r="B928" s="70" t="s">
        <v>44</v>
      </c>
      <c r="C928" s="71">
        <v>40704</v>
      </c>
      <c r="D928" s="72">
        <v>41060</v>
      </c>
      <c r="E928" s="73">
        <v>0.09</v>
      </c>
      <c r="F928" s="74">
        <v>128942</v>
      </c>
      <c r="G928" s="75"/>
      <c r="H928" s="74">
        <v>15473.04</v>
      </c>
      <c r="I928" s="73">
        <v>0.12000000000000001</v>
      </c>
    </row>
    <row r="929" spans="1:9" x14ac:dyDescent="0.25">
      <c r="A929" s="76" t="s">
        <v>410</v>
      </c>
      <c r="B929" s="76" t="s">
        <v>411</v>
      </c>
      <c r="C929" s="77">
        <v>40729</v>
      </c>
      <c r="D929" s="78">
        <v>40939</v>
      </c>
      <c r="E929" s="79">
        <v>0.12</v>
      </c>
      <c r="F929" s="88"/>
      <c r="G929" s="81">
        <v>42404.5</v>
      </c>
      <c r="H929" s="80">
        <v>5088.54</v>
      </c>
      <c r="I929" s="79">
        <f>H929/G929</f>
        <v>0.12</v>
      </c>
    </row>
    <row r="930" spans="1:9" x14ac:dyDescent="0.25">
      <c r="A930" s="76" t="s">
        <v>685</v>
      </c>
      <c r="B930" s="76" t="s">
        <v>419</v>
      </c>
      <c r="C930" s="77">
        <v>40695</v>
      </c>
      <c r="D930" s="78">
        <v>41060</v>
      </c>
      <c r="E930" s="79">
        <v>0.12</v>
      </c>
      <c r="F930" s="80">
        <v>19972</v>
      </c>
      <c r="G930" s="81"/>
      <c r="H930" s="80">
        <v>2396.64</v>
      </c>
      <c r="I930" s="79">
        <f>H930/F930</f>
        <v>0.12</v>
      </c>
    </row>
    <row r="931" spans="1:9" x14ac:dyDescent="0.25">
      <c r="A931" s="70" t="s">
        <v>119</v>
      </c>
      <c r="B931" s="70" t="s">
        <v>51</v>
      </c>
      <c r="C931" s="71">
        <v>40909</v>
      </c>
      <c r="D931" s="72">
        <v>41274</v>
      </c>
      <c r="E931" s="73">
        <v>0.15</v>
      </c>
      <c r="F931" s="74">
        <v>304465.02</v>
      </c>
      <c r="G931" s="75"/>
      <c r="H931" s="74">
        <v>36535.800000000003</v>
      </c>
      <c r="I931" s="73">
        <v>0.11999999211732107</v>
      </c>
    </row>
    <row r="932" spans="1:9" x14ac:dyDescent="0.25">
      <c r="A932" s="76" t="s">
        <v>512</v>
      </c>
      <c r="B932" s="76" t="s">
        <v>131</v>
      </c>
      <c r="C932" s="77">
        <v>41090</v>
      </c>
      <c r="D932" s="78">
        <v>41454</v>
      </c>
      <c r="E932" s="79">
        <v>0.12</v>
      </c>
      <c r="F932" s="80">
        <v>422608.12</v>
      </c>
      <c r="G932" s="81"/>
      <c r="H932" s="80">
        <v>50712.97</v>
      </c>
      <c r="I932" s="79">
        <f>H932/F932</f>
        <v>0.11999998958846318</v>
      </c>
    </row>
    <row r="933" spans="1:9" x14ac:dyDescent="0.25">
      <c r="A933" s="76" t="s">
        <v>504</v>
      </c>
      <c r="B933" s="76" t="s">
        <v>131</v>
      </c>
      <c r="C933" s="77">
        <v>40724</v>
      </c>
      <c r="D933" s="78">
        <v>41089</v>
      </c>
      <c r="E933" s="79">
        <v>0.12</v>
      </c>
      <c r="F933" s="80"/>
      <c r="G933" s="81">
        <v>23899.85</v>
      </c>
      <c r="H933" s="80">
        <v>2867.98</v>
      </c>
      <c r="I933" s="79">
        <f>H933/G933</f>
        <v>0.11999991631746644</v>
      </c>
    </row>
    <row r="934" spans="1:9" x14ac:dyDescent="0.25">
      <c r="A934" s="76" t="s">
        <v>685</v>
      </c>
      <c r="B934" s="76" t="s">
        <v>419</v>
      </c>
      <c r="C934" s="77">
        <v>41061</v>
      </c>
      <c r="D934" s="78">
        <v>41425</v>
      </c>
      <c r="E934" s="79">
        <v>0.12</v>
      </c>
      <c r="F934" s="80">
        <v>18255.22</v>
      </c>
      <c r="G934" s="81"/>
      <c r="H934" s="80">
        <v>2190.5300000000002</v>
      </c>
      <c r="I934" s="79">
        <f>H934/F934</f>
        <v>0.11999471931863873</v>
      </c>
    </row>
    <row r="935" spans="1:9" x14ac:dyDescent="0.25">
      <c r="A935" s="76" t="s">
        <v>485</v>
      </c>
      <c r="B935" s="76" t="s">
        <v>486</v>
      </c>
      <c r="C935" s="77">
        <v>41037</v>
      </c>
      <c r="D935" s="78">
        <v>41274</v>
      </c>
      <c r="E935" s="79">
        <v>0.45</v>
      </c>
      <c r="F935" s="80">
        <v>42270</v>
      </c>
      <c r="G935" s="81"/>
      <c r="H935" s="80">
        <v>5021</v>
      </c>
      <c r="I935" s="79">
        <f>H935/F935</f>
        <v>0.11878400757038088</v>
      </c>
    </row>
    <row r="936" spans="1:9" x14ac:dyDescent="0.25">
      <c r="A936" s="76" t="s">
        <v>643</v>
      </c>
      <c r="B936" s="76" t="s">
        <v>458</v>
      </c>
      <c r="C936" s="77">
        <v>40724</v>
      </c>
      <c r="D936" s="78">
        <v>41089</v>
      </c>
      <c r="E936" s="79">
        <v>4.4999999999999997E-3</v>
      </c>
      <c r="F936" s="80">
        <v>1660831.65</v>
      </c>
      <c r="G936" s="81"/>
      <c r="H936" s="80">
        <v>196316.5</v>
      </c>
      <c r="I936" s="79">
        <f>H936/F936</f>
        <v>0.11820373244934249</v>
      </c>
    </row>
    <row r="937" spans="1:9" x14ac:dyDescent="0.25">
      <c r="A937" s="76" t="s">
        <v>20</v>
      </c>
      <c r="B937" s="76" t="s">
        <v>25</v>
      </c>
      <c r="C937" s="77">
        <v>41187</v>
      </c>
      <c r="D937" s="78">
        <v>41547</v>
      </c>
      <c r="E937" s="79">
        <v>0</v>
      </c>
      <c r="F937" s="80"/>
      <c r="G937" s="81">
        <v>2656.78</v>
      </c>
      <c r="H937" s="80">
        <v>308.14999999999998</v>
      </c>
      <c r="I937" s="73">
        <f>H937/G937</f>
        <v>0.11598626909266102</v>
      </c>
    </row>
    <row r="938" spans="1:9" x14ac:dyDescent="0.25">
      <c r="A938" s="76" t="s">
        <v>20</v>
      </c>
      <c r="B938" s="76" t="s">
        <v>25</v>
      </c>
      <c r="C938" s="77">
        <v>41187</v>
      </c>
      <c r="D938" s="78">
        <v>41547</v>
      </c>
      <c r="E938" s="79">
        <v>0</v>
      </c>
      <c r="F938" s="80">
        <v>16398</v>
      </c>
      <c r="G938" s="81"/>
      <c r="H938" s="80">
        <v>1901.92</v>
      </c>
      <c r="I938" s="73">
        <f>H938/F938</f>
        <v>0.11598487620441518</v>
      </c>
    </row>
    <row r="939" spans="1:9" x14ac:dyDescent="0.25">
      <c r="A939" s="76" t="s">
        <v>674</v>
      </c>
      <c r="B939" s="76" t="s">
        <v>31</v>
      </c>
      <c r="C939" s="77">
        <v>40940</v>
      </c>
      <c r="D939" s="78">
        <v>41274</v>
      </c>
      <c r="E939" s="79">
        <v>0.39600000000000002</v>
      </c>
      <c r="F939" s="80"/>
      <c r="G939" s="81">
        <v>4641</v>
      </c>
      <c r="H939" s="80">
        <v>538</v>
      </c>
      <c r="I939" s="79">
        <f>H939/G939</f>
        <v>0.11592329239388063</v>
      </c>
    </row>
    <row r="940" spans="1:9" x14ac:dyDescent="0.25">
      <c r="A940" s="70" t="s">
        <v>60</v>
      </c>
      <c r="B940" s="70" t="s">
        <v>63</v>
      </c>
      <c r="C940" s="71">
        <v>40787</v>
      </c>
      <c r="D940" s="72">
        <v>41152</v>
      </c>
      <c r="E940" s="73">
        <v>0.09</v>
      </c>
      <c r="F940" s="74">
        <v>310738.3</v>
      </c>
      <c r="G940" s="75"/>
      <c r="H940" s="74">
        <v>35998.589999999997</v>
      </c>
      <c r="I940" s="73">
        <f>H940/F940</f>
        <v>0.11584857740420154</v>
      </c>
    </row>
    <row r="941" spans="1:9" x14ac:dyDescent="0.25">
      <c r="A941" s="76" t="s">
        <v>317</v>
      </c>
      <c r="B941" s="76" t="s">
        <v>328</v>
      </c>
      <c r="C941" s="77">
        <v>41095</v>
      </c>
      <c r="D941" s="78">
        <v>41459</v>
      </c>
      <c r="E941" s="79">
        <v>8.9999999999999998E-4</v>
      </c>
      <c r="F941" s="80"/>
      <c r="G941" s="81">
        <v>77505.22</v>
      </c>
      <c r="H941" s="80">
        <v>8972.41</v>
      </c>
      <c r="I941" s="79">
        <f>H941/G941</f>
        <v>0.115765234909339</v>
      </c>
    </row>
    <row r="942" spans="1:9" x14ac:dyDescent="0.25">
      <c r="A942" s="76" t="s">
        <v>317</v>
      </c>
      <c r="B942" s="76" t="s">
        <v>328</v>
      </c>
      <c r="C942" s="77">
        <v>41095</v>
      </c>
      <c r="D942" s="78">
        <v>41459</v>
      </c>
      <c r="E942" s="79">
        <v>8.9999999999999998E-4</v>
      </c>
      <c r="F942" s="80">
        <v>1386488.63</v>
      </c>
      <c r="G942" s="81"/>
      <c r="H942" s="80">
        <v>160507.10999999999</v>
      </c>
      <c r="I942" s="79">
        <f>H942/F942</f>
        <v>0.11576518301487983</v>
      </c>
    </row>
    <row r="943" spans="1:9" x14ac:dyDescent="0.25">
      <c r="A943" s="76" t="s">
        <v>317</v>
      </c>
      <c r="B943" s="76" t="s">
        <v>247</v>
      </c>
      <c r="C943" s="77">
        <v>40725</v>
      </c>
      <c r="D943" s="78">
        <v>41090</v>
      </c>
      <c r="E943" s="79">
        <v>0</v>
      </c>
      <c r="F943" s="80">
        <v>41352.800000000003</v>
      </c>
      <c r="G943" s="81"/>
      <c r="H943" s="80">
        <v>4648.3100000000004</v>
      </c>
      <c r="I943" s="79">
        <f>H943/F943</f>
        <v>0.11240617322164401</v>
      </c>
    </row>
    <row r="944" spans="1:9" x14ac:dyDescent="0.25">
      <c r="A944" s="76" t="s">
        <v>317</v>
      </c>
      <c r="B944" s="76" t="s">
        <v>247</v>
      </c>
      <c r="C944" s="77">
        <v>40725</v>
      </c>
      <c r="D944" s="78">
        <v>41090</v>
      </c>
      <c r="E944" s="79">
        <v>0</v>
      </c>
      <c r="F944" s="80"/>
      <c r="G944" s="81">
        <v>1124</v>
      </c>
      <c r="H944" s="80">
        <v>126.34</v>
      </c>
      <c r="I944" s="79">
        <f>H944/G944</f>
        <v>0.11240213523131673</v>
      </c>
    </row>
    <row r="945" spans="1:9" x14ac:dyDescent="0.25">
      <c r="A945" s="76" t="s">
        <v>249</v>
      </c>
      <c r="B945" s="76" t="s">
        <v>261</v>
      </c>
      <c r="C945" s="77">
        <v>41120</v>
      </c>
      <c r="D945" s="78">
        <v>41213</v>
      </c>
      <c r="E945" s="79">
        <v>0</v>
      </c>
      <c r="F945" s="80">
        <v>50530</v>
      </c>
      <c r="G945" s="81"/>
      <c r="H945" s="80">
        <v>5630.15</v>
      </c>
      <c r="I945" s="79">
        <f>H945/F945</f>
        <v>0.11142192756778151</v>
      </c>
    </row>
    <row r="946" spans="1:9" x14ac:dyDescent="0.25">
      <c r="A946" s="76" t="s">
        <v>512</v>
      </c>
      <c r="B946" s="76" t="s">
        <v>43</v>
      </c>
      <c r="C946" s="77">
        <v>40743</v>
      </c>
      <c r="D946" s="78">
        <v>41108</v>
      </c>
      <c r="E946" s="79">
        <v>0.09</v>
      </c>
      <c r="F946" s="80"/>
      <c r="G946" s="81">
        <v>11768</v>
      </c>
      <c r="H946" s="80">
        <v>1294.48</v>
      </c>
      <c r="I946" s="79">
        <f>H946/G946</f>
        <v>0.11</v>
      </c>
    </row>
    <row r="947" spans="1:9" x14ac:dyDescent="0.25">
      <c r="A947" s="76" t="s">
        <v>531</v>
      </c>
      <c r="B947" s="76" t="s">
        <v>187</v>
      </c>
      <c r="C947" s="77">
        <v>40813</v>
      </c>
      <c r="D947" s="78">
        <v>41152</v>
      </c>
      <c r="E947" s="79">
        <v>8.9999999999999993E-3</v>
      </c>
      <c r="F947" s="80"/>
      <c r="G947" s="81">
        <v>2689</v>
      </c>
      <c r="H947" s="80">
        <v>295</v>
      </c>
      <c r="I947" s="79">
        <f>H947/G947</f>
        <v>0.10970621048716996</v>
      </c>
    </row>
    <row r="948" spans="1:9" x14ac:dyDescent="0.25">
      <c r="A948" s="70" t="s">
        <v>60</v>
      </c>
      <c r="B948" s="70" t="s">
        <v>64</v>
      </c>
      <c r="C948" s="71">
        <v>40817</v>
      </c>
      <c r="D948" s="72">
        <v>41182</v>
      </c>
      <c r="E948" s="73">
        <v>0.09</v>
      </c>
      <c r="F948" s="74"/>
      <c r="G948" s="75">
        <v>9604.15</v>
      </c>
      <c r="H948" s="74">
        <v>1049.45</v>
      </c>
      <c r="I948" s="73">
        <v>0.10927047161903969</v>
      </c>
    </row>
    <row r="949" spans="1:9" x14ac:dyDescent="0.25">
      <c r="A949" s="70" t="s">
        <v>60</v>
      </c>
      <c r="B949" s="70" t="s">
        <v>64</v>
      </c>
      <c r="C949" s="71">
        <v>40817</v>
      </c>
      <c r="D949" s="72">
        <v>41182</v>
      </c>
      <c r="E949" s="73">
        <v>0.09</v>
      </c>
      <c r="F949" s="74">
        <v>232077.03</v>
      </c>
      <c r="G949" s="75"/>
      <c r="H949" s="74">
        <v>25359.06</v>
      </c>
      <c r="I949" s="73">
        <v>0.10927001263330542</v>
      </c>
    </row>
    <row r="950" spans="1:9" x14ac:dyDescent="0.25">
      <c r="A950" s="76" t="s">
        <v>531</v>
      </c>
      <c r="B950" s="76" t="s">
        <v>187</v>
      </c>
      <c r="C950" s="77">
        <v>40813</v>
      </c>
      <c r="D950" s="78">
        <v>41152</v>
      </c>
      <c r="E950" s="79">
        <v>8.9999999999999993E-3</v>
      </c>
      <c r="F950" s="80">
        <v>78830</v>
      </c>
      <c r="G950" s="81"/>
      <c r="H950" s="80">
        <v>8601</v>
      </c>
      <c r="I950" s="79">
        <f>H950/F950</f>
        <v>0.10910820753520234</v>
      </c>
    </row>
    <row r="951" spans="1:9" x14ac:dyDescent="0.25">
      <c r="A951" s="76" t="s">
        <v>171</v>
      </c>
      <c r="B951" s="76" t="s">
        <v>207</v>
      </c>
      <c r="C951" s="77">
        <v>40891</v>
      </c>
      <c r="D951" s="78">
        <v>41213</v>
      </c>
      <c r="E951" s="79">
        <v>1.7999999999999999E-2</v>
      </c>
      <c r="F951" s="80"/>
      <c r="G951" s="81">
        <v>477</v>
      </c>
      <c r="H951" s="80">
        <v>52</v>
      </c>
      <c r="I951" s="79">
        <f>H951/G951</f>
        <v>0.1090146750524109</v>
      </c>
    </row>
    <row r="952" spans="1:9" x14ac:dyDescent="0.25">
      <c r="A952" s="76" t="s">
        <v>449</v>
      </c>
      <c r="B952" s="76" t="s">
        <v>458</v>
      </c>
      <c r="C952" s="77">
        <v>40756</v>
      </c>
      <c r="D952" s="78">
        <v>41121</v>
      </c>
      <c r="E952" s="79">
        <v>0</v>
      </c>
      <c r="F952" s="80">
        <v>986984</v>
      </c>
      <c r="G952" s="81"/>
      <c r="H952" s="80">
        <v>103434</v>
      </c>
      <c r="I952" s="79">
        <f>H952/F952</f>
        <v>0.10479805143751064</v>
      </c>
    </row>
    <row r="953" spans="1:9" x14ac:dyDescent="0.25">
      <c r="A953" s="76" t="s">
        <v>384</v>
      </c>
      <c r="B953" s="76" t="s">
        <v>389</v>
      </c>
      <c r="C953" s="77">
        <v>41214</v>
      </c>
      <c r="D953" s="78">
        <v>41455</v>
      </c>
      <c r="E953" s="79">
        <v>4.4999999999999998E-2</v>
      </c>
      <c r="F953" s="88"/>
      <c r="G953" s="81">
        <v>22790</v>
      </c>
      <c r="H953" s="80">
        <v>2358</v>
      </c>
      <c r="I953" s="79">
        <f>H953/G953</f>
        <v>0.10346643264589732</v>
      </c>
    </row>
    <row r="954" spans="1:9" x14ac:dyDescent="0.25">
      <c r="A954" s="76" t="s">
        <v>249</v>
      </c>
      <c r="B954" s="76" t="s">
        <v>250</v>
      </c>
      <c r="C954" s="77">
        <v>41001</v>
      </c>
      <c r="D954" s="78">
        <v>41182</v>
      </c>
      <c r="E954" s="79">
        <v>8.9999999999999993E-3</v>
      </c>
      <c r="F954" s="80">
        <v>80930.880000000005</v>
      </c>
      <c r="G954" s="81"/>
      <c r="H954" s="80">
        <v>8230.8799999999992</v>
      </c>
      <c r="I954" s="79">
        <f>H954/F954</f>
        <v>0.10170258867814114</v>
      </c>
    </row>
    <row r="955" spans="1:9" x14ac:dyDescent="0.25">
      <c r="A955" s="70" t="s">
        <v>130</v>
      </c>
      <c r="B955" s="70" t="s">
        <v>68</v>
      </c>
      <c r="C955" s="71">
        <v>40725</v>
      </c>
      <c r="D955" s="72">
        <v>41090</v>
      </c>
      <c r="E955" s="73">
        <v>0.1</v>
      </c>
      <c r="F955" s="74">
        <v>751709.23</v>
      </c>
      <c r="G955" s="75"/>
      <c r="H955" s="74">
        <v>76363.42</v>
      </c>
      <c r="I955" s="73">
        <v>0.1015863806807321</v>
      </c>
    </row>
    <row r="956" spans="1:9" x14ac:dyDescent="0.25">
      <c r="A956" s="76" t="s">
        <v>578</v>
      </c>
      <c r="B956" s="76" t="s">
        <v>31</v>
      </c>
      <c r="C956" s="77">
        <v>40707</v>
      </c>
      <c r="D956" s="78">
        <v>41029</v>
      </c>
      <c r="E956" s="79">
        <v>0</v>
      </c>
      <c r="F956" s="80">
        <v>300701</v>
      </c>
      <c r="G956" s="88"/>
      <c r="H956" s="80">
        <v>30502.93</v>
      </c>
      <c r="I956" s="79">
        <f>H956/F956</f>
        <v>0.10143940326104668</v>
      </c>
    </row>
    <row r="957" spans="1:9" x14ac:dyDescent="0.25">
      <c r="A957" s="70" t="s">
        <v>95</v>
      </c>
      <c r="B957" s="70" t="s">
        <v>39</v>
      </c>
      <c r="C957" s="71">
        <v>40825</v>
      </c>
      <c r="D957" s="72">
        <v>41190</v>
      </c>
      <c r="E957" s="73">
        <v>0.09</v>
      </c>
      <c r="F957" s="74">
        <v>276171.36</v>
      </c>
      <c r="G957" s="75"/>
      <c r="H957" s="74">
        <v>27647.14</v>
      </c>
      <c r="I957" s="73">
        <v>0.1001086426919866</v>
      </c>
    </row>
    <row r="958" spans="1:9" x14ac:dyDescent="0.25">
      <c r="A958" s="76" t="s">
        <v>512</v>
      </c>
      <c r="B958" s="76" t="s">
        <v>68</v>
      </c>
      <c r="C958" s="77">
        <v>41155</v>
      </c>
      <c r="D958" s="78">
        <v>41519</v>
      </c>
      <c r="E958" s="79">
        <v>0.09</v>
      </c>
      <c r="F958" s="80"/>
      <c r="G958" s="81">
        <v>15925.35</v>
      </c>
      <c r="H958" s="80">
        <v>1592.54</v>
      </c>
      <c r="I958" s="79">
        <f>H958/G958</f>
        <v>0.10000031396484221</v>
      </c>
    </row>
    <row r="959" spans="1:9" x14ac:dyDescent="0.25">
      <c r="A959" s="76" t="s">
        <v>512</v>
      </c>
      <c r="B959" s="76" t="s">
        <v>120</v>
      </c>
      <c r="C959" s="77">
        <v>41047</v>
      </c>
      <c r="D959" s="78">
        <v>41411</v>
      </c>
      <c r="E959" s="79">
        <v>8.9999999999999998E-4</v>
      </c>
      <c r="F959" s="80"/>
      <c r="G959" s="81">
        <v>19255.66</v>
      </c>
      <c r="H959" s="80">
        <v>1925.57</v>
      </c>
      <c r="I959" s="79">
        <f>H959/G959</f>
        <v>0.10000020773112944</v>
      </c>
    </row>
    <row r="960" spans="1:9" x14ac:dyDescent="0.25">
      <c r="A960" s="76" t="s">
        <v>504</v>
      </c>
      <c r="B960" s="76" t="s">
        <v>507</v>
      </c>
      <c r="C960" s="77">
        <v>40763</v>
      </c>
      <c r="D960" s="78">
        <v>41128</v>
      </c>
      <c r="E960" s="79">
        <v>0.09</v>
      </c>
      <c r="F960" s="80"/>
      <c r="G960" s="81">
        <v>16742.57</v>
      </c>
      <c r="H960" s="80">
        <v>1674.26</v>
      </c>
      <c r="I960" s="79">
        <f>H960/G960</f>
        <v>0.10000017918396041</v>
      </c>
    </row>
    <row r="961" spans="1:9" x14ac:dyDescent="0.25">
      <c r="A961" s="76" t="s">
        <v>555</v>
      </c>
      <c r="B961" s="76" t="s">
        <v>68</v>
      </c>
      <c r="C961" s="77">
        <v>41155</v>
      </c>
      <c r="D961" s="78">
        <v>41519</v>
      </c>
      <c r="E961" s="79">
        <v>0.09</v>
      </c>
      <c r="F961" s="80">
        <v>34923.67</v>
      </c>
      <c r="G961" s="88"/>
      <c r="H961" s="80">
        <v>3492.37</v>
      </c>
      <c r="I961" s="79">
        <f>H961/F961</f>
        <v>0.10000008590162489</v>
      </c>
    </row>
    <row r="962" spans="1:9" x14ac:dyDescent="0.25">
      <c r="A962" s="70" t="s">
        <v>66</v>
      </c>
      <c r="B962" s="70" t="s">
        <v>67</v>
      </c>
      <c r="C962" s="71">
        <v>40780</v>
      </c>
      <c r="D962" s="72">
        <v>41145</v>
      </c>
      <c r="E962" s="73">
        <v>0.1</v>
      </c>
      <c r="F962" s="74">
        <v>26278.18</v>
      </c>
      <c r="G962" s="75"/>
      <c r="H962" s="74">
        <v>2627.82</v>
      </c>
      <c r="I962" s="73">
        <v>0.10000007610877162</v>
      </c>
    </row>
    <row r="963" spans="1:9" x14ac:dyDescent="0.25">
      <c r="A963" s="76" t="s">
        <v>555</v>
      </c>
      <c r="B963" s="76" t="s">
        <v>69</v>
      </c>
      <c r="C963" s="77">
        <v>40804</v>
      </c>
      <c r="D963" s="78">
        <v>41169</v>
      </c>
      <c r="E963" s="79">
        <v>0.09</v>
      </c>
      <c r="F963" s="80">
        <v>47735.97</v>
      </c>
      <c r="G963" s="81"/>
      <c r="H963" s="80">
        <v>4773.6000000000004</v>
      </c>
      <c r="I963" s="79">
        <f>H963/F963</f>
        <v>0.10000006284569059</v>
      </c>
    </row>
    <row r="964" spans="1:9" x14ac:dyDescent="0.25">
      <c r="A964" s="76" t="s">
        <v>426</v>
      </c>
      <c r="B964" s="76" t="s">
        <v>427</v>
      </c>
      <c r="C964" s="77">
        <v>40729</v>
      </c>
      <c r="D964" s="78">
        <v>41014</v>
      </c>
      <c r="E964" s="79">
        <v>0.1</v>
      </c>
      <c r="F964" s="88"/>
      <c r="G964" s="81">
        <v>209380.83</v>
      </c>
      <c r="H964" s="80">
        <v>20938.09</v>
      </c>
      <c r="I964" s="79">
        <f>H964/G964</f>
        <v>0.10000003343190493</v>
      </c>
    </row>
    <row r="965" spans="1:9" x14ac:dyDescent="0.25">
      <c r="A965" s="70" t="s">
        <v>119</v>
      </c>
      <c r="B965" s="70" t="s">
        <v>68</v>
      </c>
      <c r="C965" s="71">
        <v>40789</v>
      </c>
      <c r="D965" s="72">
        <v>41154</v>
      </c>
      <c r="E965" s="73">
        <v>0.09</v>
      </c>
      <c r="F965" s="74">
        <v>182293.96</v>
      </c>
      <c r="G965" s="75"/>
      <c r="H965" s="74">
        <v>18229.400000000001</v>
      </c>
      <c r="I965" s="73">
        <v>0.1000000219425811</v>
      </c>
    </row>
    <row r="966" spans="1:9" x14ac:dyDescent="0.25">
      <c r="A966" s="70" t="s">
        <v>66</v>
      </c>
      <c r="B966" s="70" t="s">
        <v>68</v>
      </c>
      <c r="C966" s="71">
        <v>40789</v>
      </c>
      <c r="D966" s="72">
        <v>41154</v>
      </c>
      <c r="E966" s="73">
        <v>0.09</v>
      </c>
      <c r="F966" s="74">
        <v>56556.49</v>
      </c>
      <c r="G966" s="75"/>
      <c r="H966" s="74">
        <v>5655.65</v>
      </c>
      <c r="I966" s="73">
        <v>0.10000001768143674</v>
      </c>
    </row>
    <row r="967" spans="1:9" x14ac:dyDescent="0.25">
      <c r="A967" s="76" t="s">
        <v>478</v>
      </c>
      <c r="B967" s="76" t="s">
        <v>68</v>
      </c>
      <c r="C967" s="77">
        <v>41153</v>
      </c>
      <c r="D967" s="78">
        <v>41517</v>
      </c>
      <c r="E967" s="79">
        <v>0.13</v>
      </c>
      <c r="F967" s="80">
        <v>1258312.26</v>
      </c>
      <c r="G967" s="81"/>
      <c r="H967" s="80">
        <v>125831.24</v>
      </c>
      <c r="I967" s="79">
        <f t="shared" ref="I967:I974" si="17">H967/F967</f>
        <v>0.10000001112601414</v>
      </c>
    </row>
    <row r="968" spans="1:9" x14ac:dyDescent="0.25">
      <c r="A968" s="76" t="s">
        <v>478</v>
      </c>
      <c r="B968" s="76" t="s">
        <v>480</v>
      </c>
      <c r="C968" s="77">
        <v>40909</v>
      </c>
      <c r="D968" s="78">
        <v>41274</v>
      </c>
      <c r="E968" s="79">
        <v>0.1</v>
      </c>
      <c r="F968" s="80">
        <v>318679.96999999997</v>
      </c>
      <c r="G968" s="81"/>
      <c r="H968" s="80">
        <v>31868</v>
      </c>
      <c r="I968" s="79">
        <f t="shared" si="17"/>
        <v>0.10000000941383295</v>
      </c>
    </row>
    <row r="969" spans="1:9" x14ac:dyDescent="0.25">
      <c r="A969" s="76" t="s">
        <v>478</v>
      </c>
      <c r="B969" s="76" t="s">
        <v>391</v>
      </c>
      <c r="C969" s="77">
        <v>40909</v>
      </c>
      <c r="D969" s="78">
        <v>41274</v>
      </c>
      <c r="E969" s="79">
        <v>0.1</v>
      </c>
      <c r="F969" s="80">
        <v>924123.82</v>
      </c>
      <c r="G969" s="81"/>
      <c r="H969" s="80">
        <v>92412.39</v>
      </c>
      <c r="I969" s="79">
        <f t="shared" si="17"/>
        <v>0.1000000086568486</v>
      </c>
    </row>
    <row r="970" spans="1:9" x14ac:dyDescent="0.25">
      <c r="A970" s="76" t="s">
        <v>478</v>
      </c>
      <c r="B970" s="76" t="s">
        <v>68</v>
      </c>
      <c r="C970" s="77">
        <v>40787</v>
      </c>
      <c r="D970" s="78">
        <v>41152</v>
      </c>
      <c r="E970" s="79">
        <v>0.13</v>
      </c>
      <c r="F970" s="80">
        <v>1519186.2</v>
      </c>
      <c r="G970" s="81"/>
      <c r="H970" s="80">
        <v>151918.63</v>
      </c>
      <c r="I970" s="79">
        <f t="shared" si="17"/>
        <v>0.1000000065824716</v>
      </c>
    </row>
    <row r="971" spans="1:9" x14ac:dyDescent="0.25">
      <c r="A971" s="76" t="s">
        <v>504</v>
      </c>
      <c r="B971" s="76" t="s">
        <v>505</v>
      </c>
      <c r="C971" s="77">
        <v>40648</v>
      </c>
      <c r="D971" s="78">
        <v>41013</v>
      </c>
      <c r="E971" s="79">
        <v>0.09</v>
      </c>
      <c r="F971" s="80">
        <v>326746.38</v>
      </c>
      <c r="G971" s="88"/>
      <c r="H971" s="80">
        <v>32674.639999999999</v>
      </c>
      <c r="I971" s="79">
        <f t="shared" si="17"/>
        <v>0.10000000612095533</v>
      </c>
    </row>
    <row r="972" spans="1:9" x14ac:dyDescent="0.25">
      <c r="A972" s="76" t="s">
        <v>478</v>
      </c>
      <c r="B972" s="76" t="s">
        <v>479</v>
      </c>
      <c r="C972" s="77">
        <v>40909</v>
      </c>
      <c r="D972" s="78">
        <v>41060</v>
      </c>
      <c r="E972" s="79">
        <v>0.09</v>
      </c>
      <c r="F972" s="80">
        <v>411995.58</v>
      </c>
      <c r="G972" s="81"/>
      <c r="H972" s="80">
        <v>41199.56</v>
      </c>
      <c r="I972" s="79">
        <f t="shared" si="17"/>
        <v>0.100000004854421</v>
      </c>
    </row>
    <row r="973" spans="1:9" x14ac:dyDescent="0.25">
      <c r="A973" s="76" t="s">
        <v>478</v>
      </c>
      <c r="B973" s="76" t="s">
        <v>479</v>
      </c>
      <c r="C973" s="77">
        <v>41061</v>
      </c>
      <c r="D973" s="78">
        <v>41425</v>
      </c>
      <c r="E973" s="79">
        <v>0.09</v>
      </c>
      <c r="F973" s="80">
        <v>870441.98</v>
      </c>
      <c r="G973" s="81"/>
      <c r="H973" s="80">
        <v>87044.2</v>
      </c>
      <c r="I973" s="79">
        <f t="shared" si="17"/>
        <v>0.1000000022976833</v>
      </c>
    </row>
    <row r="974" spans="1:9" x14ac:dyDescent="0.25">
      <c r="A974" s="76" t="s">
        <v>512</v>
      </c>
      <c r="B974" s="76" t="s">
        <v>120</v>
      </c>
      <c r="C974" s="77">
        <v>41047</v>
      </c>
      <c r="D974" s="78">
        <v>41411</v>
      </c>
      <c r="E974" s="79">
        <v>8.9999999999999998E-4</v>
      </c>
      <c r="F974" s="80">
        <v>1519018.88</v>
      </c>
      <c r="G974" s="81"/>
      <c r="H974" s="80">
        <v>151901.89000000001</v>
      </c>
      <c r="I974" s="79">
        <f t="shared" si="17"/>
        <v>0.10000000131663934</v>
      </c>
    </row>
    <row r="975" spans="1:9" x14ac:dyDescent="0.25">
      <c r="A975" s="70" t="s">
        <v>119</v>
      </c>
      <c r="B975" s="70" t="s">
        <v>120</v>
      </c>
      <c r="C975" s="94">
        <v>40829</v>
      </c>
      <c r="D975" s="72">
        <v>41194</v>
      </c>
      <c r="E975" s="73">
        <v>0.09</v>
      </c>
      <c r="F975" s="74">
        <v>202218.1</v>
      </c>
      <c r="G975" s="75"/>
      <c r="H975" s="74">
        <v>20221.810000000001</v>
      </c>
      <c r="I975" s="73">
        <v>0.1</v>
      </c>
    </row>
    <row r="976" spans="1:9" x14ac:dyDescent="0.25">
      <c r="A976" s="76" t="s">
        <v>426</v>
      </c>
      <c r="B976" s="76" t="s">
        <v>428</v>
      </c>
      <c r="C976" s="77">
        <v>40952</v>
      </c>
      <c r="D976" s="78">
        <v>41258</v>
      </c>
      <c r="E976" s="79">
        <v>0.1</v>
      </c>
      <c r="F976" s="88"/>
      <c r="G976" s="81">
        <v>153385</v>
      </c>
      <c r="H976" s="80">
        <v>15338.5</v>
      </c>
      <c r="I976" s="79">
        <f>H976/G976</f>
        <v>0.1</v>
      </c>
    </row>
    <row r="977" spans="1:9" x14ac:dyDescent="0.25">
      <c r="A977" s="76" t="s">
        <v>555</v>
      </c>
      <c r="B977" s="76" t="s">
        <v>68</v>
      </c>
      <c r="C977" s="77">
        <v>40789</v>
      </c>
      <c r="D977" s="78">
        <v>41154</v>
      </c>
      <c r="E977" s="79">
        <v>0.09</v>
      </c>
      <c r="F977" s="80">
        <v>119240</v>
      </c>
      <c r="G977" s="81"/>
      <c r="H977" s="80">
        <v>11924</v>
      </c>
      <c r="I977" s="79">
        <f>H977/F977</f>
        <v>0.1</v>
      </c>
    </row>
    <row r="978" spans="1:9" ht="28.5" x14ac:dyDescent="0.25">
      <c r="A978" s="70" t="s">
        <v>95</v>
      </c>
      <c r="B978" s="70" t="s">
        <v>96</v>
      </c>
      <c r="C978" s="71">
        <v>40825</v>
      </c>
      <c r="D978" s="72">
        <v>41190</v>
      </c>
      <c r="E978" s="73">
        <v>0.09</v>
      </c>
      <c r="F978" s="74">
        <v>100231</v>
      </c>
      <c r="G978" s="75"/>
      <c r="H978" s="80">
        <v>10023.1</v>
      </c>
      <c r="I978" s="73">
        <v>0.1</v>
      </c>
    </row>
    <row r="979" spans="1:9" x14ac:dyDescent="0.25">
      <c r="A979" s="76" t="s">
        <v>220</v>
      </c>
      <c r="B979" s="76" t="s">
        <v>224</v>
      </c>
      <c r="C979" s="77">
        <v>40861</v>
      </c>
      <c r="D979" s="78">
        <v>41026</v>
      </c>
      <c r="E979" s="79">
        <v>0.1</v>
      </c>
      <c r="F979" s="80">
        <v>65526</v>
      </c>
      <c r="G979" s="81"/>
      <c r="H979" s="80">
        <v>6552.6</v>
      </c>
      <c r="I979" s="79">
        <f>H979/F979</f>
        <v>0.1</v>
      </c>
    </row>
    <row r="980" spans="1:9" x14ac:dyDescent="0.25">
      <c r="A980" s="76" t="s">
        <v>555</v>
      </c>
      <c r="B980" s="76" t="s">
        <v>67</v>
      </c>
      <c r="C980" s="77">
        <v>40780</v>
      </c>
      <c r="D980" s="78">
        <v>41145</v>
      </c>
      <c r="E980" s="79">
        <v>0.1</v>
      </c>
      <c r="F980" s="80">
        <v>51233</v>
      </c>
      <c r="G980" s="81"/>
      <c r="H980" s="80">
        <v>5123.3</v>
      </c>
      <c r="I980" s="79">
        <f>H980/F980</f>
        <v>0.1</v>
      </c>
    </row>
    <row r="981" spans="1:9" x14ac:dyDescent="0.25">
      <c r="A981" s="76" t="s">
        <v>512</v>
      </c>
      <c r="B981" s="76" t="s">
        <v>69</v>
      </c>
      <c r="C981" s="77">
        <v>41170</v>
      </c>
      <c r="D981" s="78">
        <v>41534</v>
      </c>
      <c r="E981" s="79">
        <v>0.09</v>
      </c>
      <c r="F981" s="80"/>
      <c r="G981" s="81">
        <v>45671</v>
      </c>
      <c r="H981" s="80">
        <v>4567.1000000000004</v>
      </c>
      <c r="I981" s="79">
        <f>H981/G981</f>
        <v>0.1</v>
      </c>
    </row>
    <row r="982" spans="1:9" x14ac:dyDescent="0.25">
      <c r="A982" s="76" t="s">
        <v>504</v>
      </c>
      <c r="B982" s="76" t="s">
        <v>69</v>
      </c>
      <c r="C982" s="77">
        <v>40804</v>
      </c>
      <c r="D982" s="78">
        <v>41169</v>
      </c>
      <c r="E982" s="79">
        <v>0.09</v>
      </c>
      <c r="F982" s="80"/>
      <c r="G982" s="81">
        <v>29008</v>
      </c>
      <c r="H982" s="80">
        <v>2900.8</v>
      </c>
      <c r="I982" s="79">
        <f>H982/G982</f>
        <v>0.1</v>
      </c>
    </row>
    <row r="983" spans="1:9" x14ac:dyDescent="0.25">
      <c r="A983" s="76" t="s">
        <v>504</v>
      </c>
      <c r="B983" s="76" t="s">
        <v>67</v>
      </c>
      <c r="C983" s="77">
        <v>40780</v>
      </c>
      <c r="D983" s="78">
        <v>41145</v>
      </c>
      <c r="E983" s="79">
        <v>0.1</v>
      </c>
      <c r="F983" s="80">
        <v>26039</v>
      </c>
      <c r="G983" s="81"/>
      <c r="H983" s="80">
        <v>2603.9</v>
      </c>
      <c r="I983" s="79">
        <f>H983/F983</f>
        <v>0.1</v>
      </c>
    </row>
    <row r="984" spans="1:9" x14ac:dyDescent="0.25">
      <c r="A984" s="76" t="s">
        <v>504</v>
      </c>
      <c r="B984" s="76" t="s">
        <v>132</v>
      </c>
      <c r="C984" s="77">
        <v>40772</v>
      </c>
      <c r="D984" s="78">
        <v>41137</v>
      </c>
      <c r="E984" s="79">
        <v>8.9999999999999993E-3</v>
      </c>
      <c r="F984" s="80"/>
      <c r="G984" s="81">
        <v>21615</v>
      </c>
      <c r="H984" s="80">
        <v>2161.5</v>
      </c>
      <c r="I984" s="79">
        <f>H984/G984</f>
        <v>0.1</v>
      </c>
    </row>
    <row r="985" spans="1:9" x14ac:dyDescent="0.25">
      <c r="A985" s="76" t="s">
        <v>555</v>
      </c>
      <c r="B985" s="76" t="s">
        <v>67</v>
      </c>
      <c r="C985" s="77">
        <v>41146</v>
      </c>
      <c r="D985" s="78">
        <v>41510</v>
      </c>
      <c r="E985" s="79">
        <v>0.1</v>
      </c>
      <c r="F985" s="80">
        <v>21525</v>
      </c>
      <c r="G985" s="88"/>
      <c r="H985" s="80">
        <v>2152.5</v>
      </c>
      <c r="I985" s="79">
        <f>H985/F985</f>
        <v>0.1</v>
      </c>
    </row>
    <row r="986" spans="1:9" x14ac:dyDescent="0.25">
      <c r="A986" s="76" t="s">
        <v>512</v>
      </c>
      <c r="B986" s="76" t="s">
        <v>505</v>
      </c>
      <c r="C986" s="77">
        <v>41014</v>
      </c>
      <c r="D986" s="78">
        <v>41378</v>
      </c>
      <c r="E986" s="79">
        <v>0.09</v>
      </c>
      <c r="F986" s="80"/>
      <c r="G986" s="81">
        <v>18662</v>
      </c>
      <c r="H986" s="80">
        <v>1866.2</v>
      </c>
      <c r="I986" s="79">
        <f>H986/G986</f>
        <v>0.1</v>
      </c>
    </row>
    <row r="987" spans="1:9" x14ac:dyDescent="0.25">
      <c r="A987" s="76" t="s">
        <v>555</v>
      </c>
      <c r="B987" s="76" t="s">
        <v>69</v>
      </c>
      <c r="C987" s="77">
        <v>41170</v>
      </c>
      <c r="D987" s="78">
        <v>41534</v>
      </c>
      <c r="E987" s="79">
        <v>0.09</v>
      </c>
      <c r="F987" s="80">
        <v>14907</v>
      </c>
      <c r="G987" s="88"/>
      <c r="H987" s="80">
        <v>1490.7</v>
      </c>
      <c r="I987" s="79">
        <f>H987/F987</f>
        <v>0.1</v>
      </c>
    </row>
    <row r="988" spans="1:9" x14ac:dyDescent="0.25">
      <c r="A988" s="76" t="s">
        <v>512</v>
      </c>
      <c r="B988" s="76" t="s">
        <v>70</v>
      </c>
      <c r="C988" s="77">
        <v>41186</v>
      </c>
      <c r="D988" s="78">
        <v>41550</v>
      </c>
      <c r="E988" s="79">
        <v>0.09</v>
      </c>
      <c r="F988" s="80"/>
      <c r="G988" s="81">
        <v>13414</v>
      </c>
      <c r="H988" s="80">
        <v>1341.4</v>
      </c>
      <c r="I988" s="79">
        <f>H988/G988</f>
        <v>0.1</v>
      </c>
    </row>
    <row r="989" spans="1:9" x14ac:dyDescent="0.25">
      <c r="A989" s="76" t="s">
        <v>512</v>
      </c>
      <c r="B989" s="76" t="s">
        <v>507</v>
      </c>
      <c r="C989" s="77">
        <v>41129</v>
      </c>
      <c r="D989" s="78">
        <v>41493</v>
      </c>
      <c r="E989" s="79">
        <v>0.09</v>
      </c>
      <c r="F989" s="80"/>
      <c r="G989" s="81">
        <v>13249</v>
      </c>
      <c r="H989" s="80">
        <v>1324.9</v>
      </c>
      <c r="I989" s="79">
        <f>H989/G989</f>
        <v>0.1</v>
      </c>
    </row>
    <row r="990" spans="1:9" x14ac:dyDescent="0.25">
      <c r="A990" s="70" t="s">
        <v>122</v>
      </c>
      <c r="B990" s="70" t="s">
        <v>126</v>
      </c>
      <c r="C990" s="71">
        <v>41137</v>
      </c>
      <c r="D990" s="72">
        <v>41305</v>
      </c>
      <c r="E990" s="73">
        <v>0.09</v>
      </c>
      <c r="F990" s="74">
        <v>11784</v>
      </c>
      <c r="G990" s="75"/>
      <c r="H990" s="74">
        <v>1178.4000000000001</v>
      </c>
      <c r="I990" s="73">
        <v>0.1</v>
      </c>
    </row>
    <row r="991" spans="1:9" x14ac:dyDescent="0.25">
      <c r="A991" s="76" t="s">
        <v>504</v>
      </c>
      <c r="B991" s="76" t="s">
        <v>510</v>
      </c>
      <c r="C991" s="77">
        <v>40940</v>
      </c>
      <c r="D991" s="78">
        <v>41305</v>
      </c>
      <c r="E991" s="79">
        <v>0.09</v>
      </c>
      <c r="F991" s="80"/>
      <c r="G991" s="81">
        <v>10707</v>
      </c>
      <c r="H991" s="80">
        <v>1070.7</v>
      </c>
      <c r="I991" s="79">
        <f>H991/G991</f>
        <v>0.1</v>
      </c>
    </row>
    <row r="992" spans="1:9" x14ac:dyDescent="0.25">
      <c r="A992" s="76" t="s">
        <v>555</v>
      </c>
      <c r="B992" s="76" t="s">
        <v>70</v>
      </c>
      <c r="C992" s="77">
        <v>41186</v>
      </c>
      <c r="D992" s="78">
        <v>41550</v>
      </c>
      <c r="E992" s="79">
        <v>0.09</v>
      </c>
      <c r="F992" s="80">
        <v>4185</v>
      </c>
      <c r="G992" s="88"/>
      <c r="H992" s="80">
        <v>418.5</v>
      </c>
      <c r="I992" s="79">
        <f>H992/F992</f>
        <v>0.1</v>
      </c>
    </row>
    <row r="993" spans="1:9" x14ac:dyDescent="0.25">
      <c r="A993" s="76" t="s">
        <v>512</v>
      </c>
      <c r="B993" s="76" t="s">
        <v>513</v>
      </c>
      <c r="C993" s="77">
        <v>40968</v>
      </c>
      <c r="D993" s="78">
        <v>41333</v>
      </c>
      <c r="E993" s="79">
        <v>0.09</v>
      </c>
      <c r="F993" s="80"/>
      <c r="G993" s="81">
        <v>477</v>
      </c>
      <c r="H993" s="80">
        <v>47.7</v>
      </c>
      <c r="I993" s="79">
        <f>H993/G993</f>
        <v>0.1</v>
      </c>
    </row>
    <row r="994" spans="1:9" x14ac:dyDescent="0.25">
      <c r="A994" s="70" t="s">
        <v>95</v>
      </c>
      <c r="B994" s="70" t="s">
        <v>98</v>
      </c>
      <c r="C994" s="71">
        <v>40825</v>
      </c>
      <c r="D994" s="72">
        <v>41190</v>
      </c>
      <c r="E994" s="73">
        <v>0.09</v>
      </c>
      <c r="F994" s="74">
        <v>563484.9</v>
      </c>
      <c r="G994" s="75"/>
      <c r="H994" s="74">
        <v>56348.49</v>
      </c>
      <c r="I994" s="73">
        <v>9.9999999999999992E-2</v>
      </c>
    </row>
    <row r="995" spans="1:9" x14ac:dyDescent="0.25">
      <c r="A995" s="70" t="s">
        <v>95</v>
      </c>
      <c r="B995" s="70" t="s">
        <v>51</v>
      </c>
      <c r="C995" s="71">
        <v>40694</v>
      </c>
      <c r="D995" s="72">
        <v>41012</v>
      </c>
      <c r="E995" s="73">
        <v>0.15</v>
      </c>
      <c r="F995" s="74">
        <v>44109</v>
      </c>
      <c r="G995" s="75"/>
      <c r="H995" s="74">
        <v>4410.8999999999996</v>
      </c>
      <c r="I995" s="73">
        <v>9.9999999999999992E-2</v>
      </c>
    </row>
    <row r="996" spans="1:9" x14ac:dyDescent="0.25">
      <c r="A996" s="76" t="s">
        <v>512</v>
      </c>
      <c r="B996" s="76" t="s">
        <v>98</v>
      </c>
      <c r="C996" s="77">
        <v>41124</v>
      </c>
      <c r="D996" s="78">
        <v>41488</v>
      </c>
      <c r="E996" s="79">
        <v>0.09</v>
      </c>
      <c r="F996" s="80"/>
      <c r="G996" s="81">
        <v>29709.5</v>
      </c>
      <c r="H996" s="80">
        <v>2970.95</v>
      </c>
      <c r="I996" s="79">
        <f t="shared" ref="I996:I1001" si="18">H996/G996</f>
        <v>9.9999999999999992E-2</v>
      </c>
    </row>
    <row r="997" spans="1:9" x14ac:dyDescent="0.25">
      <c r="A997" s="76" t="s">
        <v>512</v>
      </c>
      <c r="B997" s="76" t="s">
        <v>67</v>
      </c>
      <c r="C997" s="77">
        <v>41146</v>
      </c>
      <c r="D997" s="78">
        <v>41510</v>
      </c>
      <c r="E997" s="79">
        <v>0.1</v>
      </c>
      <c r="F997" s="80"/>
      <c r="G997" s="81">
        <v>28652</v>
      </c>
      <c r="H997" s="80">
        <v>2865.2</v>
      </c>
      <c r="I997" s="79">
        <f t="shared" si="18"/>
        <v>9.9999999999999992E-2</v>
      </c>
    </row>
    <row r="998" spans="1:9" x14ac:dyDescent="0.25">
      <c r="A998" s="76" t="s">
        <v>512</v>
      </c>
      <c r="B998" s="76" t="s">
        <v>132</v>
      </c>
      <c r="C998" s="77">
        <v>41138</v>
      </c>
      <c r="D998" s="78">
        <v>41502</v>
      </c>
      <c r="E998" s="79">
        <v>8.9999999999999993E-3</v>
      </c>
      <c r="F998" s="80"/>
      <c r="G998" s="81">
        <v>24388.5</v>
      </c>
      <c r="H998" s="80">
        <v>2438.85</v>
      </c>
      <c r="I998" s="79">
        <f t="shared" si="18"/>
        <v>9.9999999999999992E-2</v>
      </c>
    </row>
    <row r="999" spans="1:9" x14ac:dyDescent="0.25">
      <c r="A999" s="76" t="s">
        <v>504</v>
      </c>
      <c r="B999" s="76" t="s">
        <v>98</v>
      </c>
      <c r="C999" s="77">
        <v>40758</v>
      </c>
      <c r="D999" s="78">
        <v>41123</v>
      </c>
      <c r="E999" s="79">
        <v>0.09</v>
      </c>
      <c r="F999" s="80"/>
      <c r="G999" s="81">
        <v>24151</v>
      </c>
      <c r="H999" s="80">
        <v>2415.1</v>
      </c>
      <c r="I999" s="79">
        <f t="shared" si="18"/>
        <v>9.9999999999999992E-2</v>
      </c>
    </row>
    <row r="1000" spans="1:9" x14ac:dyDescent="0.25">
      <c r="A1000" s="76" t="s">
        <v>512</v>
      </c>
      <c r="B1000" s="76" t="s">
        <v>506</v>
      </c>
      <c r="C1000" s="77">
        <v>41126</v>
      </c>
      <c r="D1000" s="78">
        <v>41490</v>
      </c>
      <c r="E1000" s="79">
        <v>0.09</v>
      </c>
      <c r="F1000" s="80"/>
      <c r="G1000" s="81">
        <v>17326</v>
      </c>
      <c r="H1000" s="80">
        <v>1732.6</v>
      </c>
      <c r="I1000" s="79">
        <f t="shared" si="18"/>
        <v>9.9999999999999992E-2</v>
      </c>
    </row>
    <row r="1001" spans="1:9" x14ac:dyDescent="0.25">
      <c r="A1001" s="76" t="s">
        <v>504</v>
      </c>
      <c r="B1001" s="76" t="s">
        <v>68</v>
      </c>
      <c r="C1001" s="77">
        <v>40789</v>
      </c>
      <c r="D1001" s="78">
        <v>41154</v>
      </c>
      <c r="E1001" s="79">
        <v>0.09</v>
      </c>
      <c r="F1001" s="80"/>
      <c r="G1001" s="81">
        <v>16123</v>
      </c>
      <c r="H1001" s="80">
        <v>1612.3</v>
      </c>
      <c r="I1001" s="79">
        <f t="shared" si="18"/>
        <v>9.9999999999999992E-2</v>
      </c>
    </row>
    <row r="1002" spans="1:9" x14ac:dyDescent="0.25">
      <c r="A1002" s="76" t="s">
        <v>504</v>
      </c>
      <c r="B1002" s="76" t="s">
        <v>120</v>
      </c>
      <c r="C1002" s="77">
        <v>40681</v>
      </c>
      <c r="D1002" s="78">
        <v>41046</v>
      </c>
      <c r="E1002" s="79">
        <v>0.09</v>
      </c>
      <c r="F1002" s="80">
        <v>816701.21</v>
      </c>
      <c r="G1002" s="81"/>
      <c r="H1002" s="80">
        <v>81670.12</v>
      </c>
      <c r="I1002" s="79">
        <f>H1002/F1002</f>
        <v>9.9999998775561996E-2</v>
      </c>
    </row>
    <row r="1003" spans="1:9" x14ac:dyDescent="0.25">
      <c r="A1003" s="76" t="s">
        <v>478</v>
      </c>
      <c r="B1003" s="76" t="s">
        <v>67</v>
      </c>
      <c r="C1003" s="77">
        <v>41146</v>
      </c>
      <c r="D1003" s="78">
        <v>41510</v>
      </c>
      <c r="E1003" s="79">
        <v>0.1</v>
      </c>
      <c r="F1003" s="80">
        <v>491495.73</v>
      </c>
      <c r="G1003" s="81"/>
      <c r="H1003" s="80">
        <v>49149.57</v>
      </c>
      <c r="I1003" s="79">
        <f>H1003/F1003</f>
        <v>9.9999993896182984E-2</v>
      </c>
    </row>
    <row r="1004" spans="1:9" x14ac:dyDescent="0.25">
      <c r="A1004" s="76" t="s">
        <v>478</v>
      </c>
      <c r="B1004" s="76" t="s">
        <v>67</v>
      </c>
      <c r="C1004" s="77">
        <v>40780</v>
      </c>
      <c r="D1004" s="78">
        <v>41145</v>
      </c>
      <c r="E1004" s="79">
        <v>0.1</v>
      </c>
      <c r="F1004" s="80">
        <v>570217.24</v>
      </c>
      <c r="G1004" s="81"/>
      <c r="H1004" s="80">
        <v>57021.72</v>
      </c>
      <c r="I1004" s="79">
        <f>H1004/F1004</f>
        <v>9.9999992985129668E-2</v>
      </c>
    </row>
    <row r="1005" spans="1:9" x14ac:dyDescent="0.25">
      <c r="A1005" s="70" t="s">
        <v>119</v>
      </c>
      <c r="B1005" s="70" t="s">
        <v>121</v>
      </c>
      <c r="C1005" s="71">
        <v>40964</v>
      </c>
      <c r="D1005" s="72">
        <v>41329</v>
      </c>
      <c r="E1005" s="73">
        <v>0.09</v>
      </c>
      <c r="F1005" s="74">
        <v>155315.12</v>
      </c>
      <c r="G1005" s="75"/>
      <c r="H1005" s="74">
        <v>15531.51</v>
      </c>
      <c r="I1005" s="73">
        <v>9.9999987122953646E-2</v>
      </c>
    </row>
    <row r="1006" spans="1:9" x14ac:dyDescent="0.25">
      <c r="A1006" s="70" t="s">
        <v>66</v>
      </c>
      <c r="B1006" s="70" t="s">
        <v>69</v>
      </c>
      <c r="C1006" s="71">
        <v>40804</v>
      </c>
      <c r="D1006" s="72">
        <v>41169</v>
      </c>
      <c r="E1006" s="73">
        <v>0.09</v>
      </c>
      <c r="F1006" s="74">
        <v>42324.33</v>
      </c>
      <c r="G1006" s="75"/>
      <c r="H1006" s="74">
        <v>4232.43</v>
      </c>
      <c r="I1006" s="73">
        <v>9.9999929118783457E-2</v>
      </c>
    </row>
    <row r="1007" spans="1:9" x14ac:dyDescent="0.25">
      <c r="A1007" s="76" t="s">
        <v>504</v>
      </c>
      <c r="B1007" s="76" t="s">
        <v>506</v>
      </c>
      <c r="C1007" s="77">
        <v>40760</v>
      </c>
      <c r="D1007" s="78">
        <v>41125</v>
      </c>
      <c r="E1007" s="79">
        <v>0.1</v>
      </c>
      <c r="F1007" s="80"/>
      <c r="G1007" s="81">
        <v>15292.94</v>
      </c>
      <c r="H1007" s="80">
        <v>1529.29</v>
      </c>
      <c r="I1007" s="79">
        <f>H1007/G1007</f>
        <v>9.999973844139845E-2</v>
      </c>
    </row>
    <row r="1008" spans="1:9" x14ac:dyDescent="0.25">
      <c r="A1008" s="76" t="s">
        <v>390</v>
      </c>
      <c r="B1008" s="76" t="s">
        <v>98</v>
      </c>
      <c r="C1008" s="77">
        <v>40679</v>
      </c>
      <c r="D1008" s="78">
        <v>41044</v>
      </c>
      <c r="E1008" s="79">
        <v>0.1</v>
      </c>
      <c r="F1008" s="80"/>
      <c r="G1008" s="81">
        <v>174645.22</v>
      </c>
      <c r="H1008" s="80">
        <v>17397.11</v>
      </c>
      <c r="I1008" s="79">
        <f>H1008/G1008</f>
        <v>9.9614006040359998E-2</v>
      </c>
    </row>
    <row r="1009" spans="1:9" x14ac:dyDescent="0.25">
      <c r="A1009" s="76" t="s">
        <v>390</v>
      </c>
      <c r="B1009" s="76" t="s">
        <v>98</v>
      </c>
      <c r="C1009" s="77">
        <v>40679</v>
      </c>
      <c r="D1009" s="78">
        <v>41044</v>
      </c>
      <c r="E1009" s="79">
        <v>0.1</v>
      </c>
      <c r="F1009" s="80">
        <v>2910753.69</v>
      </c>
      <c r="G1009" s="81"/>
      <c r="H1009" s="80">
        <v>289951.78999999998</v>
      </c>
      <c r="I1009" s="79">
        <f>H1009/F1009</f>
        <v>9.961399035450505E-2</v>
      </c>
    </row>
    <row r="1010" spans="1:9" x14ac:dyDescent="0.25">
      <c r="A1010" s="76" t="s">
        <v>390</v>
      </c>
      <c r="B1010" s="76" t="s">
        <v>98</v>
      </c>
      <c r="C1010" s="77">
        <v>41045</v>
      </c>
      <c r="D1010" s="78">
        <v>41409</v>
      </c>
      <c r="E1010" s="79">
        <v>0.1</v>
      </c>
      <c r="F1010" s="80"/>
      <c r="G1010" s="81">
        <v>171713.73</v>
      </c>
      <c r="H1010" s="80">
        <v>17059</v>
      </c>
      <c r="I1010" s="79">
        <f>H1010/G1010</f>
        <v>9.9345579412898427E-2</v>
      </c>
    </row>
    <row r="1011" spans="1:9" x14ac:dyDescent="0.25">
      <c r="A1011" s="76" t="s">
        <v>390</v>
      </c>
      <c r="B1011" s="76" t="s">
        <v>98</v>
      </c>
      <c r="C1011" s="77">
        <v>41045</v>
      </c>
      <c r="D1011" s="78">
        <v>41409</v>
      </c>
      <c r="E1011" s="79">
        <v>0.1</v>
      </c>
      <c r="F1011" s="80">
        <v>3082831.85</v>
      </c>
      <c r="G1011" s="81"/>
      <c r="H1011" s="80">
        <v>306265.67</v>
      </c>
      <c r="I1011" s="79">
        <f>H1011/F1011</f>
        <v>9.9345564371277659E-2</v>
      </c>
    </row>
    <row r="1012" spans="1:9" x14ac:dyDescent="0.25">
      <c r="A1012" s="76" t="s">
        <v>390</v>
      </c>
      <c r="B1012" s="76" t="s">
        <v>391</v>
      </c>
      <c r="C1012" s="77">
        <v>40854</v>
      </c>
      <c r="D1012" s="78">
        <v>41219</v>
      </c>
      <c r="E1012" s="79">
        <v>0.09</v>
      </c>
      <c r="F1012" s="80"/>
      <c r="G1012" s="81">
        <v>10296.16</v>
      </c>
      <c r="H1012" s="80">
        <v>1016.67</v>
      </c>
      <c r="I1012" s="79">
        <f>H1012/G1012</f>
        <v>9.8742638032043015E-2</v>
      </c>
    </row>
    <row r="1013" spans="1:9" x14ac:dyDescent="0.25">
      <c r="A1013" s="76" t="s">
        <v>390</v>
      </c>
      <c r="B1013" s="76" t="s">
        <v>391</v>
      </c>
      <c r="C1013" s="77">
        <v>40854</v>
      </c>
      <c r="D1013" s="78">
        <v>41219</v>
      </c>
      <c r="E1013" s="79">
        <v>0.09</v>
      </c>
      <c r="F1013" s="80">
        <v>434437.17</v>
      </c>
      <c r="G1013" s="81"/>
      <c r="H1013" s="80">
        <v>42897.34</v>
      </c>
      <c r="I1013" s="79">
        <f>H1013/F1013</f>
        <v>9.8742333672784025E-2</v>
      </c>
    </row>
    <row r="1014" spans="1:9" x14ac:dyDescent="0.25">
      <c r="A1014" s="76" t="s">
        <v>372</v>
      </c>
      <c r="B1014" s="76" t="s">
        <v>23</v>
      </c>
      <c r="C1014" s="77">
        <v>40742</v>
      </c>
      <c r="D1014" s="78">
        <v>41107</v>
      </c>
      <c r="E1014" s="79">
        <v>8.9999999999999993E-3</v>
      </c>
      <c r="F1014" s="80">
        <v>379045.07</v>
      </c>
      <c r="G1014" s="81"/>
      <c r="H1014" s="80">
        <v>36845.1</v>
      </c>
      <c r="I1014" s="79">
        <f>H1014/F1014</f>
        <v>9.7205063239577283E-2</v>
      </c>
    </row>
    <row r="1015" spans="1:9" x14ac:dyDescent="0.25">
      <c r="A1015" s="76" t="s">
        <v>674</v>
      </c>
      <c r="B1015" s="76" t="s">
        <v>175</v>
      </c>
      <c r="C1015" s="77">
        <v>40911</v>
      </c>
      <c r="D1015" s="78">
        <v>41274</v>
      </c>
      <c r="E1015" s="79">
        <v>8.9999999999999993E-3</v>
      </c>
      <c r="F1015" s="80">
        <v>1020915.42</v>
      </c>
      <c r="G1015" s="81"/>
      <c r="H1015" s="80">
        <v>97848.79</v>
      </c>
      <c r="I1015" s="79">
        <f>H1015/F1015</f>
        <v>9.5844168951821684E-2</v>
      </c>
    </row>
    <row r="1016" spans="1:9" x14ac:dyDescent="0.25">
      <c r="A1016" s="76" t="s">
        <v>317</v>
      </c>
      <c r="B1016" s="76" t="s">
        <v>52</v>
      </c>
      <c r="C1016" s="77">
        <v>40955</v>
      </c>
      <c r="D1016" s="78">
        <v>41320</v>
      </c>
      <c r="E1016" s="79">
        <v>8.9999999999999993E-3</v>
      </c>
      <c r="F1016" s="80"/>
      <c r="G1016" s="81">
        <v>131447.75</v>
      </c>
      <c r="H1016" s="80">
        <v>11985.05</v>
      </c>
      <c r="I1016" s="79">
        <f>H1016/G1016</f>
        <v>9.1177292878729374E-2</v>
      </c>
    </row>
    <row r="1017" spans="1:9" x14ac:dyDescent="0.25">
      <c r="A1017" s="76" t="s">
        <v>317</v>
      </c>
      <c r="B1017" s="76" t="s">
        <v>52</v>
      </c>
      <c r="C1017" s="77">
        <v>40955</v>
      </c>
      <c r="D1017" s="78">
        <v>41320</v>
      </c>
      <c r="E1017" s="79">
        <v>8.9999999999999993E-3</v>
      </c>
      <c r="F1017" s="80">
        <v>2577396.61</v>
      </c>
      <c r="G1017" s="81"/>
      <c r="H1017" s="80">
        <v>235000</v>
      </c>
      <c r="I1017" s="79">
        <f>H1017/F1017</f>
        <v>9.1177275196307486E-2</v>
      </c>
    </row>
    <row r="1018" spans="1:9" ht="28.5" x14ac:dyDescent="0.25">
      <c r="A1018" s="76" t="s">
        <v>449</v>
      </c>
      <c r="B1018" s="76" t="s">
        <v>327</v>
      </c>
      <c r="C1018" s="77">
        <v>40695</v>
      </c>
      <c r="D1018" s="78">
        <v>41060</v>
      </c>
      <c r="E1018" s="79">
        <v>0</v>
      </c>
      <c r="F1018" s="80">
        <v>1843415</v>
      </c>
      <c r="G1018" s="81"/>
      <c r="H1018" s="80">
        <v>164064</v>
      </c>
      <c r="I1018" s="79">
        <f>H1018/F1018</f>
        <v>8.900003526064397E-2</v>
      </c>
    </row>
    <row r="1019" spans="1:9" x14ac:dyDescent="0.25">
      <c r="A1019" s="70" t="s">
        <v>118</v>
      </c>
      <c r="B1019" s="70" t="s">
        <v>43</v>
      </c>
      <c r="C1019" s="71">
        <v>40736</v>
      </c>
      <c r="D1019" s="72">
        <v>41101</v>
      </c>
      <c r="E1019" s="73">
        <v>0.17</v>
      </c>
      <c r="F1019" s="74">
        <v>432564.07</v>
      </c>
      <c r="G1019" s="75"/>
      <c r="H1019" s="74">
        <v>38166.51</v>
      </c>
      <c r="I1019" s="73">
        <v>8.8233195142629395E-2</v>
      </c>
    </row>
    <row r="1020" spans="1:9" x14ac:dyDescent="0.25">
      <c r="A1020" s="70" t="s">
        <v>171</v>
      </c>
      <c r="B1020" s="70" t="s">
        <v>151</v>
      </c>
      <c r="C1020" s="71">
        <v>40725</v>
      </c>
      <c r="D1020" s="72">
        <v>41090</v>
      </c>
      <c r="E1020" s="73">
        <v>1.7999999999999999E-2</v>
      </c>
      <c r="F1020" s="74">
        <v>383862</v>
      </c>
      <c r="G1020" s="75"/>
      <c r="H1020" s="74">
        <v>33851</v>
      </c>
      <c r="I1020" s="79">
        <f>H1020/F1020</f>
        <v>8.818533743897547E-2</v>
      </c>
    </row>
    <row r="1021" spans="1:9" x14ac:dyDescent="0.25">
      <c r="A1021" s="76" t="s">
        <v>613</v>
      </c>
      <c r="B1021" s="76" t="s">
        <v>187</v>
      </c>
      <c r="C1021" s="77">
        <v>40976</v>
      </c>
      <c r="D1021" s="78">
        <v>41305</v>
      </c>
      <c r="E1021" s="79">
        <v>8.9999999999999993E-3</v>
      </c>
      <c r="F1021" s="80"/>
      <c r="G1021" s="81">
        <v>4844</v>
      </c>
      <c r="H1021" s="80">
        <v>421</v>
      </c>
      <c r="I1021" s="79">
        <f>H1021/G1021</f>
        <v>8.6911643270024777E-2</v>
      </c>
    </row>
    <row r="1022" spans="1:9" x14ac:dyDescent="0.25">
      <c r="A1022" s="76" t="s">
        <v>674</v>
      </c>
      <c r="B1022" s="76" t="s">
        <v>36</v>
      </c>
      <c r="C1022" s="77">
        <v>40961</v>
      </c>
      <c r="D1022" s="78">
        <v>41274</v>
      </c>
      <c r="E1022" s="79">
        <v>0.315</v>
      </c>
      <c r="F1022" s="80">
        <v>247207.08</v>
      </c>
      <c r="G1022" s="81"/>
      <c r="H1022" s="80">
        <v>21390.83</v>
      </c>
      <c r="I1022" s="79">
        <f>H1022/F1022</f>
        <v>8.6530005532204024E-2</v>
      </c>
    </row>
    <row r="1023" spans="1:9" x14ac:dyDescent="0.25">
      <c r="A1023" s="76" t="s">
        <v>594</v>
      </c>
      <c r="B1023" s="76" t="s">
        <v>611</v>
      </c>
      <c r="C1023" s="77">
        <v>41152</v>
      </c>
      <c r="D1023" s="78">
        <v>41455</v>
      </c>
      <c r="E1023" s="79">
        <v>8.9999999999999998E-4</v>
      </c>
      <c r="F1023" s="80"/>
      <c r="G1023" s="81">
        <v>6421.11</v>
      </c>
      <c r="H1023" s="80">
        <v>547.5</v>
      </c>
      <c r="I1023" s="79">
        <f>H1023/G1023</f>
        <v>8.5265631643127129E-2</v>
      </c>
    </row>
    <row r="1024" spans="1:9" ht="28.5" x14ac:dyDescent="0.25">
      <c r="A1024" s="76" t="s">
        <v>449</v>
      </c>
      <c r="B1024" s="76" t="s">
        <v>327</v>
      </c>
      <c r="C1024" s="77">
        <v>41061</v>
      </c>
      <c r="D1024" s="78">
        <v>41090</v>
      </c>
      <c r="E1024" s="79">
        <v>0</v>
      </c>
      <c r="F1024" s="80">
        <v>40953</v>
      </c>
      <c r="G1024" s="81"/>
      <c r="H1024" s="80">
        <v>3414</v>
      </c>
      <c r="I1024" s="79">
        <f>H1024/F1024</f>
        <v>8.3363856127756208E-2</v>
      </c>
    </row>
    <row r="1025" spans="1:9" x14ac:dyDescent="0.25">
      <c r="A1025" s="76" t="s">
        <v>485</v>
      </c>
      <c r="B1025" s="76" t="s">
        <v>486</v>
      </c>
      <c r="C1025" s="77">
        <v>41037</v>
      </c>
      <c r="D1025" s="78">
        <v>41274</v>
      </c>
      <c r="E1025" s="79">
        <v>0.45</v>
      </c>
      <c r="F1025" s="88"/>
      <c r="G1025" s="81">
        <v>5515</v>
      </c>
      <c r="H1025" s="80">
        <v>448</v>
      </c>
      <c r="I1025" s="79">
        <f>H1025/G1025</f>
        <v>8.1233000906618308E-2</v>
      </c>
    </row>
    <row r="1026" spans="1:9" x14ac:dyDescent="0.25">
      <c r="A1026" s="76" t="s">
        <v>317</v>
      </c>
      <c r="B1026" s="76" t="s">
        <v>326</v>
      </c>
      <c r="C1026" s="77">
        <v>41091</v>
      </c>
      <c r="D1026" s="78">
        <v>41440</v>
      </c>
      <c r="E1026" s="79">
        <v>8.9999999999999998E-4</v>
      </c>
      <c r="F1026" s="80"/>
      <c r="G1026" s="81">
        <v>72832</v>
      </c>
      <c r="H1026" s="80">
        <v>5630.02</v>
      </c>
      <c r="I1026" s="79">
        <f>H1026/G1026</f>
        <v>7.7301460896309321E-2</v>
      </c>
    </row>
    <row r="1027" spans="1:9" x14ac:dyDescent="0.25">
      <c r="A1027" s="76" t="s">
        <v>643</v>
      </c>
      <c r="B1027" s="76" t="s">
        <v>458</v>
      </c>
      <c r="C1027" s="77">
        <v>40724</v>
      </c>
      <c r="D1027" s="78">
        <v>41089</v>
      </c>
      <c r="E1027" s="79">
        <v>4.4999999999999997E-3</v>
      </c>
      <c r="F1027" s="80"/>
      <c r="G1027" s="81">
        <v>54779</v>
      </c>
      <c r="H1027" s="80">
        <v>4193</v>
      </c>
      <c r="I1027" s="79">
        <f>H1027/G1027</f>
        <v>7.6543931068475152E-2</v>
      </c>
    </row>
    <row r="1028" spans="1:9" x14ac:dyDescent="0.25">
      <c r="A1028" s="76" t="s">
        <v>317</v>
      </c>
      <c r="B1028" s="76" t="s">
        <v>181</v>
      </c>
      <c r="C1028" s="77">
        <v>41123</v>
      </c>
      <c r="D1028" s="78">
        <v>41455</v>
      </c>
      <c r="E1028" s="79">
        <v>8.9999999999999998E-4</v>
      </c>
      <c r="F1028" s="80">
        <v>1152761.21</v>
      </c>
      <c r="G1028" s="81"/>
      <c r="H1028" s="80">
        <v>87197.4</v>
      </c>
      <c r="I1028" s="79">
        <f>H1028/F1028</f>
        <v>7.5642205205707774E-2</v>
      </c>
    </row>
    <row r="1029" spans="1:9" x14ac:dyDescent="0.25">
      <c r="A1029" s="76" t="s">
        <v>317</v>
      </c>
      <c r="B1029" s="76" t="s">
        <v>181</v>
      </c>
      <c r="C1029" s="77">
        <v>41123</v>
      </c>
      <c r="D1029" s="78">
        <v>41455</v>
      </c>
      <c r="E1029" s="79">
        <v>8.9999999999999998E-4</v>
      </c>
      <c r="F1029" s="80"/>
      <c r="G1029" s="81">
        <v>53234.36</v>
      </c>
      <c r="H1029" s="80">
        <v>4026.76</v>
      </c>
      <c r="I1029" s="79">
        <f>H1029/G1029</f>
        <v>7.5642122869515105E-2</v>
      </c>
    </row>
    <row r="1030" spans="1:9" x14ac:dyDescent="0.25">
      <c r="A1030" s="76" t="s">
        <v>317</v>
      </c>
      <c r="B1030" s="76" t="s">
        <v>341</v>
      </c>
      <c r="C1030" s="77">
        <v>40829</v>
      </c>
      <c r="D1030" s="78">
        <v>41121</v>
      </c>
      <c r="E1030" s="79">
        <v>0</v>
      </c>
      <c r="F1030" s="80">
        <v>233684.22</v>
      </c>
      <c r="G1030" s="81"/>
      <c r="H1030" s="80">
        <v>17589.55</v>
      </c>
      <c r="I1030" s="79">
        <f>H1030/F1030</f>
        <v>7.527059379533628E-2</v>
      </c>
    </row>
    <row r="1031" spans="1:9" x14ac:dyDescent="0.25">
      <c r="A1031" s="76" t="s">
        <v>317</v>
      </c>
      <c r="B1031" s="76" t="s">
        <v>341</v>
      </c>
      <c r="C1031" s="77">
        <v>40829</v>
      </c>
      <c r="D1031" s="78">
        <v>41121</v>
      </c>
      <c r="E1031" s="79">
        <v>0</v>
      </c>
      <c r="F1031" s="80"/>
      <c r="G1031" s="81">
        <v>14285.44</v>
      </c>
      <c r="H1031" s="80">
        <v>1075.27</v>
      </c>
      <c r="I1031" s="79">
        <f>H1031/G1031</f>
        <v>7.5270345190627655E-2</v>
      </c>
    </row>
    <row r="1032" spans="1:9" x14ac:dyDescent="0.25">
      <c r="A1032" s="76" t="s">
        <v>246</v>
      </c>
      <c r="B1032" s="76" t="s">
        <v>109</v>
      </c>
      <c r="C1032" s="77">
        <v>40909</v>
      </c>
      <c r="D1032" s="78">
        <v>41274</v>
      </c>
      <c r="E1032" s="79">
        <v>0</v>
      </c>
      <c r="F1032" s="80">
        <v>57024</v>
      </c>
      <c r="G1032" s="81"/>
      <c r="H1032" s="80">
        <v>4271.92</v>
      </c>
      <c r="I1032" s="79">
        <f>H1032/F1032</f>
        <v>7.4914421997755332E-2</v>
      </c>
    </row>
    <row r="1033" spans="1:9" x14ac:dyDescent="0.25">
      <c r="A1033" s="76" t="s">
        <v>270</v>
      </c>
      <c r="B1033" s="76" t="s">
        <v>280</v>
      </c>
      <c r="C1033" s="77">
        <v>41066</v>
      </c>
      <c r="D1033" s="78">
        <v>41274</v>
      </c>
      <c r="E1033" s="79">
        <v>4.4999999999999997E-3</v>
      </c>
      <c r="F1033" s="80">
        <v>10776.5</v>
      </c>
      <c r="G1033" s="81"/>
      <c r="H1033" s="80">
        <v>776.5</v>
      </c>
      <c r="I1033" s="79">
        <f>H1033/F1033</f>
        <v>7.2054934347886609E-2</v>
      </c>
    </row>
    <row r="1034" spans="1:9" x14ac:dyDescent="0.25">
      <c r="A1034" s="76" t="s">
        <v>317</v>
      </c>
      <c r="B1034" s="76" t="s">
        <v>320</v>
      </c>
      <c r="C1034" s="77">
        <v>40955</v>
      </c>
      <c r="D1034" s="78">
        <v>41305</v>
      </c>
      <c r="E1034" s="79">
        <v>8.9999999999999998E-4</v>
      </c>
      <c r="F1034" s="80">
        <v>68711.45</v>
      </c>
      <c r="G1034" s="81"/>
      <c r="H1034" s="80">
        <v>4861.0600000000004</v>
      </c>
      <c r="I1034" s="79">
        <f>H1034/F1034</f>
        <v>7.074599648239123E-2</v>
      </c>
    </row>
    <row r="1035" spans="1:9" x14ac:dyDescent="0.25">
      <c r="A1035" s="76" t="s">
        <v>317</v>
      </c>
      <c r="B1035" s="76" t="s">
        <v>320</v>
      </c>
      <c r="C1035" s="77">
        <v>40955</v>
      </c>
      <c r="D1035" s="78">
        <v>41305</v>
      </c>
      <c r="E1035" s="79">
        <v>8.9999999999999998E-4</v>
      </c>
      <c r="F1035" s="80"/>
      <c r="G1035" s="81">
        <v>2414</v>
      </c>
      <c r="H1035" s="80">
        <v>170.78</v>
      </c>
      <c r="I1035" s="79">
        <f>H1035/G1035</f>
        <v>7.0745650372825181E-2</v>
      </c>
    </row>
    <row r="1036" spans="1:9" x14ac:dyDescent="0.25">
      <c r="A1036" s="76" t="s">
        <v>317</v>
      </c>
      <c r="B1036" s="76" t="s">
        <v>347</v>
      </c>
      <c r="C1036" s="77">
        <v>40909</v>
      </c>
      <c r="D1036" s="78">
        <v>41274</v>
      </c>
      <c r="E1036" s="79">
        <v>8.9999999999999998E-4</v>
      </c>
      <c r="F1036" s="80">
        <v>4124598</v>
      </c>
      <c r="G1036" s="81"/>
      <c r="H1036" s="80">
        <v>283705.7</v>
      </c>
      <c r="I1036" s="79">
        <f>H1036/F1036</f>
        <v>6.8783842692063571E-2</v>
      </c>
    </row>
    <row r="1037" spans="1:9" x14ac:dyDescent="0.25">
      <c r="A1037" s="76" t="s">
        <v>317</v>
      </c>
      <c r="B1037" s="76" t="s">
        <v>347</v>
      </c>
      <c r="C1037" s="77">
        <v>40909</v>
      </c>
      <c r="D1037" s="78">
        <v>41274</v>
      </c>
      <c r="E1037" s="79">
        <v>8.9999999999999998E-4</v>
      </c>
      <c r="F1037" s="80"/>
      <c r="G1037" s="81">
        <v>202069</v>
      </c>
      <c r="H1037" s="80">
        <v>13899.08</v>
      </c>
      <c r="I1037" s="79">
        <f>H1037/G1037</f>
        <v>6.8783831265557802E-2</v>
      </c>
    </row>
    <row r="1038" spans="1:9" x14ac:dyDescent="0.25">
      <c r="A1038" s="76" t="s">
        <v>487</v>
      </c>
      <c r="B1038" s="76" t="s">
        <v>142</v>
      </c>
      <c r="C1038" s="77">
        <v>40725</v>
      </c>
      <c r="D1038" s="78">
        <v>41090</v>
      </c>
      <c r="E1038" s="79">
        <v>0.09</v>
      </c>
      <c r="F1038" s="80">
        <v>2059060.4</v>
      </c>
      <c r="G1038" s="88"/>
      <c r="H1038" s="80">
        <v>135000</v>
      </c>
      <c r="I1038" s="79">
        <f>H1038/F1038</f>
        <v>6.5563885352756049E-2</v>
      </c>
    </row>
    <row r="1039" spans="1:9" x14ac:dyDescent="0.25">
      <c r="A1039" s="76" t="s">
        <v>171</v>
      </c>
      <c r="B1039" s="76" t="s">
        <v>208</v>
      </c>
      <c r="C1039" s="77">
        <v>40891</v>
      </c>
      <c r="D1039" s="78">
        <v>41206</v>
      </c>
      <c r="E1039" s="79">
        <v>1.7999999999999999E-2</v>
      </c>
      <c r="F1039" s="80">
        <v>27179</v>
      </c>
      <c r="G1039" s="81"/>
      <c r="H1039" s="80">
        <v>1776</v>
      </c>
      <c r="I1039" s="79">
        <f>H1039/F1039</f>
        <v>6.5344567496964573E-2</v>
      </c>
    </row>
    <row r="1040" spans="1:9" x14ac:dyDescent="0.25">
      <c r="A1040" s="70" t="s">
        <v>171</v>
      </c>
      <c r="B1040" s="70" t="s">
        <v>201</v>
      </c>
      <c r="C1040" s="94">
        <v>40711</v>
      </c>
      <c r="D1040" s="72">
        <v>41085</v>
      </c>
      <c r="E1040" s="73">
        <v>1.7999999999999999E-2</v>
      </c>
      <c r="F1040" s="74">
        <v>29238</v>
      </c>
      <c r="G1040" s="75"/>
      <c r="H1040" s="74">
        <v>1904</v>
      </c>
      <c r="I1040" s="79">
        <f>H1040/F1040</f>
        <v>6.5120733292290858E-2</v>
      </c>
    </row>
    <row r="1041" spans="1:9" x14ac:dyDescent="0.25">
      <c r="A1041" s="76" t="s">
        <v>531</v>
      </c>
      <c r="B1041" s="76" t="s">
        <v>538</v>
      </c>
      <c r="C1041" s="77">
        <v>40770</v>
      </c>
      <c r="D1041" s="78">
        <v>40968</v>
      </c>
      <c r="E1041" s="79">
        <v>8.9999999999999993E-3</v>
      </c>
      <c r="F1041" s="80"/>
      <c r="G1041" s="81">
        <v>470</v>
      </c>
      <c r="H1041" s="80">
        <v>30</v>
      </c>
      <c r="I1041" s="79">
        <f>H1041/G1041</f>
        <v>6.3829787234042548E-2</v>
      </c>
    </row>
    <row r="1042" spans="1:9" x14ac:dyDescent="0.25">
      <c r="A1042" s="70" t="s">
        <v>144</v>
      </c>
      <c r="B1042" s="70" t="s">
        <v>145</v>
      </c>
      <c r="C1042" s="71">
        <v>41000</v>
      </c>
      <c r="D1042" s="72">
        <v>41065</v>
      </c>
      <c r="E1042" s="73">
        <v>0.2</v>
      </c>
      <c r="F1042" s="74">
        <v>102535.59</v>
      </c>
      <c r="G1042" s="75"/>
      <c r="H1042" s="74">
        <v>6535.59</v>
      </c>
      <c r="I1042" s="73">
        <v>6.3739721983362072E-2</v>
      </c>
    </row>
    <row r="1043" spans="1:9" x14ac:dyDescent="0.25">
      <c r="A1043" s="76" t="s">
        <v>372</v>
      </c>
      <c r="B1043" s="76" t="s">
        <v>22</v>
      </c>
      <c r="C1043" s="77">
        <v>40742</v>
      </c>
      <c r="D1043" s="78">
        <v>41107</v>
      </c>
      <c r="E1043" s="79">
        <v>8.9999999999999993E-3</v>
      </c>
      <c r="F1043" s="80">
        <v>754364.77</v>
      </c>
      <c r="G1043" s="81"/>
      <c r="H1043" s="80">
        <v>47471.43</v>
      </c>
      <c r="I1043" s="79">
        <f>H1043/F1043</f>
        <v>6.2929012445795948E-2</v>
      </c>
    </row>
    <row r="1044" spans="1:9" x14ac:dyDescent="0.25">
      <c r="A1044" s="76" t="s">
        <v>263</v>
      </c>
      <c r="B1044" s="76" t="s">
        <v>108</v>
      </c>
      <c r="C1044" s="77">
        <v>40952</v>
      </c>
      <c r="D1044" s="78">
        <v>41274</v>
      </c>
      <c r="E1044" s="79">
        <v>8.9999999999999993E-3</v>
      </c>
      <c r="F1044" s="80">
        <v>20031</v>
      </c>
      <c r="G1044" s="81"/>
      <c r="H1044" s="80">
        <v>1258.75</v>
      </c>
      <c r="I1044" s="79">
        <f>H1044/F1044</f>
        <v>6.284009784833508E-2</v>
      </c>
    </row>
    <row r="1045" spans="1:9" x14ac:dyDescent="0.25">
      <c r="A1045" s="70" t="s">
        <v>113</v>
      </c>
      <c r="B1045" s="70" t="s">
        <v>115</v>
      </c>
      <c r="C1045" s="71">
        <v>40650</v>
      </c>
      <c r="D1045" s="72">
        <v>41015</v>
      </c>
      <c r="E1045" s="73">
        <v>1.35E-2</v>
      </c>
      <c r="F1045" s="74"/>
      <c r="G1045" s="75">
        <v>3548.16</v>
      </c>
      <c r="H1045" s="74">
        <v>219.41</v>
      </c>
      <c r="I1045" s="73">
        <v>6.1837684884559888E-2</v>
      </c>
    </row>
    <row r="1046" spans="1:9" x14ac:dyDescent="0.25">
      <c r="A1046" s="76" t="s">
        <v>317</v>
      </c>
      <c r="B1046" s="76" t="s">
        <v>319</v>
      </c>
      <c r="C1046" s="77">
        <v>40612</v>
      </c>
      <c r="D1046" s="78">
        <v>40939</v>
      </c>
      <c r="E1046" s="79">
        <v>0</v>
      </c>
      <c r="F1046" s="80"/>
      <c r="G1046" s="81">
        <v>63732.959999999999</v>
      </c>
      <c r="H1046" s="80">
        <v>3734.72</v>
      </c>
      <c r="I1046" s="79">
        <f>H1046/G1046</f>
        <v>5.8599506440623499E-2</v>
      </c>
    </row>
    <row r="1047" spans="1:9" x14ac:dyDescent="0.25">
      <c r="A1047" s="76" t="s">
        <v>249</v>
      </c>
      <c r="B1047" s="76" t="s">
        <v>257</v>
      </c>
      <c r="C1047" s="77">
        <v>40817</v>
      </c>
      <c r="D1047" s="78">
        <v>40968</v>
      </c>
      <c r="E1047" s="79">
        <v>0</v>
      </c>
      <c r="F1047" s="80">
        <v>159928.5</v>
      </c>
      <c r="G1047" s="81"/>
      <c r="H1047" s="80">
        <v>9308.81</v>
      </c>
      <c r="I1047" s="79">
        <f>H1047/F1047</f>
        <v>5.8206073339023376E-2</v>
      </c>
    </row>
    <row r="1048" spans="1:9" x14ac:dyDescent="0.25">
      <c r="A1048" s="76" t="s">
        <v>594</v>
      </c>
      <c r="B1048" s="76" t="s">
        <v>611</v>
      </c>
      <c r="C1048" s="77">
        <v>41152</v>
      </c>
      <c r="D1048" s="78">
        <v>41455</v>
      </c>
      <c r="E1048" s="79">
        <v>8.9999999999999998E-4</v>
      </c>
      <c r="F1048" s="80">
        <v>19461.59</v>
      </c>
      <c r="G1048" s="81"/>
      <c r="H1048" s="80">
        <v>1106.56</v>
      </c>
      <c r="I1048" s="79">
        <f>H1048/F1048</f>
        <v>5.6858663654922335E-2</v>
      </c>
    </row>
    <row r="1049" spans="1:9" x14ac:dyDescent="0.25">
      <c r="A1049" s="76" t="s">
        <v>315</v>
      </c>
      <c r="B1049" s="76" t="s">
        <v>316</v>
      </c>
      <c r="C1049" s="77">
        <v>40575</v>
      </c>
      <c r="D1049" s="78">
        <v>40924</v>
      </c>
      <c r="E1049" s="79">
        <v>1.7999999999999999E-2</v>
      </c>
      <c r="F1049" s="80">
        <v>77595.710000000006</v>
      </c>
      <c r="G1049" s="81"/>
      <c r="H1049" s="80">
        <v>4010.53</v>
      </c>
      <c r="I1049" s="79">
        <f>H1049/F1049</f>
        <v>5.1684944953786748E-2</v>
      </c>
    </row>
    <row r="1050" spans="1:9" x14ac:dyDescent="0.25">
      <c r="A1050" s="76" t="s">
        <v>643</v>
      </c>
      <c r="B1050" s="76" t="s">
        <v>645</v>
      </c>
      <c r="C1050" s="77">
        <v>40591</v>
      </c>
      <c r="D1050" s="78">
        <v>40955</v>
      </c>
      <c r="E1050" s="79">
        <v>4.4999999999999997E-3</v>
      </c>
      <c r="F1050" s="80"/>
      <c r="G1050" s="81">
        <v>70134.039999999994</v>
      </c>
      <c r="H1050" s="80">
        <v>3609.86</v>
      </c>
      <c r="I1050" s="79">
        <f>H1050/G1050</f>
        <v>5.1470869209872989E-2</v>
      </c>
    </row>
    <row r="1051" spans="1:9" x14ac:dyDescent="0.25">
      <c r="A1051" s="70" t="s">
        <v>119</v>
      </c>
      <c r="B1051" s="70" t="s">
        <v>98</v>
      </c>
      <c r="C1051" s="71">
        <v>40695</v>
      </c>
      <c r="D1051" s="72">
        <v>41060</v>
      </c>
      <c r="E1051" s="73">
        <v>0.09</v>
      </c>
      <c r="F1051" s="74">
        <v>3817943.7</v>
      </c>
      <c r="G1051" s="75"/>
      <c r="H1051" s="74">
        <v>190897.18</v>
      </c>
      <c r="I1051" s="73">
        <v>4.9999998690394516E-2</v>
      </c>
    </row>
    <row r="1052" spans="1:9" x14ac:dyDescent="0.25">
      <c r="A1052" s="76" t="s">
        <v>613</v>
      </c>
      <c r="B1052" s="76" t="s">
        <v>614</v>
      </c>
      <c r="C1052" s="77">
        <v>40679</v>
      </c>
      <c r="D1052" s="78">
        <v>41029</v>
      </c>
      <c r="E1052" s="79">
        <v>8.9999999999999993E-3</v>
      </c>
      <c r="F1052" s="80">
        <v>73709</v>
      </c>
      <c r="G1052" s="81"/>
      <c r="H1052" s="80">
        <v>3603</v>
      </c>
      <c r="I1052" s="79">
        <f>H1052/F1052</f>
        <v>4.8881412039235371E-2</v>
      </c>
    </row>
    <row r="1053" spans="1:9" x14ac:dyDescent="0.25">
      <c r="A1053" s="76" t="s">
        <v>315</v>
      </c>
      <c r="B1053" s="76" t="s">
        <v>52</v>
      </c>
      <c r="C1053" s="77">
        <v>40634</v>
      </c>
      <c r="D1053" s="78">
        <v>40954</v>
      </c>
      <c r="E1053" s="79">
        <v>0.01</v>
      </c>
      <c r="F1053" s="80">
        <v>2175997</v>
      </c>
      <c r="G1053" s="81"/>
      <c r="H1053" s="80">
        <v>106034.18</v>
      </c>
      <c r="I1053" s="79">
        <f>H1053/F1053</f>
        <v>4.8729010196245669E-2</v>
      </c>
    </row>
    <row r="1054" spans="1:9" x14ac:dyDescent="0.25">
      <c r="A1054" s="76" t="s">
        <v>1718</v>
      </c>
      <c r="B1054" s="76" t="s">
        <v>1719</v>
      </c>
      <c r="C1054" s="77">
        <v>41036</v>
      </c>
      <c r="D1054" s="78">
        <v>41105</v>
      </c>
      <c r="E1054" s="79">
        <v>0.315</v>
      </c>
      <c r="F1054" s="80"/>
      <c r="G1054" s="81">
        <v>59737.5</v>
      </c>
      <c r="H1054" s="80">
        <v>2848.25</v>
      </c>
      <c r="I1054" s="73">
        <f>H1054/G1054</f>
        <v>4.7679430843272648E-2</v>
      </c>
    </row>
    <row r="1055" spans="1:9" x14ac:dyDescent="0.25">
      <c r="A1055" s="76" t="s">
        <v>531</v>
      </c>
      <c r="B1055" s="76" t="s">
        <v>533</v>
      </c>
      <c r="C1055" s="77">
        <v>40726</v>
      </c>
      <c r="D1055" s="78">
        <v>40755</v>
      </c>
      <c r="E1055" s="79">
        <v>8.9999999999999993E-3</v>
      </c>
      <c r="F1055" s="80">
        <v>13960</v>
      </c>
      <c r="G1055" s="81"/>
      <c r="H1055" s="80">
        <v>642</v>
      </c>
      <c r="I1055" s="79">
        <f>H1055/F1055</f>
        <v>4.5988538681948424E-2</v>
      </c>
    </row>
    <row r="1056" spans="1:9" x14ac:dyDescent="0.25">
      <c r="A1056" s="76" t="s">
        <v>594</v>
      </c>
      <c r="B1056" s="76" t="s">
        <v>601</v>
      </c>
      <c r="C1056" s="77">
        <v>40849</v>
      </c>
      <c r="D1056" s="78">
        <v>41182</v>
      </c>
      <c r="E1056" s="79">
        <v>0.27</v>
      </c>
      <c r="F1056" s="80">
        <v>507204.85</v>
      </c>
      <c r="G1056" s="81"/>
      <c r="H1056" s="80">
        <v>23024.66</v>
      </c>
      <c r="I1056" s="79">
        <f>H1056/F1056</f>
        <v>4.5395188945847029E-2</v>
      </c>
    </row>
    <row r="1057" spans="1:9" x14ac:dyDescent="0.25">
      <c r="A1057" s="76" t="s">
        <v>531</v>
      </c>
      <c r="B1057" s="76" t="s">
        <v>545</v>
      </c>
      <c r="C1057" s="77">
        <v>40889</v>
      </c>
      <c r="D1057" s="78">
        <v>41243</v>
      </c>
      <c r="E1057" s="79">
        <v>8.9999999999999993E-3</v>
      </c>
      <c r="F1057" s="80"/>
      <c r="G1057" s="81">
        <v>2654</v>
      </c>
      <c r="H1057" s="80">
        <v>120</v>
      </c>
      <c r="I1057" s="79">
        <f>H1057/G1057</f>
        <v>4.5214770158251698E-2</v>
      </c>
    </row>
    <row r="1058" spans="1:9" x14ac:dyDescent="0.25">
      <c r="A1058" s="76" t="s">
        <v>317</v>
      </c>
      <c r="B1058" s="76" t="s">
        <v>346</v>
      </c>
      <c r="C1058" s="77">
        <v>40909</v>
      </c>
      <c r="D1058" s="78">
        <v>41274</v>
      </c>
      <c r="E1058" s="79">
        <v>8.9999999999999998E-4</v>
      </c>
      <c r="F1058" s="80">
        <v>1020214.51</v>
      </c>
      <c r="G1058" s="81"/>
      <c r="H1058" s="80">
        <v>45922.05</v>
      </c>
      <c r="I1058" s="79">
        <f>H1058/F1058</f>
        <v>4.5012151415097991E-2</v>
      </c>
    </row>
    <row r="1059" spans="1:9" x14ac:dyDescent="0.25">
      <c r="A1059" s="76" t="s">
        <v>317</v>
      </c>
      <c r="B1059" s="76" t="s">
        <v>346</v>
      </c>
      <c r="C1059" s="77">
        <v>40909</v>
      </c>
      <c r="D1059" s="78">
        <v>41274</v>
      </c>
      <c r="E1059" s="79">
        <v>8.9999999999999998E-4</v>
      </c>
      <c r="F1059" s="80"/>
      <c r="G1059" s="81">
        <v>47833.35</v>
      </c>
      <c r="H1059" s="80">
        <v>2153.08</v>
      </c>
      <c r="I1059" s="79">
        <f>H1059/G1059</f>
        <v>4.5012109751878138E-2</v>
      </c>
    </row>
    <row r="1060" spans="1:9" x14ac:dyDescent="0.25">
      <c r="A1060" s="76" t="s">
        <v>281</v>
      </c>
      <c r="B1060" s="76" t="s">
        <v>288</v>
      </c>
      <c r="C1060" s="77">
        <v>41061</v>
      </c>
      <c r="D1060" s="78">
        <v>41274</v>
      </c>
      <c r="E1060" s="79">
        <v>0.54</v>
      </c>
      <c r="F1060" s="80">
        <v>2395</v>
      </c>
      <c r="G1060" s="81"/>
      <c r="H1060" s="80">
        <v>1828.42</v>
      </c>
      <c r="I1060" s="79">
        <f>IF(H1060="","",(IF(C1060&lt;&gt;"",H1060/C1060,H1060/D1060)))</f>
        <v>4.4529358758919661E-2</v>
      </c>
    </row>
    <row r="1061" spans="1:9" x14ac:dyDescent="0.25">
      <c r="A1061" s="76" t="s">
        <v>487</v>
      </c>
      <c r="B1061" s="76" t="s">
        <v>488</v>
      </c>
      <c r="C1061" s="77">
        <v>41091</v>
      </c>
      <c r="D1061" s="78">
        <v>41455</v>
      </c>
      <c r="E1061" s="79">
        <v>0.09</v>
      </c>
      <c r="F1061" s="80">
        <v>3300896.24</v>
      </c>
      <c r="G1061" s="88"/>
      <c r="H1061" s="80">
        <v>137000</v>
      </c>
      <c r="I1061" s="79">
        <f>H1061/F1061</f>
        <v>4.150387956453911E-2</v>
      </c>
    </row>
    <row r="1062" spans="1:9" x14ac:dyDescent="0.25">
      <c r="A1062" s="76" t="s">
        <v>643</v>
      </c>
      <c r="B1062" s="76" t="s">
        <v>648</v>
      </c>
      <c r="C1062" s="77">
        <v>41061</v>
      </c>
      <c r="D1062" s="78">
        <v>41394</v>
      </c>
      <c r="E1062" s="79">
        <v>4.4999999999999997E-3</v>
      </c>
      <c r="F1062" s="80"/>
      <c r="G1062" s="81">
        <v>5180</v>
      </c>
      <c r="H1062" s="80">
        <v>212.8</v>
      </c>
      <c r="I1062" s="79">
        <f>H1062/G1062</f>
        <v>4.1081081081081085E-2</v>
      </c>
    </row>
    <row r="1063" spans="1:9" x14ac:dyDescent="0.25">
      <c r="A1063" s="76" t="s">
        <v>171</v>
      </c>
      <c r="B1063" s="76" t="s">
        <v>179</v>
      </c>
      <c r="C1063" s="77">
        <v>40988</v>
      </c>
      <c r="D1063" s="78">
        <v>41213</v>
      </c>
      <c r="E1063" s="79">
        <v>1.7999999999999999E-2</v>
      </c>
      <c r="F1063" s="80"/>
      <c r="G1063" s="81">
        <v>1685</v>
      </c>
      <c r="H1063" s="80">
        <v>68</v>
      </c>
      <c r="I1063" s="79">
        <f>H1063/G1063</f>
        <v>4.0356083086053415E-2</v>
      </c>
    </row>
    <row r="1064" spans="1:9" x14ac:dyDescent="0.25">
      <c r="A1064" s="76" t="s">
        <v>317</v>
      </c>
      <c r="B1064" s="76" t="s">
        <v>323</v>
      </c>
      <c r="C1064" s="77">
        <v>40689</v>
      </c>
      <c r="D1064" s="78">
        <v>40672</v>
      </c>
      <c r="E1064" s="79">
        <v>0</v>
      </c>
      <c r="F1064" s="80"/>
      <c r="G1064" s="81">
        <v>62797.94</v>
      </c>
      <c r="H1064" s="80">
        <v>2366.7800000000002</v>
      </c>
      <c r="I1064" s="79">
        <f>H1064/G1064</f>
        <v>3.7688815907018607E-2</v>
      </c>
    </row>
    <row r="1065" spans="1:9" x14ac:dyDescent="0.25">
      <c r="A1065" s="76" t="s">
        <v>171</v>
      </c>
      <c r="B1065" s="76" t="s">
        <v>191</v>
      </c>
      <c r="C1065" s="77">
        <v>40873</v>
      </c>
      <c r="D1065" s="78">
        <v>41238</v>
      </c>
      <c r="E1065" s="79">
        <v>1.7999999999999999E-2</v>
      </c>
      <c r="F1065" s="80">
        <v>91461</v>
      </c>
      <c r="G1065" s="81"/>
      <c r="H1065" s="80">
        <v>2918.31</v>
      </c>
      <c r="I1065" s="79">
        <f>H1065/F1065</f>
        <v>3.1907698363236786E-2</v>
      </c>
    </row>
    <row r="1066" spans="1:9" x14ac:dyDescent="0.25">
      <c r="A1066" s="76" t="s">
        <v>317</v>
      </c>
      <c r="B1066" s="76" t="s">
        <v>328</v>
      </c>
      <c r="C1066" s="77">
        <v>40729</v>
      </c>
      <c r="D1066" s="78">
        <v>41094</v>
      </c>
      <c r="E1066" s="79">
        <v>0</v>
      </c>
      <c r="F1066" s="80">
        <v>1401611.29</v>
      </c>
      <c r="G1066" s="81"/>
      <c r="H1066" s="80">
        <v>40352.58</v>
      </c>
      <c r="I1066" s="79">
        <f>H1066/F1066</f>
        <v>2.8790136243836906E-2</v>
      </c>
    </row>
    <row r="1067" spans="1:9" x14ac:dyDescent="0.25">
      <c r="A1067" s="76" t="s">
        <v>317</v>
      </c>
      <c r="B1067" s="76" t="s">
        <v>328</v>
      </c>
      <c r="C1067" s="77">
        <v>40729</v>
      </c>
      <c r="D1067" s="78">
        <v>41094</v>
      </c>
      <c r="E1067" s="79">
        <v>0</v>
      </c>
      <c r="F1067" s="80"/>
      <c r="G1067" s="81">
        <v>78350.58</v>
      </c>
      <c r="H1067" s="80">
        <v>2255.7199999999998</v>
      </c>
      <c r="I1067" s="79">
        <f>H1067/G1067</f>
        <v>2.879008681237586E-2</v>
      </c>
    </row>
    <row r="1068" spans="1:9" x14ac:dyDescent="0.25">
      <c r="A1068" s="76" t="s">
        <v>594</v>
      </c>
      <c r="B1068" s="76" t="s">
        <v>604</v>
      </c>
      <c r="C1068" s="77">
        <v>40954</v>
      </c>
      <c r="D1068" s="78">
        <v>41274</v>
      </c>
      <c r="E1068" s="79">
        <v>1.7999999999999999E-2</v>
      </c>
      <c r="F1068" s="80"/>
      <c r="G1068" s="81">
        <v>3295</v>
      </c>
      <c r="H1068" s="80">
        <v>94.46</v>
      </c>
      <c r="I1068" s="79">
        <f>H1068/G1068</f>
        <v>2.8667678300455232E-2</v>
      </c>
    </row>
    <row r="1069" spans="1:9" x14ac:dyDescent="0.25">
      <c r="A1069" s="76" t="s">
        <v>613</v>
      </c>
      <c r="B1069" s="76" t="s">
        <v>620</v>
      </c>
      <c r="C1069" s="77">
        <v>41019</v>
      </c>
      <c r="D1069" s="78">
        <v>41274</v>
      </c>
      <c r="E1069" s="79">
        <v>8.9999999999999993E-3</v>
      </c>
      <c r="F1069" s="80"/>
      <c r="G1069" s="81">
        <v>185</v>
      </c>
      <c r="H1069" s="80">
        <v>5</v>
      </c>
      <c r="I1069" s="79">
        <f>H1069/G1069</f>
        <v>2.7027027027027029E-2</v>
      </c>
    </row>
    <row r="1070" spans="1:9" x14ac:dyDescent="0.25">
      <c r="A1070" s="76" t="s">
        <v>171</v>
      </c>
      <c r="B1070" s="76" t="s">
        <v>178</v>
      </c>
      <c r="C1070" s="77">
        <v>40805</v>
      </c>
      <c r="D1070" s="78">
        <v>41152</v>
      </c>
      <c r="E1070" s="79">
        <v>1.7999999999999999E-2</v>
      </c>
      <c r="F1070" s="80">
        <v>290116</v>
      </c>
      <c r="G1070" s="81"/>
      <c r="H1070" s="80">
        <v>7545</v>
      </c>
      <c r="I1070" s="79">
        <f>H1070/F1070</f>
        <v>2.6006838643852805E-2</v>
      </c>
    </row>
    <row r="1071" spans="1:9" x14ac:dyDescent="0.25">
      <c r="A1071" s="76" t="s">
        <v>613</v>
      </c>
      <c r="B1071" s="76" t="s">
        <v>193</v>
      </c>
      <c r="C1071" s="77">
        <v>41101</v>
      </c>
      <c r="D1071" s="78">
        <v>41455</v>
      </c>
      <c r="E1071" s="79">
        <v>8.9999999999999993E-3</v>
      </c>
      <c r="F1071" s="80"/>
      <c r="G1071" s="81">
        <v>9700</v>
      </c>
      <c r="H1071" s="80">
        <v>194</v>
      </c>
      <c r="I1071" s="79">
        <f>H1071/G1071</f>
        <v>0.02</v>
      </c>
    </row>
    <row r="1072" spans="1:9" x14ac:dyDescent="0.25">
      <c r="A1072" s="70" t="s">
        <v>20</v>
      </c>
      <c r="B1072" s="70" t="s">
        <v>34</v>
      </c>
      <c r="C1072" s="71">
        <v>40973</v>
      </c>
      <c r="D1072" s="72">
        <v>41319</v>
      </c>
      <c r="E1072" s="73">
        <v>0</v>
      </c>
      <c r="F1072" s="74"/>
      <c r="G1072" s="75">
        <v>200.1</v>
      </c>
      <c r="H1072" s="74">
        <v>3.76</v>
      </c>
      <c r="I1072" s="73">
        <v>1.8790604697651175E-2</v>
      </c>
    </row>
    <row r="1073" spans="1:9" x14ac:dyDescent="0.25">
      <c r="A1073" s="76" t="s">
        <v>449</v>
      </c>
      <c r="B1073" s="76" t="s">
        <v>456</v>
      </c>
      <c r="C1073" s="77">
        <v>40725</v>
      </c>
      <c r="D1073" s="78">
        <v>41090</v>
      </c>
      <c r="E1073" s="79">
        <v>0</v>
      </c>
      <c r="F1073" s="80">
        <v>764842</v>
      </c>
      <c r="G1073" s="81"/>
      <c r="H1073" s="80">
        <v>14019</v>
      </c>
      <c r="I1073" s="79">
        <f>H1073/F1073</f>
        <v>1.8329275850437084E-2</v>
      </c>
    </row>
    <row r="1074" spans="1:9" x14ac:dyDescent="0.25">
      <c r="A1074" s="76" t="s">
        <v>449</v>
      </c>
      <c r="B1074" s="76" t="s">
        <v>468</v>
      </c>
      <c r="C1074" s="77">
        <v>41030</v>
      </c>
      <c r="D1074" s="78">
        <v>41394</v>
      </c>
      <c r="E1074" s="79">
        <v>0</v>
      </c>
      <c r="F1074" s="80">
        <v>320470</v>
      </c>
      <c r="G1074" s="81"/>
      <c r="H1074" s="80">
        <v>5818</v>
      </c>
      <c r="I1074" s="79">
        <f>H1074/F1074</f>
        <v>1.8154585452616469E-2</v>
      </c>
    </row>
    <row r="1075" spans="1:9" x14ac:dyDescent="0.25">
      <c r="A1075" s="76" t="s">
        <v>317</v>
      </c>
      <c r="B1075" s="76" t="s">
        <v>172</v>
      </c>
      <c r="C1075" s="77">
        <v>40589</v>
      </c>
      <c r="D1075" s="78">
        <v>40953</v>
      </c>
      <c r="E1075" s="79">
        <v>1.7999999999999999E-2</v>
      </c>
      <c r="F1075" s="80"/>
      <c r="G1075" s="81">
        <v>13835</v>
      </c>
      <c r="H1075" s="80">
        <v>249.03</v>
      </c>
      <c r="I1075" s="79">
        <f>H1075/G1075</f>
        <v>1.7999999999999999E-2</v>
      </c>
    </row>
    <row r="1076" spans="1:9" x14ac:dyDescent="0.25">
      <c r="A1076" s="76" t="s">
        <v>613</v>
      </c>
      <c r="B1076" s="76" t="s">
        <v>186</v>
      </c>
      <c r="C1076" s="77">
        <v>41038</v>
      </c>
      <c r="D1076" s="78">
        <v>41305</v>
      </c>
      <c r="E1076" s="79">
        <v>8.9999999999999993E-3</v>
      </c>
      <c r="F1076" s="80"/>
      <c r="G1076" s="81">
        <v>120</v>
      </c>
      <c r="H1076" s="80">
        <v>2</v>
      </c>
      <c r="I1076" s="79">
        <f>H1076/G1076</f>
        <v>1.6666666666666666E-2</v>
      </c>
    </row>
    <row r="1077" spans="1:9" x14ac:dyDescent="0.25">
      <c r="A1077" s="76" t="s">
        <v>613</v>
      </c>
      <c r="B1077" s="76" t="s">
        <v>614</v>
      </c>
      <c r="C1077" s="77">
        <v>40679</v>
      </c>
      <c r="D1077" s="78">
        <v>41029</v>
      </c>
      <c r="E1077" s="79">
        <v>8.9999999999999993E-3</v>
      </c>
      <c r="F1077" s="80"/>
      <c r="G1077" s="81">
        <v>600</v>
      </c>
      <c r="H1077" s="80">
        <v>8</v>
      </c>
      <c r="I1077" s="79">
        <f>H1077/G1077</f>
        <v>1.3333333333333334E-2</v>
      </c>
    </row>
    <row r="1078" spans="1:9" x14ac:dyDescent="0.25">
      <c r="A1078" s="76" t="s">
        <v>613</v>
      </c>
      <c r="B1078" s="76" t="s">
        <v>532</v>
      </c>
      <c r="C1078" s="77">
        <v>40956</v>
      </c>
      <c r="D1078" s="78">
        <v>41305</v>
      </c>
      <c r="E1078" s="79">
        <v>8.9999999999999993E-3</v>
      </c>
      <c r="F1078" s="80"/>
      <c r="G1078" s="81">
        <v>2004</v>
      </c>
      <c r="H1078" s="80">
        <v>26</v>
      </c>
      <c r="I1078" s="79">
        <f>H1078/G1078</f>
        <v>1.2974051896207584E-2</v>
      </c>
    </row>
    <row r="1079" spans="1:9" x14ac:dyDescent="0.25">
      <c r="A1079" s="76" t="s">
        <v>371</v>
      </c>
      <c r="B1079" s="76" t="s">
        <v>107</v>
      </c>
      <c r="C1079" s="77">
        <v>40647</v>
      </c>
      <c r="D1079" s="78">
        <v>41012</v>
      </c>
      <c r="E1079" s="79">
        <v>8.9999999999999993E-3</v>
      </c>
      <c r="F1079" s="80">
        <v>623348.5</v>
      </c>
      <c r="G1079" s="81"/>
      <c r="H1079" s="80">
        <v>7578.4</v>
      </c>
      <c r="I1079" s="79">
        <f>H1079/F1079</f>
        <v>1.2157565150152764E-2</v>
      </c>
    </row>
    <row r="1080" spans="1:9" x14ac:dyDescent="0.25">
      <c r="A1080" s="76" t="s">
        <v>613</v>
      </c>
      <c r="B1080" s="76" t="s">
        <v>107</v>
      </c>
      <c r="C1080" s="77">
        <v>41017</v>
      </c>
      <c r="D1080" s="78">
        <v>41305</v>
      </c>
      <c r="E1080" s="79">
        <v>8.9999999999999993E-3</v>
      </c>
      <c r="F1080" s="80"/>
      <c r="G1080" s="81">
        <v>502</v>
      </c>
      <c r="H1080" s="80">
        <v>6</v>
      </c>
      <c r="I1080" s="79">
        <f>H1080/G1080</f>
        <v>1.1952191235059761E-2</v>
      </c>
    </row>
    <row r="1081" spans="1:9" x14ac:dyDescent="0.25">
      <c r="A1081" s="70" t="s">
        <v>113</v>
      </c>
      <c r="B1081" s="70" t="s">
        <v>115</v>
      </c>
      <c r="C1081" s="71">
        <v>40650</v>
      </c>
      <c r="D1081" s="72">
        <v>41015</v>
      </c>
      <c r="E1081" s="73">
        <v>1.35E-2</v>
      </c>
      <c r="F1081" s="74">
        <v>113723.13</v>
      </c>
      <c r="G1081" s="75"/>
      <c r="H1081" s="74">
        <v>1312.93</v>
      </c>
      <c r="I1081" s="73">
        <v>1.1544968908259911E-2</v>
      </c>
    </row>
    <row r="1082" spans="1:9" x14ac:dyDescent="0.25">
      <c r="A1082" s="76" t="s">
        <v>613</v>
      </c>
      <c r="B1082" s="76" t="s">
        <v>617</v>
      </c>
      <c r="C1082" s="77">
        <v>41118</v>
      </c>
      <c r="D1082" s="78">
        <v>41455</v>
      </c>
      <c r="E1082" s="79">
        <v>8.9999999999999993E-3</v>
      </c>
      <c r="F1082" s="80"/>
      <c r="G1082" s="81">
        <v>1109</v>
      </c>
      <c r="H1082" s="80">
        <v>12</v>
      </c>
      <c r="I1082" s="79">
        <f>H1082/G1082</f>
        <v>1.0820559062218215E-2</v>
      </c>
    </row>
    <row r="1083" spans="1:9" x14ac:dyDescent="0.25">
      <c r="A1083" s="76" t="s">
        <v>622</v>
      </c>
      <c r="B1083" s="76" t="s">
        <v>31</v>
      </c>
      <c r="C1083" s="77">
        <v>41170</v>
      </c>
      <c r="D1083" s="78">
        <v>41517</v>
      </c>
      <c r="E1083" s="79">
        <v>8.9999999999999993E-3</v>
      </c>
      <c r="F1083" s="80"/>
      <c r="G1083" s="81">
        <v>1610</v>
      </c>
      <c r="H1083" s="80">
        <v>17</v>
      </c>
      <c r="I1083" s="79">
        <f>H1083/G1083</f>
        <v>1.0559006211180125E-2</v>
      </c>
    </row>
    <row r="1084" spans="1:9" x14ac:dyDescent="0.25">
      <c r="A1084" s="76" t="s">
        <v>317</v>
      </c>
      <c r="B1084" s="76" t="s">
        <v>326</v>
      </c>
      <c r="C1084" s="77">
        <v>41091</v>
      </c>
      <c r="D1084" s="78">
        <v>41440</v>
      </c>
      <c r="E1084" s="79">
        <v>8.9999999999999998E-4</v>
      </c>
      <c r="F1084" s="80">
        <v>971726</v>
      </c>
      <c r="G1084" s="81"/>
      <c r="H1084" s="80">
        <v>10254.459999999999</v>
      </c>
      <c r="I1084" s="79">
        <f>H1084/F1084</f>
        <v>1.0552830736236345E-2</v>
      </c>
    </row>
    <row r="1085" spans="1:9" x14ac:dyDescent="0.25">
      <c r="A1085" s="76" t="s">
        <v>263</v>
      </c>
      <c r="B1085" s="76" t="s">
        <v>22</v>
      </c>
      <c r="C1085" s="77">
        <v>40772</v>
      </c>
      <c r="D1085" s="78">
        <v>41137</v>
      </c>
      <c r="E1085" s="79">
        <v>8.9999999999999993E-3</v>
      </c>
      <c r="F1085" s="80">
        <v>93147.62</v>
      </c>
      <c r="G1085" s="81"/>
      <c r="H1085" s="80">
        <v>945.93</v>
      </c>
      <c r="I1085" s="79">
        <f>H1085/F1085</f>
        <v>1.0155170899696631E-2</v>
      </c>
    </row>
    <row r="1086" spans="1:9" x14ac:dyDescent="0.25">
      <c r="A1086" s="76" t="s">
        <v>613</v>
      </c>
      <c r="B1086" s="110" t="s">
        <v>190</v>
      </c>
      <c r="C1086" s="77">
        <v>40738</v>
      </c>
      <c r="D1086" s="78">
        <v>40999</v>
      </c>
      <c r="E1086" s="79">
        <v>8.9999999999999993E-3</v>
      </c>
      <c r="F1086" s="80"/>
      <c r="G1086" s="81">
        <v>2485</v>
      </c>
      <c r="H1086" s="80">
        <v>25</v>
      </c>
      <c r="I1086" s="79">
        <f>H1086/G1086</f>
        <v>1.0060362173038229E-2</v>
      </c>
    </row>
    <row r="1087" spans="1:9" x14ac:dyDescent="0.25">
      <c r="A1087" s="76" t="s">
        <v>613</v>
      </c>
      <c r="B1087" s="76" t="s">
        <v>193</v>
      </c>
      <c r="C1087" s="77">
        <v>40793</v>
      </c>
      <c r="D1087" s="78">
        <v>41090</v>
      </c>
      <c r="E1087" s="79">
        <v>8.9999999999999993E-3</v>
      </c>
      <c r="F1087" s="80"/>
      <c r="G1087" s="81">
        <v>6690</v>
      </c>
      <c r="H1087" s="80">
        <v>67</v>
      </c>
      <c r="I1087" s="79">
        <f>H1087/G1087</f>
        <v>1.0014947683109118E-2</v>
      </c>
    </row>
    <row r="1088" spans="1:9" x14ac:dyDescent="0.25">
      <c r="A1088" s="76" t="s">
        <v>613</v>
      </c>
      <c r="B1088" s="76" t="s">
        <v>615</v>
      </c>
      <c r="C1088" s="77">
        <v>40710</v>
      </c>
      <c r="D1088" s="78">
        <v>41045</v>
      </c>
      <c r="E1088" s="79">
        <v>8.9999999999999993E-3</v>
      </c>
      <c r="F1088" s="80"/>
      <c r="G1088" s="81">
        <v>400</v>
      </c>
      <c r="H1088" s="80">
        <v>4</v>
      </c>
      <c r="I1088" s="79">
        <f>H1088/G1088</f>
        <v>0.01</v>
      </c>
    </row>
    <row r="1089" spans="1:9" x14ac:dyDescent="0.25">
      <c r="A1089" s="76" t="s">
        <v>171</v>
      </c>
      <c r="B1089" s="76" t="s">
        <v>208</v>
      </c>
      <c r="C1089" s="77">
        <v>40891</v>
      </c>
      <c r="D1089" s="78">
        <v>41206</v>
      </c>
      <c r="E1089" s="79">
        <v>1.7999999999999999E-2</v>
      </c>
      <c r="F1089" s="80"/>
      <c r="G1089" s="81">
        <v>635</v>
      </c>
      <c r="H1089" s="80">
        <v>6</v>
      </c>
      <c r="I1089" s="79">
        <f>H1089/G1089</f>
        <v>9.4488188976377951E-3</v>
      </c>
    </row>
    <row r="1090" spans="1:9" x14ac:dyDescent="0.25">
      <c r="A1090" s="76" t="s">
        <v>171</v>
      </c>
      <c r="B1090" s="76" t="s">
        <v>192</v>
      </c>
      <c r="C1090" s="77">
        <v>40879</v>
      </c>
      <c r="D1090" s="78">
        <v>41243</v>
      </c>
      <c r="E1090" s="79">
        <v>1.7999999999999999E-2</v>
      </c>
      <c r="F1090" s="80">
        <v>902813</v>
      </c>
      <c r="G1090" s="81"/>
      <c r="H1090" s="80">
        <v>7565.31</v>
      </c>
      <c r="I1090" s="79">
        <f>H1090/F1090</f>
        <v>8.3797087547476615E-3</v>
      </c>
    </row>
    <row r="1091" spans="1:9" x14ac:dyDescent="0.25">
      <c r="A1091" s="76" t="s">
        <v>317</v>
      </c>
      <c r="B1091" s="76" t="s">
        <v>322</v>
      </c>
      <c r="C1091" s="77">
        <v>40663</v>
      </c>
      <c r="D1091" s="78">
        <v>41021</v>
      </c>
      <c r="E1091" s="79">
        <v>0</v>
      </c>
      <c r="F1091" s="80">
        <v>219085</v>
      </c>
      <c r="G1091" s="81"/>
      <c r="H1091" s="80">
        <v>1419.24</v>
      </c>
      <c r="I1091" s="79">
        <f>H1091/F1091</f>
        <v>6.4780336399114496E-3</v>
      </c>
    </row>
    <row r="1092" spans="1:9" x14ac:dyDescent="0.25">
      <c r="A1092" s="76" t="s">
        <v>317</v>
      </c>
      <c r="B1092" s="76" t="s">
        <v>322</v>
      </c>
      <c r="C1092" s="77">
        <v>40663</v>
      </c>
      <c r="D1092" s="78">
        <v>41021</v>
      </c>
      <c r="E1092" s="79">
        <v>0</v>
      </c>
      <c r="F1092" s="80"/>
      <c r="G1092" s="81">
        <v>10741.05</v>
      </c>
      <c r="H1092" s="80">
        <v>69.58</v>
      </c>
      <c r="I1092" s="79">
        <f>H1092/G1092</f>
        <v>6.4779514107093815E-3</v>
      </c>
    </row>
    <row r="1093" spans="1:9" x14ac:dyDescent="0.25">
      <c r="A1093" s="70" t="s">
        <v>20</v>
      </c>
      <c r="B1093" s="70" t="s">
        <v>32</v>
      </c>
      <c r="C1093" s="71">
        <v>40817</v>
      </c>
      <c r="D1093" s="72">
        <v>41182</v>
      </c>
      <c r="E1093" s="73">
        <v>0</v>
      </c>
      <c r="F1093" s="74"/>
      <c r="G1093" s="75">
        <v>11226.7</v>
      </c>
      <c r="H1093" s="74">
        <v>128.75</v>
      </c>
      <c r="I1093" s="73">
        <v>5.3022269353128317E-3</v>
      </c>
    </row>
    <row r="1094" spans="1:9" x14ac:dyDescent="0.25">
      <c r="A1094" s="70" t="s">
        <v>20</v>
      </c>
      <c r="B1094" s="70" t="s">
        <v>25</v>
      </c>
      <c r="C1094" s="71">
        <v>40817</v>
      </c>
      <c r="D1094" s="72">
        <v>41182</v>
      </c>
      <c r="E1094" s="73">
        <v>0</v>
      </c>
      <c r="F1094" s="74">
        <v>24282.25</v>
      </c>
      <c r="G1094" s="75"/>
      <c r="H1094" s="80">
        <v>128.75</v>
      </c>
      <c r="I1094" s="73">
        <f>H1094/F1094</f>
        <v>5.3022269353128317E-3</v>
      </c>
    </row>
    <row r="1095" spans="1:9" x14ac:dyDescent="0.25">
      <c r="A1095" s="70" t="s">
        <v>20</v>
      </c>
      <c r="B1095" s="70" t="s">
        <v>25</v>
      </c>
      <c r="C1095" s="71">
        <v>40817</v>
      </c>
      <c r="D1095" s="72">
        <v>41182</v>
      </c>
      <c r="E1095" s="73">
        <v>0</v>
      </c>
      <c r="F1095" s="74"/>
      <c r="G1095" s="75">
        <v>959.24</v>
      </c>
      <c r="H1095" s="80">
        <v>5.08</v>
      </c>
      <c r="I1095" s="73">
        <f>H1095/G1095</f>
        <v>5.2958592218839912E-3</v>
      </c>
    </row>
    <row r="1096" spans="1:9" x14ac:dyDescent="0.25">
      <c r="A1096" s="76" t="s">
        <v>317</v>
      </c>
      <c r="B1096" s="76" t="s">
        <v>328</v>
      </c>
      <c r="C1096" s="77">
        <v>40955</v>
      </c>
      <c r="D1096" s="78">
        <v>41274</v>
      </c>
      <c r="E1096" s="79">
        <v>8.9999999999999998E-4</v>
      </c>
      <c r="F1096" s="80">
        <v>95852.15</v>
      </c>
      <c r="G1096" s="81"/>
      <c r="H1096" s="80">
        <v>250</v>
      </c>
      <c r="I1096" s="79">
        <f>H1096/F1096</f>
        <v>2.608183541005601E-3</v>
      </c>
    </row>
    <row r="1097" spans="1:9" x14ac:dyDescent="0.25">
      <c r="A1097" s="76" t="s">
        <v>317</v>
      </c>
      <c r="B1097" s="76" t="s">
        <v>328</v>
      </c>
      <c r="C1097" s="77">
        <v>40955</v>
      </c>
      <c r="D1097" s="78">
        <v>41274</v>
      </c>
      <c r="E1097" s="79">
        <v>8.9999999999999998E-4</v>
      </c>
      <c r="F1097" s="80"/>
      <c r="G1097" s="81">
        <v>2743</v>
      </c>
      <c r="H1097" s="80">
        <v>7.15</v>
      </c>
      <c r="I1097" s="79">
        <f>H1097/G1097</f>
        <v>2.6066350710900474E-3</v>
      </c>
    </row>
    <row r="1098" spans="1:9" x14ac:dyDescent="0.25">
      <c r="A1098" s="76" t="s">
        <v>531</v>
      </c>
      <c r="B1098" s="76" t="s">
        <v>173</v>
      </c>
      <c r="C1098" s="77">
        <v>40796</v>
      </c>
      <c r="D1098" s="78">
        <v>41152</v>
      </c>
      <c r="E1098" s="79">
        <v>8.9999999999999993E-3</v>
      </c>
      <c r="F1098" s="80">
        <v>24682</v>
      </c>
      <c r="G1098" s="81"/>
      <c r="H1098" s="80">
        <v>49</v>
      </c>
      <c r="I1098" s="79">
        <f>H1098/F1098</f>
        <v>1.9852524106636414E-3</v>
      </c>
    </row>
    <row r="1099" spans="1:9" x14ac:dyDescent="0.25">
      <c r="A1099" s="70" t="s">
        <v>146</v>
      </c>
      <c r="B1099" s="70" t="s">
        <v>157</v>
      </c>
      <c r="C1099" s="71">
        <v>40841</v>
      </c>
      <c r="D1099" s="72">
        <v>41206</v>
      </c>
      <c r="E1099" s="101">
        <v>4.4999999999999999E-4</v>
      </c>
      <c r="F1099" s="74">
        <v>91631.64</v>
      </c>
      <c r="G1099" s="75"/>
      <c r="H1099" s="74">
        <v>149.4</v>
      </c>
      <c r="I1099" s="73">
        <v>1.6304411882183927E-3</v>
      </c>
    </row>
    <row r="1100" spans="1:9" x14ac:dyDescent="0.25">
      <c r="A1100" s="76" t="s">
        <v>317</v>
      </c>
      <c r="B1100" s="76" t="s">
        <v>320</v>
      </c>
      <c r="C1100" s="77">
        <v>40648</v>
      </c>
      <c r="D1100" s="78">
        <v>40939</v>
      </c>
      <c r="E1100" s="79">
        <v>0</v>
      </c>
      <c r="F1100" s="80"/>
      <c r="G1100" s="81">
        <v>2568</v>
      </c>
      <c r="H1100" s="80">
        <v>3.85</v>
      </c>
      <c r="I1100" s="79">
        <f>H1100/G1100</f>
        <v>1.4992211838006232E-3</v>
      </c>
    </row>
    <row r="1101" spans="1:9" x14ac:dyDescent="0.25">
      <c r="A1101" s="76" t="s">
        <v>317</v>
      </c>
      <c r="B1101" s="76" t="s">
        <v>320</v>
      </c>
      <c r="C1101" s="77">
        <v>40648</v>
      </c>
      <c r="D1101" s="78">
        <v>40939</v>
      </c>
      <c r="E1101" s="79">
        <v>0</v>
      </c>
      <c r="F1101" s="80">
        <v>90117.33</v>
      </c>
      <c r="G1101" s="81"/>
      <c r="H1101" s="80">
        <v>131.25</v>
      </c>
      <c r="I1101" s="79">
        <f>H1101/F1101</f>
        <v>1.456434628056557E-3</v>
      </c>
    </row>
    <row r="1102" spans="1:9" ht="28.5" x14ac:dyDescent="0.25">
      <c r="A1102" s="76" t="s">
        <v>317</v>
      </c>
      <c r="B1102" s="76" t="s">
        <v>357</v>
      </c>
      <c r="C1102" s="77">
        <v>41201</v>
      </c>
      <c r="D1102" s="78">
        <v>41378</v>
      </c>
      <c r="E1102" s="79">
        <v>8.9999999999999998E-4</v>
      </c>
      <c r="F1102" s="80">
        <v>4871.46</v>
      </c>
      <c r="G1102" s="81"/>
      <c r="H1102" s="80">
        <v>5.8</v>
      </c>
      <c r="I1102" s="79">
        <f>H1102/F1102</f>
        <v>1.1906081544341943E-3</v>
      </c>
    </row>
    <row r="1103" spans="1:9" ht="28.5" x14ac:dyDescent="0.25">
      <c r="A1103" s="76" t="s">
        <v>317</v>
      </c>
      <c r="B1103" s="76" t="s">
        <v>357</v>
      </c>
      <c r="C1103" s="77">
        <v>41201</v>
      </c>
      <c r="D1103" s="78">
        <v>41378</v>
      </c>
      <c r="E1103" s="79">
        <v>8.9999999999999998E-4</v>
      </c>
      <c r="F1103" s="80"/>
      <c r="G1103" s="81">
        <v>160</v>
      </c>
      <c r="H1103" s="80">
        <v>0.19</v>
      </c>
      <c r="I1103" s="79">
        <f>H1103/G1103</f>
        <v>1.1875E-3</v>
      </c>
    </row>
    <row r="1104" spans="1:9" x14ac:dyDescent="0.25">
      <c r="A1104" s="76" t="s">
        <v>317</v>
      </c>
      <c r="B1104" s="76" t="s">
        <v>352</v>
      </c>
      <c r="C1104" s="77">
        <v>40962</v>
      </c>
      <c r="D1104" s="78">
        <v>41029</v>
      </c>
      <c r="E1104" s="79">
        <v>8.9999999999999998E-4</v>
      </c>
      <c r="F1104" s="80"/>
      <c r="G1104" s="81">
        <v>75</v>
      </c>
      <c r="H1104" s="80">
        <v>0.08</v>
      </c>
      <c r="I1104" s="79">
        <f>H1104/G1104</f>
        <v>1.0666666666666667E-3</v>
      </c>
    </row>
    <row r="1105" spans="1:9" x14ac:dyDescent="0.25">
      <c r="A1105" s="76" t="s">
        <v>317</v>
      </c>
      <c r="B1105" s="76" t="s">
        <v>155</v>
      </c>
      <c r="C1105" s="77">
        <v>41091</v>
      </c>
      <c r="D1105" s="78">
        <v>41440</v>
      </c>
      <c r="E1105" s="79">
        <v>8.9999999999999998E-4</v>
      </c>
      <c r="F1105" s="80"/>
      <c r="G1105" s="81">
        <v>11960</v>
      </c>
      <c r="H1105" s="80">
        <v>12</v>
      </c>
      <c r="I1105" s="79">
        <f>H1105/G1105</f>
        <v>1.0033444816053511E-3</v>
      </c>
    </row>
    <row r="1106" spans="1:9" x14ac:dyDescent="0.25">
      <c r="A1106" s="76" t="s">
        <v>317</v>
      </c>
      <c r="B1106" s="76" t="s">
        <v>362</v>
      </c>
      <c r="C1106" s="77">
        <v>41173</v>
      </c>
      <c r="D1106" s="78">
        <v>41455</v>
      </c>
      <c r="E1106" s="79">
        <v>8.9999999999999998E-4</v>
      </c>
      <c r="F1106" s="80"/>
      <c r="G1106" s="81">
        <v>10404</v>
      </c>
      <c r="H1106" s="80">
        <v>10.4</v>
      </c>
      <c r="I1106" s="79">
        <f>H1106/G1106</f>
        <v>9.9961553248750475E-4</v>
      </c>
    </row>
    <row r="1107" spans="1:9" x14ac:dyDescent="0.25">
      <c r="A1107" s="76" t="s">
        <v>317</v>
      </c>
      <c r="B1107" s="76" t="s">
        <v>352</v>
      </c>
      <c r="C1107" s="77">
        <v>40962</v>
      </c>
      <c r="D1107" s="78">
        <v>41029</v>
      </c>
      <c r="E1107" s="79">
        <v>8.9999999999999998E-4</v>
      </c>
      <c r="F1107" s="80">
        <v>1840.84</v>
      </c>
      <c r="G1107" s="81"/>
      <c r="H1107" s="80">
        <v>1.84</v>
      </c>
      <c r="I1107" s="79">
        <f>H1107/F1107</f>
        <v>9.995436865778667E-4</v>
      </c>
    </row>
    <row r="1108" spans="1:9" x14ac:dyDescent="0.25">
      <c r="A1108" s="76" t="s">
        <v>317</v>
      </c>
      <c r="B1108" s="76" t="s">
        <v>322</v>
      </c>
      <c r="C1108" s="77">
        <v>41039</v>
      </c>
      <c r="D1108" s="78">
        <v>41386</v>
      </c>
      <c r="E1108" s="79">
        <v>8.9999999999999998E-4</v>
      </c>
      <c r="F1108" s="80">
        <v>108358.02</v>
      </c>
      <c r="G1108" s="81"/>
      <c r="H1108" s="80">
        <v>108.25</v>
      </c>
      <c r="I1108" s="79">
        <f>H1108/F1108</f>
        <v>9.9900311947375927E-4</v>
      </c>
    </row>
    <row r="1109" spans="1:9" x14ac:dyDescent="0.25">
      <c r="A1109" s="76" t="s">
        <v>317</v>
      </c>
      <c r="B1109" s="76" t="s">
        <v>322</v>
      </c>
      <c r="C1109" s="77">
        <v>41039</v>
      </c>
      <c r="D1109" s="78">
        <v>41386</v>
      </c>
      <c r="E1109" s="79">
        <v>8.9999999999999998E-4</v>
      </c>
      <c r="F1109" s="80"/>
      <c r="G1109" s="81">
        <v>4977.05</v>
      </c>
      <c r="H1109" s="80">
        <v>4.97</v>
      </c>
      <c r="I1109" s="79">
        <f>H1109/G1109</f>
        <v>9.9858349825699961E-4</v>
      </c>
    </row>
    <row r="1110" spans="1:9" x14ac:dyDescent="0.25">
      <c r="A1110" s="76" t="s">
        <v>317</v>
      </c>
      <c r="B1110" s="76" t="s">
        <v>359</v>
      </c>
      <c r="C1110" s="77">
        <v>41183</v>
      </c>
      <c r="D1110" s="78">
        <v>41425</v>
      </c>
      <c r="E1110" s="79">
        <v>8.9999999999999993E-3</v>
      </c>
      <c r="F1110" s="80">
        <v>2014</v>
      </c>
      <c r="G1110" s="81"/>
      <c r="H1110" s="80">
        <v>2</v>
      </c>
      <c r="I1110" s="79">
        <f>H1110/F1110</f>
        <v>9.930486593843098E-4</v>
      </c>
    </row>
    <row r="1111" spans="1:9" x14ac:dyDescent="0.25">
      <c r="A1111" s="76" t="s">
        <v>317</v>
      </c>
      <c r="B1111" s="76" t="s">
        <v>354</v>
      </c>
      <c r="C1111" s="77">
        <v>40990</v>
      </c>
      <c r="D1111" s="78">
        <v>41305</v>
      </c>
      <c r="E1111" s="79">
        <v>8.9999999999999993E-3</v>
      </c>
      <c r="F1111" s="80"/>
      <c r="G1111" s="81">
        <v>115</v>
      </c>
      <c r="H1111" s="80">
        <v>0.11</v>
      </c>
      <c r="I1111" s="79">
        <f>H1111/G1111</f>
        <v>9.5652173913043481E-4</v>
      </c>
    </row>
    <row r="1112" spans="1:9" x14ac:dyDescent="0.25">
      <c r="A1112" s="76" t="s">
        <v>317</v>
      </c>
      <c r="B1112" s="76" t="s">
        <v>94</v>
      </c>
      <c r="C1112" s="77">
        <v>40955</v>
      </c>
      <c r="D1112" s="78">
        <v>41243</v>
      </c>
      <c r="E1112" s="79">
        <v>8.9999999999999998E-4</v>
      </c>
      <c r="F1112" s="80"/>
      <c r="G1112" s="81">
        <v>4424</v>
      </c>
      <c r="H1112" s="80">
        <v>4.0599999999999996</v>
      </c>
      <c r="I1112" s="79">
        <f>H1112/G1112</f>
        <v>9.1772151898734163E-4</v>
      </c>
    </row>
    <row r="1113" spans="1:9" x14ac:dyDescent="0.25">
      <c r="A1113" s="76" t="s">
        <v>317</v>
      </c>
      <c r="B1113" s="76" t="s">
        <v>94</v>
      </c>
      <c r="C1113" s="77">
        <v>40955</v>
      </c>
      <c r="D1113" s="78">
        <v>41243</v>
      </c>
      <c r="E1113" s="79">
        <v>8.9999999999999998E-4</v>
      </c>
      <c r="F1113" s="80">
        <v>109718.19</v>
      </c>
      <c r="G1113" s="81"/>
      <c r="H1113" s="80">
        <v>100.69</v>
      </c>
      <c r="I1113" s="79">
        <f>H1113/F1113</f>
        <v>9.1771473809402061E-4</v>
      </c>
    </row>
    <row r="1114" spans="1:9" x14ac:dyDescent="0.25">
      <c r="A1114" s="76" t="s">
        <v>317</v>
      </c>
      <c r="B1114" s="76" t="s">
        <v>31</v>
      </c>
      <c r="C1114" s="77">
        <v>41061</v>
      </c>
      <c r="D1114" s="78">
        <v>41394</v>
      </c>
      <c r="E1114" s="79">
        <v>8.9999999999999993E-3</v>
      </c>
      <c r="F1114" s="80">
        <v>16152.68</v>
      </c>
      <c r="G1114" s="81"/>
      <c r="H1114" s="80">
        <v>10.8</v>
      </c>
      <c r="I1114" s="79">
        <f>H1114/F1114</f>
        <v>6.6861969654571256E-4</v>
      </c>
    </row>
    <row r="1115" spans="1:9" x14ac:dyDescent="0.25">
      <c r="A1115" s="76" t="s">
        <v>317</v>
      </c>
      <c r="B1115" s="76" t="s">
        <v>31</v>
      </c>
      <c r="C1115" s="77">
        <v>41061</v>
      </c>
      <c r="D1115" s="78">
        <v>41394</v>
      </c>
      <c r="E1115" s="79">
        <v>8.9999999999999993E-3</v>
      </c>
      <c r="F1115" s="80"/>
      <c r="G1115" s="81">
        <v>316</v>
      </c>
      <c r="H1115" s="80">
        <v>0.21</v>
      </c>
      <c r="I1115" s="79">
        <f>H1115/G1115</f>
        <v>6.6455696202531646E-4</v>
      </c>
    </row>
    <row r="1116" spans="1:9" x14ac:dyDescent="0.25">
      <c r="A1116" s="70" t="s">
        <v>118</v>
      </c>
      <c r="B1116" s="70" t="s">
        <v>43</v>
      </c>
      <c r="C1116" s="71">
        <v>40736</v>
      </c>
      <c r="D1116" s="72">
        <v>41101</v>
      </c>
      <c r="E1116" s="73">
        <v>0.17</v>
      </c>
      <c r="F1116" s="74"/>
      <c r="G1116" s="75">
        <v>84648.22</v>
      </c>
      <c r="H1116" s="74">
        <v>4308.91</v>
      </c>
      <c r="I1116" s="73">
        <v>5.0000000000000001E-4</v>
      </c>
    </row>
    <row r="1117" spans="1:9" x14ac:dyDescent="0.25">
      <c r="A1117" s="76" t="s">
        <v>317</v>
      </c>
      <c r="B1117" s="76" t="s">
        <v>345</v>
      </c>
      <c r="C1117" s="77">
        <v>40849</v>
      </c>
      <c r="D1117" s="78">
        <v>41121</v>
      </c>
      <c r="E1117" s="79">
        <v>1.7999999999999999E-2</v>
      </c>
      <c r="F1117" s="80">
        <v>23215.45</v>
      </c>
      <c r="G1117" s="81"/>
      <c r="H1117" s="80">
        <v>4.8</v>
      </c>
      <c r="I1117" s="79">
        <f>H1117/F1117</f>
        <v>2.0675886101712435E-4</v>
      </c>
    </row>
    <row r="1118" spans="1:9" x14ac:dyDescent="0.25">
      <c r="A1118" s="76" t="s">
        <v>317</v>
      </c>
      <c r="B1118" s="76" t="s">
        <v>359</v>
      </c>
      <c r="C1118" s="77">
        <v>41183</v>
      </c>
      <c r="D1118" s="78">
        <v>41425</v>
      </c>
      <c r="E1118" s="79">
        <v>8.9999999999999993E-3</v>
      </c>
      <c r="F1118" s="80"/>
      <c r="G1118" s="81">
        <v>265</v>
      </c>
      <c r="H1118" s="80">
        <v>2.5999999999999999E-2</v>
      </c>
      <c r="I1118" s="79">
        <f>H1118/G1118</f>
        <v>9.8113207547169813E-5</v>
      </c>
    </row>
    <row r="1119" spans="1:9" x14ac:dyDescent="0.25">
      <c r="A1119" s="70" t="s">
        <v>20</v>
      </c>
      <c r="B1119" s="70" t="s">
        <v>30</v>
      </c>
      <c r="C1119" s="71">
        <v>40770</v>
      </c>
      <c r="D1119" s="72">
        <v>41060</v>
      </c>
      <c r="E1119" s="73">
        <v>0</v>
      </c>
      <c r="F1119" s="74"/>
      <c r="G1119" s="75">
        <v>71.61</v>
      </c>
      <c r="H1119" s="74">
        <v>0</v>
      </c>
      <c r="I1119" s="73">
        <v>0</v>
      </c>
    </row>
    <row r="1120" spans="1:9" x14ac:dyDescent="0.25">
      <c r="A1120" s="76" t="s">
        <v>449</v>
      </c>
      <c r="B1120" s="76" t="s">
        <v>450</v>
      </c>
      <c r="C1120" s="77">
        <v>40909</v>
      </c>
      <c r="D1120" s="78">
        <v>41274</v>
      </c>
      <c r="E1120" s="79">
        <v>0</v>
      </c>
      <c r="F1120" s="80">
        <v>0</v>
      </c>
      <c r="G1120" s="88"/>
      <c r="H1120" s="80">
        <v>0</v>
      </c>
      <c r="I1120" s="79">
        <v>0</v>
      </c>
    </row>
    <row r="1121" spans="1:9" x14ac:dyDescent="0.25">
      <c r="A1121" s="70" t="s">
        <v>80</v>
      </c>
      <c r="B1121" s="70" t="s">
        <v>55</v>
      </c>
      <c r="C1121" s="71">
        <v>40912</v>
      </c>
      <c r="D1121" s="72">
        <v>41277</v>
      </c>
      <c r="E1121" s="73">
        <v>8.9999999999999993E-3</v>
      </c>
      <c r="F1121" s="74"/>
      <c r="G1121" s="75">
        <v>0</v>
      </c>
      <c r="H1121" s="74">
        <v>0</v>
      </c>
      <c r="I1121" s="73">
        <v>0</v>
      </c>
    </row>
    <row r="1122" spans="1:9" x14ac:dyDescent="0.25">
      <c r="A1122" s="76" t="s">
        <v>643</v>
      </c>
      <c r="B1122" s="76" t="s">
        <v>650</v>
      </c>
      <c r="C1122" s="77">
        <v>40766</v>
      </c>
      <c r="D1122" s="78">
        <v>41117</v>
      </c>
      <c r="E1122" s="79">
        <v>4.4999999999999997E-3</v>
      </c>
      <c r="F1122" s="80">
        <v>0</v>
      </c>
      <c r="G1122" s="81"/>
      <c r="H1122" s="80">
        <v>0</v>
      </c>
      <c r="I1122" s="79">
        <v>0</v>
      </c>
    </row>
    <row r="1123" spans="1:9" x14ac:dyDescent="0.25">
      <c r="A1123" s="76" t="s">
        <v>643</v>
      </c>
      <c r="B1123" s="76" t="s">
        <v>650</v>
      </c>
      <c r="C1123" s="77">
        <v>40766</v>
      </c>
      <c r="D1123" s="78">
        <v>41117</v>
      </c>
      <c r="E1123" s="79">
        <v>4.4999999999999997E-3</v>
      </c>
      <c r="F1123" s="80">
        <v>0</v>
      </c>
      <c r="G1123" s="81"/>
      <c r="H1123" s="80">
        <v>0</v>
      </c>
      <c r="I1123" s="79">
        <v>0</v>
      </c>
    </row>
    <row r="1124" spans="1:9" x14ac:dyDescent="0.25">
      <c r="A1124" s="76" t="s">
        <v>317</v>
      </c>
      <c r="B1124" s="76" t="s">
        <v>324</v>
      </c>
      <c r="C1124" s="77">
        <v>40701</v>
      </c>
      <c r="D1124" s="78">
        <v>41029</v>
      </c>
      <c r="E1124" s="79">
        <v>2.7E-2</v>
      </c>
      <c r="F1124" s="80">
        <v>15375</v>
      </c>
      <c r="G1124" s="81"/>
      <c r="H1124" s="80">
        <v>0</v>
      </c>
      <c r="I1124" s="79">
        <v>0</v>
      </c>
    </row>
    <row r="1125" spans="1:9" x14ac:dyDescent="0.25">
      <c r="A1125" s="76" t="s">
        <v>317</v>
      </c>
      <c r="B1125" s="76" t="s">
        <v>324</v>
      </c>
      <c r="C1125" s="77">
        <v>40701</v>
      </c>
      <c r="D1125" s="78">
        <v>41029</v>
      </c>
      <c r="E1125" s="79">
        <v>2.7E-2</v>
      </c>
      <c r="F1125" s="80"/>
      <c r="G1125" s="81">
        <v>580</v>
      </c>
      <c r="H1125" s="80">
        <v>0</v>
      </c>
      <c r="I1125" s="79">
        <f>H1125/G1125</f>
        <v>0</v>
      </c>
    </row>
    <row r="1126" spans="1:9" x14ac:dyDescent="0.25">
      <c r="A1126" s="76" t="s">
        <v>317</v>
      </c>
      <c r="B1126" s="76" t="s">
        <v>324</v>
      </c>
      <c r="C1126" s="77">
        <v>40701</v>
      </c>
      <c r="D1126" s="78">
        <v>41029</v>
      </c>
      <c r="E1126" s="79">
        <v>2.7E-2</v>
      </c>
      <c r="F1126" s="80">
        <v>15375</v>
      </c>
      <c r="G1126" s="81"/>
      <c r="H1126" s="80">
        <v>0</v>
      </c>
      <c r="I1126" s="79">
        <f>H1126/F1126</f>
        <v>0</v>
      </c>
    </row>
    <row r="1127" spans="1:9" x14ac:dyDescent="0.25">
      <c r="A1127" s="76" t="s">
        <v>317</v>
      </c>
      <c r="B1127" s="76" t="s">
        <v>324</v>
      </c>
      <c r="C1127" s="77">
        <v>40701</v>
      </c>
      <c r="D1127" s="78">
        <v>41029</v>
      </c>
      <c r="E1127" s="79">
        <v>2.7E-2</v>
      </c>
      <c r="F1127" s="80"/>
      <c r="G1127" s="81">
        <v>580</v>
      </c>
      <c r="H1127" s="80">
        <v>0</v>
      </c>
      <c r="I1127" s="79">
        <f>H1127/G1127</f>
        <v>0</v>
      </c>
    </row>
    <row r="1128" spans="1:9" x14ac:dyDescent="0.25">
      <c r="A1128" s="76" t="s">
        <v>171</v>
      </c>
      <c r="B1128" s="76" t="s">
        <v>196</v>
      </c>
      <c r="C1128" s="77">
        <v>40981</v>
      </c>
      <c r="D1128" s="78">
        <v>41333</v>
      </c>
      <c r="E1128" s="79">
        <v>1.7999999999999999E-2</v>
      </c>
      <c r="F1128" s="80">
        <v>0</v>
      </c>
      <c r="G1128" s="81"/>
      <c r="H1128" s="80">
        <v>0</v>
      </c>
      <c r="I1128" s="79">
        <v>0</v>
      </c>
    </row>
    <row r="1129" spans="1:9" x14ac:dyDescent="0.25">
      <c r="A1129" s="76" t="s">
        <v>449</v>
      </c>
      <c r="B1129" s="76" t="s">
        <v>330</v>
      </c>
      <c r="C1129" s="77">
        <v>40756</v>
      </c>
      <c r="D1129" s="78">
        <v>41121</v>
      </c>
      <c r="E1129" s="79">
        <v>0</v>
      </c>
      <c r="F1129" s="80">
        <v>0</v>
      </c>
      <c r="G1129" s="81"/>
      <c r="H1129" s="80">
        <v>0</v>
      </c>
      <c r="I1129" s="79">
        <v>0</v>
      </c>
    </row>
    <row r="1130" spans="1:9" x14ac:dyDescent="0.25">
      <c r="A1130" s="76" t="s">
        <v>449</v>
      </c>
      <c r="B1130" s="76" t="s">
        <v>330</v>
      </c>
      <c r="C1130" s="77">
        <v>41122</v>
      </c>
      <c r="D1130" s="78">
        <v>41486</v>
      </c>
      <c r="E1130" s="79">
        <v>0</v>
      </c>
      <c r="F1130" s="80">
        <v>0</v>
      </c>
      <c r="G1130" s="88"/>
      <c r="H1130" s="80">
        <v>0</v>
      </c>
      <c r="I1130" s="79">
        <v>0</v>
      </c>
    </row>
    <row r="1131" spans="1:9" x14ac:dyDescent="0.25">
      <c r="A1131" s="76" t="s">
        <v>643</v>
      </c>
      <c r="B1131" s="76" t="s">
        <v>330</v>
      </c>
      <c r="C1131" s="77">
        <v>40591</v>
      </c>
      <c r="D1131" s="78">
        <v>40955</v>
      </c>
      <c r="E1131" s="79">
        <v>4.4999999999999997E-3</v>
      </c>
      <c r="F1131" s="80">
        <v>172853.14</v>
      </c>
      <c r="G1131" s="81"/>
      <c r="H1131" s="80">
        <v>0</v>
      </c>
      <c r="I1131" s="79">
        <f>H1131/F1131</f>
        <v>0</v>
      </c>
    </row>
    <row r="1132" spans="1:9" x14ac:dyDescent="0.25">
      <c r="A1132" s="76" t="s">
        <v>643</v>
      </c>
      <c r="B1132" s="76" t="s">
        <v>330</v>
      </c>
      <c r="C1132" s="77">
        <v>40591</v>
      </c>
      <c r="D1132" s="78">
        <v>40955</v>
      </c>
      <c r="E1132" s="79">
        <v>4.4999999999999997E-3</v>
      </c>
      <c r="F1132" s="80"/>
      <c r="G1132" s="81">
        <v>10354</v>
      </c>
      <c r="H1132" s="80">
        <v>0</v>
      </c>
      <c r="I1132" s="79">
        <f>H1132/G1132</f>
        <v>0</v>
      </c>
    </row>
    <row r="1133" spans="1:9" x14ac:dyDescent="0.25">
      <c r="A1133" s="70" t="s">
        <v>20</v>
      </c>
      <c r="B1133" s="70" t="s">
        <v>31</v>
      </c>
      <c r="C1133" s="71">
        <v>40787</v>
      </c>
      <c r="D1133" s="72">
        <v>41090</v>
      </c>
      <c r="E1133" s="73">
        <v>0</v>
      </c>
      <c r="F1133" s="74">
        <v>1412</v>
      </c>
      <c r="G1133" s="75"/>
      <c r="H1133" s="74">
        <v>0</v>
      </c>
      <c r="I1133" s="73">
        <v>0</v>
      </c>
    </row>
    <row r="1134" spans="1:9" x14ac:dyDescent="0.25">
      <c r="A1134" s="76" t="s">
        <v>171</v>
      </c>
      <c r="B1134" s="76" t="s">
        <v>31</v>
      </c>
      <c r="C1134" s="77">
        <v>40800</v>
      </c>
      <c r="D1134" s="78">
        <v>41152</v>
      </c>
      <c r="E1134" s="79">
        <v>1.7999999999999999E-2</v>
      </c>
      <c r="F1134" s="80">
        <v>0</v>
      </c>
      <c r="G1134" s="81"/>
      <c r="H1134" s="80">
        <v>0</v>
      </c>
      <c r="I1134" s="79">
        <v>0</v>
      </c>
    </row>
    <row r="1135" spans="1:9" x14ac:dyDescent="0.25">
      <c r="A1135" s="76" t="s">
        <v>372</v>
      </c>
      <c r="B1135" s="76" t="s">
        <v>31</v>
      </c>
      <c r="C1135" s="77">
        <v>40847</v>
      </c>
      <c r="D1135" s="78">
        <v>41152</v>
      </c>
      <c r="E1135" s="79">
        <v>8.9999999999999993E-3</v>
      </c>
      <c r="F1135" s="80">
        <v>33539</v>
      </c>
      <c r="G1135" s="81"/>
      <c r="H1135" s="80">
        <v>0</v>
      </c>
      <c r="I1135" s="79">
        <f>H1135/F1135</f>
        <v>0</v>
      </c>
    </row>
    <row r="1136" spans="1:9" x14ac:dyDescent="0.25">
      <c r="A1136" s="76" t="s">
        <v>372</v>
      </c>
      <c r="B1136" s="76" t="s">
        <v>31</v>
      </c>
      <c r="C1136" s="77">
        <v>41153</v>
      </c>
      <c r="D1136" s="78">
        <v>41262</v>
      </c>
      <c r="E1136" s="79">
        <v>8.9999999999999993E-3</v>
      </c>
      <c r="F1136" s="80">
        <v>0</v>
      </c>
      <c r="G1136" s="81"/>
      <c r="H1136" s="80">
        <v>0</v>
      </c>
      <c r="I1136" s="79">
        <v>0</v>
      </c>
    </row>
    <row r="1137" spans="1:9" x14ac:dyDescent="0.25">
      <c r="A1137" s="76" t="s">
        <v>372</v>
      </c>
      <c r="B1137" s="76" t="s">
        <v>31</v>
      </c>
      <c r="C1137" s="77">
        <v>41153</v>
      </c>
      <c r="D1137" s="78">
        <v>41262</v>
      </c>
      <c r="E1137" s="79">
        <v>8.9999999999999993E-3</v>
      </c>
      <c r="F1137" s="80"/>
      <c r="G1137" s="81">
        <v>0</v>
      </c>
      <c r="H1137" s="80">
        <v>0</v>
      </c>
      <c r="I1137" s="79">
        <v>0</v>
      </c>
    </row>
    <row r="1138" spans="1:9" ht="28.5" x14ac:dyDescent="0.25">
      <c r="A1138" s="76" t="s">
        <v>392</v>
      </c>
      <c r="B1138" s="76" t="s">
        <v>31</v>
      </c>
      <c r="C1138" s="77">
        <v>41258</v>
      </c>
      <c r="D1138" s="78">
        <v>41455</v>
      </c>
      <c r="E1138" s="79">
        <v>8.9999999999999993E-3</v>
      </c>
      <c r="F1138" s="80">
        <v>0</v>
      </c>
      <c r="G1138" s="81"/>
      <c r="H1138" s="80">
        <v>0</v>
      </c>
      <c r="I1138" s="79">
        <v>0</v>
      </c>
    </row>
    <row r="1139" spans="1:9" ht="28.5" x14ac:dyDescent="0.25">
      <c r="A1139" s="76" t="s">
        <v>392</v>
      </c>
      <c r="B1139" s="76" t="s">
        <v>31</v>
      </c>
      <c r="C1139" s="77">
        <v>41258</v>
      </c>
      <c r="D1139" s="78">
        <v>41455</v>
      </c>
      <c r="E1139" s="79">
        <v>8.9999999999999993E-3</v>
      </c>
      <c r="F1139" s="80"/>
      <c r="G1139" s="81">
        <v>0</v>
      </c>
      <c r="H1139" s="80">
        <v>0</v>
      </c>
      <c r="I1139" s="79">
        <v>0</v>
      </c>
    </row>
    <row r="1140" spans="1:9" x14ac:dyDescent="0.25">
      <c r="A1140" s="76" t="s">
        <v>477</v>
      </c>
      <c r="B1140" s="76" t="s">
        <v>31</v>
      </c>
      <c r="C1140" s="77">
        <v>40792</v>
      </c>
      <c r="D1140" s="78">
        <v>41121</v>
      </c>
      <c r="E1140" s="79">
        <v>8.9999999999999993E-3</v>
      </c>
      <c r="F1140" s="80">
        <v>0</v>
      </c>
      <c r="G1140" s="81"/>
      <c r="H1140" s="80">
        <v>0</v>
      </c>
      <c r="I1140" s="79">
        <v>0</v>
      </c>
    </row>
    <row r="1141" spans="1:9" x14ac:dyDescent="0.25">
      <c r="A1141" s="76" t="s">
        <v>477</v>
      </c>
      <c r="B1141" s="76" t="s">
        <v>31</v>
      </c>
      <c r="C1141" s="77">
        <v>40792</v>
      </c>
      <c r="D1141" s="78">
        <v>41121</v>
      </c>
      <c r="E1141" s="79">
        <v>8.9999999999999993E-3</v>
      </c>
      <c r="F1141" s="80"/>
      <c r="G1141" s="81">
        <v>0</v>
      </c>
      <c r="H1141" s="80">
        <v>0</v>
      </c>
      <c r="I1141" s="79">
        <v>0</v>
      </c>
    </row>
    <row r="1142" spans="1:9" x14ac:dyDescent="0.25">
      <c r="A1142" s="76" t="s">
        <v>531</v>
      </c>
      <c r="B1142" s="76" t="s">
        <v>31</v>
      </c>
      <c r="C1142" s="77">
        <v>41153</v>
      </c>
      <c r="D1142" s="78">
        <v>41517</v>
      </c>
      <c r="E1142" s="79">
        <v>8.9999999999999993E-3</v>
      </c>
      <c r="F1142" s="80">
        <v>0</v>
      </c>
      <c r="G1142" s="81"/>
      <c r="H1142" s="80">
        <v>0</v>
      </c>
      <c r="I1142" s="79">
        <v>0</v>
      </c>
    </row>
    <row r="1143" spans="1:9" x14ac:dyDescent="0.25">
      <c r="A1143" s="76" t="s">
        <v>531</v>
      </c>
      <c r="B1143" s="76" t="s">
        <v>31</v>
      </c>
      <c r="C1143" s="77">
        <v>41153</v>
      </c>
      <c r="D1143" s="78">
        <v>41517</v>
      </c>
      <c r="E1143" s="79">
        <v>8.9999999999999993E-3</v>
      </c>
      <c r="F1143" s="80"/>
      <c r="G1143" s="81">
        <v>0</v>
      </c>
      <c r="H1143" s="80">
        <v>0</v>
      </c>
      <c r="I1143" s="79">
        <v>0</v>
      </c>
    </row>
    <row r="1144" spans="1:9" x14ac:dyDescent="0.25">
      <c r="A1144" s="76" t="s">
        <v>449</v>
      </c>
      <c r="B1144" s="76" t="s">
        <v>73</v>
      </c>
      <c r="C1144" s="77">
        <v>40913</v>
      </c>
      <c r="D1144" s="78">
        <v>41274</v>
      </c>
      <c r="E1144" s="79">
        <v>0</v>
      </c>
      <c r="F1144" s="80">
        <v>123515</v>
      </c>
      <c r="G1144" s="81"/>
      <c r="H1144" s="80">
        <v>0</v>
      </c>
      <c r="I1144" s="79">
        <f>H1144/F1144</f>
        <v>0</v>
      </c>
    </row>
    <row r="1145" spans="1:9" x14ac:dyDescent="0.25">
      <c r="A1145" s="70" t="s">
        <v>38</v>
      </c>
      <c r="B1145" s="70" t="s">
        <v>52</v>
      </c>
      <c r="C1145" s="71">
        <v>40814</v>
      </c>
      <c r="D1145" s="72">
        <v>41179</v>
      </c>
      <c r="E1145" s="73">
        <v>0.432</v>
      </c>
      <c r="F1145" s="74"/>
      <c r="G1145" s="75">
        <v>0</v>
      </c>
      <c r="H1145" s="74">
        <v>0</v>
      </c>
      <c r="I1145" s="73">
        <v>0</v>
      </c>
    </row>
    <row r="1146" spans="1:9" x14ac:dyDescent="0.25">
      <c r="A1146" s="76" t="s">
        <v>643</v>
      </c>
      <c r="B1146" s="76" t="s">
        <v>653</v>
      </c>
      <c r="C1146" s="77">
        <v>40862</v>
      </c>
      <c r="D1146" s="78">
        <v>41227</v>
      </c>
      <c r="E1146" s="79">
        <v>4.4999999999999997E-3</v>
      </c>
      <c r="F1146" s="80"/>
      <c r="G1146" s="81">
        <v>0</v>
      </c>
      <c r="H1146" s="80">
        <v>0</v>
      </c>
      <c r="I1146" s="79">
        <v>0</v>
      </c>
    </row>
    <row r="1147" spans="1:9" x14ac:dyDescent="0.25">
      <c r="A1147" s="70" t="s">
        <v>146</v>
      </c>
      <c r="B1147" s="70" t="s">
        <v>170</v>
      </c>
      <c r="C1147" s="71">
        <v>41026</v>
      </c>
      <c r="D1147" s="72">
        <v>41333</v>
      </c>
      <c r="E1147" s="101">
        <v>4.4999999999999999E-4</v>
      </c>
      <c r="F1147" s="74">
        <v>0</v>
      </c>
      <c r="G1147" s="75"/>
      <c r="H1147" s="74">
        <v>0</v>
      </c>
      <c r="I1147" s="73">
        <v>0</v>
      </c>
    </row>
    <row r="1148" spans="1:9" x14ac:dyDescent="0.25">
      <c r="A1148" s="76" t="s">
        <v>555</v>
      </c>
      <c r="B1148" s="76" t="s">
        <v>120</v>
      </c>
      <c r="C1148" s="112">
        <v>40681</v>
      </c>
      <c r="D1148" s="78">
        <v>41046</v>
      </c>
      <c r="E1148" s="79">
        <v>0.09</v>
      </c>
      <c r="F1148" s="80">
        <v>0</v>
      </c>
      <c r="G1148" s="81"/>
      <c r="H1148" s="80">
        <v>0</v>
      </c>
      <c r="I1148" s="79">
        <v>0</v>
      </c>
    </row>
    <row r="1149" spans="1:9" x14ac:dyDescent="0.25">
      <c r="A1149" s="70" t="s">
        <v>95</v>
      </c>
      <c r="B1149" s="70" t="s">
        <v>44</v>
      </c>
      <c r="C1149" s="71">
        <v>40704</v>
      </c>
      <c r="D1149" s="72">
        <v>41060</v>
      </c>
      <c r="E1149" s="73">
        <v>0.09</v>
      </c>
      <c r="F1149" s="74"/>
      <c r="G1149" s="75">
        <v>0</v>
      </c>
      <c r="H1149" s="74">
        <v>0</v>
      </c>
      <c r="I1149" s="73">
        <v>0</v>
      </c>
    </row>
    <row r="1150" spans="1:9" x14ac:dyDescent="0.25">
      <c r="A1150" s="70" t="s">
        <v>119</v>
      </c>
      <c r="B1150" s="70" t="s">
        <v>44</v>
      </c>
      <c r="C1150" s="71">
        <v>40704</v>
      </c>
      <c r="D1150" s="72">
        <v>41060</v>
      </c>
      <c r="E1150" s="73">
        <v>0.09</v>
      </c>
      <c r="F1150" s="74"/>
      <c r="G1150" s="75">
        <v>0</v>
      </c>
      <c r="H1150" s="74">
        <v>0</v>
      </c>
      <c r="I1150" s="73">
        <v>0</v>
      </c>
    </row>
    <row r="1151" spans="1:9" x14ac:dyDescent="0.25">
      <c r="A1151" s="76" t="s">
        <v>643</v>
      </c>
      <c r="B1151" s="76" t="s">
        <v>652</v>
      </c>
      <c r="C1151" s="77">
        <v>40807</v>
      </c>
      <c r="D1151" s="78">
        <v>41148</v>
      </c>
      <c r="E1151" s="79">
        <v>8.9999999999999998E-4</v>
      </c>
      <c r="F1151" s="80">
        <v>0</v>
      </c>
      <c r="G1151" s="81"/>
      <c r="H1151" s="80">
        <v>0</v>
      </c>
      <c r="I1151" s="79">
        <v>0</v>
      </c>
    </row>
    <row r="1152" spans="1:9" x14ac:dyDescent="0.25">
      <c r="A1152" s="76" t="s">
        <v>643</v>
      </c>
      <c r="B1152" s="76" t="s">
        <v>652</v>
      </c>
      <c r="C1152" s="77">
        <v>40807</v>
      </c>
      <c r="D1152" s="78">
        <v>41148</v>
      </c>
      <c r="E1152" s="79">
        <v>8.9999999999999998E-4</v>
      </c>
      <c r="F1152" s="80">
        <v>0</v>
      </c>
      <c r="G1152" s="81"/>
      <c r="H1152" s="80">
        <v>0</v>
      </c>
      <c r="I1152" s="79">
        <v>0</v>
      </c>
    </row>
    <row r="1153" spans="1:9" x14ac:dyDescent="0.25">
      <c r="A1153" s="76" t="s">
        <v>643</v>
      </c>
      <c r="B1153" s="76" t="s">
        <v>651</v>
      </c>
      <c r="C1153" s="77">
        <v>40787</v>
      </c>
      <c r="D1153" s="78">
        <v>41152</v>
      </c>
      <c r="E1153" s="79">
        <v>1E-4</v>
      </c>
      <c r="F1153" s="80">
        <v>3390</v>
      </c>
      <c r="G1153" s="81"/>
      <c r="H1153" s="80">
        <v>0</v>
      </c>
      <c r="I1153" s="79">
        <f>H1153/F1153</f>
        <v>0</v>
      </c>
    </row>
    <row r="1154" spans="1:9" x14ac:dyDescent="0.25">
      <c r="A1154" s="76" t="s">
        <v>643</v>
      </c>
      <c r="B1154" s="76" t="s">
        <v>651</v>
      </c>
      <c r="C1154" s="77">
        <v>40787</v>
      </c>
      <c r="D1154" s="78">
        <v>41152</v>
      </c>
      <c r="E1154" s="79">
        <v>1E-4</v>
      </c>
      <c r="F1154" s="80"/>
      <c r="G1154" s="81">
        <v>255</v>
      </c>
      <c r="H1154" s="80">
        <v>0</v>
      </c>
      <c r="I1154" s="79">
        <f>H1154/G1154</f>
        <v>0</v>
      </c>
    </row>
    <row r="1155" spans="1:9" x14ac:dyDescent="0.25">
      <c r="A1155" s="76" t="s">
        <v>643</v>
      </c>
      <c r="B1155" s="76" t="s">
        <v>651</v>
      </c>
      <c r="C1155" s="77">
        <v>41153</v>
      </c>
      <c r="D1155" s="78">
        <v>41517</v>
      </c>
      <c r="E1155" s="79">
        <v>4.4999999999999997E-3</v>
      </c>
      <c r="F1155" s="80">
        <v>0</v>
      </c>
      <c r="G1155" s="81"/>
      <c r="H1155" s="80">
        <v>0</v>
      </c>
      <c r="I1155" s="79">
        <v>0</v>
      </c>
    </row>
    <row r="1156" spans="1:9" x14ac:dyDescent="0.25">
      <c r="A1156" s="76" t="s">
        <v>643</v>
      </c>
      <c r="B1156" s="76" t="s">
        <v>651</v>
      </c>
      <c r="C1156" s="77">
        <v>41153</v>
      </c>
      <c r="D1156" s="78">
        <v>41517</v>
      </c>
      <c r="E1156" s="79">
        <v>4.4999999999999997E-3</v>
      </c>
      <c r="F1156" s="80"/>
      <c r="G1156" s="81">
        <v>0</v>
      </c>
      <c r="H1156" s="80">
        <v>0</v>
      </c>
      <c r="I1156" s="79">
        <v>0</v>
      </c>
    </row>
    <row r="1157" spans="1:9" x14ac:dyDescent="0.25">
      <c r="A1157" s="70" t="s">
        <v>20</v>
      </c>
      <c r="B1157" s="70" t="s">
        <v>24</v>
      </c>
      <c r="C1157" s="71">
        <v>40756</v>
      </c>
      <c r="D1157" s="72">
        <v>41121</v>
      </c>
      <c r="E1157" s="73">
        <v>0</v>
      </c>
      <c r="F1157" s="74"/>
      <c r="G1157" s="75">
        <v>3370</v>
      </c>
      <c r="H1157" s="74">
        <v>0</v>
      </c>
      <c r="I1157" s="73">
        <v>0</v>
      </c>
    </row>
    <row r="1158" spans="1:9" x14ac:dyDescent="0.25">
      <c r="A1158" s="76" t="s">
        <v>101</v>
      </c>
      <c r="B1158" s="76" t="s">
        <v>105</v>
      </c>
      <c r="C1158" s="77">
        <v>41193</v>
      </c>
      <c r="D1158" s="78">
        <v>41557</v>
      </c>
      <c r="E1158" s="79">
        <v>1.35E-2</v>
      </c>
      <c r="F1158" s="91"/>
      <c r="G1158" s="75">
        <v>0</v>
      </c>
      <c r="H1158" s="91">
        <v>0</v>
      </c>
      <c r="I1158" s="79">
        <v>0</v>
      </c>
    </row>
    <row r="1159" spans="1:9" ht="28.5" x14ac:dyDescent="0.25">
      <c r="A1159" s="70" t="s">
        <v>119</v>
      </c>
      <c r="B1159" s="70" t="s">
        <v>96</v>
      </c>
      <c r="C1159" s="71">
        <v>40848</v>
      </c>
      <c r="D1159" s="72">
        <v>41213</v>
      </c>
      <c r="E1159" s="73">
        <v>0.09</v>
      </c>
      <c r="F1159" s="74"/>
      <c r="G1159" s="75">
        <v>0</v>
      </c>
      <c r="H1159" s="74">
        <v>0</v>
      </c>
      <c r="I1159" s="73">
        <v>0</v>
      </c>
    </row>
    <row r="1160" spans="1:9" x14ac:dyDescent="0.25">
      <c r="A1160" s="76" t="s">
        <v>317</v>
      </c>
      <c r="B1160" s="76" t="s">
        <v>155</v>
      </c>
      <c r="C1160" s="77">
        <v>40725</v>
      </c>
      <c r="D1160" s="78">
        <v>41090</v>
      </c>
      <c r="E1160" s="79">
        <v>0</v>
      </c>
      <c r="F1160" s="80">
        <v>176638.05</v>
      </c>
      <c r="G1160" s="81"/>
      <c r="H1160" s="80">
        <v>0</v>
      </c>
      <c r="I1160" s="79">
        <f>H1160/F1160</f>
        <v>0</v>
      </c>
    </row>
    <row r="1161" spans="1:9" x14ac:dyDescent="0.25">
      <c r="A1161" s="76" t="s">
        <v>317</v>
      </c>
      <c r="B1161" s="76" t="s">
        <v>155</v>
      </c>
      <c r="C1161" s="77">
        <v>40725</v>
      </c>
      <c r="D1161" s="78">
        <v>41090</v>
      </c>
      <c r="E1161" s="79">
        <v>0</v>
      </c>
      <c r="F1161" s="80"/>
      <c r="G1161" s="81">
        <v>9889.5</v>
      </c>
      <c r="H1161" s="80">
        <v>0</v>
      </c>
      <c r="I1161" s="79">
        <f>H1161/G1161</f>
        <v>0</v>
      </c>
    </row>
    <row r="1162" spans="1:9" x14ac:dyDescent="0.25">
      <c r="A1162" s="76" t="s">
        <v>317</v>
      </c>
      <c r="B1162" s="76" t="s">
        <v>155</v>
      </c>
      <c r="C1162" s="77">
        <v>41091</v>
      </c>
      <c r="D1162" s="78">
        <v>41440</v>
      </c>
      <c r="E1162" s="79">
        <v>8.9999999999999998E-4</v>
      </c>
      <c r="F1162" s="80">
        <v>211722</v>
      </c>
      <c r="G1162" s="81"/>
      <c r="H1162" s="80">
        <v>0</v>
      </c>
      <c r="I1162" s="79">
        <f>H1162/F1162</f>
        <v>0</v>
      </c>
    </row>
    <row r="1163" spans="1:9" x14ac:dyDescent="0.25">
      <c r="A1163" s="76" t="s">
        <v>317</v>
      </c>
      <c r="B1163" s="76" t="s">
        <v>323</v>
      </c>
      <c r="C1163" s="77">
        <v>40673</v>
      </c>
      <c r="D1163" s="78">
        <v>41014</v>
      </c>
      <c r="E1163" s="79">
        <v>0</v>
      </c>
      <c r="F1163" s="80">
        <v>285059.36</v>
      </c>
      <c r="G1163" s="81"/>
      <c r="H1163" s="80">
        <v>0</v>
      </c>
      <c r="I1163" s="79">
        <f>H1163/F1163</f>
        <v>0</v>
      </c>
    </row>
    <row r="1164" spans="1:9" x14ac:dyDescent="0.25">
      <c r="A1164" s="76" t="s">
        <v>317</v>
      </c>
      <c r="B1164" s="76" t="s">
        <v>323</v>
      </c>
      <c r="C1164" s="77">
        <v>40673</v>
      </c>
      <c r="D1164" s="78">
        <v>41014</v>
      </c>
      <c r="E1164" s="79">
        <v>0</v>
      </c>
      <c r="F1164" s="80"/>
      <c r="G1164" s="81">
        <v>13055</v>
      </c>
      <c r="H1164" s="80">
        <v>0</v>
      </c>
      <c r="I1164" s="79">
        <f>H1164/G1164</f>
        <v>0</v>
      </c>
    </row>
    <row r="1165" spans="1:9" x14ac:dyDescent="0.25">
      <c r="A1165" s="76" t="s">
        <v>317</v>
      </c>
      <c r="B1165" s="76" t="s">
        <v>323</v>
      </c>
      <c r="C1165" s="77">
        <v>40689</v>
      </c>
      <c r="D1165" s="78">
        <v>40672</v>
      </c>
      <c r="E1165" s="79">
        <v>0</v>
      </c>
      <c r="F1165" s="80">
        <v>1077545.45</v>
      </c>
      <c r="G1165" s="81"/>
      <c r="H1165" s="80">
        <v>0</v>
      </c>
      <c r="I1165" s="79">
        <f>H1165/F1165</f>
        <v>0</v>
      </c>
    </row>
    <row r="1166" spans="1:9" x14ac:dyDescent="0.25">
      <c r="A1166" s="76" t="s">
        <v>317</v>
      </c>
      <c r="B1166" s="76" t="s">
        <v>161</v>
      </c>
      <c r="C1166" s="77">
        <v>40708</v>
      </c>
      <c r="D1166" s="78">
        <v>41029</v>
      </c>
      <c r="E1166" s="79">
        <v>0</v>
      </c>
      <c r="F1166" s="80">
        <v>200721.12</v>
      </c>
      <c r="G1166" s="81"/>
      <c r="H1166" s="80">
        <v>0</v>
      </c>
      <c r="I1166" s="79">
        <f>H1166/F1166</f>
        <v>0</v>
      </c>
    </row>
    <row r="1167" spans="1:9" x14ac:dyDescent="0.25">
      <c r="A1167" s="76" t="s">
        <v>317</v>
      </c>
      <c r="B1167" s="76" t="s">
        <v>161</v>
      </c>
      <c r="C1167" s="77">
        <v>40708</v>
      </c>
      <c r="D1167" s="78">
        <v>41029</v>
      </c>
      <c r="E1167" s="79">
        <v>0</v>
      </c>
      <c r="F1167" s="80"/>
      <c r="G1167" s="81">
        <v>2533</v>
      </c>
      <c r="H1167" s="80">
        <v>0</v>
      </c>
      <c r="I1167" s="79">
        <f>H1167/G1167</f>
        <v>0</v>
      </c>
    </row>
    <row r="1168" spans="1:9" x14ac:dyDescent="0.25">
      <c r="A1168" s="70" t="s">
        <v>146</v>
      </c>
      <c r="B1168" s="70" t="s">
        <v>159</v>
      </c>
      <c r="C1168" s="71">
        <v>40852</v>
      </c>
      <c r="D1168" s="72">
        <v>41217</v>
      </c>
      <c r="E1168" s="73">
        <v>0</v>
      </c>
      <c r="F1168" s="74">
        <v>0</v>
      </c>
      <c r="G1168" s="75"/>
      <c r="H1168" s="74">
        <v>0</v>
      </c>
      <c r="I1168" s="73">
        <v>0</v>
      </c>
    </row>
    <row r="1169" spans="1:9" x14ac:dyDescent="0.25">
      <c r="A1169" s="76" t="s">
        <v>674</v>
      </c>
      <c r="B1169" s="76" t="s">
        <v>540</v>
      </c>
      <c r="C1169" s="77">
        <v>40911</v>
      </c>
      <c r="D1169" s="78">
        <v>41182</v>
      </c>
      <c r="E1169" s="79">
        <v>0.25</v>
      </c>
      <c r="F1169" s="80">
        <v>0</v>
      </c>
      <c r="G1169" s="81"/>
      <c r="H1169" s="80">
        <v>0</v>
      </c>
      <c r="I1169" s="79">
        <v>0</v>
      </c>
    </row>
    <row r="1170" spans="1:9" x14ac:dyDescent="0.25">
      <c r="A1170" s="76" t="s">
        <v>674</v>
      </c>
      <c r="B1170" s="76" t="s">
        <v>540</v>
      </c>
      <c r="C1170" s="77">
        <v>40911</v>
      </c>
      <c r="D1170" s="78">
        <v>41182</v>
      </c>
      <c r="E1170" s="79">
        <v>0.25</v>
      </c>
      <c r="F1170" s="80"/>
      <c r="G1170" s="81">
        <v>0</v>
      </c>
      <c r="H1170" s="80">
        <v>0</v>
      </c>
      <c r="I1170" s="79">
        <v>0</v>
      </c>
    </row>
    <row r="1171" spans="1:9" x14ac:dyDescent="0.25">
      <c r="A1171" s="76" t="s">
        <v>531</v>
      </c>
      <c r="B1171" s="76" t="s">
        <v>541</v>
      </c>
      <c r="C1171" s="77">
        <v>40828</v>
      </c>
      <c r="D1171" s="78">
        <v>41182</v>
      </c>
      <c r="E1171" s="79">
        <v>8.9999999999999993E-3</v>
      </c>
      <c r="F1171" s="80">
        <v>0</v>
      </c>
      <c r="G1171" s="81"/>
      <c r="H1171" s="80">
        <v>0</v>
      </c>
      <c r="I1171" s="79">
        <v>0</v>
      </c>
    </row>
    <row r="1172" spans="1:9" x14ac:dyDescent="0.25">
      <c r="A1172" s="76" t="s">
        <v>531</v>
      </c>
      <c r="B1172" s="76" t="s">
        <v>541</v>
      </c>
      <c r="C1172" s="77">
        <v>40828</v>
      </c>
      <c r="D1172" s="78">
        <v>41182</v>
      </c>
      <c r="E1172" s="79">
        <v>8.9999999999999993E-3</v>
      </c>
      <c r="F1172" s="80"/>
      <c r="G1172" s="81">
        <v>0</v>
      </c>
      <c r="H1172" s="80">
        <v>0</v>
      </c>
      <c r="I1172" s="79">
        <v>0</v>
      </c>
    </row>
    <row r="1173" spans="1:9" x14ac:dyDescent="0.25">
      <c r="A1173" s="76" t="s">
        <v>504</v>
      </c>
      <c r="B1173" s="76" t="s">
        <v>509</v>
      </c>
      <c r="C1173" s="77">
        <v>40815</v>
      </c>
      <c r="D1173" s="78">
        <v>41180</v>
      </c>
      <c r="E1173" s="79">
        <v>0.09</v>
      </c>
      <c r="F1173" s="80">
        <v>0</v>
      </c>
      <c r="G1173" s="81"/>
      <c r="H1173" s="80">
        <v>0</v>
      </c>
      <c r="I1173" s="79">
        <v>0</v>
      </c>
    </row>
    <row r="1174" spans="1:9" x14ac:dyDescent="0.25">
      <c r="A1174" s="76" t="s">
        <v>504</v>
      </c>
      <c r="B1174" s="76" t="s">
        <v>509</v>
      </c>
      <c r="C1174" s="77">
        <v>40815</v>
      </c>
      <c r="D1174" s="78">
        <v>41180</v>
      </c>
      <c r="E1174" s="79">
        <v>0.09</v>
      </c>
      <c r="F1174" s="80"/>
      <c r="G1174" s="81">
        <v>0</v>
      </c>
      <c r="H1174" s="80">
        <v>0</v>
      </c>
      <c r="I1174" s="79">
        <v>0</v>
      </c>
    </row>
    <row r="1175" spans="1:9" x14ac:dyDescent="0.25">
      <c r="A1175" s="76" t="s">
        <v>512</v>
      </c>
      <c r="B1175" s="76" t="s">
        <v>509</v>
      </c>
      <c r="C1175" s="77">
        <v>41181</v>
      </c>
      <c r="D1175" s="78">
        <v>41545</v>
      </c>
      <c r="E1175" s="79">
        <v>0.09</v>
      </c>
      <c r="F1175" s="80">
        <v>0</v>
      </c>
      <c r="G1175" s="81"/>
      <c r="H1175" s="80">
        <v>0</v>
      </c>
      <c r="I1175" s="79">
        <v>0</v>
      </c>
    </row>
    <row r="1176" spans="1:9" x14ac:dyDescent="0.25">
      <c r="A1176" s="76" t="s">
        <v>512</v>
      </c>
      <c r="B1176" s="76" t="s">
        <v>509</v>
      </c>
      <c r="C1176" s="77">
        <v>41181</v>
      </c>
      <c r="D1176" s="78">
        <v>41545</v>
      </c>
      <c r="E1176" s="79">
        <v>0.09</v>
      </c>
      <c r="F1176" s="80"/>
      <c r="G1176" s="81">
        <v>0</v>
      </c>
      <c r="H1176" s="80">
        <v>0</v>
      </c>
      <c r="I1176" s="79">
        <v>0</v>
      </c>
    </row>
    <row r="1177" spans="1:9" x14ac:dyDescent="0.25">
      <c r="A1177" s="76" t="s">
        <v>512</v>
      </c>
      <c r="B1177" s="76" t="s">
        <v>515</v>
      </c>
      <c r="C1177" s="77">
        <v>41174</v>
      </c>
      <c r="D1177" s="78">
        <v>41538</v>
      </c>
      <c r="E1177" s="79">
        <v>0.09</v>
      </c>
      <c r="F1177" s="80">
        <v>0</v>
      </c>
      <c r="G1177" s="81"/>
      <c r="H1177" s="80">
        <v>0</v>
      </c>
      <c r="I1177" s="79">
        <v>0</v>
      </c>
    </row>
    <row r="1178" spans="1:9" x14ac:dyDescent="0.25">
      <c r="A1178" s="76" t="s">
        <v>512</v>
      </c>
      <c r="B1178" s="76" t="s">
        <v>515</v>
      </c>
      <c r="C1178" s="77">
        <v>41174</v>
      </c>
      <c r="D1178" s="78">
        <v>41538</v>
      </c>
      <c r="E1178" s="79">
        <v>0.09</v>
      </c>
      <c r="F1178" s="80"/>
      <c r="G1178" s="81">
        <v>0</v>
      </c>
      <c r="H1178" s="80">
        <v>0</v>
      </c>
      <c r="I1178" s="79">
        <v>0</v>
      </c>
    </row>
    <row r="1179" spans="1:9" x14ac:dyDescent="0.25">
      <c r="A1179" s="76" t="s">
        <v>504</v>
      </c>
      <c r="B1179" s="76" t="s">
        <v>508</v>
      </c>
      <c r="C1179" s="77">
        <v>40808</v>
      </c>
      <c r="D1179" s="78">
        <v>41173</v>
      </c>
      <c r="E1179" s="79">
        <v>0.09</v>
      </c>
      <c r="F1179" s="80">
        <v>0</v>
      </c>
      <c r="G1179" s="81"/>
      <c r="H1179" s="80">
        <v>0</v>
      </c>
      <c r="I1179" s="79">
        <v>0</v>
      </c>
    </row>
    <row r="1180" spans="1:9" x14ac:dyDescent="0.25">
      <c r="A1180" s="76" t="s">
        <v>504</v>
      </c>
      <c r="B1180" s="76" t="s">
        <v>508</v>
      </c>
      <c r="C1180" s="77">
        <v>40808</v>
      </c>
      <c r="D1180" s="78">
        <v>41173</v>
      </c>
      <c r="E1180" s="79">
        <v>0.09</v>
      </c>
      <c r="F1180" s="80"/>
      <c r="G1180" s="81">
        <v>0</v>
      </c>
      <c r="H1180" s="80">
        <v>0</v>
      </c>
      <c r="I1180" s="79">
        <v>0</v>
      </c>
    </row>
    <row r="1181" spans="1:9" x14ac:dyDescent="0.25">
      <c r="A1181" s="76" t="s">
        <v>583</v>
      </c>
      <c r="B1181" s="76" t="s">
        <v>586</v>
      </c>
      <c r="C1181" s="77">
        <v>40955</v>
      </c>
      <c r="D1181" s="78">
        <v>41320</v>
      </c>
      <c r="E1181" s="79">
        <v>0.09</v>
      </c>
      <c r="F1181" s="80"/>
      <c r="G1181" s="81">
        <v>0</v>
      </c>
      <c r="H1181" s="80">
        <v>0</v>
      </c>
      <c r="I1181" s="79">
        <v>0</v>
      </c>
    </row>
    <row r="1182" spans="1:9" x14ac:dyDescent="0.25">
      <c r="A1182" s="76" t="s">
        <v>281</v>
      </c>
      <c r="B1182" s="76" t="s">
        <v>284</v>
      </c>
      <c r="C1182" s="77">
        <v>40603</v>
      </c>
      <c r="D1182" s="78">
        <v>40967</v>
      </c>
      <c r="E1182" s="79">
        <v>0.54</v>
      </c>
      <c r="F1182" s="80">
        <v>5405</v>
      </c>
      <c r="G1182" s="81"/>
      <c r="H1182" s="80">
        <v>0</v>
      </c>
      <c r="I1182" s="79">
        <f>H1182/F1182</f>
        <v>0</v>
      </c>
    </row>
    <row r="1183" spans="1:9" x14ac:dyDescent="0.25">
      <c r="A1183" s="76" t="s">
        <v>281</v>
      </c>
      <c r="B1183" s="76" t="s">
        <v>284</v>
      </c>
      <c r="C1183" s="77">
        <v>40603</v>
      </c>
      <c r="D1183" s="78">
        <v>40967</v>
      </c>
      <c r="E1183" s="79">
        <v>0.54</v>
      </c>
      <c r="F1183" s="80"/>
      <c r="G1183" s="81">
        <v>0</v>
      </c>
      <c r="H1183" s="80">
        <v>0</v>
      </c>
      <c r="I1183" s="79">
        <v>0</v>
      </c>
    </row>
    <row r="1184" spans="1:9" x14ac:dyDescent="0.25">
      <c r="A1184" s="76" t="s">
        <v>449</v>
      </c>
      <c r="B1184" s="76" t="s">
        <v>473</v>
      </c>
      <c r="C1184" s="77">
        <v>41091</v>
      </c>
      <c r="D1184" s="78">
        <v>41455</v>
      </c>
      <c r="E1184" s="79">
        <v>0</v>
      </c>
      <c r="F1184" s="80">
        <v>286718</v>
      </c>
      <c r="G1184" s="88"/>
      <c r="H1184" s="80">
        <v>0</v>
      </c>
      <c r="I1184" s="79">
        <v>0</v>
      </c>
    </row>
    <row r="1185" spans="1:9" x14ac:dyDescent="0.25">
      <c r="A1185" s="70" t="s">
        <v>8</v>
      </c>
      <c r="B1185" s="70" t="s">
        <v>9</v>
      </c>
      <c r="C1185" s="71">
        <v>40655</v>
      </c>
      <c r="D1185" s="72">
        <v>41020</v>
      </c>
      <c r="E1185" s="73">
        <v>8.9999999999999993E-3</v>
      </c>
      <c r="F1185" s="74">
        <v>0</v>
      </c>
      <c r="G1185" s="75"/>
      <c r="H1185" s="74">
        <v>0</v>
      </c>
      <c r="I1185" s="73">
        <v>0</v>
      </c>
    </row>
    <row r="1186" spans="1:9" x14ac:dyDescent="0.25">
      <c r="A1186" s="70" t="s">
        <v>146</v>
      </c>
      <c r="B1186" s="70" t="s">
        <v>9</v>
      </c>
      <c r="C1186" s="71">
        <v>40655</v>
      </c>
      <c r="D1186" s="72">
        <v>41020</v>
      </c>
      <c r="E1186" s="73">
        <v>8.9999999999999993E-3</v>
      </c>
      <c r="F1186" s="74">
        <v>135108.45000000001</v>
      </c>
      <c r="G1186" s="75"/>
      <c r="H1186" s="74">
        <v>0</v>
      </c>
      <c r="I1186" s="73">
        <v>0</v>
      </c>
    </row>
    <row r="1187" spans="1:9" x14ac:dyDescent="0.25">
      <c r="A1187" s="70" t="s">
        <v>146</v>
      </c>
      <c r="B1187" s="70" t="s">
        <v>9</v>
      </c>
      <c r="C1187" s="71">
        <v>40655</v>
      </c>
      <c r="D1187" s="72">
        <v>41020</v>
      </c>
      <c r="E1187" s="73">
        <v>8.9999999999999993E-3</v>
      </c>
      <c r="F1187" s="74"/>
      <c r="G1187" s="75">
        <v>7156</v>
      </c>
      <c r="H1187" s="74">
        <v>0</v>
      </c>
      <c r="I1187" s="73">
        <v>0</v>
      </c>
    </row>
    <row r="1188" spans="1:9" x14ac:dyDescent="0.25">
      <c r="A1188" s="76" t="s">
        <v>449</v>
      </c>
      <c r="B1188" s="76" t="s">
        <v>9</v>
      </c>
      <c r="C1188" s="77">
        <v>40655</v>
      </c>
      <c r="D1188" s="78">
        <v>41020</v>
      </c>
      <c r="E1188" s="79">
        <v>8.9999999999999993E-3</v>
      </c>
      <c r="F1188" s="80">
        <v>306201.09000000003</v>
      </c>
      <c r="G1188" s="81"/>
      <c r="H1188" s="80">
        <v>0</v>
      </c>
      <c r="I1188" s="79">
        <f>H1188/F1188</f>
        <v>0</v>
      </c>
    </row>
    <row r="1189" spans="1:9" x14ac:dyDescent="0.25">
      <c r="A1189" s="76" t="s">
        <v>449</v>
      </c>
      <c r="B1189" s="76" t="s">
        <v>9</v>
      </c>
      <c r="C1189" s="77">
        <v>40655</v>
      </c>
      <c r="D1189" s="78">
        <v>41020</v>
      </c>
      <c r="E1189" s="79">
        <v>8.9999999999999993E-3</v>
      </c>
      <c r="F1189" s="80"/>
      <c r="G1189" s="81">
        <v>17383.47</v>
      </c>
      <c r="H1189" s="80">
        <v>0</v>
      </c>
      <c r="I1189" s="79">
        <f>H1189/G1189</f>
        <v>0</v>
      </c>
    </row>
    <row r="1190" spans="1:9" x14ac:dyDescent="0.25">
      <c r="A1190" s="76" t="s">
        <v>684</v>
      </c>
      <c r="B1190" s="76" t="s">
        <v>9</v>
      </c>
      <c r="C1190" s="77">
        <v>40655</v>
      </c>
      <c r="D1190" s="78">
        <v>41020</v>
      </c>
      <c r="E1190" s="79">
        <v>8.9999999999999993E-3</v>
      </c>
      <c r="F1190" s="80">
        <v>7680.85</v>
      </c>
      <c r="G1190" s="81"/>
      <c r="H1190" s="80">
        <v>0</v>
      </c>
      <c r="I1190" s="79">
        <v>0</v>
      </c>
    </row>
    <row r="1191" spans="1:9" x14ac:dyDescent="0.25">
      <c r="A1191" s="76" t="s">
        <v>684</v>
      </c>
      <c r="B1191" s="76" t="s">
        <v>9</v>
      </c>
      <c r="C1191" s="77">
        <v>40655</v>
      </c>
      <c r="D1191" s="78">
        <v>41020</v>
      </c>
      <c r="E1191" s="79">
        <v>8.9999999999999993E-3</v>
      </c>
      <c r="F1191" s="80"/>
      <c r="G1191" s="81">
        <v>122</v>
      </c>
      <c r="H1191" s="80">
        <v>0</v>
      </c>
      <c r="I1191" s="79">
        <v>0</v>
      </c>
    </row>
    <row r="1192" spans="1:9" x14ac:dyDescent="0.25">
      <c r="A1192" s="76" t="s">
        <v>643</v>
      </c>
      <c r="B1192" s="76" t="s">
        <v>660</v>
      </c>
      <c r="C1192" s="77">
        <v>40865</v>
      </c>
      <c r="D1192" s="78">
        <v>41230</v>
      </c>
      <c r="E1192" s="79">
        <v>8.9999999999999993E-3</v>
      </c>
      <c r="F1192" s="80"/>
      <c r="G1192" s="81">
        <v>3329</v>
      </c>
      <c r="H1192" s="80">
        <v>0</v>
      </c>
      <c r="I1192" s="79">
        <f>H1192/G1192</f>
        <v>0</v>
      </c>
    </row>
    <row r="1193" spans="1:9" x14ac:dyDescent="0.25">
      <c r="A1193" s="76" t="s">
        <v>449</v>
      </c>
      <c r="B1193" s="76" t="s">
        <v>93</v>
      </c>
      <c r="C1193" s="77">
        <v>40603</v>
      </c>
      <c r="D1193" s="78">
        <v>40967</v>
      </c>
      <c r="E1193" s="79">
        <v>0</v>
      </c>
      <c r="F1193" s="80">
        <v>0</v>
      </c>
      <c r="G1193" s="81"/>
      <c r="H1193" s="80">
        <v>0</v>
      </c>
      <c r="I1193" s="79">
        <v>0</v>
      </c>
    </row>
    <row r="1194" spans="1:9" x14ac:dyDescent="0.25">
      <c r="A1194" s="76" t="s">
        <v>449</v>
      </c>
      <c r="B1194" s="76" t="s">
        <v>93</v>
      </c>
      <c r="C1194" s="77">
        <v>40968</v>
      </c>
      <c r="D1194" s="78">
        <v>41333</v>
      </c>
      <c r="E1194" s="79">
        <v>0</v>
      </c>
      <c r="F1194" s="80">
        <v>0</v>
      </c>
      <c r="G1194" s="81"/>
      <c r="H1194" s="80">
        <v>0</v>
      </c>
      <c r="I1194" s="79">
        <v>0</v>
      </c>
    </row>
    <row r="1195" spans="1:9" x14ac:dyDescent="0.25">
      <c r="A1195" s="76" t="s">
        <v>449</v>
      </c>
      <c r="B1195" s="76" t="s">
        <v>93</v>
      </c>
      <c r="C1195" s="77">
        <v>40968</v>
      </c>
      <c r="D1195" s="78">
        <v>41333</v>
      </c>
      <c r="E1195" s="79">
        <v>0</v>
      </c>
      <c r="F1195" s="80"/>
      <c r="G1195" s="81">
        <v>0</v>
      </c>
      <c r="H1195" s="80">
        <v>0</v>
      </c>
      <c r="I1195" s="79">
        <v>0</v>
      </c>
    </row>
    <row r="1196" spans="1:9" x14ac:dyDescent="0.25">
      <c r="A1196" s="76" t="s">
        <v>281</v>
      </c>
      <c r="B1196" s="76" t="s">
        <v>287</v>
      </c>
      <c r="C1196" s="77">
        <v>40754</v>
      </c>
      <c r="D1196" s="78">
        <v>41119</v>
      </c>
      <c r="E1196" s="79">
        <v>0.54</v>
      </c>
      <c r="F1196" s="80"/>
      <c r="G1196" s="81">
        <v>0</v>
      </c>
      <c r="H1196" s="80">
        <v>0</v>
      </c>
      <c r="I1196" s="79">
        <v>0</v>
      </c>
    </row>
    <row r="1197" spans="1:9" x14ac:dyDescent="0.25">
      <c r="A1197" s="70" t="s">
        <v>146</v>
      </c>
      <c r="B1197" s="70" t="s">
        <v>158</v>
      </c>
      <c r="C1197" s="71">
        <v>40841</v>
      </c>
      <c r="D1197" s="72">
        <v>41207</v>
      </c>
      <c r="E1197" s="101">
        <v>4.4999999999999999E-4</v>
      </c>
      <c r="F1197" s="74">
        <v>0</v>
      </c>
      <c r="G1197" s="75"/>
      <c r="H1197" s="74">
        <v>0</v>
      </c>
      <c r="I1197" s="73">
        <v>0</v>
      </c>
    </row>
    <row r="1198" spans="1:9" x14ac:dyDescent="0.25">
      <c r="A1198" s="76" t="s">
        <v>643</v>
      </c>
      <c r="B1198" s="76" t="s">
        <v>158</v>
      </c>
      <c r="C1198" s="77">
        <v>40920</v>
      </c>
      <c r="D1198" s="78">
        <v>41274</v>
      </c>
      <c r="E1198" s="79">
        <v>4.4999999999999997E-3</v>
      </c>
      <c r="F1198" s="80">
        <v>0</v>
      </c>
      <c r="G1198" s="81"/>
      <c r="H1198" s="80">
        <v>0</v>
      </c>
      <c r="I1198" s="79">
        <v>0</v>
      </c>
    </row>
    <row r="1199" spans="1:9" x14ac:dyDescent="0.25">
      <c r="A1199" s="76" t="s">
        <v>643</v>
      </c>
      <c r="B1199" s="76" t="s">
        <v>158</v>
      </c>
      <c r="C1199" s="77">
        <v>40920</v>
      </c>
      <c r="D1199" s="78">
        <v>41274</v>
      </c>
      <c r="E1199" s="79">
        <v>4.4999999999999997E-3</v>
      </c>
      <c r="F1199" s="80"/>
      <c r="G1199" s="81">
        <v>0</v>
      </c>
      <c r="H1199" s="80">
        <v>0</v>
      </c>
      <c r="I1199" s="79">
        <v>0</v>
      </c>
    </row>
    <row r="1200" spans="1:9" x14ac:dyDescent="0.25">
      <c r="A1200" s="76" t="s">
        <v>643</v>
      </c>
      <c r="B1200" s="76" t="s">
        <v>644</v>
      </c>
      <c r="C1200" s="77">
        <v>40549</v>
      </c>
      <c r="D1200" s="78">
        <v>40913</v>
      </c>
      <c r="E1200" s="79">
        <v>4.4999999999999997E-3</v>
      </c>
      <c r="F1200" s="80">
        <v>58924.5</v>
      </c>
      <c r="G1200" s="81"/>
      <c r="H1200" s="80">
        <v>0</v>
      </c>
      <c r="I1200" s="79">
        <f>H1200/F1200</f>
        <v>0</v>
      </c>
    </row>
    <row r="1201" spans="1:9" x14ac:dyDescent="0.25">
      <c r="A1201" s="76" t="s">
        <v>643</v>
      </c>
      <c r="B1201" s="76" t="s">
        <v>644</v>
      </c>
      <c r="C1201" s="77">
        <v>40549</v>
      </c>
      <c r="D1201" s="78">
        <v>40913</v>
      </c>
      <c r="E1201" s="79">
        <v>4.4999999999999997E-3</v>
      </c>
      <c r="F1201" s="80"/>
      <c r="G1201" s="81">
        <v>3021</v>
      </c>
      <c r="H1201" s="80">
        <v>0</v>
      </c>
      <c r="I1201" s="79">
        <f>H1201/G1201</f>
        <v>0</v>
      </c>
    </row>
    <row r="1202" spans="1:9" x14ac:dyDescent="0.25">
      <c r="A1202" s="76" t="s">
        <v>643</v>
      </c>
      <c r="B1202" s="76" t="s">
        <v>644</v>
      </c>
      <c r="C1202" s="77">
        <v>40914</v>
      </c>
      <c r="D1202" s="78">
        <v>41252</v>
      </c>
      <c r="E1202" s="79">
        <v>4.4999999999999997E-3</v>
      </c>
      <c r="F1202" s="80">
        <v>0</v>
      </c>
      <c r="G1202" s="81"/>
      <c r="H1202" s="80">
        <v>0</v>
      </c>
      <c r="I1202" s="79">
        <v>0</v>
      </c>
    </row>
    <row r="1203" spans="1:9" x14ac:dyDescent="0.25">
      <c r="A1203" s="76" t="s">
        <v>643</v>
      </c>
      <c r="B1203" s="76" t="s">
        <v>644</v>
      </c>
      <c r="C1203" s="77">
        <v>40914</v>
      </c>
      <c r="D1203" s="78">
        <v>41252</v>
      </c>
      <c r="E1203" s="79">
        <v>4.4999999999999997E-3</v>
      </c>
      <c r="F1203" s="80"/>
      <c r="G1203" s="81">
        <v>0</v>
      </c>
      <c r="H1203" s="80">
        <v>0</v>
      </c>
      <c r="I1203" s="79">
        <v>0</v>
      </c>
    </row>
    <row r="1204" spans="1:9" x14ac:dyDescent="0.25">
      <c r="A1204" s="76" t="s">
        <v>449</v>
      </c>
      <c r="B1204" s="76" t="s">
        <v>472</v>
      </c>
      <c r="C1204" s="77">
        <v>41091</v>
      </c>
      <c r="D1204" s="78">
        <v>41455</v>
      </c>
      <c r="E1204" s="79">
        <v>0</v>
      </c>
      <c r="F1204" s="80">
        <v>0</v>
      </c>
      <c r="G1204" s="88"/>
      <c r="H1204" s="80">
        <v>0</v>
      </c>
      <c r="I1204" s="79">
        <v>0</v>
      </c>
    </row>
    <row r="1205" spans="1:9" x14ac:dyDescent="0.25">
      <c r="A1205" s="76" t="s">
        <v>583</v>
      </c>
      <c r="B1205" s="76" t="s">
        <v>584</v>
      </c>
      <c r="C1205" s="77">
        <v>40544</v>
      </c>
      <c r="D1205" s="78">
        <v>40939</v>
      </c>
      <c r="E1205" s="79">
        <v>0.09</v>
      </c>
      <c r="F1205" s="80">
        <v>0</v>
      </c>
      <c r="G1205" s="81"/>
      <c r="H1205" s="80">
        <v>0</v>
      </c>
      <c r="I1205" s="79">
        <v>0</v>
      </c>
    </row>
    <row r="1206" spans="1:9" x14ac:dyDescent="0.25">
      <c r="A1206" s="76" t="s">
        <v>583</v>
      </c>
      <c r="B1206" s="76" t="s">
        <v>584</v>
      </c>
      <c r="C1206" s="77">
        <v>40940</v>
      </c>
      <c r="D1206" s="78">
        <v>41305</v>
      </c>
      <c r="E1206" s="79">
        <v>0.09</v>
      </c>
      <c r="F1206" s="80">
        <v>0</v>
      </c>
      <c r="G1206" s="81"/>
      <c r="H1206" s="80">
        <v>0</v>
      </c>
      <c r="I1206" s="79">
        <v>0</v>
      </c>
    </row>
    <row r="1207" spans="1:9" x14ac:dyDescent="0.25">
      <c r="A1207" s="76" t="s">
        <v>171</v>
      </c>
      <c r="B1207" s="76" t="s">
        <v>203</v>
      </c>
      <c r="C1207" s="77">
        <v>40771</v>
      </c>
      <c r="D1207" s="78">
        <v>41121</v>
      </c>
      <c r="E1207" s="79">
        <v>1.7999999999999999E-2</v>
      </c>
      <c r="F1207" s="80">
        <v>0</v>
      </c>
      <c r="G1207" s="81"/>
      <c r="H1207" s="80">
        <v>0</v>
      </c>
      <c r="I1207" s="79">
        <v>0</v>
      </c>
    </row>
    <row r="1208" spans="1:9" x14ac:dyDescent="0.25">
      <c r="A1208" s="76" t="s">
        <v>643</v>
      </c>
      <c r="B1208" s="76" t="s">
        <v>181</v>
      </c>
      <c r="C1208" s="77">
        <v>40847</v>
      </c>
      <c r="D1208" s="78">
        <v>41212</v>
      </c>
      <c r="E1208" s="79">
        <v>4.4999999999999997E-3</v>
      </c>
      <c r="F1208" s="80">
        <v>172677.05</v>
      </c>
      <c r="G1208" s="81"/>
      <c r="H1208" s="80">
        <v>0</v>
      </c>
      <c r="I1208" s="79">
        <f>H1208/F1208</f>
        <v>0</v>
      </c>
    </row>
    <row r="1209" spans="1:9" x14ac:dyDescent="0.25">
      <c r="A1209" s="76" t="s">
        <v>643</v>
      </c>
      <c r="B1209" s="76" t="s">
        <v>181</v>
      </c>
      <c r="C1209" s="77">
        <v>40847</v>
      </c>
      <c r="D1209" s="78">
        <v>41212</v>
      </c>
      <c r="E1209" s="79">
        <v>4.4999999999999997E-3</v>
      </c>
      <c r="F1209" s="80"/>
      <c r="G1209" s="81">
        <v>4040</v>
      </c>
      <c r="H1209" s="80">
        <v>0</v>
      </c>
      <c r="I1209" s="79">
        <f>H1209/G1209</f>
        <v>0</v>
      </c>
    </row>
    <row r="1210" spans="1:9" x14ac:dyDescent="0.25">
      <c r="A1210" s="76" t="s">
        <v>246</v>
      </c>
      <c r="B1210" s="76" t="s">
        <v>247</v>
      </c>
      <c r="C1210" s="77">
        <v>40909</v>
      </c>
      <c r="D1210" s="78">
        <v>41274</v>
      </c>
      <c r="E1210" s="79">
        <v>0</v>
      </c>
      <c r="F1210" s="80">
        <v>0</v>
      </c>
      <c r="G1210" s="81"/>
      <c r="H1210" s="80">
        <v>0</v>
      </c>
      <c r="I1210" s="79">
        <v>0</v>
      </c>
    </row>
    <row r="1211" spans="1:9" x14ac:dyDescent="0.25">
      <c r="A1211" s="76" t="s">
        <v>317</v>
      </c>
      <c r="B1211" s="76" t="s">
        <v>160</v>
      </c>
      <c r="C1211" s="77">
        <v>40774</v>
      </c>
      <c r="D1211" s="78">
        <v>41090</v>
      </c>
      <c r="E1211" s="79">
        <v>0</v>
      </c>
      <c r="F1211" s="80">
        <v>0</v>
      </c>
      <c r="G1211" s="81"/>
      <c r="H1211" s="80">
        <v>0</v>
      </c>
      <c r="I1211" s="79">
        <v>0</v>
      </c>
    </row>
    <row r="1212" spans="1:9" x14ac:dyDescent="0.25">
      <c r="A1212" s="76" t="s">
        <v>317</v>
      </c>
      <c r="B1212" s="76" t="s">
        <v>160</v>
      </c>
      <c r="C1212" s="77">
        <v>40774</v>
      </c>
      <c r="D1212" s="78">
        <v>41090</v>
      </c>
      <c r="E1212" s="79">
        <v>0</v>
      </c>
      <c r="F1212" s="80"/>
      <c r="G1212" s="81">
        <v>0</v>
      </c>
      <c r="H1212" s="80">
        <v>0</v>
      </c>
      <c r="I1212" s="79">
        <v>0</v>
      </c>
    </row>
    <row r="1213" spans="1:9" x14ac:dyDescent="0.25">
      <c r="A1213" s="76" t="s">
        <v>674</v>
      </c>
      <c r="B1213" s="76" t="s">
        <v>184</v>
      </c>
      <c r="C1213" s="77">
        <v>40961</v>
      </c>
      <c r="D1213" s="78">
        <v>41274</v>
      </c>
      <c r="E1213" s="79">
        <v>0.22500000000000001</v>
      </c>
      <c r="F1213" s="80">
        <v>0</v>
      </c>
      <c r="G1213" s="81"/>
      <c r="H1213" s="80">
        <v>0</v>
      </c>
      <c r="I1213" s="79">
        <v>0</v>
      </c>
    </row>
    <row r="1214" spans="1:9" x14ac:dyDescent="0.25">
      <c r="A1214" s="76" t="s">
        <v>674</v>
      </c>
      <c r="B1214" s="76" t="s">
        <v>184</v>
      </c>
      <c r="C1214" s="77">
        <v>40961</v>
      </c>
      <c r="D1214" s="78">
        <v>41274</v>
      </c>
      <c r="E1214" s="79">
        <v>0.22500000000000001</v>
      </c>
      <c r="F1214" s="80"/>
      <c r="G1214" s="81">
        <v>0</v>
      </c>
      <c r="H1214" s="80">
        <v>0</v>
      </c>
      <c r="I1214" s="79">
        <v>0</v>
      </c>
    </row>
    <row r="1215" spans="1:9" x14ac:dyDescent="0.25">
      <c r="A1215" s="76" t="s">
        <v>555</v>
      </c>
      <c r="B1215" s="76" t="s">
        <v>98</v>
      </c>
      <c r="C1215" s="77">
        <v>40758</v>
      </c>
      <c r="D1215" s="78">
        <v>41123</v>
      </c>
      <c r="E1215" s="79">
        <v>0.09</v>
      </c>
      <c r="F1215" s="80">
        <v>0</v>
      </c>
      <c r="G1215" s="81"/>
      <c r="H1215" s="80">
        <v>0</v>
      </c>
      <c r="I1215" s="79">
        <v>0</v>
      </c>
    </row>
    <row r="1216" spans="1:9" x14ac:dyDescent="0.25">
      <c r="A1216" s="76" t="s">
        <v>555</v>
      </c>
      <c r="B1216" s="76" t="s">
        <v>98</v>
      </c>
      <c r="C1216" s="77">
        <v>41124</v>
      </c>
      <c r="D1216" s="78">
        <v>41488</v>
      </c>
      <c r="E1216" s="79">
        <v>0.09</v>
      </c>
      <c r="F1216" s="80">
        <v>0</v>
      </c>
      <c r="G1216" s="88"/>
      <c r="H1216" s="80">
        <v>0</v>
      </c>
      <c r="I1216" s="79">
        <v>0</v>
      </c>
    </row>
    <row r="1217" spans="1:9" x14ac:dyDescent="0.25">
      <c r="A1217" s="76" t="s">
        <v>262</v>
      </c>
      <c r="B1217" s="76" t="s">
        <v>107</v>
      </c>
      <c r="C1217" s="77">
        <v>41208</v>
      </c>
      <c r="D1217" s="78">
        <v>41274</v>
      </c>
      <c r="E1217" s="79">
        <v>8.9999999999999993E-3</v>
      </c>
      <c r="F1217" s="80">
        <v>0</v>
      </c>
      <c r="G1217" s="81"/>
      <c r="H1217" s="80">
        <v>0</v>
      </c>
      <c r="I1217" s="79">
        <v>0</v>
      </c>
    </row>
    <row r="1218" spans="1:9" x14ac:dyDescent="0.25">
      <c r="A1218" s="76" t="s">
        <v>262</v>
      </c>
      <c r="B1218" s="76" t="s">
        <v>107</v>
      </c>
      <c r="C1218" s="77">
        <v>41208</v>
      </c>
      <c r="D1218" s="78">
        <v>41274</v>
      </c>
      <c r="E1218" s="79">
        <v>8.9999999999999993E-3</v>
      </c>
      <c r="F1218" s="80"/>
      <c r="G1218" s="81">
        <v>0</v>
      </c>
      <c r="H1218" s="80">
        <v>0</v>
      </c>
      <c r="I1218" s="79">
        <v>0</v>
      </c>
    </row>
    <row r="1219" spans="1:9" x14ac:dyDescent="0.25">
      <c r="A1219" s="76" t="s">
        <v>246</v>
      </c>
      <c r="B1219" s="76" t="s">
        <v>173</v>
      </c>
      <c r="C1219" s="77">
        <v>40909</v>
      </c>
      <c r="D1219" s="78">
        <v>41274</v>
      </c>
      <c r="E1219" s="79">
        <v>0</v>
      </c>
      <c r="F1219" s="80">
        <v>0</v>
      </c>
      <c r="G1219" s="81"/>
      <c r="H1219" s="80">
        <v>0</v>
      </c>
      <c r="I1219" s="79">
        <v>0</v>
      </c>
    </row>
    <row r="1220" spans="1:9" x14ac:dyDescent="0.25">
      <c r="A1220" s="76" t="s">
        <v>317</v>
      </c>
      <c r="B1220" s="76" t="s">
        <v>333</v>
      </c>
      <c r="C1220" s="77">
        <v>40821</v>
      </c>
      <c r="D1220" s="78">
        <v>41090</v>
      </c>
      <c r="E1220" s="79">
        <v>0</v>
      </c>
      <c r="F1220" s="80">
        <v>959</v>
      </c>
      <c r="G1220" s="81"/>
      <c r="H1220" s="80">
        <v>0</v>
      </c>
      <c r="I1220" s="79">
        <f>H1220/F1220</f>
        <v>0</v>
      </c>
    </row>
    <row r="1221" spans="1:9" x14ac:dyDescent="0.25">
      <c r="A1221" s="76" t="s">
        <v>317</v>
      </c>
      <c r="B1221" s="76" t="s">
        <v>333</v>
      </c>
      <c r="C1221" s="77">
        <v>40821</v>
      </c>
      <c r="D1221" s="78">
        <v>41090</v>
      </c>
      <c r="E1221" s="79">
        <v>0</v>
      </c>
      <c r="F1221" s="80"/>
      <c r="G1221" s="81">
        <v>0</v>
      </c>
      <c r="H1221" s="80">
        <v>0</v>
      </c>
      <c r="I1221" s="79">
        <v>0</v>
      </c>
    </row>
    <row r="1222" spans="1:9" x14ac:dyDescent="0.25">
      <c r="A1222" s="76" t="s">
        <v>317</v>
      </c>
      <c r="B1222" s="76" t="s">
        <v>333</v>
      </c>
      <c r="C1222" s="77">
        <v>40821</v>
      </c>
      <c r="D1222" s="78">
        <v>41090</v>
      </c>
      <c r="E1222" s="79">
        <v>0</v>
      </c>
      <c r="F1222" s="80">
        <v>959</v>
      </c>
      <c r="G1222" s="81"/>
      <c r="H1222" s="80">
        <v>0</v>
      </c>
      <c r="I1222" s="79">
        <f>H1222/F1222</f>
        <v>0</v>
      </c>
    </row>
    <row r="1223" spans="1:9" x14ac:dyDescent="0.25">
      <c r="A1223" s="76" t="s">
        <v>317</v>
      </c>
      <c r="B1223" s="76" t="s">
        <v>333</v>
      </c>
      <c r="C1223" s="77">
        <v>40821</v>
      </c>
      <c r="D1223" s="78">
        <v>41090</v>
      </c>
      <c r="E1223" s="79">
        <v>0</v>
      </c>
      <c r="F1223" s="80"/>
      <c r="G1223" s="81">
        <v>0</v>
      </c>
      <c r="H1223" s="80">
        <v>0</v>
      </c>
      <c r="I1223" s="79">
        <v>0</v>
      </c>
    </row>
    <row r="1224" spans="1:9" x14ac:dyDescent="0.25">
      <c r="A1224" s="76" t="s">
        <v>449</v>
      </c>
      <c r="B1224" s="76" t="s">
        <v>466</v>
      </c>
      <c r="C1224" s="77">
        <v>41030</v>
      </c>
      <c r="D1224" s="78">
        <v>41394</v>
      </c>
      <c r="E1224" s="79">
        <v>0</v>
      </c>
      <c r="F1224" s="80">
        <v>0</v>
      </c>
      <c r="G1224" s="81"/>
      <c r="H1224" s="80">
        <v>0</v>
      </c>
      <c r="I1224" s="79">
        <v>0</v>
      </c>
    </row>
    <row r="1225" spans="1:9" x14ac:dyDescent="0.25">
      <c r="A1225" s="76" t="s">
        <v>449</v>
      </c>
      <c r="B1225" s="76" t="s">
        <v>466</v>
      </c>
      <c r="C1225" s="77">
        <v>41030</v>
      </c>
      <c r="D1225" s="78">
        <v>41394</v>
      </c>
      <c r="E1225" s="79">
        <v>0</v>
      </c>
      <c r="F1225" s="80"/>
      <c r="G1225" s="81">
        <v>0</v>
      </c>
      <c r="H1225" s="80">
        <v>0</v>
      </c>
      <c r="I1225" s="79">
        <v>0</v>
      </c>
    </row>
    <row r="1226" spans="1:9" x14ac:dyDescent="0.25">
      <c r="A1226" s="76" t="s">
        <v>449</v>
      </c>
      <c r="B1226" s="76" t="s">
        <v>27</v>
      </c>
      <c r="C1226" s="77">
        <v>40664</v>
      </c>
      <c r="D1226" s="78">
        <v>41029</v>
      </c>
      <c r="E1226" s="79">
        <v>0</v>
      </c>
      <c r="F1226" s="80"/>
      <c r="G1226" s="81">
        <v>0</v>
      </c>
      <c r="H1226" s="80">
        <v>0</v>
      </c>
      <c r="I1226" s="79">
        <v>0</v>
      </c>
    </row>
    <row r="1227" spans="1:9" x14ac:dyDescent="0.25">
      <c r="A1227" s="76" t="s">
        <v>449</v>
      </c>
      <c r="B1227" s="76" t="s">
        <v>151</v>
      </c>
      <c r="C1227" s="77">
        <v>40664</v>
      </c>
      <c r="D1227" s="78">
        <v>41029</v>
      </c>
      <c r="E1227" s="79">
        <v>0</v>
      </c>
      <c r="F1227" s="80">
        <v>0</v>
      </c>
      <c r="G1227" s="81"/>
      <c r="H1227" s="80">
        <v>0</v>
      </c>
      <c r="I1227" s="79">
        <v>0</v>
      </c>
    </row>
    <row r="1228" spans="1:9" x14ac:dyDescent="0.25">
      <c r="A1228" s="76" t="s">
        <v>531</v>
      </c>
      <c r="B1228" s="76" t="s">
        <v>141</v>
      </c>
      <c r="C1228" s="77">
        <v>40922</v>
      </c>
      <c r="D1228" s="78">
        <v>41182</v>
      </c>
      <c r="E1228" s="79">
        <v>8.9999999999999993E-3</v>
      </c>
      <c r="F1228" s="80">
        <v>0</v>
      </c>
      <c r="G1228" s="81"/>
      <c r="H1228" s="80">
        <v>0</v>
      </c>
      <c r="I1228" s="79">
        <v>0</v>
      </c>
    </row>
    <row r="1229" spans="1:9" x14ac:dyDescent="0.25">
      <c r="A1229" s="76" t="s">
        <v>531</v>
      </c>
      <c r="B1229" s="76" t="s">
        <v>141</v>
      </c>
      <c r="C1229" s="77">
        <v>40922</v>
      </c>
      <c r="D1229" s="78">
        <v>41182</v>
      </c>
      <c r="E1229" s="79">
        <v>8.9999999999999993E-3</v>
      </c>
      <c r="F1229" s="80"/>
      <c r="G1229" s="81">
        <v>0</v>
      </c>
      <c r="H1229" s="80">
        <v>0</v>
      </c>
      <c r="I1229" s="79">
        <v>0</v>
      </c>
    </row>
    <row r="1230" spans="1:9" x14ac:dyDescent="0.25">
      <c r="A1230" s="76" t="s">
        <v>477</v>
      </c>
      <c r="B1230" s="76" t="s">
        <v>29</v>
      </c>
      <c r="C1230" s="77">
        <v>40792</v>
      </c>
      <c r="D1230" s="78">
        <v>41121</v>
      </c>
      <c r="E1230" s="79">
        <v>8.9999999999999993E-3</v>
      </c>
      <c r="F1230" s="80">
        <v>0</v>
      </c>
      <c r="G1230" s="81"/>
      <c r="H1230" s="80">
        <v>0</v>
      </c>
      <c r="I1230" s="79">
        <v>0</v>
      </c>
    </row>
    <row r="1231" spans="1:9" x14ac:dyDescent="0.25">
      <c r="A1231" s="76" t="s">
        <v>477</v>
      </c>
      <c r="B1231" s="76" t="s">
        <v>29</v>
      </c>
      <c r="C1231" s="77">
        <v>40792</v>
      </c>
      <c r="D1231" s="78">
        <v>41121</v>
      </c>
      <c r="E1231" s="79">
        <v>8.9999999999999993E-3</v>
      </c>
      <c r="F1231" s="80"/>
      <c r="G1231" s="81">
        <v>0</v>
      </c>
      <c r="H1231" s="80">
        <v>0</v>
      </c>
      <c r="I1231" s="79">
        <v>0</v>
      </c>
    </row>
    <row r="1232" spans="1:9" x14ac:dyDescent="0.25">
      <c r="A1232" s="70" t="s">
        <v>20</v>
      </c>
      <c r="B1232" s="70" t="s">
        <v>36</v>
      </c>
      <c r="C1232" s="71">
        <v>41029</v>
      </c>
      <c r="D1232" s="72">
        <v>41274</v>
      </c>
      <c r="E1232" s="73">
        <v>0</v>
      </c>
      <c r="F1232" s="74"/>
      <c r="G1232" s="75">
        <v>15.11</v>
      </c>
      <c r="H1232" s="74">
        <v>0</v>
      </c>
      <c r="I1232" s="73">
        <v>0</v>
      </c>
    </row>
    <row r="1233" spans="1:9" x14ac:dyDescent="0.25">
      <c r="A1233" s="70" t="s">
        <v>113</v>
      </c>
      <c r="B1233" s="70" t="s">
        <v>114</v>
      </c>
      <c r="C1233" s="71">
        <v>40566</v>
      </c>
      <c r="D1233" s="72">
        <v>40930</v>
      </c>
      <c r="E1233" s="73">
        <v>1.35E-2</v>
      </c>
      <c r="F1233" s="74">
        <v>0</v>
      </c>
      <c r="G1233" s="75"/>
      <c r="H1233" s="74">
        <v>0</v>
      </c>
      <c r="I1233" s="73">
        <v>0</v>
      </c>
    </row>
    <row r="1234" spans="1:9" x14ac:dyDescent="0.25">
      <c r="A1234" s="70" t="s">
        <v>113</v>
      </c>
      <c r="B1234" s="70" t="s">
        <v>114</v>
      </c>
      <c r="C1234" s="71">
        <v>40566</v>
      </c>
      <c r="D1234" s="72">
        <v>40930</v>
      </c>
      <c r="E1234" s="73">
        <v>1.35E-2</v>
      </c>
      <c r="F1234" s="74"/>
      <c r="G1234" s="75">
        <v>0</v>
      </c>
      <c r="H1234" s="74">
        <v>0</v>
      </c>
      <c r="I1234" s="73">
        <v>0</v>
      </c>
    </row>
    <row r="1235" spans="1:9" x14ac:dyDescent="0.25">
      <c r="A1235" s="70" t="s">
        <v>116</v>
      </c>
      <c r="B1235" s="70" t="s">
        <v>117</v>
      </c>
      <c r="C1235" s="71">
        <v>40952</v>
      </c>
      <c r="D1235" s="72">
        <v>41317</v>
      </c>
      <c r="E1235" s="73">
        <v>8.9999999999999993E-3</v>
      </c>
      <c r="F1235" s="74">
        <v>0</v>
      </c>
      <c r="G1235" s="75"/>
      <c r="H1235" s="74">
        <v>0</v>
      </c>
      <c r="I1235" s="73">
        <v>0</v>
      </c>
    </row>
    <row r="1236" spans="1:9" x14ac:dyDescent="0.25">
      <c r="A1236" s="76" t="s">
        <v>643</v>
      </c>
      <c r="B1236" s="76" t="s">
        <v>168</v>
      </c>
      <c r="C1236" s="77">
        <v>40969</v>
      </c>
      <c r="D1236" s="78">
        <v>41274</v>
      </c>
      <c r="E1236" s="79">
        <v>1.7999999999999999E-2</v>
      </c>
      <c r="F1236" s="80">
        <v>90364.34</v>
      </c>
      <c r="G1236" s="81"/>
      <c r="H1236" s="80">
        <v>0</v>
      </c>
      <c r="I1236" s="79">
        <f>H1236/F1236</f>
        <v>0</v>
      </c>
    </row>
    <row r="1237" spans="1:9" x14ac:dyDescent="0.25">
      <c r="A1237" s="76" t="s">
        <v>643</v>
      </c>
      <c r="B1237" s="76" t="s">
        <v>168</v>
      </c>
      <c r="C1237" s="77">
        <v>40969</v>
      </c>
      <c r="D1237" s="78">
        <v>41274</v>
      </c>
      <c r="E1237" s="79">
        <v>1.7999999999999999E-2</v>
      </c>
      <c r="F1237" s="80"/>
      <c r="G1237" s="81">
        <v>3305</v>
      </c>
      <c r="H1237" s="80">
        <v>0</v>
      </c>
      <c r="I1237" s="79">
        <f>H1237/G1237</f>
        <v>0</v>
      </c>
    </row>
    <row r="1238" spans="1:9" x14ac:dyDescent="0.25">
      <c r="A1238" s="76" t="s">
        <v>317</v>
      </c>
      <c r="B1238" s="76" t="s">
        <v>321</v>
      </c>
      <c r="C1238" s="77">
        <v>40648</v>
      </c>
      <c r="D1238" s="78">
        <v>41013</v>
      </c>
      <c r="E1238" s="79">
        <v>0</v>
      </c>
      <c r="F1238" s="80">
        <v>0</v>
      </c>
      <c r="G1238" s="81"/>
      <c r="H1238" s="80">
        <v>0</v>
      </c>
      <c r="I1238" s="79">
        <v>0</v>
      </c>
    </row>
    <row r="1239" spans="1:9" x14ac:dyDescent="0.25">
      <c r="A1239" s="76" t="s">
        <v>317</v>
      </c>
      <c r="B1239" s="76" t="s">
        <v>321</v>
      </c>
      <c r="C1239" s="77">
        <v>40648</v>
      </c>
      <c r="D1239" s="78">
        <v>41013</v>
      </c>
      <c r="E1239" s="79">
        <v>0</v>
      </c>
      <c r="F1239" s="80"/>
      <c r="G1239" s="81">
        <v>0</v>
      </c>
      <c r="H1239" s="80">
        <v>0</v>
      </c>
      <c r="I1239" s="79">
        <v>0</v>
      </c>
    </row>
    <row r="1240" spans="1:9" x14ac:dyDescent="0.25">
      <c r="A1240" s="76" t="s">
        <v>317</v>
      </c>
      <c r="B1240" s="76" t="s">
        <v>321</v>
      </c>
      <c r="C1240" s="77">
        <v>40648</v>
      </c>
      <c r="D1240" s="78">
        <v>41013</v>
      </c>
      <c r="E1240" s="79">
        <v>0</v>
      </c>
      <c r="F1240" s="80">
        <v>0</v>
      </c>
      <c r="G1240" s="81"/>
      <c r="H1240" s="80">
        <v>0</v>
      </c>
      <c r="I1240" s="79">
        <v>0</v>
      </c>
    </row>
    <row r="1241" spans="1:9" x14ac:dyDescent="0.25">
      <c r="A1241" s="76" t="s">
        <v>317</v>
      </c>
      <c r="B1241" s="76" t="s">
        <v>321</v>
      </c>
      <c r="C1241" s="77">
        <v>40648</v>
      </c>
      <c r="D1241" s="78">
        <v>41013</v>
      </c>
      <c r="E1241" s="79">
        <v>0</v>
      </c>
      <c r="F1241" s="80"/>
      <c r="G1241" s="81">
        <v>0</v>
      </c>
      <c r="H1241" s="80">
        <v>0</v>
      </c>
      <c r="I1241" s="79">
        <v>0</v>
      </c>
    </row>
    <row r="1242" spans="1:9" x14ac:dyDescent="0.25">
      <c r="A1242" s="76" t="s">
        <v>281</v>
      </c>
      <c r="B1242" s="76" t="s">
        <v>283</v>
      </c>
      <c r="C1242" s="77">
        <v>40575</v>
      </c>
      <c r="D1242" s="78">
        <v>40999</v>
      </c>
      <c r="E1242" s="79">
        <v>0</v>
      </c>
      <c r="F1242" s="80"/>
      <c r="G1242" s="81">
        <v>0</v>
      </c>
      <c r="H1242" s="80">
        <v>0</v>
      </c>
      <c r="I1242" s="79">
        <v>0</v>
      </c>
    </row>
    <row r="1243" spans="1:9" x14ac:dyDescent="0.25">
      <c r="A1243" s="76" t="s">
        <v>281</v>
      </c>
      <c r="B1243" s="76" t="s">
        <v>282</v>
      </c>
      <c r="C1243" s="77">
        <v>40575</v>
      </c>
      <c r="D1243" s="78">
        <v>40939</v>
      </c>
      <c r="E1243" s="79">
        <v>0</v>
      </c>
      <c r="F1243" s="80"/>
      <c r="G1243" s="81">
        <v>0</v>
      </c>
      <c r="H1243" s="80">
        <v>0</v>
      </c>
      <c r="I1243" s="79">
        <v>0</v>
      </c>
    </row>
    <row r="1244" spans="1:9" x14ac:dyDescent="0.25">
      <c r="A1244" s="70" t="s">
        <v>20</v>
      </c>
      <c r="B1244" s="70" t="s">
        <v>23</v>
      </c>
      <c r="C1244" s="71">
        <v>40634</v>
      </c>
      <c r="D1244" s="72">
        <v>41090</v>
      </c>
      <c r="E1244" s="73">
        <v>0</v>
      </c>
      <c r="F1244" s="74">
        <v>16551.150000000001</v>
      </c>
      <c r="G1244" s="75"/>
      <c r="H1244" s="74">
        <v>0</v>
      </c>
      <c r="I1244" s="73">
        <v>0</v>
      </c>
    </row>
    <row r="1245" spans="1:9" x14ac:dyDescent="0.25">
      <c r="A1245" s="76" t="s">
        <v>262</v>
      </c>
      <c r="B1245" s="76" t="s">
        <v>23</v>
      </c>
      <c r="C1245" s="77">
        <v>41138</v>
      </c>
      <c r="D1245" s="78">
        <v>41455</v>
      </c>
      <c r="E1245" s="79">
        <v>8.9999999999999993E-3</v>
      </c>
      <c r="F1245" s="80"/>
      <c r="G1245" s="81">
        <v>0</v>
      </c>
      <c r="H1245" s="80">
        <v>0</v>
      </c>
      <c r="I1245" s="79">
        <v>0</v>
      </c>
    </row>
    <row r="1246" spans="1:9" x14ac:dyDescent="0.25">
      <c r="A1246" s="76" t="s">
        <v>263</v>
      </c>
      <c r="B1246" s="76" t="s">
        <v>23</v>
      </c>
      <c r="C1246" s="77">
        <v>40772</v>
      </c>
      <c r="D1246" s="78">
        <v>41137</v>
      </c>
      <c r="E1246" s="79">
        <v>8.9999999999999993E-3</v>
      </c>
      <c r="F1246" s="80">
        <v>0</v>
      </c>
      <c r="G1246" s="81"/>
      <c r="H1246" s="80">
        <v>0</v>
      </c>
      <c r="I1246" s="79">
        <v>0</v>
      </c>
    </row>
    <row r="1247" spans="1:9" x14ac:dyDescent="0.25">
      <c r="A1247" s="76" t="s">
        <v>263</v>
      </c>
      <c r="B1247" s="76" t="s">
        <v>23</v>
      </c>
      <c r="C1247" s="77">
        <v>40772</v>
      </c>
      <c r="D1247" s="78">
        <v>41137</v>
      </c>
      <c r="E1247" s="79">
        <v>8.9999999999999993E-3</v>
      </c>
      <c r="F1247" s="80"/>
      <c r="G1247" s="81">
        <v>0</v>
      </c>
      <c r="H1247" s="80">
        <v>0</v>
      </c>
      <c r="I1247" s="79">
        <v>0</v>
      </c>
    </row>
    <row r="1248" spans="1:9" x14ac:dyDescent="0.25">
      <c r="A1248" s="76" t="s">
        <v>263</v>
      </c>
      <c r="B1248" s="76" t="s">
        <v>23</v>
      </c>
      <c r="C1248" s="77">
        <v>40772</v>
      </c>
      <c r="D1248" s="78">
        <v>41137</v>
      </c>
      <c r="E1248" s="79">
        <v>8.9999999999999993E-3</v>
      </c>
      <c r="F1248" s="80">
        <v>0</v>
      </c>
      <c r="G1248" s="81"/>
      <c r="H1248" s="80">
        <v>0</v>
      </c>
      <c r="I1248" s="79">
        <v>0</v>
      </c>
    </row>
    <row r="1249" spans="1:9" x14ac:dyDescent="0.25">
      <c r="A1249" s="76" t="s">
        <v>263</v>
      </c>
      <c r="B1249" s="76" t="s">
        <v>23</v>
      </c>
      <c r="C1249" s="77">
        <v>40772</v>
      </c>
      <c r="D1249" s="78">
        <v>41137</v>
      </c>
      <c r="E1249" s="79">
        <v>8.9999999999999993E-3</v>
      </c>
      <c r="F1249" s="80"/>
      <c r="G1249" s="81">
        <v>0</v>
      </c>
      <c r="H1249" s="80">
        <v>0</v>
      </c>
      <c r="I1249" s="93">
        <v>0</v>
      </c>
    </row>
    <row r="1250" spans="1:9" x14ac:dyDescent="0.25">
      <c r="A1250" s="70" t="s">
        <v>20</v>
      </c>
      <c r="B1250" s="70" t="s">
        <v>22</v>
      </c>
      <c r="C1250" s="71">
        <v>40634</v>
      </c>
      <c r="D1250" s="72">
        <v>41090</v>
      </c>
      <c r="E1250" s="73">
        <v>0</v>
      </c>
      <c r="F1250" s="74">
        <v>51870.879999999997</v>
      </c>
      <c r="G1250" s="75"/>
      <c r="H1250" s="74">
        <v>0</v>
      </c>
      <c r="I1250" s="126">
        <v>0</v>
      </c>
    </row>
    <row r="1251" spans="1:9" x14ac:dyDescent="0.25">
      <c r="A1251" s="76" t="s">
        <v>531</v>
      </c>
      <c r="B1251" s="76" t="s">
        <v>533</v>
      </c>
      <c r="C1251" s="77">
        <v>40786</v>
      </c>
      <c r="D1251" s="78">
        <v>41121</v>
      </c>
      <c r="E1251" s="79">
        <v>8.9999999999999993E-3</v>
      </c>
      <c r="F1251" s="80">
        <v>0</v>
      </c>
      <c r="G1251" s="81"/>
      <c r="H1251" s="80">
        <v>0</v>
      </c>
      <c r="I1251" s="93">
        <v>0</v>
      </c>
    </row>
    <row r="1252" spans="1:9" x14ac:dyDescent="0.25">
      <c r="A1252" s="76" t="s">
        <v>531</v>
      </c>
      <c r="B1252" s="76" t="s">
        <v>533</v>
      </c>
      <c r="C1252" s="77">
        <v>40786</v>
      </c>
      <c r="D1252" s="78">
        <v>41121</v>
      </c>
      <c r="E1252" s="79">
        <v>8.9999999999999993E-3</v>
      </c>
      <c r="F1252" s="80"/>
      <c r="G1252" s="81">
        <v>0</v>
      </c>
      <c r="H1252" s="80">
        <v>0</v>
      </c>
      <c r="I1252" s="93">
        <v>0</v>
      </c>
    </row>
    <row r="1253" spans="1:9" x14ac:dyDescent="0.25">
      <c r="A1253" s="76" t="s">
        <v>249</v>
      </c>
      <c r="B1253" s="76" t="s">
        <v>255</v>
      </c>
      <c r="C1253" s="77">
        <v>40805</v>
      </c>
      <c r="D1253" s="78">
        <v>41053</v>
      </c>
      <c r="E1253" s="79">
        <v>0</v>
      </c>
      <c r="F1253" s="80">
        <v>38009.5</v>
      </c>
      <c r="G1253" s="81"/>
      <c r="H1253" s="80">
        <v>0</v>
      </c>
      <c r="I1253" s="93">
        <f>H1253/F1253</f>
        <v>0</v>
      </c>
    </row>
    <row r="1254" spans="1:9" x14ac:dyDescent="0.25">
      <c r="A1254" s="76" t="s">
        <v>643</v>
      </c>
      <c r="B1254" s="76" t="s">
        <v>656</v>
      </c>
      <c r="C1254" s="77">
        <v>40942</v>
      </c>
      <c r="D1254" s="78">
        <v>41274</v>
      </c>
      <c r="E1254" s="79">
        <v>4.4999999999999997E-3</v>
      </c>
      <c r="F1254" s="80">
        <v>118869.32</v>
      </c>
      <c r="G1254" s="81"/>
      <c r="H1254" s="80">
        <v>0</v>
      </c>
      <c r="I1254" s="93">
        <v>0</v>
      </c>
    </row>
    <row r="1255" spans="1:9" x14ac:dyDescent="0.25">
      <c r="A1255" s="76" t="s">
        <v>643</v>
      </c>
      <c r="B1255" s="76" t="s">
        <v>656</v>
      </c>
      <c r="C1255" s="77">
        <v>40942</v>
      </c>
      <c r="D1255" s="78">
        <v>41274</v>
      </c>
      <c r="E1255" s="79">
        <v>4.4999999999999997E-3</v>
      </c>
      <c r="F1255" s="80"/>
      <c r="G1255" s="81">
        <v>4251.5</v>
      </c>
      <c r="H1255" s="80">
        <v>0</v>
      </c>
      <c r="I1255" s="93">
        <v>0</v>
      </c>
    </row>
    <row r="1256" spans="1:9" x14ac:dyDescent="0.25">
      <c r="A1256" s="76" t="s">
        <v>171</v>
      </c>
      <c r="B1256" s="76" t="s">
        <v>103</v>
      </c>
      <c r="C1256" s="77">
        <v>40787</v>
      </c>
      <c r="D1256" s="78">
        <v>41152</v>
      </c>
      <c r="E1256" s="79">
        <v>1.7999999999999999E-2</v>
      </c>
      <c r="F1256" s="80">
        <v>0</v>
      </c>
      <c r="G1256" s="81"/>
      <c r="H1256" s="80">
        <v>0</v>
      </c>
      <c r="I1256" s="93">
        <v>0</v>
      </c>
    </row>
    <row r="1257" spans="1:9" x14ac:dyDescent="0.25">
      <c r="A1257" s="70" t="s">
        <v>119</v>
      </c>
      <c r="B1257" s="70" t="s">
        <v>70</v>
      </c>
      <c r="C1257" s="71">
        <v>40820</v>
      </c>
      <c r="D1257" s="72">
        <v>41185</v>
      </c>
      <c r="E1257" s="73">
        <v>0.09</v>
      </c>
      <c r="F1257" s="74">
        <v>0</v>
      </c>
      <c r="G1257" s="75">
        <v>0</v>
      </c>
      <c r="H1257" s="74">
        <v>0</v>
      </c>
      <c r="I1257" s="126">
        <v>0</v>
      </c>
    </row>
    <row r="1258" spans="1:9" x14ac:dyDescent="0.25">
      <c r="A1258" s="76" t="s">
        <v>643</v>
      </c>
      <c r="B1258" s="76" t="s">
        <v>649</v>
      </c>
      <c r="C1258" s="77">
        <v>41120</v>
      </c>
      <c r="D1258" s="78">
        <v>41484</v>
      </c>
      <c r="E1258" s="79">
        <v>4.4999999999999997E-3</v>
      </c>
      <c r="F1258" s="80"/>
      <c r="G1258" s="81">
        <v>0</v>
      </c>
      <c r="H1258" s="80">
        <v>0</v>
      </c>
      <c r="I1258" s="93">
        <v>0</v>
      </c>
    </row>
    <row r="1259" spans="1:9" x14ac:dyDescent="0.25">
      <c r="A1259" s="76" t="s">
        <v>449</v>
      </c>
      <c r="B1259" s="76" t="s">
        <v>451</v>
      </c>
      <c r="C1259" s="77">
        <v>40968</v>
      </c>
      <c r="D1259" s="78">
        <v>41333</v>
      </c>
      <c r="E1259" s="79">
        <v>0</v>
      </c>
      <c r="F1259" s="80">
        <v>0</v>
      </c>
      <c r="G1259" s="81" t="s">
        <v>469</v>
      </c>
      <c r="H1259" s="80">
        <v>0</v>
      </c>
      <c r="I1259" s="93">
        <v>0</v>
      </c>
    </row>
    <row r="1260" spans="1:9" x14ac:dyDescent="0.25">
      <c r="A1260" s="76" t="s">
        <v>449</v>
      </c>
      <c r="B1260" s="76" t="s">
        <v>451</v>
      </c>
      <c r="C1260" s="77">
        <v>40968</v>
      </c>
      <c r="D1260" s="78">
        <v>41333</v>
      </c>
      <c r="E1260" s="79">
        <v>0</v>
      </c>
      <c r="F1260" s="80"/>
      <c r="G1260" s="81">
        <v>0</v>
      </c>
      <c r="H1260" s="80">
        <v>0</v>
      </c>
      <c r="I1260" s="93">
        <v>0</v>
      </c>
    </row>
    <row r="1261" spans="1:9" x14ac:dyDescent="0.25">
      <c r="A1261" s="76" t="s">
        <v>317</v>
      </c>
      <c r="B1261" s="76" t="s">
        <v>350</v>
      </c>
      <c r="C1261" s="77">
        <v>40928</v>
      </c>
      <c r="D1261" s="78">
        <v>41293</v>
      </c>
      <c r="E1261" s="79">
        <v>8.9999999999999998E-4</v>
      </c>
      <c r="F1261" s="80">
        <v>0</v>
      </c>
      <c r="G1261" s="81"/>
      <c r="H1261" s="80">
        <v>0</v>
      </c>
      <c r="I1261" s="93">
        <v>0</v>
      </c>
    </row>
    <row r="1262" spans="1:9" x14ac:dyDescent="0.25">
      <c r="A1262" s="76" t="s">
        <v>613</v>
      </c>
      <c r="B1262" s="76" t="s">
        <v>618</v>
      </c>
      <c r="C1262" s="77">
        <v>40793</v>
      </c>
      <c r="D1262" s="78">
        <v>41121</v>
      </c>
      <c r="E1262" s="79">
        <v>8.9999999999999993E-3</v>
      </c>
      <c r="F1262" s="80"/>
      <c r="G1262" s="81">
        <v>0</v>
      </c>
      <c r="H1262" s="80">
        <v>0</v>
      </c>
      <c r="I1262" s="93">
        <v>0</v>
      </c>
    </row>
    <row r="1263" spans="1:9" x14ac:dyDescent="0.25">
      <c r="A1263" s="76" t="s">
        <v>531</v>
      </c>
      <c r="B1263" s="76" t="s">
        <v>547</v>
      </c>
      <c r="C1263" s="77">
        <v>41107</v>
      </c>
      <c r="D1263" s="78">
        <v>41364</v>
      </c>
      <c r="E1263" s="79">
        <v>8.9999999999999993E-3</v>
      </c>
      <c r="F1263" s="80">
        <v>0</v>
      </c>
      <c r="G1263" s="81"/>
      <c r="H1263" s="80">
        <v>0</v>
      </c>
      <c r="I1263" s="93">
        <v>0</v>
      </c>
    </row>
    <row r="1264" spans="1:9" x14ac:dyDescent="0.25">
      <c r="A1264" s="76" t="s">
        <v>317</v>
      </c>
      <c r="B1264" s="76" t="s">
        <v>90</v>
      </c>
      <c r="C1264" s="77">
        <v>40830</v>
      </c>
      <c r="D1264" s="78">
        <v>41090</v>
      </c>
      <c r="E1264" s="79">
        <v>0.18</v>
      </c>
      <c r="F1264" s="80">
        <v>0</v>
      </c>
      <c r="G1264" s="81"/>
      <c r="H1264" s="80">
        <v>0</v>
      </c>
      <c r="I1264" s="93">
        <v>0</v>
      </c>
    </row>
    <row r="1265" spans="1:9" x14ac:dyDescent="0.25">
      <c r="A1265" s="76" t="s">
        <v>317</v>
      </c>
      <c r="B1265" s="76" t="s">
        <v>90</v>
      </c>
      <c r="C1265" s="77">
        <v>40830</v>
      </c>
      <c r="D1265" s="78">
        <v>41090</v>
      </c>
      <c r="E1265" s="79">
        <v>0.18</v>
      </c>
      <c r="F1265" s="80"/>
      <c r="G1265" s="81">
        <v>0</v>
      </c>
      <c r="H1265" s="80">
        <v>0</v>
      </c>
      <c r="I1265" s="93">
        <v>0</v>
      </c>
    </row>
    <row r="1266" spans="1:9" x14ac:dyDescent="0.25">
      <c r="A1266" s="76" t="s">
        <v>317</v>
      </c>
      <c r="B1266" s="76" t="s">
        <v>90</v>
      </c>
      <c r="C1266" s="77">
        <v>41104</v>
      </c>
      <c r="D1266" s="78">
        <v>41455</v>
      </c>
      <c r="E1266" s="79">
        <v>0.18</v>
      </c>
      <c r="F1266" s="80">
        <v>0</v>
      </c>
      <c r="G1266" s="81"/>
      <c r="H1266" s="80">
        <v>0</v>
      </c>
      <c r="I1266" s="93">
        <v>0</v>
      </c>
    </row>
    <row r="1267" spans="1:9" x14ac:dyDescent="0.25">
      <c r="A1267" s="76" t="s">
        <v>317</v>
      </c>
      <c r="B1267" s="76" t="s">
        <v>90</v>
      </c>
      <c r="C1267" s="77">
        <v>41104</v>
      </c>
      <c r="D1267" s="78">
        <v>41455</v>
      </c>
      <c r="E1267" s="79">
        <v>0.18</v>
      </c>
      <c r="F1267" s="80"/>
      <c r="G1267" s="81">
        <v>0</v>
      </c>
      <c r="H1267" s="80">
        <v>0</v>
      </c>
      <c r="I1267" s="93">
        <v>0</v>
      </c>
    </row>
    <row r="1268" spans="1:9" x14ac:dyDescent="0.25">
      <c r="A1268" s="76" t="s">
        <v>171</v>
      </c>
      <c r="B1268" s="76" t="s">
        <v>102</v>
      </c>
      <c r="C1268" s="77">
        <v>40800</v>
      </c>
      <c r="D1268" s="78">
        <v>41152</v>
      </c>
      <c r="E1268" s="79">
        <v>1.7999999999999999E-2</v>
      </c>
      <c r="F1268" s="80">
        <v>0</v>
      </c>
      <c r="G1268" s="81"/>
      <c r="H1268" s="80">
        <v>0</v>
      </c>
      <c r="I1268" s="93">
        <v>0</v>
      </c>
    </row>
    <row r="1269" spans="1:9" x14ac:dyDescent="0.25">
      <c r="A1269" s="76" t="s">
        <v>674</v>
      </c>
      <c r="B1269" s="76" t="s">
        <v>102</v>
      </c>
      <c r="C1269" s="77">
        <v>40961</v>
      </c>
      <c r="D1269" s="78">
        <v>41274</v>
      </c>
      <c r="E1269" s="79">
        <v>0.22500000000000001</v>
      </c>
      <c r="F1269" s="80">
        <v>0</v>
      </c>
      <c r="G1269" s="81"/>
      <c r="H1269" s="80">
        <v>0</v>
      </c>
      <c r="I1269" s="93">
        <v>0</v>
      </c>
    </row>
    <row r="1270" spans="1:9" x14ac:dyDescent="0.25">
      <c r="A1270" s="76" t="s">
        <v>449</v>
      </c>
      <c r="B1270" s="76" t="s">
        <v>462</v>
      </c>
      <c r="C1270" s="77">
        <v>40787</v>
      </c>
      <c r="D1270" s="78">
        <v>41152</v>
      </c>
      <c r="E1270" s="79">
        <v>0</v>
      </c>
      <c r="F1270" s="80">
        <v>0</v>
      </c>
      <c r="G1270" s="81"/>
      <c r="H1270" s="80">
        <v>0</v>
      </c>
      <c r="I1270" s="93">
        <v>0</v>
      </c>
    </row>
    <row r="1271" spans="1:9" x14ac:dyDescent="0.25">
      <c r="A1271" s="76" t="s">
        <v>449</v>
      </c>
      <c r="B1271" s="76" t="s">
        <v>462</v>
      </c>
      <c r="C1271" s="77">
        <v>41153</v>
      </c>
      <c r="D1271" s="78">
        <v>41194</v>
      </c>
      <c r="E1271" s="79">
        <v>0</v>
      </c>
      <c r="F1271" s="80">
        <v>0</v>
      </c>
      <c r="G1271" s="81"/>
      <c r="H1271" s="80">
        <v>0</v>
      </c>
      <c r="I1271" s="93">
        <v>0</v>
      </c>
    </row>
    <row r="1272" spans="1:9" x14ac:dyDescent="0.25">
      <c r="A1272" s="76" t="s">
        <v>449</v>
      </c>
      <c r="B1272" s="76" t="s">
        <v>462</v>
      </c>
      <c r="C1272" s="77">
        <v>41153</v>
      </c>
      <c r="D1272" s="78">
        <v>41194</v>
      </c>
      <c r="E1272" s="79">
        <v>0</v>
      </c>
      <c r="F1272" s="80"/>
      <c r="G1272" s="81">
        <v>0</v>
      </c>
      <c r="H1272" s="80">
        <v>0</v>
      </c>
      <c r="I1272" s="93">
        <v>0</v>
      </c>
    </row>
    <row r="1273" spans="1:9" x14ac:dyDescent="0.25">
      <c r="A1273" s="70" t="s">
        <v>127</v>
      </c>
      <c r="B1273" s="70" t="s">
        <v>88</v>
      </c>
      <c r="C1273" s="71">
        <v>41172</v>
      </c>
      <c r="D1273" s="72">
        <v>41182</v>
      </c>
      <c r="E1273" s="73">
        <v>0</v>
      </c>
      <c r="F1273" s="74">
        <v>0</v>
      </c>
      <c r="G1273" s="75"/>
      <c r="H1273" s="74">
        <v>0</v>
      </c>
      <c r="I1273" s="126">
        <v>0</v>
      </c>
    </row>
    <row r="1274" spans="1:9" x14ac:dyDescent="0.25">
      <c r="A1274" s="70" t="s">
        <v>95</v>
      </c>
      <c r="B1274" s="70" t="s">
        <v>48</v>
      </c>
      <c r="C1274" s="71">
        <v>40725</v>
      </c>
      <c r="D1274" s="72">
        <v>41090</v>
      </c>
      <c r="E1274" s="73">
        <v>0.09</v>
      </c>
      <c r="F1274" s="74"/>
      <c r="G1274" s="75">
        <v>0</v>
      </c>
      <c r="H1274" s="74">
        <v>0</v>
      </c>
      <c r="I1274" s="126">
        <v>0</v>
      </c>
    </row>
    <row r="1275" spans="1:9" x14ac:dyDescent="0.25">
      <c r="A1275" s="70" t="s">
        <v>119</v>
      </c>
      <c r="B1275" s="70" t="s">
        <v>48</v>
      </c>
      <c r="C1275" s="71">
        <v>40725</v>
      </c>
      <c r="D1275" s="72">
        <v>41090</v>
      </c>
      <c r="E1275" s="73">
        <v>0.09</v>
      </c>
      <c r="F1275" s="74"/>
      <c r="G1275" s="75">
        <v>0</v>
      </c>
      <c r="H1275" s="74">
        <v>0</v>
      </c>
      <c r="I1275" s="126">
        <v>0</v>
      </c>
    </row>
    <row r="1276" spans="1:9" x14ac:dyDescent="0.25">
      <c r="A1276" s="76" t="s">
        <v>674</v>
      </c>
      <c r="B1276" s="76" t="s">
        <v>679</v>
      </c>
      <c r="C1276" s="77">
        <v>41023</v>
      </c>
      <c r="D1276" s="78">
        <v>41274</v>
      </c>
      <c r="E1276" s="79">
        <v>0.32219999999999999</v>
      </c>
      <c r="F1276" s="80"/>
      <c r="G1276" s="81">
        <v>0</v>
      </c>
      <c r="H1276" s="80">
        <v>-66.930000000000007</v>
      </c>
      <c r="I1276" s="93">
        <v>0</v>
      </c>
    </row>
    <row r="1277" spans="1:9" x14ac:dyDescent="0.25">
      <c r="A1277" s="76" t="s">
        <v>674</v>
      </c>
      <c r="B1277" s="76" t="s">
        <v>679</v>
      </c>
      <c r="C1277" s="77">
        <v>41023</v>
      </c>
      <c r="D1277" s="78">
        <v>41274</v>
      </c>
      <c r="E1277" s="79">
        <v>0.32219999999999999</v>
      </c>
      <c r="F1277" s="80">
        <v>0</v>
      </c>
      <c r="G1277" s="81"/>
      <c r="H1277" s="80">
        <v>-789.8</v>
      </c>
      <c r="I1277" s="93">
        <v>0</v>
      </c>
    </row>
    <row r="1278" spans="1:9" x14ac:dyDescent="0.25">
      <c r="A1278" s="76" t="s">
        <v>317</v>
      </c>
      <c r="B1278" s="76" t="s">
        <v>340</v>
      </c>
      <c r="C1278" s="77">
        <v>40702</v>
      </c>
      <c r="D1278" s="78">
        <v>40756</v>
      </c>
      <c r="E1278" s="79">
        <v>0</v>
      </c>
      <c r="F1278" s="80"/>
      <c r="G1278" s="81">
        <v>0</v>
      </c>
      <c r="H1278" s="80">
        <v>-866.05</v>
      </c>
      <c r="I1278" s="93">
        <v>0</v>
      </c>
    </row>
    <row r="1279" spans="1:9" x14ac:dyDescent="0.25">
      <c r="A1279" s="70" t="s">
        <v>127</v>
      </c>
      <c r="B1279" s="70" t="s">
        <v>129</v>
      </c>
      <c r="C1279" s="71">
        <v>40812</v>
      </c>
      <c r="D1279" s="72">
        <v>41121</v>
      </c>
      <c r="E1279" s="73">
        <v>0</v>
      </c>
      <c r="F1279" s="74">
        <v>0</v>
      </c>
      <c r="G1279" s="75"/>
      <c r="H1279" s="74">
        <v>-3000</v>
      </c>
      <c r="I1279" s="126">
        <v>0</v>
      </c>
    </row>
    <row r="1280" spans="1:9" x14ac:dyDescent="0.25">
      <c r="A1280" s="76" t="s">
        <v>317</v>
      </c>
      <c r="B1280" s="76" t="s">
        <v>340</v>
      </c>
      <c r="C1280" s="77">
        <v>40702</v>
      </c>
      <c r="D1280" s="78">
        <v>40756</v>
      </c>
      <c r="E1280" s="79">
        <v>0</v>
      </c>
      <c r="F1280" s="80">
        <v>0</v>
      </c>
      <c r="G1280" s="81"/>
      <c r="H1280" s="80">
        <v>-4997.99</v>
      </c>
      <c r="I1280" s="93">
        <v>0</v>
      </c>
    </row>
    <row r="1281" spans="1:9" x14ac:dyDescent="0.25">
      <c r="A1281" s="76" t="s">
        <v>127</v>
      </c>
      <c r="B1281" s="76" t="s">
        <v>539</v>
      </c>
      <c r="C1281" s="77">
        <v>40664</v>
      </c>
      <c r="D1281" s="78">
        <v>41029</v>
      </c>
      <c r="E1281" s="79">
        <v>0</v>
      </c>
      <c r="F1281" s="80">
        <v>0</v>
      </c>
      <c r="G1281" s="88"/>
      <c r="H1281" s="80">
        <v>-14224</v>
      </c>
      <c r="I1281" s="93">
        <v>0</v>
      </c>
    </row>
    <row r="1282" spans="1:9" x14ac:dyDescent="0.25">
      <c r="A1282" s="76" t="s">
        <v>127</v>
      </c>
      <c r="B1282" s="76" t="s">
        <v>1967</v>
      </c>
      <c r="C1282" s="77">
        <v>40664</v>
      </c>
      <c r="D1282" s="78">
        <v>41029</v>
      </c>
      <c r="E1282" s="79">
        <v>0</v>
      </c>
      <c r="F1282" s="80">
        <v>270</v>
      </c>
      <c r="G1282" s="88"/>
      <c r="H1282" s="80">
        <v>-21179</v>
      </c>
      <c r="I1282" s="93">
        <v>0</v>
      </c>
    </row>
    <row r="1283" spans="1:9" x14ac:dyDescent="0.25">
      <c r="A1283" s="76" t="s">
        <v>317</v>
      </c>
      <c r="B1283" s="76" t="s">
        <v>362</v>
      </c>
      <c r="C1283" s="77">
        <v>41173</v>
      </c>
      <c r="D1283" s="78">
        <v>41455</v>
      </c>
      <c r="E1283" s="79">
        <v>8.9999999999999998E-4</v>
      </c>
      <c r="F1283" s="80">
        <v>0</v>
      </c>
      <c r="G1283" s="81"/>
      <c r="H1283" s="80">
        <v>-29929.11</v>
      </c>
      <c r="I1283" s="93">
        <v>0</v>
      </c>
    </row>
    <row r="1284" spans="1:9" x14ac:dyDescent="0.25">
      <c r="A1284" s="70" t="s">
        <v>127</v>
      </c>
      <c r="B1284" s="70" t="s">
        <v>129</v>
      </c>
      <c r="C1284" s="71">
        <v>40786</v>
      </c>
      <c r="D1284" s="72">
        <v>41121</v>
      </c>
      <c r="E1284" s="73">
        <v>0</v>
      </c>
      <c r="F1284" s="74">
        <v>0</v>
      </c>
      <c r="G1284" s="75"/>
      <c r="H1284" s="74">
        <v>-58402</v>
      </c>
      <c r="I1284" s="126">
        <v>0</v>
      </c>
    </row>
    <row r="1285" spans="1:9" x14ac:dyDescent="0.25">
      <c r="A1285" s="76" t="s">
        <v>249</v>
      </c>
      <c r="B1285" s="76" t="s">
        <v>259</v>
      </c>
      <c r="C1285" s="77">
        <v>40969</v>
      </c>
      <c r="D1285" s="78">
        <v>41152</v>
      </c>
      <c r="E1285" s="79">
        <v>0</v>
      </c>
      <c r="F1285" s="80">
        <v>0</v>
      </c>
      <c r="G1285" s="81"/>
      <c r="H1285" s="80">
        <v>-62748.95</v>
      </c>
      <c r="I1285" s="93">
        <v>0</v>
      </c>
    </row>
    <row r="1286" spans="1:9" x14ac:dyDescent="0.25">
      <c r="A1286" s="76" t="s">
        <v>249</v>
      </c>
      <c r="B1286" s="76" t="s">
        <v>254</v>
      </c>
      <c r="C1286" s="77">
        <v>40700</v>
      </c>
      <c r="D1286" s="77">
        <v>40939</v>
      </c>
      <c r="E1286" s="79">
        <v>0</v>
      </c>
      <c r="F1286" s="80">
        <v>350803.5</v>
      </c>
      <c r="G1286" s="88"/>
      <c r="H1286" s="80">
        <v>-71013.69</v>
      </c>
      <c r="I1286" s="93">
        <v>0</v>
      </c>
    </row>
    <row r="1287" spans="1:9" x14ac:dyDescent="0.25">
      <c r="A1287" s="76" t="s">
        <v>249</v>
      </c>
      <c r="B1287" s="76" t="s">
        <v>1968</v>
      </c>
      <c r="C1287" s="77">
        <v>40686</v>
      </c>
      <c r="D1287" s="77">
        <v>40908</v>
      </c>
      <c r="E1287" s="79">
        <v>0</v>
      </c>
      <c r="F1287" s="80">
        <v>54564.07</v>
      </c>
      <c r="G1287" s="88"/>
      <c r="H1287" s="80">
        <v>-91397.67</v>
      </c>
      <c r="I1287" s="93">
        <v>0</v>
      </c>
    </row>
    <row r="1288" spans="1:9" x14ac:dyDescent="0.25">
      <c r="A1288" s="70" t="s">
        <v>127</v>
      </c>
      <c r="B1288" s="70" t="s">
        <v>88</v>
      </c>
      <c r="C1288" s="71">
        <v>40806</v>
      </c>
      <c r="D1288" s="72">
        <v>41171</v>
      </c>
      <c r="E1288" s="73">
        <v>0</v>
      </c>
      <c r="F1288" s="74">
        <v>0</v>
      </c>
      <c r="G1288" s="75"/>
      <c r="H1288" s="74">
        <v>-318215</v>
      </c>
      <c r="I1288" s="126">
        <v>0</v>
      </c>
    </row>
    <row r="1289" spans="1:9" x14ac:dyDescent="0.25">
      <c r="A1289" s="70" t="s">
        <v>127</v>
      </c>
      <c r="B1289" s="70" t="s">
        <v>128</v>
      </c>
      <c r="C1289" s="71">
        <v>40742</v>
      </c>
      <c r="D1289" s="72">
        <v>41065</v>
      </c>
      <c r="E1289" s="73">
        <v>0</v>
      </c>
      <c r="F1289" s="74">
        <v>0</v>
      </c>
      <c r="G1289" s="75"/>
      <c r="H1289" s="74">
        <v>-371325</v>
      </c>
      <c r="I1289" s="126">
        <v>0</v>
      </c>
    </row>
    <row r="1290" spans="1:9" x14ac:dyDescent="0.25">
      <c r="A1290" s="76" t="s">
        <v>449</v>
      </c>
      <c r="B1290" s="76" t="s">
        <v>452</v>
      </c>
      <c r="C1290" s="77">
        <v>40664</v>
      </c>
      <c r="D1290" s="78">
        <v>41029</v>
      </c>
      <c r="E1290" s="79">
        <v>0</v>
      </c>
      <c r="F1290" s="80">
        <v>259840</v>
      </c>
      <c r="G1290" s="81"/>
      <c r="H1290" s="80">
        <v>-759</v>
      </c>
      <c r="I1290" s="93">
        <f t="shared" ref="I1290:I1297" si="19">H1290/F1290</f>
        <v>-2.9210283251231528E-3</v>
      </c>
    </row>
    <row r="1291" spans="1:9" x14ac:dyDescent="0.25">
      <c r="A1291" s="76" t="s">
        <v>674</v>
      </c>
      <c r="B1291" s="76" t="s">
        <v>580</v>
      </c>
      <c r="C1291" s="77">
        <v>41152</v>
      </c>
      <c r="D1291" s="78">
        <v>41274</v>
      </c>
      <c r="E1291" s="79">
        <v>0.33300000000000002</v>
      </c>
      <c r="F1291" s="80">
        <v>12795</v>
      </c>
      <c r="G1291" s="81"/>
      <c r="H1291" s="80">
        <v>-65</v>
      </c>
      <c r="I1291" s="93">
        <f t="shared" si="19"/>
        <v>-5.0801094177413053E-3</v>
      </c>
    </row>
    <row r="1292" spans="1:9" x14ac:dyDescent="0.25">
      <c r="A1292" s="76" t="s">
        <v>613</v>
      </c>
      <c r="B1292" s="76" t="s">
        <v>193</v>
      </c>
      <c r="C1292" s="77">
        <v>40793</v>
      </c>
      <c r="D1292" s="78">
        <v>41090</v>
      </c>
      <c r="E1292" s="79">
        <v>8.9999999999999993E-3</v>
      </c>
      <c r="F1292" s="80">
        <v>199876</v>
      </c>
      <c r="G1292" s="81"/>
      <c r="H1292" s="80">
        <v>-1524</v>
      </c>
      <c r="I1292" s="93">
        <f t="shared" si="19"/>
        <v>-7.6247273309451857E-3</v>
      </c>
    </row>
    <row r="1293" spans="1:9" x14ac:dyDescent="0.25">
      <c r="A1293" s="76" t="s">
        <v>613</v>
      </c>
      <c r="B1293" s="76" t="s">
        <v>107</v>
      </c>
      <c r="C1293" s="77">
        <v>41017</v>
      </c>
      <c r="D1293" s="78">
        <v>41305</v>
      </c>
      <c r="E1293" s="79">
        <v>8.9999999999999993E-3</v>
      </c>
      <c r="F1293" s="80">
        <v>12614</v>
      </c>
      <c r="G1293" s="81"/>
      <c r="H1293" s="80">
        <v>-157</v>
      </c>
      <c r="I1293" s="93">
        <f t="shared" si="19"/>
        <v>-1.2446488029173934E-2</v>
      </c>
    </row>
    <row r="1294" spans="1:9" x14ac:dyDescent="0.25">
      <c r="A1294" s="76" t="s">
        <v>643</v>
      </c>
      <c r="B1294" s="76" t="s">
        <v>647</v>
      </c>
      <c r="C1294" s="77">
        <v>40659</v>
      </c>
      <c r="D1294" s="78">
        <v>41024</v>
      </c>
      <c r="E1294" s="79">
        <v>4.4999999999999997E-3</v>
      </c>
      <c r="F1294" s="80">
        <v>120919</v>
      </c>
      <c r="G1294" s="81"/>
      <c r="H1294" s="80">
        <v>-1616.08</v>
      </c>
      <c r="I1294" s="93">
        <f t="shared" si="19"/>
        <v>-1.3364979862552617E-2</v>
      </c>
    </row>
    <row r="1295" spans="1:9" x14ac:dyDescent="0.25">
      <c r="A1295" s="76" t="s">
        <v>531</v>
      </c>
      <c r="B1295" s="76" t="s">
        <v>190</v>
      </c>
      <c r="C1295" s="77">
        <v>41179</v>
      </c>
      <c r="D1295" s="78">
        <v>41364</v>
      </c>
      <c r="E1295" s="79">
        <v>8.9999999999999993E-3</v>
      </c>
      <c r="F1295" s="80">
        <v>34447</v>
      </c>
      <c r="G1295" s="81"/>
      <c r="H1295" s="80">
        <v>-485</v>
      </c>
      <c r="I1295" s="93">
        <f t="shared" si="19"/>
        <v>-1.407960054576596E-2</v>
      </c>
    </row>
    <row r="1296" spans="1:9" x14ac:dyDescent="0.25">
      <c r="A1296" s="76" t="s">
        <v>594</v>
      </c>
      <c r="B1296" s="76" t="s">
        <v>604</v>
      </c>
      <c r="C1296" s="77">
        <v>40954</v>
      </c>
      <c r="D1296" s="78">
        <v>41274</v>
      </c>
      <c r="E1296" s="79">
        <v>1.7999999999999999E-2</v>
      </c>
      <c r="F1296" s="80">
        <v>52579.98</v>
      </c>
      <c r="G1296" s="81"/>
      <c r="H1296" s="80">
        <v>-762.37</v>
      </c>
      <c r="I1296" s="93">
        <f t="shared" si="19"/>
        <v>-1.4499244769587208E-2</v>
      </c>
    </row>
    <row r="1297" spans="1:9" x14ac:dyDescent="0.25">
      <c r="A1297" s="76" t="s">
        <v>531</v>
      </c>
      <c r="B1297" s="76" t="s">
        <v>532</v>
      </c>
      <c r="C1297" s="77">
        <v>40708</v>
      </c>
      <c r="D1297" s="78">
        <v>40939</v>
      </c>
      <c r="E1297" s="79">
        <v>8.9999999999999993E-3</v>
      </c>
      <c r="F1297" s="80">
        <v>119002</v>
      </c>
      <c r="G1297" s="81"/>
      <c r="H1297" s="80">
        <v>-2135</v>
      </c>
      <c r="I1297" s="93">
        <f t="shared" si="19"/>
        <v>-1.7940874943278264E-2</v>
      </c>
    </row>
    <row r="1298" spans="1:9" x14ac:dyDescent="0.25">
      <c r="A1298" s="76" t="s">
        <v>613</v>
      </c>
      <c r="B1298" s="76" t="s">
        <v>621</v>
      </c>
      <c r="C1298" s="77">
        <v>41074</v>
      </c>
      <c r="D1298" s="78">
        <v>41394</v>
      </c>
      <c r="E1298" s="79">
        <v>8.9999999999999993E-3</v>
      </c>
      <c r="F1298" s="80"/>
      <c r="G1298" s="81">
        <v>1717</v>
      </c>
      <c r="H1298" s="80">
        <v>-34</v>
      </c>
      <c r="I1298" s="93">
        <f>H1298/G1298</f>
        <v>-1.9801980198019802E-2</v>
      </c>
    </row>
    <row r="1299" spans="1:9" x14ac:dyDescent="0.25">
      <c r="A1299" s="70" t="s">
        <v>146</v>
      </c>
      <c r="B1299" s="70" t="s">
        <v>166</v>
      </c>
      <c r="C1299" s="71">
        <v>40817</v>
      </c>
      <c r="D1299" s="72">
        <v>41182</v>
      </c>
      <c r="E1299" s="101">
        <v>4.4999999999999999E-4</v>
      </c>
      <c r="F1299" s="74">
        <v>3305.66</v>
      </c>
      <c r="G1299" s="75"/>
      <c r="H1299" s="74">
        <v>-72</v>
      </c>
      <c r="I1299" s="126">
        <v>-2.1780824404203699E-2</v>
      </c>
    </row>
    <row r="1300" spans="1:9" x14ac:dyDescent="0.25">
      <c r="A1300" s="76" t="s">
        <v>531</v>
      </c>
      <c r="B1300" s="76" t="s">
        <v>193</v>
      </c>
      <c r="C1300" s="77">
        <v>40829</v>
      </c>
      <c r="D1300" s="78">
        <v>41090</v>
      </c>
      <c r="E1300" s="79">
        <v>8.9999999999999993E-3</v>
      </c>
      <c r="F1300" s="80">
        <v>76897</v>
      </c>
      <c r="G1300" s="81"/>
      <c r="H1300" s="80">
        <v>-1754</v>
      </c>
      <c r="I1300" s="93">
        <f>H1300/F1300</f>
        <v>-2.2809732499317267E-2</v>
      </c>
    </row>
    <row r="1301" spans="1:9" ht="28.5" x14ac:dyDescent="0.25">
      <c r="A1301" s="76" t="s">
        <v>643</v>
      </c>
      <c r="B1301" s="76" t="s">
        <v>654</v>
      </c>
      <c r="C1301" s="77">
        <v>40863</v>
      </c>
      <c r="D1301" s="78">
        <v>41231</v>
      </c>
      <c r="E1301" s="79">
        <v>4.4999999999999997E-3</v>
      </c>
      <c r="F1301" s="80">
        <v>63206.04</v>
      </c>
      <c r="G1301" s="81"/>
      <c r="H1301" s="80">
        <v>-1641.06</v>
      </c>
      <c r="I1301" s="93">
        <f>H1301/F1301</f>
        <v>-2.5963657903580101E-2</v>
      </c>
    </row>
    <row r="1302" spans="1:9" x14ac:dyDescent="0.25">
      <c r="A1302" s="76" t="s">
        <v>246</v>
      </c>
      <c r="B1302" s="76" t="s">
        <v>22</v>
      </c>
      <c r="C1302" s="77">
        <v>40909</v>
      </c>
      <c r="D1302" s="78">
        <v>41274</v>
      </c>
      <c r="E1302" s="79">
        <v>1.7999999999999999E-2</v>
      </c>
      <c r="F1302" s="80">
        <v>445376.45</v>
      </c>
      <c r="G1302" s="81"/>
      <c r="H1302" s="80">
        <v>-12490.32</v>
      </c>
      <c r="I1302" s="93">
        <f>H1302/F1302</f>
        <v>-2.8044410520583204E-2</v>
      </c>
    </row>
    <row r="1303" spans="1:9" x14ac:dyDescent="0.25">
      <c r="A1303" s="76" t="s">
        <v>643</v>
      </c>
      <c r="B1303" s="76" t="s">
        <v>655</v>
      </c>
      <c r="C1303" s="77">
        <v>40890</v>
      </c>
      <c r="D1303" s="78">
        <v>41255</v>
      </c>
      <c r="E1303" s="79">
        <v>4.4999999999999997E-3</v>
      </c>
      <c r="F1303" s="80">
        <v>29872</v>
      </c>
      <c r="G1303" s="81"/>
      <c r="H1303" s="80">
        <v>-883.7</v>
      </c>
      <c r="I1303" s="93">
        <f>H1303/F1303</f>
        <v>-2.9582886984467063E-2</v>
      </c>
    </row>
    <row r="1304" spans="1:9" x14ac:dyDescent="0.25">
      <c r="A1304" s="76" t="s">
        <v>643</v>
      </c>
      <c r="B1304" s="76" t="s">
        <v>647</v>
      </c>
      <c r="C1304" s="77">
        <v>40659</v>
      </c>
      <c r="D1304" s="78">
        <v>41024</v>
      </c>
      <c r="E1304" s="79">
        <v>4.4999999999999997E-3</v>
      </c>
      <c r="F1304" s="80"/>
      <c r="G1304" s="81">
        <v>5255</v>
      </c>
      <c r="H1304" s="80">
        <v>-181.34</v>
      </c>
      <c r="I1304" s="93">
        <f>H1304/G1304</f>
        <v>-3.4508087535680305E-2</v>
      </c>
    </row>
    <row r="1305" spans="1:9" x14ac:dyDescent="0.25">
      <c r="A1305" s="70" t="s">
        <v>171</v>
      </c>
      <c r="B1305" s="70" t="s">
        <v>199</v>
      </c>
      <c r="C1305" s="71">
        <v>40710</v>
      </c>
      <c r="D1305" s="72">
        <v>41076</v>
      </c>
      <c r="E1305" s="73">
        <v>1.7999999999999999E-2</v>
      </c>
      <c r="F1305" s="74">
        <v>64593</v>
      </c>
      <c r="G1305" s="75"/>
      <c r="H1305" s="74">
        <v>-2442</v>
      </c>
      <c r="I1305" s="93">
        <f>H1305/F1305</f>
        <v>-3.7805954205564068E-2</v>
      </c>
    </row>
    <row r="1306" spans="1:9" x14ac:dyDescent="0.25">
      <c r="A1306" s="76" t="s">
        <v>375</v>
      </c>
      <c r="B1306" s="76" t="s">
        <v>383</v>
      </c>
      <c r="C1306" s="77">
        <v>41212</v>
      </c>
      <c r="D1306" s="78">
        <v>41224</v>
      </c>
      <c r="E1306" s="79">
        <v>4.4999999999999998E-2</v>
      </c>
      <c r="F1306" s="80"/>
      <c r="G1306" s="81">
        <v>3225</v>
      </c>
      <c r="H1306" s="80">
        <v>-184</v>
      </c>
      <c r="I1306" s="93">
        <f>H1306/G1306</f>
        <v>-5.7054263565891473E-2</v>
      </c>
    </row>
    <row r="1307" spans="1:9" x14ac:dyDescent="0.25">
      <c r="A1307" s="76" t="s">
        <v>531</v>
      </c>
      <c r="B1307" s="76" t="s">
        <v>532</v>
      </c>
      <c r="C1307" s="77">
        <v>40948</v>
      </c>
      <c r="D1307" s="78">
        <v>41305</v>
      </c>
      <c r="E1307" s="79">
        <v>8.9999999999999993E-3</v>
      </c>
      <c r="F1307" s="80">
        <v>97362</v>
      </c>
      <c r="G1307" s="81"/>
      <c r="H1307" s="80">
        <v>-5668</v>
      </c>
      <c r="I1307" s="93">
        <f>H1307/F1307</f>
        <v>-5.821573098334052E-2</v>
      </c>
    </row>
    <row r="1308" spans="1:9" x14ac:dyDescent="0.25">
      <c r="A1308" s="76" t="s">
        <v>674</v>
      </c>
      <c r="B1308" s="76" t="s">
        <v>103</v>
      </c>
      <c r="C1308" s="77">
        <v>40961</v>
      </c>
      <c r="D1308" s="78">
        <v>41274</v>
      </c>
      <c r="E1308" s="79">
        <v>0.22500000000000001</v>
      </c>
      <c r="F1308" s="80">
        <v>29464</v>
      </c>
      <c r="G1308" s="81"/>
      <c r="H1308" s="80">
        <v>-1918.05</v>
      </c>
      <c r="I1308" s="93">
        <f>H1308/F1308</f>
        <v>-6.509808579961987E-2</v>
      </c>
    </row>
    <row r="1309" spans="1:9" x14ac:dyDescent="0.25">
      <c r="A1309" s="70" t="s">
        <v>37</v>
      </c>
      <c r="B1309" s="70" t="s">
        <v>34</v>
      </c>
      <c r="C1309" s="71">
        <v>40609</v>
      </c>
      <c r="D1309" s="72">
        <v>40953</v>
      </c>
      <c r="E1309" s="73">
        <v>0</v>
      </c>
      <c r="F1309" s="74">
        <v>27661</v>
      </c>
      <c r="G1309" s="75"/>
      <c r="H1309" s="74">
        <v>-1896.56</v>
      </c>
      <c r="I1309" s="126">
        <v>-6.856440475760095E-2</v>
      </c>
    </row>
    <row r="1310" spans="1:9" x14ac:dyDescent="0.25">
      <c r="A1310" s="76" t="s">
        <v>643</v>
      </c>
      <c r="B1310" s="76" t="s">
        <v>181</v>
      </c>
      <c r="C1310" s="77">
        <v>41213</v>
      </c>
      <c r="D1310" s="78">
        <v>41577</v>
      </c>
      <c r="E1310" s="79">
        <v>4.4999999999999997E-3</v>
      </c>
      <c r="F1310" s="80">
        <v>505210.2</v>
      </c>
      <c r="G1310" s="81"/>
      <c r="H1310" s="80">
        <v>-35782.120000000003</v>
      </c>
      <c r="I1310" s="93">
        <f>H1310/F1310</f>
        <v>-7.0826202638030675E-2</v>
      </c>
    </row>
    <row r="1311" spans="1:9" x14ac:dyDescent="0.25">
      <c r="A1311" s="76" t="s">
        <v>613</v>
      </c>
      <c r="B1311" s="76" t="s">
        <v>532</v>
      </c>
      <c r="C1311" s="77">
        <v>40956</v>
      </c>
      <c r="D1311" s="78">
        <v>41305</v>
      </c>
      <c r="E1311" s="79">
        <v>8.9999999999999993E-3</v>
      </c>
      <c r="F1311" s="80">
        <v>30489</v>
      </c>
      <c r="G1311" s="81"/>
      <c r="H1311" s="80">
        <v>-2502</v>
      </c>
      <c r="I1311" s="93">
        <f>H1311/F1311</f>
        <v>-8.2062383154580337E-2</v>
      </c>
    </row>
    <row r="1312" spans="1:9" x14ac:dyDescent="0.25">
      <c r="A1312" s="76" t="s">
        <v>246</v>
      </c>
      <c r="B1312" s="76" t="s">
        <v>29</v>
      </c>
      <c r="C1312" s="77">
        <v>40909</v>
      </c>
      <c r="D1312" s="78">
        <v>41274</v>
      </c>
      <c r="E1312" s="79">
        <v>0</v>
      </c>
      <c r="F1312" s="80">
        <v>105804</v>
      </c>
      <c r="G1312" s="81"/>
      <c r="H1312" s="80">
        <v>-9197.4699999999993</v>
      </c>
      <c r="I1312" s="93">
        <f>H1312/F1312</f>
        <v>-8.6929322142830126E-2</v>
      </c>
    </row>
    <row r="1313" spans="1:9" x14ac:dyDescent="0.25">
      <c r="A1313" s="76" t="s">
        <v>674</v>
      </c>
      <c r="B1313" s="76" t="s">
        <v>190</v>
      </c>
      <c r="C1313" s="77">
        <v>41086</v>
      </c>
      <c r="D1313" s="78">
        <v>41274</v>
      </c>
      <c r="E1313" s="79">
        <v>0.1719</v>
      </c>
      <c r="F1313" s="80"/>
      <c r="G1313" s="81">
        <v>1806</v>
      </c>
      <c r="H1313" s="80">
        <v>-159.53</v>
      </c>
      <c r="I1313" s="93">
        <f>H1313/G1313</f>
        <v>-8.8333333333333333E-2</v>
      </c>
    </row>
    <row r="1314" spans="1:9" x14ac:dyDescent="0.25">
      <c r="A1314" s="76" t="s">
        <v>171</v>
      </c>
      <c r="B1314" s="76" t="s">
        <v>179</v>
      </c>
      <c r="C1314" s="77">
        <v>40988</v>
      </c>
      <c r="D1314" s="78">
        <v>41213</v>
      </c>
      <c r="E1314" s="79">
        <v>1.7999999999999999E-2</v>
      </c>
      <c r="F1314" s="80">
        <v>49890</v>
      </c>
      <c r="G1314" s="81"/>
      <c r="H1314" s="80">
        <v>-4771</v>
      </c>
      <c r="I1314" s="93">
        <f>H1314/F1314</f>
        <v>-9.5630386851072363E-2</v>
      </c>
    </row>
    <row r="1315" spans="1:9" x14ac:dyDescent="0.25">
      <c r="A1315" s="76" t="s">
        <v>674</v>
      </c>
      <c r="B1315" s="76" t="s">
        <v>190</v>
      </c>
      <c r="C1315" s="77">
        <v>41086</v>
      </c>
      <c r="D1315" s="78">
        <v>41274</v>
      </c>
      <c r="E1315" s="79">
        <v>0.1719</v>
      </c>
      <c r="F1315" s="80">
        <v>57093</v>
      </c>
      <c r="G1315" s="81"/>
      <c r="H1315" s="80">
        <v>-5563</v>
      </c>
      <c r="I1315" s="93">
        <f>H1315/F1315</f>
        <v>-9.74375142311667E-2</v>
      </c>
    </row>
    <row r="1316" spans="1:9" x14ac:dyDescent="0.25">
      <c r="A1316" s="76" t="s">
        <v>531</v>
      </c>
      <c r="B1316" s="76" t="s">
        <v>31</v>
      </c>
      <c r="C1316" s="77">
        <v>40796</v>
      </c>
      <c r="D1316" s="78">
        <v>41152</v>
      </c>
      <c r="E1316" s="79">
        <v>8.9999999999999993E-3</v>
      </c>
      <c r="F1316" s="80"/>
      <c r="G1316" s="81">
        <v>505</v>
      </c>
      <c r="H1316" s="80">
        <v>-52</v>
      </c>
      <c r="I1316" s="93">
        <f>H1316/G1316</f>
        <v>-0.10297029702970296</v>
      </c>
    </row>
    <row r="1317" spans="1:9" x14ac:dyDescent="0.25">
      <c r="A1317" s="70" t="s">
        <v>14</v>
      </c>
      <c r="B1317" s="70" t="s">
        <v>16</v>
      </c>
      <c r="C1317" s="71">
        <v>41001</v>
      </c>
      <c r="D1317" s="72">
        <v>41262</v>
      </c>
      <c r="E1317" s="73">
        <v>0.45</v>
      </c>
      <c r="F1317" s="74">
        <v>37367.5</v>
      </c>
      <c r="G1317" s="75"/>
      <c r="H1317" s="74">
        <v>-4032.5</v>
      </c>
      <c r="I1317" s="126">
        <v>-0.10791463169866863</v>
      </c>
    </row>
    <row r="1318" spans="1:9" x14ac:dyDescent="0.25">
      <c r="A1318" s="70" t="s">
        <v>171</v>
      </c>
      <c r="B1318" s="70" t="s">
        <v>184</v>
      </c>
      <c r="C1318" s="71">
        <v>40725</v>
      </c>
      <c r="D1318" s="72">
        <v>41076</v>
      </c>
      <c r="E1318" s="73">
        <v>1.7999999999999999E-2</v>
      </c>
      <c r="F1318" s="74">
        <v>102245</v>
      </c>
      <c r="G1318" s="75"/>
      <c r="H1318" s="74">
        <v>-11104.18</v>
      </c>
      <c r="I1318" s="93">
        <f>H1318/F1318</f>
        <v>-0.10860364810015161</v>
      </c>
    </row>
    <row r="1319" spans="1:9" x14ac:dyDescent="0.25">
      <c r="A1319" s="76" t="s">
        <v>531</v>
      </c>
      <c r="B1319" s="76" t="s">
        <v>193</v>
      </c>
      <c r="C1319" s="77">
        <v>40829</v>
      </c>
      <c r="D1319" s="78">
        <v>41090</v>
      </c>
      <c r="E1319" s="79">
        <v>8.9999999999999993E-3</v>
      </c>
      <c r="F1319" s="80"/>
      <c r="G1319" s="81">
        <v>2075</v>
      </c>
      <c r="H1319" s="80">
        <v>-232</v>
      </c>
      <c r="I1319" s="93">
        <f>H1319/G1319</f>
        <v>-0.11180722891566265</v>
      </c>
    </row>
    <row r="1320" spans="1:9" x14ac:dyDescent="0.25">
      <c r="A1320" s="76" t="s">
        <v>643</v>
      </c>
      <c r="B1320" s="76" t="s">
        <v>328</v>
      </c>
      <c r="C1320" s="77">
        <v>41000</v>
      </c>
      <c r="D1320" s="78">
        <v>41274</v>
      </c>
      <c r="E1320" s="79">
        <v>4.4999999999999997E-3</v>
      </c>
      <c r="F1320" s="80"/>
      <c r="G1320" s="81">
        <v>265</v>
      </c>
      <c r="H1320" s="80">
        <v>-30</v>
      </c>
      <c r="I1320" s="93">
        <f>H1320/G1320</f>
        <v>-0.11320754716981132</v>
      </c>
    </row>
    <row r="1321" spans="1:9" x14ac:dyDescent="0.25">
      <c r="A1321" s="76" t="s">
        <v>643</v>
      </c>
      <c r="B1321" s="76" t="s">
        <v>658</v>
      </c>
      <c r="C1321" s="77">
        <v>40982</v>
      </c>
      <c r="D1321" s="78">
        <v>41274</v>
      </c>
      <c r="E1321" s="79">
        <v>4.4999999999999997E-3</v>
      </c>
      <c r="F1321" s="80"/>
      <c r="G1321" s="81">
        <v>2117</v>
      </c>
      <c r="H1321" s="80">
        <v>-247.4</v>
      </c>
      <c r="I1321" s="93">
        <f>H1321/G1321</f>
        <v>-0.11686348606518658</v>
      </c>
    </row>
    <row r="1322" spans="1:9" x14ac:dyDescent="0.25">
      <c r="A1322" s="76" t="s">
        <v>531</v>
      </c>
      <c r="B1322" s="76" t="s">
        <v>540</v>
      </c>
      <c r="C1322" s="77">
        <v>40828</v>
      </c>
      <c r="D1322" s="78">
        <v>41182</v>
      </c>
      <c r="E1322" s="79">
        <v>8.9999999999999993E-3</v>
      </c>
      <c r="F1322" s="80">
        <v>5668</v>
      </c>
      <c r="G1322" s="81"/>
      <c r="H1322" s="80">
        <v>-668</v>
      </c>
      <c r="I1322" s="93">
        <f>H1322/F1322</f>
        <v>-0.11785462244177841</v>
      </c>
    </row>
    <row r="1323" spans="1:9" x14ac:dyDescent="0.25">
      <c r="A1323" s="76" t="s">
        <v>372</v>
      </c>
      <c r="B1323" s="76" t="s">
        <v>107</v>
      </c>
      <c r="C1323" s="77">
        <v>41013</v>
      </c>
      <c r="D1323" s="78">
        <v>41274</v>
      </c>
      <c r="E1323" s="79">
        <v>8.9999999999999993E-3</v>
      </c>
      <c r="F1323" s="80">
        <v>340334.5</v>
      </c>
      <c r="G1323" s="81"/>
      <c r="H1323" s="80">
        <v>-40208.6</v>
      </c>
      <c r="I1323" s="93">
        <f>H1323/F1323</f>
        <v>-0.11814435503893962</v>
      </c>
    </row>
    <row r="1324" spans="1:9" x14ac:dyDescent="0.25">
      <c r="A1324" s="76" t="s">
        <v>578</v>
      </c>
      <c r="B1324" s="76" t="s">
        <v>615</v>
      </c>
      <c r="C1324" s="77">
        <v>40707</v>
      </c>
      <c r="D1324" s="78">
        <v>40999</v>
      </c>
      <c r="E1324" s="79">
        <v>0</v>
      </c>
      <c r="F1324" s="80"/>
      <c r="G1324" s="81">
        <v>728.81</v>
      </c>
      <c r="H1324" s="80">
        <v>-93.93</v>
      </c>
      <c r="I1324" s="93">
        <f>H1324/G1324</f>
        <v>-0.12888132709485328</v>
      </c>
    </row>
    <row r="1325" spans="1:9" x14ac:dyDescent="0.25">
      <c r="A1325" s="76" t="s">
        <v>578</v>
      </c>
      <c r="B1325" s="76" t="s">
        <v>615</v>
      </c>
      <c r="C1325" s="77">
        <v>40707</v>
      </c>
      <c r="D1325" s="78">
        <v>40999</v>
      </c>
      <c r="E1325" s="79">
        <v>0</v>
      </c>
      <c r="F1325" s="80">
        <v>20823</v>
      </c>
      <c r="G1325" s="81"/>
      <c r="H1325" s="80">
        <v>-2683.77</v>
      </c>
      <c r="I1325" s="93">
        <f>H1325/F1325</f>
        <v>-0.12888488690390434</v>
      </c>
    </row>
    <row r="1326" spans="1:9" x14ac:dyDescent="0.25">
      <c r="A1326" s="76" t="s">
        <v>317</v>
      </c>
      <c r="B1326" s="76" t="s">
        <v>172</v>
      </c>
      <c r="C1326" s="77">
        <v>40589</v>
      </c>
      <c r="D1326" s="78">
        <v>40953</v>
      </c>
      <c r="E1326" s="79">
        <v>1.7999999999999999E-2</v>
      </c>
      <c r="F1326" s="80">
        <v>313909</v>
      </c>
      <c r="G1326" s="81"/>
      <c r="H1326" s="80">
        <v>-41761.08</v>
      </c>
      <c r="I1326" s="93">
        <f>H1326/F1326</f>
        <v>-0.1330356249741167</v>
      </c>
    </row>
    <row r="1327" spans="1:9" x14ac:dyDescent="0.25">
      <c r="A1327" s="76" t="s">
        <v>531</v>
      </c>
      <c r="B1327" s="76" t="s">
        <v>542</v>
      </c>
      <c r="C1327" s="77">
        <v>40848</v>
      </c>
      <c r="D1327" s="78">
        <v>41213</v>
      </c>
      <c r="E1327" s="79">
        <v>8.9999999999999993E-3</v>
      </c>
      <c r="F1327" s="80"/>
      <c r="G1327" s="81">
        <v>105</v>
      </c>
      <c r="H1327" s="80">
        <v>-14</v>
      </c>
      <c r="I1327" s="93">
        <f>H1327/G1327</f>
        <v>-0.13333333333333333</v>
      </c>
    </row>
    <row r="1328" spans="1:9" x14ac:dyDescent="0.25">
      <c r="A1328" s="76" t="s">
        <v>246</v>
      </c>
      <c r="B1328" s="76" t="s">
        <v>107</v>
      </c>
      <c r="C1328" s="77">
        <v>40909</v>
      </c>
      <c r="D1328" s="78">
        <v>41274</v>
      </c>
      <c r="E1328" s="79">
        <v>0</v>
      </c>
      <c r="F1328" s="80">
        <v>75992.679999999993</v>
      </c>
      <c r="G1328" s="81"/>
      <c r="H1328" s="80">
        <v>-10166.58</v>
      </c>
      <c r="I1328" s="93">
        <f>H1328/F1328</f>
        <v>-0.1337836749539561</v>
      </c>
    </row>
    <row r="1329" spans="1:9" x14ac:dyDescent="0.25">
      <c r="A1329" s="76" t="s">
        <v>171</v>
      </c>
      <c r="B1329" s="76" t="s">
        <v>186</v>
      </c>
      <c r="C1329" s="77">
        <v>40766</v>
      </c>
      <c r="D1329" s="78">
        <v>41090</v>
      </c>
      <c r="E1329" s="79">
        <v>1.7999999999999999E-2</v>
      </c>
      <c r="F1329" s="80">
        <v>39525</v>
      </c>
      <c r="G1329" s="81"/>
      <c r="H1329" s="80">
        <v>-5710</v>
      </c>
      <c r="I1329" s="93">
        <f>H1329/F1329</f>
        <v>-0.14446552814674257</v>
      </c>
    </row>
    <row r="1330" spans="1:9" x14ac:dyDescent="0.25">
      <c r="A1330" s="70" t="s">
        <v>146</v>
      </c>
      <c r="B1330" s="70" t="s">
        <v>148</v>
      </c>
      <c r="C1330" s="71">
        <v>40940</v>
      </c>
      <c r="D1330" s="72">
        <v>41305</v>
      </c>
      <c r="E1330" s="101">
        <v>4.4999999999999999E-4</v>
      </c>
      <c r="F1330" s="74">
        <v>135352.95999999999</v>
      </c>
      <c r="G1330" s="75"/>
      <c r="H1330" s="74">
        <v>-19751.830000000002</v>
      </c>
      <c r="I1330" s="126">
        <v>-0.14592831955799121</v>
      </c>
    </row>
    <row r="1331" spans="1:9" x14ac:dyDescent="0.25">
      <c r="A1331" s="76" t="s">
        <v>613</v>
      </c>
      <c r="B1331" s="76" t="s">
        <v>193</v>
      </c>
      <c r="C1331" s="77">
        <v>41101</v>
      </c>
      <c r="D1331" s="78">
        <v>41455</v>
      </c>
      <c r="E1331" s="79">
        <v>8.9999999999999993E-3</v>
      </c>
      <c r="F1331" s="80">
        <v>294175</v>
      </c>
      <c r="G1331" s="81"/>
      <c r="H1331" s="80">
        <v>-43475</v>
      </c>
      <c r="I1331" s="93">
        <f>H1331/F1331</f>
        <v>-0.14778618169456956</v>
      </c>
    </row>
    <row r="1332" spans="1:9" x14ac:dyDescent="0.25">
      <c r="A1332" s="76" t="s">
        <v>531</v>
      </c>
      <c r="B1332" s="76" t="s">
        <v>546</v>
      </c>
      <c r="C1332" s="77">
        <v>40909</v>
      </c>
      <c r="D1332" s="78">
        <v>41274</v>
      </c>
      <c r="E1332" s="79">
        <v>8.9999999999999993E-3</v>
      </c>
      <c r="F1332" s="80"/>
      <c r="G1332" s="81">
        <v>7015</v>
      </c>
      <c r="H1332" s="80">
        <v>-1039</v>
      </c>
      <c r="I1332" s="93">
        <f>H1332/G1332</f>
        <v>-0.14811119030648609</v>
      </c>
    </row>
    <row r="1333" spans="1:9" x14ac:dyDescent="0.25">
      <c r="A1333" s="76" t="s">
        <v>643</v>
      </c>
      <c r="B1333" s="76" t="s">
        <v>655</v>
      </c>
      <c r="C1333" s="77">
        <v>40890</v>
      </c>
      <c r="D1333" s="78">
        <v>41255</v>
      </c>
      <c r="E1333" s="79">
        <v>4.4999999999999997E-3</v>
      </c>
      <c r="F1333" s="80"/>
      <c r="G1333" s="81">
        <v>1070</v>
      </c>
      <c r="H1333" s="80">
        <v>-182.8</v>
      </c>
      <c r="I1333" s="93">
        <f>H1333/G1333</f>
        <v>-0.17084112149532713</v>
      </c>
    </row>
    <row r="1334" spans="1:9" x14ac:dyDescent="0.25">
      <c r="A1334" s="76" t="s">
        <v>171</v>
      </c>
      <c r="B1334" s="76" t="s">
        <v>193</v>
      </c>
      <c r="C1334" s="77">
        <v>40918</v>
      </c>
      <c r="D1334" s="78">
        <v>41274</v>
      </c>
      <c r="E1334" s="79">
        <v>1.7999999999999999E-2</v>
      </c>
      <c r="F1334" s="80">
        <v>348708</v>
      </c>
      <c r="G1334" s="81"/>
      <c r="H1334" s="80">
        <v>-60162</v>
      </c>
      <c r="I1334" s="93">
        <f>H1334/F1334</f>
        <v>-0.17252830448398088</v>
      </c>
    </row>
    <row r="1335" spans="1:9" x14ac:dyDescent="0.25">
      <c r="A1335" s="70" t="s">
        <v>146</v>
      </c>
      <c r="B1335" s="70" t="s">
        <v>161</v>
      </c>
      <c r="C1335" s="71">
        <v>40990</v>
      </c>
      <c r="D1335" s="72">
        <v>41274</v>
      </c>
      <c r="E1335" s="101">
        <v>4.4999999999999999E-4</v>
      </c>
      <c r="F1335" s="74">
        <v>224345.67</v>
      </c>
      <c r="G1335" s="75"/>
      <c r="H1335" s="74">
        <v>-39718.720000000001</v>
      </c>
      <c r="I1335" s="126">
        <v>-0.17704250766239438</v>
      </c>
    </row>
    <row r="1336" spans="1:9" x14ac:dyDescent="0.25">
      <c r="A1336" s="76" t="s">
        <v>531</v>
      </c>
      <c r="B1336" s="76" t="s">
        <v>544</v>
      </c>
      <c r="C1336" s="77">
        <v>40862</v>
      </c>
      <c r="D1336" s="78">
        <v>41213</v>
      </c>
      <c r="E1336" s="79">
        <v>8.9999999999999993E-3</v>
      </c>
      <c r="F1336" s="80">
        <v>13668</v>
      </c>
      <c r="G1336" s="81"/>
      <c r="H1336" s="80">
        <v>-2453</v>
      </c>
      <c r="I1336" s="93">
        <f>H1336/F1336</f>
        <v>-0.17947029558091893</v>
      </c>
    </row>
    <row r="1337" spans="1:9" x14ac:dyDescent="0.25">
      <c r="A1337" s="76" t="s">
        <v>249</v>
      </c>
      <c r="B1337" s="76" t="s">
        <v>695</v>
      </c>
      <c r="C1337" s="77">
        <v>41220</v>
      </c>
      <c r="D1337" s="78">
        <v>41510</v>
      </c>
      <c r="E1337" s="79">
        <v>0</v>
      </c>
      <c r="F1337" s="80">
        <v>87418.75</v>
      </c>
      <c r="G1337" s="81"/>
      <c r="H1337" s="80">
        <v>-16507.18</v>
      </c>
      <c r="I1337" s="93">
        <f>H1337/F1337</f>
        <v>-0.18882882676771287</v>
      </c>
    </row>
    <row r="1338" spans="1:9" x14ac:dyDescent="0.25">
      <c r="A1338" s="76" t="s">
        <v>643</v>
      </c>
      <c r="B1338" s="76" t="s">
        <v>459</v>
      </c>
      <c r="C1338" s="77">
        <v>40740</v>
      </c>
      <c r="D1338" s="78">
        <v>41060</v>
      </c>
      <c r="E1338" s="79">
        <v>0.09</v>
      </c>
      <c r="F1338" s="80"/>
      <c r="G1338" s="81">
        <v>2885</v>
      </c>
      <c r="H1338" s="80">
        <v>-557.85</v>
      </c>
      <c r="I1338" s="93">
        <f>H1338/G1338</f>
        <v>-0.19336221837088388</v>
      </c>
    </row>
    <row r="1339" spans="1:9" x14ac:dyDescent="0.25">
      <c r="A1339" s="76" t="s">
        <v>531</v>
      </c>
      <c r="B1339" s="76" t="s">
        <v>537</v>
      </c>
      <c r="C1339" s="77">
        <v>40756</v>
      </c>
      <c r="D1339" s="78">
        <v>41121</v>
      </c>
      <c r="E1339" s="79">
        <v>8.9999999999999993E-3</v>
      </c>
      <c r="F1339" s="80">
        <v>14289</v>
      </c>
      <c r="G1339" s="81"/>
      <c r="H1339" s="80">
        <v>-2822</v>
      </c>
      <c r="I1339" s="93">
        <f>H1339/F1339</f>
        <v>-0.19749457624746308</v>
      </c>
    </row>
    <row r="1340" spans="1:9" x14ac:dyDescent="0.25">
      <c r="A1340" s="70" t="s">
        <v>171</v>
      </c>
      <c r="B1340" s="70" t="s">
        <v>200</v>
      </c>
      <c r="C1340" s="71">
        <v>40710</v>
      </c>
      <c r="D1340" s="72">
        <v>41075</v>
      </c>
      <c r="E1340" s="73">
        <v>1.7999999999999999E-2</v>
      </c>
      <c r="F1340" s="74">
        <v>22694</v>
      </c>
      <c r="G1340" s="75"/>
      <c r="H1340" s="74">
        <v>-4504</v>
      </c>
      <c r="I1340" s="93">
        <f>H1340/F1340</f>
        <v>-0.19846655503657354</v>
      </c>
    </row>
    <row r="1341" spans="1:9" x14ac:dyDescent="0.25">
      <c r="A1341" s="70" t="s">
        <v>20</v>
      </c>
      <c r="B1341" s="70" t="s">
        <v>36</v>
      </c>
      <c r="C1341" s="71">
        <v>41029</v>
      </c>
      <c r="D1341" s="72">
        <v>41274</v>
      </c>
      <c r="E1341" s="73">
        <v>0</v>
      </c>
      <c r="F1341" s="74">
        <v>1364</v>
      </c>
      <c r="G1341" s="75"/>
      <c r="H1341" s="74">
        <v>-272.05</v>
      </c>
      <c r="I1341" s="126">
        <v>-0.19945014662756599</v>
      </c>
    </row>
    <row r="1342" spans="1:9" x14ac:dyDescent="0.25">
      <c r="A1342" s="76" t="s">
        <v>249</v>
      </c>
      <c r="B1342" s="76" t="s">
        <v>254</v>
      </c>
      <c r="C1342" s="77">
        <v>40700</v>
      </c>
      <c r="D1342" s="78">
        <v>40939</v>
      </c>
      <c r="E1342" s="79">
        <v>0</v>
      </c>
      <c r="F1342" s="80">
        <v>350803.5</v>
      </c>
      <c r="G1342" s="81"/>
      <c r="H1342" s="80">
        <v>-71013.69</v>
      </c>
      <c r="I1342" s="93">
        <f>H1342/F1342</f>
        <v>-0.20243153218254664</v>
      </c>
    </row>
    <row r="1343" spans="1:9" x14ac:dyDescent="0.25">
      <c r="A1343" s="70" t="s">
        <v>146</v>
      </c>
      <c r="B1343" s="70" t="s">
        <v>165</v>
      </c>
      <c r="C1343" s="71">
        <v>40773</v>
      </c>
      <c r="D1343" s="72">
        <v>41090</v>
      </c>
      <c r="E1343" s="101">
        <v>4.4999999999999999E-4</v>
      </c>
      <c r="F1343" s="74">
        <v>20991</v>
      </c>
      <c r="G1343" s="75"/>
      <c r="H1343" s="74">
        <v>-4378.3900000000003</v>
      </c>
      <c r="I1343" s="126">
        <v>-0.20858415511409653</v>
      </c>
    </row>
    <row r="1344" spans="1:9" x14ac:dyDescent="0.25">
      <c r="A1344" s="76" t="s">
        <v>246</v>
      </c>
      <c r="B1344" s="76" t="s">
        <v>31</v>
      </c>
      <c r="C1344" s="77">
        <v>40909</v>
      </c>
      <c r="D1344" s="78">
        <v>41274</v>
      </c>
      <c r="E1344" s="79">
        <v>0</v>
      </c>
      <c r="F1344" s="80">
        <v>115035.47</v>
      </c>
      <c r="G1344" s="81"/>
      <c r="H1344" s="80">
        <v>-27407.57</v>
      </c>
      <c r="I1344" s="93">
        <f>H1344/F1344</f>
        <v>-0.23825321007511857</v>
      </c>
    </row>
    <row r="1345" spans="1:9" x14ac:dyDescent="0.25">
      <c r="A1345" s="76" t="s">
        <v>674</v>
      </c>
      <c r="B1345" s="76" t="s">
        <v>680</v>
      </c>
      <c r="C1345" s="77">
        <v>41086</v>
      </c>
      <c r="D1345" s="78">
        <v>41274</v>
      </c>
      <c r="E1345" s="79">
        <v>0.32219999999999999</v>
      </c>
      <c r="F1345" s="80">
        <v>7921</v>
      </c>
      <c r="G1345" s="81"/>
      <c r="H1345" s="80">
        <v>-1986.48</v>
      </c>
      <c r="I1345" s="93">
        <f>H1345/F1345</f>
        <v>-0.25078651685393261</v>
      </c>
    </row>
    <row r="1346" spans="1:9" x14ac:dyDescent="0.25">
      <c r="A1346" s="76" t="s">
        <v>317</v>
      </c>
      <c r="B1346" s="76" t="s">
        <v>354</v>
      </c>
      <c r="C1346" s="77">
        <v>40990</v>
      </c>
      <c r="D1346" s="78">
        <v>41305</v>
      </c>
      <c r="E1346" s="79">
        <v>8.9999999999999993E-3</v>
      </c>
      <c r="F1346" s="80">
        <v>9224</v>
      </c>
      <c r="G1346" s="81"/>
      <c r="H1346" s="80">
        <v>-2484</v>
      </c>
      <c r="I1346" s="93">
        <f>H1346/F1346</f>
        <v>-0.26929748482220295</v>
      </c>
    </row>
    <row r="1347" spans="1:9" x14ac:dyDescent="0.25">
      <c r="A1347" s="76" t="s">
        <v>531</v>
      </c>
      <c r="B1347" s="76" t="s">
        <v>193</v>
      </c>
      <c r="C1347" s="77">
        <v>41114</v>
      </c>
      <c r="D1347" s="78">
        <v>41455</v>
      </c>
      <c r="E1347" s="79">
        <v>8.9999999999999993E-3</v>
      </c>
      <c r="F1347" s="80"/>
      <c r="G1347" s="81">
        <v>193</v>
      </c>
      <c r="H1347" s="80">
        <v>-53</v>
      </c>
      <c r="I1347" s="93">
        <f>H1347/G1347</f>
        <v>-0.27461139896373055</v>
      </c>
    </row>
    <row r="1348" spans="1:9" x14ac:dyDescent="0.25">
      <c r="A1348" s="76" t="s">
        <v>263</v>
      </c>
      <c r="B1348" s="76" t="s">
        <v>264</v>
      </c>
      <c r="C1348" s="77">
        <v>40948</v>
      </c>
      <c r="D1348" s="78">
        <v>41313</v>
      </c>
      <c r="E1348" s="79">
        <v>8.9999999999999993E-3</v>
      </c>
      <c r="F1348" s="80">
        <v>37535.75</v>
      </c>
      <c r="G1348" s="81"/>
      <c r="H1348" s="80">
        <v>-10459.51</v>
      </c>
      <c r="I1348" s="93">
        <f>H1348/F1348</f>
        <v>-0.27865461593281071</v>
      </c>
    </row>
    <row r="1349" spans="1:9" x14ac:dyDescent="0.25">
      <c r="A1349" s="76" t="s">
        <v>613</v>
      </c>
      <c r="B1349" s="76" t="s">
        <v>621</v>
      </c>
      <c r="C1349" s="77">
        <v>41074</v>
      </c>
      <c r="D1349" s="78">
        <v>41394</v>
      </c>
      <c r="E1349" s="79">
        <v>8.9999999999999993E-3</v>
      </c>
      <c r="F1349" s="80">
        <v>50054</v>
      </c>
      <c r="G1349" s="81"/>
      <c r="H1349" s="80">
        <v>-14506</v>
      </c>
      <c r="I1349" s="93">
        <f>H1349/F1349</f>
        <v>-0.28980700843089463</v>
      </c>
    </row>
    <row r="1350" spans="1:9" x14ac:dyDescent="0.25">
      <c r="A1350" s="76" t="s">
        <v>643</v>
      </c>
      <c r="B1350" s="76" t="s">
        <v>181</v>
      </c>
      <c r="C1350" s="77">
        <v>41213</v>
      </c>
      <c r="D1350" s="78">
        <v>41577</v>
      </c>
      <c r="E1350" s="79">
        <v>4.4999999999999997E-3</v>
      </c>
      <c r="F1350" s="80"/>
      <c r="G1350" s="81">
        <v>20160.18</v>
      </c>
      <c r="H1350" s="80">
        <v>-5888.22</v>
      </c>
      <c r="I1350" s="93">
        <f>H1350/G1350</f>
        <v>-0.29207179697800317</v>
      </c>
    </row>
    <row r="1351" spans="1:9" x14ac:dyDescent="0.25">
      <c r="A1351" s="70" t="s">
        <v>171</v>
      </c>
      <c r="B1351" s="70" t="s">
        <v>199</v>
      </c>
      <c r="C1351" s="71">
        <v>40710</v>
      </c>
      <c r="D1351" s="72">
        <v>41076</v>
      </c>
      <c r="E1351" s="73">
        <v>1.7999999999999999E-2</v>
      </c>
      <c r="F1351" s="74"/>
      <c r="G1351" s="75">
        <v>2401</v>
      </c>
      <c r="H1351" s="74">
        <v>-705</v>
      </c>
      <c r="I1351" s="126">
        <v>-0.2936276551436901</v>
      </c>
    </row>
    <row r="1352" spans="1:9" x14ac:dyDescent="0.25">
      <c r="A1352" s="76" t="s">
        <v>578</v>
      </c>
      <c r="B1352" s="76" t="s">
        <v>579</v>
      </c>
      <c r="C1352" s="112">
        <v>40589</v>
      </c>
      <c r="D1352" s="78">
        <v>40954</v>
      </c>
      <c r="E1352" s="79">
        <v>0</v>
      </c>
      <c r="F1352" s="80">
        <v>31322</v>
      </c>
      <c r="G1352" s="81"/>
      <c r="H1352" s="80">
        <v>-9622.7999999999993</v>
      </c>
      <c r="I1352" s="93">
        <f>H1352/F1352</f>
        <v>-0.30722176106251192</v>
      </c>
    </row>
    <row r="1353" spans="1:9" x14ac:dyDescent="0.25">
      <c r="A1353" s="76" t="s">
        <v>578</v>
      </c>
      <c r="B1353" s="76" t="s">
        <v>579</v>
      </c>
      <c r="C1353" s="112">
        <v>40589</v>
      </c>
      <c r="D1353" s="78">
        <v>40954</v>
      </c>
      <c r="E1353" s="79">
        <v>0</v>
      </c>
      <c r="F1353" s="80"/>
      <c r="G1353" s="81">
        <v>1096.27</v>
      </c>
      <c r="H1353" s="80">
        <v>-336.8</v>
      </c>
      <c r="I1353" s="93">
        <f>H1353/G1353</f>
        <v>-0.30722358543059647</v>
      </c>
    </row>
    <row r="1354" spans="1:9" x14ac:dyDescent="0.25">
      <c r="A1354" s="76" t="s">
        <v>246</v>
      </c>
      <c r="B1354" s="76" t="s">
        <v>102</v>
      </c>
      <c r="C1354" s="77">
        <v>41085</v>
      </c>
      <c r="D1354" s="78">
        <v>41274</v>
      </c>
      <c r="E1354" s="79">
        <v>0</v>
      </c>
      <c r="F1354" s="80">
        <v>14360</v>
      </c>
      <c r="G1354" s="81"/>
      <c r="H1354" s="80">
        <v>-4476.59</v>
      </c>
      <c r="I1354" s="93">
        <f>H1354/F1354</f>
        <v>-0.31174025069637884</v>
      </c>
    </row>
    <row r="1355" spans="1:9" x14ac:dyDescent="0.25">
      <c r="A1355" s="76" t="s">
        <v>531</v>
      </c>
      <c r="B1355" s="76" t="s">
        <v>93</v>
      </c>
      <c r="C1355" s="77">
        <v>40806</v>
      </c>
      <c r="D1355" s="78">
        <v>41090</v>
      </c>
      <c r="E1355" s="79">
        <v>8.9999999999999993E-3</v>
      </c>
      <c r="F1355" s="80">
        <v>249962</v>
      </c>
      <c r="G1355" s="81"/>
      <c r="H1355" s="80">
        <v>-79026</v>
      </c>
      <c r="I1355" s="93">
        <f>H1355/F1355</f>
        <v>-0.3161520551123771</v>
      </c>
    </row>
    <row r="1356" spans="1:9" x14ac:dyDescent="0.25">
      <c r="A1356" s="76" t="s">
        <v>643</v>
      </c>
      <c r="B1356" s="76" t="s">
        <v>328</v>
      </c>
      <c r="C1356" s="77">
        <v>41000</v>
      </c>
      <c r="D1356" s="78">
        <v>41274</v>
      </c>
      <c r="E1356" s="79">
        <v>4.4999999999999997E-3</v>
      </c>
      <c r="F1356" s="80">
        <v>16869</v>
      </c>
      <c r="G1356" s="81"/>
      <c r="H1356" s="80">
        <v>-5416.55</v>
      </c>
      <c r="I1356" s="93">
        <f>H1356/F1356</f>
        <v>-0.3210949078190764</v>
      </c>
    </row>
    <row r="1357" spans="1:9" x14ac:dyDescent="0.25">
      <c r="A1357" s="76" t="s">
        <v>531</v>
      </c>
      <c r="B1357" s="76" t="s">
        <v>546</v>
      </c>
      <c r="C1357" s="77">
        <v>40909</v>
      </c>
      <c r="D1357" s="78">
        <v>41274</v>
      </c>
      <c r="E1357" s="79">
        <v>8.9999999999999993E-3</v>
      </c>
      <c r="F1357" s="80">
        <v>151291</v>
      </c>
      <c r="G1357" s="81"/>
      <c r="H1357" s="80">
        <v>-48584</v>
      </c>
      <c r="I1357" s="93">
        <f>H1357/F1357</f>
        <v>-0.32112947895116034</v>
      </c>
    </row>
    <row r="1358" spans="1:9" x14ac:dyDescent="0.25">
      <c r="A1358" s="76" t="s">
        <v>674</v>
      </c>
      <c r="B1358" s="76" t="s">
        <v>107</v>
      </c>
      <c r="C1358" s="77">
        <v>41011</v>
      </c>
      <c r="D1358" s="78">
        <v>41274</v>
      </c>
      <c r="E1358" s="79">
        <v>0.18</v>
      </c>
      <c r="F1358" s="80"/>
      <c r="G1358" s="81">
        <v>2257</v>
      </c>
      <c r="H1358" s="80">
        <v>-729.49</v>
      </c>
      <c r="I1358" s="93">
        <f>H1358/G1358</f>
        <v>-0.32321222862206467</v>
      </c>
    </row>
    <row r="1359" spans="1:9" x14ac:dyDescent="0.25">
      <c r="A1359" s="76" t="s">
        <v>622</v>
      </c>
      <c r="B1359" s="110" t="s">
        <v>190</v>
      </c>
      <c r="C1359" s="77">
        <v>40738</v>
      </c>
      <c r="D1359" s="78">
        <v>40999</v>
      </c>
      <c r="E1359" s="79">
        <v>8.9999999999999993E-3</v>
      </c>
      <c r="F1359" s="80">
        <v>95116</v>
      </c>
      <c r="G1359" s="81"/>
      <c r="H1359" s="80">
        <v>-31223</v>
      </c>
      <c r="I1359" s="93">
        <f>H1359/F1359</f>
        <v>-0.32826233231002144</v>
      </c>
    </row>
    <row r="1360" spans="1:9" x14ac:dyDescent="0.25">
      <c r="A1360" s="76" t="s">
        <v>594</v>
      </c>
      <c r="B1360" s="76" t="s">
        <v>606</v>
      </c>
      <c r="C1360" s="77">
        <v>40991</v>
      </c>
      <c r="D1360" s="78">
        <v>41060</v>
      </c>
      <c r="E1360" s="79">
        <v>0.53100000000000003</v>
      </c>
      <c r="F1360" s="80">
        <v>9807.7900000000009</v>
      </c>
      <c r="G1360" s="81"/>
      <c r="H1360" s="80">
        <v>-3231.24</v>
      </c>
      <c r="I1360" s="93">
        <f>H1360/F1360</f>
        <v>-0.3294564830609138</v>
      </c>
    </row>
    <row r="1361" spans="1:9" x14ac:dyDescent="0.25">
      <c r="A1361" s="70" t="s">
        <v>171</v>
      </c>
      <c r="B1361" s="70" t="s">
        <v>183</v>
      </c>
      <c r="C1361" s="71">
        <v>40749</v>
      </c>
      <c r="D1361" s="72">
        <v>41104</v>
      </c>
      <c r="E1361" s="73">
        <v>1.7999999999999999E-2</v>
      </c>
      <c r="F1361" s="74">
        <v>204875</v>
      </c>
      <c r="G1361" s="75"/>
      <c r="H1361" s="74">
        <v>-70011</v>
      </c>
      <c r="I1361" s="93">
        <f>H1361/F1361</f>
        <v>-0.34172544234289198</v>
      </c>
    </row>
    <row r="1362" spans="1:9" x14ac:dyDescent="0.25">
      <c r="A1362" s="76" t="s">
        <v>531</v>
      </c>
      <c r="B1362" s="76" t="s">
        <v>532</v>
      </c>
      <c r="C1362" s="77">
        <v>40708</v>
      </c>
      <c r="D1362" s="78">
        <v>40939</v>
      </c>
      <c r="E1362" s="79">
        <v>8.9999999999999993E-3</v>
      </c>
      <c r="F1362" s="80"/>
      <c r="G1362" s="81">
        <v>4618</v>
      </c>
      <c r="H1362" s="80">
        <v>-1611</v>
      </c>
      <c r="I1362" s="93">
        <f>H1362/G1362</f>
        <v>-0.34885231702035513</v>
      </c>
    </row>
    <row r="1363" spans="1:9" x14ac:dyDescent="0.25">
      <c r="A1363" s="70" t="s">
        <v>146</v>
      </c>
      <c r="B1363" s="70" t="s">
        <v>162</v>
      </c>
      <c r="C1363" s="71">
        <v>40676</v>
      </c>
      <c r="D1363" s="72">
        <v>41029</v>
      </c>
      <c r="E1363" s="101">
        <v>4.4999999999999999E-4</v>
      </c>
      <c r="F1363" s="74">
        <v>8815</v>
      </c>
      <c r="G1363" s="75"/>
      <c r="H1363" s="74">
        <v>-3294.46</v>
      </c>
      <c r="I1363" s="126">
        <v>-0.37373340896199658</v>
      </c>
    </row>
    <row r="1364" spans="1:9" x14ac:dyDescent="0.25">
      <c r="A1364" s="70" t="s">
        <v>101</v>
      </c>
      <c r="B1364" s="70" t="s">
        <v>110</v>
      </c>
      <c r="C1364" s="71">
        <v>40972</v>
      </c>
      <c r="D1364" s="72">
        <v>41315</v>
      </c>
      <c r="E1364" s="73">
        <v>1.35E-2</v>
      </c>
      <c r="F1364" s="74">
        <v>3944</v>
      </c>
      <c r="G1364" s="75"/>
      <c r="H1364" s="74">
        <v>-1596.9</v>
      </c>
      <c r="I1364" s="126">
        <v>-0.4048935091277891</v>
      </c>
    </row>
    <row r="1365" spans="1:9" x14ac:dyDescent="0.25">
      <c r="A1365" s="70" t="s">
        <v>101</v>
      </c>
      <c r="B1365" s="70" t="s">
        <v>110</v>
      </c>
      <c r="C1365" s="71">
        <v>40972</v>
      </c>
      <c r="D1365" s="72">
        <v>41315</v>
      </c>
      <c r="E1365" s="73">
        <v>1.35E-2</v>
      </c>
      <c r="F1365" s="74"/>
      <c r="G1365" s="75">
        <v>3663.97</v>
      </c>
      <c r="H1365" s="74">
        <v>-1483.52</v>
      </c>
      <c r="I1365" s="126">
        <v>-0.40489414487564035</v>
      </c>
    </row>
    <row r="1366" spans="1:9" x14ac:dyDescent="0.25">
      <c r="A1366" s="76" t="s">
        <v>146</v>
      </c>
      <c r="B1366" s="76" t="s">
        <v>206</v>
      </c>
      <c r="C1366" s="77">
        <v>40876</v>
      </c>
      <c r="D1366" s="78">
        <v>41241</v>
      </c>
      <c r="E1366" s="108">
        <v>4.4999999999999999E-4</v>
      </c>
      <c r="F1366" s="80">
        <v>4339.84</v>
      </c>
      <c r="G1366" s="81"/>
      <c r="H1366" s="80">
        <v>-1800.38</v>
      </c>
      <c r="I1366" s="93">
        <f>H1366/F1366</f>
        <v>-0.41484939536941456</v>
      </c>
    </row>
    <row r="1367" spans="1:9" x14ac:dyDescent="0.25">
      <c r="A1367" s="76" t="s">
        <v>246</v>
      </c>
      <c r="B1367" s="76" t="s">
        <v>188</v>
      </c>
      <c r="C1367" s="77">
        <v>40731</v>
      </c>
      <c r="D1367" s="78">
        <v>41090</v>
      </c>
      <c r="E1367" s="79">
        <v>0</v>
      </c>
      <c r="F1367" s="80">
        <v>47197.39</v>
      </c>
      <c r="G1367" s="88"/>
      <c r="H1367" s="80">
        <v>-20050.04</v>
      </c>
      <c r="I1367" s="93">
        <f>H1367/F1367</f>
        <v>-0.42481247374060305</v>
      </c>
    </row>
    <row r="1368" spans="1:9" x14ac:dyDescent="0.25">
      <c r="A1368" s="70" t="s">
        <v>146</v>
      </c>
      <c r="B1368" s="70" t="s">
        <v>153</v>
      </c>
      <c r="C1368" s="71">
        <v>40725</v>
      </c>
      <c r="D1368" s="72">
        <v>41090</v>
      </c>
      <c r="E1368" s="101">
        <v>4.4999999999999999E-4</v>
      </c>
      <c r="F1368" s="74">
        <v>4742</v>
      </c>
      <c r="G1368" s="75"/>
      <c r="H1368" s="74">
        <v>-2083.09</v>
      </c>
      <c r="I1368" s="126">
        <v>-0.43928511176718688</v>
      </c>
    </row>
    <row r="1369" spans="1:9" x14ac:dyDescent="0.25">
      <c r="A1369" s="76" t="s">
        <v>594</v>
      </c>
      <c r="B1369" s="76" t="s">
        <v>606</v>
      </c>
      <c r="C1369" s="77">
        <v>40991</v>
      </c>
      <c r="D1369" s="78">
        <v>41060</v>
      </c>
      <c r="E1369" s="79">
        <v>0.53100000000000003</v>
      </c>
      <c r="F1369" s="80"/>
      <c r="G1369" s="81">
        <v>354.08</v>
      </c>
      <c r="H1369" s="80">
        <v>-167.48</v>
      </c>
      <c r="I1369" s="93">
        <f>H1369/G1369</f>
        <v>-0.47300045187528239</v>
      </c>
    </row>
    <row r="1370" spans="1:9" x14ac:dyDescent="0.25">
      <c r="A1370" s="76" t="s">
        <v>531</v>
      </c>
      <c r="B1370" s="76" t="s">
        <v>540</v>
      </c>
      <c r="C1370" s="77">
        <v>40828</v>
      </c>
      <c r="D1370" s="78">
        <v>41182</v>
      </c>
      <c r="E1370" s="79">
        <v>8.9999999999999993E-3</v>
      </c>
      <c r="F1370" s="80"/>
      <c r="G1370" s="81">
        <v>186</v>
      </c>
      <c r="H1370" s="80">
        <v>-89</v>
      </c>
      <c r="I1370" s="93">
        <f>H1370/G1370</f>
        <v>-0.478494623655914</v>
      </c>
    </row>
    <row r="1371" spans="1:9" x14ac:dyDescent="0.25">
      <c r="A1371" s="76" t="s">
        <v>262</v>
      </c>
      <c r="B1371" s="76" t="s">
        <v>31</v>
      </c>
      <c r="C1371" s="77">
        <v>40747</v>
      </c>
      <c r="D1371" s="78">
        <v>41060</v>
      </c>
      <c r="E1371" s="79">
        <v>8.9999999999999993E-3</v>
      </c>
      <c r="F1371" s="80">
        <v>124795</v>
      </c>
      <c r="G1371" s="81"/>
      <c r="H1371" s="80">
        <v>-60357.4</v>
      </c>
      <c r="I1371" s="93">
        <f>H1371/F1371</f>
        <v>-0.48365238991946796</v>
      </c>
    </row>
    <row r="1372" spans="1:9" x14ac:dyDescent="0.25">
      <c r="A1372" s="70" t="s">
        <v>171</v>
      </c>
      <c r="B1372" s="70" t="s">
        <v>174</v>
      </c>
      <c r="C1372" s="71">
        <v>40634</v>
      </c>
      <c r="D1372" s="72">
        <v>40999</v>
      </c>
      <c r="E1372" s="73">
        <v>1.7999999999999999E-2</v>
      </c>
      <c r="F1372" s="74">
        <v>179838</v>
      </c>
      <c r="G1372" s="75"/>
      <c r="H1372" s="74">
        <v>-88028</v>
      </c>
      <c r="I1372" s="126">
        <v>-0.48948498092727899</v>
      </c>
    </row>
    <row r="1373" spans="1:9" x14ac:dyDescent="0.25">
      <c r="A1373" s="70" t="s">
        <v>171</v>
      </c>
      <c r="B1373" s="70" t="s">
        <v>34</v>
      </c>
      <c r="C1373" s="71">
        <v>40617</v>
      </c>
      <c r="D1373" s="72">
        <v>40968</v>
      </c>
      <c r="E1373" s="73">
        <v>1.7999999999999999E-2</v>
      </c>
      <c r="F1373" s="74">
        <v>98843</v>
      </c>
      <c r="G1373" s="75"/>
      <c r="H1373" s="74">
        <v>-49489.63</v>
      </c>
      <c r="I1373" s="126">
        <v>-0.50068927491071702</v>
      </c>
    </row>
    <row r="1374" spans="1:9" x14ac:dyDescent="0.25">
      <c r="A1374" s="76" t="s">
        <v>171</v>
      </c>
      <c r="B1374" s="76" t="s">
        <v>189</v>
      </c>
      <c r="C1374" s="77">
        <v>40821</v>
      </c>
      <c r="D1374" s="78">
        <v>41186</v>
      </c>
      <c r="E1374" s="79">
        <v>1.7999999999999999E-2</v>
      </c>
      <c r="F1374" s="80">
        <v>29696</v>
      </c>
      <c r="G1374" s="81"/>
      <c r="H1374" s="80">
        <v>-17698</v>
      </c>
      <c r="I1374" s="93">
        <f>H1374/F1374</f>
        <v>-0.59597252155172409</v>
      </c>
    </row>
    <row r="1375" spans="1:9" x14ac:dyDescent="0.25">
      <c r="A1375" s="76" t="s">
        <v>643</v>
      </c>
      <c r="B1375" s="76" t="s">
        <v>330</v>
      </c>
      <c r="C1375" s="77">
        <v>40956</v>
      </c>
      <c r="D1375" s="78">
        <v>41321</v>
      </c>
      <c r="E1375" s="79">
        <v>4.4999999999999997E-3</v>
      </c>
      <c r="F1375" s="80"/>
      <c r="G1375" s="81">
        <v>10101</v>
      </c>
      <c r="H1375" s="80">
        <v>-6262.8</v>
      </c>
      <c r="I1375" s="93">
        <f>H1375/G1375</f>
        <v>-0.62001782001782002</v>
      </c>
    </row>
    <row r="1376" spans="1:9" x14ac:dyDescent="0.25">
      <c r="A1376" s="76" t="s">
        <v>531</v>
      </c>
      <c r="B1376" s="76" t="s">
        <v>374</v>
      </c>
      <c r="C1376" s="77">
        <v>41000</v>
      </c>
      <c r="D1376" s="78">
        <v>41364</v>
      </c>
      <c r="E1376" s="79">
        <v>8.9999999999999993E-3</v>
      </c>
      <c r="F1376" s="80">
        <v>22525</v>
      </c>
      <c r="G1376" s="81"/>
      <c r="H1376" s="80">
        <v>-14408</v>
      </c>
      <c r="I1376" s="93">
        <f>H1376/F1376</f>
        <v>-0.63964483906770253</v>
      </c>
    </row>
    <row r="1377" spans="1:9" x14ac:dyDescent="0.25">
      <c r="A1377" s="70" t="s">
        <v>20</v>
      </c>
      <c r="B1377" s="70" t="s">
        <v>29</v>
      </c>
      <c r="C1377" s="71">
        <v>40763</v>
      </c>
      <c r="D1377" s="72">
        <v>41090</v>
      </c>
      <c r="E1377" s="73">
        <v>0</v>
      </c>
      <c r="F1377" s="74">
        <v>0</v>
      </c>
      <c r="G1377" s="75"/>
      <c r="H1377" s="74">
        <v>-2574.5</v>
      </c>
      <c r="I1377" s="126">
        <v>-0.64604767879548308</v>
      </c>
    </row>
    <row r="1378" spans="1:9" x14ac:dyDescent="0.25">
      <c r="A1378" s="70" t="s">
        <v>171</v>
      </c>
      <c r="B1378" s="70" t="s">
        <v>200</v>
      </c>
      <c r="C1378" s="71">
        <v>40710</v>
      </c>
      <c r="D1378" s="72">
        <v>41075</v>
      </c>
      <c r="E1378" s="73">
        <v>1.7999999999999999E-2</v>
      </c>
      <c r="F1378" s="74"/>
      <c r="G1378" s="75">
        <v>520</v>
      </c>
      <c r="H1378" s="74">
        <v>-351</v>
      </c>
      <c r="I1378" s="126">
        <v>-0.67500000000000004</v>
      </c>
    </row>
    <row r="1379" spans="1:9" x14ac:dyDescent="0.25">
      <c r="A1379" s="76" t="s">
        <v>674</v>
      </c>
      <c r="B1379" s="76" t="s">
        <v>107</v>
      </c>
      <c r="C1379" s="77">
        <v>41011</v>
      </c>
      <c r="D1379" s="78">
        <v>41274</v>
      </c>
      <c r="E1379" s="79">
        <v>0.18</v>
      </c>
      <c r="F1379" s="80">
        <v>48791.34</v>
      </c>
      <c r="G1379" s="81"/>
      <c r="H1379" s="80">
        <v>-34397.75</v>
      </c>
      <c r="I1379" s="93">
        <f>H1379/F1379</f>
        <v>-0.70499703430977712</v>
      </c>
    </row>
    <row r="1380" spans="1:9" x14ac:dyDescent="0.25">
      <c r="A1380" s="76" t="s">
        <v>674</v>
      </c>
      <c r="B1380" s="76" t="s">
        <v>193</v>
      </c>
      <c r="C1380" s="77">
        <v>40938</v>
      </c>
      <c r="D1380" s="78">
        <v>41274</v>
      </c>
      <c r="E1380" s="79">
        <v>0.22500000000000001</v>
      </c>
      <c r="F1380" s="80">
        <v>237778.37</v>
      </c>
      <c r="G1380" s="81"/>
      <c r="H1380" s="80">
        <v>-167807.48</v>
      </c>
      <c r="I1380" s="93">
        <f>H1380/F1380</f>
        <v>-0.70573063479239095</v>
      </c>
    </row>
    <row r="1381" spans="1:9" x14ac:dyDescent="0.25">
      <c r="A1381" s="76" t="s">
        <v>674</v>
      </c>
      <c r="B1381" s="76" t="s">
        <v>193</v>
      </c>
      <c r="C1381" s="77">
        <v>40938</v>
      </c>
      <c r="D1381" s="78">
        <v>41274</v>
      </c>
      <c r="E1381" s="79">
        <v>0.22500000000000001</v>
      </c>
      <c r="F1381" s="80"/>
      <c r="G1381" s="81">
        <v>7744.14</v>
      </c>
      <c r="H1381" s="80">
        <v>-5611.8</v>
      </c>
      <c r="I1381" s="93">
        <f>H1381/G1381</f>
        <v>-0.72465115558344761</v>
      </c>
    </row>
    <row r="1382" spans="1:9" x14ac:dyDescent="0.25">
      <c r="A1382" s="76" t="s">
        <v>531</v>
      </c>
      <c r="B1382" s="76" t="s">
        <v>193</v>
      </c>
      <c r="C1382" s="77">
        <v>41114</v>
      </c>
      <c r="D1382" s="78">
        <v>41455</v>
      </c>
      <c r="E1382" s="79">
        <v>8.9999999999999993E-3</v>
      </c>
      <c r="F1382" s="80">
        <v>4753</v>
      </c>
      <c r="G1382" s="81"/>
      <c r="H1382" s="80">
        <v>-3455</v>
      </c>
      <c r="I1382" s="93">
        <f t="shared" ref="I1382:I1389" si="20">H1382/F1382</f>
        <v>-0.72690932042920264</v>
      </c>
    </row>
    <row r="1383" spans="1:9" x14ac:dyDescent="0.25">
      <c r="A1383" s="76" t="s">
        <v>531</v>
      </c>
      <c r="B1383" s="76" t="s">
        <v>31</v>
      </c>
      <c r="C1383" s="77">
        <v>40796</v>
      </c>
      <c r="D1383" s="78">
        <v>41152</v>
      </c>
      <c r="E1383" s="79">
        <v>8.9999999999999993E-3</v>
      </c>
      <c r="F1383" s="80">
        <v>13333</v>
      </c>
      <c r="G1383" s="81"/>
      <c r="H1383" s="80">
        <v>-10993</v>
      </c>
      <c r="I1383" s="93">
        <f t="shared" si="20"/>
        <v>-0.82449561239030977</v>
      </c>
    </row>
    <row r="1384" spans="1:9" x14ac:dyDescent="0.25">
      <c r="A1384" s="76" t="s">
        <v>531</v>
      </c>
      <c r="B1384" s="76" t="s">
        <v>545</v>
      </c>
      <c r="C1384" s="77">
        <v>40889</v>
      </c>
      <c r="D1384" s="78">
        <v>41243</v>
      </c>
      <c r="E1384" s="79">
        <v>8.9999999999999993E-3</v>
      </c>
      <c r="F1384" s="80">
        <v>42776</v>
      </c>
      <c r="G1384" s="81"/>
      <c r="H1384" s="80">
        <v>-36018</v>
      </c>
      <c r="I1384" s="93">
        <f t="shared" si="20"/>
        <v>-0.84201421357770712</v>
      </c>
    </row>
    <row r="1385" spans="1:9" x14ac:dyDescent="0.25">
      <c r="A1385" s="76" t="s">
        <v>531</v>
      </c>
      <c r="B1385" s="76" t="s">
        <v>542</v>
      </c>
      <c r="C1385" s="77">
        <v>40848</v>
      </c>
      <c r="D1385" s="78">
        <v>41213</v>
      </c>
      <c r="E1385" s="79">
        <v>8.9999999999999993E-3</v>
      </c>
      <c r="F1385" s="80">
        <v>4266</v>
      </c>
      <c r="G1385" s="81"/>
      <c r="H1385" s="80">
        <v>-3748</v>
      </c>
      <c r="I1385" s="93">
        <f t="shared" si="20"/>
        <v>-0.8785747773089545</v>
      </c>
    </row>
    <row r="1386" spans="1:9" x14ac:dyDescent="0.25">
      <c r="A1386" s="76" t="s">
        <v>317</v>
      </c>
      <c r="B1386" s="76" t="s">
        <v>353</v>
      </c>
      <c r="C1386" s="77">
        <v>40968</v>
      </c>
      <c r="D1386" s="78">
        <v>41274</v>
      </c>
      <c r="E1386" s="79">
        <v>8.9999999999999998E-4</v>
      </c>
      <c r="F1386" s="80">
        <v>12887</v>
      </c>
      <c r="G1386" s="81"/>
      <c r="H1386" s="80">
        <v>-11736.55</v>
      </c>
      <c r="I1386" s="93">
        <f t="shared" si="20"/>
        <v>-0.9107278652906029</v>
      </c>
    </row>
    <row r="1387" spans="1:9" x14ac:dyDescent="0.25">
      <c r="A1387" s="76" t="s">
        <v>246</v>
      </c>
      <c r="B1387" s="76" t="s">
        <v>108</v>
      </c>
      <c r="C1387" s="77">
        <v>40946</v>
      </c>
      <c r="D1387" s="78">
        <v>41274</v>
      </c>
      <c r="E1387" s="79">
        <v>0</v>
      </c>
      <c r="F1387" s="80">
        <v>33534.120000000003</v>
      </c>
      <c r="G1387" s="81"/>
      <c r="H1387" s="80">
        <v>-31671.8</v>
      </c>
      <c r="I1387" s="93">
        <f t="shared" si="20"/>
        <v>-0.94446492110125435</v>
      </c>
    </row>
    <row r="1388" spans="1:9" x14ac:dyDescent="0.25">
      <c r="A1388" s="70" t="s">
        <v>171</v>
      </c>
      <c r="B1388" s="70" t="s">
        <v>198</v>
      </c>
      <c r="C1388" s="71">
        <v>40639</v>
      </c>
      <c r="D1388" s="72">
        <v>40982</v>
      </c>
      <c r="E1388" s="73">
        <v>1.7999999999999999E-2</v>
      </c>
      <c r="F1388" s="74">
        <v>7510</v>
      </c>
      <c r="G1388" s="75"/>
      <c r="H1388" s="74">
        <v>-7101.69</v>
      </c>
      <c r="I1388" s="93">
        <f t="shared" si="20"/>
        <v>-0.94563115845539281</v>
      </c>
    </row>
    <row r="1389" spans="1:9" x14ac:dyDescent="0.25">
      <c r="A1389" s="76" t="s">
        <v>171</v>
      </c>
      <c r="B1389" s="76" t="s">
        <v>34</v>
      </c>
      <c r="C1389" s="77">
        <v>40981</v>
      </c>
      <c r="D1389" s="78">
        <v>41333</v>
      </c>
      <c r="E1389" s="79">
        <v>1.7999999999999999E-2</v>
      </c>
      <c r="F1389" s="80">
        <v>23744</v>
      </c>
      <c r="G1389" s="81"/>
      <c r="H1389" s="80">
        <v>-22790.28</v>
      </c>
      <c r="I1389" s="93">
        <f t="shared" si="20"/>
        <v>-0.95983322102425872</v>
      </c>
    </row>
    <row r="1390" spans="1:9" x14ac:dyDescent="0.25">
      <c r="A1390" s="70" t="s">
        <v>101</v>
      </c>
      <c r="B1390" s="70" t="s">
        <v>112</v>
      </c>
      <c r="C1390" s="71">
        <v>41007</v>
      </c>
      <c r="D1390" s="72">
        <v>41371</v>
      </c>
      <c r="E1390" s="73">
        <v>1.35E-2</v>
      </c>
      <c r="F1390" s="74"/>
      <c r="G1390" s="75">
        <v>1472.2</v>
      </c>
      <c r="H1390" s="74">
        <v>-1489.34</v>
      </c>
      <c r="I1390" s="126">
        <v>-1.011642439885885</v>
      </c>
    </row>
    <row r="1391" spans="1:9" x14ac:dyDescent="0.25">
      <c r="A1391" s="70" t="s">
        <v>146</v>
      </c>
      <c r="B1391" s="70" t="s">
        <v>150</v>
      </c>
      <c r="C1391" s="71">
        <v>40646</v>
      </c>
      <c r="D1391" s="72">
        <v>40999</v>
      </c>
      <c r="E1391" s="101">
        <v>4.4999999999999999E-4</v>
      </c>
      <c r="F1391" s="74">
        <v>11590</v>
      </c>
      <c r="G1391" s="75"/>
      <c r="H1391" s="74">
        <v>-12016.92</v>
      </c>
      <c r="I1391" s="126">
        <v>-1.0368352027610008</v>
      </c>
    </row>
    <row r="1392" spans="1:9" x14ac:dyDescent="0.25">
      <c r="A1392" s="70" t="s">
        <v>146</v>
      </c>
      <c r="B1392" s="70" t="s">
        <v>168</v>
      </c>
      <c r="C1392" s="71">
        <v>40849</v>
      </c>
      <c r="D1392" s="72">
        <v>41182</v>
      </c>
      <c r="E1392" s="101">
        <v>4.4999999999999999E-4</v>
      </c>
      <c r="F1392" s="74">
        <v>939</v>
      </c>
      <c r="G1392" s="75"/>
      <c r="H1392" s="74">
        <v>-1057.7</v>
      </c>
      <c r="I1392" s="126">
        <v>-1.1264110756123535</v>
      </c>
    </row>
    <row r="1393" spans="1:9" x14ac:dyDescent="0.25">
      <c r="A1393" s="70" t="s">
        <v>146</v>
      </c>
      <c r="B1393" s="70" t="s">
        <v>147</v>
      </c>
      <c r="C1393" s="71">
        <v>40940</v>
      </c>
      <c r="D1393" s="72">
        <v>41305</v>
      </c>
      <c r="E1393" s="101">
        <v>4.4999999999999999E-4</v>
      </c>
      <c r="F1393" s="74">
        <v>52766</v>
      </c>
      <c r="G1393" s="75"/>
      <c r="H1393" s="74">
        <v>-61439.46</v>
      </c>
      <c r="I1393" s="126">
        <v>-1.1643759238903839</v>
      </c>
    </row>
    <row r="1394" spans="1:9" x14ac:dyDescent="0.25">
      <c r="A1394" s="76" t="s">
        <v>643</v>
      </c>
      <c r="B1394" s="76" t="s">
        <v>459</v>
      </c>
      <c r="C1394" s="77">
        <v>41092</v>
      </c>
      <c r="D1394" s="78">
        <v>41456</v>
      </c>
      <c r="E1394" s="79">
        <v>4.4999999999999997E-3</v>
      </c>
      <c r="F1394" s="80"/>
      <c r="G1394" s="81">
        <v>5049</v>
      </c>
      <c r="H1394" s="80">
        <v>-6060.55</v>
      </c>
      <c r="I1394" s="93">
        <f>H1394/G1394</f>
        <v>-1.2003466032877799</v>
      </c>
    </row>
    <row r="1395" spans="1:9" x14ac:dyDescent="0.25">
      <c r="A1395" s="76" t="s">
        <v>613</v>
      </c>
      <c r="B1395" s="76" t="s">
        <v>618</v>
      </c>
      <c r="C1395" s="77">
        <v>40793</v>
      </c>
      <c r="D1395" s="78">
        <v>41121</v>
      </c>
      <c r="E1395" s="79">
        <v>8.9999999999999993E-3</v>
      </c>
      <c r="F1395" s="80">
        <v>2068</v>
      </c>
      <c r="G1395" s="81"/>
      <c r="H1395" s="80">
        <v>-2508</v>
      </c>
      <c r="I1395" s="93">
        <f>H1395/F1395</f>
        <v>-1.2127659574468086</v>
      </c>
    </row>
    <row r="1396" spans="1:9" x14ac:dyDescent="0.25">
      <c r="A1396" s="76" t="s">
        <v>578</v>
      </c>
      <c r="B1396" s="76" t="s">
        <v>580</v>
      </c>
      <c r="C1396" s="77">
        <v>40829</v>
      </c>
      <c r="D1396" s="78">
        <v>40939</v>
      </c>
      <c r="E1396" s="79">
        <v>0</v>
      </c>
      <c r="F1396" s="80"/>
      <c r="G1396" s="81">
        <v>324.91000000000003</v>
      </c>
      <c r="H1396" s="80">
        <v>-408.16</v>
      </c>
      <c r="I1396" s="93">
        <f>H1396/G1396</f>
        <v>-1.256224800714044</v>
      </c>
    </row>
    <row r="1397" spans="1:9" x14ac:dyDescent="0.25">
      <c r="A1397" s="76" t="s">
        <v>578</v>
      </c>
      <c r="B1397" s="76" t="s">
        <v>580</v>
      </c>
      <c r="C1397" s="77">
        <v>40829</v>
      </c>
      <c r="D1397" s="78">
        <v>40939</v>
      </c>
      <c r="E1397" s="79">
        <v>0</v>
      </c>
      <c r="F1397" s="80">
        <v>9283</v>
      </c>
      <c r="G1397" s="81"/>
      <c r="H1397" s="80">
        <v>-11661.65</v>
      </c>
      <c r="I1397" s="93">
        <f>H1397/F1397</f>
        <v>-1.2562372077992028</v>
      </c>
    </row>
    <row r="1398" spans="1:9" x14ac:dyDescent="0.25">
      <c r="A1398" s="70" t="s">
        <v>171</v>
      </c>
      <c r="B1398" s="70" t="s">
        <v>201</v>
      </c>
      <c r="C1398" s="94">
        <v>40711</v>
      </c>
      <c r="D1398" s="72">
        <v>41085</v>
      </c>
      <c r="E1398" s="73">
        <v>1.7999999999999999E-2</v>
      </c>
      <c r="F1398" s="74"/>
      <c r="G1398" s="75">
        <v>341</v>
      </c>
      <c r="H1398" s="74">
        <v>-436</v>
      </c>
      <c r="I1398" s="126">
        <f>H1398/G1398</f>
        <v>-1.2785923753665689</v>
      </c>
    </row>
    <row r="1399" spans="1:9" x14ac:dyDescent="0.25">
      <c r="A1399" s="76" t="s">
        <v>249</v>
      </c>
      <c r="B1399" s="76" t="s">
        <v>251</v>
      </c>
      <c r="C1399" s="77">
        <v>40648</v>
      </c>
      <c r="D1399" s="78">
        <v>41014</v>
      </c>
      <c r="E1399" s="79">
        <v>0</v>
      </c>
      <c r="F1399" s="80">
        <v>625521.44999999995</v>
      </c>
      <c r="G1399" s="81"/>
      <c r="H1399" s="80">
        <v>-834958.74</v>
      </c>
      <c r="I1399" s="93">
        <f>H1399/F1399</f>
        <v>-1.3348203167133599</v>
      </c>
    </row>
    <row r="1400" spans="1:9" x14ac:dyDescent="0.25">
      <c r="A1400" s="76" t="s">
        <v>613</v>
      </c>
      <c r="B1400" s="76" t="s">
        <v>615</v>
      </c>
      <c r="C1400" s="77">
        <v>40710</v>
      </c>
      <c r="D1400" s="78">
        <v>41045</v>
      </c>
      <c r="E1400" s="79">
        <v>8.9999999999999993E-3</v>
      </c>
      <c r="F1400" s="80">
        <v>13121</v>
      </c>
      <c r="G1400" s="81"/>
      <c r="H1400" s="80">
        <v>-17846</v>
      </c>
      <c r="I1400" s="93">
        <f>H1400/F1400</f>
        <v>-1.3601097477326423</v>
      </c>
    </row>
    <row r="1401" spans="1:9" x14ac:dyDescent="0.25">
      <c r="A1401" s="76" t="s">
        <v>594</v>
      </c>
      <c r="B1401" s="76" t="s">
        <v>595</v>
      </c>
      <c r="C1401" s="77">
        <v>40774</v>
      </c>
      <c r="D1401" s="78">
        <v>41090</v>
      </c>
      <c r="E1401" s="79">
        <v>3.5999999999999997E-2</v>
      </c>
      <c r="F1401" s="80"/>
      <c r="G1401" s="81">
        <v>13574.75</v>
      </c>
      <c r="H1401" s="80">
        <v>-20710.849999999999</v>
      </c>
      <c r="I1401" s="93">
        <f>H1401/G1401</f>
        <v>-1.5256892392125083</v>
      </c>
    </row>
    <row r="1402" spans="1:9" x14ac:dyDescent="0.25">
      <c r="A1402" s="76" t="s">
        <v>594</v>
      </c>
      <c r="B1402" s="76" t="s">
        <v>595</v>
      </c>
      <c r="C1402" s="77">
        <v>40774</v>
      </c>
      <c r="D1402" s="78">
        <v>41090</v>
      </c>
      <c r="E1402" s="79">
        <v>3.5999999999999997E-2</v>
      </c>
      <c r="F1402" s="80">
        <v>16895.28</v>
      </c>
      <c r="G1402" s="81"/>
      <c r="H1402" s="80">
        <v>-25961.72</v>
      </c>
      <c r="I1402" s="93">
        <f>H1402/F1402</f>
        <v>-1.5366256137808905</v>
      </c>
    </row>
    <row r="1403" spans="1:9" x14ac:dyDescent="0.25">
      <c r="A1403" s="76" t="s">
        <v>171</v>
      </c>
      <c r="B1403" s="76" t="s">
        <v>189</v>
      </c>
      <c r="C1403" s="77">
        <v>40821</v>
      </c>
      <c r="D1403" s="78">
        <v>41186</v>
      </c>
      <c r="E1403" s="79">
        <v>1.7999999999999999E-2</v>
      </c>
      <c r="F1403" s="80"/>
      <c r="G1403" s="81">
        <v>1330</v>
      </c>
      <c r="H1403" s="80">
        <v>-2143</v>
      </c>
      <c r="I1403" s="79">
        <f>H1403/G1403</f>
        <v>-1.6112781954887219</v>
      </c>
    </row>
    <row r="1404" spans="1:9" x14ac:dyDescent="0.25">
      <c r="A1404" s="76" t="s">
        <v>630</v>
      </c>
      <c r="B1404" s="76" t="s">
        <v>631</v>
      </c>
      <c r="C1404" s="77">
        <v>40889</v>
      </c>
      <c r="D1404" s="78">
        <v>41178</v>
      </c>
      <c r="E1404" s="79">
        <v>8.9999999999999993E-3</v>
      </c>
      <c r="F1404" s="80">
        <v>2870</v>
      </c>
      <c r="G1404" s="81"/>
      <c r="H1404" s="80">
        <v>-4630</v>
      </c>
      <c r="I1404" s="79">
        <f>H1404/F1404</f>
        <v>-1.613240418118467</v>
      </c>
    </row>
    <row r="1405" spans="1:9" x14ac:dyDescent="0.25">
      <c r="A1405" s="70" t="s">
        <v>20</v>
      </c>
      <c r="B1405" s="70" t="s">
        <v>30</v>
      </c>
      <c r="C1405" s="71">
        <v>40770</v>
      </c>
      <c r="D1405" s="72">
        <v>41060</v>
      </c>
      <c r="E1405" s="73">
        <v>0</v>
      </c>
      <c r="F1405" s="74">
        <v>3985</v>
      </c>
      <c r="G1405" s="75"/>
      <c r="H1405" s="74">
        <v>-121.85</v>
      </c>
      <c r="I1405" s="73">
        <v>-1.7015779919005725</v>
      </c>
    </row>
    <row r="1406" spans="1:9" x14ac:dyDescent="0.25">
      <c r="A1406" s="76" t="s">
        <v>249</v>
      </c>
      <c r="B1406" s="76" t="s">
        <v>260</v>
      </c>
      <c r="C1406" s="77">
        <v>41022</v>
      </c>
      <c r="D1406" s="78">
        <v>41243</v>
      </c>
      <c r="E1406" s="79">
        <v>0</v>
      </c>
      <c r="F1406" s="80">
        <v>30631</v>
      </c>
      <c r="G1406" s="81"/>
      <c r="H1406" s="80">
        <v>-56333.85</v>
      </c>
      <c r="I1406" s="79">
        <f t="shared" ref="I1406:I1411" si="21">H1406/F1406</f>
        <v>-1.8391123371747575</v>
      </c>
    </row>
    <row r="1407" spans="1:9" x14ac:dyDescent="0.25">
      <c r="A1407" s="76" t="s">
        <v>262</v>
      </c>
      <c r="B1407" s="76" t="s">
        <v>335</v>
      </c>
      <c r="C1407" s="77">
        <v>41337</v>
      </c>
      <c r="D1407" s="78">
        <v>41455</v>
      </c>
      <c r="E1407" s="79">
        <v>8.9999999999999993E-3</v>
      </c>
      <c r="F1407" s="80">
        <v>8353</v>
      </c>
      <c r="G1407" s="81"/>
      <c r="H1407" s="80">
        <v>-15819</v>
      </c>
      <c r="I1407" s="79">
        <f t="shared" si="21"/>
        <v>-1.8938106069675567</v>
      </c>
    </row>
    <row r="1408" spans="1:9" x14ac:dyDescent="0.25">
      <c r="A1408" s="76" t="s">
        <v>613</v>
      </c>
      <c r="B1408" s="76" t="s">
        <v>31</v>
      </c>
      <c r="C1408" s="77">
        <v>41170</v>
      </c>
      <c r="D1408" s="78">
        <v>41517</v>
      </c>
      <c r="E1408" s="79">
        <v>8.9999999999999993E-3</v>
      </c>
      <c r="F1408" s="80">
        <v>44962</v>
      </c>
      <c r="G1408" s="81"/>
      <c r="H1408" s="80">
        <v>-87687</v>
      </c>
      <c r="I1408" s="79">
        <f t="shared" si="21"/>
        <v>-1.9502468751390063</v>
      </c>
    </row>
    <row r="1409" spans="1:9" x14ac:dyDescent="0.25">
      <c r="A1409" s="76" t="s">
        <v>171</v>
      </c>
      <c r="B1409" s="76" t="s">
        <v>205</v>
      </c>
      <c r="C1409" s="77">
        <v>40826</v>
      </c>
      <c r="D1409" s="78">
        <v>41153</v>
      </c>
      <c r="E1409" s="79">
        <v>1.7999999999999999E-2</v>
      </c>
      <c r="F1409" s="80">
        <v>5363</v>
      </c>
      <c r="G1409" s="81"/>
      <c r="H1409" s="80">
        <v>-11448</v>
      </c>
      <c r="I1409" s="79">
        <f t="shared" si="21"/>
        <v>-2.1346261420846542</v>
      </c>
    </row>
    <row r="1410" spans="1:9" x14ac:dyDescent="0.25">
      <c r="A1410" s="76" t="s">
        <v>643</v>
      </c>
      <c r="B1410" s="76" t="s">
        <v>374</v>
      </c>
      <c r="C1410" s="77">
        <v>41137</v>
      </c>
      <c r="D1410" s="78">
        <v>41425</v>
      </c>
      <c r="E1410" s="79">
        <v>4.4999999999999997E-3</v>
      </c>
      <c r="F1410" s="80">
        <v>14206</v>
      </c>
      <c r="G1410" s="81"/>
      <c r="H1410" s="80">
        <v>-31837.599999999999</v>
      </c>
      <c r="I1410" s="79">
        <f t="shared" si="21"/>
        <v>-2.2411375475151343</v>
      </c>
    </row>
    <row r="1411" spans="1:9" x14ac:dyDescent="0.25">
      <c r="A1411" s="70" t="s">
        <v>20</v>
      </c>
      <c r="B1411" s="70" t="s">
        <v>35</v>
      </c>
      <c r="C1411" s="71">
        <v>41015</v>
      </c>
      <c r="D1411" s="72">
        <v>41364</v>
      </c>
      <c r="E1411" s="73">
        <v>0</v>
      </c>
      <c r="F1411" s="74">
        <v>1875</v>
      </c>
      <c r="G1411" s="75"/>
      <c r="H1411" s="74">
        <v>-4220.3500000000004</v>
      </c>
      <c r="I1411" s="126">
        <f t="shared" si="21"/>
        <v>-2.2508533333333336</v>
      </c>
    </row>
    <row r="1412" spans="1:9" x14ac:dyDescent="0.25">
      <c r="A1412" s="70" t="s">
        <v>146</v>
      </c>
      <c r="B1412" s="70" t="s">
        <v>169</v>
      </c>
      <c r="C1412" s="71">
        <v>40991</v>
      </c>
      <c r="D1412" s="72">
        <v>41333</v>
      </c>
      <c r="E1412" s="101">
        <v>4.4999999999999999E-4</v>
      </c>
      <c r="F1412" s="74">
        <v>3172.44</v>
      </c>
      <c r="G1412" s="75"/>
      <c r="H1412" s="74">
        <v>-8283.7099999999991</v>
      </c>
      <c r="I1412" s="126">
        <v>-2.6111478861696358</v>
      </c>
    </row>
    <row r="1413" spans="1:9" x14ac:dyDescent="0.25">
      <c r="A1413" s="76" t="s">
        <v>249</v>
      </c>
      <c r="B1413" s="76" t="s">
        <v>253</v>
      </c>
      <c r="C1413" s="77">
        <v>40686</v>
      </c>
      <c r="D1413" s="78">
        <v>41121</v>
      </c>
      <c r="E1413" s="79">
        <v>0</v>
      </c>
      <c r="F1413" s="80">
        <v>94425.279999999999</v>
      </c>
      <c r="G1413" s="81"/>
      <c r="H1413" s="80">
        <v>-273458.40000000002</v>
      </c>
      <c r="I1413" s="79">
        <f>H1413/F1413</f>
        <v>-2.8960295378525753</v>
      </c>
    </row>
    <row r="1414" spans="1:9" x14ac:dyDescent="0.25">
      <c r="A1414" s="76" t="s">
        <v>235</v>
      </c>
      <c r="B1414" s="76" t="s">
        <v>168</v>
      </c>
      <c r="C1414" s="77">
        <v>40982</v>
      </c>
      <c r="D1414" s="78">
        <v>41121</v>
      </c>
      <c r="E1414" s="79">
        <v>4.4999999999999998E-2</v>
      </c>
      <c r="F1414" s="80"/>
      <c r="G1414" s="81">
        <v>18</v>
      </c>
      <c r="H1414" s="80">
        <v>-55.32</v>
      </c>
      <c r="I1414" s="93">
        <f>H1414/G1414</f>
        <v>-3.0733333333333333</v>
      </c>
    </row>
    <row r="1415" spans="1:9" x14ac:dyDescent="0.25">
      <c r="A1415" s="76" t="s">
        <v>643</v>
      </c>
      <c r="B1415" s="76" t="s">
        <v>374</v>
      </c>
      <c r="C1415" s="77">
        <v>41137</v>
      </c>
      <c r="D1415" s="78">
        <v>41425</v>
      </c>
      <c r="E1415" s="79">
        <v>4.4999999999999997E-3</v>
      </c>
      <c r="F1415" s="80"/>
      <c r="G1415" s="81">
        <v>255</v>
      </c>
      <c r="H1415" s="80">
        <v>-998.75</v>
      </c>
      <c r="I1415" s="93">
        <f>H1415/G1415</f>
        <v>-3.9166666666666665</v>
      </c>
    </row>
    <row r="1416" spans="1:9" x14ac:dyDescent="0.25">
      <c r="A1416" s="76" t="s">
        <v>613</v>
      </c>
      <c r="B1416" s="76" t="s">
        <v>186</v>
      </c>
      <c r="C1416" s="77">
        <v>41038</v>
      </c>
      <c r="D1416" s="78">
        <v>41305</v>
      </c>
      <c r="E1416" s="79">
        <v>8.9999999999999993E-3</v>
      </c>
      <c r="F1416" s="80">
        <v>4012</v>
      </c>
      <c r="G1416" s="81"/>
      <c r="H1416" s="80">
        <v>-17130</v>
      </c>
      <c r="I1416" s="93">
        <f>H1416/F1416</f>
        <v>-4.2696909272183445</v>
      </c>
    </row>
    <row r="1417" spans="1:9" x14ac:dyDescent="0.25">
      <c r="A1417" s="70" t="s">
        <v>20</v>
      </c>
      <c r="B1417" s="70" t="s">
        <v>35</v>
      </c>
      <c r="C1417" s="71">
        <v>41015</v>
      </c>
      <c r="D1417" s="72">
        <v>41364</v>
      </c>
      <c r="E1417" s="73">
        <v>0</v>
      </c>
      <c r="F1417" s="74"/>
      <c r="G1417" s="75">
        <v>19.95</v>
      </c>
      <c r="H1417" s="74">
        <v>-159.5</v>
      </c>
      <c r="I1417" s="126">
        <f>H1417/G1417</f>
        <v>-7.9949874686716793</v>
      </c>
    </row>
    <row r="1418" spans="1:9" x14ac:dyDescent="0.25">
      <c r="A1418" s="70" t="s">
        <v>146</v>
      </c>
      <c r="B1418" s="70" t="s">
        <v>81</v>
      </c>
      <c r="C1418" s="71">
        <v>40913</v>
      </c>
      <c r="D1418" s="72">
        <v>41263</v>
      </c>
      <c r="E1418" s="101">
        <v>4.4999999999999999E-4</v>
      </c>
      <c r="F1418" s="74">
        <v>395</v>
      </c>
      <c r="G1418" s="75"/>
      <c r="H1418" s="74">
        <v>-15353</v>
      </c>
      <c r="I1418" s="126">
        <f>H1418/F1418</f>
        <v>-38.868354430379746</v>
      </c>
    </row>
    <row r="1419" spans="1:9" x14ac:dyDescent="0.25">
      <c r="A1419" s="124"/>
      <c r="B1419" s="124"/>
      <c r="C1419" s="125"/>
      <c r="D1419" s="125"/>
    </row>
    <row r="1420" spans="1:9" x14ac:dyDescent="0.25">
      <c r="A1420" s="124"/>
      <c r="B1420" s="124"/>
      <c r="C1420" s="125"/>
      <c r="D1420" s="125"/>
    </row>
    <row r="1421" spans="1:9" x14ac:dyDescent="0.25">
      <c r="A1421" s="124"/>
      <c r="B1421" s="124"/>
      <c r="C1421" s="125"/>
      <c r="D1421" s="125"/>
    </row>
    <row r="1422" spans="1:9" x14ac:dyDescent="0.25">
      <c r="A1422" s="124"/>
      <c r="B1422" s="124"/>
      <c r="C1422" s="125"/>
      <c r="D1422" s="125"/>
    </row>
    <row r="1423" spans="1:9" x14ac:dyDescent="0.25">
      <c r="A1423" s="124"/>
      <c r="B1423" s="124"/>
      <c r="C1423" s="125"/>
      <c r="D1423" s="125"/>
    </row>
    <row r="1424" spans="1:9" x14ac:dyDescent="0.25">
      <c r="A1424" s="124"/>
      <c r="B1424" s="124"/>
      <c r="C1424" s="125"/>
      <c r="D1424" s="125"/>
    </row>
    <row r="1425" spans="1:4" x14ac:dyDescent="0.25">
      <c r="A1425" s="125"/>
      <c r="B1425" s="125"/>
      <c r="C1425" s="125"/>
      <c r="D1425" s="125"/>
    </row>
    <row r="1426" spans="1:4" x14ac:dyDescent="0.25">
      <c r="A1426" s="125"/>
      <c r="B1426" s="125"/>
      <c r="C1426" s="125"/>
      <c r="D1426" s="125"/>
    </row>
  </sheetData>
  <autoFilter ref="A1:I1"/>
  <sortState ref="A1:XFD1427">
    <sortCondition descending="1" ref="I1:I1427"/>
  </sortState>
  <pageMargins left="0.7" right="0.7" top="0.75" bottom="0.75" header="0.3" footer="0.3"/>
  <pageSetup scale="57" fitToHeight="30" orientation="landscape" r:id="rId1"/>
  <ignoredErrors>
    <ignoredError sqref="I67 I155 I165:I166 I167:I168 I169 I200 I213:I214 I215:I216 I217 I220:I221 I222:I223 I226:I227 I228 I233:I234 I247:I248 I253 I262:I263 I275:I278 I279 I293 I296 I304 I312 I323:I326 I327 I330:I331 I332 I336:I337 I338:I339 I359:I360 I361:I362 I366 I386 I390 I401 I417 I420 I428:I429 I430:I431 I432 I442 I447:I448 I449 I459 I470 I488:I489 I498:I499 I500 I516:I517 I518 I521 I532 I539 I558 I576 I597 I606 I633 I637:I638 I639 I669 I674 I707 I710 I713 I722:I723 I726:I727 I741 I750:I751 I761 I795:I796 I808 I816:I817 I818:I819 I854 I916:I917 I933 I937:I940 I941 I944:I945 I951:I952 I953 I983:I984 I985:I986 I987 I992 I1009:I1012 I1016 I1021:I1024 I1028:I1029 I1030:I1031 I1035:I1036 I1037 I1054 I1057:I1058 I1070 I1079 I1095:I1096 I1097 I1109:I1110 I1126 I1161 I1164 I1304:I1305 I1306 I1313 I1324 I1327 I1338 I1347 I1353 I1358 I1375 I1381 I1395:I1398 I1401:I1402 I1403 I1416:I1417 I144:I145 I116 I99 I55:I56 I25:I28 I16 I10:I1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pageSetUpPr fitToPage="1"/>
  </sheetPr>
  <dimension ref="A1:H114"/>
  <sheetViews>
    <sheetView workbookViewId="0">
      <pane ySplit="1" topLeftCell="A2" activePane="bottomLeft" state="frozen"/>
      <selection pane="bottomLeft" activeCell="A6" sqref="A6:XFD6"/>
    </sheetView>
  </sheetViews>
  <sheetFormatPr defaultRowHeight="15" x14ac:dyDescent="0.25"/>
  <cols>
    <col min="1" max="1" width="44.85546875" style="20" customWidth="1"/>
    <col min="2" max="2" width="49.7109375" style="20" customWidth="1"/>
    <col min="3" max="3" width="34" style="20" bestFit="1" customWidth="1"/>
    <col min="4" max="4" width="17.140625" style="20" customWidth="1"/>
    <col min="5" max="5" width="17.7109375" style="20" bestFit="1" customWidth="1"/>
    <col min="6" max="6" width="10.7109375" style="20" bestFit="1" customWidth="1"/>
    <col min="7" max="7" width="13.7109375" style="20" bestFit="1" customWidth="1"/>
    <col min="8" max="8" width="30.7109375" style="20" bestFit="1" customWidth="1"/>
    <col min="9" max="16384" width="9.140625" style="20"/>
  </cols>
  <sheetData>
    <row r="1" spans="1:8" ht="45" x14ac:dyDescent="0.25">
      <c r="A1" s="21" t="s">
        <v>697</v>
      </c>
      <c r="B1" s="21" t="s">
        <v>698</v>
      </c>
      <c r="C1" s="3" t="s">
        <v>699</v>
      </c>
      <c r="D1" s="3" t="s">
        <v>700</v>
      </c>
      <c r="E1" s="21" t="s">
        <v>701</v>
      </c>
      <c r="F1" s="22" t="s">
        <v>702</v>
      </c>
      <c r="G1" s="23" t="s">
        <v>703</v>
      </c>
      <c r="H1" s="3" t="s">
        <v>704</v>
      </c>
    </row>
    <row r="2" spans="1:8" x14ac:dyDescent="0.25">
      <c r="A2" s="24" t="s">
        <v>8</v>
      </c>
      <c r="B2" s="24"/>
      <c r="C2" s="25" t="s">
        <v>705</v>
      </c>
      <c r="D2" s="26" t="s">
        <v>706</v>
      </c>
      <c r="E2" s="27" t="s">
        <v>707</v>
      </c>
      <c r="F2" s="28">
        <v>75081</v>
      </c>
      <c r="G2" s="29" t="s">
        <v>708</v>
      </c>
      <c r="H2" s="26"/>
    </row>
    <row r="3" spans="1:8" x14ac:dyDescent="0.25">
      <c r="A3" s="31" t="s">
        <v>709</v>
      </c>
      <c r="B3" s="31"/>
      <c r="C3" s="31" t="s">
        <v>710</v>
      </c>
      <c r="D3" s="26" t="s">
        <v>711</v>
      </c>
      <c r="E3" s="27" t="s">
        <v>712</v>
      </c>
      <c r="F3" s="28">
        <v>45238</v>
      </c>
      <c r="G3" s="29" t="s">
        <v>713</v>
      </c>
      <c r="H3" s="26"/>
    </row>
    <row r="4" spans="1:8" ht="30" x14ac:dyDescent="0.25">
      <c r="A4" s="24" t="s">
        <v>1615</v>
      </c>
      <c r="B4" s="24"/>
      <c r="C4" s="25" t="s">
        <v>1617</v>
      </c>
      <c r="D4" s="26" t="s">
        <v>782</v>
      </c>
      <c r="E4" s="27" t="s">
        <v>783</v>
      </c>
      <c r="F4" s="28">
        <v>89118</v>
      </c>
      <c r="G4" s="29" t="s">
        <v>1618</v>
      </c>
      <c r="H4" s="30" t="s">
        <v>1619</v>
      </c>
    </row>
    <row r="5" spans="1:8" x14ac:dyDescent="0.25">
      <c r="A5" s="24" t="s">
        <v>1615</v>
      </c>
      <c r="B5" s="24"/>
      <c r="C5" s="25" t="s">
        <v>1621</v>
      </c>
      <c r="D5" s="26" t="s">
        <v>1616</v>
      </c>
      <c r="E5" s="27" t="s">
        <v>800</v>
      </c>
      <c r="F5" s="28" t="s">
        <v>1620</v>
      </c>
      <c r="G5" s="29" t="s">
        <v>1618</v>
      </c>
      <c r="H5" s="30" t="s">
        <v>1619</v>
      </c>
    </row>
    <row r="6" spans="1:8" ht="45" x14ac:dyDescent="0.25">
      <c r="A6" s="32" t="s">
        <v>714</v>
      </c>
      <c r="B6" s="33"/>
      <c r="C6" s="4" t="s">
        <v>715</v>
      </c>
      <c r="D6" s="4" t="s">
        <v>716</v>
      </c>
      <c r="E6" s="18" t="s">
        <v>712</v>
      </c>
      <c r="F6" s="34">
        <v>44720</v>
      </c>
      <c r="G6" s="35" t="s">
        <v>717</v>
      </c>
      <c r="H6" s="36"/>
    </row>
    <row r="7" spans="1:8" x14ac:dyDescent="0.25">
      <c r="A7" s="31" t="s">
        <v>718</v>
      </c>
      <c r="B7" s="31" t="s">
        <v>719</v>
      </c>
      <c r="C7" s="31" t="s">
        <v>720</v>
      </c>
      <c r="D7" s="26" t="s">
        <v>721</v>
      </c>
      <c r="E7" s="27" t="s">
        <v>722</v>
      </c>
      <c r="F7" s="28">
        <v>56301</v>
      </c>
      <c r="G7" s="29" t="s">
        <v>723</v>
      </c>
      <c r="H7" s="30" t="s">
        <v>724</v>
      </c>
    </row>
    <row r="8" spans="1:8" x14ac:dyDescent="0.25">
      <c r="A8" s="31" t="s">
        <v>725</v>
      </c>
      <c r="B8" s="31"/>
      <c r="C8" s="31" t="s">
        <v>726</v>
      </c>
      <c r="D8" s="26" t="s">
        <v>727</v>
      </c>
      <c r="E8" s="27" t="s">
        <v>728</v>
      </c>
      <c r="F8" s="28" t="s">
        <v>729</v>
      </c>
      <c r="G8" s="29" t="s">
        <v>730</v>
      </c>
      <c r="H8" s="30" t="s">
        <v>731</v>
      </c>
    </row>
    <row r="9" spans="1:8" x14ac:dyDescent="0.25">
      <c r="A9" s="37" t="s">
        <v>732</v>
      </c>
      <c r="B9" s="32" t="s">
        <v>733</v>
      </c>
      <c r="C9" s="26" t="s">
        <v>734</v>
      </c>
      <c r="D9" s="26" t="s">
        <v>735</v>
      </c>
      <c r="E9" s="27" t="s">
        <v>736</v>
      </c>
      <c r="F9" s="28">
        <v>48034</v>
      </c>
      <c r="G9" s="29" t="s">
        <v>737</v>
      </c>
      <c r="H9" s="26"/>
    </row>
    <row r="10" spans="1:8" ht="30" x14ac:dyDescent="0.25">
      <c r="A10" s="8" t="s">
        <v>738</v>
      </c>
      <c r="B10" s="8" t="s">
        <v>1966</v>
      </c>
      <c r="C10" s="38" t="s">
        <v>739</v>
      </c>
      <c r="D10" s="38" t="s">
        <v>740</v>
      </c>
      <c r="E10" s="39" t="s">
        <v>741</v>
      </c>
      <c r="F10" s="40">
        <v>60154</v>
      </c>
      <c r="G10" s="41" t="s">
        <v>742</v>
      </c>
      <c r="H10" s="42" t="s">
        <v>743</v>
      </c>
    </row>
    <row r="11" spans="1:8" ht="30" x14ac:dyDescent="0.25">
      <c r="A11" s="8" t="s">
        <v>738</v>
      </c>
      <c r="B11" s="8" t="s">
        <v>1966</v>
      </c>
      <c r="C11" s="38" t="s">
        <v>1624</v>
      </c>
      <c r="D11" s="38" t="s">
        <v>1622</v>
      </c>
      <c r="E11" s="39" t="s">
        <v>712</v>
      </c>
      <c r="F11" s="40">
        <v>45102</v>
      </c>
      <c r="G11" s="41" t="s">
        <v>1623</v>
      </c>
      <c r="H11" s="42" t="s">
        <v>743</v>
      </c>
    </row>
    <row r="12" spans="1:8" x14ac:dyDescent="0.25">
      <c r="A12" s="37" t="s">
        <v>744</v>
      </c>
      <c r="B12" s="37"/>
      <c r="C12" s="26" t="s">
        <v>745</v>
      </c>
      <c r="D12" s="26" t="s">
        <v>746</v>
      </c>
      <c r="E12" s="27" t="s">
        <v>712</v>
      </c>
      <c r="F12" s="28">
        <v>44109</v>
      </c>
      <c r="G12" s="43" t="s">
        <v>747</v>
      </c>
      <c r="H12" s="26"/>
    </row>
    <row r="13" spans="1:8" x14ac:dyDescent="0.25">
      <c r="A13" s="31" t="s">
        <v>748</v>
      </c>
      <c r="B13" s="31"/>
      <c r="C13" s="31" t="s">
        <v>749</v>
      </c>
      <c r="D13" s="26" t="s">
        <v>750</v>
      </c>
      <c r="E13" s="27" t="s">
        <v>751</v>
      </c>
      <c r="F13" s="28">
        <v>22101</v>
      </c>
      <c r="G13" s="29" t="s">
        <v>752</v>
      </c>
      <c r="H13" s="26"/>
    </row>
    <row r="14" spans="1:8" x14ac:dyDescent="0.25">
      <c r="A14" s="31" t="s">
        <v>66</v>
      </c>
      <c r="B14" s="31"/>
      <c r="C14" s="31" t="s">
        <v>753</v>
      </c>
      <c r="D14" s="26" t="s">
        <v>754</v>
      </c>
      <c r="E14" s="27" t="s">
        <v>755</v>
      </c>
      <c r="F14" s="28">
        <v>46142</v>
      </c>
      <c r="G14" s="29" t="s">
        <v>756</v>
      </c>
      <c r="H14" s="26"/>
    </row>
    <row r="15" spans="1:8" x14ac:dyDescent="0.25">
      <c r="A15" s="31" t="s">
        <v>71</v>
      </c>
      <c r="B15" s="31" t="s">
        <v>1625</v>
      </c>
      <c r="C15" s="31" t="s">
        <v>1626</v>
      </c>
      <c r="D15" s="26" t="s">
        <v>795</v>
      </c>
      <c r="E15" s="27" t="s">
        <v>916</v>
      </c>
      <c r="F15" s="28">
        <v>52211</v>
      </c>
      <c r="G15" s="29" t="s">
        <v>1627</v>
      </c>
      <c r="H15" s="26"/>
    </row>
    <row r="16" spans="1:8" x14ac:dyDescent="0.25">
      <c r="A16" s="31" t="s">
        <v>74</v>
      </c>
      <c r="B16" s="31"/>
      <c r="C16" s="31" t="s">
        <v>757</v>
      </c>
      <c r="D16" s="26" t="s">
        <v>758</v>
      </c>
      <c r="E16" s="27" t="s">
        <v>712</v>
      </c>
      <c r="F16" s="28">
        <v>44512</v>
      </c>
      <c r="G16" s="29" t="s">
        <v>759</v>
      </c>
      <c r="H16" s="26"/>
    </row>
    <row r="17" spans="1:8" x14ac:dyDescent="0.25">
      <c r="A17" s="31" t="s">
        <v>78</v>
      </c>
      <c r="B17" s="31"/>
      <c r="C17" s="26" t="s">
        <v>760</v>
      </c>
      <c r="D17" s="26" t="s">
        <v>761</v>
      </c>
      <c r="E17" s="27" t="s">
        <v>712</v>
      </c>
      <c r="F17" s="28">
        <v>43207</v>
      </c>
      <c r="G17" s="29">
        <v>6144435899</v>
      </c>
      <c r="H17" s="26"/>
    </row>
    <row r="18" spans="1:8" x14ac:dyDescent="0.25">
      <c r="A18" s="31" t="s">
        <v>80</v>
      </c>
      <c r="B18" s="31" t="s">
        <v>1628</v>
      </c>
      <c r="C18" s="26" t="s">
        <v>1629</v>
      </c>
      <c r="D18" s="26" t="s">
        <v>1614</v>
      </c>
      <c r="E18" s="27" t="s">
        <v>803</v>
      </c>
      <c r="F18" s="28">
        <v>92123</v>
      </c>
      <c r="G18" s="29" t="s">
        <v>1630</v>
      </c>
      <c r="H18" s="30" t="s">
        <v>1631</v>
      </c>
    </row>
    <row r="19" spans="1:8" x14ac:dyDescent="0.25">
      <c r="A19" s="37" t="s">
        <v>82</v>
      </c>
      <c r="B19" s="32"/>
      <c r="C19" s="31" t="s">
        <v>762</v>
      </c>
      <c r="D19" s="26" t="s">
        <v>763</v>
      </c>
      <c r="E19" s="27" t="s">
        <v>712</v>
      </c>
      <c r="F19" s="28">
        <v>43452</v>
      </c>
      <c r="G19" s="29">
        <v>4197345823</v>
      </c>
      <c r="H19" s="26"/>
    </row>
    <row r="20" spans="1:8" x14ac:dyDescent="0.25">
      <c r="A20" s="31" t="s">
        <v>87</v>
      </c>
      <c r="B20" s="31"/>
      <c r="C20" s="31" t="s">
        <v>764</v>
      </c>
      <c r="D20" s="26" t="s">
        <v>765</v>
      </c>
      <c r="E20" s="27" t="s">
        <v>766</v>
      </c>
      <c r="F20" s="28">
        <v>98004</v>
      </c>
      <c r="G20" s="29">
        <v>4142240224</v>
      </c>
      <c r="H20" s="30" t="s">
        <v>767</v>
      </c>
    </row>
    <row r="21" spans="1:8" x14ac:dyDescent="0.25">
      <c r="A21" s="37" t="s">
        <v>95</v>
      </c>
      <c r="B21" s="44"/>
      <c r="C21" s="37" t="s">
        <v>768</v>
      </c>
      <c r="D21" s="26" t="s">
        <v>740</v>
      </c>
      <c r="E21" s="27" t="s">
        <v>741</v>
      </c>
      <c r="F21" s="28">
        <v>60154</v>
      </c>
      <c r="G21" s="29">
        <v>7084102106</v>
      </c>
      <c r="H21" s="26"/>
    </row>
    <row r="22" spans="1:8" ht="30" x14ac:dyDescent="0.25">
      <c r="A22" s="32" t="s">
        <v>769</v>
      </c>
      <c r="B22" s="33"/>
      <c r="C22" s="45" t="s">
        <v>770</v>
      </c>
      <c r="D22" s="26" t="s">
        <v>771</v>
      </c>
      <c r="E22" s="39" t="s">
        <v>736</v>
      </c>
      <c r="F22" s="40">
        <v>48081</v>
      </c>
      <c r="G22" s="41">
        <v>8884196070</v>
      </c>
      <c r="H22" s="26"/>
    </row>
    <row r="23" spans="1:8" x14ac:dyDescent="0.25">
      <c r="A23" s="31" t="s">
        <v>772</v>
      </c>
      <c r="B23" s="31"/>
      <c r="C23" s="31" t="s">
        <v>773</v>
      </c>
      <c r="D23" s="26" t="s">
        <v>774</v>
      </c>
      <c r="E23" s="27" t="s">
        <v>775</v>
      </c>
      <c r="F23" s="28">
        <v>97501</v>
      </c>
      <c r="G23" s="29">
        <v>5417342565</v>
      </c>
      <c r="H23" s="30" t="s">
        <v>776</v>
      </c>
    </row>
    <row r="24" spans="1:8" x14ac:dyDescent="0.25">
      <c r="A24" s="31" t="s">
        <v>1632</v>
      </c>
      <c r="B24" s="31"/>
      <c r="C24" s="31" t="s">
        <v>1633</v>
      </c>
      <c r="D24" s="26" t="s">
        <v>989</v>
      </c>
      <c r="E24" s="27" t="s">
        <v>751</v>
      </c>
      <c r="F24" s="28">
        <v>22206</v>
      </c>
      <c r="G24" s="29" t="s">
        <v>1634</v>
      </c>
      <c r="H24" s="30"/>
    </row>
    <row r="25" spans="1:8" x14ac:dyDescent="0.25">
      <c r="A25" s="31" t="s">
        <v>1635</v>
      </c>
      <c r="B25" s="31" t="s">
        <v>439</v>
      </c>
      <c r="C25" s="31" t="s">
        <v>1636</v>
      </c>
      <c r="D25" s="26" t="s">
        <v>870</v>
      </c>
      <c r="E25" s="27" t="s">
        <v>712</v>
      </c>
      <c r="F25" s="28" t="s">
        <v>871</v>
      </c>
      <c r="G25" s="29" t="s">
        <v>1637</v>
      </c>
      <c r="H25" s="30"/>
    </row>
    <row r="26" spans="1:8" x14ac:dyDescent="0.25">
      <c r="A26" s="37" t="s">
        <v>118</v>
      </c>
      <c r="B26" s="44" t="s">
        <v>777</v>
      </c>
      <c r="C26" s="25" t="s">
        <v>778</v>
      </c>
      <c r="D26" s="26" t="s">
        <v>779</v>
      </c>
      <c r="E26" s="27" t="s">
        <v>780</v>
      </c>
      <c r="F26" s="28">
        <v>84107</v>
      </c>
      <c r="G26" s="29">
        <v>8012847380</v>
      </c>
      <c r="H26" s="26"/>
    </row>
    <row r="27" spans="1:8" x14ac:dyDescent="0.25">
      <c r="A27" s="31" t="s">
        <v>119</v>
      </c>
      <c r="B27" s="31"/>
      <c r="C27" s="31" t="s">
        <v>781</v>
      </c>
      <c r="D27" s="26" t="s">
        <v>782</v>
      </c>
      <c r="E27" s="27" t="s">
        <v>783</v>
      </c>
      <c r="F27" s="28">
        <v>89104</v>
      </c>
      <c r="G27" s="29">
        <v>7023882999</v>
      </c>
      <c r="H27" s="30" t="s">
        <v>784</v>
      </c>
    </row>
    <row r="28" spans="1:8" x14ac:dyDescent="0.25">
      <c r="A28" s="31" t="s">
        <v>122</v>
      </c>
      <c r="B28" s="31"/>
      <c r="C28" s="31" t="s">
        <v>785</v>
      </c>
      <c r="D28" s="26" t="s">
        <v>786</v>
      </c>
      <c r="E28" s="27" t="s">
        <v>787</v>
      </c>
      <c r="F28" s="28">
        <v>33315</v>
      </c>
      <c r="G28" s="29">
        <v>9547121217</v>
      </c>
      <c r="H28" s="26"/>
    </row>
    <row r="29" spans="1:8" x14ac:dyDescent="0.25">
      <c r="A29" s="31" t="s">
        <v>127</v>
      </c>
      <c r="B29" s="31"/>
      <c r="C29" s="31" t="s">
        <v>1638</v>
      </c>
      <c r="D29" s="26" t="s">
        <v>1639</v>
      </c>
      <c r="E29" s="27" t="s">
        <v>813</v>
      </c>
      <c r="F29" s="28">
        <v>2210</v>
      </c>
      <c r="G29" s="29" t="s">
        <v>1640</v>
      </c>
      <c r="H29" s="30" t="s">
        <v>1641</v>
      </c>
    </row>
    <row r="30" spans="1:8" x14ac:dyDescent="0.25">
      <c r="A30" s="31" t="s">
        <v>788</v>
      </c>
      <c r="B30" s="31" t="s">
        <v>130</v>
      </c>
      <c r="C30" s="31" t="s">
        <v>789</v>
      </c>
      <c r="D30" s="26" t="s">
        <v>754</v>
      </c>
      <c r="E30" s="27" t="s">
        <v>755</v>
      </c>
      <c r="F30" s="28">
        <v>46142</v>
      </c>
      <c r="G30" s="29">
        <v>3178070520</v>
      </c>
      <c r="H30" s="26"/>
    </row>
    <row r="31" spans="1:8" ht="30" x14ac:dyDescent="0.25">
      <c r="A31" s="45" t="s">
        <v>790</v>
      </c>
      <c r="B31" s="45" t="s">
        <v>791</v>
      </c>
      <c r="C31" s="45" t="s">
        <v>792</v>
      </c>
      <c r="D31" s="38" t="s">
        <v>793</v>
      </c>
      <c r="E31" s="39" t="s">
        <v>712</v>
      </c>
      <c r="F31" s="40">
        <v>44039</v>
      </c>
      <c r="G31" s="41">
        <v>4403062392</v>
      </c>
      <c r="H31" s="38"/>
    </row>
    <row r="32" spans="1:8" x14ac:dyDescent="0.25">
      <c r="A32" s="31" t="s">
        <v>137</v>
      </c>
      <c r="B32" s="31"/>
      <c r="C32" s="31" t="s">
        <v>794</v>
      </c>
      <c r="D32" s="26" t="s">
        <v>795</v>
      </c>
      <c r="E32" s="27" t="s">
        <v>796</v>
      </c>
      <c r="F32" s="28">
        <v>11201</v>
      </c>
      <c r="G32" s="29">
        <v>7184885577</v>
      </c>
      <c r="H32" s="26"/>
    </row>
    <row r="33" spans="1:8" x14ac:dyDescent="0.25">
      <c r="A33" s="37" t="s">
        <v>1642</v>
      </c>
      <c r="B33" s="44"/>
      <c r="C33" s="44" t="s">
        <v>1643</v>
      </c>
      <c r="D33" s="26" t="s">
        <v>1644</v>
      </c>
      <c r="E33" s="27" t="s">
        <v>787</v>
      </c>
      <c r="F33" s="28">
        <v>33764</v>
      </c>
      <c r="G33" s="29" t="s">
        <v>1645</v>
      </c>
      <c r="H33" s="26"/>
    </row>
    <row r="34" spans="1:8" x14ac:dyDescent="0.25">
      <c r="A34" s="31" t="s">
        <v>140</v>
      </c>
      <c r="B34" s="31"/>
      <c r="C34" s="31" t="s">
        <v>798</v>
      </c>
      <c r="D34" s="26" t="s">
        <v>799</v>
      </c>
      <c r="E34" s="27" t="s">
        <v>800</v>
      </c>
      <c r="F34" s="28">
        <v>7495</v>
      </c>
      <c r="G34" s="29">
        <v>2013270200</v>
      </c>
      <c r="H34" s="30" t="s">
        <v>1646</v>
      </c>
    </row>
    <row r="35" spans="1:8" x14ac:dyDescent="0.25">
      <c r="A35" s="31" t="s">
        <v>144</v>
      </c>
      <c r="B35" s="31"/>
      <c r="C35" s="31" t="s">
        <v>801</v>
      </c>
      <c r="D35" s="26" t="s">
        <v>802</v>
      </c>
      <c r="E35" s="27" t="s">
        <v>803</v>
      </c>
      <c r="F35" s="28" t="s">
        <v>804</v>
      </c>
      <c r="G35" s="29">
        <v>2094912020</v>
      </c>
      <c r="H35" s="30" t="s">
        <v>805</v>
      </c>
    </row>
    <row r="36" spans="1:8" x14ac:dyDescent="0.25">
      <c r="A36" s="31" t="s">
        <v>146</v>
      </c>
      <c r="B36" s="31"/>
      <c r="C36" s="31" t="s">
        <v>806</v>
      </c>
      <c r="D36" s="26" t="s">
        <v>807</v>
      </c>
      <c r="E36" s="27" t="s">
        <v>712</v>
      </c>
      <c r="F36" s="28">
        <v>44203</v>
      </c>
      <c r="G36" s="29">
        <v>3307524302</v>
      </c>
      <c r="H36" s="26"/>
    </row>
    <row r="37" spans="1:8" x14ac:dyDescent="0.25">
      <c r="A37" s="31" t="s">
        <v>171</v>
      </c>
      <c r="B37" s="31"/>
      <c r="C37" s="31" t="s">
        <v>808</v>
      </c>
      <c r="D37" s="26" t="s">
        <v>809</v>
      </c>
      <c r="E37" s="27" t="s">
        <v>803</v>
      </c>
      <c r="F37" s="28">
        <v>90028</v>
      </c>
      <c r="G37" s="29">
        <v>8884741900</v>
      </c>
      <c r="H37" s="26"/>
    </row>
    <row r="38" spans="1:8" x14ac:dyDescent="0.25">
      <c r="A38" s="31" t="s">
        <v>214</v>
      </c>
      <c r="B38" s="31"/>
      <c r="C38" s="31" t="s">
        <v>810</v>
      </c>
      <c r="D38" s="26" t="s">
        <v>811</v>
      </c>
      <c r="E38" s="27" t="s">
        <v>712</v>
      </c>
      <c r="F38" s="28">
        <v>45015</v>
      </c>
      <c r="G38" s="29">
        <v>5133282881</v>
      </c>
      <c r="H38" s="26"/>
    </row>
    <row r="39" spans="1:8" x14ac:dyDescent="0.25">
      <c r="A39" s="31" t="s">
        <v>216</v>
      </c>
      <c r="B39" s="31"/>
      <c r="C39" s="31" t="s">
        <v>814</v>
      </c>
      <c r="D39" s="26" t="s">
        <v>815</v>
      </c>
      <c r="E39" s="27" t="s">
        <v>712</v>
      </c>
      <c r="F39" s="28">
        <v>44702</v>
      </c>
      <c r="G39" s="29">
        <v>3304563770</v>
      </c>
      <c r="H39" s="26"/>
    </row>
    <row r="40" spans="1:8" x14ac:dyDescent="0.25">
      <c r="A40" s="31" t="s">
        <v>220</v>
      </c>
      <c r="B40" s="31"/>
      <c r="C40" s="31" t="s">
        <v>816</v>
      </c>
      <c r="D40" s="26" t="s">
        <v>817</v>
      </c>
      <c r="E40" s="27" t="s">
        <v>712</v>
      </c>
      <c r="F40" s="28">
        <v>44512</v>
      </c>
      <c r="G40" s="29">
        <v>3307261679</v>
      </c>
      <c r="H40" s="26"/>
    </row>
    <row r="41" spans="1:8" x14ac:dyDescent="0.25">
      <c r="A41" s="31" t="s">
        <v>235</v>
      </c>
      <c r="B41" s="25" t="s">
        <v>1649</v>
      </c>
      <c r="C41" s="26" t="s">
        <v>818</v>
      </c>
      <c r="D41" s="26" t="s">
        <v>819</v>
      </c>
      <c r="E41" s="27" t="s">
        <v>1965</v>
      </c>
      <c r="F41" s="28" t="s">
        <v>820</v>
      </c>
      <c r="G41" s="29">
        <v>2049424242</v>
      </c>
      <c r="H41" s="26"/>
    </row>
    <row r="42" spans="1:8" x14ac:dyDescent="0.25">
      <c r="A42" s="31" t="s">
        <v>236</v>
      </c>
      <c r="B42" s="31"/>
      <c r="C42" s="31" t="s">
        <v>1647</v>
      </c>
      <c r="D42" s="26" t="s">
        <v>811</v>
      </c>
      <c r="E42" s="27" t="s">
        <v>712</v>
      </c>
      <c r="F42" s="28">
        <v>45013</v>
      </c>
      <c r="G42" s="29" t="s">
        <v>1648</v>
      </c>
      <c r="H42" s="26"/>
    </row>
    <row r="43" spans="1:8" x14ac:dyDescent="0.25">
      <c r="A43" s="31" t="s">
        <v>236</v>
      </c>
      <c r="B43" s="31"/>
      <c r="C43" s="31" t="s">
        <v>821</v>
      </c>
      <c r="D43" s="26" t="s">
        <v>822</v>
      </c>
      <c r="E43" s="27" t="s">
        <v>712</v>
      </c>
      <c r="F43" s="28">
        <v>45069</v>
      </c>
      <c r="G43" s="29">
        <v>5134632200</v>
      </c>
      <c r="H43" s="26"/>
    </row>
    <row r="44" spans="1:8" x14ac:dyDescent="0.25">
      <c r="A44" s="37" t="s">
        <v>237</v>
      </c>
      <c r="B44" s="44"/>
      <c r="C44" s="25" t="s">
        <v>823</v>
      </c>
      <c r="D44" s="26" t="s">
        <v>817</v>
      </c>
      <c r="E44" s="27" t="s">
        <v>712</v>
      </c>
      <c r="F44" s="28">
        <v>44512</v>
      </c>
      <c r="G44" s="29">
        <v>3306299368</v>
      </c>
      <c r="H44" s="26"/>
    </row>
    <row r="45" spans="1:8" x14ac:dyDescent="0.25">
      <c r="A45" s="31" t="s">
        <v>239</v>
      </c>
      <c r="B45" s="31"/>
      <c r="C45" s="31" t="s">
        <v>824</v>
      </c>
      <c r="D45" s="26" t="s">
        <v>825</v>
      </c>
      <c r="E45" s="27" t="s">
        <v>775</v>
      </c>
      <c r="F45" s="28">
        <v>97230</v>
      </c>
      <c r="G45" s="29">
        <v>5032570100</v>
      </c>
      <c r="H45" s="26"/>
    </row>
    <row r="46" spans="1:8" x14ac:dyDescent="0.25">
      <c r="A46" s="31" t="s">
        <v>826</v>
      </c>
      <c r="B46" s="31"/>
      <c r="C46" s="31" t="s">
        <v>827</v>
      </c>
      <c r="D46" s="26" t="s">
        <v>809</v>
      </c>
      <c r="E46" s="27" t="s">
        <v>803</v>
      </c>
      <c r="F46" s="28">
        <v>90069</v>
      </c>
      <c r="G46" s="29">
        <v>3102688110</v>
      </c>
      <c r="H46" s="26"/>
    </row>
    <row r="47" spans="1:8" x14ac:dyDescent="0.25">
      <c r="A47" s="31" t="s">
        <v>246</v>
      </c>
      <c r="B47" s="31"/>
      <c r="C47" s="31" t="s">
        <v>828</v>
      </c>
      <c r="D47" s="26" t="s">
        <v>829</v>
      </c>
      <c r="E47" s="27" t="s">
        <v>803</v>
      </c>
      <c r="F47" s="28">
        <v>90245</v>
      </c>
      <c r="G47" s="29">
        <v>3106152308</v>
      </c>
      <c r="H47" s="26"/>
    </row>
    <row r="48" spans="1:8" x14ac:dyDescent="0.25">
      <c r="A48" s="31" t="s">
        <v>1650</v>
      </c>
      <c r="B48" s="31"/>
      <c r="C48" s="31" t="s">
        <v>1651</v>
      </c>
      <c r="D48" s="26" t="s">
        <v>1185</v>
      </c>
      <c r="E48" s="27" t="s">
        <v>787</v>
      </c>
      <c r="F48" s="28">
        <v>33073</v>
      </c>
      <c r="G48" s="29" t="s">
        <v>1652</v>
      </c>
      <c r="H48" s="30" t="s">
        <v>1653</v>
      </c>
    </row>
    <row r="49" spans="1:8" x14ac:dyDescent="0.25">
      <c r="A49" s="31" t="s">
        <v>249</v>
      </c>
      <c r="B49" s="31"/>
      <c r="C49" s="31" t="s">
        <v>830</v>
      </c>
      <c r="D49" s="26" t="s">
        <v>831</v>
      </c>
      <c r="E49" s="27" t="s">
        <v>796</v>
      </c>
      <c r="F49" s="28">
        <v>10509</v>
      </c>
      <c r="G49" s="29" t="s">
        <v>1654</v>
      </c>
      <c r="H49" s="30" t="s">
        <v>832</v>
      </c>
    </row>
    <row r="50" spans="1:8" x14ac:dyDescent="0.25">
      <c r="A50" s="31" t="s">
        <v>262</v>
      </c>
      <c r="B50" s="31"/>
      <c r="C50" s="31" t="s">
        <v>833</v>
      </c>
      <c r="D50" s="26" t="s">
        <v>834</v>
      </c>
      <c r="E50" s="27" t="s">
        <v>803</v>
      </c>
      <c r="F50" s="28">
        <v>91303</v>
      </c>
      <c r="G50" s="29">
        <v>8182223470</v>
      </c>
      <c r="H50" s="26"/>
    </row>
    <row r="51" spans="1:8" ht="90" x14ac:dyDescent="0.25">
      <c r="A51" s="45" t="s">
        <v>835</v>
      </c>
      <c r="B51" s="45" t="s">
        <v>836</v>
      </c>
      <c r="C51" s="45" t="s">
        <v>837</v>
      </c>
      <c r="D51" s="38" t="s">
        <v>838</v>
      </c>
      <c r="E51" s="39" t="s">
        <v>839</v>
      </c>
      <c r="F51" s="40">
        <v>72120</v>
      </c>
      <c r="G51" s="41">
        <v>5018355000</v>
      </c>
      <c r="H51" s="42" t="s">
        <v>1655</v>
      </c>
    </row>
    <row r="52" spans="1:8" x14ac:dyDescent="0.25">
      <c r="A52" s="31" t="s">
        <v>281</v>
      </c>
      <c r="B52" s="31" t="s">
        <v>840</v>
      </c>
      <c r="C52" s="31" t="s">
        <v>841</v>
      </c>
      <c r="D52" s="26" t="s">
        <v>842</v>
      </c>
      <c r="E52" s="27" t="s">
        <v>843</v>
      </c>
      <c r="F52" s="28">
        <v>68508</v>
      </c>
      <c r="G52" s="29">
        <v>4024761010</v>
      </c>
      <c r="H52" s="30" t="s">
        <v>844</v>
      </c>
    </row>
    <row r="53" spans="1:8" x14ac:dyDescent="0.25">
      <c r="A53" s="31" t="s">
        <v>289</v>
      </c>
      <c r="B53" s="31" t="s">
        <v>845</v>
      </c>
      <c r="C53" s="31" t="s">
        <v>846</v>
      </c>
      <c r="D53" s="26" t="s">
        <v>847</v>
      </c>
      <c r="E53" s="27" t="s">
        <v>712</v>
      </c>
      <c r="F53" s="28">
        <v>44240</v>
      </c>
      <c r="G53" s="29">
        <v>3306506011</v>
      </c>
      <c r="H53" s="30" t="s">
        <v>1656</v>
      </c>
    </row>
    <row r="54" spans="1:8" x14ac:dyDescent="0.25">
      <c r="A54" s="31" t="s">
        <v>315</v>
      </c>
      <c r="B54" s="26" t="s">
        <v>848</v>
      </c>
      <c r="C54" s="31" t="s">
        <v>849</v>
      </c>
      <c r="D54" s="26" t="s">
        <v>850</v>
      </c>
      <c r="E54" s="27" t="s">
        <v>712</v>
      </c>
      <c r="F54" s="28">
        <v>44333</v>
      </c>
      <c r="G54" s="29">
        <v>3306681400</v>
      </c>
      <c r="H54" s="30" t="s">
        <v>1657</v>
      </c>
    </row>
    <row r="55" spans="1:8" x14ac:dyDescent="0.25">
      <c r="A55" s="31" t="s">
        <v>367</v>
      </c>
      <c r="B55" s="31"/>
      <c r="C55" s="31" t="s">
        <v>851</v>
      </c>
      <c r="D55" s="26" t="s">
        <v>735</v>
      </c>
      <c r="E55" s="27" t="s">
        <v>736</v>
      </c>
      <c r="F55" s="28">
        <v>48033</v>
      </c>
      <c r="G55" s="29">
        <v>2485528866</v>
      </c>
      <c r="H55" s="30" t="s">
        <v>1658</v>
      </c>
    </row>
    <row r="56" spans="1:8" x14ac:dyDescent="0.25">
      <c r="A56" s="31" t="s">
        <v>371</v>
      </c>
      <c r="B56" s="31"/>
      <c r="C56" s="31" t="s">
        <v>852</v>
      </c>
      <c r="D56" s="26" t="s">
        <v>853</v>
      </c>
      <c r="E56" s="27" t="s">
        <v>813</v>
      </c>
      <c r="F56" s="28">
        <v>2140</v>
      </c>
      <c r="G56" s="29">
        <v>6174924474</v>
      </c>
      <c r="H56" s="26"/>
    </row>
    <row r="57" spans="1:8" x14ac:dyDescent="0.25">
      <c r="A57" s="31" t="s">
        <v>375</v>
      </c>
      <c r="B57" s="31"/>
      <c r="C57" s="31" t="s">
        <v>854</v>
      </c>
      <c r="D57" s="26" t="s">
        <v>855</v>
      </c>
      <c r="E57" s="27" t="s">
        <v>736</v>
      </c>
      <c r="F57" s="28">
        <v>49504</v>
      </c>
      <c r="G57" s="29">
        <v>6164538711</v>
      </c>
      <c r="H57" s="30" t="s">
        <v>1660</v>
      </c>
    </row>
    <row r="58" spans="1:8" x14ac:dyDescent="0.25">
      <c r="A58" s="31" t="s">
        <v>1726</v>
      </c>
      <c r="B58" s="31" t="s">
        <v>1659</v>
      </c>
      <c r="C58" s="31" t="s">
        <v>1727</v>
      </c>
      <c r="D58" s="26" t="s">
        <v>975</v>
      </c>
      <c r="E58" s="27" t="s">
        <v>976</v>
      </c>
      <c r="F58" s="28">
        <v>30305</v>
      </c>
      <c r="G58" s="29" t="s">
        <v>1728</v>
      </c>
      <c r="H58" s="26"/>
    </row>
    <row r="59" spans="1:8" x14ac:dyDescent="0.25">
      <c r="A59" s="31" t="s">
        <v>1666</v>
      </c>
      <c r="B59" s="31"/>
      <c r="C59" s="31" t="s">
        <v>1661</v>
      </c>
      <c r="D59" s="26" t="s">
        <v>1662</v>
      </c>
      <c r="E59" s="27" t="s">
        <v>1964</v>
      </c>
      <c r="F59" s="28" t="s">
        <v>1663</v>
      </c>
      <c r="G59" s="29" t="s">
        <v>1664</v>
      </c>
      <c r="H59" s="30" t="s">
        <v>1665</v>
      </c>
    </row>
    <row r="60" spans="1:8" x14ac:dyDescent="0.25">
      <c r="A60" s="31" t="s">
        <v>856</v>
      </c>
      <c r="B60" s="31"/>
      <c r="C60" s="31" t="s">
        <v>857</v>
      </c>
      <c r="D60" s="26" t="s">
        <v>858</v>
      </c>
      <c r="E60" s="27" t="s">
        <v>712</v>
      </c>
      <c r="F60" s="28">
        <v>45505</v>
      </c>
      <c r="G60" s="29">
        <v>9373239928</v>
      </c>
      <c r="H60" s="26"/>
    </row>
    <row r="61" spans="1:8" x14ac:dyDescent="0.25">
      <c r="A61" s="31" t="s">
        <v>1667</v>
      </c>
      <c r="B61" s="31"/>
      <c r="C61" s="31" t="s">
        <v>1668</v>
      </c>
      <c r="D61" s="26" t="s">
        <v>1669</v>
      </c>
      <c r="E61" s="27" t="s">
        <v>755</v>
      </c>
      <c r="F61" s="28">
        <v>46517</v>
      </c>
      <c r="G61" s="29" t="s">
        <v>1670</v>
      </c>
      <c r="H61" s="26"/>
    </row>
    <row r="62" spans="1:8" x14ac:dyDescent="0.25">
      <c r="A62" s="31" t="s">
        <v>859</v>
      </c>
      <c r="B62" s="31"/>
      <c r="C62" s="31" t="s">
        <v>860</v>
      </c>
      <c r="D62" s="26" t="s">
        <v>861</v>
      </c>
      <c r="E62" s="27" t="s">
        <v>712</v>
      </c>
      <c r="F62" s="28">
        <v>44481</v>
      </c>
      <c r="G62" s="29">
        <v>3304695417</v>
      </c>
      <c r="H62" s="26"/>
    </row>
    <row r="63" spans="1:8" x14ac:dyDescent="0.25">
      <c r="A63" s="37" t="s">
        <v>413</v>
      </c>
      <c r="B63" s="37"/>
      <c r="C63" s="31" t="s">
        <v>862</v>
      </c>
      <c r="D63" s="26" t="s">
        <v>863</v>
      </c>
      <c r="E63" s="27" t="s">
        <v>712</v>
      </c>
      <c r="F63" s="28">
        <v>44128</v>
      </c>
      <c r="G63" s="29">
        <v>2166624483</v>
      </c>
      <c r="H63" s="26"/>
    </row>
    <row r="64" spans="1:8" ht="30" x14ac:dyDescent="0.25">
      <c r="A64" s="31" t="s">
        <v>864</v>
      </c>
      <c r="B64" s="31"/>
      <c r="C64" s="31" t="s">
        <v>865</v>
      </c>
      <c r="D64" s="26" t="s">
        <v>866</v>
      </c>
      <c r="E64" s="27" t="s">
        <v>712</v>
      </c>
      <c r="F64" s="28">
        <v>43065</v>
      </c>
      <c r="G64" s="29">
        <v>7408811888</v>
      </c>
      <c r="H64" s="26"/>
    </row>
    <row r="65" spans="1:8" x14ac:dyDescent="0.25">
      <c r="A65" s="31" t="s">
        <v>1671</v>
      </c>
      <c r="B65" s="31"/>
      <c r="C65" s="31" t="s">
        <v>1672</v>
      </c>
      <c r="D65" s="26" t="s">
        <v>711</v>
      </c>
      <c r="E65" s="27" t="s">
        <v>712</v>
      </c>
      <c r="F65" s="28">
        <v>45238</v>
      </c>
      <c r="G65" s="29" t="s">
        <v>1673</v>
      </c>
      <c r="H65" s="30"/>
    </row>
    <row r="66" spans="1:8" x14ac:dyDescent="0.25">
      <c r="A66" s="31" t="s">
        <v>429</v>
      </c>
      <c r="B66" s="31"/>
      <c r="C66" s="31" t="s">
        <v>867</v>
      </c>
      <c r="D66" s="26" t="s">
        <v>861</v>
      </c>
      <c r="E66" s="27" t="s">
        <v>712</v>
      </c>
      <c r="F66" s="28">
        <v>44481</v>
      </c>
      <c r="G66" s="29">
        <v>3302403633</v>
      </c>
      <c r="H66" s="26"/>
    </row>
    <row r="67" spans="1:8" x14ac:dyDescent="0.25">
      <c r="A67" s="45" t="s">
        <v>868</v>
      </c>
      <c r="B67" s="46" t="s">
        <v>558</v>
      </c>
      <c r="C67" s="31" t="s">
        <v>869</v>
      </c>
      <c r="D67" s="38" t="s">
        <v>870</v>
      </c>
      <c r="E67" s="39" t="s">
        <v>712</v>
      </c>
      <c r="F67" s="40" t="s">
        <v>871</v>
      </c>
      <c r="G67" s="41">
        <v>4198414605</v>
      </c>
      <c r="H67" s="38"/>
    </row>
    <row r="68" spans="1:8" s="54" customFormat="1" x14ac:dyDescent="0.25">
      <c r="A68" s="47" t="s">
        <v>908</v>
      </c>
      <c r="B68" s="48" t="s">
        <v>1974</v>
      </c>
      <c r="C68" s="49" t="s">
        <v>1674</v>
      </c>
      <c r="D68" s="50" t="s">
        <v>876</v>
      </c>
      <c r="E68" s="51" t="s">
        <v>874</v>
      </c>
      <c r="F68" s="52">
        <v>85016</v>
      </c>
      <c r="G68" s="53" t="s">
        <v>1675</v>
      </c>
      <c r="H68" s="50"/>
    </row>
    <row r="69" spans="1:8" x14ac:dyDescent="0.25">
      <c r="A69" s="31" t="s">
        <v>449</v>
      </c>
      <c r="B69" s="31"/>
      <c r="C69" s="31" t="s">
        <v>872</v>
      </c>
      <c r="D69" s="38" t="s">
        <v>873</v>
      </c>
      <c r="E69" s="39" t="s">
        <v>874</v>
      </c>
      <c r="F69" s="40">
        <v>85210</v>
      </c>
      <c r="G69" s="41">
        <v>4807528140</v>
      </c>
      <c r="H69" s="38"/>
    </row>
    <row r="70" spans="1:8" x14ac:dyDescent="0.25">
      <c r="A70" s="31" t="s">
        <v>477</v>
      </c>
      <c r="B70" s="31"/>
      <c r="C70" s="31" t="s">
        <v>1729</v>
      </c>
      <c r="D70" s="38" t="s">
        <v>721</v>
      </c>
      <c r="E70" s="39" t="s">
        <v>722</v>
      </c>
      <c r="F70" s="40">
        <v>56303</v>
      </c>
      <c r="G70" s="41" t="s">
        <v>1730</v>
      </c>
      <c r="H70" s="38"/>
    </row>
    <row r="71" spans="1:8" x14ac:dyDescent="0.25">
      <c r="A71" s="31" t="s">
        <v>478</v>
      </c>
      <c r="B71" s="31" t="s">
        <v>1676</v>
      </c>
      <c r="C71" s="31" t="s">
        <v>875</v>
      </c>
      <c r="D71" s="26" t="s">
        <v>876</v>
      </c>
      <c r="E71" s="27" t="s">
        <v>874</v>
      </c>
      <c r="F71" s="28">
        <v>85029</v>
      </c>
      <c r="G71" s="29">
        <v>6029431244</v>
      </c>
      <c r="H71" s="26"/>
    </row>
    <row r="72" spans="1:8" x14ac:dyDescent="0.25">
      <c r="A72" s="31" t="s">
        <v>1677</v>
      </c>
      <c r="B72" s="31"/>
      <c r="C72" s="31" t="s">
        <v>1678</v>
      </c>
      <c r="D72" s="26" t="s">
        <v>962</v>
      </c>
      <c r="E72" s="27" t="s">
        <v>963</v>
      </c>
      <c r="F72" s="28">
        <v>20002</v>
      </c>
      <c r="G72" s="29" t="s">
        <v>1679</v>
      </c>
      <c r="H72" s="26"/>
    </row>
    <row r="73" spans="1:8" x14ac:dyDescent="0.25">
      <c r="A73" s="31" t="s">
        <v>487</v>
      </c>
      <c r="B73" s="31" t="s">
        <v>878</v>
      </c>
      <c r="C73" s="31" t="s">
        <v>879</v>
      </c>
      <c r="D73" s="26" t="s">
        <v>746</v>
      </c>
      <c r="E73" s="27" t="s">
        <v>712</v>
      </c>
      <c r="F73" s="28">
        <v>44114</v>
      </c>
      <c r="G73" s="29">
        <v>2164313979</v>
      </c>
      <c r="H73" s="30" t="s">
        <v>880</v>
      </c>
    </row>
    <row r="74" spans="1:8" x14ac:dyDescent="0.25">
      <c r="A74" s="31" t="s">
        <v>489</v>
      </c>
      <c r="B74" s="31" t="s">
        <v>1680</v>
      </c>
      <c r="C74" s="31" t="s">
        <v>1681</v>
      </c>
      <c r="D74" s="26" t="s">
        <v>1682</v>
      </c>
      <c r="E74" s="27" t="s">
        <v>839</v>
      </c>
      <c r="F74" s="28">
        <v>72032</v>
      </c>
      <c r="G74" s="29" t="s">
        <v>1683</v>
      </c>
      <c r="H74" s="30" t="s">
        <v>1684</v>
      </c>
    </row>
    <row r="75" spans="1:8" x14ac:dyDescent="0.25">
      <c r="A75" s="31" t="s">
        <v>491</v>
      </c>
      <c r="B75" s="31" t="s">
        <v>881</v>
      </c>
      <c r="C75" s="31" t="s">
        <v>882</v>
      </c>
      <c r="D75" s="26" t="s">
        <v>883</v>
      </c>
      <c r="E75" s="27" t="s">
        <v>712</v>
      </c>
      <c r="F75" s="28">
        <v>45373</v>
      </c>
      <c r="G75" s="29">
        <v>9374406862</v>
      </c>
      <c r="H75" s="26"/>
    </row>
    <row r="76" spans="1:8" x14ac:dyDescent="0.25">
      <c r="A76" s="31" t="s">
        <v>1685</v>
      </c>
      <c r="B76" s="31" t="s">
        <v>1686</v>
      </c>
      <c r="C76" s="31" t="s">
        <v>1687</v>
      </c>
      <c r="D76" s="26" t="s">
        <v>765</v>
      </c>
      <c r="E76" s="27" t="s">
        <v>766</v>
      </c>
      <c r="F76" s="28">
        <v>98004</v>
      </c>
      <c r="G76" s="29" t="s">
        <v>1688</v>
      </c>
      <c r="H76" s="30" t="s">
        <v>767</v>
      </c>
    </row>
    <row r="77" spans="1:8" x14ac:dyDescent="0.25">
      <c r="A77" s="31" t="s">
        <v>504</v>
      </c>
      <c r="B77" s="31"/>
      <c r="C77" s="31" t="s">
        <v>886</v>
      </c>
      <c r="D77" s="26" t="s">
        <v>887</v>
      </c>
      <c r="E77" s="27" t="s">
        <v>783</v>
      </c>
      <c r="F77" s="28">
        <v>89501</v>
      </c>
      <c r="G77" s="29">
        <v>7753229992</v>
      </c>
      <c r="H77" s="26"/>
    </row>
    <row r="78" spans="1:8" x14ac:dyDescent="0.25">
      <c r="A78" s="31" t="s">
        <v>516</v>
      </c>
      <c r="B78" s="31"/>
      <c r="C78" s="31" t="s">
        <v>906</v>
      </c>
      <c r="D78" s="26" t="s">
        <v>907</v>
      </c>
      <c r="E78" s="27" t="s">
        <v>712</v>
      </c>
      <c r="F78" s="28">
        <v>44130</v>
      </c>
      <c r="G78" s="29">
        <v>4408434800</v>
      </c>
      <c r="H78" s="26"/>
    </row>
    <row r="79" spans="1:8" x14ac:dyDescent="0.25">
      <c r="A79" s="37" t="s">
        <v>531</v>
      </c>
      <c r="B79" s="44" t="s">
        <v>888</v>
      </c>
      <c r="C79" s="37" t="s">
        <v>889</v>
      </c>
      <c r="D79" s="26" t="s">
        <v>890</v>
      </c>
      <c r="E79" s="27" t="s">
        <v>813</v>
      </c>
      <c r="F79" s="28">
        <v>2458</v>
      </c>
      <c r="G79" s="29">
        <v>6174673600</v>
      </c>
      <c r="H79" s="26"/>
    </row>
    <row r="80" spans="1:8" ht="30" x14ac:dyDescent="0.25">
      <c r="A80" s="32" t="s">
        <v>891</v>
      </c>
      <c r="B80" s="33"/>
      <c r="C80" s="8" t="s">
        <v>892</v>
      </c>
      <c r="D80" s="38" t="s">
        <v>893</v>
      </c>
      <c r="E80" s="39" t="s">
        <v>894</v>
      </c>
      <c r="F80" s="40">
        <v>3086</v>
      </c>
      <c r="G80" s="41">
        <v>6036546141</v>
      </c>
      <c r="H80" s="42" t="s">
        <v>895</v>
      </c>
    </row>
    <row r="81" spans="1:8" x14ac:dyDescent="0.25">
      <c r="A81" s="31" t="s">
        <v>549</v>
      </c>
      <c r="B81" s="31"/>
      <c r="C81" s="31" t="s">
        <v>896</v>
      </c>
      <c r="D81" s="26" t="s">
        <v>897</v>
      </c>
      <c r="E81" s="27" t="s">
        <v>736</v>
      </c>
      <c r="F81" s="28">
        <v>48823</v>
      </c>
      <c r="G81" s="29">
        <v>5173321500</v>
      </c>
      <c r="H81" s="30" t="s">
        <v>898</v>
      </c>
    </row>
    <row r="82" spans="1:8" x14ac:dyDescent="0.25">
      <c r="A82" s="31" t="s">
        <v>555</v>
      </c>
      <c r="B82" s="31"/>
      <c r="C82" s="31" t="s">
        <v>1704</v>
      </c>
      <c r="D82" s="26" t="s">
        <v>899</v>
      </c>
      <c r="E82" s="27" t="s">
        <v>755</v>
      </c>
      <c r="F82" s="28">
        <v>46278</v>
      </c>
      <c r="G82" s="29">
        <v>3172951548</v>
      </c>
      <c r="H82" s="26"/>
    </row>
    <row r="83" spans="1:8" x14ac:dyDescent="0.25">
      <c r="A83" s="31" t="s">
        <v>555</v>
      </c>
      <c r="B83" s="31"/>
      <c r="C83" s="31" t="s">
        <v>1689</v>
      </c>
      <c r="D83" s="26" t="s">
        <v>899</v>
      </c>
      <c r="E83" s="27" t="s">
        <v>755</v>
      </c>
      <c r="F83" s="28">
        <v>46250</v>
      </c>
      <c r="G83" s="29">
        <v>3172951548</v>
      </c>
      <c r="H83" s="26"/>
    </row>
    <row r="84" spans="1:8" x14ac:dyDescent="0.25">
      <c r="A84" s="31" t="s">
        <v>1731</v>
      </c>
      <c r="B84" s="31" t="s">
        <v>1732</v>
      </c>
      <c r="C84" s="31" t="s">
        <v>869</v>
      </c>
      <c r="D84" s="38" t="s">
        <v>870</v>
      </c>
      <c r="E84" s="39" t="s">
        <v>712</v>
      </c>
      <c r="F84" s="40" t="s">
        <v>871</v>
      </c>
      <c r="G84" s="41">
        <v>4198414605</v>
      </c>
      <c r="H84" s="26"/>
    </row>
    <row r="85" spans="1:8" x14ac:dyDescent="0.25">
      <c r="A85" s="31" t="s">
        <v>900</v>
      </c>
      <c r="B85" s="31"/>
      <c r="C85" s="31" t="s">
        <v>901</v>
      </c>
      <c r="D85" s="26" t="s">
        <v>902</v>
      </c>
      <c r="E85" s="27" t="s">
        <v>800</v>
      </c>
      <c r="F85" s="28">
        <v>7857</v>
      </c>
      <c r="G85" s="29">
        <v>9733472797</v>
      </c>
      <c r="H85" s="26"/>
    </row>
    <row r="86" spans="1:8" x14ac:dyDescent="0.25">
      <c r="A86" s="31" t="s">
        <v>568</v>
      </c>
      <c r="B86" s="31"/>
      <c r="C86" s="31" t="s">
        <v>1696</v>
      </c>
      <c r="D86" s="26" t="s">
        <v>903</v>
      </c>
      <c r="E86" s="27" t="s">
        <v>712</v>
      </c>
      <c r="F86" s="28">
        <v>44035</v>
      </c>
      <c r="G86" s="29">
        <v>4403094960</v>
      </c>
      <c r="H86" s="26"/>
    </row>
    <row r="87" spans="1:8" x14ac:dyDescent="0.25">
      <c r="A87" s="37" t="s">
        <v>904</v>
      </c>
      <c r="B87" s="37"/>
      <c r="C87" s="37" t="s">
        <v>905</v>
      </c>
      <c r="D87" s="26" t="s">
        <v>761</v>
      </c>
      <c r="E87" s="27" t="s">
        <v>712</v>
      </c>
      <c r="F87" s="28">
        <v>43215</v>
      </c>
      <c r="G87" s="29">
        <v>6142998596</v>
      </c>
      <c r="H87" s="26"/>
    </row>
    <row r="88" spans="1:8" x14ac:dyDescent="0.25">
      <c r="A88" s="31" t="s">
        <v>1690</v>
      </c>
      <c r="B88" s="31" t="s">
        <v>1691</v>
      </c>
      <c r="C88" s="31" t="s">
        <v>1692</v>
      </c>
      <c r="D88" s="26" t="s">
        <v>1105</v>
      </c>
      <c r="E88" s="27" t="s">
        <v>751</v>
      </c>
      <c r="F88" s="28">
        <v>22043</v>
      </c>
      <c r="G88" s="29" t="s">
        <v>1693</v>
      </c>
      <c r="H88" s="30" t="s">
        <v>1694</v>
      </c>
    </row>
    <row r="89" spans="1:8" x14ac:dyDescent="0.25">
      <c r="A89" s="31" t="s">
        <v>582</v>
      </c>
      <c r="B89" s="31" t="s">
        <v>908</v>
      </c>
      <c r="C89" s="31" t="s">
        <v>909</v>
      </c>
      <c r="D89" s="26" t="s">
        <v>876</v>
      </c>
      <c r="E89" s="27" t="s">
        <v>874</v>
      </c>
      <c r="F89" s="28">
        <v>85016</v>
      </c>
      <c r="G89" s="29">
        <v>6028249474</v>
      </c>
      <c r="H89" s="30" t="s">
        <v>910</v>
      </c>
    </row>
    <row r="90" spans="1:8" x14ac:dyDescent="0.25">
      <c r="A90" s="44" t="s">
        <v>911</v>
      </c>
      <c r="B90" s="44" t="s">
        <v>912</v>
      </c>
      <c r="C90" s="25" t="s">
        <v>1695</v>
      </c>
      <c r="D90" s="26" t="s">
        <v>711</v>
      </c>
      <c r="E90" s="27" t="s">
        <v>712</v>
      </c>
      <c r="F90" s="28">
        <v>45233</v>
      </c>
      <c r="G90" s="29">
        <v>5139225047</v>
      </c>
      <c r="H90" s="26"/>
    </row>
    <row r="91" spans="1:8" x14ac:dyDescent="0.25">
      <c r="A91" s="31" t="s">
        <v>587</v>
      </c>
      <c r="B91" s="31"/>
      <c r="C91" s="31" t="s">
        <v>1697</v>
      </c>
      <c r="D91" s="26" t="s">
        <v>913</v>
      </c>
      <c r="E91" s="27" t="s">
        <v>755</v>
      </c>
      <c r="F91" s="28">
        <v>47834</v>
      </c>
      <c r="G91" s="29">
        <v>8124461418</v>
      </c>
      <c r="H91" s="26"/>
    </row>
    <row r="92" spans="1:8" x14ac:dyDescent="0.25">
      <c r="A92" s="31" t="s">
        <v>590</v>
      </c>
      <c r="B92" s="31"/>
      <c r="C92" s="31" t="s">
        <v>1705</v>
      </c>
      <c r="D92" s="26" t="s">
        <v>1706</v>
      </c>
      <c r="E92" s="27" t="s">
        <v>712</v>
      </c>
      <c r="F92" s="28">
        <v>43311</v>
      </c>
      <c r="G92" s="29" t="s">
        <v>1707</v>
      </c>
      <c r="H92" s="30" t="s">
        <v>1708</v>
      </c>
    </row>
    <row r="93" spans="1:8" x14ac:dyDescent="0.25">
      <c r="A93" s="31" t="s">
        <v>590</v>
      </c>
      <c r="B93" s="31"/>
      <c r="C93" s="31" t="s">
        <v>1709</v>
      </c>
      <c r="D93" s="26" t="s">
        <v>1706</v>
      </c>
      <c r="E93" s="27" t="s">
        <v>712</v>
      </c>
      <c r="F93" s="28">
        <v>43311</v>
      </c>
      <c r="G93" s="29" t="s">
        <v>1707</v>
      </c>
      <c r="H93" s="30" t="s">
        <v>1708</v>
      </c>
    </row>
    <row r="94" spans="1:8" ht="90" x14ac:dyDescent="0.25">
      <c r="A94" s="45" t="s">
        <v>594</v>
      </c>
      <c r="B94" s="44" t="s">
        <v>1710</v>
      </c>
      <c r="C94" s="45" t="s">
        <v>914</v>
      </c>
      <c r="D94" s="38" t="s">
        <v>915</v>
      </c>
      <c r="E94" s="39" t="s">
        <v>916</v>
      </c>
      <c r="F94" s="40">
        <v>52404</v>
      </c>
      <c r="G94" s="41">
        <v>3193627483</v>
      </c>
      <c r="H94" s="42" t="s">
        <v>1711</v>
      </c>
    </row>
    <row r="95" spans="1:8" x14ac:dyDescent="0.25">
      <c r="A95" s="31" t="s">
        <v>613</v>
      </c>
      <c r="B95" s="31"/>
      <c r="C95" s="31" t="s">
        <v>917</v>
      </c>
      <c r="D95" s="26" t="s">
        <v>809</v>
      </c>
      <c r="E95" s="27" t="s">
        <v>803</v>
      </c>
      <c r="F95" s="28">
        <v>90045</v>
      </c>
      <c r="G95" s="29">
        <v>3106932900</v>
      </c>
      <c r="H95" s="26"/>
    </row>
    <row r="96" spans="1:8" x14ac:dyDescent="0.25">
      <c r="A96" s="31" t="s">
        <v>623</v>
      </c>
      <c r="B96" s="31"/>
      <c r="C96" s="31" t="s">
        <v>1698</v>
      </c>
      <c r="D96" s="26" t="s">
        <v>918</v>
      </c>
      <c r="E96" s="27" t="s">
        <v>712</v>
      </c>
      <c r="F96" s="28">
        <v>45322</v>
      </c>
      <c r="G96" s="29">
        <v>9377602601</v>
      </c>
      <c r="H96" s="26"/>
    </row>
    <row r="97" spans="1:8" x14ac:dyDescent="0.25">
      <c r="A97" s="31" t="s">
        <v>630</v>
      </c>
      <c r="B97" s="31"/>
      <c r="C97" s="31" t="s">
        <v>919</v>
      </c>
      <c r="D97" s="26" t="s">
        <v>920</v>
      </c>
      <c r="E97" s="27" t="s">
        <v>921</v>
      </c>
      <c r="F97" s="28">
        <v>53202</v>
      </c>
      <c r="G97" s="29">
        <v>4142717000</v>
      </c>
      <c r="H97" s="30" t="s">
        <v>922</v>
      </c>
    </row>
    <row r="98" spans="1:8" x14ac:dyDescent="0.25">
      <c r="A98" s="25" t="s">
        <v>635</v>
      </c>
      <c r="B98" s="25"/>
      <c r="C98" s="25" t="s">
        <v>1699</v>
      </c>
      <c r="D98" s="26" t="s">
        <v>923</v>
      </c>
      <c r="E98" s="27" t="s">
        <v>712</v>
      </c>
      <c r="F98" s="28">
        <v>44691</v>
      </c>
      <c r="G98" s="29">
        <v>3304668822</v>
      </c>
      <c r="H98" s="26"/>
    </row>
    <row r="99" spans="1:8" ht="30" x14ac:dyDescent="0.25">
      <c r="A99" s="55" t="s">
        <v>924</v>
      </c>
      <c r="B99" s="56"/>
      <c r="C99" s="45" t="s">
        <v>925</v>
      </c>
      <c r="D99" s="38" t="s">
        <v>727</v>
      </c>
      <c r="E99" s="39" t="s">
        <v>728</v>
      </c>
      <c r="F99" s="40" t="s">
        <v>926</v>
      </c>
      <c r="G99" s="41">
        <v>4165376100</v>
      </c>
      <c r="H99" s="30" t="s">
        <v>927</v>
      </c>
    </row>
    <row r="100" spans="1:8" x14ac:dyDescent="0.25">
      <c r="A100" s="31" t="s">
        <v>643</v>
      </c>
      <c r="B100" s="31"/>
      <c r="C100" s="31" t="s">
        <v>1701</v>
      </c>
      <c r="D100" s="26" t="s">
        <v>928</v>
      </c>
      <c r="E100" s="27" t="s">
        <v>722</v>
      </c>
      <c r="F100" s="28">
        <v>55218</v>
      </c>
      <c r="G100" s="29">
        <v>6516490404</v>
      </c>
      <c r="H100" s="26"/>
    </row>
    <row r="101" spans="1:8" x14ac:dyDescent="0.25">
      <c r="A101" s="31" t="s">
        <v>643</v>
      </c>
      <c r="B101" s="31"/>
      <c r="C101" s="31" t="s">
        <v>1712</v>
      </c>
      <c r="D101" s="26" t="s">
        <v>928</v>
      </c>
      <c r="E101" s="27" t="s">
        <v>722</v>
      </c>
      <c r="F101" s="28">
        <v>55218</v>
      </c>
      <c r="G101" s="29">
        <v>6516490404</v>
      </c>
      <c r="H101" s="26"/>
    </row>
    <row r="102" spans="1:8" x14ac:dyDescent="0.25">
      <c r="A102" s="55" t="s">
        <v>929</v>
      </c>
      <c r="B102" s="55" t="s">
        <v>930</v>
      </c>
      <c r="C102" s="55" t="s">
        <v>1703</v>
      </c>
      <c r="D102" s="26" t="s">
        <v>931</v>
      </c>
      <c r="E102" s="27" t="s">
        <v>741</v>
      </c>
      <c r="F102" s="28">
        <v>60654</v>
      </c>
      <c r="G102" s="29">
        <v>3126516166</v>
      </c>
      <c r="H102" s="30" t="s">
        <v>932</v>
      </c>
    </row>
    <row r="103" spans="1:8" x14ac:dyDescent="0.25">
      <c r="A103" s="31" t="s">
        <v>933</v>
      </c>
      <c r="B103" s="31"/>
      <c r="C103" s="31" t="s">
        <v>1702</v>
      </c>
      <c r="D103" s="26" t="s">
        <v>913</v>
      </c>
      <c r="E103" s="27" t="s">
        <v>755</v>
      </c>
      <c r="F103" s="28">
        <v>47834</v>
      </c>
      <c r="G103" s="29">
        <v>7656724684</v>
      </c>
      <c r="H103" s="26"/>
    </row>
    <row r="104" spans="1:8" ht="45" x14ac:dyDescent="0.25">
      <c r="A104" s="45" t="s">
        <v>665</v>
      </c>
      <c r="B104" s="45" t="s">
        <v>934</v>
      </c>
      <c r="C104" s="45" t="s">
        <v>1700</v>
      </c>
      <c r="D104" s="38" t="s">
        <v>935</v>
      </c>
      <c r="E104" s="39" t="s">
        <v>936</v>
      </c>
      <c r="F104" s="40">
        <v>35216</v>
      </c>
      <c r="G104" s="41">
        <v>2058234798</v>
      </c>
      <c r="H104" s="38"/>
    </row>
    <row r="105" spans="1:8" x14ac:dyDescent="0.25">
      <c r="A105" s="31" t="s">
        <v>674</v>
      </c>
      <c r="B105" s="31"/>
      <c r="C105" s="31" t="s">
        <v>1978</v>
      </c>
      <c r="D105" s="26" t="s">
        <v>812</v>
      </c>
      <c r="E105" s="27" t="s">
        <v>813</v>
      </c>
      <c r="F105" s="28">
        <v>2111</v>
      </c>
      <c r="G105" s="29">
        <v>6174826882</v>
      </c>
      <c r="H105" s="26"/>
    </row>
    <row r="106" spans="1:8" ht="30" x14ac:dyDescent="0.25">
      <c r="A106" s="32" t="s">
        <v>937</v>
      </c>
      <c r="B106" s="8" t="s">
        <v>938</v>
      </c>
      <c r="C106" s="45" t="s">
        <v>939</v>
      </c>
      <c r="D106" s="38" t="s">
        <v>940</v>
      </c>
      <c r="E106" s="39" t="s">
        <v>885</v>
      </c>
      <c r="F106" s="40">
        <v>19114</v>
      </c>
      <c r="G106" s="41">
        <v>2153335900</v>
      </c>
      <c r="H106" s="42" t="s">
        <v>941</v>
      </c>
    </row>
    <row r="107" spans="1:8" ht="30" x14ac:dyDescent="0.25">
      <c r="A107" s="32" t="s">
        <v>942</v>
      </c>
      <c r="B107" s="33"/>
      <c r="C107" s="45" t="s">
        <v>943</v>
      </c>
      <c r="D107" s="38" t="s">
        <v>944</v>
      </c>
      <c r="E107" s="39" t="s">
        <v>736</v>
      </c>
      <c r="F107" s="40">
        <v>48017</v>
      </c>
      <c r="G107" s="41">
        <v>2486552400</v>
      </c>
      <c r="H107" s="26"/>
    </row>
    <row r="108" spans="1:8" x14ac:dyDescent="0.25">
      <c r="A108" s="44" t="s">
        <v>682</v>
      </c>
      <c r="B108" s="44"/>
      <c r="C108" s="25" t="s">
        <v>945</v>
      </c>
      <c r="D108" s="26" t="s">
        <v>946</v>
      </c>
      <c r="E108" s="27" t="s">
        <v>947</v>
      </c>
      <c r="F108" s="28">
        <v>63701</v>
      </c>
      <c r="G108" s="29">
        <v>5736513746</v>
      </c>
      <c r="H108" s="26"/>
    </row>
    <row r="109" spans="1:8" x14ac:dyDescent="0.25">
      <c r="A109" s="31" t="s">
        <v>684</v>
      </c>
      <c r="B109" s="44"/>
      <c r="C109" s="25" t="s">
        <v>1733</v>
      </c>
      <c r="D109" s="26" t="s">
        <v>1734</v>
      </c>
      <c r="E109" s="27" t="s">
        <v>751</v>
      </c>
      <c r="F109" s="28">
        <v>24551</v>
      </c>
      <c r="G109" s="29" t="s">
        <v>1735</v>
      </c>
      <c r="H109" s="26"/>
    </row>
    <row r="110" spans="1:8" x14ac:dyDescent="0.25">
      <c r="A110" s="31" t="s">
        <v>685</v>
      </c>
      <c r="B110" s="31"/>
      <c r="C110" s="31" t="s">
        <v>949</v>
      </c>
      <c r="D110" s="26" t="s">
        <v>786</v>
      </c>
      <c r="E110" s="27" t="s">
        <v>787</v>
      </c>
      <c r="F110" s="28">
        <v>33301</v>
      </c>
      <c r="G110" s="29">
        <v>9545245183</v>
      </c>
      <c r="H110" s="30" t="s">
        <v>950</v>
      </c>
    </row>
    <row r="111" spans="1:8" x14ac:dyDescent="0.25">
      <c r="A111" s="31" t="s">
        <v>685</v>
      </c>
      <c r="B111" s="31"/>
      <c r="C111" s="31" t="s">
        <v>1713</v>
      </c>
      <c r="D111" s="26" t="s">
        <v>920</v>
      </c>
      <c r="E111" s="27" t="s">
        <v>921</v>
      </c>
      <c r="F111" s="28">
        <v>53204</v>
      </c>
      <c r="G111" s="29" t="s">
        <v>1714</v>
      </c>
      <c r="H111" s="30" t="s">
        <v>950</v>
      </c>
    </row>
    <row r="112" spans="1:8" x14ac:dyDescent="0.25">
      <c r="A112" s="31" t="s">
        <v>692</v>
      </c>
      <c r="B112" s="31"/>
      <c r="C112" s="31" t="s">
        <v>951</v>
      </c>
      <c r="D112" s="26" t="s">
        <v>952</v>
      </c>
      <c r="E112" s="27" t="s">
        <v>803</v>
      </c>
      <c r="F112" s="28">
        <v>94105</v>
      </c>
      <c r="G112" s="29">
        <v>4156134921</v>
      </c>
      <c r="H112" s="26"/>
    </row>
    <row r="113" spans="1:8" x14ac:dyDescent="0.25">
      <c r="A113" s="31" t="s">
        <v>692</v>
      </c>
      <c r="B113" s="31"/>
      <c r="C113" s="31" t="s">
        <v>1715</v>
      </c>
      <c r="D113" s="26" t="s">
        <v>1716</v>
      </c>
      <c r="E113" s="27" t="s">
        <v>803</v>
      </c>
      <c r="F113" s="28">
        <v>94607</v>
      </c>
      <c r="G113" s="29">
        <v>4156134921</v>
      </c>
      <c r="H113" s="26"/>
    </row>
    <row r="114" spans="1:8" x14ac:dyDescent="0.25">
      <c r="A114" s="57"/>
      <c r="B114" s="57"/>
      <c r="C114" s="58"/>
      <c r="D114" s="58"/>
      <c r="E114" s="59"/>
      <c r="F114" s="60"/>
      <c r="G114" s="61"/>
    </row>
  </sheetData>
  <autoFilter ref="A1:H1"/>
  <hyperlinks>
    <hyperlink ref="H7" r:id="rId1"/>
    <hyperlink ref="H8" r:id="rId2"/>
    <hyperlink ref="H10" r:id="rId3"/>
    <hyperlink ref="H20" r:id="rId4"/>
    <hyperlink ref="H23" r:id="rId5"/>
    <hyperlink ref="H27" r:id="rId6"/>
    <hyperlink ref="H35" r:id="rId7"/>
    <hyperlink ref="H49" r:id="rId8"/>
    <hyperlink ref="H52" r:id="rId9"/>
    <hyperlink ref="H53" r:id="rId10"/>
    <hyperlink ref="H73" r:id="rId11"/>
    <hyperlink ref="H80" r:id="rId12"/>
    <hyperlink ref="H81" r:id="rId13"/>
    <hyperlink ref="H89" r:id="rId14"/>
    <hyperlink ref="H97" r:id="rId15"/>
    <hyperlink ref="H99" r:id="rId16"/>
    <hyperlink ref="H102" r:id="rId17"/>
    <hyperlink ref="H106" r:id="rId18"/>
    <hyperlink ref="H110" r:id="rId19"/>
    <hyperlink ref="H4" r:id="rId20"/>
    <hyperlink ref="H5" r:id="rId21"/>
    <hyperlink ref="H11" r:id="rId22"/>
    <hyperlink ref="H18" r:id="rId23"/>
    <hyperlink ref="H29" r:id="rId24"/>
    <hyperlink ref="H34" r:id="rId25"/>
    <hyperlink ref="H48" r:id="rId26"/>
    <hyperlink ref="H51" r:id="rId27"/>
    <hyperlink ref="H54" r:id="rId28"/>
    <hyperlink ref="H55" r:id="rId29"/>
    <hyperlink ref="H57" r:id="rId30"/>
    <hyperlink ref="H59" r:id="rId31"/>
    <hyperlink ref="H74" r:id="rId32"/>
    <hyperlink ref="H76" r:id="rId33"/>
    <hyperlink ref="H88" r:id="rId34"/>
    <hyperlink ref="H92" r:id="rId35"/>
    <hyperlink ref="H93" r:id="rId36"/>
    <hyperlink ref="H94" r:id="rId37"/>
    <hyperlink ref="H111" r:id="rId38"/>
  </hyperlinks>
  <pageMargins left="0.7" right="0.7" top="0.75" bottom="0.75" header="0.3" footer="0.3"/>
  <pageSetup scale="56" fitToHeight="22" orientation="landscape" r:id="rId3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T539"/>
  <sheetViews>
    <sheetView workbookViewId="0">
      <pane ySplit="1" topLeftCell="A2" activePane="bottomLeft" state="frozen"/>
      <selection pane="bottomLeft" activeCell="E488" sqref="E488"/>
    </sheetView>
  </sheetViews>
  <sheetFormatPr defaultRowHeight="15" x14ac:dyDescent="0.25"/>
  <cols>
    <col min="1" max="1" width="85.7109375" bestFit="1" customWidth="1"/>
    <col min="2" max="2" width="41.85546875" bestFit="1" customWidth="1"/>
    <col min="3" max="3" width="25.140625" customWidth="1"/>
    <col min="4" max="4" width="26.42578125" customWidth="1"/>
    <col min="5" max="5" width="26.5703125" customWidth="1"/>
  </cols>
  <sheetData>
    <row r="1" spans="1:5" ht="39" customHeight="1" x14ac:dyDescent="0.25">
      <c r="A1" s="3" t="s">
        <v>953</v>
      </c>
      <c r="B1" s="3" t="s">
        <v>699</v>
      </c>
      <c r="C1" s="3" t="s">
        <v>700</v>
      </c>
      <c r="D1" s="3" t="s">
        <v>954</v>
      </c>
      <c r="E1" s="3" t="s">
        <v>955</v>
      </c>
    </row>
    <row r="2" spans="1:5" x14ac:dyDescent="0.25">
      <c r="A2" s="4" t="s">
        <v>956</v>
      </c>
      <c r="B2" s="5" t="s">
        <v>957</v>
      </c>
      <c r="C2" s="5" t="s">
        <v>958</v>
      </c>
      <c r="D2" s="6" t="s">
        <v>712</v>
      </c>
      <c r="E2" s="7" t="s">
        <v>959</v>
      </c>
    </row>
    <row r="3" spans="1:5" x14ac:dyDescent="0.25">
      <c r="A3" s="8" t="s">
        <v>427</v>
      </c>
      <c r="B3" s="8" t="s">
        <v>1736</v>
      </c>
      <c r="C3" s="8" t="s">
        <v>1737</v>
      </c>
      <c r="D3" s="6" t="s">
        <v>712</v>
      </c>
      <c r="E3" s="11">
        <v>43229</v>
      </c>
    </row>
    <row r="4" spans="1:5" x14ac:dyDescent="0.25">
      <c r="A4" s="8" t="s">
        <v>128</v>
      </c>
      <c r="B4" s="8" t="s">
        <v>1738</v>
      </c>
      <c r="C4" s="8" t="s">
        <v>962</v>
      </c>
      <c r="D4" s="11" t="s">
        <v>963</v>
      </c>
      <c r="E4" s="11">
        <v>20049</v>
      </c>
    </row>
    <row r="5" spans="1:5" x14ac:dyDescent="0.25">
      <c r="A5" s="8" t="s">
        <v>1739</v>
      </c>
      <c r="B5" s="5" t="s">
        <v>1740</v>
      </c>
      <c r="C5" s="5" t="s">
        <v>812</v>
      </c>
      <c r="D5" s="6" t="s">
        <v>813</v>
      </c>
      <c r="E5" s="12" t="s">
        <v>1741</v>
      </c>
    </row>
    <row r="6" spans="1:5" x14ac:dyDescent="0.25">
      <c r="A6" s="8" t="s">
        <v>450</v>
      </c>
      <c r="B6" s="5" t="s">
        <v>960</v>
      </c>
      <c r="C6" s="5" t="s">
        <v>961</v>
      </c>
      <c r="D6" s="6" t="s">
        <v>787</v>
      </c>
      <c r="E6" s="7">
        <v>32591</v>
      </c>
    </row>
    <row r="7" spans="1:5" x14ac:dyDescent="0.25">
      <c r="A7" s="8" t="s">
        <v>615</v>
      </c>
      <c r="B7" s="1" t="s">
        <v>1742</v>
      </c>
      <c r="C7" s="1" t="s">
        <v>962</v>
      </c>
      <c r="D7" s="13" t="s">
        <v>963</v>
      </c>
      <c r="E7" s="13">
        <v>20036</v>
      </c>
    </row>
    <row r="8" spans="1:5" x14ac:dyDescent="0.25">
      <c r="A8" s="8" t="s">
        <v>534</v>
      </c>
      <c r="B8" s="1" t="s">
        <v>1743</v>
      </c>
      <c r="C8" s="1" t="s">
        <v>974</v>
      </c>
      <c r="D8" s="13" t="s">
        <v>796</v>
      </c>
      <c r="E8" s="13">
        <v>10004</v>
      </c>
    </row>
    <row r="9" spans="1:5" x14ac:dyDescent="0.25">
      <c r="A9" s="8" t="s">
        <v>964</v>
      </c>
      <c r="B9" s="5" t="s">
        <v>965</v>
      </c>
      <c r="C9" s="5" t="s">
        <v>966</v>
      </c>
      <c r="D9" s="6" t="s">
        <v>874</v>
      </c>
      <c r="E9" s="7">
        <v>85260</v>
      </c>
    </row>
    <row r="10" spans="1:5" x14ac:dyDescent="0.25">
      <c r="A10" s="8" t="s">
        <v>228</v>
      </c>
      <c r="B10" s="5" t="s">
        <v>967</v>
      </c>
      <c r="C10" s="5" t="s">
        <v>968</v>
      </c>
      <c r="D10" s="6" t="s">
        <v>712</v>
      </c>
      <c r="E10" s="7">
        <v>44601</v>
      </c>
    </row>
    <row r="11" spans="1:5" x14ac:dyDescent="0.25">
      <c r="A11" s="8" t="s">
        <v>585</v>
      </c>
      <c r="B11" s="1" t="s">
        <v>1744</v>
      </c>
      <c r="C11" s="1" t="s">
        <v>711</v>
      </c>
      <c r="D11" s="13" t="s">
        <v>712</v>
      </c>
      <c r="E11" s="13">
        <v>45223</v>
      </c>
    </row>
    <row r="12" spans="1:5" x14ac:dyDescent="0.25">
      <c r="A12" s="8" t="s">
        <v>969</v>
      </c>
      <c r="B12" s="5" t="s">
        <v>970</v>
      </c>
      <c r="C12" s="5" t="s">
        <v>931</v>
      </c>
      <c r="D12" s="6" t="s">
        <v>741</v>
      </c>
      <c r="E12" s="7">
        <v>60601</v>
      </c>
    </row>
    <row r="13" spans="1:5" x14ac:dyDescent="0.25">
      <c r="A13" s="8" t="s">
        <v>55</v>
      </c>
      <c r="B13" s="1" t="s">
        <v>1745</v>
      </c>
      <c r="C13" s="1" t="s">
        <v>1072</v>
      </c>
      <c r="D13" s="13" t="s">
        <v>877</v>
      </c>
      <c r="E13" s="13">
        <v>37321</v>
      </c>
    </row>
    <row r="14" spans="1:5" x14ac:dyDescent="0.25">
      <c r="A14" s="8" t="s">
        <v>971</v>
      </c>
      <c r="B14" s="5" t="s">
        <v>972</v>
      </c>
      <c r="C14" s="5" t="s">
        <v>962</v>
      </c>
      <c r="D14" s="6" t="s">
        <v>963</v>
      </c>
      <c r="E14" s="7">
        <v>20005</v>
      </c>
    </row>
    <row r="15" spans="1:5" x14ac:dyDescent="0.25">
      <c r="A15" s="8" t="s">
        <v>109</v>
      </c>
      <c r="B15" s="1" t="s">
        <v>1746</v>
      </c>
      <c r="C15" s="1" t="s">
        <v>962</v>
      </c>
      <c r="D15" s="13" t="s">
        <v>963</v>
      </c>
      <c r="E15" s="13">
        <v>20036</v>
      </c>
    </row>
    <row r="16" spans="1:5" x14ac:dyDescent="0.25">
      <c r="A16" s="8" t="s">
        <v>154</v>
      </c>
      <c r="B16" s="5" t="s">
        <v>973</v>
      </c>
      <c r="C16" s="5" t="s">
        <v>974</v>
      </c>
      <c r="D16" s="6" t="s">
        <v>796</v>
      </c>
      <c r="E16" s="7">
        <v>10023</v>
      </c>
    </row>
    <row r="17" spans="1:5" x14ac:dyDescent="0.25">
      <c r="A17" s="8" t="s">
        <v>977</v>
      </c>
      <c r="B17" s="5" t="s">
        <v>978</v>
      </c>
      <c r="C17" s="5" t="s">
        <v>979</v>
      </c>
      <c r="D17" s="6" t="s">
        <v>800</v>
      </c>
      <c r="E17" s="7">
        <v>7746</v>
      </c>
    </row>
    <row r="18" spans="1:5" x14ac:dyDescent="0.25">
      <c r="A18" s="8" t="s">
        <v>213</v>
      </c>
      <c r="B18" s="5" t="s">
        <v>1963</v>
      </c>
      <c r="C18" s="5" t="s">
        <v>974</v>
      </c>
      <c r="D18" s="6" t="s">
        <v>796</v>
      </c>
      <c r="E18" s="7">
        <v>10004</v>
      </c>
    </row>
    <row r="19" spans="1:5" x14ac:dyDescent="0.25">
      <c r="A19" s="8" t="s">
        <v>33</v>
      </c>
      <c r="B19" s="5" t="s">
        <v>980</v>
      </c>
      <c r="C19" s="5" t="s">
        <v>974</v>
      </c>
      <c r="D19" s="6" t="s">
        <v>796</v>
      </c>
      <c r="E19" s="7">
        <v>10004</v>
      </c>
    </row>
    <row r="20" spans="1:5" x14ac:dyDescent="0.25">
      <c r="A20" s="8" t="s">
        <v>650</v>
      </c>
      <c r="B20" s="1" t="s">
        <v>1747</v>
      </c>
      <c r="C20" s="1" t="s">
        <v>989</v>
      </c>
      <c r="D20" s="13" t="s">
        <v>751</v>
      </c>
      <c r="E20" s="13">
        <v>22314</v>
      </c>
    </row>
    <row r="21" spans="1:5" x14ac:dyDescent="0.25">
      <c r="A21" s="8" t="s">
        <v>250</v>
      </c>
      <c r="B21" s="5" t="s">
        <v>981</v>
      </c>
      <c r="C21" s="5" t="s">
        <v>982</v>
      </c>
      <c r="D21" s="6" t="s">
        <v>885</v>
      </c>
      <c r="E21" s="7">
        <v>19010</v>
      </c>
    </row>
    <row r="22" spans="1:5" x14ac:dyDescent="0.25">
      <c r="A22" s="8" t="s">
        <v>324</v>
      </c>
      <c r="B22" s="1" t="s">
        <v>1748</v>
      </c>
      <c r="C22" s="1" t="s">
        <v>989</v>
      </c>
      <c r="D22" s="13" t="s">
        <v>751</v>
      </c>
      <c r="E22" s="13">
        <v>22314</v>
      </c>
    </row>
    <row r="23" spans="1:5" x14ac:dyDescent="0.25">
      <c r="A23" s="8" t="s">
        <v>373</v>
      </c>
      <c r="B23" s="5" t="s">
        <v>983</v>
      </c>
      <c r="C23" s="5" t="s">
        <v>984</v>
      </c>
      <c r="D23" s="6" t="s">
        <v>722</v>
      </c>
      <c r="E23" s="7">
        <v>55430</v>
      </c>
    </row>
    <row r="24" spans="1:5" x14ac:dyDescent="0.25">
      <c r="A24" s="8" t="s">
        <v>985</v>
      </c>
      <c r="B24" s="5" t="s">
        <v>986</v>
      </c>
      <c r="C24" s="5" t="s">
        <v>761</v>
      </c>
      <c r="D24" s="6" t="s">
        <v>712</v>
      </c>
      <c r="E24" s="7">
        <v>43202</v>
      </c>
    </row>
    <row r="25" spans="1:5" x14ac:dyDescent="0.25">
      <c r="A25" s="8" t="s">
        <v>11</v>
      </c>
      <c r="B25" s="5" t="s">
        <v>987</v>
      </c>
      <c r="C25" s="5" t="s">
        <v>711</v>
      </c>
      <c r="D25" s="6" t="s">
        <v>712</v>
      </c>
      <c r="E25" s="7">
        <v>45201</v>
      </c>
    </row>
    <row r="26" spans="1:5" x14ac:dyDescent="0.25">
      <c r="A26" s="8" t="s">
        <v>349</v>
      </c>
      <c r="B26" s="5" t="s">
        <v>988</v>
      </c>
      <c r="C26" s="5" t="s">
        <v>989</v>
      </c>
      <c r="D26" s="6" t="s">
        <v>751</v>
      </c>
      <c r="E26" s="7">
        <v>22311</v>
      </c>
    </row>
    <row r="27" spans="1:5" x14ac:dyDescent="0.25">
      <c r="A27" s="8" t="s">
        <v>479</v>
      </c>
      <c r="B27" s="5" t="s">
        <v>990</v>
      </c>
      <c r="C27" s="5" t="s">
        <v>991</v>
      </c>
      <c r="D27" s="6" t="s">
        <v>787</v>
      </c>
      <c r="E27" s="7">
        <v>32780</v>
      </c>
    </row>
    <row r="28" spans="1:5" x14ac:dyDescent="0.25">
      <c r="A28" s="8" t="s">
        <v>196</v>
      </c>
      <c r="B28" s="5" t="s">
        <v>992</v>
      </c>
      <c r="C28" s="5" t="s">
        <v>809</v>
      </c>
      <c r="D28" s="6" t="s">
        <v>803</v>
      </c>
      <c r="E28" s="7">
        <v>90027</v>
      </c>
    </row>
    <row r="29" spans="1:5" x14ac:dyDescent="0.25">
      <c r="A29" s="8" t="s">
        <v>506</v>
      </c>
      <c r="B29" s="5" t="s">
        <v>993</v>
      </c>
      <c r="C29" s="5" t="s">
        <v>994</v>
      </c>
      <c r="D29" s="6" t="s">
        <v>796</v>
      </c>
      <c r="E29" s="7">
        <v>10306</v>
      </c>
    </row>
    <row r="30" spans="1:5" x14ac:dyDescent="0.25">
      <c r="A30" s="8" t="s">
        <v>59</v>
      </c>
      <c r="B30" s="5" t="s">
        <v>995</v>
      </c>
      <c r="C30" s="5" t="s">
        <v>996</v>
      </c>
      <c r="D30" s="6" t="s">
        <v>707</v>
      </c>
      <c r="E30" s="7">
        <v>75231</v>
      </c>
    </row>
    <row r="31" spans="1:5" x14ac:dyDescent="0.25">
      <c r="A31" s="8" t="s">
        <v>999</v>
      </c>
      <c r="B31" s="5" t="s">
        <v>1000</v>
      </c>
      <c r="C31" s="5" t="s">
        <v>962</v>
      </c>
      <c r="D31" s="6" t="s">
        <v>963</v>
      </c>
      <c r="E31" s="7" t="s">
        <v>1001</v>
      </c>
    </row>
    <row r="32" spans="1:5" x14ac:dyDescent="0.25">
      <c r="A32" s="8" t="s">
        <v>632</v>
      </c>
      <c r="B32" s="5" t="s">
        <v>1002</v>
      </c>
      <c r="C32" s="5" t="s">
        <v>873</v>
      </c>
      <c r="D32" s="6" t="s">
        <v>874</v>
      </c>
      <c r="E32" s="7">
        <v>85202</v>
      </c>
    </row>
    <row r="33" spans="1:5" x14ac:dyDescent="0.25">
      <c r="A33" s="8" t="s">
        <v>327</v>
      </c>
      <c r="B33" s="5" t="s">
        <v>1003</v>
      </c>
      <c r="C33" s="5" t="s">
        <v>1004</v>
      </c>
      <c r="D33" s="6" t="s">
        <v>877</v>
      </c>
      <c r="E33" s="7" t="s">
        <v>1005</v>
      </c>
    </row>
    <row r="34" spans="1:5" x14ac:dyDescent="0.25">
      <c r="A34" s="8" t="s">
        <v>279</v>
      </c>
      <c r="B34" s="1" t="s">
        <v>1749</v>
      </c>
      <c r="C34" s="1" t="s">
        <v>899</v>
      </c>
      <c r="D34" s="13" t="s">
        <v>755</v>
      </c>
      <c r="E34" s="13">
        <v>46206</v>
      </c>
    </row>
    <row r="35" spans="1:5" x14ac:dyDescent="0.25">
      <c r="A35" s="8" t="s">
        <v>639</v>
      </c>
      <c r="B35" s="1" t="s">
        <v>1750</v>
      </c>
      <c r="C35" s="1" t="s">
        <v>1203</v>
      </c>
      <c r="D35" s="13" t="s">
        <v>712</v>
      </c>
      <c r="E35" s="13">
        <v>44646</v>
      </c>
    </row>
    <row r="36" spans="1:5" x14ac:dyDescent="0.25">
      <c r="A36" s="8" t="s">
        <v>571</v>
      </c>
      <c r="B36" s="5" t="s">
        <v>1006</v>
      </c>
      <c r="C36" s="5" t="s">
        <v>746</v>
      </c>
      <c r="D36" s="6" t="s">
        <v>712</v>
      </c>
      <c r="E36" s="7">
        <v>44114</v>
      </c>
    </row>
    <row r="37" spans="1:5" x14ac:dyDescent="0.25">
      <c r="A37" s="8" t="s">
        <v>569</v>
      </c>
      <c r="B37" s="1" t="s">
        <v>1752</v>
      </c>
      <c r="C37" s="1" t="s">
        <v>746</v>
      </c>
      <c r="D37" s="13" t="s">
        <v>712</v>
      </c>
      <c r="E37" s="13">
        <v>44114</v>
      </c>
    </row>
    <row r="38" spans="1:5" x14ac:dyDescent="0.25">
      <c r="A38" s="8" t="s">
        <v>636</v>
      </c>
      <c r="B38" s="1" t="s">
        <v>1751</v>
      </c>
      <c r="C38" s="1" t="s">
        <v>815</v>
      </c>
      <c r="D38" s="13" t="s">
        <v>712</v>
      </c>
      <c r="E38" s="13">
        <v>44703</v>
      </c>
    </row>
    <row r="39" spans="1:5" x14ac:dyDescent="0.25">
      <c r="A39" s="8" t="s">
        <v>1007</v>
      </c>
      <c r="B39" s="5" t="s">
        <v>1008</v>
      </c>
      <c r="C39" s="5" t="s">
        <v>1009</v>
      </c>
      <c r="D39" s="6" t="s">
        <v>712</v>
      </c>
      <c r="E39" s="7">
        <v>43015</v>
      </c>
    </row>
    <row r="40" spans="1:5" x14ac:dyDescent="0.25">
      <c r="A40" s="8" t="s">
        <v>320</v>
      </c>
      <c r="B40" s="5" t="s">
        <v>1010</v>
      </c>
      <c r="C40" s="5" t="s">
        <v>1011</v>
      </c>
      <c r="D40" s="6" t="s">
        <v>1012</v>
      </c>
      <c r="E40" s="7">
        <v>29601</v>
      </c>
    </row>
    <row r="41" spans="1:5" x14ac:dyDescent="0.25">
      <c r="A41" s="8" t="s">
        <v>330</v>
      </c>
      <c r="B41" s="5" t="s">
        <v>1013</v>
      </c>
      <c r="C41" s="5" t="s">
        <v>962</v>
      </c>
      <c r="D41" s="6" t="s">
        <v>963</v>
      </c>
      <c r="E41" s="7" t="s">
        <v>1014</v>
      </c>
    </row>
    <row r="42" spans="1:5" x14ac:dyDescent="0.25">
      <c r="A42" s="8" t="s">
        <v>91</v>
      </c>
      <c r="B42" s="5" t="s">
        <v>1015</v>
      </c>
      <c r="C42" s="5" t="s">
        <v>962</v>
      </c>
      <c r="D42" s="6" t="s">
        <v>963</v>
      </c>
      <c r="E42" s="7">
        <v>20006</v>
      </c>
    </row>
    <row r="43" spans="1:5" x14ac:dyDescent="0.25">
      <c r="A43" s="8" t="s">
        <v>172</v>
      </c>
      <c r="B43" s="5" t="s">
        <v>1016</v>
      </c>
      <c r="C43" s="5" t="s">
        <v>974</v>
      </c>
      <c r="D43" s="6" t="s">
        <v>796</v>
      </c>
      <c r="E43" s="7">
        <v>10128</v>
      </c>
    </row>
    <row r="44" spans="1:5" x14ac:dyDescent="0.25">
      <c r="A44" s="8" t="s">
        <v>1018</v>
      </c>
      <c r="B44" s="5" t="s">
        <v>1019</v>
      </c>
      <c r="C44" s="5" t="s">
        <v>962</v>
      </c>
      <c r="D44" s="6" t="s">
        <v>963</v>
      </c>
      <c r="E44" s="7">
        <v>20005</v>
      </c>
    </row>
    <row r="45" spans="1:5" x14ac:dyDescent="0.25">
      <c r="A45" s="8" t="s">
        <v>1020</v>
      </c>
      <c r="B45" s="5" t="s">
        <v>1021</v>
      </c>
      <c r="C45" s="5" t="s">
        <v>1022</v>
      </c>
      <c r="D45" s="6" t="s">
        <v>1023</v>
      </c>
      <c r="E45" s="7">
        <v>6902</v>
      </c>
    </row>
    <row r="46" spans="1:5" x14ac:dyDescent="0.25">
      <c r="A46" s="8" t="s">
        <v>31</v>
      </c>
      <c r="B46" s="5" t="s">
        <v>1024</v>
      </c>
      <c r="C46" s="5" t="s">
        <v>974</v>
      </c>
      <c r="D46" s="6" t="s">
        <v>796</v>
      </c>
      <c r="E46" s="7" t="s">
        <v>1025</v>
      </c>
    </row>
    <row r="47" spans="1:5" x14ac:dyDescent="0.25">
      <c r="A47" s="8" t="s">
        <v>403</v>
      </c>
      <c r="B47" s="5" t="s">
        <v>1026</v>
      </c>
      <c r="C47" s="5" t="s">
        <v>1027</v>
      </c>
      <c r="D47" s="6" t="s">
        <v>712</v>
      </c>
      <c r="E47" s="7">
        <v>45420</v>
      </c>
    </row>
    <row r="48" spans="1:5" x14ac:dyDescent="0.25">
      <c r="A48" s="8" t="s">
        <v>400</v>
      </c>
      <c r="B48" s="1" t="s">
        <v>1753</v>
      </c>
      <c r="C48" s="1" t="s">
        <v>858</v>
      </c>
      <c r="D48" s="13" t="s">
        <v>712</v>
      </c>
      <c r="E48" s="13">
        <v>45505</v>
      </c>
    </row>
    <row r="49" spans="1:5" x14ac:dyDescent="0.25">
      <c r="A49" s="8" t="s">
        <v>691</v>
      </c>
      <c r="B49" s="5" t="s">
        <v>1028</v>
      </c>
      <c r="C49" s="5" t="s">
        <v>1029</v>
      </c>
      <c r="D49" s="6" t="s">
        <v>1030</v>
      </c>
      <c r="E49" s="7">
        <v>20706</v>
      </c>
    </row>
    <row r="50" spans="1:5" x14ac:dyDescent="0.25">
      <c r="A50" s="8" t="s">
        <v>655</v>
      </c>
      <c r="B50" s="1" t="s">
        <v>1754</v>
      </c>
      <c r="C50" s="1" t="s">
        <v>962</v>
      </c>
      <c r="D50" s="13" t="s">
        <v>963</v>
      </c>
      <c r="E50" s="13">
        <v>20005</v>
      </c>
    </row>
    <row r="51" spans="1:5" x14ac:dyDescent="0.25">
      <c r="A51" s="8" t="s">
        <v>53</v>
      </c>
      <c r="B51" s="1" t="s">
        <v>1755</v>
      </c>
      <c r="C51" s="1" t="s">
        <v>1756</v>
      </c>
      <c r="D51" s="13" t="s">
        <v>874</v>
      </c>
      <c r="E51" s="13">
        <v>85233</v>
      </c>
    </row>
    <row r="52" spans="1:5" x14ac:dyDescent="0.25">
      <c r="A52" s="8" t="s">
        <v>619</v>
      </c>
      <c r="B52" s="5" t="s">
        <v>1031</v>
      </c>
      <c r="C52" s="5" t="s">
        <v>974</v>
      </c>
      <c r="D52" s="6" t="s">
        <v>796</v>
      </c>
      <c r="E52" s="7" t="s">
        <v>1032</v>
      </c>
    </row>
    <row r="53" spans="1:5" x14ac:dyDescent="0.25">
      <c r="A53" s="8" t="s">
        <v>401</v>
      </c>
      <c r="B53" s="5" t="s">
        <v>1033</v>
      </c>
      <c r="C53" s="5" t="s">
        <v>1034</v>
      </c>
      <c r="D53" s="6" t="s">
        <v>712</v>
      </c>
      <c r="E53" s="7" t="s">
        <v>1035</v>
      </c>
    </row>
    <row r="54" spans="1:5" x14ac:dyDescent="0.25">
      <c r="A54" s="8" t="s">
        <v>342</v>
      </c>
      <c r="B54" s="5" t="s">
        <v>1036</v>
      </c>
      <c r="C54" s="5" t="s">
        <v>1037</v>
      </c>
      <c r="D54" s="6" t="s">
        <v>1030</v>
      </c>
      <c r="E54" s="7">
        <v>21701</v>
      </c>
    </row>
    <row r="55" spans="1:5" x14ac:dyDescent="0.25">
      <c r="A55" s="8" t="s">
        <v>1038</v>
      </c>
      <c r="B55" s="5" t="s">
        <v>1039</v>
      </c>
      <c r="C55" s="5" t="s">
        <v>931</v>
      </c>
      <c r="D55" s="6" t="s">
        <v>741</v>
      </c>
      <c r="E55" s="7">
        <v>60603</v>
      </c>
    </row>
    <row r="56" spans="1:5" x14ac:dyDescent="0.25">
      <c r="A56" s="8" t="s">
        <v>459</v>
      </c>
      <c r="B56" s="5" t="s">
        <v>1040</v>
      </c>
      <c r="C56" s="5" t="s">
        <v>975</v>
      </c>
      <c r="D56" s="6" t="s">
        <v>976</v>
      </c>
      <c r="E56" s="7">
        <v>30309</v>
      </c>
    </row>
    <row r="57" spans="1:5" x14ac:dyDescent="0.25">
      <c r="A57" s="8" t="s">
        <v>393</v>
      </c>
      <c r="B57" s="1" t="s">
        <v>1757</v>
      </c>
      <c r="C57" s="1" t="s">
        <v>1758</v>
      </c>
      <c r="D57" s="13" t="s">
        <v>1030</v>
      </c>
      <c r="E57" s="13">
        <v>21978</v>
      </c>
    </row>
    <row r="58" spans="1:5" x14ac:dyDescent="0.25">
      <c r="A58" s="4" t="s">
        <v>121</v>
      </c>
      <c r="B58" s="5" t="s">
        <v>1041</v>
      </c>
      <c r="C58" s="5" t="s">
        <v>1042</v>
      </c>
      <c r="D58" s="6" t="s">
        <v>947</v>
      </c>
      <c r="E58" s="7">
        <v>64108</v>
      </c>
    </row>
    <row r="59" spans="1:5" x14ac:dyDescent="0.25">
      <c r="A59" s="4" t="s">
        <v>15</v>
      </c>
      <c r="B59" s="1" t="s">
        <v>1759</v>
      </c>
      <c r="C59" s="1" t="s">
        <v>1760</v>
      </c>
      <c r="D59" s="13" t="s">
        <v>796</v>
      </c>
      <c r="E59" s="13">
        <v>10996</v>
      </c>
    </row>
    <row r="60" spans="1:5" x14ac:dyDescent="0.25">
      <c r="A60" s="4" t="s">
        <v>15</v>
      </c>
      <c r="B60" s="1" t="s">
        <v>1761</v>
      </c>
      <c r="C60" s="1" t="s">
        <v>746</v>
      </c>
      <c r="D60" s="13" t="s">
        <v>712</v>
      </c>
      <c r="E60" s="13">
        <v>44195</v>
      </c>
    </row>
    <row r="61" spans="1:5" x14ac:dyDescent="0.25">
      <c r="A61" s="4" t="s">
        <v>73</v>
      </c>
      <c r="B61" s="5" t="s">
        <v>1043</v>
      </c>
      <c r="C61" s="5" t="s">
        <v>962</v>
      </c>
      <c r="D61" s="6" t="s">
        <v>963</v>
      </c>
      <c r="E61" s="7">
        <v>20006</v>
      </c>
    </row>
    <row r="62" spans="1:5" x14ac:dyDescent="0.25">
      <c r="A62" s="4" t="s">
        <v>319</v>
      </c>
      <c r="B62" s="5" t="s">
        <v>1044</v>
      </c>
      <c r="C62" s="5" t="s">
        <v>1045</v>
      </c>
      <c r="D62" s="6" t="s">
        <v>712</v>
      </c>
      <c r="E62" s="7">
        <v>44321</v>
      </c>
    </row>
    <row r="63" spans="1:5" x14ac:dyDescent="0.25">
      <c r="A63" s="4" t="s">
        <v>1046</v>
      </c>
      <c r="B63" s="5" t="s">
        <v>1047</v>
      </c>
      <c r="C63" s="5" t="s">
        <v>1048</v>
      </c>
      <c r="D63" s="6" t="s">
        <v>755</v>
      </c>
      <c r="E63" s="7">
        <v>46375</v>
      </c>
    </row>
    <row r="64" spans="1:5" x14ac:dyDescent="0.25">
      <c r="A64" s="4" t="s">
        <v>653</v>
      </c>
      <c r="B64" s="1" t="s">
        <v>1762</v>
      </c>
      <c r="C64" s="1" t="s">
        <v>931</v>
      </c>
      <c r="D64" s="13" t="s">
        <v>741</v>
      </c>
      <c r="E64" s="13">
        <v>60463</v>
      </c>
    </row>
    <row r="65" spans="1:5" x14ac:dyDescent="0.25">
      <c r="A65" s="4" t="s">
        <v>657</v>
      </c>
      <c r="B65" s="1" t="s">
        <v>1763</v>
      </c>
      <c r="C65" s="1" t="s">
        <v>1764</v>
      </c>
      <c r="D65" s="13" t="s">
        <v>741</v>
      </c>
      <c r="E65" s="13">
        <v>60473</v>
      </c>
    </row>
    <row r="66" spans="1:5" x14ac:dyDescent="0.25">
      <c r="A66" s="4" t="s">
        <v>634</v>
      </c>
      <c r="B66" s="1" t="s">
        <v>1765</v>
      </c>
      <c r="C66" s="1" t="s">
        <v>974</v>
      </c>
      <c r="D66" s="13" t="s">
        <v>796</v>
      </c>
      <c r="E66" s="13">
        <v>10016</v>
      </c>
    </row>
    <row r="67" spans="1:5" x14ac:dyDescent="0.25">
      <c r="A67" s="4" t="s">
        <v>1049</v>
      </c>
      <c r="B67" s="5" t="s">
        <v>1050</v>
      </c>
      <c r="C67" s="5" t="s">
        <v>746</v>
      </c>
      <c r="D67" s="6" t="s">
        <v>712</v>
      </c>
      <c r="E67" s="7">
        <v>44105</v>
      </c>
    </row>
    <row r="68" spans="1:5" x14ac:dyDescent="0.25">
      <c r="A68" s="4" t="s">
        <v>380</v>
      </c>
      <c r="B68" s="1" t="s">
        <v>1766</v>
      </c>
      <c r="C68" s="1" t="s">
        <v>1236</v>
      </c>
      <c r="D68" s="13" t="s">
        <v>712</v>
      </c>
      <c r="E68" s="13">
        <v>45840</v>
      </c>
    </row>
    <row r="69" spans="1:5" x14ac:dyDescent="0.25">
      <c r="A69" s="4" t="s">
        <v>409</v>
      </c>
      <c r="B69" s="5" t="s">
        <v>1051</v>
      </c>
      <c r="C69" s="5" t="s">
        <v>1052</v>
      </c>
      <c r="D69" s="6" t="s">
        <v>712</v>
      </c>
      <c r="E69" s="7" t="s">
        <v>1053</v>
      </c>
    </row>
    <row r="70" spans="1:5" x14ac:dyDescent="0.25">
      <c r="A70" s="4" t="s">
        <v>664</v>
      </c>
      <c r="B70" s="5" t="s">
        <v>1054</v>
      </c>
      <c r="C70" s="5" t="s">
        <v>847</v>
      </c>
      <c r="D70" s="6" t="s">
        <v>712</v>
      </c>
      <c r="E70" s="7">
        <v>44240</v>
      </c>
    </row>
    <row r="71" spans="1:5" x14ac:dyDescent="0.25">
      <c r="A71" s="4" t="s">
        <v>412</v>
      </c>
      <c r="B71" s="5" t="s">
        <v>1055</v>
      </c>
      <c r="C71" s="5" t="s">
        <v>1056</v>
      </c>
      <c r="D71" s="6" t="s">
        <v>712</v>
      </c>
      <c r="E71" s="7" t="s">
        <v>1057</v>
      </c>
    </row>
    <row r="72" spans="1:5" x14ac:dyDescent="0.25">
      <c r="A72" s="4" t="s">
        <v>218</v>
      </c>
      <c r="B72" s="5" t="s">
        <v>1058</v>
      </c>
      <c r="C72" s="5" t="s">
        <v>815</v>
      </c>
      <c r="D72" s="6" t="s">
        <v>712</v>
      </c>
      <c r="E72" s="7">
        <v>44705</v>
      </c>
    </row>
    <row r="73" spans="1:5" x14ac:dyDescent="0.25">
      <c r="A73" s="4" t="s">
        <v>217</v>
      </c>
      <c r="B73" s="5" t="s">
        <v>1059</v>
      </c>
      <c r="C73" s="5" t="s">
        <v>716</v>
      </c>
      <c r="D73" s="6" t="s">
        <v>712</v>
      </c>
      <c r="E73" s="7">
        <v>44720</v>
      </c>
    </row>
    <row r="74" spans="1:5" x14ac:dyDescent="0.25">
      <c r="A74" s="4" t="s">
        <v>202</v>
      </c>
      <c r="B74" s="5" t="s">
        <v>1060</v>
      </c>
      <c r="C74" s="5" t="s">
        <v>962</v>
      </c>
      <c r="D74" s="6" t="s">
        <v>963</v>
      </c>
      <c r="E74" s="7">
        <v>20006</v>
      </c>
    </row>
    <row r="75" spans="1:5" x14ac:dyDescent="0.25">
      <c r="A75" s="4" t="s">
        <v>446</v>
      </c>
      <c r="B75" s="5" t="s">
        <v>1061</v>
      </c>
      <c r="C75" s="5" t="s">
        <v>870</v>
      </c>
      <c r="D75" s="6" t="s">
        <v>712</v>
      </c>
      <c r="E75" s="7">
        <v>43614</v>
      </c>
    </row>
    <row r="76" spans="1:5" x14ac:dyDescent="0.25">
      <c r="A76" s="4" t="s">
        <v>379</v>
      </c>
      <c r="B76" s="1" t="s">
        <v>1767</v>
      </c>
      <c r="C76" s="1" t="s">
        <v>815</v>
      </c>
      <c r="D76" s="13" t="s">
        <v>712</v>
      </c>
      <c r="E76" s="13">
        <v>44708</v>
      </c>
    </row>
    <row r="77" spans="1:5" s="2" customFormat="1" x14ac:dyDescent="0.25">
      <c r="A77" s="4" t="s">
        <v>381</v>
      </c>
      <c r="B77" s="1" t="s">
        <v>1768</v>
      </c>
      <c r="C77" s="14" t="s">
        <v>746</v>
      </c>
      <c r="D77" s="15" t="s">
        <v>712</v>
      </c>
      <c r="E77" s="15" t="s">
        <v>1769</v>
      </c>
    </row>
    <row r="78" spans="1:5" x14ac:dyDescent="0.25">
      <c r="A78" s="4" t="s">
        <v>388</v>
      </c>
      <c r="B78" s="1" t="s">
        <v>1770</v>
      </c>
      <c r="C78" s="1" t="s">
        <v>861</v>
      </c>
      <c r="D78" s="13" t="s">
        <v>712</v>
      </c>
      <c r="E78" s="13">
        <v>44481</v>
      </c>
    </row>
    <row r="79" spans="1:5" x14ac:dyDescent="0.25">
      <c r="A79" s="4" t="s">
        <v>386</v>
      </c>
      <c r="B79" s="1" t="s">
        <v>1771</v>
      </c>
      <c r="C79" s="1" t="s">
        <v>1246</v>
      </c>
      <c r="D79" s="13" t="s">
        <v>712</v>
      </c>
      <c r="E79" s="13">
        <v>44902</v>
      </c>
    </row>
    <row r="80" spans="1:5" x14ac:dyDescent="0.25">
      <c r="A80" s="4" t="s">
        <v>546</v>
      </c>
      <c r="B80" s="5" t="s">
        <v>1062</v>
      </c>
      <c r="C80" s="5" t="s">
        <v>962</v>
      </c>
      <c r="D80" s="6" t="s">
        <v>963</v>
      </c>
      <c r="E80" s="7">
        <v>20024</v>
      </c>
    </row>
    <row r="81" spans="1:5" x14ac:dyDescent="0.25">
      <c r="A81" s="4" t="s">
        <v>42</v>
      </c>
      <c r="B81" s="5" t="s">
        <v>1063</v>
      </c>
      <c r="C81" s="5" t="s">
        <v>1064</v>
      </c>
      <c r="D81" s="6" t="s">
        <v>707</v>
      </c>
      <c r="E81" s="7">
        <v>77393</v>
      </c>
    </row>
    <row r="82" spans="1:5" x14ac:dyDescent="0.25">
      <c r="A82" s="4" t="s">
        <v>1065</v>
      </c>
      <c r="B82" s="5" t="s">
        <v>1066</v>
      </c>
      <c r="C82" s="5" t="s">
        <v>948</v>
      </c>
      <c r="D82" s="6" t="s">
        <v>947</v>
      </c>
      <c r="E82" s="7">
        <v>64108</v>
      </c>
    </row>
    <row r="83" spans="1:5" x14ac:dyDescent="0.25">
      <c r="A83" s="4" t="s">
        <v>45</v>
      </c>
      <c r="B83" s="5" t="s">
        <v>1067</v>
      </c>
      <c r="C83" s="5" t="s">
        <v>873</v>
      </c>
      <c r="D83" s="6" t="s">
        <v>874</v>
      </c>
      <c r="E83" s="7">
        <v>85212</v>
      </c>
    </row>
    <row r="84" spans="1:5" x14ac:dyDescent="0.25">
      <c r="A84" s="4" t="s">
        <v>69</v>
      </c>
      <c r="B84" s="5" t="s">
        <v>1068</v>
      </c>
      <c r="C84" s="5" t="s">
        <v>1069</v>
      </c>
      <c r="D84" s="6" t="s">
        <v>800</v>
      </c>
      <c r="E84" s="7">
        <v>7204</v>
      </c>
    </row>
    <row r="85" spans="1:5" x14ac:dyDescent="0.25">
      <c r="A85" s="4" t="s">
        <v>299</v>
      </c>
      <c r="B85" s="5" t="s">
        <v>1070</v>
      </c>
      <c r="C85" s="5" t="s">
        <v>797</v>
      </c>
      <c r="D85" s="6" t="s">
        <v>712</v>
      </c>
      <c r="E85" s="7">
        <v>44121</v>
      </c>
    </row>
    <row r="86" spans="1:5" x14ac:dyDescent="0.25">
      <c r="A86" s="4" t="s">
        <v>1948</v>
      </c>
      <c r="B86" s="5" t="s">
        <v>1949</v>
      </c>
      <c r="C86" s="5" t="s">
        <v>1080</v>
      </c>
      <c r="D86" s="6" t="s">
        <v>1030</v>
      </c>
      <c r="E86" s="7">
        <v>21286</v>
      </c>
    </row>
    <row r="87" spans="1:5" x14ac:dyDescent="0.25">
      <c r="A87" s="4" t="s">
        <v>123</v>
      </c>
      <c r="B87" s="1" t="s">
        <v>1772</v>
      </c>
      <c r="C87" s="1" t="s">
        <v>1773</v>
      </c>
      <c r="D87" s="13" t="s">
        <v>1426</v>
      </c>
      <c r="E87" s="13">
        <v>70113</v>
      </c>
    </row>
    <row r="88" spans="1:5" x14ac:dyDescent="0.25">
      <c r="A88" s="4" t="s">
        <v>43</v>
      </c>
      <c r="B88" s="5" t="s">
        <v>1071</v>
      </c>
      <c r="C88" s="5" t="s">
        <v>1072</v>
      </c>
      <c r="D88" s="6" t="s">
        <v>877</v>
      </c>
      <c r="E88" s="7" t="s">
        <v>1073</v>
      </c>
    </row>
    <row r="89" spans="1:5" x14ac:dyDescent="0.25">
      <c r="A89" s="4" t="s">
        <v>391</v>
      </c>
      <c r="B89" s="5" t="s">
        <v>1074</v>
      </c>
      <c r="C89" s="5" t="s">
        <v>1075</v>
      </c>
      <c r="D89" s="6" t="s">
        <v>707</v>
      </c>
      <c r="E89" s="7">
        <v>77459</v>
      </c>
    </row>
    <row r="90" spans="1:5" x14ac:dyDescent="0.25">
      <c r="A90" s="4" t="s">
        <v>219</v>
      </c>
      <c r="B90" s="1" t="s">
        <v>1774</v>
      </c>
      <c r="C90" s="1" t="s">
        <v>815</v>
      </c>
      <c r="D90" s="13" t="s">
        <v>712</v>
      </c>
      <c r="E90" s="13">
        <v>44702</v>
      </c>
    </row>
    <row r="91" spans="1:5" x14ac:dyDescent="0.25">
      <c r="A91" s="4" t="s">
        <v>385</v>
      </c>
      <c r="B91" s="1" t="s">
        <v>1775</v>
      </c>
      <c r="C91" s="1" t="s">
        <v>817</v>
      </c>
      <c r="D91" s="13" t="s">
        <v>712</v>
      </c>
      <c r="E91" s="13">
        <v>44507</v>
      </c>
    </row>
    <row r="92" spans="1:5" x14ac:dyDescent="0.25">
      <c r="A92" s="4" t="s">
        <v>654</v>
      </c>
      <c r="B92" s="1" t="s">
        <v>1776</v>
      </c>
      <c r="C92" s="1" t="s">
        <v>1777</v>
      </c>
      <c r="D92" s="13" t="s">
        <v>751</v>
      </c>
      <c r="E92" s="13">
        <v>20164</v>
      </c>
    </row>
    <row r="93" spans="1:5" x14ac:dyDescent="0.25">
      <c r="A93" s="4" t="s">
        <v>480</v>
      </c>
      <c r="B93" s="1" t="s">
        <v>1778</v>
      </c>
      <c r="C93" s="1" t="s">
        <v>1478</v>
      </c>
      <c r="D93" s="13" t="s">
        <v>766</v>
      </c>
      <c r="E93" s="13">
        <v>98203</v>
      </c>
    </row>
    <row r="94" spans="1:5" x14ac:dyDescent="0.25">
      <c r="A94" s="4" t="s">
        <v>608</v>
      </c>
      <c r="B94" s="1" t="s">
        <v>1779</v>
      </c>
      <c r="C94" s="1" t="s">
        <v>746</v>
      </c>
      <c r="D94" s="13" t="s">
        <v>712</v>
      </c>
      <c r="E94" s="13">
        <v>44114</v>
      </c>
    </row>
    <row r="95" spans="1:5" x14ac:dyDescent="0.25">
      <c r="A95" s="4" t="s">
        <v>1076</v>
      </c>
      <c r="B95" s="5" t="s">
        <v>1077</v>
      </c>
      <c r="C95" s="5" t="s">
        <v>1078</v>
      </c>
      <c r="D95" s="6" t="s">
        <v>796</v>
      </c>
      <c r="E95" s="7">
        <v>10545</v>
      </c>
    </row>
    <row r="96" spans="1:5" x14ac:dyDescent="0.25">
      <c r="A96" s="4" t="s">
        <v>457</v>
      </c>
      <c r="B96" s="5" t="s">
        <v>1079</v>
      </c>
      <c r="C96" s="5" t="s">
        <v>1080</v>
      </c>
      <c r="D96" s="6" t="s">
        <v>1030</v>
      </c>
      <c r="E96" s="7">
        <v>21201</v>
      </c>
    </row>
    <row r="97" spans="1:5" x14ac:dyDescent="0.25">
      <c r="A97" s="4" t="s">
        <v>170</v>
      </c>
      <c r="B97" s="1" t="s">
        <v>1780</v>
      </c>
      <c r="C97" s="1" t="s">
        <v>1781</v>
      </c>
      <c r="D97" s="13" t="s">
        <v>877</v>
      </c>
      <c r="E97" s="13">
        <v>37411</v>
      </c>
    </row>
    <row r="98" spans="1:5" x14ac:dyDescent="0.25">
      <c r="A98" s="4" t="s">
        <v>120</v>
      </c>
      <c r="B98" s="5" t="s">
        <v>1081</v>
      </c>
      <c r="C98" s="5" t="s">
        <v>1082</v>
      </c>
      <c r="D98" s="6" t="s">
        <v>751</v>
      </c>
      <c r="E98" s="7">
        <v>22046</v>
      </c>
    </row>
    <row r="99" spans="1:5" x14ac:dyDescent="0.25">
      <c r="A99" s="4" t="s">
        <v>537</v>
      </c>
      <c r="B99" s="1" t="s">
        <v>1782</v>
      </c>
      <c r="C99" s="1" t="s">
        <v>1783</v>
      </c>
      <c r="D99" s="13" t="s">
        <v>874</v>
      </c>
      <c r="E99" s="13">
        <v>85705</v>
      </c>
    </row>
    <row r="100" spans="1:5" x14ac:dyDescent="0.25">
      <c r="A100" s="4" t="s">
        <v>544</v>
      </c>
      <c r="B100" s="5" t="s">
        <v>1083</v>
      </c>
      <c r="C100" s="5" t="s">
        <v>928</v>
      </c>
      <c r="D100" s="6" t="s">
        <v>722</v>
      </c>
      <c r="E100" s="7">
        <v>55104</v>
      </c>
    </row>
    <row r="101" spans="1:5" x14ac:dyDescent="0.25">
      <c r="A101" s="4" t="s">
        <v>92</v>
      </c>
      <c r="B101" s="1" t="s">
        <v>1784</v>
      </c>
      <c r="C101" s="1" t="s">
        <v>1785</v>
      </c>
      <c r="D101" s="13" t="s">
        <v>766</v>
      </c>
      <c r="E101" s="13">
        <v>98040</v>
      </c>
    </row>
    <row r="102" spans="1:5" x14ac:dyDescent="0.25">
      <c r="A102" s="4" t="s">
        <v>240</v>
      </c>
      <c r="B102" s="5" t="s">
        <v>1085</v>
      </c>
      <c r="C102" s="5" t="s">
        <v>870</v>
      </c>
      <c r="D102" s="6" t="s">
        <v>712</v>
      </c>
      <c r="E102" s="7">
        <v>43604</v>
      </c>
    </row>
    <row r="103" spans="1:5" x14ac:dyDescent="0.25">
      <c r="A103" s="4" t="s">
        <v>603</v>
      </c>
      <c r="B103" s="5" t="s">
        <v>1086</v>
      </c>
      <c r="C103" s="5" t="s">
        <v>1087</v>
      </c>
      <c r="D103" s="6" t="s">
        <v>712</v>
      </c>
      <c r="E103" s="7">
        <v>45202</v>
      </c>
    </row>
    <row r="104" spans="1:5" x14ac:dyDescent="0.25">
      <c r="A104" s="4" t="s">
        <v>688</v>
      </c>
      <c r="B104" s="5" t="s">
        <v>1088</v>
      </c>
      <c r="C104" s="5" t="s">
        <v>1089</v>
      </c>
      <c r="D104" s="6" t="s">
        <v>787</v>
      </c>
      <c r="E104" s="7">
        <v>32819</v>
      </c>
    </row>
    <row r="105" spans="1:5" x14ac:dyDescent="0.25">
      <c r="A105" s="4" t="s">
        <v>325</v>
      </c>
      <c r="B105" s="5" t="s">
        <v>1090</v>
      </c>
      <c r="C105" s="5" t="s">
        <v>1091</v>
      </c>
      <c r="D105" s="6" t="s">
        <v>751</v>
      </c>
      <c r="E105" s="7" t="s">
        <v>1092</v>
      </c>
    </row>
    <row r="106" spans="1:5" x14ac:dyDescent="0.25">
      <c r="A106" s="4" t="s">
        <v>511</v>
      </c>
      <c r="B106" s="1" t="s">
        <v>1786</v>
      </c>
      <c r="C106" s="1" t="s">
        <v>1787</v>
      </c>
      <c r="D106" s="13" t="s">
        <v>800</v>
      </c>
      <c r="E106" s="13" t="s">
        <v>1788</v>
      </c>
    </row>
    <row r="107" spans="1:5" x14ac:dyDescent="0.25">
      <c r="A107" s="4" t="s">
        <v>49</v>
      </c>
      <c r="B107" s="5" t="s">
        <v>1093</v>
      </c>
      <c r="C107" s="5" t="s">
        <v>1094</v>
      </c>
      <c r="D107" s="6" t="s">
        <v>736</v>
      </c>
      <c r="E107" s="7">
        <v>48179</v>
      </c>
    </row>
    <row r="108" spans="1:5" x14ac:dyDescent="0.25">
      <c r="A108" s="4" t="s">
        <v>44</v>
      </c>
      <c r="B108" s="5" t="s">
        <v>1095</v>
      </c>
      <c r="C108" s="5" t="s">
        <v>866</v>
      </c>
      <c r="D108" s="6" t="s">
        <v>877</v>
      </c>
      <c r="E108" s="7">
        <v>37849</v>
      </c>
    </row>
    <row r="109" spans="1:5" x14ac:dyDescent="0.25">
      <c r="A109" s="4" t="s">
        <v>40</v>
      </c>
      <c r="B109" s="5" t="s">
        <v>1002</v>
      </c>
      <c r="C109" s="5" t="s">
        <v>873</v>
      </c>
      <c r="D109" s="6" t="s">
        <v>874</v>
      </c>
      <c r="E109" s="7">
        <v>85048</v>
      </c>
    </row>
    <row r="110" spans="1:5" x14ac:dyDescent="0.25">
      <c r="A110" s="4" t="s">
        <v>652</v>
      </c>
      <c r="B110" s="5" t="s">
        <v>1096</v>
      </c>
      <c r="C110" s="5" t="s">
        <v>1097</v>
      </c>
      <c r="D110" s="6" t="s">
        <v>722</v>
      </c>
      <c r="E110" s="7">
        <v>55439</v>
      </c>
    </row>
    <row r="111" spans="1:5" x14ac:dyDescent="0.25">
      <c r="A111" s="4" t="s">
        <v>124</v>
      </c>
      <c r="B111" s="5" t="s">
        <v>1098</v>
      </c>
      <c r="C111" s="5" t="s">
        <v>1099</v>
      </c>
      <c r="D111" s="6" t="s">
        <v>796</v>
      </c>
      <c r="E111" s="7">
        <v>11530</v>
      </c>
    </row>
    <row r="112" spans="1:5" x14ac:dyDescent="0.25">
      <c r="A112" s="4" t="s">
        <v>266</v>
      </c>
      <c r="B112" s="5" t="s">
        <v>1100</v>
      </c>
      <c r="C112" s="5" t="s">
        <v>975</v>
      </c>
      <c r="D112" s="6" t="s">
        <v>976</v>
      </c>
      <c r="E112" s="7">
        <v>30350</v>
      </c>
    </row>
    <row r="113" spans="1:5" x14ac:dyDescent="0.25">
      <c r="A113" s="4" t="s">
        <v>152</v>
      </c>
      <c r="B113" s="5" t="s">
        <v>1101</v>
      </c>
      <c r="C113" s="5" t="s">
        <v>948</v>
      </c>
      <c r="D113" s="6" t="s">
        <v>947</v>
      </c>
      <c r="E113" s="7">
        <v>64108</v>
      </c>
    </row>
    <row r="114" spans="1:5" x14ac:dyDescent="0.25">
      <c r="A114" s="4" t="s">
        <v>169</v>
      </c>
      <c r="B114" s="1" t="s">
        <v>1789</v>
      </c>
      <c r="C114" s="1" t="s">
        <v>1790</v>
      </c>
      <c r="D114" s="13" t="s">
        <v>1791</v>
      </c>
      <c r="E114" s="13" t="s">
        <v>1792</v>
      </c>
    </row>
    <row r="115" spans="1:5" x14ac:dyDescent="0.25">
      <c r="A115" s="4" t="s">
        <v>647</v>
      </c>
      <c r="B115" s="1" t="s">
        <v>1793</v>
      </c>
      <c r="C115" s="1" t="s">
        <v>948</v>
      </c>
      <c r="D115" s="13" t="s">
        <v>1794</v>
      </c>
      <c r="E115" s="13" t="s">
        <v>1795</v>
      </c>
    </row>
    <row r="116" spans="1:5" x14ac:dyDescent="0.25">
      <c r="A116" s="4" t="s">
        <v>651</v>
      </c>
      <c r="B116" s="5" t="s">
        <v>1102</v>
      </c>
      <c r="C116" s="5" t="s">
        <v>989</v>
      </c>
      <c r="D116" s="6" t="s">
        <v>751</v>
      </c>
      <c r="E116" s="7">
        <v>22303</v>
      </c>
    </row>
    <row r="117" spans="1:5" x14ac:dyDescent="0.25">
      <c r="A117" s="4" t="s">
        <v>24</v>
      </c>
      <c r="B117" s="5" t="s">
        <v>1103</v>
      </c>
      <c r="C117" s="5" t="s">
        <v>711</v>
      </c>
      <c r="D117" s="6" t="s">
        <v>712</v>
      </c>
      <c r="E117" s="7">
        <v>45214</v>
      </c>
    </row>
    <row r="118" spans="1:5" x14ac:dyDescent="0.25">
      <c r="A118" s="4" t="s">
        <v>138</v>
      </c>
      <c r="B118" s="5" t="s">
        <v>1104</v>
      </c>
      <c r="C118" s="5" t="s">
        <v>711</v>
      </c>
      <c r="D118" s="6" t="s">
        <v>712</v>
      </c>
      <c r="E118" s="7">
        <v>45202</v>
      </c>
    </row>
    <row r="119" spans="1:5" x14ac:dyDescent="0.25">
      <c r="A119" s="4" t="s">
        <v>134</v>
      </c>
      <c r="B119" s="5" t="s">
        <v>1081</v>
      </c>
      <c r="C119" s="5" t="s">
        <v>1105</v>
      </c>
      <c r="D119" s="6" t="s">
        <v>751</v>
      </c>
      <c r="E119" s="7">
        <v>22046</v>
      </c>
    </row>
    <row r="120" spans="1:5" x14ac:dyDescent="0.25">
      <c r="A120" s="4" t="s">
        <v>347</v>
      </c>
      <c r="B120" s="5" t="s">
        <v>1106</v>
      </c>
      <c r="C120" s="5" t="s">
        <v>962</v>
      </c>
      <c r="D120" s="6" t="s">
        <v>963</v>
      </c>
      <c r="E120" s="7">
        <v>20003</v>
      </c>
    </row>
    <row r="121" spans="1:5" x14ac:dyDescent="0.25">
      <c r="A121" s="4" t="s">
        <v>242</v>
      </c>
      <c r="B121" s="5" t="s">
        <v>1107</v>
      </c>
      <c r="C121" s="5" t="s">
        <v>746</v>
      </c>
      <c r="D121" s="6" t="s">
        <v>712</v>
      </c>
      <c r="E121" s="7">
        <v>44103</v>
      </c>
    </row>
    <row r="122" spans="1:5" x14ac:dyDescent="0.25">
      <c r="A122" s="4" t="s">
        <v>397</v>
      </c>
      <c r="B122" s="5" t="s">
        <v>1108</v>
      </c>
      <c r="C122" s="5" t="s">
        <v>858</v>
      </c>
      <c r="D122" s="6" t="s">
        <v>712</v>
      </c>
      <c r="E122" s="7">
        <v>45502</v>
      </c>
    </row>
    <row r="123" spans="1:5" x14ac:dyDescent="0.25">
      <c r="A123" s="4" t="s">
        <v>105</v>
      </c>
      <c r="B123" s="5" t="s">
        <v>1109</v>
      </c>
      <c r="C123" s="5" t="s">
        <v>746</v>
      </c>
      <c r="D123" s="6" t="s">
        <v>712</v>
      </c>
      <c r="E123" s="7">
        <v>44106</v>
      </c>
    </row>
    <row r="124" spans="1:5" x14ac:dyDescent="0.25">
      <c r="A124" s="4" t="s">
        <v>609</v>
      </c>
      <c r="B124" s="1" t="s">
        <v>1796</v>
      </c>
      <c r="C124" s="1" t="s">
        <v>746</v>
      </c>
      <c r="D124" s="13" t="s">
        <v>712</v>
      </c>
      <c r="E124" s="13">
        <v>44016</v>
      </c>
    </row>
    <row r="125" spans="1:5" x14ac:dyDescent="0.25">
      <c r="A125" s="4" t="s">
        <v>177</v>
      </c>
      <c r="B125" s="5" t="s">
        <v>1110</v>
      </c>
      <c r="C125" s="5" t="s">
        <v>1111</v>
      </c>
      <c r="D125" s="6" t="s">
        <v>751</v>
      </c>
      <c r="E125" s="7" t="s">
        <v>1112</v>
      </c>
    </row>
    <row r="126" spans="1:5" x14ac:dyDescent="0.25">
      <c r="A126" s="4" t="s">
        <v>110</v>
      </c>
      <c r="B126" s="1" t="s">
        <v>1797</v>
      </c>
      <c r="C126" s="1" t="s">
        <v>1737</v>
      </c>
      <c r="D126" s="13" t="s">
        <v>712</v>
      </c>
      <c r="E126" s="13">
        <v>43215</v>
      </c>
    </row>
    <row r="127" spans="1:5" x14ac:dyDescent="0.25">
      <c r="A127" s="4" t="s">
        <v>100</v>
      </c>
      <c r="B127" s="5" t="s">
        <v>1113</v>
      </c>
      <c r="C127" s="5" t="s">
        <v>1114</v>
      </c>
      <c r="D127" s="6" t="s">
        <v>976</v>
      </c>
      <c r="E127" s="7">
        <v>30245</v>
      </c>
    </row>
    <row r="128" spans="1:5" x14ac:dyDescent="0.25">
      <c r="A128" s="4" t="s">
        <v>1115</v>
      </c>
      <c r="B128" s="5" t="s">
        <v>1116</v>
      </c>
      <c r="C128" s="5" t="s">
        <v>1117</v>
      </c>
      <c r="D128" s="6" t="s">
        <v>787</v>
      </c>
      <c r="E128" s="7">
        <v>33062</v>
      </c>
    </row>
    <row r="129" spans="1:5" x14ac:dyDescent="0.25">
      <c r="A129" s="4" t="s">
        <v>197</v>
      </c>
      <c r="B129" s="5" t="s">
        <v>1118</v>
      </c>
      <c r="C129" s="5" t="s">
        <v>997</v>
      </c>
      <c r="D129" s="6" t="s">
        <v>998</v>
      </c>
      <c r="E129" s="7">
        <v>80250</v>
      </c>
    </row>
    <row r="130" spans="1:5" x14ac:dyDescent="0.25">
      <c r="A130" s="4" t="s">
        <v>198</v>
      </c>
      <c r="B130" s="5" t="s">
        <v>1118</v>
      </c>
      <c r="C130" s="5" t="s">
        <v>997</v>
      </c>
      <c r="D130" s="6" t="s">
        <v>998</v>
      </c>
      <c r="E130" s="7">
        <v>80250</v>
      </c>
    </row>
    <row r="131" spans="1:5" x14ac:dyDescent="0.25">
      <c r="A131" s="4" t="s">
        <v>153</v>
      </c>
      <c r="B131" s="5" t="s">
        <v>1119</v>
      </c>
      <c r="C131" s="5" t="s">
        <v>962</v>
      </c>
      <c r="D131" s="6" t="s">
        <v>963</v>
      </c>
      <c r="E131" s="7">
        <v>20006</v>
      </c>
    </row>
    <row r="132" spans="1:5" x14ac:dyDescent="0.25">
      <c r="A132" s="4" t="s">
        <v>155</v>
      </c>
      <c r="B132" s="5" t="s">
        <v>1120</v>
      </c>
      <c r="C132" s="5" t="s">
        <v>962</v>
      </c>
      <c r="D132" s="6" t="s">
        <v>963</v>
      </c>
      <c r="E132" s="7">
        <v>20005</v>
      </c>
    </row>
    <row r="133" spans="1:5" x14ac:dyDescent="0.25">
      <c r="A133" s="4" t="s">
        <v>185</v>
      </c>
      <c r="B133" s="5" t="s">
        <v>1121</v>
      </c>
      <c r="C133" s="5" t="s">
        <v>1122</v>
      </c>
      <c r="D133" s="6" t="s">
        <v>796</v>
      </c>
      <c r="E133" s="7" t="s">
        <v>1123</v>
      </c>
    </row>
    <row r="134" spans="1:5" x14ac:dyDescent="0.25">
      <c r="A134" s="4" t="s">
        <v>209</v>
      </c>
      <c r="B134" s="5" t="s">
        <v>1124</v>
      </c>
      <c r="C134" s="5" t="s">
        <v>975</v>
      </c>
      <c r="D134" s="6" t="s">
        <v>976</v>
      </c>
      <c r="E134" s="7" t="s">
        <v>1125</v>
      </c>
    </row>
    <row r="135" spans="1:5" x14ac:dyDescent="0.25">
      <c r="A135" s="4" t="s">
        <v>671</v>
      </c>
      <c r="B135" s="1" t="s">
        <v>1445</v>
      </c>
      <c r="C135" s="1" t="s">
        <v>1446</v>
      </c>
      <c r="D135" s="13" t="s">
        <v>712</v>
      </c>
      <c r="E135" s="13">
        <v>44004</v>
      </c>
    </row>
    <row r="136" spans="1:5" x14ac:dyDescent="0.25">
      <c r="A136" s="4" t="s">
        <v>323</v>
      </c>
      <c r="B136" s="5" t="s">
        <v>1126</v>
      </c>
      <c r="C136" s="5" t="s">
        <v>786</v>
      </c>
      <c r="D136" s="6" t="s">
        <v>787</v>
      </c>
      <c r="E136" s="7">
        <v>33308</v>
      </c>
    </row>
    <row r="137" spans="1:5" x14ac:dyDescent="0.25">
      <c r="A137" s="4" t="s">
        <v>329</v>
      </c>
      <c r="B137" s="5" t="s">
        <v>1127</v>
      </c>
      <c r="C137" s="5" t="s">
        <v>974</v>
      </c>
      <c r="D137" s="6" t="s">
        <v>796</v>
      </c>
      <c r="E137" s="7">
        <v>10016</v>
      </c>
    </row>
    <row r="138" spans="1:5" x14ac:dyDescent="0.25">
      <c r="A138" s="4" t="s">
        <v>161</v>
      </c>
      <c r="B138" s="5" t="s">
        <v>1128</v>
      </c>
      <c r="C138" s="5" t="s">
        <v>1117</v>
      </c>
      <c r="D138" s="6" t="s">
        <v>787</v>
      </c>
      <c r="E138" s="7">
        <v>33060</v>
      </c>
    </row>
    <row r="139" spans="1:5" x14ac:dyDescent="0.25">
      <c r="A139" s="4" t="s">
        <v>159</v>
      </c>
      <c r="B139" s="5" t="s">
        <v>1129</v>
      </c>
      <c r="C139" s="5" t="s">
        <v>1130</v>
      </c>
      <c r="D139" s="6" t="s">
        <v>976</v>
      </c>
      <c r="E139" s="7">
        <v>30501</v>
      </c>
    </row>
    <row r="140" spans="1:5" x14ac:dyDescent="0.25">
      <c r="A140" s="4" t="s">
        <v>1950</v>
      </c>
      <c r="B140" s="5" t="s">
        <v>1131</v>
      </c>
      <c r="C140" s="5" t="s">
        <v>1132</v>
      </c>
      <c r="D140" s="6" t="s">
        <v>712</v>
      </c>
      <c r="E140" s="7">
        <v>44221</v>
      </c>
    </row>
    <row r="141" spans="1:5" x14ac:dyDescent="0.25">
      <c r="A141" s="4" t="s">
        <v>554</v>
      </c>
      <c r="B141" s="1" t="s">
        <v>1798</v>
      </c>
      <c r="C141" s="1" t="s">
        <v>1034</v>
      </c>
      <c r="D141" s="13" t="s">
        <v>712</v>
      </c>
      <c r="E141" s="13" t="s">
        <v>1799</v>
      </c>
    </row>
    <row r="142" spans="1:5" x14ac:dyDescent="0.25">
      <c r="A142" s="4" t="s">
        <v>112</v>
      </c>
      <c r="B142" s="1" t="s">
        <v>1800</v>
      </c>
      <c r="C142" s="1" t="s">
        <v>1034</v>
      </c>
      <c r="D142" s="13" t="s">
        <v>712</v>
      </c>
      <c r="E142" s="13">
        <v>45402</v>
      </c>
    </row>
    <row r="143" spans="1:5" x14ac:dyDescent="0.25">
      <c r="A143" s="4" t="s">
        <v>514</v>
      </c>
      <c r="B143" s="5" t="s">
        <v>1133</v>
      </c>
      <c r="C143" s="5" t="s">
        <v>1134</v>
      </c>
      <c r="D143" s="6" t="s">
        <v>787</v>
      </c>
      <c r="E143" s="7">
        <v>33708</v>
      </c>
    </row>
    <row r="144" spans="1:5" x14ac:dyDescent="0.25">
      <c r="A144" s="4" t="s">
        <v>540</v>
      </c>
      <c r="B144" s="5" t="s">
        <v>1135</v>
      </c>
      <c r="C144" s="5" t="s">
        <v>962</v>
      </c>
      <c r="D144" s="6" t="s">
        <v>963</v>
      </c>
      <c r="E144" s="7">
        <v>20036</v>
      </c>
    </row>
    <row r="145" spans="1:5" x14ac:dyDescent="0.25">
      <c r="A145" s="4" t="s">
        <v>541</v>
      </c>
      <c r="B145" s="1" t="s">
        <v>1135</v>
      </c>
      <c r="C145" s="1" t="s">
        <v>962</v>
      </c>
      <c r="D145" s="13" t="s">
        <v>963</v>
      </c>
      <c r="E145" s="13">
        <v>20036</v>
      </c>
    </row>
    <row r="146" spans="1:5" x14ac:dyDescent="0.25">
      <c r="A146" s="4" t="s">
        <v>499</v>
      </c>
      <c r="B146" s="5" t="s">
        <v>1136</v>
      </c>
      <c r="C146" s="5" t="s">
        <v>1137</v>
      </c>
      <c r="D146" s="6" t="s">
        <v>712</v>
      </c>
      <c r="E146" s="7">
        <v>43512</v>
      </c>
    </row>
    <row r="147" spans="1:5" x14ac:dyDescent="0.25">
      <c r="A147" s="4" t="s">
        <v>494</v>
      </c>
      <c r="B147" s="5" t="s">
        <v>1138</v>
      </c>
      <c r="C147" s="5" t="s">
        <v>1137</v>
      </c>
      <c r="D147" s="6" t="s">
        <v>712</v>
      </c>
      <c r="E147" s="7">
        <v>43512</v>
      </c>
    </row>
    <row r="148" spans="1:5" x14ac:dyDescent="0.25">
      <c r="A148" s="4" t="s">
        <v>132</v>
      </c>
      <c r="B148" s="5" t="s">
        <v>1139</v>
      </c>
      <c r="C148" s="5" t="s">
        <v>1140</v>
      </c>
      <c r="D148" s="6" t="s">
        <v>1141</v>
      </c>
      <c r="E148" s="7">
        <v>2814</v>
      </c>
    </row>
    <row r="149" spans="1:5" x14ac:dyDescent="0.25">
      <c r="A149" s="4" t="s">
        <v>509</v>
      </c>
      <c r="B149" s="5" t="s">
        <v>1142</v>
      </c>
      <c r="C149" s="5" t="s">
        <v>1143</v>
      </c>
      <c r="D149" s="6" t="s">
        <v>787</v>
      </c>
      <c r="E149" s="7">
        <v>32578</v>
      </c>
    </row>
    <row r="150" spans="1:5" x14ac:dyDescent="0.25">
      <c r="A150" s="4" t="s">
        <v>508</v>
      </c>
      <c r="B150" s="5" t="s">
        <v>1142</v>
      </c>
      <c r="C150" s="5" t="s">
        <v>1143</v>
      </c>
      <c r="D150" s="6" t="s">
        <v>787</v>
      </c>
      <c r="E150" s="7">
        <v>32578</v>
      </c>
    </row>
    <row r="151" spans="1:5" x14ac:dyDescent="0.25">
      <c r="A151" s="4" t="s">
        <v>39</v>
      </c>
      <c r="B151" s="5" t="s">
        <v>1144</v>
      </c>
      <c r="C151" s="5" t="s">
        <v>1117</v>
      </c>
      <c r="D151" s="6" t="s">
        <v>787</v>
      </c>
      <c r="E151" s="7">
        <v>33062</v>
      </c>
    </row>
    <row r="152" spans="1:5" x14ac:dyDescent="0.25">
      <c r="A152" s="4" t="s">
        <v>180</v>
      </c>
      <c r="B152" s="5" t="s">
        <v>1145</v>
      </c>
      <c r="C152" s="5" t="s">
        <v>974</v>
      </c>
      <c r="D152" s="6" t="s">
        <v>796</v>
      </c>
      <c r="E152" s="7">
        <v>10001</v>
      </c>
    </row>
    <row r="153" spans="1:5" x14ac:dyDescent="0.25">
      <c r="A153" s="4" t="s">
        <v>199</v>
      </c>
      <c r="B153" s="5" t="s">
        <v>1146</v>
      </c>
      <c r="C153" s="5" t="s">
        <v>962</v>
      </c>
      <c r="D153" s="6" t="s">
        <v>963</v>
      </c>
      <c r="E153" s="7">
        <v>20037</v>
      </c>
    </row>
    <row r="154" spans="1:5" x14ac:dyDescent="0.25">
      <c r="A154" s="4" t="s">
        <v>241</v>
      </c>
      <c r="B154" s="5" t="s">
        <v>1147</v>
      </c>
      <c r="C154" s="5" t="s">
        <v>809</v>
      </c>
      <c r="D154" s="6" t="s">
        <v>803</v>
      </c>
      <c r="E154" s="7">
        <v>90026</v>
      </c>
    </row>
    <row r="155" spans="1:5" x14ac:dyDescent="0.25">
      <c r="A155" s="4" t="s">
        <v>431</v>
      </c>
      <c r="B155" s="5" t="s">
        <v>1148</v>
      </c>
      <c r="C155" s="5" t="s">
        <v>817</v>
      </c>
      <c r="D155" s="6" t="s">
        <v>712</v>
      </c>
      <c r="E155" s="7">
        <v>44515</v>
      </c>
    </row>
    <row r="156" spans="1:5" x14ac:dyDescent="0.25">
      <c r="A156" s="4" t="s">
        <v>188</v>
      </c>
      <c r="B156" s="5" t="s">
        <v>1149</v>
      </c>
      <c r="C156" s="5" t="s">
        <v>952</v>
      </c>
      <c r="D156" s="6" t="s">
        <v>803</v>
      </c>
      <c r="E156" s="7" t="s">
        <v>1150</v>
      </c>
    </row>
    <row r="157" spans="1:5" x14ac:dyDescent="0.25">
      <c r="A157" s="4" t="s">
        <v>414</v>
      </c>
      <c r="B157" s="5" t="s">
        <v>1151</v>
      </c>
      <c r="C157" s="5" t="s">
        <v>1152</v>
      </c>
      <c r="D157" s="6" t="s">
        <v>712</v>
      </c>
      <c r="E157" s="7">
        <v>44035</v>
      </c>
    </row>
    <row r="158" spans="1:5" x14ac:dyDescent="0.25">
      <c r="A158" s="4" t="s">
        <v>328</v>
      </c>
      <c r="B158" s="5" t="s">
        <v>1153</v>
      </c>
      <c r="C158" s="5" t="s">
        <v>931</v>
      </c>
      <c r="D158" s="6" t="s">
        <v>741</v>
      </c>
      <c r="E158" s="7">
        <v>60606</v>
      </c>
    </row>
    <row r="159" spans="1:5" x14ac:dyDescent="0.25">
      <c r="A159" s="4" t="s">
        <v>358</v>
      </c>
      <c r="B159" s="1" t="s">
        <v>1801</v>
      </c>
      <c r="C159" s="1" t="s">
        <v>1802</v>
      </c>
      <c r="D159" s="13" t="s">
        <v>803</v>
      </c>
      <c r="E159" s="13">
        <v>95765</v>
      </c>
    </row>
    <row r="160" spans="1:5" x14ac:dyDescent="0.25">
      <c r="A160" s="4" t="s">
        <v>304</v>
      </c>
      <c r="B160" s="5" t="s">
        <v>1154</v>
      </c>
      <c r="C160" s="5" t="s">
        <v>850</v>
      </c>
      <c r="D160" s="6" t="s">
        <v>712</v>
      </c>
      <c r="E160" s="7">
        <v>44312</v>
      </c>
    </row>
    <row r="161" spans="1:5" x14ac:dyDescent="0.25">
      <c r="A161" s="4" t="s">
        <v>586</v>
      </c>
      <c r="B161" s="1" t="s">
        <v>1803</v>
      </c>
      <c r="C161" s="1" t="s">
        <v>711</v>
      </c>
      <c r="D161" s="13" t="s">
        <v>712</v>
      </c>
      <c r="E161" s="13">
        <v>45202</v>
      </c>
    </row>
    <row r="162" spans="1:5" x14ac:dyDescent="0.25">
      <c r="A162" s="4" t="s">
        <v>276</v>
      </c>
      <c r="B162" s="5" t="s">
        <v>1155</v>
      </c>
      <c r="C162" s="5" t="s">
        <v>989</v>
      </c>
      <c r="D162" s="6" t="s">
        <v>751</v>
      </c>
      <c r="E162" s="7">
        <v>22314</v>
      </c>
    </row>
    <row r="163" spans="1:5" x14ac:dyDescent="0.25">
      <c r="A163" s="4" t="s">
        <v>115</v>
      </c>
      <c r="B163" s="5" t="s">
        <v>1156</v>
      </c>
      <c r="C163" s="5" t="s">
        <v>974</v>
      </c>
      <c r="D163" s="6" t="s">
        <v>796</v>
      </c>
      <c r="E163" s="7">
        <v>10010</v>
      </c>
    </row>
    <row r="164" spans="1:5" x14ac:dyDescent="0.25">
      <c r="A164" s="4" t="s">
        <v>284</v>
      </c>
      <c r="B164" s="1" t="s">
        <v>1804</v>
      </c>
      <c r="C164" s="1" t="s">
        <v>795</v>
      </c>
      <c r="D164" s="13" t="s">
        <v>796</v>
      </c>
      <c r="E164" s="13">
        <v>11201</v>
      </c>
    </row>
    <row r="165" spans="1:5" x14ac:dyDescent="0.25">
      <c r="A165" s="4" t="s">
        <v>309</v>
      </c>
      <c r="B165" s="5" t="s">
        <v>1157</v>
      </c>
      <c r="C165" s="5" t="s">
        <v>797</v>
      </c>
      <c r="D165" s="6" t="s">
        <v>712</v>
      </c>
      <c r="E165" s="7">
        <v>44123</v>
      </c>
    </row>
    <row r="166" spans="1:5" x14ac:dyDescent="0.25">
      <c r="A166" s="4" t="s">
        <v>346</v>
      </c>
      <c r="B166" s="5" t="s">
        <v>1158</v>
      </c>
      <c r="C166" s="5" t="s">
        <v>1159</v>
      </c>
      <c r="D166" s="6" t="s">
        <v>976</v>
      </c>
      <c r="E166" s="7" t="s">
        <v>1160</v>
      </c>
    </row>
    <row r="167" spans="1:5" x14ac:dyDescent="0.25">
      <c r="A167" s="4" t="s">
        <v>456</v>
      </c>
      <c r="B167" s="5" t="s">
        <v>1161</v>
      </c>
      <c r="C167" s="5" t="s">
        <v>962</v>
      </c>
      <c r="D167" s="6" t="s">
        <v>963</v>
      </c>
      <c r="E167" s="7">
        <v>20001</v>
      </c>
    </row>
    <row r="168" spans="1:5" x14ac:dyDescent="0.25">
      <c r="A168" s="4" t="s">
        <v>361</v>
      </c>
      <c r="B168" s="5" t="s">
        <v>1161</v>
      </c>
      <c r="C168" s="5" t="s">
        <v>962</v>
      </c>
      <c r="D168" s="6" t="s">
        <v>963</v>
      </c>
      <c r="E168" s="7">
        <v>20001</v>
      </c>
    </row>
    <row r="169" spans="1:5" x14ac:dyDescent="0.25">
      <c r="A169" s="4" t="s">
        <v>1162</v>
      </c>
      <c r="B169" s="5" t="s">
        <v>1163</v>
      </c>
      <c r="C169" s="5" t="s">
        <v>1164</v>
      </c>
      <c r="D169" s="6" t="s">
        <v>796</v>
      </c>
      <c r="E169" s="7">
        <v>14891</v>
      </c>
    </row>
    <row r="170" spans="1:5" x14ac:dyDescent="0.25">
      <c r="A170" s="4" t="s">
        <v>9</v>
      </c>
      <c r="B170" s="5" t="s">
        <v>1165</v>
      </c>
      <c r="C170" s="5" t="s">
        <v>1166</v>
      </c>
      <c r="D170" s="6" t="s">
        <v>1167</v>
      </c>
      <c r="E170" s="7">
        <v>73107</v>
      </c>
    </row>
    <row r="171" spans="1:5" x14ac:dyDescent="0.25">
      <c r="A171" s="4" t="s">
        <v>660</v>
      </c>
      <c r="B171" s="5" t="s">
        <v>1168</v>
      </c>
      <c r="C171" s="5" t="s">
        <v>931</v>
      </c>
      <c r="D171" s="6" t="s">
        <v>741</v>
      </c>
      <c r="E171" s="7">
        <v>60601</v>
      </c>
    </row>
    <row r="172" spans="1:5" x14ac:dyDescent="0.25">
      <c r="A172" s="4" t="s">
        <v>614</v>
      </c>
      <c r="B172" s="5" t="s">
        <v>1169</v>
      </c>
      <c r="C172" s="5" t="s">
        <v>931</v>
      </c>
      <c r="D172" s="6" t="s">
        <v>741</v>
      </c>
      <c r="E172" s="7" t="s">
        <v>1170</v>
      </c>
    </row>
    <row r="173" spans="1:5" x14ac:dyDescent="0.25">
      <c r="A173" s="4" t="s">
        <v>1721</v>
      </c>
      <c r="B173" s="5" t="s">
        <v>1171</v>
      </c>
      <c r="C173" s="5" t="s">
        <v>1172</v>
      </c>
      <c r="D173" s="6" t="s">
        <v>787</v>
      </c>
      <c r="E173" s="7">
        <v>33955</v>
      </c>
    </row>
    <row r="174" spans="1:5" x14ac:dyDescent="0.25">
      <c r="A174" s="4" t="s">
        <v>1951</v>
      </c>
      <c r="B174" s="5" t="s">
        <v>1173</v>
      </c>
      <c r="C174" s="5" t="s">
        <v>1174</v>
      </c>
      <c r="D174" s="6" t="s">
        <v>796</v>
      </c>
      <c r="E174" s="7">
        <v>11735</v>
      </c>
    </row>
    <row r="175" spans="1:5" x14ac:dyDescent="0.25">
      <c r="A175" s="4" t="s">
        <v>67</v>
      </c>
      <c r="B175" s="5" t="s">
        <v>1175</v>
      </c>
      <c r="C175" s="5" t="s">
        <v>1176</v>
      </c>
      <c r="D175" s="6" t="s">
        <v>813</v>
      </c>
      <c r="E175" s="7" t="s">
        <v>1177</v>
      </c>
    </row>
    <row r="176" spans="1:5" x14ac:dyDescent="0.25">
      <c r="A176" s="4" t="s">
        <v>303</v>
      </c>
      <c r="B176" s="5" t="s">
        <v>1178</v>
      </c>
      <c r="C176" s="5" t="s">
        <v>850</v>
      </c>
      <c r="D176" s="6" t="s">
        <v>712</v>
      </c>
      <c r="E176" s="7">
        <v>44313</v>
      </c>
    </row>
    <row r="177" spans="1:5" x14ac:dyDescent="0.25">
      <c r="A177" s="4" t="s">
        <v>1179</v>
      </c>
      <c r="B177" s="5" t="s">
        <v>1180</v>
      </c>
      <c r="C177" s="5" t="s">
        <v>761</v>
      </c>
      <c r="D177" s="6" t="s">
        <v>712</v>
      </c>
      <c r="E177" s="7">
        <v>43215</v>
      </c>
    </row>
    <row r="178" spans="1:5" x14ac:dyDescent="0.25">
      <c r="A178" s="4" t="s">
        <v>287</v>
      </c>
      <c r="B178" s="5" t="s">
        <v>1181</v>
      </c>
      <c r="C178" s="5" t="s">
        <v>962</v>
      </c>
      <c r="D178" s="6" t="s">
        <v>963</v>
      </c>
      <c r="E178" s="7">
        <v>20036</v>
      </c>
    </row>
    <row r="179" spans="1:5" x14ac:dyDescent="0.25">
      <c r="A179" s="4" t="s">
        <v>158</v>
      </c>
      <c r="B179" s="5" t="s">
        <v>1182</v>
      </c>
      <c r="C179" s="5" t="s">
        <v>1183</v>
      </c>
      <c r="D179" s="6" t="s">
        <v>712</v>
      </c>
      <c r="E179" s="7">
        <v>43050</v>
      </c>
    </row>
    <row r="180" spans="1:5" x14ac:dyDescent="0.25">
      <c r="A180" s="4" t="s">
        <v>644</v>
      </c>
      <c r="B180" s="5" t="s">
        <v>1184</v>
      </c>
      <c r="C180" s="5" t="s">
        <v>1185</v>
      </c>
      <c r="D180" s="6" t="s">
        <v>787</v>
      </c>
      <c r="E180" s="7">
        <v>33073</v>
      </c>
    </row>
    <row r="181" spans="1:5" x14ac:dyDescent="0.25">
      <c r="A181" s="4" t="s">
        <v>447</v>
      </c>
      <c r="B181" s="5" t="s">
        <v>1186</v>
      </c>
      <c r="C181" s="5" t="s">
        <v>1187</v>
      </c>
      <c r="D181" s="6" t="s">
        <v>712</v>
      </c>
      <c r="E181" s="7">
        <v>44830</v>
      </c>
    </row>
    <row r="182" spans="1:5" x14ac:dyDescent="0.25">
      <c r="A182" s="4" t="s">
        <v>648</v>
      </c>
      <c r="B182" s="5" t="s">
        <v>1188</v>
      </c>
      <c r="C182" s="5" t="s">
        <v>1189</v>
      </c>
      <c r="D182" s="6" t="s">
        <v>1030</v>
      </c>
      <c r="E182" s="7">
        <v>21046</v>
      </c>
    </row>
    <row r="183" spans="1:5" x14ac:dyDescent="0.25">
      <c r="A183" s="4" t="s">
        <v>147</v>
      </c>
      <c r="B183" s="5" t="s">
        <v>1190</v>
      </c>
      <c r="C183" s="5" t="s">
        <v>1191</v>
      </c>
      <c r="D183" s="6" t="s">
        <v>885</v>
      </c>
      <c r="E183" s="7">
        <v>17362</v>
      </c>
    </row>
    <row r="184" spans="1:5" x14ac:dyDescent="0.25">
      <c r="A184" s="4" t="s">
        <v>677</v>
      </c>
      <c r="B184" s="5" t="s">
        <v>1192</v>
      </c>
      <c r="C184" s="5" t="s">
        <v>974</v>
      </c>
      <c r="D184" s="6" t="s">
        <v>796</v>
      </c>
      <c r="E184" s="7" t="s">
        <v>1193</v>
      </c>
    </row>
    <row r="185" spans="1:5" x14ac:dyDescent="0.25">
      <c r="A185" s="4" t="s">
        <v>47</v>
      </c>
      <c r="B185" s="5" t="s">
        <v>1194</v>
      </c>
      <c r="C185" s="5" t="s">
        <v>1195</v>
      </c>
      <c r="D185" s="6" t="s">
        <v>736</v>
      </c>
      <c r="E185" s="7">
        <v>48322</v>
      </c>
    </row>
    <row r="186" spans="1:5" x14ac:dyDescent="0.25">
      <c r="A186" s="4" t="s">
        <v>28</v>
      </c>
      <c r="B186" s="5" t="s">
        <v>1196</v>
      </c>
      <c r="C186" s="5" t="s">
        <v>952</v>
      </c>
      <c r="D186" s="6" t="s">
        <v>803</v>
      </c>
      <c r="E186" s="7">
        <v>94108</v>
      </c>
    </row>
    <row r="187" spans="1:5" x14ac:dyDescent="0.25">
      <c r="A187" s="4" t="s">
        <v>596</v>
      </c>
      <c r="B187" s="1" t="s">
        <v>1805</v>
      </c>
      <c r="C187" s="1" t="s">
        <v>1737</v>
      </c>
      <c r="D187" s="13" t="s">
        <v>712</v>
      </c>
      <c r="E187" s="13">
        <v>43215</v>
      </c>
    </row>
    <row r="188" spans="1:5" x14ac:dyDescent="0.25">
      <c r="A188" s="4" t="s">
        <v>592</v>
      </c>
      <c r="B188" s="1" t="s">
        <v>1806</v>
      </c>
      <c r="C188" s="1" t="s">
        <v>1250</v>
      </c>
      <c r="D188" s="13" t="s">
        <v>712</v>
      </c>
      <c r="E188" s="13">
        <v>45385</v>
      </c>
    </row>
    <row r="189" spans="1:5" x14ac:dyDescent="0.25">
      <c r="A189" s="4" t="s">
        <v>591</v>
      </c>
      <c r="B189" s="1" t="s">
        <v>1807</v>
      </c>
      <c r="C189" s="1" t="s">
        <v>1258</v>
      </c>
      <c r="D189" s="13" t="s">
        <v>712</v>
      </c>
      <c r="E189" s="13" t="s">
        <v>1808</v>
      </c>
    </row>
    <row r="190" spans="1:5" x14ac:dyDescent="0.25">
      <c r="A190" s="4" t="s">
        <v>638</v>
      </c>
      <c r="B190" s="5" t="s">
        <v>1197</v>
      </c>
      <c r="C190" s="5" t="s">
        <v>923</v>
      </c>
      <c r="D190" s="6" t="s">
        <v>712</v>
      </c>
      <c r="E190" s="7">
        <v>44691</v>
      </c>
    </row>
    <row r="191" spans="1:5" x14ac:dyDescent="0.25">
      <c r="A191" s="4" t="s">
        <v>565</v>
      </c>
      <c r="B191" s="5" t="s">
        <v>1198</v>
      </c>
      <c r="C191" s="5" t="s">
        <v>1199</v>
      </c>
      <c r="D191" s="6" t="s">
        <v>712</v>
      </c>
      <c r="E191" s="7">
        <v>43952</v>
      </c>
    </row>
    <row r="192" spans="1:5" x14ac:dyDescent="0.25">
      <c r="A192" s="4" t="s">
        <v>231</v>
      </c>
      <c r="B192" s="5" t="s">
        <v>1200</v>
      </c>
      <c r="C192" s="5" t="s">
        <v>853</v>
      </c>
      <c r="D192" s="6" t="s">
        <v>712</v>
      </c>
      <c r="E192" s="7">
        <v>43725</v>
      </c>
    </row>
    <row r="193" spans="1:5" x14ac:dyDescent="0.25">
      <c r="A193" s="4" t="s">
        <v>404</v>
      </c>
      <c r="B193" s="5" t="s">
        <v>1201</v>
      </c>
      <c r="C193" s="5" t="s">
        <v>1034</v>
      </c>
      <c r="D193" s="6" t="s">
        <v>712</v>
      </c>
      <c r="E193" s="7">
        <v>45414</v>
      </c>
    </row>
    <row r="194" spans="1:5" x14ac:dyDescent="0.25">
      <c r="A194" s="4" t="s">
        <v>238</v>
      </c>
      <c r="B194" s="5" t="s">
        <v>1202</v>
      </c>
      <c r="C194" s="5" t="s">
        <v>1203</v>
      </c>
      <c r="D194" s="6" t="s">
        <v>712</v>
      </c>
      <c r="E194" s="7">
        <v>44646</v>
      </c>
    </row>
    <row r="195" spans="1:5" x14ac:dyDescent="0.25">
      <c r="A195" s="4" t="s">
        <v>224</v>
      </c>
      <c r="B195" s="5" t="s">
        <v>1204</v>
      </c>
      <c r="C195" s="5" t="s">
        <v>1205</v>
      </c>
      <c r="D195" s="6" t="s">
        <v>712</v>
      </c>
      <c r="E195" s="7">
        <v>44047</v>
      </c>
    </row>
    <row r="196" spans="1:5" x14ac:dyDescent="0.25">
      <c r="A196" s="4" t="s">
        <v>398</v>
      </c>
      <c r="B196" s="5" t="s">
        <v>1206</v>
      </c>
      <c r="C196" s="5" t="s">
        <v>1034</v>
      </c>
      <c r="D196" s="6" t="s">
        <v>712</v>
      </c>
      <c r="E196" s="7">
        <v>45409</v>
      </c>
    </row>
    <row r="197" spans="1:5" x14ac:dyDescent="0.25">
      <c r="A197" s="4" t="s">
        <v>625</v>
      </c>
      <c r="B197" s="5" t="s">
        <v>1207</v>
      </c>
      <c r="C197" s="5" t="s">
        <v>1208</v>
      </c>
      <c r="D197" s="6" t="s">
        <v>712</v>
      </c>
      <c r="E197" s="7">
        <v>45030</v>
      </c>
    </row>
    <row r="198" spans="1:5" x14ac:dyDescent="0.25">
      <c r="A198" s="4" t="s">
        <v>525</v>
      </c>
      <c r="B198" s="5" t="s">
        <v>1209</v>
      </c>
      <c r="C198" s="5" t="s">
        <v>1210</v>
      </c>
      <c r="D198" s="6" t="s">
        <v>712</v>
      </c>
      <c r="E198" s="7">
        <v>44092</v>
      </c>
    </row>
    <row r="199" spans="1:5" x14ac:dyDescent="0.25">
      <c r="A199" s="4" t="s">
        <v>626</v>
      </c>
      <c r="B199" s="5" t="s">
        <v>1211</v>
      </c>
      <c r="C199" s="5" t="s">
        <v>1212</v>
      </c>
      <c r="D199" s="6" t="s">
        <v>712</v>
      </c>
      <c r="E199" s="7">
        <v>45342</v>
      </c>
    </row>
    <row r="200" spans="1:5" x14ac:dyDescent="0.25">
      <c r="A200" s="4" t="s">
        <v>83</v>
      </c>
      <c r="B200" s="5" t="s">
        <v>1213</v>
      </c>
      <c r="C200" s="5" t="s">
        <v>1214</v>
      </c>
      <c r="D200" s="6" t="s">
        <v>712</v>
      </c>
      <c r="E200" s="7">
        <v>45750</v>
      </c>
    </row>
    <row r="201" spans="1:5" x14ac:dyDescent="0.25">
      <c r="A201" s="4" t="s">
        <v>521</v>
      </c>
      <c r="B201" s="5" t="s">
        <v>1215</v>
      </c>
      <c r="C201" s="5" t="s">
        <v>1216</v>
      </c>
      <c r="D201" s="6" t="s">
        <v>712</v>
      </c>
      <c r="E201" s="7">
        <v>44241</v>
      </c>
    </row>
    <row r="202" spans="1:5" x14ac:dyDescent="0.25">
      <c r="A202" s="4" t="s">
        <v>430</v>
      </c>
      <c r="B202" s="1" t="s">
        <v>1148</v>
      </c>
      <c r="C202" s="1" t="s">
        <v>1318</v>
      </c>
      <c r="D202" s="13" t="s">
        <v>712</v>
      </c>
      <c r="E202" s="13">
        <v>44515</v>
      </c>
    </row>
    <row r="203" spans="1:5" x14ac:dyDescent="0.25">
      <c r="A203" s="4" t="s">
        <v>566</v>
      </c>
      <c r="B203" s="5" t="s">
        <v>1217</v>
      </c>
      <c r="C203" s="5" t="s">
        <v>1218</v>
      </c>
      <c r="D203" s="6" t="s">
        <v>712</v>
      </c>
      <c r="E203" s="7">
        <v>43058</v>
      </c>
    </row>
    <row r="204" spans="1:5" x14ac:dyDescent="0.25">
      <c r="A204" s="4" t="s">
        <v>234</v>
      </c>
      <c r="B204" s="1" t="s">
        <v>1809</v>
      </c>
      <c r="C204" s="1" t="s">
        <v>1810</v>
      </c>
      <c r="D204" s="13" t="s">
        <v>712</v>
      </c>
      <c r="E204" s="13">
        <v>44425</v>
      </c>
    </row>
    <row r="205" spans="1:5" x14ac:dyDescent="0.25">
      <c r="A205" s="4" t="s">
        <v>495</v>
      </c>
      <c r="B205" s="5" t="s">
        <v>1219</v>
      </c>
      <c r="C205" s="5" t="s">
        <v>1220</v>
      </c>
      <c r="D205" s="6" t="s">
        <v>712</v>
      </c>
      <c r="E205" s="7" t="s">
        <v>1221</v>
      </c>
    </row>
    <row r="206" spans="1:5" x14ac:dyDescent="0.25">
      <c r="A206" s="4" t="s">
        <v>564</v>
      </c>
      <c r="B206" s="5" t="s">
        <v>1222</v>
      </c>
      <c r="C206" s="5" t="s">
        <v>850</v>
      </c>
      <c r="D206" s="6" t="s">
        <v>712</v>
      </c>
      <c r="E206" s="7">
        <v>44311</v>
      </c>
    </row>
    <row r="207" spans="1:5" x14ac:dyDescent="0.25">
      <c r="A207" s="4" t="s">
        <v>520</v>
      </c>
      <c r="B207" s="5" t="s">
        <v>1223</v>
      </c>
      <c r="C207" s="5" t="s">
        <v>1224</v>
      </c>
      <c r="D207" s="6" t="s">
        <v>712</v>
      </c>
      <c r="E207" s="7">
        <v>44138</v>
      </c>
    </row>
    <row r="208" spans="1:5" x14ac:dyDescent="0.25">
      <c r="A208" s="4" t="s">
        <v>232</v>
      </c>
      <c r="B208" s="1" t="s">
        <v>1811</v>
      </c>
      <c r="C208" s="1" t="s">
        <v>1812</v>
      </c>
      <c r="D208" s="13" t="s">
        <v>712</v>
      </c>
      <c r="E208" s="13">
        <v>44077</v>
      </c>
    </row>
    <row r="209" spans="1:5" x14ac:dyDescent="0.25">
      <c r="A209" s="4" t="s">
        <v>500</v>
      </c>
      <c r="B209" s="5" t="s">
        <v>1225</v>
      </c>
      <c r="C209" s="5" t="s">
        <v>1226</v>
      </c>
      <c r="D209" s="6" t="s">
        <v>712</v>
      </c>
      <c r="E209" s="7">
        <v>45424</v>
      </c>
    </row>
    <row r="210" spans="1:5" x14ac:dyDescent="0.25">
      <c r="A210" s="4" t="s">
        <v>433</v>
      </c>
      <c r="B210" s="5" t="s">
        <v>1227</v>
      </c>
      <c r="C210" s="5" t="s">
        <v>1228</v>
      </c>
      <c r="D210" s="6" t="s">
        <v>712</v>
      </c>
      <c r="E210" s="7">
        <v>44484</v>
      </c>
    </row>
    <row r="211" spans="1:5" x14ac:dyDescent="0.25">
      <c r="A211" s="4" t="s">
        <v>436</v>
      </c>
      <c r="B211" s="5" t="s">
        <v>1229</v>
      </c>
      <c r="C211" s="5" t="s">
        <v>1230</v>
      </c>
      <c r="D211" s="6" t="s">
        <v>712</v>
      </c>
      <c r="E211" s="7">
        <v>44410</v>
      </c>
    </row>
    <row r="212" spans="1:5" x14ac:dyDescent="0.25">
      <c r="A212" s="4" t="s">
        <v>223</v>
      </c>
      <c r="B212" s="1" t="s">
        <v>1813</v>
      </c>
      <c r="C212" s="1" t="s">
        <v>1814</v>
      </c>
      <c r="D212" s="13" t="s">
        <v>712</v>
      </c>
      <c r="E212" s="13">
        <v>43040</v>
      </c>
    </row>
    <row r="213" spans="1:5" x14ac:dyDescent="0.25">
      <c r="A213" s="4" t="s">
        <v>501</v>
      </c>
      <c r="B213" s="5" t="s">
        <v>1231</v>
      </c>
      <c r="C213" s="5" t="s">
        <v>1232</v>
      </c>
      <c r="D213" s="6" t="s">
        <v>712</v>
      </c>
      <c r="E213" s="7">
        <v>43506</v>
      </c>
    </row>
    <row r="214" spans="1:5" x14ac:dyDescent="0.25">
      <c r="A214" s="4" t="s">
        <v>432</v>
      </c>
      <c r="B214" s="5" t="s">
        <v>1233</v>
      </c>
      <c r="C214" s="5" t="s">
        <v>1234</v>
      </c>
      <c r="D214" s="6" t="s">
        <v>712</v>
      </c>
      <c r="E214" s="7">
        <v>44430</v>
      </c>
    </row>
    <row r="215" spans="1:5" x14ac:dyDescent="0.25">
      <c r="A215" s="4" t="s">
        <v>86</v>
      </c>
      <c r="B215" s="5" t="s">
        <v>1235</v>
      </c>
      <c r="C215" s="5" t="s">
        <v>1236</v>
      </c>
      <c r="D215" s="6" t="s">
        <v>712</v>
      </c>
      <c r="E215" s="7">
        <v>45840</v>
      </c>
    </row>
    <row r="216" spans="1:5" x14ac:dyDescent="0.25">
      <c r="A216" s="4" t="s">
        <v>528</v>
      </c>
      <c r="B216" s="5" t="s">
        <v>1237</v>
      </c>
      <c r="C216" s="5" t="s">
        <v>1238</v>
      </c>
      <c r="D216" s="6" t="s">
        <v>712</v>
      </c>
      <c r="E216" s="7">
        <v>44256</v>
      </c>
    </row>
    <row r="217" spans="1:5" x14ac:dyDescent="0.25">
      <c r="A217" s="4" t="s">
        <v>497</v>
      </c>
      <c r="B217" s="5" t="s">
        <v>1239</v>
      </c>
      <c r="C217" s="5" t="s">
        <v>1240</v>
      </c>
      <c r="D217" s="6" t="s">
        <v>712</v>
      </c>
      <c r="E217" s="7">
        <v>43302</v>
      </c>
    </row>
    <row r="218" spans="1:5" x14ac:dyDescent="0.25">
      <c r="A218" s="4" t="s">
        <v>526</v>
      </c>
      <c r="B218" s="5" t="s">
        <v>1241</v>
      </c>
      <c r="C218" s="5" t="s">
        <v>958</v>
      </c>
      <c r="D218" s="6" t="s">
        <v>712</v>
      </c>
      <c r="E218" s="7" t="s">
        <v>959</v>
      </c>
    </row>
    <row r="219" spans="1:5" x14ac:dyDescent="0.25">
      <c r="A219" s="4" t="s">
        <v>435</v>
      </c>
      <c r="B219" s="1" t="s">
        <v>1815</v>
      </c>
      <c r="C219" s="1" t="s">
        <v>1816</v>
      </c>
      <c r="D219" s="13" t="s">
        <v>712</v>
      </c>
      <c r="E219" s="13">
        <v>44446</v>
      </c>
    </row>
    <row r="220" spans="1:5" x14ac:dyDescent="0.25">
      <c r="A220" s="4" t="s">
        <v>588</v>
      </c>
      <c r="B220" s="5" t="s">
        <v>1242</v>
      </c>
      <c r="C220" s="5" t="s">
        <v>817</v>
      </c>
      <c r="D220" s="6" t="s">
        <v>712</v>
      </c>
      <c r="E220" s="7">
        <v>44501</v>
      </c>
    </row>
    <row r="221" spans="1:5" x14ac:dyDescent="0.25">
      <c r="A221" s="4" t="s">
        <v>84</v>
      </c>
      <c r="B221" s="5" t="s">
        <v>1243</v>
      </c>
      <c r="C221" s="5" t="s">
        <v>1244</v>
      </c>
      <c r="D221" s="6" t="s">
        <v>712</v>
      </c>
      <c r="E221" s="7">
        <v>44052</v>
      </c>
    </row>
    <row r="222" spans="1:5" x14ac:dyDescent="0.25">
      <c r="A222" s="4" t="s">
        <v>492</v>
      </c>
      <c r="B222" s="5" t="s">
        <v>1245</v>
      </c>
      <c r="C222" s="5" t="s">
        <v>1246</v>
      </c>
      <c r="D222" s="6" t="s">
        <v>712</v>
      </c>
      <c r="E222" s="7">
        <v>44906</v>
      </c>
    </row>
    <row r="223" spans="1:5" x14ac:dyDescent="0.25">
      <c r="A223" s="4" t="s">
        <v>85</v>
      </c>
      <c r="B223" s="5" t="s">
        <v>1247</v>
      </c>
      <c r="C223" s="5" t="s">
        <v>1248</v>
      </c>
      <c r="D223" s="6" t="s">
        <v>712</v>
      </c>
      <c r="E223" s="7">
        <v>43420</v>
      </c>
    </row>
    <row r="224" spans="1:5" x14ac:dyDescent="0.25">
      <c r="A224" s="4" t="s">
        <v>493</v>
      </c>
      <c r="B224" s="5" t="s">
        <v>1249</v>
      </c>
      <c r="C224" s="5" t="s">
        <v>1250</v>
      </c>
      <c r="D224" s="6" t="s">
        <v>712</v>
      </c>
      <c r="E224" s="7">
        <v>45385</v>
      </c>
    </row>
    <row r="225" spans="1:5" x14ac:dyDescent="0.25">
      <c r="A225" s="4" t="s">
        <v>408</v>
      </c>
      <c r="B225" s="1" t="s">
        <v>1817</v>
      </c>
      <c r="C225" s="1" t="s">
        <v>1316</v>
      </c>
      <c r="D225" s="13" t="s">
        <v>712</v>
      </c>
      <c r="E225" s="13" t="s">
        <v>1818</v>
      </c>
    </row>
    <row r="226" spans="1:5" x14ac:dyDescent="0.25">
      <c r="A226" s="4" t="s">
        <v>434</v>
      </c>
      <c r="B226" s="5" t="s">
        <v>1251</v>
      </c>
      <c r="C226" s="5" t="s">
        <v>1252</v>
      </c>
      <c r="D226" s="6" t="s">
        <v>712</v>
      </c>
      <c r="E226" s="7">
        <v>44420</v>
      </c>
    </row>
    <row r="227" spans="1:5" x14ac:dyDescent="0.25">
      <c r="A227" s="4" t="s">
        <v>524</v>
      </c>
      <c r="B227" s="5" t="s">
        <v>1253</v>
      </c>
      <c r="C227" s="5" t="s">
        <v>746</v>
      </c>
      <c r="D227" s="6" t="s">
        <v>712</v>
      </c>
      <c r="E227" s="7">
        <v>44124</v>
      </c>
    </row>
    <row r="228" spans="1:5" x14ac:dyDescent="0.25">
      <c r="A228" s="4" t="s">
        <v>628</v>
      </c>
      <c r="B228" s="5" t="s">
        <v>1254</v>
      </c>
      <c r="C228" s="5" t="s">
        <v>883</v>
      </c>
      <c r="D228" s="6" t="s">
        <v>712</v>
      </c>
      <c r="E228" s="7">
        <v>45373</v>
      </c>
    </row>
    <row r="229" spans="1:5" x14ac:dyDescent="0.25">
      <c r="A229" s="4" t="s">
        <v>683</v>
      </c>
      <c r="B229" s="5" t="s">
        <v>1255</v>
      </c>
      <c r="C229" s="5" t="s">
        <v>1256</v>
      </c>
      <c r="D229" s="6" t="s">
        <v>712</v>
      </c>
      <c r="E229" s="7">
        <v>45601</v>
      </c>
    </row>
    <row r="230" spans="1:5" x14ac:dyDescent="0.25">
      <c r="A230" s="4" t="s">
        <v>233</v>
      </c>
      <c r="B230" s="1" t="s">
        <v>1819</v>
      </c>
      <c r="C230" s="1" t="s">
        <v>1820</v>
      </c>
      <c r="D230" s="13" t="s">
        <v>712</v>
      </c>
      <c r="E230" s="13">
        <v>43950</v>
      </c>
    </row>
    <row r="231" spans="1:5" x14ac:dyDescent="0.25">
      <c r="A231" s="4" t="s">
        <v>399</v>
      </c>
      <c r="B231" s="5" t="s">
        <v>1257</v>
      </c>
      <c r="C231" s="5" t="s">
        <v>1258</v>
      </c>
      <c r="D231" s="6" t="s">
        <v>712</v>
      </c>
      <c r="E231" s="7">
        <v>43311</v>
      </c>
    </row>
    <row r="232" spans="1:5" x14ac:dyDescent="0.25">
      <c r="A232" s="4" t="s">
        <v>519</v>
      </c>
      <c r="B232" s="5" t="s">
        <v>1259</v>
      </c>
      <c r="C232" s="5" t="s">
        <v>1260</v>
      </c>
      <c r="D232" s="6" t="s">
        <v>712</v>
      </c>
      <c r="E232" s="7">
        <v>44125</v>
      </c>
    </row>
    <row r="233" spans="1:5" x14ac:dyDescent="0.25">
      <c r="A233" s="4" t="s">
        <v>567</v>
      </c>
      <c r="B233" s="5" t="s">
        <v>1261</v>
      </c>
      <c r="C233" s="5" t="s">
        <v>1262</v>
      </c>
      <c r="D233" s="6" t="s">
        <v>712</v>
      </c>
      <c r="E233" s="7" t="s">
        <v>1263</v>
      </c>
    </row>
    <row r="234" spans="1:5" x14ac:dyDescent="0.25">
      <c r="A234" s="4" t="s">
        <v>227</v>
      </c>
      <c r="B234" s="5" t="s">
        <v>1264</v>
      </c>
      <c r="C234" s="5" t="s">
        <v>1265</v>
      </c>
      <c r="D234" s="6" t="s">
        <v>712</v>
      </c>
      <c r="E234" s="7">
        <v>43351</v>
      </c>
    </row>
    <row r="235" spans="1:5" x14ac:dyDescent="0.25">
      <c r="A235" s="4" t="s">
        <v>523</v>
      </c>
      <c r="B235" s="5" t="s">
        <v>1266</v>
      </c>
      <c r="C235" s="5" t="s">
        <v>746</v>
      </c>
      <c r="D235" s="6" t="s">
        <v>712</v>
      </c>
      <c r="E235" s="7">
        <v>44114</v>
      </c>
    </row>
    <row r="236" spans="1:5" x14ac:dyDescent="0.25">
      <c r="A236" s="4" t="s">
        <v>518</v>
      </c>
      <c r="B236" s="5" t="s">
        <v>1267</v>
      </c>
      <c r="C236" s="5" t="s">
        <v>1268</v>
      </c>
      <c r="D236" s="6" t="s">
        <v>712</v>
      </c>
      <c r="E236" s="7">
        <v>44121</v>
      </c>
    </row>
    <row r="237" spans="1:5" x14ac:dyDescent="0.25">
      <c r="A237" s="4" t="s">
        <v>522</v>
      </c>
      <c r="B237" s="5" t="s">
        <v>1269</v>
      </c>
      <c r="C237" s="5" t="s">
        <v>1084</v>
      </c>
      <c r="D237" s="6" t="s">
        <v>712</v>
      </c>
      <c r="E237" s="7" t="s">
        <v>1270</v>
      </c>
    </row>
    <row r="238" spans="1:5" x14ac:dyDescent="0.25">
      <c r="A238" s="4" t="s">
        <v>406</v>
      </c>
      <c r="B238" s="1" t="s">
        <v>1821</v>
      </c>
      <c r="C238" s="1" t="s">
        <v>1208</v>
      </c>
      <c r="D238" s="13" t="s">
        <v>712</v>
      </c>
      <c r="E238" s="13">
        <v>45030</v>
      </c>
    </row>
    <row r="239" spans="1:5" x14ac:dyDescent="0.25">
      <c r="A239" s="4" t="s">
        <v>77</v>
      </c>
      <c r="B239" s="5" t="s">
        <v>1271</v>
      </c>
      <c r="C239" s="5" t="s">
        <v>1272</v>
      </c>
      <c r="D239" s="6" t="s">
        <v>712</v>
      </c>
      <c r="E239" s="7">
        <v>44460</v>
      </c>
    </row>
    <row r="240" spans="1:5" x14ac:dyDescent="0.25">
      <c r="A240" s="4" t="s">
        <v>221</v>
      </c>
      <c r="B240" s="1" t="s">
        <v>1822</v>
      </c>
      <c r="C240" s="1" t="s">
        <v>1812</v>
      </c>
      <c r="D240" s="13" t="s">
        <v>712</v>
      </c>
      <c r="E240" s="13">
        <v>44077</v>
      </c>
    </row>
    <row r="241" spans="1:5" x14ac:dyDescent="0.25">
      <c r="A241" s="4" t="s">
        <v>668</v>
      </c>
      <c r="B241" s="5" t="s">
        <v>1273</v>
      </c>
      <c r="C241" s="5" t="s">
        <v>761</v>
      </c>
      <c r="D241" s="6" t="s">
        <v>712</v>
      </c>
      <c r="E241" s="7">
        <v>43229</v>
      </c>
    </row>
    <row r="242" spans="1:5" x14ac:dyDescent="0.25">
      <c r="A242" s="4" t="s">
        <v>561</v>
      </c>
      <c r="B242" s="1" t="s">
        <v>1274</v>
      </c>
      <c r="C242" s="1" t="s">
        <v>1248</v>
      </c>
      <c r="D242" s="13" t="s">
        <v>712</v>
      </c>
      <c r="E242" s="13">
        <v>43420</v>
      </c>
    </row>
    <row r="243" spans="1:5" x14ac:dyDescent="0.25">
      <c r="A243" s="4" t="s">
        <v>442</v>
      </c>
      <c r="B243" s="5" t="s">
        <v>1274</v>
      </c>
      <c r="C243" s="5" t="s">
        <v>1248</v>
      </c>
      <c r="D243" s="6" t="s">
        <v>712</v>
      </c>
      <c r="E243" s="7">
        <v>43420</v>
      </c>
    </row>
    <row r="244" spans="1:5" x14ac:dyDescent="0.25">
      <c r="A244" s="4" t="s">
        <v>200</v>
      </c>
      <c r="B244" s="1" t="s">
        <v>1823</v>
      </c>
      <c r="C244" s="1" t="s">
        <v>974</v>
      </c>
      <c r="D244" s="13" t="s">
        <v>796</v>
      </c>
      <c r="E244" s="13">
        <v>10019</v>
      </c>
    </row>
    <row r="245" spans="1:5" x14ac:dyDescent="0.25">
      <c r="A245" s="4" t="s">
        <v>463</v>
      </c>
      <c r="B245" s="1" t="s">
        <v>1826</v>
      </c>
      <c r="C245" s="1" t="s">
        <v>1827</v>
      </c>
      <c r="D245" s="13" t="s">
        <v>707</v>
      </c>
      <c r="E245" s="13">
        <v>75075</v>
      </c>
    </row>
    <row r="246" spans="1:5" x14ac:dyDescent="0.25">
      <c r="A246" s="4" t="s">
        <v>678</v>
      </c>
      <c r="B246" s="5" t="s">
        <v>1275</v>
      </c>
      <c r="C246" s="5" t="s">
        <v>1276</v>
      </c>
      <c r="D246" s="6" t="s">
        <v>751</v>
      </c>
      <c r="E246" s="7">
        <v>22030</v>
      </c>
    </row>
    <row r="247" spans="1:5" x14ac:dyDescent="0.25">
      <c r="A247" s="4" t="s">
        <v>616</v>
      </c>
      <c r="B247" s="1" t="s">
        <v>1824</v>
      </c>
      <c r="C247" s="1" t="s">
        <v>809</v>
      </c>
      <c r="D247" s="13" t="s">
        <v>803</v>
      </c>
      <c r="E247" s="13" t="s">
        <v>1825</v>
      </c>
    </row>
    <row r="248" spans="1:5" x14ac:dyDescent="0.25">
      <c r="A248" s="4" t="s">
        <v>207</v>
      </c>
      <c r="B248" s="5" t="s">
        <v>1277</v>
      </c>
      <c r="C248" s="5" t="s">
        <v>974</v>
      </c>
      <c r="D248" s="6" t="s">
        <v>796</v>
      </c>
      <c r="E248" s="7">
        <v>10011</v>
      </c>
    </row>
    <row r="249" spans="1:5" x14ac:dyDescent="0.25">
      <c r="A249" s="62" t="s">
        <v>1968</v>
      </c>
      <c r="B249" s="5" t="s">
        <v>1975</v>
      </c>
      <c r="C249" s="5" t="s">
        <v>1976</v>
      </c>
      <c r="D249" s="6" t="s">
        <v>976</v>
      </c>
      <c r="E249" s="7">
        <v>31061</v>
      </c>
    </row>
    <row r="250" spans="1:5" x14ac:dyDescent="0.25">
      <c r="A250" s="4" t="s">
        <v>389</v>
      </c>
      <c r="B250" s="5" t="s">
        <v>1278</v>
      </c>
      <c r="C250" s="5" t="s">
        <v>1279</v>
      </c>
      <c r="D250" s="6" t="s">
        <v>712</v>
      </c>
      <c r="E250" s="7" t="s">
        <v>1280</v>
      </c>
    </row>
    <row r="251" spans="1:5" x14ac:dyDescent="0.25">
      <c r="A251" s="4" t="s">
        <v>308</v>
      </c>
      <c r="B251" s="5" t="s">
        <v>1281</v>
      </c>
      <c r="C251" s="5" t="s">
        <v>716</v>
      </c>
      <c r="D251" s="6" t="s">
        <v>712</v>
      </c>
      <c r="E251" s="7">
        <v>44721</v>
      </c>
    </row>
    <row r="252" spans="1:5" x14ac:dyDescent="0.25">
      <c r="A252" s="4" t="s">
        <v>369</v>
      </c>
      <c r="B252" s="1" t="s">
        <v>1828</v>
      </c>
      <c r="C252" s="1" t="s">
        <v>1291</v>
      </c>
      <c r="D252" s="13" t="s">
        <v>736</v>
      </c>
      <c r="E252" s="13">
        <v>48152</v>
      </c>
    </row>
    <row r="253" spans="1:5" x14ac:dyDescent="0.25">
      <c r="A253" s="4" t="s">
        <v>318</v>
      </c>
      <c r="B253" s="5" t="s">
        <v>1282</v>
      </c>
      <c r="C253" s="5" t="s">
        <v>1283</v>
      </c>
      <c r="D253" s="6" t="s">
        <v>843</v>
      </c>
      <c r="E253" s="7">
        <v>68501</v>
      </c>
    </row>
    <row r="254" spans="1:5" x14ac:dyDescent="0.25">
      <c r="A254" s="4" t="s">
        <v>285</v>
      </c>
      <c r="B254" s="5" t="s">
        <v>1284</v>
      </c>
      <c r="C254" s="5" t="s">
        <v>962</v>
      </c>
      <c r="D254" s="6" t="s">
        <v>963</v>
      </c>
      <c r="E254" s="7">
        <v>20006</v>
      </c>
    </row>
    <row r="255" spans="1:5" x14ac:dyDescent="0.25">
      <c r="A255" s="4" t="s">
        <v>584</v>
      </c>
      <c r="B255" s="1" t="s">
        <v>1829</v>
      </c>
      <c r="C255" s="1" t="s">
        <v>1830</v>
      </c>
      <c r="D255" s="13" t="s">
        <v>712</v>
      </c>
      <c r="E255" s="13">
        <v>45140</v>
      </c>
    </row>
    <row r="256" spans="1:5" x14ac:dyDescent="0.25">
      <c r="A256" s="4" t="s">
        <v>662</v>
      </c>
      <c r="B256" s="5" t="s">
        <v>1285</v>
      </c>
      <c r="C256" s="5" t="s">
        <v>850</v>
      </c>
      <c r="D256" s="6" t="s">
        <v>712</v>
      </c>
      <c r="E256" s="7">
        <v>44308</v>
      </c>
    </row>
    <row r="257" spans="1:5" x14ac:dyDescent="0.25">
      <c r="A257" s="4" t="s">
        <v>550</v>
      </c>
      <c r="B257" s="5" t="s">
        <v>1286</v>
      </c>
      <c r="C257" s="5" t="s">
        <v>711</v>
      </c>
      <c r="D257" s="6" t="s">
        <v>712</v>
      </c>
      <c r="E257" s="7">
        <v>45214</v>
      </c>
    </row>
    <row r="258" spans="1:5" x14ac:dyDescent="0.25">
      <c r="A258" s="4" t="s">
        <v>1287</v>
      </c>
      <c r="B258" s="5" t="s">
        <v>1288</v>
      </c>
      <c r="C258" s="5" t="s">
        <v>746</v>
      </c>
      <c r="D258" s="6" t="s">
        <v>712</v>
      </c>
      <c r="E258" s="7">
        <v>44113</v>
      </c>
    </row>
    <row r="259" spans="1:5" x14ac:dyDescent="0.25">
      <c r="A259" s="4" t="s">
        <v>552</v>
      </c>
      <c r="B259" s="5" t="s">
        <v>1289</v>
      </c>
      <c r="C259" s="5" t="s">
        <v>1034</v>
      </c>
      <c r="D259" s="6" t="s">
        <v>712</v>
      </c>
      <c r="E259" s="7">
        <v>45402</v>
      </c>
    </row>
    <row r="260" spans="1:5" x14ac:dyDescent="0.25">
      <c r="A260" s="4" t="s">
        <v>292</v>
      </c>
      <c r="B260" s="5" t="s">
        <v>1290</v>
      </c>
      <c r="C260" s="5" t="s">
        <v>815</v>
      </c>
      <c r="D260" s="6" t="s">
        <v>712</v>
      </c>
      <c r="E260" s="7">
        <v>44703</v>
      </c>
    </row>
    <row r="261" spans="1:5" x14ac:dyDescent="0.25">
      <c r="A261" s="4" t="s">
        <v>205</v>
      </c>
      <c r="B261" s="1" t="s">
        <v>1831</v>
      </c>
      <c r="C261" s="1" t="s">
        <v>962</v>
      </c>
      <c r="D261" s="13" t="s">
        <v>963</v>
      </c>
      <c r="E261" s="13">
        <v>20006</v>
      </c>
    </row>
    <row r="262" spans="1:5" x14ac:dyDescent="0.25">
      <c r="A262" s="4" t="s">
        <v>496</v>
      </c>
      <c r="B262" s="1" t="s">
        <v>1832</v>
      </c>
      <c r="C262" s="1" t="s">
        <v>1250</v>
      </c>
      <c r="D262" s="13" t="s">
        <v>712</v>
      </c>
      <c r="E262" s="13">
        <v>45385</v>
      </c>
    </row>
    <row r="263" spans="1:5" x14ac:dyDescent="0.25">
      <c r="A263" s="4" t="s">
        <v>498</v>
      </c>
      <c r="B263" s="5" t="s">
        <v>1292</v>
      </c>
      <c r="C263" s="5" t="s">
        <v>1250</v>
      </c>
      <c r="D263" s="6" t="s">
        <v>712</v>
      </c>
      <c r="E263" s="7" t="s">
        <v>1293</v>
      </c>
    </row>
    <row r="264" spans="1:5" x14ac:dyDescent="0.25">
      <c r="A264" s="4" t="s">
        <v>1977</v>
      </c>
      <c r="B264" s="5" t="s">
        <v>1294</v>
      </c>
      <c r="C264" s="5" t="s">
        <v>962</v>
      </c>
      <c r="D264" s="6" t="s">
        <v>963</v>
      </c>
      <c r="E264" s="7">
        <v>20001</v>
      </c>
    </row>
    <row r="265" spans="1:5" x14ac:dyDescent="0.25">
      <c r="A265" s="4" t="s">
        <v>194</v>
      </c>
      <c r="B265" s="5" t="s">
        <v>1294</v>
      </c>
      <c r="C265" s="5" t="s">
        <v>962</v>
      </c>
      <c r="D265" s="6" t="s">
        <v>963</v>
      </c>
      <c r="E265" s="7">
        <v>20001</v>
      </c>
    </row>
    <row r="266" spans="1:5" x14ac:dyDescent="0.25">
      <c r="A266" s="4" t="s">
        <v>181</v>
      </c>
      <c r="B266" s="5" t="s">
        <v>1295</v>
      </c>
      <c r="C266" s="5" t="s">
        <v>1296</v>
      </c>
      <c r="D266" s="6" t="s">
        <v>976</v>
      </c>
      <c r="E266" s="7" t="s">
        <v>1297</v>
      </c>
    </row>
    <row r="267" spans="1:5" x14ac:dyDescent="0.25">
      <c r="A267" s="4" t="s">
        <v>598</v>
      </c>
      <c r="B267" s="5" t="s">
        <v>1298</v>
      </c>
      <c r="C267" s="5" t="s">
        <v>1299</v>
      </c>
      <c r="D267" s="6" t="s">
        <v>712</v>
      </c>
      <c r="E267" s="7">
        <v>44122</v>
      </c>
    </row>
    <row r="268" spans="1:5" x14ac:dyDescent="0.25">
      <c r="A268" s="4" t="s">
        <v>510</v>
      </c>
      <c r="B268" s="1" t="s">
        <v>1833</v>
      </c>
      <c r="C268" s="1" t="s">
        <v>1834</v>
      </c>
      <c r="D268" s="13" t="s">
        <v>787</v>
      </c>
      <c r="E268" s="13">
        <v>34684</v>
      </c>
    </row>
    <row r="269" spans="1:5" x14ac:dyDescent="0.25">
      <c r="A269" s="4" t="s">
        <v>63</v>
      </c>
      <c r="B269" s="5" t="s">
        <v>1066</v>
      </c>
      <c r="C269" s="5" t="s">
        <v>948</v>
      </c>
      <c r="D269" s="6" t="s">
        <v>947</v>
      </c>
      <c r="E269" s="7">
        <v>64108</v>
      </c>
    </row>
    <row r="270" spans="1:5" x14ac:dyDescent="0.25">
      <c r="A270" s="4" t="s">
        <v>461</v>
      </c>
      <c r="B270" s="5" t="s">
        <v>1300</v>
      </c>
      <c r="C270" s="5" t="s">
        <v>1301</v>
      </c>
      <c r="D270" s="6" t="s">
        <v>839</v>
      </c>
      <c r="E270" s="7">
        <v>72202</v>
      </c>
    </row>
    <row r="271" spans="1:5" x14ac:dyDescent="0.25">
      <c r="A271" s="4" t="s">
        <v>542</v>
      </c>
      <c r="B271" s="1" t="s">
        <v>1835</v>
      </c>
      <c r="C271" s="1" t="s">
        <v>974</v>
      </c>
      <c r="D271" s="13" t="s">
        <v>796</v>
      </c>
      <c r="E271" s="13">
        <v>10010</v>
      </c>
    </row>
    <row r="272" spans="1:5" x14ac:dyDescent="0.25">
      <c r="A272" s="4" t="s">
        <v>244</v>
      </c>
      <c r="B272" s="5" t="s">
        <v>1302</v>
      </c>
      <c r="C272" s="5" t="s">
        <v>962</v>
      </c>
      <c r="D272" s="6" t="s">
        <v>963</v>
      </c>
      <c r="E272" s="7">
        <v>20006</v>
      </c>
    </row>
    <row r="273" spans="1:5" x14ac:dyDescent="0.25">
      <c r="A273" s="4" t="s">
        <v>247</v>
      </c>
      <c r="B273" s="5" t="s">
        <v>1303</v>
      </c>
      <c r="C273" s="5" t="s">
        <v>962</v>
      </c>
      <c r="D273" s="6" t="s">
        <v>963</v>
      </c>
      <c r="E273" s="7">
        <v>20001</v>
      </c>
    </row>
    <row r="274" spans="1:5" x14ac:dyDescent="0.25">
      <c r="A274" s="4" t="s">
        <v>1304</v>
      </c>
      <c r="B274" s="5" t="s">
        <v>1305</v>
      </c>
      <c r="C274" s="5" t="s">
        <v>1306</v>
      </c>
      <c r="D274" s="6" t="s">
        <v>775</v>
      </c>
      <c r="E274" s="7">
        <v>97402</v>
      </c>
    </row>
    <row r="275" spans="1:5" x14ac:dyDescent="0.25">
      <c r="A275" s="4" t="s">
        <v>293</v>
      </c>
      <c r="B275" s="5" t="s">
        <v>1307</v>
      </c>
      <c r="C275" s="5" t="s">
        <v>716</v>
      </c>
      <c r="D275" s="6" t="s">
        <v>712</v>
      </c>
      <c r="E275" s="7">
        <v>44720</v>
      </c>
    </row>
    <row r="276" spans="1:5" x14ac:dyDescent="0.25">
      <c r="A276" s="4" t="s">
        <v>175</v>
      </c>
      <c r="B276" s="5" t="s">
        <v>1308</v>
      </c>
      <c r="C276" s="5" t="s">
        <v>962</v>
      </c>
      <c r="D276" s="6" t="s">
        <v>963</v>
      </c>
      <c r="E276" s="7">
        <v>20036</v>
      </c>
    </row>
    <row r="277" spans="1:5" x14ac:dyDescent="0.25">
      <c r="A277" s="4" t="s">
        <v>94</v>
      </c>
      <c r="B277" s="5" t="s">
        <v>1309</v>
      </c>
      <c r="C277" s="5" t="s">
        <v>962</v>
      </c>
      <c r="D277" s="6" t="s">
        <v>963</v>
      </c>
      <c r="E277" s="7">
        <v>20037</v>
      </c>
    </row>
    <row r="278" spans="1:5" x14ac:dyDescent="0.25">
      <c r="A278" s="4" t="s">
        <v>201</v>
      </c>
      <c r="B278" s="1" t="s">
        <v>1309</v>
      </c>
      <c r="C278" s="1" t="s">
        <v>962</v>
      </c>
      <c r="D278" s="13" t="s">
        <v>963</v>
      </c>
      <c r="E278" s="13">
        <v>20037</v>
      </c>
    </row>
    <row r="279" spans="1:5" x14ac:dyDescent="0.25">
      <c r="A279" s="4" t="s">
        <v>441</v>
      </c>
      <c r="B279" s="1" t="s">
        <v>1836</v>
      </c>
      <c r="C279" s="1" t="s">
        <v>1248</v>
      </c>
      <c r="D279" s="13" t="s">
        <v>712</v>
      </c>
      <c r="E279" s="13">
        <v>43420</v>
      </c>
    </row>
    <row r="280" spans="1:5" x14ac:dyDescent="0.25">
      <c r="A280" s="4" t="s">
        <v>163</v>
      </c>
      <c r="B280" s="5" t="s">
        <v>1310</v>
      </c>
      <c r="C280" s="5" t="s">
        <v>746</v>
      </c>
      <c r="D280" s="6" t="s">
        <v>712</v>
      </c>
      <c r="E280" s="7">
        <v>44115</v>
      </c>
    </row>
    <row r="281" spans="1:5" x14ac:dyDescent="0.25">
      <c r="A281" s="4" t="s">
        <v>160</v>
      </c>
      <c r="B281" s="5" t="s">
        <v>1311</v>
      </c>
      <c r="C281" s="5" t="s">
        <v>1312</v>
      </c>
      <c r="D281" s="6" t="s">
        <v>1012</v>
      </c>
      <c r="E281" s="7" t="s">
        <v>1313</v>
      </c>
    </row>
    <row r="282" spans="1:5" x14ac:dyDescent="0.25">
      <c r="A282" s="4" t="s">
        <v>311</v>
      </c>
      <c r="B282" s="1" t="s">
        <v>1837</v>
      </c>
      <c r="C282" s="1" t="s">
        <v>1132</v>
      </c>
      <c r="D282" s="13" t="s">
        <v>712</v>
      </c>
      <c r="E282" s="13">
        <v>44221</v>
      </c>
    </row>
    <row r="283" spans="1:5" x14ac:dyDescent="0.25">
      <c r="A283" s="4" t="s">
        <v>1838</v>
      </c>
      <c r="B283" s="1" t="s">
        <v>1839</v>
      </c>
      <c r="C283" s="1" t="s">
        <v>1034</v>
      </c>
      <c r="D283" s="13" t="s">
        <v>712</v>
      </c>
      <c r="E283" s="13">
        <v>45402</v>
      </c>
    </row>
    <row r="284" spans="1:5" x14ac:dyDescent="0.25">
      <c r="A284" s="4" t="s">
        <v>230</v>
      </c>
      <c r="B284" s="5" t="s">
        <v>1314</v>
      </c>
      <c r="C284" s="5" t="s">
        <v>817</v>
      </c>
      <c r="D284" s="6" t="s">
        <v>712</v>
      </c>
      <c r="E284" s="7">
        <v>44502</v>
      </c>
    </row>
    <row r="285" spans="1:5" x14ac:dyDescent="0.25">
      <c r="A285" s="4" t="s">
        <v>225</v>
      </c>
      <c r="B285" s="5" t="s">
        <v>1315</v>
      </c>
      <c r="C285" s="5" t="s">
        <v>1316</v>
      </c>
      <c r="D285" s="6" t="s">
        <v>712</v>
      </c>
      <c r="E285" s="7">
        <v>44622</v>
      </c>
    </row>
    <row r="286" spans="1:5" x14ac:dyDescent="0.25">
      <c r="A286" s="4" t="s">
        <v>226</v>
      </c>
      <c r="B286" s="5" t="s">
        <v>1317</v>
      </c>
      <c r="C286" s="5" t="s">
        <v>1318</v>
      </c>
      <c r="D286" s="6" t="s">
        <v>712</v>
      </c>
      <c r="E286" s="7">
        <v>44515</v>
      </c>
    </row>
    <row r="287" spans="1:5" x14ac:dyDescent="0.25">
      <c r="A287" s="4" t="s">
        <v>1840</v>
      </c>
      <c r="B287" s="1" t="s">
        <v>1841</v>
      </c>
      <c r="C287" s="1" t="s">
        <v>853</v>
      </c>
      <c r="D287" s="13" t="s">
        <v>712</v>
      </c>
      <c r="E287" s="13">
        <v>43725</v>
      </c>
    </row>
    <row r="288" spans="1:5" x14ac:dyDescent="0.25">
      <c r="A288" s="4" t="s">
        <v>580</v>
      </c>
      <c r="B288" s="5" t="s">
        <v>1319</v>
      </c>
      <c r="C288" s="5" t="s">
        <v>962</v>
      </c>
      <c r="D288" s="6" t="s">
        <v>963</v>
      </c>
      <c r="E288" s="7">
        <v>20036</v>
      </c>
    </row>
    <row r="289" spans="1:5" x14ac:dyDescent="0.25">
      <c r="A289" s="4" t="s">
        <v>167</v>
      </c>
      <c r="B289" s="5" t="s">
        <v>1320</v>
      </c>
      <c r="C289" s="5" t="s">
        <v>931</v>
      </c>
      <c r="D289" s="6" t="s">
        <v>741</v>
      </c>
      <c r="E289" s="7">
        <v>60602</v>
      </c>
    </row>
    <row r="290" spans="1:5" x14ac:dyDescent="0.25">
      <c r="A290" s="4" t="s">
        <v>1321</v>
      </c>
      <c r="B290" s="5" t="s">
        <v>1322</v>
      </c>
      <c r="C290" s="5" t="s">
        <v>1323</v>
      </c>
      <c r="D290" s="6" t="s">
        <v>813</v>
      </c>
      <c r="E290" s="7">
        <v>2675</v>
      </c>
    </row>
    <row r="291" spans="1:5" x14ac:dyDescent="0.25">
      <c r="A291" s="4" t="s">
        <v>184</v>
      </c>
      <c r="B291" s="5" t="s">
        <v>1324</v>
      </c>
      <c r="C291" s="5" t="s">
        <v>974</v>
      </c>
      <c r="D291" s="6" t="s">
        <v>796</v>
      </c>
      <c r="E291" s="7" t="s">
        <v>1325</v>
      </c>
    </row>
    <row r="292" spans="1:5" x14ac:dyDescent="0.25">
      <c r="A292" s="4" t="s">
        <v>98</v>
      </c>
      <c r="B292" s="5" t="s">
        <v>1326</v>
      </c>
      <c r="C292" s="5" t="s">
        <v>1017</v>
      </c>
      <c r="D292" s="6" t="s">
        <v>787</v>
      </c>
      <c r="E292" s="7">
        <v>34236</v>
      </c>
    </row>
    <row r="293" spans="1:5" x14ac:dyDescent="0.25">
      <c r="A293" s="4" t="s">
        <v>314</v>
      </c>
      <c r="B293" s="5" t="s">
        <v>1327</v>
      </c>
      <c r="C293" s="5" t="s">
        <v>1203</v>
      </c>
      <c r="D293" s="6" t="s">
        <v>712</v>
      </c>
      <c r="E293" s="7">
        <v>44646</v>
      </c>
    </row>
    <row r="294" spans="1:5" x14ac:dyDescent="0.25">
      <c r="A294" s="4" t="s">
        <v>296</v>
      </c>
      <c r="B294" s="5" t="s">
        <v>1327</v>
      </c>
      <c r="C294" s="5" t="s">
        <v>1203</v>
      </c>
      <c r="D294" s="6" t="s">
        <v>712</v>
      </c>
      <c r="E294" s="7">
        <v>44646</v>
      </c>
    </row>
    <row r="295" spans="1:5" x14ac:dyDescent="0.25">
      <c r="A295" s="4" t="s">
        <v>111</v>
      </c>
      <c r="B295" s="5" t="s">
        <v>1328</v>
      </c>
      <c r="C295" s="5" t="s">
        <v>1329</v>
      </c>
      <c r="D295" s="6" t="s">
        <v>751</v>
      </c>
      <c r="E295" s="7">
        <v>22182</v>
      </c>
    </row>
    <row r="296" spans="1:5" x14ac:dyDescent="0.25">
      <c r="A296" s="4" t="s">
        <v>633</v>
      </c>
      <c r="B296" s="5" t="s">
        <v>1330</v>
      </c>
      <c r="C296" s="5" t="s">
        <v>746</v>
      </c>
      <c r="D296" s="6" t="s">
        <v>712</v>
      </c>
      <c r="E296" s="7">
        <v>44122</v>
      </c>
    </row>
    <row r="297" spans="1:5" x14ac:dyDescent="0.25">
      <c r="A297" s="4" t="s">
        <v>631</v>
      </c>
      <c r="B297" s="1" t="s">
        <v>1842</v>
      </c>
      <c r="C297" s="1" t="s">
        <v>974</v>
      </c>
      <c r="D297" s="13" t="s">
        <v>796</v>
      </c>
      <c r="E297" s="13">
        <v>11570</v>
      </c>
    </row>
    <row r="298" spans="1:5" x14ac:dyDescent="0.25">
      <c r="A298" s="4" t="s">
        <v>383</v>
      </c>
      <c r="B298" s="1" t="s">
        <v>1843</v>
      </c>
      <c r="C298" s="1" t="s">
        <v>861</v>
      </c>
      <c r="D298" s="13" t="s">
        <v>712</v>
      </c>
      <c r="E298" s="13">
        <v>44484</v>
      </c>
    </row>
    <row r="299" spans="1:5" x14ac:dyDescent="0.25">
      <c r="A299" s="4" t="s">
        <v>452</v>
      </c>
      <c r="B299" s="5" t="s">
        <v>1331</v>
      </c>
      <c r="C299" s="5" t="s">
        <v>962</v>
      </c>
      <c r="D299" s="6" t="s">
        <v>963</v>
      </c>
      <c r="E299" s="7">
        <v>20024</v>
      </c>
    </row>
    <row r="300" spans="1:5" x14ac:dyDescent="0.25">
      <c r="A300" s="4" t="s">
        <v>362</v>
      </c>
      <c r="B300" s="5" t="s">
        <v>1332</v>
      </c>
      <c r="C300" s="5" t="s">
        <v>974</v>
      </c>
      <c r="D300" s="6" t="s">
        <v>796</v>
      </c>
      <c r="E300" s="7">
        <v>10004</v>
      </c>
    </row>
    <row r="301" spans="1:5" x14ac:dyDescent="0.25">
      <c r="A301" s="4" t="s">
        <v>1333</v>
      </c>
      <c r="B301" s="5" t="s">
        <v>1334</v>
      </c>
      <c r="C301" s="5" t="s">
        <v>711</v>
      </c>
      <c r="D301" s="6" t="s">
        <v>712</v>
      </c>
      <c r="E301" s="7">
        <v>45202</v>
      </c>
    </row>
    <row r="302" spans="1:5" x14ac:dyDescent="0.25">
      <c r="A302" s="4" t="s">
        <v>21</v>
      </c>
      <c r="B302" s="5" t="s">
        <v>1335</v>
      </c>
      <c r="C302" s="5" t="s">
        <v>761</v>
      </c>
      <c r="D302" s="6" t="s">
        <v>712</v>
      </c>
      <c r="E302" s="7" t="s">
        <v>1336</v>
      </c>
    </row>
    <row r="303" spans="1:5" x14ac:dyDescent="0.25">
      <c r="A303" s="4" t="s">
        <v>602</v>
      </c>
      <c r="B303" s="1" t="s">
        <v>1844</v>
      </c>
      <c r="C303" s="1" t="s">
        <v>847</v>
      </c>
      <c r="D303" s="13" t="s">
        <v>712</v>
      </c>
      <c r="E303" s="13">
        <v>44242</v>
      </c>
    </row>
    <row r="304" spans="1:5" x14ac:dyDescent="0.25">
      <c r="A304" s="4" t="s">
        <v>131</v>
      </c>
      <c r="B304" s="5" t="s">
        <v>1337</v>
      </c>
      <c r="C304" s="5" t="s">
        <v>1338</v>
      </c>
      <c r="D304" s="6" t="s">
        <v>787</v>
      </c>
      <c r="E304" s="7">
        <v>34691</v>
      </c>
    </row>
    <row r="305" spans="1:5" x14ac:dyDescent="0.25">
      <c r="A305" s="4" t="s">
        <v>222</v>
      </c>
      <c r="B305" s="1" t="s">
        <v>1845</v>
      </c>
      <c r="C305" s="1" t="s">
        <v>758</v>
      </c>
      <c r="D305" s="13" t="s">
        <v>712</v>
      </c>
      <c r="E305" s="13">
        <v>44513</v>
      </c>
    </row>
    <row r="306" spans="1:5" x14ac:dyDescent="0.25">
      <c r="A306" s="4" t="s">
        <v>444</v>
      </c>
      <c r="B306" s="5" t="s">
        <v>1339</v>
      </c>
      <c r="C306" s="5" t="s">
        <v>1340</v>
      </c>
      <c r="D306" s="6" t="s">
        <v>712</v>
      </c>
      <c r="E306" s="7">
        <v>43447</v>
      </c>
    </row>
    <row r="307" spans="1:5" x14ac:dyDescent="0.25">
      <c r="A307" s="4" t="s">
        <v>41</v>
      </c>
      <c r="B307" s="5" t="s">
        <v>1341</v>
      </c>
      <c r="C307" s="5" t="s">
        <v>883</v>
      </c>
      <c r="D307" s="6" t="s">
        <v>736</v>
      </c>
      <c r="E307" s="7">
        <v>48083</v>
      </c>
    </row>
    <row r="308" spans="1:5" x14ac:dyDescent="0.25">
      <c r="A308" s="4" t="s">
        <v>505</v>
      </c>
      <c r="B308" s="5" t="s">
        <v>1326</v>
      </c>
      <c r="C308" s="5" t="s">
        <v>1017</v>
      </c>
      <c r="D308" s="6" t="s">
        <v>787</v>
      </c>
      <c r="E308" s="7">
        <v>64236</v>
      </c>
    </row>
    <row r="309" spans="1:5" x14ac:dyDescent="0.25">
      <c r="A309" s="4" t="s">
        <v>253</v>
      </c>
      <c r="B309" s="1" t="s">
        <v>1846</v>
      </c>
      <c r="C309" s="1" t="s">
        <v>735</v>
      </c>
      <c r="D309" s="13" t="s">
        <v>736</v>
      </c>
      <c r="E309" s="13" t="s">
        <v>1847</v>
      </c>
    </row>
    <row r="310" spans="1:5" x14ac:dyDescent="0.25">
      <c r="A310" s="4" t="s">
        <v>245</v>
      </c>
      <c r="B310" s="1" t="s">
        <v>1848</v>
      </c>
      <c r="C310" s="1" t="s">
        <v>1429</v>
      </c>
      <c r="D310" s="13" t="s">
        <v>751</v>
      </c>
      <c r="E310" s="13">
        <v>77098</v>
      </c>
    </row>
    <row r="311" spans="1:5" x14ac:dyDescent="0.25">
      <c r="A311" s="4" t="s">
        <v>107</v>
      </c>
      <c r="B311" s="5" t="s">
        <v>1342</v>
      </c>
      <c r="C311" s="5" t="s">
        <v>962</v>
      </c>
      <c r="D311" s="6" t="s">
        <v>963</v>
      </c>
      <c r="E311" s="7">
        <v>20036</v>
      </c>
    </row>
    <row r="312" spans="1:5" x14ac:dyDescent="0.25">
      <c r="A312" s="4" t="s">
        <v>173</v>
      </c>
      <c r="B312" s="5" t="s">
        <v>1343</v>
      </c>
      <c r="C312" s="5" t="s">
        <v>962</v>
      </c>
      <c r="D312" s="6" t="s">
        <v>963</v>
      </c>
      <c r="E312" s="7">
        <v>20036</v>
      </c>
    </row>
    <row r="313" spans="1:5" x14ac:dyDescent="0.25">
      <c r="A313" s="4" t="s">
        <v>539</v>
      </c>
      <c r="B313" s="5" t="s">
        <v>1343</v>
      </c>
      <c r="C313" s="5" t="s">
        <v>962</v>
      </c>
      <c r="D313" s="6" t="s">
        <v>963</v>
      </c>
      <c r="E313" s="7">
        <v>20036</v>
      </c>
    </row>
    <row r="314" spans="1:5" x14ac:dyDescent="0.25">
      <c r="A314" s="4" t="s">
        <v>695</v>
      </c>
      <c r="B314" s="1" t="s">
        <v>1849</v>
      </c>
      <c r="C314" s="1" t="s">
        <v>1850</v>
      </c>
      <c r="D314" s="13" t="s">
        <v>885</v>
      </c>
      <c r="E314" s="13" t="s">
        <v>1851</v>
      </c>
    </row>
    <row r="315" spans="1:5" x14ac:dyDescent="0.25">
      <c r="A315" s="4" t="s">
        <v>376</v>
      </c>
      <c r="B315" s="1" t="s">
        <v>1852</v>
      </c>
      <c r="C315" s="1" t="s">
        <v>1220</v>
      </c>
      <c r="D315" s="13" t="s">
        <v>712</v>
      </c>
      <c r="E315" s="13">
        <v>45365</v>
      </c>
    </row>
    <row r="316" spans="1:5" x14ac:dyDescent="0.25">
      <c r="A316" s="4" t="s">
        <v>333</v>
      </c>
      <c r="B316" s="1" t="s">
        <v>1853</v>
      </c>
      <c r="C316" s="1" t="s">
        <v>1854</v>
      </c>
      <c r="D316" s="13" t="s">
        <v>755</v>
      </c>
      <c r="E316" s="13">
        <v>46614</v>
      </c>
    </row>
    <row r="317" spans="1:5" x14ac:dyDescent="0.25">
      <c r="A317" s="4" t="s">
        <v>18</v>
      </c>
      <c r="B317" s="5" t="s">
        <v>1344</v>
      </c>
      <c r="C317" s="5" t="s">
        <v>1345</v>
      </c>
      <c r="D317" s="6" t="s">
        <v>796</v>
      </c>
      <c r="E317" s="7">
        <v>10605</v>
      </c>
    </row>
    <row r="318" spans="1:5" x14ac:dyDescent="0.25">
      <c r="A318" s="4" t="s">
        <v>165</v>
      </c>
      <c r="B318" s="5" t="s">
        <v>1346</v>
      </c>
      <c r="C318" s="5" t="s">
        <v>1347</v>
      </c>
      <c r="D318" s="6" t="s">
        <v>751</v>
      </c>
      <c r="E318" s="7">
        <v>24502</v>
      </c>
    </row>
    <row r="319" spans="1:5" x14ac:dyDescent="0.25">
      <c r="A319" s="4" t="s">
        <v>453</v>
      </c>
      <c r="B319" s="5" t="s">
        <v>1348</v>
      </c>
      <c r="C319" s="5" t="s">
        <v>711</v>
      </c>
      <c r="D319" s="6" t="s">
        <v>712</v>
      </c>
      <c r="E319" s="7">
        <v>45239</v>
      </c>
    </row>
    <row r="320" spans="1:5" x14ac:dyDescent="0.25">
      <c r="A320" s="4" t="s">
        <v>164</v>
      </c>
      <c r="B320" s="1" t="s">
        <v>1855</v>
      </c>
      <c r="C320" s="1" t="s">
        <v>1856</v>
      </c>
      <c r="D320" s="13" t="s">
        <v>707</v>
      </c>
      <c r="E320" s="13">
        <v>76182</v>
      </c>
    </row>
    <row r="321" spans="1:5" x14ac:dyDescent="0.25">
      <c r="A321" s="4" t="s">
        <v>340</v>
      </c>
      <c r="B321" s="5" t="s">
        <v>1349</v>
      </c>
      <c r="C321" s="5" t="s">
        <v>1350</v>
      </c>
      <c r="D321" s="6" t="s">
        <v>707</v>
      </c>
      <c r="E321" s="7">
        <v>77389</v>
      </c>
    </row>
    <row r="322" spans="1:5" x14ac:dyDescent="0.25">
      <c r="A322" s="4" t="s">
        <v>593</v>
      </c>
      <c r="B322" s="1" t="s">
        <v>1857</v>
      </c>
      <c r="C322" s="1" t="s">
        <v>1858</v>
      </c>
      <c r="D322" s="13" t="s">
        <v>712</v>
      </c>
      <c r="E322" s="13">
        <v>43026</v>
      </c>
    </row>
    <row r="323" spans="1:5" x14ac:dyDescent="0.25">
      <c r="A323" s="4" t="s">
        <v>1351</v>
      </c>
      <c r="B323" s="5" t="s">
        <v>1352</v>
      </c>
      <c r="C323" s="5" t="s">
        <v>1353</v>
      </c>
      <c r="D323" s="6" t="s">
        <v>712</v>
      </c>
      <c r="E323" s="7" t="s">
        <v>1354</v>
      </c>
    </row>
    <row r="324" spans="1:5" x14ac:dyDescent="0.25">
      <c r="A324" s="4" t="s">
        <v>26</v>
      </c>
      <c r="B324" s="5" t="s">
        <v>1355</v>
      </c>
      <c r="C324" s="5" t="s">
        <v>1356</v>
      </c>
      <c r="D324" s="6" t="s">
        <v>921</v>
      </c>
      <c r="E324" s="7">
        <v>53005</v>
      </c>
    </row>
    <row r="325" spans="1:5" x14ac:dyDescent="0.25">
      <c r="A325" s="4" t="s">
        <v>27</v>
      </c>
      <c r="B325" s="5" t="s">
        <v>1357</v>
      </c>
      <c r="C325" s="5" t="s">
        <v>1080</v>
      </c>
      <c r="D325" s="6" t="s">
        <v>1030</v>
      </c>
      <c r="E325" s="7" t="s">
        <v>1358</v>
      </c>
    </row>
    <row r="326" spans="1:5" x14ac:dyDescent="0.25">
      <c r="A326" s="4" t="s">
        <v>291</v>
      </c>
      <c r="B326" s="5" t="s">
        <v>1360</v>
      </c>
      <c r="C326" s="5" t="s">
        <v>850</v>
      </c>
      <c r="D326" s="6" t="s">
        <v>712</v>
      </c>
      <c r="E326" s="7">
        <v>44139</v>
      </c>
    </row>
    <row r="327" spans="1:5" x14ac:dyDescent="0.25">
      <c r="A327" s="4" t="s">
        <v>280</v>
      </c>
      <c r="B327" s="5" t="s">
        <v>1952</v>
      </c>
      <c r="C327" s="5" t="s">
        <v>1953</v>
      </c>
      <c r="D327" s="6" t="s">
        <v>976</v>
      </c>
      <c r="E327" s="7" t="s">
        <v>1954</v>
      </c>
    </row>
    <row r="328" spans="1:5" x14ac:dyDescent="0.25">
      <c r="A328" s="4" t="s">
        <v>19</v>
      </c>
      <c r="B328" s="5" t="s">
        <v>1361</v>
      </c>
      <c r="C328" s="5" t="s">
        <v>1345</v>
      </c>
      <c r="D328" s="6" t="s">
        <v>796</v>
      </c>
      <c r="E328" s="7">
        <v>10605</v>
      </c>
    </row>
    <row r="329" spans="1:5" x14ac:dyDescent="0.25">
      <c r="A329" s="4" t="s">
        <v>252</v>
      </c>
      <c r="B329" s="5" t="s">
        <v>1362</v>
      </c>
      <c r="C329" s="5" t="s">
        <v>1363</v>
      </c>
      <c r="D329" s="6" t="s">
        <v>751</v>
      </c>
      <c r="E329" s="7">
        <v>22134</v>
      </c>
    </row>
    <row r="330" spans="1:5" x14ac:dyDescent="0.25">
      <c r="A330" s="4" t="s">
        <v>627</v>
      </c>
      <c r="B330" s="5" t="s">
        <v>1364</v>
      </c>
      <c r="C330" s="5" t="s">
        <v>711</v>
      </c>
      <c r="D330" s="6" t="s">
        <v>712</v>
      </c>
      <c r="E330" s="7">
        <v>45216</v>
      </c>
    </row>
    <row r="331" spans="1:5" x14ac:dyDescent="0.25">
      <c r="A331" s="4" t="s">
        <v>301</v>
      </c>
      <c r="B331" s="5" t="s">
        <v>1365</v>
      </c>
      <c r="C331" s="5" t="s">
        <v>1366</v>
      </c>
      <c r="D331" s="6" t="s">
        <v>712</v>
      </c>
      <c r="E331" s="7">
        <v>44143</v>
      </c>
    </row>
    <row r="332" spans="1:5" x14ac:dyDescent="0.25">
      <c r="A332" s="4" t="s">
        <v>145</v>
      </c>
      <c r="B332" s="5" t="s">
        <v>1370</v>
      </c>
      <c r="C332" s="5" t="s">
        <v>1367</v>
      </c>
      <c r="D332" s="6" t="s">
        <v>803</v>
      </c>
      <c r="E332" s="7">
        <v>95382</v>
      </c>
    </row>
    <row r="333" spans="1:5" x14ac:dyDescent="0.25">
      <c r="A333" s="4" t="s">
        <v>258</v>
      </c>
      <c r="B333" s="5" t="s">
        <v>1368</v>
      </c>
      <c r="C333" s="5" t="s">
        <v>920</v>
      </c>
      <c r="D333" s="6" t="s">
        <v>921</v>
      </c>
      <c r="E333" s="7" t="s">
        <v>1369</v>
      </c>
    </row>
    <row r="334" spans="1:5" x14ac:dyDescent="0.25">
      <c r="A334" s="4" t="s">
        <v>1371</v>
      </c>
      <c r="B334" s="5" t="s">
        <v>1372</v>
      </c>
      <c r="C334" s="5" t="s">
        <v>974</v>
      </c>
      <c r="D334" s="6" t="s">
        <v>796</v>
      </c>
      <c r="E334" s="7">
        <v>10065</v>
      </c>
    </row>
    <row r="335" spans="1:5" x14ac:dyDescent="0.25">
      <c r="A335" s="4" t="s">
        <v>302</v>
      </c>
      <c r="B335" s="1" t="s">
        <v>1859</v>
      </c>
      <c r="C335" s="1" t="s">
        <v>1860</v>
      </c>
      <c r="D335" s="13" t="s">
        <v>712</v>
      </c>
      <c r="E335" s="13">
        <v>44060</v>
      </c>
    </row>
    <row r="336" spans="1:5" x14ac:dyDescent="0.25">
      <c r="A336" s="4" t="s">
        <v>151</v>
      </c>
      <c r="B336" s="5" t="s">
        <v>1373</v>
      </c>
      <c r="C336" s="5" t="s">
        <v>1374</v>
      </c>
      <c r="D336" s="6" t="s">
        <v>803</v>
      </c>
      <c r="E336" s="7">
        <v>92008</v>
      </c>
    </row>
    <row r="337" spans="1:5" x14ac:dyDescent="0.25">
      <c r="A337" s="4" t="s">
        <v>206</v>
      </c>
      <c r="B337" s="1" t="s">
        <v>1861</v>
      </c>
      <c r="C337" s="1" t="s">
        <v>1862</v>
      </c>
      <c r="D337" s="13" t="s">
        <v>707</v>
      </c>
      <c r="E337" s="13">
        <v>77098</v>
      </c>
    </row>
    <row r="338" spans="1:5" x14ac:dyDescent="0.25">
      <c r="A338" s="4" t="s">
        <v>182</v>
      </c>
      <c r="B338" s="5" t="s">
        <v>1375</v>
      </c>
      <c r="C338" s="5" t="s">
        <v>974</v>
      </c>
      <c r="D338" s="6" t="s">
        <v>796</v>
      </c>
      <c r="E338" s="7" t="s">
        <v>1376</v>
      </c>
    </row>
    <row r="339" spans="1:5" x14ac:dyDescent="0.25">
      <c r="A339" s="4" t="s">
        <v>629</v>
      </c>
      <c r="B339" s="5" t="s">
        <v>1377</v>
      </c>
      <c r="C339" s="5" t="s">
        <v>1226</v>
      </c>
      <c r="D339" s="6" t="s">
        <v>712</v>
      </c>
      <c r="E339" s="7">
        <v>45424</v>
      </c>
    </row>
    <row r="340" spans="1:5" x14ac:dyDescent="0.25">
      <c r="A340" s="4" t="s">
        <v>1378</v>
      </c>
      <c r="B340" s="5" t="s">
        <v>1379</v>
      </c>
      <c r="C340" s="5" t="s">
        <v>1380</v>
      </c>
      <c r="D340" s="6" t="s">
        <v>712</v>
      </c>
      <c r="E340" s="7">
        <v>44130</v>
      </c>
    </row>
    <row r="341" spans="1:5" x14ac:dyDescent="0.25">
      <c r="A341" s="4" t="s">
        <v>687</v>
      </c>
      <c r="B341" s="5" t="s">
        <v>1381</v>
      </c>
      <c r="C341" s="5" t="s">
        <v>1382</v>
      </c>
      <c r="D341" s="6" t="s">
        <v>751</v>
      </c>
      <c r="E341" s="7">
        <v>22003</v>
      </c>
    </row>
    <row r="342" spans="1:5" x14ac:dyDescent="0.25">
      <c r="A342" s="4" t="s">
        <v>125</v>
      </c>
      <c r="B342" s="5" t="s">
        <v>1383</v>
      </c>
      <c r="C342" s="5" t="s">
        <v>1384</v>
      </c>
      <c r="D342" s="6" t="s">
        <v>783</v>
      </c>
      <c r="E342" s="7">
        <v>89014</v>
      </c>
    </row>
    <row r="343" spans="1:5" x14ac:dyDescent="0.25">
      <c r="A343" s="4" t="s">
        <v>445</v>
      </c>
      <c r="B343" s="5" t="s">
        <v>1385</v>
      </c>
      <c r="C343" s="5" t="s">
        <v>1386</v>
      </c>
      <c r="D343" s="6" t="s">
        <v>712</v>
      </c>
      <c r="E343" s="7" t="s">
        <v>1387</v>
      </c>
    </row>
    <row r="344" spans="1:5" x14ac:dyDescent="0.25">
      <c r="A344" s="4" t="s">
        <v>156</v>
      </c>
      <c r="B344" s="5" t="s">
        <v>1388</v>
      </c>
      <c r="C344" s="5" t="s">
        <v>931</v>
      </c>
      <c r="D344" s="6" t="s">
        <v>741</v>
      </c>
      <c r="E344" s="7" t="s">
        <v>1389</v>
      </c>
    </row>
    <row r="345" spans="1:5" x14ac:dyDescent="0.25">
      <c r="A345" s="4" t="s">
        <v>141</v>
      </c>
      <c r="B345" s="5" t="s">
        <v>1390</v>
      </c>
      <c r="C345" s="5" t="s">
        <v>1391</v>
      </c>
      <c r="D345" s="6" t="s">
        <v>707</v>
      </c>
      <c r="E345" s="7">
        <v>75062</v>
      </c>
    </row>
    <row r="346" spans="1:5" x14ac:dyDescent="0.25">
      <c r="A346" s="4" t="s">
        <v>382</v>
      </c>
      <c r="B346" s="1" t="s">
        <v>1863</v>
      </c>
      <c r="C346" s="1" t="s">
        <v>1864</v>
      </c>
      <c r="D346" s="13" t="s">
        <v>712</v>
      </c>
      <c r="E346" s="13">
        <v>45215</v>
      </c>
    </row>
    <row r="347" spans="1:5" x14ac:dyDescent="0.25">
      <c r="A347" s="4" t="s">
        <v>269</v>
      </c>
      <c r="B347" s="5" t="s">
        <v>1392</v>
      </c>
      <c r="C347" s="5" t="s">
        <v>1393</v>
      </c>
      <c r="D347" s="6" t="s">
        <v>800</v>
      </c>
      <c r="E347" s="7">
        <v>8002</v>
      </c>
    </row>
    <row r="348" spans="1:5" x14ac:dyDescent="0.25">
      <c r="A348" s="4" t="s">
        <v>1719</v>
      </c>
      <c r="B348" s="1" t="s">
        <v>1865</v>
      </c>
      <c r="C348" s="1" t="s">
        <v>746</v>
      </c>
      <c r="D348" s="13" t="s">
        <v>712</v>
      </c>
      <c r="E348" s="13">
        <v>44106</v>
      </c>
    </row>
    <row r="349" spans="1:5" s="2" customFormat="1" x14ac:dyDescent="0.25">
      <c r="A349" s="4" t="s">
        <v>377</v>
      </c>
      <c r="B349" s="1" t="s">
        <v>1866</v>
      </c>
      <c r="C349" s="14" t="s">
        <v>1867</v>
      </c>
      <c r="D349" s="15" t="s">
        <v>712</v>
      </c>
      <c r="E349" s="15">
        <v>43701</v>
      </c>
    </row>
    <row r="350" spans="1:5" x14ac:dyDescent="0.25">
      <c r="A350" s="4" t="s">
        <v>693</v>
      </c>
      <c r="B350" s="1" t="s">
        <v>1868</v>
      </c>
      <c r="C350" s="1" t="s">
        <v>974</v>
      </c>
      <c r="D350" s="13" t="s">
        <v>796</v>
      </c>
      <c r="E350" s="13">
        <v>10013</v>
      </c>
    </row>
    <row r="351" spans="1:5" x14ac:dyDescent="0.25">
      <c r="A351" s="4" t="s">
        <v>29</v>
      </c>
      <c r="B351" s="5" t="s">
        <v>1394</v>
      </c>
      <c r="C351" s="5" t="s">
        <v>962</v>
      </c>
      <c r="D351" s="6" t="s">
        <v>963</v>
      </c>
      <c r="E351" s="7">
        <v>20005</v>
      </c>
    </row>
    <row r="352" spans="1:5" x14ac:dyDescent="0.25">
      <c r="A352" s="4" t="s">
        <v>690</v>
      </c>
      <c r="B352" s="1" t="s">
        <v>1869</v>
      </c>
      <c r="C352" s="1" t="s">
        <v>1737</v>
      </c>
      <c r="D352" s="13" t="s">
        <v>712</v>
      </c>
      <c r="E352" s="13">
        <v>43215</v>
      </c>
    </row>
    <row r="353" spans="1:5" x14ac:dyDescent="0.25">
      <c r="A353" s="4" t="s">
        <v>36</v>
      </c>
      <c r="B353" s="5" t="s">
        <v>1395</v>
      </c>
      <c r="C353" s="5" t="s">
        <v>1080</v>
      </c>
      <c r="D353" s="6" t="s">
        <v>1030</v>
      </c>
      <c r="E353" s="7">
        <v>21215</v>
      </c>
    </row>
    <row r="354" spans="1:5" x14ac:dyDescent="0.25">
      <c r="A354" s="4" t="s">
        <v>484</v>
      </c>
      <c r="B354" s="1" t="s">
        <v>990</v>
      </c>
      <c r="C354" s="1" t="s">
        <v>991</v>
      </c>
      <c r="D354" s="13" t="s">
        <v>787</v>
      </c>
      <c r="E354" s="13">
        <v>32780</v>
      </c>
    </row>
    <row r="355" spans="1:5" x14ac:dyDescent="0.25">
      <c r="A355" s="4" t="s">
        <v>186</v>
      </c>
      <c r="B355" s="5" t="s">
        <v>1396</v>
      </c>
      <c r="C355" s="5" t="s">
        <v>974</v>
      </c>
      <c r="D355" s="6" t="s">
        <v>796</v>
      </c>
      <c r="E355" s="7">
        <v>10014</v>
      </c>
    </row>
    <row r="356" spans="1:5" x14ac:dyDescent="0.25">
      <c r="A356" s="4" t="s">
        <v>680</v>
      </c>
      <c r="B356" s="5" t="s">
        <v>1397</v>
      </c>
      <c r="C356" s="5" t="s">
        <v>962</v>
      </c>
      <c r="D356" s="6" t="s">
        <v>963</v>
      </c>
      <c r="E356" s="7">
        <v>20036</v>
      </c>
    </row>
    <row r="357" spans="1:5" x14ac:dyDescent="0.25">
      <c r="A357" s="4" t="s">
        <v>133</v>
      </c>
      <c r="B357" s="5" t="s">
        <v>1398</v>
      </c>
      <c r="C357" s="5" t="s">
        <v>1017</v>
      </c>
      <c r="D357" s="6" t="s">
        <v>787</v>
      </c>
      <c r="E357" s="7">
        <v>34240</v>
      </c>
    </row>
    <row r="358" spans="1:5" x14ac:dyDescent="0.25">
      <c r="A358" s="4" t="s">
        <v>64</v>
      </c>
      <c r="B358" s="5" t="s">
        <v>1066</v>
      </c>
      <c r="C358" s="5" t="s">
        <v>948</v>
      </c>
      <c r="D358" s="6" t="s">
        <v>947</v>
      </c>
      <c r="E358" s="7">
        <v>64108</v>
      </c>
    </row>
    <row r="359" spans="1:5" x14ac:dyDescent="0.25">
      <c r="A359" s="4" t="s">
        <v>278</v>
      </c>
      <c r="B359" s="9" t="s">
        <v>1955</v>
      </c>
      <c r="C359" s="5" t="s">
        <v>989</v>
      </c>
      <c r="D359" s="6" t="s">
        <v>751</v>
      </c>
      <c r="E359" s="7" t="s">
        <v>1956</v>
      </c>
    </row>
    <row r="360" spans="1:5" x14ac:dyDescent="0.25">
      <c r="A360" s="4" t="s">
        <v>277</v>
      </c>
      <c r="B360" s="5" t="s">
        <v>1399</v>
      </c>
      <c r="C360" s="5" t="s">
        <v>1400</v>
      </c>
      <c r="D360" s="6" t="s">
        <v>947</v>
      </c>
      <c r="E360" s="7">
        <v>63102</v>
      </c>
    </row>
    <row r="361" spans="1:5" x14ac:dyDescent="0.25">
      <c r="A361" s="4" t="s">
        <v>1401</v>
      </c>
      <c r="B361" s="5" t="s">
        <v>1402</v>
      </c>
      <c r="C361" s="5" t="s">
        <v>795</v>
      </c>
      <c r="D361" s="6" t="s">
        <v>796</v>
      </c>
      <c r="E361" s="7">
        <v>11234</v>
      </c>
    </row>
    <row r="362" spans="1:5" x14ac:dyDescent="0.25">
      <c r="A362" s="4" t="s">
        <v>114</v>
      </c>
      <c r="B362" s="1" t="s">
        <v>1870</v>
      </c>
      <c r="C362" s="1" t="s">
        <v>899</v>
      </c>
      <c r="D362" s="13" t="s">
        <v>755</v>
      </c>
      <c r="E362" s="13" t="s">
        <v>1871</v>
      </c>
    </row>
    <row r="363" spans="1:5" x14ac:dyDescent="0.25">
      <c r="A363" s="4" t="s">
        <v>334</v>
      </c>
      <c r="B363" s="5" t="s">
        <v>1403</v>
      </c>
      <c r="C363" s="5" t="s">
        <v>1404</v>
      </c>
      <c r="D363" s="6" t="s">
        <v>1030</v>
      </c>
      <c r="E363" s="7">
        <v>20814</v>
      </c>
    </row>
    <row r="364" spans="1:5" x14ac:dyDescent="0.25">
      <c r="A364" s="4" t="s">
        <v>581</v>
      </c>
      <c r="B364" s="1" t="s">
        <v>1872</v>
      </c>
      <c r="C364" s="1" t="s">
        <v>962</v>
      </c>
      <c r="D364" s="13" t="s">
        <v>963</v>
      </c>
      <c r="E364" s="13">
        <v>20005</v>
      </c>
    </row>
    <row r="365" spans="1:5" x14ac:dyDescent="0.25">
      <c r="A365" s="4" t="s">
        <v>57</v>
      </c>
      <c r="B365" s="5" t="s">
        <v>1405</v>
      </c>
      <c r="C365" s="5" t="s">
        <v>974</v>
      </c>
      <c r="D365" s="6" t="s">
        <v>796</v>
      </c>
      <c r="E365" s="7">
        <v>10016</v>
      </c>
    </row>
    <row r="366" spans="1:5" x14ac:dyDescent="0.25">
      <c r="A366" s="4" t="s">
        <v>331</v>
      </c>
      <c r="B366" s="5" t="s">
        <v>1406</v>
      </c>
      <c r="C366" s="5" t="s">
        <v>974</v>
      </c>
      <c r="D366" s="6" t="s">
        <v>796</v>
      </c>
      <c r="E366" s="7">
        <v>10017</v>
      </c>
    </row>
    <row r="367" spans="1:5" x14ac:dyDescent="0.25">
      <c r="A367" s="4" t="s">
        <v>543</v>
      </c>
      <c r="B367" s="5" t="s">
        <v>1407</v>
      </c>
      <c r="C367" s="5" t="s">
        <v>962</v>
      </c>
      <c r="D367" s="6" t="s">
        <v>963</v>
      </c>
      <c r="E367" s="7" t="s">
        <v>1408</v>
      </c>
    </row>
    <row r="368" spans="1:5" x14ac:dyDescent="0.25">
      <c r="A368" s="4" t="s">
        <v>482</v>
      </c>
      <c r="B368" s="1" t="s">
        <v>1873</v>
      </c>
      <c r="C368" s="1" t="s">
        <v>1874</v>
      </c>
      <c r="D368" s="13" t="s">
        <v>803</v>
      </c>
      <c r="E368" s="13" t="s">
        <v>1875</v>
      </c>
    </row>
    <row r="369" spans="1:5" x14ac:dyDescent="0.25">
      <c r="A369" s="4" t="s">
        <v>676</v>
      </c>
      <c r="B369" s="5" t="s">
        <v>1409</v>
      </c>
      <c r="C369" s="5" t="s">
        <v>962</v>
      </c>
      <c r="D369" s="6" t="s">
        <v>963</v>
      </c>
      <c r="E369" s="7" t="s">
        <v>1410</v>
      </c>
    </row>
    <row r="370" spans="1:5" x14ac:dyDescent="0.25">
      <c r="A370" s="4" t="s">
        <v>149</v>
      </c>
      <c r="B370" s="5" t="s">
        <v>1411</v>
      </c>
      <c r="C370" s="5" t="s">
        <v>1412</v>
      </c>
      <c r="D370" s="6" t="s">
        <v>787</v>
      </c>
      <c r="E370" s="7">
        <v>33136</v>
      </c>
    </row>
    <row r="371" spans="1:5" x14ac:dyDescent="0.25">
      <c r="A371" s="4" t="s">
        <v>532</v>
      </c>
      <c r="B371" s="5" t="s">
        <v>1413</v>
      </c>
      <c r="C371" s="5" t="s">
        <v>962</v>
      </c>
      <c r="D371" s="6" t="s">
        <v>963</v>
      </c>
      <c r="E371" s="7">
        <v>20001</v>
      </c>
    </row>
    <row r="372" spans="1:5" x14ac:dyDescent="0.25">
      <c r="A372" s="4" t="s">
        <v>288</v>
      </c>
      <c r="B372" s="1" t="s">
        <v>1876</v>
      </c>
      <c r="C372" s="1" t="s">
        <v>1877</v>
      </c>
      <c r="D372" s="13" t="s">
        <v>1878</v>
      </c>
      <c r="E372" s="16" t="s">
        <v>1879</v>
      </c>
    </row>
    <row r="373" spans="1:5" x14ac:dyDescent="0.25">
      <c r="A373" s="4" t="s">
        <v>355</v>
      </c>
      <c r="B373" s="1" t="s">
        <v>1880</v>
      </c>
      <c r="C373" s="1" t="s">
        <v>1276</v>
      </c>
      <c r="D373" s="13" t="s">
        <v>751</v>
      </c>
      <c r="E373" s="13">
        <v>22030</v>
      </c>
    </row>
    <row r="374" spans="1:5" x14ac:dyDescent="0.25">
      <c r="A374" s="4" t="s">
        <v>117</v>
      </c>
      <c r="B374" s="5" t="s">
        <v>1414</v>
      </c>
      <c r="C374" s="5" t="s">
        <v>962</v>
      </c>
      <c r="D374" s="6" t="s">
        <v>963</v>
      </c>
      <c r="E374" s="7">
        <v>20004</v>
      </c>
    </row>
    <row r="375" spans="1:5" x14ac:dyDescent="0.25">
      <c r="A375" s="4" t="s">
        <v>212</v>
      </c>
      <c r="B375" s="5" t="s">
        <v>1415</v>
      </c>
      <c r="C375" s="5" t="s">
        <v>962</v>
      </c>
      <c r="D375" s="6" t="s">
        <v>963</v>
      </c>
      <c r="E375" s="7">
        <v>20036</v>
      </c>
    </row>
    <row r="376" spans="1:5" x14ac:dyDescent="0.25">
      <c r="A376" s="4" t="s">
        <v>58</v>
      </c>
      <c r="B376" s="5" t="s">
        <v>1416</v>
      </c>
      <c r="C376" s="5" t="s">
        <v>1417</v>
      </c>
      <c r="D376" s="6" t="s">
        <v>1023</v>
      </c>
      <c r="E376" s="7">
        <v>6820</v>
      </c>
    </row>
    <row r="377" spans="1:5" x14ac:dyDescent="0.25">
      <c r="A377" s="4" t="s">
        <v>669</v>
      </c>
      <c r="B377" s="5" t="s">
        <v>1418</v>
      </c>
      <c r="C377" s="5" t="s">
        <v>989</v>
      </c>
      <c r="D377" s="6" t="s">
        <v>751</v>
      </c>
      <c r="E377" s="7">
        <v>22304</v>
      </c>
    </row>
    <row r="378" spans="1:5" x14ac:dyDescent="0.25">
      <c r="A378" s="4" t="s">
        <v>337</v>
      </c>
      <c r="B378" s="5" t="s">
        <v>1419</v>
      </c>
      <c r="C378" s="5" t="s">
        <v>1420</v>
      </c>
      <c r="D378" s="6" t="s">
        <v>998</v>
      </c>
      <c r="E378" s="7">
        <v>80918</v>
      </c>
    </row>
    <row r="379" spans="1:5" x14ac:dyDescent="0.25">
      <c r="A379" s="4" t="s">
        <v>187</v>
      </c>
      <c r="B379" s="5" t="s">
        <v>1421</v>
      </c>
      <c r="C379" s="5" t="s">
        <v>1422</v>
      </c>
      <c r="D379" s="6" t="s">
        <v>751</v>
      </c>
      <c r="E379" s="7" t="s">
        <v>1423</v>
      </c>
    </row>
    <row r="380" spans="1:5" x14ac:dyDescent="0.25">
      <c r="A380" s="4" t="s">
        <v>104</v>
      </c>
      <c r="B380" s="5" t="s">
        <v>1424</v>
      </c>
      <c r="C380" s="5" t="s">
        <v>1425</v>
      </c>
      <c r="D380" s="6" t="s">
        <v>1426</v>
      </c>
      <c r="E380" s="7">
        <v>70130</v>
      </c>
    </row>
    <row r="381" spans="1:5" x14ac:dyDescent="0.25">
      <c r="A381" s="4" t="s">
        <v>193</v>
      </c>
      <c r="B381" s="5" t="s">
        <v>1427</v>
      </c>
      <c r="C381" s="5" t="s">
        <v>974</v>
      </c>
      <c r="D381" s="6" t="s">
        <v>796</v>
      </c>
      <c r="E381" s="7">
        <v>10011</v>
      </c>
    </row>
    <row r="382" spans="1:5" x14ac:dyDescent="0.25">
      <c r="A382" s="4" t="s">
        <v>168</v>
      </c>
      <c r="B382" s="5" t="s">
        <v>1428</v>
      </c>
      <c r="C382" s="5" t="s">
        <v>1429</v>
      </c>
      <c r="D382" s="6" t="s">
        <v>751</v>
      </c>
      <c r="E382" s="7" t="s">
        <v>1430</v>
      </c>
    </row>
    <row r="383" spans="1:5" x14ac:dyDescent="0.25">
      <c r="A383" s="4" t="s">
        <v>257</v>
      </c>
      <c r="B383" s="5" t="s">
        <v>1431</v>
      </c>
      <c r="C383" s="5" t="s">
        <v>1429</v>
      </c>
      <c r="D383" s="6" t="s">
        <v>751</v>
      </c>
      <c r="E383" s="7" t="s">
        <v>1432</v>
      </c>
    </row>
    <row r="384" spans="1:5" x14ac:dyDescent="0.25">
      <c r="A384" s="4" t="s">
        <v>486</v>
      </c>
      <c r="B384" s="1" t="s">
        <v>1881</v>
      </c>
      <c r="C384" s="1" t="s">
        <v>962</v>
      </c>
      <c r="D384" s="13" t="s">
        <v>963</v>
      </c>
      <c r="E384" s="13">
        <v>20004</v>
      </c>
    </row>
    <row r="385" spans="1:5" x14ac:dyDescent="0.25">
      <c r="A385" s="4" t="s">
        <v>322</v>
      </c>
      <c r="B385" s="5" t="s">
        <v>1433</v>
      </c>
      <c r="C385" s="5" t="s">
        <v>1434</v>
      </c>
      <c r="D385" s="6" t="s">
        <v>803</v>
      </c>
      <c r="E385" s="7">
        <v>95123</v>
      </c>
    </row>
    <row r="386" spans="1:5" x14ac:dyDescent="0.25">
      <c r="A386" s="4" t="s">
        <v>305</v>
      </c>
      <c r="B386" s="5" t="s">
        <v>1435</v>
      </c>
      <c r="C386" s="5" t="s">
        <v>1436</v>
      </c>
      <c r="D386" s="6" t="s">
        <v>712</v>
      </c>
      <c r="E386" s="7">
        <v>44056</v>
      </c>
    </row>
    <row r="387" spans="1:5" x14ac:dyDescent="0.25">
      <c r="A387" s="4" t="s">
        <v>1437</v>
      </c>
      <c r="B387" s="5" t="s">
        <v>1438</v>
      </c>
      <c r="C387" s="5" t="s">
        <v>716</v>
      </c>
      <c r="D387" s="6" t="s">
        <v>712</v>
      </c>
      <c r="E387" s="7">
        <v>44720</v>
      </c>
    </row>
    <row r="388" spans="1:5" x14ac:dyDescent="0.25">
      <c r="A388" s="4" t="s">
        <v>610</v>
      </c>
      <c r="B388" s="1" t="s">
        <v>1882</v>
      </c>
      <c r="C388" s="1" t="s">
        <v>1883</v>
      </c>
      <c r="D388" s="13" t="s">
        <v>1359</v>
      </c>
      <c r="E388" s="13">
        <v>85202</v>
      </c>
    </row>
    <row r="389" spans="1:5" x14ac:dyDescent="0.25">
      <c r="A389" s="4" t="s">
        <v>298</v>
      </c>
      <c r="B389" s="5" t="s">
        <v>1439</v>
      </c>
      <c r="C389" s="5" t="s">
        <v>1440</v>
      </c>
      <c r="D389" s="6" t="s">
        <v>712</v>
      </c>
      <c r="E389" s="7">
        <v>44095</v>
      </c>
    </row>
    <row r="390" spans="1:5" x14ac:dyDescent="0.25">
      <c r="A390" s="4" t="s">
        <v>295</v>
      </c>
      <c r="B390" s="5" t="s">
        <v>1441</v>
      </c>
      <c r="C390" s="5" t="s">
        <v>1442</v>
      </c>
      <c r="D390" s="6" t="s">
        <v>712</v>
      </c>
      <c r="E390" s="7">
        <v>44070</v>
      </c>
    </row>
    <row r="391" spans="1:5" x14ac:dyDescent="0.25">
      <c r="A391" s="4" t="s">
        <v>351</v>
      </c>
      <c r="B391" s="5" t="s">
        <v>1443</v>
      </c>
      <c r="C391" s="5" t="s">
        <v>1444</v>
      </c>
      <c r="D391" s="6" t="s">
        <v>796</v>
      </c>
      <c r="E391" s="7">
        <v>11050</v>
      </c>
    </row>
    <row r="392" spans="1:5" x14ac:dyDescent="0.25">
      <c r="A392" s="4" t="s">
        <v>667</v>
      </c>
      <c r="B392" s="5" t="s">
        <v>1445</v>
      </c>
      <c r="C392" s="5" t="s">
        <v>1446</v>
      </c>
      <c r="D392" s="6" t="s">
        <v>712</v>
      </c>
      <c r="E392" s="7">
        <v>44004</v>
      </c>
    </row>
    <row r="393" spans="1:5" x14ac:dyDescent="0.25">
      <c r="A393" s="4" t="s">
        <v>553</v>
      </c>
      <c r="B393" s="5" t="s">
        <v>1447</v>
      </c>
      <c r="C393" s="5" t="s">
        <v>847</v>
      </c>
      <c r="D393" s="6" t="s">
        <v>712</v>
      </c>
      <c r="E393" s="7">
        <v>44240</v>
      </c>
    </row>
    <row r="394" spans="1:5" x14ac:dyDescent="0.25">
      <c r="A394" s="4" t="s">
        <v>529</v>
      </c>
      <c r="B394" s="5" t="s">
        <v>1448</v>
      </c>
      <c r="C394" s="5" t="s">
        <v>746</v>
      </c>
      <c r="D394" s="6" t="s">
        <v>712</v>
      </c>
      <c r="E394" s="7">
        <v>44127</v>
      </c>
    </row>
    <row r="395" spans="1:5" x14ac:dyDescent="0.25">
      <c r="A395" s="4" t="s">
        <v>607</v>
      </c>
      <c r="B395" s="1" t="s">
        <v>1884</v>
      </c>
      <c r="C395" s="1" t="s">
        <v>1885</v>
      </c>
      <c r="D395" s="13" t="s">
        <v>741</v>
      </c>
      <c r="E395" s="13">
        <v>60208</v>
      </c>
    </row>
    <row r="396" spans="1:5" x14ac:dyDescent="0.25">
      <c r="A396" s="4" t="s">
        <v>157</v>
      </c>
      <c r="B396" s="5" t="s">
        <v>1449</v>
      </c>
      <c r="C396" s="5" t="s">
        <v>1450</v>
      </c>
      <c r="D396" s="6" t="s">
        <v>741</v>
      </c>
      <c r="E396" s="7">
        <v>62223</v>
      </c>
    </row>
    <row r="397" spans="1:5" x14ac:dyDescent="0.25">
      <c r="A397" s="4" t="s">
        <v>34</v>
      </c>
      <c r="B397" s="5" t="s">
        <v>1451</v>
      </c>
      <c r="C397" s="5" t="s">
        <v>962</v>
      </c>
      <c r="D397" s="6" t="s">
        <v>963</v>
      </c>
      <c r="E397" s="7">
        <v>20036</v>
      </c>
    </row>
    <row r="398" spans="1:5" x14ac:dyDescent="0.25">
      <c r="A398" s="4" t="s">
        <v>420</v>
      </c>
      <c r="B398" s="5" t="s">
        <v>1452</v>
      </c>
      <c r="C398" s="5" t="s">
        <v>1453</v>
      </c>
      <c r="D398" s="6" t="s">
        <v>712</v>
      </c>
      <c r="E398" s="7">
        <v>43017</v>
      </c>
    </row>
    <row r="399" spans="1:5" x14ac:dyDescent="0.25">
      <c r="A399" s="4" t="s">
        <v>418</v>
      </c>
      <c r="B399" s="5" t="s">
        <v>1454</v>
      </c>
      <c r="C399" s="5" t="s">
        <v>1220</v>
      </c>
      <c r="D399" s="6" t="s">
        <v>712</v>
      </c>
      <c r="E399" s="7">
        <v>45365</v>
      </c>
    </row>
    <row r="400" spans="1:5" x14ac:dyDescent="0.25">
      <c r="A400" s="4" t="s">
        <v>672</v>
      </c>
      <c r="B400" s="5" t="s">
        <v>1455</v>
      </c>
      <c r="C400" s="5" t="s">
        <v>1226</v>
      </c>
      <c r="D400" s="6" t="s">
        <v>712</v>
      </c>
      <c r="E400" s="7">
        <v>45424</v>
      </c>
    </row>
    <row r="401" spans="1:5" x14ac:dyDescent="0.25">
      <c r="A401" s="4" t="s">
        <v>666</v>
      </c>
      <c r="B401" s="5" t="s">
        <v>1456</v>
      </c>
      <c r="C401" s="5" t="s">
        <v>1446</v>
      </c>
      <c r="D401" s="6" t="s">
        <v>712</v>
      </c>
      <c r="E401" s="7">
        <v>44004</v>
      </c>
    </row>
    <row r="402" spans="1:5" x14ac:dyDescent="0.25">
      <c r="A402" s="4" t="s">
        <v>421</v>
      </c>
      <c r="B402" s="5" t="s">
        <v>1457</v>
      </c>
      <c r="C402" s="5" t="s">
        <v>1009</v>
      </c>
      <c r="D402" s="6" t="s">
        <v>712</v>
      </c>
      <c r="E402" s="7">
        <v>43015</v>
      </c>
    </row>
    <row r="403" spans="1:5" x14ac:dyDescent="0.25">
      <c r="A403" s="4" t="s">
        <v>79</v>
      </c>
      <c r="B403" s="5" t="s">
        <v>1458</v>
      </c>
      <c r="C403" s="5" t="s">
        <v>761</v>
      </c>
      <c r="D403" s="6" t="s">
        <v>712</v>
      </c>
      <c r="E403" s="7">
        <v>43229</v>
      </c>
    </row>
    <row r="404" spans="1:5" x14ac:dyDescent="0.25">
      <c r="A404" s="4" t="s">
        <v>417</v>
      </c>
      <c r="B404" s="5" t="s">
        <v>1459</v>
      </c>
      <c r="C404" s="5" t="s">
        <v>761</v>
      </c>
      <c r="D404" s="6" t="s">
        <v>712</v>
      </c>
      <c r="E404" s="7">
        <v>43235</v>
      </c>
    </row>
    <row r="405" spans="1:5" x14ac:dyDescent="0.25">
      <c r="A405" s="4" t="s">
        <v>336</v>
      </c>
      <c r="B405" s="5" t="s">
        <v>1460</v>
      </c>
      <c r="C405" s="5" t="s">
        <v>761</v>
      </c>
      <c r="D405" s="6" t="s">
        <v>712</v>
      </c>
      <c r="E405" s="7">
        <v>43212</v>
      </c>
    </row>
    <row r="406" spans="1:5" x14ac:dyDescent="0.25">
      <c r="A406" s="4" t="s">
        <v>272</v>
      </c>
      <c r="B406" s="5" t="s">
        <v>1460</v>
      </c>
      <c r="C406" s="5" t="s">
        <v>761</v>
      </c>
      <c r="D406" s="6" t="s">
        <v>712</v>
      </c>
      <c r="E406" s="7">
        <v>43212</v>
      </c>
    </row>
    <row r="407" spans="1:5" x14ac:dyDescent="0.25">
      <c r="A407" s="4" t="s">
        <v>481</v>
      </c>
      <c r="B407" s="5" t="s">
        <v>1461</v>
      </c>
      <c r="C407" s="5" t="s">
        <v>1462</v>
      </c>
      <c r="D407" s="6" t="s">
        <v>712</v>
      </c>
      <c r="E407" s="7">
        <v>44133</v>
      </c>
    </row>
    <row r="408" spans="1:5" x14ac:dyDescent="0.25">
      <c r="A408" s="4" t="s">
        <v>72</v>
      </c>
      <c r="B408" s="5" t="s">
        <v>1463</v>
      </c>
      <c r="C408" s="5" t="s">
        <v>761</v>
      </c>
      <c r="D408" s="6" t="s">
        <v>712</v>
      </c>
      <c r="E408" s="7" t="s">
        <v>1464</v>
      </c>
    </row>
    <row r="409" spans="1:5" x14ac:dyDescent="0.25">
      <c r="A409" s="4" t="s">
        <v>424</v>
      </c>
      <c r="B409" s="5" t="s">
        <v>1465</v>
      </c>
      <c r="C409" s="5" t="s">
        <v>1453</v>
      </c>
      <c r="D409" s="6" t="s">
        <v>712</v>
      </c>
      <c r="E409" s="7">
        <v>43017</v>
      </c>
    </row>
    <row r="410" spans="1:5" x14ac:dyDescent="0.25">
      <c r="A410" s="4" t="s">
        <v>419</v>
      </c>
      <c r="B410" s="5" t="s">
        <v>1466</v>
      </c>
      <c r="C410" s="5" t="s">
        <v>1467</v>
      </c>
      <c r="D410" s="6" t="s">
        <v>712</v>
      </c>
      <c r="E410" s="7">
        <v>44260</v>
      </c>
    </row>
    <row r="411" spans="1:5" x14ac:dyDescent="0.25">
      <c r="A411" s="4" t="s">
        <v>673</v>
      </c>
      <c r="B411" s="1" t="s">
        <v>1886</v>
      </c>
      <c r="C411" s="1" t="s">
        <v>1812</v>
      </c>
      <c r="D411" s="13" t="s">
        <v>712</v>
      </c>
      <c r="E411" s="13">
        <v>44077</v>
      </c>
    </row>
    <row r="412" spans="1:5" x14ac:dyDescent="0.25">
      <c r="A412" s="4" t="s">
        <v>689</v>
      </c>
      <c r="B412" s="5" t="s">
        <v>1468</v>
      </c>
      <c r="C412" s="5" t="s">
        <v>761</v>
      </c>
      <c r="D412" s="6" t="s">
        <v>712</v>
      </c>
      <c r="E412" s="7">
        <v>43229</v>
      </c>
    </row>
    <row r="413" spans="1:5" x14ac:dyDescent="0.25">
      <c r="A413" s="4" t="s">
        <v>597</v>
      </c>
      <c r="B413" s="1" t="s">
        <v>1887</v>
      </c>
      <c r="C413" s="1" t="s">
        <v>1888</v>
      </c>
      <c r="D413" s="13" t="s">
        <v>741</v>
      </c>
      <c r="E413" s="13">
        <v>60914</v>
      </c>
    </row>
    <row r="414" spans="1:5" x14ac:dyDescent="0.25">
      <c r="A414" s="4" t="s">
        <v>150</v>
      </c>
      <c r="B414" s="5" t="s">
        <v>1469</v>
      </c>
      <c r="C414" s="5" t="s">
        <v>1117</v>
      </c>
      <c r="D414" s="6" t="s">
        <v>787</v>
      </c>
      <c r="E414" s="7">
        <v>33060</v>
      </c>
    </row>
    <row r="415" spans="1:5" x14ac:dyDescent="0.25">
      <c r="A415" s="4" t="s">
        <v>1470</v>
      </c>
      <c r="B415" s="5" t="s">
        <v>1471</v>
      </c>
      <c r="C415" s="5" t="s">
        <v>1472</v>
      </c>
      <c r="D415" s="6" t="s">
        <v>803</v>
      </c>
      <c r="E415" s="7" t="s">
        <v>1473</v>
      </c>
    </row>
    <row r="416" spans="1:5" x14ac:dyDescent="0.25">
      <c r="A416" s="4" t="s">
        <v>1474</v>
      </c>
      <c r="B416" s="5" t="s">
        <v>1475</v>
      </c>
      <c r="C416" s="5" t="s">
        <v>1476</v>
      </c>
      <c r="D416" s="6" t="s">
        <v>751</v>
      </c>
      <c r="E416" s="7">
        <v>23463</v>
      </c>
    </row>
    <row r="417" spans="1:5" x14ac:dyDescent="0.25">
      <c r="A417" s="4" t="s">
        <v>46</v>
      </c>
      <c r="B417" s="5" t="s">
        <v>1477</v>
      </c>
      <c r="C417" s="5" t="s">
        <v>1478</v>
      </c>
      <c r="D417" s="6" t="s">
        <v>766</v>
      </c>
      <c r="E417" s="7">
        <v>98203</v>
      </c>
    </row>
    <row r="418" spans="1:5" x14ac:dyDescent="0.25">
      <c r="A418" s="4" t="s">
        <v>645</v>
      </c>
      <c r="B418" s="5" t="s">
        <v>1479</v>
      </c>
      <c r="C418" s="5" t="s">
        <v>1480</v>
      </c>
      <c r="D418" s="6" t="s">
        <v>751</v>
      </c>
      <c r="E418" s="7">
        <v>23509</v>
      </c>
    </row>
    <row r="419" spans="1:5" x14ac:dyDescent="0.25">
      <c r="A419" s="4" t="s">
        <v>1481</v>
      </c>
      <c r="B419" s="5" t="s">
        <v>1482</v>
      </c>
      <c r="C419" s="5" t="s">
        <v>1248</v>
      </c>
      <c r="D419" s="6" t="s">
        <v>803</v>
      </c>
      <c r="E419" s="7">
        <v>94239</v>
      </c>
    </row>
    <row r="420" spans="1:5" x14ac:dyDescent="0.25">
      <c r="A420" s="4" t="s">
        <v>283</v>
      </c>
      <c r="B420" s="5" t="s">
        <v>1483</v>
      </c>
      <c r="C420" s="5" t="s">
        <v>1484</v>
      </c>
      <c r="D420" s="6" t="s">
        <v>722</v>
      </c>
      <c r="E420" s="7">
        <v>55603</v>
      </c>
    </row>
    <row r="421" spans="1:5" x14ac:dyDescent="0.25">
      <c r="A421" s="4" t="s">
        <v>282</v>
      </c>
      <c r="B421" s="5" t="s">
        <v>1485</v>
      </c>
      <c r="C421" s="5" t="s">
        <v>1484</v>
      </c>
      <c r="D421" s="6" t="s">
        <v>722</v>
      </c>
      <c r="E421" s="7">
        <v>55603</v>
      </c>
    </row>
    <row r="422" spans="1:5" x14ac:dyDescent="0.25">
      <c r="A422" s="4" t="s">
        <v>190</v>
      </c>
      <c r="B422" s="5" t="s">
        <v>1486</v>
      </c>
      <c r="C422" s="5" t="s">
        <v>812</v>
      </c>
      <c r="D422" s="6" t="s">
        <v>813</v>
      </c>
      <c r="E422" s="7">
        <v>2114</v>
      </c>
    </row>
    <row r="423" spans="1:5" x14ac:dyDescent="0.25">
      <c r="A423" s="8" t="s">
        <v>503</v>
      </c>
      <c r="B423" s="5" t="s">
        <v>1487</v>
      </c>
      <c r="C423" s="5" t="s">
        <v>1488</v>
      </c>
      <c r="D423" s="6" t="s">
        <v>1489</v>
      </c>
      <c r="E423" s="7">
        <v>96734</v>
      </c>
    </row>
    <row r="424" spans="1:5" x14ac:dyDescent="0.25">
      <c r="A424" s="4" t="s">
        <v>81</v>
      </c>
      <c r="B424" s="5" t="s">
        <v>1490</v>
      </c>
      <c r="C424" s="5" t="s">
        <v>962</v>
      </c>
      <c r="D424" s="6" t="s">
        <v>963</v>
      </c>
      <c r="E424" s="7">
        <v>20006</v>
      </c>
    </row>
    <row r="425" spans="1:5" x14ac:dyDescent="0.25">
      <c r="A425" s="4" t="s">
        <v>176</v>
      </c>
      <c r="B425" s="5" t="s">
        <v>1491</v>
      </c>
      <c r="C425" s="5" t="s">
        <v>962</v>
      </c>
      <c r="D425" s="6" t="s">
        <v>963</v>
      </c>
      <c r="E425" s="7">
        <v>20036</v>
      </c>
    </row>
    <row r="426" spans="1:5" x14ac:dyDescent="0.25">
      <c r="A426" s="4" t="s">
        <v>297</v>
      </c>
      <c r="B426" s="5" t="s">
        <v>1492</v>
      </c>
      <c r="C426" s="5" t="s">
        <v>907</v>
      </c>
      <c r="D426" s="6" t="s">
        <v>712</v>
      </c>
      <c r="E426" s="7">
        <v>44129</v>
      </c>
    </row>
    <row r="427" spans="1:5" x14ac:dyDescent="0.25">
      <c r="A427" s="4" t="s">
        <v>620</v>
      </c>
      <c r="B427" s="1" t="s">
        <v>1889</v>
      </c>
      <c r="C427" s="1" t="s">
        <v>812</v>
      </c>
      <c r="D427" s="13" t="s">
        <v>813</v>
      </c>
      <c r="E427" s="16" t="s">
        <v>1890</v>
      </c>
    </row>
    <row r="428" spans="1:5" x14ac:dyDescent="0.25">
      <c r="A428" s="4" t="s">
        <v>143</v>
      </c>
      <c r="B428" s="1" t="s">
        <v>1891</v>
      </c>
      <c r="C428" s="1" t="s">
        <v>974</v>
      </c>
      <c r="D428" s="13" t="s">
        <v>796</v>
      </c>
      <c r="E428" s="13">
        <v>10010</v>
      </c>
    </row>
    <row r="429" spans="1:5" x14ac:dyDescent="0.25">
      <c r="A429" s="4" t="s">
        <v>1494</v>
      </c>
      <c r="B429" s="5" t="s">
        <v>1493</v>
      </c>
      <c r="C429" s="5" t="s">
        <v>962</v>
      </c>
      <c r="D429" s="6" t="s">
        <v>963</v>
      </c>
      <c r="E429" s="7">
        <v>20005</v>
      </c>
    </row>
    <row r="430" spans="1:5" x14ac:dyDescent="0.25">
      <c r="A430" s="4" t="s">
        <v>178</v>
      </c>
      <c r="B430" s="5" t="s">
        <v>1495</v>
      </c>
      <c r="C430" s="5" t="s">
        <v>948</v>
      </c>
      <c r="D430" s="6" t="s">
        <v>947</v>
      </c>
      <c r="E430" s="7">
        <v>64108</v>
      </c>
    </row>
    <row r="431" spans="1:5" x14ac:dyDescent="0.25">
      <c r="A431" s="4" t="s">
        <v>310</v>
      </c>
      <c r="B431" s="5" t="s">
        <v>1496</v>
      </c>
      <c r="C431" s="5" t="s">
        <v>815</v>
      </c>
      <c r="D431" s="6" t="s">
        <v>712</v>
      </c>
      <c r="E431" s="7">
        <v>44706</v>
      </c>
    </row>
    <row r="432" spans="1:5" x14ac:dyDescent="0.25">
      <c r="A432" s="4" t="s">
        <v>604</v>
      </c>
      <c r="B432" s="1" t="s">
        <v>1892</v>
      </c>
      <c r="C432" s="1" t="s">
        <v>1893</v>
      </c>
      <c r="D432" s="13" t="s">
        <v>712</v>
      </c>
      <c r="E432" s="13">
        <v>45056</v>
      </c>
    </row>
    <row r="433" spans="1:5" x14ac:dyDescent="0.25">
      <c r="A433" s="4" t="s">
        <v>139</v>
      </c>
      <c r="B433" s="5" t="s">
        <v>1497</v>
      </c>
      <c r="C433" s="5" t="s">
        <v>974</v>
      </c>
      <c r="D433" s="6" t="s">
        <v>796</v>
      </c>
      <c r="E433" s="7">
        <v>10023</v>
      </c>
    </row>
    <row r="434" spans="1:5" x14ac:dyDescent="0.25">
      <c r="A434" s="4" t="s">
        <v>1498</v>
      </c>
      <c r="B434" s="5" t="s">
        <v>1499</v>
      </c>
      <c r="C434" s="5" t="s">
        <v>962</v>
      </c>
      <c r="D434" s="6" t="s">
        <v>963</v>
      </c>
      <c r="E434" s="7">
        <v>20016</v>
      </c>
    </row>
    <row r="435" spans="1:5" x14ac:dyDescent="0.25">
      <c r="A435" s="4" t="s">
        <v>1500</v>
      </c>
      <c r="B435" s="5" t="s">
        <v>1501</v>
      </c>
      <c r="C435" s="5" t="s">
        <v>1502</v>
      </c>
      <c r="D435" s="6" t="s">
        <v>1141</v>
      </c>
      <c r="E435" s="7" t="s">
        <v>1503</v>
      </c>
    </row>
    <row r="436" spans="1:5" x14ac:dyDescent="0.25">
      <c r="A436" s="4" t="s">
        <v>264</v>
      </c>
      <c r="B436" s="5" t="s">
        <v>1504</v>
      </c>
      <c r="C436" s="5" t="s">
        <v>1505</v>
      </c>
      <c r="D436" s="6" t="s">
        <v>803</v>
      </c>
      <c r="E436" s="7" t="s">
        <v>1506</v>
      </c>
    </row>
    <row r="437" spans="1:5" x14ac:dyDescent="0.25">
      <c r="A437" s="4" t="s">
        <v>23</v>
      </c>
      <c r="B437" s="5" t="s">
        <v>1507</v>
      </c>
      <c r="C437" s="5" t="s">
        <v>974</v>
      </c>
      <c r="D437" s="6" t="s">
        <v>796</v>
      </c>
      <c r="E437" s="7">
        <v>10001</v>
      </c>
    </row>
    <row r="438" spans="1:5" x14ac:dyDescent="0.25">
      <c r="A438" s="4" t="s">
        <v>22</v>
      </c>
      <c r="B438" s="5" t="s">
        <v>1508</v>
      </c>
      <c r="C438" s="5" t="s">
        <v>974</v>
      </c>
      <c r="D438" s="6" t="s">
        <v>796</v>
      </c>
      <c r="E438" s="7" t="s">
        <v>1509</v>
      </c>
    </row>
    <row r="439" spans="1:5" x14ac:dyDescent="0.25">
      <c r="A439" s="4" t="s">
        <v>570</v>
      </c>
      <c r="B439" s="5" t="s">
        <v>1510</v>
      </c>
      <c r="C439" s="5" t="s">
        <v>1511</v>
      </c>
      <c r="D439" s="6" t="s">
        <v>712</v>
      </c>
      <c r="E439" s="7">
        <v>43068</v>
      </c>
    </row>
    <row r="440" spans="1:5" x14ac:dyDescent="0.25">
      <c r="A440" s="4" t="s">
        <v>533</v>
      </c>
      <c r="B440" s="5" t="s">
        <v>1512</v>
      </c>
      <c r="C440" s="5" t="s">
        <v>962</v>
      </c>
      <c r="D440" s="6" t="s">
        <v>963</v>
      </c>
      <c r="E440" s="7">
        <v>20037</v>
      </c>
    </row>
    <row r="441" spans="1:5" x14ac:dyDescent="0.25">
      <c r="A441" s="4" t="s">
        <v>76</v>
      </c>
      <c r="B441" s="5" t="s">
        <v>1513</v>
      </c>
      <c r="C441" s="5" t="s">
        <v>1262</v>
      </c>
      <c r="D441" s="6" t="s">
        <v>712</v>
      </c>
      <c r="E441" s="7">
        <v>44266</v>
      </c>
    </row>
    <row r="442" spans="1:5" x14ac:dyDescent="0.25">
      <c r="A442" s="4" t="s">
        <v>75</v>
      </c>
      <c r="B442" s="5" t="s">
        <v>1514</v>
      </c>
      <c r="C442" s="5" t="s">
        <v>1262</v>
      </c>
      <c r="D442" s="6" t="s">
        <v>712</v>
      </c>
      <c r="E442" s="7">
        <v>44266</v>
      </c>
    </row>
    <row r="443" spans="1:5" x14ac:dyDescent="0.25">
      <c r="A443" s="4" t="s">
        <v>255</v>
      </c>
      <c r="B443" s="5" t="s">
        <v>1515</v>
      </c>
      <c r="C443" s="5" t="s">
        <v>1400</v>
      </c>
      <c r="D443" s="6" t="s">
        <v>947</v>
      </c>
      <c r="E443" s="7">
        <v>63131</v>
      </c>
    </row>
    <row r="444" spans="1:5" x14ac:dyDescent="0.25">
      <c r="A444" s="4" t="s">
        <v>656</v>
      </c>
      <c r="B444" s="5" t="s">
        <v>1516</v>
      </c>
      <c r="C444" s="5" t="s">
        <v>1422</v>
      </c>
      <c r="D444" s="6" t="s">
        <v>751</v>
      </c>
      <c r="E444" s="7">
        <v>20190</v>
      </c>
    </row>
    <row r="445" spans="1:5" x14ac:dyDescent="0.25">
      <c r="A445" s="4" t="s">
        <v>61</v>
      </c>
      <c r="B445" s="5" t="s">
        <v>1517</v>
      </c>
      <c r="C445" s="5" t="s">
        <v>1518</v>
      </c>
      <c r="D445" s="6" t="s">
        <v>787</v>
      </c>
      <c r="E445" s="7">
        <v>34211</v>
      </c>
    </row>
    <row r="446" spans="1:5" x14ac:dyDescent="0.25">
      <c r="A446" s="4" t="s">
        <v>103</v>
      </c>
      <c r="B446" s="5" t="s">
        <v>1519</v>
      </c>
      <c r="C446" s="5" t="s">
        <v>1520</v>
      </c>
      <c r="D446" s="6" t="s">
        <v>751</v>
      </c>
      <c r="E446" s="7">
        <v>22646</v>
      </c>
    </row>
    <row r="447" spans="1:5" x14ac:dyDescent="0.25">
      <c r="A447" s="4" t="s">
        <v>275</v>
      </c>
      <c r="B447" s="5" t="s">
        <v>1521</v>
      </c>
      <c r="C447" s="5" t="s">
        <v>899</v>
      </c>
      <c r="D447" s="6" t="s">
        <v>755</v>
      </c>
      <c r="E447" s="7" t="s">
        <v>1522</v>
      </c>
    </row>
    <row r="448" spans="1:5" x14ac:dyDescent="0.25">
      <c r="A448" s="4" t="s">
        <v>454</v>
      </c>
      <c r="B448" s="5" t="s">
        <v>1523</v>
      </c>
      <c r="C448" s="5" t="s">
        <v>1524</v>
      </c>
      <c r="D448" s="6" t="s">
        <v>803</v>
      </c>
      <c r="E448" s="7" t="s">
        <v>1525</v>
      </c>
    </row>
    <row r="449" spans="1:20" x14ac:dyDescent="0.25">
      <c r="A449" s="4" t="s">
        <v>575</v>
      </c>
      <c r="B449" s="5" t="s">
        <v>1526</v>
      </c>
      <c r="C449" s="5" t="s">
        <v>761</v>
      </c>
      <c r="D449" s="6" t="s">
        <v>712</v>
      </c>
      <c r="E449" s="7">
        <v>43215</v>
      </c>
    </row>
    <row r="450" spans="1:20" x14ac:dyDescent="0.25">
      <c r="A450" s="4" t="s">
        <v>538</v>
      </c>
      <c r="B450" s="1" t="s">
        <v>1894</v>
      </c>
      <c r="C450" s="1" t="s">
        <v>962</v>
      </c>
      <c r="D450" s="13" t="s">
        <v>963</v>
      </c>
      <c r="E450" s="13">
        <v>20005</v>
      </c>
      <c r="L450" s="2"/>
      <c r="M450" s="2"/>
      <c r="N450" s="2"/>
      <c r="O450" s="2"/>
      <c r="P450" s="2"/>
      <c r="Q450" s="2"/>
      <c r="R450" s="2"/>
      <c r="S450" s="2"/>
      <c r="T450" s="2"/>
    </row>
    <row r="451" spans="1:20" x14ac:dyDescent="0.25">
      <c r="A451" s="4" t="s">
        <v>70</v>
      </c>
      <c r="B451" s="5" t="s">
        <v>1527</v>
      </c>
      <c r="C451" s="5" t="s">
        <v>1122</v>
      </c>
      <c r="D451" s="6" t="s">
        <v>796</v>
      </c>
      <c r="E451" s="7">
        <v>10705</v>
      </c>
    </row>
    <row r="452" spans="1:20" x14ac:dyDescent="0.25">
      <c r="A452" s="4" t="s">
        <v>136</v>
      </c>
      <c r="B452" s="1" t="s">
        <v>1895</v>
      </c>
      <c r="C452" s="1" t="s">
        <v>1896</v>
      </c>
      <c r="D452" s="13" t="s">
        <v>755</v>
      </c>
      <c r="E452" s="13">
        <v>47460</v>
      </c>
      <c r="L452" s="2"/>
      <c r="M452" s="2"/>
      <c r="N452" s="2"/>
      <c r="O452" s="2"/>
      <c r="P452" s="2"/>
      <c r="Q452" s="2"/>
      <c r="R452" s="2"/>
      <c r="S452" s="2"/>
      <c r="T452" s="2"/>
    </row>
    <row r="453" spans="1:20" x14ac:dyDescent="0.25">
      <c r="A453" s="4" t="s">
        <v>16</v>
      </c>
      <c r="B453" s="1" t="s">
        <v>1897</v>
      </c>
      <c r="C453" s="1" t="s">
        <v>1898</v>
      </c>
      <c r="D453" s="13" t="s">
        <v>885</v>
      </c>
      <c r="E453" s="13" t="s">
        <v>1899</v>
      </c>
      <c r="F453" s="2"/>
      <c r="G453" s="2"/>
      <c r="H453" s="2"/>
      <c r="I453" s="2"/>
      <c r="J453" s="2"/>
      <c r="K453" s="2"/>
      <c r="L453" s="2"/>
      <c r="M453" s="2"/>
      <c r="N453" s="2"/>
      <c r="O453" s="2"/>
      <c r="P453" s="2"/>
      <c r="Q453" s="2"/>
      <c r="R453" s="2"/>
      <c r="S453" s="2"/>
      <c r="T453" s="2"/>
    </row>
    <row r="454" spans="1:20" x14ac:dyDescent="0.25">
      <c r="A454" s="4" t="s">
        <v>339</v>
      </c>
      <c r="B454" s="1" t="s">
        <v>1900</v>
      </c>
      <c r="C454" s="1" t="s">
        <v>1812</v>
      </c>
      <c r="D454" s="13" t="s">
        <v>712</v>
      </c>
      <c r="E454" s="13">
        <v>44077</v>
      </c>
      <c r="F454" s="2"/>
      <c r="G454" s="2"/>
      <c r="H454" s="2"/>
      <c r="I454" s="2"/>
      <c r="J454" s="2"/>
      <c r="K454" s="2"/>
      <c r="L454" s="2"/>
      <c r="M454" s="2"/>
      <c r="N454" s="2"/>
      <c r="O454" s="2"/>
      <c r="P454" s="2"/>
      <c r="Q454" s="2"/>
      <c r="R454" s="2"/>
      <c r="S454" s="2"/>
      <c r="T454" s="2"/>
    </row>
    <row r="455" spans="1:20" s="10" customFormat="1" x14ac:dyDescent="0.25">
      <c r="A455" s="4" t="s">
        <v>378</v>
      </c>
      <c r="B455" s="1" t="s">
        <v>1901</v>
      </c>
      <c r="C455" s="1" t="s">
        <v>711</v>
      </c>
      <c r="D455" s="13" t="s">
        <v>712</v>
      </c>
      <c r="E455" s="13">
        <v>45217</v>
      </c>
      <c r="F455" s="2"/>
      <c r="G455" s="2"/>
      <c r="H455" s="2"/>
      <c r="I455" s="2"/>
      <c r="J455" s="2"/>
      <c r="K455" s="2"/>
      <c r="L455" s="2"/>
      <c r="M455" s="2"/>
      <c r="N455" s="2"/>
      <c r="O455" s="2"/>
      <c r="P455" s="2"/>
      <c r="Q455" s="2"/>
      <c r="R455" s="2"/>
      <c r="S455" s="2"/>
      <c r="T455" s="2"/>
    </row>
    <row r="456" spans="1:20" x14ac:dyDescent="0.25">
      <c r="A456" s="4" t="s">
        <v>62</v>
      </c>
      <c r="B456" s="5" t="s">
        <v>1528</v>
      </c>
      <c r="C456" s="5" t="s">
        <v>1529</v>
      </c>
      <c r="D456" s="6" t="s">
        <v>877</v>
      </c>
      <c r="E456" s="7">
        <v>37062</v>
      </c>
    </row>
    <row r="457" spans="1:20" x14ac:dyDescent="0.25">
      <c r="A457" s="4" t="s">
        <v>649</v>
      </c>
      <c r="B457" s="5" t="s">
        <v>1530</v>
      </c>
      <c r="C457" s="5" t="s">
        <v>1531</v>
      </c>
      <c r="D457" s="6" t="s">
        <v>803</v>
      </c>
      <c r="E457" s="7">
        <v>93065</v>
      </c>
    </row>
    <row r="458" spans="1:20" x14ac:dyDescent="0.25">
      <c r="A458" s="4" t="s">
        <v>261</v>
      </c>
      <c r="B458" s="1" t="s">
        <v>1902</v>
      </c>
      <c r="C458" s="1" t="s">
        <v>1903</v>
      </c>
      <c r="D458" s="13" t="s">
        <v>741</v>
      </c>
      <c r="E458" s="13">
        <v>60064</v>
      </c>
      <c r="F458" s="2"/>
      <c r="G458" s="2"/>
      <c r="H458" s="2"/>
      <c r="I458" s="2"/>
      <c r="J458" s="2"/>
      <c r="K458" s="2"/>
      <c r="L458" s="2"/>
      <c r="M458" s="2"/>
      <c r="N458" s="2"/>
      <c r="O458" s="2"/>
      <c r="P458" s="2"/>
      <c r="Q458" s="2"/>
      <c r="R458" s="2"/>
      <c r="S458" s="2"/>
      <c r="T458" s="2"/>
    </row>
    <row r="459" spans="1:20" x14ac:dyDescent="0.25">
      <c r="A459" s="4" t="s">
        <v>451</v>
      </c>
      <c r="B459" s="5" t="s">
        <v>1532</v>
      </c>
      <c r="C459" s="5" t="s">
        <v>1533</v>
      </c>
      <c r="D459" s="6" t="s">
        <v>751</v>
      </c>
      <c r="E459" s="7">
        <v>22901</v>
      </c>
    </row>
    <row r="460" spans="1:20" x14ac:dyDescent="0.25">
      <c r="A460" s="4" t="s">
        <v>338</v>
      </c>
      <c r="B460" s="1" t="s">
        <v>1904</v>
      </c>
      <c r="C460" s="1" t="s">
        <v>1905</v>
      </c>
      <c r="D460" s="13" t="s">
        <v>813</v>
      </c>
      <c r="E460" s="17" t="s">
        <v>1906</v>
      </c>
      <c r="K460" s="2"/>
      <c r="L460" s="2"/>
      <c r="M460" s="2"/>
      <c r="N460" s="2"/>
      <c r="O460" s="2"/>
      <c r="P460" s="2"/>
      <c r="Q460" s="2"/>
      <c r="R460" s="2"/>
      <c r="S460" s="2"/>
      <c r="T460" s="2"/>
    </row>
    <row r="461" spans="1:20" x14ac:dyDescent="0.25">
      <c r="A461" s="4" t="s">
        <v>259</v>
      </c>
      <c r="B461" s="1" t="s">
        <v>1907</v>
      </c>
      <c r="C461" s="1" t="s">
        <v>1908</v>
      </c>
      <c r="D461" s="13" t="s">
        <v>885</v>
      </c>
      <c r="E461" s="13">
        <v>15940</v>
      </c>
      <c r="L461" s="2"/>
      <c r="M461" s="2"/>
      <c r="N461" s="2"/>
      <c r="O461" s="2"/>
      <c r="P461" s="2"/>
      <c r="Q461" s="2"/>
      <c r="R461" s="2"/>
      <c r="S461" s="2"/>
      <c r="T461" s="2"/>
    </row>
    <row r="462" spans="1:20" x14ac:dyDescent="0.25">
      <c r="A462" s="4" t="s">
        <v>148</v>
      </c>
      <c r="B462" s="5" t="s">
        <v>1534</v>
      </c>
      <c r="C462" s="5" t="s">
        <v>1535</v>
      </c>
      <c r="D462" s="6" t="s">
        <v>1023</v>
      </c>
      <c r="E462" s="7">
        <v>6880</v>
      </c>
    </row>
    <row r="463" spans="1:20" x14ac:dyDescent="0.25">
      <c r="A463" s="4" t="s">
        <v>35</v>
      </c>
      <c r="B463" s="1" t="s">
        <v>1909</v>
      </c>
      <c r="C463" s="1" t="s">
        <v>962</v>
      </c>
      <c r="D463" s="13" t="s">
        <v>963</v>
      </c>
      <c r="E463" s="13">
        <v>20005</v>
      </c>
      <c r="L463" s="2"/>
      <c r="M463" s="2"/>
      <c r="N463" s="2"/>
      <c r="O463" s="2"/>
      <c r="P463" s="2"/>
      <c r="Q463" s="2"/>
      <c r="R463" s="2"/>
      <c r="S463" s="2"/>
      <c r="T463" s="2"/>
    </row>
    <row r="464" spans="1:20" x14ac:dyDescent="0.25">
      <c r="A464" s="4" t="s">
        <v>183</v>
      </c>
      <c r="B464" s="5" t="s">
        <v>1536</v>
      </c>
      <c r="C464" s="5" t="s">
        <v>952</v>
      </c>
      <c r="D464" s="6" t="s">
        <v>803</v>
      </c>
      <c r="E464" s="7" t="s">
        <v>1537</v>
      </c>
    </row>
    <row r="465" spans="1:20" x14ac:dyDescent="0.25">
      <c r="A465" s="4" t="s">
        <v>606</v>
      </c>
      <c r="B465" s="5" t="s">
        <v>1086</v>
      </c>
      <c r="C465" s="5" t="s">
        <v>1087</v>
      </c>
      <c r="D465" s="6" t="s">
        <v>712</v>
      </c>
      <c r="E465" s="7">
        <v>45202</v>
      </c>
    </row>
    <row r="466" spans="1:20" x14ac:dyDescent="0.25">
      <c r="A466" s="4" t="s">
        <v>13</v>
      </c>
      <c r="B466" s="5" t="s">
        <v>1538</v>
      </c>
      <c r="C466" s="5" t="s">
        <v>711</v>
      </c>
      <c r="D466" s="6" t="s">
        <v>712</v>
      </c>
      <c r="E466" s="7" t="s">
        <v>1539</v>
      </c>
    </row>
    <row r="467" spans="1:20" x14ac:dyDescent="0.25">
      <c r="A467" s="4" t="s">
        <v>595</v>
      </c>
      <c r="B467" s="1" t="s">
        <v>1910</v>
      </c>
      <c r="C467" s="1" t="s">
        <v>1034</v>
      </c>
      <c r="D467" s="13" t="s">
        <v>712</v>
      </c>
      <c r="E467" s="13">
        <v>45402</v>
      </c>
      <c r="L467" s="2"/>
      <c r="M467" s="2"/>
      <c r="N467" s="2"/>
      <c r="O467" s="2"/>
      <c r="P467" s="2"/>
      <c r="Q467" s="2"/>
      <c r="R467" s="2"/>
      <c r="S467" s="2"/>
      <c r="T467" s="2"/>
    </row>
    <row r="468" spans="1:20" x14ac:dyDescent="0.25">
      <c r="A468" s="4" t="s">
        <v>611</v>
      </c>
      <c r="B468" s="1" t="s">
        <v>1911</v>
      </c>
      <c r="C468" s="1" t="s">
        <v>1034</v>
      </c>
      <c r="D468" s="13" t="s">
        <v>712</v>
      </c>
      <c r="E468" s="13">
        <v>45402</v>
      </c>
      <c r="L468" s="2"/>
      <c r="M468" s="2"/>
      <c r="N468" s="2"/>
      <c r="O468" s="2"/>
      <c r="P468" s="2"/>
      <c r="Q468" s="2"/>
      <c r="R468" s="2"/>
      <c r="S468" s="2"/>
      <c r="T468" s="2"/>
    </row>
    <row r="469" spans="1:20" x14ac:dyDescent="0.25">
      <c r="A469" s="4" t="s">
        <v>332</v>
      </c>
      <c r="B469" s="5" t="s">
        <v>1540</v>
      </c>
      <c r="C469" s="5" t="s">
        <v>974</v>
      </c>
      <c r="D469" s="6" t="s">
        <v>796</v>
      </c>
      <c r="E469" s="7">
        <v>10010</v>
      </c>
    </row>
    <row r="470" spans="1:20" x14ac:dyDescent="0.25">
      <c r="A470" s="4" t="s">
        <v>428</v>
      </c>
      <c r="B470" s="1" t="s">
        <v>1912</v>
      </c>
      <c r="C470" s="1" t="s">
        <v>1913</v>
      </c>
      <c r="D470" s="13" t="s">
        <v>712</v>
      </c>
      <c r="E470" s="13">
        <v>44022</v>
      </c>
      <c r="L470" s="2"/>
      <c r="M470" s="2"/>
      <c r="N470" s="2"/>
      <c r="O470" s="2"/>
      <c r="P470" s="2"/>
      <c r="Q470" s="2"/>
      <c r="R470" s="2"/>
      <c r="S470" s="2"/>
      <c r="T470" s="2"/>
    </row>
    <row r="471" spans="1:20" x14ac:dyDescent="0.25">
      <c r="A471" s="4" t="s">
        <v>341</v>
      </c>
      <c r="B471" s="1" t="s">
        <v>1914</v>
      </c>
      <c r="C471" s="1" t="s">
        <v>1915</v>
      </c>
      <c r="D471" s="13" t="s">
        <v>751</v>
      </c>
      <c r="E471" s="13">
        <v>20186</v>
      </c>
      <c r="L471" s="2"/>
      <c r="M471" s="2"/>
      <c r="N471" s="2"/>
      <c r="O471" s="2"/>
      <c r="P471" s="2"/>
      <c r="Q471" s="2"/>
      <c r="R471" s="2"/>
      <c r="S471" s="2"/>
      <c r="T471" s="2"/>
    </row>
    <row r="472" spans="1:20" x14ac:dyDescent="0.25">
      <c r="A472" s="4" t="s">
        <v>640</v>
      </c>
      <c r="B472" s="1" t="s">
        <v>1916</v>
      </c>
      <c r="C472" s="1" t="s">
        <v>1203</v>
      </c>
      <c r="D472" s="13" t="s">
        <v>712</v>
      </c>
      <c r="E472" s="13" t="s">
        <v>1917</v>
      </c>
      <c r="L472" s="2"/>
      <c r="M472" s="2"/>
      <c r="N472" s="2"/>
      <c r="O472" s="2"/>
      <c r="P472" s="2"/>
      <c r="Q472" s="2"/>
      <c r="R472" s="2"/>
      <c r="S472" s="2"/>
      <c r="T472" s="2"/>
    </row>
    <row r="473" spans="1:20" x14ac:dyDescent="0.25">
      <c r="A473" s="4" t="s">
        <v>1957</v>
      </c>
      <c r="B473" s="1" t="s">
        <v>1958</v>
      </c>
      <c r="C473" s="1" t="s">
        <v>1959</v>
      </c>
      <c r="D473" s="13" t="s">
        <v>936</v>
      </c>
      <c r="E473" s="13">
        <v>36104</v>
      </c>
      <c r="L473" s="2"/>
      <c r="M473" s="2"/>
      <c r="N473" s="2"/>
      <c r="O473" s="2"/>
      <c r="P473" s="2"/>
      <c r="Q473" s="2"/>
      <c r="R473" s="2"/>
      <c r="S473" s="2"/>
      <c r="T473" s="2"/>
    </row>
    <row r="474" spans="1:20" x14ac:dyDescent="0.25">
      <c r="A474" s="4" t="s">
        <v>1541</v>
      </c>
      <c r="B474" s="5" t="s">
        <v>1542</v>
      </c>
      <c r="C474" s="5" t="s">
        <v>761</v>
      </c>
      <c r="D474" s="6" t="s">
        <v>712</v>
      </c>
      <c r="E474" s="7">
        <v>43232</v>
      </c>
    </row>
    <row r="475" spans="1:20" x14ac:dyDescent="0.25">
      <c r="A475" s="4" t="s">
        <v>395</v>
      </c>
      <c r="B475" s="5" t="s">
        <v>1543</v>
      </c>
      <c r="C475" s="5" t="s">
        <v>858</v>
      </c>
      <c r="D475" s="6" t="s">
        <v>712</v>
      </c>
      <c r="E475" s="7">
        <v>45502</v>
      </c>
    </row>
    <row r="476" spans="1:20" x14ac:dyDescent="0.25">
      <c r="A476" s="4" t="s">
        <v>443</v>
      </c>
      <c r="B476" s="5" t="s">
        <v>1544</v>
      </c>
      <c r="C476" s="5" t="s">
        <v>1545</v>
      </c>
      <c r="D476" s="6" t="s">
        <v>712</v>
      </c>
      <c r="E476" s="7">
        <v>43528</v>
      </c>
    </row>
    <row r="477" spans="1:20" s="2" customFormat="1" x14ac:dyDescent="0.25">
      <c r="A477" s="4" t="s">
        <v>402</v>
      </c>
      <c r="B477" s="1" t="s">
        <v>857</v>
      </c>
      <c r="C477" s="1" t="s">
        <v>858</v>
      </c>
      <c r="D477" s="15" t="s">
        <v>712</v>
      </c>
      <c r="E477" s="15">
        <v>45501</v>
      </c>
    </row>
    <row r="478" spans="1:20" x14ac:dyDescent="0.25">
      <c r="A478" s="4" t="s">
        <v>396</v>
      </c>
      <c r="B478" s="5" t="s">
        <v>1546</v>
      </c>
      <c r="C478" s="5" t="s">
        <v>858</v>
      </c>
      <c r="D478" s="6" t="s">
        <v>712</v>
      </c>
      <c r="E478" s="7">
        <v>45506</v>
      </c>
    </row>
    <row r="479" spans="1:20" x14ac:dyDescent="0.25">
      <c r="A479" s="4" t="s">
        <v>440</v>
      </c>
      <c r="B479" s="5" t="s">
        <v>1547</v>
      </c>
      <c r="C479" s="5" t="s">
        <v>870</v>
      </c>
      <c r="D479" s="6" t="s">
        <v>712</v>
      </c>
      <c r="E479" s="7">
        <v>43613</v>
      </c>
    </row>
    <row r="480" spans="1:20" x14ac:dyDescent="0.25">
      <c r="A480" s="4" t="s">
        <v>559</v>
      </c>
      <c r="B480" s="1" t="s">
        <v>1547</v>
      </c>
      <c r="C480" s="1" t="s">
        <v>870</v>
      </c>
      <c r="D480" s="15" t="s">
        <v>712</v>
      </c>
      <c r="E480" s="15">
        <v>43613</v>
      </c>
    </row>
    <row r="481" spans="1:5" x14ac:dyDescent="0.25">
      <c r="A481" s="4" t="s">
        <v>599</v>
      </c>
      <c r="B481" s="1" t="s">
        <v>1918</v>
      </c>
      <c r="C481" s="1" t="s">
        <v>1919</v>
      </c>
      <c r="D481" s="15" t="s">
        <v>916</v>
      </c>
      <c r="E481" s="15">
        <v>52244</v>
      </c>
    </row>
    <row r="482" spans="1:5" x14ac:dyDescent="0.25">
      <c r="A482" s="4" t="s">
        <v>1548</v>
      </c>
      <c r="B482" s="5" t="s">
        <v>1549</v>
      </c>
      <c r="C482" s="5" t="s">
        <v>1084</v>
      </c>
      <c r="D482" s="6" t="s">
        <v>712</v>
      </c>
      <c r="E482" s="7">
        <v>44224</v>
      </c>
    </row>
    <row r="483" spans="1:5" x14ac:dyDescent="0.25">
      <c r="A483" s="4" t="s">
        <v>1550</v>
      </c>
      <c r="B483" s="5" t="s">
        <v>1551</v>
      </c>
      <c r="C483" s="5" t="s">
        <v>1552</v>
      </c>
      <c r="D483" s="6" t="s">
        <v>894</v>
      </c>
      <c r="E483" s="7">
        <v>3603</v>
      </c>
    </row>
    <row r="484" spans="1:5" x14ac:dyDescent="0.25">
      <c r="A484" s="4" t="s">
        <v>352</v>
      </c>
      <c r="B484" s="1" t="s">
        <v>1920</v>
      </c>
      <c r="C484" s="1" t="s">
        <v>1429</v>
      </c>
      <c r="D484" s="15" t="s">
        <v>751</v>
      </c>
      <c r="E484" s="15">
        <v>22216</v>
      </c>
    </row>
    <row r="485" spans="1:5" x14ac:dyDescent="0.25">
      <c r="A485" s="4" t="s">
        <v>460</v>
      </c>
      <c r="B485" s="5" t="s">
        <v>1553</v>
      </c>
      <c r="C485" s="5" t="s">
        <v>1429</v>
      </c>
      <c r="D485" s="6" t="s">
        <v>751</v>
      </c>
      <c r="E485" s="7">
        <v>22203</v>
      </c>
    </row>
    <row r="486" spans="1:5" x14ac:dyDescent="0.25">
      <c r="A486" s="4" t="s">
        <v>556</v>
      </c>
      <c r="B486" s="5" t="s">
        <v>1554</v>
      </c>
      <c r="C486" s="5" t="s">
        <v>1555</v>
      </c>
      <c r="D486" s="6" t="s">
        <v>885</v>
      </c>
      <c r="E486" s="7">
        <v>17545</v>
      </c>
    </row>
    <row r="487" spans="1:5" x14ac:dyDescent="0.25">
      <c r="A487" s="4" t="s">
        <v>458</v>
      </c>
      <c r="B487" s="5" t="s">
        <v>1119</v>
      </c>
      <c r="C487" s="5" t="s">
        <v>962</v>
      </c>
      <c r="D487" s="6" t="s">
        <v>963</v>
      </c>
      <c r="E487" s="7">
        <v>20006</v>
      </c>
    </row>
    <row r="488" spans="1:5" x14ac:dyDescent="0.25">
      <c r="A488" s="4" t="s">
        <v>129</v>
      </c>
      <c r="B488" s="1" t="s">
        <v>1921</v>
      </c>
      <c r="C488" s="1" t="s">
        <v>1922</v>
      </c>
      <c r="D488" s="15" t="s">
        <v>1023</v>
      </c>
      <c r="E488" s="16" t="s">
        <v>1923</v>
      </c>
    </row>
    <row r="489" spans="1:5" x14ac:dyDescent="0.25">
      <c r="A489" s="4" t="s">
        <v>359</v>
      </c>
      <c r="B489" s="1" t="s">
        <v>1924</v>
      </c>
      <c r="C489" s="1" t="s">
        <v>1925</v>
      </c>
      <c r="D489" s="15" t="s">
        <v>707</v>
      </c>
      <c r="E489" s="15">
        <v>75771</v>
      </c>
    </row>
    <row r="490" spans="1:5" x14ac:dyDescent="0.25">
      <c r="A490" s="4" t="s">
        <v>350</v>
      </c>
      <c r="B490" s="5" t="s">
        <v>1556</v>
      </c>
      <c r="C490" s="5" t="s">
        <v>997</v>
      </c>
      <c r="D490" s="6" t="s">
        <v>998</v>
      </c>
      <c r="E490" s="7">
        <v>80202</v>
      </c>
    </row>
    <row r="491" spans="1:5" x14ac:dyDescent="0.25">
      <c r="A491" s="4" t="s">
        <v>1926</v>
      </c>
      <c r="B491" s="1" t="s">
        <v>1927</v>
      </c>
      <c r="C491" s="1" t="s">
        <v>974</v>
      </c>
      <c r="D491" s="15" t="s">
        <v>796</v>
      </c>
      <c r="E491" s="15">
        <v>10004</v>
      </c>
    </row>
    <row r="492" spans="1:5" x14ac:dyDescent="0.25">
      <c r="A492" s="4" t="s">
        <v>229</v>
      </c>
      <c r="B492" s="5" t="s">
        <v>1557</v>
      </c>
      <c r="C492" s="5" t="s">
        <v>1558</v>
      </c>
      <c r="D492" s="6" t="s">
        <v>712</v>
      </c>
      <c r="E492" s="7">
        <v>44883</v>
      </c>
    </row>
    <row r="493" spans="1:5" x14ac:dyDescent="0.25">
      <c r="A493" s="4" t="s">
        <v>126</v>
      </c>
      <c r="B493" s="1" t="s">
        <v>1928</v>
      </c>
      <c r="C493" s="1" t="s">
        <v>1929</v>
      </c>
      <c r="D493" s="15" t="s">
        <v>877</v>
      </c>
      <c r="E493" s="15">
        <v>37763</v>
      </c>
    </row>
    <row r="494" spans="1:5" x14ac:dyDescent="0.25">
      <c r="A494" s="4" t="s">
        <v>670</v>
      </c>
      <c r="B494" s="5" t="s">
        <v>1468</v>
      </c>
      <c r="C494" s="5" t="s">
        <v>761</v>
      </c>
      <c r="D494" s="6" t="s">
        <v>712</v>
      </c>
      <c r="E494" s="7">
        <v>43229</v>
      </c>
    </row>
    <row r="495" spans="1:5" x14ac:dyDescent="0.25">
      <c r="A495" s="4" t="s">
        <v>411</v>
      </c>
      <c r="B495" s="5" t="s">
        <v>1559</v>
      </c>
      <c r="C495" s="5" t="s">
        <v>861</v>
      </c>
      <c r="D495" s="6" t="s">
        <v>712</v>
      </c>
      <c r="E495" s="7">
        <v>44485</v>
      </c>
    </row>
    <row r="496" spans="1:5" ht="14.25" customHeight="1" x14ac:dyDescent="0.25">
      <c r="A496" s="4" t="s">
        <v>360</v>
      </c>
      <c r="B496" s="4" t="s">
        <v>1960</v>
      </c>
      <c r="C496" s="19" t="s">
        <v>962</v>
      </c>
      <c r="D496" s="18" t="s">
        <v>963</v>
      </c>
      <c r="E496" s="18">
        <v>20006</v>
      </c>
    </row>
    <row r="497" spans="1:5" x14ac:dyDescent="0.25">
      <c r="A497" s="4" t="s">
        <v>192</v>
      </c>
      <c r="B497" s="5" t="s">
        <v>1562</v>
      </c>
      <c r="C497" s="5" t="s">
        <v>853</v>
      </c>
      <c r="D497" s="6" t="s">
        <v>813</v>
      </c>
      <c r="E497" s="7">
        <v>2138</v>
      </c>
    </row>
    <row r="498" spans="1:5" x14ac:dyDescent="0.25">
      <c r="A498" s="4" t="s">
        <v>642</v>
      </c>
      <c r="B498" s="5" t="s">
        <v>1563</v>
      </c>
      <c r="C498" s="5" t="s">
        <v>812</v>
      </c>
      <c r="D498" s="6" t="s">
        <v>813</v>
      </c>
      <c r="E498" s="7">
        <v>2108</v>
      </c>
    </row>
    <row r="499" spans="1:5" x14ac:dyDescent="0.25">
      <c r="A499" s="4" t="s">
        <v>268</v>
      </c>
      <c r="B499" s="5" t="s">
        <v>1564</v>
      </c>
      <c r="C499" s="5" t="s">
        <v>1565</v>
      </c>
      <c r="D499" s="6" t="s">
        <v>796</v>
      </c>
      <c r="E499" s="7">
        <v>11746</v>
      </c>
    </row>
    <row r="500" spans="1:5" x14ac:dyDescent="0.25">
      <c r="A500" s="4" t="s">
        <v>507</v>
      </c>
      <c r="B500" s="1" t="s">
        <v>1930</v>
      </c>
      <c r="C500" s="1" t="s">
        <v>962</v>
      </c>
      <c r="D500" s="15" t="s">
        <v>963</v>
      </c>
      <c r="E500" s="13" t="s">
        <v>1931</v>
      </c>
    </row>
    <row r="501" spans="1:5" x14ac:dyDescent="0.25">
      <c r="A501" s="4" t="s">
        <v>618</v>
      </c>
      <c r="B501" s="1" t="s">
        <v>1932</v>
      </c>
      <c r="C501" s="1" t="s">
        <v>962</v>
      </c>
      <c r="D501" s="15" t="s">
        <v>963</v>
      </c>
      <c r="E501" s="15">
        <v>20036</v>
      </c>
    </row>
    <row r="502" spans="1:5" x14ac:dyDescent="0.25">
      <c r="A502" s="4" t="s">
        <v>248</v>
      </c>
      <c r="B502" s="1" t="s">
        <v>1933</v>
      </c>
      <c r="C502" s="1" t="s">
        <v>1934</v>
      </c>
      <c r="D502" s="15" t="s">
        <v>803</v>
      </c>
      <c r="E502" s="15">
        <v>93531</v>
      </c>
    </row>
    <row r="503" spans="1:5" x14ac:dyDescent="0.25">
      <c r="A503" s="4" t="s">
        <v>547</v>
      </c>
      <c r="B503" s="5" t="s">
        <v>1566</v>
      </c>
      <c r="C503" s="5" t="s">
        <v>962</v>
      </c>
      <c r="D503" s="6" t="s">
        <v>963</v>
      </c>
      <c r="E503" s="7">
        <v>20006</v>
      </c>
    </row>
    <row r="504" spans="1:5" x14ac:dyDescent="0.25">
      <c r="A504" s="4" t="s">
        <v>1567</v>
      </c>
      <c r="B504" s="5" t="s">
        <v>1560</v>
      </c>
      <c r="C504" s="5" t="s">
        <v>1561</v>
      </c>
      <c r="D504" s="6" t="s">
        <v>1023</v>
      </c>
      <c r="E504" s="7">
        <v>6320</v>
      </c>
    </row>
    <row r="505" spans="1:5" x14ac:dyDescent="0.25">
      <c r="A505" s="4" t="s">
        <v>90</v>
      </c>
      <c r="B505" s="5" t="s">
        <v>1568</v>
      </c>
      <c r="C505" s="5" t="s">
        <v>974</v>
      </c>
      <c r="D505" s="6" t="s">
        <v>796</v>
      </c>
      <c r="E505" s="7">
        <v>10038</v>
      </c>
    </row>
    <row r="506" spans="1:5" x14ac:dyDescent="0.25">
      <c r="A506" s="4" t="s">
        <v>174</v>
      </c>
      <c r="B506" s="5" t="s">
        <v>1961</v>
      </c>
      <c r="C506" s="5" t="s">
        <v>1420</v>
      </c>
      <c r="D506" s="6" t="s">
        <v>998</v>
      </c>
      <c r="E506" s="7">
        <v>80909</v>
      </c>
    </row>
    <row r="507" spans="1:5" x14ac:dyDescent="0.25">
      <c r="A507" s="4" t="s">
        <v>600</v>
      </c>
      <c r="B507" s="5" t="s">
        <v>1569</v>
      </c>
      <c r="C507" s="5" t="s">
        <v>1570</v>
      </c>
      <c r="D507" s="6" t="s">
        <v>998</v>
      </c>
      <c r="E507" s="7">
        <v>80301</v>
      </c>
    </row>
    <row r="508" spans="1:5" x14ac:dyDescent="0.25">
      <c r="A508" s="4" t="s">
        <v>601</v>
      </c>
      <c r="B508" s="5" t="s">
        <v>1571</v>
      </c>
      <c r="C508" s="5" t="s">
        <v>1572</v>
      </c>
      <c r="D508" s="6" t="s">
        <v>1023</v>
      </c>
      <c r="E508" s="7" t="s">
        <v>1573</v>
      </c>
    </row>
    <row r="509" spans="1:5" x14ac:dyDescent="0.25">
      <c r="A509" s="4" t="s">
        <v>612</v>
      </c>
      <c r="B509" s="1" t="s">
        <v>1935</v>
      </c>
      <c r="C509" s="1" t="s">
        <v>1893</v>
      </c>
      <c r="D509" s="15" t="s">
        <v>1936</v>
      </c>
      <c r="E509" s="15">
        <v>38655</v>
      </c>
    </row>
    <row r="510" spans="1:5" x14ac:dyDescent="0.25">
      <c r="A510" s="4" t="s">
        <v>1574</v>
      </c>
      <c r="B510" s="5" t="s">
        <v>1302</v>
      </c>
      <c r="C510" s="5" t="s">
        <v>962</v>
      </c>
      <c r="D510" s="6" t="s">
        <v>963</v>
      </c>
      <c r="E510" s="7">
        <v>20006</v>
      </c>
    </row>
    <row r="511" spans="1:5" x14ac:dyDescent="0.25">
      <c r="A511" s="4" t="s">
        <v>307</v>
      </c>
      <c r="B511" s="5" t="s">
        <v>1575</v>
      </c>
      <c r="C511" s="5" t="s">
        <v>1576</v>
      </c>
      <c r="D511" s="6" t="s">
        <v>712</v>
      </c>
      <c r="E511" s="7">
        <v>44130</v>
      </c>
    </row>
    <row r="512" spans="1:5" x14ac:dyDescent="0.25">
      <c r="A512" s="4" t="s">
        <v>589</v>
      </c>
      <c r="B512" s="5" t="s">
        <v>1577</v>
      </c>
      <c r="C512" s="5" t="s">
        <v>1578</v>
      </c>
      <c r="D512" s="6" t="s">
        <v>712</v>
      </c>
      <c r="E512" s="7">
        <v>44089</v>
      </c>
    </row>
    <row r="513" spans="1:5" x14ac:dyDescent="0.25">
      <c r="A513" s="4" t="s">
        <v>686</v>
      </c>
      <c r="B513" s="5" t="s">
        <v>1579</v>
      </c>
      <c r="C513" s="5" t="s">
        <v>1580</v>
      </c>
      <c r="D513" s="6" t="s">
        <v>921</v>
      </c>
      <c r="E513" s="7" t="s">
        <v>1581</v>
      </c>
    </row>
    <row r="514" spans="1:5" x14ac:dyDescent="0.25">
      <c r="A514" s="4" t="s">
        <v>637</v>
      </c>
      <c r="B514" s="5" t="s">
        <v>1582</v>
      </c>
      <c r="C514" s="5" t="s">
        <v>815</v>
      </c>
      <c r="D514" s="6" t="s">
        <v>712</v>
      </c>
      <c r="E514" s="7">
        <v>44705</v>
      </c>
    </row>
    <row r="515" spans="1:5" x14ac:dyDescent="0.25">
      <c r="A515" s="4" t="s">
        <v>464</v>
      </c>
      <c r="B515" s="5" t="s">
        <v>1583</v>
      </c>
      <c r="C515" s="5" t="s">
        <v>948</v>
      </c>
      <c r="D515" s="6" t="s">
        <v>947</v>
      </c>
      <c r="E515" s="7">
        <v>64111</v>
      </c>
    </row>
    <row r="516" spans="1:5" x14ac:dyDescent="0.25">
      <c r="A516" s="4" t="s">
        <v>50</v>
      </c>
      <c r="B516" s="5" t="s">
        <v>1584</v>
      </c>
      <c r="C516" s="5" t="s">
        <v>1585</v>
      </c>
      <c r="D516" s="6" t="s">
        <v>1030</v>
      </c>
      <c r="E516" s="7">
        <v>20910</v>
      </c>
    </row>
    <row r="517" spans="1:5" x14ac:dyDescent="0.25">
      <c r="A517" s="4" t="s">
        <v>12</v>
      </c>
      <c r="B517" s="5" t="s">
        <v>1586</v>
      </c>
      <c r="C517" s="5" t="s">
        <v>711</v>
      </c>
      <c r="D517" s="6" t="s">
        <v>712</v>
      </c>
      <c r="E517" s="7">
        <v>45215</v>
      </c>
    </row>
    <row r="518" spans="1:5" x14ac:dyDescent="0.25">
      <c r="A518" s="4" t="s">
        <v>1587</v>
      </c>
      <c r="B518" s="5" t="s">
        <v>1588</v>
      </c>
      <c r="C518" s="5" t="s">
        <v>1589</v>
      </c>
      <c r="D518" s="6" t="s">
        <v>741</v>
      </c>
      <c r="E518" s="7" t="s">
        <v>1590</v>
      </c>
    </row>
    <row r="519" spans="1:5" x14ac:dyDescent="0.25">
      <c r="A519" s="4" t="s">
        <v>438</v>
      </c>
      <c r="B519" s="5" t="s">
        <v>1591</v>
      </c>
      <c r="C519" s="5" t="s">
        <v>870</v>
      </c>
      <c r="D519" s="6" t="s">
        <v>712</v>
      </c>
      <c r="E519" s="7">
        <v>43605</v>
      </c>
    </row>
    <row r="520" spans="1:5" x14ac:dyDescent="0.25">
      <c r="A520" s="4" t="s">
        <v>251</v>
      </c>
      <c r="B520" s="5" t="s">
        <v>1592</v>
      </c>
      <c r="C520" s="5" t="s">
        <v>1593</v>
      </c>
      <c r="D520" s="6" t="s">
        <v>1359</v>
      </c>
      <c r="E520" s="7" t="s">
        <v>1594</v>
      </c>
    </row>
    <row r="521" spans="1:5" x14ac:dyDescent="0.25">
      <c r="A521" s="4" t="s">
        <v>1595</v>
      </c>
      <c r="B521" s="5" t="s">
        <v>1180</v>
      </c>
      <c r="C521" s="5" t="s">
        <v>761</v>
      </c>
      <c r="D521" s="6" t="s">
        <v>712</v>
      </c>
      <c r="E521" s="7">
        <v>43215</v>
      </c>
    </row>
    <row r="522" spans="1:5" x14ac:dyDescent="0.25">
      <c r="A522" s="4" t="s">
        <v>536</v>
      </c>
      <c r="B522" s="1" t="s">
        <v>1937</v>
      </c>
      <c r="C522" s="1" t="s">
        <v>1938</v>
      </c>
      <c r="D522" s="15" t="s">
        <v>722</v>
      </c>
      <c r="E522" s="15">
        <v>55114</v>
      </c>
    </row>
    <row r="523" spans="1:5" x14ac:dyDescent="0.25">
      <c r="A523" s="4" t="s">
        <v>189</v>
      </c>
      <c r="B523" s="5" t="s">
        <v>1596</v>
      </c>
      <c r="C523" s="5" t="s">
        <v>997</v>
      </c>
      <c r="D523" s="6" t="s">
        <v>998</v>
      </c>
      <c r="E523" s="7">
        <v>80212</v>
      </c>
    </row>
    <row r="524" spans="1:5" x14ac:dyDescent="0.25">
      <c r="A524" s="4" t="s">
        <v>25</v>
      </c>
      <c r="B524" s="5" t="s">
        <v>1597</v>
      </c>
      <c r="C524" s="5" t="s">
        <v>1598</v>
      </c>
      <c r="D524" s="6" t="s">
        <v>741</v>
      </c>
      <c r="E524" s="7" t="s">
        <v>1599</v>
      </c>
    </row>
    <row r="525" spans="1:5" x14ac:dyDescent="0.25">
      <c r="A525" s="4" t="s">
        <v>562</v>
      </c>
      <c r="B525" s="1" t="s">
        <v>1939</v>
      </c>
      <c r="C525" s="1" t="s">
        <v>870</v>
      </c>
      <c r="D525" s="15" t="s">
        <v>712</v>
      </c>
      <c r="E525" s="13" t="s">
        <v>1940</v>
      </c>
    </row>
    <row r="526" spans="1:5" x14ac:dyDescent="0.25">
      <c r="A526" s="4" t="s">
        <v>102</v>
      </c>
      <c r="B526" s="5" t="s">
        <v>1600</v>
      </c>
      <c r="C526" s="5" t="s">
        <v>962</v>
      </c>
      <c r="D526" s="6" t="s">
        <v>963</v>
      </c>
      <c r="E526" s="7" t="s">
        <v>1601</v>
      </c>
    </row>
    <row r="527" spans="1:5" x14ac:dyDescent="0.25">
      <c r="A527" s="4" t="s">
        <v>306</v>
      </c>
      <c r="B527" s="5" t="s">
        <v>1602</v>
      </c>
      <c r="C527" s="5" t="s">
        <v>1603</v>
      </c>
      <c r="D527" s="6" t="s">
        <v>712</v>
      </c>
      <c r="E527" s="7">
        <v>44094</v>
      </c>
    </row>
    <row r="528" spans="1:5" x14ac:dyDescent="0.25">
      <c r="A528" s="4" t="s">
        <v>68</v>
      </c>
      <c r="B528" s="5" t="s">
        <v>1604</v>
      </c>
      <c r="C528" s="5" t="s">
        <v>1605</v>
      </c>
      <c r="D528" s="6" t="s">
        <v>787</v>
      </c>
      <c r="E528" s="7">
        <v>33313</v>
      </c>
    </row>
    <row r="529" spans="1:5" x14ac:dyDescent="0.25">
      <c r="A529" s="4" t="s">
        <v>535</v>
      </c>
      <c r="B529" s="1" t="s">
        <v>1941</v>
      </c>
      <c r="C529" s="1" t="s">
        <v>962</v>
      </c>
      <c r="D529" s="15" t="s">
        <v>963</v>
      </c>
      <c r="E529" s="15">
        <v>20008</v>
      </c>
    </row>
    <row r="530" spans="1:5" x14ac:dyDescent="0.25">
      <c r="A530" s="4" t="s">
        <v>560</v>
      </c>
      <c r="B530" s="1" t="s">
        <v>1942</v>
      </c>
      <c r="C530" s="1" t="s">
        <v>1943</v>
      </c>
      <c r="D530" s="15" t="s">
        <v>712</v>
      </c>
      <c r="E530" s="15">
        <v>43402</v>
      </c>
    </row>
    <row r="531" spans="1:5" x14ac:dyDescent="0.25">
      <c r="A531" s="4" t="s">
        <v>679</v>
      </c>
      <c r="B531" s="1" t="s">
        <v>1944</v>
      </c>
      <c r="C531" s="1" t="s">
        <v>962</v>
      </c>
      <c r="D531" s="15" t="s">
        <v>963</v>
      </c>
      <c r="E531" s="15">
        <v>20006</v>
      </c>
    </row>
    <row r="532" spans="1:5" x14ac:dyDescent="0.25">
      <c r="A532" s="4" t="s">
        <v>462</v>
      </c>
      <c r="B532" s="5" t="s">
        <v>1606</v>
      </c>
      <c r="C532" s="5" t="s">
        <v>1080</v>
      </c>
      <c r="D532" s="6" t="s">
        <v>1030</v>
      </c>
      <c r="E532" s="7" t="s">
        <v>1607</v>
      </c>
    </row>
    <row r="533" spans="1:5" x14ac:dyDescent="0.25">
      <c r="A533" s="4" t="s">
        <v>88</v>
      </c>
      <c r="B533" s="5" t="s">
        <v>1002</v>
      </c>
      <c r="C533" s="5" t="s">
        <v>1608</v>
      </c>
      <c r="D533" s="6" t="s">
        <v>874</v>
      </c>
      <c r="E533" s="7">
        <v>85202</v>
      </c>
    </row>
    <row r="534" spans="1:5" x14ac:dyDescent="0.25">
      <c r="A534" s="4" t="s">
        <v>1725</v>
      </c>
      <c r="B534" s="1" t="s">
        <v>1945</v>
      </c>
      <c r="C534" s="1" t="s">
        <v>786</v>
      </c>
      <c r="D534" s="15" t="s">
        <v>787</v>
      </c>
      <c r="E534" s="15">
        <v>33301</v>
      </c>
    </row>
    <row r="535" spans="1:5" x14ac:dyDescent="0.25">
      <c r="A535" s="4" t="s">
        <v>551</v>
      </c>
      <c r="B535" s="5" t="s">
        <v>1609</v>
      </c>
      <c r="C535" s="5" t="s">
        <v>884</v>
      </c>
      <c r="D535" s="6" t="s">
        <v>885</v>
      </c>
      <c r="E535" s="7">
        <v>15213</v>
      </c>
    </row>
    <row r="536" spans="1:5" x14ac:dyDescent="0.25">
      <c r="A536" s="4" t="s">
        <v>162</v>
      </c>
      <c r="B536" s="5" t="s">
        <v>1610</v>
      </c>
      <c r="C536" s="5" t="s">
        <v>1611</v>
      </c>
      <c r="D536" s="6" t="s">
        <v>1612</v>
      </c>
      <c r="E536" s="7">
        <v>59715</v>
      </c>
    </row>
    <row r="537" spans="1:5" x14ac:dyDescent="0.25">
      <c r="A537" s="4" t="s">
        <v>579</v>
      </c>
      <c r="B537" s="1" t="s">
        <v>1946</v>
      </c>
      <c r="C537" s="1" t="s">
        <v>952</v>
      </c>
      <c r="D537" s="15" t="s">
        <v>803</v>
      </c>
      <c r="E537" s="15">
        <v>94104</v>
      </c>
    </row>
    <row r="538" spans="1:5" x14ac:dyDescent="0.25">
      <c r="A538" s="4" t="s">
        <v>48</v>
      </c>
      <c r="B538" s="5" t="s">
        <v>1613</v>
      </c>
      <c r="C538" s="5" t="s">
        <v>1072</v>
      </c>
      <c r="D538" s="6" t="s">
        <v>877</v>
      </c>
      <c r="E538" s="7">
        <v>37923</v>
      </c>
    </row>
    <row r="539" spans="1:5" x14ac:dyDescent="0.25">
      <c r="A539" s="4" t="s">
        <v>354</v>
      </c>
      <c r="B539" s="1" t="s">
        <v>1947</v>
      </c>
      <c r="C539" s="1" t="s">
        <v>1004</v>
      </c>
      <c r="D539" s="15" t="s">
        <v>877</v>
      </c>
      <c r="E539" s="15">
        <v>38133</v>
      </c>
    </row>
  </sheetData>
  <pageMargins left="0.7" right="0.7" top="0.75" bottom="0.75" header="0.3" footer="0.3"/>
  <pageSetup scale="59" fitToHeight="22" orientation="landscape" r:id="rId1"/>
  <ignoredErrors>
    <ignoredError sqref="E5 E106 E372 E427 E460 E48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vt:lpstr>
      <vt:lpstr>Sorted By Solicitor Name</vt:lpstr>
      <vt:lpstr>Sorted By Charity Name</vt:lpstr>
      <vt:lpstr>Sorted by $ Amt Kept by Charity</vt:lpstr>
      <vt:lpstr>Sorted by % Kept by Charity</vt:lpstr>
      <vt:lpstr>Solicitor Address</vt:lpstr>
      <vt:lpstr>Charity Addresses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A. Jamieson</dc:creator>
  <cp:lastModifiedBy>AGO</cp:lastModifiedBy>
  <cp:lastPrinted>2013-12-11T18:10:26Z</cp:lastPrinted>
  <dcterms:created xsi:type="dcterms:W3CDTF">2013-11-22T13:56:46Z</dcterms:created>
  <dcterms:modified xsi:type="dcterms:W3CDTF">2014-01-02T20:34:20Z</dcterms:modified>
</cp:coreProperties>
</file>