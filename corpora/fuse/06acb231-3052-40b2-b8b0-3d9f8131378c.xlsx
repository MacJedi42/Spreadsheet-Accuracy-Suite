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360" yWindow="15" windowWidth="15480" windowHeight="10170" tabRatio="585"/>
  </bookViews>
  <sheets>
    <sheet name="PTA Checksheet" sheetId="3" r:id="rId1"/>
    <sheet name="Compatibility Report" sheetId="4" r:id="rId2"/>
  </sheets>
  <definedNames>
    <definedName name="_">'PTA Checksheet'!$I$11</definedName>
    <definedName name="_xlnm.Print_Area" localSheetId="0">'PTA Checksheet'!$B$2:$X$38</definedName>
  </definedNames>
  <calcPr calcId="145621"/>
</workbook>
</file>

<file path=xl/calcChain.xml><?xml version="1.0" encoding="utf-8"?>
<calcChain xmlns="http://schemas.openxmlformats.org/spreadsheetml/2006/main">
  <c r="H11" i="3" l="1"/>
  <c r="S27" i="3"/>
  <c r="S25" i="3"/>
  <c r="S23" i="3"/>
  <c r="S21" i="3"/>
  <c r="S19" i="3"/>
  <c r="S17" i="3"/>
  <c r="S15" i="3"/>
  <c r="S13" i="3"/>
  <c r="S11" i="3"/>
  <c r="S9" i="3"/>
  <c r="E33" i="3" s="1"/>
  <c r="H27" i="3"/>
  <c r="H25" i="3"/>
  <c r="H23" i="3"/>
  <c r="H21" i="3"/>
  <c r="H19" i="3"/>
  <c r="H17" i="3"/>
  <c r="H15" i="3"/>
  <c r="H9" i="3"/>
  <c r="E31" i="3" s="1"/>
  <c r="H13" i="3"/>
  <c r="G21" i="3"/>
  <c r="Z57" i="3"/>
  <c r="Z27" i="3"/>
  <c r="Z21" i="3"/>
  <c r="Z15" i="3"/>
  <c r="U27" i="3"/>
  <c r="V27" i="3" s="1"/>
  <c r="U25" i="3"/>
  <c r="V25" i="3" s="1"/>
  <c r="U23" i="3"/>
  <c r="U21" i="3"/>
  <c r="V21" i="3" s="1"/>
  <c r="U19" i="3"/>
  <c r="U17" i="3"/>
  <c r="U15" i="3"/>
  <c r="V15" i="3" s="1"/>
  <c r="U13" i="3"/>
  <c r="U11" i="3"/>
  <c r="U9" i="3"/>
  <c r="V9" i="3" s="1"/>
  <c r="F9" i="3"/>
  <c r="G9" i="3"/>
  <c r="F10" i="3"/>
  <c r="G10" i="3"/>
  <c r="F11" i="3"/>
  <c r="G11" i="3"/>
  <c r="F12" i="3"/>
  <c r="G12" i="3"/>
  <c r="F13" i="3"/>
  <c r="G13" i="3"/>
  <c r="F14" i="3"/>
  <c r="G14" i="3"/>
  <c r="F15" i="3"/>
  <c r="G15" i="3"/>
  <c r="F16" i="3"/>
  <c r="G16" i="3"/>
  <c r="F17" i="3"/>
  <c r="G17" i="3"/>
  <c r="F18" i="3"/>
  <c r="G18" i="3"/>
  <c r="F19" i="3"/>
  <c r="G19" i="3"/>
  <c r="F20" i="3"/>
  <c r="G20" i="3"/>
  <c r="F21" i="3"/>
  <c r="F22" i="3"/>
  <c r="G22" i="3"/>
  <c r="F23" i="3"/>
  <c r="G23" i="3"/>
  <c r="F24" i="3"/>
  <c r="G24" i="3"/>
  <c r="F25" i="3"/>
  <c r="G25" i="3"/>
  <c r="F26" i="3"/>
  <c r="G26" i="3"/>
  <c r="F27" i="3"/>
  <c r="G27"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J27" i="3"/>
  <c r="K27" i="3" s="1"/>
  <c r="J25" i="3"/>
  <c r="K25" i="3" s="1"/>
  <c r="J23" i="3"/>
  <c r="K23" i="3" s="1"/>
  <c r="J21" i="3"/>
  <c r="K21" i="3" s="1"/>
  <c r="J19" i="3"/>
  <c r="K19" i="3" s="1"/>
  <c r="J17" i="3"/>
  <c r="K17" i="3" s="1"/>
  <c r="J15" i="3"/>
  <c r="K15" i="3" s="1"/>
  <c r="J13" i="3"/>
  <c r="K13" i="3" s="1"/>
  <c r="J11" i="3"/>
  <c r="K11" i="3" s="1"/>
  <c r="J9" i="3"/>
  <c r="V23" i="3" l="1"/>
  <c r="V19" i="3"/>
  <c r="AA47" i="3"/>
  <c r="AA55" i="3"/>
  <c r="K9" i="3"/>
  <c r="AA51" i="3"/>
  <c r="Z29" i="3"/>
  <c r="V13" i="3"/>
  <c r="V11" i="3"/>
  <c r="V17" i="3"/>
  <c r="G33" i="3"/>
  <c r="G31" i="3"/>
  <c r="AA50" i="3" l="1"/>
  <c r="E32" i="3" s="1"/>
  <c r="AA46" i="3"/>
  <c r="E37" i="3" s="1"/>
  <c r="AJ21" i="3"/>
  <c r="AA54" i="3"/>
  <c r="E34" i="3" s="1"/>
  <c r="E35" i="3"/>
  <c r="Z30" i="3"/>
  <c r="AJ23" i="3" s="1"/>
</calcChain>
</file>

<file path=xl/comments1.xml><?xml version="1.0" encoding="utf-8"?>
<comments xmlns="http://schemas.openxmlformats.org/spreadsheetml/2006/main">
  <authors>
    <author>GGOVER0001</author>
  </authors>
  <commentList>
    <comment ref="E9" authorId="0">
      <text>
        <r>
          <rPr>
            <b/>
            <sz val="10"/>
            <color indexed="81"/>
            <rFont val="Arial Narrow"/>
            <family val="2"/>
          </rPr>
          <t>Select course using list arrow</t>
        </r>
      </text>
    </comment>
    <comment ref="I9" authorId="0">
      <text>
        <r>
          <rPr>
            <b/>
            <sz val="10"/>
            <color indexed="81"/>
            <rFont val="Arial Narrow"/>
            <family val="2"/>
          </rPr>
          <t>Select grade using list arrow</t>
        </r>
      </text>
    </comment>
    <comment ref="P9" authorId="0">
      <text>
        <r>
          <rPr>
            <b/>
            <sz val="10"/>
            <color indexed="81"/>
            <rFont val="Arial Narrow"/>
            <family val="2"/>
          </rPr>
          <t>Select course using list arrow</t>
        </r>
        <r>
          <rPr>
            <sz val="8"/>
            <color indexed="81"/>
            <rFont val="Tahoma"/>
            <family val="2"/>
          </rPr>
          <t xml:space="preserve">
</t>
        </r>
      </text>
    </comment>
    <comment ref="T9" authorId="0">
      <text>
        <r>
          <rPr>
            <b/>
            <sz val="10"/>
            <color indexed="81"/>
            <rFont val="Arial Narrow"/>
            <family val="2"/>
          </rPr>
          <t>Select grade using list arrow</t>
        </r>
        <r>
          <rPr>
            <sz val="8"/>
            <color indexed="81"/>
            <rFont val="Tahoma"/>
            <family val="2"/>
          </rPr>
          <t xml:space="preserve">
</t>
        </r>
      </text>
    </comment>
  </commentList>
</comments>
</file>

<file path=xl/sharedStrings.xml><?xml version="1.0" encoding="utf-8"?>
<sst xmlns="http://schemas.openxmlformats.org/spreadsheetml/2006/main" count="443" uniqueCount="410">
  <si>
    <t>Computer Literacy</t>
  </si>
  <si>
    <t>ENG 101</t>
  </si>
  <si>
    <t>ENG 105</t>
  </si>
  <si>
    <t>COM 181</t>
  </si>
  <si>
    <t>COM 252</t>
  </si>
  <si>
    <t>COM 281</t>
  </si>
  <si>
    <t>COM 287</t>
  </si>
  <si>
    <t>CIS 100</t>
  </si>
  <si>
    <t>Introduction to Computers</t>
  </si>
  <si>
    <t>Hours</t>
  </si>
  <si>
    <t>Description</t>
  </si>
  <si>
    <t>Writing I</t>
  </si>
  <si>
    <t>Basic Public Speaking</t>
  </si>
  <si>
    <t>Grade</t>
  </si>
  <si>
    <t>Pass</t>
  </si>
  <si>
    <t>A</t>
  </si>
  <si>
    <t>B</t>
  </si>
  <si>
    <t>C</t>
  </si>
  <si>
    <t>D</t>
  </si>
  <si>
    <t>E</t>
  </si>
  <si>
    <t>Course Lists</t>
  </si>
  <si>
    <t>PTA 100</t>
  </si>
  <si>
    <t>PTA 150</t>
  </si>
  <si>
    <t>PTA 160</t>
  </si>
  <si>
    <t>PTA 170</t>
  </si>
  <si>
    <t>PTA 200</t>
  </si>
  <si>
    <t>PTA 220</t>
  </si>
  <si>
    <t>PTA 240</t>
  </si>
  <si>
    <t>PTA 250</t>
  </si>
  <si>
    <t>PTA 260</t>
  </si>
  <si>
    <t>PTA 280</t>
  </si>
  <si>
    <t>Clinical Practicum I</t>
  </si>
  <si>
    <t>Clinical Practicum II</t>
  </si>
  <si>
    <t>Clinical Practicum III</t>
  </si>
  <si>
    <t>ART 100</t>
  </si>
  <si>
    <t>ENG 161</t>
  </si>
  <si>
    <t>ENG 221</t>
  </si>
  <si>
    <t>ENG 222</t>
  </si>
  <si>
    <t>ENG 230</t>
  </si>
  <si>
    <t>ENG 231</t>
  </si>
  <si>
    <t>FLK 276</t>
  </si>
  <si>
    <t>GER 102</t>
  </si>
  <si>
    <t>HIS 108</t>
  </si>
  <si>
    <t>HIS 109</t>
  </si>
  <si>
    <t>CIT 105</t>
  </si>
  <si>
    <t>Exam</t>
  </si>
  <si>
    <t>IT 100</t>
  </si>
  <si>
    <t>OST 105</t>
  </si>
  <si>
    <t>PSY 100</t>
  </si>
  <si>
    <t>PSY 223</t>
  </si>
  <si>
    <t>BIO 137</t>
  </si>
  <si>
    <t>BIO 139</t>
  </si>
  <si>
    <t>BSL 111</t>
  </si>
  <si>
    <t>BSL 110</t>
  </si>
  <si>
    <t xml:space="preserve">PTA 150 </t>
  </si>
  <si>
    <t xml:space="preserve">PTA 170 </t>
  </si>
  <si>
    <t xml:space="preserve">PTA 250 </t>
  </si>
  <si>
    <t xml:space="preserve">PTA 260 </t>
  </si>
  <si>
    <t xml:space="preserve">PTA 280 </t>
  </si>
  <si>
    <t>PTA Program Coursework</t>
  </si>
  <si>
    <t>General Education Coursework</t>
  </si>
  <si>
    <t>Mathematics</t>
  </si>
  <si>
    <t>Oral Communication</t>
  </si>
  <si>
    <t>Points</t>
  </si>
  <si>
    <t>Fail</t>
  </si>
  <si>
    <t>Pts</t>
  </si>
  <si>
    <t>Total Grade Points Earned</t>
  </si>
  <si>
    <t>GPA Hours Attempted</t>
  </si>
  <si>
    <t>Credit 
Hrs</t>
  </si>
  <si>
    <t>Seminar</t>
  </si>
  <si>
    <t>Completed 
Courses</t>
  </si>
  <si>
    <t>Required
Courses</t>
  </si>
  <si>
    <t>Required Courses</t>
  </si>
  <si>
    <t>Course
Description</t>
  </si>
  <si>
    <t>Introduction to Computing</t>
  </si>
  <si>
    <t>Introduction to Information Systems</t>
  </si>
  <si>
    <t>General Psychology</t>
  </si>
  <si>
    <t>Introduction to Psychology</t>
  </si>
  <si>
    <t>Developmental Psychology</t>
  </si>
  <si>
    <t>Human Anatomy and Physiology I</t>
  </si>
  <si>
    <t>Human Anatomy and Physiology II</t>
  </si>
  <si>
    <t>Communication in Small Group</t>
  </si>
  <si>
    <t>Persuasive Speaking</t>
  </si>
  <si>
    <t>Writing: An Accelerated Course</t>
  </si>
  <si>
    <t>Introduction to African Art</t>
  </si>
  <si>
    <t>Introduction to Comparative Religion</t>
  </si>
  <si>
    <t>Introduction to Art</t>
  </si>
  <si>
    <t xml:space="preserve"> Overall GPA</t>
  </si>
  <si>
    <t>General Ed. GPA</t>
  </si>
  <si>
    <t>PTA GPA</t>
  </si>
  <si>
    <t>Gen Ed Grade Points Earned</t>
  </si>
  <si>
    <t>Gen Ed. GPA Hours Attempted</t>
  </si>
  <si>
    <t>PTA Grade Points Earned</t>
  </si>
  <si>
    <t>PTA GPA Hours Attempted</t>
  </si>
  <si>
    <t>!pass/fail determination</t>
  </si>
  <si>
    <t>Introduction to Literature</t>
  </si>
  <si>
    <t>Survey of English Literature I</t>
  </si>
  <si>
    <t>Survey of English Literature II</t>
  </si>
  <si>
    <t xml:space="preserve">Introduction to Literature </t>
  </si>
  <si>
    <t>Literature and Genre</t>
  </si>
  <si>
    <t>ENG 232</t>
  </si>
  <si>
    <t>Literature and Place</t>
  </si>
  <si>
    <t>ENG 251</t>
  </si>
  <si>
    <t>Survey of American Literature I</t>
  </si>
  <si>
    <t>ENG 252</t>
  </si>
  <si>
    <t>Survey of American Literature II</t>
  </si>
  <si>
    <t>ENG 261</t>
  </si>
  <si>
    <t>ENG 262</t>
  </si>
  <si>
    <t>ENG 264</t>
  </si>
  <si>
    <t>Major Black Writers</t>
  </si>
  <si>
    <t>ENG 270</t>
  </si>
  <si>
    <t>The Old Testament as Literature</t>
  </si>
  <si>
    <t>ENG 271</t>
  </si>
  <si>
    <t>The New Testament as Literature</t>
  </si>
  <si>
    <t>ENG 281</t>
  </si>
  <si>
    <t>Introduction to Film</t>
  </si>
  <si>
    <t>ENG 282</t>
  </si>
  <si>
    <t>International Film Studies</t>
  </si>
  <si>
    <t>Introduction to Folk Studies</t>
  </si>
  <si>
    <t>HON 101</t>
  </si>
  <si>
    <t>The Ancient World</t>
  </si>
  <si>
    <t>HON 102</t>
  </si>
  <si>
    <t>The Medieval and Renaissance World</t>
  </si>
  <si>
    <t>HON 201</t>
  </si>
  <si>
    <t>The Early and Modern World</t>
  </si>
  <si>
    <t>HON 202</t>
  </si>
  <si>
    <t>The Contemporary World</t>
  </si>
  <si>
    <t>HRS 101</t>
  </si>
  <si>
    <t>An Integrated Study of Western Civilization</t>
  </si>
  <si>
    <t>HRS 102</t>
  </si>
  <si>
    <t>An Integrated Study of Western Civilization II</t>
  </si>
  <si>
    <t>HRS 201</t>
  </si>
  <si>
    <t>An Integrated Study of Western Civilization III</t>
  </si>
  <si>
    <t>HRS 202</t>
  </si>
  <si>
    <t>An Integrated Study of Western Civilization IV</t>
  </si>
  <si>
    <t>HUM 120</t>
  </si>
  <si>
    <t>Introduction to the Humanities</t>
  </si>
  <si>
    <t>HUM 135</t>
  </si>
  <si>
    <t>Introduction to Native American Literature</t>
  </si>
  <si>
    <t>HUM 150</t>
  </si>
  <si>
    <t>Introduction to African Literature</t>
  </si>
  <si>
    <t>HUM 202</t>
  </si>
  <si>
    <t xml:space="preserve">HUM 203 </t>
  </si>
  <si>
    <t>HUM 204</t>
  </si>
  <si>
    <t>Ancient Art History</t>
  </si>
  <si>
    <t>Renaissance Art History</t>
  </si>
  <si>
    <t>Modern Art History</t>
  </si>
  <si>
    <t>HUM 230</t>
  </si>
  <si>
    <t>MU 101</t>
  </si>
  <si>
    <t>MUS 100</t>
  </si>
  <si>
    <t>Introduction to Music</t>
  </si>
  <si>
    <t>MUS 104</t>
  </si>
  <si>
    <t>Introduction to Jazz History</t>
  </si>
  <si>
    <t>MUS 206</t>
  </si>
  <si>
    <t>American Music</t>
  </si>
  <si>
    <t>MUS 208</t>
  </si>
  <si>
    <t>World Music</t>
  </si>
  <si>
    <t>MUS 207</t>
  </si>
  <si>
    <t>MUS 222</t>
  </si>
  <si>
    <t>History and Sociology of Rock Music</t>
  </si>
  <si>
    <t xml:space="preserve">PHI 100 </t>
  </si>
  <si>
    <t>Introduction to Philosophy</t>
  </si>
  <si>
    <t>PHI 120</t>
  </si>
  <si>
    <t>Introductory Logic</t>
  </si>
  <si>
    <t>PHI 130</t>
  </si>
  <si>
    <t>PHI 140</t>
  </si>
  <si>
    <t>The Ethics of War and Peace</t>
  </si>
  <si>
    <t>PHI 260</t>
  </si>
  <si>
    <t>History of Philosophy I</t>
  </si>
  <si>
    <t>PHI 270</t>
  </si>
  <si>
    <t>History of Philosophy II</t>
  </si>
  <si>
    <t>Business Ethics</t>
  </si>
  <si>
    <t>Introduction to Religious Studies</t>
  </si>
  <si>
    <t>Introduction to the Old Testament</t>
  </si>
  <si>
    <t>Introduction to the New Testament</t>
  </si>
  <si>
    <t>Introduction to Theatre: Principles and Practices</t>
  </si>
  <si>
    <t>Introduction to Dramatic Literature</t>
  </si>
  <si>
    <t>American Theatre</t>
  </si>
  <si>
    <t>ASL 101</t>
  </si>
  <si>
    <t>American Sign Language I</t>
  </si>
  <si>
    <t>ASL 102</t>
  </si>
  <si>
    <t>American Sign Language II</t>
  </si>
  <si>
    <t>ASL 201</t>
  </si>
  <si>
    <t>American Sign Language III</t>
  </si>
  <si>
    <t>ASL 202</t>
  </si>
  <si>
    <t>American Sign Language IV</t>
  </si>
  <si>
    <t xml:space="preserve">GER 101 </t>
  </si>
  <si>
    <t>GER 201</t>
  </si>
  <si>
    <t>GER 202</t>
  </si>
  <si>
    <t>JPN 101</t>
  </si>
  <si>
    <t>Beginning Japanese I</t>
  </si>
  <si>
    <t>JPN 102</t>
  </si>
  <si>
    <t>Beginning Japanese II</t>
  </si>
  <si>
    <t>RAE 150</t>
  </si>
  <si>
    <t>RAE 151</t>
  </si>
  <si>
    <t>SED 101</t>
  </si>
  <si>
    <t>SED 102</t>
  </si>
  <si>
    <t>SED 203</t>
  </si>
  <si>
    <t>SED 204</t>
  </si>
  <si>
    <t>SPA 101</t>
  </si>
  <si>
    <t>Elementary Spanish I</t>
  </si>
  <si>
    <t>SPA 102</t>
  </si>
  <si>
    <t>Elementary Spanish II</t>
  </si>
  <si>
    <t>SPA 201</t>
  </si>
  <si>
    <t>Intermediate Spanish III</t>
  </si>
  <si>
    <t>SPA 202</t>
  </si>
  <si>
    <t>Intermediate Spanish IV</t>
  </si>
  <si>
    <t>HIS 101</t>
  </si>
  <si>
    <t>World Civilization I</t>
  </si>
  <si>
    <t>HIS 102</t>
  </si>
  <si>
    <t>World Civilization II</t>
  </si>
  <si>
    <t>HIS 104</t>
  </si>
  <si>
    <t>A History of Europe Through the Mid-Seventeenth Century</t>
  </si>
  <si>
    <t>HIS 105</t>
  </si>
  <si>
    <t>A History of Europe from the Mid-Seventeenth Century to the Present</t>
  </si>
  <si>
    <t>HIS 106</t>
  </si>
  <si>
    <t>HIS 107</t>
  </si>
  <si>
    <t>Western Culture: Science and Technology II</t>
  </si>
  <si>
    <t>History of the U.S. Through 1865</t>
  </si>
  <si>
    <t>History of the U.S. Since 1865</t>
  </si>
  <si>
    <t>HIS 120</t>
  </si>
  <si>
    <t>The World at War 1939-45</t>
  </si>
  <si>
    <t>HIS 202</t>
  </si>
  <si>
    <t>History of the British People to the Restoration</t>
  </si>
  <si>
    <t>HIS 203</t>
  </si>
  <si>
    <t>History of the British People Since the Restoration</t>
  </si>
  <si>
    <t>HIS 206</t>
  </si>
  <si>
    <t>History of Colonial Latin America</t>
  </si>
  <si>
    <t>HIS 207</t>
  </si>
  <si>
    <t>History of Modern Latin America, 1810 to present</t>
  </si>
  <si>
    <t>HIS 240</t>
  </si>
  <si>
    <t>History of Kentucky</t>
  </si>
  <si>
    <t>HIS 247</t>
  </si>
  <si>
    <t>History of Islam and Middle East Peoples, 500-1250 A.D.</t>
  </si>
  <si>
    <t>HIS 248</t>
  </si>
  <si>
    <t>History of Islam and Middle East Peoples, 1250 to present</t>
  </si>
  <si>
    <t>HIS 254</t>
  </si>
  <si>
    <t>History of Sub-Saharan Africa</t>
  </si>
  <si>
    <t>HIS 260</t>
  </si>
  <si>
    <t>Afro-American History to 1865</t>
  </si>
  <si>
    <t>HIS 261</t>
  </si>
  <si>
    <t>Afro-American History 1865 to present</t>
  </si>
  <si>
    <t>HIS 265</t>
  </si>
  <si>
    <t>History of Women in America</t>
  </si>
  <si>
    <t>HIS 270</t>
  </si>
  <si>
    <t>Ancient Europe</t>
  </si>
  <si>
    <t>HIS 271</t>
  </si>
  <si>
    <t>Medieval Europe</t>
  </si>
  <si>
    <t>HIS 295</t>
  </si>
  <si>
    <t>East Asia to 1800</t>
  </si>
  <si>
    <t>HIS 296</t>
  </si>
  <si>
    <t>East Asia since 1800</t>
  </si>
  <si>
    <t>Orientation to Physical Therapy Practice</t>
  </si>
  <si>
    <t>Functional Anatomy and Kinesiology</t>
  </si>
  <si>
    <t>Medical and Surgical Conditions in Physical Therapy</t>
  </si>
  <si>
    <t>Modalities and Procedures in Physical Therapy</t>
  </si>
  <si>
    <t>Physical Therapy Principles and Procedures</t>
  </si>
  <si>
    <t>Neurological Rehabilitation in Physical Therapy</t>
  </si>
  <si>
    <t>Differential Equations</t>
  </si>
  <si>
    <t>College Algebra</t>
  </si>
  <si>
    <t>Trigonometry</t>
  </si>
  <si>
    <t>Calculus I</t>
  </si>
  <si>
    <t>Calculus II</t>
  </si>
  <si>
    <t>MA 123</t>
  </si>
  <si>
    <t>Elementary Calculus and Its Applications</t>
  </si>
  <si>
    <t>Analytical Geometry and Trigonometry</t>
  </si>
  <si>
    <t>Calculus III</t>
  </si>
  <si>
    <t>Precalculus</t>
  </si>
  <si>
    <t>Brief Calculus with Applications</t>
  </si>
  <si>
    <t>Compatibility Report for PTA Advising Master, LOCKED.xls</t>
  </si>
  <si>
    <t>Run on 5/11/2010 13:06</t>
  </si>
  <si>
    <t>The following features in this workbook are not supported by earlier versions of Excel. These features may be lost or degraded when you save this workbook in an earlier file format.</t>
  </si>
  <si>
    <t>Significant loss of functionality</t>
  </si>
  <si>
    <t># of occurrences</t>
  </si>
  <si>
    <t>Some cells have more conditional formats than are supported by the selected file format. Only the first three conditions will be displayed in earlier versions of Excel.</t>
  </si>
  <si>
    <t>'PTA Checksheet'!I9</t>
  </si>
  <si>
    <t>'PTA Checksheet'!I11</t>
  </si>
  <si>
    <t>'PTA Checksheet'!I13</t>
  </si>
  <si>
    <t>'PTA Checksheet'!I15</t>
  </si>
  <si>
    <t>'PTA Checksheet'!I17</t>
  </si>
  <si>
    <t>'PTA Checksheet'!I19</t>
  </si>
  <si>
    <t>'PTA Checksheet'!I21</t>
  </si>
  <si>
    <t>'PTA Checksheet'!I23</t>
  </si>
  <si>
    <t>'PTA Checksheet'!I25</t>
  </si>
  <si>
    <t>'PTA Checksheet'!I27</t>
  </si>
  <si>
    <t>'PTA Checksheet'!T9</t>
  </si>
  <si>
    <t>'PTA Checksheet'!T11</t>
  </si>
  <si>
    <t>'PTA Checksheet'!T13</t>
  </si>
  <si>
    <t>'PTA Checksheet'!T25</t>
  </si>
  <si>
    <t>'PTA Checksheet'!T23</t>
  </si>
  <si>
    <t>'PTA Checksheet'!T19</t>
  </si>
  <si>
    <t>'PTA Checksheet'!T17</t>
  </si>
  <si>
    <t>One or more cells in this workbook contain a conditional formatting type that is not supported in earlier versions of Excel, such as data bars, color scales, or icon sets.</t>
  </si>
  <si>
    <t>'PTA Checksheet'!AJ21</t>
  </si>
  <si>
    <t>'PTA Checksheet'!F32</t>
  </si>
  <si>
    <t>'PTA Checksheet'!Z57</t>
  </si>
  <si>
    <t>'PTA Checksheet'!F34</t>
  </si>
  <si>
    <t>Some cells contain conditional formatting with the 'Stop if True' option cleared. Earlier versions of Excel do not recognize this option and will stop after the first true condition.</t>
  </si>
  <si>
    <t>'PTA Checksheet'!E31:E34</t>
  </si>
  <si>
    <t>'PTA Checksheet'!I9:T27</t>
  </si>
  <si>
    <t>Minor loss of fidelity</t>
  </si>
  <si>
    <t>A table style is applied to a table in this workbook. Table style formatting cannot be displayed in earlier versions of Excel.</t>
  </si>
  <si>
    <t>'PTA Checksheet'!Y32:AA42</t>
  </si>
  <si>
    <t>'PTA Checksheet'!AC32:AE207</t>
  </si>
  <si>
    <t>'PTA Checksheet'!AG32:AH37</t>
  </si>
  <si>
    <t>'PTA Checksheet'!AG39:AG41</t>
  </si>
  <si>
    <t>Some cells or styles in this workbook contain formatting that is not supported by the selected file format. These formats will be converted to the closest format available.</t>
  </si>
  <si>
    <t>General Ed. Hours Attempted</t>
  </si>
  <si>
    <t>PTA Hours Attempted</t>
  </si>
  <si>
    <t>Total Hours Attempted</t>
  </si>
  <si>
    <t>CPR Certification</t>
  </si>
  <si>
    <t>Anatomy &amp; Physiology I with Lab</t>
  </si>
  <si>
    <t>Anatomy &amp; Physiology II with Lab</t>
  </si>
  <si>
    <t>Digital Literacy</t>
  </si>
  <si>
    <t>CPR 100</t>
  </si>
  <si>
    <t xml:space="preserve">CPR    </t>
  </si>
  <si>
    <t>Program Approved CPR Certification</t>
  </si>
  <si>
    <t>Human Anatomy &amp; Physiology II</t>
  </si>
  <si>
    <t>PSY 110</t>
  </si>
  <si>
    <t>CPR for Healthcare Professionals</t>
  </si>
  <si>
    <t>Intro to Interpersonal Communications</t>
  </si>
  <si>
    <t>ART 104</t>
  </si>
  <si>
    <t>Ancient Through Medieval Art History</t>
  </si>
  <si>
    <t>ART 106</t>
  </si>
  <si>
    <t>ART 105</t>
  </si>
  <si>
    <t>Renaissance Through Modern Art History</t>
  </si>
  <si>
    <t>ART 201</t>
  </si>
  <si>
    <t>ART 202</t>
  </si>
  <si>
    <t>Medieval Art History</t>
  </si>
  <si>
    <t>ART 203</t>
  </si>
  <si>
    <t>ART 204</t>
  </si>
  <si>
    <t>ENG 135</t>
  </si>
  <si>
    <t>Greek and Roman Mythology in Translation</t>
  </si>
  <si>
    <t>ENG 233</t>
  </si>
  <si>
    <t>ENG 234</t>
  </si>
  <si>
    <t>Literature and Identities</t>
  </si>
  <si>
    <t>Introduction to Women's Literature</t>
  </si>
  <si>
    <t>Survey of Western Literature, Greeks thru…</t>
  </si>
  <si>
    <t>Survey of Western Literature, 1660 to present</t>
  </si>
  <si>
    <t>GEN 125</t>
  </si>
  <si>
    <t>Applied Meta-Thinking</t>
  </si>
  <si>
    <t>HNR 101</t>
  </si>
  <si>
    <t>Introduction to Contemporary Thought</t>
  </si>
  <si>
    <t>HUM 121</t>
  </si>
  <si>
    <t>Peace Studies</t>
  </si>
  <si>
    <t>HUM 140</t>
  </si>
  <si>
    <t>Introduction to Latino Literature</t>
  </si>
  <si>
    <t>Survey of Appalachian Studies I</t>
  </si>
  <si>
    <t>Survey of Appalachian Studies II</t>
  </si>
  <si>
    <t xml:space="preserve">Appalachian Seminar </t>
  </si>
  <si>
    <t>HUM 220</t>
  </si>
  <si>
    <t>Historical Perspective on Peace and War</t>
  </si>
  <si>
    <t>Contemporary Japanese Literature and Culture</t>
  </si>
  <si>
    <t>HUM 250</t>
  </si>
  <si>
    <t>Appalachian Literature Survey</t>
  </si>
  <si>
    <t>HUM 251</t>
  </si>
  <si>
    <t>Contemporary Appalachian Literature</t>
  </si>
  <si>
    <t>HUM 281</t>
  </si>
  <si>
    <t>Folk and Traditional Music of Western Cont</t>
  </si>
  <si>
    <t>African American Music History</t>
  </si>
  <si>
    <t>PHI 110</t>
  </si>
  <si>
    <t>Medical Ethics</t>
  </si>
  <si>
    <t>Ethics</t>
  </si>
  <si>
    <t>PHI 150</t>
  </si>
  <si>
    <t>REL 101</t>
  </si>
  <si>
    <t>REL 120</t>
  </si>
  <si>
    <t>REL 121</t>
  </si>
  <si>
    <t>REL 130</t>
  </si>
  <si>
    <t>THA 101</t>
  </si>
  <si>
    <t>THA 200</t>
  </si>
  <si>
    <t>THA 283</t>
  </si>
  <si>
    <t>WGS 201</t>
  </si>
  <si>
    <t>Introduction to Women's &amp; Gender Studies in the Arts and Humanities</t>
  </si>
  <si>
    <t>FRE 101</t>
  </si>
  <si>
    <t>FRE 102</t>
  </si>
  <si>
    <t>Elementary French I</t>
  </si>
  <si>
    <t>Elementary French II</t>
  </si>
  <si>
    <t>FRE 201</t>
  </si>
  <si>
    <t>Intermediate French I</t>
  </si>
  <si>
    <t>FRE 202</t>
  </si>
  <si>
    <t>Intermediate French II</t>
  </si>
  <si>
    <t>Basic German I</t>
  </si>
  <si>
    <t>Basic German II</t>
  </si>
  <si>
    <t>Intermediate German I</t>
  </si>
  <si>
    <t>Intermediate German II</t>
  </si>
  <si>
    <t>Elementary Chinese I</t>
  </si>
  <si>
    <t>Elementary Chinese II</t>
  </si>
  <si>
    <t>MAT 150</t>
  </si>
  <si>
    <t>MAT 154</t>
  </si>
  <si>
    <t>MAT 155</t>
  </si>
  <si>
    <t>MAT 159</t>
  </si>
  <si>
    <t>MAT 160</t>
  </si>
  <si>
    <t>MAT 165</t>
  </si>
  <si>
    <t>Finite Mathematics and its Applications</t>
  </si>
  <si>
    <t>MAT 170</t>
  </si>
  <si>
    <t>MAT 174</t>
  </si>
  <si>
    <t>MAT 175</t>
  </si>
  <si>
    <t xml:space="preserve">MAT 184 </t>
  </si>
  <si>
    <t>MAT 185</t>
  </si>
  <si>
    <t>MAT 206</t>
  </si>
  <si>
    <t>Mathematics for Elementary &amp; Middle School Teachers</t>
  </si>
  <si>
    <t>MAT 275</t>
  </si>
  <si>
    <t>MAT 285</t>
  </si>
  <si>
    <t>STA 210</t>
  </si>
  <si>
    <t>Statisitcs: A Force in Human Judgment</t>
  </si>
  <si>
    <t>STA 220</t>
  </si>
  <si>
    <t>Statistics</t>
  </si>
  <si>
    <t>Credit
Hours</t>
  </si>
  <si>
    <t>KCTCS Physical Therapist Assistant AAS Degree Planning Guide</t>
  </si>
  <si>
    <t>Heritage/Humanities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</si>
</sst>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
  </numFmts>
  <fonts count="30" x14ac:knownFonts="1">
    <font>
      <sz val="11"/>
      <color theme="1"/>
      <name val="Calibri"/>
      <family val="2"/>
      <scheme val="minor"/>
    </font>
    <font>
      <b/>
      <sz val="10"/>
      <name val="Arial"/>
      <family val="2"/>
    </font>
    <font>
      <b/>
      <sz val="8"/>
      <name val="Arial"/>
      <family val="2"/>
    </font>
    <font>
      <sz val="12"/>
      <name val="Arial Narrow"/>
      <family val="2"/>
    </font>
    <font>
      <sz val="8"/>
      <color indexed="81"/>
      <name val="Tahoma"/>
      <family val="2"/>
    </font>
    <font>
      <b/>
      <sz val="10"/>
      <color indexed="81"/>
      <name val="Arial Narrow"/>
      <family val="2"/>
    </font>
    <font>
      <u/>
      <sz val="11"/>
      <color theme="10"/>
      <name val="Calibri"/>
      <family val="2"/>
    </font>
    <font>
      <b/>
      <sz val="11"/>
      <color theme="1"/>
      <name val="Calibri"/>
      <family val="2"/>
      <scheme val="minor"/>
    </font>
    <font>
      <sz val="12"/>
      <name val="Calibri"/>
      <family val="2"/>
      <scheme val="minor"/>
    </font>
    <font>
      <b/>
      <sz val="10"/>
      <color theme="3" tint="-0.499984740745262"/>
      <name val="Calibri"/>
      <family val="2"/>
      <scheme val="minor"/>
    </font>
    <font>
      <sz val="12"/>
      <color theme="1"/>
      <name val="Calibri"/>
      <family val="2"/>
      <scheme val="minor"/>
    </font>
    <font>
      <b/>
      <sz val="10"/>
      <color theme="4" tint="-0.499984740745262"/>
      <name val="Calibri"/>
      <family val="2"/>
      <scheme val="minor"/>
    </font>
    <font>
      <b/>
      <sz val="10"/>
      <color theme="4" tint="-0.499984740745262"/>
      <name val="Arial Narrow"/>
      <family val="2"/>
    </font>
    <font>
      <b/>
      <sz val="10"/>
      <name val="Calibri"/>
      <family val="2"/>
      <scheme val="minor"/>
    </font>
    <font>
      <sz val="8"/>
      <color theme="1"/>
      <name val="Calibri"/>
      <family val="2"/>
      <scheme val="minor"/>
    </font>
    <font>
      <sz val="11"/>
      <color theme="5" tint="-0.249977111117893"/>
      <name val="Calibri"/>
      <family val="2"/>
      <scheme val="minor"/>
    </font>
    <font>
      <sz val="14"/>
      <color theme="0"/>
      <name val="Calibri"/>
      <family val="2"/>
      <scheme val="minor"/>
    </font>
    <font>
      <sz val="12"/>
      <color theme="4" tint="-0.499984740745262"/>
      <name val="Calibri"/>
      <family val="2"/>
      <scheme val="minor"/>
    </font>
    <font>
      <b/>
      <sz val="10"/>
      <color theme="9" tint="-0.499984740745262"/>
      <name val="Calibri"/>
      <family val="2"/>
      <scheme val="minor"/>
    </font>
    <font>
      <sz val="12"/>
      <color theme="4" tint="-0.249977111117893"/>
      <name val="Calibri"/>
      <family val="2"/>
      <scheme val="minor"/>
    </font>
    <font>
      <b/>
      <sz val="10"/>
      <color theme="4" tint="-0.249977111117893"/>
      <name val="Calibri"/>
      <family val="2"/>
      <scheme val="minor"/>
    </font>
    <font>
      <sz val="12"/>
      <color theme="4" tint="-0.249977111117893"/>
      <name val="Arial Narrow"/>
      <family val="2"/>
    </font>
    <font>
      <sz val="11"/>
      <color theme="4" tint="-0.249977111117893"/>
      <name val="Calibri"/>
      <family val="2"/>
      <scheme val="minor"/>
    </font>
    <font>
      <b/>
      <sz val="16"/>
      <color theme="4" tint="-0.499984740745262"/>
      <name val="Calibri"/>
      <family val="2"/>
    </font>
    <font>
      <sz val="11"/>
      <color rgb="FF00467F"/>
      <name val="Calibri"/>
      <family val="2"/>
      <scheme val="minor"/>
    </font>
    <font>
      <b/>
      <sz val="11"/>
      <color rgb="FF00467F"/>
      <name val="Calibri"/>
      <family val="2"/>
      <scheme val="minor"/>
    </font>
    <font>
      <sz val="12"/>
      <color rgb="FF00467F"/>
      <name val="Calibri"/>
      <family val="2"/>
      <scheme val="minor"/>
    </font>
    <font>
      <sz val="14"/>
      <color theme="1"/>
      <name val="Arial Narrow"/>
      <family val="2"/>
    </font>
    <font>
      <b/>
      <sz val="14"/>
      <color theme="0"/>
      <name val="Calibri"/>
      <family val="2"/>
      <scheme val="minor"/>
    </font>
    <font>
      <sz val="14"/>
      <color rgb="FF00467F"/>
      <name val="Calibri"/>
      <family val="2"/>
      <scheme val="minor"/>
    </font>
  </fonts>
  <fills count="13">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4" tint="0.39994506668294322"/>
        <bgColor indexed="64"/>
      </patternFill>
    </fill>
    <fill>
      <patternFill patternType="solid">
        <fgColor rgb="FF00467F"/>
        <bgColor indexed="64"/>
      </patternFill>
    </fill>
    <fill>
      <patternFill patternType="solid">
        <fgColor rgb="FFE7A614"/>
        <bgColor indexed="64"/>
      </patternFill>
    </fill>
    <fill>
      <patternFill patternType="solid">
        <fgColor indexed="65"/>
        <bgColor indexed="64"/>
      </patternFill>
    </fill>
    <fill>
      <patternFill patternType="darkGray">
        <fgColor rgb="FF00467F"/>
        <bgColor rgb="FF00467F"/>
      </patternFill>
    </fill>
    <fill>
      <gradientFill degree="90">
        <stop position="0">
          <color rgb="FF00467F"/>
        </stop>
        <stop position="1">
          <color rgb="FF00467F"/>
        </stop>
      </gradientFill>
    </fill>
  </fills>
  <borders count="32">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diagonal/>
    </border>
    <border>
      <left/>
      <right style="medium">
        <color indexed="8"/>
      </right>
      <top/>
      <bottom/>
      <diagonal/>
    </border>
    <border>
      <left/>
      <right style="medium">
        <color indexed="8"/>
      </right>
      <top/>
      <bottom style="medium">
        <color indexed="8"/>
      </bottom>
      <diagonal/>
    </border>
    <border>
      <left/>
      <right style="medium">
        <color indexed="8"/>
      </right>
      <top style="medium">
        <color indexed="8"/>
      </top>
      <bottom style="medium">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diagonal/>
    </border>
  </borders>
  <cellStyleXfs count="2">
    <xf numFmtId="0" fontId="0" fillId="0" borderId="0"/>
    <xf numFmtId="0" fontId="6" fillId="0" borderId="0" applyNumberFormat="0" applyFill="0" applyBorder="0" applyAlignment="0" applyProtection="0">
      <alignment vertical="top"/>
      <protection locked="0"/>
    </xf>
  </cellStyleXfs>
  <cellXfs count="121">
    <xf numFmtId="0" fontId="0" fillId="0" borderId="0" xfId="0"/>
    <xf numFmtId="0" fontId="0" fillId="0" borderId="0" xfId="0" applyAlignment="1">
      <alignment horizontal="center"/>
    </xf>
    <xf numFmtId="0" fontId="0" fillId="0" borderId="0" xfId="0" applyAlignment="1">
      <alignment horizontal="right"/>
    </xf>
    <xf numFmtId="0" fontId="1" fillId="0" borderId="0" xfId="0" applyFont="1" applyFill="1" applyProtection="1">
      <protection hidden="1"/>
    </xf>
    <xf numFmtId="0" fontId="2" fillId="0" borderId="0" xfId="0" applyFont="1" applyFill="1" applyProtection="1">
      <protection hidden="1"/>
    </xf>
    <xf numFmtId="0" fontId="0" fillId="0" borderId="0" xfId="0" applyBorder="1" applyAlignment="1">
      <alignment horizontal="center"/>
    </xf>
    <xf numFmtId="0" fontId="10" fillId="0" borderId="0" xfId="0" applyFont="1" applyBorder="1"/>
    <xf numFmtId="0" fontId="10" fillId="2" borderId="2" xfId="0" applyFont="1" applyFill="1" applyBorder="1"/>
    <xf numFmtId="0" fontId="10" fillId="2" borderId="0" xfId="0" applyFont="1" applyFill="1" applyBorder="1"/>
    <xf numFmtId="0" fontId="0" fillId="2" borderId="0" xfId="0" applyFill="1" applyBorder="1"/>
    <xf numFmtId="0" fontId="0" fillId="2" borderId="2" xfId="0" applyFill="1" applyBorder="1"/>
    <xf numFmtId="0" fontId="0" fillId="0" borderId="0" xfId="0" applyBorder="1"/>
    <xf numFmtId="0" fontId="0" fillId="3" borderId="0" xfId="0" applyFill="1"/>
    <xf numFmtId="0" fontId="0" fillId="3" borderId="0" xfId="0" applyFill="1" applyAlignment="1">
      <alignment horizontal="center"/>
    </xf>
    <xf numFmtId="0" fontId="0" fillId="3" borderId="0" xfId="0" applyFill="1" applyBorder="1"/>
    <xf numFmtId="0" fontId="10" fillId="3" borderId="0" xfId="0" applyFont="1" applyFill="1" applyBorder="1"/>
    <xf numFmtId="0" fontId="0" fillId="3" borderId="0" xfId="0" applyFill="1" applyBorder="1" applyAlignment="1">
      <alignment horizontal="right"/>
    </xf>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0" fontId="0" fillId="3" borderId="11" xfId="0" applyFill="1" applyBorder="1"/>
    <xf numFmtId="0" fontId="8" fillId="3" borderId="0" xfId="0" applyFont="1" applyFill="1" applyBorder="1" applyProtection="1">
      <protection hidden="1"/>
    </xf>
    <xf numFmtId="0" fontId="10" fillId="3" borderId="12" xfId="0" applyFont="1" applyFill="1" applyBorder="1"/>
    <xf numFmtId="0" fontId="10" fillId="3" borderId="0" xfId="0" applyFont="1" applyFill="1" applyBorder="1" applyAlignment="1">
      <alignment horizontal="right"/>
    </xf>
    <xf numFmtId="0" fontId="10" fillId="3" borderId="0" xfId="0" applyFont="1" applyFill="1" applyBorder="1" applyAlignment="1"/>
    <xf numFmtId="0" fontId="11" fillId="0" borderId="0" xfId="0" applyFont="1" applyBorder="1" applyAlignment="1">
      <alignment vertical="center"/>
    </xf>
    <xf numFmtId="0" fontId="12" fillId="3" borderId="0" xfId="0" applyFont="1" applyFill="1" applyBorder="1" applyAlignment="1">
      <alignment horizontal="left" indent="2"/>
    </xf>
    <xf numFmtId="0" fontId="11" fillId="3" borderId="0" xfId="0" applyFont="1" applyFill="1" applyBorder="1" applyAlignment="1">
      <alignment horizontal="right" vertical="center" indent="1"/>
    </xf>
    <xf numFmtId="0" fontId="13" fillId="0" borderId="0" xfId="0" applyFont="1" applyBorder="1" applyAlignment="1">
      <alignment horizontal="right" vertical="center" indent="1"/>
    </xf>
    <xf numFmtId="0" fontId="12" fillId="3" borderId="0" xfId="0" applyFont="1" applyFill="1" applyBorder="1" applyAlignment="1">
      <alignment vertical="center"/>
    </xf>
    <xf numFmtId="0" fontId="10" fillId="0" borderId="13" xfId="0" applyFont="1" applyBorder="1" applyProtection="1">
      <protection locked="0"/>
    </xf>
    <xf numFmtId="0" fontId="8" fillId="0" borderId="13" xfId="0" applyFont="1" applyFill="1" applyBorder="1" applyAlignment="1" applyProtection="1">
      <alignment vertical="center"/>
      <protection locked="0" hidden="1"/>
    </xf>
    <xf numFmtId="0" fontId="8" fillId="0" borderId="13" xfId="0" applyFont="1" applyFill="1" applyBorder="1" applyProtection="1">
      <protection locked="0" hidden="1"/>
    </xf>
    <xf numFmtId="0" fontId="14" fillId="4" borderId="14" xfId="0" applyFont="1" applyFill="1" applyBorder="1" applyProtection="1">
      <protection hidden="1"/>
    </xf>
    <xf numFmtId="0" fontId="15" fillId="5" borderId="14" xfId="0" applyFont="1" applyFill="1" applyBorder="1" applyAlignment="1" applyProtection="1">
      <alignment horizontal="center"/>
      <protection hidden="1"/>
    </xf>
    <xf numFmtId="0" fontId="0" fillId="0" borderId="15" xfId="0" applyBorder="1" applyAlignment="1" applyProtection="1">
      <alignment horizontal="center"/>
      <protection locked="0" hidden="1"/>
    </xf>
    <xf numFmtId="0" fontId="0" fillId="6" borderId="0" xfId="0" applyFill="1"/>
    <xf numFmtId="0" fontId="15" fillId="0" borderId="0" xfId="0" applyFont="1" applyFill="1" applyBorder="1" applyAlignment="1" applyProtection="1">
      <alignment horizontal="center"/>
      <protection hidden="1"/>
    </xf>
    <xf numFmtId="0" fontId="7" fillId="0" borderId="0" xfId="0" applyNumberFormat="1" applyFont="1" applyAlignment="1">
      <alignment vertical="top" wrapText="1"/>
    </xf>
    <xf numFmtId="0" fontId="7" fillId="0" borderId="0" xfId="0" applyFont="1" applyAlignment="1">
      <alignment vertical="top" wrapText="1"/>
    </xf>
    <xf numFmtId="0" fontId="0" fillId="0" borderId="0" xfId="0" applyAlignment="1">
      <alignment vertical="top" wrapText="1"/>
    </xf>
    <xf numFmtId="0" fontId="0" fillId="0" borderId="0" xfId="0" applyNumberFormat="1" applyAlignment="1">
      <alignment vertical="top" wrapText="1"/>
    </xf>
    <xf numFmtId="0" fontId="0" fillId="0" borderId="17" xfId="0" applyNumberFormat="1"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17"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7" fillId="0" borderId="0" xfId="0" applyFont="1" applyAlignment="1">
      <alignment horizontal="center" vertical="top" wrapText="1"/>
    </xf>
    <xf numFmtId="0" fontId="0" fillId="0" borderId="0" xfId="0" applyAlignment="1">
      <alignment horizontal="center" vertical="top" wrapText="1"/>
    </xf>
    <xf numFmtId="0" fontId="7" fillId="0" borderId="0" xfId="0" applyNumberFormat="1" applyFont="1" applyAlignment="1">
      <alignment horizontal="center" vertical="top" wrapText="1"/>
    </xf>
    <xf numFmtId="0" fontId="0" fillId="0" borderId="18" xfId="0" applyBorder="1" applyAlignment="1">
      <alignment horizontal="center" vertical="top" wrapText="1"/>
    </xf>
    <xf numFmtId="0" fontId="0" fillId="0" borderId="24" xfId="0" applyBorder="1" applyAlignment="1">
      <alignment horizontal="center" vertical="top" wrapText="1"/>
    </xf>
    <xf numFmtId="0" fontId="6" fillId="0" borderId="25" xfId="1" applyNumberFormat="1" applyBorder="1" applyAlignment="1" applyProtection="1">
      <alignment horizontal="center" vertical="top" wrapText="1"/>
    </xf>
    <xf numFmtId="0" fontId="0" fillId="0" borderId="21" xfId="0" applyBorder="1" applyAlignment="1">
      <alignment horizontal="center" vertical="top" wrapText="1"/>
    </xf>
    <xf numFmtId="0" fontId="6" fillId="0" borderId="26" xfId="1" applyNumberFormat="1" applyBorder="1" applyAlignment="1" applyProtection="1">
      <alignment horizontal="center" vertical="top" wrapText="1"/>
    </xf>
    <xf numFmtId="0" fontId="6" fillId="0" borderId="25" xfId="1" applyBorder="1" applyAlignment="1" applyProtection="1">
      <alignment horizontal="center" vertical="top" wrapText="1"/>
    </xf>
    <xf numFmtId="0" fontId="0" fillId="0" borderId="23" xfId="0" applyBorder="1" applyAlignment="1">
      <alignment horizontal="center" vertical="top" wrapText="1"/>
    </xf>
    <xf numFmtId="0" fontId="0" fillId="0" borderId="27" xfId="0" applyBorder="1" applyAlignment="1">
      <alignment horizontal="center" vertical="top" wrapText="1"/>
    </xf>
    <xf numFmtId="0" fontId="0" fillId="0" borderId="0" xfId="0" applyAlignment="1">
      <alignment horizontal="center" vertical="center"/>
    </xf>
    <xf numFmtId="0" fontId="0" fillId="0" borderId="15" xfId="0" applyBorder="1" applyAlignment="1" applyProtection="1">
      <alignment horizontal="center"/>
      <protection locked="0"/>
    </xf>
    <xf numFmtId="0" fontId="0" fillId="7" borderId="4" xfId="0" applyFill="1" applyBorder="1"/>
    <xf numFmtId="0" fontId="19" fillId="8" borderId="0" xfId="0" applyFont="1" applyFill="1" applyBorder="1"/>
    <xf numFmtId="0" fontId="3" fillId="9" borderId="0" xfId="0" applyFont="1" applyFill="1" applyBorder="1" applyAlignment="1" applyProtection="1">
      <alignment vertical="center"/>
      <protection hidden="1"/>
    </xf>
    <xf numFmtId="0" fontId="0" fillId="9" borderId="0" xfId="0" applyFill="1" applyBorder="1"/>
    <xf numFmtId="0" fontId="0" fillId="9" borderId="4" xfId="0" applyFill="1" applyBorder="1"/>
    <xf numFmtId="0" fontId="24" fillId="9" borderId="0" xfId="0" applyFont="1" applyFill="1" applyBorder="1" applyAlignment="1" applyProtection="1">
      <alignment vertical="center"/>
      <protection hidden="1"/>
    </xf>
    <xf numFmtId="0" fontId="24" fillId="9" borderId="0" xfId="0" applyFont="1" applyFill="1" applyBorder="1" applyProtection="1">
      <protection hidden="1"/>
    </xf>
    <xf numFmtId="0" fontId="24" fillId="9" borderId="0" xfId="0" applyFont="1" applyFill="1" applyBorder="1"/>
    <xf numFmtId="0" fontId="18" fillId="9" borderId="0" xfId="0" applyFont="1" applyFill="1" applyBorder="1" applyAlignment="1">
      <alignment horizontal="center" vertical="center" wrapText="1"/>
    </xf>
    <xf numFmtId="0" fontId="18" fillId="9" borderId="0" xfId="0" applyFont="1" applyFill="1" applyBorder="1" applyAlignment="1">
      <alignment horizontal="center" wrapText="1"/>
    </xf>
    <xf numFmtId="0" fontId="18" fillId="9" borderId="2" xfId="0" applyFont="1" applyFill="1" applyBorder="1" applyAlignment="1">
      <alignment horizontal="center" wrapText="1"/>
    </xf>
    <xf numFmtId="0" fontId="20" fillId="9" borderId="0" xfId="0" applyFont="1" applyFill="1" applyBorder="1" applyAlignment="1">
      <alignment horizontal="center" wrapText="1"/>
    </xf>
    <xf numFmtId="0" fontId="3" fillId="9" borderId="2" xfId="0" applyFont="1" applyFill="1" applyBorder="1" applyAlignment="1" applyProtection="1">
      <alignment vertical="center"/>
      <protection hidden="1"/>
    </xf>
    <xf numFmtId="0" fontId="21" fillId="9" borderId="0" xfId="0" applyFont="1" applyFill="1" applyBorder="1" applyAlignment="1" applyProtection="1">
      <alignment vertical="center"/>
      <protection hidden="1"/>
    </xf>
    <xf numFmtId="0" fontId="18" fillId="9" borderId="1" xfId="0" applyFont="1" applyFill="1" applyBorder="1" applyAlignment="1">
      <alignment horizontal="center" wrapText="1"/>
    </xf>
    <xf numFmtId="0" fontId="3" fillId="9" borderId="1" xfId="0" applyFont="1" applyFill="1" applyBorder="1" applyAlignment="1" applyProtection="1">
      <alignment vertical="center"/>
      <protection hidden="1"/>
    </xf>
    <xf numFmtId="0" fontId="10" fillId="9" borderId="0" xfId="0" applyFont="1" applyFill="1" applyBorder="1" applyAlignment="1">
      <alignment horizontal="center"/>
    </xf>
    <xf numFmtId="0" fontId="9" fillId="9" borderId="2" xfId="0" applyFont="1" applyFill="1" applyBorder="1" applyAlignment="1" applyProtection="1">
      <alignment horizontal="center" wrapText="1"/>
      <protection hidden="1"/>
    </xf>
    <xf numFmtId="0" fontId="10" fillId="9" borderId="1" xfId="0" applyFont="1" applyFill="1" applyBorder="1"/>
    <xf numFmtId="0" fontId="0" fillId="9" borderId="1" xfId="0" applyFill="1" applyBorder="1"/>
    <xf numFmtId="0" fontId="0" fillId="9" borderId="3" xfId="0" applyFill="1" applyBorder="1"/>
    <xf numFmtId="0" fontId="19" fillId="9" borderId="0" xfId="0" applyFont="1" applyFill="1" applyBorder="1"/>
    <xf numFmtId="0" fontId="22" fillId="9" borderId="0" xfId="0" applyFont="1" applyFill="1" applyBorder="1"/>
    <xf numFmtId="0" fontId="3" fillId="9" borderId="5" xfId="0" applyFont="1" applyFill="1" applyBorder="1" applyAlignment="1" applyProtection="1">
      <alignment vertical="center"/>
      <protection hidden="1"/>
    </xf>
    <xf numFmtId="0" fontId="25" fillId="9" borderId="0" xfId="0" applyFont="1" applyFill="1" applyBorder="1" applyAlignment="1" applyProtection="1">
      <alignment horizontal="center" vertical="center" wrapText="1"/>
      <protection hidden="1"/>
    </xf>
    <xf numFmtId="0" fontId="25" fillId="9" borderId="0" xfId="0" applyFont="1" applyFill="1" applyBorder="1" applyAlignment="1">
      <alignment horizontal="center" vertical="center" wrapText="1"/>
    </xf>
    <xf numFmtId="0" fontId="25" fillId="9" borderId="0" xfId="0" applyFont="1" applyFill="1" applyBorder="1" applyAlignment="1">
      <alignment horizontal="center" wrapText="1"/>
    </xf>
    <xf numFmtId="0" fontId="10" fillId="9" borderId="0" xfId="0" applyFont="1" applyFill="1" applyBorder="1"/>
    <xf numFmtId="0" fontId="14" fillId="9" borderId="0" xfId="0" applyFont="1" applyFill="1" applyBorder="1" applyProtection="1">
      <protection hidden="1"/>
    </xf>
    <xf numFmtId="0" fontId="15" fillId="9" borderId="0" xfId="0" applyFont="1" applyFill="1" applyBorder="1" applyAlignment="1" applyProtection="1">
      <alignment horizontal="center"/>
      <protection hidden="1"/>
    </xf>
    <xf numFmtId="0" fontId="10" fillId="9" borderId="0" xfId="0" applyFont="1" applyFill="1" applyBorder="1" applyProtection="1">
      <protection hidden="1"/>
    </xf>
    <xf numFmtId="0" fontId="10" fillId="9" borderId="2" xfId="0" applyFont="1" applyFill="1" applyBorder="1"/>
    <xf numFmtId="0" fontId="8" fillId="9" borderId="0" xfId="0" applyFont="1" applyFill="1" applyBorder="1" applyProtection="1">
      <protection hidden="1"/>
    </xf>
    <xf numFmtId="0" fontId="26" fillId="9" borderId="0" xfId="0" applyFont="1" applyFill="1" applyBorder="1" applyAlignment="1" applyProtection="1">
      <alignment vertical="center"/>
      <protection hidden="1"/>
    </xf>
    <xf numFmtId="0" fontId="26" fillId="9" borderId="0" xfId="0" applyFont="1" applyFill="1" applyBorder="1" applyProtection="1">
      <protection hidden="1"/>
    </xf>
    <xf numFmtId="0" fontId="27" fillId="3" borderId="0" xfId="0" applyFont="1" applyFill="1" applyBorder="1" applyProtection="1">
      <protection hidden="1"/>
    </xf>
    <xf numFmtId="2" fontId="29" fillId="3" borderId="0" xfId="0" applyNumberFormat="1" applyFont="1" applyFill="1" applyBorder="1" applyAlignment="1" applyProtection="1">
      <alignment horizontal="center"/>
      <protection hidden="1"/>
    </xf>
    <xf numFmtId="2" fontId="28" fillId="8" borderId="16" xfId="0" applyNumberFormat="1" applyFont="1" applyFill="1" applyBorder="1" applyAlignment="1" applyProtection="1">
      <alignment horizontal="center"/>
      <protection hidden="1"/>
    </xf>
    <xf numFmtId="0" fontId="10" fillId="10" borderId="13" xfId="0" applyFont="1" applyFill="1" applyBorder="1" applyProtection="1">
      <protection locked="0"/>
    </xf>
    <xf numFmtId="0" fontId="28" fillId="11" borderId="16" xfId="0" applyFont="1" applyFill="1" applyBorder="1" applyAlignment="1" applyProtection="1">
      <alignment horizontal="center"/>
      <protection hidden="1"/>
    </xf>
    <xf numFmtId="0" fontId="28" fillId="12" borderId="16" xfId="0" applyFont="1" applyFill="1" applyBorder="1" applyAlignment="1" applyProtection="1">
      <alignment horizontal="center"/>
      <protection hidden="1"/>
    </xf>
    <xf numFmtId="0" fontId="7" fillId="0" borderId="0" xfId="0" applyFont="1"/>
    <xf numFmtId="0" fontId="9" fillId="9" borderId="1" xfId="0" applyFont="1" applyFill="1" applyBorder="1" applyAlignment="1" applyProtection="1">
      <alignment horizontal="center" wrapText="1"/>
      <protection hidden="1"/>
    </xf>
    <xf numFmtId="0" fontId="3" fillId="9" borderId="3" xfId="0" applyFont="1" applyFill="1" applyBorder="1" applyAlignment="1" applyProtection="1">
      <alignment vertical="center"/>
      <protection hidden="1"/>
    </xf>
    <xf numFmtId="0" fontId="22" fillId="9" borderId="5" xfId="0" applyFont="1" applyFill="1" applyBorder="1"/>
    <xf numFmtId="0" fontId="16" fillId="8" borderId="28" xfId="0" applyFont="1" applyFill="1" applyBorder="1" applyAlignment="1">
      <alignment horizontal="center"/>
    </xf>
    <xf numFmtId="0" fontId="16" fillId="8" borderId="29" xfId="0" applyFont="1" applyFill="1" applyBorder="1" applyAlignment="1">
      <alignment horizontal="center"/>
    </xf>
    <xf numFmtId="0" fontId="16" fillId="8" borderId="30" xfId="0" applyFont="1" applyFill="1" applyBorder="1" applyAlignment="1">
      <alignment horizontal="center"/>
    </xf>
    <xf numFmtId="0" fontId="23" fillId="0" borderId="31" xfId="0" applyFont="1" applyFill="1" applyBorder="1" applyAlignment="1">
      <alignment horizontal="center"/>
    </xf>
    <xf numFmtId="0" fontId="10" fillId="4" borderId="13" xfId="0" applyFont="1" applyFill="1" applyBorder="1" applyAlignment="1" applyProtection="1">
      <alignment horizontal="center"/>
      <protection locked="0"/>
    </xf>
    <xf numFmtId="0" fontId="10" fillId="4" borderId="15" xfId="0" applyFont="1" applyFill="1" applyBorder="1" applyAlignment="1" applyProtection="1">
      <alignment horizontal="center"/>
      <protection locked="0"/>
    </xf>
    <xf numFmtId="164" fontId="10" fillId="4" borderId="13" xfId="0" applyNumberFormat="1" applyFont="1" applyFill="1" applyBorder="1" applyAlignment="1" applyProtection="1">
      <alignment horizontal="center"/>
      <protection locked="0"/>
    </xf>
    <xf numFmtId="164" fontId="10" fillId="4" borderId="14" xfId="0" applyNumberFormat="1" applyFont="1" applyFill="1" applyBorder="1" applyAlignment="1" applyProtection="1">
      <alignment horizontal="center"/>
      <protection locked="0"/>
    </xf>
    <xf numFmtId="164" fontId="10" fillId="4" borderId="15" xfId="0" applyNumberFormat="1" applyFont="1" applyFill="1" applyBorder="1" applyAlignment="1" applyProtection="1">
      <alignment horizontal="center"/>
      <protection locked="0"/>
    </xf>
    <xf numFmtId="0" fontId="17" fillId="4" borderId="13" xfId="0" applyFont="1" applyFill="1" applyBorder="1" applyAlignment="1" applyProtection="1">
      <alignment horizontal="center"/>
      <protection locked="0"/>
    </xf>
    <xf numFmtId="0" fontId="17" fillId="4" borderId="15" xfId="0" applyFont="1" applyFill="1" applyBorder="1" applyAlignment="1" applyProtection="1">
      <alignment horizontal="center"/>
      <protection locked="0"/>
    </xf>
  </cellXfs>
  <cellStyles count="2">
    <cellStyle name="Hyperlink" xfId="1" builtinId="8"/>
    <cellStyle name="Normal" xfId="0" builtinId="0"/>
  </cellStyles>
  <dxfs count="14">
    <dxf>
      <alignment horizontal="center" vertical="center" textRotation="0" wrapText="0" indent="0" justifyLastLine="0" shrinkToFit="0" readingOrder="0"/>
    </dxf>
    <dxf>
      <alignment horizontal="center" vertical="bottom" textRotation="0" wrapText="0" relativeIndent="0" justifyLastLine="0" shrinkToFit="0" readingOrder="0"/>
    </dxf>
    <dxf>
      <alignment horizontal="center" vertical="bottom" textRotation="0" wrapText="0" relativeIndent="0" justifyLastLine="0" shrinkToFit="0" readingOrder="0"/>
    </dxf>
    <dxf>
      <alignment horizontal="center" vertical="bottom" textRotation="0" wrapText="0" relative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colors>
    <mruColors>
      <color rgb="FFE7A614"/>
      <color rgb="FF00467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hyperlink" Target="http://somerset.kctcs.edu/en/Academics/Programs_of_Study/Health_-_Physical_Therapist_Assistant.aspx" TargetMode="External"/><Relationship Id="rId1" Type="http://schemas.openxmlformats.org/officeDocument/2006/relationships/hyperlink" Target="http://somerset.kctcs.edu/" TargetMode="External"/></Relationships>
</file>

<file path=xl/drawings/drawing1.xml><?xml version="1.0" encoding="utf-8"?>
<xdr:wsDr xmlns:xdr="http://schemas.openxmlformats.org/drawingml/2006/spreadsheetDrawing" xmlns:a="http://schemas.openxmlformats.org/drawingml/2006/main">
  <xdr:oneCellAnchor>
    <xdr:from>
      <xdr:col>3</xdr:col>
      <xdr:colOff>523875</xdr:colOff>
      <xdr:row>2</xdr:row>
      <xdr:rowOff>9525</xdr:rowOff>
    </xdr:from>
    <xdr:ext cx="1439048" cy="264560"/>
    <xdr:sp macro="" textlink="">
      <xdr:nvSpPr>
        <xdr:cNvPr id="2" name="TextBox 1"/>
        <xdr:cNvSpPr txBox="1"/>
      </xdr:nvSpPr>
      <xdr:spPr>
        <a:xfrm>
          <a:off x="930275" y="568325"/>
          <a:ext cx="143904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1100" b="1">
              <a:solidFill>
                <a:srgbClr val="00467F"/>
              </a:solidFill>
            </a:rPr>
            <a:t>Student Name and ID</a:t>
          </a:r>
        </a:p>
      </xdr:txBody>
    </xdr:sp>
    <xdr:clientData/>
  </xdr:oneCellAnchor>
  <xdr:oneCellAnchor>
    <xdr:from>
      <xdr:col>8</xdr:col>
      <xdr:colOff>57150</xdr:colOff>
      <xdr:row>2</xdr:row>
      <xdr:rowOff>9525</xdr:rowOff>
    </xdr:from>
    <xdr:ext cx="629531" cy="264560"/>
    <xdr:sp macro="" textlink="">
      <xdr:nvSpPr>
        <xdr:cNvPr id="3" name="TextBox 2"/>
        <xdr:cNvSpPr txBox="1"/>
      </xdr:nvSpPr>
      <xdr:spPr>
        <a:xfrm>
          <a:off x="5873750" y="568325"/>
          <a:ext cx="6295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1100" b="1">
              <a:solidFill>
                <a:srgbClr val="00467F"/>
              </a:solidFill>
            </a:rPr>
            <a:t>Advisor</a:t>
          </a:r>
        </a:p>
      </xdr:txBody>
    </xdr:sp>
    <xdr:clientData/>
  </xdr:oneCellAnchor>
  <xdr:oneCellAnchor>
    <xdr:from>
      <xdr:col>16</xdr:col>
      <xdr:colOff>1171575</xdr:colOff>
      <xdr:row>2</xdr:row>
      <xdr:rowOff>9525</xdr:rowOff>
    </xdr:from>
    <xdr:ext cx="463204" cy="264560"/>
    <xdr:sp macro="" textlink="">
      <xdr:nvSpPr>
        <xdr:cNvPr id="4" name="TextBox 3"/>
        <xdr:cNvSpPr txBox="1"/>
      </xdr:nvSpPr>
      <xdr:spPr>
        <a:xfrm>
          <a:off x="9210675" y="568325"/>
          <a:ext cx="463204"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1100" b="1">
              <a:solidFill>
                <a:srgbClr val="00467F"/>
              </a:solidFill>
            </a:rPr>
            <a:t>Date</a:t>
          </a:r>
        </a:p>
      </xdr:txBody>
    </xdr:sp>
    <xdr:clientData/>
  </xdr:oneCellAnchor>
  <xdr:oneCellAnchor>
    <xdr:from>
      <xdr:col>14</xdr:col>
      <xdr:colOff>25400</xdr:colOff>
      <xdr:row>27</xdr:row>
      <xdr:rowOff>38100</xdr:rowOff>
    </xdr:from>
    <xdr:ext cx="4241799" cy="254000"/>
    <xdr:sp macro="" textlink="">
      <xdr:nvSpPr>
        <xdr:cNvPr id="5" name="TextBox 4"/>
        <xdr:cNvSpPr txBox="1"/>
      </xdr:nvSpPr>
      <xdr:spPr>
        <a:xfrm>
          <a:off x="6184900" y="4292600"/>
          <a:ext cx="4241799" cy="25400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r"/>
          <a:r>
            <a:rPr lang="en-US" sz="1000" b="1">
              <a:solidFill>
                <a:srgbClr val="00467F"/>
              </a:solidFill>
              <a:latin typeface="Arial Narrow" pitchFamily="34" charset="0"/>
            </a:rPr>
            <a:t>*38 Hours, Minimum Grade of C Required ;</a:t>
          </a:r>
          <a:r>
            <a:rPr lang="en-US" sz="1000" b="1" baseline="0">
              <a:solidFill>
                <a:srgbClr val="00467F"/>
              </a:solidFill>
              <a:latin typeface="Arial Narrow" pitchFamily="34" charset="0"/>
            </a:rPr>
            <a:t> Pass Required for Practicum Courses</a:t>
          </a:r>
          <a:endParaRPr lang="en-US" sz="1000" b="1">
            <a:solidFill>
              <a:srgbClr val="00467F"/>
            </a:solidFill>
            <a:latin typeface="Arial Narrow" pitchFamily="34" charset="0"/>
          </a:endParaRPr>
        </a:p>
      </xdr:txBody>
    </xdr:sp>
    <xdr:clientData/>
  </xdr:oneCellAnchor>
  <xdr:oneCellAnchor>
    <xdr:from>
      <xdr:col>5</xdr:col>
      <xdr:colOff>139700</xdr:colOff>
      <xdr:row>27</xdr:row>
      <xdr:rowOff>38101</xdr:rowOff>
    </xdr:from>
    <xdr:ext cx="2730500" cy="190500"/>
    <xdr:sp macro="" textlink="">
      <xdr:nvSpPr>
        <xdr:cNvPr id="6" name="TextBox 5"/>
        <xdr:cNvSpPr txBox="1"/>
      </xdr:nvSpPr>
      <xdr:spPr>
        <a:xfrm>
          <a:off x="3594100" y="4292601"/>
          <a:ext cx="2730500" cy="19050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r"/>
          <a:r>
            <a:rPr lang="en-US" sz="1000" b="1">
              <a:solidFill>
                <a:srgbClr val="00467F"/>
              </a:solidFill>
              <a:latin typeface="Arial Narrow" pitchFamily="34" charset="0"/>
            </a:rPr>
            <a:t>*25-30</a:t>
          </a:r>
          <a:r>
            <a:rPr lang="en-US" sz="1000" b="1" baseline="0">
              <a:solidFill>
                <a:srgbClr val="00467F"/>
              </a:solidFill>
              <a:latin typeface="Arial Narrow" pitchFamily="34" charset="0"/>
            </a:rPr>
            <a:t> </a:t>
          </a:r>
          <a:r>
            <a:rPr lang="en-US" sz="1000" b="1">
              <a:solidFill>
                <a:srgbClr val="00467F"/>
              </a:solidFill>
              <a:latin typeface="Arial Narrow" pitchFamily="34" charset="0"/>
            </a:rPr>
            <a:t>Hours, Minimum Grade of "C" Required</a:t>
          </a:r>
        </a:p>
      </xdr:txBody>
    </xdr:sp>
    <xdr:clientData/>
  </xdr:oneCellAnchor>
  <xdr:oneCellAnchor>
    <xdr:from>
      <xdr:col>13</xdr:col>
      <xdr:colOff>50800</xdr:colOff>
      <xdr:row>31</xdr:row>
      <xdr:rowOff>50800</xdr:rowOff>
    </xdr:from>
    <xdr:ext cx="4381500" cy="977900"/>
    <xdr:sp macro="" textlink="">
      <xdr:nvSpPr>
        <xdr:cNvPr id="7" name="TextBox 6"/>
        <xdr:cNvSpPr txBox="1"/>
      </xdr:nvSpPr>
      <xdr:spPr>
        <a:xfrm>
          <a:off x="6146800" y="5003800"/>
          <a:ext cx="4381500" cy="977900"/>
        </a:xfrm>
        <a:prstGeom prst="rect">
          <a:avLst/>
        </a:prstGeom>
        <a:solidFill>
          <a:srgbClr val="E7A614"/>
        </a:solid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l"/>
          <a:r>
            <a:rPr lang="en-US" sz="1100" b="1">
              <a:solidFill>
                <a:schemeClr val="tx2">
                  <a:lumMod val="75000"/>
                </a:schemeClr>
              </a:solidFill>
              <a:latin typeface="+mn-lt"/>
            </a:rPr>
            <a:t>Please Note:  </a:t>
          </a:r>
          <a:r>
            <a:rPr lang="en-US" sz="1100">
              <a:solidFill>
                <a:schemeClr val="tx2">
                  <a:lumMod val="75000"/>
                </a:schemeClr>
              </a:solidFill>
              <a:latin typeface="+mn-lt"/>
            </a:rPr>
            <a:t>This</a:t>
          </a:r>
          <a:r>
            <a:rPr lang="en-US" sz="1100" baseline="0">
              <a:solidFill>
                <a:schemeClr val="tx2">
                  <a:lumMod val="75000"/>
                </a:schemeClr>
              </a:solidFill>
              <a:latin typeface="+mn-lt"/>
            </a:rPr>
            <a:t> degree planning guide is designed to help students plan for a Physical Therapist Assistant AAS Degree. </a:t>
          </a:r>
          <a:r>
            <a:rPr lang="en-US" sz="1100">
              <a:solidFill>
                <a:schemeClr val="tx2">
                  <a:lumMod val="75000"/>
                </a:schemeClr>
              </a:solidFill>
              <a:latin typeface="+mn-lt"/>
            </a:rPr>
            <a:t>Degree requirements may change, please consult your advisor for specific classes</a:t>
          </a:r>
          <a:r>
            <a:rPr lang="en-US" sz="1100" baseline="0">
              <a:solidFill>
                <a:schemeClr val="tx2">
                  <a:lumMod val="75000"/>
                </a:schemeClr>
              </a:solidFill>
              <a:latin typeface="+mn-lt"/>
            </a:rPr>
            <a:t> and program requirements. this is </a:t>
          </a:r>
          <a:r>
            <a:rPr lang="en-US" sz="1100" u="sng" baseline="0">
              <a:solidFill>
                <a:schemeClr val="tx2">
                  <a:lumMod val="75000"/>
                </a:schemeClr>
              </a:solidFill>
              <a:latin typeface="+mn-lt"/>
            </a:rPr>
            <a:t>not</a:t>
          </a:r>
          <a:r>
            <a:rPr lang="en-US" sz="1100" baseline="0">
              <a:solidFill>
                <a:schemeClr val="tx2">
                  <a:lumMod val="75000"/>
                </a:schemeClr>
              </a:solidFill>
              <a:latin typeface="+mn-lt"/>
            </a:rPr>
            <a:t> to be used as an official record of your coursework or GPA at Somerset Community College. </a:t>
          </a:r>
          <a:endParaRPr lang="en-US" sz="1100">
            <a:solidFill>
              <a:schemeClr val="tx2">
                <a:lumMod val="75000"/>
              </a:schemeClr>
            </a:solidFill>
            <a:latin typeface="+mn-lt"/>
          </a:endParaRPr>
        </a:p>
      </xdr:txBody>
    </xdr:sp>
    <xdr:clientData/>
  </xdr:oneCellAnchor>
  <xdr:oneCellAnchor>
    <xdr:from>
      <xdr:col>16</xdr:col>
      <xdr:colOff>1485901</xdr:colOff>
      <xdr:row>36</xdr:row>
      <xdr:rowOff>57150</xdr:rowOff>
    </xdr:from>
    <xdr:ext cx="1384300" cy="386644"/>
    <xdr:sp macro="" textlink="">
      <xdr:nvSpPr>
        <xdr:cNvPr id="14" name="TextBox 13">
          <a:hlinkClick xmlns:r="http://schemas.openxmlformats.org/officeDocument/2006/relationships" r:id="rId1"/>
        </xdr:cNvPr>
        <xdr:cNvSpPr txBox="1"/>
      </xdr:nvSpPr>
      <xdr:spPr>
        <a:xfrm>
          <a:off x="9118601" y="6242050"/>
          <a:ext cx="1384300" cy="386644"/>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l"/>
          <a:r>
            <a:rPr lang="en-US" sz="1000" b="1" u="sng">
              <a:solidFill>
                <a:schemeClr val="tx2">
                  <a:lumMod val="75000"/>
                </a:schemeClr>
              </a:solidFill>
              <a:latin typeface="Arial Narrow" pitchFamily="34" charset="0"/>
            </a:rPr>
            <a:t>SCC Website</a:t>
          </a:r>
        </a:p>
      </xdr:txBody>
    </xdr:sp>
    <xdr:clientData/>
  </xdr:oneCellAnchor>
  <xdr:oneCellAnchor>
    <xdr:from>
      <xdr:col>13</xdr:col>
      <xdr:colOff>38100</xdr:colOff>
      <xdr:row>36</xdr:row>
      <xdr:rowOff>57150</xdr:rowOff>
    </xdr:from>
    <xdr:ext cx="2933699" cy="386644"/>
    <xdr:sp macro="" textlink="">
      <xdr:nvSpPr>
        <xdr:cNvPr id="16" name="TextBox 15">
          <a:hlinkClick xmlns:r="http://schemas.openxmlformats.org/officeDocument/2006/relationships" r:id="rId2"/>
        </xdr:cNvPr>
        <xdr:cNvSpPr txBox="1"/>
      </xdr:nvSpPr>
      <xdr:spPr>
        <a:xfrm>
          <a:off x="6464300" y="6242050"/>
          <a:ext cx="2933699" cy="386644"/>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l"/>
          <a:r>
            <a:rPr lang="en-US" sz="1000" b="1" i="0" u="sng">
              <a:solidFill>
                <a:schemeClr val="tx2">
                  <a:lumMod val="75000"/>
                </a:schemeClr>
              </a:solidFill>
              <a:latin typeface="Arial Narrow" pitchFamily="34" charset="0"/>
            </a:rPr>
            <a:t>Somerset Community College PTA Program Website</a:t>
          </a:r>
        </a:p>
      </xdr:txBody>
    </xdr:sp>
    <xdr:clientData/>
  </xdr:oneCellAnchor>
  <xdr:oneCellAnchor>
    <xdr:from>
      <xdr:col>5</xdr:col>
      <xdr:colOff>47625</xdr:colOff>
      <xdr:row>33</xdr:row>
      <xdr:rowOff>238125</xdr:rowOff>
    </xdr:from>
    <xdr:ext cx="1466850" cy="239489"/>
    <xdr:sp macro="" textlink="">
      <xdr:nvSpPr>
        <xdr:cNvPr id="17" name="TextBox 16"/>
        <xdr:cNvSpPr txBox="1"/>
      </xdr:nvSpPr>
      <xdr:spPr>
        <a:xfrm>
          <a:off x="3276600" y="5514975"/>
          <a:ext cx="1466850" cy="239489"/>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l"/>
          <a:r>
            <a:rPr lang="en-US" sz="1000" b="1" baseline="0">
              <a:solidFill>
                <a:srgbClr val="00467F"/>
              </a:solidFill>
              <a:latin typeface="Arial Narrow" pitchFamily="34" charset="0"/>
            </a:rPr>
            <a:t>63-68 Hours Required</a:t>
          </a:r>
          <a:endParaRPr lang="en-US" sz="1000" b="1">
            <a:solidFill>
              <a:srgbClr val="00467F"/>
            </a:solidFill>
            <a:latin typeface="Arial Narrow" pitchFamily="34" charset="0"/>
          </a:endParaRPr>
        </a:p>
      </xdr:txBody>
    </xdr:sp>
    <xdr:clientData/>
  </xdr:oneCellAnchor>
  <xdr:oneCellAnchor>
    <xdr:from>
      <xdr:col>5</xdr:col>
      <xdr:colOff>47625</xdr:colOff>
      <xdr:row>30</xdr:row>
      <xdr:rowOff>0</xdr:rowOff>
    </xdr:from>
    <xdr:ext cx="1466850" cy="248851"/>
    <xdr:sp macro="" textlink="">
      <xdr:nvSpPr>
        <xdr:cNvPr id="18" name="TextBox 17"/>
        <xdr:cNvSpPr txBox="1"/>
      </xdr:nvSpPr>
      <xdr:spPr>
        <a:xfrm>
          <a:off x="3502025" y="4711700"/>
          <a:ext cx="1466850" cy="248851"/>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l"/>
          <a:r>
            <a:rPr lang="en-US" sz="1000" b="1">
              <a:solidFill>
                <a:srgbClr val="00467F"/>
              </a:solidFill>
              <a:latin typeface="Arial Narrow" pitchFamily="34" charset="0"/>
            </a:rPr>
            <a:t>26-30</a:t>
          </a:r>
          <a:r>
            <a:rPr lang="en-US" sz="1000" b="1" baseline="0">
              <a:solidFill>
                <a:srgbClr val="00467F"/>
              </a:solidFill>
              <a:latin typeface="Arial Narrow" pitchFamily="34" charset="0"/>
            </a:rPr>
            <a:t> Hours </a:t>
          </a:r>
          <a:r>
            <a:rPr lang="en-US" sz="1000" b="1" baseline="0">
              <a:solidFill>
                <a:srgbClr val="00467F"/>
              </a:solidFill>
              <a:latin typeface="+mn-lt"/>
            </a:rPr>
            <a:t>Required</a:t>
          </a:r>
          <a:endParaRPr lang="en-US" sz="1000" b="1">
            <a:solidFill>
              <a:srgbClr val="00467F"/>
            </a:solidFill>
            <a:latin typeface="+mn-lt"/>
          </a:endParaRPr>
        </a:p>
      </xdr:txBody>
    </xdr:sp>
    <xdr:clientData/>
  </xdr:oneCellAnchor>
  <xdr:oneCellAnchor>
    <xdr:from>
      <xdr:col>5</xdr:col>
      <xdr:colOff>47625</xdr:colOff>
      <xdr:row>32</xdr:row>
      <xdr:rowOff>0</xdr:rowOff>
    </xdr:from>
    <xdr:ext cx="1466850" cy="248851"/>
    <xdr:sp macro="" textlink="">
      <xdr:nvSpPr>
        <xdr:cNvPr id="19" name="TextBox 18"/>
        <xdr:cNvSpPr txBox="1"/>
      </xdr:nvSpPr>
      <xdr:spPr>
        <a:xfrm>
          <a:off x="3502025" y="5168900"/>
          <a:ext cx="1466850" cy="248851"/>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l"/>
          <a:r>
            <a:rPr lang="en-US" sz="1000" b="1">
              <a:solidFill>
                <a:srgbClr val="00467F"/>
              </a:solidFill>
              <a:latin typeface="Arial Narrow" pitchFamily="34" charset="0"/>
            </a:rPr>
            <a:t>38</a:t>
          </a:r>
          <a:r>
            <a:rPr lang="en-US" sz="1000" b="1" baseline="0">
              <a:solidFill>
                <a:srgbClr val="00467F"/>
              </a:solidFill>
              <a:latin typeface="Arial Narrow" pitchFamily="34" charset="0"/>
            </a:rPr>
            <a:t> </a:t>
          </a:r>
          <a:r>
            <a:rPr lang="en-US" sz="1000" b="1" baseline="0">
              <a:solidFill>
                <a:srgbClr val="00467F"/>
              </a:solidFill>
              <a:latin typeface="+mn-lt"/>
            </a:rPr>
            <a:t>Hours</a:t>
          </a:r>
          <a:r>
            <a:rPr lang="en-US" sz="1000" b="1" baseline="0">
              <a:solidFill>
                <a:srgbClr val="00467F"/>
              </a:solidFill>
              <a:latin typeface="Arial Narrow" pitchFamily="34" charset="0"/>
            </a:rPr>
            <a:t> Required</a:t>
          </a:r>
          <a:endParaRPr lang="en-US" sz="1000" b="1">
            <a:solidFill>
              <a:srgbClr val="00467F"/>
            </a:solidFill>
            <a:latin typeface="Arial Narrow" pitchFamily="34" charset="0"/>
          </a:endParaRPr>
        </a:p>
      </xdr:txBody>
    </xdr:sp>
    <xdr:clientData/>
  </xdr:oneCellAnchor>
  <xdr:oneCellAnchor>
    <xdr:from>
      <xdr:col>1</xdr:col>
      <xdr:colOff>133350</xdr:colOff>
      <xdr:row>36</xdr:row>
      <xdr:rowOff>47625</xdr:rowOff>
    </xdr:from>
    <xdr:ext cx="1019175" cy="248851"/>
    <xdr:sp macro="" textlink="">
      <xdr:nvSpPr>
        <xdr:cNvPr id="21" name="TextBox 20"/>
        <xdr:cNvSpPr txBox="1"/>
      </xdr:nvSpPr>
      <xdr:spPr>
        <a:xfrm>
          <a:off x="234950" y="6156325"/>
          <a:ext cx="1019175" cy="248851"/>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l"/>
          <a:r>
            <a:rPr lang="en-US" sz="1000">
              <a:solidFill>
                <a:schemeClr val="tx2">
                  <a:lumMod val="75000"/>
                </a:schemeClr>
              </a:solidFill>
              <a:latin typeface="+mn-lt"/>
            </a:rPr>
            <a:t>Revision 4134</a:t>
          </a:r>
        </a:p>
      </xdr:txBody>
    </xdr:sp>
    <xdr:clientData/>
  </xdr:oneCellAnchor>
</xdr:wsDr>
</file>

<file path=xl/tables/table1.xml><?xml version="1.0" encoding="utf-8"?>
<table xmlns="http://schemas.openxmlformats.org/spreadsheetml/2006/main" id="1" name="Table1" displayName="Table1" ref="Y32:AA42" totalsRowShown="0">
  <autoFilter ref="Y32:AA42"/>
  <tableColumns count="3">
    <tableColumn id="1" name="Course Lists" dataDxfId="6"/>
    <tableColumn id="2" name="Description"/>
    <tableColumn id="3" name="Hours" dataDxfId="5"/>
  </tableColumns>
  <tableStyleInfo name="TableStyleLight1" showFirstColumn="0" showLastColumn="0" showRowStripes="1" showColumnStripes="0"/>
</table>
</file>

<file path=xl/tables/table2.xml><?xml version="1.0" encoding="utf-8"?>
<table xmlns="http://schemas.openxmlformats.org/spreadsheetml/2006/main" id="5" name="Table5" displayName="Table5" ref="AC32:AE199" totalsRowShown="0">
  <autoFilter ref="AC32:AE199"/>
  <tableColumns count="3">
    <tableColumn id="1" name="Course Lists"/>
    <tableColumn id="2" name="Description"/>
    <tableColumn id="3" name="Hours" dataDxfId="4"/>
  </tableColumns>
  <tableStyleInfo name="TableStyleLight1" showFirstColumn="0" showLastColumn="0" showRowStripes="1" showColumnStripes="0"/>
</table>
</file>

<file path=xl/tables/table3.xml><?xml version="1.0" encoding="utf-8"?>
<table xmlns="http://schemas.openxmlformats.org/spreadsheetml/2006/main" id="6" name="Table6" displayName="Table6" ref="AG32:AH37" totalsRowShown="0" headerRowDxfId="3" dataDxfId="2">
  <autoFilter ref="AG32:AH37"/>
  <sortState ref="AG33:AH37">
    <sortCondition descending="1" ref="AH32:AH37"/>
  </sortState>
  <tableColumns count="2">
    <tableColumn id="1" name="Grade" dataDxfId="1"/>
    <tableColumn id="2" name="Points" dataDxfId="0"/>
  </tableColumns>
  <tableStyleInfo name="TableStyleLight1" showFirstColumn="0" showLastColumn="0" showRowStripes="1" showColumnStripes="0"/>
</table>
</file>

<file path=xl/tables/table4.xml><?xml version="1.0" encoding="utf-8"?>
<table xmlns="http://schemas.openxmlformats.org/spreadsheetml/2006/main" id="8" name="Table8" displayName="Table8" ref="AG39:AG41" totalsRowShown="0">
  <autoFilter ref="AG39:AG41"/>
  <tableColumns count="1">
    <tableColumn id="1" name="Grad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ublished="0"/>
  <dimension ref="B1:AJ199"/>
  <sheetViews>
    <sheetView showGridLines="0" tabSelected="1" zoomScale="75" zoomScaleNormal="75" workbookViewId="0">
      <selection activeCell="D15" sqref="D15"/>
    </sheetView>
  </sheetViews>
  <sheetFormatPr defaultRowHeight="15" x14ac:dyDescent="0.25"/>
  <cols>
    <col min="1" max="1" width="1.42578125" customWidth="1"/>
    <col min="2" max="2" width="0.5703125" customWidth="1"/>
    <col min="3" max="3" width="0.7109375" customWidth="1"/>
    <col min="4" max="4" width="32.7109375" customWidth="1"/>
    <col min="5" max="5" width="12.85546875" customWidth="1"/>
    <col min="6" max="6" width="27.42578125" customWidth="1"/>
    <col min="7" max="7" width="6.5703125" hidden="1" customWidth="1"/>
    <col min="8" max="8" width="8" customWidth="1"/>
    <col min="9" max="9" width="6.42578125" customWidth="1"/>
    <col min="10" max="10" width="14.140625" hidden="1" customWidth="1"/>
    <col min="11" max="11" width="14.5703125" hidden="1" customWidth="1"/>
    <col min="12" max="12" width="18.85546875" hidden="1" customWidth="1"/>
    <col min="13" max="13" width="0.85546875" customWidth="1"/>
    <col min="14" max="14" width="2.140625" customWidth="1"/>
    <col min="15" max="15" width="9.140625" customWidth="1"/>
    <col min="16" max="16" width="11.85546875" customWidth="1"/>
    <col min="17" max="17" width="25.7109375" customWidth="1"/>
    <col min="18" max="18" width="0.28515625" customWidth="1"/>
    <col min="19" max="20" width="8" customWidth="1"/>
    <col min="21" max="21" width="8" hidden="1" customWidth="1"/>
    <col min="22" max="22" width="0.140625" hidden="1" customWidth="1"/>
    <col min="23" max="23" width="2.140625" customWidth="1"/>
    <col min="24" max="24" width="0.42578125" hidden="1" customWidth="1"/>
    <col min="25" max="25" width="20.85546875" style="1" hidden="1" customWidth="1"/>
    <col min="26" max="26" width="51.5703125" hidden="1" customWidth="1"/>
    <col min="27" max="27" width="51.5703125" style="1" hidden="1" customWidth="1"/>
    <col min="28" max="28" width="0.140625" hidden="1" customWidth="1"/>
    <col min="29" max="29" width="48.140625" hidden="1" customWidth="1"/>
    <col min="30" max="30" width="1.140625" hidden="1" customWidth="1"/>
    <col min="31" max="31" width="35.28515625" style="1" hidden="1" customWidth="1"/>
    <col min="32" max="32" width="0.140625" customWidth="1"/>
    <col min="33" max="33" width="46.140625" hidden="1" customWidth="1"/>
    <col min="34" max="34" width="50.85546875" hidden="1" customWidth="1"/>
    <col min="35" max="35" width="45.28515625" customWidth="1"/>
    <col min="36" max="36" width="44.7109375" customWidth="1"/>
  </cols>
  <sheetData>
    <row r="1" spans="2:32" ht="16.5" thickBot="1" x14ac:dyDescent="0.3">
      <c r="B1" s="23"/>
      <c r="C1" s="14"/>
      <c r="D1" s="15"/>
      <c r="E1" s="15"/>
      <c r="F1" s="15"/>
      <c r="G1" s="15"/>
      <c r="H1" s="15"/>
      <c r="I1" s="15"/>
      <c r="J1" s="15"/>
      <c r="K1" s="15"/>
      <c r="L1" s="15"/>
      <c r="M1" s="15"/>
      <c r="N1" s="15"/>
      <c r="O1" s="15"/>
      <c r="P1" s="15"/>
      <c r="Q1" s="15"/>
      <c r="R1" s="15"/>
      <c r="S1" s="15"/>
      <c r="T1" s="15"/>
      <c r="U1" s="15"/>
      <c r="V1" s="15"/>
      <c r="W1" s="14"/>
      <c r="X1" s="14"/>
      <c r="AB1" s="12"/>
      <c r="AC1" s="12"/>
      <c r="AD1" s="12"/>
      <c r="AE1" s="13"/>
      <c r="AF1" s="12"/>
    </row>
    <row r="2" spans="2:32" ht="27" customHeight="1" x14ac:dyDescent="0.35">
      <c r="B2" s="24"/>
      <c r="C2" s="113" t="s">
        <v>408</v>
      </c>
      <c r="D2" s="113"/>
      <c r="E2" s="113"/>
      <c r="F2" s="113"/>
      <c r="G2" s="113"/>
      <c r="H2" s="113"/>
      <c r="I2" s="113"/>
      <c r="J2" s="113"/>
      <c r="K2" s="113"/>
      <c r="L2" s="113"/>
      <c r="M2" s="113"/>
      <c r="N2" s="113"/>
      <c r="O2" s="113"/>
      <c r="P2" s="113"/>
      <c r="Q2" s="113"/>
      <c r="R2" s="113"/>
      <c r="S2" s="113"/>
      <c r="T2" s="113"/>
      <c r="U2" s="113"/>
      <c r="V2" s="113"/>
      <c r="W2" s="113"/>
      <c r="X2" s="17"/>
      <c r="AB2" s="12"/>
      <c r="AC2" s="12"/>
      <c r="AD2" s="12"/>
      <c r="AE2" s="13"/>
      <c r="AF2" s="12"/>
    </row>
    <row r="3" spans="2:32" ht="4.5" customHeight="1" x14ac:dyDescent="0.25">
      <c r="B3" s="19"/>
      <c r="C3" s="14"/>
      <c r="D3" s="15"/>
      <c r="E3" s="15"/>
      <c r="F3" s="15"/>
      <c r="G3" s="15"/>
      <c r="H3" s="15"/>
      <c r="I3" s="15"/>
      <c r="J3" s="15"/>
      <c r="K3" s="15"/>
      <c r="L3" s="15"/>
      <c r="M3" s="15"/>
      <c r="N3" s="15"/>
      <c r="O3" s="15"/>
      <c r="P3" s="15"/>
      <c r="Q3" s="15"/>
      <c r="R3" s="15"/>
      <c r="S3" s="15"/>
      <c r="T3" s="15"/>
      <c r="U3" s="15"/>
      <c r="V3" s="15"/>
      <c r="W3" s="14"/>
      <c r="X3" s="18"/>
      <c r="AB3" s="12"/>
      <c r="AC3" s="12"/>
      <c r="AD3" s="12"/>
      <c r="AE3" s="13"/>
      <c r="AF3" s="12"/>
    </row>
    <row r="4" spans="2:32" ht="14.25" customHeight="1" x14ac:dyDescent="0.25">
      <c r="B4" s="19"/>
      <c r="C4" s="14"/>
      <c r="D4" s="25"/>
      <c r="E4" s="114"/>
      <c r="F4" s="115"/>
      <c r="G4" s="15"/>
      <c r="H4" s="15"/>
      <c r="I4" s="15"/>
      <c r="J4" s="15"/>
      <c r="K4" s="15"/>
      <c r="L4" s="15"/>
      <c r="M4" s="15"/>
      <c r="N4" s="26"/>
      <c r="O4" s="119"/>
      <c r="P4" s="120"/>
      <c r="Q4" s="25"/>
      <c r="R4" s="116"/>
      <c r="S4" s="117"/>
      <c r="T4" s="118"/>
      <c r="U4" s="15"/>
      <c r="V4" s="15"/>
      <c r="W4" s="14"/>
      <c r="X4" s="18"/>
      <c r="AB4" s="12"/>
      <c r="AC4" s="12"/>
      <c r="AD4" s="12"/>
      <c r="AE4" s="13"/>
      <c r="AF4" s="12"/>
    </row>
    <row r="5" spans="2:32" ht="10.5" customHeight="1" x14ac:dyDescent="0.25">
      <c r="B5" s="19"/>
      <c r="C5" s="14"/>
      <c r="D5" s="15"/>
      <c r="E5" s="15"/>
      <c r="F5" s="15"/>
      <c r="G5" s="15"/>
      <c r="H5" s="15"/>
      <c r="I5" s="15"/>
      <c r="J5" s="15"/>
      <c r="K5" s="15"/>
      <c r="L5" s="15"/>
      <c r="M5" s="15"/>
      <c r="N5" s="15"/>
      <c r="O5" s="15"/>
      <c r="P5" s="15"/>
      <c r="Q5" s="15"/>
      <c r="R5" s="15"/>
      <c r="S5" s="15"/>
      <c r="T5" s="15"/>
      <c r="U5" s="15"/>
      <c r="V5" s="15"/>
      <c r="W5" s="14"/>
      <c r="X5" s="18"/>
      <c r="AB5" s="12"/>
      <c r="AC5" s="12"/>
      <c r="AD5" s="12"/>
      <c r="AE5" s="13"/>
      <c r="AF5" s="12"/>
    </row>
    <row r="6" spans="2:32" ht="18.75" x14ac:dyDescent="0.3">
      <c r="B6" s="19"/>
      <c r="C6" s="110" t="s">
        <v>60</v>
      </c>
      <c r="D6" s="111"/>
      <c r="E6" s="111"/>
      <c r="F6" s="111"/>
      <c r="G6" s="111"/>
      <c r="H6" s="111"/>
      <c r="I6" s="111"/>
      <c r="J6" s="111"/>
      <c r="K6" s="111"/>
      <c r="L6" s="112"/>
      <c r="M6" s="66"/>
      <c r="N6" s="110" t="s">
        <v>59</v>
      </c>
      <c r="O6" s="111"/>
      <c r="P6" s="111"/>
      <c r="Q6" s="111"/>
      <c r="R6" s="111"/>
      <c r="S6" s="111"/>
      <c r="T6" s="111"/>
      <c r="U6" s="111"/>
      <c r="V6" s="111"/>
      <c r="W6" s="112"/>
      <c r="X6" s="18"/>
      <c r="AB6" s="12"/>
      <c r="AC6" s="12"/>
      <c r="AD6" s="12"/>
      <c r="AE6" s="13"/>
      <c r="AF6" s="12"/>
    </row>
    <row r="7" spans="2:32" ht="37.5" customHeight="1" x14ac:dyDescent="0.25">
      <c r="B7" s="19"/>
      <c r="C7" s="107"/>
      <c r="D7" s="89" t="s">
        <v>72</v>
      </c>
      <c r="E7" s="90" t="s">
        <v>70</v>
      </c>
      <c r="F7" s="90" t="s">
        <v>73</v>
      </c>
      <c r="G7" s="91" t="s">
        <v>68</v>
      </c>
      <c r="H7" s="90" t="s">
        <v>407</v>
      </c>
      <c r="I7" s="90" t="s">
        <v>13</v>
      </c>
      <c r="J7" s="73" t="s">
        <v>63</v>
      </c>
      <c r="K7" s="74"/>
      <c r="L7" s="75"/>
      <c r="M7" s="76"/>
      <c r="N7" s="79"/>
      <c r="O7" s="89" t="s">
        <v>71</v>
      </c>
      <c r="P7" s="90" t="s">
        <v>70</v>
      </c>
      <c r="Q7" s="90" t="s">
        <v>73</v>
      </c>
      <c r="R7" s="91" t="s">
        <v>68</v>
      </c>
      <c r="S7" s="90" t="s">
        <v>407</v>
      </c>
      <c r="T7" s="90" t="s">
        <v>13</v>
      </c>
      <c r="U7" s="81" t="s">
        <v>65</v>
      </c>
      <c r="V7" s="81"/>
      <c r="W7" s="82"/>
      <c r="X7" s="18"/>
      <c r="AB7" s="12"/>
      <c r="AC7" s="12"/>
      <c r="AD7" s="12"/>
      <c r="AE7" s="13"/>
      <c r="AF7" s="12"/>
    </row>
    <row r="8" spans="2:32" ht="7.5" customHeight="1" x14ac:dyDescent="0.25">
      <c r="B8" s="19"/>
      <c r="C8" s="80"/>
      <c r="D8" s="67"/>
      <c r="E8" s="67"/>
      <c r="F8" s="67"/>
      <c r="G8" s="67"/>
      <c r="H8" s="67"/>
      <c r="I8" s="67"/>
      <c r="J8" s="67"/>
      <c r="K8" s="67"/>
      <c r="L8" s="77"/>
      <c r="M8" s="78"/>
      <c r="N8" s="80"/>
      <c r="O8" s="67"/>
      <c r="P8" s="67"/>
      <c r="Q8" s="67"/>
      <c r="R8" s="67"/>
      <c r="S8" s="67"/>
      <c r="T8" s="67"/>
      <c r="U8" s="81"/>
      <c r="V8" s="81"/>
      <c r="W8" s="77"/>
      <c r="X8" s="18"/>
      <c r="AB8" s="12"/>
      <c r="AC8" s="12"/>
      <c r="AD8" s="12"/>
      <c r="AE8" s="13"/>
      <c r="AF8" s="12"/>
    </row>
    <row r="9" spans="2:32" ht="15.75" x14ac:dyDescent="0.25">
      <c r="B9" s="19"/>
      <c r="C9" s="80"/>
      <c r="D9" s="70" t="s">
        <v>11</v>
      </c>
      <c r="E9" s="103"/>
      <c r="F9" s="35" t="str">
        <f t="shared" ref="F9:F27" si="0">IF(E9="","", IF(VLOOKUP(E9,$AC$32:$AE$199,2,0)="", "", VLOOKUP(E9,$AC$32:$AE$199,2,0)))</f>
        <v/>
      </c>
      <c r="G9" s="36" t="str">
        <f t="shared" ref="G9:G27" si="1">IF(E9="","",(VLOOKUP(E9,$AC$32:$AE$199,3,0)))</f>
        <v/>
      </c>
      <c r="H9" s="36" t="str">
        <f>IF(E9="","",(VLOOKUP(E9,$AC$32:$AE$199,3,0)))</f>
        <v/>
      </c>
      <c r="I9" s="64"/>
      <c r="J9" s="5" t="str">
        <f>IF(I9="","",(VLOOKUP(I9,$AG$33:$AH$37,2,0)))</f>
        <v/>
      </c>
      <c r="K9" s="6" t="str">
        <f>IF(J9&lt;=16,(G9*J9),"" )</f>
        <v/>
      </c>
      <c r="L9" s="7"/>
      <c r="M9" s="86"/>
      <c r="N9" s="83"/>
      <c r="O9" s="98" t="s">
        <v>21</v>
      </c>
      <c r="P9" s="33"/>
      <c r="Q9" s="35" t="str">
        <f t="shared" ref="Q9:Q27" si="2">IF(P9="","", IF(VLOOKUP(P9,$Y$33:$AA$42,2,0)="", "", VLOOKUP(P9,$Y$33:$AA$42,2,0)))</f>
        <v/>
      </c>
      <c r="R9" s="36" t="str">
        <f t="shared" ref="R9:R27" si="3">IF(P9="","",(VLOOKUP(P9,$Y$33:$AA$42,3,0)))</f>
        <v/>
      </c>
      <c r="S9" s="36" t="str">
        <f>IF(P9="","",(VLOOKUP(P9,$Y$33:$AA$42,3,0)))</f>
        <v/>
      </c>
      <c r="T9" s="37"/>
      <c r="U9" s="5" t="str">
        <f>IF(T9="","",(VLOOKUP(T9,$AG$33:$AH$37,2,0)))</f>
        <v/>
      </c>
      <c r="V9" s="6" t="str">
        <f>IF(U9&lt;=16,(R9*U9),"" )</f>
        <v/>
      </c>
      <c r="W9" s="77"/>
      <c r="X9" s="18"/>
      <c r="AB9" s="12"/>
      <c r="AC9" s="12"/>
      <c r="AD9" s="12"/>
      <c r="AE9" s="13"/>
      <c r="AF9" s="12"/>
    </row>
    <row r="10" spans="2:32" ht="3.75" customHeight="1" x14ac:dyDescent="0.25">
      <c r="B10" s="19"/>
      <c r="C10" s="80"/>
      <c r="D10" s="71"/>
      <c r="E10" s="92"/>
      <c r="F10" s="93" t="str">
        <f t="shared" si="0"/>
        <v/>
      </c>
      <c r="G10" s="94" t="str">
        <f t="shared" si="1"/>
        <v/>
      </c>
      <c r="H10" s="94"/>
      <c r="I10" s="95"/>
      <c r="J10" s="92"/>
      <c r="K10" s="92"/>
      <c r="L10" s="96"/>
      <c r="M10" s="86"/>
      <c r="N10" s="83"/>
      <c r="O10" s="99"/>
      <c r="P10" s="97"/>
      <c r="Q10" s="93" t="str">
        <f t="shared" si="2"/>
        <v/>
      </c>
      <c r="R10" s="94" t="str">
        <f t="shared" si="3"/>
        <v/>
      </c>
      <c r="S10" s="94"/>
      <c r="T10" s="95"/>
      <c r="U10" s="6"/>
      <c r="V10" s="11"/>
      <c r="W10" s="77"/>
      <c r="X10" s="18"/>
      <c r="AB10" s="12"/>
      <c r="AC10" s="12"/>
      <c r="AD10" s="12"/>
      <c r="AE10" s="13"/>
      <c r="AF10" s="12"/>
    </row>
    <row r="11" spans="2:32" ht="15.75" x14ac:dyDescent="0.25">
      <c r="B11" s="19"/>
      <c r="C11" s="80"/>
      <c r="D11" s="70" t="s">
        <v>310</v>
      </c>
      <c r="E11" s="32"/>
      <c r="F11" s="35" t="str">
        <f t="shared" si="0"/>
        <v/>
      </c>
      <c r="G11" s="36" t="str">
        <f t="shared" si="1"/>
        <v/>
      </c>
      <c r="H11" s="36" t="str">
        <f>IF(E11="","",(VLOOKUP(E11,$AC$32:$AE$199,3,0)))</f>
        <v/>
      </c>
      <c r="I11" s="37"/>
      <c r="J11" s="5" t="str">
        <f>IF(I11="","",(VLOOKUP(I11,$AG$33:$AH$37,2,0)))</f>
        <v/>
      </c>
      <c r="K11" s="6" t="str">
        <f>IF(J11&lt;=16,(G11*J11),"" )</f>
        <v/>
      </c>
      <c r="L11" s="7"/>
      <c r="M11" s="86"/>
      <c r="N11" s="83"/>
      <c r="O11" s="99" t="s">
        <v>54</v>
      </c>
      <c r="P11" s="34"/>
      <c r="Q11" s="35" t="str">
        <f t="shared" si="2"/>
        <v/>
      </c>
      <c r="R11" s="36" t="str">
        <f t="shared" si="3"/>
        <v/>
      </c>
      <c r="S11" s="36" t="str">
        <f>IF(P11="","",(VLOOKUP(P11,$Y$33:$AA$42,3,0)))</f>
        <v/>
      </c>
      <c r="T11" s="37"/>
      <c r="U11" s="5" t="str">
        <f>IF(T11="","",(VLOOKUP(T11,$AG$33:$AH$37,2,0)))</f>
        <v/>
      </c>
      <c r="V11" s="6" t="str">
        <f>IF(U11&lt;=16,(R11*U11),"" )</f>
        <v/>
      </c>
      <c r="W11" s="77"/>
      <c r="X11" s="18"/>
      <c r="AB11" s="12"/>
      <c r="AC11" s="12"/>
      <c r="AD11" s="12"/>
      <c r="AE11" s="13"/>
      <c r="AF11" s="12"/>
    </row>
    <row r="12" spans="2:32" ht="3.75" customHeight="1" x14ac:dyDescent="0.25">
      <c r="B12" s="19"/>
      <c r="C12" s="80"/>
      <c r="D12" s="71"/>
      <c r="E12" s="92"/>
      <c r="F12" s="93" t="str">
        <f t="shared" si="0"/>
        <v/>
      </c>
      <c r="G12" s="94" t="str">
        <f t="shared" si="1"/>
        <v/>
      </c>
      <c r="H12" s="94"/>
      <c r="I12" s="95"/>
      <c r="J12" s="8"/>
      <c r="K12" s="8"/>
      <c r="L12" s="7"/>
      <c r="M12" s="86"/>
      <c r="N12" s="83"/>
      <c r="O12" s="99"/>
      <c r="P12" s="97"/>
      <c r="Q12" s="93" t="str">
        <f t="shared" si="2"/>
        <v/>
      </c>
      <c r="R12" s="94" t="str">
        <f t="shared" si="3"/>
        <v/>
      </c>
      <c r="S12" s="94"/>
      <c r="T12" s="95"/>
      <c r="U12" s="6"/>
      <c r="V12" s="11"/>
      <c r="W12" s="77"/>
      <c r="X12" s="18"/>
      <c r="AB12" s="12"/>
      <c r="AC12" s="12"/>
      <c r="AD12" s="12"/>
      <c r="AE12" s="13"/>
      <c r="AF12" s="12"/>
    </row>
    <row r="13" spans="2:32" ht="15.75" x14ac:dyDescent="0.25">
      <c r="B13" s="19"/>
      <c r="C13" s="80"/>
      <c r="D13" s="70" t="s">
        <v>62</v>
      </c>
      <c r="E13" s="32"/>
      <c r="F13" s="35" t="str">
        <f t="shared" si="0"/>
        <v/>
      </c>
      <c r="G13" s="36" t="str">
        <f t="shared" si="1"/>
        <v/>
      </c>
      <c r="H13" s="36" t="str">
        <f>IF(E13="","",(VLOOKUP(E13,$AC$32:$AE$199,3,0)))</f>
        <v/>
      </c>
      <c r="I13" s="37"/>
      <c r="J13" s="5" t="str">
        <f>IF(I13="","",(VLOOKUP(I13,$AG$33:$AH$37,2,0)))</f>
        <v/>
      </c>
      <c r="K13" s="6" t="str">
        <f>IF(J13&lt;=16,(G13*J13),"" )</f>
        <v/>
      </c>
      <c r="L13" s="7"/>
      <c r="M13" s="86"/>
      <c r="N13" s="83"/>
      <c r="O13" s="99" t="s">
        <v>23</v>
      </c>
      <c r="P13" s="34"/>
      <c r="Q13" s="35" t="str">
        <f t="shared" si="2"/>
        <v/>
      </c>
      <c r="R13" s="36" t="str">
        <f t="shared" si="3"/>
        <v/>
      </c>
      <c r="S13" s="36" t="str">
        <f>IF(P13="","",(VLOOKUP(P13,$Y$33:$AA$42,3,0)))</f>
        <v/>
      </c>
      <c r="T13" s="37"/>
      <c r="U13" s="5" t="str">
        <f>IF(T13="","",(VLOOKUP(T13,$AG$33:$AH$37,2,0)))</f>
        <v/>
      </c>
      <c r="V13" s="6" t="str">
        <f>IF(U13&lt;=16,(R13*U13),"" )</f>
        <v/>
      </c>
      <c r="W13" s="77"/>
      <c r="X13" s="18"/>
      <c r="Z13" s="38" t="s">
        <v>94</v>
      </c>
      <c r="AB13" s="12"/>
      <c r="AC13" s="12"/>
      <c r="AD13" s="12"/>
      <c r="AE13" s="13"/>
      <c r="AF13" s="12"/>
    </row>
    <row r="14" spans="2:32" ht="3.75" customHeight="1" x14ac:dyDescent="0.25">
      <c r="B14" s="19"/>
      <c r="C14" s="80"/>
      <c r="D14" s="71"/>
      <c r="E14" s="92"/>
      <c r="F14" s="93" t="str">
        <f t="shared" si="0"/>
        <v/>
      </c>
      <c r="G14" s="94" t="str">
        <f t="shared" si="1"/>
        <v/>
      </c>
      <c r="H14" s="94"/>
      <c r="I14" s="95"/>
      <c r="J14" s="8"/>
      <c r="K14" s="8"/>
      <c r="L14" s="7"/>
      <c r="M14" s="86"/>
      <c r="N14" s="83"/>
      <c r="O14" s="99"/>
      <c r="P14" s="97"/>
      <c r="Q14" s="93" t="str">
        <f t="shared" si="2"/>
        <v/>
      </c>
      <c r="R14" s="94" t="str">
        <f t="shared" si="3"/>
        <v/>
      </c>
      <c r="S14" s="94"/>
      <c r="T14" s="95"/>
      <c r="U14" s="92"/>
      <c r="V14" s="68"/>
      <c r="W14" s="77"/>
      <c r="X14" s="18"/>
      <c r="Z14" s="38"/>
      <c r="AB14" s="12"/>
      <c r="AC14" s="12"/>
      <c r="AD14" s="12"/>
      <c r="AE14" s="13"/>
      <c r="AF14" s="12"/>
    </row>
    <row r="15" spans="2:32" ht="15.75" x14ac:dyDescent="0.25">
      <c r="B15" s="19"/>
      <c r="C15" s="80"/>
      <c r="D15" s="71" t="s">
        <v>409</v>
      </c>
      <c r="E15" s="32"/>
      <c r="F15" s="35" t="str">
        <f t="shared" si="0"/>
        <v/>
      </c>
      <c r="G15" s="36" t="str">
        <f t="shared" si="1"/>
        <v/>
      </c>
      <c r="H15" s="36" t="str">
        <f>IF(E15="","",(VLOOKUP(E15,$AC$32:$AE$199,3,0)))</f>
        <v/>
      </c>
      <c r="I15" s="37"/>
      <c r="J15" s="5" t="str">
        <f>IF(I15="","",(VLOOKUP(I15,$AG$33:$AH$37,2,0)))</f>
        <v/>
      </c>
      <c r="K15" s="6" t="str">
        <f>IF(J15&lt;=16,(G15*J15),"" )</f>
        <v/>
      </c>
      <c r="L15" s="7"/>
      <c r="M15" s="86"/>
      <c r="N15" s="83"/>
      <c r="O15" s="99" t="s">
        <v>55</v>
      </c>
      <c r="P15" s="34"/>
      <c r="Q15" s="35" t="str">
        <f t="shared" si="2"/>
        <v/>
      </c>
      <c r="R15" s="36" t="str">
        <f t="shared" si="3"/>
        <v/>
      </c>
      <c r="S15" s="36" t="str">
        <f>IF(P15="","",(VLOOKUP(P15,$Y$33:$AA$42,3,0)))</f>
        <v/>
      </c>
      <c r="T15" s="37"/>
      <c r="U15" s="5" t="str">
        <f>IF(T15="","",(VLOOKUP(T15,$AG$33:$AH$37,2,0)))</f>
        <v/>
      </c>
      <c r="V15" s="6" t="str">
        <f>IF(U15&lt;=16,(R15*U15),"" )</f>
        <v/>
      </c>
      <c r="W15" s="77"/>
      <c r="X15" s="18"/>
      <c r="Z15" s="38">
        <f>IF(T15="Fail", 0, 1)</f>
        <v>1</v>
      </c>
      <c r="AB15" s="12"/>
      <c r="AC15" s="12"/>
      <c r="AD15" s="12"/>
      <c r="AE15" s="13"/>
      <c r="AF15" s="12"/>
    </row>
    <row r="16" spans="2:32" ht="3.75" customHeight="1" x14ac:dyDescent="0.25">
      <c r="B16" s="19"/>
      <c r="C16" s="80"/>
      <c r="D16" s="71"/>
      <c r="E16" s="92"/>
      <c r="F16" s="93" t="str">
        <f t="shared" si="0"/>
        <v/>
      </c>
      <c r="G16" s="94" t="str">
        <f t="shared" si="1"/>
        <v/>
      </c>
      <c r="H16" s="94"/>
      <c r="I16" s="95"/>
      <c r="J16" s="8"/>
      <c r="K16" s="8"/>
      <c r="L16" s="7"/>
      <c r="M16" s="86"/>
      <c r="N16" s="83"/>
      <c r="O16" s="99"/>
      <c r="P16" s="97"/>
      <c r="Q16" s="93" t="str">
        <f t="shared" si="2"/>
        <v/>
      </c>
      <c r="R16" s="94" t="str">
        <f t="shared" si="3"/>
        <v/>
      </c>
      <c r="S16" s="94"/>
      <c r="T16" s="95"/>
      <c r="U16" s="6"/>
      <c r="V16" s="11"/>
      <c r="W16" s="77"/>
      <c r="X16" s="18"/>
      <c r="Z16" s="38"/>
      <c r="AB16" s="12"/>
      <c r="AC16" s="12"/>
      <c r="AD16" s="12"/>
      <c r="AE16" s="13"/>
      <c r="AF16" s="12"/>
    </row>
    <row r="17" spans="2:36" ht="15.75" x14ac:dyDescent="0.25">
      <c r="B17" s="19"/>
      <c r="C17" s="80"/>
      <c r="D17" s="72" t="s">
        <v>61</v>
      </c>
      <c r="E17" s="32"/>
      <c r="F17" s="35" t="str">
        <f t="shared" si="0"/>
        <v/>
      </c>
      <c r="G17" s="36" t="str">
        <f t="shared" si="1"/>
        <v/>
      </c>
      <c r="H17" s="36" t="str">
        <f>IF(E17="","",(VLOOKUP(E17,$AC$32:$AE$199,3,0)))</f>
        <v/>
      </c>
      <c r="I17" s="37"/>
      <c r="J17" s="5" t="str">
        <f>IF(I17="","",(VLOOKUP(I17,$AG$33:$AH$37,2,0)))</f>
        <v/>
      </c>
      <c r="K17" s="6" t="str">
        <f>IF(J17&lt;=16,(G17*J17),"" )</f>
        <v/>
      </c>
      <c r="L17" s="7"/>
      <c r="M17" s="86"/>
      <c r="N17" s="83"/>
      <c r="O17" s="99" t="s">
        <v>25</v>
      </c>
      <c r="P17" s="34"/>
      <c r="Q17" s="35" t="str">
        <f t="shared" si="2"/>
        <v/>
      </c>
      <c r="R17" s="36" t="str">
        <f t="shared" si="3"/>
        <v/>
      </c>
      <c r="S17" s="36" t="str">
        <f>IF(P17="","",(VLOOKUP(P17,$Y$33:$AA$42,3,0)))</f>
        <v/>
      </c>
      <c r="T17" s="37"/>
      <c r="U17" s="5" t="str">
        <f>IF(T17="","",(VLOOKUP(T17,$AG$33:$AH$37,2,0)))</f>
        <v/>
      </c>
      <c r="V17" s="6" t="str">
        <f>IF(U17&lt;=16,(R17*U17),"" )</f>
        <v/>
      </c>
      <c r="W17" s="77"/>
      <c r="X17" s="18"/>
      <c r="Z17" s="38"/>
      <c r="AB17" s="12"/>
      <c r="AC17" s="12"/>
      <c r="AD17" s="12"/>
      <c r="AE17" s="13"/>
      <c r="AF17" s="12"/>
    </row>
    <row r="18" spans="2:36" ht="3.75" customHeight="1" x14ac:dyDescent="0.25">
      <c r="B18" s="19"/>
      <c r="C18" s="80"/>
      <c r="D18" s="71"/>
      <c r="E18" s="92"/>
      <c r="F18" s="93" t="str">
        <f t="shared" si="0"/>
        <v/>
      </c>
      <c r="G18" s="94" t="str">
        <f t="shared" si="1"/>
        <v/>
      </c>
      <c r="H18" s="94"/>
      <c r="I18" s="95"/>
      <c r="J18" s="8"/>
      <c r="K18" s="8"/>
      <c r="L18" s="7"/>
      <c r="M18" s="86"/>
      <c r="N18" s="83"/>
      <c r="O18" s="99"/>
      <c r="P18" s="97"/>
      <c r="Q18" s="93" t="str">
        <f t="shared" si="2"/>
        <v/>
      </c>
      <c r="R18" s="94" t="str">
        <f t="shared" si="3"/>
        <v/>
      </c>
      <c r="S18" s="94"/>
      <c r="T18" s="95"/>
      <c r="U18" s="6"/>
      <c r="V18" s="11"/>
      <c r="W18" s="77"/>
      <c r="X18" s="18"/>
      <c r="Y18" s="1" t="s">
        <v>30</v>
      </c>
      <c r="Z18" s="38" t="s">
        <v>33</v>
      </c>
      <c r="AA18" s="1">
        <v>5</v>
      </c>
      <c r="AB18" s="12"/>
      <c r="AC18" s="12"/>
      <c r="AD18" s="12"/>
      <c r="AE18" s="13"/>
      <c r="AF18" s="12"/>
    </row>
    <row r="19" spans="2:36" ht="15.75" x14ac:dyDescent="0.25">
      <c r="B19" s="19"/>
      <c r="C19" s="80"/>
      <c r="D19" s="71" t="s">
        <v>313</v>
      </c>
      <c r="E19" s="32"/>
      <c r="F19" s="35" t="str">
        <f t="shared" si="0"/>
        <v/>
      </c>
      <c r="G19" s="36" t="str">
        <f t="shared" si="1"/>
        <v/>
      </c>
      <c r="H19" s="36" t="str">
        <f>IF(E19="","",(VLOOKUP(E19,$AC$32:$AE$199,3,0)))</f>
        <v/>
      </c>
      <c r="I19" s="37"/>
      <c r="J19" s="5" t="str">
        <f>IF(I19="","",(VLOOKUP(I19,$AG$33:$AH$37,2,0)))</f>
        <v/>
      </c>
      <c r="K19" s="6" t="str">
        <f>IF(J19&lt;=16,(G19*J19),"" )</f>
        <v/>
      </c>
      <c r="L19" s="7"/>
      <c r="M19" s="86"/>
      <c r="N19" s="83"/>
      <c r="O19" s="99" t="s">
        <v>26</v>
      </c>
      <c r="P19" s="34"/>
      <c r="Q19" s="35" t="str">
        <f t="shared" si="2"/>
        <v/>
      </c>
      <c r="R19" s="36" t="str">
        <f t="shared" si="3"/>
        <v/>
      </c>
      <c r="S19" s="36" t="str">
        <f>IF(P19="","",(VLOOKUP(P19,$Y$33:$AA$42,3,0)))</f>
        <v/>
      </c>
      <c r="T19" s="37"/>
      <c r="U19" s="5" t="str">
        <f>IF(T19="","",(VLOOKUP(T19,$AG$33:$AH$37,2,0)))</f>
        <v/>
      </c>
      <c r="V19" s="6" t="str">
        <f>IF(U19&lt;=16,(R19*U19),"" )</f>
        <v/>
      </c>
      <c r="W19" s="77"/>
      <c r="X19" s="18"/>
      <c r="Z19" s="38"/>
      <c r="AB19" s="12"/>
      <c r="AC19" s="12"/>
      <c r="AD19" s="12"/>
      <c r="AE19" s="13"/>
      <c r="AF19" s="12"/>
    </row>
    <row r="20" spans="2:36" ht="3.75" customHeight="1" x14ac:dyDescent="0.25">
      <c r="B20" s="19"/>
      <c r="C20" s="80"/>
      <c r="D20" s="71"/>
      <c r="E20" s="92"/>
      <c r="F20" s="93" t="str">
        <f t="shared" si="0"/>
        <v/>
      </c>
      <c r="G20" s="94" t="str">
        <f t="shared" si="1"/>
        <v/>
      </c>
      <c r="H20" s="94"/>
      <c r="I20" s="95"/>
      <c r="J20" s="8"/>
      <c r="K20" s="8"/>
      <c r="L20" s="7"/>
      <c r="M20" s="86"/>
      <c r="N20" s="83"/>
      <c r="O20" s="99"/>
      <c r="P20" s="97"/>
      <c r="Q20" s="93" t="str">
        <f t="shared" si="2"/>
        <v/>
      </c>
      <c r="R20" s="94" t="str">
        <f t="shared" si="3"/>
        <v/>
      </c>
      <c r="S20" s="94"/>
      <c r="T20" s="95"/>
      <c r="U20" s="6"/>
      <c r="V20" s="11"/>
      <c r="W20" s="77"/>
      <c r="X20" s="18"/>
      <c r="Z20" s="38"/>
      <c r="AB20" s="12"/>
      <c r="AC20" s="12"/>
      <c r="AD20" s="12"/>
      <c r="AE20" s="13"/>
      <c r="AF20" s="12"/>
    </row>
    <row r="21" spans="2:36" ht="15.75" x14ac:dyDescent="0.25">
      <c r="B21" s="19"/>
      <c r="C21" s="80"/>
      <c r="D21" s="71" t="s">
        <v>76</v>
      </c>
      <c r="E21" s="32"/>
      <c r="F21" s="35" t="str">
        <f t="shared" si="0"/>
        <v/>
      </c>
      <c r="G21" s="36" t="str">
        <f t="shared" si="1"/>
        <v/>
      </c>
      <c r="H21" s="36" t="str">
        <f>IF(E21="","",(VLOOKUP(E21,$AC$32:$AE$199,3,0)))</f>
        <v/>
      </c>
      <c r="I21" s="37"/>
      <c r="J21" s="5" t="str">
        <f>IF(I21="","",(VLOOKUP(I21,$AG$33:$AH$37,2,0)))</f>
        <v/>
      </c>
      <c r="K21" s="6" t="str">
        <f>IF(J21&lt;=16,(G21*J21),"" )</f>
        <v/>
      </c>
      <c r="L21" s="7"/>
      <c r="M21" s="86"/>
      <c r="N21" s="83"/>
      <c r="O21" s="99" t="s">
        <v>27</v>
      </c>
      <c r="P21" s="34"/>
      <c r="Q21" s="35" t="str">
        <f t="shared" si="2"/>
        <v/>
      </c>
      <c r="R21" s="36" t="str">
        <f t="shared" si="3"/>
        <v/>
      </c>
      <c r="S21" s="36" t="str">
        <f>IF(P21="","",(VLOOKUP(P21,$Y$33:$AA$42,3,0)))</f>
        <v/>
      </c>
      <c r="T21" s="37"/>
      <c r="U21" s="5" t="str">
        <f>IF(T21="","",(VLOOKUP(T21,$AG$33:$AH$37,2,0)))</f>
        <v/>
      </c>
      <c r="V21" s="6" t="str">
        <f>IF(U21&lt;=16,(R21*U21),"" )</f>
        <v/>
      </c>
      <c r="W21" s="77"/>
      <c r="X21" s="18"/>
      <c r="Z21" s="38">
        <f>IF(T21="Fail", 0, 1)</f>
        <v>1</v>
      </c>
      <c r="AB21" s="12"/>
      <c r="AC21" s="12"/>
      <c r="AD21" s="12"/>
      <c r="AE21" s="13"/>
      <c r="AF21" s="12"/>
      <c r="AJ21" t="str">
        <f>IF(E31&gt;28, "General Education Courses Complete", "")</f>
        <v/>
      </c>
    </row>
    <row r="22" spans="2:36" ht="3.75" customHeight="1" x14ac:dyDescent="0.25">
      <c r="B22" s="19"/>
      <c r="C22" s="80"/>
      <c r="D22" s="71"/>
      <c r="E22" s="92"/>
      <c r="F22" s="93" t="str">
        <f t="shared" si="0"/>
        <v/>
      </c>
      <c r="G22" s="94" t="str">
        <f t="shared" si="1"/>
        <v/>
      </c>
      <c r="H22" s="94"/>
      <c r="I22" s="95"/>
      <c r="J22" s="8"/>
      <c r="K22" s="8"/>
      <c r="L22" s="7"/>
      <c r="M22" s="86"/>
      <c r="N22" s="83"/>
      <c r="O22" s="99"/>
      <c r="P22" s="97"/>
      <c r="Q22" s="93" t="str">
        <f t="shared" si="2"/>
        <v/>
      </c>
      <c r="R22" s="94" t="str">
        <f t="shared" si="3"/>
        <v/>
      </c>
      <c r="S22" s="94"/>
      <c r="T22" s="95"/>
      <c r="U22" s="6"/>
      <c r="V22" s="11"/>
      <c r="W22" s="77"/>
      <c r="X22" s="18"/>
      <c r="Z22" s="38"/>
      <c r="AB22" s="12"/>
      <c r="AC22" s="12"/>
      <c r="AD22" s="12"/>
      <c r="AE22" s="13"/>
      <c r="AF22" s="12"/>
    </row>
    <row r="23" spans="2:36" ht="15.75" x14ac:dyDescent="0.25">
      <c r="B23" s="19"/>
      <c r="C23" s="80"/>
      <c r="D23" s="71" t="s">
        <v>78</v>
      </c>
      <c r="E23" s="32"/>
      <c r="F23" s="35" t="str">
        <f t="shared" si="0"/>
        <v/>
      </c>
      <c r="G23" s="36" t="str">
        <f t="shared" si="1"/>
        <v/>
      </c>
      <c r="H23" s="36" t="str">
        <f>IF(E23="","",(VLOOKUP(E23,$AC$32:$AE$199,3,0)))</f>
        <v/>
      </c>
      <c r="I23" s="37"/>
      <c r="J23" s="5" t="str">
        <f>IF(I23="","",(VLOOKUP(I23,$AG$33:$AH$37,2,0)))</f>
        <v/>
      </c>
      <c r="K23" s="6" t="str">
        <f>IF(J23&lt;=16,(G23*J23),"" )</f>
        <v/>
      </c>
      <c r="L23" s="7"/>
      <c r="M23" s="86"/>
      <c r="N23" s="83"/>
      <c r="O23" s="99" t="s">
        <v>56</v>
      </c>
      <c r="P23" s="34"/>
      <c r="Q23" s="35" t="str">
        <f t="shared" si="2"/>
        <v/>
      </c>
      <c r="R23" s="36" t="str">
        <f t="shared" si="3"/>
        <v/>
      </c>
      <c r="S23" s="36" t="str">
        <f>IF(P23="","",(VLOOKUP(P23,$Y$33:$AA$42,3,0)))</f>
        <v/>
      </c>
      <c r="T23" s="37"/>
      <c r="U23" s="5" t="str">
        <f>IF(T23="","",(VLOOKUP(T23,$AG$33:$AH$37,2,0)))</f>
        <v/>
      </c>
      <c r="V23" s="6" t="str">
        <f>IF(U23&lt;=16,(R23*U23),"" )</f>
        <v/>
      </c>
      <c r="W23" s="77"/>
      <c r="X23" s="18"/>
      <c r="Z23" s="38"/>
      <c r="AB23" s="12"/>
      <c r="AC23" s="12"/>
      <c r="AD23" s="12"/>
      <c r="AE23" s="13"/>
      <c r="AF23" s="12"/>
      <c r="AJ23" s="28" t="str">
        <f>IF(Z30=TRUE, "PTA Coursework Completed", "")</f>
        <v/>
      </c>
    </row>
    <row r="24" spans="2:36" ht="3.75" customHeight="1" x14ac:dyDescent="0.25">
      <c r="B24" s="19"/>
      <c r="C24" s="80"/>
      <c r="D24" s="71"/>
      <c r="E24" s="92"/>
      <c r="F24" s="93" t="str">
        <f t="shared" si="0"/>
        <v/>
      </c>
      <c r="G24" s="94" t="str">
        <f t="shared" si="1"/>
        <v/>
      </c>
      <c r="H24" s="94"/>
      <c r="I24" s="95"/>
      <c r="J24" s="8"/>
      <c r="K24" s="8"/>
      <c r="L24" s="7"/>
      <c r="M24" s="86"/>
      <c r="N24" s="83"/>
      <c r="O24" s="99"/>
      <c r="P24" s="97"/>
      <c r="Q24" s="93" t="str">
        <f t="shared" si="2"/>
        <v/>
      </c>
      <c r="R24" s="94" t="str">
        <f t="shared" si="3"/>
        <v/>
      </c>
      <c r="S24" s="94"/>
      <c r="T24" s="95"/>
      <c r="U24" s="6"/>
      <c r="V24" s="11"/>
      <c r="W24" s="77"/>
      <c r="X24" s="18"/>
      <c r="Z24" s="38"/>
      <c r="AB24" s="12"/>
      <c r="AC24" s="12"/>
      <c r="AD24" s="12"/>
      <c r="AE24" s="13"/>
      <c r="AF24" s="12"/>
    </row>
    <row r="25" spans="2:36" ht="15.75" x14ac:dyDescent="0.25">
      <c r="B25" s="19"/>
      <c r="C25" s="80"/>
      <c r="D25" s="70" t="s">
        <v>311</v>
      </c>
      <c r="E25" s="32"/>
      <c r="F25" s="35" t="str">
        <f t="shared" si="0"/>
        <v/>
      </c>
      <c r="G25" s="36" t="str">
        <f t="shared" si="1"/>
        <v/>
      </c>
      <c r="H25" s="36" t="str">
        <f>IF(E25="","",(VLOOKUP(E25,$AC$32:$AE$199,3,0)))</f>
        <v/>
      </c>
      <c r="I25" s="37"/>
      <c r="J25" s="5" t="str">
        <f>IF(I25="","",(VLOOKUP(I25,$AG$33:$AH$37,2,0)))</f>
        <v/>
      </c>
      <c r="K25" s="6" t="str">
        <f>IF(J25&lt;=16,(G25*J25),"" )</f>
        <v/>
      </c>
      <c r="L25" s="7"/>
      <c r="M25" s="86"/>
      <c r="N25" s="83"/>
      <c r="O25" s="99" t="s">
        <v>57</v>
      </c>
      <c r="P25" s="34"/>
      <c r="Q25" s="35" t="str">
        <f t="shared" si="2"/>
        <v/>
      </c>
      <c r="R25" s="36" t="str">
        <f t="shared" si="3"/>
        <v/>
      </c>
      <c r="S25" s="36" t="str">
        <f>IF(P25="","",(VLOOKUP(P25,$Y$33:$AA$42,3,0)))</f>
        <v/>
      </c>
      <c r="T25" s="37"/>
      <c r="U25" s="5" t="str">
        <f>IF(T25="","",(VLOOKUP(T25,$AG$33:$AH$37,2,0)))</f>
        <v/>
      </c>
      <c r="V25" s="6" t="str">
        <f>IF(U25&lt;=16,(R25*U25),"" )</f>
        <v/>
      </c>
      <c r="W25" s="77"/>
      <c r="X25" s="18"/>
      <c r="Z25" s="38"/>
      <c r="AB25" s="12"/>
      <c r="AC25" s="12"/>
      <c r="AD25" s="12"/>
      <c r="AE25" s="13"/>
      <c r="AF25" s="12"/>
    </row>
    <row r="26" spans="2:36" ht="3.75" customHeight="1" x14ac:dyDescent="0.25">
      <c r="B26" s="19"/>
      <c r="C26" s="80"/>
      <c r="D26" s="71"/>
      <c r="E26" s="92"/>
      <c r="F26" s="93" t="str">
        <f t="shared" si="0"/>
        <v/>
      </c>
      <c r="G26" s="94" t="str">
        <f t="shared" si="1"/>
        <v/>
      </c>
      <c r="H26" s="94"/>
      <c r="I26" s="95"/>
      <c r="J26" s="8"/>
      <c r="K26" s="8"/>
      <c r="L26" s="7"/>
      <c r="M26" s="86"/>
      <c r="N26" s="83"/>
      <c r="O26" s="99"/>
      <c r="P26" s="97"/>
      <c r="Q26" s="93" t="str">
        <f t="shared" si="2"/>
        <v/>
      </c>
      <c r="R26" s="94" t="str">
        <f t="shared" si="3"/>
        <v/>
      </c>
      <c r="S26" s="94"/>
      <c r="T26" s="95"/>
      <c r="U26" s="6"/>
      <c r="V26" s="11"/>
      <c r="W26" s="77"/>
      <c r="X26" s="18"/>
      <c r="Z26" s="38"/>
      <c r="AB26" s="12"/>
      <c r="AC26" s="12"/>
      <c r="AD26" s="12"/>
      <c r="AE26" s="13"/>
      <c r="AF26" s="12"/>
    </row>
    <row r="27" spans="2:36" ht="15.75" x14ac:dyDescent="0.25">
      <c r="B27" s="19"/>
      <c r="C27" s="80"/>
      <c r="D27" s="70" t="s">
        <v>312</v>
      </c>
      <c r="E27" s="32"/>
      <c r="F27" s="35" t="str">
        <f t="shared" si="0"/>
        <v/>
      </c>
      <c r="G27" s="36" t="str">
        <f t="shared" si="1"/>
        <v/>
      </c>
      <c r="H27" s="36" t="str">
        <f>IF(E27="","",(VLOOKUP(E27,$AC$32:$AE$199,3,0)))</f>
        <v/>
      </c>
      <c r="I27" s="37"/>
      <c r="J27" s="5" t="str">
        <f>IF(I27="","",(VLOOKUP(I27,$AG$33:$AH$37,2,0)))</f>
        <v/>
      </c>
      <c r="K27" s="6" t="str">
        <f>IF(J27&lt;=16,(G27*J27),"" )</f>
        <v/>
      </c>
      <c r="L27" s="7"/>
      <c r="M27" s="86"/>
      <c r="N27" s="83"/>
      <c r="O27" s="99" t="s">
        <v>58</v>
      </c>
      <c r="P27" s="34"/>
      <c r="Q27" s="35" t="str">
        <f t="shared" si="2"/>
        <v/>
      </c>
      <c r="R27" s="36" t="str">
        <f t="shared" si="3"/>
        <v/>
      </c>
      <c r="S27" s="36" t="str">
        <f>IF(P27="","",(VLOOKUP(P27,$Y$33:$AA$42,3,0)))</f>
        <v/>
      </c>
      <c r="T27" s="37"/>
      <c r="U27" s="5" t="str">
        <f>IF(T27="","",(VLOOKUP(T27,$AG$33:$AH$37,2,0)))</f>
        <v/>
      </c>
      <c r="V27" s="6" t="str">
        <f>IF(U27&lt;=16,(R27*U27),"" )</f>
        <v/>
      </c>
      <c r="W27" s="77"/>
      <c r="X27" s="18"/>
      <c r="Z27" s="38">
        <f>IF(T27="Fail", 0, 1)</f>
        <v>1</v>
      </c>
      <c r="AB27" s="12"/>
      <c r="AC27" s="12"/>
      <c r="AD27" s="12"/>
      <c r="AE27" s="13"/>
      <c r="AF27" s="12"/>
    </row>
    <row r="28" spans="2:36" ht="3.75" customHeight="1" x14ac:dyDescent="0.25">
      <c r="B28" s="19"/>
      <c r="C28" s="80"/>
      <c r="D28" s="68"/>
      <c r="E28" s="68"/>
      <c r="F28" s="68"/>
      <c r="G28" s="68"/>
      <c r="H28" s="68"/>
      <c r="I28" s="68"/>
      <c r="J28" s="9"/>
      <c r="K28" s="9"/>
      <c r="L28" s="10"/>
      <c r="M28" s="87"/>
      <c r="N28" s="84"/>
      <c r="O28" s="68"/>
      <c r="P28" s="9"/>
      <c r="Q28" s="9"/>
      <c r="R28" s="9"/>
      <c r="S28" s="9"/>
      <c r="T28" s="9"/>
      <c r="U28" s="11"/>
      <c r="V28" s="11"/>
      <c r="W28" s="77"/>
      <c r="X28" s="18"/>
      <c r="Z28" s="38"/>
      <c r="AB28" s="12"/>
      <c r="AC28" s="12"/>
      <c r="AD28" s="12"/>
      <c r="AE28" s="13"/>
      <c r="AF28" s="12"/>
    </row>
    <row r="29" spans="2:36" ht="17.25" customHeight="1" x14ac:dyDescent="0.25">
      <c r="B29" s="19"/>
      <c r="C29" s="108"/>
      <c r="D29" s="69"/>
      <c r="E29" s="69"/>
      <c r="F29" s="69"/>
      <c r="G29" s="69"/>
      <c r="H29" s="69"/>
      <c r="I29" s="69"/>
      <c r="J29" s="65"/>
      <c r="K29" s="65"/>
      <c r="L29" s="65"/>
      <c r="M29" s="109"/>
      <c r="N29" s="85"/>
      <c r="O29" s="69"/>
      <c r="P29" s="69"/>
      <c r="Q29" s="69"/>
      <c r="R29" s="69"/>
      <c r="S29" s="69"/>
      <c r="T29" s="69"/>
      <c r="U29" s="65"/>
      <c r="V29" s="65"/>
      <c r="W29" s="88"/>
      <c r="X29" s="18"/>
      <c r="Z29" s="38">
        <f>SUM(Z15,Z21,Z27)</f>
        <v>3</v>
      </c>
      <c r="AB29" s="12"/>
      <c r="AC29" s="12"/>
      <c r="AD29" s="12"/>
      <c r="AE29" s="13"/>
      <c r="AF29" s="12"/>
    </row>
    <row r="30" spans="2:36" x14ac:dyDescent="0.25">
      <c r="B30" s="19"/>
      <c r="C30" s="14"/>
      <c r="D30" s="14"/>
      <c r="E30" s="14"/>
      <c r="F30" s="14"/>
      <c r="G30" s="14"/>
      <c r="H30" s="14"/>
      <c r="I30" s="14"/>
      <c r="J30" s="14"/>
      <c r="K30" s="14"/>
      <c r="L30" s="14"/>
      <c r="M30" s="14"/>
      <c r="N30" s="14"/>
      <c r="O30" s="14"/>
      <c r="P30" s="14"/>
      <c r="Q30" s="14"/>
      <c r="R30" s="14"/>
      <c r="S30" s="14"/>
      <c r="T30" s="14"/>
      <c r="U30" s="14"/>
      <c r="V30" s="14"/>
      <c r="W30" s="14"/>
      <c r="X30" s="18"/>
      <c r="Z30" s="38" t="b">
        <f>AND(Z29=3, E33&gt;37)</f>
        <v>0</v>
      </c>
      <c r="AB30" s="12"/>
      <c r="AC30" s="12"/>
      <c r="AD30" s="12"/>
      <c r="AE30" s="13"/>
      <c r="AF30" s="12"/>
    </row>
    <row r="31" spans="2:36" ht="18.75" x14ac:dyDescent="0.3">
      <c r="B31" s="19"/>
      <c r="C31" s="14"/>
      <c r="D31" s="29" t="s">
        <v>307</v>
      </c>
      <c r="E31" s="105">
        <f>SUM(H9,H11,H13,H15,H17,H19,H21,H23,H25,H27)</f>
        <v>0</v>
      </c>
      <c r="F31" s="106"/>
      <c r="G31" s="14">
        <f>SUM(H9,H11,H13,H15,H17,H19,H21,H23,H25,H27)</f>
        <v>0</v>
      </c>
      <c r="H31" s="14"/>
      <c r="I31" s="14"/>
      <c r="J31" s="14"/>
      <c r="K31" s="14"/>
      <c r="L31" s="14"/>
      <c r="M31" s="14"/>
      <c r="N31" s="14"/>
      <c r="O31" s="14"/>
      <c r="P31" s="14"/>
      <c r="Q31" s="14"/>
      <c r="R31" s="14"/>
      <c r="S31" s="14"/>
      <c r="T31" s="14"/>
      <c r="U31" s="14"/>
      <c r="V31" s="14"/>
      <c r="W31" s="14"/>
      <c r="X31" s="18"/>
      <c r="AB31" s="12"/>
      <c r="AC31" s="12"/>
      <c r="AD31" s="12"/>
      <c r="AE31" s="13"/>
      <c r="AF31" s="12"/>
    </row>
    <row r="32" spans="2:36" ht="18.75" customHeight="1" x14ac:dyDescent="0.3">
      <c r="B32" s="19"/>
      <c r="C32" s="14"/>
      <c r="D32" s="30" t="s">
        <v>88</v>
      </c>
      <c r="E32" s="101" t="str">
        <f>IF(AA50+AA51=0, "", (AA50/AA51))</f>
        <v/>
      </c>
      <c r="F32" s="31"/>
      <c r="G32" s="11"/>
      <c r="H32" s="11"/>
      <c r="I32" s="14"/>
      <c r="J32" s="14"/>
      <c r="K32" s="14"/>
      <c r="L32" s="14"/>
      <c r="M32" s="14"/>
      <c r="N32" s="14"/>
      <c r="O32" s="14"/>
      <c r="P32" s="14"/>
      <c r="Q32" s="14"/>
      <c r="R32" s="14"/>
      <c r="S32" s="14"/>
      <c r="T32" s="16"/>
      <c r="U32" s="14"/>
      <c r="V32" s="14"/>
      <c r="W32" s="14"/>
      <c r="X32" s="18"/>
      <c r="Y32" s="1" t="s">
        <v>20</v>
      </c>
      <c r="Z32" t="s">
        <v>10</v>
      </c>
      <c r="AA32" s="1" t="s">
        <v>9</v>
      </c>
      <c r="AB32" s="12"/>
      <c r="AC32" s="12" t="s">
        <v>20</v>
      </c>
      <c r="AD32" s="12" t="s">
        <v>10</v>
      </c>
      <c r="AE32" s="13" t="s">
        <v>9</v>
      </c>
      <c r="AF32" s="12"/>
      <c r="AG32" s="1" t="s">
        <v>13</v>
      </c>
      <c r="AH32" s="1" t="s">
        <v>63</v>
      </c>
    </row>
    <row r="33" spans="2:34" ht="18.75" x14ac:dyDescent="0.3">
      <c r="B33" s="19"/>
      <c r="C33" s="14"/>
      <c r="D33" s="29" t="s">
        <v>308</v>
      </c>
      <c r="E33" s="105">
        <f>SUM(S9,S11,S13,S15,S17,S19,S21,S23,S25,S27)</f>
        <v>0</v>
      </c>
      <c r="G33" s="14">
        <f>SUM(S9,S11,S13,S17,S19,S23,S25)</f>
        <v>0</v>
      </c>
      <c r="H33" s="14"/>
      <c r="I33" s="14"/>
      <c r="J33" s="14"/>
      <c r="K33" s="14"/>
      <c r="L33" s="14"/>
      <c r="M33" s="14"/>
      <c r="N33" s="14"/>
      <c r="O33" s="14"/>
      <c r="P33" s="14"/>
      <c r="Q33" s="14"/>
      <c r="R33" s="14"/>
      <c r="S33" s="14"/>
      <c r="T33" s="16"/>
      <c r="U33" s="14"/>
      <c r="V33" s="14"/>
      <c r="W33" s="14"/>
      <c r="X33" s="18"/>
      <c r="Y33" s="1" t="s">
        <v>21</v>
      </c>
      <c r="Z33" t="s">
        <v>252</v>
      </c>
      <c r="AA33" s="1">
        <v>4</v>
      </c>
      <c r="AB33" s="12"/>
      <c r="AC33" s="12" t="s">
        <v>1</v>
      </c>
      <c r="AD33" s="12" t="s">
        <v>11</v>
      </c>
      <c r="AE33" s="13">
        <v>3</v>
      </c>
      <c r="AF33" s="12"/>
      <c r="AG33" s="1" t="s">
        <v>15</v>
      </c>
      <c r="AH33" s="63">
        <v>4</v>
      </c>
    </row>
    <row r="34" spans="2:34" ht="19.5" customHeight="1" x14ac:dyDescent="0.3">
      <c r="B34" s="19"/>
      <c r="C34" s="14"/>
      <c r="D34" s="30" t="s">
        <v>89</v>
      </c>
      <c r="E34" s="101" t="str">
        <f>IF(AA54+AA55=0, "", (AA54/AA55))</f>
        <v/>
      </c>
      <c r="F34" s="31"/>
      <c r="G34" s="14"/>
      <c r="H34" s="14"/>
      <c r="I34" s="14"/>
      <c r="J34" s="14"/>
      <c r="K34" s="14"/>
      <c r="L34" s="14"/>
      <c r="M34" s="14"/>
      <c r="N34" s="14"/>
      <c r="O34" s="14"/>
      <c r="P34" s="14"/>
      <c r="Q34" s="14"/>
      <c r="R34" s="14"/>
      <c r="S34" s="14"/>
      <c r="T34" s="14"/>
      <c r="U34" s="14"/>
      <c r="V34" s="14"/>
      <c r="W34" s="14"/>
      <c r="X34" s="18"/>
      <c r="Y34" s="1" t="s">
        <v>22</v>
      </c>
      <c r="Z34" t="s">
        <v>253</v>
      </c>
      <c r="AA34" s="1">
        <v>6</v>
      </c>
      <c r="AB34" s="12"/>
      <c r="AC34" s="12" t="s">
        <v>2</v>
      </c>
      <c r="AD34" s="12" t="s">
        <v>83</v>
      </c>
      <c r="AE34" s="13">
        <v>3</v>
      </c>
      <c r="AF34" s="12"/>
      <c r="AG34" s="1" t="s">
        <v>16</v>
      </c>
      <c r="AH34" s="63">
        <v>3</v>
      </c>
    </row>
    <row r="35" spans="2:34" ht="18.75" x14ac:dyDescent="0.3">
      <c r="B35" s="19"/>
      <c r="C35" s="14"/>
      <c r="D35" s="29" t="s">
        <v>309</v>
      </c>
      <c r="E35" s="104">
        <f>SUM(E31,E33)</f>
        <v>0</v>
      </c>
      <c r="F35" s="14"/>
      <c r="G35" s="14"/>
      <c r="H35" s="14"/>
      <c r="I35" s="14"/>
      <c r="J35" s="14"/>
      <c r="K35" s="14"/>
      <c r="L35" s="14"/>
      <c r="M35" s="14"/>
      <c r="N35" s="14"/>
      <c r="O35" s="14"/>
      <c r="P35" s="14"/>
      <c r="Q35" s="14"/>
      <c r="R35" s="14"/>
      <c r="S35" s="14"/>
      <c r="T35" s="14"/>
      <c r="U35" s="14"/>
      <c r="V35" s="14"/>
      <c r="W35" s="14"/>
      <c r="X35" s="18"/>
      <c r="Y35" s="1" t="s">
        <v>23</v>
      </c>
      <c r="Z35" t="s">
        <v>254</v>
      </c>
      <c r="AA35" s="1">
        <v>3</v>
      </c>
      <c r="AB35" s="12"/>
      <c r="AC35" s="12"/>
      <c r="AD35" s="12"/>
      <c r="AE35" s="13"/>
      <c r="AF35" s="12"/>
      <c r="AG35" s="1" t="s">
        <v>17</v>
      </c>
      <c r="AH35" s="63">
        <v>2</v>
      </c>
    </row>
    <row r="36" spans="2:34" ht="19.5" customHeight="1" x14ac:dyDescent="0.25">
      <c r="B36" s="19"/>
      <c r="C36" s="14"/>
      <c r="D36" s="27"/>
      <c r="E36" s="100"/>
      <c r="F36" s="14"/>
      <c r="G36" s="14"/>
      <c r="H36" s="14"/>
      <c r="I36" s="14"/>
      <c r="J36" s="14"/>
      <c r="K36" s="14"/>
      <c r="L36" s="14"/>
      <c r="M36" s="14"/>
      <c r="N36" s="14"/>
      <c r="O36" s="14"/>
      <c r="P36" s="14"/>
      <c r="Q36" s="14"/>
      <c r="R36" s="14"/>
      <c r="S36" s="14"/>
      <c r="T36" s="14"/>
      <c r="U36" s="14"/>
      <c r="V36" s="14"/>
      <c r="W36" s="14"/>
      <c r="X36" s="18"/>
      <c r="Y36" s="1" t="s">
        <v>24</v>
      </c>
      <c r="Z36" t="s">
        <v>31</v>
      </c>
      <c r="AA36" s="1">
        <v>1</v>
      </c>
      <c r="AB36" s="12"/>
      <c r="AC36" s="12" t="s">
        <v>314</v>
      </c>
      <c r="AD36" s="12" t="s">
        <v>319</v>
      </c>
      <c r="AE36" s="13">
        <v>1</v>
      </c>
      <c r="AF36" s="12"/>
      <c r="AG36" s="1" t="s">
        <v>18</v>
      </c>
      <c r="AH36" s="63">
        <v>1</v>
      </c>
    </row>
    <row r="37" spans="2:34" ht="18.75" x14ac:dyDescent="0.3">
      <c r="B37" s="19"/>
      <c r="C37" s="14"/>
      <c r="D37" s="29" t="s">
        <v>87</v>
      </c>
      <c r="E37" s="102" t="str">
        <f>IF(AA46+AA47=0, "", (AA46/AA47))</f>
        <v/>
      </c>
      <c r="F37" s="14"/>
      <c r="G37" s="14"/>
      <c r="H37" s="14"/>
      <c r="I37" s="14"/>
      <c r="J37" s="14"/>
      <c r="K37" s="14"/>
      <c r="L37" s="14"/>
      <c r="M37" s="14"/>
      <c r="N37" s="14"/>
      <c r="O37" s="14"/>
      <c r="P37" s="14"/>
      <c r="Q37" s="14"/>
      <c r="R37" s="14"/>
      <c r="S37" s="14"/>
      <c r="T37" s="14"/>
      <c r="U37" s="14"/>
      <c r="V37" s="14"/>
      <c r="W37" s="14"/>
      <c r="X37" s="18"/>
      <c r="Y37" s="13" t="s">
        <v>25</v>
      </c>
      <c r="Z37" s="12" t="s">
        <v>255</v>
      </c>
      <c r="AA37" s="13">
        <v>5</v>
      </c>
      <c r="AB37" s="12"/>
      <c r="AC37" s="12" t="s">
        <v>315</v>
      </c>
      <c r="AD37" s="12" t="s">
        <v>316</v>
      </c>
      <c r="AE37" s="13">
        <v>0</v>
      </c>
      <c r="AF37" s="12"/>
      <c r="AG37" s="1" t="s">
        <v>19</v>
      </c>
      <c r="AH37" s="63">
        <v>0</v>
      </c>
    </row>
    <row r="38" spans="2:34" ht="15.75" thickBot="1" x14ac:dyDescent="0.3">
      <c r="B38" s="20"/>
      <c r="C38" s="21"/>
      <c r="D38" s="21"/>
      <c r="E38" s="21"/>
      <c r="F38" s="21"/>
      <c r="G38" s="21"/>
      <c r="H38" s="21"/>
      <c r="I38" s="21"/>
      <c r="J38" s="21"/>
      <c r="K38" s="21"/>
      <c r="L38" s="21"/>
      <c r="M38" s="21"/>
      <c r="N38" s="21"/>
      <c r="O38" s="21"/>
      <c r="P38" s="21"/>
      <c r="Q38" s="21"/>
      <c r="R38" s="21"/>
      <c r="S38" s="21"/>
      <c r="T38" s="21"/>
      <c r="U38" s="21"/>
      <c r="V38" s="21"/>
      <c r="W38" s="21"/>
      <c r="X38" s="22"/>
      <c r="Y38" s="1" t="s">
        <v>26</v>
      </c>
      <c r="Z38" t="s">
        <v>256</v>
      </c>
      <c r="AA38" s="1">
        <v>5</v>
      </c>
    </row>
    <row r="39" spans="2:34" x14ac:dyDescent="0.25">
      <c r="Y39" s="1" t="s">
        <v>27</v>
      </c>
      <c r="Z39" t="s">
        <v>32</v>
      </c>
      <c r="AA39" s="1">
        <v>2</v>
      </c>
      <c r="AC39" t="s">
        <v>3</v>
      </c>
      <c r="AD39" t="s">
        <v>12</v>
      </c>
      <c r="AE39" s="1">
        <v>3</v>
      </c>
      <c r="AG39" t="s">
        <v>13</v>
      </c>
    </row>
    <row r="40" spans="2:34" x14ac:dyDescent="0.25">
      <c r="G40" s="39"/>
      <c r="H40" s="39"/>
      <c r="Y40" s="1" t="s">
        <v>28</v>
      </c>
      <c r="Z40" t="s">
        <v>257</v>
      </c>
      <c r="AA40" s="1">
        <v>5</v>
      </c>
      <c r="AC40" t="s">
        <v>4</v>
      </c>
      <c r="AD40" t="s">
        <v>320</v>
      </c>
      <c r="AE40" s="1">
        <v>3</v>
      </c>
      <c r="AG40" t="s">
        <v>14</v>
      </c>
    </row>
    <row r="41" spans="2:34" x14ac:dyDescent="0.25">
      <c r="Y41" s="1" t="s">
        <v>29</v>
      </c>
      <c r="Z41" t="s">
        <v>69</v>
      </c>
      <c r="AA41" s="1">
        <v>2</v>
      </c>
      <c r="AC41" t="s">
        <v>5</v>
      </c>
      <c r="AD41" t="s">
        <v>81</v>
      </c>
      <c r="AE41" s="1">
        <v>3</v>
      </c>
      <c r="AG41" t="s">
        <v>64</v>
      </c>
    </row>
    <row r="42" spans="2:34" x14ac:dyDescent="0.25">
      <c r="Y42" s="1" t="s">
        <v>30</v>
      </c>
      <c r="Z42" t="s">
        <v>33</v>
      </c>
      <c r="AA42" s="1">
        <v>5</v>
      </c>
      <c r="AC42" t="s">
        <v>6</v>
      </c>
      <c r="AD42" t="s">
        <v>82</v>
      </c>
      <c r="AE42" s="1">
        <v>3</v>
      </c>
    </row>
    <row r="43" spans="2:34" x14ac:dyDescent="0.25">
      <c r="AC43" t="s">
        <v>40</v>
      </c>
      <c r="AD43" t="s">
        <v>118</v>
      </c>
      <c r="AE43" s="1">
        <v>3</v>
      </c>
    </row>
    <row r="44" spans="2:34" x14ac:dyDescent="0.25">
      <c r="AC44" t="s">
        <v>207</v>
      </c>
      <c r="AD44" t="s">
        <v>208</v>
      </c>
      <c r="AE44" s="1">
        <v>3</v>
      </c>
    </row>
    <row r="45" spans="2:34" x14ac:dyDescent="0.25">
      <c r="AC45" t="s">
        <v>209</v>
      </c>
      <c r="AD45" t="s">
        <v>210</v>
      </c>
      <c r="AE45" s="1">
        <v>3</v>
      </c>
    </row>
    <row r="46" spans="2:34" x14ac:dyDescent="0.25">
      <c r="Y46"/>
      <c r="Z46" s="2" t="s">
        <v>66</v>
      </c>
      <c r="AA46">
        <f>SUM(K9:K10,K12:K27,V9:V13,V17:V19,V23:V25)</f>
        <v>0</v>
      </c>
      <c r="AC46" t="s">
        <v>211</v>
      </c>
      <c r="AD46" t="s">
        <v>212</v>
      </c>
      <c r="AE46" s="1">
        <v>3</v>
      </c>
    </row>
    <row r="47" spans="2:34" x14ac:dyDescent="0.25">
      <c r="Y47"/>
      <c r="Z47" s="2" t="s">
        <v>67</v>
      </c>
      <c r="AA47">
        <f>SUM(H9,H13,H15,H17,H19,H21,H23,H25,H27,S9:S13,S17:S19,S23:S25)</f>
        <v>0</v>
      </c>
      <c r="AC47" t="s">
        <v>213</v>
      </c>
      <c r="AD47" t="s">
        <v>214</v>
      </c>
      <c r="AE47" s="1">
        <v>3</v>
      </c>
    </row>
    <row r="48" spans="2:34" x14ac:dyDescent="0.25">
      <c r="G48">
        <v>0</v>
      </c>
      <c r="AC48" t="s">
        <v>215</v>
      </c>
      <c r="AD48" t="s">
        <v>217</v>
      </c>
      <c r="AE48" s="1">
        <v>3</v>
      </c>
    </row>
    <row r="49" spans="16:31" x14ac:dyDescent="0.25">
      <c r="AC49" t="s">
        <v>216</v>
      </c>
      <c r="AD49" t="s">
        <v>217</v>
      </c>
      <c r="AE49" s="1">
        <v>3</v>
      </c>
    </row>
    <row r="50" spans="16:31" x14ac:dyDescent="0.25">
      <c r="Z50" s="2" t="s">
        <v>90</v>
      </c>
      <c r="AA50" s="2">
        <f>SUM(K9:K10,K12:K27)</f>
        <v>0</v>
      </c>
      <c r="AC50" t="s">
        <v>42</v>
      </c>
      <c r="AD50" t="s">
        <v>218</v>
      </c>
      <c r="AE50" s="1">
        <v>3</v>
      </c>
    </row>
    <row r="51" spans="16:31" x14ac:dyDescent="0.25">
      <c r="Z51" s="2" t="s">
        <v>91</v>
      </c>
      <c r="AA51" s="2">
        <f>SUM(H9,H13,H15,H17,H19,H21,H23,H25,H27)</f>
        <v>0</v>
      </c>
      <c r="AC51" t="s">
        <v>43</v>
      </c>
      <c r="AD51" t="s">
        <v>219</v>
      </c>
      <c r="AE51" s="1">
        <v>3</v>
      </c>
    </row>
    <row r="52" spans="16:31" x14ac:dyDescent="0.25">
      <c r="AC52" t="s">
        <v>220</v>
      </c>
      <c r="AD52" t="s">
        <v>221</v>
      </c>
      <c r="AE52" s="1">
        <v>3</v>
      </c>
    </row>
    <row r="53" spans="16:31" x14ac:dyDescent="0.25">
      <c r="AC53" t="s">
        <v>222</v>
      </c>
      <c r="AD53" t="s">
        <v>223</v>
      </c>
      <c r="AE53" s="1">
        <v>3</v>
      </c>
    </row>
    <row r="54" spans="16:31" x14ac:dyDescent="0.25">
      <c r="Z54" s="2" t="s">
        <v>92</v>
      </c>
      <c r="AA54" s="2">
        <f>SUM(V9:V13,V17:V19,V23:V25)</f>
        <v>0</v>
      </c>
      <c r="AC54" t="s">
        <v>224</v>
      </c>
      <c r="AD54" t="s">
        <v>225</v>
      </c>
      <c r="AE54" s="1">
        <v>3</v>
      </c>
    </row>
    <row r="55" spans="16:31" x14ac:dyDescent="0.25">
      <c r="Z55" s="2" t="s">
        <v>93</v>
      </c>
      <c r="AA55" s="2">
        <f>SUM(S9:S13,S17:S19,S23:S25)</f>
        <v>0</v>
      </c>
      <c r="AC55" t="s">
        <v>226</v>
      </c>
      <c r="AD55" t="s">
        <v>227</v>
      </c>
      <c r="AE55" s="1">
        <v>3</v>
      </c>
    </row>
    <row r="56" spans="16:31" x14ac:dyDescent="0.25">
      <c r="P56" s="4"/>
      <c r="Q56" s="4"/>
      <c r="AC56" t="s">
        <v>228</v>
      </c>
      <c r="AD56" t="s">
        <v>229</v>
      </c>
      <c r="AE56" s="1">
        <v>3</v>
      </c>
    </row>
    <row r="57" spans="16:31" x14ac:dyDescent="0.25">
      <c r="Z57" t="str">
        <f>IF(Y57&gt;28, "General Education Courses Complete", "")</f>
        <v/>
      </c>
      <c r="AC57" t="s">
        <v>230</v>
      </c>
      <c r="AD57" t="s">
        <v>231</v>
      </c>
      <c r="AE57" s="1">
        <v>3</v>
      </c>
    </row>
    <row r="58" spans="16:31" x14ac:dyDescent="0.25">
      <c r="P58" s="3"/>
      <c r="Q58" s="3"/>
      <c r="AC58" t="s">
        <v>232</v>
      </c>
      <c r="AD58" t="s">
        <v>233</v>
      </c>
      <c r="AE58" s="1">
        <v>3</v>
      </c>
    </row>
    <row r="59" spans="16:31" x14ac:dyDescent="0.25">
      <c r="AC59" t="s">
        <v>234</v>
      </c>
      <c r="AD59" t="s">
        <v>235</v>
      </c>
      <c r="AE59" s="1">
        <v>3</v>
      </c>
    </row>
    <row r="60" spans="16:31" x14ac:dyDescent="0.25">
      <c r="P60" s="3"/>
      <c r="Q60" s="3"/>
      <c r="AC60" t="s">
        <v>236</v>
      </c>
      <c r="AD60" t="s">
        <v>237</v>
      </c>
      <c r="AE60" s="1">
        <v>3</v>
      </c>
    </row>
    <row r="61" spans="16:31" x14ac:dyDescent="0.25">
      <c r="AC61" t="s">
        <v>238</v>
      </c>
      <c r="AD61" t="s">
        <v>239</v>
      </c>
      <c r="AE61" s="1">
        <v>3</v>
      </c>
    </row>
    <row r="62" spans="16:31" x14ac:dyDescent="0.25">
      <c r="P62" s="3"/>
      <c r="Q62" s="3"/>
      <c r="AC62" t="s">
        <v>240</v>
      </c>
      <c r="AD62" t="s">
        <v>241</v>
      </c>
      <c r="AE62" s="1">
        <v>3</v>
      </c>
    </row>
    <row r="63" spans="16:31" x14ac:dyDescent="0.25">
      <c r="AC63" t="s">
        <v>242</v>
      </c>
      <c r="AD63" t="s">
        <v>243</v>
      </c>
      <c r="AE63" s="1">
        <v>3</v>
      </c>
    </row>
    <row r="64" spans="16:31" x14ac:dyDescent="0.25">
      <c r="AC64" t="s">
        <v>244</v>
      </c>
      <c r="AD64" t="s">
        <v>245</v>
      </c>
      <c r="AE64" s="1">
        <v>3</v>
      </c>
    </row>
    <row r="65" spans="29:31" x14ac:dyDescent="0.25">
      <c r="AC65" t="s">
        <v>246</v>
      </c>
      <c r="AD65" t="s">
        <v>247</v>
      </c>
      <c r="AE65" s="1">
        <v>3</v>
      </c>
    </row>
    <row r="66" spans="29:31" x14ac:dyDescent="0.25">
      <c r="AC66" t="s">
        <v>248</v>
      </c>
      <c r="AD66" t="s">
        <v>249</v>
      </c>
      <c r="AE66" s="1">
        <v>3</v>
      </c>
    </row>
    <row r="67" spans="29:31" x14ac:dyDescent="0.25">
      <c r="AC67" t="s">
        <v>250</v>
      </c>
      <c r="AD67" t="s">
        <v>251</v>
      </c>
      <c r="AE67" s="1">
        <v>3</v>
      </c>
    </row>
    <row r="68" spans="29:31" x14ac:dyDescent="0.25">
      <c r="AC68" t="s">
        <v>34</v>
      </c>
      <c r="AD68" t="s">
        <v>86</v>
      </c>
      <c r="AE68" s="1">
        <v>3</v>
      </c>
    </row>
    <row r="69" spans="29:31" x14ac:dyDescent="0.25">
      <c r="AC69" t="s">
        <v>321</v>
      </c>
      <c r="AD69" t="s">
        <v>84</v>
      </c>
      <c r="AE69" s="1">
        <v>3</v>
      </c>
    </row>
    <row r="70" spans="29:31" x14ac:dyDescent="0.25">
      <c r="AC70" t="s">
        <v>324</v>
      </c>
      <c r="AD70" t="s">
        <v>322</v>
      </c>
      <c r="AE70" s="1">
        <v>3</v>
      </c>
    </row>
    <row r="71" spans="29:31" x14ac:dyDescent="0.25">
      <c r="AC71" t="s">
        <v>323</v>
      </c>
      <c r="AD71" t="s">
        <v>325</v>
      </c>
      <c r="AE71" s="1">
        <v>3</v>
      </c>
    </row>
    <row r="72" spans="29:31" x14ac:dyDescent="0.25">
      <c r="AC72" t="s">
        <v>326</v>
      </c>
      <c r="AD72" t="s">
        <v>144</v>
      </c>
      <c r="AE72" s="1">
        <v>3</v>
      </c>
    </row>
    <row r="73" spans="29:31" x14ac:dyDescent="0.25">
      <c r="AC73" t="s">
        <v>327</v>
      </c>
      <c r="AD73" t="s">
        <v>328</v>
      </c>
      <c r="AE73" s="1">
        <v>3</v>
      </c>
    </row>
    <row r="74" spans="29:31" x14ac:dyDescent="0.25">
      <c r="AC74" t="s">
        <v>329</v>
      </c>
      <c r="AD74" t="s">
        <v>145</v>
      </c>
      <c r="AE74" s="1">
        <v>3</v>
      </c>
    </row>
    <row r="75" spans="29:31" x14ac:dyDescent="0.25">
      <c r="AC75" t="s">
        <v>330</v>
      </c>
      <c r="AD75" t="s">
        <v>146</v>
      </c>
    </row>
    <row r="76" spans="29:31" x14ac:dyDescent="0.25">
      <c r="AC76" t="s">
        <v>331</v>
      </c>
      <c r="AD76" t="s">
        <v>332</v>
      </c>
      <c r="AE76" s="1">
        <v>3</v>
      </c>
    </row>
    <row r="77" spans="29:31" x14ac:dyDescent="0.25">
      <c r="AC77" t="s">
        <v>35</v>
      </c>
      <c r="AD77" t="s">
        <v>95</v>
      </c>
      <c r="AE77" s="1">
        <v>3</v>
      </c>
    </row>
    <row r="78" spans="29:31" x14ac:dyDescent="0.25">
      <c r="AC78" t="s">
        <v>36</v>
      </c>
      <c r="AD78" t="s">
        <v>96</v>
      </c>
      <c r="AE78" s="1">
        <v>3</v>
      </c>
    </row>
    <row r="79" spans="29:31" x14ac:dyDescent="0.25">
      <c r="AC79" t="s">
        <v>37</v>
      </c>
      <c r="AD79" t="s">
        <v>97</v>
      </c>
      <c r="AE79" s="1">
        <v>3</v>
      </c>
    </row>
    <row r="80" spans="29:31" x14ac:dyDescent="0.25">
      <c r="AC80" t="s">
        <v>38</v>
      </c>
      <c r="AD80" t="s">
        <v>98</v>
      </c>
      <c r="AE80" s="1">
        <v>3</v>
      </c>
    </row>
    <row r="81" spans="29:31" x14ac:dyDescent="0.25">
      <c r="AC81" t="s">
        <v>39</v>
      </c>
      <c r="AD81" t="s">
        <v>99</v>
      </c>
      <c r="AE81" s="1">
        <v>3</v>
      </c>
    </row>
    <row r="82" spans="29:31" x14ac:dyDescent="0.25">
      <c r="AC82" t="s">
        <v>100</v>
      </c>
      <c r="AD82" t="s">
        <v>101</v>
      </c>
      <c r="AE82" s="1">
        <v>3</v>
      </c>
    </row>
    <row r="83" spans="29:31" x14ac:dyDescent="0.25">
      <c r="AC83" t="s">
        <v>333</v>
      </c>
      <c r="AD83" t="s">
        <v>335</v>
      </c>
    </row>
    <row r="84" spans="29:31" x14ac:dyDescent="0.25">
      <c r="AC84" t="s">
        <v>334</v>
      </c>
      <c r="AD84" t="s">
        <v>336</v>
      </c>
    </row>
    <row r="85" spans="29:31" x14ac:dyDescent="0.25">
      <c r="AC85" t="s">
        <v>102</v>
      </c>
      <c r="AD85" t="s">
        <v>103</v>
      </c>
      <c r="AE85" s="1">
        <v>3</v>
      </c>
    </row>
    <row r="86" spans="29:31" x14ac:dyDescent="0.25">
      <c r="AC86" t="s">
        <v>104</v>
      </c>
      <c r="AD86" t="s">
        <v>105</v>
      </c>
      <c r="AE86" s="1">
        <v>3</v>
      </c>
    </row>
    <row r="87" spans="29:31" x14ac:dyDescent="0.25">
      <c r="AC87" t="s">
        <v>106</v>
      </c>
      <c r="AD87" t="s">
        <v>337</v>
      </c>
      <c r="AE87" s="1">
        <v>3</v>
      </c>
    </row>
    <row r="88" spans="29:31" x14ac:dyDescent="0.25">
      <c r="AC88" t="s">
        <v>107</v>
      </c>
      <c r="AD88" t="s">
        <v>338</v>
      </c>
      <c r="AE88" s="1">
        <v>3</v>
      </c>
    </row>
    <row r="89" spans="29:31" x14ac:dyDescent="0.25">
      <c r="AC89" t="s">
        <v>108</v>
      </c>
      <c r="AD89" t="s">
        <v>109</v>
      </c>
      <c r="AE89" s="1">
        <v>3</v>
      </c>
    </row>
    <row r="90" spans="29:31" x14ac:dyDescent="0.25">
      <c r="AC90" t="s">
        <v>110</v>
      </c>
      <c r="AD90" t="s">
        <v>111</v>
      </c>
      <c r="AE90" s="1">
        <v>3</v>
      </c>
    </row>
    <row r="91" spans="29:31" x14ac:dyDescent="0.25">
      <c r="AC91" t="s">
        <v>112</v>
      </c>
      <c r="AD91" t="s">
        <v>113</v>
      </c>
      <c r="AE91" s="1">
        <v>3</v>
      </c>
    </row>
    <row r="92" spans="29:31" x14ac:dyDescent="0.25">
      <c r="AC92" t="s">
        <v>114</v>
      </c>
      <c r="AD92" t="s">
        <v>115</v>
      </c>
      <c r="AE92" s="1">
        <v>3</v>
      </c>
    </row>
    <row r="93" spans="29:31" x14ac:dyDescent="0.25">
      <c r="AC93" t="s">
        <v>116</v>
      </c>
      <c r="AD93" t="s">
        <v>117</v>
      </c>
      <c r="AE93" s="1">
        <v>3</v>
      </c>
    </row>
    <row r="94" spans="29:31" x14ac:dyDescent="0.25">
      <c r="AC94" t="s">
        <v>40</v>
      </c>
      <c r="AD94" t="s">
        <v>118</v>
      </c>
      <c r="AE94" s="1">
        <v>3</v>
      </c>
    </row>
    <row r="95" spans="29:31" x14ac:dyDescent="0.25">
      <c r="AC95" t="s">
        <v>339</v>
      </c>
      <c r="AD95" t="s">
        <v>340</v>
      </c>
      <c r="AE95" s="1">
        <v>3</v>
      </c>
    </row>
    <row r="96" spans="29:31" x14ac:dyDescent="0.25">
      <c r="AC96" t="s">
        <v>341</v>
      </c>
      <c r="AD96" t="s">
        <v>342</v>
      </c>
    </row>
    <row r="97" spans="29:31" x14ac:dyDescent="0.25">
      <c r="AC97" t="s">
        <v>119</v>
      </c>
      <c r="AD97" t="s">
        <v>120</v>
      </c>
      <c r="AE97" s="1">
        <v>3</v>
      </c>
    </row>
    <row r="98" spans="29:31" x14ac:dyDescent="0.25">
      <c r="AC98" t="s">
        <v>121</v>
      </c>
      <c r="AD98" t="s">
        <v>122</v>
      </c>
      <c r="AE98" s="1">
        <v>3</v>
      </c>
    </row>
    <row r="99" spans="29:31" x14ac:dyDescent="0.25">
      <c r="AC99" t="s">
        <v>123</v>
      </c>
      <c r="AD99" t="s">
        <v>124</v>
      </c>
      <c r="AE99" s="1">
        <v>3</v>
      </c>
    </row>
    <row r="100" spans="29:31" x14ac:dyDescent="0.25">
      <c r="AC100" t="s">
        <v>125</v>
      </c>
      <c r="AD100" t="s">
        <v>126</v>
      </c>
      <c r="AE100" s="1">
        <v>3</v>
      </c>
    </row>
    <row r="101" spans="29:31" x14ac:dyDescent="0.25">
      <c r="AC101" t="s">
        <v>127</v>
      </c>
      <c r="AD101" t="s">
        <v>128</v>
      </c>
      <c r="AE101" s="1">
        <v>3</v>
      </c>
    </row>
    <row r="102" spans="29:31" x14ac:dyDescent="0.25">
      <c r="AC102" t="s">
        <v>129</v>
      </c>
      <c r="AD102" t="s">
        <v>130</v>
      </c>
      <c r="AE102" s="1">
        <v>3</v>
      </c>
    </row>
    <row r="103" spans="29:31" x14ac:dyDescent="0.25">
      <c r="AC103" t="s">
        <v>131</v>
      </c>
      <c r="AD103" t="s">
        <v>132</v>
      </c>
    </row>
    <row r="104" spans="29:31" x14ac:dyDescent="0.25">
      <c r="AC104" t="s">
        <v>133</v>
      </c>
      <c r="AD104" t="s">
        <v>134</v>
      </c>
      <c r="AE104" s="1">
        <v>3</v>
      </c>
    </row>
    <row r="105" spans="29:31" x14ac:dyDescent="0.25">
      <c r="AC105" t="s">
        <v>135</v>
      </c>
      <c r="AD105" t="s">
        <v>136</v>
      </c>
      <c r="AE105" s="1">
        <v>3</v>
      </c>
    </row>
    <row r="106" spans="29:31" x14ac:dyDescent="0.25">
      <c r="AC106" t="s">
        <v>343</v>
      </c>
      <c r="AD106" t="s">
        <v>344</v>
      </c>
    </row>
    <row r="107" spans="29:31" x14ac:dyDescent="0.25">
      <c r="AC107" t="s">
        <v>137</v>
      </c>
      <c r="AD107" t="s">
        <v>138</v>
      </c>
      <c r="AE107" s="1">
        <v>3</v>
      </c>
    </row>
    <row r="108" spans="29:31" x14ac:dyDescent="0.25">
      <c r="AC108" t="s">
        <v>345</v>
      </c>
      <c r="AD108" t="s">
        <v>346</v>
      </c>
    </row>
    <row r="109" spans="29:31" x14ac:dyDescent="0.25">
      <c r="AC109" t="s">
        <v>139</v>
      </c>
      <c r="AD109" t="s">
        <v>140</v>
      </c>
      <c r="AE109" s="1">
        <v>3</v>
      </c>
    </row>
    <row r="110" spans="29:31" x14ac:dyDescent="0.25">
      <c r="AC110" t="s">
        <v>141</v>
      </c>
      <c r="AD110" t="s">
        <v>347</v>
      </c>
      <c r="AE110" s="1">
        <v>3</v>
      </c>
    </row>
    <row r="111" spans="29:31" x14ac:dyDescent="0.25">
      <c r="AC111" t="s">
        <v>142</v>
      </c>
      <c r="AD111" t="s">
        <v>348</v>
      </c>
      <c r="AE111" s="1">
        <v>3</v>
      </c>
    </row>
    <row r="112" spans="29:31" x14ac:dyDescent="0.25">
      <c r="AC112" t="s">
        <v>143</v>
      </c>
      <c r="AD112" t="s">
        <v>349</v>
      </c>
      <c r="AE112" s="1">
        <v>3</v>
      </c>
    </row>
    <row r="113" spans="29:31" x14ac:dyDescent="0.25">
      <c r="AC113" t="s">
        <v>350</v>
      </c>
      <c r="AD113" t="s">
        <v>351</v>
      </c>
      <c r="AE113" s="1">
        <v>3</v>
      </c>
    </row>
    <row r="114" spans="29:31" x14ac:dyDescent="0.25">
      <c r="AC114" t="s">
        <v>147</v>
      </c>
      <c r="AD114" t="s">
        <v>352</v>
      </c>
      <c r="AE114" s="1">
        <v>3</v>
      </c>
    </row>
    <row r="115" spans="29:31" x14ac:dyDescent="0.25">
      <c r="AC115" t="s">
        <v>353</v>
      </c>
      <c r="AD115" t="s">
        <v>354</v>
      </c>
      <c r="AE115" s="1">
        <v>3</v>
      </c>
    </row>
    <row r="116" spans="29:31" x14ac:dyDescent="0.25">
      <c r="AC116" t="s">
        <v>355</v>
      </c>
      <c r="AD116" t="s">
        <v>356</v>
      </c>
      <c r="AE116" s="1">
        <v>3</v>
      </c>
    </row>
    <row r="117" spans="29:31" x14ac:dyDescent="0.25">
      <c r="AC117" t="s">
        <v>357</v>
      </c>
      <c r="AD117" t="s">
        <v>115</v>
      </c>
    </row>
    <row r="118" spans="29:31" x14ac:dyDescent="0.25">
      <c r="AC118" t="s">
        <v>148</v>
      </c>
      <c r="AD118" t="s">
        <v>358</v>
      </c>
      <c r="AE118" s="1">
        <v>3</v>
      </c>
    </row>
    <row r="119" spans="29:31" x14ac:dyDescent="0.25">
      <c r="AC119" t="s">
        <v>149</v>
      </c>
      <c r="AD119" t="s">
        <v>150</v>
      </c>
      <c r="AE119" s="1">
        <v>3</v>
      </c>
    </row>
    <row r="120" spans="29:31" x14ac:dyDescent="0.25">
      <c r="AC120" t="s">
        <v>151</v>
      </c>
      <c r="AD120" t="s">
        <v>152</v>
      </c>
      <c r="AE120" s="1">
        <v>3</v>
      </c>
    </row>
    <row r="121" spans="29:31" x14ac:dyDescent="0.25">
      <c r="AC121" t="s">
        <v>153</v>
      </c>
      <c r="AD121" t="s">
        <v>154</v>
      </c>
      <c r="AE121" s="1">
        <v>3</v>
      </c>
    </row>
    <row r="122" spans="29:31" x14ac:dyDescent="0.25">
      <c r="AC122" t="s">
        <v>157</v>
      </c>
      <c r="AD122" t="s">
        <v>359</v>
      </c>
      <c r="AE122" s="1">
        <v>3</v>
      </c>
    </row>
    <row r="123" spans="29:31" x14ac:dyDescent="0.25">
      <c r="AC123" t="s">
        <v>155</v>
      </c>
      <c r="AD123" t="s">
        <v>156</v>
      </c>
      <c r="AE123" s="1">
        <v>3</v>
      </c>
    </row>
    <row r="124" spans="29:31" x14ac:dyDescent="0.25">
      <c r="AC124" t="s">
        <v>158</v>
      </c>
      <c r="AD124" t="s">
        <v>159</v>
      </c>
      <c r="AE124" s="1">
        <v>3</v>
      </c>
    </row>
    <row r="125" spans="29:31" x14ac:dyDescent="0.25">
      <c r="AC125" t="s">
        <v>160</v>
      </c>
      <c r="AD125" t="s">
        <v>161</v>
      </c>
      <c r="AE125" s="1">
        <v>3</v>
      </c>
    </row>
    <row r="126" spans="29:31" x14ac:dyDescent="0.25">
      <c r="AC126" t="s">
        <v>360</v>
      </c>
      <c r="AD126" t="s">
        <v>361</v>
      </c>
    </row>
    <row r="127" spans="29:31" x14ac:dyDescent="0.25">
      <c r="AC127" t="s">
        <v>162</v>
      </c>
      <c r="AD127" t="s">
        <v>163</v>
      </c>
      <c r="AE127" s="1">
        <v>3</v>
      </c>
    </row>
    <row r="128" spans="29:31" x14ac:dyDescent="0.25">
      <c r="AC128" t="s">
        <v>164</v>
      </c>
      <c r="AD128" t="s">
        <v>362</v>
      </c>
      <c r="AE128" s="1">
        <v>3</v>
      </c>
    </row>
    <row r="129" spans="29:31" x14ac:dyDescent="0.25">
      <c r="AC129" t="s">
        <v>165</v>
      </c>
      <c r="AD129" t="s">
        <v>166</v>
      </c>
      <c r="AE129" s="1">
        <v>3</v>
      </c>
    </row>
    <row r="130" spans="29:31" x14ac:dyDescent="0.25">
      <c r="AC130" t="s">
        <v>363</v>
      </c>
      <c r="AD130" t="s">
        <v>171</v>
      </c>
    </row>
    <row r="131" spans="29:31" x14ac:dyDescent="0.25">
      <c r="AC131" t="s">
        <v>167</v>
      </c>
      <c r="AD131" t="s">
        <v>168</v>
      </c>
      <c r="AE131" s="1">
        <v>3</v>
      </c>
    </row>
    <row r="132" spans="29:31" x14ac:dyDescent="0.25">
      <c r="AC132" t="s">
        <v>169</v>
      </c>
      <c r="AD132" t="s">
        <v>170</v>
      </c>
      <c r="AE132" s="1">
        <v>3</v>
      </c>
    </row>
    <row r="133" spans="29:31" x14ac:dyDescent="0.25">
      <c r="AC133" t="s">
        <v>364</v>
      </c>
      <c r="AD133" t="s">
        <v>172</v>
      </c>
      <c r="AE133" s="1">
        <v>3</v>
      </c>
    </row>
    <row r="134" spans="29:31" x14ac:dyDescent="0.25">
      <c r="AC134" t="s">
        <v>365</v>
      </c>
      <c r="AD134" t="s">
        <v>173</v>
      </c>
      <c r="AE134" s="1">
        <v>3</v>
      </c>
    </row>
    <row r="135" spans="29:31" x14ac:dyDescent="0.25">
      <c r="AC135" t="s">
        <v>366</v>
      </c>
      <c r="AD135" t="s">
        <v>174</v>
      </c>
      <c r="AE135" s="1">
        <v>3</v>
      </c>
    </row>
    <row r="136" spans="29:31" x14ac:dyDescent="0.25">
      <c r="AC136" t="s">
        <v>367</v>
      </c>
      <c r="AD136" t="s">
        <v>85</v>
      </c>
      <c r="AE136" s="1">
        <v>3</v>
      </c>
    </row>
    <row r="137" spans="29:31" x14ac:dyDescent="0.25">
      <c r="AC137" t="s">
        <v>368</v>
      </c>
      <c r="AD137" t="s">
        <v>175</v>
      </c>
      <c r="AE137" s="1">
        <v>3</v>
      </c>
    </row>
    <row r="138" spans="29:31" x14ac:dyDescent="0.25">
      <c r="AC138" t="s">
        <v>369</v>
      </c>
      <c r="AD138" t="s">
        <v>176</v>
      </c>
      <c r="AE138" s="1">
        <v>3</v>
      </c>
    </row>
    <row r="139" spans="29:31" x14ac:dyDescent="0.25">
      <c r="AC139" t="s">
        <v>370</v>
      </c>
      <c r="AD139" t="s">
        <v>177</v>
      </c>
      <c r="AE139" s="1">
        <v>3</v>
      </c>
    </row>
    <row r="140" spans="29:31" x14ac:dyDescent="0.25">
      <c r="AC140" t="s">
        <v>371</v>
      </c>
      <c r="AD140" t="s">
        <v>372</v>
      </c>
      <c r="AE140" s="1">
        <v>3</v>
      </c>
    </row>
    <row r="141" spans="29:31" x14ac:dyDescent="0.25">
      <c r="AC141" t="s">
        <v>178</v>
      </c>
      <c r="AD141" t="s">
        <v>179</v>
      </c>
      <c r="AE141" s="1">
        <v>3</v>
      </c>
    </row>
    <row r="142" spans="29:31" x14ac:dyDescent="0.25">
      <c r="AC142" t="s">
        <v>180</v>
      </c>
      <c r="AD142" t="s">
        <v>181</v>
      </c>
      <c r="AE142" s="1">
        <v>3</v>
      </c>
    </row>
    <row r="143" spans="29:31" x14ac:dyDescent="0.25">
      <c r="AC143" t="s">
        <v>182</v>
      </c>
      <c r="AD143" t="s">
        <v>183</v>
      </c>
      <c r="AE143" s="1">
        <v>3</v>
      </c>
    </row>
    <row r="144" spans="29:31" x14ac:dyDescent="0.25">
      <c r="AC144" t="s">
        <v>184</v>
      </c>
      <c r="AD144" t="s">
        <v>185</v>
      </c>
      <c r="AE144" s="1">
        <v>3</v>
      </c>
    </row>
    <row r="145" spans="29:31" x14ac:dyDescent="0.25">
      <c r="AC145" t="s">
        <v>373</v>
      </c>
      <c r="AD145" t="s">
        <v>375</v>
      </c>
      <c r="AE145" s="1">
        <v>4</v>
      </c>
    </row>
    <row r="146" spans="29:31" x14ac:dyDescent="0.25">
      <c r="AC146" t="s">
        <v>374</v>
      </c>
      <c r="AD146" t="s">
        <v>376</v>
      </c>
      <c r="AE146" s="1">
        <v>4</v>
      </c>
    </row>
    <row r="147" spans="29:31" x14ac:dyDescent="0.25">
      <c r="AC147" t="s">
        <v>377</v>
      </c>
      <c r="AD147" t="s">
        <v>378</v>
      </c>
      <c r="AE147" s="1">
        <v>3</v>
      </c>
    </row>
    <row r="148" spans="29:31" x14ac:dyDescent="0.25">
      <c r="AC148" t="s">
        <v>379</v>
      </c>
      <c r="AD148" t="s">
        <v>380</v>
      </c>
      <c r="AE148" s="1">
        <v>3</v>
      </c>
    </row>
    <row r="149" spans="29:31" x14ac:dyDescent="0.25">
      <c r="AC149" t="s">
        <v>186</v>
      </c>
      <c r="AD149" t="s">
        <v>381</v>
      </c>
      <c r="AE149" s="1">
        <v>4</v>
      </c>
    </row>
    <row r="150" spans="29:31" x14ac:dyDescent="0.25">
      <c r="AC150" t="s">
        <v>41</v>
      </c>
      <c r="AD150" t="s">
        <v>382</v>
      </c>
      <c r="AE150" s="1">
        <v>4</v>
      </c>
    </row>
    <row r="151" spans="29:31" x14ac:dyDescent="0.25">
      <c r="AC151" t="s">
        <v>187</v>
      </c>
      <c r="AD151" t="s">
        <v>383</v>
      </c>
      <c r="AE151" s="1">
        <v>3</v>
      </c>
    </row>
    <row r="152" spans="29:31" x14ac:dyDescent="0.25">
      <c r="AC152" t="s">
        <v>188</v>
      </c>
      <c r="AD152" t="s">
        <v>384</v>
      </c>
      <c r="AE152" s="1">
        <v>3</v>
      </c>
    </row>
    <row r="153" spans="29:31" x14ac:dyDescent="0.25">
      <c r="AC153" t="s">
        <v>189</v>
      </c>
      <c r="AD153" t="s">
        <v>190</v>
      </c>
      <c r="AE153" s="1">
        <v>4</v>
      </c>
    </row>
    <row r="154" spans="29:31" x14ac:dyDescent="0.25">
      <c r="AC154" t="s">
        <v>191</v>
      </c>
      <c r="AD154" t="s">
        <v>192</v>
      </c>
      <c r="AE154" s="1">
        <v>4</v>
      </c>
    </row>
    <row r="155" spans="29:31" x14ac:dyDescent="0.25">
      <c r="AC155" t="s">
        <v>193</v>
      </c>
      <c r="AD155" t="s">
        <v>385</v>
      </c>
      <c r="AE155" s="1">
        <v>4</v>
      </c>
    </row>
    <row r="156" spans="29:31" x14ac:dyDescent="0.25">
      <c r="AC156" t="s">
        <v>194</v>
      </c>
      <c r="AD156" t="s">
        <v>386</v>
      </c>
      <c r="AE156" s="1">
        <v>4</v>
      </c>
    </row>
    <row r="157" spans="29:31" x14ac:dyDescent="0.25">
      <c r="AC157" t="s">
        <v>195</v>
      </c>
      <c r="AD157" t="s">
        <v>179</v>
      </c>
      <c r="AE157" s="1">
        <v>3</v>
      </c>
    </row>
    <row r="158" spans="29:31" x14ac:dyDescent="0.25">
      <c r="AC158" t="s">
        <v>196</v>
      </c>
      <c r="AD158" t="s">
        <v>181</v>
      </c>
      <c r="AE158" s="1">
        <v>3</v>
      </c>
    </row>
    <row r="159" spans="29:31" x14ac:dyDescent="0.25">
      <c r="AC159" t="s">
        <v>197</v>
      </c>
      <c r="AD159" t="s">
        <v>183</v>
      </c>
      <c r="AE159" s="1">
        <v>3</v>
      </c>
    </row>
    <row r="160" spans="29:31" x14ac:dyDescent="0.25">
      <c r="AC160" t="s">
        <v>198</v>
      </c>
      <c r="AD160" t="s">
        <v>185</v>
      </c>
      <c r="AE160" s="1">
        <v>3</v>
      </c>
    </row>
    <row r="161" spans="29:31" x14ac:dyDescent="0.25">
      <c r="AC161" t="s">
        <v>199</v>
      </c>
      <c r="AD161" t="s">
        <v>200</v>
      </c>
      <c r="AE161" s="1">
        <v>4</v>
      </c>
    </row>
    <row r="162" spans="29:31" x14ac:dyDescent="0.25">
      <c r="AC162" t="s">
        <v>201</v>
      </c>
      <c r="AD162" t="s">
        <v>202</v>
      </c>
      <c r="AE162" s="1">
        <v>4</v>
      </c>
    </row>
    <row r="163" spans="29:31" x14ac:dyDescent="0.25">
      <c r="AC163" t="s">
        <v>203</v>
      </c>
      <c r="AD163" t="s">
        <v>204</v>
      </c>
      <c r="AE163" s="1">
        <v>3</v>
      </c>
    </row>
    <row r="164" spans="29:31" x14ac:dyDescent="0.25">
      <c r="AC164" t="s">
        <v>205</v>
      </c>
      <c r="AD164" t="s">
        <v>206</v>
      </c>
      <c r="AE164" s="1">
        <v>3</v>
      </c>
    </row>
    <row r="166" spans="29:31" x14ac:dyDescent="0.25">
      <c r="AC166" t="s">
        <v>387</v>
      </c>
      <c r="AD166" t="s">
        <v>259</v>
      </c>
      <c r="AE166" s="1">
        <v>3</v>
      </c>
    </row>
    <row r="167" spans="29:31" x14ac:dyDescent="0.25">
      <c r="AC167" t="s">
        <v>388</v>
      </c>
      <c r="AD167" t="s">
        <v>260</v>
      </c>
      <c r="AE167" s="1">
        <v>2</v>
      </c>
    </row>
    <row r="168" spans="29:31" x14ac:dyDescent="0.25">
      <c r="AC168" t="s">
        <v>389</v>
      </c>
      <c r="AD168" t="s">
        <v>260</v>
      </c>
      <c r="AE168" s="1">
        <v>3</v>
      </c>
    </row>
    <row r="169" spans="29:31" x14ac:dyDescent="0.25">
      <c r="AC169" t="s">
        <v>390</v>
      </c>
      <c r="AD169" t="s">
        <v>265</v>
      </c>
      <c r="AE169" s="1">
        <v>4</v>
      </c>
    </row>
    <row r="170" spans="29:31" x14ac:dyDescent="0.25">
      <c r="AC170" t="s">
        <v>391</v>
      </c>
      <c r="AD170" t="s">
        <v>267</v>
      </c>
      <c r="AE170" s="1">
        <v>5</v>
      </c>
    </row>
    <row r="171" spans="29:31" x14ac:dyDescent="0.25">
      <c r="AC171" t="s">
        <v>392</v>
      </c>
      <c r="AD171" t="s">
        <v>393</v>
      </c>
      <c r="AE171" s="1">
        <v>3</v>
      </c>
    </row>
    <row r="172" spans="29:31" x14ac:dyDescent="0.25">
      <c r="AC172" t="s">
        <v>394</v>
      </c>
      <c r="AD172" t="s">
        <v>268</v>
      </c>
      <c r="AE172" s="1">
        <v>3</v>
      </c>
    </row>
    <row r="173" spans="29:31" x14ac:dyDescent="0.25">
      <c r="AC173" t="s">
        <v>395</v>
      </c>
      <c r="AD173" t="s">
        <v>261</v>
      </c>
      <c r="AE173" s="1">
        <v>4</v>
      </c>
    </row>
    <row r="174" spans="29:31" x14ac:dyDescent="0.25">
      <c r="AC174" t="s">
        <v>396</v>
      </c>
      <c r="AD174" t="s">
        <v>261</v>
      </c>
      <c r="AE174" s="1">
        <v>5</v>
      </c>
    </row>
    <row r="175" spans="29:31" x14ac:dyDescent="0.25">
      <c r="AC175" t="s">
        <v>397</v>
      </c>
      <c r="AD175" t="s">
        <v>262</v>
      </c>
      <c r="AE175" s="1">
        <v>4</v>
      </c>
    </row>
    <row r="176" spans="29:31" x14ac:dyDescent="0.25">
      <c r="AC176" t="s">
        <v>398</v>
      </c>
      <c r="AD176" t="s">
        <v>262</v>
      </c>
      <c r="AE176" s="1">
        <v>3</v>
      </c>
    </row>
    <row r="177" spans="29:31" x14ac:dyDescent="0.25">
      <c r="AC177" t="s">
        <v>399</v>
      </c>
      <c r="AD177" t="s">
        <v>400</v>
      </c>
      <c r="AE177" s="1">
        <v>3</v>
      </c>
    </row>
    <row r="178" spans="29:31" x14ac:dyDescent="0.25">
      <c r="AC178" t="s">
        <v>401</v>
      </c>
      <c r="AD178" t="s">
        <v>266</v>
      </c>
      <c r="AE178" s="1">
        <v>4</v>
      </c>
    </row>
    <row r="179" spans="29:31" x14ac:dyDescent="0.25">
      <c r="AC179" t="s">
        <v>402</v>
      </c>
      <c r="AD179" t="s">
        <v>258</v>
      </c>
      <c r="AE179" s="1">
        <v>3</v>
      </c>
    </row>
    <row r="180" spans="29:31" x14ac:dyDescent="0.25">
      <c r="AC180" t="s">
        <v>403</v>
      </c>
      <c r="AD180" t="s">
        <v>404</v>
      </c>
      <c r="AE180" s="1">
        <v>3</v>
      </c>
    </row>
    <row r="181" spans="29:31" x14ac:dyDescent="0.25">
      <c r="AC181" t="s">
        <v>405</v>
      </c>
      <c r="AD181" t="s">
        <v>406</v>
      </c>
      <c r="AE181" s="1">
        <v>4</v>
      </c>
    </row>
    <row r="182" spans="29:31" x14ac:dyDescent="0.25">
      <c r="AC182" t="s">
        <v>263</v>
      </c>
      <c r="AD182" t="s">
        <v>264</v>
      </c>
      <c r="AE182" s="1">
        <v>3</v>
      </c>
    </row>
    <row r="184" spans="29:31" x14ac:dyDescent="0.25">
      <c r="AC184" t="s">
        <v>7</v>
      </c>
      <c r="AD184" t="s">
        <v>8</v>
      </c>
      <c r="AE184" s="1">
        <v>3</v>
      </c>
    </row>
    <row r="185" spans="29:31" x14ac:dyDescent="0.25">
      <c r="AC185" t="s">
        <v>44</v>
      </c>
      <c r="AD185" t="s">
        <v>74</v>
      </c>
      <c r="AE185" s="1">
        <v>3</v>
      </c>
    </row>
    <row r="186" spans="29:31" x14ac:dyDescent="0.25">
      <c r="AC186" t="s">
        <v>45</v>
      </c>
      <c r="AE186" s="1">
        <v>0</v>
      </c>
    </row>
    <row r="187" spans="29:31" x14ac:dyDescent="0.25">
      <c r="AC187" t="s">
        <v>46</v>
      </c>
      <c r="AD187" t="s">
        <v>0</v>
      </c>
      <c r="AE187" s="1">
        <v>3</v>
      </c>
    </row>
    <row r="188" spans="29:31" x14ac:dyDescent="0.25">
      <c r="AC188" t="s">
        <v>47</v>
      </c>
      <c r="AD188" t="s">
        <v>75</v>
      </c>
      <c r="AE188" s="1">
        <v>3</v>
      </c>
    </row>
    <row r="190" spans="29:31" x14ac:dyDescent="0.25">
      <c r="AC190" t="s">
        <v>318</v>
      </c>
      <c r="AD190" t="s">
        <v>76</v>
      </c>
      <c r="AE190" s="1">
        <v>3</v>
      </c>
    </row>
    <row r="191" spans="29:31" x14ac:dyDescent="0.25">
      <c r="AC191" t="s">
        <v>48</v>
      </c>
      <c r="AD191" t="s">
        <v>77</v>
      </c>
      <c r="AE191" s="1">
        <v>4</v>
      </c>
    </row>
    <row r="193" spans="29:31" x14ac:dyDescent="0.25">
      <c r="AC193" t="s">
        <v>49</v>
      </c>
      <c r="AD193" t="s">
        <v>78</v>
      </c>
      <c r="AE193" s="1">
        <v>3</v>
      </c>
    </row>
    <row r="195" spans="29:31" x14ac:dyDescent="0.25">
      <c r="AC195" t="s">
        <v>50</v>
      </c>
      <c r="AD195" t="s">
        <v>79</v>
      </c>
      <c r="AE195" s="1">
        <v>4</v>
      </c>
    </row>
    <row r="196" spans="29:31" x14ac:dyDescent="0.25">
      <c r="AC196" t="s">
        <v>53</v>
      </c>
      <c r="AD196" t="s">
        <v>79</v>
      </c>
      <c r="AE196" s="1">
        <v>4</v>
      </c>
    </row>
    <row r="198" spans="29:31" x14ac:dyDescent="0.25">
      <c r="AC198" t="s">
        <v>51</v>
      </c>
      <c r="AD198" t="s">
        <v>80</v>
      </c>
      <c r="AE198" s="1">
        <v>4</v>
      </c>
    </row>
    <row r="199" spans="29:31" x14ac:dyDescent="0.25">
      <c r="AC199" t="s">
        <v>52</v>
      </c>
      <c r="AD199" t="s">
        <v>317</v>
      </c>
      <c r="AE199" s="1">
        <v>4</v>
      </c>
    </row>
  </sheetData>
  <dataConsolidate/>
  <mergeCells count="6">
    <mergeCell ref="C6:L6"/>
    <mergeCell ref="N6:W6"/>
    <mergeCell ref="C2:W2"/>
    <mergeCell ref="E4:F4"/>
    <mergeCell ref="R4:T4"/>
    <mergeCell ref="O4:P4"/>
  </mergeCells>
  <conditionalFormatting sqref="AJ21">
    <cfRule type="iconSet" priority="107">
      <iconSet iconSet="3Symbols2">
        <cfvo type="percent" val="0"/>
        <cfvo type="percent" val="33"/>
        <cfvo type="percent" val="67"/>
      </iconSet>
    </cfRule>
  </conditionalFormatting>
  <conditionalFormatting sqref="F32">
    <cfRule type="iconSet" priority="102">
      <iconSet iconSet="3Symbols2">
        <cfvo type="percent" val="0"/>
        <cfvo type="percent" val="33"/>
        <cfvo type="percent" val="67"/>
      </iconSet>
    </cfRule>
  </conditionalFormatting>
  <conditionalFormatting sqref="Z57">
    <cfRule type="iconSet" priority="101">
      <iconSet iconSet="3Symbols2">
        <cfvo type="percent" val="0"/>
        <cfvo type="percent" val="33"/>
        <cfvo type="percent" val="67"/>
      </iconSet>
    </cfRule>
  </conditionalFormatting>
  <conditionalFormatting sqref="F34">
    <cfRule type="iconSet" priority="100">
      <iconSet iconSet="3Symbols2">
        <cfvo type="percent" val="0"/>
        <cfvo type="percent" val="33"/>
        <cfvo type="percent" val="67"/>
      </iconSet>
    </cfRule>
  </conditionalFormatting>
  <conditionalFormatting sqref="I9 I11 I13 I15 I17 I19 I21 I23 I25 I27 T9 T11 T13 T25 T23 T19 T17">
    <cfRule type="containsText" dxfId="13" priority="87" operator="containsText" text="E">
      <formula>NOT(ISERROR(SEARCH("E",I9)))</formula>
    </cfRule>
    <cfRule type="containsText" dxfId="12" priority="88" operator="containsText" text="D">
      <formula>NOT(ISERROR(SEARCH("D",I9)))</formula>
    </cfRule>
    <cfRule type="containsText" dxfId="11" priority="89" operator="containsText" text="C">
      <formula>NOT(ISERROR(SEARCH("C",I9)))</formula>
    </cfRule>
    <cfRule type="containsText" dxfId="10" priority="90" operator="containsText" text="B">
      <formula>NOT(ISERROR(SEARCH("B",I9)))</formula>
    </cfRule>
    <cfRule type="containsText" dxfId="9" priority="91" operator="containsText" text="A">
      <formula>NOT(ISERROR(SEARCH("A",I9)))</formula>
    </cfRule>
  </conditionalFormatting>
  <conditionalFormatting sqref="T15 T21 T27">
    <cfRule type="containsText" dxfId="8" priority="5" operator="containsText" text="Fail">
      <formula>NOT(ISERROR(SEARCH("Fail",T15)))</formula>
    </cfRule>
    <cfRule type="containsText" dxfId="7" priority="6" operator="containsText" text="Pass">
      <formula>NOT(ISERROR(SEARCH("Pass",T15)))</formula>
    </cfRule>
  </conditionalFormatting>
  <dataValidations count="22">
    <dataValidation type="list" allowBlank="1" showInputMessage="1" showErrorMessage="1" sqref="P9">
      <formula1>$Y$33</formula1>
    </dataValidation>
    <dataValidation type="list" allowBlank="1" showInputMessage="1" showErrorMessage="1" sqref="P11">
      <formula1>$Y$34</formula1>
    </dataValidation>
    <dataValidation type="list" allowBlank="1" showInputMessage="1" showErrorMessage="1" sqref="P13">
      <formula1>$Y$35</formula1>
    </dataValidation>
    <dataValidation type="list" allowBlank="1" showInputMessage="1" showErrorMessage="1" sqref="P15">
      <formula1>$Y$36</formula1>
    </dataValidation>
    <dataValidation type="list" allowBlank="1" showInputMessage="1" showErrorMessage="1" sqref="P17">
      <formula1>$Y$37</formula1>
    </dataValidation>
    <dataValidation type="list" allowBlank="1" showInputMessage="1" showErrorMessage="1" sqref="P19">
      <formula1>$Y$38</formula1>
    </dataValidation>
    <dataValidation type="list" allowBlank="1" showInputMessage="1" showErrorMessage="1" sqref="P21">
      <formula1>$Y$39</formula1>
    </dataValidation>
    <dataValidation type="list" allowBlank="1" showInputMessage="1" showErrorMessage="1" sqref="P23">
      <formula1>$Y$40</formula1>
    </dataValidation>
    <dataValidation type="list" allowBlank="1" showInputMessage="1" showErrorMessage="1" sqref="P25">
      <formula1>$Y$41</formula1>
    </dataValidation>
    <dataValidation type="list" allowBlank="1" showInputMessage="1" showErrorMessage="1" sqref="P27">
      <formula1>$Y$18</formula1>
    </dataValidation>
    <dataValidation type="list" allowBlank="1" showInputMessage="1" showErrorMessage="1" sqref="E9">
      <formula1>$AC$33:$AC$34</formula1>
    </dataValidation>
    <dataValidation type="list" allowBlank="1" showInputMessage="1" showErrorMessage="1" sqref="E11">
      <formula1>$AC$36:$AC$37</formula1>
    </dataValidation>
    <dataValidation type="list" allowBlank="1" showInputMessage="1" showErrorMessage="1" sqref="E13">
      <formula1>$AC$39:$AC$42</formula1>
    </dataValidation>
    <dataValidation type="list" allowBlank="1" showInputMessage="1" showErrorMessage="1" sqref="E19">
      <formula1>$AC$184:$AC$188</formula1>
    </dataValidation>
    <dataValidation type="list" allowBlank="1" showInputMessage="1" showErrorMessage="1" sqref="E21">
      <formula1>$AC$190:$AC$191</formula1>
    </dataValidation>
    <dataValidation type="list" allowBlank="1" showInputMessage="1" showErrorMessage="1" sqref="E23">
      <formula1>$AC$193</formula1>
    </dataValidation>
    <dataValidation type="list" allowBlank="1" showInputMessage="1" showErrorMessage="1" sqref="E25">
      <formula1>$AC$195:$AC$196</formula1>
    </dataValidation>
    <dataValidation type="list" allowBlank="1" showInputMessage="1" showErrorMessage="1" sqref="E27">
      <formula1>$AC$198:$AC$199</formula1>
    </dataValidation>
    <dataValidation type="list" allowBlank="1" showInputMessage="1" showErrorMessage="1" sqref="I9 T25 T23 I15 T19 T17 I13 T13 T11 T9 I27 I25 I23 I21 I19 I17">
      <formula1>$AG$33:$AG$37</formula1>
    </dataValidation>
    <dataValidation type="list" allowBlank="1" showInputMessage="1" showErrorMessage="1" sqref="T15 T21 T27 I11">
      <formula1>$AG$40:$AG$41</formula1>
    </dataValidation>
    <dataValidation type="list" allowBlank="1" showInputMessage="1" showErrorMessage="1" sqref="E15">
      <formula1>$AC$43:$AC$164</formula1>
    </dataValidation>
    <dataValidation type="list" allowBlank="1" showInputMessage="1" showErrorMessage="1" sqref="E17">
      <formula1>$AC$166:$AC$182</formula1>
    </dataValidation>
  </dataValidations>
  <printOptions horizontalCentered="1" verticalCentered="1"/>
  <pageMargins left="0.7" right="0.7" top="0.75" bottom="0.75" header="0.3" footer="0.3"/>
  <pageSetup scale="75" orientation="landscape" r:id="rId1"/>
  <drawing r:id="rId2"/>
  <legacyDrawing r:id="rId3"/>
  <tableParts count="4">
    <tablePart r:id="rId4"/>
    <tablePart r:id="rId5"/>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B1:E46"/>
  <sheetViews>
    <sheetView showGridLines="0" topLeftCell="A45" workbookViewId="0"/>
  </sheetViews>
  <sheetFormatPr defaultRowHeight="15" x14ac:dyDescent="0.25"/>
  <cols>
    <col min="1" max="1" width="1.140625" customWidth="1"/>
    <col min="2" max="2" width="64.42578125" customWidth="1"/>
    <col min="3" max="3" width="1.5703125" customWidth="1"/>
    <col min="4" max="4" width="5.5703125" customWidth="1"/>
    <col min="5" max="5" width="16" customWidth="1"/>
  </cols>
  <sheetData>
    <row r="1" spans="2:5" x14ac:dyDescent="0.25">
      <c r="B1" s="40" t="s">
        <v>269</v>
      </c>
      <c r="C1" s="41"/>
      <c r="D1" s="52"/>
      <c r="E1" s="52"/>
    </row>
    <row r="2" spans="2:5" x14ac:dyDescent="0.25">
      <c r="B2" s="40" t="s">
        <v>270</v>
      </c>
      <c r="C2" s="41"/>
      <c r="D2" s="52"/>
      <c r="E2" s="52"/>
    </row>
    <row r="3" spans="2:5" x14ac:dyDescent="0.25">
      <c r="B3" s="42"/>
      <c r="C3" s="42"/>
      <c r="D3" s="53"/>
      <c r="E3" s="53"/>
    </row>
    <row r="4" spans="2:5" ht="45" x14ac:dyDescent="0.25">
      <c r="B4" s="43" t="s">
        <v>271</v>
      </c>
      <c r="C4" s="42"/>
      <c r="D4" s="53"/>
      <c r="E4" s="53"/>
    </row>
    <row r="5" spans="2:5" x14ac:dyDescent="0.25">
      <c r="B5" s="42"/>
      <c r="C5" s="42"/>
      <c r="D5" s="53"/>
      <c r="E5" s="53"/>
    </row>
    <row r="6" spans="2:5" x14ac:dyDescent="0.25">
      <c r="B6" s="40" t="s">
        <v>272</v>
      </c>
      <c r="C6" s="41"/>
      <c r="D6" s="52"/>
      <c r="E6" s="54" t="s">
        <v>273</v>
      </c>
    </row>
    <row r="7" spans="2:5" ht="15.75" thickBot="1" x14ac:dyDescent="0.3">
      <c r="B7" s="42"/>
      <c r="C7" s="42"/>
      <c r="D7" s="53"/>
      <c r="E7" s="53"/>
    </row>
    <row r="8" spans="2:5" ht="45" x14ac:dyDescent="0.25">
      <c r="B8" s="44" t="s">
        <v>274</v>
      </c>
      <c r="C8" s="45"/>
      <c r="D8" s="55"/>
      <c r="E8" s="56">
        <v>17</v>
      </c>
    </row>
    <row r="9" spans="2:5" ht="30" x14ac:dyDescent="0.25">
      <c r="B9" s="46"/>
      <c r="C9" s="42"/>
      <c r="D9" s="53"/>
      <c r="E9" s="57" t="s">
        <v>275</v>
      </c>
    </row>
    <row r="10" spans="2:5" ht="30" x14ac:dyDescent="0.25">
      <c r="B10" s="46"/>
      <c r="C10" s="42"/>
      <c r="D10" s="53"/>
      <c r="E10" s="57" t="s">
        <v>276</v>
      </c>
    </row>
    <row r="11" spans="2:5" ht="30" x14ac:dyDescent="0.25">
      <c r="B11" s="46"/>
      <c r="C11" s="42"/>
      <c r="D11" s="53"/>
      <c r="E11" s="57" t="s">
        <v>277</v>
      </c>
    </row>
    <row r="12" spans="2:5" ht="30" x14ac:dyDescent="0.25">
      <c r="B12" s="46"/>
      <c r="C12" s="42"/>
      <c r="D12" s="53"/>
      <c r="E12" s="57" t="s">
        <v>278</v>
      </c>
    </row>
    <row r="13" spans="2:5" ht="30" x14ac:dyDescent="0.25">
      <c r="B13" s="46"/>
      <c r="C13" s="42"/>
      <c r="D13" s="53"/>
      <c r="E13" s="57" t="s">
        <v>279</v>
      </c>
    </row>
    <row r="14" spans="2:5" ht="30" x14ac:dyDescent="0.25">
      <c r="B14" s="46"/>
      <c r="C14" s="42"/>
      <c r="D14" s="53"/>
      <c r="E14" s="57" t="s">
        <v>280</v>
      </c>
    </row>
    <row r="15" spans="2:5" ht="30" x14ac:dyDescent="0.25">
      <c r="B15" s="46"/>
      <c r="C15" s="42"/>
      <c r="D15" s="53"/>
      <c r="E15" s="57" t="s">
        <v>281</v>
      </c>
    </row>
    <row r="16" spans="2:5" ht="30" x14ac:dyDescent="0.25">
      <c r="B16" s="46"/>
      <c r="C16" s="42"/>
      <c r="D16" s="53"/>
      <c r="E16" s="57" t="s">
        <v>282</v>
      </c>
    </row>
    <row r="17" spans="2:5" ht="30" x14ac:dyDescent="0.25">
      <c r="B17" s="46"/>
      <c r="C17" s="42"/>
      <c r="D17" s="53"/>
      <c r="E17" s="57" t="s">
        <v>283</v>
      </c>
    </row>
    <row r="18" spans="2:5" ht="30" x14ac:dyDescent="0.25">
      <c r="B18" s="46"/>
      <c r="C18" s="42"/>
      <c r="D18" s="53"/>
      <c r="E18" s="57" t="s">
        <v>284</v>
      </c>
    </row>
    <row r="19" spans="2:5" ht="30" x14ac:dyDescent="0.25">
      <c r="B19" s="46"/>
      <c r="C19" s="42"/>
      <c r="D19" s="53"/>
      <c r="E19" s="57" t="s">
        <v>285</v>
      </c>
    </row>
    <row r="20" spans="2:5" ht="30" x14ac:dyDescent="0.25">
      <c r="B20" s="46"/>
      <c r="C20" s="42"/>
      <c r="D20" s="53"/>
      <c r="E20" s="57" t="s">
        <v>286</v>
      </c>
    </row>
    <row r="21" spans="2:5" ht="30" x14ac:dyDescent="0.25">
      <c r="B21" s="46"/>
      <c r="C21" s="42"/>
      <c r="D21" s="53"/>
      <c r="E21" s="57" t="s">
        <v>287</v>
      </c>
    </row>
    <row r="22" spans="2:5" ht="30" x14ac:dyDescent="0.25">
      <c r="B22" s="46"/>
      <c r="C22" s="42"/>
      <c r="D22" s="53"/>
      <c r="E22" s="57" t="s">
        <v>288</v>
      </c>
    </row>
    <row r="23" spans="2:5" ht="30" x14ac:dyDescent="0.25">
      <c r="B23" s="46"/>
      <c r="C23" s="42"/>
      <c r="D23" s="53"/>
      <c r="E23" s="57" t="s">
        <v>289</v>
      </c>
    </row>
    <row r="24" spans="2:5" ht="30" x14ac:dyDescent="0.25">
      <c r="B24" s="46"/>
      <c r="C24" s="42"/>
      <c r="D24" s="53"/>
      <c r="E24" s="57" t="s">
        <v>290</v>
      </c>
    </row>
    <row r="25" spans="2:5" ht="30.75" thickBot="1" x14ac:dyDescent="0.3">
      <c r="B25" s="47"/>
      <c r="C25" s="48"/>
      <c r="D25" s="58"/>
      <c r="E25" s="59" t="s">
        <v>291</v>
      </c>
    </row>
    <row r="26" spans="2:5" ht="15.75" thickBot="1" x14ac:dyDescent="0.3">
      <c r="B26" s="42"/>
      <c r="C26" s="42"/>
      <c r="D26" s="53"/>
      <c r="E26" s="53"/>
    </row>
    <row r="27" spans="2:5" ht="45" x14ac:dyDescent="0.25">
      <c r="B27" s="49" t="s">
        <v>292</v>
      </c>
      <c r="C27" s="45"/>
      <c r="D27" s="55"/>
      <c r="E27" s="56">
        <v>4</v>
      </c>
    </row>
    <row r="28" spans="2:5" ht="45" x14ac:dyDescent="0.25">
      <c r="B28" s="46"/>
      <c r="C28" s="42"/>
      <c r="D28" s="53"/>
      <c r="E28" s="60" t="s">
        <v>293</v>
      </c>
    </row>
    <row r="29" spans="2:5" ht="30" x14ac:dyDescent="0.25">
      <c r="B29" s="46"/>
      <c r="C29" s="42"/>
      <c r="D29" s="53"/>
      <c r="E29" s="57" t="s">
        <v>294</v>
      </c>
    </row>
    <row r="30" spans="2:5" ht="30" x14ac:dyDescent="0.25">
      <c r="B30" s="46"/>
      <c r="C30" s="42"/>
      <c r="D30" s="53"/>
      <c r="E30" s="57" t="s">
        <v>295</v>
      </c>
    </row>
    <row r="31" spans="2:5" ht="30.75" thickBot="1" x14ac:dyDescent="0.3">
      <c r="B31" s="47"/>
      <c r="C31" s="48"/>
      <c r="D31" s="58"/>
      <c r="E31" s="59" t="s">
        <v>296</v>
      </c>
    </row>
    <row r="32" spans="2:5" ht="15.75" thickBot="1" x14ac:dyDescent="0.3">
      <c r="B32" s="42"/>
      <c r="C32" s="42"/>
      <c r="D32" s="53"/>
      <c r="E32" s="53"/>
    </row>
    <row r="33" spans="2:5" ht="45" x14ac:dyDescent="0.25">
      <c r="B33" s="49" t="s">
        <v>297</v>
      </c>
      <c r="C33" s="45"/>
      <c r="D33" s="55"/>
      <c r="E33" s="56">
        <v>13</v>
      </c>
    </row>
    <row r="34" spans="2:5" ht="45" x14ac:dyDescent="0.25">
      <c r="B34" s="46"/>
      <c r="C34" s="42"/>
      <c r="D34" s="53"/>
      <c r="E34" s="60" t="s">
        <v>298</v>
      </c>
    </row>
    <row r="35" spans="2:5" ht="45.75" thickBot="1" x14ac:dyDescent="0.3">
      <c r="B35" s="47"/>
      <c r="C35" s="48"/>
      <c r="D35" s="58"/>
      <c r="E35" s="59" t="s">
        <v>299</v>
      </c>
    </row>
    <row r="36" spans="2:5" x14ac:dyDescent="0.25">
      <c r="B36" s="42"/>
      <c r="C36" s="42"/>
      <c r="D36" s="53"/>
      <c r="E36" s="53"/>
    </row>
    <row r="37" spans="2:5" x14ac:dyDescent="0.25">
      <c r="B37" s="42"/>
      <c r="C37" s="42"/>
      <c r="D37" s="53"/>
      <c r="E37" s="53"/>
    </row>
    <row r="38" spans="2:5" x14ac:dyDescent="0.25">
      <c r="B38" s="41" t="s">
        <v>300</v>
      </c>
      <c r="C38" s="41"/>
      <c r="D38" s="52"/>
      <c r="E38" s="52"/>
    </row>
    <row r="39" spans="2:5" ht="15.75" thickBot="1" x14ac:dyDescent="0.3">
      <c r="B39" s="42"/>
      <c r="C39" s="42"/>
      <c r="D39" s="53"/>
      <c r="E39" s="53"/>
    </row>
    <row r="40" spans="2:5" ht="30" x14ac:dyDescent="0.25">
      <c r="B40" s="49" t="s">
        <v>301</v>
      </c>
      <c r="C40" s="45"/>
      <c r="D40" s="55"/>
      <c r="E40" s="56">
        <v>4</v>
      </c>
    </row>
    <row r="41" spans="2:5" ht="45" x14ac:dyDescent="0.25">
      <c r="B41" s="46"/>
      <c r="C41" s="42"/>
      <c r="D41" s="53"/>
      <c r="E41" s="60" t="s">
        <v>302</v>
      </c>
    </row>
    <row r="42" spans="2:5" ht="45" x14ac:dyDescent="0.25">
      <c r="B42" s="46"/>
      <c r="C42" s="42"/>
      <c r="D42" s="53"/>
      <c r="E42" s="57" t="s">
        <v>303</v>
      </c>
    </row>
    <row r="43" spans="2:5" ht="45" x14ac:dyDescent="0.25">
      <c r="B43" s="46"/>
      <c r="C43" s="42"/>
      <c r="D43" s="53"/>
      <c r="E43" s="57" t="s">
        <v>304</v>
      </c>
    </row>
    <row r="44" spans="2:5" ht="45.75" thickBot="1" x14ac:dyDescent="0.3">
      <c r="B44" s="47"/>
      <c r="C44" s="48"/>
      <c r="D44" s="58"/>
      <c r="E44" s="59" t="s">
        <v>305</v>
      </c>
    </row>
    <row r="45" spans="2:5" ht="15.75" thickBot="1" x14ac:dyDescent="0.3">
      <c r="B45" s="42"/>
      <c r="C45" s="42"/>
      <c r="D45" s="53"/>
      <c r="E45" s="53"/>
    </row>
    <row r="46" spans="2:5" ht="45.75" thickBot="1" x14ac:dyDescent="0.3">
      <c r="B46" s="50" t="s">
        <v>306</v>
      </c>
      <c r="C46" s="51"/>
      <c r="D46" s="61"/>
      <c r="E46" s="62">
        <v>51</v>
      </c>
    </row>
  </sheetData>
  <hyperlinks>
    <hyperlink ref="E9" location="'PTA Checksheet'!I9" display="'PTA Checksheet'!I9"/>
    <hyperlink ref="E10" location="'PTA Checksheet'!I11" display="'PTA Checksheet'!I11"/>
    <hyperlink ref="E11" location="'PTA Checksheet'!I13" display="'PTA Checksheet'!I13"/>
    <hyperlink ref="E12" location="'PTA Checksheet'!I15" display="'PTA Checksheet'!I15"/>
    <hyperlink ref="E13" location="'PTA Checksheet'!I17" display="'PTA Checksheet'!I17"/>
    <hyperlink ref="E14" location="'PTA Checksheet'!I19" display="'PTA Checksheet'!I19"/>
    <hyperlink ref="E15" location="'PTA Checksheet'!I21" display="'PTA Checksheet'!I21"/>
    <hyperlink ref="E16" location="'PTA Checksheet'!I23" display="'PTA Checksheet'!I23"/>
    <hyperlink ref="E17" location="'PTA Checksheet'!I25" display="'PTA Checksheet'!I25"/>
    <hyperlink ref="E18" location="'PTA Checksheet'!I27" display="'PTA Checksheet'!I27"/>
    <hyperlink ref="E19" location="'PTA Checksheet'!T9" display="'PTA Checksheet'!T9"/>
    <hyperlink ref="E20" location="'PTA Checksheet'!T11" display="'PTA Checksheet'!T11"/>
    <hyperlink ref="E21" location="'PTA Checksheet'!T13" display="'PTA Checksheet'!T13"/>
    <hyperlink ref="E22" location="'PTA Checksheet'!T25" display="'PTA Checksheet'!T25"/>
    <hyperlink ref="E23" location="'PTA Checksheet'!T23" display="'PTA Checksheet'!T23"/>
    <hyperlink ref="E24" location="'PTA Checksheet'!T19" display="'PTA Checksheet'!T19"/>
    <hyperlink ref="E25" location="'PTA Checksheet'!T17" display="'PTA Checksheet'!T17"/>
    <hyperlink ref="E28" location="'PTA Checksheet'!AJ21" display="'PTA Checksheet'!AJ21"/>
    <hyperlink ref="E29" location="'PTA Checksheet'!F32" display="'PTA Checksheet'!F32"/>
    <hyperlink ref="E30" location="'PTA Checksheet'!Z57" display="'PTA Checksheet'!Z57"/>
    <hyperlink ref="E31" location="'PTA Checksheet'!F34" display="'PTA Checksheet'!F34"/>
    <hyperlink ref="E34" location="'PTA Checksheet'!E31:E34" display="'PTA Checksheet'!E31:E34"/>
    <hyperlink ref="E35" location="'PTA Checksheet'!I9:T27" display="'PTA Checksheet'!I9:T27"/>
    <hyperlink ref="E41" location="'PTA Checksheet'!Y32:AA42" display="'PTA Checksheet'!Y32:AA42"/>
    <hyperlink ref="E42" location="'PTA Checksheet'!AC32:AE207" display="'PTA Checksheet'!AC32:AE207"/>
    <hyperlink ref="E43" location="'PTA Checksheet'!AG32:AH37" display="'PTA Checksheet'!AG32:AH37"/>
    <hyperlink ref="E44" location="'PTA Checksheet'!AG39:AG41" display="'PTA Checksheet'!AG39:AG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PTA Checksheet</vt:lpstr>
      <vt:lpstr>Compatibility Report</vt:lpstr>
      <vt:lpstr>_</vt:lpstr>
      <vt:lpstr>'PTA Checksheet'!Print_Area</vt:lpstr>
    </vt:vector>
  </TitlesOfParts>
  <Company>KCTCS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GGOVER0001</dc:creator>
  <cp:lastModifiedBy>Phelps, Nancy J (Somerset)</cp:lastModifiedBy>
  <cp:lastPrinted>2010-05-13T17:58:01Z</cp:lastPrinted>
  <dcterms:created xsi:type="dcterms:W3CDTF">2008-09-02T18:23:17Z</dcterms:created>
  <dcterms:modified xsi:type="dcterms:W3CDTF">2013-11-13T15:21:31Z</dcterms:modified>
</cp:coreProperties>
</file>